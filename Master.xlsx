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652DA0B6-C4E8-42F0-BCA0-EA7075CDE9C7}" xr6:coauthVersionLast="47" xr6:coauthVersionMax="47" xr10:uidLastSave="{00000000-0000-0000-0000-000000000000}"/>
  <bookViews>
    <workbookView xWindow="-108" yWindow="-108" windowWidth="23256" windowHeight="12456" xr2:uid="{1C55D002-01A9-4766-B153-0A6B63271353}"/>
  </bookViews>
  <sheets>
    <sheet name="User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" i="1" l="1"/>
  <c r="P2" i="1" s="1"/>
  <c r="V2" i="1" s="1"/>
  <c r="T2" i="1" l="1"/>
  <c r="R2" i="1"/>
</calcChain>
</file>

<file path=xl/sharedStrings.xml><?xml version="1.0" encoding="utf-8"?>
<sst xmlns="http://schemas.openxmlformats.org/spreadsheetml/2006/main" count="22" uniqueCount="22">
  <si>
    <t>uci</t>
  </si>
  <si>
    <t>first_name</t>
  </si>
  <si>
    <t>last_name</t>
  </si>
  <si>
    <t>mobile</t>
  </si>
  <si>
    <t>communication email</t>
  </si>
  <si>
    <t>account_email</t>
  </si>
  <si>
    <t>intraday</t>
  </si>
  <si>
    <t>bank_fund</t>
  </si>
  <si>
    <t>ipo_blocked_fund</t>
  </si>
  <si>
    <t>holdings_total_value</t>
  </si>
  <si>
    <t>current_value</t>
  </si>
  <si>
    <t>broker_withdrawable_fund</t>
  </si>
  <si>
    <t>broker_investable_fund</t>
  </si>
  <si>
    <t>inv-nifty</t>
  </si>
  <si>
    <t>inv-gold</t>
  </si>
  <si>
    <t>inv-silver</t>
  </si>
  <si>
    <t>investing_amt_per_etf</t>
  </si>
  <si>
    <t>etfs</t>
  </si>
  <si>
    <t>day_gold</t>
  </si>
  <si>
    <t>day_silver</t>
  </si>
  <si>
    <t>day_nifty</t>
  </si>
  <si>
    <t>zerodha_access_token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</si>
</sst>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4CFB5-F567-4357-909C-71329154FE45}">
  <dimension ref="A1:AE3"/>
  <sheetViews>
    <sheetView tabSelected="1" workbookViewId="0">
      <selection activeCell="B3" sqref="B3"/>
    </sheetView>
  </sheetViews>
  <sheetFormatPr defaultRowHeight="14.4" x14ac:dyDescent="0.3"/>
  <cols>
    <col min="9" max="9" width="11.88671875" customWidth="1"/>
    <col min="10" max="10" width="10.21875" customWidth="1"/>
    <col min="11" max="11" width="16.21875" customWidth="1"/>
  </cols>
  <sheetData>
    <row r="1" spans="1:31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21</v>
      </c>
      <c r="I1" s="1" t="s">
        <v>10</v>
      </c>
      <c r="J1" s="1" t="s">
        <v>7</v>
      </c>
      <c r="K1" s="1" t="s">
        <v>8</v>
      </c>
      <c r="L1" s="1" t="s">
        <v>9</v>
      </c>
      <c r="M1" s="1" t="s">
        <v>11</v>
      </c>
      <c r="N1" s="1" t="s">
        <v>12</v>
      </c>
      <c r="O1" s="1" t="s">
        <v>17</v>
      </c>
      <c r="P1" s="1" t="s">
        <v>16</v>
      </c>
      <c r="Q1" s="1" t="s">
        <v>20</v>
      </c>
      <c r="R1" s="1" t="s">
        <v>13</v>
      </c>
      <c r="S1" s="1" t="s">
        <v>18</v>
      </c>
      <c r="T1" s="1" t="s">
        <v>14</v>
      </c>
      <c r="U1" s="1" t="s">
        <v>19</v>
      </c>
      <c r="V1" s="1" t="s">
        <v>15</v>
      </c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3">
      <c r="A2">
        <v>1</v>
      </c>
      <c r="N2">
        <v>90</v>
      </c>
      <c r="O2">
        <f>IF(Q2&gt;0,1,0)+IF(S2&gt;0,1,0)+IF(U2&gt;0,1,0)+1</f>
        <v>1</v>
      </c>
      <c r="P2">
        <f>N2/O2</f>
        <v>90</v>
      </c>
      <c r="Q2">
        <v>0</v>
      </c>
      <c r="R2">
        <f>IF(Q2=0,0,P2/3)</f>
        <v>0</v>
      </c>
      <c r="S2">
        <v>0</v>
      </c>
      <c r="T2">
        <f>IF(S2=0,0,P2/3)</f>
        <v>0</v>
      </c>
      <c r="U2">
        <v>0</v>
      </c>
      <c r="V2">
        <f>IF(U2=0,0,P2/3)</f>
        <v>0</v>
      </c>
    </row>
    <row r="3" spans="1:31" x14ac:dyDescent="0.3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wayne</dc:creator>
  <cp:lastModifiedBy>bruce wayne</cp:lastModifiedBy>
  <dcterms:created xsi:type="dcterms:W3CDTF">2026-01-31T13:27:11Z</dcterms:created>
  <dcterms:modified xsi:type="dcterms:W3CDTF">2026-04-20T15:30:02Z</dcterms:modified>
</cp:coreProperties>
</file>