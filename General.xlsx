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'IPOSME'!$AB$1:$AB$389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charset val="1"/>
      <i val="1"/>
      <color theme="1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left" wrapText="1"/>
    </xf>
    <xf numFmtId="0" fontId="1" fillId="2" borderId="0" applyAlignment="1" pivotButton="0" quotePrefix="0" xfId="0">
      <alignment horizontal="left" wrapText="1"/>
    </xf>
    <xf numFmtId="2" fontId="0" fillId="2" borderId="0" applyAlignment="1" pivotButton="0" quotePrefix="0" xfId="0">
      <alignment horizontal="left" wrapText="1"/>
    </xf>
    <xf numFmtId="2" fontId="2" fillId="0" borderId="0" applyAlignment="1" pivotButton="0" quotePrefix="0" xfId="0">
      <alignment horizontal="left" wrapText="1"/>
    </xf>
    <xf numFmtId="2" fontId="2" fillId="2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2" fontId="3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1" fontId="3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 wrapText="1"/>
    </xf>
    <xf numFmtId="2" fontId="1" fillId="2" borderId="0" applyAlignment="1" pivotButton="0" quotePrefix="0" xfId="0">
      <alignment horizontal="left" wrapText="1"/>
    </xf>
    <xf numFmtId="2" fontId="11" fillId="0" borderId="0" applyAlignment="1" pivotButton="0" quotePrefix="0" xfId="0">
      <alignment horizontal="left" wrapText="1"/>
    </xf>
    <xf numFmtId="2" fontId="11" fillId="0" borderId="1" applyAlignment="1" pivotButton="0" quotePrefix="0" xfId="0">
      <alignment horizontal="left" wrapText="1"/>
    </xf>
    <xf numFmtId="2" fontId="2" fillId="2" borderId="2" applyAlignment="1" pivotButton="0" quotePrefix="0" xfId="0">
      <alignment horizontal="left" wrapText="1"/>
    </xf>
    <xf numFmtId="2" fontId="1" fillId="10" borderId="0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64" fontId="1" fillId="0" borderId="2" applyAlignment="1" pivotButton="0" quotePrefix="0" xfId="0">
      <alignment horizontal="left"/>
    </xf>
    <xf numFmtId="2" fontId="11" fillId="10" borderId="0" applyAlignment="1" pivotButton="0" quotePrefix="0" xfId="0">
      <alignment horizontal="left"/>
    </xf>
    <xf numFmtId="2" fontId="1" fillId="13" borderId="0" applyAlignment="1" pivotButton="0" quotePrefix="0" xfId="0">
      <alignment horizontal="left"/>
    </xf>
    <xf numFmtId="2" fontId="11" fillId="13" borderId="0" applyAlignment="1" pivotButton="0" quotePrefix="0" xfId="0">
      <alignment horizontal="left"/>
    </xf>
    <xf numFmtId="2" fontId="12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" fontId="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2" fontId="1" fillId="14" borderId="0" applyAlignment="1" pivotButton="0" quotePrefix="0" xfId="0">
      <alignment horizontal="left"/>
    </xf>
  </cellXfs>
  <cellStyles count="1">
    <cellStyle name="Normal" xfId="0" builtinId="0"/>
  </cellStyles>
  <dxfs count="44"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389"/>
  <sheetViews>
    <sheetView tabSelected="1" topLeftCell="X1" zoomScaleNormal="100" workbookViewId="0">
      <pane ySplit="1" topLeftCell="A127" activePane="bottomLeft" state="frozen"/>
      <selection activeCell="J1" sqref="J1"/>
      <selection pane="bottomLeft" activeCell="AP147" sqref="AP147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8"/>
    <col width="20.5546875" customWidth="1" min="39" max="39"/>
    <col width="7.33203125" customWidth="1" min="40" max="42"/>
    <col width="7.33203125" customWidth="1" style="2" min="43" max="43"/>
    <col width="7.33203125" customWidth="1" min="44" max="45"/>
    <col width="10.88671875" customWidth="1" min="47" max="47"/>
    <col width="6.109375" customWidth="1" min="48" max="48"/>
    <col width="8.5546875" customWidth="1" min="49" max="49"/>
    <col width="10.44140625" customWidth="1" min="50" max="50"/>
    <col width="7.44140625" customWidth="1" min="51" max="51"/>
    <col width="7.33203125" customWidth="1" min="52" max="59"/>
  </cols>
  <sheetData>
    <row r="1" ht="92.25" customHeight="1">
      <c r="A1" t="inlineStr">
        <is>
          <t>URL</t>
        </is>
      </c>
      <c r="B1" s="3" t="inlineStr">
        <is>
          <t>Company Name</t>
        </is>
      </c>
      <c r="C1" s="3" t="inlineStr">
        <is>
          <t>Year</t>
        </is>
      </c>
      <c r="D1" s="3" t="inlineStr">
        <is>
          <t>Positive/ Negative</t>
        </is>
      </c>
      <c r="E1" s="3" t="inlineStr">
        <is>
          <t>Total Borrowings</t>
        </is>
      </c>
      <c r="F1" s="3" t="inlineStr">
        <is>
          <t>Net Worth</t>
        </is>
      </c>
      <c r="G1" s="4" t="inlineStr">
        <is>
          <t>100*(Networth-Tot. :Borr.)/ Net Worth : &lt;16</t>
        </is>
      </c>
      <c r="H1" s="3" t="inlineStr">
        <is>
          <t>Total Assets</t>
        </is>
      </c>
      <c r="I1" s="3" t="inlineStr">
        <is>
          <t>Profit After Tax</t>
        </is>
      </c>
      <c r="J1" s="3" t="inlineStr">
        <is>
          <t>PAT % (10)</t>
        </is>
      </c>
      <c r="K1" s="3" t="inlineStr">
        <is>
          <t>Earnings Per Share</t>
        </is>
      </c>
      <c r="L1" s="3" t="inlineStr">
        <is>
          <t>ROE %</t>
        </is>
      </c>
      <c r="M1" s="3" t="inlineStr">
        <is>
          <t>EBDITA</t>
        </is>
      </c>
      <c r="N1" s="3" t="inlineStr">
        <is>
          <t>Ebdita Margin %</t>
        </is>
      </c>
      <c r="O1" s="3" t="inlineStr">
        <is>
          <t>Total Income</t>
        </is>
      </c>
      <c r="P1" s="4" t="inlineStr">
        <is>
          <t>Total Income/Profit After Ta : &gt;14.56</t>
        </is>
      </c>
      <c r="Q1" s="3" t="inlineStr">
        <is>
          <t>P/E Before IPO</t>
        </is>
      </c>
      <c r="R1" s="3" t="inlineStr">
        <is>
          <t>P/E After IPO</t>
        </is>
      </c>
      <c r="S1" s="3" t="inlineStr">
        <is>
          <t>PE Effect</t>
        </is>
      </c>
      <c r="T1" s="3" t="inlineStr">
        <is>
          <t>Total Issue Size (20)</t>
        </is>
      </c>
      <c r="U1" s="3" t="inlineStr">
        <is>
          <t>OFS</t>
        </is>
      </c>
      <c r="V1" s="3" t="inlineStr">
        <is>
          <t>Anchor</t>
        </is>
      </c>
      <c r="W1" s="3" t="inlineStr">
        <is>
          <t>Dilip Devda Pricey/Dicey</t>
        </is>
      </c>
      <c r="X1" s="3" t="inlineStr">
        <is>
          <t>Subscrition QIB &lt;1.35</t>
        </is>
      </c>
      <c r="Y1" s="3" t="inlineStr">
        <is>
          <t>NII &lt;1.35</t>
        </is>
      </c>
      <c r="Z1" s="3" t="inlineStr">
        <is>
          <t>RII</t>
        </is>
      </c>
      <c r="AA1" s="5" t="inlineStr">
        <is>
          <t>If QIB&gt;NII=1,0</t>
        </is>
      </c>
      <c r="AB1" s="3" t="inlineStr">
        <is>
          <t>GMP</t>
        </is>
      </c>
      <c r="AC1" s="4" t="inlineStr">
        <is>
          <t>Effect GMP</t>
        </is>
      </c>
      <c r="AD1" s="3" t="inlineStr">
        <is>
          <t>YOY Profit (30)</t>
        </is>
      </c>
      <c r="AE1" s="3" t="inlineStr">
        <is>
          <t>YOY Total Income &lt;10.56</t>
        </is>
      </c>
      <c r="AF1" s="3" t="inlineStr">
        <is>
          <t>YOY Net Worth</t>
        </is>
      </c>
      <c r="AG1" s="4" t="inlineStr">
        <is>
          <t>Pre Subscription &gt;9</t>
        </is>
      </c>
      <c r="AH1" s="4" t="inlineStr">
        <is>
          <t>Last Day of Close&gt;8</t>
        </is>
      </c>
      <c r="AI1" s="6" t="inlineStr">
        <is>
          <t>Vix</t>
        </is>
      </c>
      <c r="AJ1" s="7" t="inlineStr">
        <is>
          <t>Effect of Vix</t>
        </is>
      </c>
      <c r="AK1" s="4" t="inlineStr">
        <is>
          <t>Total &gt;13.1</t>
        </is>
      </c>
      <c r="AL1" s="4" t="inlineStr">
        <is>
          <t>Listing Day</t>
        </is>
      </c>
      <c r="AM1" s="4" t="inlineStr">
        <is>
          <t>Company Name 2</t>
        </is>
      </c>
      <c r="AN1" s="3" t="inlineStr">
        <is>
          <t>ClosingDate (40)</t>
        </is>
      </c>
      <c r="AO1" s="3" t="inlineStr">
        <is>
          <t>BOADate</t>
        </is>
      </c>
      <c r="AP1" s="4" t="inlineStr">
        <is>
          <t>apply_or_not</t>
        </is>
      </c>
      <c r="AQ1" s="3" t="inlineStr">
        <is>
          <t>Category Effect</t>
        </is>
      </c>
      <c r="AR1" s="4" t="inlineStr">
        <is>
          <t>effective_value</t>
        </is>
      </c>
      <c r="AS1" s="3" t="inlineStr">
        <is>
          <t>Applied</t>
        </is>
      </c>
      <c r="AT1" s="3" t="n"/>
      <c r="AU1" s="3" t="inlineStr">
        <is>
          <t>Probability of allotment %</t>
        </is>
      </c>
      <c r="AV1" s="3" t="inlineStr">
        <is>
          <t>Prob % with all a/cs</t>
        </is>
      </c>
      <c r="AW1" s="3" t="inlineStr">
        <is>
          <t># of Accounts</t>
        </is>
      </c>
      <c r="AX1" s="3" t="n"/>
      <c r="AY1" s="3" t="inlineStr">
        <is>
          <t>ipo price</t>
        </is>
      </c>
      <c r="AZ1" s="8" t="inlineStr">
        <is>
          <t>Expected Price on Listing day GMP</t>
        </is>
      </c>
      <c r="BA1" s="3" t="inlineStr">
        <is>
          <t>Listing Price</t>
        </is>
      </c>
      <c r="BB1" s="3" t="inlineStr">
        <is>
          <t>1st day Max price on Listing price</t>
        </is>
      </c>
      <c r="BC1" s="3" t="inlineStr">
        <is>
          <t>2nd day max price</t>
        </is>
      </c>
      <c r="BD1" s="3" t="inlineStr">
        <is>
          <t>3rd max price</t>
        </is>
      </c>
      <c r="BE1" s="8" t="inlineStr">
        <is>
          <t>All Time High</t>
        </is>
      </c>
      <c r="BF1" s="3" t="inlineStr">
        <is>
          <t>LTP</t>
        </is>
      </c>
      <c r="BG1" s="3" t="inlineStr">
        <is>
          <t xml:space="preserve">LTP GAIN </t>
        </is>
      </c>
      <c r="BH1" s="3" t="inlineStr">
        <is>
          <t>LTP Gain on Listing Pric</t>
        </is>
      </c>
    </row>
    <row r="2" ht="12.75" customHeight="1">
      <c r="B2" s="9" t="inlineStr">
        <is>
          <t>DSM Fresh Foods</t>
        </is>
      </c>
      <c r="C2" s="10" t="n">
        <v>2025</v>
      </c>
      <c r="D2" s="10" t="inlineStr">
        <is>
          <t>Pos</t>
        </is>
      </c>
      <c r="E2" s="11" t="n">
        <v>31.7</v>
      </c>
      <c r="F2" s="11" t="n">
        <v>49.09</v>
      </c>
      <c r="G2" s="11">
        <f>100*(F2-E2)/F2</f>
        <v/>
      </c>
      <c r="H2" s="11" t="n">
        <v>84.04000000000001</v>
      </c>
      <c r="I2" s="11" t="n">
        <v>9.050000000000001</v>
      </c>
      <c r="J2" s="11" t="n">
        <v>5.1</v>
      </c>
      <c r="K2" s="11" t="n">
        <v>5.53</v>
      </c>
      <c r="L2" s="11" t="n">
        <v>20.7</v>
      </c>
      <c r="M2" s="11" t="n">
        <v>17.05</v>
      </c>
      <c r="N2" s="11" t="n">
        <v>13.04</v>
      </c>
      <c r="O2" s="11" t="n">
        <v>131.47</v>
      </c>
      <c r="P2" s="11">
        <f>O2/I2</f>
        <v/>
      </c>
      <c r="Q2" s="11" t="n">
        <v>18.08</v>
      </c>
      <c r="R2" s="11" t="n">
        <v>24.8</v>
      </c>
      <c r="S2" s="12" t="n">
        <v>5</v>
      </c>
      <c r="T2" s="13" t="n"/>
      <c r="U2" s="13" t="n"/>
      <c r="V2" s="13" t="n">
        <v>1</v>
      </c>
      <c r="W2" s="11" t="n"/>
      <c r="X2" s="11" t="n">
        <v>1.53</v>
      </c>
      <c r="Y2" s="11" t="n">
        <v>2.06</v>
      </c>
      <c r="Z2" s="11" t="n">
        <v>0.96</v>
      </c>
      <c r="AA2" s="11">
        <f>IF(X2&lt;50,IF(Y2&gt;(2.3*X2),0,1),1)-IF(Z2&gt;Y2,1.7,0)</f>
        <v/>
      </c>
      <c r="AB2" s="11" t="n">
        <v>0</v>
      </c>
      <c r="AC2" s="11">
        <f>IF(AB2&gt;4,1,0)+AB2/7</f>
        <v/>
      </c>
      <c r="AD2" s="11" t="n">
        <v>93.79000000000001</v>
      </c>
      <c r="AE2" s="11" t="n">
        <v>44.98</v>
      </c>
      <c r="AF2" s="11" t="n">
        <v>29.05</v>
      </c>
      <c r="AG2" s="12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11">
        <f>AG2+IF(X2&lt;1.35,0,1)+IF(Y2&lt;1.35,0,1)+AC2+AA2</f>
        <v/>
      </c>
      <c r="AI2" s="11" t="n">
        <v>11</v>
      </c>
      <c r="AJ2" s="11">
        <f>IF(AI2&gt;12.7,IF(AI2&gt;15.8,0.93,0.98),1)</f>
        <v/>
      </c>
      <c r="AK2" s="11">
        <f>(1.2*AG2+AH2)*AJ2*AQ2</f>
        <v/>
      </c>
      <c r="AL2" s="10">
        <f>D2</f>
        <v/>
      </c>
      <c r="AM2" s="14">
        <f>B2</f>
        <v/>
      </c>
      <c r="AN2" s="13" t="n"/>
      <c r="AO2" s="13">
        <f>AN2+1</f>
        <v/>
      </c>
      <c r="AP2" s="13">
        <f>IF(AK2&gt;13.1,IF(Z2&lt;101,IF(Z2&lt;35,IF(Z2&lt;6,3,2),1),0),0)</f>
        <v/>
      </c>
      <c r="AQ2" s="11" t="n">
        <v>1</v>
      </c>
      <c r="AR2" s="11">
        <f>IF(AP2&gt;0,IF(AB2&gt;10,(AB2/Z2),10/Z2),0)</f>
        <v/>
      </c>
      <c r="AS2" s="11" t="n"/>
      <c r="AT2" s="11">
        <f>100*(AK2-AQ2)/AQ2</f>
        <v/>
      </c>
      <c r="AU2" s="13" t="n">
        <v>208.333333333333</v>
      </c>
      <c r="AV2" s="13" t="n">
        <v>1041.66666666667</v>
      </c>
      <c r="AW2" s="10" t="n">
        <v>5</v>
      </c>
      <c r="AX2" s="10" t="n"/>
      <c r="AY2" s="10" t="n">
        <v>100</v>
      </c>
      <c r="AZ2" s="13" t="n"/>
      <c r="BA2" s="10" t="n">
        <v>120</v>
      </c>
      <c r="BB2" s="11" t="n">
        <v>125</v>
      </c>
      <c r="BC2" s="11" t="n">
        <v>132</v>
      </c>
      <c r="BD2" s="11" t="n">
        <v>138</v>
      </c>
      <c r="BE2" s="11" t="n">
        <v>208</v>
      </c>
      <c r="BF2" s="11" t="n">
        <v>186</v>
      </c>
      <c r="BG2" s="11" t="n">
        <v>86</v>
      </c>
      <c r="BH2" s="11" t="n">
        <v>55</v>
      </c>
    </row>
    <row r="3" ht="12.75" customHeight="1">
      <c r="B3" s="15" t="inlineStr">
        <is>
          <t>B.A.G. Convergence</t>
        </is>
      </c>
      <c r="C3" s="10" t="n">
        <v>2025</v>
      </c>
      <c r="D3" s="10" t="inlineStr">
        <is>
          <t>Pos</t>
        </is>
      </c>
      <c r="E3" s="11" t="n">
        <v>0</v>
      </c>
      <c r="F3" s="11" t="n">
        <v>22.2</v>
      </c>
      <c r="G3" s="11">
        <f>100*(F3-E3)/F3</f>
        <v/>
      </c>
      <c r="H3" s="11" t="n">
        <v>43.84</v>
      </c>
      <c r="I3" s="11" t="n">
        <v>9.1</v>
      </c>
      <c r="J3" s="11" t="n"/>
      <c r="K3" s="11" t="n">
        <v>5.42</v>
      </c>
      <c r="L3" s="11" t="n"/>
      <c r="M3" s="11" t="n">
        <v>14</v>
      </c>
      <c r="N3" s="11" t="n"/>
      <c r="O3" s="11" t="n">
        <v>35.63</v>
      </c>
      <c r="P3" s="11">
        <f>O3/I3</f>
        <v/>
      </c>
      <c r="Q3" s="11" t="n">
        <v>16.05</v>
      </c>
      <c r="R3" s="11" t="n">
        <v>16.05</v>
      </c>
      <c r="S3" s="12" t="n">
        <v>0</v>
      </c>
      <c r="T3" s="13" t="n"/>
      <c r="U3" s="13" t="n"/>
      <c r="V3" s="13" t="n">
        <v>1</v>
      </c>
      <c r="W3" s="11" t="n"/>
      <c r="X3" s="11" t="n">
        <v>1.38</v>
      </c>
      <c r="Y3" s="11" t="n">
        <v>2.63</v>
      </c>
      <c r="Z3" s="11" t="n">
        <v>0.83</v>
      </c>
      <c r="AA3" s="11">
        <f>IF(X3&lt;50,IF(Y3&gt;(2.3*X3),0,1),1)-IF(Z3&gt;Y3,1.7,0)</f>
        <v/>
      </c>
      <c r="AB3" s="11" t="n">
        <v>0</v>
      </c>
      <c r="AC3" s="11">
        <f>IF(AB3&gt;4,1,0)+AB3/7</f>
        <v/>
      </c>
      <c r="AD3" s="11" t="n">
        <v>13.32</v>
      </c>
      <c r="AE3" s="11" t="n">
        <v>17.51</v>
      </c>
      <c r="AF3" s="11" t="n">
        <v>212.24</v>
      </c>
      <c r="AG3" s="12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11">
        <f>AG3+IF(X3&lt;1.35,0,1)+IF(Y3&lt;1.35,0,1)+AC3+AA3</f>
        <v/>
      </c>
      <c r="AI3" s="11" t="n">
        <v>11</v>
      </c>
      <c r="AJ3" s="11">
        <f>IF(AI3&gt;12.7,IF(AI3&gt;15.8,0.93,0.98),1)</f>
        <v/>
      </c>
      <c r="AK3" s="11">
        <f>(1.2*AG3+AH3)*AJ3*AQ3</f>
        <v/>
      </c>
      <c r="AL3" s="10">
        <f>D3</f>
        <v/>
      </c>
      <c r="AM3" s="14">
        <f>B3</f>
        <v/>
      </c>
      <c r="AN3" s="13" t="n"/>
      <c r="AO3" s="13">
        <f>AN3+1</f>
        <v/>
      </c>
      <c r="AP3" s="13">
        <f>IF(AK3&gt;13.1,IF(Z3&lt;101,IF(Z3&lt;35,IF(Z3&lt;6,3,2),1),0),0)</f>
        <v/>
      </c>
      <c r="AQ3" s="11" t="n">
        <v>1</v>
      </c>
      <c r="AR3" s="11">
        <f>IF(AP3&gt;0,IF(AB3&gt;10,(AB3/Z3),10/Z3),0)</f>
        <v/>
      </c>
      <c r="AS3" s="11" t="n"/>
      <c r="AT3" s="11">
        <f>100*(AK3-AQ3)/AQ3</f>
        <v/>
      </c>
      <c r="AU3" s="13" t="n">
        <v>240.963855421687</v>
      </c>
      <c r="AV3" s="13" t="n">
        <v>1204.81927710843</v>
      </c>
      <c r="AW3" s="10" t="n">
        <v>5</v>
      </c>
      <c r="AX3" s="10" t="n"/>
      <c r="AY3" s="10" t="n">
        <v>87</v>
      </c>
      <c r="AZ3" s="13" t="n"/>
      <c r="BA3" s="10" t="n">
        <v>101</v>
      </c>
      <c r="BB3" s="11" t="n"/>
      <c r="BC3" s="11" t="n"/>
      <c r="BD3" s="11" t="n"/>
      <c r="BE3" s="11" t="n"/>
      <c r="BF3" s="11" t="n">
        <v>127</v>
      </c>
      <c r="BG3" s="11" t="n">
        <v>45.9770114942529</v>
      </c>
      <c r="BH3" s="11" t="n">
        <v>25.7425742574257</v>
      </c>
    </row>
    <row r="4" ht="12.75" customHeight="1">
      <c r="B4" s="15" t="inlineStr">
        <is>
          <t>Zelio E-Mobility</t>
        </is>
      </c>
      <c r="C4" s="10" t="n">
        <v>2025</v>
      </c>
      <c r="D4" s="10" t="inlineStr">
        <is>
          <t>Pos</t>
        </is>
      </c>
      <c r="E4" s="11" t="n">
        <v>30.68</v>
      </c>
      <c r="F4" s="11" t="n">
        <v>26.67</v>
      </c>
      <c r="G4" s="11">
        <f>100*(F4-E4)/F4</f>
        <v/>
      </c>
      <c r="H4" s="10" t="n">
        <v>45.02</v>
      </c>
      <c r="I4" s="11" t="n">
        <v>16</v>
      </c>
      <c r="J4" s="11" t="n"/>
      <c r="K4" s="11" t="n">
        <v>4.12</v>
      </c>
      <c r="L4" s="11" t="n"/>
      <c r="M4" s="11" t="n">
        <v>21.02</v>
      </c>
      <c r="N4" s="11" t="n"/>
      <c r="O4" s="11" t="n">
        <v>172.19</v>
      </c>
      <c r="P4" s="11">
        <f>O4/I4</f>
        <v/>
      </c>
      <c r="Q4" s="11" t="n">
        <v>32.77</v>
      </c>
      <c r="R4" s="11" t="n">
        <v>17.97</v>
      </c>
      <c r="S4" s="12" t="n">
        <v>0</v>
      </c>
      <c r="T4" s="13" t="n"/>
      <c r="U4" s="13" t="n"/>
      <c r="V4" s="13" t="n">
        <v>1</v>
      </c>
      <c r="W4" s="11" t="n"/>
      <c r="X4" s="11" t="n">
        <v>1.61</v>
      </c>
      <c r="Y4" s="11" t="n">
        <v>1.56</v>
      </c>
      <c r="Z4" s="11" t="n">
        <v>1.32</v>
      </c>
      <c r="AA4" s="11">
        <f>IF(X4&lt;50,IF(Y4&gt;(2.3*X4),0,1),1)-IF(Z4&gt;Y4,1.7,0)</f>
        <v/>
      </c>
      <c r="AB4" s="11" t="n">
        <v>0</v>
      </c>
      <c r="AC4" s="11">
        <f>IF(AB4&gt;4,1,0)+AB4/7</f>
        <v/>
      </c>
      <c r="AD4" s="11" t="n">
        <v>154</v>
      </c>
      <c r="AE4" s="11" t="n">
        <v>83</v>
      </c>
      <c r="AF4" s="11" t="n">
        <v>150</v>
      </c>
      <c r="AG4" s="12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11">
        <f>AG4+IF(X4&lt;1.35,0,1)+IF(Y4&lt;1.35,0,1)+AC4+AA4</f>
        <v/>
      </c>
      <c r="AI4" s="11" t="n">
        <v>11</v>
      </c>
      <c r="AJ4" s="11">
        <f>IF(AI4&gt;12.7,IF(AI4&gt;15.8,0.93,0.98),1)</f>
        <v/>
      </c>
      <c r="AK4" s="11">
        <f>(1.2*AG4+AH4)*AJ4*AQ4</f>
        <v/>
      </c>
      <c r="AL4" s="10">
        <f>D4</f>
        <v/>
      </c>
      <c r="AM4" s="14">
        <f>B4</f>
        <v/>
      </c>
      <c r="AN4" s="13" t="n"/>
      <c r="AO4" s="13">
        <f>AN4+1</f>
        <v/>
      </c>
      <c r="AP4" s="13">
        <f>IF(AK4&gt;13.1,IF(Z4&lt;101,IF(Z4&lt;35,IF(Z4&lt;6,3,2),1),0),0)</f>
        <v/>
      </c>
      <c r="AQ4" s="11" t="n">
        <v>1</v>
      </c>
      <c r="AR4" s="11">
        <f>IF(AP4&gt;0,IF(AB4&gt;10,(AB4/Z4),10/Z4),0)</f>
        <v/>
      </c>
      <c r="AS4" s="11" t="n"/>
      <c r="AT4" s="11">
        <f>100*(AK4-AQ4)/AQ4</f>
        <v/>
      </c>
      <c r="AU4" s="13" t="n">
        <v>151.515151515152</v>
      </c>
      <c r="AV4" s="13" t="n">
        <v>757.575757575758</v>
      </c>
      <c r="AW4" s="10" t="n">
        <v>5</v>
      </c>
      <c r="AX4" s="10" t="n"/>
      <c r="AY4" s="10" t="n">
        <v>136</v>
      </c>
      <c r="AZ4" s="13" t="n"/>
      <c r="BA4" s="10" t="n">
        <v>154</v>
      </c>
      <c r="BB4" s="11" t="n"/>
      <c r="BC4" s="11" t="n"/>
      <c r="BD4" s="11" t="n"/>
      <c r="BE4" s="11" t="n"/>
      <c r="BF4" s="11" t="n">
        <v>343</v>
      </c>
      <c r="BG4" s="11" t="n">
        <v>152.205882352941</v>
      </c>
      <c r="BH4" s="11" t="n">
        <v>122.727272727273</v>
      </c>
    </row>
    <row r="5" ht="12.75" customHeight="1">
      <c r="B5" s="15" t="inlineStr">
        <is>
          <t>Sheel Biotech</t>
        </is>
      </c>
      <c r="C5" s="10" t="n">
        <v>2025</v>
      </c>
      <c r="D5" s="10" t="inlineStr">
        <is>
          <t>Pos</t>
        </is>
      </c>
      <c r="E5" s="11" t="n">
        <v>17.36</v>
      </c>
      <c r="F5" s="11" t="n">
        <v>83.84999999999999</v>
      </c>
      <c r="G5" s="11">
        <f>100*(F5-E5)/F5</f>
        <v/>
      </c>
      <c r="H5" s="10" t="n">
        <v>113</v>
      </c>
      <c r="I5" s="11" t="n">
        <v>10.64</v>
      </c>
      <c r="J5" s="11" t="n"/>
      <c r="K5" s="11" t="n">
        <v>7.21</v>
      </c>
      <c r="L5" s="11" t="n"/>
      <c r="M5" s="11" t="n">
        <v>14.97</v>
      </c>
      <c r="N5" s="11" t="n"/>
      <c r="O5" s="11" t="n">
        <v>102.27</v>
      </c>
      <c r="P5" s="11">
        <f>O5/I5</f>
        <v/>
      </c>
      <c r="Q5" s="11" t="n">
        <v>8.74</v>
      </c>
      <c r="R5" s="11" t="n">
        <v>8.74</v>
      </c>
      <c r="S5" s="12" t="n">
        <v>0</v>
      </c>
      <c r="T5" s="13" t="n"/>
      <c r="U5" s="13" t="n"/>
      <c r="V5" s="13" t="n">
        <v>1</v>
      </c>
      <c r="W5" s="11" t="n"/>
      <c r="X5" s="11" t="n">
        <v>19.73</v>
      </c>
      <c r="Y5" s="11" t="n">
        <v>25.92</v>
      </c>
      <c r="Z5" s="11" t="n">
        <v>9.56</v>
      </c>
      <c r="AA5" s="11">
        <f>IF(X5&lt;50,IF(Y5&gt;(2.3*X5),0,1),1)-IF(Z5&gt;Y5,1.7,0)</f>
        <v/>
      </c>
      <c r="AB5" s="11" t="n">
        <v>25</v>
      </c>
      <c r="AC5" s="11">
        <f>IF(AB5&gt;4,1,0)+AB5/7</f>
        <v/>
      </c>
      <c r="AD5" s="11" t="n">
        <v>2</v>
      </c>
      <c r="AE5" s="11" t="n">
        <v>11</v>
      </c>
      <c r="AF5" s="11" t="n">
        <v>15</v>
      </c>
      <c r="AG5" s="12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11">
        <f>AG5+IF(X5&lt;1.35,0,1)+IF(Y5&lt;1.35,0,1)+AC5+AA5</f>
        <v/>
      </c>
      <c r="AI5" s="11" t="n">
        <v>11</v>
      </c>
      <c r="AJ5" s="11">
        <f>IF(AI5&gt;12.7,IF(AI5&gt;15.8,0.93,0.98),1)</f>
        <v/>
      </c>
      <c r="AK5" s="11">
        <f>(1.2*AG5+AH5)*AJ5*AQ5</f>
        <v/>
      </c>
      <c r="AL5" s="10">
        <f>D5</f>
        <v/>
      </c>
      <c r="AM5" s="14">
        <f>B5</f>
        <v/>
      </c>
      <c r="AN5" s="13" t="n"/>
      <c r="AO5" s="13">
        <f>AN5+1</f>
        <v/>
      </c>
      <c r="AP5" s="13">
        <f>IF(AK5&gt;13.1,IF(Z5&lt;101,IF(Z5&lt;35,IF(Z5&lt;6,3,2),1),0),0)</f>
        <v/>
      </c>
      <c r="AQ5" s="11" t="n">
        <v>1</v>
      </c>
      <c r="AR5" s="11">
        <f>IF(AP5&gt;0,IF(AB5&gt;10,(AB5/Z5),10/Z5),0)</f>
        <v/>
      </c>
      <c r="AS5" s="11" t="n"/>
      <c r="AT5" s="11">
        <f>100*(AK5-AQ5)/AQ5</f>
        <v/>
      </c>
      <c r="AU5" s="13" t="n">
        <v>20.9205020920502</v>
      </c>
      <c r="AV5" s="13" t="n">
        <v>104.602510460251</v>
      </c>
      <c r="AW5" s="10" t="n">
        <v>5</v>
      </c>
      <c r="AX5" s="10" t="n"/>
      <c r="AY5" s="10" t="n">
        <v>63</v>
      </c>
      <c r="AZ5" s="13" t="n"/>
      <c r="BA5" s="10" t="n">
        <v>91</v>
      </c>
      <c r="BB5" s="11" t="n"/>
      <c r="BC5" s="11" t="n"/>
      <c r="BD5" s="11" t="n"/>
      <c r="BE5" s="11" t="n"/>
      <c r="BF5" s="11" t="n">
        <v>80</v>
      </c>
      <c r="BG5" s="11" t="n">
        <v>26.984126984127</v>
      </c>
      <c r="BH5" s="11" t="n">
        <v>-12.0879120879121</v>
      </c>
    </row>
    <row r="6" ht="12.75" customHeight="1">
      <c r="B6" s="9" t="inlineStr">
        <is>
          <t>Infinity Infoway</t>
        </is>
      </c>
      <c r="C6" s="10" t="n">
        <v>2025</v>
      </c>
      <c r="D6" s="10" t="inlineStr">
        <is>
          <t>Pos</t>
        </is>
      </c>
      <c r="E6" s="11" t="n">
        <v>0.23</v>
      </c>
      <c r="F6" s="11" t="n">
        <v>12.68</v>
      </c>
      <c r="G6" s="11">
        <f>100*(F6-E6)/F6</f>
        <v/>
      </c>
      <c r="H6" s="11" t="n">
        <v>14.92</v>
      </c>
      <c r="I6" s="11" t="n">
        <v>4.19</v>
      </c>
      <c r="J6" s="11" t="n"/>
      <c r="K6" s="11" t="n">
        <v>11.22</v>
      </c>
      <c r="L6" s="11" t="n"/>
      <c r="M6" s="11" t="n">
        <v>6.16</v>
      </c>
      <c r="N6" s="11" t="n"/>
      <c r="O6" s="11" t="n">
        <v>13.19</v>
      </c>
      <c r="P6" s="11">
        <f>O6/I6</f>
        <v/>
      </c>
      <c r="Q6" s="11" t="n">
        <v>13.81</v>
      </c>
      <c r="R6" s="11" t="n">
        <v>19.64</v>
      </c>
      <c r="S6" s="12" t="n">
        <v>0</v>
      </c>
      <c r="T6" s="13" t="n"/>
      <c r="U6" s="13" t="n"/>
      <c r="V6" s="13" t="n">
        <v>1</v>
      </c>
      <c r="W6" s="11" t="n"/>
      <c r="X6" s="11" t="n">
        <v>157.14</v>
      </c>
      <c r="Y6" s="11" t="n">
        <v>548.99</v>
      </c>
      <c r="Z6" s="11" t="n">
        <v>303.35</v>
      </c>
      <c r="AA6" s="11">
        <f>IF(X6&lt;50,IF(Y6&gt;(2.3*X6),0,1),1)-IF(Z6&gt;Y6,1.7,0)</f>
        <v/>
      </c>
      <c r="AB6" s="11" t="n">
        <v>38</v>
      </c>
      <c r="AC6" s="11">
        <f>IF(AB6&gt;4,1,0)+AB6/7</f>
        <v/>
      </c>
      <c r="AD6" s="11" t="n">
        <v>20.75</v>
      </c>
      <c r="AE6" s="11" t="n">
        <v>29.7</v>
      </c>
      <c r="AF6" s="11" t="n">
        <v>152.09</v>
      </c>
      <c r="AG6" s="12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11">
        <f>AG6+IF(X6&lt;1.35,0,1)+IF(Y6&lt;1.35,0,1)+AC6+AA6</f>
        <v/>
      </c>
      <c r="AI6" s="11" t="n">
        <v>11</v>
      </c>
      <c r="AJ6" s="11">
        <f>IF(AI6&gt;12.7,IF(AI6&gt;15.8,0.93,0.98),1)</f>
        <v/>
      </c>
      <c r="AK6" s="11">
        <f>(1.2*AG6+AH6)*AJ6*AQ6</f>
        <v/>
      </c>
      <c r="AL6" s="10">
        <f>D6</f>
        <v/>
      </c>
      <c r="AM6" s="14">
        <f>B6</f>
        <v/>
      </c>
      <c r="AN6" s="13" t="n"/>
      <c r="AO6" s="13">
        <f>AN6+1</f>
        <v/>
      </c>
      <c r="AP6" s="13">
        <f>IF(AK6&gt;13.1,IF(Z6&lt;101,IF(Z6&lt;35,IF(Z6&lt;6,3,2),1),0),0)</f>
        <v/>
      </c>
      <c r="AQ6" s="11" t="n">
        <v>1</v>
      </c>
      <c r="AR6" s="11">
        <f>IF(AP6&gt;0,IF(AB6&gt;10,(AB6/Z6),10/Z6),0)</f>
        <v/>
      </c>
      <c r="AS6" s="11" t="n"/>
      <c r="AT6" s="11">
        <f>100*(AK6-AQ6)/AQ6</f>
        <v/>
      </c>
      <c r="AU6" s="13" t="n">
        <v>0.659304433822317</v>
      </c>
      <c r="AV6" s="13" t="n">
        <v>3.29652216911159</v>
      </c>
      <c r="AW6" s="10" t="n">
        <v>5</v>
      </c>
      <c r="AX6" s="10" t="n"/>
      <c r="AY6" s="10" t="n">
        <v>155</v>
      </c>
      <c r="AZ6" s="13" t="n"/>
      <c r="BA6" s="10" t="n">
        <v>294</v>
      </c>
      <c r="BB6" s="11" t="n">
        <v>368</v>
      </c>
      <c r="BC6" s="11" t="n">
        <v>405</v>
      </c>
      <c r="BD6" s="11" t="n">
        <v>413</v>
      </c>
      <c r="BE6" s="11" t="n"/>
      <c r="BF6" s="11" t="n">
        <v>372</v>
      </c>
      <c r="BG6" s="11" t="n">
        <v>140</v>
      </c>
      <c r="BH6" s="11" t="n">
        <v>26.530612244898</v>
      </c>
    </row>
    <row r="7" ht="12.75" customHeight="1">
      <c r="B7" s="9" t="inlineStr">
        <is>
          <t>Sodhani Capital</t>
        </is>
      </c>
      <c r="C7" s="10" t="n">
        <v>2025</v>
      </c>
      <c r="D7" s="10" t="inlineStr">
        <is>
          <t>Pos</t>
        </is>
      </c>
      <c r="E7" s="11" t="n">
        <v>0.05</v>
      </c>
      <c r="F7" s="11" t="n">
        <v>7.42</v>
      </c>
      <c r="G7" s="11">
        <f>100*(F7-E7)/F7</f>
        <v/>
      </c>
      <c r="H7" s="11" t="n">
        <v>7.6</v>
      </c>
      <c r="I7" s="11" t="n">
        <v>2.18</v>
      </c>
      <c r="J7" s="11" t="n"/>
      <c r="K7" s="11" t="n">
        <v>3.49</v>
      </c>
      <c r="L7" s="11" t="n"/>
      <c r="M7" s="11" t="n">
        <v>3.05</v>
      </c>
      <c r="N7" s="11" t="n"/>
      <c r="O7" s="11" t="n">
        <v>4.13</v>
      </c>
      <c r="P7" s="11">
        <f>O7/I7</f>
        <v/>
      </c>
      <c r="Q7" s="11" t="n">
        <v>18.55</v>
      </c>
      <c r="R7" s="11" t="n">
        <v>18.55</v>
      </c>
      <c r="S7" s="12" t="n">
        <v>0</v>
      </c>
      <c r="T7" s="13" t="n"/>
      <c r="U7" s="13" t="n"/>
      <c r="V7" s="13" t="n">
        <v>0</v>
      </c>
      <c r="W7" s="11" t="n"/>
      <c r="X7" s="11" t="n">
        <v>5.99</v>
      </c>
      <c r="Y7" s="11" t="n">
        <v>5.99</v>
      </c>
      <c r="Z7" s="11" t="n">
        <v>4.85</v>
      </c>
      <c r="AA7" s="11">
        <f>IF(X7&lt;50,IF(Y7&gt;(2.3*X7),0,1),1)-IF(Z7&gt;Y7,1.7,0)</f>
        <v/>
      </c>
      <c r="AB7" s="11" t="n">
        <v>0</v>
      </c>
      <c r="AC7" s="11">
        <f>IF(AB7&gt;4,1,0)+AB7/7</f>
        <v/>
      </c>
      <c r="AD7" s="11" t="n">
        <v>-1.36</v>
      </c>
      <c r="AE7" s="11" t="n">
        <v>10.13</v>
      </c>
      <c r="AF7" s="11" t="n">
        <v>41.87</v>
      </c>
      <c r="AG7" s="12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11">
        <f>AG7+IF(X7&lt;1.35,0,1)+IF(Y7&lt;1.35,0,1)+AC7+AA7</f>
        <v/>
      </c>
      <c r="AI7" s="11" t="n">
        <v>11</v>
      </c>
      <c r="AJ7" s="11">
        <f>IF(AI7&gt;12.7,IF(AI7&gt;15.8,0.93,0.98),1)</f>
        <v/>
      </c>
      <c r="AK7" s="11">
        <f>(1.2*AG7+AH7)*AJ7*AQ7</f>
        <v/>
      </c>
      <c r="AL7" s="10">
        <f>D7</f>
        <v/>
      </c>
      <c r="AM7" s="14">
        <f>B7</f>
        <v/>
      </c>
      <c r="AN7" s="13" t="n"/>
      <c r="AO7" s="13">
        <f>AN7+1</f>
        <v/>
      </c>
      <c r="AP7" s="13">
        <f>IF(AK7&gt;13.1,IF(Z7&lt;101,IF(Z7&lt;35,IF(Z7&lt;6,3,2),1),0),0)</f>
        <v/>
      </c>
      <c r="AQ7" s="11" t="n">
        <v>1</v>
      </c>
      <c r="AR7" s="11">
        <f>IF(AP7&gt;0,IF(AB7&gt;10,(AB7/Z7),10/Z7),0)</f>
        <v/>
      </c>
      <c r="AS7" s="11" t="n"/>
      <c r="AT7" s="11">
        <f>100*(AK7-AQ7)/AQ7</f>
        <v/>
      </c>
      <c r="AU7" s="13" t="n">
        <v>41.2371134020619</v>
      </c>
      <c r="AV7" s="13" t="n">
        <v>206.185567010309</v>
      </c>
      <c r="AW7" s="10" t="n">
        <v>5</v>
      </c>
      <c r="AX7" s="10" t="n"/>
      <c r="AY7" s="10" t="n">
        <v>51</v>
      </c>
      <c r="AZ7" s="13" t="n"/>
      <c r="BA7" s="10" t="n">
        <v>80</v>
      </c>
      <c r="BB7" s="11" t="n"/>
      <c r="BC7" s="11" t="n"/>
      <c r="BD7" s="11" t="n"/>
      <c r="BE7" s="11" t="n"/>
      <c r="BF7" s="11" t="n">
        <v>121</v>
      </c>
      <c r="BG7" s="11" t="n">
        <v>137.254901960784</v>
      </c>
      <c r="BH7" s="11" t="n">
        <v>51.25</v>
      </c>
    </row>
    <row r="8" ht="12.75" customHeight="1">
      <c r="B8" s="16" t="inlineStr">
        <is>
          <t>Suba Hotels</t>
        </is>
      </c>
      <c r="C8" s="10" t="n">
        <v>2025</v>
      </c>
      <c r="D8" s="10" t="inlineStr">
        <is>
          <t>Pos</t>
        </is>
      </c>
      <c r="E8" s="11" t="n">
        <v>50.23</v>
      </c>
      <c r="F8" s="11" t="n">
        <v>47.61</v>
      </c>
      <c r="G8" s="11">
        <f>100*(F8-E8)/F8</f>
        <v/>
      </c>
      <c r="H8" s="11" t="n">
        <v>123.04</v>
      </c>
      <c r="I8" s="11" t="n">
        <v>15.15</v>
      </c>
      <c r="J8" s="11" t="n"/>
      <c r="K8" s="11" t="n">
        <v>8.69</v>
      </c>
      <c r="L8" s="11" t="n"/>
      <c r="M8" s="11" t="n">
        <v>23.27</v>
      </c>
      <c r="N8" s="11" t="n"/>
      <c r="O8" s="11" t="n">
        <v>79.23999999999999</v>
      </c>
      <c r="P8" s="11">
        <f>O8/I8</f>
        <v/>
      </c>
      <c r="Q8" s="11" t="n">
        <v>17.76</v>
      </c>
      <c r="R8" s="11" t="n">
        <v>17.76</v>
      </c>
      <c r="S8" s="12" t="n">
        <v>0</v>
      </c>
      <c r="T8" s="13" t="n"/>
      <c r="U8" s="13" t="n"/>
      <c r="V8" s="13" t="n">
        <v>1</v>
      </c>
      <c r="W8" s="11" t="n"/>
      <c r="X8" s="11" t="n">
        <v>20.98</v>
      </c>
      <c r="Y8" s="11" t="n">
        <v>22.41</v>
      </c>
      <c r="Z8" s="11" t="n">
        <v>9.07</v>
      </c>
      <c r="AA8" s="11">
        <f>IF(X8&lt;50,IF(Y8&gt;(2.3*X8),0,1),1)-IF(Z8&gt;Y8,1.7,0)</f>
        <v/>
      </c>
      <c r="AB8" s="11" t="n">
        <v>9</v>
      </c>
      <c r="AC8" s="11">
        <f>IF(AB8&gt;4,1,0)+AB8/7</f>
        <v/>
      </c>
      <c r="AD8" s="11" t="n">
        <v>69.08</v>
      </c>
      <c r="AE8" s="11" t="n">
        <v>51.55</v>
      </c>
      <c r="AF8" s="11" t="n">
        <v>47.25</v>
      </c>
      <c r="AG8" s="12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11">
        <f>AG8+IF(X8&lt;1.35,0,1)+IF(Y8&lt;1.35,0,1)+AC8+AA8</f>
        <v/>
      </c>
      <c r="AI8" s="11" t="n">
        <v>11</v>
      </c>
      <c r="AJ8" s="11">
        <f>IF(AI8&gt;12.7,IF(AI8&gt;15.8,0.93,0.98),1)</f>
        <v/>
      </c>
      <c r="AK8" s="11">
        <f>(1.2*AG8+AH8)*AJ8*AQ8</f>
        <v/>
      </c>
      <c r="AL8" s="10">
        <f>D8</f>
        <v/>
      </c>
      <c r="AM8" s="14">
        <f>B8</f>
        <v/>
      </c>
      <c r="AN8" s="13" t="n"/>
      <c r="AO8" s="13">
        <f>AN8+1</f>
        <v/>
      </c>
      <c r="AP8" s="13">
        <f>IF(AK8&gt;13.1,IF(Z8&lt;101,IF(Z8&lt;35,IF(Z8&lt;6,3,2),1),0),0)</f>
        <v/>
      </c>
      <c r="AQ8" s="11" t="n">
        <v>1</v>
      </c>
      <c r="AR8" s="11">
        <f>IF(AP8&gt;0,IF(AB8&gt;10,(AB8/Z8),10/Z8),0)</f>
        <v/>
      </c>
      <c r="AS8" s="11" t="n"/>
      <c r="AT8" s="11">
        <f>100*(AK8-AQ8)/AQ8</f>
        <v/>
      </c>
      <c r="AU8" s="13" t="n">
        <v>22.0507166482911</v>
      </c>
      <c r="AV8" s="13" t="n">
        <v>110.253583241455</v>
      </c>
      <c r="AW8" s="10" t="n">
        <v>5</v>
      </c>
      <c r="AX8" s="10" t="n"/>
      <c r="AY8" s="10" t="n">
        <v>111</v>
      </c>
      <c r="AZ8" s="13" t="n"/>
      <c r="BA8" s="10" t="n">
        <v>154</v>
      </c>
      <c r="BB8" s="11" t="n">
        <v>175</v>
      </c>
      <c r="BC8" s="11" t="n">
        <v>177.29</v>
      </c>
      <c r="BD8" s="11" t="n">
        <v>181.76</v>
      </c>
      <c r="BE8" s="11" t="n"/>
      <c r="BF8" s="11" t="n">
        <v>170</v>
      </c>
      <c r="BG8" s="11" t="n">
        <v>53.1531531531532</v>
      </c>
      <c r="BH8" s="11" t="n">
        <v>10.3896103896104</v>
      </c>
    </row>
    <row r="9" ht="12.75" customHeight="1">
      <c r="B9" s="16" t="inlineStr">
        <is>
          <t>Manas Polymers and Energies Limited</t>
        </is>
      </c>
      <c r="C9" s="10" t="n">
        <v>2025</v>
      </c>
      <c r="D9" s="10" t="inlineStr">
        <is>
          <t>Pos</t>
        </is>
      </c>
      <c r="E9" s="11" t="n">
        <v>10.71</v>
      </c>
      <c r="F9" s="11" t="n">
        <v>10.23</v>
      </c>
      <c r="G9" s="11">
        <f>100*(F9-E9)/F9</f>
        <v/>
      </c>
      <c r="H9" s="11" t="n">
        <v>29.85</v>
      </c>
      <c r="I9" s="11" t="n">
        <v>4.29</v>
      </c>
      <c r="J9" s="11" t="n"/>
      <c r="K9" s="11" t="n">
        <v>8.81</v>
      </c>
      <c r="L9" s="11" t="n"/>
      <c r="M9" s="11" t="n">
        <v>5.76</v>
      </c>
      <c r="N9" s="11" t="n"/>
      <c r="O9" s="11" t="n">
        <v>33.06</v>
      </c>
      <c r="P9" s="11">
        <f>O9/I9</f>
        <v/>
      </c>
      <c r="Q9" s="11" t="n">
        <v>9.19</v>
      </c>
      <c r="R9" s="11" t="n">
        <v>9.19</v>
      </c>
      <c r="S9" s="12" t="n">
        <v>0</v>
      </c>
      <c r="T9" s="13" t="n"/>
      <c r="U9" s="13" t="n"/>
      <c r="V9" s="13" t="n">
        <v>0</v>
      </c>
      <c r="W9" s="11" t="n"/>
      <c r="X9" s="11" t="n">
        <v>6.66</v>
      </c>
      <c r="Y9" s="11" t="n">
        <v>1.78</v>
      </c>
      <c r="Z9" s="11" t="n">
        <v>0.19</v>
      </c>
      <c r="AA9" s="11">
        <f>IF(X9&lt;50,IF(Y9&gt;(2.3*X9),0,1),1)-IF(Z9&gt;Y9,1.7,0)</f>
        <v/>
      </c>
      <c r="AB9" s="11" t="n">
        <v>0</v>
      </c>
      <c r="AC9" s="11">
        <f>IF(AB9&gt;4,1,0)+AB9/7</f>
        <v/>
      </c>
      <c r="AD9" s="11" t="n">
        <v>120</v>
      </c>
      <c r="AE9" s="11" t="n">
        <v>70</v>
      </c>
      <c r="AF9" s="11" t="n">
        <v>72.22</v>
      </c>
      <c r="AG9" s="12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11">
        <f>AG9+IF(X9&lt;1.35,0,1)+IF(Y9&lt;1.35,0,1)+AC9+AA9</f>
        <v/>
      </c>
      <c r="AI9" s="11" t="n">
        <v>11</v>
      </c>
      <c r="AJ9" s="11">
        <f>IF(AI9&gt;12.7,IF(AI9&gt;15.8,0.93,0.98),1)</f>
        <v/>
      </c>
      <c r="AK9" s="11">
        <f>(1.2*AG9+AH9)*AJ9*AQ9</f>
        <v/>
      </c>
      <c r="AL9" s="10">
        <f>D9</f>
        <v/>
      </c>
      <c r="AM9" s="14">
        <f>B9</f>
        <v/>
      </c>
      <c r="AN9" s="13" t="n"/>
      <c r="AO9" s="13">
        <f>AN9+1</f>
        <v/>
      </c>
      <c r="AP9" s="13">
        <f>IF(AK9&gt;13.1,IF(Z9&lt;101,IF(Z9&lt;35,IF(Z9&lt;6,3,2),1),0),0)</f>
        <v/>
      </c>
      <c r="AQ9" s="11" t="n">
        <v>1</v>
      </c>
      <c r="AR9" s="11">
        <f>IF(AP9&gt;0,IF(AB9&gt;10,(AB9/Z9),10/Z9),0)</f>
        <v/>
      </c>
      <c r="AS9" s="11" t="n"/>
      <c r="AT9" s="11">
        <f>100*(AK9-AQ9)/AQ9</f>
        <v/>
      </c>
      <c r="AU9" s="13" t="n">
        <v>1052.63157894737</v>
      </c>
      <c r="AV9" s="13" t="n">
        <v>5263.15789473684</v>
      </c>
      <c r="AW9" s="10" t="n">
        <v>5</v>
      </c>
      <c r="AX9" s="10" t="n"/>
      <c r="AY9" s="10" t="n">
        <v>81</v>
      </c>
      <c r="AZ9" s="13" t="n"/>
      <c r="BA9" s="10" t="n">
        <v>154</v>
      </c>
      <c r="BB9" s="11" t="n"/>
      <c r="BC9" s="11" t="n"/>
      <c r="BD9" s="11" t="n"/>
      <c r="BE9" s="11" t="n"/>
      <c r="BF9" s="11" t="n">
        <v>113</v>
      </c>
      <c r="BG9" s="11" t="n">
        <v>39.5061728395062</v>
      </c>
      <c r="BH9" s="11" t="n">
        <v>-26.6233766233766</v>
      </c>
    </row>
    <row r="10" ht="12.75" customHeight="1">
      <c r="B10" s="9" t="inlineStr">
        <is>
          <t>TechD Cybersecurity Limited</t>
        </is>
      </c>
      <c r="C10" s="10" t="n">
        <v>2025</v>
      </c>
      <c r="D10" s="10" t="inlineStr">
        <is>
          <t>Pos</t>
        </is>
      </c>
      <c r="E10" s="11" t="n">
        <v>0.22</v>
      </c>
      <c r="F10" s="11" t="n">
        <v>22.14</v>
      </c>
      <c r="G10" s="11">
        <f>100*(F10-E10)/F10</f>
        <v/>
      </c>
      <c r="H10" s="11" t="n">
        <v>29.08</v>
      </c>
      <c r="I10" s="11" t="n">
        <v>8.4</v>
      </c>
      <c r="J10" s="11" t="n"/>
      <c r="K10" s="11" t="n">
        <v>11.23</v>
      </c>
      <c r="L10" s="11" t="n"/>
      <c r="M10" s="11" t="n">
        <v>12.33</v>
      </c>
      <c r="N10" s="11" t="n"/>
      <c r="O10" s="11" t="n">
        <v>29.79</v>
      </c>
      <c r="P10" s="11">
        <f>O10/I10</f>
        <v/>
      </c>
      <c r="Q10" s="11" t="n">
        <v>32.81</v>
      </c>
      <c r="R10" s="11" t="n">
        <v>16.85</v>
      </c>
      <c r="S10" s="12" t="n">
        <v>0</v>
      </c>
      <c r="T10" s="13" t="n"/>
      <c r="U10" s="13" t="n"/>
      <c r="V10" s="13" t="n">
        <v>1</v>
      </c>
      <c r="W10" s="11" t="n"/>
      <c r="X10" s="11" t="n">
        <v>284.17</v>
      </c>
      <c r="Y10" s="11" t="n">
        <v>1279.03</v>
      </c>
      <c r="Z10" s="11" t="n">
        <v>726.0599999999999</v>
      </c>
      <c r="AA10" s="11">
        <f>IF(X10&lt;50,IF(Y10&gt;(2.3*X10),0,1),1)-IF(Z10&gt;Y10,1.7,0)</f>
        <v/>
      </c>
      <c r="AB10" s="11" t="n">
        <v>108</v>
      </c>
      <c r="AC10" s="11">
        <f>IF(AB10&gt;4,1,0)+AB10/7</f>
        <v/>
      </c>
      <c r="AD10" s="11" t="n">
        <v>159.26</v>
      </c>
      <c r="AE10" s="11" t="n">
        <v>97.68000000000001</v>
      </c>
      <c r="AF10" s="11" t="n">
        <v>361.25</v>
      </c>
      <c r="AG10" s="12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11">
        <f>AG10+IF(X10&lt;1.35,0,1)+IF(Y10&lt;1.35,0,1)+AC10+AA10</f>
        <v/>
      </c>
      <c r="AI10" s="11" t="n">
        <v>11</v>
      </c>
      <c r="AJ10" s="11">
        <f>IF(AI10&gt;12.7,IF(AI10&gt;15.8,0.93,0.98),1)</f>
        <v/>
      </c>
      <c r="AK10" s="11">
        <f>(1.2*AG10+AH10)*AJ10*AQ10</f>
        <v/>
      </c>
      <c r="AL10" s="10">
        <f>D10</f>
        <v/>
      </c>
      <c r="AM10" s="14">
        <f>B10</f>
        <v/>
      </c>
      <c r="AN10" s="13" t="n"/>
      <c r="AO10" s="13">
        <f>AN10+1</f>
        <v/>
      </c>
      <c r="AP10" s="13">
        <f>IF(AK10&gt;13.1,IF(Z10&lt;101,IF(Z10&lt;35,IF(Z10&lt;6,3,2),1),0),0)</f>
        <v/>
      </c>
      <c r="AQ10" s="11" t="n">
        <v>1</v>
      </c>
      <c r="AR10" s="11">
        <f>IF(AP10&gt;0,IF(AB10&gt;10,(AB10/Z10),10/Z10),0)</f>
        <v/>
      </c>
      <c r="AS10" s="11" t="n"/>
      <c r="AT10" s="11">
        <f>100*(AK10-AQ10)/AQ10</f>
        <v/>
      </c>
      <c r="AU10" s="13" t="n">
        <v>0.275459328430157</v>
      </c>
      <c r="AV10" s="13" t="n">
        <v>1.37729664215079</v>
      </c>
      <c r="AW10" s="10" t="n">
        <v>5</v>
      </c>
      <c r="AX10" s="10" t="n"/>
      <c r="AY10" s="10" t="n">
        <v>193</v>
      </c>
      <c r="AZ10" s="13" t="n"/>
      <c r="BA10" s="10" t="n">
        <v>366</v>
      </c>
      <c r="BB10" s="11" t="n"/>
      <c r="BC10" s="11" t="n"/>
      <c r="BD10" s="11" t="n"/>
      <c r="BE10" s="11" t="n"/>
      <c r="BF10" s="11" t="n">
        <v>765</v>
      </c>
      <c r="BG10" s="11" t="n">
        <v>296.373056994819</v>
      </c>
      <c r="BH10" s="11" t="n">
        <v>109.016393442623</v>
      </c>
    </row>
    <row r="11" ht="12.75" customHeight="1">
      <c r="B11" s="16" t="inlineStr">
        <is>
          <t>Identical Brains Studios</t>
        </is>
      </c>
      <c r="C11" s="10" t="n">
        <v>2024</v>
      </c>
      <c r="D11" s="10" t="inlineStr">
        <is>
          <t>Pos</t>
        </is>
      </c>
      <c r="E11" s="11" t="n">
        <v>0.19</v>
      </c>
      <c r="F11" s="11" t="n">
        <v>12.04</v>
      </c>
      <c r="G11" s="11">
        <f>100*(F11-E11)/F11</f>
        <v/>
      </c>
      <c r="H11" s="11" t="n">
        <v>17.02</v>
      </c>
      <c r="I11" s="11" t="n">
        <v>5.35</v>
      </c>
      <c r="J11" s="11" t="n"/>
      <c r="K11" s="11" t="n">
        <v>5.18</v>
      </c>
      <c r="L11" s="11" t="n"/>
      <c r="M11" s="11" t="n">
        <v>7.62</v>
      </c>
      <c r="N11" s="11" t="n"/>
      <c r="O11" s="11" t="n">
        <v>20.26</v>
      </c>
      <c r="P11" s="11">
        <f>O11/I11</f>
        <v/>
      </c>
      <c r="Q11" s="11" t="n">
        <v>10.44</v>
      </c>
      <c r="R11" s="11" t="n">
        <v>10.44</v>
      </c>
      <c r="S11" s="12" t="n">
        <v>0</v>
      </c>
      <c r="T11" s="13" t="n"/>
      <c r="U11" s="13" t="n"/>
      <c r="V11" s="13" t="n">
        <v>1</v>
      </c>
      <c r="W11" s="11" t="n"/>
      <c r="X11" s="11" t="n">
        <v>187.36</v>
      </c>
      <c r="Y11" s="11" t="n">
        <v>1020.2</v>
      </c>
      <c r="Z11" s="11" t="n">
        <v>544.28</v>
      </c>
      <c r="AA11" s="11">
        <f>IF(X11&lt;50,IF(Y11&gt;(2.3*X11),0,1),1)-IF(Z11&gt;Y11,1.7,0)</f>
        <v/>
      </c>
      <c r="AB11" s="11" t="n">
        <v>75</v>
      </c>
      <c r="AC11" s="11">
        <f>IF(AB11&gt;4,1,0)+AB11/7</f>
        <v/>
      </c>
      <c r="AD11" s="11" t="n">
        <v>231.5</v>
      </c>
      <c r="AE11" s="11" t="n">
        <v>151.95</v>
      </c>
      <c r="AF11" s="11" t="n">
        <v>317.18</v>
      </c>
      <c r="AG11" s="12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11">
        <f>AG11+IF(X11&lt;1.35,0,1)+IF(Y11&lt;1.35,0,1)+AC11+AA11</f>
        <v/>
      </c>
      <c r="AI11" s="11" t="n">
        <v>11</v>
      </c>
      <c r="AJ11" s="11">
        <f>IF(AI11&gt;12.7,IF(AI11&gt;15.8,0.93,0.98),1)</f>
        <v/>
      </c>
      <c r="AK11" s="11">
        <f>(1.2*AG11+AH11)*AJ11*AQ11</f>
        <v/>
      </c>
      <c r="AL11" s="10">
        <f>D11</f>
        <v/>
      </c>
      <c r="AM11" s="14">
        <f>B11</f>
        <v/>
      </c>
      <c r="AN11" s="13" t="n"/>
      <c r="AO11" s="13">
        <f>AN11+1</f>
        <v/>
      </c>
      <c r="AP11" s="13">
        <f>IF(AK11&gt;13.1,IF(Z11&lt;101,IF(Z11&lt;35,IF(Z11&lt;6,3,2),1),0),0)</f>
        <v/>
      </c>
      <c r="AQ11" s="11" t="n">
        <v>1</v>
      </c>
      <c r="AR11" s="11">
        <f>IF(AP11&gt;0,IF(AB11&gt;10,(AB11/Z11),10/Z11),0)</f>
        <v/>
      </c>
      <c r="AS11" s="11" t="n"/>
      <c r="AT11" s="11">
        <f>100*(AK11-AQ11)/AQ11</f>
        <v/>
      </c>
      <c r="AU11" s="13" t="n">
        <v>0.367457926067465</v>
      </c>
      <c r="AV11" s="13" t="n">
        <v>1.83728963033733</v>
      </c>
      <c r="AW11" s="10" t="n">
        <v>5</v>
      </c>
      <c r="AX11" s="10" t="n"/>
      <c r="AY11" s="10" t="n">
        <v>54</v>
      </c>
      <c r="AZ11" s="13" t="n"/>
      <c r="BA11" s="10" t="n">
        <v>95</v>
      </c>
      <c r="BB11" s="11" t="n"/>
      <c r="BC11" s="11" t="n"/>
      <c r="BD11" s="11" t="n"/>
      <c r="BE11" s="11" t="n"/>
      <c r="BF11" s="11" t="n">
        <v>39</v>
      </c>
      <c r="BG11" s="11" t="n">
        <v>-27.7777777777778</v>
      </c>
      <c r="BH11" s="11" t="n">
        <v>-58.9473684210526</v>
      </c>
    </row>
    <row r="12" ht="12.75" customHeight="1">
      <c r="B12" s="15" t="inlineStr">
        <is>
          <t>NACDAC Infrastructure</t>
        </is>
      </c>
      <c r="C12" s="10" t="n">
        <v>2024</v>
      </c>
      <c r="D12" s="10" t="inlineStr">
        <is>
          <t>Pos</t>
        </is>
      </c>
      <c r="E12" s="11" t="n">
        <v>6.43</v>
      </c>
      <c r="F12" s="11" t="n">
        <v>12.01</v>
      </c>
      <c r="G12" s="11">
        <f>100*(F12-E12)/F12</f>
        <v/>
      </c>
      <c r="H12" s="10" t="n">
        <v>24.6</v>
      </c>
      <c r="I12" s="11" t="n">
        <v>3.17</v>
      </c>
      <c r="J12" s="11" t="n"/>
      <c r="K12" s="11" t="n">
        <v>4.14</v>
      </c>
      <c r="L12" s="11" t="n"/>
      <c r="M12" s="11" t="n">
        <v>3.42</v>
      </c>
      <c r="N12" s="11" t="n"/>
      <c r="O12" s="11" t="n">
        <v>36.33</v>
      </c>
      <c r="P12" s="11">
        <f>O12/I12</f>
        <v/>
      </c>
      <c r="Q12" s="11" t="n">
        <v>8.449999999999999</v>
      </c>
      <c r="R12" s="11" t="n">
        <v>8.449999999999999</v>
      </c>
      <c r="S12" s="12" t="n">
        <v>0</v>
      </c>
      <c r="T12" s="13" t="n"/>
      <c r="U12" s="13" t="n"/>
      <c r="V12" s="13" t="n">
        <v>1</v>
      </c>
      <c r="W12" s="11" t="n"/>
      <c r="X12" s="11" t="n">
        <v>236.39</v>
      </c>
      <c r="Y12" s="11" t="n">
        <v>4084.36</v>
      </c>
      <c r="Z12" s="11" t="n">
        <v>2503.68</v>
      </c>
      <c r="AA12" s="11">
        <f>IF(X12&lt;50,IF(Y12&gt;(2.3*X12),0,1),1)-IF(Z12&gt;Y12,1.7,0)</f>
        <v/>
      </c>
      <c r="AB12" s="11" t="n">
        <v>90</v>
      </c>
      <c r="AC12" s="11">
        <f>IF(AB12&gt;4,1,0)+AB12/7</f>
        <v/>
      </c>
      <c r="AD12" s="11" t="n">
        <v>466</v>
      </c>
      <c r="AE12" s="11" t="n">
        <v>209</v>
      </c>
      <c r="AF12" s="11" t="n">
        <v>73</v>
      </c>
      <c r="AG12" s="12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11">
        <f>AG12+IF(X12&lt;1.35,0,1)+IF(Y12&lt;1.35,0,1)+AC12+AA12</f>
        <v/>
      </c>
      <c r="AI12" s="11" t="n">
        <v>11</v>
      </c>
      <c r="AJ12" s="11">
        <f>IF(AI12&gt;12.7,IF(AI12&gt;15.8,0.93,0.98),1)</f>
        <v/>
      </c>
      <c r="AK12" s="11">
        <f>(1.2*AG12+AH12)*AJ12*AQ12</f>
        <v/>
      </c>
      <c r="AL12" s="10">
        <f>D12</f>
        <v/>
      </c>
      <c r="AM12" s="14">
        <f>B12</f>
        <v/>
      </c>
      <c r="AN12" s="13" t="n"/>
      <c r="AO12" s="13">
        <f>AN12+1</f>
        <v/>
      </c>
      <c r="AP12" s="13">
        <f>IF(AK12&gt;13.1,IF(Z12&lt;101,IF(Z12&lt;35,IF(Z12&lt;6,3,2),1),0),0)</f>
        <v/>
      </c>
      <c r="AQ12" s="11" t="n">
        <v>1</v>
      </c>
      <c r="AR12" s="11">
        <f>IF(AP12&gt;0,IF(AB12&gt;10,(AB12/Z12),10/Z12),0)</f>
        <v/>
      </c>
      <c r="AS12" s="11" t="n"/>
      <c r="AT12" s="11">
        <f>100*(AK12-AQ12)/AQ12</f>
        <v/>
      </c>
      <c r="AU12" s="13" t="n">
        <v>0.0798824130879346</v>
      </c>
      <c r="AV12" s="13" t="n">
        <v>0.399412065439673</v>
      </c>
      <c r="AW12" s="10" t="n">
        <v>5</v>
      </c>
      <c r="AX12" s="10" t="n"/>
      <c r="AY12" s="17" t="n">
        <v>35</v>
      </c>
      <c r="AZ12" s="13" t="n"/>
      <c r="BA12" s="17" t="n">
        <v>67</v>
      </c>
      <c r="BB12" s="11" t="n"/>
      <c r="BC12" s="11" t="n"/>
      <c r="BD12" s="11" t="n"/>
      <c r="BE12" s="11" t="n"/>
      <c r="BF12" s="11" t="n">
        <v>36</v>
      </c>
      <c r="BG12" s="11" t="n">
        <v>2.85714285714286</v>
      </c>
      <c r="BH12" s="11" t="n">
        <v>-46.2686567164179</v>
      </c>
    </row>
    <row r="13" ht="12.75" customHeight="1">
      <c r="B13" s="15" t="inlineStr">
        <is>
          <t>Hamps Bio</t>
        </is>
      </c>
      <c r="C13" s="10" t="n">
        <v>2024</v>
      </c>
      <c r="D13" s="10" t="inlineStr">
        <is>
          <t>Pos</t>
        </is>
      </c>
      <c r="E13" s="11" t="n">
        <v>1.05</v>
      </c>
      <c r="F13" s="11" t="n">
        <v>3.37</v>
      </c>
      <c r="G13" s="11">
        <f>100*(F13-E13)/F13</f>
        <v/>
      </c>
      <c r="H13" s="10" t="n">
        <v>5.15</v>
      </c>
      <c r="I13" s="11" t="n">
        <v>0.5</v>
      </c>
      <c r="J13" s="11" t="n"/>
      <c r="K13" s="11" t="n">
        <v>1.76</v>
      </c>
      <c r="L13" s="11" t="n"/>
      <c r="M13" s="11" t="n">
        <v>1.18</v>
      </c>
      <c r="N13" s="11" t="n"/>
      <c r="O13" s="11" t="n">
        <v>6.47</v>
      </c>
      <c r="P13" s="11">
        <f>O13/I13</f>
        <v/>
      </c>
      <c r="Q13" s="11" t="n">
        <v>29</v>
      </c>
      <c r="R13" s="11" t="n">
        <v>29</v>
      </c>
      <c r="S13" s="12" t="n">
        <v>0</v>
      </c>
      <c r="T13" s="13" t="n"/>
      <c r="U13" s="13" t="n"/>
      <c r="V13" s="13" t="n">
        <v>0</v>
      </c>
      <c r="W13" s="11" t="n"/>
      <c r="X13" s="11" t="n">
        <v>0</v>
      </c>
      <c r="Y13" s="11" t="n">
        <v>758</v>
      </c>
      <c r="Z13" s="11" t="n">
        <v>1342</v>
      </c>
      <c r="AA13" s="11">
        <f>IF(X13&lt;50,IF(Y13&gt;(2.3*X13),0,1),1)-IF(Z13&gt;Y13,1.7,0)</f>
        <v/>
      </c>
      <c r="AB13" s="11" t="n">
        <v>117</v>
      </c>
      <c r="AC13" s="11">
        <f>IF(AB13&gt;4,1,0)+AB13/7</f>
        <v/>
      </c>
      <c r="AD13" s="11" t="n">
        <v>39</v>
      </c>
      <c r="AE13" s="11" t="n">
        <v>16</v>
      </c>
      <c r="AF13" s="11" t="n">
        <v>148</v>
      </c>
      <c r="AG13" s="12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11">
        <f>AG13+IF(X13&lt;1.35,0,1)+IF(Y13&lt;1.35,0,1)+AC13+AA13</f>
        <v/>
      </c>
      <c r="AI13" s="11" t="n">
        <v>11</v>
      </c>
      <c r="AJ13" s="11">
        <f>IF(AI13&gt;12.7,IF(AI13&gt;15.8,0.93,0.98),1)</f>
        <v/>
      </c>
      <c r="AK13" s="11">
        <f>(1.2*AG13+AH13)*AJ13*AQ13</f>
        <v/>
      </c>
      <c r="AL13" s="10">
        <f>D13</f>
        <v/>
      </c>
      <c r="AM13" s="14">
        <f>B13</f>
        <v/>
      </c>
      <c r="AN13" s="13" t="n"/>
      <c r="AO13" s="13">
        <f>AN13+1</f>
        <v/>
      </c>
      <c r="AP13" s="13">
        <f>IF(AK13&gt;13.1,IF(Z13&lt;101,IF(Z13&lt;35,IF(Z13&lt;6,3,2),1),0),0)</f>
        <v/>
      </c>
      <c r="AQ13" s="11" t="n">
        <v>1</v>
      </c>
      <c r="AR13" s="11">
        <f>IF(AP13&gt;0,IF(AB13&gt;10,(AB13/Z13),10/Z13),0)</f>
        <v/>
      </c>
      <c r="AS13" s="11" t="n"/>
      <c r="AT13" s="11">
        <f>100*(AK13-AQ13)/AQ13</f>
        <v/>
      </c>
      <c r="AU13" s="13" t="n">
        <v>0.14903129657228</v>
      </c>
      <c r="AV13" s="13" t="n">
        <v>0.745156482861401</v>
      </c>
      <c r="AW13" s="10" t="n">
        <v>5</v>
      </c>
      <c r="AX13" s="10" t="n"/>
      <c r="AY13" s="10" t="n">
        <v>51</v>
      </c>
      <c r="AZ13" s="13" t="n"/>
      <c r="BA13" s="10" t="n">
        <v>97</v>
      </c>
      <c r="BB13" s="11" t="n">
        <v>50.82</v>
      </c>
      <c r="BC13" s="11" t="n">
        <v>53.44</v>
      </c>
      <c r="BD13" s="11" t="n">
        <v>50.71</v>
      </c>
      <c r="BE13" s="11" t="n">
        <v>50.9</v>
      </c>
      <c r="BF13" s="11" t="n">
        <v>26</v>
      </c>
      <c r="BG13" s="11" t="n">
        <v>-49.0196078431373</v>
      </c>
      <c r="BH13" s="11" t="n">
        <v>-73.1958762886598</v>
      </c>
    </row>
    <row r="14" ht="12.75" customHeight="1">
      <c r="B14" s="15" t="inlineStr">
        <is>
          <t>Yash Highvoltage</t>
        </is>
      </c>
      <c r="C14" s="10" t="n">
        <v>2024</v>
      </c>
      <c r="D14" s="10" t="inlineStr">
        <is>
          <t>Pos</t>
        </is>
      </c>
      <c r="E14" s="11" t="n">
        <v>7.08</v>
      </c>
      <c r="F14" s="11" t="n">
        <v>42.13</v>
      </c>
      <c r="G14" s="11">
        <f>100*(F14-E14)/F14</f>
        <v/>
      </c>
      <c r="H14" s="10" t="n">
        <v>70.39</v>
      </c>
      <c r="I14" s="11" t="n">
        <v>12.06</v>
      </c>
      <c r="J14" s="11" t="n"/>
      <c r="K14" s="11" t="n">
        <v>5.45</v>
      </c>
      <c r="L14" s="11" t="n"/>
      <c r="M14" s="11" t="n">
        <v>20.15</v>
      </c>
      <c r="N14" s="11" t="n"/>
      <c r="O14" s="11" t="n">
        <v>108.48</v>
      </c>
      <c r="P14" s="11">
        <f>O14/I14</f>
        <v/>
      </c>
      <c r="Q14" s="11" t="n">
        <v>26.79</v>
      </c>
      <c r="R14" s="11" t="n">
        <v>26.79</v>
      </c>
      <c r="S14" s="12" t="n">
        <v>0</v>
      </c>
      <c r="T14" s="13" t="n"/>
      <c r="U14" s="13" t="n"/>
      <c r="V14" s="13" t="n">
        <v>1</v>
      </c>
      <c r="W14" s="11" t="n"/>
      <c r="X14" s="11" t="n">
        <v>123.7</v>
      </c>
      <c r="Y14" s="11" t="n">
        <v>330.03</v>
      </c>
      <c r="Z14" s="11" t="n">
        <v>151.52</v>
      </c>
      <c r="AA14" s="11">
        <f>IF(X14&lt;50,IF(Y14&gt;(2.3*X14),0,1),1)-IF(Z14&gt;Y14,1.7,0)</f>
        <v/>
      </c>
      <c r="AB14" s="11" t="n">
        <v>104</v>
      </c>
      <c r="AC14" s="11">
        <f>IF(AB14&gt;4,1,0)+AB14/7</f>
        <v/>
      </c>
      <c r="AD14" s="11" t="n">
        <v>5.61</v>
      </c>
      <c r="AE14" s="11" t="n">
        <v>20.07</v>
      </c>
      <c r="AF14" s="11" t="n">
        <v>31.37</v>
      </c>
      <c r="AG14" s="12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11">
        <f>AG14+IF(X14&lt;1.35,0,1)+IF(Y14&lt;1.35,0,1)+AC14+AA14</f>
        <v/>
      </c>
      <c r="AI14" s="11" t="n">
        <v>11</v>
      </c>
      <c r="AJ14" s="11">
        <f>IF(AI14&gt;12.7,IF(AI14&gt;15.8,0.93,0.98),1)</f>
        <v/>
      </c>
      <c r="AK14" s="11">
        <f>(1.2*AG14+AH14)*AJ14*AQ14</f>
        <v/>
      </c>
      <c r="AL14" s="10">
        <f>D14</f>
        <v/>
      </c>
      <c r="AM14" s="14">
        <f>B14</f>
        <v/>
      </c>
      <c r="AN14" s="13" t="n"/>
      <c r="AO14" s="13">
        <f>AN14+1</f>
        <v/>
      </c>
      <c r="AP14" s="13">
        <f>IF(AK14&gt;13.1,IF(Z14&lt;101,IF(Z14&lt;35,IF(Z14&lt;6,3,2),1),0),0)</f>
        <v/>
      </c>
      <c r="AQ14" s="11" t="n">
        <v>1</v>
      </c>
      <c r="AR14" s="11">
        <f>IF(AP14&gt;0,IF(AB14&gt;10,(AB14/Z14),10/Z14),0)</f>
        <v/>
      </c>
      <c r="AS14" s="11" t="n"/>
      <c r="AT14" s="11">
        <f>100*(AK14-AQ14)/AQ14</f>
        <v/>
      </c>
      <c r="AU14" s="13" t="n">
        <v>1.31995776135164</v>
      </c>
      <c r="AV14" s="13" t="n">
        <v>6.59978880675818</v>
      </c>
      <c r="AW14" s="10" t="n">
        <v>5</v>
      </c>
      <c r="AX14" s="10" t="n"/>
      <c r="AY14" s="10" t="n">
        <v>146</v>
      </c>
      <c r="AZ14" s="13" t="n"/>
      <c r="BA14" s="10" t="n">
        <v>277</v>
      </c>
      <c r="BB14" s="11" t="n"/>
      <c r="BC14" s="11" t="n"/>
      <c r="BD14" s="11" t="n"/>
      <c r="BE14" s="11" t="n"/>
      <c r="BF14" s="11" t="n">
        <v>509</v>
      </c>
      <c r="BG14" s="11" t="n">
        <v>248.630136986301</v>
      </c>
      <c r="BH14" s="11" t="n">
        <v>83.7545126353791</v>
      </c>
    </row>
    <row r="15" ht="12.75" customHeight="1">
      <c r="B15" s="15" t="inlineStr">
        <is>
          <t>Purple United Sales</t>
        </is>
      </c>
      <c r="C15" s="10" t="n">
        <v>2024</v>
      </c>
      <c r="D15" s="10" t="inlineStr">
        <is>
          <t>Pos</t>
        </is>
      </c>
      <c r="E15" s="11" t="n">
        <v>25.62</v>
      </c>
      <c r="F15" s="11" t="n">
        <v>17.33</v>
      </c>
      <c r="G15" s="11">
        <f>100*(F15-E15)/F15</f>
        <v/>
      </c>
      <c r="H15" s="10" t="n">
        <v>49.13</v>
      </c>
      <c r="I15" s="11" t="n">
        <v>4.81</v>
      </c>
      <c r="J15" s="11" t="n"/>
      <c r="K15" s="11" t="n">
        <v>6.87</v>
      </c>
      <c r="L15" s="11" t="n"/>
      <c r="M15" s="11" t="n">
        <v>9.869999999999999</v>
      </c>
      <c r="N15" s="11" t="n"/>
      <c r="O15" s="11" t="n">
        <v>42.77</v>
      </c>
      <c r="P15" s="11">
        <f>O15/I15</f>
        <v/>
      </c>
      <c r="Q15" s="11" t="n">
        <v>18.39</v>
      </c>
      <c r="R15" s="11" t="n">
        <v>18.39</v>
      </c>
      <c r="S15" s="12" t="n">
        <v>0</v>
      </c>
      <c r="T15" s="13" t="n"/>
      <c r="U15" s="13" t="n"/>
      <c r="V15" s="13" t="n">
        <v>1</v>
      </c>
      <c r="W15" s="11" t="n"/>
      <c r="X15" s="11" t="n">
        <v>86.3</v>
      </c>
      <c r="Y15" s="11" t="n">
        <v>269.7</v>
      </c>
      <c r="Z15" s="11" t="n">
        <v>155.29</v>
      </c>
      <c r="AA15" s="11">
        <f>IF(X15&lt;50,IF(Y15&gt;(2.3*X15),0,1),1)-IF(Z15&gt;Y15,1.7,0)</f>
        <v/>
      </c>
      <c r="AB15" s="11" t="n">
        <v>63</v>
      </c>
      <c r="AC15" s="11">
        <f>IF(AB15&gt;4,1,0)+AB15/7</f>
        <v/>
      </c>
      <c r="AD15" s="11" t="n">
        <v>223</v>
      </c>
      <c r="AE15" s="11" t="n">
        <v>66</v>
      </c>
      <c r="AF15" s="11" t="n">
        <v>67</v>
      </c>
      <c r="AG15" s="12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11">
        <f>AG15+IF(X15&lt;1.35,0,1)+IF(Y15&lt;1.35,0,1)+AC15+AA15</f>
        <v/>
      </c>
      <c r="AI15" s="11" t="n">
        <v>11</v>
      </c>
      <c r="AJ15" s="11">
        <f>IF(AI15&gt;12.7,IF(AI15&gt;15.8,0.93,0.98),1)</f>
        <v/>
      </c>
      <c r="AK15" s="11">
        <f>(1.2*AG15+AH15)*AJ15*AQ15</f>
        <v/>
      </c>
      <c r="AL15" s="10">
        <f>D15</f>
        <v/>
      </c>
      <c r="AM15" s="14">
        <f>B15</f>
        <v/>
      </c>
      <c r="AN15" s="13" t="n"/>
      <c r="AO15" s="13">
        <f>AN15+1</f>
        <v/>
      </c>
      <c r="AP15" s="13">
        <f>IF(AK15&gt;13.1,IF(Z15&lt;101,IF(Z15&lt;35,IF(Z15&lt;6,3,2),1),0),0)</f>
        <v/>
      </c>
      <c r="AQ15" s="11" t="n">
        <v>1</v>
      </c>
      <c r="AR15" s="11">
        <f>IF(AP15&gt;0,IF(AB15&gt;10,(AB15/Z15),10/Z15),0)</f>
        <v/>
      </c>
      <c r="AS15" s="11" t="n"/>
      <c r="AT15" s="11">
        <f>100*(AK15-AQ15)/AQ15</f>
        <v/>
      </c>
      <c r="AU15" s="13" t="n">
        <v>1.28791293708545</v>
      </c>
      <c r="AV15" s="13" t="n">
        <v>6.43956468542727</v>
      </c>
      <c r="AW15" s="10" t="n">
        <v>5</v>
      </c>
      <c r="AX15" s="10" t="n"/>
      <c r="AY15" s="10" t="n">
        <v>126</v>
      </c>
      <c r="AZ15" s="13" t="n"/>
      <c r="BA15" s="10" t="n">
        <v>199</v>
      </c>
      <c r="BB15" s="11" t="n">
        <v>208</v>
      </c>
      <c r="BC15" s="11" t="n">
        <v>220</v>
      </c>
      <c r="BD15" s="11" t="n">
        <v>230</v>
      </c>
      <c r="BE15" s="11" t="n">
        <v>588</v>
      </c>
      <c r="BF15" s="11" t="n">
        <v>576</v>
      </c>
      <c r="BG15" s="11" t="n">
        <v>357.142857142857</v>
      </c>
      <c r="BH15" s="11" t="n">
        <v>189.447236180905</v>
      </c>
    </row>
    <row r="16" ht="12.75" customHeight="1">
      <c r="B16" s="15" t="inlineStr">
        <is>
          <t>Toss The Coin</t>
        </is>
      </c>
      <c r="C16" s="10" t="n">
        <v>2024</v>
      </c>
      <c r="D16" s="10" t="inlineStr">
        <is>
          <t>Pos</t>
        </is>
      </c>
      <c r="E16" s="11" t="n">
        <v>0</v>
      </c>
      <c r="F16" s="11" t="n">
        <v>4.99</v>
      </c>
      <c r="G16" s="11">
        <f>100*(F16-E16)/F16</f>
        <v/>
      </c>
      <c r="H16" s="10" t="n">
        <v>5.15</v>
      </c>
      <c r="I16" s="11" t="n">
        <v>1.1</v>
      </c>
      <c r="J16" s="11" t="n"/>
      <c r="K16" s="11" t="n">
        <v>7.93</v>
      </c>
      <c r="L16" s="11" t="n"/>
      <c r="M16" s="11" t="n">
        <v>1.48</v>
      </c>
      <c r="N16" s="11" t="n"/>
      <c r="O16" s="11" t="n">
        <v>4.96</v>
      </c>
      <c r="P16" s="11">
        <f>O16/I16</f>
        <v/>
      </c>
      <c r="Q16" s="11" t="n">
        <v>22.95</v>
      </c>
      <c r="R16" s="11" t="n">
        <v>22.95</v>
      </c>
      <c r="S16" s="12" t="n">
        <v>0</v>
      </c>
      <c r="T16" s="13" t="n"/>
      <c r="U16" s="13" t="n"/>
      <c r="V16" s="13" t="n">
        <v>1</v>
      </c>
      <c r="W16" s="11" t="n"/>
      <c r="X16" s="11" t="n">
        <v>147.69</v>
      </c>
      <c r="Y16" s="11" t="n">
        <v>964.1799999999999</v>
      </c>
      <c r="Z16" s="11" t="n">
        <v>1550.76</v>
      </c>
      <c r="AA16" s="11">
        <f>IF(X16&lt;50,IF(Y16&gt;(2.3*X16),0,1),1)-IF(Z16&gt;Y16,1.7,0)</f>
        <v/>
      </c>
      <c r="AB16" s="11" t="n">
        <v>117</v>
      </c>
      <c r="AC16" s="11">
        <f>IF(AB16&gt;4,1,0)+AB16/7</f>
        <v/>
      </c>
      <c r="AD16" s="11" t="n">
        <v>-38.2</v>
      </c>
      <c r="AE16" s="11" t="n">
        <v>2.69</v>
      </c>
      <c r="AF16" s="11" t="n">
        <v>11.88</v>
      </c>
      <c r="AG16" s="12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11">
        <f>AG16+IF(X16&lt;1.35,0,1)+IF(Y16&lt;1.35,0,1)+AC16+AA16</f>
        <v/>
      </c>
      <c r="AI16" s="11" t="n">
        <v>11</v>
      </c>
      <c r="AJ16" s="11">
        <f>IF(AI16&gt;12.7,IF(AI16&gt;15.8,0.93,0.98),1)</f>
        <v/>
      </c>
      <c r="AK16" s="11">
        <f>(1.2*AG16+AH16)*AJ16*AQ16</f>
        <v/>
      </c>
      <c r="AL16" s="10">
        <f>D16</f>
        <v/>
      </c>
      <c r="AM16" s="14">
        <f>B16</f>
        <v/>
      </c>
      <c r="AN16" s="13" t="n"/>
      <c r="AO16" s="13">
        <f>AN16+1</f>
        <v/>
      </c>
      <c r="AP16" s="13">
        <f>IF(AK16&gt;13.1,IF(Z16&lt;101,IF(Z16&lt;35,IF(Z16&lt;6,3,2),1),0),0)</f>
        <v/>
      </c>
      <c r="AQ16" s="11" t="n">
        <v>1</v>
      </c>
      <c r="AR16" s="11">
        <f>IF(AP16&gt;0,IF(AB16&gt;10,(AB16/Z16),10/Z16),0)</f>
        <v/>
      </c>
      <c r="AS16" s="11" t="n"/>
      <c r="AT16" s="11">
        <f>100*(AK16-AQ16)/AQ16</f>
        <v/>
      </c>
      <c r="AU16" s="13" t="n">
        <v>0.128969021641002</v>
      </c>
      <c r="AV16" s="13" t="n">
        <v>0.644845108205009</v>
      </c>
      <c r="AW16" s="10" t="n">
        <v>5</v>
      </c>
      <c r="AX16" s="10" t="n"/>
      <c r="AY16" s="10" t="n">
        <v>182</v>
      </c>
      <c r="AZ16" s="13" t="n"/>
      <c r="BA16" s="10" t="n">
        <v>346</v>
      </c>
      <c r="BB16" s="11" t="n"/>
      <c r="BC16" s="11" t="n"/>
      <c r="BD16" s="11" t="n"/>
      <c r="BE16" s="11" t="n"/>
      <c r="BF16" s="11" t="n">
        <v>308</v>
      </c>
      <c r="BG16" s="11" t="n">
        <v>69.2307692307692</v>
      </c>
      <c r="BH16" s="11" t="n">
        <v>-10.9826589595376</v>
      </c>
    </row>
    <row r="17" ht="12.75" customHeight="1">
      <c r="B17" s="15" t="inlineStr">
        <is>
          <t>Ape Ecotech</t>
        </is>
      </c>
      <c r="C17" s="10" t="n">
        <v>2024</v>
      </c>
      <c r="D17" s="10" t="inlineStr">
        <is>
          <t>Pos</t>
        </is>
      </c>
      <c r="E17" s="11" t="n">
        <v>0.42</v>
      </c>
      <c r="F17" s="11" t="n">
        <v>14.74</v>
      </c>
      <c r="G17" s="11">
        <f>100*(F17-E17)/F17</f>
        <v/>
      </c>
      <c r="H17" s="10" t="n">
        <v>25.56</v>
      </c>
      <c r="I17" s="11" t="n">
        <v>6.63</v>
      </c>
      <c r="J17" s="11" t="n"/>
      <c r="K17" s="11" t="n">
        <v>7.25</v>
      </c>
      <c r="L17" s="11" t="n"/>
      <c r="M17" s="11" t="n">
        <v>9.039999999999999</v>
      </c>
      <c r="N17" s="11" t="n"/>
      <c r="O17" s="11" t="n">
        <v>53.08</v>
      </c>
      <c r="P17" s="11">
        <f>O17/I17</f>
        <v/>
      </c>
      <c r="Q17" s="11" t="n">
        <v>10.07</v>
      </c>
      <c r="R17" s="11" t="n">
        <v>10.07</v>
      </c>
      <c r="S17" s="12" t="n">
        <v>0</v>
      </c>
      <c r="T17" s="13" t="n"/>
      <c r="U17" s="13" t="n"/>
      <c r="V17" s="13" t="n">
        <v>1</v>
      </c>
      <c r="W17" s="11" t="n"/>
      <c r="X17" s="11" t="n">
        <v>136.69</v>
      </c>
      <c r="Y17" s="11" t="n">
        <v>1179.62</v>
      </c>
      <c r="Z17" s="11" t="n">
        <v>329.65</v>
      </c>
      <c r="AA17" s="11">
        <f>IF(X17&lt;50,IF(Y17&gt;(2.3*X17),0,1),1)-IF(Z17&gt;Y17,1.7,0)</f>
        <v/>
      </c>
      <c r="AB17" s="11" t="n">
        <v>61</v>
      </c>
      <c r="AC17" s="11">
        <f>IF(AB17&gt;4,1,0)+AB17/7</f>
        <v/>
      </c>
      <c r="AD17" s="11" t="n">
        <v>88</v>
      </c>
      <c r="AE17" s="11" t="n">
        <v>53</v>
      </c>
      <c r="AF17" s="11" t="n">
        <v>104</v>
      </c>
      <c r="AG17" s="12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11">
        <f>AG17+IF(X17&lt;1.35,0,1)+IF(Y17&lt;1.35,0,1)+AC17+AA17</f>
        <v/>
      </c>
      <c r="AI17" s="11" t="n">
        <v>11</v>
      </c>
      <c r="AJ17" s="11">
        <f>IF(AI17&gt;12.7,IF(AI17&gt;15.8,0.93,0.98),1)</f>
        <v/>
      </c>
      <c r="AK17" s="11">
        <f>(1.2*AG17+AH17)*AJ17*AQ17</f>
        <v/>
      </c>
      <c r="AL17" s="10">
        <f>D17</f>
        <v/>
      </c>
      <c r="AM17" s="14">
        <f>B17</f>
        <v/>
      </c>
      <c r="AN17" s="13" t="n"/>
      <c r="AO17" s="13">
        <f>AN17+1</f>
        <v/>
      </c>
      <c r="AP17" s="13">
        <f>IF(AK17&gt;13.1,IF(Z17&lt;101,IF(Z17&lt;35,IF(Z17&lt;6,3,2),1),0),0)</f>
        <v/>
      </c>
      <c r="AQ17" s="11" t="n">
        <v>1</v>
      </c>
      <c r="AR17" s="11">
        <f>IF(AP17&gt;0,IF(AB17&gt;10,(AB17/Z17),10/Z17),0)</f>
        <v/>
      </c>
      <c r="AS17" s="11" t="n"/>
      <c r="AT17" s="11">
        <f>100*(AK17-AQ17)/AQ17</f>
        <v/>
      </c>
      <c r="AU17" s="13" t="n">
        <v>0.606704080084939</v>
      </c>
      <c r="AV17" s="13" t="n">
        <v>3.03352040042469</v>
      </c>
      <c r="AW17" s="10" t="n">
        <v>5</v>
      </c>
      <c r="AX17" s="10" t="n"/>
      <c r="AY17" s="10" t="n">
        <v>73</v>
      </c>
      <c r="AZ17" s="13" t="n"/>
      <c r="BA17" s="10" t="n">
        <v>139</v>
      </c>
      <c r="BB17" s="11" t="n"/>
      <c r="BC17" s="11" t="n"/>
      <c r="BD17" s="11" t="n"/>
      <c r="BE17" s="11" t="n"/>
      <c r="BF17" s="11" t="n">
        <v>124</v>
      </c>
      <c r="BG17" s="11" t="n">
        <v>69.8630136986301</v>
      </c>
      <c r="BH17" s="11" t="n">
        <v>-10.7913669064748</v>
      </c>
    </row>
    <row r="18" ht="12.75" customHeight="1">
      <c r="B18" s="15" t="inlineStr">
        <is>
          <t>Lakshya Powertech</t>
        </is>
      </c>
      <c r="C18" s="10" t="n">
        <v>2024</v>
      </c>
      <c r="D18" s="10" t="inlineStr">
        <is>
          <t>Pos</t>
        </is>
      </c>
      <c r="E18" s="11" t="n">
        <v>29</v>
      </c>
      <c r="F18" s="11" t="n">
        <v>31.73</v>
      </c>
      <c r="G18" s="11">
        <f>100*(F18-E18)/F18</f>
        <v/>
      </c>
      <c r="H18" s="10" t="n">
        <v>82.45999999999999</v>
      </c>
      <c r="I18" s="11" t="n">
        <v>14.95</v>
      </c>
      <c r="J18" s="11" t="n"/>
      <c r="K18" s="11" t="n">
        <v>21.75</v>
      </c>
      <c r="L18" s="11" t="n"/>
      <c r="M18" s="11" t="n">
        <v>23.27</v>
      </c>
      <c r="N18" s="11" t="n"/>
      <c r="O18" s="11" t="n">
        <v>148.13</v>
      </c>
      <c r="P18" s="11">
        <f>O18/I18</f>
        <v/>
      </c>
      <c r="Q18" s="11" t="n">
        <v>8.279999999999999</v>
      </c>
      <c r="R18" s="11" t="n">
        <v>8.279999999999999</v>
      </c>
      <c r="S18" s="12" t="n">
        <v>0</v>
      </c>
      <c r="T18" s="13" t="n"/>
      <c r="U18" s="13" t="n"/>
      <c r="V18" s="13" t="n">
        <v>1</v>
      </c>
      <c r="W18" s="11" t="n"/>
      <c r="X18" s="11" t="n">
        <v>212.18</v>
      </c>
      <c r="Y18" s="11" t="n">
        <v>1117.75</v>
      </c>
      <c r="Z18" s="11" t="n">
        <v>590.26</v>
      </c>
      <c r="AA18" s="11">
        <f>IF(X18&lt;50,IF(Y18&gt;(2.3*X18),0,1),1)-IF(Z18&gt;Y18,1.7,0)</f>
        <v/>
      </c>
      <c r="AB18" s="11" t="n">
        <v>94</v>
      </c>
      <c r="AC18" s="11">
        <f>IF(AB18&gt;4,1,0)+AB18/7</f>
        <v/>
      </c>
      <c r="AD18" s="11" t="n">
        <v>452</v>
      </c>
      <c r="AE18" s="11" t="n">
        <v>181</v>
      </c>
      <c r="AF18" s="11" t="n">
        <v>381</v>
      </c>
      <c r="AG18" s="12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11">
        <f>AG18+IF(X18&lt;1.35,0,1)+IF(Y18&lt;1.35,0,1)+AC18+AA18</f>
        <v/>
      </c>
      <c r="AI18" s="11" t="n">
        <v>11</v>
      </c>
      <c r="AJ18" s="11">
        <f>IF(AI18&gt;12.7,IF(AI18&gt;15.8,0.93,0.98),1)</f>
        <v/>
      </c>
      <c r="AK18" s="11">
        <f>(1.2*AG18+AH18)*AJ18*AQ18</f>
        <v/>
      </c>
      <c r="AL18" s="10">
        <f>D18</f>
        <v/>
      </c>
      <c r="AM18" s="14">
        <f>B18</f>
        <v/>
      </c>
      <c r="AN18" s="13" t="n"/>
      <c r="AO18" s="13">
        <f>AN18+1</f>
        <v/>
      </c>
      <c r="AP18" s="13">
        <f>IF(AK18&gt;13.1,IF(Z18&lt;101,IF(Z18&lt;35,IF(Z18&lt;6,3,2),1),0),0)</f>
        <v/>
      </c>
      <c r="AQ18" s="11" t="n">
        <v>1</v>
      </c>
      <c r="AR18" s="11">
        <f>IF(AP18&gt;0,IF(AB18&gt;10,(AB18/Z18),10/Z18),0)</f>
        <v/>
      </c>
      <c r="AS18" s="11" t="n"/>
      <c r="AT18" s="11">
        <f>100*(AK18-AQ18)/AQ18</f>
        <v/>
      </c>
      <c r="AU18" s="13" t="n">
        <v>0.338833734286586</v>
      </c>
      <c r="AV18" s="13" t="n">
        <v>1.69416867143293</v>
      </c>
      <c r="AW18" s="10" t="n">
        <v>5</v>
      </c>
      <c r="AX18" s="10" t="n"/>
      <c r="AY18" s="10" t="n">
        <v>180</v>
      </c>
      <c r="AZ18" s="13" t="n"/>
      <c r="BA18" s="10" t="n">
        <v>342</v>
      </c>
      <c r="BB18" s="11" t="n">
        <v>358</v>
      </c>
      <c r="BC18" s="11" t="n">
        <v>340</v>
      </c>
      <c r="BD18" s="11" t="n">
        <v>322</v>
      </c>
      <c r="BE18" s="11" t="n"/>
      <c r="BF18" s="11" t="n">
        <v>129</v>
      </c>
      <c r="BG18" s="11" t="n">
        <v>-28.3333333333333</v>
      </c>
      <c r="BH18" s="11" t="n">
        <v>-62.280701754386</v>
      </c>
    </row>
    <row r="19" ht="12.75" customHeight="1">
      <c r="B19" s="15" t="inlineStr">
        <is>
          <t>TechEra Engineering</t>
        </is>
      </c>
      <c r="C19" s="10" t="n">
        <v>2024</v>
      </c>
      <c r="D19" s="10" t="inlineStr">
        <is>
          <t>Pos</t>
        </is>
      </c>
      <c r="E19" s="11" t="n">
        <v>6.89</v>
      </c>
      <c r="F19" s="11" t="n">
        <v>16.04</v>
      </c>
      <c r="G19" s="11">
        <f>100*(F19-E19)/F19</f>
        <v/>
      </c>
      <c r="H19" s="10" t="n">
        <v>37.28</v>
      </c>
      <c r="I19" s="11" t="n">
        <v>4.82</v>
      </c>
      <c r="J19" s="11" t="n"/>
      <c r="K19" s="11" t="n">
        <v>4.14</v>
      </c>
      <c r="L19" s="11" t="n"/>
      <c r="M19" s="11" t="n">
        <v>9.09</v>
      </c>
      <c r="N19" s="11" t="n"/>
      <c r="O19" s="11" t="n">
        <v>39.08</v>
      </c>
      <c r="P19" s="11">
        <f>O19/I19</f>
        <v/>
      </c>
      <c r="Q19" s="11" t="n">
        <v>19.8</v>
      </c>
      <c r="R19" s="11" t="n">
        <v>19.8</v>
      </c>
      <c r="S19" s="12" t="n">
        <v>0</v>
      </c>
      <c r="T19" s="13" t="n"/>
      <c r="U19" s="13" t="n"/>
      <c r="V19" s="13" t="n">
        <v>1</v>
      </c>
      <c r="W19" s="11" t="n"/>
      <c r="X19" s="11" t="n">
        <v>31.22</v>
      </c>
      <c r="Y19" s="11" t="n">
        <v>128.88</v>
      </c>
      <c r="Z19" s="11" t="n">
        <v>66.52</v>
      </c>
      <c r="AA19" s="11">
        <f>IF(X19&lt;50,IF(Y19&gt;(2.3*X19),0,1),1)-IF(Z19&gt;Y19,1.7,0)</f>
        <v/>
      </c>
      <c r="AB19" s="11" t="n">
        <v>21.9</v>
      </c>
      <c r="AC19" s="11">
        <f>IF(AB19&gt;4,1,0)+AB19/7</f>
        <v/>
      </c>
      <c r="AD19" s="11" t="n">
        <v>269</v>
      </c>
      <c r="AE19" s="11" t="n">
        <v>47</v>
      </c>
      <c r="AF19" s="11" t="n">
        <v>1760</v>
      </c>
      <c r="AG19" s="12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11">
        <f>AG19+IF(X19&lt;1.35,0,1)+IF(Y19&lt;1.35,0,1)+AC19+AA19</f>
        <v/>
      </c>
      <c r="AI19" s="11" t="n">
        <v>11</v>
      </c>
      <c r="AJ19" s="11">
        <f>IF(AI19&gt;12.7,IF(AI19&gt;15.8,0.93,0.98),1)</f>
        <v/>
      </c>
      <c r="AK19" s="11">
        <f>(1.2*AG19+AH19)*AJ19*AQ19</f>
        <v/>
      </c>
      <c r="AL19" s="10">
        <f>D19</f>
        <v/>
      </c>
      <c r="AM19" s="14">
        <f>B19</f>
        <v/>
      </c>
      <c r="AN19" s="13" t="n"/>
      <c r="AO19" s="13">
        <f>AN19+1</f>
        <v/>
      </c>
      <c r="AP19" s="13">
        <f>IF(AK19&gt;13.1,IF(Z19&lt;101,IF(Z19&lt;35,IF(Z19&lt;6,3,2),1),0),0)</f>
        <v/>
      </c>
      <c r="AQ19" s="11" t="n">
        <v>1</v>
      </c>
      <c r="AR19" s="11">
        <f>IF(AP19&gt;0,IF(AB19&gt;10,(AB19/Z19),10/Z19),0)</f>
        <v/>
      </c>
      <c r="AS19" s="11" t="n"/>
      <c r="AT19" s="11">
        <f>100*(AK19-AQ19)/AQ19</f>
        <v/>
      </c>
      <c r="AU19" s="13" t="n">
        <v>3.00661455201443</v>
      </c>
      <c r="AV19" s="13" t="n">
        <v>15.0330727600722</v>
      </c>
      <c r="AW19" s="10" t="n">
        <v>5</v>
      </c>
      <c r="AX19" s="10" t="n"/>
      <c r="AY19" s="10" t="n">
        <v>82</v>
      </c>
      <c r="AZ19" s="13" t="n"/>
      <c r="BA19" s="10" t="n">
        <v>125</v>
      </c>
      <c r="BB19" s="11" t="n"/>
      <c r="BC19" s="11" t="n"/>
      <c r="BD19" s="11" t="n"/>
      <c r="BE19" s="11" t="n"/>
      <c r="BF19" s="11" t="n">
        <v>295</v>
      </c>
      <c r="BG19" s="11" t="n">
        <v>259.756097560976</v>
      </c>
      <c r="BH19" s="11" t="n">
        <v>136</v>
      </c>
    </row>
    <row r="20" ht="12.75" customHeight="1">
      <c r="B20" s="16" t="inlineStr">
        <is>
          <t>Trident Techlabs SME</t>
        </is>
      </c>
      <c r="C20" s="10" t="n">
        <v>2023</v>
      </c>
      <c r="D20" s="10" t="inlineStr">
        <is>
          <t>Pos</t>
        </is>
      </c>
      <c r="E20" s="10" t="n">
        <v>22.99</v>
      </c>
      <c r="F20" s="10" t="n">
        <v>16.54</v>
      </c>
      <c r="G20" s="11">
        <f>100*(F20-E20)/F20</f>
        <v/>
      </c>
      <c r="H20" s="10" t="n">
        <v>49.81</v>
      </c>
      <c r="I20" s="10" t="n">
        <v>5.55</v>
      </c>
      <c r="J20" s="10" t="n"/>
      <c r="K20" s="10" t="n">
        <v>4.72</v>
      </c>
      <c r="L20" s="10" t="n"/>
      <c r="M20" s="10" t="n">
        <v>10.07</v>
      </c>
      <c r="N20" s="10" t="n"/>
      <c r="O20" s="10" t="n">
        <v>67.34999999999999</v>
      </c>
      <c r="P20" s="11">
        <f>O20/I20</f>
        <v/>
      </c>
      <c r="Q20" s="10" t="n">
        <v>13.62</v>
      </c>
      <c r="R20" s="11" t="n">
        <v>13.62</v>
      </c>
      <c r="S20" s="12" t="n">
        <v>0</v>
      </c>
      <c r="T20" s="13" t="n"/>
      <c r="U20" s="13" t="n"/>
      <c r="V20" s="13" t="n">
        <v>1</v>
      </c>
      <c r="W20" s="10" t="n"/>
      <c r="X20" s="10" t="n">
        <v>117.91</v>
      </c>
      <c r="Y20" s="10" t="n">
        <v>854.37</v>
      </c>
      <c r="Z20" s="10" t="n">
        <v>1059.43</v>
      </c>
      <c r="AA20" s="11">
        <f>IF(X20&lt;50,IF(Y20&gt;(2.3*X20),0,1),1)-IF(Z20&gt;Y20,1.7,0)</f>
        <v/>
      </c>
      <c r="AB20" s="11" t="n">
        <v>114.5</v>
      </c>
      <c r="AC20" s="11">
        <f>IF(AB20&gt;4,1,0)+AB20/7</f>
        <v/>
      </c>
      <c r="AD20" s="10" t="n">
        <v>767</v>
      </c>
      <c r="AE20" s="10" t="n">
        <v>126</v>
      </c>
      <c r="AF20" s="10" t="n">
        <v>19.5</v>
      </c>
      <c r="AG20" s="12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11">
        <f>AG20+IF(X20&lt;1.35,0,1)+IF(Y20&lt;1.35,0,1)+AC20+AA20</f>
        <v/>
      </c>
      <c r="AI20" s="11" t="n">
        <v>11</v>
      </c>
      <c r="AJ20" s="11">
        <f>IF(AI20&gt;12.7,IF(AI20&gt;15.8,0.93,0.98),1)</f>
        <v/>
      </c>
      <c r="AK20" s="11">
        <f>(1.2*AG20+AH20)*AJ20*AQ20</f>
        <v/>
      </c>
      <c r="AL20" s="10">
        <f>D20</f>
        <v/>
      </c>
      <c r="AM20" s="14">
        <f>B20</f>
        <v/>
      </c>
      <c r="AN20" s="13" t="n"/>
      <c r="AO20" s="13">
        <f>AN20+1</f>
        <v/>
      </c>
      <c r="AP20" s="13">
        <f>IF(AK20&gt;13.1,IF(Z20&lt;101,IF(Z20&lt;35,IF(Z20&lt;6,3,2),1),0),0)</f>
        <v/>
      </c>
      <c r="AQ20" s="11" t="n">
        <v>1</v>
      </c>
      <c r="AR20" s="11">
        <f>IF(AP20&gt;0,IF(AB20&gt;10,(AB20/Z20),10/Z20),0)</f>
        <v/>
      </c>
      <c r="AS20" s="11" t="n"/>
      <c r="AT20" s="11">
        <f>100*(AK20-AQ20)/AQ20</f>
        <v/>
      </c>
      <c r="AU20" s="13" t="n"/>
      <c r="AV20" s="13" t="n"/>
      <c r="AW20" s="10" t="n"/>
      <c r="AX20" s="10" t="n"/>
      <c r="AY20" s="10" t="n"/>
      <c r="AZ20" s="13" t="n"/>
      <c r="BA20" s="10" t="n"/>
      <c r="BB20" s="11" t="n"/>
      <c r="BC20" s="11" t="n"/>
      <c r="BD20" s="11" t="n"/>
      <c r="BE20" s="11" t="n"/>
      <c r="BF20" s="11" t="n"/>
      <c r="BG20" s="11" t="n"/>
      <c r="BH20" s="11" t="n"/>
    </row>
    <row r="21" ht="12.75" customHeight="1">
      <c r="B21" s="16" t="inlineStr">
        <is>
          <t>Shanti Spinte SME</t>
        </is>
      </c>
      <c r="C21" s="10" t="n">
        <v>2023</v>
      </c>
      <c r="D21" s="10" t="inlineStr">
        <is>
          <t>Pos</t>
        </is>
      </c>
      <c r="E21" s="10" t="n">
        <v>41.78</v>
      </c>
      <c r="F21" s="10" t="n">
        <v>56.04</v>
      </c>
      <c r="G21" s="11">
        <f>100*(F21-E21)/F21</f>
        <v/>
      </c>
      <c r="H21" s="10" t="n">
        <v>177.06</v>
      </c>
      <c r="I21" s="10" t="n">
        <v>10.13</v>
      </c>
      <c r="J21" s="10" t="n"/>
      <c r="K21" s="10" t="n">
        <v>7.13</v>
      </c>
      <c r="L21" s="10" t="n"/>
      <c r="M21" s="10" t="inlineStr">
        <is>
          <t>N/A</t>
        </is>
      </c>
      <c r="N21" s="10" t="n"/>
      <c r="O21" s="10" t="n">
        <v>370.71</v>
      </c>
      <c r="P21" s="11">
        <f>O21/I21</f>
        <v/>
      </c>
      <c r="Q21" s="10" t="n">
        <v>9.82</v>
      </c>
      <c r="R21" s="11" t="n">
        <v>9.82</v>
      </c>
      <c r="S21" s="12" t="n">
        <v>0</v>
      </c>
      <c r="T21" s="13" t="n"/>
      <c r="U21" s="13" t="n"/>
      <c r="V21" s="13" t="n">
        <v>1</v>
      </c>
      <c r="W21" s="10" t="n"/>
      <c r="X21" s="10" t="n">
        <v>4.27</v>
      </c>
      <c r="Y21" s="10" t="n">
        <v>2.86</v>
      </c>
      <c r="Z21" s="10" t="n">
        <v>2.81</v>
      </c>
      <c r="AA21" s="11">
        <f>IF(X21&lt;50,IF(Y21&gt;(2.3*X21),0,1),1)-IF(Z21&gt;Y21,1.7,0)</f>
        <v/>
      </c>
      <c r="AB21" s="11" t="n">
        <v>21</v>
      </c>
      <c r="AC21" s="11">
        <f>IF(AB21&gt;4,1,0)+AB21/7</f>
        <v/>
      </c>
      <c r="AD21" s="10" t="n">
        <v>108</v>
      </c>
      <c r="AE21" s="10" t="n">
        <v>46</v>
      </c>
      <c r="AF21" s="10" t="n">
        <v>21</v>
      </c>
      <c r="AG21" s="12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11">
        <f>AG21+IF(X21&lt;1.35,0,1)+IF(Y21&lt;1.35,0,1)+AC21+AA21</f>
        <v/>
      </c>
      <c r="AI21" s="11" t="n">
        <v>11</v>
      </c>
      <c r="AJ21" s="11">
        <f>IF(AI21&gt;12.7,IF(AI21&gt;15.8,0.93,0.98),1)</f>
        <v/>
      </c>
      <c r="AK21" s="11">
        <f>(1.2*AG21+AH21)*AJ21*AQ21</f>
        <v/>
      </c>
      <c r="AL21" s="10">
        <f>D21</f>
        <v/>
      </c>
      <c r="AM21" s="14">
        <f>B21</f>
        <v/>
      </c>
      <c r="AN21" s="13" t="n"/>
      <c r="AO21" s="13">
        <f>AN21+1</f>
        <v/>
      </c>
      <c r="AP21" s="13">
        <f>IF(AK21&gt;13.1,IF(Z21&lt;101,IF(Z21&lt;35,IF(Z21&lt;6,3,2),1),0),0)</f>
        <v/>
      </c>
      <c r="AQ21" s="11" t="n">
        <v>1</v>
      </c>
      <c r="AR21" s="11">
        <f>IF(AP21&gt;0,IF(AB21&gt;10,(AB21/Z21),10/Z21),0)</f>
        <v/>
      </c>
      <c r="AS21" s="11" t="n"/>
      <c r="AT21" s="11">
        <f>100*(AK21-AQ21)/AQ21</f>
        <v/>
      </c>
      <c r="AU21" s="13" t="n"/>
      <c r="AV21" s="13" t="n"/>
      <c r="AW21" s="10" t="n"/>
      <c r="AX21" s="10" t="n"/>
      <c r="AY21" s="10" t="n"/>
      <c r="AZ21" s="13" t="n"/>
      <c r="BA21" s="10" t="n"/>
      <c r="BB21" s="11" t="n"/>
      <c r="BC21" s="11" t="n"/>
      <c r="BD21" s="11" t="n"/>
      <c r="BE21" s="11" t="n"/>
      <c r="BF21" s="11" t="n"/>
      <c r="BG21" s="11" t="n"/>
      <c r="BH21" s="11" t="n"/>
    </row>
    <row r="22" ht="12.75" customHeight="1">
      <c r="B22" s="9" t="inlineStr">
        <is>
          <t>Bright Outdoor Media</t>
        </is>
      </c>
      <c r="C22" s="10" t="n">
        <v>2023</v>
      </c>
      <c r="D22" s="10" t="inlineStr">
        <is>
          <t>Pos</t>
        </is>
      </c>
      <c r="E22" s="10" t="n">
        <v>40.83</v>
      </c>
      <c r="F22" s="10" t="n">
        <v>36.79</v>
      </c>
      <c r="G22" s="11">
        <f>100*(F22-E22)/F22</f>
        <v/>
      </c>
      <c r="H22" s="10" t="n">
        <v>92.73999999999999</v>
      </c>
      <c r="I22" s="10" t="n">
        <v>2.59</v>
      </c>
      <c r="J22" s="10" t="n"/>
      <c r="K22" s="10" t="n">
        <v>2.56</v>
      </c>
      <c r="L22" s="10" t="n"/>
      <c r="M22" s="10" t="n">
        <v>6.95</v>
      </c>
      <c r="N22" s="10" t="n"/>
      <c r="O22" s="10" t="n">
        <v>50.9</v>
      </c>
      <c r="P22" s="11">
        <f>O22/I22</f>
        <v/>
      </c>
      <c r="Q22" s="10" t="n">
        <v>57.03</v>
      </c>
      <c r="R22" s="11" t="n">
        <v>57.03</v>
      </c>
      <c r="S22" s="12" t="n">
        <v>0</v>
      </c>
      <c r="T22" s="13" t="n"/>
      <c r="U22" s="13" t="n"/>
      <c r="V22" s="13" t="n">
        <v>0</v>
      </c>
      <c r="W22" s="10" t="n"/>
      <c r="X22" s="10" t="n">
        <v>0</v>
      </c>
      <c r="Y22" s="10" t="n">
        <v>1.39</v>
      </c>
      <c r="Z22" s="10" t="n">
        <v>1.15</v>
      </c>
      <c r="AA22" s="11">
        <f>IF(X22&lt;50,IF(Y22&gt;(2.3*X22),0,1),1)-IF(Z22&gt;Y22,1.7,0)</f>
        <v/>
      </c>
      <c r="AB22" s="11" t="n">
        <v>-3</v>
      </c>
      <c r="AC22" s="11">
        <f>IF(AB22&gt;4,1,0)+AB22/7</f>
        <v/>
      </c>
      <c r="AD22" s="10" t="n">
        <v>140</v>
      </c>
      <c r="AE22" s="10" t="n">
        <v>104</v>
      </c>
      <c r="AF22" s="10" t="n">
        <v>7</v>
      </c>
      <c r="AG22" s="12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11">
        <f>AG22+IF(X22&lt;1.35,0,1)+IF(Y22&lt;1.35,0,1)+AC22+AA22</f>
        <v/>
      </c>
      <c r="AI22" s="11" t="n">
        <v>11</v>
      </c>
      <c r="AJ22" s="11">
        <f>IF(AI22&gt;12.7,IF(AI22&gt;15.8,0.93,0.98),1)</f>
        <v/>
      </c>
      <c r="AK22" s="11">
        <f>(1.2*AG22+AH22)*AJ22*AQ22</f>
        <v/>
      </c>
      <c r="AL22" s="10">
        <f>D22</f>
        <v/>
      </c>
      <c r="AM22" s="14">
        <f>B22</f>
        <v/>
      </c>
      <c r="AN22" s="13" t="n"/>
      <c r="AO22" s="13">
        <f>AN22+1</f>
        <v/>
      </c>
      <c r="AP22" s="13">
        <f>IF(AK22&gt;13.1,IF(Z22&lt;101,IF(Z22&lt;35,IF(Z22&lt;6,3,2),1),0),0)</f>
        <v/>
      </c>
      <c r="AQ22" s="11" t="n">
        <v>1</v>
      </c>
      <c r="AR22" s="11">
        <f>IF(AP22&gt;0,IF(AB22&gt;10,(AB22/Z22),10/Z22),0)</f>
        <v/>
      </c>
      <c r="AS22" s="11" t="n"/>
      <c r="AT22" s="11">
        <f>100*(AK22-AQ22)/AQ22</f>
        <v/>
      </c>
      <c r="AU22" s="13" t="n"/>
      <c r="AV22" s="13" t="n"/>
      <c r="AW22" s="10" t="n"/>
      <c r="AX22" s="10" t="n"/>
      <c r="AY22" s="10" t="n"/>
      <c r="AZ22" s="13" t="n"/>
      <c r="BA22" s="10" t="n"/>
      <c r="BB22" s="11" t="n"/>
      <c r="BC22" s="11" t="n"/>
      <c r="BD22" s="11" t="n"/>
      <c r="BE22" s="11" t="n"/>
      <c r="BF22" s="11" t="n"/>
      <c r="BG22" s="11" t="n"/>
      <c r="BH22" s="11" t="n"/>
    </row>
    <row r="23" ht="12.75" customHeight="1">
      <c r="B23" s="18" t="inlineStr">
        <is>
          <t>Mittal Sections</t>
        </is>
      </c>
      <c r="C23" s="10" t="n">
        <v>2025</v>
      </c>
      <c r="D23" s="10" t="inlineStr">
        <is>
          <t>Neg</t>
        </is>
      </c>
      <c r="E23" s="11" t="n">
        <v>12.99</v>
      </c>
      <c r="F23" s="11" t="n">
        <v>9.140000000000001</v>
      </c>
      <c r="G23" s="11">
        <f>100*(F23-E23)/F23</f>
        <v/>
      </c>
      <c r="H23" s="11" t="n">
        <v>45.42</v>
      </c>
      <c r="I23" s="11" t="n">
        <v>3.61</v>
      </c>
      <c r="J23" s="11" t="n"/>
      <c r="K23" s="11" t="n">
        <v>2.41</v>
      </c>
      <c r="L23" s="11" t="n"/>
      <c r="M23" s="11" t="n">
        <v>7.79</v>
      </c>
      <c r="N23" s="11" t="n"/>
      <c r="O23" s="11" t="n">
        <v>136.86</v>
      </c>
      <c r="P23" s="11">
        <f>O23/I23</f>
        <v/>
      </c>
      <c r="Q23" s="11" t="n">
        <v>59.42</v>
      </c>
      <c r="R23" s="11" t="n">
        <v>18.79</v>
      </c>
      <c r="S23" s="12" t="n">
        <v>0</v>
      </c>
      <c r="T23" s="13" t="n"/>
      <c r="U23" s="13" t="n"/>
      <c r="V23" s="13" t="n">
        <v>0</v>
      </c>
      <c r="W23" s="11" t="n"/>
      <c r="X23" s="11" t="n">
        <v>1.13</v>
      </c>
      <c r="Y23" s="11" t="n">
        <v>0.55</v>
      </c>
      <c r="Z23" s="11" t="n">
        <v>4.08</v>
      </c>
      <c r="AA23" s="11">
        <f>IF(X23&lt;50,IF(Y23&gt;(2.3*X23),0,1),1)-IF(Z23&gt;Y23,1.7,0)</f>
        <v/>
      </c>
      <c r="AB23" s="11" t="n">
        <v>0</v>
      </c>
      <c r="AC23" s="11">
        <f>IF(AB23&gt;4,1,0)+AB23/7</f>
        <v/>
      </c>
      <c r="AD23" s="11" t="n">
        <v>91</v>
      </c>
      <c r="AE23" s="11" t="n">
        <v>-15</v>
      </c>
      <c r="AF23" s="11" t="n">
        <v>35.81</v>
      </c>
      <c r="AG23" s="12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11">
        <f>AG23+IF(X23&lt;1.35,0,1)+IF(Y23&lt;1.35,0,1)+AC23+AA23</f>
        <v/>
      </c>
      <c r="AI23" s="11" t="n">
        <v>11</v>
      </c>
      <c r="AJ23" s="11">
        <f>IF(AI23&gt;12.7,IF(AI23&gt;15.8,0.93,0.98),1)</f>
        <v/>
      </c>
      <c r="AK23" s="11">
        <f>(1.2*AG23+AH23)*AJ23*AQ23</f>
        <v/>
      </c>
      <c r="AL23" s="10">
        <f>D23</f>
        <v/>
      </c>
      <c r="AM23" s="14">
        <f>B23</f>
        <v/>
      </c>
      <c r="AN23" s="13" t="n"/>
      <c r="AO23" s="13">
        <f>AN23+1</f>
        <v/>
      </c>
      <c r="AP23" s="13">
        <f>IF(AK23&gt;13.1,IF(Z23&lt;101,IF(Z23&lt;35,IF(Z23&lt;6,3,2),1),0),0)</f>
        <v/>
      </c>
      <c r="AQ23" s="11" t="n">
        <v>1</v>
      </c>
      <c r="AR23" s="11">
        <f>IF(AP23&gt;0,IF(AB23&gt;10,(AB23/Z23),10/Z23),0)</f>
        <v/>
      </c>
      <c r="AS23" s="11" t="n"/>
      <c r="AT23" s="11">
        <f>100*(AK23-AQ23)/AQ23</f>
        <v/>
      </c>
      <c r="AU23" s="13" t="n">
        <v>49.0196078431373</v>
      </c>
      <c r="AV23" s="13" t="n">
        <v>245.098039215686</v>
      </c>
      <c r="AW23" s="10" t="n">
        <v>5</v>
      </c>
      <c r="AX23" s="10" t="n"/>
      <c r="AY23" s="10" t="n">
        <v>143</v>
      </c>
      <c r="AZ23" s="13" t="n"/>
      <c r="BA23" s="10" t="n">
        <v>114</v>
      </c>
      <c r="BB23" s="11" t="n"/>
      <c r="BC23" s="11" t="n"/>
      <c r="BD23" s="11" t="n"/>
      <c r="BE23" s="11" t="n"/>
      <c r="BF23" s="11" t="n">
        <v>52</v>
      </c>
      <c r="BG23" s="11" t="n">
        <v>-63.6363636363636</v>
      </c>
      <c r="BH23" s="11" t="n">
        <v>-54.3859649122807</v>
      </c>
    </row>
    <row r="24" ht="12.75" customHeight="1">
      <c r="B24" s="18" t="inlineStr">
        <is>
          <t>Chiraharit Limited</t>
        </is>
      </c>
      <c r="C24" s="10" t="n">
        <v>2025</v>
      </c>
      <c r="D24" s="10" t="inlineStr">
        <is>
          <t>Neg</t>
        </is>
      </c>
      <c r="E24" s="11" t="n">
        <v>20.22</v>
      </c>
      <c r="F24" s="11" t="n">
        <v>9.57</v>
      </c>
      <c r="G24" s="11">
        <f>100*(F24-E24)/F24</f>
        <v/>
      </c>
      <c r="H24" s="11" t="n">
        <v>40.58</v>
      </c>
      <c r="I24" s="11" t="n">
        <v>6.02</v>
      </c>
      <c r="J24" s="11" t="n"/>
      <c r="K24" s="11" t="n">
        <v>1.51</v>
      </c>
      <c r="L24" s="11" t="n"/>
      <c r="M24" s="11" t="n">
        <v>9.76</v>
      </c>
      <c r="N24" s="11" t="n"/>
      <c r="O24" s="11" t="n">
        <v>59.8</v>
      </c>
      <c r="P24" s="11">
        <f>O24/I24</f>
        <v/>
      </c>
      <c r="Q24" s="11" t="n">
        <v>13.95</v>
      </c>
      <c r="R24" s="11" t="n">
        <v>19.11</v>
      </c>
      <c r="S24" s="12" t="n">
        <v>0</v>
      </c>
      <c r="T24" s="13" t="n"/>
      <c r="U24" s="13" t="n"/>
      <c r="V24" s="13" t="n">
        <v>0</v>
      </c>
      <c r="W24" s="11" t="n"/>
      <c r="X24" s="11" t="n">
        <v>0</v>
      </c>
      <c r="Y24" s="11" t="n">
        <v>0.73</v>
      </c>
      <c r="Z24" s="11" t="n">
        <v>3.03</v>
      </c>
      <c r="AA24" s="11">
        <f>IF(X24&lt;50,IF(Y24&gt;(2.3*X24),0,1),1)-IF(Z24&gt;Y24,1.7,0)</f>
        <v/>
      </c>
      <c r="AB24" s="11" t="n">
        <v>0</v>
      </c>
      <c r="AC24" s="11">
        <f>IF(AB24&gt;4,1,0)+AB24/7</f>
        <v/>
      </c>
      <c r="AD24" s="11" t="n">
        <v>903.33</v>
      </c>
      <c r="AE24" s="11" t="n">
        <v>95.63</v>
      </c>
      <c r="AF24" s="11" t="n">
        <v>189.12</v>
      </c>
      <c r="AG24" s="12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11">
        <f>AG24+IF(X24&lt;1.35,0,1)+IF(Y24&lt;1.35,0,1)+AC24+AA24</f>
        <v/>
      </c>
      <c r="AI24" s="11" t="n">
        <v>11</v>
      </c>
      <c r="AJ24" s="11">
        <f>IF(AI24&gt;12.7,IF(AI24&gt;15.8,0.93,0.98),1)</f>
        <v/>
      </c>
      <c r="AK24" s="11">
        <f>(1.2*AG24+AH24)*AJ24*AQ24</f>
        <v/>
      </c>
      <c r="AL24" s="10">
        <f>D24</f>
        <v/>
      </c>
      <c r="AM24" s="14">
        <f>B24</f>
        <v/>
      </c>
      <c r="AN24" s="13" t="n"/>
      <c r="AO24" s="13">
        <f>AN24+1</f>
        <v/>
      </c>
      <c r="AP24" s="13">
        <f>IF(AK24&gt;13.1,IF(Z24&lt;101,IF(Z24&lt;35,IF(Z24&lt;6,3,2),1),0),0)</f>
        <v/>
      </c>
      <c r="AQ24" s="11" t="n">
        <v>1</v>
      </c>
      <c r="AR24" s="11">
        <f>IF(AP24&gt;0,IF(AB24&gt;10,(AB24/Z24),10/Z24),0)</f>
        <v/>
      </c>
      <c r="AS24" s="11" t="n"/>
      <c r="AT24" s="11">
        <f>100*(AK24-AQ24)/AQ24</f>
        <v/>
      </c>
      <c r="AU24" s="13" t="n">
        <v>66.006600660066</v>
      </c>
      <c r="AV24" s="13" t="n">
        <v>330.03300330033</v>
      </c>
      <c r="AW24" s="10" t="n">
        <v>5</v>
      </c>
      <c r="AX24" s="10" t="n"/>
      <c r="AY24" s="10" t="n">
        <v>21</v>
      </c>
      <c r="AZ24" s="13" t="n"/>
      <c r="BA24" s="10" t="n">
        <v>17</v>
      </c>
      <c r="BB24" s="11" t="n"/>
      <c r="BC24" s="11" t="n"/>
      <c r="BD24" s="11" t="n"/>
      <c r="BE24" s="11" t="n"/>
      <c r="BF24" s="11" t="n">
        <v>13</v>
      </c>
      <c r="BG24" s="11" t="n">
        <v>-38.0952380952381</v>
      </c>
      <c r="BH24" s="11" t="n">
        <v>-23.5294117647059</v>
      </c>
    </row>
    <row r="25" ht="12.75" customHeight="1">
      <c r="B25" s="19" t="inlineStr">
        <is>
          <t>Dhillon Freight Carrier</t>
        </is>
      </c>
      <c r="C25" s="10" t="n">
        <v>2025</v>
      </c>
      <c r="D25" s="10" t="inlineStr">
        <is>
          <t>Neg</t>
        </is>
      </c>
      <c r="E25" s="11" t="n">
        <v>3.34</v>
      </c>
      <c r="F25" s="11" t="n">
        <v>5.23</v>
      </c>
      <c r="G25" s="11">
        <f>100*(F25-E25)/F25</f>
        <v/>
      </c>
      <c r="H25" s="11" t="n">
        <v>9.710000000000001</v>
      </c>
      <c r="I25" s="11" t="n">
        <v>1.73</v>
      </c>
      <c r="J25" s="11" t="n"/>
      <c r="K25" s="11" t="n">
        <v>6.86</v>
      </c>
      <c r="L25" s="11" t="n"/>
      <c r="M25" s="11" t="n">
        <v>3.67</v>
      </c>
      <c r="N25" s="11" t="n"/>
      <c r="O25" s="11" t="n">
        <v>25.22</v>
      </c>
      <c r="P25" s="11">
        <f>O25/I25</f>
        <v/>
      </c>
      <c r="Q25" s="11" t="n">
        <v>10.49</v>
      </c>
      <c r="R25" s="11" t="n">
        <v>16.32</v>
      </c>
      <c r="S25" s="12" t="n">
        <v>0</v>
      </c>
      <c r="T25" s="13" t="n"/>
      <c r="U25" s="13" t="n"/>
      <c r="V25" s="13" t="n">
        <v>0</v>
      </c>
      <c r="W25" s="11" t="n"/>
      <c r="X25" s="11" t="n">
        <v>0</v>
      </c>
      <c r="Y25" s="11" t="n">
        <v>0.96</v>
      </c>
      <c r="Z25" s="11" t="n">
        <v>4.87</v>
      </c>
      <c r="AA25" s="11">
        <f>IF(X25&lt;50,IF(Y25&gt;(2.3*X25),0,1),1)-IF(Z25&gt;Y25,1.7,0)</f>
        <v/>
      </c>
      <c r="AB25" s="11" t="n">
        <v>0</v>
      </c>
      <c r="AC25" s="11">
        <f>IF(AB25&gt;4,1,0)+AB25/7</f>
        <v/>
      </c>
      <c r="AD25" s="11" t="n">
        <v>58.72</v>
      </c>
      <c r="AE25" s="11" t="n">
        <v>1.98</v>
      </c>
      <c r="AF25" s="11" t="n">
        <v>49.45</v>
      </c>
      <c r="AG25" s="12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11">
        <f>AG25+IF(X25&lt;1.35,0,1)+IF(Y25&lt;1.35,0,1)+AC25+AA25</f>
        <v/>
      </c>
      <c r="AI25" s="11" t="n">
        <v>11</v>
      </c>
      <c r="AJ25" s="11">
        <f>IF(AI25&gt;12.7,IF(AI25&gt;15.8,0.93,0.98),1)</f>
        <v/>
      </c>
      <c r="AK25" s="11">
        <f>(1.2*AG25+AH25)*AJ25*AQ25</f>
        <v/>
      </c>
      <c r="AL25" s="10">
        <f>D25</f>
        <v/>
      </c>
      <c r="AM25" s="14">
        <f>B25</f>
        <v/>
      </c>
      <c r="AN25" s="13" t="n"/>
      <c r="AO25" s="13">
        <f>AN25+1</f>
        <v/>
      </c>
      <c r="AP25" s="13">
        <f>IF(AK25&gt;13.1,IF(Z25&lt;101,IF(Z25&lt;35,IF(Z25&lt;6,3,2),1),0),0)</f>
        <v/>
      </c>
      <c r="AQ25" s="11" t="n">
        <v>1</v>
      </c>
      <c r="AR25" s="11">
        <f>IF(AP25&gt;0,IF(AB25&gt;10,(AB25/Z25),10/Z25),0)</f>
        <v/>
      </c>
      <c r="AS25" s="11" t="n"/>
      <c r="AT25" s="11">
        <f>100*(AK25-AQ25)/AQ25</f>
        <v/>
      </c>
      <c r="AU25" s="13" t="n">
        <v>41.0677618069815</v>
      </c>
      <c r="AV25" s="13" t="n">
        <v>205.338809034908</v>
      </c>
      <c r="AW25" s="10" t="n">
        <v>5</v>
      </c>
      <c r="AX25" s="10" t="n"/>
      <c r="AY25" s="10" t="n">
        <v>72</v>
      </c>
      <c r="AZ25" s="13" t="n"/>
      <c r="BA25" s="10" t="n">
        <v>58</v>
      </c>
      <c r="BB25" s="11" t="n"/>
      <c r="BC25" s="11" t="n"/>
      <c r="BD25" s="11" t="n"/>
      <c r="BE25" s="11" t="n"/>
      <c r="BF25" s="11" t="n">
        <v>42</v>
      </c>
      <c r="BG25" s="11" t="n">
        <v>-41.6666666666667</v>
      </c>
      <c r="BH25" s="11" t="n">
        <v>-27.5862068965517</v>
      </c>
    </row>
    <row r="26" ht="12.75" customHeight="1">
      <c r="B26" s="19" t="inlineStr">
        <is>
          <t>Rukmani Devi Garg Agro Impe</t>
        </is>
      </c>
      <c r="C26" s="10" t="n">
        <v>2025</v>
      </c>
      <c r="D26" s="10" t="inlineStr">
        <is>
          <t>Neg</t>
        </is>
      </c>
      <c r="E26" s="11" t="n">
        <v>49.21</v>
      </c>
      <c r="F26" s="11" t="n">
        <v>32.43</v>
      </c>
      <c r="G26" s="11">
        <f>100*(F26-E26)/F26</f>
        <v/>
      </c>
      <c r="H26" s="11" t="n">
        <v>110.81</v>
      </c>
      <c r="I26" s="11" t="n">
        <v>7.57</v>
      </c>
      <c r="J26" s="11" t="n"/>
      <c r="K26" s="11" t="n">
        <v>11.65</v>
      </c>
      <c r="L26" s="11" t="n"/>
      <c r="M26" s="11" t="n">
        <v>12.64</v>
      </c>
      <c r="N26" s="11" t="n"/>
      <c r="O26" s="11" t="n">
        <v>327.32</v>
      </c>
      <c r="P26" s="11">
        <f>O26/I26</f>
        <v/>
      </c>
      <c r="Q26" s="11" t="n">
        <v>8.5</v>
      </c>
      <c r="R26" s="11" t="n">
        <v>8.5</v>
      </c>
      <c r="S26" s="12" t="n">
        <v>0</v>
      </c>
      <c r="T26" s="13" t="n"/>
      <c r="U26" s="13" t="n"/>
      <c r="V26" s="13" t="n">
        <v>0</v>
      </c>
      <c r="W26" s="11" t="n"/>
      <c r="X26" s="11" t="n">
        <v>8.24</v>
      </c>
      <c r="Y26" s="11" t="n">
        <v>77.12</v>
      </c>
      <c r="Z26" s="11" t="n">
        <v>39.73</v>
      </c>
      <c r="AA26" s="11">
        <f>IF(X26&lt;50,IF(Y26&gt;(2.3*X26),0,1),1)-IF(Z26&gt;Y26,1.7,0)</f>
        <v/>
      </c>
      <c r="AB26" s="11" t="n">
        <v>36</v>
      </c>
      <c r="AC26" s="11">
        <f>IF(AB26&gt;4,1,0)+AB26/7</f>
        <v/>
      </c>
      <c r="AD26" s="11" t="n">
        <v>50.8</v>
      </c>
      <c r="AE26" s="11" t="n">
        <v>33.59</v>
      </c>
      <c r="AF26" s="11" t="n">
        <v>30.45</v>
      </c>
      <c r="AG26" s="12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11">
        <f>AG26+IF(X26&lt;1.35,0,1)+IF(Y26&lt;1.35,0,1)+AC26+AA26</f>
        <v/>
      </c>
      <c r="AI26" s="11" t="n">
        <v>11</v>
      </c>
      <c r="AJ26" s="11">
        <f>IF(AI26&gt;12.7,IF(AI26&gt;15.8,0.93,0.98),1)</f>
        <v/>
      </c>
      <c r="AK26" s="11">
        <f>(1.2*AG26+AH26)*AJ26*AQ26</f>
        <v/>
      </c>
      <c r="AL26" s="10">
        <f>D26</f>
        <v/>
      </c>
      <c r="AM26" s="14">
        <f>B26</f>
        <v/>
      </c>
      <c r="AN26" s="13" t="n"/>
      <c r="AO26" s="13">
        <f>AN26+1</f>
        <v/>
      </c>
      <c r="AP26" s="13">
        <f>IF(AK26&gt;13.1,IF(Z26&lt;101,IF(Z26&lt;35,IF(Z26&lt;6,3,2),1),0),0)</f>
        <v/>
      </c>
      <c r="AQ26" s="11" t="n">
        <v>1</v>
      </c>
      <c r="AR26" s="11">
        <f>IF(AP26&gt;0,IF(AB26&gt;10,(AB26/Z26),10/Z26),0)</f>
        <v/>
      </c>
      <c r="AS26" s="11" t="n"/>
      <c r="AT26" s="11">
        <f>100*(AK26-AQ26)/AQ26</f>
        <v/>
      </c>
      <c r="AU26" s="13" t="n">
        <v>5.03397936068462</v>
      </c>
      <c r="AV26" s="13" t="n">
        <v>25.1698968034231</v>
      </c>
      <c r="AW26" s="10" t="n">
        <v>5</v>
      </c>
      <c r="AX26" s="10" t="n"/>
      <c r="AY26" s="10" t="n">
        <v>99</v>
      </c>
      <c r="AZ26" s="13" t="n"/>
      <c r="BA26" s="10" t="n">
        <v>79</v>
      </c>
      <c r="BB26" s="11" t="n">
        <v>73</v>
      </c>
      <c r="BC26" s="11" t="n">
        <v>73</v>
      </c>
      <c r="BD26" s="11" t="n">
        <v>72</v>
      </c>
      <c r="BE26" s="11" t="n"/>
      <c r="BF26" s="11" t="n">
        <v>59</v>
      </c>
      <c r="BG26" s="11" t="n">
        <v>-40.4040404040404</v>
      </c>
      <c r="BH26" s="11" t="n">
        <v>-25.3164556962025</v>
      </c>
    </row>
    <row r="27" ht="12.75" customHeight="1">
      <c r="B27" s="20" t="inlineStr">
        <is>
          <t>Gurunanak Agriculture</t>
        </is>
      </c>
      <c r="C27" s="10" t="n">
        <v>2025</v>
      </c>
      <c r="D27" s="10" t="inlineStr">
        <is>
          <t>Neg</t>
        </is>
      </c>
      <c r="E27" s="11" t="n">
        <v>3.67</v>
      </c>
      <c r="F27" s="11" t="n">
        <v>12.27</v>
      </c>
      <c r="G27" s="11">
        <f>100*(F27-E27)/F27</f>
        <v/>
      </c>
      <c r="H27" s="11" t="n">
        <v>20.15</v>
      </c>
      <c r="I27" s="11" t="n">
        <v>6.05</v>
      </c>
      <c r="J27" s="11" t="n"/>
      <c r="K27" s="11" t="n">
        <v>7.42</v>
      </c>
      <c r="L27" s="11" t="n"/>
      <c r="M27" s="11" t="n">
        <v>9.93</v>
      </c>
      <c r="N27" s="11" t="n"/>
      <c r="O27" s="11" t="n">
        <v>43.85</v>
      </c>
      <c r="P27" s="11">
        <f>O27/I27</f>
        <v/>
      </c>
      <c r="Q27" s="11" t="n">
        <v>14.86</v>
      </c>
      <c r="R27" s="11" t="n">
        <v>14.86</v>
      </c>
      <c r="S27" s="12" t="n">
        <v>0</v>
      </c>
      <c r="T27" s="13" t="n"/>
      <c r="U27" s="13" t="n"/>
      <c r="V27" s="13" t="n">
        <v>0</v>
      </c>
      <c r="W27" s="11" t="n"/>
      <c r="X27" s="11" t="n">
        <v>0</v>
      </c>
      <c r="Y27" s="11" t="n">
        <v>0.33</v>
      </c>
      <c r="Z27" s="11" t="n">
        <v>3.15</v>
      </c>
      <c r="AA27" s="11">
        <f>IF(X27&lt;50,IF(Y27&gt;(2.3*X27),0,1),1)-IF(Z27&gt;Y27,1.7,0)</f>
        <v/>
      </c>
      <c r="AB27" s="11" t="n">
        <v>0</v>
      </c>
      <c r="AC27" s="11">
        <f>IF(AB27&gt;4,1,0)+AB27/7</f>
        <v/>
      </c>
      <c r="AD27" s="11" t="n">
        <v>147</v>
      </c>
      <c r="AE27" s="11" t="n">
        <v>-0.36</v>
      </c>
      <c r="AF27" s="11" t="n">
        <v>98</v>
      </c>
      <c r="AG27" s="12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11">
        <f>AG27+IF(X27&lt;1.35,0,1)+IF(Y27&lt;1.35,0,1)+AC27+AA27</f>
        <v/>
      </c>
      <c r="AI27" s="11" t="n">
        <v>11</v>
      </c>
      <c r="AJ27" s="11">
        <f>IF(AI27&gt;12.7,IF(AI27&gt;15.8,0.93,0.98),1)</f>
        <v/>
      </c>
      <c r="AK27" s="11">
        <f>(1.2*AG27+AH27)*AJ27*AQ27</f>
        <v/>
      </c>
      <c r="AL27" s="10">
        <f>D27</f>
        <v/>
      </c>
      <c r="AM27" s="14">
        <f>B27</f>
        <v/>
      </c>
      <c r="AN27" s="13" t="n"/>
      <c r="AO27" s="13">
        <f>AN27+1</f>
        <v/>
      </c>
      <c r="AP27" s="13">
        <f>IF(AK27&gt;13.1,IF(Z27&lt;101,IF(Z27&lt;35,IF(Z27&lt;6,3,2),1),0),0)</f>
        <v/>
      </c>
      <c r="AQ27" s="11" t="n">
        <v>1</v>
      </c>
      <c r="AR27" s="11">
        <f>IF(AP27&gt;0,IF(AB27&gt;10,(AB27/Z27),10/Z27),0)</f>
        <v/>
      </c>
      <c r="AS27" s="11" t="n"/>
      <c r="AT27" s="11">
        <f>100*(AK27-AQ27)/AQ27</f>
        <v/>
      </c>
      <c r="AU27" s="13" t="n">
        <v>63.4920634920635</v>
      </c>
      <c r="AV27" s="13" t="n">
        <v>317.460317460318</v>
      </c>
      <c r="AW27" s="10" t="n">
        <v>5</v>
      </c>
      <c r="AX27" s="10" t="n"/>
      <c r="AY27" s="10" t="n">
        <v>75</v>
      </c>
      <c r="AZ27" s="13" t="n"/>
      <c r="BA27" s="10" t="n">
        <v>60</v>
      </c>
      <c r="BB27" s="11" t="n"/>
      <c r="BC27" s="11" t="n"/>
      <c r="BD27" s="11" t="n"/>
      <c r="BE27" s="11" t="n"/>
      <c r="BF27" s="11" t="n">
        <v>34</v>
      </c>
      <c r="BG27" s="11" t="n">
        <v>-54.6666666666667</v>
      </c>
      <c r="BH27" s="11" t="n">
        <v>-43.3333333333333</v>
      </c>
    </row>
    <row r="28" ht="12.75" customHeight="1">
      <c r="B28" s="20" t="inlineStr">
        <is>
          <t>Siddhi Cotspin</t>
        </is>
      </c>
      <c r="C28" s="10" t="n">
        <v>2025</v>
      </c>
      <c r="D28" s="10" t="inlineStr">
        <is>
          <t>Neg</t>
        </is>
      </c>
      <c r="E28" s="11" t="n">
        <v>67.11</v>
      </c>
      <c r="F28" s="11" t="n">
        <v>79.44</v>
      </c>
      <c r="G28" s="11">
        <f>100*(F28-E28)/F28</f>
        <v/>
      </c>
      <c r="H28" s="11" t="n">
        <v>182.83</v>
      </c>
      <c r="I28" s="11" t="n">
        <v>13.08</v>
      </c>
      <c r="J28" s="11" t="n"/>
      <c r="K28" s="11" t="n">
        <v>6.62</v>
      </c>
      <c r="L28" s="11" t="n"/>
      <c r="M28" s="11" t="n">
        <v>32.87</v>
      </c>
      <c r="N28" s="11" t="n"/>
      <c r="O28" s="11" t="n">
        <v>724.66</v>
      </c>
      <c r="P28" s="11">
        <f>O28/I28</f>
        <v/>
      </c>
      <c r="Q28" s="11" t="n">
        <v>16.3</v>
      </c>
      <c r="R28" s="11" t="n">
        <v>16.3</v>
      </c>
      <c r="S28" s="12" t="n">
        <v>0</v>
      </c>
      <c r="T28" s="13" t="n"/>
      <c r="U28" s="13" t="n"/>
      <c r="V28" s="13" t="n">
        <v>0</v>
      </c>
      <c r="W28" s="11" t="n"/>
      <c r="X28" s="11" t="n">
        <v>17.53</v>
      </c>
      <c r="Y28" s="11" t="n">
        <v>5.94</v>
      </c>
      <c r="Z28" s="11" t="n">
        <v>1.5</v>
      </c>
      <c r="AA28" s="11">
        <f>IF(X28&lt;50,IF(Y28&gt;(2.3*X28),0,1),1)-IF(Z28&gt;Y28,1.7,0)</f>
        <v/>
      </c>
      <c r="AB28" s="11" t="n">
        <v>0</v>
      </c>
      <c r="AC28" s="11">
        <f>IF(AB28&gt;4,1,0)+AB28/7</f>
        <v/>
      </c>
      <c r="AD28" s="11" t="n">
        <v>7.39</v>
      </c>
      <c r="AE28" s="11" t="n">
        <v>25</v>
      </c>
      <c r="AF28" s="11" t="n">
        <v>19.7</v>
      </c>
      <c r="AG28" s="12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11">
        <f>AG28+IF(X28&lt;1.35,0,1)+IF(Y28&lt;1.35,0,1)+AC28+AA28</f>
        <v/>
      </c>
      <c r="AI28" s="11" t="n">
        <v>11</v>
      </c>
      <c r="AJ28" s="11">
        <f>IF(AI28&gt;12.7,IF(AI28&gt;15.8,0.93,0.98),1)</f>
        <v/>
      </c>
      <c r="AK28" s="11">
        <f>(1.2*AG28+AH28)*AJ28*AQ28</f>
        <v/>
      </c>
      <c r="AL28" s="10">
        <f>D28</f>
        <v/>
      </c>
      <c r="AM28" s="14">
        <f>B28</f>
        <v/>
      </c>
      <c r="AN28" s="13" t="n"/>
      <c r="AO28" s="13">
        <f>AN28+1</f>
        <v/>
      </c>
      <c r="AP28" s="13">
        <f>IF(AK28&gt;13.1,IF(Z28&lt;101,IF(Z28&lt;35,IF(Z28&lt;6,3,2),1),0),0)</f>
        <v/>
      </c>
      <c r="AQ28" s="11" t="n">
        <v>1</v>
      </c>
      <c r="AR28" s="11">
        <f>IF(AP28&gt;0,IF(AB28&gt;10,(AB28/Z28),10/Z28),0)</f>
        <v/>
      </c>
      <c r="AS28" s="11" t="n"/>
      <c r="AT28" s="11">
        <f>100*(AK28-AQ28)/AQ28</f>
        <v/>
      </c>
      <c r="AU28" s="13" t="n">
        <v>133.333333333333</v>
      </c>
      <c r="AV28" s="13" t="n">
        <v>666.666666666667</v>
      </c>
      <c r="AW28" s="10" t="n">
        <v>5</v>
      </c>
      <c r="AX28" s="10" t="n"/>
      <c r="AY28" s="10" t="n">
        <v>108</v>
      </c>
      <c r="AZ28" s="13" t="n"/>
      <c r="BA28" s="10" t="n">
        <v>86</v>
      </c>
      <c r="BB28" s="11" t="n"/>
      <c r="BC28" s="11" t="n"/>
      <c r="BD28" s="11" t="n"/>
      <c r="BE28" s="11" t="n"/>
      <c r="BF28" s="11" t="n">
        <v>34</v>
      </c>
      <c r="BG28" s="11" t="n">
        <v>-68.5185185185185</v>
      </c>
      <c r="BH28" s="11" t="n">
        <v>-60.4651162790698</v>
      </c>
    </row>
    <row r="29" ht="12.75" customHeight="1">
      <c r="B29" s="20" t="inlineStr">
        <is>
          <t>Krupalu Metals</t>
        </is>
      </c>
      <c r="C29" s="10" t="n">
        <v>2025</v>
      </c>
      <c r="D29" s="10" t="inlineStr">
        <is>
          <t>Neg</t>
        </is>
      </c>
      <c r="E29" s="11" t="n">
        <v>8.369999999999999</v>
      </c>
      <c r="F29" s="11" t="n">
        <v>6.12</v>
      </c>
      <c r="G29" s="11">
        <f>100*(F29-E29)/F29</f>
        <v/>
      </c>
      <c r="H29" s="10" t="n">
        <v>20.03</v>
      </c>
      <c r="I29" s="11" t="n">
        <v>2.15</v>
      </c>
      <c r="J29" s="11" t="n"/>
      <c r="K29" s="11" t="n">
        <v>5.38</v>
      </c>
      <c r="L29" s="11" t="n"/>
      <c r="M29" s="11" t="n">
        <v>3.7</v>
      </c>
      <c r="N29" s="11" t="n"/>
      <c r="O29" s="11" t="n">
        <v>48.5</v>
      </c>
      <c r="P29" s="11">
        <f>O29/I29</f>
        <v/>
      </c>
      <c r="Q29" s="11" t="n">
        <v>13.39</v>
      </c>
      <c r="R29" s="11" t="n">
        <v>13.39</v>
      </c>
      <c r="S29" s="12" t="n">
        <v>0</v>
      </c>
      <c r="T29" s="13" t="n"/>
      <c r="U29" s="13" t="n"/>
      <c r="V29" s="13" t="n">
        <v>0</v>
      </c>
      <c r="W29" s="11" t="n"/>
      <c r="X29" s="11" t="n">
        <v>0</v>
      </c>
      <c r="Y29" s="11" t="n">
        <v>6.45</v>
      </c>
      <c r="Z29" s="11" t="n">
        <v>1.85</v>
      </c>
      <c r="AA29" s="11">
        <f>IF(X29&lt;50,IF(Y29&gt;(2.3*X29),0,1),1)-IF(Z29&gt;Y29,1.7,0)</f>
        <v/>
      </c>
      <c r="AB29" s="11" t="n">
        <v>0</v>
      </c>
      <c r="AC29" s="11">
        <f>IF(AB29&gt;4,1,0)+AB29/7</f>
        <v/>
      </c>
      <c r="AD29" s="11" t="n">
        <v>39</v>
      </c>
      <c r="AE29" s="11" t="n">
        <v>31</v>
      </c>
      <c r="AF29" s="11" t="n">
        <v>51</v>
      </c>
      <c r="AG29" s="12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11">
        <f>AG29+IF(X29&lt;1.35,0,1)+IF(Y29&lt;1.35,0,1)+AC29+AA29</f>
        <v/>
      </c>
      <c r="AI29" s="11" t="n">
        <v>11</v>
      </c>
      <c r="AJ29" s="11">
        <f>IF(AI29&gt;12.7,IF(AI29&gt;15.8,0.93,0.98),1)</f>
        <v/>
      </c>
      <c r="AK29" s="11">
        <f>(1.2*AG29+AH29)*AJ29*AQ29</f>
        <v/>
      </c>
      <c r="AL29" s="10">
        <f>D29</f>
        <v/>
      </c>
      <c r="AM29" s="14">
        <f>B29</f>
        <v/>
      </c>
      <c r="AN29" s="13" t="n"/>
      <c r="AO29" s="13">
        <f>AN29+1</f>
        <v/>
      </c>
      <c r="AP29" s="13">
        <f>IF(AK29&gt;13.1,IF(Z29&lt;101,IF(Z29&lt;35,IF(Z29&lt;6,3,2),1),0),0)</f>
        <v/>
      </c>
      <c r="AQ29" s="11" t="n">
        <v>1</v>
      </c>
      <c r="AR29" s="11">
        <f>IF(AP29&gt;0,IF(AB29&gt;10,(AB29/Z29),10/Z29),0)</f>
        <v/>
      </c>
      <c r="AS29" s="11" t="n"/>
      <c r="AT29" s="11">
        <f>100*(AK29-AQ29)/AQ29</f>
        <v/>
      </c>
      <c r="AU29" s="13" t="n">
        <v>108.108108108108</v>
      </c>
      <c r="AV29" s="13" t="n">
        <v>540.540540540541</v>
      </c>
      <c r="AW29" s="10" t="n">
        <v>5</v>
      </c>
      <c r="AX29" s="10" t="n"/>
      <c r="AY29" s="10" t="n">
        <v>72</v>
      </c>
      <c r="AZ29" s="13" t="n"/>
      <c r="BA29" s="10" t="n">
        <v>58</v>
      </c>
      <c r="BB29" s="11" t="n"/>
      <c r="BC29" s="11" t="n"/>
      <c r="BD29" s="11" t="n"/>
      <c r="BE29" s="11" t="n"/>
      <c r="BF29" s="11" t="n">
        <v>52</v>
      </c>
      <c r="BG29" s="11" t="n">
        <v>-27.7777777777778</v>
      </c>
      <c r="BH29" s="11" t="n">
        <v>-10.3448275862069</v>
      </c>
      <c r="DF29" t="inlineStr">
        <is>
          <t xml:space="preserve">                            </t>
        </is>
      </c>
    </row>
    <row r="30" ht="12.75" customHeight="1">
      <c r="B30" s="20" t="inlineStr">
        <is>
          <t>Abril Paper Tech</t>
        </is>
      </c>
      <c r="C30" s="10" t="n">
        <v>2025</v>
      </c>
      <c r="D30" s="10" t="inlineStr">
        <is>
          <t>Neg</t>
        </is>
      </c>
      <c r="E30" s="11" t="n">
        <v>1.07</v>
      </c>
      <c r="F30" s="11" t="n">
        <v>10.52</v>
      </c>
      <c r="G30" s="11">
        <f>100*(F30-E30)/F30</f>
        <v/>
      </c>
      <c r="H30" s="10" t="n">
        <v>12.97</v>
      </c>
      <c r="I30" s="11" t="n">
        <v>1.41</v>
      </c>
      <c r="J30" s="11" t="n"/>
      <c r="K30" s="11" t="n">
        <v>1.77</v>
      </c>
      <c r="L30" s="11" t="n"/>
      <c r="M30" s="11" t="n">
        <v>2.01</v>
      </c>
      <c r="N30" s="11" t="n"/>
      <c r="O30" s="11" t="n">
        <v>60.91</v>
      </c>
      <c r="P30" s="11">
        <f>O30/I30</f>
        <v/>
      </c>
      <c r="Q30" s="11" t="n">
        <v>24.96</v>
      </c>
      <c r="R30" s="11" t="n">
        <v>24.96</v>
      </c>
      <c r="S30" s="12" t="n">
        <v>0</v>
      </c>
      <c r="T30" s="13" t="n"/>
      <c r="U30" s="13" t="n"/>
      <c r="V30" s="13" t="n">
        <v>0</v>
      </c>
      <c r="W30" s="11" t="n"/>
      <c r="X30" s="11" t="n">
        <v>0</v>
      </c>
      <c r="Y30" s="11" t="n">
        <v>5.17</v>
      </c>
      <c r="Z30" s="11" t="n">
        <v>16.79</v>
      </c>
      <c r="AA30" s="11">
        <f>IF(X30&lt;50,IF(Y30&gt;(2.3*X30),0,1),1)-IF(Z30&gt;Y30,1.7,0)</f>
        <v/>
      </c>
      <c r="AB30" s="11" t="n">
        <v>5</v>
      </c>
      <c r="AC30" s="11">
        <f>IF(AB30&gt;4,1,0)+AB30/7</f>
        <v/>
      </c>
      <c r="AD30" s="11" t="n">
        <v>55</v>
      </c>
      <c r="AE30" s="11" t="n">
        <v>142</v>
      </c>
      <c r="AF30" s="11" t="n">
        <v>87</v>
      </c>
      <c r="AG30" s="12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11">
        <f>AG30+IF(X30&lt;1.35,0,1)+IF(Y30&lt;1.35,0,1)+AC30+AA30</f>
        <v/>
      </c>
      <c r="AI30" s="11" t="n">
        <v>11</v>
      </c>
      <c r="AJ30" s="11">
        <f>IF(AI30&gt;12.7,IF(AI30&gt;15.8,0.93,0.98),1)</f>
        <v/>
      </c>
      <c r="AK30" s="11">
        <f>(1.2*AG30+AH30)*AJ30*AQ30</f>
        <v/>
      </c>
      <c r="AL30" s="10">
        <f>D30</f>
        <v/>
      </c>
      <c r="AM30" s="14">
        <f>B30</f>
        <v/>
      </c>
      <c r="AN30" s="13" t="n"/>
      <c r="AO30" s="13">
        <f>AN30+1</f>
        <v/>
      </c>
      <c r="AP30" s="13">
        <f>IF(AK30&gt;13.1,IF(Z30&lt;101,IF(Z30&lt;35,IF(Z30&lt;6,3,2),1),0),0)</f>
        <v/>
      </c>
      <c r="AQ30" s="11" t="n">
        <v>1</v>
      </c>
      <c r="AR30" s="11">
        <f>IF(AP30&gt;0,IF(AB30&gt;10,(AB30/Z30),10/Z30),0)</f>
        <v/>
      </c>
      <c r="AS30" s="11" t="n"/>
      <c r="AT30" s="11">
        <f>100*(AK30-AQ30)/AQ30</f>
        <v/>
      </c>
      <c r="AU30" s="13" t="n">
        <v>11.9118522930316</v>
      </c>
      <c r="AV30" s="13" t="n">
        <v>59.5592614651578</v>
      </c>
      <c r="AW30" s="10" t="n">
        <v>5</v>
      </c>
      <c r="AX30" s="10" t="n"/>
      <c r="AY30" s="10" t="n">
        <v>61</v>
      </c>
      <c r="AZ30" s="13" t="n"/>
      <c r="BA30" s="10" t="n">
        <v>49</v>
      </c>
      <c r="BB30" s="11" t="n"/>
      <c r="BC30" s="11" t="n"/>
      <c r="BD30" s="11" t="n"/>
      <c r="BE30" s="11" t="n"/>
      <c r="BF30" s="11" t="n">
        <v>42</v>
      </c>
      <c r="BG30" s="11" t="n">
        <v>-31.1475409836066</v>
      </c>
      <c r="BH30" s="11" t="n">
        <v>-14.2857142857143</v>
      </c>
    </row>
    <row r="31" ht="12.75" customHeight="1">
      <c r="B31" s="20" t="inlineStr">
        <is>
          <t>Globtier Infotech</t>
        </is>
      </c>
      <c r="C31" s="10" t="n">
        <v>2025</v>
      </c>
      <c r="D31" s="10" t="inlineStr">
        <is>
          <t>Neg</t>
        </is>
      </c>
      <c r="E31" s="11" t="n">
        <v>12.21</v>
      </c>
      <c r="F31" s="11" t="n">
        <v>20.32</v>
      </c>
      <c r="G31" s="11">
        <f>100*(F31-E31)/F31</f>
        <v/>
      </c>
      <c r="H31" s="10" t="n"/>
      <c r="I31" s="11" t="n">
        <v>5.5</v>
      </c>
      <c r="J31" s="11" t="n"/>
      <c r="K31" s="11" t="n">
        <v>4.86</v>
      </c>
      <c r="L31" s="11" t="n"/>
      <c r="M31" s="11" t="n">
        <v>11.77</v>
      </c>
      <c r="N31" s="11" t="n"/>
      <c r="O31" s="11" t="n">
        <v>94.81</v>
      </c>
      <c r="P31" s="11">
        <f>O31/I31</f>
        <v/>
      </c>
      <c r="Q31" s="11" t="n">
        <v>14.82</v>
      </c>
      <c r="R31" s="11" t="n">
        <v>14.82</v>
      </c>
      <c r="S31" s="12" t="n">
        <v>0</v>
      </c>
      <c r="T31" s="13" t="n"/>
      <c r="U31" s="13" t="n"/>
      <c r="V31" s="13" t="n">
        <v>0</v>
      </c>
      <c r="W31" s="11" t="n"/>
      <c r="X31" s="11" t="n">
        <v>0.63</v>
      </c>
      <c r="Y31" s="11" t="n">
        <v>2.04</v>
      </c>
      <c r="Z31" s="11" t="n">
        <v>1.34</v>
      </c>
      <c r="AA31" s="11">
        <f>IF(X31&lt;50,IF(Y31&gt;(2.3*X31),0,1),1)-IF(Z31&gt;Y31,1.7,0)</f>
        <v/>
      </c>
      <c r="AB31" s="11" t="n">
        <v>0</v>
      </c>
      <c r="AC31" s="11">
        <f>IF(AB31&gt;4,1,0)+AB31/7</f>
        <v/>
      </c>
      <c r="AD31" s="11" t="n">
        <v>47</v>
      </c>
      <c r="AE31" s="11" t="n">
        <v>7</v>
      </c>
      <c r="AF31" s="11" t="n">
        <v>42</v>
      </c>
      <c r="AG31" s="12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11">
        <f>AG31+IF(X31&lt;1.35,0,1)+IF(Y31&lt;1.35,0,1)+AC31+AA31</f>
        <v/>
      </c>
      <c r="AI31" s="11" t="n">
        <v>11</v>
      </c>
      <c r="AJ31" s="11">
        <f>IF(AI31&gt;12.7,IF(AI31&gt;15.8,0.93,0.98),1)</f>
        <v/>
      </c>
      <c r="AK31" s="11">
        <f>(1.2*AG31+AH31)*AJ31*AQ31</f>
        <v/>
      </c>
      <c r="AL31" s="10">
        <f>D31</f>
        <v/>
      </c>
      <c r="AM31" s="14">
        <f>B31</f>
        <v/>
      </c>
      <c r="AN31" s="13" t="n"/>
      <c r="AO31" s="13">
        <f>AN31+1</f>
        <v/>
      </c>
      <c r="AP31" s="13">
        <f>IF(AK31&gt;13.1,IF(Z31&lt;101,IF(Z31&lt;35,IF(Z31&lt;6,3,2),1),0),0)</f>
        <v/>
      </c>
      <c r="AQ31" s="11" t="n">
        <v>1</v>
      </c>
      <c r="AR31" s="11">
        <f>IF(AP31&gt;0,IF(AB31&gt;10,(AB31/Z31),10/Z31),0)</f>
        <v/>
      </c>
      <c r="AS31" s="11" t="n"/>
      <c r="AT31" s="11">
        <f>100*(AK31-AQ31)/AQ31</f>
        <v/>
      </c>
      <c r="AU31" s="13" t="n">
        <v>149.253731343284</v>
      </c>
      <c r="AV31" s="13" t="n">
        <v>746.268656716418</v>
      </c>
      <c r="AW31" s="10" t="n">
        <v>5</v>
      </c>
      <c r="AX31" s="10" t="n"/>
      <c r="AY31" s="10" t="n">
        <v>72</v>
      </c>
      <c r="AZ31" s="13" t="n"/>
      <c r="BA31" s="10" t="n">
        <v>58</v>
      </c>
      <c r="BB31" s="11" t="n"/>
      <c r="BC31" s="11" t="n"/>
      <c r="BD31" s="11" t="n"/>
      <c r="BE31" s="11" t="n"/>
      <c r="BF31" s="11" t="n">
        <v>30</v>
      </c>
      <c r="BG31" s="11" t="n">
        <v>-58.3333333333333</v>
      </c>
      <c r="BH31" s="11" t="n">
        <v>-48.2758620689655</v>
      </c>
    </row>
    <row r="32" ht="12.75" customHeight="1">
      <c r="B32" s="20" t="inlineStr">
        <is>
          <t>Lamosaic India</t>
        </is>
      </c>
      <c r="C32" s="10" t="n">
        <v>2024</v>
      </c>
      <c r="D32" s="10" t="inlineStr">
        <is>
          <t>Neg</t>
        </is>
      </c>
      <c r="E32" s="11" t="n">
        <v>17.25</v>
      </c>
      <c r="F32" s="11" t="n">
        <v>15.26</v>
      </c>
      <c r="G32" s="11">
        <f>100*(F32-E32)/F32</f>
        <v/>
      </c>
      <c r="H32" s="11" t="n">
        <v>51.27</v>
      </c>
      <c r="I32" s="11" t="n">
        <v>8.23</v>
      </c>
      <c r="J32" s="11" t="n"/>
      <c r="K32" s="11" t="n">
        <v>11.31</v>
      </c>
      <c r="L32" s="11" t="n"/>
      <c r="M32" s="11" t="n">
        <v>14.17</v>
      </c>
      <c r="N32" s="11" t="n"/>
      <c r="O32" s="11" t="n">
        <v>55.65</v>
      </c>
      <c r="P32" s="11">
        <f>O32/I32</f>
        <v/>
      </c>
      <c r="Q32" s="11" t="n">
        <v>17.68</v>
      </c>
      <c r="R32" s="11" t="n">
        <v>17.68</v>
      </c>
      <c r="S32" s="12" t="n">
        <v>0</v>
      </c>
      <c r="T32" s="13" t="n"/>
      <c r="U32" s="13" t="n"/>
      <c r="V32" s="13" t="n">
        <v>0</v>
      </c>
      <c r="W32" s="11" t="n"/>
      <c r="X32" s="11" t="n">
        <v>0</v>
      </c>
      <c r="Y32" s="11" t="n">
        <v>0.88</v>
      </c>
      <c r="Z32" s="11" t="n">
        <v>2.66</v>
      </c>
      <c r="AA32" s="11">
        <f>IF(X32&lt;50,IF(Y32&gt;(2.3*X32),0,1),1)-IF(Z32&gt;Y32,1.7,0)</f>
        <v/>
      </c>
      <c r="AB32" s="11" t="n">
        <v>0</v>
      </c>
      <c r="AC32" s="11">
        <f>IF(AB32&gt;4,1,0)+AB32/7</f>
        <v/>
      </c>
      <c r="AD32" s="11" t="n">
        <v>102</v>
      </c>
      <c r="AE32" s="11" t="n">
        <v>76</v>
      </c>
      <c r="AF32" s="11" t="n">
        <v>34</v>
      </c>
      <c r="AG32" s="12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11">
        <f>AG32+IF(X32&lt;1.35,0,1)+IF(Y32&lt;1.35,0,1)+AC32+AA32</f>
        <v/>
      </c>
      <c r="AI32" s="11" t="n">
        <v>11</v>
      </c>
      <c r="AJ32" s="11">
        <f>IF(AI32&gt;12.7,IF(AI32&gt;15.8,0.93,0.98),1)</f>
        <v/>
      </c>
      <c r="AK32" s="11">
        <f>(1.2*AG32+AH32)*AJ32*AQ32</f>
        <v/>
      </c>
      <c r="AL32" s="10">
        <f>D32</f>
        <v/>
      </c>
      <c r="AM32" s="14">
        <f>B32</f>
        <v/>
      </c>
      <c r="AN32" s="13" t="n"/>
      <c r="AO32" s="13">
        <f>AN32+1</f>
        <v/>
      </c>
      <c r="AP32" s="13">
        <f>IF(AK32&gt;13.1,IF(Z32&lt;101,IF(Z32&lt;35,IF(Z32&lt;6,3,2),1),0),0)</f>
        <v/>
      </c>
      <c r="AQ32" s="11" t="n">
        <v>1</v>
      </c>
      <c r="AR32" s="11">
        <f>IF(AP32&gt;0,IF(AB32&gt;10,(AB32/Z32),10/Z32),0)</f>
        <v/>
      </c>
      <c r="AS32" s="11" t="n"/>
      <c r="AT32" s="11">
        <f>100*(AK32-AQ32)/AQ32</f>
        <v/>
      </c>
      <c r="AU32" s="13" t="n">
        <v>75.18796992481199</v>
      </c>
      <c r="AV32" s="13" t="n">
        <v>375.93984962406</v>
      </c>
      <c r="AW32" s="10" t="n">
        <v>5</v>
      </c>
      <c r="AX32" s="10" t="n"/>
      <c r="AY32" s="10" t="n">
        <v>200</v>
      </c>
      <c r="AZ32" s="13" t="n"/>
      <c r="BA32" s="10" t="n">
        <v>164</v>
      </c>
      <c r="BB32" s="11" t="n"/>
      <c r="BC32" s="11" t="n"/>
      <c r="BD32" s="11" t="n"/>
      <c r="BE32" s="11" t="n"/>
      <c r="BF32" s="11" t="n">
        <v>40</v>
      </c>
      <c r="BG32" s="11" t="n">
        <v>-80</v>
      </c>
      <c r="BH32" s="11" t="n">
        <v>-75.609756097561</v>
      </c>
    </row>
    <row r="33" ht="12.75" customHeight="1">
      <c r="B33" s="19" t="inlineStr">
        <is>
          <t>BikeWo GreenTech</t>
        </is>
      </c>
      <c r="C33" s="10" t="n">
        <v>2024</v>
      </c>
      <c r="D33" s="10" t="inlineStr">
        <is>
          <t>Neg</t>
        </is>
      </c>
      <c r="E33" s="11" t="n">
        <v>14.19</v>
      </c>
      <c r="F33" s="11" t="n">
        <v>16.77</v>
      </c>
      <c r="G33" s="11">
        <f>100*(F33-E33)/F33</f>
        <v/>
      </c>
      <c r="H33" s="11" t="n">
        <v>31.51</v>
      </c>
      <c r="I33" s="11" t="n">
        <v>1.67</v>
      </c>
      <c r="J33" s="11" t="n"/>
      <c r="K33" s="11" t="n">
        <v>2.5</v>
      </c>
      <c r="L33" s="11" t="n"/>
      <c r="M33" s="11" t="n">
        <v>2.82</v>
      </c>
      <c r="N33" s="11" t="n"/>
      <c r="O33" s="11" t="n">
        <v>25.14</v>
      </c>
      <c r="P33" s="11">
        <f>O33/I33</f>
        <v/>
      </c>
      <c r="Q33" s="11" t="n">
        <v>34</v>
      </c>
      <c r="R33" s="11" t="n">
        <v>34</v>
      </c>
      <c r="S33" s="12" t="n">
        <v>0</v>
      </c>
      <c r="T33" s="13" t="n"/>
      <c r="U33" s="13" t="n"/>
      <c r="V33" s="13" t="n">
        <v>0</v>
      </c>
      <c r="W33" s="11" t="n"/>
      <c r="X33" s="11" t="n">
        <v>43</v>
      </c>
      <c r="Y33" s="11" t="n">
        <v>22.5</v>
      </c>
      <c r="Z33" s="11" t="n">
        <v>61</v>
      </c>
      <c r="AA33" s="11">
        <f>IF(X33&lt;50,IF(Y33&gt;(2.3*X33),0,1),1)-IF(Z33&gt;Y33,1.7,0)</f>
        <v/>
      </c>
      <c r="AB33" s="11" t="n">
        <v>11</v>
      </c>
      <c r="AC33" s="11">
        <f>IF(AB33&gt;4,1,0)+AB33/7</f>
        <v/>
      </c>
      <c r="AD33" s="11" t="n">
        <v>1606.2</v>
      </c>
      <c r="AE33" s="11" t="n">
        <v>22</v>
      </c>
      <c r="AF33" s="11" t="n">
        <v>132.1</v>
      </c>
      <c r="AG33" s="12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11">
        <f>AG33+IF(X33&lt;1.35,0,1)+IF(Y33&lt;1.35,0,1)+AC33+AA33</f>
        <v/>
      </c>
      <c r="AI33" s="11" t="n">
        <v>11</v>
      </c>
      <c r="AJ33" s="11">
        <f>IF(AI33&gt;12.7,IF(AI33&gt;15.8,0.93,0.98),1)</f>
        <v/>
      </c>
      <c r="AK33" s="11">
        <f>(1.2*AG33+AH33)*AJ33*AQ33</f>
        <v/>
      </c>
      <c r="AL33" s="10">
        <f>D33</f>
        <v/>
      </c>
      <c r="AM33" s="14">
        <f>B33</f>
        <v/>
      </c>
      <c r="AN33" s="13" t="n"/>
      <c r="AO33" s="13">
        <f>AN33+1</f>
        <v/>
      </c>
      <c r="AP33" s="13">
        <f>IF(AK33&gt;13.1,IF(Z33&lt;101,IF(Z33&lt;35,IF(Z33&lt;6,3,2),1),0),0)</f>
        <v/>
      </c>
      <c r="AQ33" s="11" t="n">
        <v>1</v>
      </c>
      <c r="AR33" s="11">
        <f>IF(AP33&gt;0,IF(AB33&gt;10,(AB33/Z33),10/Z33),0)</f>
        <v/>
      </c>
      <c r="AS33" s="11" t="n"/>
      <c r="AT33" s="11">
        <f>100*(AK33-AQ33)/AQ33</f>
        <v/>
      </c>
      <c r="AU33" s="13" t="n">
        <v>3.27868852459016</v>
      </c>
      <c r="AV33" s="13" t="n">
        <v>16.3934426229508</v>
      </c>
      <c r="AW33" s="10" t="n">
        <v>5</v>
      </c>
      <c r="AX33" s="10" t="n"/>
      <c r="AY33" s="10" t="n">
        <v>62</v>
      </c>
      <c r="AZ33" s="13" t="n"/>
      <c r="BA33" s="10" t="n">
        <v>45</v>
      </c>
      <c r="BB33" s="11" t="n"/>
      <c r="BC33" s="11" t="n"/>
      <c r="BD33" s="11" t="n"/>
      <c r="BE33" s="11" t="n"/>
      <c r="BF33" s="11" t="n">
        <v>16</v>
      </c>
      <c r="BG33" s="11" t="n">
        <v>-74.1935483870968</v>
      </c>
      <c r="BH33" s="11" t="n">
        <v>-64.4444444444444</v>
      </c>
      <c r="DG33" t="inlineStr">
        <is>
          <t xml:space="preserve">  </t>
        </is>
      </c>
    </row>
    <row r="34" ht="12.75" customHeight="1">
      <c r="B34" s="20" t="inlineStr">
        <is>
          <t>Kalana Ispat</t>
        </is>
      </c>
      <c r="C34" s="10" t="n">
        <v>2024</v>
      </c>
      <c r="D34" s="10" t="inlineStr">
        <is>
          <t>Neg</t>
        </is>
      </c>
      <c r="E34" s="11" t="n">
        <v>4.61</v>
      </c>
      <c r="F34" s="11" t="n">
        <v>10.82</v>
      </c>
      <c r="G34" s="11">
        <f>100*(F34-E34)/F34</f>
        <v/>
      </c>
      <c r="H34" s="10" t="n">
        <v>18.86</v>
      </c>
      <c r="I34" s="11" t="n">
        <v>2.37</v>
      </c>
      <c r="J34" s="11" t="n"/>
      <c r="K34" s="11" t="n">
        <v>2.92</v>
      </c>
      <c r="L34" s="11" t="n"/>
      <c r="M34" s="11" t="inlineStr">
        <is>
          <t>N/A</t>
        </is>
      </c>
      <c r="N34" s="11" t="n"/>
      <c r="O34" s="11" t="n">
        <v>73.95</v>
      </c>
      <c r="P34" s="11">
        <f>O34/I34</f>
        <v/>
      </c>
      <c r="Q34" s="11" t="n">
        <v>22.6</v>
      </c>
      <c r="R34" s="11" t="n">
        <v>22.6</v>
      </c>
      <c r="S34" s="12" t="n">
        <v>0</v>
      </c>
      <c r="T34" s="13" t="n"/>
      <c r="U34" s="13" t="n"/>
      <c r="V34" s="13" t="n">
        <v>0</v>
      </c>
      <c r="W34" s="11" t="n"/>
      <c r="X34" s="11" t="n">
        <v>0</v>
      </c>
      <c r="Y34" s="11" t="n">
        <v>40.69</v>
      </c>
      <c r="Z34" s="11" t="n">
        <v>74.54000000000001</v>
      </c>
      <c r="AA34" s="11">
        <f>IF(X34&lt;50,IF(Y34&gt;(2.3*X34),0,1),1)-IF(Z34&gt;Y34,1.7,0)</f>
        <v/>
      </c>
      <c r="AB34" s="11" t="n">
        <v>0</v>
      </c>
      <c r="AC34" s="11">
        <f>IF(AB34&gt;4,1,0)+AB34/7</f>
        <v/>
      </c>
      <c r="AD34" s="11" t="n">
        <v>373</v>
      </c>
      <c r="AE34" s="11" t="n">
        <v>-11</v>
      </c>
      <c r="AF34" s="11" t="inlineStr">
        <is>
          <t>N/A</t>
        </is>
      </c>
      <c r="AG34" s="12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11">
        <f>AG34+IF(X34&lt;1.35,0,1)+IF(Y34&lt;1.35,0,1)+AC34+AA34</f>
        <v/>
      </c>
      <c r="AI34" s="11" t="n">
        <v>11</v>
      </c>
      <c r="AJ34" s="11">
        <f>IF(AI34&gt;12.7,IF(AI34&gt;15.8,0.93,0.98),1)</f>
        <v/>
      </c>
      <c r="AK34" s="11">
        <f>(1.2*AG34+AH34)*AJ34*AQ34</f>
        <v/>
      </c>
      <c r="AL34" s="10">
        <f>D34</f>
        <v/>
      </c>
      <c r="AM34" s="14">
        <f>B34</f>
        <v/>
      </c>
      <c r="AN34" s="13" t="n"/>
      <c r="AO34" s="13">
        <f>AN34+1</f>
        <v/>
      </c>
      <c r="AP34" s="13">
        <f>IF(AK34&gt;13.1,IF(Z34&lt;101,IF(Z34&lt;35,IF(Z34&lt;6,3,2),1),0),0)</f>
        <v/>
      </c>
      <c r="AQ34" s="11" t="n">
        <v>1</v>
      </c>
      <c r="AR34" s="11">
        <f>IF(AP34&gt;0,IF(AB34&gt;10,(AB34/Z34),10/Z34),0)</f>
        <v/>
      </c>
      <c r="AS34" s="11" t="n"/>
      <c r="AT34" s="11">
        <f>100*(AK34-AQ34)/AQ34</f>
        <v/>
      </c>
      <c r="AU34" s="13" t="n">
        <v>2.68312315535283</v>
      </c>
      <c r="AV34" s="13" t="n">
        <v>13.4156157767642</v>
      </c>
      <c r="AW34" s="10" t="n">
        <v>5</v>
      </c>
      <c r="AX34" s="10" t="n"/>
      <c r="AY34" s="10" t="n">
        <v>66</v>
      </c>
      <c r="AZ34" s="13" t="n"/>
      <c r="BA34" s="10" t="n">
        <v>45</v>
      </c>
      <c r="BB34" s="11" t="n"/>
      <c r="BC34" s="11" t="n"/>
      <c r="BD34" s="11" t="n"/>
      <c r="BE34" s="11" t="n"/>
      <c r="BF34" s="11" t="n">
        <v>30</v>
      </c>
      <c r="BG34" s="11" t="n">
        <v>-54.5454545454546</v>
      </c>
      <c r="BH34" s="11" t="n">
        <v>-33.3333333333333</v>
      </c>
    </row>
    <row r="35" ht="12.75" customHeight="1">
      <c r="B35" s="20" t="inlineStr">
        <is>
          <t>3C IT</t>
        </is>
      </c>
      <c r="C35" s="10" t="n">
        <v>2024</v>
      </c>
      <c r="D35" s="10" t="inlineStr">
        <is>
          <t>Neg</t>
        </is>
      </c>
      <c r="E35" s="11" t="n">
        <v>0</v>
      </c>
      <c r="F35" s="11" t="n">
        <v>4.6</v>
      </c>
      <c r="G35" s="11">
        <f>100*(F35-E35)/F35</f>
        <v/>
      </c>
      <c r="H35" s="10" t="n">
        <v>12.5</v>
      </c>
      <c r="I35" s="11" t="n">
        <v>0.67</v>
      </c>
      <c r="J35" s="11" t="n"/>
      <c r="K35" s="11" t="n">
        <v>0.47</v>
      </c>
      <c r="L35" s="11" t="n"/>
      <c r="M35" s="11" t="n">
        <v>3.39</v>
      </c>
      <c r="N35" s="11" t="n"/>
      <c r="O35" s="11" t="n">
        <v>30.91</v>
      </c>
      <c r="P35" s="11">
        <f>O35/I35</f>
        <v/>
      </c>
      <c r="Q35" s="11" t="n">
        <v>5.86</v>
      </c>
      <c r="R35" s="11" t="n">
        <v>46.47</v>
      </c>
      <c r="S35" s="12" t="n">
        <v>0</v>
      </c>
      <c r="T35" s="13" t="n"/>
      <c r="U35" s="13" t="n"/>
      <c r="V35" s="13" t="n">
        <v>0</v>
      </c>
      <c r="W35" s="11" t="n"/>
      <c r="X35" s="11" t="n">
        <v>0</v>
      </c>
      <c r="Y35" s="11" t="n">
        <v>10.63</v>
      </c>
      <c r="Z35" s="11" t="n">
        <v>29.79</v>
      </c>
      <c r="AA35" s="11">
        <f>IF(X35&lt;50,IF(Y35&gt;(2.3*X35),0,1),1)-IF(Z35&gt;Y35,1.7,0)</f>
        <v/>
      </c>
      <c r="AB35" s="11" t="n">
        <v>0</v>
      </c>
      <c r="AC35" s="11">
        <f>IF(AB35&gt;4,1,0)+AB35/7</f>
        <v/>
      </c>
      <c r="AD35" s="11" t="n">
        <v>3</v>
      </c>
      <c r="AE35" s="11" t="n">
        <v>-6</v>
      </c>
      <c r="AF35" s="11" t="inlineStr">
        <is>
          <t>N/A</t>
        </is>
      </c>
      <c r="AG35" s="12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11">
        <f>AG35+IF(X35&lt;1.35,0,1)+IF(Y35&lt;1.35,0,1)+AC35+AA35</f>
        <v/>
      </c>
      <c r="AI35" s="11" t="n">
        <v>11</v>
      </c>
      <c r="AJ35" s="11">
        <f>IF(AI35&gt;12.7,IF(AI35&gt;15.8,0.93,0.98),1)</f>
        <v/>
      </c>
      <c r="AK35" s="11">
        <f>(1.2*AG35+AH35)*AJ35*AQ35</f>
        <v/>
      </c>
      <c r="AL35" s="10">
        <f>D35</f>
        <v/>
      </c>
      <c r="AM35" s="14">
        <f>B35</f>
        <v/>
      </c>
      <c r="AN35" s="13" t="n"/>
      <c r="AO35" s="13">
        <f>AN35+1</f>
        <v/>
      </c>
      <c r="AP35" s="13">
        <f>IF(AK35&gt;13.1,IF(Z35&lt;101,IF(Z35&lt;35,IF(Z35&lt;6,3,2),1),0),0)</f>
        <v/>
      </c>
      <c r="AQ35" s="11" t="n">
        <v>1</v>
      </c>
      <c r="AR35" s="11">
        <f>IF(AP35&gt;0,IF(AB35&gt;10,(AB35/Z35),10/Z35),0)</f>
        <v/>
      </c>
      <c r="AS35" s="11" t="n"/>
      <c r="AT35" s="11">
        <f>100*(AK35-AQ35)/AQ35</f>
        <v/>
      </c>
      <c r="AU35" s="13" t="n">
        <v>6.71366230278617</v>
      </c>
      <c r="AV35" s="13" t="n">
        <v>33.5683115139309</v>
      </c>
      <c r="AW35" s="10" t="n">
        <v>5</v>
      </c>
      <c r="AX35" s="10" t="n"/>
      <c r="AY35" s="10" t="n">
        <v>52</v>
      </c>
      <c r="AZ35" s="13" t="n"/>
      <c r="BA35" s="10" t="n">
        <v>43</v>
      </c>
      <c r="BB35" s="11" t="n"/>
      <c r="BC35" s="11" t="n"/>
      <c r="BD35" s="11" t="n"/>
      <c r="BE35" s="11" t="n"/>
      <c r="BF35" s="11" t="n">
        <v>18</v>
      </c>
      <c r="BG35" s="11" t="n">
        <v>-65.3846153846154</v>
      </c>
      <c r="BH35" s="11" t="n">
        <v>-58.1395348837209</v>
      </c>
    </row>
    <row r="36" ht="12.75" customHeight="1">
      <c r="B36" s="20" t="inlineStr">
        <is>
          <t>M.V.K. Agro Food</t>
        </is>
      </c>
      <c r="C36" s="10" t="n">
        <v>2024</v>
      </c>
      <c r="D36" s="10" t="inlineStr">
        <is>
          <t>Neg</t>
        </is>
      </c>
      <c r="E36" s="11" t="n">
        <v>91.56</v>
      </c>
      <c r="F36" s="11" t="n">
        <v>13.38</v>
      </c>
      <c r="G36" s="11">
        <f>100*(F36-E36)/F36</f>
        <v/>
      </c>
      <c r="H36" s="10" t="n">
        <v>154.2</v>
      </c>
      <c r="I36" s="11" t="n">
        <v>3.77</v>
      </c>
      <c r="J36" s="11" t="n"/>
      <c r="K36" s="11" t="n">
        <v>3.77</v>
      </c>
      <c r="L36" s="11" t="n"/>
      <c r="M36" s="11" t="n">
        <v>16.61</v>
      </c>
      <c r="N36" s="11" t="n"/>
      <c r="O36" s="11" t="n">
        <v>93.94</v>
      </c>
      <c r="P36" s="11">
        <f>O36/I36</f>
        <v/>
      </c>
      <c r="Q36" s="11" t="n">
        <v>31.8</v>
      </c>
      <c r="R36" s="11" t="n">
        <v>31.8</v>
      </c>
      <c r="S36" s="12" t="n">
        <v>0</v>
      </c>
      <c r="T36" s="13" t="n"/>
      <c r="U36" s="13" t="n"/>
      <c r="V36" s="13" t="n">
        <v>0</v>
      </c>
      <c r="W36" s="11" t="n"/>
      <c r="X36" s="11" t="inlineStr">
        <is>
          <t>N/A</t>
        </is>
      </c>
      <c r="Y36" s="11" t="n">
        <v>3.9</v>
      </c>
      <c r="Z36" s="11" t="n">
        <v>13.01</v>
      </c>
      <c r="AA36" s="11">
        <f>IF(X36&lt;50,IF(Y36&gt;(2.3*X36),0,1),1)-IF(Z36&gt;Y36,1.7,0)</f>
        <v/>
      </c>
      <c r="AB36" s="11" t="n">
        <v>0</v>
      </c>
      <c r="AC36" s="11">
        <f>IF(AB36&gt;4,1,0)+AB36/7</f>
        <v/>
      </c>
      <c r="AD36" s="11" t="n">
        <v>18</v>
      </c>
      <c r="AE36" s="11" t="n">
        <v>-29</v>
      </c>
      <c r="AF36" s="11" t="inlineStr">
        <is>
          <t>N/A</t>
        </is>
      </c>
      <c r="AG36" s="12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11">
        <f>AG36+IF(X36&lt;1.35,0,1)+IF(Y36&lt;1.35,0,1)+AC36+AA36</f>
        <v/>
      </c>
      <c r="AI36" s="11" t="n">
        <v>11</v>
      </c>
      <c r="AJ36" s="11">
        <f>IF(AI36&gt;12.7,IF(AI36&gt;15.8,0.93,0.98),1)</f>
        <v/>
      </c>
      <c r="AK36" s="11">
        <f>(1.2*AG36+AH36)*AJ36*AQ36</f>
        <v/>
      </c>
      <c r="AL36" s="10">
        <f>D36</f>
        <v/>
      </c>
      <c r="AM36" s="14">
        <f>B36</f>
        <v/>
      </c>
      <c r="AN36" s="13" t="n"/>
      <c r="AO36" s="13">
        <f>AN36+1</f>
        <v/>
      </c>
      <c r="AP36" s="13">
        <f>IF(AK36&gt;13.1,IF(Z36&lt;101,IF(Z36&lt;35,IF(Z36&lt;6,3,2),1),0),0)</f>
        <v/>
      </c>
      <c r="AQ36" s="11" t="n">
        <v>1</v>
      </c>
      <c r="AR36" s="11">
        <f>IF(AP36&gt;0,IF(AB36&gt;10,(AB36/Z36),10/Z36),0)</f>
        <v/>
      </c>
      <c r="AS36" s="11" t="n"/>
      <c r="AT36" s="11">
        <f>100*(AK36-AQ36)/AQ36</f>
        <v/>
      </c>
      <c r="AU36" s="13" t="n">
        <v>15.3727901614143</v>
      </c>
      <c r="AV36" s="13" t="n">
        <v>76.8639508070715</v>
      </c>
      <c r="AW36" s="10" t="n">
        <v>5</v>
      </c>
      <c r="AX36" s="10" t="n"/>
      <c r="AY36" s="10" t="n">
        <v>120</v>
      </c>
      <c r="AZ36" s="13" t="n"/>
      <c r="BA36" s="10" t="n">
        <v>79</v>
      </c>
      <c r="BB36" s="11" t="n"/>
      <c r="BC36" s="11" t="n"/>
      <c r="BD36" s="11" t="n"/>
      <c r="BE36" s="11" t="n"/>
      <c r="BF36" s="11" t="n">
        <v>525</v>
      </c>
      <c r="BG36" s="11" t="n">
        <v>337.5</v>
      </c>
      <c r="BH36" s="11" t="n">
        <v>564.556962025317</v>
      </c>
    </row>
    <row r="37" ht="12.75" customHeight="1">
      <c r="B37" s="20" t="inlineStr">
        <is>
          <t>Sona Machinery</t>
        </is>
      </c>
      <c r="C37" s="10" t="n">
        <v>2024</v>
      </c>
      <c r="D37" s="14" t="inlineStr">
        <is>
          <t>Rec</t>
        </is>
      </c>
      <c r="E37" s="11" t="n">
        <v>2.53</v>
      </c>
      <c r="F37" s="11" t="n">
        <v>11.32</v>
      </c>
      <c r="G37" s="11">
        <f>100*(F37-E37)/F37</f>
        <v/>
      </c>
      <c r="H37" s="10" t="n">
        <v>28.58</v>
      </c>
      <c r="I37" s="11" t="n">
        <v>7.68</v>
      </c>
      <c r="J37" s="11" t="n"/>
      <c r="K37" s="11" t="n">
        <v>7.61</v>
      </c>
      <c r="L37" s="11" t="n"/>
      <c r="M37" s="11" t="n">
        <v>11.96</v>
      </c>
      <c r="N37" s="11" t="n"/>
      <c r="O37" s="11" t="n">
        <v>80.97</v>
      </c>
      <c r="P37" s="11">
        <f>O37/I37</f>
        <v/>
      </c>
      <c r="Q37" s="11" t="n">
        <v>18.79</v>
      </c>
      <c r="R37" s="11" t="n">
        <v>18.79</v>
      </c>
      <c r="S37" s="12" t="n">
        <v>0</v>
      </c>
      <c r="T37" s="13" t="n"/>
      <c r="U37" s="13" t="n"/>
      <c r="V37" s="13" t="n">
        <v>1</v>
      </c>
      <c r="W37" s="11" t="n"/>
      <c r="X37" s="11" t="n">
        <v>129.72</v>
      </c>
      <c r="Y37" s="11" t="n">
        <v>554.42</v>
      </c>
      <c r="Z37" s="11" t="n">
        <v>235.06</v>
      </c>
      <c r="AA37" s="11">
        <f>IF(X37&lt;50,IF(Y37&gt;(2.3*X37),0,1),1)-IF(Z37&gt;Y37,1.7,0)</f>
        <v/>
      </c>
      <c r="AB37" s="11" t="n">
        <v>21</v>
      </c>
      <c r="AC37" s="11">
        <f>IF(AB37&gt;4,1,0)+AB37/7</f>
        <v/>
      </c>
      <c r="AD37" s="11" t="n">
        <v>135</v>
      </c>
      <c r="AE37" s="11" t="n">
        <v>82</v>
      </c>
      <c r="AF37" s="11" t="n">
        <v>211</v>
      </c>
      <c r="AG37" s="12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11">
        <f>AG37+IF(X37&lt;1.35,0,1)+IF(Y37&lt;1.35,0,1)+AC37+AA37</f>
        <v/>
      </c>
      <c r="AI37" s="11" t="n">
        <v>11</v>
      </c>
      <c r="AJ37" s="11">
        <f>IF(AI37&gt;12.7,IF(AI37&gt;15.8,0.93,0.98),1)</f>
        <v/>
      </c>
      <c r="AK37" s="11">
        <f>(1.2*AG37+AH37)*AJ37*AQ37</f>
        <v/>
      </c>
      <c r="AL37" s="10">
        <f>D37</f>
        <v/>
      </c>
      <c r="AM37" s="14">
        <f>B37</f>
        <v/>
      </c>
      <c r="AN37" s="13" t="n"/>
      <c r="AO37" s="13">
        <f>AN37+1</f>
        <v/>
      </c>
      <c r="AP37" s="13">
        <f>IF(AK37&gt;13.1,IF(Z37&lt;101,IF(Z37&lt;35,IF(Z37&lt;6,3,2),1),0),0)</f>
        <v/>
      </c>
      <c r="AQ37" s="11" t="n">
        <v>1</v>
      </c>
      <c r="AR37" s="11">
        <f>IF(AP37&gt;0,IF(AB37&gt;10,(AB37/Z37),10/Z37),0)</f>
        <v/>
      </c>
      <c r="AS37" s="11" t="n"/>
      <c r="AT37" s="11">
        <f>100*(AK37-AQ37)/AQ37</f>
        <v/>
      </c>
      <c r="AU37" s="13" t="n">
        <v>0.850846592359398</v>
      </c>
      <c r="AV37" s="13" t="n">
        <v>4.25423296179699</v>
      </c>
      <c r="AW37" s="10" t="n">
        <v>5</v>
      </c>
      <c r="AX37" s="10" t="n"/>
      <c r="AY37" s="10" t="n">
        <v>143</v>
      </c>
      <c r="AZ37" s="13" t="n"/>
      <c r="BA37" s="10" t="n">
        <v>125</v>
      </c>
      <c r="BB37" s="11" t="n">
        <v>126.3</v>
      </c>
      <c r="BC37" s="11" t="n">
        <v>143</v>
      </c>
      <c r="BD37" s="11" t="n">
        <v>142</v>
      </c>
      <c r="BE37" s="11" t="n"/>
      <c r="BF37" s="11" t="n">
        <v>73</v>
      </c>
      <c r="BG37" s="11" t="n">
        <v>-48.951048951049</v>
      </c>
      <c r="BH37" s="11" t="n">
        <v>-41.6</v>
      </c>
    </row>
    <row r="38" ht="12.75" customHeight="1">
      <c r="B38" s="20" t="inlineStr">
        <is>
          <t>Italian Edibles</t>
        </is>
      </c>
      <c r="C38" s="10" t="n">
        <v>2024</v>
      </c>
      <c r="D38" s="10" t="inlineStr">
        <is>
          <t>Neg</t>
        </is>
      </c>
      <c r="E38" s="11" t="n">
        <v>20.57</v>
      </c>
      <c r="F38" s="11" t="n">
        <v>40.84</v>
      </c>
      <c r="G38" s="11">
        <f>100*(F38-E38)/F38</f>
        <v/>
      </c>
      <c r="H38" s="10" t="n">
        <v>70.40000000000001</v>
      </c>
      <c r="I38" s="11" t="n">
        <v>5.04</v>
      </c>
      <c r="J38" s="11" t="n"/>
      <c r="K38" s="11" t="n">
        <v>4.64</v>
      </c>
      <c r="L38" s="11" t="n"/>
      <c r="M38" s="11" t="n">
        <v>7.07</v>
      </c>
      <c r="N38" s="11" t="n"/>
      <c r="O38" s="11" t="n">
        <v>73.25</v>
      </c>
      <c r="P38" s="11">
        <f>O38/I38</f>
        <v/>
      </c>
      <c r="Q38" s="11" t="n">
        <v>19.97</v>
      </c>
      <c r="R38" s="11" t="n">
        <v>19.97</v>
      </c>
      <c r="S38" s="12" t="n">
        <v>0</v>
      </c>
      <c r="T38" s="13" t="n"/>
      <c r="U38" s="13" t="n"/>
      <c r="V38" s="13" t="n">
        <v>0</v>
      </c>
      <c r="W38" s="11" t="n"/>
      <c r="X38" s="11" t="n">
        <v>0</v>
      </c>
      <c r="Y38" s="11" t="n">
        <v>177.37</v>
      </c>
      <c r="Z38" s="11" t="n">
        <v>120.62</v>
      </c>
      <c r="AA38" s="11">
        <f>IF(X38&lt;50,IF(Y38&gt;(2.3*X38),0,1),1)-IF(Z38&gt;Y38,1.7,0)</f>
        <v/>
      </c>
      <c r="AB38" s="11" t="n">
        <v>17</v>
      </c>
      <c r="AC38" s="11">
        <f>IF(AB38&gt;4,1,0)+AB38/7</f>
        <v/>
      </c>
      <c r="AD38" s="11" t="n">
        <v>229</v>
      </c>
      <c r="AE38" s="11" t="n">
        <v>-16</v>
      </c>
      <c r="AF38" s="11" t="n">
        <v>279</v>
      </c>
      <c r="AG38" s="12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11">
        <f>AG38+IF(X38&lt;1.35,0,1)+IF(Y38&lt;1.35,0,1)+AC38+AA38</f>
        <v/>
      </c>
      <c r="AI38" s="11" t="n">
        <v>11</v>
      </c>
      <c r="AJ38" s="11">
        <f>IF(AI38&gt;12.7,IF(AI38&gt;15.8,0.93,0.98),1)</f>
        <v/>
      </c>
      <c r="AK38" s="11">
        <f>(1.2*AG38+AH38)*AJ38*AQ38</f>
        <v/>
      </c>
      <c r="AL38" s="10">
        <f>D38</f>
        <v/>
      </c>
      <c r="AM38" s="14">
        <f>B38</f>
        <v/>
      </c>
      <c r="AN38" s="13" t="n"/>
      <c r="AO38" s="13">
        <f>AN38+1</f>
        <v/>
      </c>
      <c r="AP38" s="13">
        <f>IF(AK38&gt;13.1,IF(Z38&lt;101,IF(Z38&lt;35,IF(Z38&lt;6,3,2),1),0),0)</f>
        <v/>
      </c>
      <c r="AQ38" s="11" t="n">
        <v>1</v>
      </c>
      <c r="AR38" s="11">
        <f>IF(AP38&gt;0,IF(AB38&gt;10,(AB38/Z38),10/Z38),0)</f>
        <v/>
      </c>
      <c r="AS38" s="11" t="n"/>
      <c r="AT38" s="11">
        <f>100*(AK38-AQ38)/AQ38</f>
        <v/>
      </c>
      <c r="AU38" s="13" t="n">
        <v>1.65809981760902</v>
      </c>
      <c r="AV38" s="13" t="n">
        <v>8.290499088045101</v>
      </c>
      <c r="AW38" s="10" t="n">
        <v>5</v>
      </c>
      <c r="AX38" s="10" t="n"/>
      <c r="AY38" s="10" t="n">
        <v>68</v>
      </c>
      <c r="AZ38" s="13" t="n"/>
      <c r="BA38" s="10" t="n">
        <v>55</v>
      </c>
      <c r="BB38" s="11" t="n"/>
      <c r="BC38" s="11" t="n"/>
      <c r="BD38" s="11" t="n"/>
      <c r="BE38" s="11" t="n"/>
      <c r="BF38" s="11" t="n">
        <v>34</v>
      </c>
      <c r="BG38" s="11" t="n">
        <v>-50</v>
      </c>
      <c r="BH38" s="11" t="n">
        <v>-38.1818181818182</v>
      </c>
    </row>
    <row r="39" ht="12.75" customHeight="1">
      <c r="B39" s="20" t="inlineStr">
        <is>
          <t>Mandeep Auto Industries</t>
        </is>
      </c>
      <c r="C39" s="10" t="n">
        <v>2024</v>
      </c>
      <c r="D39" s="10" t="inlineStr">
        <is>
          <t>Neg</t>
        </is>
      </c>
      <c r="E39" s="11" t="n">
        <v>10.29</v>
      </c>
      <c r="F39" s="11" t="n">
        <v>11.32</v>
      </c>
      <c r="G39" s="11">
        <f>100*(F39-E39)/F39</f>
        <v/>
      </c>
      <c r="H39" s="10" t="n">
        <v>39.75</v>
      </c>
      <c r="I39" s="11" t="n">
        <v>2.77</v>
      </c>
      <c r="J39" s="11" t="n"/>
      <c r="K39" s="11" t="n">
        <v>2.68</v>
      </c>
      <c r="L39" s="11" t="n"/>
      <c r="M39" s="11" t="n">
        <v>4.73</v>
      </c>
      <c r="N39" s="11" t="n"/>
      <c r="O39" s="11" t="n">
        <v>29.79</v>
      </c>
      <c r="P39" s="11">
        <f>O39/I39</f>
        <v/>
      </c>
      <c r="Q39" s="11" t="n">
        <v>25</v>
      </c>
      <c r="R39" s="11" t="n">
        <v>25</v>
      </c>
      <c r="S39" s="12" t="n">
        <v>0</v>
      </c>
      <c r="T39" s="13" t="n"/>
      <c r="U39" s="13" t="n"/>
      <c r="V39" s="13" t="n">
        <v>0</v>
      </c>
      <c r="W39" s="11" t="n"/>
      <c r="X39" s="11" t="n">
        <v>0</v>
      </c>
      <c r="Y39" s="11" t="n">
        <v>61.54</v>
      </c>
      <c r="Z39" s="11" t="n">
        <v>90.56999999999999</v>
      </c>
      <c r="AA39" s="11">
        <f>IF(X39&lt;50,IF(Y39&gt;(2.3*X39),0,1),1)-IF(Z39&gt;Y39,1.7,0)</f>
        <v/>
      </c>
      <c r="AB39" s="11" t="n">
        <v>6</v>
      </c>
      <c r="AC39" s="11">
        <f>IF(AB39&gt;4,1,0)+AB39/7</f>
        <v/>
      </c>
      <c r="AD39" s="11" t="n">
        <v>86</v>
      </c>
      <c r="AE39" s="11" t="n">
        <v>31</v>
      </c>
      <c r="AF39" s="11" t="n">
        <v>81</v>
      </c>
      <c r="AG39" s="12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11">
        <f>AG39+IF(X39&lt;1.35,0,1)+IF(Y39&lt;1.35,0,1)+AC39+AA39</f>
        <v/>
      </c>
      <c r="AI39" s="11" t="n">
        <v>11</v>
      </c>
      <c r="AJ39" s="11">
        <f>IF(AI39&gt;12.7,IF(AI39&gt;15.8,0.93,0.98),1)</f>
        <v/>
      </c>
      <c r="AK39" s="11">
        <f>(1.2*AG39+AH39)*AJ39*AQ39</f>
        <v/>
      </c>
      <c r="AL39" s="10">
        <f>D39</f>
        <v/>
      </c>
      <c r="AM39" s="14">
        <f>B39</f>
        <v/>
      </c>
      <c r="AN39" s="13" t="n"/>
      <c r="AO39" s="13">
        <f>AN39+1</f>
        <v/>
      </c>
      <c r="AP39" s="13">
        <f>IF(AK39&gt;13.1,IF(Z39&lt;101,IF(Z39&lt;35,IF(Z39&lt;6,3,2),1),0),0)</f>
        <v/>
      </c>
      <c r="AQ39" s="11" t="n">
        <v>1</v>
      </c>
      <c r="AR39" s="11">
        <f>IF(AP39&gt;0,IF(AB39&gt;10,(AB39/Z39),10/Z39),0)</f>
        <v/>
      </c>
      <c r="AS39" s="11" t="n"/>
      <c r="AT39" s="11">
        <f>100*(AK39-AQ39)/AQ39</f>
        <v/>
      </c>
      <c r="AU39" s="13" t="n">
        <v>2.2082367229767</v>
      </c>
      <c r="AV39" s="13" t="n">
        <v>11.0411836148835</v>
      </c>
      <c r="AW39" s="10" t="n">
        <v>5</v>
      </c>
      <c r="AX39" s="10" t="n"/>
      <c r="AY39" s="10" t="n">
        <v>67</v>
      </c>
      <c r="AZ39" s="13" t="n"/>
      <c r="BA39" s="10" t="n">
        <v>62</v>
      </c>
      <c r="BB39" s="11" t="n"/>
      <c r="BC39" s="11" t="n"/>
      <c r="BD39" s="11" t="n"/>
      <c r="BE39" s="11" t="n"/>
      <c r="BF39" s="11" t="n">
        <v>26</v>
      </c>
      <c r="BG39" s="11" t="n">
        <v>-61.1940298507463</v>
      </c>
      <c r="BH39" s="11" t="n">
        <v>-58.0645161290323</v>
      </c>
    </row>
    <row r="40" ht="12.75" customHeight="1">
      <c r="B40" s="20" t="inlineStr">
        <is>
          <t>Falcon Technoprojects India</t>
        </is>
      </c>
      <c r="C40" s="10" t="n">
        <v>2024</v>
      </c>
      <c r="D40" s="10" t="inlineStr">
        <is>
          <t>Neg</t>
        </is>
      </c>
      <c r="E40" s="11" t="n">
        <v>7.7</v>
      </c>
      <c r="F40" s="11" t="n">
        <v>9.01</v>
      </c>
      <c r="G40" s="11">
        <f>100*(F40-E40)/F40</f>
        <v/>
      </c>
      <c r="H40" s="10" t="n">
        <v>21.05</v>
      </c>
      <c r="I40" s="11" t="n">
        <v>0.87</v>
      </c>
      <c r="J40" s="11" t="n"/>
      <c r="K40" s="11" t="n">
        <v>1.94</v>
      </c>
      <c r="L40" s="11" t="n"/>
      <c r="M40" s="11" t="n">
        <v>2</v>
      </c>
      <c r="N40" s="11" t="n"/>
      <c r="O40" s="11" t="n">
        <v>11.44</v>
      </c>
      <c r="P40" s="11">
        <f>O40/I40</f>
        <v/>
      </c>
      <c r="Q40" s="11" t="n">
        <v>47.21</v>
      </c>
      <c r="R40" s="11" t="n">
        <v>47.21</v>
      </c>
      <c r="S40" s="12" t="n">
        <v>0</v>
      </c>
      <c r="T40" s="13" t="n"/>
      <c r="U40" s="13" t="n"/>
      <c r="V40" s="13" t="n">
        <v>0</v>
      </c>
      <c r="W40" s="11" t="n"/>
      <c r="X40" s="11" t="n">
        <v>0</v>
      </c>
      <c r="Y40" s="11" t="n">
        <v>45.02</v>
      </c>
      <c r="Z40" s="11" t="n">
        <v>82.72</v>
      </c>
      <c r="AA40" s="11">
        <f>IF(X40&lt;50,IF(Y40&gt;(2.3*X40),0,1),1)-IF(Z40&gt;Y40,1.7,0)</f>
        <v/>
      </c>
      <c r="AB40" s="11" t="n">
        <v>0</v>
      </c>
      <c r="AC40" s="11">
        <f>IF(AB40&gt;4,1,0)+AB40/7</f>
        <v/>
      </c>
      <c r="AD40" s="11" t="n">
        <v>-16</v>
      </c>
      <c r="AE40" s="11" t="n">
        <v>-31</v>
      </c>
      <c r="AF40" s="11" t="n">
        <v>170</v>
      </c>
      <c r="AG40" s="12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11">
        <f>AG40+IF(X40&lt;1.35,0,1)+IF(Y40&lt;1.35,0,1)+AC40+AA40</f>
        <v/>
      </c>
      <c r="AI40" s="11" t="n">
        <v>11</v>
      </c>
      <c r="AJ40" s="11">
        <f>IF(AI40&gt;12.7,IF(AI40&gt;15.8,0.93,0.98),1)</f>
        <v/>
      </c>
      <c r="AK40" s="11">
        <f>(1.2*AG40+AH40)*AJ40*AQ40</f>
        <v/>
      </c>
      <c r="AL40" s="10">
        <f>D40</f>
        <v/>
      </c>
      <c r="AM40" s="14">
        <f>B40</f>
        <v/>
      </c>
      <c r="AN40" s="13" t="n"/>
      <c r="AO40" s="13">
        <f>AN40+1</f>
        <v/>
      </c>
      <c r="AP40" s="13">
        <f>IF(AK40&gt;13.1,IF(Z40&lt;101,IF(Z40&lt;35,IF(Z40&lt;6,3,2),1),0),0)</f>
        <v/>
      </c>
      <c r="AQ40" s="11" t="n">
        <v>1</v>
      </c>
      <c r="AR40" s="11">
        <f>IF(AP40&gt;0,IF(AB40&gt;10,(AB40/Z40),10/Z40),0)</f>
        <v/>
      </c>
      <c r="AS40" s="11" t="n"/>
      <c r="AT40" s="11">
        <f>100*(AK40-AQ40)/AQ40</f>
        <v/>
      </c>
      <c r="AU40" s="13" t="n">
        <v>2.41779497098646</v>
      </c>
      <c r="AV40" s="13" t="n">
        <v>12.0889748549323</v>
      </c>
      <c r="AW40" s="10" t="n">
        <v>5</v>
      </c>
      <c r="AX40" s="10" t="n"/>
      <c r="AY40" s="10" t="n">
        <v>92</v>
      </c>
      <c r="AZ40" s="13" t="n"/>
      <c r="BA40" s="10" t="n">
        <v>84</v>
      </c>
      <c r="BB40" s="11" t="n"/>
      <c r="BC40" s="11" t="n"/>
      <c r="BD40" s="11" t="n"/>
      <c r="BE40" s="11" t="n"/>
      <c r="BF40" s="11" t="n">
        <v>18</v>
      </c>
      <c r="BG40" s="11" t="n">
        <v>-80.4347826086957</v>
      </c>
      <c r="BH40" s="11" t="n">
        <v>-78.5714285714286</v>
      </c>
    </row>
    <row r="41" ht="12.75" customHeight="1">
      <c r="B41" s="20" t="inlineStr">
        <is>
          <t>Aatmaj Healthcare</t>
        </is>
      </c>
      <c r="C41" s="10" t="n">
        <v>2023</v>
      </c>
      <c r="D41" s="10" t="inlineStr">
        <is>
          <t>Neg</t>
        </is>
      </c>
      <c r="E41" s="10" t="n">
        <v>8.94</v>
      </c>
      <c r="F41" s="10" t="n">
        <v>11.02</v>
      </c>
      <c r="G41" s="11">
        <f>100*(F41-E41)/F41</f>
        <v/>
      </c>
      <c r="H41" s="10" t="n">
        <v>23.23</v>
      </c>
      <c r="I41" s="10" t="n">
        <v>6.85</v>
      </c>
      <c r="J41" s="10" t="n"/>
      <c r="K41" s="10" t="n">
        <v>9.109999999999999</v>
      </c>
      <c r="L41" s="10" t="n"/>
      <c r="M41" s="10" t="n">
        <v>7.52</v>
      </c>
      <c r="N41" s="10" t="n"/>
      <c r="O41" s="10" t="n">
        <v>21.81</v>
      </c>
      <c r="P41" s="11">
        <f>O41/I41</f>
        <v/>
      </c>
      <c r="Q41" s="10" t="n">
        <v>17.6</v>
      </c>
      <c r="R41" s="11" t="n">
        <v>17.6</v>
      </c>
      <c r="S41" s="12" t="n">
        <v>0</v>
      </c>
      <c r="T41" s="13" t="n"/>
      <c r="U41" s="13" t="n"/>
      <c r="V41" s="13" t="n">
        <v>0</v>
      </c>
      <c r="W41" s="10" t="n"/>
      <c r="X41" s="10" t="n">
        <v>0</v>
      </c>
      <c r="Y41" s="10" t="n">
        <v>36.78</v>
      </c>
      <c r="Z41" s="10" t="n">
        <v>30.27</v>
      </c>
      <c r="AA41" s="11">
        <f>IF(X41&lt;50,IF(Y41&gt;(2.3*X41),0,1),1)-IF(Z41&gt;Y41,1.7,0)</f>
        <v/>
      </c>
      <c r="AB41" s="11" t="n">
        <v>5</v>
      </c>
      <c r="AC41" s="11">
        <f>IF(AB41&gt;4,1,0)+AB41/7</f>
        <v/>
      </c>
      <c r="AD41" s="10" t="n">
        <v>66</v>
      </c>
      <c r="AE41" s="10" t="n">
        <v>26</v>
      </c>
      <c r="AF41" s="10" t="n">
        <v>213</v>
      </c>
      <c r="AG41" s="12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11">
        <f>AG41+IF(X41&lt;1.35,0,1)+IF(Y41&lt;1.35,0,1)+AC41+AA41</f>
        <v/>
      </c>
      <c r="AI41" s="11" t="n">
        <v>11</v>
      </c>
      <c r="AJ41" s="11">
        <f>IF(AI41&gt;12.7,IF(AI41&gt;15.8,0.93,0.98),1)</f>
        <v/>
      </c>
      <c r="AK41" s="11">
        <f>(1.2*AG41+AH41)*AJ41*AQ41</f>
        <v/>
      </c>
      <c r="AL41" s="10">
        <f>D41</f>
        <v/>
      </c>
      <c r="AM41" s="14">
        <f>B41</f>
        <v/>
      </c>
      <c r="AN41" s="13" t="n"/>
      <c r="AO41" s="13">
        <f>AN41+1</f>
        <v/>
      </c>
      <c r="AP41" s="13">
        <f>IF(AK41&gt;13.1,IF(Z41&lt;101,IF(Z41&lt;35,IF(Z41&lt;6,3,2),1),0),0)</f>
        <v/>
      </c>
      <c r="AQ41" s="11" t="n">
        <v>1</v>
      </c>
      <c r="AR41" s="11">
        <f>IF(AP41&gt;0,IF(AB41&gt;10,(AB41/Z41),10/Z41),0)</f>
        <v/>
      </c>
      <c r="AS41" s="11" t="n"/>
      <c r="AT41" s="11">
        <f>100*(AK41-AQ41)/AQ41</f>
        <v/>
      </c>
      <c r="AU41" s="13" t="n"/>
      <c r="AV41" s="13" t="n"/>
      <c r="AW41" s="10" t="n"/>
      <c r="AX41" s="10" t="n"/>
      <c r="AY41" s="10" t="n"/>
      <c r="AZ41" s="13" t="n"/>
      <c r="BA41" s="10" t="n"/>
      <c r="BB41" s="11" t="n"/>
      <c r="BC41" s="11" t="n"/>
      <c r="BD41" s="11" t="n"/>
      <c r="BE41" s="11" t="n"/>
      <c r="BF41" s="11" t="n"/>
      <c r="BG41" s="11" t="n"/>
      <c r="BH41" s="11" t="n"/>
    </row>
    <row r="42" ht="12.75" customHeight="1">
      <c r="B42" s="20" t="inlineStr">
        <is>
          <t>Micropro Software Solutions</t>
        </is>
      </c>
      <c r="C42" s="10" t="n">
        <v>2023</v>
      </c>
      <c r="D42" s="10" t="inlineStr">
        <is>
          <t>Neg</t>
        </is>
      </c>
      <c r="E42" s="10" t="n">
        <v>3.98</v>
      </c>
      <c r="F42" s="10" t="n">
        <v>16.48</v>
      </c>
      <c r="G42" s="11">
        <f>100*(F42-E42)/F42</f>
        <v/>
      </c>
      <c r="H42" s="10" t="n">
        <v>25.6</v>
      </c>
      <c r="I42" s="10" t="n">
        <v>5.92</v>
      </c>
      <c r="J42" s="10" t="n"/>
      <c r="K42" s="10" t="n">
        <v>5.78</v>
      </c>
      <c r="L42" s="10" t="n"/>
      <c r="M42" s="10" t="n">
        <v>8.92</v>
      </c>
      <c r="N42" s="10" t="n"/>
      <c r="O42" s="10" t="n">
        <v>22.06</v>
      </c>
      <c r="P42" s="11">
        <f>O42/I42</f>
        <v/>
      </c>
      <c r="Q42" s="10" t="n">
        <v>14.01</v>
      </c>
      <c r="R42" s="11" t="n">
        <v>14.01</v>
      </c>
      <c r="S42" s="12" t="n">
        <v>0</v>
      </c>
      <c r="T42" s="13" t="n"/>
      <c r="U42" s="13" t="n"/>
      <c r="V42" s="13" t="n">
        <v>0</v>
      </c>
      <c r="W42" s="10" t="n"/>
      <c r="X42" s="10" t="n">
        <v>0</v>
      </c>
      <c r="Y42" s="10" t="n">
        <v>22.6</v>
      </c>
      <c r="Z42" s="10" t="n">
        <v>49.08</v>
      </c>
      <c r="AA42" s="11">
        <f>IF(X42&lt;50,IF(Y42&gt;(2.3*X42),0,1),1)-IF(Z42&gt;Y42,1.7,0)</f>
        <v/>
      </c>
      <c r="AB42" s="11" t="n">
        <v>5</v>
      </c>
      <c r="AC42" s="11">
        <f>IF(AB42&gt;4,1,0)+AB42/7</f>
        <v/>
      </c>
      <c r="AD42" s="10" t="n">
        <v>121.8</v>
      </c>
      <c r="AE42" s="10" t="n">
        <v>26.5</v>
      </c>
      <c r="AF42" s="10" t="n">
        <v>56.35</v>
      </c>
      <c r="AG42" s="12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11">
        <f>AG42+IF(X42&lt;1.35,0,1)+IF(Y42&lt;1.35,0,1)+AC42+AA42</f>
        <v/>
      </c>
      <c r="AI42" s="11" t="n">
        <v>11</v>
      </c>
      <c r="AJ42" s="11">
        <f>IF(AI42&gt;12.7,IF(AI42&gt;15.8,0.93,0.98),1)</f>
        <v/>
      </c>
      <c r="AK42" s="11">
        <f>(1.2*AG42+AH42)*AJ42*AQ42</f>
        <v/>
      </c>
      <c r="AL42" s="10">
        <f>D42</f>
        <v/>
      </c>
      <c r="AM42" s="14">
        <f>B42</f>
        <v/>
      </c>
      <c r="AN42" s="13" t="n"/>
      <c r="AO42" s="13">
        <f>AN42+1</f>
        <v/>
      </c>
      <c r="AP42" s="13">
        <f>IF(AK42&gt;13.1,IF(Z42&lt;101,IF(Z42&lt;35,IF(Z42&lt;6,3,2),1),0),0)</f>
        <v/>
      </c>
      <c r="AQ42" s="11" t="n">
        <v>1</v>
      </c>
      <c r="AR42" s="11">
        <f>IF(AP42&gt;0,IF(AB42&gt;10,(AB42/Z42),10/Z42),0)</f>
        <v/>
      </c>
      <c r="AS42" s="11" t="n"/>
      <c r="AT42" s="11">
        <f>100*(AK42-AQ42)/AQ42</f>
        <v/>
      </c>
      <c r="AU42" s="13" t="n"/>
      <c r="AV42" s="13" t="n"/>
      <c r="AW42" s="10" t="n"/>
      <c r="AX42" s="10" t="n"/>
      <c r="AY42" s="10" t="n"/>
      <c r="AZ42" s="13" t="n"/>
      <c r="BA42" s="10" t="n"/>
      <c r="BB42" s="11" t="n"/>
      <c r="BC42" s="11" t="n"/>
      <c r="BD42" s="11" t="n"/>
      <c r="BE42" s="11" t="n"/>
      <c r="BF42" s="11" t="n"/>
      <c r="BG42" s="11" t="n"/>
      <c r="BH42" s="11" t="n"/>
    </row>
    <row r="43" ht="12.75" customHeight="1">
      <c r="B43" s="20" t="inlineStr">
        <is>
          <t>Vrundavan Plantation</t>
        </is>
      </c>
      <c r="C43" s="10" t="n">
        <v>2023</v>
      </c>
      <c r="D43" s="10" t="inlineStr">
        <is>
          <t>Neg</t>
        </is>
      </c>
      <c r="E43" s="10" t="n">
        <v>1.96</v>
      </c>
      <c r="F43" s="10" t="n">
        <v>4.14</v>
      </c>
      <c r="G43" s="11">
        <f>100*(F43-E43)/F43</f>
        <v/>
      </c>
      <c r="H43" s="10" t="n">
        <v>23.22</v>
      </c>
      <c r="I43" s="10" t="n">
        <v>0.17</v>
      </c>
      <c r="J43" s="10" t="n"/>
      <c r="K43" s="10" t="n">
        <v>0.52</v>
      </c>
      <c r="L43" s="10" t="n"/>
      <c r="M43" s="10" t="n">
        <v>0.29</v>
      </c>
      <c r="N43" s="10" t="n"/>
      <c r="O43" s="10" t="n">
        <v>1.81</v>
      </c>
      <c r="P43" s="11">
        <f>O43/I43</f>
        <v/>
      </c>
      <c r="Q43" s="10" t="n">
        <v>34.62</v>
      </c>
      <c r="R43" s="11" t="n">
        <v>34.62</v>
      </c>
      <c r="S43" s="12" t="n">
        <v>0</v>
      </c>
      <c r="T43" s="13" t="n"/>
      <c r="U43" s="13" t="n"/>
      <c r="V43" s="13" t="n">
        <v>0</v>
      </c>
      <c r="W43" s="10" t="n"/>
      <c r="X43" s="10" t="n">
        <v>0</v>
      </c>
      <c r="Y43" s="10" t="n">
        <v>12</v>
      </c>
      <c r="Z43" s="10" t="n">
        <v>26</v>
      </c>
      <c r="AA43" s="11">
        <f>IF(X43&lt;50,IF(Y43&gt;(2.3*X43),0,1),1)-IF(Z43&gt;Y43,1.7,0)</f>
        <v/>
      </c>
      <c r="AB43" s="11" t="n">
        <v>0</v>
      </c>
      <c r="AC43" s="11">
        <f>IF(AB43&gt;4,1,0)+AB43/7</f>
        <v/>
      </c>
      <c r="AD43" s="10" t="n">
        <v>-50.29</v>
      </c>
      <c r="AE43" s="10" t="n">
        <v>-85.23</v>
      </c>
      <c r="AF43" s="10" t="n">
        <v>285.14</v>
      </c>
      <c r="AG43" s="12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11">
        <f>AG43+IF(X43&lt;1.35,0,1)+IF(Y43&lt;1.35,0,1)+AC43+AA43</f>
        <v/>
      </c>
      <c r="AI43" s="11" t="n">
        <v>11</v>
      </c>
      <c r="AJ43" s="11">
        <f>IF(AI43&gt;12.7,IF(AI43&gt;15.8,0.93,0.98),1)</f>
        <v/>
      </c>
      <c r="AK43" s="11">
        <f>(1.2*AG43+AH43)*AJ43*AQ43</f>
        <v/>
      </c>
      <c r="AL43" s="10">
        <f>D43</f>
        <v/>
      </c>
      <c r="AM43" s="14">
        <f>B43</f>
        <v/>
      </c>
      <c r="AN43" s="13" t="n"/>
      <c r="AO43" s="13">
        <f>AN43+1</f>
        <v/>
      </c>
      <c r="AP43" s="13">
        <f>IF(AK43&gt;13.1,IF(Z43&lt;101,IF(Z43&lt;35,IF(Z43&lt;6,3,2),1),0),0)</f>
        <v/>
      </c>
      <c r="AQ43" s="11" t="n">
        <v>1</v>
      </c>
      <c r="AR43" s="11">
        <f>IF(AP43&gt;0,IF(AB43&gt;10,(AB43/Z43),10/Z43),0)</f>
        <v/>
      </c>
      <c r="AS43" s="11" t="n"/>
      <c r="AT43" s="11">
        <f>100*(AK43-AQ43)/AQ43</f>
        <v/>
      </c>
      <c r="AU43" s="13" t="n"/>
      <c r="AV43" s="13" t="n"/>
      <c r="AW43" s="10" t="n"/>
      <c r="AX43" s="10" t="n"/>
      <c r="AY43" s="10" t="n"/>
      <c r="AZ43" s="13" t="n"/>
      <c r="BA43" s="10" t="n"/>
      <c r="BB43" s="11" t="n"/>
      <c r="BC43" s="11" t="n"/>
      <c r="BD43" s="11" t="n"/>
      <c r="BE43" s="11" t="n"/>
      <c r="BF43" s="11" t="n"/>
      <c r="BG43" s="11" t="n"/>
      <c r="BH43" s="11" t="n"/>
    </row>
    <row r="44" ht="27.75" customHeight="1">
      <c r="B44" s="17" t="inlineStr">
        <is>
          <t>Game Changers Tefab</t>
        </is>
      </c>
      <c r="C44" s="10" t="n">
        <v>2025</v>
      </c>
      <c r="D44" s="17" t="inlineStr">
        <is>
          <t>Pos</t>
        </is>
      </c>
      <c r="E44" s="11" t="n">
        <v>9.74</v>
      </c>
      <c r="F44" s="11" t="n">
        <v>21.01</v>
      </c>
      <c r="G44" s="11">
        <f>100*(F44-E44)/F44</f>
        <v/>
      </c>
      <c r="H44" s="11" t="n">
        <v>30.84</v>
      </c>
      <c r="I44" s="11" t="n">
        <v>12.07</v>
      </c>
      <c r="J44" s="11" t="n"/>
      <c r="K44" s="11" t="n">
        <v>9.630000000000001</v>
      </c>
      <c r="L44" s="11" t="n"/>
      <c r="M44" s="11" t="n">
        <v>18.59</v>
      </c>
      <c r="N44" s="11" t="n"/>
      <c r="O44" s="11" t="n">
        <v>115.59</v>
      </c>
      <c r="P44" s="11">
        <f>O44/I44</f>
        <v/>
      </c>
      <c r="Q44" s="11" t="n">
        <v>10.59</v>
      </c>
      <c r="R44" s="11" t="n"/>
      <c r="S44" s="12" t="n">
        <v>1</v>
      </c>
      <c r="T44" s="13" t="n"/>
      <c r="U44" s="13" t="n"/>
      <c r="V44" s="13" t="n">
        <v>1</v>
      </c>
      <c r="W44" s="11" t="n"/>
      <c r="X44" s="11" t="n">
        <v>1.01</v>
      </c>
      <c r="Y44" s="11" t="n">
        <v>1.48</v>
      </c>
      <c r="Z44" s="11" t="n">
        <v>1.18</v>
      </c>
      <c r="AA44" s="11">
        <f>IF(X44&lt;50,IF(Y44&gt;(2.3*X44),0,1),1)-IF(Z44&gt;Y44,1.7,0)</f>
        <v/>
      </c>
      <c r="AB44" s="11" t="n">
        <v>0</v>
      </c>
      <c r="AC44" s="11">
        <f>IF(AB44&gt;4,1,0)+AB44/7</f>
        <v/>
      </c>
      <c r="AD44" s="11" t="n">
        <v>183</v>
      </c>
      <c r="AE44" s="11" t="n">
        <v>18</v>
      </c>
      <c r="AF44" s="11" t="n">
        <v>135</v>
      </c>
      <c r="AG44" s="12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11">
        <f>AG44+IF(X44&lt;1.35,0,1)+IF(Y44&lt;1.35,0,1)+AC44+AA44</f>
        <v/>
      </c>
      <c r="AI44" s="11" t="n">
        <v>11</v>
      </c>
      <c r="AJ44" s="11">
        <f>IF(AI44&gt;12.7,IF(AI44&gt;15.8,0.93,0.98),1)</f>
        <v/>
      </c>
      <c r="AK44" s="11">
        <f>(1.2*AG44+AH44)*AJ44*AQ44</f>
        <v/>
      </c>
      <c r="AL44" s="10">
        <f>D44</f>
        <v/>
      </c>
      <c r="AM44" s="14">
        <f>B44</f>
        <v/>
      </c>
      <c r="AN44" s="21" t="n"/>
      <c r="AO44" s="13">
        <f>AN44+1</f>
        <v/>
      </c>
      <c r="AP44" s="13">
        <f>IF(AK44&gt;13.1,IF(Z44&lt;101,IF(Z44&lt;35,IF(Z44&lt;6,3,2),1),0),0)</f>
        <v/>
      </c>
      <c r="AQ44" s="11" t="n">
        <v>1</v>
      </c>
      <c r="AR44" s="11">
        <f>IF(AP44&gt;0,IF(AB44&gt;10,(AB44/Z44),10/Z44),0)</f>
        <v/>
      </c>
      <c r="AS44" s="11" t="n"/>
      <c r="AT44" s="11">
        <f>100*(AK44-AQ44)/AQ44</f>
        <v/>
      </c>
      <c r="AU44" s="13" t="n">
        <v>169.491525423729</v>
      </c>
      <c r="AV44" s="13" t="n">
        <v>847.457627118644</v>
      </c>
      <c r="AW44" s="10" t="n">
        <v>5</v>
      </c>
      <c r="AX44" s="10" t="n"/>
      <c r="AY44" s="22" t="n">
        <v>102</v>
      </c>
      <c r="AZ44" s="21" t="n"/>
      <c r="BA44" s="22" t="n">
        <v>104.15</v>
      </c>
      <c r="BB44" s="23" t="n">
        <v>109.32</v>
      </c>
      <c r="BC44" s="23" t="n">
        <v>114.89</v>
      </c>
      <c r="BD44" s="23" t="n">
        <v>112</v>
      </c>
      <c r="BE44" s="23" t="n">
        <v>162</v>
      </c>
      <c r="BF44" s="11" t="n"/>
      <c r="BG44" s="11">
        <f>#DIV/0!</f>
        <v/>
      </c>
      <c r="BH44" s="11">
        <f>#DIV/0!</f>
        <v/>
      </c>
    </row>
    <row r="45" ht="11.25" customHeight="1">
      <c r="B45" s="24" t="inlineStr">
        <is>
          <t>Jayesh Logistics</t>
        </is>
      </c>
      <c r="C45" s="10" t="n">
        <v>2025</v>
      </c>
      <c r="D45" s="10" t="inlineStr">
        <is>
          <t>Neg</t>
        </is>
      </c>
      <c r="E45" s="11" t="n">
        <v>27.99</v>
      </c>
      <c r="F45" s="11" t="n">
        <v>17.33</v>
      </c>
      <c r="G45" s="11">
        <f>100*(F45-E45)/F45</f>
        <v/>
      </c>
      <c r="H45" s="11" t="n">
        <v>58.88</v>
      </c>
      <c r="I45" s="11" t="n">
        <v>7.2</v>
      </c>
      <c r="J45" s="11" t="n"/>
      <c r="K45" s="11" t="n">
        <v>11.34</v>
      </c>
      <c r="L45" s="11" t="n"/>
      <c r="M45" s="11" t="n">
        <v>16.93</v>
      </c>
      <c r="N45" s="11" t="n"/>
      <c r="O45" s="11" t="n">
        <v>112.03</v>
      </c>
      <c r="P45" s="11">
        <f>O45/I45</f>
        <v/>
      </c>
      <c r="Q45" s="11" t="n">
        <v>10.75</v>
      </c>
      <c r="R45" s="11" t="n"/>
      <c r="S45" s="12" t="n">
        <v>0</v>
      </c>
      <c r="T45" s="13" t="n"/>
      <c r="U45" s="13" t="n"/>
      <c r="V45" s="13" t="n">
        <v>1</v>
      </c>
      <c r="W45" s="11" t="n"/>
      <c r="X45" s="11" t="n">
        <v>40.86</v>
      </c>
      <c r="Y45" s="11" t="n">
        <v>138</v>
      </c>
      <c r="Z45" s="11" t="n">
        <v>52</v>
      </c>
      <c r="AA45" s="11">
        <f>IF(X45&lt;50,IF(Y45&gt;(2.3*X45),0,1),1)-IF(Z45&gt;Y45,1.7,0)</f>
        <v/>
      </c>
      <c r="AB45" s="11" t="n">
        <v>7</v>
      </c>
      <c r="AC45" s="11">
        <f>IF(AB45&gt;4,1,0)+AB45/7</f>
        <v/>
      </c>
      <c r="AD45" s="11" t="n">
        <v>127.85</v>
      </c>
      <c r="AE45" s="11" t="n">
        <v>26.89</v>
      </c>
      <c r="AF45" s="11" t="n">
        <v>116.08</v>
      </c>
      <c r="AG45" s="12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11">
        <f>AG45+IF(X45&lt;1.35,0,1)+IF(Y45&lt;1.35,0,1)+AC45+AA45</f>
        <v/>
      </c>
      <c r="AI45" s="11" t="n">
        <v>11</v>
      </c>
      <c r="AJ45" s="11">
        <f>IF(AI45&gt;12.7,IF(AI45&gt;15.8,0.93,0.98),1)</f>
        <v/>
      </c>
      <c r="AK45" s="11">
        <f>(1.2*AG45+AH45)*AJ45*AQ45</f>
        <v/>
      </c>
      <c r="AL45" s="10">
        <f>D45</f>
        <v/>
      </c>
      <c r="AM45" s="14">
        <f>B45</f>
        <v/>
      </c>
      <c r="AN45" s="13" t="n"/>
      <c r="AO45" s="13">
        <f>AN45+1</f>
        <v/>
      </c>
      <c r="AP45" s="13">
        <f>IF(AK45&gt;13.1,IF(Z45&lt;101,IF(Z45&lt;35,IF(Z45&lt;6,3,2),1),0),0)</f>
        <v/>
      </c>
      <c r="AQ45" s="11" t="n">
        <v>1</v>
      </c>
      <c r="AR45" s="11">
        <f>IF(AP45&gt;0,IF(AB45&gt;10,(AB45/Z45),10/Z45),0)</f>
        <v/>
      </c>
      <c r="AS45" s="11" t="n"/>
      <c r="AT45" s="11">
        <f>100*(AK45-AQ45)/AQ45</f>
        <v/>
      </c>
      <c r="AU45" s="13" t="n">
        <v>3.84615384615385</v>
      </c>
      <c r="AV45" s="13" t="n">
        <v>19.2307692307692</v>
      </c>
      <c r="AW45" s="10" t="n">
        <v>5</v>
      </c>
      <c r="AX45" s="10" t="n"/>
      <c r="AY45" s="10" t="n"/>
      <c r="AZ45" s="13" t="n"/>
      <c r="BA45" s="10" t="n"/>
      <c r="BB45" s="11" t="n"/>
      <c r="BC45" s="11" t="n"/>
      <c r="BD45" s="11" t="n"/>
      <c r="BE45" s="11" t="n"/>
      <c r="BF45" s="11" t="n"/>
      <c r="BG45" s="11">
        <f>#DIV/0!</f>
        <v/>
      </c>
      <c r="BH45" s="11">
        <f>#DIV/0!</f>
        <v/>
      </c>
    </row>
    <row r="46" ht="12.75" customHeight="1">
      <c r="B46" s="17" t="inlineStr">
        <is>
          <t>Safecure Services</t>
        </is>
      </c>
      <c r="C46" s="10" t="n">
        <v>2025</v>
      </c>
      <c r="D46" s="10" t="inlineStr">
        <is>
          <t>Neg</t>
        </is>
      </c>
      <c r="E46" s="11" t="n">
        <v>20.55</v>
      </c>
      <c r="F46" s="11" t="n">
        <v>20.93</v>
      </c>
      <c r="G46" s="11">
        <f>100*(F46-E46)/F46</f>
        <v/>
      </c>
      <c r="H46" s="10" t="n">
        <v>53.07</v>
      </c>
      <c r="I46" s="11" t="n">
        <v>6.16</v>
      </c>
      <c r="J46" s="11" t="n"/>
      <c r="K46" s="11" t="n">
        <v>8.75</v>
      </c>
      <c r="L46" s="11" t="n"/>
      <c r="M46" s="11" t="n">
        <v>12.43</v>
      </c>
      <c r="N46" s="11" t="n"/>
      <c r="O46" s="11" t="n">
        <v>73.27</v>
      </c>
      <c r="P46" s="11">
        <f>O46/I46</f>
        <v/>
      </c>
      <c r="Q46" s="11" t="n">
        <v>11.66</v>
      </c>
      <c r="R46" s="11" t="n"/>
      <c r="S46" s="12" t="n">
        <v>0</v>
      </c>
      <c r="T46" s="13" t="n"/>
      <c r="U46" s="13" t="n"/>
      <c r="V46" s="13" t="n">
        <v>0</v>
      </c>
      <c r="W46" s="11" t="n"/>
      <c r="X46" s="11" t="n">
        <v>0.32</v>
      </c>
      <c r="Y46" s="11" t="n">
        <v>0.32</v>
      </c>
      <c r="Z46" s="11" t="n">
        <v>3.31</v>
      </c>
      <c r="AA46" s="11">
        <f>IF(X46&lt;50,IF(Y46&gt;(2.3*X46),0,1),1)-IF(Z46&gt;Y46,1.7,0)</f>
        <v/>
      </c>
      <c r="AB46" s="11" t="n">
        <v>0</v>
      </c>
      <c r="AC46" s="11">
        <f>IF(AB46&gt;4,1,0)+AB46/7</f>
        <v/>
      </c>
      <c r="AD46" s="11" t="n">
        <v>8</v>
      </c>
      <c r="AE46" s="11" t="n">
        <v>16</v>
      </c>
      <c r="AF46" s="11" t="n">
        <v>39.53</v>
      </c>
      <c r="AG46" s="12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11">
        <f>AG46+IF(X46&lt;1.35,0,1)+IF(Y46&lt;1.35,0,1)+AC46+AA46</f>
        <v/>
      </c>
      <c r="AI46" s="11" t="n">
        <v>11</v>
      </c>
      <c r="AJ46" s="11">
        <f>IF(AI46&gt;12.7,IF(AI46&gt;15.8,0.93,0.98),1)</f>
        <v/>
      </c>
      <c r="AK46" s="11">
        <f>(1.2*AG46+AH46)*AJ46*AQ46</f>
        <v/>
      </c>
      <c r="AL46" s="10">
        <f>D46</f>
        <v/>
      </c>
      <c r="AM46" s="14">
        <f>B46</f>
        <v/>
      </c>
      <c r="AN46" s="13" t="n"/>
      <c r="AO46" s="13">
        <f>AN46+1</f>
        <v/>
      </c>
      <c r="AP46" s="13">
        <f>IF(AK46&gt;13.1,IF(Z46&lt;101,IF(Z46&lt;35,IF(Z46&lt;6,3,2),1),0),0)</f>
        <v/>
      </c>
      <c r="AQ46" s="11" t="n">
        <v>1</v>
      </c>
      <c r="AR46" s="11">
        <f>IF(AP46&gt;0,IF(AB46&gt;10,(AB46/Z46),10/Z46),0)</f>
        <v/>
      </c>
      <c r="AS46" s="11" t="n"/>
      <c r="AT46" s="11">
        <f>100*(AK46-AQ46)/AQ46</f>
        <v/>
      </c>
      <c r="AU46" s="13" t="n">
        <v>60.4229607250755</v>
      </c>
      <c r="AV46" s="13" t="n">
        <v>302.114803625378</v>
      </c>
      <c r="AW46" s="10" t="n">
        <v>5</v>
      </c>
      <c r="AX46" s="10" t="n"/>
      <c r="AY46" s="10" t="n"/>
      <c r="AZ46" s="13" t="n"/>
      <c r="BA46" s="10" t="n"/>
      <c r="BB46" s="11" t="n"/>
      <c r="BC46" s="11" t="n"/>
      <c r="BD46" s="11" t="n"/>
      <c r="BE46" s="11" t="n"/>
      <c r="BF46" s="11" t="n"/>
      <c r="BG46" s="11">
        <f>#DIV/0!</f>
        <v/>
      </c>
      <c r="BH46" s="11">
        <f>#DIV/0!</f>
        <v/>
      </c>
    </row>
    <row r="47" ht="12.75" customHeight="1">
      <c r="B47" s="17" t="inlineStr">
        <is>
          <t>Shreeji Global FMCG</t>
        </is>
      </c>
      <c r="C47" s="10" t="n">
        <v>2025</v>
      </c>
      <c r="D47" s="10" t="inlineStr">
        <is>
          <t>Neg</t>
        </is>
      </c>
      <c r="E47" s="11" t="n">
        <v>30.45</v>
      </c>
      <c r="F47" s="11" t="n">
        <v>29.56</v>
      </c>
      <c r="G47" s="11">
        <f>100*(F47-E47)/F47</f>
        <v/>
      </c>
      <c r="H47" s="10" t="n">
        <v>117.06</v>
      </c>
      <c r="I47" s="11" t="n">
        <v>12.15</v>
      </c>
      <c r="J47" s="11" t="n"/>
      <c r="K47" s="11" t="n">
        <v>7.61</v>
      </c>
      <c r="L47" s="11" t="n"/>
      <c r="M47" s="11" t="n">
        <v>20.37</v>
      </c>
      <c r="N47" s="11" t="n"/>
      <c r="O47" s="11" t="n">
        <v>650.85</v>
      </c>
      <c r="P47" s="11">
        <f>O47/I47</f>
        <v/>
      </c>
      <c r="Q47" s="11" t="n">
        <v>16.42</v>
      </c>
      <c r="R47" s="11" t="n"/>
      <c r="S47" s="12" t="n">
        <v>0</v>
      </c>
      <c r="T47" s="13" t="n"/>
      <c r="U47" s="13" t="n"/>
      <c r="V47" s="13" t="n">
        <v>1</v>
      </c>
      <c r="W47" s="11" t="n"/>
      <c r="X47" s="11" t="n">
        <v>1.64</v>
      </c>
      <c r="Y47" s="11" t="n">
        <v>1</v>
      </c>
      <c r="Z47" s="11" t="n">
        <v>1</v>
      </c>
      <c r="AA47" s="11">
        <f>IF(X47&lt;50,IF(Y47&gt;(2.3*X47),0,1),1)-IF(Z47&gt;Y47,1.7,0)</f>
        <v/>
      </c>
      <c r="AB47" s="11" t="n">
        <v>0</v>
      </c>
      <c r="AC47" s="11">
        <f>IF(AB47&gt;4,1,0)+AB47/7</f>
        <v/>
      </c>
      <c r="AD47" s="11" t="n">
        <v>122</v>
      </c>
      <c r="AE47" s="11" t="n">
        <v>10.55</v>
      </c>
      <c r="AF47" s="11" t="n">
        <v>71.66</v>
      </c>
      <c r="AG47" s="12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11">
        <f>AG47+IF(X47&lt;1.35,0,1)+IF(Y47&lt;1.35,0,1)+AC47+AA47</f>
        <v/>
      </c>
      <c r="AI47" s="11" t="n">
        <v>11</v>
      </c>
      <c r="AJ47" s="11">
        <f>IF(AI47&gt;12.7,IF(AI47&gt;15.8,0.93,0.98),1)</f>
        <v/>
      </c>
      <c r="AK47" s="11">
        <f>(1.2*AG47+AH47)*AJ47*AQ47</f>
        <v/>
      </c>
      <c r="AL47" s="10">
        <f>D47</f>
        <v/>
      </c>
      <c r="AM47" s="14">
        <f>B47</f>
        <v/>
      </c>
      <c r="AN47" s="13" t="n"/>
      <c r="AO47" s="13">
        <f>AN47+1</f>
        <v/>
      </c>
      <c r="AP47" s="13">
        <f>IF(AK47&gt;13.1,IF(Z47&lt;101,IF(Z47&lt;35,IF(Z47&lt;6,3,2),1),0),0)</f>
        <v/>
      </c>
      <c r="AQ47" s="11" t="n">
        <v>1</v>
      </c>
      <c r="AR47" s="11">
        <f>IF(AP47&gt;0,IF(AB47&gt;10,(AB47/Z47),10/Z47),0)</f>
        <v/>
      </c>
      <c r="AS47" s="11" t="n"/>
      <c r="AT47" s="11">
        <f>100*(AK47-AQ47)/AQ47</f>
        <v/>
      </c>
      <c r="AU47" s="13" t="n">
        <v>200</v>
      </c>
      <c r="AV47" s="13" t="n">
        <v>1000</v>
      </c>
      <c r="AW47" s="10" t="n">
        <v>5</v>
      </c>
      <c r="AX47" s="10" t="n"/>
      <c r="AY47" s="10" t="n"/>
      <c r="AZ47" s="13" t="n"/>
      <c r="BA47" s="10" t="n"/>
      <c r="BB47" s="11" t="n"/>
      <c r="BC47" s="11" t="n"/>
      <c r="BD47" s="11" t="n"/>
      <c r="BE47" s="11" t="n"/>
      <c r="BF47" s="11" t="n"/>
      <c r="BG47" s="11">
        <f>#DIV/0!</f>
        <v/>
      </c>
      <c r="BH47" s="11">
        <f>#DIV/0!</f>
        <v/>
      </c>
    </row>
    <row r="48" ht="12.75" customHeight="1">
      <c r="B48" s="17" t="inlineStr">
        <is>
          <t>Shlokka Dyes</t>
        </is>
      </c>
      <c r="C48" s="17" t="n">
        <v>2025</v>
      </c>
      <c r="D48" s="10" t="inlineStr">
        <is>
          <t>Neg</t>
        </is>
      </c>
      <c r="E48" s="17" t="n">
        <v>27.92</v>
      </c>
      <c r="F48" s="17" t="n">
        <v>27.19</v>
      </c>
      <c r="G48" s="11">
        <f>100*(F48-E48)/F48</f>
        <v/>
      </c>
      <c r="H48" s="17" t="n">
        <v>91.58</v>
      </c>
      <c r="I48" s="17" t="n">
        <v>10.01</v>
      </c>
      <c r="J48" s="17" t="n"/>
      <c r="K48" s="17" t="n">
        <v>6.65</v>
      </c>
      <c r="L48" s="17" t="n"/>
      <c r="M48" s="17" t="n">
        <v>18.68</v>
      </c>
      <c r="N48" s="17" t="n"/>
      <c r="O48" s="17" t="n">
        <v>103.45</v>
      </c>
      <c r="P48" s="11">
        <f>O48/I48</f>
        <v/>
      </c>
      <c r="Q48" s="17" t="n">
        <v>15.04</v>
      </c>
      <c r="R48" s="25" t="n"/>
      <c r="S48" s="12" t="n">
        <v>0</v>
      </c>
      <c r="T48" s="26" t="n"/>
      <c r="U48" s="26" t="n"/>
      <c r="V48" s="26" t="n">
        <v>0</v>
      </c>
      <c r="W48" s="17" t="n"/>
      <c r="X48" s="17" t="n">
        <v>1.02</v>
      </c>
      <c r="Y48" s="17" t="n">
        <v>2.24</v>
      </c>
      <c r="Z48" s="17" t="n">
        <v>0.65</v>
      </c>
      <c r="AA48" s="11">
        <f>IF(X48&lt;50,IF(Y48&gt;(2.3*X48),0,1),1)-IF(Z48&gt;Y48,1.7,0)</f>
        <v/>
      </c>
      <c r="AB48" s="17" t="n">
        <v>0</v>
      </c>
      <c r="AC48" s="11">
        <f>IF(AB48&gt;4,1,0)+AB48/7</f>
        <v/>
      </c>
      <c r="AD48" s="17" t="n">
        <v>104</v>
      </c>
      <c r="AE48" s="17" t="n">
        <v>68</v>
      </c>
      <c r="AF48" s="17" t="n">
        <v>55</v>
      </c>
      <c r="AG48" s="12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11">
        <f>AG48+IF(X48&lt;1.35,0,1)+IF(Y48&lt;1.35,0,1)+AC48+AA48</f>
        <v/>
      </c>
      <c r="AI48" s="11" t="n">
        <v>11</v>
      </c>
      <c r="AJ48" s="11">
        <f>IF(AI48&gt;12.7,IF(AI48&gt;15.8,0.93,0.98),1)</f>
        <v/>
      </c>
      <c r="AK48" s="11">
        <f>(1.2*AG48+AH48)*AJ48*AQ48</f>
        <v/>
      </c>
      <c r="AL48" s="10">
        <f>D48</f>
        <v/>
      </c>
      <c r="AM48" s="14">
        <f>B48</f>
        <v/>
      </c>
      <c r="AN48" s="13" t="n"/>
      <c r="AO48" s="13">
        <f>AN48+1</f>
        <v/>
      </c>
      <c r="AP48" s="13">
        <f>IF(AK48&gt;13.1,IF(Z48&lt;101,IF(Z48&lt;35,IF(Z48&lt;6,3,2),1),0),0)</f>
        <v/>
      </c>
      <c r="AQ48" s="11" t="n">
        <v>1</v>
      </c>
      <c r="AR48" s="11">
        <f>IF(AP48&gt;0,IF(AB48&gt;10,(AB48/Z48),10/Z48),0)</f>
        <v/>
      </c>
      <c r="AS48" s="11" t="n"/>
      <c r="AT48" s="11">
        <f>100*(AK48-AQ48)/AQ48</f>
        <v/>
      </c>
      <c r="AU48" s="13" t="n">
        <v>307.692307692308</v>
      </c>
      <c r="AV48" s="13" t="n">
        <v>1538.46153846154</v>
      </c>
      <c r="AW48" s="10" t="n">
        <v>5</v>
      </c>
      <c r="AX48" s="10" t="n"/>
      <c r="AY48" s="10" t="n"/>
      <c r="AZ48" s="13" t="n"/>
      <c r="BA48" s="10" t="n"/>
      <c r="BB48" s="11" t="n"/>
      <c r="BC48" s="11" t="n"/>
      <c r="BD48" s="11" t="n"/>
      <c r="BE48" s="11" t="n"/>
      <c r="BF48" s="11" t="n"/>
      <c r="BG48" s="11">
        <f>#DIV/0!</f>
        <v/>
      </c>
      <c r="BH48" s="11">
        <f>#DIV/0!</f>
        <v/>
      </c>
    </row>
    <row r="49" ht="15" customHeight="1">
      <c r="B49" s="24" t="inlineStr">
        <is>
          <t>Finbud Financial Services</t>
        </is>
      </c>
      <c r="C49" s="17" t="n">
        <v>2025</v>
      </c>
      <c r="D49" s="17" t="inlineStr">
        <is>
          <t>Pos</t>
        </is>
      </c>
      <c r="E49" s="17" t="n">
        <v>18.5</v>
      </c>
      <c r="F49" s="17" t="n">
        <v>35.98</v>
      </c>
      <c r="G49" s="11">
        <f>100*(F49-E49)/F49</f>
        <v/>
      </c>
      <c r="H49" s="17" t="n">
        <v>68.93000000000001</v>
      </c>
      <c r="I49" s="17" t="n">
        <v>8.49</v>
      </c>
      <c r="J49" s="17" t="n"/>
      <c r="K49" s="17" t="n">
        <v>6.07</v>
      </c>
      <c r="L49" s="17" t="n"/>
      <c r="M49" s="17" t="n">
        <v>14.87</v>
      </c>
      <c r="N49" s="17" t="n"/>
      <c r="O49" s="17" t="n">
        <v>223.28</v>
      </c>
      <c r="P49" s="11">
        <f>O49/I49</f>
        <v/>
      </c>
      <c r="Q49" s="17" t="n">
        <v>27.08</v>
      </c>
      <c r="R49" s="25" t="n"/>
      <c r="S49" s="12" t="n">
        <v>0</v>
      </c>
      <c r="T49" s="26" t="n"/>
      <c r="U49" s="26" t="n"/>
      <c r="V49" s="26" t="n">
        <v>1</v>
      </c>
      <c r="W49" s="17" t="n"/>
      <c r="X49" s="17" t="n">
        <v>4.3</v>
      </c>
      <c r="Y49" s="17" t="n">
        <v>8.300000000000001</v>
      </c>
      <c r="Z49" s="17" t="n">
        <v>2.8</v>
      </c>
      <c r="AA49" s="11">
        <f>IF(X49&lt;50,IF(Y49&gt;(2.3*X49),0,1),1)-IF(Z49&gt;Y49,1.7,0)</f>
        <v/>
      </c>
      <c r="AB49" s="17" t="n">
        <v>8</v>
      </c>
      <c r="AC49" s="11">
        <f>IF(AB49&gt;4,1,0)+AB49/7</f>
        <v/>
      </c>
      <c r="AD49" s="17" t="n">
        <v>43.16</v>
      </c>
      <c r="AE49" s="17" t="n">
        <v>17.35</v>
      </c>
      <c r="AF49" s="17" t="n">
        <v>198.18</v>
      </c>
      <c r="AG49" s="12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11">
        <f>AG49+IF(X49&lt;1.35,0,1)+IF(Y49&lt;1.35,0,1)+AC49+AA49</f>
        <v/>
      </c>
      <c r="AI49" s="11" t="n">
        <v>11</v>
      </c>
      <c r="AJ49" s="11">
        <f>IF(AI49&gt;12.7,IF(AI49&gt;15.8,0.93,0.98),1)</f>
        <v/>
      </c>
      <c r="AK49" s="11">
        <f>(1.2*AG49+AH49)*AJ49*AQ49</f>
        <v/>
      </c>
      <c r="AL49" s="10">
        <f>D49</f>
        <v/>
      </c>
      <c r="AM49" s="14">
        <f>B49</f>
        <v/>
      </c>
      <c r="AN49" s="13" t="n"/>
      <c r="AO49" s="13">
        <f>AN49+1</f>
        <v/>
      </c>
      <c r="AP49" s="13">
        <f>IF(AK49&gt;13.1,IF(Z49&lt;101,IF(Z49&lt;35,IF(Z49&lt;6,3,2),1),0),0)</f>
        <v/>
      </c>
      <c r="AQ49" s="11" t="n">
        <v>1</v>
      </c>
      <c r="AR49" s="11">
        <f>IF(AP49&gt;0,IF(AB49&gt;10,(AB49/Z49),10/Z49),0)</f>
        <v/>
      </c>
      <c r="AS49" s="11" t="n"/>
      <c r="AT49" s="11">
        <f>100*(AK49-AQ49)/AQ49</f>
        <v/>
      </c>
      <c r="AU49" s="13" t="n">
        <v>71.4285714285714</v>
      </c>
      <c r="AV49" s="13" t="n">
        <v>357.142857142857</v>
      </c>
      <c r="AW49" s="10" t="n">
        <v>5</v>
      </c>
      <c r="AX49" s="10" t="n"/>
      <c r="AY49" s="10" t="n">
        <v>142</v>
      </c>
      <c r="AZ49" s="13" t="n"/>
      <c r="BA49" s="10" t="n">
        <v>157</v>
      </c>
      <c r="BB49" s="11" t="n">
        <v>164</v>
      </c>
      <c r="BC49" s="11" t="n">
        <v>156</v>
      </c>
      <c r="BD49" s="11" t="n">
        <v>156</v>
      </c>
      <c r="BE49" s="11" t="n">
        <v>164.8</v>
      </c>
      <c r="BF49" s="11" t="n"/>
      <c r="BG49" s="11">
        <f>#DIV/0!</f>
        <v/>
      </c>
      <c r="BH49" s="11">
        <f>#DIV/0!</f>
        <v/>
      </c>
    </row>
    <row r="50" ht="12" customHeight="1">
      <c r="B50" s="17" t="inlineStr">
        <is>
          <t>Curis Lifesciences</t>
        </is>
      </c>
      <c r="C50" s="17" t="n">
        <v>2025</v>
      </c>
      <c r="D50" s="17" t="inlineStr">
        <is>
          <t>Pos</t>
        </is>
      </c>
      <c r="E50" s="17" t="n">
        <v>15.6</v>
      </c>
      <c r="F50" s="17" t="n">
        <v>16.22</v>
      </c>
      <c r="G50" s="11">
        <f>100*(F50-E50)/F50</f>
        <v/>
      </c>
      <c r="H50" s="17" t="n">
        <v>42.53</v>
      </c>
      <c r="I50" s="17" t="n">
        <v>6.1</v>
      </c>
      <c r="J50" s="17" t="n"/>
      <c r="K50" s="17" t="n">
        <v>10.29</v>
      </c>
      <c r="L50" s="17" t="n"/>
      <c r="M50" s="17" t="n">
        <v>10.03</v>
      </c>
      <c r="N50" s="17" t="n"/>
      <c r="O50" s="17" t="n">
        <v>49.13</v>
      </c>
      <c r="P50" s="11">
        <f>O50/I50</f>
        <v/>
      </c>
      <c r="Q50" s="17" t="n">
        <v>12.01</v>
      </c>
      <c r="R50" s="25" t="n"/>
      <c r="S50" s="12" t="n">
        <v>0</v>
      </c>
      <c r="T50" s="26" t="n"/>
      <c r="U50" s="26" t="n"/>
      <c r="V50" s="26" t="n">
        <v>1</v>
      </c>
      <c r="W50" s="17" t="n"/>
      <c r="X50" s="17" t="n">
        <v>96</v>
      </c>
      <c r="Y50" s="17" t="n">
        <v>115</v>
      </c>
      <c r="Z50" s="17" t="n">
        <v>44</v>
      </c>
      <c r="AA50" s="11">
        <f>IF(X50&lt;50,IF(Y50&gt;(2.3*X50),0,1),1)-IF(Z50&gt;Y50,1.7,0)</f>
        <v/>
      </c>
      <c r="AB50" s="17" t="n">
        <v>7</v>
      </c>
      <c r="AC50" s="11">
        <f>IF(AB50&gt;4,1,0)+AB50/7</f>
        <v/>
      </c>
      <c r="AD50" s="17" t="n">
        <v>14.02</v>
      </c>
      <c r="AE50" s="17" t="n">
        <v>38.13</v>
      </c>
      <c r="AF50" s="17" t="n">
        <v>186.05</v>
      </c>
      <c r="AG50" s="12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11">
        <f>AG50+IF(X50&lt;1.35,0,1)+IF(Y50&lt;1.35,0,1)+AC50+AA50</f>
        <v/>
      </c>
      <c r="AI50" s="11" t="n">
        <v>11</v>
      </c>
      <c r="AJ50" s="11">
        <f>IF(AI50&gt;12.7,IF(AI50&gt;15.8,0.93,0.98),1)</f>
        <v/>
      </c>
      <c r="AK50" s="11">
        <f>(1.2*AG50+AH50)*AJ50*AQ50</f>
        <v/>
      </c>
      <c r="AL50" s="10">
        <f>D50</f>
        <v/>
      </c>
      <c r="AM50" s="14">
        <f>B50</f>
        <v/>
      </c>
      <c r="AN50" s="13" t="n"/>
      <c r="AO50" s="13">
        <f>AN50+1</f>
        <v/>
      </c>
      <c r="AP50" s="13">
        <f>IF(AK50&gt;13.1,IF(Z50&lt;101,IF(Z50&lt;35,IF(Z50&lt;6,3,2),1),0),0)</f>
        <v/>
      </c>
      <c r="AQ50" s="11" t="n">
        <v>1</v>
      </c>
      <c r="AR50" s="11">
        <f>IF(AP50&gt;0,IF(AB50&gt;10,(AB50/Z50),10/Z50),0)</f>
        <v/>
      </c>
      <c r="AS50" s="11" t="n"/>
      <c r="AT50" s="11">
        <f>100*(AK50-AQ50)/AQ50</f>
        <v/>
      </c>
      <c r="AU50" s="13" t="n">
        <v>4.54545454545455</v>
      </c>
      <c r="AV50" s="13" t="n">
        <v>22.7272727272727</v>
      </c>
      <c r="AW50" s="10" t="n">
        <v>5</v>
      </c>
      <c r="AX50" s="10" t="n"/>
      <c r="AY50" s="10" t="n"/>
      <c r="AZ50" s="13" t="n"/>
      <c r="BA50" s="10" t="n"/>
      <c r="BB50" s="11" t="n"/>
      <c r="BC50" s="11" t="n"/>
      <c r="BD50" s="11" t="n"/>
      <c r="BE50" s="11" t="n"/>
      <c r="BF50" s="11" t="n"/>
      <c r="BG50" s="11">
        <f>#DIV/0!</f>
        <v/>
      </c>
      <c r="BH50" s="11">
        <f>#DIV/0!</f>
        <v/>
      </c>
    </row>
    <row r="51" ht="12.75" customHeight="1">
      <c r="B51" s="17" t="inlineStr">
        <is>
          <t>Shining Tools</t>
        </is>
      </c>
      <c r="C51" s="17" t="n">
        <v>2025</v>
      </c>
      <c r="D51" s="10" t="inlineStr">
        <is>
          <t>Neg</t>
        </is>
      </c>
      <c r="E51" s="17" t="n">
        <v>8.18</v>
      </c>
      <c r="F51" s="17" t="n">
        <v>8.01</v>
      </c>
      <c r="G51" s="11">
        <f>100*(F51-E51)/F51</f>
        <v/>
      </c>
      <c r="H51" s="17" t="n">
        <v>19.64</v>
      </c>
      <c r="I51" s="17" t="n">
        <v>2.93</v>
      </c>
      <c r="J51" s="17" t="n"/>
      <c r="K51" s="17" t="n">
        <v>7.05</v>
      </c>
      <c r="L51" s="17" t="n"/>
      <c r="M51" s="17" t="n">
        <v>6.23</v>
      </c>
      <c r="N51" s="17" t="n"/>
      <c r="O51" s="17" t="n">
        <v>14.77</v>
      </c>
      <c r="P51" s="11">
        <f>O51/I51</f>
        <v/>
      </c>
      <c r="Q51" s="17" t="n">
        <v>16.18</v>
      </c>
      <c r="R51" s="25" t="n"/>
      <c r="S51" s="12" t="n">
        <v>0</v>
      </c>
      <c r="T51" s="26" t="n"/>
      <c r="U51" s="26" t="n"/>
      <c r="V51" s="26" t="n">
        <v>0</v>
      </c>
      <c r="W51" s="17" t="n"/>
      <c r="X51" s="17" t="n">
        <v>0</v>
      </c>
      <c r="Y51" s="17" t="n">
        <v>0.43</v>
      </c>
      <c r="Z51" s="17" t="n">
        <v>1.87</v>
      </c>
      <c r="AA51" s="11">
        <f>IF(X51&lt;50,IF(Y51&gt;(2.3*X51),0,1),1)-IF(Z51&gt;Y51,1.7,0)</f>
        <v/>
      </c>
      <c r="AB51" s="17" t="n">
        <v>0</v>
      </c>
      <c r="AC51" s="11">
        <f>IF(AB51&gt;4,1,0)+AB51/7</f>
        <v/>
      </c>
      <c r="AD51" s="17" t="n">
        <v>86</v>
      </c>
      <c r="AE51" s="17" t="n">
        <v>39</v>
      </c>
      <c r="AF51" s="17" t="n">
        <v>123</v>
      </c>
      <c r="AG51" s="12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11">
        <f>AG51+IF(X51&lt;1.35,0,1)+IF(Y51&lt;1.35,0,1)+AC51+AA51</f>
        <v/>
      </c>
      <c r="AI51" s="11" t="n">
        <v>11</v>
      </c>
      <c r="AJ51" s="11">
        <f>IF(AI51&gt;12.7,IF(AI51&gt;15.8,0.93,0.98),1)</f>
        <v/>
      </c>
      <c r="AK51" s="11">
        <f>(1.2*AG51+AH51)*AJ51*AQ51</f>
        <v/>
      </c>
      <c r="AL51" s="10">
        <f>D51</f>
        <v/>
      </c>
      <c r="AM51" s="14">
        <f>B51</f>
        <v/>
      </c>
      <c r="AN51" s="13" t="n"/>
      <c r="AO51" s="13">
        <f>AN51+1</f>
        <v/>
      </c>
      <c r="AP51" s="13">
        <f>IF(AK51&gt;13.1,IF(Z51&lt;101,IF(Z51&lt;35,IF(Z51&lt;6,3,2),1),0),0)</f>
        <v/>
      </c>
      <c r="AQ51" s="11" t="n">
        <v>1</v>
      </c>
      <c r="AR51" s="11">
        <f>IF(AP51&gt;0,IF(AB51&gt;10,(AB51/Z51),10/Z51),0)</f>
        <v/>
      </c>
      <c r="AS51" s="11" t="n"/>
      <c r="AT51" s="11">
        <f>100*(AK51-AQ51)/AQ51</f>
        <v/>
      </c>
      <c r="AU51" s="13" t="n">
        <v>106.951871657754</v>
      </c>
      <c r="AV51" s="13" t="n">
        <v>534.75935828877</v>
      </c>
      <c r="AW51" s="10" t="n">
        <v>5</v>
      </c>
      <c r="AX51" s="10" t="n"/>
      <c r="AY51" s="10" t="n"/>
      <c r="AZ51" s="13" t="n"/>
      <c r="BA51" s="10" t="n"/>
      <c r="BB51" s="11" t="n"/>
      <c r="BC51" s="11" t="n"/>
      <c r="BD51" s="11" t="n"/>
      <c r="BE51" s="11" t="n"/>
      <c r="BF51" s="11" t="n"/>
      <c r="BG51" s="11">
        <f>#DIV/0!</f>
        <v/>
      </c>
      <c r="BH51" s="11">
        <f>#DIV/0!</f>
        <v/>
      </c>
    </row>
    <row r="52" ht="24" customHeight="1">
      <c r="B52" s="17" t="inlineStr">
        <is>
          <t>Mahamaya Lifesciences</t>
        </is>
      </c>
      <c r="C52" s="17" t="n">
        <v>2025</v>
      </c>
      <c r="D52" s="17" t="inlineStr">
        <is>
          <t>Pos</t>
        </is>
      </c>
      <c r="E52" s="17" t="n">
        <v>58.11</v>
      </c>
      <c r="F52" s="17" t="n">
        <v>49.42</v>
      </c>
      <c r="G52" s="11">
        <f>100*(F52-E52)/F52</f>
        <v/>
      </c>
      <c r="H52" s="17" t="n">
        <v>188.35</v>
      </c>
      <c r="I52" s="17" t="n">
        <v>12.94</v>
      </c>
      <c r="J52" s="17" t="n"/>
      <c r="K52" s="17" t="n">
        <v>7.01</v>
      </c>
      <c r="L52" s="17" t="n"/>
      <c r="M52" s="17" t="n">
        <v>24.64</v>
      </c>
      <c r="N52" s="17" t="n"/>
      <c r="O52" s="17" t="n">
        <v>267.17</v>
      </c>
      <c r="P52" s="11">
        <f>O52/I52</f>
        <v/>
      </c>
      <c r="Q52" s="17" t="n">
        <v>20.62</v>
      </c>
      <c r="R52" s="25" t="n"/>
      <c r="S52" s="12" t="n">
        <v>-1</v>
      </c>
      <c r="T52" s="26" t="n"/>
      <c r="U52" s="26" t="n"/>
      <c r="V52" s="26" t="n">
        <v>1</v>
      </c>
      <c r="W52" s="17" t="n">
        <v>1</v>
      </c>
      <c r="X52" s="17" t="n">
        <v>0.65</v>
      </c>
      <c r="Y52" s="17" t="n">
        <v>0.27</v>
      </c>
      <c r="Z52" s="17" t="n">
        <v>0.21</v>
      </c>
      <c r="AA52" s="11">
        <f>IF(X52&lt;50,IF(Y52&gt;(2.3*X52),0,1),1)-IF(Z52&gt;Y52,1.7,0)</f>
        <v/>
      </c>
      <c r="AB52" s="17" t="n">
        <v>0</v>
      </c>
      <c r="AC52" s="11">
        <f>IF(AB52&gt;4,1,0)+AB52/7</f>
        <v/>
      </c>
      <c r="AD52" s="17" t="n">
        <v>148</v>
      </c>
      <c r="AE52" s="17" t="n">
        <v>64</v>
      </c>
      <c r="AF52" s="17" t="n">
        <v>100</v>
      </c>
      <c r="AG52" s="12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11">
        <f>AG52+IF(X52&lt;1.35,0,1)+IF(Y52&lt;1.35,0,1)+AC52+AA52</f>
        <v/>
      </c>
      <c r="AI52" s="11" t="n">
        <v>11</v>
      </c>
      <c r="AJ52" s="11">
        <f>IF(AI52&gt;12.7,IF(AI52&gt;15.8,0.93,0.98),1)</f>
        <v/>
      </c>
      <c r="AK52" s="11">
        <f>(1.2*AG52+AH52)*AJ52*AQ52</f>
        <v/>
      </c>
      <c r="AL52" s="10">
        <f>D52</f>
        <v/>
      </c>
      <c r="AM52" s="14">
        <f>B52</f>
        <v/>
      </c>
      <c r="AN52" s="13" t="n"/>
      <c r="AO52" s="13">
        <f>AN52+1</f>
        <v/>
      </c>
      <c r="AP52" s="13">
        <f>IF(AK52&gt;13.1,IF(Z52&lt;101,IF(Z52&lt;35,IF(Z52&lt;6,3,2),1),0),0)</f>
        <v/>
      </c>
      <c r="AQ52" s="11" t="n">
        <v>1</v>
      </c>
      <c r="AR52" s="11">
        <f>IF(AP52&gt;0,IF(AB52&gt;10,(AB52/Z52),10/Z52),0)</f>
        <v/>
      </c>
      <c r="AS52" s="11" t="n"/>
      <c r="AT52" s="11">
        <f>100*(AK52-AQ52)/AQ52</f>
        <v/>
      </c>
      <c r="AU52" s="13" t="n">
        <v>952.380952380952</v>
      </c>
      <c r="AV52" s="13" t="n">
        <v>4761.90476190476</v>
      </c>
      <c r="AW52" s="10" t="n">
        <v>5</v>
      </c>
      <c r="AX52" s="10" t="n"/>
      <c r="AY52" s="10" t="n"/>
      <c r="AZ52" s="13" t="n"/>
      <c r="BA52" s="10" t="n"/>
      <c r="BB52" s="11" t="n"/>
      <c r="BC52" s="11" t="n"/>
      <c r="BD52" s="11" t="n"/>
      <c r="BE52" s="11" t="n"/>
      <c r="BF52" s="11" t="n"/>
      <c r="BG52" s="11">
        <f>#DIV/0!</f>
        <v/>
      </c>
      <c r="BH52" s="11">
        <f>#DIV/0!</f>
        <v/>
      </c>
    </row>
    <row r="53" ht="12" customHeight="1">
      <c r="B53" s="24" t="inlineStr">
        <is>
          <t>Workmates Core2Cloud</t>
        </is>
      </c>
      <c r="C53" s="17" t="n">
        <v>2025</v>
      </c>
      <c r="D53" s="17" t="inlineStr">
        <is>
          <t>Pos</t>
        </is>
      </c>
      <c r="E53" s="17" t="n">
        <v>0</v>
      </c>
      <c r="F53" s="17" t="n">
        <v>20.65</v>
      </c>
      <c r="G53" s="11">
        <f>100*(F53-E53)/F53</f>
        <v/>
      </c>
      <c r="H53" s="17" t="inlineStr">
        <is>
          <t>N/A</t>
        </is>
      </c>
      <c r="I53" s="17" t="n">
        <v>13.93</v>
      </c>
      <c r="J53" s="17" t="n"/>
      <c r="K53" s="17" t="n">
        <v>13.91</v>
      </c>
      <c r="L53" s="17" t="n"/>
      <c r="M53" s="17" t="inlineStr">
        <is>
          <t>N/A</t>
        </is>
      </c>
      <c r="N53" s="17" t="n"/>
      <c r="O53" s="17" t="n">
        <v>108.39</v>
      </c>
      <c r="P53" s="11">
        <f>O53/I53</f>
        <v/>
      </c>
      <c r="Q53" s="17" t="n">
        <v>14.6</v>
      </c>
      <c r="R53" s="25" t="n"/>
      <c r="S53" s="12" t="n">
        <v>0</v>
      </c>
      <c r="T53" s="26" t="n"/>
      <c r="U53" s="26" t="n"/>
      <c r="V53" s="26" t="n">
        <v>1</v>
      </c>
      <c r="W53" s="17" t="n"/>
      <c r="X53" s="17" t="n">
        <v>140</v>
      </c>
      <c r="Y53" s="17" t="n">
        <v>37</v>
      </c>
      <c r="Z53" s="17" t="n">
        <v>110</v>
      </c>
      <c r="AA53" s="11">
        <f>IF(X53&lt;50,IF(Y53&gt;(2.3*X53),0,1),1)-IF(Z53&gt;Y53,1.7,0)</f>
        <v/>
      </c>
      <c r="AB53" s="17" t="n">
        <v>43</v>
      </c>
      <c r="AC53" s="11">
        <f>IF(AB53&gt;4,1,0)+AB53/7</f>
        <v/>
      </c>
      <c r="AD53" s="17" t="n">
        <v>160</v>
      </c>
      <c r="AE53" s="17" t="n">
        <v>102</v>
      </c>
      <c r="AF53" s="17" t="n">
        <v>126</v>
      </c>
      <c r="AG53" s="12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11">
        <f>AG53+IF(X53&lt;1.35,0,1)+IF(Y53&lt;1.35,0,1)+AC53+AA53</f>
        <v/>
      </c>
      <c r="AI53" s="11" t="n">
        <v>11</v>
      </c>
      <c r="AJ53" s="11">
        <f>IF(AI53&gt;12.7,IF(AI53&gt;15.8,0.93,0.98),1)</f>
        <v/>
      </c>
      <c r="AK53" s="11">
        <f>(1.2*AG53+AH53)*AJ53*AQ53</f>
        <v/>
      </c>
      <c r="AL53" s="10">
        <f>D53</f>
        <v/>
      </c>
      <c r="AM53" s="14">
        <f>B53</f>
        <v/>
      </c>
      <c r="AN53" s="13" t="n"/>
      <c r="AO53" s="13">
        <f>AN53+1</f>
        <v/>
      </c>
      <c r="AP53" s="13">
        <f>IF(AK53&gt;13.1,IF(Z53&lt;101,IF(Z53&lt;35,IF(Z53&lt;6,3,2),1),0),0)</f>
        <v/>
      </c>
      <c r="AQ53" s="11" t="n">
        <v>1</v>
      </c>
      <c r="AR53" s="11">
        <f>IF(AP53&gt;0,IF(AB53&gt;10,(AB53/Z53),10/Z53),0)</f>
        <v/>
      </c>
      <c r="AS53" s="11" t="n"/>
      <c r="AT53" s="11">
        <f>100*(AK53-AQ53)/AQ53</f>
        <v/>
      </c>
      <c r="AU53" s="13" t="n">
        <v>1.81818181818182</v>
      </c>
      <c r="AV53" s="13" t="n">
        <v>9.09090909090909</v>
      </c>
      <c r="AW53" s="10" t="n">
        <v>5</v>
      </c>
      <c r="AX53" s="10" t="n"/>
      <c r="AY53" s="10" t="n"/>
      <c r="AZ53" s="13" t="n"/>
      <c r="BA53" s="10" t="n"/>
      <c r="BB53" s="11" t="n"/>
      <c r="BC53" s="11" t="n"/>
      <c r="BD53" s="11" t="n"/>
      <c r="BE53" s="11" t="n"/>
      <c r="BF53" s="11" t="n"/>
      <c r="BG53" s="11">
        <f>#DIV/0!</f>
        <v/>
      </c>
      <c r="BH53" s="11">
        <f>#DIV/0!</f>
        <v/>
      </c>
    </row>
    <row r="54" ht="24" customHeight="1">
      <c r="B54" s="10" t="inlineStr">
        <is>
          <t>Gallard Steel</t>
        </is>
      </c>
      <c r="C54" s="10" t="n">
        <v>2025</v>
      </c>
      <c r="D54" s="17" t="inlineStr">
        <is>
          <t>Pos</t>
        </is>
      </c>
      <c r="E54" s="10" t="n">
        <v>20.38</v>
      </c>
      <c r="F54" s="10" t="n">
        <v>17.08</v>
      </c>
      <c r="G54" s="11">
        <f>100*(F54-E54)/F54</f>
        <v/>
      </c>
      <c r="H54" s="10" t="n">
        <v>48.77</v>
      </c>
      <c r="I54" s="10" t="n">
        <v>6.07</v>
      </c>
      <c r="J54" s="10" t="n"/>
      <c r="K54" s="10" t="n">
        <v>8.67</v>
      </c>
      <c r="L54" s="10" t="n"/>
      <c r="M54" s="10" t="n">
        <v>12.47</v>
      </c>
      <c r="N54" s="10" t="n"/>
      <c r="O54" s="10" t="n">
        <v>53.52</v>
      </c>
      <c r="P54" s="11">
        <f>O54/I54</f>
        <v/>
      </c>
      <c r="Q54" s="10" t="n">
        <v>17.31</v>
      </c>
      <c r="R54" s="11" t="n"/>
      <c r="S54" s="12" t="n">
        <v>0</v>
      </c>
      <c r="T54" s="13" t="n"/>
      <c r="U54" s="13" t="n"/>
      <c r="V54" s="13" t="n">
        <v>1</v>
      </c>
      <c r="W54" s="10" t="n"/>
      <c r="X54" s="10" t="n">
        <v>228</v>
      </c>
      <c r="Y54" s="10" t="n">
        <v>584</v>
      </c>
      <c r="Z54" s="10" t="n">
        <v>305</v>
      </c>
      <c r="AA54" s="11">
        <f>IF(X54&lt;50,IF(Y54&gt;(2.3*X54),0,1),1)-IF(Z54&gt;Y54,1.7,0)</f>
        <v/>
      </c>
      <c r="AB54" s="10" t="n">
        <v>47</v>
      </c>
      <c r="AC54" s="11">
        <f>IF(AB54&gt;4,1,0)+AB54/7</f>
        <v/>
      </c>
      <c r="AD54" s="10" t="n">
        <v>90</v>
      </c>
      <c r="AE54" s="10" t="n">
        <v>92</v>
      </c>
      <c r="AF54" s="10" t="n">
        <v>55</v>
      </c>
      <c r="AG54" s="12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11">
        <f>AG54+IF(X54&lt;1.35,0,1)+IF(Y54&lt;1.35,0,1)+AC54+AA54</f>
        <v/>
      </c>
      <c r="AI54" s="11" t="n">
        <v>11</v>
      </c>
      <c r="AJ54" s="11">
        <f>IF(AI54&gt;12.7,IF(AI54&gt;15.8,0.93,0.98),1)</f>
        <v/>
      </c>
      <c r="AK54" s="11">
        <f>(1.2*AG54+AH54)*AJ54*AQ54</f>
        <v/>
      </c>
      <c r="AL54" s="10">
        <f>D54</f>
        <v/>
      </c>
      <c r="AM54" s="14">
        <f>B54</f>
        <v/>
      </c>
      <c r="AN54" s="13" t="n">
        <v>24</v>
      </c>
      <c r="AO54" s="13">
        <f>AN54+1</f>
        <v/>
      </c>
      <c r="AP54" s="13">
        <f>IF(AK54&gt;13.1,IF(Z54&lt;101,IF(Z54&lt;35,IF(Z54&lt;6,3,2),1),0),0)</f>
        <v/>
      </c>
      <c r="AQ54" s="11" t="n">
        <v>1</v>
      </c>
      <c r="AR54" s="11">
        <f>IF(AP54&gt;0,IF(AB54&gt;10,(AB54/Z54),10/Z54),0)</f>
        <v/>
      </c>
      <c r="AS54" s="11" t="n"/>
      <c r="AT54" s="11">
        <f>100*(AK54-AQ54)/AQ54</f>
        <v/>
      </c>
      <c r="AU54" s="13" t="n">
        <v>0.655737704918033</v>
      </c>
      <c r="AV54" s="13" t="n">
        <v>3.27868852459016</v>
      </c>
      <c r="AW54" s="10" t="n">
        <v>5</v>
      </c>
      <c r="AX54" s="10" t="n"/>
      <c r="AY54" s="10" t="n"/>
      <c r="AZ54" s="13" t="n"/>
      <c r="BA54" s="10" t="n"/>
      <c r="BB54" s="11" t="n"/>
      <c r="BC54" s="11" t="n"/>
      <c r="BD54" s="11" t="n"/>
      <c r="BE54" s="11" t="n"/>
      <c r="BF54" s="11" t="n"/>
      <c r="BG54" s="11">
        <f>#DIV/0!</f>
        <v/>
      </c>
      <c r="BH54" s="11">
        <f>#DIV/0!</f>
        <v/>
      </c>
    </row>
    <row r="55" ht="12.75" customHeight="1">
      <c r="B55" s="10" t="inlineStr">
        <is>
          <t>SSMD Agrotech India</t>
        </is>
      </c>
      <c r="C55" s="10" t="n">
        <v>2025</v>
      </c>
      <c r="D55" s="10" t="inlineStr">
        <is>
          <t>Neg</t>
        </is>
      </c>
      <c r="E55" s="10" t="n">
        <v>6.07</v>
      </c>
      <c r="F55" s="10" t="n">
        <v>6.92</v>
      </c>
      <c r="G55" s="11">
        <f>100*(F55-E55)/F55</f>
        <v/>
      </c>
      <c r="H55" s="17" t="n">
        <v>18.16</v>
      </c>
      <c r="I55" s="17" t="n">
        <v>5.38</v>
      </c>
      <c r="J55" s="17" t="n"/>
      <c r="K55" s="17" t="n">
        <v>9.74</v>
      </c>
      <c r="L55" s="17" t="n"/>
      <c r="M55" s="17" t="n">
        <v>8.470000000000001</v>
      </c>
      <c r="N55" s="17" t="n"/>
      <c r="O55" s="17" t="n">
        <v>99.18000000000001</v>
      </c>
      <c r="P55" s="11">
        <f>O55/I55</f>
        <v/>
      </c>
      <c r="Q55" s="17" t="n">
        <v>12.32</v>
      </c>
      <c r="R55" s="25" t="n"/>
      <c r="S55" s="12" t="n">
        <v>0</v>
      </c>
      <c r="T55" s="13" t="n"/>
      <c r="U55" s="13" t="n"/>
      <c r="V55" s="13" t="n">
        <v>0</v>
      </c>
      <c r="W55" s="10" t="n"/>
      <c r="X55" s="10" t="n">
        <v>2</v>
      </c>
      <c r="Y55" s="10" t="n">
        <v>2</v>
      </c>
      <c r="Z55" s="10" t="n">
        <v>2</v>
      </c>
      <c r="AA55" s="11">
        <f>IF(X55&lt;50,IF(Y55&gt;(2.3*X55),0,1),1)-IF(Z55&gt;Y55,1.7,0)</f>
        <v/>
      </c>
      <c r="AB55" s="17" t="n">
        <v>0</v>
      </c>
      <c r="AC55" s="11">
        <f>IF(AB55&gt;4,1,0)+AB55/7</f>
        <v/>
      </c>
      <c r="AD55" s="17" t="n">
        <v>389</v>
      </c>
      <c r="AE55" s="17" t="n">
        <v>35</v>
      </c>
      <c r="AF55" s="17" t="n">
        <v>420</v>
      </c>
      <c r="AG55" s="12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11">
        <f>AG55+IF(X55&lt;1.35,0,1)+IF(Y55&lt;1.35,0,1)+AC55+AA55</f>
        <v/>
      </c>
      <c r="AI55" s="11" t="n">
        <v>11</v>
      </c>
      <c r="AJ55" s="11">
        <f>IF(AI55&gt;12.7,IF(AI55&gt;15.8,0.93,0.98),1)</f>
        <v/>
      </c>
      <c r="AK55" s="11">
        <f>(1.2*AG55+AH55)*AJ55*AQ55</f>
        <v/>
      </c>
      <c r="AL55" s="10">
        <f>D55</f>
        <v/>
      </c>
      <c r="AM55" s="14">
        <f>B55</f>
        <v/>
      </c>
      <c r="AN55" s="13" t="n">
        <v>27</v>
      </c>
      <c r="AO55" s="13">
        <f>AN55+1</f>
        <v/>
      </c>
      <c r="AP55" s="13">
        <f>IF(AK55&gt;13.1,IF(Z55&lt;101,IF(Z55&lt;35,IF(Z55&lt;6,3,2),1),0),0)</f>
        <v/>
      </c>
      <c r="AQ55" s="11" t="n">
        <v>1</v>
      </c>
      <c r="AR55" s="11">
        <f>IF(AP55&gt;0,IF(AB55&gt;10,(AB55/Z55),10/Z55),0)</f>
        <v/>
      </c>
      <c r="AS55" s="11" t="n"/>
      <c r="AT55" s="11">
        <f>100*(AK55-AQ55)/AQ55</f>
        <v/>
      </c>
      <c r="AU55" s="13" t="n"/>
      <c r="AV55" s="13" t="n"/>
      <c r="AW55" s="10" t="n"/>
      <c r="AX55" s="10" t="n"/>
      <c r="AY55" s="10" t="n"/>
      <c r="AZ55" s="13" t="n"/>
      <c r="BA55" s="10" t="n"/>
      <c r="BB55" s="11" t="n"/>
      <c r="BC55" s="11" t="n"/>
      <c r="BD55" s="11" t="n"/>
      <c r="BE55" s="11" t="n"/>
      <c r="BF55" s="11" t="n"/>
      <c r="BG55" s="11" t="n"/>
      <c r="BH55" s="11" t="n"/>
    </row>
    <row r="56" ht="12.75" customHeight="1">
      <c r="B56" s="17" t="inlineStr">
        <is>
          <t>Mother Nutri Foods</t>
        </is>
      </c>
      <c r="C56" s="17" t="n">
        <v>2025</v>
      </c>
      <c r="D56" s="17" t="inlineStr">
        <is>
          <t>Pos</t>
        </is>
      </c>
      <c r="E56" s="17" t="n">
        <v>59.61</v>
      </c>
      <c r="F56" s="17" t="n">
        <v>24.89</v>
      </c>
      <c r="G56" s="11">
        <f>100*(F56-E56)/F56</f>
        <v/>
      </c>
      <c r="H56" s="17" t="n">
        <v>70.86</v>
      </c>
      <c r="I56" s="17" t="n">
        <v>6.47</v>
      </c>
      <c r="J56" s="17" t="n"/>
      <c r="K56" s="17" t="n">
        <v>6.58</v>
      </c>
      <c r="L56" s="17" t="n"/>
      <c r="M56" s="17" t="n">
        <v>10.22</v>
      </c>
      <c r="N56" s="17" t="n"/>
      <c r="O56" s="17" t="n">
        <v>90.48</v>
      </c>
      <c r="P56" s="11">
        <f>O56/I56</f>
        <v/>
      </c>
      <c r="Q56" s="17" t="n">
        <v>17.77</v>
      </c>
      <c r="R56" s="25" t="n"/>
      <c r="S56" s="12" t="n">
        <v>1</v>
      </c>
      <c r="T56" s="13" t="n"/>
      <c r="U56" s="13" t="n"/>
      <c r="V56" s="13" t="n">
        <v>1</v>
      </c>
      <c r="W56" s="10" t="n"/>
      <c r="X56" s="10" t="n">
        <v>1.3</v>
      </c>
      <c r="Y56" s="10" t="n">
        <v>2.9</v>
      </c>
      <c r="Z56" s="10" t="n">
        <v>1.9</v>
      </c>
      <c r="AA56" s="11">
        <f>IF(X56&lt;50,IF(Y56&gt;(2.3*X56),0,1),1)-IF(Z56&gt;Y56,1.7,0)</f>
        <v/>
      </c>
      <c r="AB56" s="17" t="n">
        <v>0</v>
      </c>
      <c r="AC56" s="11">
        <f>IF(AB56&gt;4,1,0)+AB56/7</f>
        <v/>
      </c>
      <c r="AD56" s="17" t="n">
        <v>35</v>
      </c>
      <c r="AE56" s="17" t="n">
        <v>12</v>
      </c>
      <c r="AF56" s="17" t="n">
        <v>138</v>
      </c>
      <c r="AG56" s="12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11">
        <f>AG56+IF(X56&lt;1.35,0,1)+IF(Y56&lt;1.35,0,1)+AC56+AA56</f>
        <v/>
      </c>
      <c r="AI56" s="11" t="n">
        <v>11</v>
      </c>
      <c r="AJ56" s="11">
        <f>IF(AI56&gt;12.7,IF(AI56&gt;15.8,0.93,0.98),1)</f>
        <v/>
      </c>
      <c r="AK56" s="11">
        <f>(1.2*AG56+AH56)*AJ56*AQ56</f>
        <v/>
      </c>
      <c r="AL56" s="10">
        <f>D56</f>
        <v/>
      </c>
      <c r="AM56" s="14">
        <f>B56</f>
        <v/>
      </c>
      <c r="AN56" s="13" t="n">
        <v>28</v>
      </c>
      <c r="AO56" s="13">
        <f>AN56+1</f>
        <v/>
      </c>
      <c r="AP56" s="13">
        <f>IF(AK56&gt;13.1,IF(Z56&lt;101,IF(Z56&lt;35,IF(Z56&lt;6,3,2),1),0),0)</f>
        <v/>
      </c>
      <c r="AQ56" s="11" t="n">
        <v>1</v>
      </c>
      <c r="AR56" s="11">
        <f>IF(AP56&gt;0,IF(AB56&gt;10,(AB56/Z56),10/Z56),0)</f>
        <v/>
      </c>
      <c r="AS56" s="11" t="n"/>
      <c r="AT56" s="11">
        <f>100*(AK56-AQ56)/AQ56</f>
        <v/>
      </c>
      <c r="AU56" s="13" t="n"/>
      <c r="AV56" s="13" t="n"/>
      <c r="AW56" s="10" t="n"/>
      <c r="AX56" s="10" t="n"/>
      <c r="AY56" s="10" t="n"/>
      <c r="AZ56" s="13" t="n"/>
      <c r="BA56" s="10" t="n"/>
      <c r="BB56" s="11" t="n"/>
      <c r="BC56" s="11" t="n"/>
      <c r="BD56" s="11" t="n"/>
      <c r="BE56" s="11" t="n"/>
      <c r="BF56" s="11" t="n"/>
      <c r="BG56" s="11" t="n"/>
      <c r="BH56" s="11" t="n"/>
    </row>
    <row r="57" ht="12.75" customHeight="1">
      <c r="B57" s="17" t="inlineStr">
        <is>
          <t>K K Silk Mills</t>
        </is>
      </c>
      <c r="C57" s="17" t="n">
        <v>2025</v>
      </c>
      <c r="D57" s="10" t="inlineStr">
        <is>
          <t>Neg</t>
        </is>
      </c>
      <c r="E57" s="17" t="n">
        <v>59.31</v>
      </c>
      <c r="F57" s="17" t="n">
        <v>39.72</v>
      </c>
      <c r="G57" s="11">
        <f>100*(F57-E57)/F57</f>
        <v/>
      </c>
      <c r="H57" s="17" t="n">
        <v>143.25</v>
      </c>
      <c r="I57" s="17" t="n">
        <v>4.68</v>
      </c>
      <c r="J57" s="17" t="n"/>
      <c r="K57" s="17" t="n">
        <v>3.13</v>
      </c>
      <c r="L57" s="17" t="n"/>
      <c r="M57" s="17" t="n">
        <v>13.99</v>
      </c>
      <c r="N57" s="17" t="n"/>
      <c r="O57" s="17" t="n">
        <v>220.78</v>
      </c>
      <c r="P57" s="11">
        <f>O57/I57</f>
        <v/>
      </c>
      <c r="Q57" s="17" t="n">
        <v>15.87</v>
      </c>
      <c r="R57" s="25" t="n"/>
      <c r="S57" s="12" t="n">
        <v>0</v>
      </c>
      <c r="T57" s="13" t="n"/>
      <c r="U57" s="13" t="n"/>
      <c r="V57" s="13" t="n">
        <v>0</v>
      </c>
      <c r="W57" s="10" t="n"/>
      <c r="X57" s="10" t="n">
        <v>1.33</v>
      </c>
      <c r="Y57" s="10" t="n">
        <v>0.77</v>
      </c>
      <c r="Z57" s="10" t="n">
        <v>5.55</v>
      </c>
      <c r="AA57" s="11">
        <f>IF(X57&lt;50,IF(Y57&gt;(2.3*X57),0,1),1)-IF(Z57&gt;Y57,1.7,0)</f>
        <v/>
      </c>
      <c r="AB57" s="17" t="n">
        <v>0</v>
      </c>
      <c r="AC57" s="11">
        <f>IF(AB57&gt;4,1,0)+AB57/7</f>
        <v/>
      </c>
      <c r="AD57" s="17" t="n">
        <v>107</v>
      </c>
      <c r="AE57" s="17" t="n">
        <v>15.88</v>
      </c>
      <c r="AF57" s="17" t="n">
        <v>13.35</v>
      </c>
      <c r="AG57" s="12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11">
        <f>AG57+IF(X57&lt;1.35,0,1)+IF(Y57&lt;1.35,0,1)+AC57+AA57</f>
        <v/>
      </c>
      <c r="AI57" s="11" t="n">
        <v>11</v>
      </c>
      <c r="AJ57" s="11">
        <f>IF(AI57&gt;12.7,IF(AI57&gt;15.8,0.93,0.98),1)</f>
        <v/>
      </c>
      <c r="AK57" s="11">
        <f>(1.2*AG57+AH57)*AJ57*AQ57</f>
        <v/>
      </c>
      <c r="AL57" s="10">
        <f>D57</f>
        <v/>
      </c>
      <c r="AM57" s="14">
        <f>B57</f>
        <v/>
      </c>
      <c r="AN57" s="13" t="n">
        <v>28</v>
      </c>
      <c r="AO57" s="13">
        <f>AN57+1</f>
        <v/>
      </c>
      <c r="AP57" s="13">
        <f>IF(AK57&gt;13.1,IF(Z57&lt;101,IF(Z57&lt;35,IF(Z57&lt;6,3,2),1),0),0)</f>
        <v/>
      </c>
      <c r="AQ57" s="11" t="n">
        <v>1</v>
      </c>
      <c r="AR57" s="11">
        <f>IF(AP57&gt;0,IF(AB57&gt;10,(AB57/Z57),10/Z57),0)</f>
        <v/>
      </c>
      <c r="AS57" s="11" t="n"/>
      <c r="AT57" s="11">
        <f>100*(AK57-AQ57)/AQ57</f>
        <v/>
      </c>
      <c r="AU57" s="13" t="n"/>
      <c r="AV57" s="13" t="n"/>
      <c r="AW57" s="10" t="n"/>
      <c r="AX57" s="10" t="n"/>
      <c r="AY57" s="10" t="n"/>
      <c r="AZ57" s="13" t="n"/>
      <c r="BA57" s="10" t="n"/>
      <c r="BB57" s="11" t="n"/>
      <c r="BC57" s="11" t="n"/>
      <c r="BD57" s="11" t="n"/>
      <c r="BE57" s="11" t="n"/>
      <c r="BF57" s="11" t="n"/>
      <c r="BG57" s="11" t="n"/>
      <c r="BH57" s="11" t="n"/>
    </row>
    <row r="58" ht="12.75" customHeight="1">
      <c r="B58" s="17" t="inlineStr">
        <is>
          <t>Purple Wave Infocom</t>
        </is>
      </c>
      <c r="C58" s="17" t="n">
        <v>2025</v>
      </c>
      <c r="D58" s="17" t="inlineStr">
        <is>
          <t>Pos</t>
        </is>
      </c>
      <c r="E58" s="17" t="n">
        <v>14.66</v>
      </c>
      <c r="F58" s="17" t="n">
        <v>14.75</v>
      </c>
      <c r="G58" s="11">
        <f>100*(F58-E58)/F58</f>
        <v/>
      </c>
      <c r="H58" s="17" t="n">
        <v>75.8</v>
      </c>
      <c r="I58" s="17" t="n">
        <v>6.57</v>
      </c>
      <c r="J58" s="17" t="n"/>
      <c r="K58" s="17" t="n">
        <v>9.73</v>
      </c>
      <c r="L58" s="17" t="n"/>
      <c r="M58" s="17" t="n">
        <v>10.13</v>
      </c>
      <c r="N58" s="17" t="n"/>
      <c r="O58" s="17" t="n">
        <v>89.42</v>
      </c>
      <c r="P58" s="11">
        <f>O58/I58</f>
        <v/>
      </c>
      <c r="Q58" s="17" t="n">
        <v>9.33</v>
      </c>
      <c r="R58" s="25" t="n"/>
      <c r="S58" s="12" t="n">
        <v>0</v>
      </c>
      <c r="T58" s="13" t="n"/>
      <c r="U58" s="13" t="n"/>
      <c r="V58" s="13" t="n">
        <v>1</v>
      </c>
      <c r="W58" s="10" t="n"/>
      <c r="X58" s="10" t="n">
        <v>10</v>
      </c>
      <c r="Y58" s="10" t="n">
        <v>6</v>
      </c>
      <c r="Z58" s="10" t="n">
        <v>3.8</v>
      </c>
      <c r="AA58" s="11">
        <f>IF(X58&lt;50,IF(Y58&gt;(2.3*X58),0,1),1)-IF(Z58&gt;Y58,1.7,0)</f>
        <v/>
      </c>
      <c r="AB58" s="17" t="n">
        <v>0</v>
      </c>
      <c r="AC58" s="11">
        <f>IF(AB58&gt;4,1,0)+AB58/7</f>
        <v/>
      </c>
      <c r="AD58" s="17" t="n">
        <v>725</v>
      </c>
      <c r="AE58" s="17" t="n">
        <v>28</v>
      </c>
      <c r="AF58" s="17" t="n">
        <v>80</v>
      </c>
      <c r="AG58" s="12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11">
        <f>AG58+IF(X58&lt;1.35,0,1)+IF(Y58&lt;1.35,0,1)+AC58+AA58</f>
        <v/>
      </c>
      <c r="AI58" s="11" t="n">
        <v>11</v>
      </c>
      <c r="AJ58" s="11">
        <f>IF(AI58&gt;12.7,IF(AI58&gt;15.8,0.93,0.98),1)</f>
        <v/>
      </c>
      <c r="AK58" s="11">
        <f>(1.2*AG58+AH58)*AJ58*AQ58</f>
        <v/>
      </c>
      <c r="AL58" s="10">
        <f>D58</f>
        <v/>
      </c>
      <c r="AM58" s="14">
        <f>B58</f>
        <v/>
      </c>
      <c r="AN58" s="27" t="n">
        <v>2</v>
      </c>
      <c r="AO58" s="13">
        <f>AN58+1</f>
        <v/>
      </c>
      <c r="AP58" s="13">
        <f>IF(AK58&gt;13.1,IF(Z58&lt;101,IF(Z58&lt;35,IF(Z58&lt;6,3,2),1),0),0)</f>
        <v/>
      </c>
      <c r="AQ58" s="11" t="n">
        <v>1</v>
      </c>
      <c r="AR58" s="11">
        <f>IF(AP58&gt;0,IF(AB58&gt;10,(AB58/Z58),10/Z58),0)</f>
        <v/>
      </c>
      <c r="AS58" s="11" t="n"/>
      <c r="AT58" s="11">
        <f>100*(AK58-AQ58)/AQ58</f>
        <v/>
      </c>
      <c r="AU58" s="13" t="n"/>
      <c r="AV58" s="13" t="n"/>
      <c r="AW58" s="10" t="n"/>
      <c r="AX58" s="10" t="n"/>
      <c r="AY58" s="28" t="n"/>
      <c r="AZ58" s="27" t="n"/>
      <c r="BA58" s="28" t="n"/>
      <c r="BB58" s="29" t="n"/>
      <c r="BC58" s="29" t="n"/>
      <c r="BD58" s="29" t="n"/>
      <c r="BE58" s="29" t="n"/>
      <c r="BF58" s="11" t="n"/>
      <c r="BG58" s="11" t="n"/>
      <c r="BH58" s="11" t="n"/>
    </row>
    <row r="59" ht="12" customHeight="1">
      <c r="B59" s="17" t="inlineStr">
        <is>
          <t>Eato Technologies</t>
        </is>
      </c>
      <c r="C59" s="17" t="n">
        <v>2025</v>
      </c>
      <c r="D59" s="17" t="inlineStr">
        <is>
          <t>Pos</t>
        </is>
      </c>
      <c r="E59" s="17" t="n">
        <v>31.63</v>
      </c>
      <c r="F59" s="17" t="n">
        <v>42.29</v>
      </c>
      <c r="G59" s="11">
        <f>100*(F59-E59)/F59</f>
        <v/>
      </c>
      <c r="H59" s="17" t="n">
        <v>95.16</v>
      </c>
      <c r="I59" s="17" t="n">
        <v>9.75</v>
      </c>
      <c r="J59" s="17" t="n"/>
      <c r="K59" s="17" t="inlineStr">
        <is>
          <t>N/A</t>
        </is>
      </c>
      <c r="L59" s="17" t="n"/>
      <c r="M59" s="17" t="n">
        <v>15.95</v>
      </c>
      <c r="N59" s="17" t="n"/>
      <c r="O59" s="17" t="n">
        <v>126.16</v>
      </c>
      <c r="P59" s="11">
        <f>O59/I59</f>
        <v/>
      </c>
      <c r="Q59" s="17" t="n">
        <v>11.19</v>
      </c>
      <c r="R59" s="25" t="n"/>
      <c r="S59" s="12" t="n">
        <v>0</v>
      </c>
      <c r="T59" s="13" t="n"/>
      <c r="U59" s="13" t="n"/>
      <c r="V59" s="13" t="n">
        <v>1</v>
      </c>
      <c r="W59" s="10" t="n"/>
      <c r="X59" s="10" t="n">
        <v>300</v>
      </c>
      <c r="Y59" s="10" t="n">
        <v>1400</v>
      </c>
      <c r="Z59" s="10" t="n">
        <v>1000</v>
      </c>
      <c r="AA59" s="11">
        <f>IF(X59&lt;50,IF(Y59&gt;(2.3*X59),0,1),1)-IF(Z59&gt;Y59,1.7,0)</f>
        <v/>
      </c>
      <c r="AB59" s="17" t="n">
        <v>107</v>
      </c>
      <c r="AC59" s="11">
        <f>IF(AB59&gt;4,1,0)+AB59/7</f>
        <v/>
      </c>
      <c r="AD59" s="17" t="n">
        <v>83.59999999999999</v>
      </c>
      <c r="AE59" s="17" t="n">
        <v>9.800000000000001</v>
      </c>
      <c r="AF59" s="17" t="n">
        <v>56.7</v>
      </c>
      <c r="AG59" s="12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11">
        <f>AG59+IF(X59&lt;1.35,0,1)+IF(Y59&lt;1.35,0,1)+AC59+AA59</f>
        <v/>
      </c>
      <c r="AI59" s="11" t="n">
        <v>11</v>
      </c>
      <c r="AJ59" s="11">
        <f>IF(AI59&gt;12.7,IF(AI59&gt;15.8,0.93,0.98),1)</f>
        <v/>
      </c>
      <c r="AK59" s="11">
        <f>(1.2*AG59+AH59)*AJ59*AQ59</f>
        <v/>
      </c>
      <c r="AL59" s="10">
        <f>D59</f>
        <v/>
      </c>
      <c r="AM59" s="14">
        <f>B59</f>
        <v/>
      </c>
      <c r="AN59" s="13" t="n">
        <v>2</v>
      </c>
      <c r="AO59" s="13">
        <f>AN59+1</f>
        <v/>
      </c>
      <c r="AP59" s="13">
        <f>IF(AK59&gt;13.1,IF(Z59&lt;101,IF(Z59&lt;35,IF(Z59&lt;6,3,2),1),0),0)</f>
        <v/>
      </c>
      <c r="AQ59" s="11" t="n">
        <v>1</v>
      </c>
      <c r="AR59" s="11">
        <f>IF(AP59&gt;0,IF(AB59&gt;10,(AB59/Z59),10/Z59),0)</f>
        <v/>
      </c>
      <c r="AS59" s="11" t="n"/>
      <c r="AT59" s="11">
        <f>100*(AK59-AQ59)/AQ59</f>
        <v/>
      </c>
      <c r="AU59" s="13" t="n"/>
      <c r="AV59" s="13" t="n"/>
      <c r="AW59" s="10" t="n"/>
      <c r="AX59" s="10" t="n"/>
      <c r="AY59" s="10" t="n"/>
      <c r="AZ59" s="13" t="n"/>
      <c r="BA59" s="10" t="n"/>
      <c r="BB59" s="11" t="n"/>
      <c r="BC59" s="11" t="n"/>
      <c r="BD59" s="11" t="n"/>
      <c r="BE59" s="11" t="n"/>
      <c r="BF59" s="11" t="n"/>
      <c r="BG59" s="11" t="n"/>
      <c r="BH59" s="11" t="n"/>
    </row>
    <row r="60" ht="12.75" customHeight="1">
      <c r="B60" s="17" t="inlineStr">
        <is>
          <t>Logiciel Solutions</t>
        </is>
      </c>
      <c r="C60" s="17" t="n">
        <v>2025</v>
      </c>
      <c r="D60" s="10" t="inlineStr">
        <is>
          <t>Neg</t>
        </is>
      </c>
      <c r="E60" s="17" t="n">
        <v>0.02</v>
      </c>
      <c r="F60" s="17" t="n">
        <v>23.72</v>
      </c>
      <c r="G60" s="11">
        <f>100*(F60-E60)/F60</f>
        <v/>
      </c>
      <c r="H60" s="17" t="n">
        <v>30.49</v>
      </c>
      <c r="I60" s="17" t="n">
        <v>5.47</v>
      </c>
      <c r="J60" s="17" t="n"/>
      <c r="K60" s="17" t="n">
        <v>9.48</v>
      </c>
      <c r="L60" s="17" t="n"/>
      <c r="M60" s="17" t="n">
        <v>8.140000000000001</v>
      </c>
      <c r="N60" s="17" t="n"/>
      <c r="O60" s="17" t="n">
        <v>21.2</v>
      </c>
      <c r="P60" s="11">
        <f>O60/I60</f>
        <v/>
      </c>
      <c r="Q60" s="17" t="n">
        <v>20.35</v>
      </c>
      <c r="R60" s="25" t="n"/>
      <c r="S60" s="12" t="n">
        <v>0</v>
      </c>
      <c r="T60" s="13" t="n"/>
      <c r="U60" s="13" t="n"/>
      <c r="V60" s="13" t="n">
        <v>0</v>
      </c>
      <c r="W60" s="10" t="n"/>
      <c r="X60" s="10" t="n">
        <v>1.32</v>
      </c>
      <c r="Y60" s="10" t="n">
        <v>0.7</v>
      </c>
      <c r="Z60" s="10" t="n">
        <v>3.43</v>
      </c>
      <c r="AA60" s="11">
        <f>IF(X60&lt;50,IF(Y60&gt;(2.3*X60),0,1),1)-IF(Z60&gt;Y60,1.7,0)</f>
        <v/>
      </c>
      <c r="AB60" s="17" t="n">
        <v>0</v>
      </c>
      <c r="AC60" s="11">
        <f>IF(AB60&gt;4,1,0)+AB60/7</f>
        <v/>
      </c>
      <c r="AD60" s="17" t="n">
        <v>53.65</v>
      </c>
      <c r="AE60" s="17" t="n">
        <v>65.23999999999999</v>
      </c>
      <c r="AF60" s="17" t="n">
        <v>145.55</v>
      </c>
      <c r="AG60" s="12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11">
        <f>AG60+IF(X60&lt;1.35,0,1)+IF(Y60&lt;1.35,0,1)+AC60+AA60</f>
        <v/>
      </c>
      <c r="AI60" s="11" t="n">
        <v>11</v>
      </c>
      <c r="AJ60" s="11">
        <f>IF(AI60&gt;12.7,IF(AI60&gt;15.8,0.93,0.98),1)</f>
        <v/>
      </c>
      <c r="AK60" s="11">
        <f>(1.2*AG60+AH60)*AJ60*AQ60</f>
        <v/>
      </c>
      <c r="AL60" s="10">
        <f>D60</f>
        <v/>
      </c>
      <c r="AM60" s="14">
        <f>B60</f>
        <v/>
      </c>
      <c r="AN60" s="13" t="n">
        <v>2</v>
      </c>
      <c r="AO60" s="13">
        <f>AN60+1</f>
        <v/>
      </c>
      <c r="AP60" s="13">
        <f>IF(AK60&gt;13.1,IF(Z60&lt;101,IF(Z60&lt;35,IF(Z60&lt;6,3,2),1),0),0)</f>
        <v/>
      </c>
      <c r="AQ60" s="11" t="n">
        <v>1</v>
      </c>
      <c r="AR60" s="11">
        <f>IF(AP60&gt;0,IF(AB60&gt;10,(AB60/Z60),10/Z60),0)</f>
        <v/>
      </c>
      <c r="AS60" s="11" t="n"/>
      <c r="AT60" s="11">
        <f>100*(AK60-AQ60)/AQ60</f>
        <v/>
      </c>
      <c r="AU60" s="13" t="n"/>
      <c r="AV60" s="13" t="n"/>
      <c r="AW60" s="10" t="n"/>
      <c r="AX60" s="10" t="n"/>
      <c r="AY60" s="10" t="n"/>
      <c r="AZ60" s="13" t="n"/>
      <c r="BA60" s="10" t="n"/>
      <c r="BB60" s="11" t="n"/>
      <c r="BC60" s="11" t="n"/>
      <c r="BD60" s="11" t="n"/>
      <c r="BE60" s="11" t="n"/>
      <c r="BF60" s="11" t="n"/>
      <c r="BG60" s="11" t="n"/>
      <c r="BH60" s="11" t="n"/>
    </row>
    <row r="61" ht="14.25" customHeight="1">
      <c r="B61" s="10" t="inlineStr">
        <is>
          <t>Ravelcare</t>
        </is>
      </c>
      <c r="C61" s="10" t="n">
        <v>2025</v>
      </c>
      <c r="D61" s="17" t="inlineStr">
        <is>
          <t>Pos</t>
        </is>
      </c>
      <c r="E61" s="10" t="n">
        <v>0</v>
      </c>
      <c r="F61" s="10" t="n">
        <v>5.34</v>
      </c>
      <c r="G61" s="11">
        <f>100*(F61-E61)/F61</f>
        <v/>
      </c>
      <c r="H61" s="10" t="n">
        <v>12.9</v>
      </c>
      <c r="I61" s="10" t="n">
        <v>5.25</v>
      </c>
      <c r="J61" s="10" t="n"/>
      <c r="K61" s="10" t="n">
        <v>10.48</v>
      </c>
      <c r="L61" s="10" t="n"/>
      <c r="M61" s="10" t="n">
        <v>6.86</v>
      </c>
      <c r="N61" s="10" t="n"/>
      <c r="O61" s="10" t="n">
        <v>24.98</v>
      </c>
      <c r="P61" s="11">
        <f>O61/I61</f>
        <v/>
      </c>
      <c r="Q61" s="10" t="n">
        <v>12.9</v>
      </c>
      <c r="R61" s="11" t="n">
        <v>10.59</v>
      </c>
      <c r="S61" s="12" t="n">
        <v>-0.5</v>
      </c>
      <c r="T61" s="13" t="n"/>
      <c r="U61" s="13" t="n"/>
      <c r="V61" s="13" t="n">
        <v>1</v>
      </c>
      <c r="W61" s="10" t="n"/>
      <c r="X61" s="10" t="n">
        <v>6.8</v>
      </c>
      <c r="Y61" s="10" t="n">
        <v>115</v>
      </c>
      <c r="Z61" s="10" t="n">
        <v>78</v>
      </c>
      <c r="AA61" s="11">
        <f>IF(X61&lt;50,IF(Y61&gt;(2.3*X61),0,1),1)-IF(Z61&gt;Y61,1.7,0)</f>
        <v/>
      </c>
      <c r="AB61" s="17" t="n">
        <v>61</v>
      </c>
      <c r="AC61" s="11">
        <f>IF(AB61&gt;4,1,0)+AB61/7</f>
        <v/>
      </c>
      <c r="AD61" s="10" t="n">
        <v>4.45</v>
      </c>
      <c r="AE61" s="10" t="n">
        <v>13.09</v>
      </c>
      <c r="AF61" s="10" t="n">
        <v>4.91</v>
      </c>
      <c r="AG61" s="12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11">
        <f>AG61+IF(X61&lt;1.35,0,1)+IF(Y61&lt;1.35,0,1)+AC61+AA61</f>
        <v/>
      </c>
      <c r="AI61" s="11" t="n">
        <v>11</v>
      </c>
      <c r="AJ61" s="11">
        <f>IF(AI61&gt;12.7,IF(AI61&gt;15.8,0.93,0.98),1)</f>
        <v/>
      </c>
      <c r="AK61" s="11">
        <f>(1.2*AG61+AH61)*AJ61*AQ61</f>
        <v/>
      </c>
      <c r="AL61" s="10">
        <f>D61</f>
        <v/>
      </c>
      <c r="AM61" s="14">
        <f>B61</f>
        <v/>
      </c>
      <c r="AN61" s="13" t="n">
        <v>3</v>
      </c>
      <c r="AO61" s="13">
        <f>AN61+1</f>
        <v/>
      </c>
      <c r="AP61" s="13">
        <f>IF(AK61&gt;13.1,IF(Z61&lt;101,IF(Z61&lt;35,IF(Z61&lt;6,3,2),1),0),0)</f>
        <v/>
      </c>
      <c r="AQ61" s="11" t="n">
        <v>1</v>
      </c>
      <c r="AR61" s="11">
        <f>IF(AP61&gt;0,IF(AB61&gt;10,(AB61/Z61),10/Z61),0)</f>
        <v/>
      </c>
      <c r="AS61" s="11" t="n"/>
      <c r="AT61" s="11">
        <f>100*(AK61-AQ61)/AQ61</f>
        <v/>
      </c>
      <c r="AU61" s="13" t="n"/>
      <c r="AV61" s="13" t="n"/>
      <c r="AW61" s="10" t="n"/>
      <c r="AX61" s="10" t="n"/>
      <c r="AY61" s="10" t="n"/>
      <c r="AZ61" s="13" t="n"/>
      <c r="BA61" s="10" t="n"/>
      <c r="BB61" s="11" t="n"/>
      <c r="BC61" s="11" t="n"/>
      <c r="BD61" s="11" t="n"/>
      <c r="BE61" s="11" t="n"/>
      <c r="BF61" s="11" t="n"/>
      <c r="BG61" s="11" t="n"/>
      <c r="BH61" s="11" t="n"/>
    </row>
    <row r="62" ht="21.75" customHeight="1">
      <c r="B62" s="10" t="inlineStr">
        <is>
          <t>Clear Secured Services</t>
        </is>
      </c>
      <c r="C62" s="10" t="n">
        <v>2025</v>
      </c>
      <c r="D62" s="10" t="inlineStr">
        <is>
          <t>Rec</t>
        </is>
      </c>
      <c r="E62" s="10" t="n">
        <v>85.59</v>
      </c>
      <c r="F62" s="10" t="n">
        <v>89.7</v>
      </c>
      <c r="G62" s="11">
        <f>100*(F62-E62)/F62</f>
        <v/>
      </c>
      <c r="H62" s="10" t="n">
        <v>164.37</v>
      </c>
      <c r="I62" s="10" t="n">
        <v>11.74</v>
      </c>
      <c r="J62" s="10" t="n"/>
      <c r="K62" s="10" t="n">
        <v>7.34</v>
      </c>
      <c r="L62" s="10" t="n"/>
      <c r="M62" s="10" t="n">
        <v>23.42</v>
      </c>
      <c r="N62" s="10" t="n"/>
      <c r="O62" s="10" t="n">
        <v>281.9</v>
      </c>
      <c r="P62" s="11">
        <f>O62/I62</f>
        <v/>
      </c>
      <c r="Q62" s="10" t="inlineStr">
        <is>
          <t>N/A</t>
        </is>
      </c>
      <c r="R62" s="11" t="n">
        <v>10.75</v>
      </c>
      <c r="S62" s="12" t="n">
        <v>0</v>
      </c>
      <c r="T62" s="13" t="n"/>
      <c r="U62" s="13" t="n"/>
      <c r="V62" s="13" t="n">
        <v>1</v>
      </c>
      <c r="W62" s="10" t="n"/>
      <c r="X62" s="10" t="n">
        <v>3.5</v>
      </c>
      <c r="Y62" s="10" t="n">
        <v>2</v>
      </c>
      <c r="Z62" s="10" t="n">
        <v>0.93</v>
      </c>
      <c r="AA62" s="11">
        <f>IF(X62&lt;50,IF(Y62&gt;(2.3*X62),0,1),1)-IF(Z62&gt;Y62,1.7,0)</f>
        <v/>
      </c>
      <c r="AB62" s="17" t="n">
        <v>6</v>
      </c>
      <c r="AC62" s="11">
        <f>IF(AB62&gt;4,1,0)+AB62/7</f>
        <v/>
      </c>
      <c r="AD62" s="10" t="n">
        <v>68.40000000000001</v>
      </c>
      <c r="AE62" s="10" t="n">
        <v>13</v>
      </c>
      <c r="AF62" s="10" t="n">
        <v>15</v>
      </c>
      <c r="AG62" s="12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11">
        <f>AG62+IF(X62&lt;1.35,0,1)+IF(Y62&lt;1.35,0,1)+AC62+AA62</f>
        <v/>
      </c>
      <c r="AI62" s="11" t="n">
        <v>11</v>
      </c>
      <c r="AJ62" s="11">
        <f>IF(AI62&gt;12.7,IF(AI62&gt;15.8,0.93,0.98),1)</f>
        <v/>
      </c>
      <c r="AK62" s="11">
        <f>(1.2*AG62+AH62)*AJ62*AQ62</f>
        <v/>
      </c>
      <c r="AL62" s="10">
        <f>D62</f>
        <v/>
      </c>
      <c r="AM62" s="14">
        <f>B62</f>
        <v/>
      </c>
      <c r="AN62" s="13" t="n">
        <v>3</v>
      </c>
      <c r="AO62" s="13">
        <f>AN62+1</f>
        <v/>
      </c>
      <c r="AP62" s="13">
        <f>IF(AK62&gt;13.1,IF(Z62&lt;101,IF(Z62&lt;35,IF(Z62&lt;6,3,2),1),0),0)</f>
        <v/>
      </c>
      <c r="AQ62" s="11" t="n">
        <v>1</v>
      </c>
      <c r="AR62" s="11">
        <f>IF(AP62&gt;0,IF(AB62&gt;10,(AB62/Z62),10/Z62),0)</f>
        <v/>
      </c>
      <c r="AS62" s="11" t="n"/>
      <c r="AT62" s="11">
        <f>100*(AK62-AQ62)/AQ62</f>
        <v/>
      </c>
      <c r="AU62" s="13" t="n"/>
      <c r="AV62" s="13" t="n"/>
      <c r="AW62" s="10" t="n"/>
      <c r="AX62" s="10" t="n"/>
      <c r="AY62" s="10" t="n"/>
      <c r="AZ62" s="13" t="n"/>
      <c r="BA62" s="10" t="n"/>
      <c r="BB62" s="11" t="n"/>
      <c r="BC62" s="11" t="n"/>
      <c r="BD62" s="11" t="n"/>
      <c r="BE62" s="11" t="n"/>
      <c r="BF62" s="11" t="n"/>
      <c r="BG62" s="11" t="n"/>
      <c r="BH62" s="11" t="n"/>
    </row>
    <row r="63" ht="12.75" customHeight="1">
      <c r="B63" s="10" t="inlineStr">
        <is>
          <t>Invicta Diagnostic</t>
        </is>
      </c>
      <c r="C63" s="10" t="n">
        <v>2025</v>
      </c>
      <c r="D63" s="17" t="inlineStr">
        <is>
          <t>Pos</t>
        </is>
      </c>
      <c r="E63" s="17" t="n">
        <v>3.54</v>
      </c>
      <c r="F63" s="17" t="n">
        <v>13.6</v>
      </c>
      <c r="G63" s="11">
        <f>100*(F63-E63)/F63</f>
        <v/>
      </c>
      <c r="H63" s="17" t="n">
        <v>21.22</v>
      </c>
      <c r="I63" s="17" t="n">
        <v>4.93</v>
      </c>
      <c r="J63" s="17" t="n"/>
      <c r="K63" s="17" t="n">
        <v>5.86</v>
      </c>
      <c r="L63" s="17" t="n"/>
      <c r="M63" s="17" t="n">
        <v>9.23</v>
      </c>
      <c r="N63" s="17" t="n"/>
      <c r="O63" s="17" t="n">
        <v>30.18</v>
      </c>
      <c r="P63" s="11">
        <f>O63/I63</f>
        <v/>
      </c>
      <c r="Q63" s="10" t="n">
        <v>14.16</v>
      </c>
      <c r="R63" s="11" t="n">
        <v>11.66</v>
      </c>
      <c r="S63" s="12" t="n">
        <v>1</v>
      </c>
      <c r="T63" s="13" t="n"/>
      <c r="U63" s="13" t="n"/>
      <c r="V63" s="13" t="n">
        <v>1</v>
      </c>
      <c r="W63" s="10" t="n"/>
      <c r="X63" s="10" t="n">
        <v>1.55</v>
      </c>
      <c r="Y63" s="10" t="n">
        <v>2.88</v>
      </c>
      <c r="Z63" s="10" t="n">
        <v>1.66</v>
      </c>
      <c r="AA63" s="11">
        <f>IF(X63&lt;50,IF(Y63&gt;(2.3*X63),0,1),1)-IF(Z63&gt;Y63,1.7,0)</f>
        <v/>
      </c>
      <c r="AB63" s="17" t="n">
        <v>4</v>
      </c>
      <c r="AC63" s="11">
        <f>IF(AB63&gt;4,1,0)+AB63/7</f>
        <v/>
      </c>
      <c r="AD63" s="10" t="n">
        <v>29.33</v>
      </c>
      <c r="AE63" s="10" t="n">
        <v>89.69</v>
      </c>
      <c r="AF63" s="10" t="n">
        <v>57</v>
      </c>
      <c r="AG63" s="12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11">
        <f>AG63+IF(X63&lt;1.35,0,1)+IF(Y63&lt;1.35,0,1)+AC63+AA63</f>
        <v/>
      </c>
      <c r="AI63" s="11" t="n">
        <v>11</v>
      </c>
      <c r="AJ63" s="11">
        <f>IF(AI63&gt;12.7,IF(AI63&gt;15.8,0.93,0.98),1)</f>
        <v/>
      </c>
      <c r="AK63" s="11">
        <f>(1.2*AG63+AH63)*AJ63*AQ63</f>
        <v/>
      </c>
      <c r="AL63" s="10">
        <f>D63</f>
        <v/>
      </c>
      <c r="AM63" s="14">
        <f>B63</f>
        <v/>
      </c>
      <c r="AN63" s="27" t="n">
        <v>3</v>
      </c>
      <c r="AO63" s="13">
        <f>AN63+1</f>
        <v/>
      </c>
      <c r="AP63" s="13">
        <f>IF(AK63&gt;13.1,IF(Z63&lt;101,IF(Z63&lt;35,IF(Z63&lt;6,3,2),1),0),0)</f>
        <v/>
      </c>
      <c r="AQ63" s="11" t="n">
        <v>1</v>
      </c>
      <c r="AR63" s="11">
        <f>IF(AP63&gt;0,IF(AB63&gt;10,(AB63/Z63),10/Z63),0)</f>
        <v/>
      </c>
      <c r="AS63" s="11" t="n"/>
      <c r="AT63" s="11">
        <f>100*(AK63-AQ63)/AQ63</f>
        <v/>
      </c>
      <c r="AU63" s="13" t="n"/>
      <c r="AV63" s="13" t="n"/>
      <c r="AW63" s="10" t="n"/>
      <c r="AX63" s="10" t="n"/>
      <c r="AY63" s="28" t="n">
        <v>85</v>
      </c>
      <c r="AZ63" s="27" t="n"/>
      <c r="BA63" s="28" t="n">
        <v>99</v>
      </c>
      <c r="BB63" s="29" t="n">
        <v>100</v>
      </c>
      <c r="BC63" s="29" t="n">
        <v>91</v>
      </c>
      <c r="BD63" s="29" t="n">
        <v>87</v>
      </c>
      <c r="BE63" s="29" t="n"/>
      <c r="BF63" s="11" t="n"/>
      <c r="BG63" s="11" t="n"/>
      <c r="BH63" s="11" t="n"/>
    </row>
    <row r="64" ht="12.75" customHeight="1">
      <c r="B64" s="10" t="inlineStr">
        <is>
          <t>Astron Multigrain</t>
        </is>
      </c>
      <c r="C64" s="17" t="n">
        <v>2025</v>
      </c>
      <c r="D64" s="10" t="inlineStr">
        <is>
          <t>Neg</t>
        </is>
      </c>
      <c r="E64" s="17" t="n">
        <v>6.75</v>
      </c>
      <c r="F64" s="17" t="n">
        <v>3.92</v>
      </c>
      <c r="G64" s="11">
        <f>100*(F64-E64)/F64</f>
        <v/>
      </c>
      <c r="H64" s="17" t="n">
        <v>14.83</v>
      </c>
      <c r="I64" s="17" t="n">
        <v>1.39</v>
      </c>
      <c r="J64" s="17" t="n"/>
      <c r="K64" s="17" t="n">
        <v>5.23</v>
      </c>
      <c r="L64" s="17" t="n"/>
      <c r="M64" s="17" t="n">
        <v>2.62</v>
      </c>
      <c r="N64" s="17" t="n"/>
      <c r="O64" s="17" t="n">
        <v>19.49</v>
      </c>
      <c r="P64" s="11">
        <f>O64/I64</f>
        <v/>
      </c>
      <c r="Q64" s="10" t="n">
        <v>9.94</v>
      </c>
      <c r="R64" s="11" t="n">
        <v>16.42</v>
      </c>
      <c r="S64" s="12" t="n">
        <v>0</v>
      </c>
      <c r="T64" s="13" t="n"/>
      <c r="U64" s="13" t="n"/>
      <c r="V64" s="13" t="n">
        <v>0</v>
      </c>
      <c r="W64" s="10" t="n"/>
      <c r="X64" s="10" t="n">
        <v>0.3</v>
      </c>
      <c r="Y64" s="10" t="n">
        <v>0.3</v>
      </c>
      <c r="Z64" s="10" t="n">
        <v>1.45</v>
      </c>
      <c r="AA64" s="11">
        <f>IF(X64&lt;50,IF(Y64&gt;(2.3*X64),0,1),1)-IF(Z64&gt;Y64,1.7,0)</f>
        <v/>
      </c>
      <c r="AB64" s="17" t="n">
        <v>0</v>
      </c>
      <c r="AC64" s="11">
        <f>IF(AB64&gt;4,1,0)+AB64/7</f>
        <v/>
      </c>
      <c r="AD64" s="10" t="n">
        <v>1290</v>
      </c>
      <c r="AE64" s="10" t="n">
        <v>58</v>
      </c>
      <c r="AF64" s="10" t="n">
        <v>55</v>
      </c>
      <c r="AG64" s="12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11">
        <f>AG64+IF(X64&lt;1.35,0,1)+IF(Y64&lt;1.35,0,1)+AC64+AA64</f>
        <v/>
      </c>
      <c r="AI64" s="11" t="n">
        <v>11</v>
      </c>
      <c r="AJ64" s="11">
        <f>IF(AI64&gt;12.7,IF(AI64&gt;15.8,0.93,0.98),1)</f>
        <v/>
      </c>
      <c r="AK64" s="11">
        <f>(1.2*AG64+AH64)*AJ64*AQ64</f>
        <v/>
      </c>
      <c r="AL64" s="10">
        <f>D64</f>
        <v/>
      </c>
      <c r="AM64" s="14">
        <f>B64</f>
        <v/>
      </c>
      <c r="AN64" s="13" t="n">
        <v>3</v>
      </c>
      <c r="AO64" s="13">
        <f>AN64+1</f>
        <v/>
      </c>
      <c r="AP64" s="13">
        <f>IF(AK64&gt;13.1,IF(Z64&lt;101,IF(Z64&lt;35,IF(Z64&lt;6,3,2),1),0),0)</f>
        <v/>
      </c>
      <c r="AQ64" s="11" t="n">
        <v>1</v>
      </c>
      <c r="AR64" s="11">
        <f>IF(AP64&gt;0,IF(AB64&gt;10,(AB64/Z64),10/Z64),0)</f>
        <v/>
      </c>
      <c r="AS64" s="11" t="n"/>
      <c r="AT64" s="11">
        <f>100*(AK64-AQ64)/AQ64</f>
        <v/>
      </c>
      <c r="AU64" s="13" t="n"/>
      <c r="AV64" s="13" t="n"/>
      <c r="AW64" s="10" t="n"/>
      <c r="AX64" s="10" t="n"/>
      <c r="AY64" s="10" t="n"/>
      <c r="AZ64" s="13" t="n"/>
      <c r="BA64" s="10" t="n"/>
      <c r="BB64" s="11" t="n"/>
      <c r="BC64" s="11" t="n"/>
      <c r="BD64" s="11" t="n"/>
      <c r="BE64" s="11" t="n"/>
      <c r="BF64" s="11" t="n"/>
      <c r="BG64" s="11" t="n"/>
      <c r="BH64" s="11" t="n"/>
    </row>
    <row r="65" ht="12.75" customHeight="1">
      <c r="B65" s="17" t="inlineStr">
        <is>
          <t>Speb Adhesives</t>
        </is>
      </c>
      <c r="C65" s="17" t="n">
        <v>2025</v>
      </c>
      <c r="D65" s="17" t="inlineStr">
        <is>
          <t>Pos</t>
        </is>
      </c>
      <c r="E65" s="17" t="n">
        <v>0</v>
      </c>
      <c r="F65" s="17" t="n">
        <v>25.36</v>
      </c>
      <c r="G65" s="11">
        <f>100*(F65-E65)/F65</f>
        <v/>
      </c>
      <c r="H65" s="17" t="n">
        <v>27.3</v>
      </c>
      <c r="I65" s="17" t="n">
        <v>4.89</v>
      </c>
      <c r="J65" s="17" t="n"/>
      <c r="K65" s="17" t="n">
        <v>2.55</v>
      </c>
      <c r="L65" s="17" t="n"/>
      <c r="M65" s="17" t="n">
        <v>6.5</v>
      </c>
      <c r="N65" s="17" t="n"/>
      <c r="O65" s="17" t="n">
        <v>42.62</v>
      </c>
      <c r="P65" s="11">
        <f>O65/I65</f>
        <v/>
      </c>
      <c r="Q65" s="10" t="n">
        <v>17.22</v>
      </c>
      <c r="R65" s="11" t="n">
        <v>15.04</v>
      </c>
      <c r="S65" s="12" t="n">
        <v>-1</v>
      </c>
      <c r="T65" s="13" t="n"/>
      <c r="U65" s="13" t="n"/>
      <c r="V65" s="13" t="n">
        <v>1</v>
      </c>
      <c r="W65" s="10" t="n"/>
      <c r="X65" s="10" t="n">
        <v>1.8</v>
      </c>
      <c r="Y65" s="10" t="n">
        <v>1.9</v>
      </c>
      <c r="Z65" s="10" t="n">
        <v>0.8</v>
      </c>
      <c r="AA65" s="11">
        <f>IF(X65&lt;50,IF(Y65&gt;(2.3*X65),0,1),1)-IF(Z65&gt;Y65,1.7,0)</f>
        <v/>
      </c>
      <c r="AB65" s="17" t="n">
        <v>0</v>
      </c>
      <c r="AC65" s="11">
        <f>IF(AB65&gt;4,1,0)+AB65/7</f>
        <v/>
      </c>
      <c r="AD65" s="10" t="n">
        <v>22.49</v>
      </c>
      <c r="AE65" s="10" t="n">
        <v>19.45</v>
      </c>
      <c r="AF65" s="10" t="n">
        <v>20.07</v>
      </c>
      <c r="AG65" s="12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11">
        <f>AG65+IF(X65&lt;1.35,0,1)+IF(Y65&lt;1.35,0,1)+AC65+AA65</f>
        <v/>
      </c>
      <c r="AI65" s="11" t="n">
        <v>11</v>
      </c>
      <c r="AJ65" s="11">
        <f>IF(AI65&gt;12.7,IF(AI65&gt;15.8,0.93,0.98),1)</f>
        <v/>
      </c>
      <c r="AK65" s="11">
        <f>(1.2*AG65+AH65)*AJ65*AQ65</f>
        <v/>
      </c>
      <c r="AL65" s="10">
        <f>D65</f>
        <v/>
      </c>
      <c r="AM65" s="14">
        <f>B65</f>
        <v/>
      </c>
      <c r="AN65" s="27" t="n">
        <v>3</v>
      </c>
      <c r="AO65" s="13">
        <f>AN65+1</f>
        <v/>
      </c>
      <c r="AP65" s="13">
        <f>IF(AK65&gt;13.1,IF(Z65&lt;101,IF(Z65&lt;35,IF(Z65&lt;6,3,2),1),0),0)</f>
        <v/>
      </c>
      <c r="AQ65" s="11" t="n">
        <v>1</v>
      </c>
      <c r="AR65" s="11">
        <f>IF(AP65&gt;0,IF(AB65&gt;10,(AB65/Z65),10/Z65),0)</f>
        <v/>
      </c>
      <c r="AS65" s="11" t="n"/>
      <c r="AT65" s="11">
        <f>100*(AK65-AQ65)/AQ65</f>
        <v/>
      </c>
      <c r="AU65" s="13" t="n"/>
      <c r="AV65" s="13" t="n"/>
      <c r="AW65" s="10" t="n"/>
      <c r="AX65" s="10" t="n"/>
      <c r="AY65" s="28" t="n">
        <v>56</v>
      </c>
      <c r="AZ65" s="27" t="n">
        <v>56</v>
      </c>
      <c r="BA65" s="28" t="n">
        <v>60</v>
      </c>
      <c r="BB65" s="29" t="n">
        <v>60</v>
      </c>
      <c r="BC65" s="29" t="n">
        <v>56</v>
      </c>
      <c r="BD65" s="29" t="n">
        <v>56</v>
      </c>
      <c r="BE65" s="29" t="n">
        <v>60</v>
      </c>
      <c r="BF65" s="11" t="n"/>
      <c r="BG65" s="11" t="n"/>
      <c r="BH65" s="11" t="n"/>
    </row>
    <row r="66" ht="14.25" customHeight="1">
      <c r="B66" s="17" t="inlineStr">
        <is>
          <t>Neochem Bio Solutions</t>
        </is>
      </c>
      <c r="C66" s="17" t="n">
        <v>2025</v>
      </c>
      <c r="D66" s="17" t="inlineStr">
        <is>
          <t>Pos</t>
        </is>
      </c>
      <c r="E66" s="17" t="n">
        <v>35.62</v>
      </c>
      <c r="F66" s="17" t="n">
        <v>19.75</v>
      </c>
      <c r="G66" s="11">
        <f>100*(F66-E66)/F66</f>
        <v/>
      </c>
      <c r="H66" s="17" t="n">
        <v>78.89</v>
      </c>
      <c r="I66" s="17" t="n">
        <v>7.75</v>
      </c>
      <c r="J66" s="17" t="n"/>
      <c r="K66" s="17" t="n">
        <v>6.64</v>
      </c>
      <c r="L66" s="17" t="n"/>
      <c r="M66" s="17" t="n">
        <v>13.11</v>
      </c>
      <c r="N66" s="17" t="n"/>
      <c r="O66" s="17" t="n">
        <v>84.17</v>
      </c>
      <c r="P66" s="11">
        <f>O66/I66</f>
        <v/>
      </c>
      <c r="Q66" s="10" t="n">
        <v>6.47</v>
      </c>
      <c r="R66" s="11" t="n">
        <v>27.08</v>
      </c>
      <c r="S66" s="12" t="n">
        <v>0</v>
      </c>
      <c r="T66" s="13" t="n"/>
      <c r="U66" s="13" t="n"/>
      <c r="V66" s="13" t="n">
        <v>1</v>
      </c>
      <c r="W66" s="10" t="n"/>
      <c r="X66" s="10" t="n">
        <v>16.8</v>
      </c>
      <c r="Y66" s="10" t="n">
        <v>18</v>
      </c>
      <c r="Z66" s="10" t="n">
        <v>8</v>
      </c>
      <c r="AA66" s="11">
        <f>IF(X66&lt;50,IF(Y66&gt;(2.3*X66),0,1),1)-IF(Z66&gt;Y66,1.7,0)</f>
        <v/>
      </c>
      <c r="AB66" s="17" t="n">
        <v>9</v>
      </c>
      <c r="AC66" s="11">
        <f>IF(AB66&gt;4,1,0)+AB66/7</f>
        <v/>
      </c>
      <c r="AD66" s="10" t="n">
        <v>50</v>
      </c>
      <c r="AE66" s="10" t="n">
        <v>17.98</v>
      </c>
      <c r="AF66" s="10" t="n">
        <v>33.33</v>
      </c>
      <c r="AG66" s="12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11">
        <f>AG66+IF(X66&lt;1.35,0,1)+IF(Y66&lt;1.35,0,1)+AC66+AA66</f>
        <v/>
      </c>
      <c r="AI66" s="11" t="n">
        <v>11</v>
      </c>
      <c r="AJ66" s="11">
        <f>IF(AI66&gt;12.7,IF(AI66&gt;15.8,0.93,0.98),1)</f>
        <v/>
      </c>
      <c r="AK66" s="11">
        <f>(1.2*AG66+AH66)*AJ66*AQ66</f>
        <v/>
      </c>
      <c r="AL66" s="10">
        <f>D66</f>
        <v/>
      </c>
      <c r="AM66" s="14">
        <f>B66</f>
        <v/>
      </c>
      <c r="AN66" s="13" t="n">
        <v>4</v>
      </c>
      <c r="AO66" s="13">
        <f>AN66+1</f>
        <v/>
      </c>
      <c r="AP66" s="13">
        <f>IF(AK66&gt;13.1,IF(Z66&lt;101,IF(Z66&lt;35,IF(Z66&lt;6,3,2),1),0),0)</f>
        <v/>
      </c>
      <c r="AQ66" s="11" t="n">
        <v>1</v>
      </c>
      <c r="AR66" s="11">
        <f>IF(AP66&gt;0,IF(AB66&gt;10,(AB66/Z66),10/Z66),0)</f>
        <v/>
      </c>
      <c r="AS66" s="11" t="n"/>
      <c r="AT66" s="11">
        <f>100*(AK66-AQ66)/AQ66</f>
        <v/>
      </c>
      <c r="AU66" s="13" t="n"/>
      <c r="AV66" s="13" t="n"/>
      <c r="AW66" s="10" t="n"/>
      <c r="AX66" s="10" t="n"/>
      <c r="AY66" s="10" t="n">
        <v>98</v>
      </c>
      <c r="AZ66" s="13" t="n"/>
      <c r="BA66" s="10" t="n">
        <v>108</v>
      </c>
      <c r="BB66" s="11" t="n">
        <v>112</v>
      </c>
      <c r="BC66" s="11" t="n">
        <v>110.8</v>
      </c>
      <c r="BD66" s="11" t="n">
        <v>109</v>
      </c>
      <c r="BE66" s="11" t="n">
        <v>113.4</v>
      </c>
      <c r="BF66" s="11" t="n"/>
      <c r="BG66" s="11" t="n"/>
      <c r="BH66" s="11" t="n"/>
    </row>
    <row r="67" ht="18.75" customHeight="1">
      <c r="B67" s="10" t="inlineStr">
        <is>
          <t>Helloji Holidays</t>
        </is>
      </c>
      <c r="C67" s="17" t="n">
        <v>2025</v>
      </c>
      <c r="D67" s="17" t="inlineStr">
        <is>
          <t>Pos</t>
        </is>
      </c>
      <c r="E67" s="10" t="n">
        <v>0.04</v>
      </c>
      <c r="F67" s="10" t="n">
        <v>6.26</v>
      </c>
      <c r="G67" s="11">
        <f>100*(F67-E67)/F67</f>
        <v/>
      </c>
      <c r="H67" s="10" t="n">
        <v>8.24</v>
      </c>
      <c r="I67" s="10" t="n">
        <v>2.1</v>
      </c>
      <c r="J67" s="10" t="n"/>
      <c r="K67" s="10" t="n">
        <v>8.6</v>
      </c>
      <c r="L67" s="10" t="n"/>
      <c r="M67" s="10" t="n">
        <v>2.83</v>
      </c>
      <c r="N67" s="10" t="n"/>
      <c r="O67" s="10" t="n">
        <v>28.12</v>
      </c>
      <c r="P67" s="11">
        <f>O67/I67</f>
        <v/>
      </c>
      <c r="Q67" s="10" t="n">
        <v>22.31</v>
      </c>
      <c r="R67" s="11" t="n">
        <v>12.01</v>
      </c>
      <c r="S67" s="12" t="n">
        <v>0</v>
      </c>
      <c r="T67" s="13" t="n"/>
      <c r="U67" s="13" t="n"/>
      <c r="V67" s="13" t="n">
        <v>1</v>
      </c>
      <c r="W67" s="10" t="n"/>
      <c r="X67" s="10" t="n">
        <v>23</v>
      </c>
      <c r="Y67" s="10" t="n">
        <v>32</v>
      </c>
      <c r="Z67" s="10" t="n">
        <v>17</v>
      </c>
      <c r="AA67" s="11">
        <f>IF(X67&lt;50,IF(Y67&gt;(2.3*X67),0,1),1)-IF(Z67&gt;Y67,1.7,0)</f>
        <v/>
      </c>
      <c r="AB67" s="17" t="n">
        <v>9</v>
      </c>
      <c r="AC67" s="11">
        <f>IF(AB67&gt;4,1,0)+AB67/7</f>
        <v/>
      </c>
      <c r="AD67" s="17" t="n">
        <v>16.16</v>
      </c>
      <c r="AE67" s="10" t="n">
        <v>8.26</v>
      </c>
      <c r="AF67" s="10" t="n">
        <v>212.82</v>
      </c>
      <c r="AG67" s="12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11">
        <f>AG67+IF(X67&lt;1.35,0,1)+IF(Y67&lt;1.35,0,1)+AC67+AA67</f>
        <v/>
      </c>
      <c r="AI67" s="11" t="n">
        <v>11</v>
      </c>
      <c r="AJ67" s="11">
        <f>IF(AI67&gt;12.7,IF(AI67&gt;15.8,0.93,0.98),1)</f>
        <v/>
      </c>
      <c r="AK67" s="11">
        <f>(1.2*AG67+AH67)*AJ67*AQ67</f>
        <v/>
      </c>
      <c r="AL67" s="10">
        <f>D67</f>
        <v/>
      </c>
      <c r="AM67" s="14">
        <f>B67</f>
        <v/>
      </c>
      <c r="AN67" s="13" t="n">
        <v>4</v>
      </c>
      <c r="AO67" s="13">
        <f>AN67+1</f>
        <v/>
      </c>
      <c r="AP67" s="13">
        <f>IF(AK67&gt;13.1,IF(Z67&lt;101,IF(Z67&lt;35,IF(Z67&lt;6,3,2),1),0),0)</f>
        <v/>
      </c>
      <c r="AQ67" s="11" t="n">
        <v>1</v>
      </c>
      <c r="AR67" s="11">
        <f>IF(AP67&gt;0,IF(AB67&gt;10,(AB67/Z67),10/Z67),0)</f>
        <v/>
      </c>
      <c r="AS67" s="11" t="n"/>
      <c r="AT67" s="11">
        <f>100*(AK67-AQ67)/AQ67</f>
        <v/>
      </c>
      <c r="AU67" s="13" t="n"/>
      <c r="AV67" s="13" t="n"/>
      <c r="AW67" s="10" t="n"/>
      <c r="AX67" s="10" t="n"/>
      <c r="AY67" s="10" t="n">
        <v>118</v>
      </c>
      <c r="AZ67" s="13" t="n"/>
      <c r="BA67" s="10" t="n">
        <v>118</v>
      </c>
      <c r="BB67" s="11" t="n">
        <v>124</v>
      </c>
      <c r="BC67" s="11" t="n">
        <v>130</v>
      </c>
      <c r="BD67" s="11" t="n">
        <v>136</v>
      </c>
      <c r="BE67" s="11" t="n"/>
      <c r="BF67" s="11" t="n"/>
      <c r="BG67" s="11" t="n"/>
      <c r="BH67" s="11" t="n"/>
    </row>
    <row r="68" ht="12.75" customHeight="1">
      <c r="B68" s="17" t="inlineStr">
        <is>
          <t>Shri Kanha Stainless</t>
        </is>
      </c>
      <c r="C68" s="17" t="n">
        <v>2025</v>
      </c>
      <c r="D68" s="10" t="inlineStr">
        <is>
          <t>Neg</t>
        </is>
      </c>
      <c r="E68" s="17" t="n">
        <v>50.98</v>
      </c>
      <c r="F68" s="17" t="n">
        <v>12.16</v>
      </c>
      <c r="G68" s="11">
        <f>100*(F68-E68)/F68</f>
        <v/>
      </c>
      <c r="H68" s="17" t="n">
        <v>106.13</v>
      </c>
      <c r="I68" s="17" t="n">
        <v>5.79</v>
      </c>
      <c r="J68" s="17" t="n"/>
      <c r="K68" s="17" t="n">
        <v>5.55</v>
      </c>
      <c r="L68" s="17" t="n"/>
      <c r="M68" s="17" t="n">
        <v>9.210000000000001</v>
      </c>
      <c r="N68" s="17" t="n"/>
      <c r="O68" s="17" t="n">
        <v>145.79</v>
      </c>
      <c r="P68" s="11">
        <f>O68/I68</f>
        <v/>
      </c>
      <c r="Q68" s="17" t="n">
        <v>16.22</v>
      </c>
      <c r="R68" s="25" t="n">
        <v>16.18</v>
      </c>
      <c r="S68" s="12" t="n">
        <v>0</v>
      </c>
      <c r="T68" s="13" t="n"/>
      <c r="U68" s="13" t="n"/>
      <c r="V68" s="13" t="n">
        <v>0</v>
      </c>
      <c r="W68" s="10" t="n"/>
      <c r="X68" s="10" t="n">
        <v>0.6</v>
      </c>
      <c r="Y68" s="10" t="n">
        <v>0.6</v>
      </c>
      <c r="Z68" s="10" t="n">
        <v>4.91</v>
      </c>
      <c r="AA68" s="11">
        <f>IF(X68&lt;50,IF(Y68&gt;(2.3*X68),0,1),1)-IF(Z68&gt;Y68,1.7,0)</f>
        <v/>
      </c>
      <c r="AB68" s="17" t="n">
        <v>0</v>
      </c>
      <c r="AC68" s="11">
        <f>IF(AB68&gt;4,1,0)+AB68/7</f>
        <v/>
      </c>
      <c r="AD68" s="17" t="n">
        <v>122</v>
      </c>
      <c r="AE68" s="10" t="n">
        <v>12</v>
      </c>
      <c r="AF68" s="10" t="n">
        <v>91</v>
      </c>
      <c r="AG68" s="12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11">
        <f>AG68+IF(X68&lt;1.35,0,1)+IF(Y68&lt;1.35,0,1)+AC68+AA68</f>
        <v/>
      </c>
      <c r="AI68" s="11" t="n">
        <v>11</v>
      </c>
      <c r="AJ68" s="11">
        <f>IF(AI68&gt;12.7,IF(AI68&gt;15.8,0.93,0.98),1)</f>
        <v/>
      </c>
      <c r="AK68" s="11">
        <f>(1.2*AG68+AH68)*AJ68*AQ68</f>
        <v/>
      </c>
      <c r="AL68" s="10">
        <f>D68</f>
        <v/>
      </c>
      <c r="AM68" s="14">
        <f>B68</f>
        <v/>
      </c>
      <c r="AN68" s="13" t="n">
        <v>5</v>
      </c>
      <c r="AO68" s="13">
        <f>AN68+1</f>
        <v/>
      </c>
      <c r="AP68" s="13">
        <f>IF(AK68&gt;13.1,IF(Z68&lt;101,IF(Z68&lt;35,IF(Z68&lt;6,3,2),1),0),0)</f>
        <v/>
      </c>
      <c r="AQ68" s="11" t="n">
        <v>1</v>
      </c>
      <c r="AR68" s="11">
        <f>IF(AP68&gt;0,IF(AB68&gt;10,(AB68/Z68),10/Z68),0)</f>
        <v/>
      </c>
      <c r="AS68" s="11" t="n"/>
      <c r="AT68" s="11">
        <f>100*(AK68-AQ68)/AQ68</f>
        <v/>
      </c>
      <c r="AU68" s="13" t="n"/>
      <c r="AV68" s="13" t="n"/>
      <c r="AW68" s="10" t="n"/>
      <c r="AX68" s="10" t="n"/>
      <c r="AY68" s="10" t="n"/>
      <c r="AZ68" s="13" t="n"/>
      <c r="BA68" s="10" t="n"/>
      <c r="BB68" s="11" t="n"/>
      <c r="BC68" s="11" t="n"/>
      <c r="BD68" s="11" t="n"/>
      <c r="BE68" s="11" t="n"/>
      <c r="BF68" s="11" t="n"/>
      <c r="BG68" s="11" t="n"/>
      <c r="BH68" s="11" t="n"/>
    </row>
    <row r="69" ht="12" customHeight="1">
      <c r="B69" s="10" t="inlineStr">
        <is>
          <t>Luxury Time</t>
        </is>
      </c>
      <c r="C69" s="17" t="n">
        <v>2025</v>
      </c>
      <c r="D69" s="17" t="inlineStr">
        <is>
          <t>Pos</t>
        </is>
      </c>
      <c r="E69" s="17" t="n">
        <v>1.49</v>
      </c>
      <c r="F69" s="17" t="n">
        <v>18.63</v>
      </c>
      <c r="G69" s="11">
        <f>100*(F69-E69)/F69</f>
        <v/>
      </c>
      <c r="H69" s="10" t="n">
        <v>29.83</v>
      </c>
      <c r="I69" s="10" t="n">
        <v>4.19</v>
      </c>
      <c r="J69" s="10" t="n"/>
      <c r="K69" s="10" t="n">
        <v>6.52</v>
      </c>
      <c r="L69" s="10" t="n"/>
      <c r="M69" s="10" t="n">
        <v>6.16</v>
      </c>
      <c r="N69" s="10" t="n"/>
      <c r="O69" s="10" t="n">
        <v>60.78</v>
      </c>
      <c r="P69" s="11">
        <f>O69/I69</f>
        <v/>
      </c>
      <c r="Q69" s="10" t="n">
        <v>12.58</v>
      </c>
      <c r="R69" s="11" t="n">
        <v>20.62</v>
      </c>
      <c r="S69" s="12" t="n">
        <v>0</v>
      </c>
      <c r="T69" s="13" t="n"/>
      <c r="U69" s="13" t="n"/>
      <c r="V69" s="13" t="n">
        <v>1</v>
      </c>
      <c r="W69" s="10" t="n"/>
      <c r="X69" s="10" t="n">
        <v>0.62</v>
      </c>
      <c r="Y69" s="10" t="n">
        <v>172</v>
      </c>
      <c r="Z69" s="10" t="n">
        <v>248</v>
      </c>
      <c r="AA69" s="11">
        <f>IF(X69&lt;50,IF(Y69&gt;(2.3*X69),0,1),1)-IF(Z69&gt;Y69,1.7,0)</f>
        <v/>
      </c>
      <c r="AB69" s="17" t="n">
        <v>109.6</v>
      </c>
      <c r="AC69" s="11">
        <f>IF(AB69&gt;4,1,0)+AB69/7</f>
        <v/>
      </c>
      <c r="AD69" s="10" t="n">
        <v>121</v>
      </c>
      <c r="AE69" s="10" t="n">
        <v>20</v>
      </c>
      <c r="AF69" s="10" t="n">
        <v>42</v>
      </c>
      <c r="AG69" s="12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11">
        <f>AG69+IF(X69&lt;1.35,0,1)+IF(Y69&lt;1.35,0,1)+AC69+AA69</f>
        <v/>
      </c>
      <c r="AI69" s="11" t="n">
        <v>11</v>
      </c>
      <c r="AJ69" s="11">
        <f>IF(AI69&gt;12.7,IF(AI69&gt;15.8,0.93,0.98),1)</f>
        <v/>
      </c>
      <c r="AK69" s="11">
        <f>(1.2*AG69+AH69)*AJ69*AQ69</f>
        <v/>
      </c>
      <c r="AL69" s="10">
        <f>D69</f>
        <v/>
      </c>
      <c r="AM69" s="14">
        <f>B69</f>
        <v/>
      </c>
      <c r="AN69" s="13" t="n">
        <v>8</v>
      </c>
      <c r="AO69" s="13">
        <f>AN69+1</f>
        <v/>
      </c>
      <c r="AP69" s="13">
        <f>IF(AK69&gt;13.1,IF(Z69&lt;101,IF(Z69&lt;35,IF(Z69&lt;6,3,2),1),0),0)</f>
        <v/>
      </c>
      <c r="AQ69" s="11" t="n">
        <v>1</v>
      </c>
      <c r="AR69" s="11">
        <f>IF(AP69&gt;0,IF(AB69&gt;10,(AB69/Z69),10/Z69),0)</f>
        <v/>
      </c>
      <c r="AS69" s="11" t="n"/>
      <c r="AT69" s="11">
        <f>100*(AK69-AQ69)/AQ69</f>
        <v/>
      </c>
      <c r="AU69" s="13" t="n"/>
      <c r="AV69" s="13" t="n"/>
      <c r="AW69" s="10" t="n"/>
      <c r="AX69" s="10" t="n"/>
      <c r="AY69" s="10" t="n">
        <v>82</v>
      </c>
      <c r="AZ69" s="13" t="n"/>
      <c r="BA69" s="10" t="n">
        <v>155</v>
      </c>
      <c r="BB69" s="11" t="n">
        <v>163</v>
      </c>
      <c r="BC69" s="30" t="n">
        <v>155</v>
      </c>
      <c r="BD69" s="30" t="n">
        <v>147</v>
      </c>
      <c r="BE69" s="11" t="n">
        <v>163</v>
      </c>
      <c r="BF69" s="11" t="n"/>
      <c r="BG69" s="11" t="n"/>
      <c r="BH69" s="11" t="n"/>
    </row>
    <row r="70" ht="12.75" customHeight="1">
      <c r="B70" s="10" t="inlineStr">
        <is>
          <t>Western Overseas Study Abroad</t>
        </is>
      </c>
      <c r="C70" s="17" t="n">
        <v>2025</v>
      </c>
      <c r="D70" s="10" t="inlineStr">
        <is>
          <t>Neg</t>
        </is>
      </c>
      <c r="E70" s="10" t="n">
        <v>4.09</v>
      </c>
      <c r="F70" s="10" t="n">
        <v>6.53</v>
      </c>
      <c r="G70" s="11">
        <f>100*(F70-E70)/F70</f>
        <v/>
      </c>
      <c r="H70" s="10" t="n">
        <v>12.69</v>
      </c>
      <c r="I70" s="10" t="n">
        <v>2.21</v>
      </c>
      <c r="J70" s="10" t="n"/>
      <c r="K70" s="10" t="n">
        <v>5.25</v>
      </c>
      <c r="L70" s="10" t="n"/>
      <c r="M70" s="10" t="n">
        <v>3.7</v>
      </c>
      <c r="N70" s="10" t="n"/>
      <c r="O70" s="10" t="n">
        <v>22.73</v>
      </c>
      <c r="P70" s="11">
        <f>O70/I70</f>
        <v/>
      </c>
      <c r="Q70" s="10" t="n">
        <v>10.67</v>
      </c>
      <c r="R70" s="11" t="n">
        <v>14.6</v>
      </c>
      <c r="S70" s="12" t="n">
        <v>0</v>
      </c>
      <c r="T70" s="13" t="n"/>
      <c r="U70" s="13" t="n"/>
      <c r="V70" s="13" t="n">
        <v>0</v>
      </c>
      <c r="W70" s="10" t="n"/>
      <c r="X70" s="10" t="n">
        <v>0.34</v>
      </c>
      <c r="Y70" s="10" t="n">
        <v>0.34</v>
      </c>
      <c r="Z70" s="10" t="n">
        <v>1.86</v>
      </c>
      <c r="AA70" s="11">
        <f>IF(X70&lt;50,IF(Y70&gt;(2.3*X70),0,1),1)-IF(Z70&gt;Y70,1.7,0)</f>
        <v/>
      </c>
      <c r="AB70" s="17" t="n">
        <v>0</v>
      </c>
      <c r="AC70" s="11">
        <f>IF(AB70&gt;4,1,0)+AB70/7</f>
        <v/>
      </c>
      <c r="AD70" s="10" t="n">
        <v>86</v>
      </c>
      <c r="AE70" s="10" t="n">
        <v>12</v>
      </c>
      <c r="AF70" s="10" t="n">
        <v>46</v>
      </c>
      <c r="AG70" s="12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11">
        <f>AG70+IF(X70&lt;1.35,0,1)+IF(Y70&lt;1.35,0,1)+AC70+AA70</f>
        <v/>
      </c>
      <c r="AI70" s="11" t="n">
        <v>11</v>
      </c>
      <c r="AJ70" s="11">
        <f>IF(AI70&gt;12.7,IF(AI70&gt;15.8,0.93,0.98),1)</f>
        <v/>
      </c>
      <c r="AK70" s="11">
        <f>(1.2*AG70+AH70)*AJ70*AQ70</f>
        <v/>
      </c>
      <c r="AL70" s="10">
        <f>D70</f>
        <v/>
      </c>
      <c r="AM70" s="14">
        <f>B70</f>
        <v/>
      </c>
      <c r="AN70" s="10" t="n">
        <v>8</v>
      </c>
      <c r="AO70" s="13">
        <f>AN70+1</f>
        <v/>
      </c>
      <c r="AP70" s="13">
        <f>IF(AK70&gt;13.1,IF(Z70&lt;101,IF(Z70&lt;35,IF(Z70&lt;6,3,2),1),0),0)</f>
        <v/>
      </c>
      <c r="AQ70" s="11" t="n">
        <v>1</v>
      </c>
      <c r="AR70" s="11">
        <f>IF(AP70&gt;0,IF(AB70&gt;10,(AB70/Z70),10/Z70),0)</f>
        <v/>
      </c>
      <c r="AS70" s="11" t="n"/>
      <c r="AT70" s="11">
        <f>100*(AK70-AQ70)/AQ70</f>
        <v/>
      </c>
      <c r="AU70" s="13" t="n"/>
      <c r="AV70" s="13" t="n"/>
      <c r="AW70" s="10" t="n"/>
      <c r="AX70" s="10" t="n"/>
      <c r="AY70" s="10" t="n"/>
      <c r="AZ70" s="13" t="n"/>
      <c r="BA70" s="10" t="n"/>
      <c r="BB70" s="11" t="n"/>
      <c r="BC70" s="11" t="n"/>
      <c r="BD70" s="11" t="n"/>
      <c r="BE70" s="11" t="n"/>
      <c r="BF70" s="11" t="n"/>
      <c r="BG70" s="11" t="n"/>
      <c r="BH70" s="11" t="n"/>
    </row>
    <row r="71" ht="17.25" customHeight="1">
      <c r="B71" s="17" t="inlineStr">
        <is>
          <t>Methodhub Software</t>
        </is>
      </c>
      <c r="C71" s="17" t="n">
        <v>2025</v>
      </c>
      <c r="D71" s="10" t="inlineStr">
        <is>
          <t>Neg</t>
        </is>
      </c>
      <c r="E71" s="17" t="n">
        <v>32.16</v>
      </c>
      <c r="F71" s="17" t="n">
        <v>42.72</v>
      </c>
      <c r="G71" s="11">
        <f>100*(F71-E71)/F71</f>
        <v/>
      </c>
      <c r="H71" s="10" t="n">
        <v>93.55</v>
      </c>
      <c r="I71" s="10" t="n">
        <v>11.5</v>
      </c>
      <c r="J71" s="10" t="n"/>
      <c r="K71" s="10" t="n">
        <v>8.859999999999999</v>
      </c>
      <c r="L71" s="10" t="n"/>
      <c r="M71" s="10" t="n">
        <v>17.15</v>
      </c>
      <c r="N71" s="10" t="n"/>
      <c r="O71" s="10" t="n">
        <v>136.01</v>
      </c>
      <c r="P71" s="11">
        <f>O71/I71</f>
        <v/>
      </c>
      <c r="Q71" s="10" t="n">
        <v>24.7</v>
      </c>
      <c r="R71" s="11" t="n">
        <v>17.31</v>
      </c>
      <c r="S71" s="12" t="n">
        <v>0</v>
      </c>
      <c r="T71" s="13" t="n"/>
      <c r="U71" s="13" t="n"/>
      <c r="V71" s="13" t="n">
        <v>1</v>
      </c>
      <c r="W71" s="10" t="n"/>
      <c r="X71" s="10" t="n">
        <v>11</v>
      </c>
      <c r="Y71" s="10" t="n">
        <v>14</v>
      </c>
      <c r="Z71" s="10" t="n">
        <v>5.39</v>
      </c>
      <c r="AA71" s="11">
        <f>IF(X71&lt;50,IF(Y71&gt;(2.3*X71),0,1),1)-IF(Z71&gt;Y71,1.7,0)</f>
        <v/>
      </c>
      <c r="AB71" s="17" t="n">
        <v>10</v>
      </c>
      <c r="AC71" s="11">
        <f>IF(AB71&gt;4,1,0)+AB71/7</f>
        <v/>
      </c>
      <c r="AD71" s="10" t="n">
        <v>113</v>
      </c>
      <c r="AE71" s="10" t="n">
        <v>136</v>
      </c>
      <c r="AF71" s="10" t="n">
        <v>35</v>
      </c>
      <c r="AG71" s="12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11">
        <f>AG71+IF(X71&lt;1.35,0,1)+IF(Y71&lt;1.35,0,1)+AC71+AA71</f>
        <v/>
      </c>
      <c r="AI71" s="11" t="n">
        <v>11</v>
      </c>
      <c r="AJ71" s="11">
        <f>IF(AI71&gt;12.7,IF(AI71&gt;15.8,0.93,0.98),1)</f>
        <v/>
      </c>
      <c r="AK71" s="11">
        <f>(1.2*AG71+AH71)*AJ71*AQ71</f>
        <v/>
      </c>
      <c r="AL71" s="10">
        <f>D71</f>
        <v/>
      </c>
      <c r="AM71" s="14">
        <f>B71</f>
        <v/>
      </c>
      <c r="AN71" s="13" t="n">
        <v>9</v>
      </c>
      <c r="AO71" s="13">
        <f>AN71+1</f>
        <v/>
      </c>
      <c r="AP71" s="13">
        <f>IF(AK71&gt;13.1,IF(Z71&lt;101,IF(Z71&lt;35,IF(Z71&lt;6,3,2),1),0),0)</f>
        <v/>
      </c>
      <c r="AQ71" s="11" t="n">
        <v>0.95</v>
      </c>
      <c r="AR71" s="11">
        <f>IF(AP71&gt;0,IF(AB71&gt;10,(AB71/Z71),10/Z71),0)</f>
        <v/>
      </c>
      <c r="AS71" s="11" t="n"/>
      <c r="AT71" s="11">
        <f>100*(AK71-AQ71)/AQ71</f>
        <v/>
      </c>
      <c r="AU71" s="13" t="n"/>
      <c r="AV71" s="13" t="n"/>
      <c r="AW71" s="10" t="n"/>
      <c r="AX71" s="10" t="n"/>
      <c r="AY71" s="10" t="n">
        <v>194</v>
      </c>
      <c r="AZ71" s="13" t="n"/>
      <c r="BA71" s="10" t="n">
        <v>163</v>
      </c>
      <c r="BB71" s="11" t="n">
        <v>163</v>
      </c>
      <c r="BC71" s="11" t="n">
        <v>156</v>
      </c>
      <c r="BD71" s="11" t="n">
        <v>153</v>
      </c>
      <c r="BE71" s="11" t="n"/>
      <c r="BF71" s="11" t="n"/>
      <c r="BG71" s="11" t="n"/>
      <c r="BH71" s="11" t="n"/>
    </row>
    <row r="72" ht="12.75" customHeight="1">
      <c r="B72" s="17" t="inlineStr">
        <is>
          <t>ScaleSauce</t>
        </is>
      </c>
      <c r="C72" s="17" t="n">
        <v>2025</v>
      </c>
      <c r="D72" s="17" t="inlineStr">
        <is>
          <t>Pos</t>
        </is>
      </c>
      <c r="E72" s="17" t="n">
        <v>0</v>
      </c>
      <c r="F72" s="17" t="n">
        <v>32.58</v>
      </c>
      <c r="G72" s="11">
        <f>100*(F72-E72)/F72</f>
        <v/>
      </c>
      <c r="H72" s="17" t="n">
        <v>53.45</v>
      </c>
      <c r="I72" s="17" t="n">
        <v>10.79</v>
      </c>
      <c r="J72" s="17" t="n"/>
      <c r="K72" s="17" t="n">
        <v>10.34</v>
      </c>
      <c r="L72" s="17" t="n"/>
      <c r="M72" s="17" t="n">
        <v>16.86</v>
      </c>
      <c r="N72" s="17" t="n"/>
      <c r="O72" s="17" t="n">
        <v>55.01</v>
      </c>
      <c r="P72" s="11">
        <f>O72/I72</f>
        <v/>
      </c>
      <c r="Q72" s="17" t="n">
        <v>10.33</v>
      </c>
      <c r="R72" s="25" t="n">
        <v>12.32</v>
      </c>
      <c r="S72" s="12" t="n">
        <v>-0.9</v>
      </c>
      <c r="T72" s="13" t="n"/>
      <c r="U72" s="13" t="n"/>
      <c r="V72" s="13" t="n">
        <v>1</v>
      </c>
      <c r="W72" s="10" t="n"/>
      <c r="X72" s="10" t="n">
        <v>1.05</v>
      </c>
      <c r="Y72" s="10" t="n">
        <v>3.49</v>
      </c>
      <c r="Z72" s="10" t="n">
        <v>1.48</v>
      </c>
      <c r="AA72" s="11">
        <f>IF(X72&lt;50,IF(Y72&gt;(2.3*X72),0,1),1)-IF(Z72&gt;Y72,1.7,0)</f>
        <v/>
      </c>
      <c r="AB72" s="17" t="n">
        <v>2.5</v>
      </c>
      <c r="AC72" s="11">
        <f>IF(AB72&gt;4,1,0)+AB72/7</f>
        <v/>
      </c>
      <c r="AD72" s="10" t="n">
        <v>57</v>
      </c>
      <c r="AE72" s="10" t="n">
        <v>37</v>
      </c>
      <c r="AF72" s="10" t="n">
        <v>214</v>
      </c>
      <c r="AG72" s="12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11">
        <f>AG72+IF(X72&lt;1.35,0,1)+IF(Y72&lt;1.35,0,1)+AC72+AA72</f>
        <v/>
      </c>
      <c r="AI72" s="11" t="n">
        <v>11</v>
      </c>
      <c r="AJ72" s="11">
        <f>IF(AI72&gt;12.7,IF(AI72&gt;15.8,0.93,0.98),1)</f>
        <v/>
      </c>
      <c r="AK72" s="11">
        <f>(1.2*AG72+AH72)*AJ72*AQ72</f>
        <v/>
      </c>
      <c r="AL72" s="10">
        <f>D72</f>
        <v/>
      </c>
      <c r="AM72" s="14">
        <f>B72</f>
        <v/>
      </c>
      <c r="AN72" s="27" t="n">
        <v>9</v>
      </c>
      <c r="AO72" s="13">
        <f>AN72+1</f>
        <v/>
      </c>
      <c r="AP72" s="13">
        <f>IF(AK72&gt;13.1,IF(Z72&lt;101,IF(Z72&lt;35,IF(Z72&lt;6,3,2),1),0),0)</f>
        <v/>
      </c>
      <c r="AQ72" s="11" t="n">
        <v>1</v>
      </c>
      <c r="AR72" s="11">
        <f>IF(AP72&gt;0,IF(AB72&gt;10,(AB72/Z72),10/Z72),0)</f>
        <v/>
      </c>
      <c r="AS72" s="11" t="n"/>
      <c r="AT72" s="11">
        <f>100*(AK72-AQ72)/AQ72</f>
        <v/>
      </c>
      <c r="AU72" s="13" t="n"/>
      <c r="AV72" s="13" t="n"/>
      <c r="AW72" s="10" t="n"/>
      <c r="AX72" s="10" t="n"/>
      <c r="AY72" s="28" t="n">
        <v>107</v>
      </c>
      <c r="AZ72" s="27" t="n">
        <v>187</v>
      </c>
      <c r="BA72" s="28" t="n">
        <v>203</v>
      </c>
      <c r="BB72" s="31" t="n">
        <v>192</v>
      </c>
      <c r="BC72" s="31" t="n">
        <v>183</v>
      </c>
      <c r="BD72" s="29" t="n">
        <v>175</v>
      </c>
      <c r="BE72" s="29" t="n">
        <v>295</v>
      </c>
      <c r="BF72" s="11" t="n"/>
      <c r="BG72" s="11" t="n"/>
      <c r="BH72" s="11" t="n"/>
    </row>
    <row r="73" ht="12.75" customHeight="1">
      <c r="B73" s="32" t="inlineStr">
        <is>
          <t>Flywings Simulator Training</t>
        </is>
      </c>
      <c r="C73" s="17" t="n">
        <v>2025</v>
      </c>
      <c r="D73" s="17" t="inlineStr">
        <is>
          <t>Pos</t>
        </is>
      </c>
      <c r="E73" s="17" t="n">
        <v>18.09</v>
      </c>
      <c r="F73" s="17" t="n">
        <v>39</v>
      </c>
      <c r="G73" s="11">
        <f>100*(F73-E73)/F73</f>
        <v/>
      </c>
      <c r="H73" s="17" t="n">
        <v>64.65000000000001</v>
      </c>
      <c r="I73" s="17" t="n">
        <v>4.16</v>
      </c>
      <c r="J73" s="17" t="n"/>
      <c r="K73" s="17" t="n">
        <v>14.24</v>
      </c>
      <c r="L73" s="17" t="n"/>
      <c r="M73" s="17" t="n">
        <v>13.51</v>
      </c>
      <c r="N73" s="17" t="n"/>
      <c r="O73" s="17" t="n">
        <v>23.64</v>
      </c>
      <c r="P73" s="11">
        <f>O73/I73</f>
        <v/>
      </c>
      <c r="Q73" s="17" t="n">
        <v>13.51</v>
      </c>
      <c r="R73" s="25" t="n">
        <v>17.77</v>
      </c>
      <c r="S73" s="12" t="n">
        <v>-0.9</v>
      </c>
      <c r="T73" s="13" t="n"/>
      <c r="U73" s="13" t="n"/>
      <c r="V73" s="13" t="n">
        <v>1</v>
      </c>
      <c r="W73" s="10" t="n"/>
      <c r="X73" s="10" t="n">
        <v>1.5</v>
      </c>
      <c r="Y73" s="10" t="n">
        <v>3.2</v>
      </c>
      <c r="Z73" s="10" t="n">
        <v>0.97</v>
      </c>
      <c r="AA73" s="11">
        <f>IF(X73&lt;50,IF(Y73&gt;(2.3*X73),0,1),1)-IF(Z73&gt;Y73,1.7,0)</f>
        <v/>
      </c>
      <c r="AB73" s="17" t="n">
        <v>0</v>
      </c>
      <c r="AC73" s="11">
        <f>IF(AB73&gt;4,1,0)+AB73/7</f>
        <v/>
      </c>
      <c r="AD73" s="17" t="n">
        <v>3</v>
      </c>
      <c r="AE73" s="10" t="n">
        <v>5</v>
      </c>
      <c r="AF73" s="10" t="n">
        <v>70</v>
      </c>
      <c r="AG73" s="12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11">
        <f>AG73+IF(X73&lt;1.35,0,1)+IF(Y73&lt;1.35,0,1)+AC73+AA73</f>
        <v/>
      </c>
      <c r="AI73" s="11" t="n">
        <v>11</v>
      </c>
      <c r="AJ73" s="11">
        <f>IF(AI73&gt;12.7,IF(AI73&gt;15.8,0.93,0.98),1)</f>
        <v/>
      </c>
      <c r="AK73" s="11">
        <f>(1.2*AG73+AH73)*AJ73*AQ73</f>
        <v/>
      </c>
      <c r="AL73" s="10">
        <f>D73</f>
        <v/>
      </c>
      <c r="AM73" s="14">
        <f>B73</f>
        <v/>
      </c>
      <c r="AN73" s="21" t="n">
        <v>9</v>
      </c>
      <c r="AO73" s="13">
        <f>AN73+1</f>
        <v/>
      </c>
      <c r="AP73" s="13">
        <f>IF(AK73&gt;13.1,IF(Z73&lt;101,IF(Z73&lt;35,IF(Z73&lt;6,3,2),1),0),0)</f>
        <v/>
      </c>
      <c r="AQ73" s="11" t="n">
        <v>1</v>
      </c>
      <c r="AR73" s="11">
        <f>IF(AP73&gt;0,IF(AB73&gt;10,(AB73/Z73),10/Z73),0)</f>
        <v/>
      </c>
      <c r="AS73" s="11" t="n"/>
      <c r="AT73" s="11">
        <f>100*(AK73-AQ73)/AQ73</f>
        <v/>
      </c>
      <c r="AU73" s="13" t="n"/>
      <c r="AV73" s="13" t="n"/>
      <c r="AW73" s="10" t="n"/>
      <c r="AX73" s="10" t="n"/>
      <c r="AY73" s="22" t="n">
        <v>191</v>
      </c>
      <c r="AZ73" s="21" t="n"/>
      <c r="BA73" s="22" t="n">
        <v>205</v>
      </c>
      <c r="BB73" s="23" t="n">
        <v>215</v>
      </c>
      <c r="BC73" s="23" t="n">
        <v>225</v>
      </c>
      <c r="BD73" s="23" t="n">
        <v>237</v>
      </c>
      <c r="BE73" s="23" t="n"/>
      <c r="BF73" s="11" t="n"/>
      <c r="BG73" s="11" t="n"/>
      <c r="BH73" s="11" t="n"/>
    </row>
    <row r="74" ht="15" customHeight="1">
      <c r="B74" s="17" t="inlineStr">
        <is>
          <t>K. V. Toys India</t>
        </is>
      </c>
      <c r="C74" s="17" t="n">
        <v>2025</v>
      </c>
      <c r="D74" s="17" t="inlineStr">
        <is>
          <t>Pos</t>
        </is>
      </c>
      <c r="E74" s="33" t="n">
        <v>44.03</v>
      </c>
      <c r="F74" s="33" t="n">
        <v>9.09</v>
      </c>
      <c r="G74" s="11">
        <f>100*(F74-E74)/F74</f>
        <v/>
      </c>
      <c r="H74" s="33" t="n">
        <v>48.53</v>
      </c>
      <c r="I74" s="33" t="n">
        <v>4.59</v>
      </c>
      <c r="J74" s="33" t="n"/>
      <c r="K74" s="33" t="n">
        <v>9.98</v>
      </c>
      <c r="L74" s="33" t="n"/>
      <c r="M74" s="33" t="n">
        <v>6.37</v>
      </c>
      <c r="N74" s="33" t="n"/>
      <c r="O74" s="33" t="n">
        <v>85.59999999999999</v>
      </c>
      <c r="P74" s="11">
        <f>O74/I74</f>
        <v/>
      </c>
      <c r="Q74" s="33" t="n">
        <v>24</v>
      </c>
      <c r="R74" s="34" t="n">
        <v>15.87</v>
      </c>
      <c r="S74" s="12" t="n">
        <v>0</v>
      </c>
      <c r="T74" s="13" t="n"/>
      <c r="U74" s="13" t="n"/>
      <c r="V74" s="13" t="n">
        <v>1</v>
      </c>
      <c r="W74" s="10" t="n"/>
      <c r="X74" s="10" t="n">
        <v>193</v>
      </c>
      <c r="Y74" s="10" t="n">
        <v>505</v>
      </c>
      <c r="Z74" s="10" t="n">
        <v>376</v>
      </c>
      <c r="AA74" s="11">
        <f>IF(X74&lt;50,IF(Y74&gt;(2.3*X74),0,1),1)-IF(Z74&gt;Y74,1.7,0)</f>
        <v/>
      </c>
      <c r="AB74" s="17" t="n">
        <v>50</v>
      </c>
      <c r="AC74" s="11">
        <f>IF(AB74&gt;4,1,0)+AB74/7</f>
        <v/>
      </c>
      <c r="AD74" t="n">
        <v>191</v>
      </c>
      <c r="AE74" t="n">
        <v>50</v>
      </c>
      <c r="AF74" t="n">
        <v>17</v>
      </c>
      <c r="AG74" s="12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11">
        <f>AG74+IF(X74&lt;1.35,0,1)+IF(Y74&lt;1.35,0,1)+AC74+AA74</f>
        <v/>
      </c>
      <c r="AI74" s="11" t="n">
        <v>11</v>
      </c>
      <c r="AJ74" s="11">
        <f>IF(AI74&gt;12.7,IF(AI74&gt;15.8,0.93,0.98),1)</f>
        <v/>
      </c>
      <c r="AK74" s="11">
        <f>(1.2*AG74+AH74)*AJ74*AQ74</f>
        <v/>
      </c>
      <c r="AL74" s="10">
        <f>D74</f>
        <v/>
      </c>
      <c r="AM74" s="14">
        <f>B74</f>
        <v/>
      </c>
      <c r="AN74" s="13" t="n">
        <v>10</v>
      </c>
      <c r="AO74" s="13">
        <f>AN74+1</f>
        <v/>
      </c>
      <c r="AP74" s="13">
        <f>IF(AK74&gt;13.1,IF(Z74&lt;101,IF(Z74&lt;35,IF(Z74&lt;6,3,2),1),0),0)</f>
        <v/>
      </c>
      <c r="AQ74" s="11" t="n">
        <v>1</v>
      </c>
      <c r="AR74" s="11">
        <f>IF(AP74&gt;0,IF(AB74&gt;10,(AB74/Z74),10/Z74),0)</f>
        <v/>
      </c>
      <c r="AS74" s="11" t="n"/>
      <c r="AT74" s="11">
        <f>100*(AK74-AQ74)/AQ74</f>
        <v/>
      </c>
      <c r="AU74" s="13" t="n"/>
      <c r="AV74" s="13" t="n"/>
      <c r="AW74" s="10" t="n"/>
      <c r="AX74" s="10" t="n"/>
      <c r="AY74" s="10" t="n">
        <v>239</v>
      </c>
      <c r="AZ74" s="13" t="n">
        <v>368</v>
      </c>
      <c r="BA74" s="10" t="n">
        <v>320</v>
      </c>
      <c r="BB74" s="11" t="n">
        <v>336</v>
      </c>
      <c r="BC74" s="11" t="n">
        <v>327</v>
      </c>
      <c r="BD74" s="11" t="n">
        <v>311</v>
      </c>
      <c r="BE74" s="11" t="n">
        <v>364</v>
      </c>
      <c r="BF74" s="11" t="n"/>
      <c r="BG74" s="11" t="n"/>
      <c r="BH74" s="11" t="n"/>
    </row>
    <row r="75" ht="12.75" customHeight="1">
      <c r="B75" s="10" t="inlineStr">
        <is>
          <t>Riddhi Display Equipments</t>
        </is>
      </c>
      <c r="C75" s="17" t="n">
        <v>2025</v>
      </c>
      <c r="D75" s="10" t="inlineStr">
        <is>
          <t>Neg</t>
        </is>
      </c>
      <c r="E75" s="10" t="n">
        <v>10.79</v>
      </c>
      <c r="F75" s="10" t="n">
        <v>10.36</v>
      </c>
      <c r="G75" s="11">
        <f>100*(F75-E75)/F75</f>
        <v/>
      </c>
      <c r="H75" s="33" t="n">
        <v>32.34</v>
      </c>
      <c r="I75" s="33" t="n">
        <v>4.14</v>
      </c>
      <c r="J75" s="33" t="n"/>
      <c r="K75" s="33" t="n">
        <v>3.24</v>
      </c>
      <c r="L75" s="33" t="n"/>
      <c r="M75" s="33" t="n">
        <v>6.93</v>
      </c>
      <c r="N75" s="33" t="n"/>
      <c r="O75" s="33" t="n">
        <v>25.09</v>
      </c>
      <c r="P75" s="11">
        <f>O75/I75</f>
        <v/>
      </c>
      <c r="Q75" s="33" t="n">
        <v>14.91</v>
      </c>
      <c r="R75" s="34" t="n">
        <v>9.33</v>
      </c>
      <c r="S75" s="12" t="n">
        <v>0</v>
      </c>
      <c r="T75" s="13" t="n"/>
      <c r="U75" s="13" t="n"/>
      <c r="V75" s="13" t="n">
        <v>0</v>
      </c>
      <c r="W75" s="10" t="n"/>
      <c r="X75" s="10" t="n">
        <v>1</v>
      </c>
      <c r="Y75" s="10" t="n">
        <v>1.5</v>
      </c>
      <c r="Z75" s="10" t="n">
        <v>6.5</v>
      </c>
      <c r="AA75" s="11">
        <f>IF(X75&lt;50,IF(Y75&gt;(2.3*X75),0,1),1)-IF(Z75&gt;Y75,1.7,0)</f>
        <v/>
      </c>
      <c r="AB75" s="17" t="n">
        <v>0</v>
      </c>
      <c r="AC75" s="11">
        <f>IF(AB75&gt;4,1,0)+AB75/7</f>
        <v/>
      </c>
      <c r="AD75" s="33" t="n">
        <v>100</v>
      </c>
      <c r="AE75" s="33" t="n">
        <v>25</v>
      </c>
      <c r="AF75" s="33" t="n">
        <v>190</v>
      </c>
      <c r="AG75" s="12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11">
        <f>AG75+IF(X75&lt;1.35,0,1)+IF(Y75&lt;1.35,0,1)+AC75+AA75</f>
        <v/>
      </c>
      <c r="AI75" s="11" t="n">
        <v>11</v>
      </c>
      <c r="AJ75" s="11">
        <f>IF(AI75&gt;12.7,IF(AI75&gt;15.8,0.93,0.98),1)</f>
        <v/>
      </c>
      <c r="AK75" s="11">
        <f>(1.2*AG75+AH75)*AJ75*AQ75</f>
        <v/>
      </c>
      <c r="AL75" s="10">
        <f>D75</f>
        <v/>
      </c>
      <c r="AM75" s="14">
        <f>B75</f>
        <v/>
      </c>
      <c r="AN75" s="13" t="n">
        <v>10</v>
      </c>
      <c r="AO75" s="13">
        <f>AN75+1</f>
        <v/>
      </c>
      <c r="AP75" s="13">
        <f>IF(AK75&gt;13.1,IF(Z75&lt;101,IF(Z75&lt;35,IF(Z75&lt;6,3,2),1),0),0)</f>
        <v/>
      </c>
      <c r="AQ75" s="11" t="n">
        <v>1</v>
      </c>
      <c r="AR75" s="11">
        <f>IF(AP75&gt;0,IF(AB75&gt;10,(AB75/Z75),10/Z75),0)</f>
        <v/>
      </c>
      <c r="AS75" s="11" t="n"/>
      <c r="AT75" s="11">
        <f>100*(AK75-AQ75)/AQ75</f>
        <v/>
      </c>
      <c r="AU75" s="13" t="n"/>
      <c r="AV75" s="13" t="n"/>
      <c r="AW75" s="10" t="n"/>
      <c r="AX75" s="10" t="n"/>
      <c r="AY75" s="10" t="n"/>
      <c r="AZ75" s="13" t="n"/>
      <c r="BA75" s="10" t="n"/>
      <c r="BB75" s="11" t="n"/>
      <c r="BC75" s="11" t="n"/>
      <c r="BD75" s="11" t="n"/>
      <c r="BE75" s="11" t="n"/>
      <c r="BF75" s="11" t="n"/>
      <c r="BG75" s="11" t="n"/>
      <c r="BH75" s="11" t="n"/>
    </row>
    <row r="76" ht="12.75" customHeight="1">
      <c r="B76" t="inlineStr">
        <is>
          <t>Prodocs Solutions</t>
        </is>
      </c>
      <c r="C76" s="17" t="n">
        <v>2025</v>
      </c>
      <c r="D76" s="17" t="inlineStr">
        <is>
          <t>Pos</t>
        </is>
      </c>
      <c r="E76" t="n">
        <v>7.99</v>
      </c>
      <c r="F76" t="n">
        <v>19.19</v>
      </c>
      <c r="G76" s="11">
        <f>100*(F76-E76)/F76</f>
        <v/>
      </c>
      <c r="H76" t="n">
        <v>35.08</v>
      </c>
      <c r="I76" t="n">
        <v>5.11</v>
      </c>
      <c r="K76" t="n">
        <v>7.25</v>
      </c>
      <c r="M76" t="n">
        <v>8.18</v>
      </c>
      <c r="O76" t="n">
        <v>42.78</v>
      </c>
      <c r="P76" s="11">
        <f>O76/I76</f>
        <v/>
      </c>
      <c r="Q76" t="n">
        <v>12.85</v>
      </c>
      <c r="R76" s="2" t="n">
        <v>11.19</v>
      </c>
      <c r="S76" s="12" t="n">
        <v>0</v>
      </c>
      <c r="T76" s="13" t="n"/>
      <c r="U76" s="13" t="n"/>
      <c r="V76" s="13" t="n">
        <v>1</v>
      </c>
      <c r="W76" s="10" t="n"/>
      <c r="X76" s="10" t="n">
        <v>0.6</v>
      </c>
      <c r="Y76" s="10" t="n">
        <v>3.46</v>
      </c>
      <c r="Z76" s="10" t="n">
        <v>1.7</v>
      </c>
      <c r="AA76" s="11">
        <f>IF(X76&lt;50,IF(Y76&gt;(2.3*X76),0,1),1)-IF(Z76&gt;Y76,1.7,0)</f>
        <v/>
      </c>
      <c r="AB76" s="17" t="n">
        <v>0</v>
      </c>
      <c r="AC76" s="11">
        <f>IF(AB76&gt;4,1,0)+AB76/7</f>
        <v/>
      </c>
      <c r="AD76" s="33" t="n">
        <v>70</v>
      </c>
      <c r="AE76" s="33" t="n">
        <v>-20</v>
      </c>
      <c r="AF76" s="33" t="n">
        <v>190</v>
      </c>
      <c r="AG76" s="12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11">
        <f>AG76+IF(X76&lt;1.35,0,1)+IF(Y76&lt;1.35,0,1)+AC76+AA76</f>
        <v/>
      </c>
      <c r="AI76" s="11" t="n">
        <v>11</v>
      </c>
      <c r="AJ76" s="11">
        <f>IF(AI76&gt;12.7,IF(AI76&gt;15.8,0.93,0.98),1)</f>
        <v/>
      </c>
      <c r="AK76" s="11">
        <f>(1.2*AG76+AH76)*AJ76*AQ76</f>
        <v/>
      </c>
      <c r="AL76" s="10">
        <f>D76</f>
        <v/>
      </c>
      <c r="AM76" s="14">
        <f>B76</f>
        <v/>
      </c>
      <c r="AN76" s="13" t="n">
        <v>10</v>
      </c>
      <c r="AO76" s="13">
        <f>AN76+1</f>
        <v/>
      </c>
      <c r="AP76" s="13">
        <f>IF(AK76&gt;13.1,IF(Z76&lt;101,IF(Z76&lt;35,IF(Z76&lt;6,3,2),1),0),0)</f>
        <v/>
      </c>
      <c r="AQ76" s="11" t="n">
        <v>1</v>
      </c>
      <c r="AR76" s="11">
        <f>IF(AP76&gt;0,IF(AB76&gt;10,(AB76/Z76),10/Z76),0)</f>
        <v/>
      </c>
      <c r="AS76" s="11" t="n"/>
      <c r="AT76" s="11">
        <f>100*(AK76-AQ76)/AQ76</f>
        <v/>
      </c>
      <c r="AU76" s="35" t="n"/>
      <c r="AV76" s="35" t="n"/>
      <c r="AW76" s="36" t="n"/>
      <c r="AX76" s="36" t="n"/>
      <c r="AY76" s="33" t="n">
        <v>138</v>
      </c>
      <c r="AZ76" s="13" t="n"/>
      <c r="BA76" s="33" t="n">
        <v>144</v>
      </c>
      <c r="BB76" s="11" t="n">
        <v>151</v>
      </c>
      <c r="BC76" s="11" t="n">
        <v>158</v>
      </c>
      <c r="BD76" s="11" t="n">
        <v>168</v>
      </c>
      <c r="BE76" s="11" t="n"/>
      <c r="BF76" s="11" t="n"/>
      <c r="BG76" s="11" t="n"/>
      <c r="BH76" s="11" t="n"/>
    </row>
    <row r="77" ht="12.75" customHeight="1">
      <c r="B77" t="inlineStr">
        <is>
          <t>Unisem Agritech</t>
        </is>
      </c>
      <c r="C77" s="17" t="n">
        <v>2025</v>
      </c>
      <c r="D77" s="17" t="inlineStr">
        <is>
          <t>Neg</t>
        </is>
      </c>
      <c r="E77" t="n">
        <v>11.9</v>
      </c>
      <c r="F77" t="n">
        <v>9.6</v>
      </c>
      <c r="G77" s="11">
        <f>100*(F77-E77)/F77</f>
        <v/>
      </c>
      <c r="H77" t="inlineStr">
        <is>
          <t>N/A</t>
        </is>
      </c>
      <c r="I77" t="n">
        <v>4.27</v>
      </c>
      <c r="K77" t="inlineStr">
        <is>
          <t>N/A</t>
        </is>
      </c>
      <c r="M77" t="n">
        <v>7.1</v>
      </c>
      <c r="O77" t="n">
        <v>69.08</v>
      </c>
      <c r="P77" s="11">
        <f>O77/I77</f>
        <v/>
      </c>
      <c r="Q77" t="n">
        <v>14.62</v>
      </c>
      <c r="R77" s="2" t="n">
        <v>20.35</v>
      </c>
      <c r="S77" s="12" t="n">
        <v>0</v>
      </c>
      <c r="T77" s="13" t="n"/>
      <c r="U77" s="13" t="n"/>
      <c r="V77" s="13" t="n">
        <v>1</v>
      </c>
      <c r="W77" s="10" t="n"/>
      <c r="X77" s="10" t="n">
        <v>1.7</v>
      </c>
      <c r="Y77" s="10" t="n">
        <v>1.7</v>
      </c>
      <c r="Z77" s="10" t="n">
        <v>2.28</v>
      </c>
      <c r="AA77" s="11">
        <f>IF(X77&lt;50,IF(Y77&gt;(2.3*X77),0,1),1)-IF(Z77&gt;Y77,1.7,0)</f>
        <v/>
      </c>
      <c r="AB77" s="17" t="n">
        <v>0</v>
      </c>
      <c r="AC77" s="11">
        <f>IF(AB77&gt;4,1,0)+AB77/7</f>
        <v/>
      </c>
      <c r="AD77" s="33" t="n">
        <v>98</v>
      </c>
      <c r="AE77" s="33" t="n">
        <v>13</v>
      </c>
      <c r="AF77" s="33" t="n">
        <v>45.89</v>
      </c>
      <c r="AG77" s="12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11">
        <f>AG77+IF(X77&lt;1.35,0,1)+IF(Y77&lt;1.35,0,1)+AC77+AA77</f>
        <v/>
      </c>
      <c r="AI77" s="11" t="n">
        <v>11</v>
      </c>
      <c r="AJ77" s="11">
        <f>IF(AI77&gt;12.7,IF(AI77&gt;15.8,0.93,0.98),1)</f>
        <v/>
      </c>
      <c r="AK77" s="11">
        <f>(1.2*AG77+AH77)*AJ77*AQ77</f>
        <v/>
      </c>
      <c r="AL77" s="10">
        <f>D77</f>
        <v/>
      </c>
      <c r="AM77" s="14">
        <f>B77</f>
        <v/>
      </c>
      <c r="AN77" s="35" t="n">
        <v>12</v>
      </c>
      <c r="AO77" s="13">
        <f>AN77+1</f>
        <v/>
      </c>
      <c r="AP77" s="13">
        <f>IF(AK77&gt;13.1,IF(Z77&lt;101,IF(Z77&lt;35,IF(Z77&lt;6,3,2),1),0),0)</f>
        <v/>
      </c>
      <c r="AQ77" s="11" t="n">
        <v>1</v>
      </c>
      <c r="AR77" s="11">
        <f>IF(AP77&gt;0,IF(AB77&gt;10,(AB77/Z77),10/Z77),0)</f>
        <v/>
      </c>
      <c r="AS77" s="11" t="n"/>
      <c r="AT77" s="11">
        <f>100*(AK77-AQ77)/AQ77</f>
        <v/>
      </c>
      <c r="AU77" s="35" t="n"/>
      <c r="AV77" s="35" t="n"/>
      <c r="AW77" s="36" t="n"/>
      <c r="AX77" s="36" t="n"/>
      <c r="AY77" s="33" t="n"/>
      <c r="AZ77" s="13" t="n"/>
      <c r="BA77" s="33" t="n"/>
      <c r="BB77" s="11" t="n"/>
      <c r="BC77" s="11" t="n"/>
      <c r="BD77" s="11" t="n"/>
      <c r="BE77" s="11" t="n"/>
      <c r="BF77" s="11" t="n"/>
      <c r="BG77" s="11" t="n"/>
      <c r="BH77" s="11" t="n"/>
    </row>
    <row r="78" ht="12.75" customHeight="1">
      <c r="B78" t="inlineStr">
        <is>
          <t>Shipwaves Online</t>
        </is>
      </c>
      <c r="C78" s="17" t="n">
        <v>2025</v>
      </c>
      <c r="D78" s="17" t="inlineStr">
        <is>
          <t>Neg</t>
        </is>
      </c>
      <c r="G78" s="11">
        <f>100*(F78-E78)/F78</f>
        <v/>
      </c>
      <c r="H78" s="33" t="n"/>
      <c r="I78" s="33" t="n"/>
      <c r="J78" s="33" t="n"/>
      <c r="K78" s="33" t="n"/>
      <c r="L78" s="33" t="n"/>
      <c r="M78" s="33" t="n"/>
      <c r="N78" s="33" t="n"/>
      <c r="O78" s="33" t="n"/>
      <c r="P78" s="11">
        <f>O78/I78</f>
        <v/>
      </c>
      <c r="Q78" s="33" t="n"/>
      <c r="R78" s="34" t="n">
        <v>12.9</v>
      </c>
      <c r="S78" s="12" t="n">
        <v>0</v>
      </c>
      <c r="T78" s="13" t="n"/>
      <c r="U78" s="13" t="n"/>
      <c r="V78" s="13" t="n">
        <v>0</v>
      </c>
      <c r="W78" s="10" t="n"/>
      <c r="X78" s="10" t="n">
        <v>2</v>
      </c>
      <c r="Y78" s="10" t="n">
        <v>2</v>
      </c>
      <c r="Z78" s="10" t="n">
        <v>1</v>
      </c>
      <c r="AA78" s="11">
        <f>IF(X78&lt;50,IF(Y78&gt;(2.3*X78),0,1),1)-IF(Z78&gt;Y78,1.7,0)</f>
        <v/>
      </c>
      <c r="AB78" s="17" t="n">
        <v>0</v>
      </c>
      <c r="AC78" s="11">
        <f>IF(AB78&gt;4,1,0)+AB78/7</f>
        <v/>
      </c>
      <c r="AD78" s="33" t="n"/>
      <c r="AE78" s="33" t="n"/>
      <c r="AF78" s="33" t="n"/>
      <c r="AG78" s="12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11">
        <f>AG78+IF(X78&lt;1.35,0,1)+IF(Y78&lt;1.35,0,1)+AC78+AA78</f>
        <v/>
      </c>
      <c r="AI78" s="11" t="n">
        <v>11</v>
      </c>
      <c r="AJ78" s="11">
        <f>IF(AI78&gt;12.7,IF(AI78&gt;15.8,0.93,0.98),1)</f>
        <v/>
      </c>
      <c r="AK78" s="11">
        <f>(1.2*AG78+AH78)*AJ78*AQ78</f>
        <v/>
      </c>
      <c r="AL78" s="10">
        <f>D78</f>
        <v/>
      </c>
      <c r="AM78" s="14">
        <f>B78</f>
        <v/>
      </c>
      <c r="AN78" s="35" t="n">
        <v>12</v>
      </c>
      <c r="AO78" s="13">
        <f>AN78+1</f>
        <v/>
      </c>
      <c r="AP78" s="13">
        <f>IF(AK78&gt;13.1,IF(Z78&lt;101,IF(Z78&lt;35,IF(Z78&lt;6,3,2),1),0),0)</f>
        <v/>
      </c>
      <c r="AQ78" s="11" t="n">
        <v>1</v>
      </c>
      <c r="AR78" s="11">
        <f>IF(AP78&gt;0,IF(AB78&gt;10,(AB78/Z78),10/Z78),0)</f>
        <v/>
      </c>
      <c r="AS78" s="11" t="n"/>
      <c r="AT78" s="11">
        <f>100*(AK78-AQ78)/AQ78</f>
        <v/>
      </c>
      <c r="AU78" s="35" t="n"/>
      <c r="AV78" s="35" t="n"/>
      <c r="AW78" s="36" t="n"/>
      <c r="AX78" s="36" t="n"/>
      <c r="AY78" s="33" t="n"/>
      <c r="AZ78" s="13" t="n"/>
      <c r="BA78" s="33" t="n"/>
      <c r="BB78" s="11" t="n"/>
      <c r="BC78" s="11" t="n"/>
      <c r="BD78" s="11" t="n"/>
      <c r="BE78" s="11" t="n"/>
      <c r="BF78" s="11" t="n"/>
      <c r="BG78" s="11" t="n"/>
      <c r="BH78" s="11" t="n"/>
    </row>
    <row r="79" ht="17.25" customHeight="1">
      <c r="B79" t="inlineStr">
        <is>
          <t>HRS Aluglaze</t>
        </is>
      </c>
      <c r="C79" s="17" t="n">
        <v>2025</v>
      </c>
      <c r="D79" s="17" t="inlineStr">
        <is>
          <t>Pos</t>
        </is>
      </c>
      <c r="E79" t="n">
        <v>38.66</v>
      </c>
      <c r="F79" t="n">
        <v>20.11</v>
      </c>
      <c r="G79" s="11">
        <f>100*(F79-E79)/F79</f>
        <v/>
      </c>
      <c r="H79" s="33" t="n">
        <v>80.59999999999999</v>
      </c>
      <c r="I79" s="33" t="n">
        <v>5.15</v>
      </c>
      <c r="J79" s="33" t="n"/>
      <c r="K79" s="33" t="n">
        <v>3.68</v>
      </c>
      <c r="L79" s="33" t="n"/>
      <c r="M79" s="33" t="n">
        <v>10.7</v>
      </c>
      <c r="O79" t="n">
        <v>42.14</v>
      </c>
      <c r="P79" s="11">
        <f>O79/I79</f>
        <v/>
      </c>
      <c r="Q79" s="33" t="n">
        <v>26.07</v>
      </c>
      <c r="R79" s="34" t="inlineStr">
        <is>
          <t>N/A</t>
        </is>
      </c>
      <c r="S79" s="12" t="n">
        <v>0</v>
      </c>
      <c r="T79" s="13" t="n"/>
      <c r="U79" s="13" t="n"/>
      <c r="V79" s="13" t="n">
        <v>1</v>
      </c>
      <c r="W79" s="10" t="n"/>
      <c r="X79" s="10" t="n">
        <v>2.6</v>
      </c>
      <c r="Y79" s="10" t="n">
        <v>17.8</v>
      </c>
      <c r="Z79" s="10" t="n">
        <v>16.45</v>
      </c>
      <c r="AA79" s="11">
        <f>IF(X79&lt;50,IF(Y79&gt;(2.3*X79),0,1),1)-IF(Z79&gt;Y79,1.7,0)</f>
        <v/>
      </c>
      <c r="AB79" s="17" t="n">
        <v>20</v>
      </c>
      <c r="AC79" s="11">
        <f>IF(AB79&gt;4,1,0)+AB79/7</f>
        <v/>
      </c>
      <c r="AD79" s="33" t="n">
        <v>188</v>
      </c>
      <c r="AE79" s="33" t="n">
        <v>56</v>
      </c>
      <c r="AF79" s="33" t="n">
        <v>101.71</v>
      </c>
      <c r="AG79" s="12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11">
        <f>AG79+IF(X79&lt;1.35,0,1)+IF(Y79&lt;1.35,0,1)+AC79+AA79</f>
        <v/>
      </c>
      <c r="AI79" s="11" t="n">
        <v>11</v>
      </c>
      <c r="AJ79" s="11">
        <f>IF(AI79&gt;12.7,IF(AI79&gt;15.8,0.93,0.98),1)</f>
        <v/>
      </c>
      <c r="AK79" s="11">
        <f>(1.2*AG79+AH79)*AJ79*AQ79</f>
        <v/>
      </c>
      <c r="AL79" s="10">
        <f>D79</f>
        <v/>
      </c>
      <c r="AM79" s="14">
        <f>B79</f>
        <v/>
      </c>
      <c r="AN79" s="37" t="n">
        <v>15</v>
      </c>
      <c r="AO79" s="13">
        <f>AN79+1</f>
        <v/>
      </c>
      <c r="AP79" s="13">
        <f>IF(AK79&gt;13.1,IF(Z79&lt;101,IF(Z79&lt;35,IF(Z79&lt;6,3,2),1),0),0)</f>
        <v/>
      </c>
      <c r="AQ79" s="11" t="n">
        <v>1</v>
      </c>
      <c r="AR79" s="11">
        <f>IF(AP79&gt;0,IF(AB79&gt;10,(AB79/Z79),10/Z79),0)</f>
        <v/>
      </c>
      <c r="AS79" s="11" t="n"/>
      <c r="AT79" s="11">
        <f>100*(AK79-AQ79)/AQ79</f>
        <v/>
      </c>
      <c r="AU79" s="35" t="n"/>
      <c r="AV79" s="35" t="n"/>
      <c r="AW79" s="36" t="n"/>
      <c r="AX79" s="36" t="n"/>
      <c r="AY79" s="33" t="n">
        <v>96</v>
      </c>
      <c r="AZ79" s="13" t="n"/>
      <c r="BA79" s="33" t="n">
        <v>126</v>
      </c>
      <c r="BB79" s="11" t="n">
        <v>132</v>
      </c>
      <c r="BC79" s="11" t="n">
        <v>139</v>
      </c>
      <c r="BD79" s="11" t="n">
        <v>146</v>
      </c>
      <c r="BE79" s="11" t="n">
        <v>174</v>
      </c>
      <c r="BF79" s="11" t="n"/>
      <c r="BG79" s="11" t="n"/>
      <c r="BH79" s="11" t="n"/>
    </row>
    <row r="80" ht="15" customHeight="1">
      <c r="B80" t="inlineStr">
        <is>
          <t>Pajson Agro India</t>
        </is>
      </c>
      <c r="C80" s="17" t="n">
        <v>2025</v>
      </c>
      <c r="D80" s="17" t="inlineStr">
        <is>
          <t>Pos</t>
        </is>
      </c>
      <c r="E80" t="n">
        <v>14.57</v>
      </c>
      <c r="F80" t="n">
        <v>44.21</v>
      </c>
      <c r="G80" s="11">
        <f>100*(F80-E80)/F80</f>
        <v/>
      </c>
      <c r="H80" s="33" t="n">
        <v>65.73</v>
      </c>
      <c r="I80" s="33" t="n">
        <v>20.42</v>
      </c>
      <c r="J80" s="33" t="n"/>
      <c r="K80" s="33" t="n">
        <v>11.67</v>
      </c>
      <c r="L80" s="33" t="n"/>
      <c r="M80" s="33" t="n">
        <v>30.27</v>
      </c>
      <c r="N80" s="33" t="n"/>
      <c r="O80" s="33" t="n">
        <v>187.28</v>
      </c>
      <c r="P80" s="11">
        <f>O80/I80</f>
        <v/>
      </c>
      <c r="Q80" s="33" t="n">
        <v>10.11</v>
      </c>
      <c r="R80" s="34" t="n">
        <v>14.16</v>
      </c>
      <c r="S80" s="12" t="n">
        <v>0.9</v>
      </c>
      <c r="T80" s="13" t="n"/>
      <c r="U80" s="13" t="n"/>
      <c r="V80" s="13" t="n">
        <v>1</v>
      </c>
      <c r="W80" s="10" t="n"/>
      <c r="X80" s="10" t="n">
        <v>2</v>
      </c>
      <c r="Y80" s="10" t="n">
        <v>2</v>
      </c>
      <c r="Z80" s="10" t="n">
        <v>1</v>
      </c>
      <c r="AA80" s="11">
        <f>IF(X80&lt;50,IF(Y80&gt;(2.3*X80),0,1),1)-IF(Z80&gt;Y80,1.7,0)</f>
        <v/>
      </c>
      <c r="AB80" s="17" t="n">
        <v>4.26</v>
      </c>
      <c r="AC80" s="11">
        <f>IF(AB80&gt;4,1,0)+AB80/7</f>
        <v/>
      </c>
      <c r="AD80" s="33" t="n">
        <v>509</v>
      </c>
      <c r="AE80" s="33" t="n">
        <v>95</v>
      </c>
      <c r="AF80" s="33" t="n">
        <v>86</v>
      </c>
      <c r="AG80" s="12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11">
        <f>AG80+IF(X80&lt;1.35,0,1)+IF(Y80&lt;1.35,0,1)+AC80+AA80</f>
        <v/>
      </c>
      <c r="AI80" s="11" t="n">
        <v>11</v>
      </c>
      <c r="AJ80" s="11">
        <f>IF(AI80&gt;12.7,IF(AI80&gt;15.8,0.93,0.98),1)</f>
        <v/>
      </c>
      <c r="AK80" s="11">
        <f>(1.2*AG80+AH80)*AJ80*AQ80</f>
        <v/>
      </c>
      <c r="AL80" s="10">
        <f>D80</f>
        <v/>
      </c>
      <c r="AM80" s="14">
        <f>B80</f>
        <v/>
      </c>
      <c r="AN80" s="38" t="n">
        <v>15</v>
      </c>
      <c r="AO80" s="13">
        <f>AN80+1</f>
        <v/>
      </c>
      <c r="AP80" s="13">
        <f>IF(AK80&gt;13.1,IF(Z80&lt;101,IF(Z80&lt;35,IF(Z80&lt;6,3,2),1),0),0)</f>
        <v/>
      </c>
      <c r="AQ80" s="11" t="n">
        <v>1</v>
      </c>
      <c r="AR80" s="11">
        <f>IF(AP80&gt;0,IF(AB80&gt;10,(AB80/Z80),10/Z80),0)</f>
        <v/>
      </c>
      <c r="AS80" s="11" t="n"/>
      <c r="AT80" s="11">
        <f>100*(AK80-AQ80)/AQ80</f>
        <v/>
      </c>
      <c r="AU80" s="35" t="n"/>
      <c r="AV80" s="35" t="n"/>
      <c r="AW80" s="36" t="n"/>
      <c r="AX80" s="36" t="n"/>
      <c r="AY80" s="39" t="n">
        <v>118</v>
      </c>
      <c r="AZ80" s="21" t="n">
        <v>124</v>
      </c>
      <c r="BA80" s="39" t="n">
        <v>124</v>
      </c>
      <c r="BB80" s="23" t="n">
        <v>130</v>
      </c>
      <c r="BC80" s="23" t="n">
        <v>136</v>
      </c>
      <c r="BD80" s="23" t="n">
        <v>143.4</v>
      </c>
      <c r="BE80" s="11" t="n"/>
      <c r="BF80" s="11" t="n"/>
      <c r="BG80" s="11" t="n"/>
      <c r="BH80" s="11" t="n"/>
    </row>
    <row r="81" ht="12.75" customHeight="1">
      <c r="B81" t="inlineStr">
        <is>
          <t>Ashwini Container Movers</t>
        </is>
      </c>
      <c r="C81" s="17" t="n">
        <v>2025</v>
      </c>
      <c r="D81" s="17" t="inlineStr">
        <is>
          <t>Pos</t>
        </is>
      </c>
      <c r="E81" t="n">
        <v>62.57</v>
      </c>
      <c r="F81" t="n">
        <v>20.42</v>
      </c>
      <c r="G81" s="11">
        <f>100*(F81-E81)/F81</f>
        <v/>
      </c>
      <c r="H81" t="n">
        <v>101.46</v>
      </c>
      <c r="I81" t="n">
        <v>11.45</v>
      </c>
      <c r="K81" t="n">
        <v>11.45</v>
      </c>
      <c r="M81" t="n">
        <v>24.89</v>
      </c>
      <c r="O81" t="n">
        <v>96.06</v>
      </c>
      <c r="P81" s="11">
        <f>O81/I81</f>
        <v/>
      </c>
      <c r="Q81" t="n">
        <v>12.4</v>
      </c>
      <c r="R81" s="2" t="n">
        <v>9.94</v>
      </c>
      <c r="S81" s="12" t="n">
        <v>0</v>
      </c>
      <c r="T81" s="13" t="n"/>
      <c r="U81" s="13" t="n"/>
      <c r="V81" s="13" t="n">
        <v>1</v>
      </c>
      <c r="W81" s="10" t="n"/>
      <c r="X81" s="10" t="n">
        <v>1.31</v>
      </c>
      <c r="Y81" s="10" t="n">
        <v>3.27</v>
      </c>
      <c r="Z81" s="10" t="n">
        <v>1.08</v>
      </c>
      <c r="AA81" s="11">
        <f>IF(X81&lt;50,IF(Y81&gt;(2.3*X81),0,1),1)-IF(Z81&gt;Y81,1.7,0)</f>
        <v/>
      </c>
      <c r="AB81" s="17" t="n">
        <v>2.11</v>
      </c>
      <c r="AC81" s="11">
        <f>IF(AB81&gt;4,1,0)+AB81/7</f>
        <v/>
      </c>
      <c r="AD81" s="33" t="n">
        <v>731</v>
      </c>
      <c r="AE81" s="33" t="n">
        <v>21</v>
      </c>
      <c r="AF81" s="33" t="n">
        <v>117.45</v>
      </c>
      <c r="AG81" s="12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11">
        <f>AG81+IF(X81&lt;1.35,0,1)+IF(Y81&lt;1.35,0,1)+AC81+AA81</f>
        <v/>
      </c>
      <c r="AI81" s="11" t="n">
        <v>11</v>
      </c>
      <c r="AJ81" s="11">
        <f>IF(AI81&gt;12.7,IF(AI81&gt;15.8,0.93,0.98),1)</f>
        <v/>
      </c>
      <c r="AK81" s="11">
        <f>(1.2*AG81+AH81)*AJ81*AQ81</f>
        <v/>
      </c>
      <c r="AL81" s="10">
        <f>D81</f>
        <v/>
      </c>
      <c r="AM81" s="14">
        <f>B81</f>
        <v/>
      </c>
      <c r="AN81" s="40" t="n">
        <v>16</v>
      </c>
      <c r="AO81" s="13">
        <f>AN81+1</f>
        <v/>
      </c>
      <c r="AP81" s="13">
        <f>IF(AK81&gt;13.1,IF(Z81&lt;101,IF(Z81&lt;35,IF(Z81&lt;6,3,2),1),0),0)</f>
        <v/>
      </c>
      <c r="AQ81" s="11" t="n">
        <v>1</v>
      </c>
      <c r="AR81" s="11">
        <f>IF(AP81&gt;0,IF(AB81&gt;10,(AB81/Z81),10/Z81),0)</f>
        <v/>
      </c>
      <c r="AS81" s="11" t="n"/>
      <c r="AT81" s="11">
        <f>100*(AK81-AQ81)/AQ81</f>
        <v/>
      </c>
      <c r="AU81" s="35" t="n"/>
      <c r="AV81" s="35" t="n"/>
      <c r="AW81" s="36" t="n"/>
      <c r="AX81" s="36" t="n"/>
      <c r="AY81" s="33" t="n"/>
      <c r="AZ81" s="13" t="n"/>
      <c r="BA81" s="33" t="n"/>
      <c r="BB81" s="11" t="n"/>
      <c r="BC81" s="11" t="n"/>
      <c r="BD81" s="11" t="n"/>
      <c r="BE81" s="11" t="n"/>
      <c r="BF81" s="11" t="n"/>
      <c r="BG81" s="11" t="n"/>
      <c r="BH81" s="11" t="n"/>
    </row>
    <row r="82" ht="12.75" customHeight="1">
      <c r="B82" t="inlineStr">
        <is>
          <t>Exim Routes</t>
        </is>
      </c>
      <c r="C82" s="17" t="n">
        <v>2025</v>
      </c>
      <c r="D82" s="17" t="inlineStr">
        <is>
          <t>Pos</t>
        </is>
      </c>
      <c r="E82" t="n">
        <v>2.75</v>
      </c>
      <c r="F82" t="n">
        <v>15.6</v>
      </c>
      <c r="G82" s="11">
        <f>100*(F82-E82)/F82</f>
        <v/>
      </c>
      <c r="H82" t="n">
        <v>47.62</v>
      </c>
      <c r="I82" t="n">
        <v>7.56</v>
      </c>
      <c r="K82" t="n">
        <v>5.49</v>
      </c>
      <c r="M82" t="n">
        <v>9.949999999999999</v>
      </c>
      <c r="O82" t="n">
        <v>120.99</v>
      </c>
      <c r="P82" s="11">
        <f>O82/I82</f>
        <v/>
      </c>
      <c r="Q82" t="n">
        <v>16.04</v>
      </c>
      <c r="R82" s="2" t="n">
        <v>17.22</v>
      </c>
      <c r="S82" s="12" t="n">
        <v>-1</v>
      </c>
      <c r="T82" s="13" t="n"/>
      <c r="U82" s="13" t="n"/>
      <c r="V82" s="13" t="n">
        <v>1</v>
      </c>
      <c r="W82" s="10" t="n"/>
      <c r="X82" s="10" t="n">
        <v>9.289999999999999</v>
      </c>
      <c r="Y82" s="10" t="n">
        <v>17.55</v>
      </c>
      <c r="Z82" s="10" t="n">
        <v>6.69</v>
      </c>
      <c r="AA82" s="11">
        <f>IF(X82&lt;50,IF(Y82&gt;(2.3*X82),0,1),1)-IF(Z82&gt;Y82,1.7,0)</f>
        <v/>
      </c>
      <c r="AB82" s="17" t="n">
        <v>4</v>
      </c>
      <c r="AC82" s="11">
        <f>IF(AB82&gt;4,1,0)+AB82/7</f>
        <v/>
      </c>
      <c r="AD82" s="33" t="n">
        <v>72.17</v>
      </c>
      <c r="AE82" s="33" t="n">
        <v>73.34</v>
      </c>
      <c r="AF82" s="33" t="n">
        <v>40.57</v>
      </c>
      <c r="AG82" s="12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11">
        <f>AG82+IF(X82&lt;1.35,0,1)+IF(Y82&lt;1.35,0,1)+AC82+AA82</f>
        <v/>
      </c>
      <c r="AI82" s="11" t="n">
        <v>11</v>
      </c>
      <c r="AJ82" s="11">
        <f>IF(AI82&gt;12.7,IF(AI82&gt;15.8,0.93,0.98),1)</f>
        <v/>
      </c>
      <c r="AK82" s="11">
        <f>(1.2*AG82+AH82)*AJ82*AQ82</f>
        <v/>
      </c>
      <c r="AL82" s="10">
        <f>D82</f>
        <v/>
      </c>
      <c r="AM82" s="14">
        <f>B82</f>
        <v/>
      </c>
      <c r="AN82" s="38" t="n">
        <v>16</v>
      </c>
      <c r="AO82" s="13">
        <f>AN82+1</f>
        <v/>
      </c>
      <c r="AP82" s="13">
        <f>IF(AK82&gt;13.1,IF(Z82&lt;101,IF(Z82&lt;35,IF(Z82&lt;6,3,2),1),0),0)</f>
        <v/>
      </c>
      <c r="AQ82" s="11" t="n">
        <v>1</v>
      </c>
      <c r="AR82" s="11">
        <f>IF(AP82&gt;0,IF(AB82&gt;10,(AB82/Z82),10/Z82),0)</f>
        <v/>
      </c>
      <c r="AS82" s="11" t="n"/>
      <c r="AT82" s="11">
        <f>100*(AK82-AQ82)/AQ82</f>
        <v/>
      </c>
      <c r="AU82" s="35" t="n"/>
      <c r="AV82" s="35" t="n"/>
      <c r="AW82" s="36" t="n"/>
      <c r="AX82" s="36" t="n"/>
      <c r="AY82" s="39" t="n">
        <v>88</v>
      </c>
      <c r="AZ82" s="21" t="n">
        <v>120</v>
      </c>
      <c r="BA82" s="39" t="n">
        <v>110</v>
      </c>
      <c r="BB82" s="23" t="n">
        <v>115.7</v>
      </c>
      <c r="BC82" s="23" t="n">
        <v>120</v>
      </c>
      <c r="BD82" s="23" t="n">
        <v>125.51</v>
      </c>
      <c r="BE82" s="23" t="n"/>
      <c r="BF82" s="11" t="n"/>
      <c r="BG82" s="11" t="n"/>
      <c r="BH82" s="11" t="n"/>
    </row>
    <row r="83" ht="12.75" customHeight="1">
      <c r="B83" s="41" t="inlineStr">
        <is>
          <t>Stanbik Agro</t>
        </is>
      </c>
      <c r="C83" s="17" t="n">
        <v>2025</v>
      </c>
      <c r="D83" s="17" t="inlineStr">
        <is>
          <t>Pos</t>
        </is>
      </c>
      <c r="E83" t="n">
        <v>0.09</v>
      </c>
      <c r="F83" t="n">
        <v>16.74</v>
      </c>
      <c r="G83" s="11">
        <f>100*(F83-E83)/F83</f>
        <v/>
      </c>
      <c r="H83" t="n">
        <v>19.05</v>
      </c>
      <c r="I83" t="n">
        <v>3.74</v>
      </c>
      <c r="K83" t="n">
        <v>5.09</v>
      </c>
      <c r="M83" t="n">
        <v>4.58</v>
      </c>
      <c r="O83" t="n">
        <v>52.49</v>
      </c>
      <c r="P83" s="11">
        <f>O83/I83</f>
        <v/>
      </c>
      <c r="Q83" t="n">
        <v>5.9</v>
      </c>
      <c r="R83" s="2" t="n">
        <v>6.47</v>
      </c>
      <c r="S83" s="12" t="n">
        <v>-1</v>
      </c>
      <c r="T83" s="13" t="n"/>
      <c r="U83" s="13" t="n"/>
      <c r="V83" s="13" t="n">
        <v>0</v>
      </c>
      <c r="W83" s="10" t="n"/>
      <c r="X83" s="10" t="n">
        <v>1.21</v>
      </c>
      <c r="Y83" s="10" t="n">
        <v>1.41</v>
      </c>
      <c r="Z83" s="10" t="n">
        <v>1.23</v>
      </c>
      <c r="AA83" s="11">
        <f>IF(X83&lt;50,IF(Y83&gt;(2.3*X83),0,1),1)-IF(Z83&gt;Y83,1.7,0)</f>
        <v/>
      </c>
      <c r="AB83" s="17" t="n">
        <v>0</v>
      </c>
      <c r="AC83" s="11">
        <f>IF(AB83&gt;4,1,0)+AB83/7</f>
        <v/>
      </c>
      <c r="AD83" s="33" t="n">
        <v>102</v>
      </c>
      <c r="AE83" s="33" t="n">
        <v>98</v>
      </c>
      <c r="AF83" s="33" t="n">
        <v>481.25</v>
      </c>
      <c r="AG83" s="12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11">
        <f>AG83+IF(X83&lt;1.35,0,1)+IF(Y83&lt;1.35,0,1)+AC83+AA83</f>
        <v/>
      </c>
      <c r="AI83" s="11" t="n">
        <v>11</v>
      </c>
      <c r="AJ83" s="11">
        <f>IF(AI83&gt;12.7,IF(AI83&gt;15.8,0.93,0.98),1)</f>
        <v/>
      </c>
      <c r="AK83" s="11">
        <f>(1.2*AG83+AH83)*AJ83*AQ83</f>
        <v/>
      </c>
      <c r="AL83" s="10">
        <f>D83</f>
        <v/>
      </c>
      <c r="AM83" s="14">
        <f>B83</f>
        <v/>
      </c>
      <c r="AN83" s="38" t="n">
        <v>16</v>
      </c>
      <c r="AO83" s="13">
        <f>AN83+1</f>
        <v/>
      </c>
      <c r="AP83" s="13">
        <f>IF(AK83&gt;13.1,IF(Z83&lt;101,IF(Z83&lt;35,IF(Z83&lt;6,3,2),1),0),0)</f>
        <v/>
      </c>
      <c r="AQ83" s="11" t="n">
        <v>1</v>
      </c>
      <c r="AR83" s="11">
        <f>IF(AP83&gt;0,IF(AB83&gt;10,(AB83/Z83),10/Z83),0)</f>
        <v/>
      </c>
      <c r="AS83" s="11" t="n"/>
      <c r="AT83" s="11">
        <f>100*(AK83-AQ83)/AQ83</f>
        <v/>
      </c>
      <c r="AU83" s="35" t="n"/>
      <c r="AV83" s="35" t="n"/>
      <c r="AW83" s="36" t="n"/>
      <c r="AX83" s="36" t="n"/>
      <c r="AY83" s="39" t="n">
        <v>30</v>
      </c>
      <c r="AZ83" s="21" t="n">
        <v>30</v>
      </c>
      <c r="BA83" s="39" t="n">
        <v>31.75</v>
      </c>
      <c r="BB83" s="23" t="n">
        <v>33.33</v>
      </c>
      <c r="BC83" s="23" t="n">
        <v>34</v>
      </c>
      <c r="BD83" s="23" t="n">
        <v>33.5</v>
      </c>
      <c r="BE83" s="23" t="n">
        <v>35</v>
      </c>
      <c r="BF83" s="11" t="n"/>
      <c r="BG83" s="11" t="n"/>
      <c r="BH83" s="11" t="n"/>
    </row>
    <row r="84" ht="12.75" customHeight="1">
      <c r="B84" t="inlineStr">
        <is>
          <t>Neptune Logitek</t>
        </is>
      </c>
      <c r="C84" s="17" t="n">
        <v>2025</v>
      </c>
      <c r="D84" s="10" t="inlineStr">
        <is>
          <t>Neg</t>
        </is>
      </c>
      <c r="E84" t="n">
        <v>57.99</v>
      </c>
      <c r="F84" t="n">
        <v>19.95</v>
      </c>
      <c r="G84" s="11">
        <f>100*(F84-E84)/F84</f>
        <v/>
      </c>
      <c r="H84" t="n">
        <v>119</v>
      </c>
      <c r="I84" t="n">
        <v>9.16</v>
      </c>
      <c r="K84" t="n">
        <v>9.16</v>
      </c>
      <c r="M84" t="n">
        <v>21.38</v>
      </c>
      <c r="O84" t="n">
        <v>257.25</v>
      </c>
      <c r="P84" s="11">
        <f>O84/I84</f>
        <v/>
      </c>
      <c r="Q84" t="n">
        <v>17.9</v>
      </c>
      <c r="R84" s="2" t="n">
        <v>22.31</v>
      </c>
      <c r="S84" s="12" t="n">
        <v>0</v>
      </c>
      <c r="T84" s="13" t="n"/>
      <c r="U84" s="13" t="n"/>
      <c r="V84" s="13" t="n">
        <v>0</v>
      </c>
      <c r="W84" s="10" t="n"/>
      <c r="X84" s="10" t="n">
        <v>0.32</v>
      </c>
      <c r="Y84" s="10" t="n">
        <v>0.32</v>
      </c>
      <c r="Z84" s="10" t="n">
        <v>2.83</v>
      </c>
      <c r="AA84" s="11">
        <f>IF(X84&lt;50,IF(Y84&gt;(2.3*X84),0,1),1)-IF(Z84&gt;Y84,1.7,0)</f>
        <v/>
      </c>
      <c r="AB84" s="17" t="n">
        <v>0</v>
      </c>
      <c r="AC84" s="11">
        <f>IF(AB84&gt;4,1,0)+AB84/7</f>
        <v/>
      </c>
      <c r="AD84" s="33" t="n">
        <v>32.7</v>
      </c>
      <c r="AE84" s="33" t="n">
        <v>47</v>
      </c>
      <c r="AF84" s="33" t="n">
        <v>85</v>
      </c>
      <c r="AG84" s="12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11">
        <f>AG84+IF(X84&lt;1.35,0,1)+IF(Y84&lt;1.35,0,1)+AC84+AA84</f>
        <v/>
      </c>
      <c r="AI84" s="11" t="n">
        <v>11</v>
      </c>
      <c r="AJ84" s="11">
        <f>IF(AI84&gt;12.7,IF(AI84&gt;15.8,0.93,0.98),1)</f>
        <v/>
      </c>
      <c r="AK84" s="11">
        <f>(1.2*AG84+AH84)*AJ84*AQ84</f>
        <v/>
      </c>
      <c r="AL84" s="10">
        <f>D84</f>
        <v/>
      </c>
      <c r="AM84" s="14">
        <f>B84</f>
        <v/>
      </c>
      <c r="AN84" s="42" t="n">
        <v>17</v>
      </c>
      <c r="AO84" s="13">
        <f>AN84+1</f>
        <v/>
      </c>
      <c r="AP84" s="13">
        <f>IF(AK84&gt;13.1,IF(Z84&lt;101,IF(Z84&lt;35,IF(Z84&lt;6,3,2),1),0),0)</f>
        <v/>
      </c>
      <c r="AQ84" s="11" t="n">
        <v>1</v>
      </c>
      <c r="AR84" s="11">
        <f>IF(AP84&gt;0,IF(AB84&gt;10,(AB84/Z84),10/Z84),0)</f>
        <v/>
      </c>
      <c r="AS84" s="11" t="n"/>
      <c r="AT84" s="11">
        <f>100*(AK84-AQ84)/AQ84</f>
        <v/>
      </c>
      <c r="AU84" s="35" t="n"/>
      <c r="AV84" s="35" t="n"/>
      <c r="AW84" s="36" t="n"/>
      <c r="AX84" s="36" t="n"/>
      <c r="AY84" s="33" t="n"/>
      <c r="AZ84" s="13" t="n"/>
      <c r="BA84" s="33" t="n"/>
      <c r="BB84" s="11" t="n"/>
      <c r="BC84" s="11" t="n"/>
      <c r="BD84" s="11" t="n"/>
      <c r="BE84" s="11" t="n"/>
      <c r="BF84" s="11" t="n"/>
      <c r="BG84" s="11" t="n"/>
      <c r="BH84" s="11" t="n"/>
    </row>
    <row r="85" ht="12.75" customHeight="1">
      <c r="B85" t="inlineStr">
        <is>
          <t>Global Ocean Logistics</t>
        </is>
      </c>
      <c r="C85" s="17" t="n">
        <v>2025</v>
      </c>
      <c r="D85" s="17" t="inlineStr">
        <is>
          <t>Pos</t>
        </is>
      </c>
      <c r="E85" t="n">
        <v>1.15</v>
      </c>
      <c r="F85" t="n">
        <v>17.39</v>
      </c>
      <c r="G85" s="11">
        <f>100*(F85-E85)/F85</f>
        <v/>
      </c>
      <c r="H85" t="n">
        <v>35.22</v>
      </c>
      <c r="I85" t="n">
        <v>6.82</v>
      </c>
      <c r="K85" t="n">
        <v>3.42</v>
      </c>
      <c r="M85" t="n">
        <v>9.4</v>
      </c>
      <c r="O85" t="n">
        <v>191.6</v>
      </c>
      <c r="P85" s="11">
        <f>O85/I85</f>
        <v/>
      </c>
      <c r="Q85" t="n">
        <v>16.53</v>
      </c>
      <c r="R85" s="2" t="n">
        <v>16.22</v>
      </c>
      <c r="S85" s="12" t="n">
        <v>0</v>
      </c>
      <c r="T85" s="13" t="n"/>
      <c r="U85" s="13" t="n"/>
      <c r="V85" s="13" t="n">
        <v>1</v>
      </c>
      <c r="W85" s="10" t="n"/>
      <c r="X85" s="10" t="n">
        <v>4.77</v>
      </c>
      <c r="Y85" s="10" t="n">
        <v>29.47</v>
      </c>
      <c r="Z85" s="10" t="n">
        <v>11.9</v>
      </c>
      <c r="AA85" s="11">
        <f>IF(X85&lt;50,IF(Y85&gt;(2.3*X85),0,1),1)-IF(Z85&gt;Y85,1.7,0)</f>
        <v/>
      </c>
      <c r="AB85" s="17" t="n">
        <v>0</v>
      </c>
      <c r="AC85" s="11">
        <f>IF(AB85&gt;4,1,0)+AB85/7</f>
        <v/>
      </c>
      <c r="AD85" s="33" t="n">
        <v>159</v>
      </c>
      <c r="AE85" s="33" t="n">
        <v>85</v>
      </c>
      <c r="AF85" s="33" t="n">
        <v>103</v>
      </c>
      <c r="AG85" s="12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11">
        <f>AG85+IF(X85&lt;1.35,0,1)+IF(Y85&lt;1.35,0,1)+AC85+AA85</f>
        <v/>
      </c>
      <c r="AI85" s="11" t="n">
        <v>11</v>
      </c>
      <c r="AJ85" s="11">
        <f>IF(AI85&gt;12.7,IF(AI85&gt;15.8,0.93,0.98),1)</f>
        <v/>
      </c>
      <c r="AK85" s="11">
        <f>(1.2*AG85+AH85)*AJ85*AQ85</f>
        <v/>
      </c>
      <c r="AL85" s="10">
        <f>D85</f>
        <v/>
      </c>
      <c r="AM85" s="14">
        <f>B85</f>
        <v/>
      </c>
      <c r="AN85" s="43" t="n">
        <v>19</v>
      </c>
      <c r="AO85" s="13">
        <f>AN85+1</f>
        <v/>
      </c>
      <c r="AP85" s="13">
        <f>IF(AK85&gt;13.1,IF(Z85&lt;101,IF(Z85&lt;35,IF(Z85&lt;6,3,2),1),0),0)</f>
        <v/>
      </c>
      <c r="AQ85" s="11" t="n">
        <v>1</v>
      </c>
      <c r="AR85" s="11">
        <f>IF(AP85&gt;0,IF(AB85&gt;10,(AB85/Z85),10/Z85),0)</f>
        <v/>
      </c>
      <c r="AS85" s="11" t="n"/>
      <c r="AT85" s="11">
        <f>100*(AK85-AQ85)/AQ85</f>
        <v/>
      </c>
      <c r="AU85" s="35" t="n"/>
      <c r="AV85" s="35" t="n"/>
      <c r="AW85" s="36" t="n"/>
      <c r="AX85" s="36" t="n"/>
      <c r="AY85" s="33" t="n"/>
      <c r="AZ85" s="13" t="n"/>
      <c r="BA85" s="33" t="n"/>
      <c r="BB85" s="11" t="n"/>
      <c r="BC85" s="11" t="n"/>
      <c r="BD85" s="11" t="n"/>
      <c r="BE85" s="11" t="n"/>
      <c r="BF85" s="11" t="n"/>
      <c r="BG85" s="11" t="n"/>
      <c r="BH85" s="11" t="n"/>
    </row>
    <row r="86" ht="12.75" customHeight="1">
      <c r="B86" t="inlineStr">
        <is>
          <t>MARC Technocrats</t>
        </is>
      </c>
      <c r="C86" s="17" t="n">
        <v>2025</v>
      </c>
      <c r="D86" s="10" t="inlineStr">
        <is>
          <t>Neg</t>
        </is>
      </c>
      <c r="E86" t="n">
        <v>0.9399999999999999</v>
      </c>
      <c r="F86" t="n">
        <v>27.85</v>
      </c>
      <c r="G86" s="11">
        <f>100*(F86-E86)/F86</f>
        <v/>
      </c>
      <c r="H86" t="n">
        <v>35.14</v>
      </c>
      <c r="I86" t="n">
        <v>7.48</v>
      </c>
      <c r="K86" t="n">
        <v>5.48</v>
      </c>
      <c r="M86" t="n">
        <v>10.36</v>
      </c>
      <c r="O86" t="n">
        <v>48.56</v>
      </c>
      <c r="P86" s="11">
        <f>O86/I86</f>
        <v/>
      </c>
      <c r="Q86" t="n">
        <v>16.97</v>
      </c>
      <c r="R86" s="2" t="n">
        <v>12.58</v>
      </c>
      <c r="S86" s="12" t="n">
        <v>0</v>
      </c>
      <c r="T86" s="13" t="n"/>
      <c r="U86" s="13" t="n"/>
      <c r="V86" s="13" t="n">
        <v>0</v>
      </c>
      <c r="W86" s="10" t="n"/>
      <c r="X86" s="10" t="n">
        <v>9.5</v>
      </c>
      <c r="Y86" s="10" t="n">
        <v>8.99</v>
      </c>
      <c r="Z86" s="10" t="n">
        <v>10.75</v>
      </c>
      <c r="AA86" s="11">
        <f>IF(X86&lt;50,IF(Y86&gt;(2.3*X86),0,1),1)-IF(Z86&gt;Y86,1.7,0)</f>
        <v/>
      </c>
      <c r="AB86" s="17" t="n">
        <v>2.15</v>
      </c>
      <c r="AC86" s="11">
        <f>IF(AB86&gt;4,1,0)+AB86/7</f>
        <v/>
      </c>
      <c r="AD86" s="33" t="n">
        <v>117</v>
      </c>
      <c r="AE86" s="33" t="n">
        <v>80</v>
      </c>
      <c r="AF86" s="33" t="n">
        <v>37</v>
      </c>
      <c r="AG86" s="12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11">
        <f>AG86+IF(X86&lt;1.35,0,1)+IF(Y86&lt;1.35,0,1)+AC86+AA86</f>
        <v/>
      </c>
      <c r="AI86" s="11" t="n">
        <v>11</v>
      </c>
      <c r="AJ86" s="11">
        <f>IF(AI86&gt;12.7,IF(AI86&gt;15.8,0.93,0.98),1)</f>
        <v/>
      </c>
      <c r="AK86" s="11">
        <f>(1.2*AG86+AH86)*AJ86*AQ86</f>
        <v/>
      </c>
      <c r="AL86" s="10">
        <f>D86</f>
        <v/>
      </c>
      <c r="AM86" s="14">
        <f>B86</f>
        <v/>
      </c>
      <c r="AN86" s="43" t="n">
        <v>19</v>
      </c>
      <c r="AO86" s="13">
        <f>AN86+1</f>
        <v/>
      </c>
      <c r="AP86" s="13">
        <f>IF(AK86&gt;13.1,IF(Z86&lt;101,IF(Z86&lt;35,IF(Z86&lt;6,3,2),1),0),0)</f>
        <v/>
      </c>
      <c r="AQ86" s="11" t="n">
        <v>1</v>
      </c>
      <c r="AR86" s="11">
        <f>IF(AP86&gt;0,IF(AB86&gt;10,(AB86/Z86),10/Z86),0)</f>
        <v/>
      </c>
      <c r="AS86" s="11" t="n"/>
      <c r="AT86" s="11">
        <f>100*(AK86-AQ86)/AQ86</f>
        <v/>
      </c>
      <c r="AU86" s="35" t="n"/>
      <c r="AV86" s="35" t="n"/>
      <c r="AW86" s="36" t="n"/>
      <c r="AX86" s="36" t="n"/>
      <c r="AY86" s="33" t="n">
        <v>93</v>
      </c>
      <c r="AZ86" s="13" t="n"/>
      <c r="BA86" s="33" t="n">
        <v>74</v>
      </c>
      <c r="BB86" t="n">
        <v>70</v>
      </c>
      <c r="BC86" s="11" t="n">
        <v>67</v>
      </c>
      <c r="BD86" s="11" t="n">
        <v>63</v>
      </c>
      <c r="BE86" s="11" t="n"/>
      <c r="BF86" s="11" t="n"/>
      <c r="BG86" s="11" t="n"/>
      <c r="BH86" s="11" t="n"/>
    </row>
    <row r="87" ht="13.5" customHeight="1">
      <c r="B87" t="inlineStr">
        <is>
          <t>Phytochem Remedies</t>
        </is>
      </c>
      <c r="C87" s="17" t="n">
        <v>2025</v>
      </c>
      <c r="D87" s="17" t="inlineStr">
        <is>
          <t>Neg</t>
        </is>
      </c>
      <c r="E87" t="n">
        <v>18.69</v>
      </c>
      <c r="F87" t="n">
        <v>13.14</v>
      </c>
      <c r="G87" s="11">
        <f>100*(F87-E87)/F87</f>
        <v/>
      </c>
      <c r="H87" t="n">
        <v>44.5</v>
      </c>
      <c r="I87" t="n">
        <v>4.48</v>
      </c>
      <c r="K87" t="n">
        <v>5.68</v>
      </c>
      <c r="M87" t="n">
        <v>8.69</v>
      </c>
      <c r="O87" t="n">
        <v>36.81</v>
      </c>
      <c r="P87" s="11">
        <f>O87/I87</f>
        <v/>
      </c>
      <c r="Q87" t="n">
        <v>28</v>
      </c>
      <c r="R87" s="2" t="n">
        <v>10.67</v>
      </c>
      <c r="S87" s="12" t="n">
        <v>0</v>
      </c>
      <c r="T87" s="13" t="n"/>
      <c r="U87" s="13" t="n"/>
      <c r="V87" s="13" t="n">
        <v>0</v>
      </c>
      <c r="W87" s="10" t="n"/>
      <c r="X87" s="10" t="n">
        <v>0.26</v>
      </c>
      <c r="Y87" s="10" t="n">
        <v>0.47</v>
      </c>
      <c r="Z87" s="10" t="n">
        <v>1</v>
      </c>
      <c r="AA87" s="11">
        <f>IF(X87&lt;50,IF(Y87&gt;(2.3*X87),0,1),1)-IF(Z87&gt;Y87,1.7,0)</f>
        <v/>
      </c>
      <c r="AB87" s="17" t="n"/>
      <c r="AC87" s="11">
        <f>IF(AB87&gt;4,1,0)+AB87/7</f>
        <v/>
      </c>
      <c r="AD87" s="33" t="n">
        <v>94</v>
      </c>
      <c r="AE87" s="33" t="n">
        <v>12</v>
      </c>
      <c r="AF87" s="33" t="n">
        <v>50.23</v>
      </c>
      <c r="AG87" s="12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11">
        <f>AG87+IF(X87&lt;1.35,0,1)+IF(Y87&lt;1.35,0,1)+AC87+AA87</f>
        <v/>
      </c>
      <c r="AI87" s="11" t="n">
        <v>11</v>
      </c>
      <c r="AJ87" s="11">
        <f>IF(AI87&gt;12.7,IF(AI87&gt;15.8,0.93,0.98),1)</f>
        <v/>
      </c>
      <c r="AK87" s="11">
        <f>(1.2*AG87+AH87)*AJ87*AQ87</f>
        <v/>
      </c>
      <c r="AL87" s="10">
        <f>D87</f>
        <v/>
      </c>
      <c r="AM87" s="14">
        <f>B87</f>
        <v/>
      </c>
      <c r="AN87" s="35" t="n">
        <v>22</v>
      </c>
      <c r="AO87" s="13">
        <f>AN87+1</f>
        <v/>
      </c>
      <c r="AP87" s="13">
        <f>IF(AK87&gt;13.1,IF(Z87&lt;101,IF(Z87&lt;35,IF(Z87&lt;6,3,2),1),0),0)</f>
        <v/>
      </c>
      <c r="AQ87" s="11" t="n">
        <v>1</v>
      </c>
      <c r="AR87" s="11">
        <f>IF(AP87&gt;0,IF(AB87&gt;10,(AB87/Z87),10/Z87),0)</f>
        <v/>
      </c>
      <c r="AS87" s="11" t="n"/>
      <c r="AT87" s="11">
        <f>100*(AK87-AQ87)/AQ87</f>
        <v/>
      </c>
      <c r="AU87" s="35" t="inlineStr">
        <is>
          <t>Cancelled</t>
        </is>
      </c>
      <c r="AV87" s="35" t="n"/>
      <c r="AW87" s="36" t="n"/>
      <c r="AX87" s="36" t="n"/>
      <c r="AY87" s="33" t="n"/>
      <c r="AZ87" s="13" t="n"/>
      <c r="BA87" s="33" t="n"/>
      <c r="BB87" s="11" t="n"/>
      <c r="BC87" s="11" t="n"/>
      <c r="BD87" s="11" t="n"/>
      <c r="BE87" s="11" t="n"/>
      <c r="BF87" s="11" t="n"/>
      <c r="BG87" s="11" t="n"/>
      <c r="BH87" s="11" t="n"/>
    </row>
    <row r="88" ht="19.5" customHeight="1">
      <c r="B88" t="inlineStr">
        <is>
          <t>Shyam Dhani Industries</t>
        </is>
      </c>
      <c r="C88" s="17" t="n">
        <v>2025</v>
      </c>
      <c r="D88" s="17" t="inlineStr">
        <is>
          <t>Pos</t>
        </is>
      </c>
      <c r="E88" t="n">
        <v>47.24</v>
      </c>
      <c r="F88" t="n">
        <v>23.61</v>
      </c>
      <c r="G88" s="11">
        <f>100*(F88-E88)/F88</f>
        <v/>
      </c>
      <c r="H88" t="n">
        <v>82.47</v>
      </c>
      <c r="I88" t="n">
        <v>8.039999999999999</v>
      </c>
      <c r="K88" t="n">
        <v>5.31</v>
      </c>
      <c r="M88" t="n">
        <v>14.52</v>
      </c>
      <c r="O88" t="n">
        <v>124.75</v>
      </c>
      <c r="P88" s="11">
        <f>O88/I88</f>
        <v/>
      </c>
      <c r="Q88" t="n">
        <v>13.19</v>
      </c>
      <c r="R88" s="2" t="n">
        <v>24.7</v>
      </c>
      <c r="S88" s="12" t="n">
        <v>0</v>
      </c>
      <c r="T88" s="13" t="n"/>
      <c r="U88" s="13" t="n"/>
      <c r="V88" s="13" t="n">
        <v>1</v>
      </c>
      <c r="W88" s="10" t="n"/>
      <c r="X88" s="10" t="n">
        <v>242</v>
      </c>
      <c r="Y88" s="10" t="n">
        <v>1570</v>
      </c>
      <c r="Z88" s="10" t="n">
        <v>1068</v>
      </c>
      <c r="AA88" s="11">
        <f>IF(X88&lt;50,IF(Y88&gt;(2.3*X88),0,1),1)-IF(Z88&gt;Y88,1.7,0)</f>
        <v/>
      </c>
      <c r="AB88" s="17" t="n">
        <v>100</v>
      </c>
      <c r="AC88" s="11">
        <f>IF(AB88&gt;4,1,0)+AB88/7</f>
        <v/>
      </c>
      <c r="AD88" s="33" t="n">
        <v>28</v>
      </c>
      <c r="AE88" s="33" t="n">
        <v>16</v>
      </c>
      <c r="AF88" s="33" t="n">
        <v>51.67</v>
      </c>
      <c r="AG88" s="12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11">
        <f>AG88+IF(X88&lt;1.35,0,1)+IF(Y88&lt;1.35,0,1)+AC88+AA88</f>
        <v/>
      </c>
      <c r="AI88" s="11" t="n">
        <v>11</v>
      </c>
      <c r="AJ88" s="11">
        <f>IF(AI88&gt;12.7,IF(AI88&gt;15.8,0.93,0.98),1)</f>
        <v/>
      </c>
      <c r="AK88" s="11">
        <f>(1.2*AG88+AH88)*AJ88*AQ88</f>
        <v/>
      </c>
      <c r="AL88" s="10">
        <f>D88</f>
        <v/>
      </c>
      <c r="AM88" s="14">
        <f>B88</f>
        <v/>
      </c>
      <c r="AN88" s="42" t="n">
        <v>24</v>
      </c>
      <c r="AO88" s="13">
        <f>AN88+1</f>
        <v/>
      </c>
      <c r="AP88" s="13">
        <f>IF(AK88&gt;13.1,IF(Z88&lt;101,IF(Z88&lt;35,IF(Z88&lt;6,3,2),1),0),0)</f>
        <v/>
      </c>
      <c r="AQ88" s="11" t="n">
        <v>1</v>
      </c>
      <c r="AR88" s="11">
        <f>IF(AP88&gt;0,IF(AB88&gt;10,(AB88/Z88),10/Z88),0)</f>
        <v/>
      </c>
      <c r="AS88" s="11" t="n"/>
      <c r="AT88" s="11">
        <f>100*(AK88-AQ88)/AQ88</f>
        <v/>
      </c>
      <c r="AU88" s="35" t="n"/>
      <c r="AV88" s="35" t="n"/>
      <c r="AW88" s="36" t="n"/>
      <c r="AX88" s="36" t="n"/>
      <c r="AY88" s="33" t="n">
        <v>70</v>
      </c>
      <c r="AZ88" s="13" t="n">
        <v>138</v>
      </c>
      <c r="BA88" s="33" t="n">
        <v>133</v>
      </c>
      <c r="BB88" s="11" t="n">
        <v>139.65</v>
      </c>
      <c r="BC88" s="11" t="n">
        <v>132.6</v>
      </c>
      <c r="BD88" s="11" t="n">
        <v>130</v>
      </c>
      <c r="BE88" s="11" t="n">
        <v>139</v>
      </c>
      <c r="BF88" s="11" t="n"/>
      <c r="BG88" s="11" t="n"/>
      <c r="BH88" s="11" t="n"/>
    </row>
    <row r="89" ht="12.75" customHeight="1">
      <c r="B89" s="33" t="inlineStr">
        <is>
          <t>Dachepalli Publishers</t>
        </is>
      </c>
      <c r="C89" s="17" t="n">
        <v>2025</v>
      </c>
      <c r="D89" s="17" t="inlineStr">
        <is>
          <t>Neg</t>
        </is>
      </c>
      <c r="E89" s="33" t="n">
        <v>44.11</v>
      </c>
      <c r="F89" s="33" t="n">
        <v>27.32</v>
      </c>
      <c r="G89" s="11">
        <f>100*(F89-E89)/F89</f>
        <v/>
      </c>
      <c r="H89" s="33" t="n">
        <v>104.34</v>
      </c>
      <c r="I89" s="33" t="n">
        <v>7.56</v>
      </c>
      <c r="J89" s="33" t="n"/>
      <c r="K89" s="33" t="n">
        <v>6.86</v>
      </c>
      <c r="L89" s="33" t="n"/>
      <c r="M89" s="33" t="n">
        <v>12.83</v>
      </c>
      <c r="N89" s="33" t="n"/>
      <c r="O89" s="33" t="n">
        <v>64.25</v>
      </c>
      <c r="P89" s="11">
        <f>O89/I89</f>
        <v/>
      </c>
      <c r="Q89" s="33" t="n">
        <v>14.86</v>
      </c>
      <c r="R89" s="34" t="n">
        <v>10.33</v>
      </c>
      <c r="S89" s="12" t="n">
        <v>0</v>
      </c>
      <c r="T89" s="13" t="n"/>
      <c r="U89" s="13" t="n"/>
      <c r="V89" s="13" t="n">
        <v>1</v>
      </c>
      <c r="W89" s="10" t="n"/>
      <c r="X89" s="10" t="n">
        <v>1.3</v>
      </c>
      <c r="Y89" s="10" t="n">
        <v>2.6</v>
      </c>
      <c r="Z89" s="10" t="n">
        <v>1.6</v>
      </c>
      <c r="AA89" s="11">
        <f>IF(X89&lt;50,IF(Y89&gt;(2.3*X89),0,1),1)-IF(Z89&gt;Y89,1.7,0)</f>
        <v/>
      </c>
      <c r="AB89" s="17" t="n">
        <v>3.92</v>
      </c>
      <c r="AC89" s="11">
        <f>IF(AB89&gt;4,1,0)+AB89/7</f>
        <v/>
      </c>
      <c r="AD89" s="33" t="n">
        <v>128</v>
      </c>
      <c r="AE89" s="33" t="n">
        <v>26</v>
      </c>
      <c r="AF89" s="33" t="n">
        <v>31</v>
      </c>
      <c r="AG89" s="12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11">
        <f>AG89+IF(X89&lt;1.35,0,1)+IF(Y89&lt;1.35,0,1)+AC89+AA89</f>
        <v/>
      </c>
      <c r="AI89" s="11" t="n">
        <v>11</v>
      </c>
      <c r="AJ89" s="11">
        <f>IF(AI89&gt;12.7,IF(AI89&gt;15.8,0.93,0.98),1)</f>
        <v/>
      </c>
      <c r="AK89" s="11">
        <f>(1.2*AG89+AH89)*AJ89*AQ89</f>
        <v/>
      </c>
      <c r="AL89" s="10">
        <f>D89</f>
        <v/>
      </c>
      <c r="AM89" s="14">
        <f>B89</f>
        <v/>
      </c>
      <c r="AN89" s="42" t="n">
        <v>24</v>
      </c>
      <c r="AO89" s="13">
        <f>AN89+1</f>
        <v/>
      </c>
      <c r="AP89" s="13">
        <f>IF(AK89&gt;13.1,IF(Z89&lt;101,IF(Z89&lt;35,IF(Z89&lt;6,3,2),1),0),0)</f>
        <v/>
      </c>
      <c r="AQ89" s="11" t="n">
        <v>1</v>
      </c>
      <c r="AR89" s="11">
        <f>IF(AP89&gt;0,IF(AB89&gt;10,(AB89/Z89),10/Z89),0)</f>
        <v/>
      </c>
      <c r="AS89" s="11" t="n"/>
      <c r="AT89" s="11">
        <f>100*(AK89-AQ89)/AQ89</f>
        <v/>
      </c>
      <c r="AU89" s="35" t="n"/>
      <c r="AV89" s="35" t="n"/>
      <c r="AW89" s="36" t="n"/>
      <c r="AX89" s="36" t="n"/>
      <c r="AY89" s="33" t="n"/>
      <c r="AZ89" s="13" t="n"/>
      <c r="BA89" s="33" t="n"/>
      <c r="BB89" s="11" t="n"/>
      <c r="BC89" s="11" t="n"/>
      <c r="BD89" s="11" t="n"/>
      <c r="BE89" s="11" t="n"/>
      <c r="BF89" s="11" t="n"/>
      <c r="BG89" s="11" t="n"/>
      <c r="BH89" s="11" t="n"/>
    </row>
    <row r="90" ht="12.75" customHeight="1">
      <c r="B90" t="inlineStr">
        <is>
          <t>EPW India</t>
        </is>
      </c>
      <c r="C90" s="17" t="n">
        <v>2025</v>
      </c>
      <c r="D90" s="17" t="inlineStr">
        <is>
          <t>Pos</t>
        </is>
      </c>
      <c r="E90" t="n">
        <v>12.25</v>
      </c>
      <c r="F90" t="n">
        <v>5.28</v>
      </c>
      <c r="G90" s="11">
        <f>100*(F90-E90)/F90</f>
        <v/>
      </c>
      <c r="H90" s="33" t="n">
        <v>26.55</v>
      </c>
      <c r="I90" s="33" t="n">
        <v>4.33</v>
      </c>
      <c r="J90" s="33" t="n"/>
      <c r="K90" s="33" t="n">
        <v>5.28</v>
      </c>
      <c r="L90" s="33" t="n"/>
      <c r="M90" s="33" t="n">
        <v>6.21</v>
      </c>
      <c r="N90" s="33" t="n"/>
      <c r="O90" s="33" t="n">
        <v>53.34</v>
      </c>
      <c r="P90" s="11">
        <f>O90/I90</f>
        <v/>
      </c>
      <c r="Q90" s="33" t="n">
        <v>18.36</v>
      </c>
      <c r="R90" s="34" t="n">
        <v>13.51</v>
      </c>
      <c r="S90" s="12" t="n">
        <v>1</v>
      </c>
      <c r="T90" s="13" t="n"/>
      <c r="U90" s="13" t="n"/>
      <c r="V90" s="13" t="n">
        <v>1</v>
      </c>
      <c r="W90" s="10" t="n"/>
      <c r="X90" s="10" t="n">
        <v>1.2</v>
      </c>
      <c r="Y90" s="10" t="n">
        <v>1.5</v>
      </c>
      <c r="Z90" s="10" t="n">
        <v>1.31</v>
      </c>
      <c r="AA90" s="11">
        <f>IF(X90&lt;50,IF(Y90&gt;(2.3*X90),0,1),1)-IF(Z90&gt;Y90,1.7,0)</f>
        <v/>
      </c>
      <c r="AB90" s="33" t="n">
        <v>0</v>
      </c>
      <c r="AC90" s="11">
        <f>IF(AB90&gt;4,1,0)+AB90/7</f>
        <v/>
      </c>
      <c r="AD90" s="33" t="n">
        <v>485</v>
      </c>
      <c r="AE90" s="33" t="n">
        <v>188</v>
      </c>
      <c r="AF90" s="33" t="n">
        <v>456</v>
      </c>
      <c r="AG90" s="12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11">
        <f>AG90+IF(X90&lt;1.35,0,1)+IF(Y90&lt;1.35,0,1)+AC90+AA90</f>
        <v/>
      </c>
      <c r="AI90" s="11" t="n">
        <v>11</v>
      </c>
      <c r="AJ90" s="11">
        <f>IF(AI90&gt;12.7,IF(AI90&gt;15.8,0.93,0.98),1)</f>
        <v/>
      </c>
      <c r="AK90" s="11">
        <f>(1.2*AG90+AH90)*AJ90*AQ90</f>
        <v/>
      </c>
      <c r="AL90" s="10">
        <f>D90</f>
        <v/>
      </c>
      <c r="AM90" s="14">
        <f>B90</f>
        <v/>
      </c>
      <c r="AN90" s="38" t="n">
        <v>24</v>
      </c>
      <c r="AO90" s="13">
        <f>AN90+1</f>
        <v/>
      </c>
      <c r="AP90" s="13">
        <f>IF(AK90&gt;13.1,IF(Z90&lt;101,IF(Z90&lt;35,IF(Z90&lt;6,3,2),1),0),0)</f>
        <v/>
      </c>
      <c r="AQ90" s="11" t="n">
        <v>1</v>
      </c>
      <c r="AR90" s="11">
        <f>IF(AP90&gt;0,IF(AB90&gt;10,(AB90/Z90),10/Z90),0)</f>
        <v/>
      </c>
      <c r="AS90" s="11" t="n"/>
      <c r="AT90" s="11">
        <f>100*(AK90-AQ90)/AQ90</f>
        <v/>
      </c>
      <c r="AU90" s="35" t="n"/>
      <c r="AV90" s="35" t="n"/>
      <c r="AW90" s="36" t="n"/>
      <c r="AX90" s="36" t="n"/>
      <c r="AY90" s="39" t="n">
        <v>97</v>
      </c>
      <c r="AZ90" s="21" t="n">
        <v>99.5</v>
      </c>
      <c r="BA90" s="39" t="n">
        <v>111</v>
      </c>
      <c r="BB90" s="23" t="n">
        <v>116</v>
      </c>
      <c r="BC90" s="23" t="n">
        <v>122</v>
      </c>
      <c r="BD90" s="23" t="n">
        <v>117</v>
      </c>
      <c r="BE90" s="23" t="n">
        <v>130</v>
      </c>
      <c r="BF90" s="11" t="n"/>
      <c r="BG90" s="11" t="n"/>
      <c r="BH90" s="11" t="n"/>
    </row>
    <row r="91" ht="12.75" customHeight="1">
      <c r="B91" s="33" t="inlineStr">
        <is>
          <t>Sundrex Oil</t>
        </is>
      </c>
      <c r="C91" s="17" t="n">
        <v>2025</v>
      </c>
      <c r="D91" s="17" t="inlineStr">
        <is>
          <t>Neg</t>
        </is>
      </c>
      <c r="E91" s="33" t="n">
        <v>17.38</v>
      </c>
      <c r="F91" s="33" t="n">
        <v>15.28</v>
      </c>
      <c r="G91" s="11">
        <f>100*(F91-E91)/F91</f>
        <v/>
      </c>
      <c r="H91" s="33" t="n">
        <v>38.43</v>
      </c>
      <c r="I91" s="33" t="n">
        <v>5.44</v>
      </c>
      <c r="J91" s="33" t="n"/>
      <c r="K91" s="33" t="n">
        <v>8.039999999999999</v>
      </c>
      <c r="L91" s="33" t="n"/>
      <c r="M91" s="33" t="n">
        <v>9.19</v>
      </c>
      <c r="N91" s="33" t="n"/>
      <c r="O91" s="33" t="n">
        <v>69.12</v>
      </c>
      <c r="P91" s="11">
        <f>O91/I91</f>
        <v/>
      </c>
      <c r="Q91" t="n">
        <v>10.69</v>
      </c>
      <c r="R91" s="34" t="n">
        <v>24</v>
      </c>
      <c r="S91" s="12" t="n">
        <v>0</v>
      </c>
      <c r="T91" s="44" t="n"/>
      <c r="U91" s="44" t="n"/>
      <c r="V91" s="44" t="n">
        <v>0</v>
      </c>
      <c r="W91" s="33" t="n"/>
      <c r="X91" s="33" t="n">
        <v>1</v>
      </c>
      <c r="Y91" s="33" t="n">
        <v>1</v>
      </c>
      <c r="Z91" s="33" t="n">
        <v>1.85</v>
      </c>
      <c r="AA91" s="11">
        <f>IF(X91&lt;50,IF(Y91&gt;(2.3*X91),0,1),1)-IF(Z91&gt;Y91,1.7,0)</f>
        <v/>
      </c>
      <c r="AB91" s="33" t="n">
        <v>0</v>
      </c>
      <c r="AC91" s="11">
        <f>IF(AB91&gt;4,1,0)+AB91/7</f>
        <v/>
      </c>
      <c r="AD91" t="n">
        <v>112</v>
      </c>
      <c r="AE91" t="n">
        <v>41</v>
      </c>
      <c r="AF91" t="n">
        <v>286</v>
      </c>
      <c r="AG91" s="12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11">
        <f>AG91+IF(X91&lt;1.35,0,1)+IF(Y91&lt;1.35,0,1)+AC91+AA91</f>
        <v/>
      </c>
      <c r="AI91" s="11" t="n">
        <v>11</v>
      </c>
      <c r="AJ91" s="11">
        <f>IF(AI91&gt;12.7,IF(AI91&gt;15.8,0.93,0.98),1)</f>
        <v/>
      </c>
      <c r="AK91" s="11">
        <f>(1.2*AG91+AH91)*AJ91*AQ91</f>
        <v/>
      </c>
      <c r="AL91" s="10">
        <f>D91</f>
        <v/>
      </c>
      <c r="AM91" s="14">
        <f>B91</f>
        <v/>
      </c>
      <c r="AN91" s="42" t="n">
        <v>24</v>
      </c>
      <c r="AO91" s="13">
        <f>AN91+1</f>
        <v/>
      </c>
      <c r="AP91" s="13">
        <f>IF(AK91&gt;13.1,IF(Z91&lt;101,IF(Z91&lt;35,IF(Z91&lt;6,3,2),1),0),0)</f>
        <v/>
      </c>
      <c r="AQ91" s="11" t="n">
        <v>1</v>
      </c>
      <c r="AR91" s="11">
        <f>IF(AP91&gt;0,IF(AB91&gt;10,(AB91/Z91),10/Z91),0)</f>
        <v/>
      </c>
      <c r="AS91" s="11" t="n"/>
      <c r="AT91" s="11">
        <f>100*(AK91-AQ91)/AQ91</f>
        <v/>
      </c>
      <c r="AU91" s="35" t="n"/>
      <c r="AV91" s="35" t="n"/>
      <c r="AW91" s="36" t="n"/>
      <c r="AX91" s="36" t="n"/>
      <c r="AY91" s="33" t="n"/>
      <c r="AZ91" s="13" t="n"/>
      <c r="BA91" s="33" t="n"/>
      <c r="BB91" s="11" t="n"/>
      <c r="BC91" s="11" t="n"/>
      <c r="BD91" s="11" t="n"/>
      <c r="BE91" s="11" t="n"/>
      <c r="BF91" s="11" t="n"/>
      <c r="BG91" s="11" t="n"/>
      <c r="BH91" s="11" t="n"/>
    </row>
    <row r="92" ht="12.75" customHeight="1">
      <c r="B92" s="45" t="inlineStr">
        <is>
          <t>Admach Systems</t>
        </is>
      </c>
      <c r="C92" s="17" t="n">
        <v>2025</v>
      </c>
      <c r="D92" s="17" t="inlineStr">
        <is>
          <t>Rec</t>
        </is>
      </c>
      <c r="E92" s="45" t="n">
        <v>10.66</v>
      </c>
      <c r="F92" s="45" t="n">
        <v>22.03</v>
      </c>
      <c r="G92" s="11">
        <f>100*(F92-E92)/F92</f>
        <v/>
      </c>
      <c r="H92" s="45" t="n">
        <v>55.9</v>
      </c>
      <c r="I92" s="45" t="n">
        <v>6.1</v>
      </c>
      <c r="J92" s="33" t="n"/>
      <c r="K92" s="45" t="n">
        <v>12.22</v>
      </c>
      <c r="L92" s="33" t="n"/>
      <c r="M92" s="45" t="n">
        <v>10.31</v>
      </c>
      <c r="N92" s="33" t="n"/>
      <c r="O92" s="45" t="n">
        <v>53.52</v>
      </c>
      <c r="P92" s="11">
        <f>O92/I92</f>
        <v/>
      </c>
      <c r="Q92" t="n">
        <v>19.56</v>
      </c>
      <c r="R92" s="2" t="n">
        <v>13.41</v>
      </c>
      <c r="S92" s="12" t="n">
        <v>-1</v>
      </c>
      <c r="T92" s="46" t="n"/>
      <c r="U92" s="46" t="n"/>
      <c r="V92" s="46" t="n">
        <v>1.44</v>
      </c>
      <c r="W92" s="45" t="n">
        <v>1</v>
      </c>
      <c r="X92" s="45" t="n">
        <v>1.44</v>
      </c>
      <c r="Y92" s="45" t="n">
        <v>6.57</v>
      </c>
      <c r="Z92" s="45" t="n">
        <v>3.18</v>
      </c>
      <c r="AA92" s="11">
        <f>IF(X92&lt;50,IF(Y92&gt;(2.3*X92),0,1),1)-IF(Z92&gt;Y92,1.7,0)</f>
        <v/>
      </c>
      <c r="AB92" s="45" t="n">
        <v>2.09</v>
      </c>
      <c r="AC92" s="11">
        <f>IF(AB92&gt;4,1,0)+AB92/7</f>
        <v/>
      </c>
      <c r="AD92" s="33" t="n">
        <v>82</v>
      </c>
      <c r="AE92" s="33" t="n">
        <v>170</v>
      </c>
      <c r="AF92" s="33" t="n">
        <v>284</v>
      </c>
      <c r="AG92" s="12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11">
        <f>AG92+IF(X92&lt;1.35,0,1)+IF(Y92&lt;1.35,0,1)+AC92+AA92</f>
        <v/>
      </c>
      <c r="AI92" s="11" t="n">
        <v>11</v>
      </c>
      <c r="AJ92" s="11">
        <f>IF(AI92&gt;12.7,IF(AI92&gt;15.8,0.93,0.98),1)</f>
        <v/>
      </c>
      <c r="AK92" s="11">
        <f>(1.2*AG92+AH92)*AJ92*AQ92</f>
        <v/>
      </c>
      <c r="AL92" s="10">
        <f>D92</f>
        <v/>
      </c>
      <c r="AM92" s="14">
        <f>B92</f>
        <v/>
      </c>
      <c r="AN92" s="47" t="n">
        <v>26</v>
      </c>
      <c r="AO92" s="13">
        <f>AN92+1</f>
        <v/>
      </c>
      <c r="AP92" s="13">
        <f>IF(AK92&gt;13.1,IF(Z92&lt;101,IF(Z92&lt;35,IF(Z92&lt;6,3,2),1),0),0)</f>
        <v/>
      </c>
      <c r="AQ92" s="11" t="n">
        <v>1</v>
      </c>
      <c r="AR92" s="11">
        <f>IF(AP92&gt;0,IF(AB92&gt;10,(AB92/Z92),10/Z92),0)</f>
        <v/>
      </c>
      <c r="AS92" s="11" t="n"/>
      <c r="AT92" s="11">
        <f>100*(AK92-AQ92)/AQ92</f>
        <v/>
      </c>
      <c r="AU92" s="35" t="n"/>
      <c r="AV92" s="35" t="n"/>
      <c r="AW92" s="36" t="n"/>
      <c r="AX92" s="36" t="n"/>
      <c r="AY92" s="33" t="n">
        <v>239</v>
      </c>
      <c r="AZ92" s="13" t="n">
        <v>250</v>
      </c>
      <c r="BA92" s="33" t="n">
        <v>191</v>
      </c>
      <c r="BB92" s="11" t="n">
        <v>200</v>
      </c>
      <c r="BC92" s="11" t="n">
        <v>211</v>
      </c>
      <c r="BD92" s="11" t="n">
        <v>221</v>
      </c>
      <c r="BE92" s="11" t="n">
        <v>242</v>
      </c>
      <c r="BF92" s="11" t="n"/>
      <c r="BG92" s="11" t="n"/>
      <c r="BH92" s="11" t="n"/>
    </row>
    <row r="93" ht="12.75" customHeight="1">
      <c r="B93" s="45" t="inlineStr">
        <is>
          <t>Nanta Tech</t>
        </is>
      </c>
      <c r="C93" s="17" t="n">
        <v>2025</v>
      </c>
      <c r="D93" s="17" t="inlineStr">
        <is>
          <t>Pos</t>
        </is>
      </c>
      <c r="E93" s="45" t="n">
        <v>0.5</v>
      </c>
      <c r="F93" s="45" t="n">
        <v>14.14</v>
      </c>
      <c r="G93" s="11">
        <f>100*(F93-E93)/F93</f>
        <v/>
      </c>
      <c r="H93" s="45" t="n">
        <v>31.23</v>
      </c>
      <c r="I93" s="45" t="n">
        <v>4.76</v>
      </c>
      <c r="J93" s="45" t="n"/>
      <c r="K93" s="45" t="n">
        <v>12.91</v>
      </c>
      <c r="L93" s="45" t="n"/>
      <c r="M93" s="45" t="n">
        <v>6.48</v>
      </c>
      <c r="N93" s="45" t="n"/>
      <c r="O93" s="45" t="n">
        <v>51.24</v>
      </c>
      <c r="P93" s="11">
        <f>O93/I93</f>
        <v/>
      </c>
      <c r="Q93" s="45" t="n">
        <v>17.03</v>
      </c>
      <c r="R93" s="48" t="n">
        <v>12.85</v>
      </c>
      <c r="S93" s="12" t="n">
        <v>-1</v>
      </c>
      <c r="T93" s="46" t="n"/>
      <c r="U93" s="46" t="n"/>
      <c r="V93" s="46" t="n">
        <v>1</v>
      </c>
      <c r="W93" s="45" t="n">
        <v>0</v>
      </c>
      <c r="X93" s="45" t="n">
        <v>12</v>
      </c>
      <c r="Y93" s="45" t="n">
        <v>4.8</v>
      </c>
      <c r="Z93" s="45" t="n">
        <v>1.71</v>
      </c>
      <c r="AA93" s="11">
        <f>IF(X93&lt;50,IF(Y93&gt;(2.3*X93),0,1),1)-IF(Z93&gt;Y93,1.7,0)</f>
        <v/>
      </c>
      <c r="AB93" s="45" t="n">
        <v>0</v>
      </c>
      <c r="AC93" s="11">
        <f>IF(AB93&gt;4,1,0)+AB93/7</f>
        <v/>
      </c>
      <c r="AD93" s="33" t="n">
        <v>84</v>
      </c>
      <c r="AE93" s="33" t="n">
        <v>93</v>
      </c>
      <c r="AF93" s="33" t="n">
        <v>133</v>
      </c>
      <c r="AG93" s="12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11">
        <f>AG93+IF(X93&lt;1.35,0,1)+IF(Y93&lt;1.35,0,1)+AC93+AA93</f>
        <v/>
      </c>
      <c r="AI93" s="11" t="n">
        <v>11</v>
      </c>
      <c r="AJ93" s="11">
        <f>IF(AI93&gt;12.7,IF(AI93&gt;15.8,0.93,0.98),1)</f>
        <v/>
      </c>
      <c r="AK93" s="11">
        <f>(1.2*AG93+AH93)*AJ93*AQ93</f>
        <v/>
      </c>
      <c r="AL93" s="10">
        <f>D93</f>
        <v/>
      </c>
      <c r="AM93" s="14">
        <f>B93</f>
        <v/>
      </c>
      <c r="AN93" s="38" t="n">
        <v>26</v>
      </c>
      <c r="AO93" s="13">
        <f>AN93+1</f>
        <v/>
      </c>
      <c r="AP93" s="13">
        <f>IF(AK93&gt;13.1,IF(Z93&lt;101,IF(Z93&lt;35,IF(Z93&lt;6,3,2),1),0),0)</f>
        <v/>
      </c>
      <c r="AQ93" s="11" t="n">
        <v>1</v>
      </c>
      <c r="AR93" s="11">
        <f>IF(AP93&gt;0,IF(AB93&gt;10,(AB93/Z93),10/Z93),0)</f>
        <v/>
      </c>
      <c r="AS93" s="11" t="n"/>
      <c r="AT93" s="11">
        <f>100*(AK93-AQ93)/AQ93</f>
        <v/>
      </c>
      <c r="AU93" s="35" t="n"/>
      <c r="AV93" s="35" t="n"/>
      <c r="AW93" s="36" t="n"/>
      <c r="AX93" s="36" t="n"/>
      <c r="AY93" s="39" t="n">
        <v>220</v>
      </c>
      <c r="AZ93" s="21" t="n">
        <v>240</v>
      </c>
      <c r="BA93" s="39" t="n">
        <v>234</v>
      </c>
      <c r="BB93" s="23" t="n">
        <v>245</v>
      </c>
      <c r="BC93" s="23" t="n">
        <v>258</v>
      </c>
      <c r="BD93" s="23" t="n">
        <v>265</v>
      </c>
      <c r="BE93" s="23" t="n"/>
      <c r="BF93" s="11" t="n"/>
      <c r="BG93" s="11" t="n"/>
      <c r="BH93" s="11" t="n"/>
    </row>
    <row r="94" ht="12.75" customHeight="1">
      <c r="B94" t="inlineStr">
        <is>
          <t>Apollo Techno Industries</t>
        </is>
      </c>
      <c r="C94" s="17" t="n">
        <v>2025</v>
      </c>
      <c r="D94" s="17" t="inlineStr">
        <is>
          <t>Pos</t>
        </is>
      </c>
      <c r="E94" t="n">
        <v>31.75</v>
      </c>
      <c r="F94" t="n">
        <v>25.32</v>
      </c>
      <c r="G94" s="11">
        <f>100*(F94-E94)/F94</f>
        <v/>
      </c>
      <c r="H94" t="n">
        <v>76.25</v>
      </c>
      <c r="I94" t="n">
        <v>13.79</v>
      </c>
      <c r="K94" t="n">
        <v>13.79</v>
      </c>
      <c r="M94" t="n">
        <v>18.15</v>
      </c>
      <c r="O94" t="n">
        <v>99.66</v>
      </c>
      <c r="P94" s="11">
        <f>O94/I94</f>
        <v/>
      </c>
      <c r="Q94" t="n">
        <v>9.43</v>
      </c>
      <c r="R94" s="2" t="n">
        <v>14.62</v>
      </c>
      <c r="S94" s="12" t="n">
        <v>0</v>
      </c>
      <c r="T94" s="1" t="n"/>
      <c r="U94" s="1" t="n"/>
      <c r="V94" s="1" t="n">
        <v>1</v>
      </c>
      <c r="W94" t="n">
        <v>1</v>
      </c>
      <c r="X94" t="n">
        <v>18.3</v>
      </c>
      <c r="Y94" t="n">
        <v>77</v>
      </c>
      <c r="Z94" t="n">
        <v>33.4</v>
      </c>
      <c r="AA94" s="11">
        <f>IF(X94&lt;50,IF(Y94&gt;(2.3*X94),0,1),1)-IF(Z94&gt;Y94,1.7,0)</f>
        <v/>
      </c>
      <c r="AB94" t="n">
        <v>4.62</v>
      </c>
      <c r="AC94" s="11">
        <f>IF(AB94&gt;4,1,0)+AB94/7</f>
        <v/>
      </c>
      <c r="AD94" s="33" t="n">
        <v>327</v>
      </c>
      <c r="AE94" s="33" t="n">
        <v>44</v>
      </c>
      <c r="AF94" s="33" t="n">
        <v>118</v>
      </c>
      <c r="AG94" s="12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11">
        <f>AG94+IF(X94&lt;1.35,0,1)+IF(Y94&lt;1.35,0,1)+AC94+AA94</f>
        <v/>
      </c>
      <c r="AI94" s="11" t="n">
        <v>11</v>
      </c>
      <c r="AJ94" s="11">
        <f>IF(AI94&gt;12.7,IF(AI94&gt;15.8,0.93,0.98),1)</f>
        <v/>
      </c>
      <c r="AK94" s="11">
        <f>(1.2*AG94+AH94)*AJ94*AQ94</f>
        <v/>
      </c>
      <c r="AL94" s="10">
        <f>D94</f>
        <v/>
      </c>
      <c r="AM94" s="14">
        <f>B94</f>
        <v/>
      </c>
      <c r="AN94" s="47" t="n">
        <v>26</v>
      </c>
      <c r="AO94" s="13">
        <f>AN94+1</f>
        <v/>
      </c>
      <c r="AP94" s="13">
        <f>IF(AK94&gt;13.1,IF(Z94&lt;101,IF(Z94&lt;35,IF(Z94&lt;6,3,2),1),0),0)</f>
        <v/>
      </c>
      <c r="AQ94" s="11" t="n">
        <v>1</v>
      </c>
      <c r="AR94" s="11">
        <f>IF(AP94&gt;0,IF(AB94&gt;10,(AB94/Z94),10/Z94),0)</f>
        <v/>
      </c>
      <c r="AS94" s="11" t="n"/>
      <c r="AT94" s="11">
        <f>100*(AK94-AQ94)/AQ94</f>
        <v/>
      </c>
      <c r="AU94" s="35" t="n"/>
      <c r="AV94" s="35" t="n"/>
      <c r="AW94" s="36" t="n"/>
      <c r="AX94" s="36" t="n"/>
      <c r="AY94" s="33" t="n"/>
      <c r="AZ94" s="13" t="n"/>
      <c r="BA94" s="33" t="n"/>
      <c r="BB94" s="11" t="n"/>
      <c r="BC94" s="11" t="n"/>
      <c r="BD94" s="11" t="n"/>
      <c r="BE94" s="11" t="n"/>
      <c r="BF94" s="11" t="n"/>
      <c r="BG94" s="11" t="n"/>
      <c r="BH94" s="11" t="n"/>
    </row>
    <row r="95" ht="12.75" customHeight="1">
      <c r="B95" s="49" t="inlineStr">
        <is>
          <t>Bai Kakaji Polymers</t>
        </is>
      </c>
      <c r="C95" s="17" t="n">
        <v>2025</v>
      </c>
      <c r="D95" s="17" t="inlineStr">
        <is>
          <t>Pos</t>
        </is>
      </c>
      <c r="E95" s="49" t="n">
        <v>109</v>
      </c>
      <c r="F95" s="49" t="n">
        <v>53.7</v>
      </c>
      <c r="G95" s="11">
        <f>100*(F95-E95)/F95</f>
        <v/>
      </c>
      <c r="H95" s="49" t="n">
        <v>203</v>
      </c>
      <c r="I95" s="49" t="n">
        <v>18.3</v>
      </c>
      <c r="J95" s="49" t="n"/>
      <c r="K95" s="49" t="n">
        <v>11.66</v>
      </c>
      <c r="M95" s="33" t="n">
        <v>33.51</v>
      </c>
      <c r="N95" s="49" t="n"/>
      <c r="O95" s="49" t="n">
        <v>332.12</v>
      </c>
      <c r="P95" s="11">
        <f>O95/I95</f>
        <v/>
      </c>
      <c r="Q95" s="49" t="n">
        <v>16</v>
      </c>
      <c r="R95" s="50" t="n"/>
      <c r="S95" s="12" t="n">
        <v>0</v>
      </c>
      <c r="T95" s="51" t="n"/>
      <c r="U95" s="51" t="n"/>
      <c r="V95" s="51" t="n">
        <v>1</v>
      </c>
      <c r="W95" s="49" t="n">
        <v>1</v>
      </c>
      <c r="X95" s="49" t="n">
        <v>7.9</v>
      </c>
      <c r="Y95" s="49" t="n">
        <v>5.4</v>
      </c>
      <c r="Z95" s="49" t="n">
        <v>2.39</v>
      </c>
      <c r="AA95" s="11">
        <f>IF(X95&lt;50,IF(Y95&gt;(2.3*X95),0,1),1)-IF(Z95&gt;Y95,1.7,0)</f>
        <v/>
      </c>
      <c r="AB95" s="49" t="n">
        <v>4.84</v>
      </c>
      <c r="AC95" s="11">
        <f>IF(AB95&gt;4,1,0)+AB95/7</f>
        <v/>
      </c>
      <c r="AD95" s="33" t="n">
        <v>100</v>
      </c>
      <c r="AE95" s="33" t="n">
        <v>12.16</v>
      </c>
      <c r="AF95" s="33" t="n">
        <v>55</v>
      </c>
      <c r="AG95" s="12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11">
        <f>AG95+IF(X95&lt;1.35,0,1)+IF(Y95&lt;1.35,0,1)+AC95+AA95</f>
        <v/>
      </c>
      <c r="AI95" s="11" t="n">
        <v>11</v>
      </c>
      <c r="AJ95" s="11">
        <f>IF(AI95&gt;12.7,IF(AI95&gt;15.8,0.93,0.98),1)</f>
        <v/>
      </c>
      <c r="AK95" s="11">
        <f>(1.2*AG95+AH95)*AJ95*AQ95</f>
        <v/>
      </c>
      <c r="AL95" s="10">
        <f>D95</f>
        <v/>
      </c>
      <c r="AM95" s="14">
        <f>B95</f>
        <v/>
      </c>
      <c r="AN95" s="47" t="n">
        <v>26</v>
      </c>
      <c r="AO95" s="13">
        <f>AN95+1</f>
        <v/>
      </c>
      <c r="AP95" s="13">
        <f>IF(AK95&gt;13.1,IF(Z95&lt;101,IF(Z95&lt;35,IF(Z95&lt;6,3,2),1),0),0)</f>
        <v/>
      </c>
      <c r="AQ95" s="11" t="n">
        <v>1</v>
      </c>
      <c r="AR95" s="11">
        <f>IF(AP95&gt;0,IF(AB95&gt;10,(AB95/Z95),10/Z95),0)</f>
        <v/>
      </c>
      <c r="AS95" s="11" t="n"/>
      <c r="AT95" s="11">
        <f>100*(AK95-AQ95)/AQ95</f>
        <v/>
      </c>
      <c r="AU95" s="35" t="n"/>
      <c r="AV95" s="35" t="n"/>
      <c r="AW95" s="36" t="n"/>
      <c r="AX95" s="36" t="n"/>
      <c r="AY95" s="33" t="n"/>
      <c r="AZ95" s="13" t="n"/>
      <c r="BA95" s="33" t="n"/>
      <c r="BB95" s="11" t="n"/>
      <c r="BC95" s="11" t="n"/>
      <c r="BD95" s="11" t="n"/>
      <c r="BE95" s="11" t="n"/>
      <c r="BF95" s="11" t="n"/>
      <c r="BG95" s="11" t="n"/>
      <c r="BH95" s="11" t="n"/>
    </row>
    <row r="96" ht="11.25" customHeight="1">
      <c r="B96" t="inlineStr">
        <is>
          <t>Dhara Rail Projects</t>
        </is>
      </c>
      <c r="C96" s="17" t="n">
        <v>2025</v>
      </c>
      <c r="D96" s="17" t="inlineStr">
        <is>
          <t>Pos</t>
        </is>
      </c>
      <c r="E96" t="n">
        <v>21.29</v>
      </c>
      <c r="F96" t="n">
        <v>12.9</v>
      </c>
      <c r="G96" s="11">
        <f>100*(F96-E96)/F96</f>
        <v/>
      </c>
      <c r="H96" t="n">
        <v>46.24</v>
      </c>
      <c r="I96" t="n">
        <v>6.53</v>
      </c>
      <c r="K96" t="n">
        <v>5.88</v>
      </c>
      <c r="M96" t="n">
        <v>5.28</v>
      </c>
      <c r="O96" t="n">
        <v>48</v>
      </c>
      <c r="P96" s="11">
        <f>O96/I96</f>
        <v/>
      </c>
      <c r="Q96" s="49" t="n">
        <v>21.43</v>
      </c>
      <c r="R96" s="50" t="n">
        <v>26.07</v>
      </c>
      <c r="S96" s="12" t="n">
        <v>-0.5</v>
      </c>
      <c r="T96" s="51" t="n"/>
      <c r="U96" s="51" t="n"/>
      <c r="V96" s="51" t="n">
        <v>1</v>
      </c>
      <c r="W96" s="49" t="n">
        <v>1</v>
      </c>
      <c r="X96" s="49" t="n">
        <v>49.5</v>
      </c>
      <c r="Y96" s="49" t="n">
        <v>158</v>
      </c>
      <c r="Z96" t="n">
        <v>71.5</v>
      </c>
      <c r="AA96" s="11">
        <f>IF(X96&lt;50,IF(Y96&gt;(2.3*X96),0,1),1)-IF(Z96&gt;Y96,1.7,0)</f>
        <v/>
      </c>
      <c r="AB96" t="n">
        <v>11</v>
      </c>
      <c r="AC96" s="11">
        <f>IF(AB96&gt;4,1,0)+AB96/7</f>
        <v/>
      </c>
      <c r="AD96" s="33" t="n">
        <v>110</v>
      </c>
      <c r="AE96" s="33" t="n">
        <v>35</v>
      </c>
      <c r="AF96" s="33" t="n">
        <v>90</v>
      </c>
      <c r="AG96" s="12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11">
        <f>AG96+IF(X96&lt;1.35,0,1)+IF(Y96&lt;1.35,0,1)+AC96+AA96</f>
        <v/>
      </c>
      <c r="AI96" s="11" t="n">
        <v>11</v>
      </c>
      <c r="AJ96" s="11">
        <f>IF(AI96&gt;12.7,IF(AI96&gt;15.8,0.93,0.98),1)</f>
        <v/>
      </c>
      <c r="AK96" s="11">
        <f>(1.2*AG96+AH96)*AJ96*AQ96</f>
        <v/>
      </c>
      <c r="AL96" s="10">
        <f>D96</f>
        <v/>
      </c>
      <c r="AM96" s="14">
        <f>B96</f>
        <v/>
      </c>
      <c r="AN96" s="47" t="n">
        <v>26</v>
      </c>
      <c r="AO96" s="13">
        <f>AN96+1</f>
        <v/>
      </c>
      <c r="AP96" s="13">
        <f>IF(AK96&gt;13.1,IF(Z96&lt;101,IF(Z96&lt;35,IF(Z96&lt;6,3,2),1),0),0)</f>
        <v/>
      </c>
      <c r="AQ96" s="11" t="n">
        <v>1</v>
      </c>
      <c r="AR96" s="11">
        <f>IF(AP96&gt;0,IF(AB96&gt;10,(AB96/Z96),10/Z96),0)</f>
        <v/>
      </c>
      <c r="AS96" s="11" t="n"/>
      <c r="AT96" s="11">
        <f>100*(AK96-AQ96)/AQ96</f>
        <v/>
      </c>
      <c r="AU96" s="35" t="n"/>
      <c r="AV96" s="35" t="n"/>
      <c r="AW96" s="36" t="n"/>
      <c r="AX96" s="36" t="n"/>
      <c r="AY96" s="33" t="n"/>
      <c r="AZ96" s="13" t="n"/>
      <c r="BA96" s="33" t="n"/>
      <c r="BB96" s="11" t="n"/>
      <c r="BC96" s="11" t="n"/>
      <c r="BD96" s="11" t="n"/>
      <c r="BE96" s="11" t="n"/>
      <c r="BF96" s="11" t="n"/>
      <c r="BG96" s="11" t="n"/>
      <c r="BH96" s="11" t="n"/>
    </row>
    <row r="97" ht="17.25" customHeight="1">
      <c r="B97" s="45" t="inlineStr">
        <is>
          <t>E to E Transportation Infrastructure</t>
        </is>
      </c>
      <c r="C97" s="17" t="n">
        <v>2025</v>
      </c>
      <c r="D97" s="17" t="inlineStr">
        <is>
          <t>Pos</t>
        </is>
      </c>
      <c r="E97" s="45" t="n">
        <v>66.18000000000001</v>
      </c>
      <c r="F97" s="45" t="n">
        <v>116.05</v>
      </c>
      <c r="G97" s="11">
        <f>100*(F97-E97)/F97</f>
        <v/>
      </c>
      <c r="H97" s="45" t="n">
        <v>295.44</v>
      </c>
      <c r="I97" s="45" t="n">
        <v>14.37</v>
      </c>
      <c r="J97" s="45" t="n"/>
      <c r="K97" s="45" t="n">
        <v>11.58</v>
      </c>
      <c r="L97" s="45" t="n"/>
      <c r="M97" s="45" t="n">
        <v>26.57</v>
      </c>
      <c r="N97" s="45" t="n"/>
      <c r="O97" s="45" t="n">
        <v>250.81</v>
      </c>
      <c r="P97" s="11">
        <f>O97/I97</f>
        <v/>
      </c>
      <c r="Q97" s="45" t="n">
        <v>27.64</v>
      </c>
      <c r="R97" s="48" t="n">
        <v>10.11</v>
      </c>
      <c r="S97" s="12" t="n">
        <v>0</v>
      </c>
      <c r="T97" s="46" t="n"/>
      <c r="U97" s="46" t="n"/>
      <c r="V97" s="46" t="n">
        <v>1</v>
      </c>
      <c r="W97" s="45" t="n">
        <v>154.9</v>
      </c>
      <c r="X97" s="45" t="n">
        <v>759.6</v>
      </c>
      <c r="Y97" s="45" t="n">
        <v>470</v>
      </c>
      <c r="Z97" s="45" t="n">
        <v>100</v>
      </c>
      <c r="AA97" s="11">
        <f>IF(X97&lt;50,IF(Y97&gt;(2.3*X97),0,1),1)-IF(Z97&gt;Y97,1.7,0)</f>
        <v/>
      </c>
      <c r="AB97" s="45" t="n">
        <v>95</v>
      </c>
      <c r="AC97" s="11">
        <f>IF(AB97&gt;4,1,0)+AB97/7</f>
        <v/>
      </c>
      <c r="AD97" s="33" t="n">
        <v>48</v>
      </c>
      <c r="AE97" s="33" t="n">
        <v>47.37</v>
      </c>
      <c r="AF97" s="33" t="n">
        <v>73.53</v>
      </c>
      <c r="AG97" s="12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11">
        <f>AG97+IF(X97&lt;1.35,0,1)+IF(Y97&lt;1.35,0,1)+AC97+AA97</f>
        <v/>
      </c>
      <c r="AI97" s="11" t="n">
        <v>11</v>
      </c>
      <c r="AJ97" s="11">
        <f>IF(AI97&gt;12.7,IF(AI97&gt;15.8,0.93,0.98),1)</f>
        <v/>
      </c>
      <c r="AK97" s="11">
        <f>(1.2*AG97+AH97)*AJ97*AQ97</f>
        <v/>
      </c>
      <c r="AL97" s="10">
        <f>D97</f>
        <v/>
      </c>
      <c r="AM97" s="14">
        <f>B97</f>
        <v/>
      </c>
      <c r="AN97" s="35" t="n">
        <v>30</v>
      </c>
      <c r="AO97" s="13">
        <f>AN97+1</f>
        <v/>
      </c>
      <c r="AP97" s="13">
        <f>IF(AK97&gt;13.1,IF(Z97&lt;101,IF(Z97&lt;35,IF(Z97&lt;6,3,2),1),0),0)</f>
        <v/>
      </c>
      <c r="AQ97" s="11" t="n">
        <v>1</v>
      </c>
      <c r="AR97" s="11">
        <f>IF(AP97&gt;0,IF(AB97&gt;10,(AB97/Z97),10/Z97),0)</f>
        <v/>
      </c>
      <c r="AS97" s="11" t="n"/>
      <c r="AT97" s="11">
        <f>100*(AK97-AQ97)/AQ97</f>
        <v/>
      </c>
      <c r="AU97" s="35" t="n"/>
      <c r="AV97" s="35" t="n"/>
      <c r="AW97" s="36" t="n"/>
      <c r="AX97" s="36" t="n"/>
      <c r="AY97" s="33" t="n">
        <v>174</v>
      </c>
      <c r="AZ97" s="13" t="n">
        <v>336</v>
      </c>
      <c r="BA97" s="33" t="n">
        <v>331</v>
      </c>
      <c r="BB97" s="11" t="n">
        <v>340</v>
      </c>
      <c r="BC97" s="11" t="n">
        <v>311</v>
      </c>
      <c r="BD97" s="11" t="n">
        <v>296</v>
      </c>
      <c r="BE97" s="11" t="n"/>
      <c r="BF97" s="11" t="n"/>
      <c r="BG97" s="11" t="n"/>
      <c r="BH97" s="11" t="n"/>
    </row>
    <row r="98" ht="11.25" customHeight="1">
      <c r="B98" t="inlineStr">
        <is>
          <t>Modern Diagnostic</t>
        </is>
      </c>
      <c r="C98" s="17" t="n">
        <v>2025</v>
      </c>
      <c r="D98" t="inlineStr">
        <is>
          <t>Pos</t>
        </is>
      </c>
      <c r="E98" t="n">
        <v>22.09</v>
      </c>
      <c r="F98" t="n">
        <v>20.73</v>
      </c>
      <c r="G98" s="11">
        <f>100*(F98-E98)/F98</f>
        <v/>
      </c>
      <c r="H98" t="n">
        <v>64.56</v>
      </c>
      <c r="I98" t="n">
        <v>8.970000000000001</v>
      </c>
      <c r="K98" t="n">
        <v>8.15</v>
      </c>
      <c r="M98" t="n">
        <v>17.96</v>
      </c>
      <c r="O98" t="n">
        <v>78.90000000000001</v>
      </c>
      <c r="P98" s="11">
        <f>O98/I98</f>
        <v/>
      </c>
      <c r="Q98" s="49" t="n">
        <v>11.04</v>
      </c>
      <c r="R98" s="2" t="n">
        <v>12.4</v>
      </c>
      <c r="S98" s="12" t="n">
        <v>0</v>
      </c>
      <c r="T98" s="1" t="n"/>
      <c r="U98" s="1" t="n"/>
      <c r="V98" s="1" t="n">
        <v>1</v>
      </c>
      <c r="X98" t="n">
        <v>9</v>
      </c>
      <c r="Y98" t="n">
        <v>154</v>
      </c>
      <c r="Z98" t="n">
        <v>77</v>
      </c>
      <c r="AA98" s="11">
        <f>IF(X98&lt;50,IF(Y98&gt;(2.3*X98),0,1),1)-IF(Z98&gt;Y98,1.7,0)</f>
        <v/>
      </c>
      <c r="AB98" t="n">
        <v>15</v>
      </c>
      <c r="AC98" s="11">
        <f>IF(AB98&gt;4,1,0)+AB98/7</f>
        <v/>
      </c>
      <c r="AD98" s="33" t="n">
        <v>60</v>
      </c>
      <c r="AE98" s="33" t="n">
        <v>14</v>
      </c>
      <c r="AF98" s="33" t="n">
        <v>90</v>
      </c>
      <c r="AG98" s="12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11">
        <f>AG98+IF(X98&lt;1.35,0,1)+IF(Y98&lt;1.35,0,1)+AC98+AA98</f>
        <v/>
      </c>
      <c r="AI98" s="11" t="n">
        <v>11</v>
      </c>
      <c r="AJ98" s="11">
        <f>IF(AI98&gt;12.7,IF(AI98&gt;15.8,0.93,0.98),1)</f>
        <v/>
      </c>
      <c r="AK98" s="11">
        <f>(1.2*AG98+AH98)*AJ98*AQ98</f>
        <v/>
      </c>
      <c r="AL98" s="10">
        <f>D98</f>
        <v/>
      </c>
      <c r="AM98" s="14">
        <f>B98</f>
        <v/>
      </c>
      <c r="AN98" s="52" t="n">
        <v>2</v>
      </c>
      <c r="AO98" s="13">
        <f>AN98+1</f>
        <v/>
      </c>
      <c r="AP98" s="13">
        <f>IF(AK98&gt;13.1,IF(Z98&lt;101,IF(Z98&lt;35,IF(Z98&lt;6,3,2),1),0),0)</f>
        <v/>
      </c>
      <c r="AQ98" s="11" t="n">
        <v>1</v>
      </c>
      <c r="AR98" s="11">
        <f>IF(AP98&gt;0,IF(AB98&gt;10,(AB98/Z98),10/Z98),0)</f>
        <v/>
      </c>
      <c r="AS98" s="53" t="inlineStr">
        <is>
          <t>Jan</t>
        </is>
      </c>
      <c r="AT98" s="11">
        <f>100*(AK98-AQ98)/AQ98</f>
        <v/>
      </c>
      <c r="AU98" s="33" t="n"/>
      <c r="AY98" s="33" t="n">
        <v>90</v>
      </c>
      <c r="AZ98" s="13" t="n">
        <v>104</v>
      </c>
      <c r="BA98" s="33" t="n">
        <v>99.5</v>
      </c>
      <c r="BB98" s="33" t="n">
        <v>98</v>
      </c>
      <c r="BC98" s="33" t="n">
        <v>94</v>
      </c>
      <c r="BD98" s="33" t="n">
        <v>95</v>
      </c>
      <c r="BE98" s="33" t="n">
        <v>98</v>
      </c>
      <c r="BF98" s="33" t="n"/>
      <c r="BG98" s="33" t="n"/>
      <c r="BH98" s="33" t="n"/>
    </row>
    <row r="99" ht="17.25" customHeight="1">
      <c r="A99" t="inlineStr">
        <is>
          <t>https://www.chittorgarh.com/ipo/gabion-technologies-india-ipo/2277/</t>
        </is>
      </c>
      <c r="B99" t="inlineStr">
        <is>
          <t xml:space="preserve">Gabion Technologies </t>
        </is>
      </c>
      <c r="C99" t="inlineStr">
        <is>
          <t>2026</t>
        </is>
      </c>
      <c r="D99" s="17" t="inlineStr">
        <is>
          <t>Pos</t>
        </is>
      </c>
      <c r="E99" t="n">
        <v>46.71</v>
      </c>
      <c r="F99" t="n">
        <v>22.03</v>
      </c>
      <c r="G99" s="11">
        <f>100*(F99-E99)/F99</f>
        <v/>
      </c>
      <c r="H99" t="n">
        <v>87.52</v>
      </c>
      <c r="I99" t="n">
        <v>6.63</v>
      </c>
      <c r="J99" t="n">
        <v>6.6</v>
      </c>
      <c r="K99" t="n">
        <v>6.65</v>
      </c>
      <c r="L99" t="n">
        <v>0</v>
      </c>
      <c r="M99" t="n">
        <v>15.06</v>
      </c>
      <c r="N99" t="n">
        <v>14.89</v>
      </c>
      <c r="O99" t="n">
        <v>101.17</v>
      </c>
      <c r="P99" s="11">
        <f>O99/I99</f>
        <v/>
      </c>
      <c r="Q99" t="n">
        <v>12.18</v>
      </c>
      <c r="R99" s="2" t="n">
        <v>17.04</v>
      </c>
      <c r="S99" s="12" t="n">
        <v>-1</v>
      </c>
      <c r="T99" t="n">
        <v>29.16</v>
      </c>
      <c r="U99" t="n">
        <v>0</v>
      </c>
      <c r="V99" t="n">
        <v>1</v>
      </c>
      <c r="W99" t="n">
        <v>1</v>
      </c>
      <c r="X99" t="n">
        <v>271.13</v>
      </c>
      <c r="Y99" t="n">
        <v>1467.78</v>
      </c>
      <c r="Z99" t="n">
        <v>867.23</v>
      </c>
      <c r="AA99" s="11">
        <f>IF(X99&lt;50,IF(Y99&gt;(2.3*X99),0,1),1)-IF(Z99&gt;Y99,1.7,0)</f>
        <v/>
      </c>
      <c r="AB99" t="n">
        <v>38</v>
      </c>
      <c r="AC99" s="11">
        <f>IF(AB99&gt;4,1,0)+AB99/7</f>
        <v/>
      </c>
      <c r="AD99" t="n">
        <v>13.92</v>
      </c>
      <c r="AE99" t="n">
        <v>-3.62</v>
      </c>
      <c r="AF99" t="n">
        <v>42.96</v>
      </c>
      <c r="AG99" s="12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11">
        <f>AG99+IF(X99&lt;1.35,0,1)+IF(Y99&lt;1.35,0,1)+AC99+AA99</f>
        <v/>
      </c>
      <c r="AI99" s="11" t="n">
        <v>11</v>
      </c>
      <c r="AJ99" s="11">
        <f>IF(AI99&gt;12.7,IF(AI99&gt;15.8,0.93,0.98),1)</f>
        <v/>
      </c>
      <c r="AK99" s="11">
        <f>(1.2*AG99+AH99)*AJ99*AQ99</f>
        <v/>
      </c>
      <c r="AL99" s="10">
        <f>D99</f>
        <v/>
      </c>
      <c r="AM99" s="14">
        <f>B99</f>
        <v/>
      </c>
      <c r="AN99" s="54" t="n">
        <v>8</v>
      </c>
      <c r="AO99" s="13">
        <f>AN99+1</f>
        <v/>
      </c>
      <c r="AP99" s="13">
        <f>IF(AK99&gt;13.1,IF(Z99&lt;101,IF(Z99&lt;35,IF(Z99&lt;6,3,2),1),0),0)</f>
        <v/>
      </c>
      <c r="AQ99" s="11" t="n">
        <v>1</v>
      </c>
      <c r="AR99" s="11">
        <f>IF(AP99&gt;0,IF(AB99&gt;10,(AB99/Z99),10/Z99),0)</f>
        <v/>
      </c>
      <c r="AS99" s="11" t="n"/>
      <c r="AT99" s="11">
        <f>100*(AK99-AQ99)/AQ99</f>
        <v/>
      </c>
      <c r="AZ99" s="13" t="n"/>
    </row>
    <row r="100" ht="12.75" customHeight="1">
      <c r="A100" t="inlineStr">
        <is>
          <t>https://www.chittorgarh.com/ipo/victory-electric-vehicles-ipo/2315/</t>
        </is>
      </c>
      <c r="B100" t="inlineStr">
        <is>
          <t>Victory Electric Veh</t>
        </is>
      </c>
      <c r="C100" t="inlineStr">
        <is>
          <t>2026</t>
        </is>
      </c>
      <c r="D100" s="17" t="inlineStr">
        <is>
          <t>Neg</t>
        </is>
      </c>
      <c r="E100" t="n">
        <v>9.289999999999999</v>
      </c>
      <c r="F100" t="n">
        <v>14.87</v>
      </c>
      <c r="G100" s="11">
        <f>100*(F100-E100)/F100</f>
        <v/>
      </c>
      <c r="H100" t="n">
        <v>31.29</v>
      </c>
      <c r="I100" t="n">
        <v>5.17</v>
      </c>
      <c r="J100" t="n">
        <v>10.17</v>
      </c>
      <c r="K100" t="n">
        <v>3.3</v>
      </c>
      <c r="L100" t="n">
        <v>42.1</v>
      </c>
      <c r="M100" t="n">
        <v>7.79</v>
      </c>
      <c r="N100" t="n">
        <v>15.32</v>
      </c>
      <c r="O100" t="n">
        <v>51.06</v>
      </c>
      <c r="P100" s="11">
        <f>O100/I100</f>
        <v/>
      </c>
      <c r="Q100" t="n">
        <v>12.41</v>
      </c>
      <c r="R100" s="2" t="n">
        <v>5.9</v>
      </c>
      <c r="S100" s="12" t="n">
        <v>-1</v>
      </c>
      <c r="T100" t="n">
        <v>34.56</v>
      </c>
      <c r="U100" t="n">
        <v>0</v>
      </c>
      <c r="V100" t="n">
        <v>0</v>
      </c>
      <c r="W100" t="n">
        <v>0</v>
      </c>
      <c r="X100" t="n">
        <v>0.91</v>
      </c>
      <c r="Y100" t="n">
        <v>0.91</v>
      </c>
      <c r="Z100" t="n">
        <v>0.99</v>
      </c>
      <c r="AA100" s="11">
        <f>IF(X100&lt;50,IF(Y100&gt;(2.3*X100),0,1),1)-IF(Z100&gt;Y100,1.7,0)</f>
        <v/>
      </c>
      <c r="AB100" t="n">
        <v>0</v>
      </c>
      <c r="AC100" s="11">
        <f>IF(AB100&gt;4,1,0)+AB100/7</f>
        <v/>
      </c>
      <c r="AD100" t="n">
        <v>5.73</v>
      </c>
      <c r="AE100" t="n">
        <v>4.72</v>
      </c>
      <c r="AF100" t="n">
        <v>53.3</v>
      </c>
      <c r="AG100" s="12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11">
        <f>AG100+IF(X100&lt;1.35,0,1)+IF(Y100&lt;1.35,0,1)+AC100+AA100</f>
        <v/>
      </c>
      <c r="AI100" s="11" t="n">
        <v>11</v>
      </c>
      <c r="AJ100" s="11">
        <f>IF(AI100&gt;12.7,IF(AI100&gt;15.8,0.93,0.98),1)</f>
        <v/>
      </c>
      <c r="AK100" s="11">
        <f>(1.2*AG100+AH100)*AJ100*AQ100</f>
        <v/>
      </c>
      <c r="AL100" s="10">
        <f>D100</f>
        <v/>
      </c>
      <c r="AM100" s="14">
        <f>B100</f>
        <v/>
      </c>
      <c r="AN100" s="54" t="n">
        <v>9</v>
      </c>
      <c r="AO100" s="13">
        <f>AN100+1</f>
        <v/>
      </c>
      <c r="AP100" s="13">
        <f>IF(AK100&gt;13.1,IF(Z100&lt;101,IF(Z100&lt;35,IF(Z100&lt;6,3,2),1),0),0)</f>
        <v/>
      </c>
      <c r="AQ100" s="11" t="n">
        <v>1</v>
      </c>
      <c r="AR100" s="11">
        <f>IF(AP100&gt;0,IF(AB100&gt;10,(AB100/Z100),10/Z100),0)</f>
        <v/>
      </c>
      <c r="AS100" s="11" t="n"/>
      <c r="AT100" s="11">
        <f>100*(AK100-AQ100)/AQ100</f>
        <v/>
      </c>
      <c r="AZ100" s="13" t="n"/>
    </row>
    <row r="101" ht="12.75" customHeight="1">
      <c r="A101" t="inlineStr">
        <is>
          <t>https://www.chittorgarh.com/ipo/yajur-fibres-ipo/2128/</t>
        </is>
      </c>
      <c r="B101" t="inlineStr">
        <is>
          <t>Yajur Fibres Date, P</t>
        </is>
      </c>
      <c r="C101" t="inlineStr">
        <is>
          <t>2026</t>
        </is>
      </c>
      <c r="D101" s="17" t="inlineStr">
        <is>
          <t>Neg</t>
        </is>
      </c>
      <c r="E101" t="n">
        <v>66.18000000000001</v>
      </c>
      <c r="F101" t="n">
        <v>42.32</v>
      </c>
      <c r="G101" s="11">
        <f>100*(F101-E101)/F101</f>
        <v/>
      </c>
      <c r="H101" t="n">
        <v>140.73</v>
      </c>
      <c r="I101" t="n">
        <v>11.68</v>
      </c>
      <c r="J101" t="n">
        <v>8.289999999999999</v>
      </c>
      <c r="K101" t="n">
        <v>7.41</v>
      </c>
      <c r="L101" t="n">
        <v>26.92</v>
      </c>
      <c r="M101" t="n">
        <v>18.85</v>
      </c>
      <c r="N101" t="n">
        <v>13.39</v>
      </c>
      <c r="O101" t="n">
        <v>141.99</v>
      </c>
      <c r="P101" s="11">
        <f>O101/I101</f>
        <v/>
      </c>
      <c r="Q101" t="n">
        <v>23.49</v>
      </c>
      <c r="R101" s="2" t="n">
        <v>17.9</v>
      </c>
      <c r="S101" s="12" t="n">
        <v>-1</v>
      </c>
      <c r="T101" t="n">
        <v>120.41</v>
      </c>
      <c r="U101" t="n">
        <v>0</v>
      </c>
      <c r="V101" t="n">
        <v>0</v>
      </c>
      <c r="W101" t="n">
        <v>1</v>
      </c>
      <c r="X101" t="n">
        <v>1.03</v>
      </c>
      <c r="Y101" t="n">
        <v>0.91</v>
      </c>
      <c r="Z101" t="n">
        <v>1.51</v>
      </c>
      <c r="AA101" s="11">
        <f>IF(X101&lt;50,IF(Y101&gt;(2.3*X101),0,1),1)-IF(Z101&gt;Y101,1.7,0)</f>
        <v/>
      </c>
      <c r="AB101" t="n">
        <v>0</v>
      </c>
      <c r="AC101" s="11">
        <f>IF(AB101&gt;4,1,0)+AB101/7</f>
        <v/>
      </c>
      <c r="AD101" t="n">
        <v>173.54</v>
      </c>
      <c r="AE101" t="n">
        <v>67.34</v>
      </c>
      <c r="AF101" t="n">
        <v>37.99</v>
      </c>
      <c r="AG101" s="12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11">
        <f>AG101+IF(X101&lt;1.35,0,1)+IF(Y101&lt;1.35,0,1)+AC101+AA101</f>
        <v/>
      </c>
      <c r="AI101" s="11" t="n">
        <v>11</v>
      </c>
      <c r="AJ101" s="11">
        <f>IF(AI101&gt;12.7,IF(AI101&gt;15.8,0.93,0.98),1)</f>
        <v/>
      </c>
      <c r="AK101" s="11">
        <f>(1.2*AG101+AH101)*AJ101*AQ101</f>
        <v/>
      </c>
      <c r="AL101" s="10">
        <f>D101</f>
        <v/>
      </c>
      <c r="AM101" s="14">
        <f>B101</f>
        <v/>
      </c>
      <c r="AN101" s="54" t="n">
        <v>9</v>
      </c>
      <c r="AO101" s="13">
        <f>AN101+1</f>
        <v/>
      </c>
      <c r="AP101" s="13">
        <f>IF(AK101&gt;13.1,IF(Z101&lt;101,IF(Z101&lt;35,IF(Z101&lt;6,3,2),1),0),0)</f>
        <v/>
      </c>
      <c r="AQ101" s="11" t="n">
        <v>1</v>
      </c>
      <c r="AR101" s="11">
        <f>IF(AP101&gt;0,IF(AB101&gt;10,(AB101/Z101),10/Z101),0)</f>
        <v/>
      </c>
      <c r="AS101" s="11" t="n"/>
      <c r="AT101" s="11">
        <f>100*(AK101-AQ101)/AQ101</f>
        <v/>
      </c>
      <c r="AZ101" s="13" t="n"/>
    </row>
    <row r="102" ht="11.25" customHeight="1">
      <c r="A102" t="inlineStr">
        <is>
          <t>https://www.chittorgarh.com/ipo/defrail-technologies-ipo/2693/</t>
        </is>
      </c>
      <c r="B102" t="inlineStr">
        <is>
          <t>Defrail Technologies</t>
        </is>
      </c>
      <c r="C102" t="n">
        <v>2026</v>
      </c>
      <c r="D102" s="17" t="inlineStr">
        <is>
          <t>Pos</t>
        </is>
      </c>
      <c r="E102" t="n">
        <v>11.56</v>
      </c>
      <c r="F102" t="n">
        <v>9.119999999999999</v>
      </c>
      <c r="G102" s="11">
        <f>100*(F102-E102)/F102</f>
        <v/>
      </c>
      <c r="H102" t="n">
        <v>33.91</v>
      </c>
      <c r="I102" t="n">
        <v>3.42</v>
      </c>
      <c r="J102" t="n">
        <v>3.85</v>
      </c>
      <c r="K102" t="n">
        <v>6.62</v>
      </c>
      <c r="L102" t="n">
        <v>11.44</v>
      </c>
      <c r="M102" t="n">
        <v>5.78</v>
      </c>
      <c r="N102" t="n">
        <v>8.800000000000001</v>
      </c>
      <c r="O102" t="n">
        <v>62.22</v>
      </c>
      <c r="P102" s="11">
        <f>O102/I102</f>
        <v/>
      </c>
      <c r="Q102" t="n">
        <v>11.18</v>
      </c>
      <c r="R102" s="2" t="n">
        <v>16.53</v>
      </c>
      <c r="S102" s="12" t="n">
        <v>-1</v>
      </c>
      <c r="T102" t="n">
        <v>13.77</v>
      </c>
      <c r="U102" t="n">
        <v>0</v>
      </c>
      <c r="V102" t="n">
        <v>1</v>
      </c>
      <c r="W102" t="n">
        <v>1</v>
      </c>
      <c r="X102" t="n">
        <v>89.56999999999999</v>
      </c>
      <c r="Y102" t="n">
        <v>159.49</v>
      </c>
      <c r="Z102" t="n">
        <v>93.78</v>
      </c>
      <c r="AA102" s="11">
        <f>IF(X102&lt;50,IF(Y102&gt;(2.3*X102),0,1),1)-IF(Z102&gt;Y102,1.7,0)</f>
        <v/>
      </c>
      <c r="AB102" t="n">
        <v>10.81</v>
      </c>
      <c r="AC102" s="11">
        <f>IF(AB102&gt;4,1,0)+AB102/7</f>
        <v/>
      </c>
      <c r="AD102" t="n">
        <v>3009.09</v>
      </c>
      <c r="AE102" t="n">
        <v>8541.67</v>
      </c>
      <c r="AF102" t="n">
        <v>5600</v>
      </c>
      <c r="AG102" s="12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11">
        <f>AG102+IF(X102&lt;1.35,0,1)+IF(Y102&lt;1.35,0,1)+AC102+AA102</f>
        <v/>
      </c>
      <c r="AI102" s="11" t="n">
        <v>11</v>
      </c>
      <c r="AJ102" s="11">
        <f>IF(AI102&gt;12.7,IF(AI102&gt;15.8,0.93,0.98),1)</f>
        <v/>
      </c>
      <c r="AK102" s="11">
        <f>(1.2*AG102+AH102)*AJ102*AQ102</f>
        <v/>
      </c>
      <c r="AL102" s="10">
        <f>D102</f>
        <v/>
      </c>
      <c r="AM102" s="14">
        <f>B102</f>
        <v/>
      </c>
      <c r="AN102" s="54" t="n">
        <v>13</v>
      </c>
      <c r="AO102" s="13">
        <f>AN102+1</f>
        <v/>
      </c>
      <c r="AP102" s="13">
        <f>IF(AK102&gt;13.1,IF(Z102&lt;101,IF(Z102&lt;35,IF(Z102&lt;6,3,2),1),0),0)</f>
        <v/>
      </c>
      <c r="AQ102" s="11" t="n">
        <v>1</v>
      </c>
      <c r="AR102" s="11">
        <f>IF(AP102&gt;0,IF(AB102&gt;10,(AB102/Z102),10/Z102),0)</f>
        <v/>
      </c>
      <c r="AS102" s="11" t="n"/>
      <c r="AT102" s="11">
        <f>100*(AK102-AQ102)/AQ102</f>
        <v/>
      </c>
      <c r="AZ102" s="13" t="n"/>
    </row>
    <row r="103" ht="15" customHeight="1">
      <c r="A103" t="inlineStr">
        <is>
          <t>https://www.chittorgarh.com/ipo/avana-electrosystems-ipo/2635/</t>
        </is>
      </c>
      <c r="B103" t="inlineStr">
        <is>
          <t>Avana Electrosystems</t>
        </is>
      </c>
      <c r="C103" t="inlineStr">
        <is>
          <t>2026</t>
        </is>
      </c>
      <c r="D103" s="17" t="inlineStr">
        <is>
          <t>Pos</t>
        </is>
      </c>
      <c r="E103" t="n">
        <v>5.69</v>
      </c>
      <c r="F103" t="n">
        <v>21.8</v>
      </c>
      <c r="G103" s="11">
        <f>100*(F103-E103)/F103</f>
        <v/>
      </c>
      <c r="H103" t="n">
        <v>49.42</v>
      </c>
      <c r="I103" t="n">
        <v>8.31</v>
      </c>
      <c r="J103" t="n">
        <v>15.69</v>
      </c>
      <c r="K103" t="n">
        <v>4.76</v>
      </c>
      <c r="L103" t="n">
        <v>22.79</v>
      </c>
      <c r="M103" t="n">
        <v>12.52</v>
      </c>
      <c r="N103" t="n">
        <v>21.33</v>
      </c>
      <c r="O103" t="n">
        <v>62.93</v>
      </c>
      <c r="P103" s="11">
        <f>O103/I103</f>
        <v/>
      </c>
      <c r="Q103" t="n">
        <v>12.4</v>
      </c>
      <c r="R103" s="2" t="n">
        <v>16.97</v>
      </c>
      <c r="S103" s="12" t="n">
        <v>1</v>
      </c>
      <c r="T103" t="n">
        <v>35.22</v>
      </c>
      <c r="U103" t="n">
        <v>0</v>
      </c>
      <c r="V103" t="n">
        <v>1</v>
      </c>
      <c r="W103" t="n">
        <v>1</v>
      </c>
      <c r="X103" t="n">
        <v>54.97</v>
      </c>
      <c r="Y103" t="n">
        <v>219.02</v>
      </c>
      <c r="Z103" t="n">
        <v>137.52</v>
      </c>
      <c r="AA103" s="11">
        <f>IF(X103&lt;50,IF(Y103&gt;(2.3*X103),0,1),1)-IF(Z103&gt;Y103,1.7,0)</f>
        <v/>
      </c>
      <c r="AB103" t="n">
        <v>18.64</v>
      </c>
      <c r="AC103" s="11">
        <f>IF(AB103&gt;4,1,0)+AB103/7</f>
        <v/>
      </c>
      <c r="AD103" t="n">
        <v>106.72</v>
      </c>
      <c r="AE103" t="n">
        <v>18.16</v>
      </c>
      <c r="AF103" t="n">
        <v>61.6</v>
      </c>
      <c r="AG103" s="12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11">
        <f>AG103+IF(X103&lt;1.35,0,1)+IF(Y103&lt;1.35,0,1)+AC103+AA103</f>
        <v/>
      </c>
      <c r="AI103" s="11" t="n">
        <v>11</v>
      </c>
      <c r="AJ103" s="11">
        <f>IF(AI103&gt;12.7,IF(AI103&gt;15.8,0.93,0.98),1)</f>
        <v/>
      </c>
      <c r="AK103" s="11">
        <f>(1.2*AG103+AH103)*AJ103*AQ103</f>
        <v/>
      </c>
      <c r="AL103" s="10">
        <f>D103</f>
        <v/>
      </c>
      <c r="AM103" s="14">
        <f>B103</f>
        <v/>
      </c>
      <c r="AN103" s="54" t="n">
        <v>14</v>
      </c>
      <c r="AO103" s="13">
        <f>AN103+1</f>
        <v/>
      </c>
      <c r="AP103" s="13">
        <f>IF(AK103&gt;13.1,IF(Z103&lt;101,IF(Z103&lt;35,IF(Z103&lt;6,3,2),1),0),0)</f>
        <v/>
      </c>
      <c r="AQ103" s="11" t="n">
        <v>1</v>
      </c>
      <c r="AR103" s="11">
        <f>IF(AP103&gt;0,IF(AB103&gt;10,(AB103/Z103),10/Z103),0)</f>
        <v/>
      </c>
      <c r="AS103" s="11" t="n"/>
      <c r="AT103" s="11">
        <f>100*(AK103-AQ103)/AQ103</f>
        <v/>
      </c>
      <c r="AZ103" s="13" t="n"/>
    </row>
    <row r="104" ht="12.75" customHeight="1">
      <c r="A104" t="inlineStr">
        <is>
          <t>https://www.chittorgarh.com/ipo/narmadesh-brass-industries-ipo/2580/</t>
        </is>
      </c>
      <c r="B104" t="inlineStr">
        <is>
          <t>Narmadesh Brass Indu</t>
        </is>
      </c>
      <c r="C104" t="inlineStr">
        <is>
          <t>2026</t>
        </is>
      </c>
      <c r="D104" s="17" t="inlineStr">
        <is>
          <t>NEg</t>
        </is>
      </c>
      <c r="E104" t="n">
        <v>24.73</v>
      </c>
      <c r="F104" t="n">
        <v>11.45</v>
      </c>
      <c r="G104" s="11">
        <f>100*(F104-E104)/F104</f>
        <v/>
      </c>
      <c r="H104" t="n">
        <v>59.66</v>
      </c>
      <c r="I104" t="n">
        <v>5.72</v>
      </c>
      <c r="J104" t="n">
        <v>11.74</v>
      </c>
      <c r="K104" t="n">
        <v>26.23</v>
      </c>
      <c r="L104" t="n">
        <v>17.86</v>
      </c>
      <c r="M104" t="n">
        <v>9.34</v>
      </c>
      <c r="N104" t="n">
        <v>18.26</v>
      </c>
      <c r="O104" t="n">
        <v>88.05</v>
      </c>
      <c r="P104" s="11">
        <f>O104/I104</f>
        <v/>
      </c>
      <c r="Q104" t="n">
        <v>19.63</v>
      </c>
      <c r="R104" s="2" t="n">
        <v>28</v>
      </c>
      <c r="S104" s="12" t="n">
        <v>-1</v>
      </c>
      <c r="T104" t="n">
        <v>44.87</v>
      </c>
      <c r="U104" t="n">
        <v>0</v>
      </c>
      <c r="V104" t="n">
        <v>0</v>
      </c>
      <c r="W104" t="n">
        <v>0</v>
      </c>
      <c r="X104" t="n">
        <v>1.92</v>
      </c>
      <c r="Y104" t="n">
        <v>1.92</v>
      </c>
      <c r="Z104" t="n">
        <v>0.44</v>
      </c>
      <c r="AA104" s="11">
        <f>IF(X104&lt;50,IF(Y104&gt;(2.3*X104),0,1),1)-IF(Z104&gt;Y104,1.7,0)</f>
        <v/>
      </c>
      <c r="AB104" t="n">
        <v>0</v>
      </c>
      <c r="AC104" s="11">
        <f>IF(AB104&gt;4,1,0)+AB104/7</f>
        <v/>
      </c>
      <c r="AD104" t="n">
        <v>-19.44</v>
      </c>
      <c r="AE104" t="n">
        <v>11.37</v>
      </c>
      <c r="AF104" t="n">
        <v>99.83</v>
      </c>
      <c r="AG104" s="12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11">
        <f>AG104+IF(X104&lt;1.35,0,1)+IF(Y104&lt;1.35,0,1)+AC104+AA104</f>
        <v/>
      </c>
      <c r="AI104" s="11" t="n">
        <v>11</v>
      </c>
      <c r="AJ104" s="11">
        <f>IF(AI104&gt;12.7,IF(AI104&gt;15.8,0.93,0.98),1)</f>
        <v/>
      </c>
      <c r="AK104" s="11">
        <f>(1.2*AG104+AH104)*AJ104*AQ104</f>
        <v/>
      </c>
      <c r="AL104" s="10">
        <f>D104</f>
        <v/>
      </c>
      <c r="AM104" s="14">
        <f>B104</f>
        <v/>
      </c>
      <c r="AN104" s="54" t="n">
        <v>16</v>
      </c>
      <c r="AO104" s="13">
        <f>AN104+1</f>
        <v/>
      </c>
      <c r="AP104" s="13">
        <f>IF(AK104&gt;13.1,IF(Z104&lt;101,IF(Z104&lt;35,IF(Z104&lt;6,3,2),1),0),0)</f>
        <v/>
      </c>
      <c r="AQ104" s="11" t="n">
        <v>1</v>
      </c>
      <c r="AR104" s="11">
        <f>IF(AP104&gt;0,IF(AB104&gt;10,(AB104/Z104),10/Z104),0)</f>
        <v/>
      </c>
      <c r="AS104" s="11" t="n"/>
      <c r="AT104" s="11">
        <f>100*(AK104-AQ104)/AQ104</f>
        <v/>
      </c>
      <c r="AZ104" s="13" t="n"/>
    </row>
    <row r="105" ht="14.25" customHeight="1">
      <c r="A105" t="inlineStr">
        <is>
          <t>https://www.chittorgarh.com/ipo/indo-smc-ipo/2694/</t>
        </is>
      </c>
      <c r="B105" t="inlineStr">
        <is>
          <t>INDO SMC Date, Price</t>
        </is>
      </c>
      <c r="C105" t="inlineStr">
        <is>
          <t>2026</t>
        </is>
      </c>
      <c r="D105" s="17" t="inlineStr">
        <is>
          <t>Pos</t>
        </is>
      </c>
      <c r="E105" t="n">
        <v>35.76</v>
      </c>
      <c r="F105" t="n">
        <v>35.69</v>
      </c>
      <c r="G105" s="11">
        <f>100*(F105-E105)/F105</f>
        <v/>
      </c>
      <c r="H105" t="n">
        <v>99.94</v>
      </c>
      <c r="I105" t="n">
        <v>15.44</v>
      </c>
      <c r="J105" t="n">
        <v>10.18</v>
      </c>
      <c r="K105" t="n">
        <v>9.25</v>
      </c>
      <c r="L105" t="n">
        <v>27.66</v>
      </c>
      <c r="M105" t="n">
        <v>22.83</v>
      </c>
      <c r="N105" t="n">
        <v>15.27</v>
      </c>
      <c r="O105" t="n">
        <v>138.78</v>
      </c>
      <c r="P105" s="11">
        <f>O105/I105</f>
        <v/>
      </c>
      <c r="Q105" t="n">
        <v>16.1</v>
      </c>
      <c r="R105" s="2" t="n">
        <v>13.19</v>
      </c>
      <c r="S105" s="12" t="n">
        <v>-1</v>
      </c>
      <c r="T105" t="n">
        <v>91.95</v>
      </c>
      <c r="U105" t="n">
        <v>0</v>
      </c>
      <c r="V105" t="n">
        <v>1</v>
      </c>
      <c r="W105" t="n">
        <v>1</v>
      </c>
      <c r="X105" t="n">
        <v>94.94</v>
      </c>
      <c r="Y105" t="n">
        <v>164.59</v>
      </c>
      <c r="Z105" t="n">
        <v>96.13</v>
      </c>
      <c r="AA105" s="11">
        <f>IF(X105&lt;50,IF(Y105&gt;(2.3*X105),0,1),1)-IF(Z105&gt;Y105,1.7,0)</f>
        <v/>
      </c>
      <c r="AB105" t="n">
        <v>21</v>
      </c>
      <c r="AC105" s="11">
        <f>IF(AB105&gt;4,1,0)+AB105/7</f>
        <v/>
      </c>
      <c r="AD105" t="n">
        <v>414.67</v>
      </c>
      <c r="AE105" t="n">
        <v>394.58</v>
      </c>
      <c r="AF105" t="n">
        <v>516.41</v>
      </c>
      <c r="AG105" s="12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11">
        <f>AG105+IF(X105&lt;1.35,0,1)+IF(Y105&lt;1.35,0,1)+AC105+AA105</f>
        <v/>
      </c>
      <c r="AI105" s="11" t="n">
        <v>11</v>
      </c>
      <c r="AJ105" s="11">
        <f>IF(AI105&gt;12.7,IF(AI105&gt;15.8,0.93,0.98),1)</f>
        <v/>
      </c>
      <c r="AK105" s="11">
        <f>(1.2*AG105+AH105)*AJ105*AQ105</f>
        <v/>
      </c>
      <c r="AL105" s="10">
        <f>D105</f>
        <v/>
      </c>
      <c r="AM105" s="14">
        <f>B105</f>
        <v/>
      </c>
      <c r="AN105" s="54" t="n">
        <v>16</v>
      </c>
      <c r="AO105" s="13">
        <f>AN105+1</f>
        <v/>
      </c>
      <c r="AP105" s="13">
        <f>IF(AK105&gt;13.1,IF(Z105&lt;101,IF(Z105&lt;35,IF(Z105&lt;6,3,2),1),0),0)</f>
        <v/>
      </c>
      <c r="AQ105" s="11" t="n">
        <v>1</v>
      </c>
      <c r="AR105" s="11">
        <f>IF(AP105&gt;0,IF(AB105&gt;10,(AB105/Z105),10/Z105),0)</f>
        <v/>
      </c>
      <c r="AS105" s="11" t="n"/>
      <c r="AT105" s="11">
        <f>100*(AK105-AQ105)/AQ105</f>
        <v/>
      </c>
      <c r="AY105" t="n">
        <v>149</v>
      </c>
      <c r="AZ105" s="13" t="n"/>
      <c r="BA105" t="n">
        <v>149</v>
      </c>
      <c r="BB105" t="n">
        <v>155</v>
      </c>
      <c r="BC105" t="n">
        <v>151</v>
      </c>
      <c r="BD105" t="n">
        <v>147</v>
      </c>
    </row>
    <row r="106" ht="12.75" customHeight="1">
      <c r="A106" t="inlineStr">
        <is>
          <t>https://www.chittorgarh.com/ipo/gre-renew-enertech-ipo/2353/</t>
        </is>
      </c>
      <c r="B106" t="inlineStr">
        <is>
          <t>GRE Renew Enertech D</t>
        </is>
      </c>
      <c r="C106" t="inlineStr">
        <is>
          <t>2026</t>
        </is>
      </c>
      <c r="D106" s="17" t="inlineStr">
        <is>
          <t>Rec</t>
        </is>
      </c>
      <c r="E106" t="n">
        <v>1.59</v>
      </c>
      <c r="F106" t="n">
        <v>31.23</v>
      </c>
      <c r="G106" s="11">
        <f>100*(F106-E106)/F106</f>
        <v/>
      </c>
      <c r="H106" t="n">
        <v>45.46</v>
      </c>
      <c r="I106" t="n">
        <v>7.03</v>
      </c>
      <c r="J106" t="n">
        <v>9.130000000000001</v>
      </c>
      <c r="K106" t="n">
        <v>6.68</v>
      </c>
      <c r="L106" t="n">
        <v>12.04</v>
      </c>
      <c r="M106" t="n">
        <v>9.48</v>
      </c>
      <c r="N106" t="n">
        <v>13.06</v>
      </c>
      <c r="O106" t="n">
        <v>84.37</v>
      </c>
      <c r="P106" s="11">
        <f>O106/I106</f>
        <v/>
      </c>
      <c r="Q106" t="n">
        <v>15.72</v>
      </c>
      <c r="R106" s="2" t="n">
        <v>14.86</v>
      </c>
      <c r="S106" s="12" t="n">
        <v>-1</v>
      </c>
      <c r="T106" t="n">
        <v>39.56</v>
      </c>
      <c r="U106" t="n">
        <v>0</v>
      </c>
      <c r="V106" t="n">
        <v>1</v>
      </c>
      <c r="W106" t="n">
        <v>1</v>
      </c>
      <c r="X106" t="n">
        <v>14.69</v>
      </c>
      <c r="Y106" t="n">
        <v>24.67</v>
      </c>
      <c r="Z106" t="n">
        <v>14.1</v>
      </c>
      <c r="AA106" s="11">
        <f>IF(X106&lt;50,IF(Y106&gt;(2.3*X106),0,1),1)-IF(Z106&gt;Y106,1.7,0)</f>
        <v/>
      </c>
      <c r="AB106" t="n">
        <v>0</v>
      </c>
      <c r="AC106" s="11">
        <f>IF(AB106&gt;4,1,0)+AB106/7</f>
        <v/>
      </c>
      <c r="AD106" t="n">
        <v>-29.06</v>
      </c>
      <c r="AE106" t="n">
        <v>-8.44</v>
      </c>
      <c r="AF106" t="n">
        <v>48.5</v>
      </c>
      <c r="AG106" s="12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11">
        <f>AG106+IF(X106&lt;1.35,0,1)+IF(Y106&lt;1.35,0,1)+AC106+AA106</f>
        <v/>
      </c>
      <c r="AI106" s="11" t="n">
        <v>11</v>
      </c>
      <c r="AJ106" s="11">
        <f>IF(AI106&gt;12.7,IF(AI106&gt;15.8,0.93,0.98),1)</f>
        <v/>
      </c>
      <c r="AK106" s="11">
        <f>(1.2*AG106+AH106)*AJ106*AQ106</f>
        <v/>
      </c>
      <c r="AL106" s="10">
        <f>D106</f>
        <v/>
      </c>
      <c r="AM106" s="14">
        <f>B106</f>
        <v/>
      </c>
      <c r="AN106" s="54" t="n">
        <v>16</v>
      </c>
      <c r="AO106" s="13">
        <f>AN106+1</f>
        <v/>
      </c>
      <c r="AP106" s="13">
        <f>IF(AK106&gt;13.1,IF(Z106&lt;101,IF(Z106&lt;35,IF(Z106&lt;6,3,2),1),0),0)</f>
        <v/>
      </c>
      <c r="AQ106" s="11" t="n">
        <v>1</v>
      </c>
      <c r="AR106" s="11">
        <f>IF(AP106&gt;0,IF(AB106&gt;10,(AB106/Z106),10/Z106),0)</f>
        <v/>
      </c>
      <c r="AS106" s="11" t="n"/>
      <c r="AT106" s="11">
        <f>100*(AK106-AQ106)/AQ106</f>
        <v/>
      </c>
      <c r="AX106" t="n">
        <v>21</v>
      </c>
      <c r="AZ106" s="13" t="n"/>
    </row>
    <row r="107" ht="12.75" customHeight="1">
      <c r="A107" t="inlineStr">
        <is>
          <t>https://www.chittorgarh.com/ipo/armour-security-india-ipo/2138/</t>
        </is>
      </c>
      <c r="B107" t="inlineStr">
        <is>
          <t>Armour Security Date</t>
        </is>
      </c>
      <c r="C107" t="inlineStr">
        <is>
          <t>2026</t>
        </is>
      </c>
      <c r="D107" s="17" t="inlineStr">
        <is>
          <t>Neg</t>
        </is>
      </c>
      <c r="E107" t="n">
        <v>4.69</v>
      </c>
      <c r="F107" t="n">
        <v>18.43</v>
      </c>
      <c r="G107" s="11">
        <f>100*(F107-E107)/F107</f>
        <v/>
      </c>
      <c r="H107" t="n">
        <v>27.37</v>
      </c>
      <c r="I107" t="n">
        <v>3.97</v>
      </c>
      <c r="J107" t="n">
        <v>14.76</v>
      </c>
      <c r="K107" t="n">
        <v>3.25</v>
      </c>
      <c r="L107" t="n">
        <v>13.61</v>
      </c>
      <c r="M107" t="n">
        <v>4.97</v>
      </c>
      <c r="N107" t="n">
        <v>21.84</v>
      </c>
      <c r="O107" t="n">
        <v>36.56</v>
      </c>
      <c r="P107" s="11">
        <f>O107/I107</f>
        <v/>
      </c>
      <c r="Q107" t="n">
        <v>17.53</v>
      </c>
      <c r="R107" s="2" t="n">
        <v>18.36</v>
      </c>
      <c r="S107" s="12" t="n">
        <v>1</v>
      </c>
      <c r="T107" t="n">
        <v>26.51</v>
      </c>
      <c r="U107" t="n">
        <v>0</v>
      </c>
      <c r="V107" t="n">
        <v>0</v>
      </c>
      <c r="W107" t="n">
        <v>0</v>
      </c>
      <c r="X107" t="n">
        <v>1</v>
      </c>
      <c r="Y107" t="n">
        <v>1.08</v>
      </c>
      <c r="Z107" t="n">
        <v>2.58</v>
      </c>
      <c r="AA107" s="11">
        <f>IF(X107&lt;50,IF(Y107&gt;(2.3*X107),0,1),1)-IF(Z107&gt;Y107,1.7,0)</f>
        <v/>
      </c>
      <c r="AB107" t="n">
        <v>0</v>
      </c>
      <c r="AC107" s="11">
        <f>IF(AB107&gt;4,1,0)+AB107/7</f>
        <v/>
      </c>
      <c r="AD107" t="n">
        <v>51.53</v>
      </c>
      <c r="AE107" t="n">
        <v>10.45</v>
      </c>
      <c r="AF107" t="n">
        <v>27.46</v>
      </c>
      <c r="AG107" s="12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11">
        <f>AG107+IF(X107&lt;1.35,0,1)+IF(Y107&lt;1.35,0,1)+AC107+AA107</f>
        <v/>
      </c>
      <c r="AI107" s="11" t="n">
        <v>11</v>
      </c>
      <c r="AJ107" s="11">
        <f>IF(AI107&gt;12.7,IF(AI107&gt;15.8,0.93,0.98),1)</f>
        <v/>
      </c>
      <c r="AK107" s="11">
        <f>(1.2*AG107+AH107)*AJ107*AQ107</f>
        <v/>
      </c>
      <c r="AL107" s="10">
        <f>D107</f>
        <v/>
      </c>
      <c r="AM107" s="14">
        <f>B107</f>
        <v/>
      </c>
      <c r="AN107" s="54" t="n">
        <v>19</v>
      </c>
      <c r="AO107" s="13">
        <f>AN107+1</f>
        <v/>
      </c>
      <c r="AP107" s="13">
        <f>IF(AK107&gt;13.1,IF(Z107&lt;101,IF(Z107&lt;35,IF(Z107&lt;6,3,2),1),0),0)</f>
        <v/>
      </c>
      <c r="AQ107" s="11" t="n">
        <v>1</v>
      </c>
      <c r="AR107" s="11">
        <f>IF(AP107&gt;0,IF(AB107&gt;10,(AB107/Z107),10/Z107),0)</f>
        <v/>
      </c>
      <c r="AS107" s="11" t="n">
        <v>2</v>
      </c>
      <c r="AT107" s="11">
        <f>100*(AK107-AQ107)/AQ107</f>
        <v/>
      </c>
      <c r="AZ107" s="13" t="n"/>
    </row>
    <row r="108" ht="12.75" customHeight="1">
      <c r="A108" t="inlineStr">
        <is>
          <t>https://www.chittorgarh.com/ipo/aritas-vinyl-ipo/2421/</t>
        </is>
      </c>
      <c r="B108" t="inlineStr">
        <is>
          <t>Aritas Vinyl Date, P</t>
        </is>
      </c>
      <c r="C108" t="inlineStr">
        <is>
          <t>2026</t>
        </is>
      </c>
      <c r="D108" s="17" t="inlineStr">
        <is>
          <t>Neg</t>
        </is>
      </c>
      <c r="E108" t="n">
        <v>36.82</v>
      </c>
      <c r="F108" t="n">
        <v>20.27</v>
      </c>
      <c r="G108" s="11">
        <f>100*(F108-E108)/F108</f>
        <v/>
      </c>
      <c r="H108" t="n">
        <v>95.26000000000001</v>
      </c>
      <c r="I108" t="n">
        <v>4.13</v>
      </c>
      <c r="J108" t="n">
        <v>5.97</v>
      </c>
      <c r="K108" t="n">
        <v>3.26</v>
      </c>
      <c r="L108" t="n">
        <v>11.16</v>
      </c>
      <c r="M108" t="n">
        <v>8.630000000000001</v>
      </c>
      <c r="N108" t="n">
        <v>11.2</v>
      </c>
      <c r="O108" t="n">
        <v>98.02</v>
      </c>
      <c r="P108" s="11">
        <f>O108/I108</f>
        <v/>
      </c>
      <c r="Q108" t="n">
        <v>14.43</v>
      </c>
      <c r="R108" s="2" t="n">
        <v>10.69</v>
      </c>
      <c r="S108" s="12" t="n">
        <v>1</v>
      </c>
      <c r="T108" t="n">
        <v>37.52</v>
      </c>
      <c r="U108" t="n">
        <v>4.63</v>
      </c>
      <c r="V108" t="n">
        <v>0</v>
      </c>
      <c r="W108" t="n">
        <v>0</v>
      </c>
      <c r="X108" t="n">
        <v>1</v>
      </c>
      <c r="Y108" t="n">
        <v>1.24</v>
      </c>
      <c r="Z108" t="n">
        <v>2.88</v>
      </c>
      <c r="AA108" s="11">
        <f>IF(X108&lt;50,IF(Y108&gt;(2.3*X108),0,1),1)-IF(Z108&gt;Y108,1.7,0)</f>
        <v/>
      </c>
      <c r="AB108" t="n">
        <v>0</v>
      </c>
      <c r="AC108" s="11">
        <f>IF(AB108&gt;4,1,0)+AB108/7</f>
        <v/>
      </c>
      <c r="AD108" t="n">
        <v>147.31</v>
      </c>
      <c r="AE108" t="n">
        <v>41.55</v>
      </c>
      <c r="AF108" t="n">
        <v>238.4</v>
      </c>
      <c r="AG108" s="12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11">
        <f>AG108+IF(X108&lt;1.35,0,1)+IF(Y108&lt;1.35,0,1)+AC108+AA108</f>
        <v/>
      </c>
      <c r="AI108" s="11" t="n">
        <v>11</v>
      </c>
      <c r="AJ108" s="11">
        <f>IF(AI108&gt;12.7,IF(AI108&gt;15.8,0.93,0.98),1)</f>
        <v/>
      </c>
      <c r="AK108" s="11">
        <f>(1.2*AG108+AH108)*AJ108*AQ108</f>
        <v/>
      </c>
      <c r="AL108" s="10">
        <f>D108</f>
        <v/>
      </c>
      <c r="AM108" s="14">
        <f>B108</f>
        <v/>
      </c>
      <c r="AN108" s="54" t="n">
        <v>20</v>
      </c>
      <c r="AO108" s="13">
        <f>AN108+1</f>
        <v/>
      </c>
      <c r="AP108" s="13">
        <f>IF(AK108&gt;13.1,IF(Z108&lt;101,IF(Z108&lt;35,IF(Z108&lt;6,3,2),1),0),0)</f>
        <v/>
      </c>
      <c r="AQ108" s="11" t="n">
        <v>1</v>
      </c>
      <c r="AR108" s="11">
        <f>IF(AP108&gt;0,IF(AB108&gt;10,(AB108/Z108),10/Z108),0)</f>
        <v/>
      </c>
      <c r="AS108" s="11" t="n"/>
      <c r="AT108" s="11">
        <f>100*(AK108-AQ108)/AQ108</f>
        <v/>
      </c>
      <c r="AZ108" s="13" t="n"/>
    </row>
    <row r="109" ht="12.75" customHeight="1">
      <c r="A109" t="inlineStr">
        <is>
          <t>https://www.chittorgarh.com/ipo/digilogic-systems-ipo/2617/</t>
        </is>
      </c>
      <c r="B109" t="inlineStr">
        <is>
          <t>Digilogic Systems Da</t>
        </is>
      </c>
      <c r="C109" t="inlineStr">
        <is>
          <t>2026</t>
        </is>
      </c>
      <c r="D109" s="17" t="inlineStr">
        <is>
          <t>Rec</t>
        </is>
      </c>
      <c r="E109" t="n">
        <v>13.34</v>
      </c>
      <c r="F109" t="n">
        <v>33.46</v>
      </c>
      <c r="G109" s="11">
        <f>100*(F109-E109)/F109</f>
        <v/>
      </c>
      <c r="H109" t="n">
        <v>72.56999999999999</v>
      </c>
      <c r="I109" t="n">
        <v>8.109999999999999</v>
      </c>
      <c r="J109" t="n">
        <v>8.869999999999999</v>
      </c>
      <c r="K109" t="n">
        <v>3.65</v>
      </c>
      <c r="L109" t="n">
        <v>4.71</v>
      </c>
      <c r="M109" t="n">
        <v>13.4</v>
      </c>
      <c r="N109" t="n">
        <v>18.39</v>
      </c>
      <c r="O109" t="n">
        <v>72.19</v>
      </c>
      <c r="P109" s="11">
        <f>O109/I109</f>
        <v/>
      </c>
      <c r="Q109" t="n">
        <v>28.52</v>
      </c>
      <c r="R109" s="2" t="n">
        <v>93</v>
      </c>
      <c r="S109" s="12" t="n">
        <v>-1</v>
      </c>
      <c r="T109" t="n">
        <v>81.01000000000001</v>
      </c>
      <c r="U109" t="n">
        <v>11.33</v>
      </c>
      <c r="V109" t="n">
        <v>1</v>
      </c>
      <c r="W109" t="n">
        <v>1</v>
      </c>
      <c r="X109" t="n">
        <v>1.6</v>
      </c>
      <c r="Y109" t="n">
        <v>0.42</v>
      </c>
      <c r="Z109" t="n">
        <v>1.08</v>
      </c>
      <c r="AA109" s="11">
        <f>IF(X109&lt;50,IF(Y109&gt;(2.3*X109),0,1),1)-IF(Z109&gt;Y109,1.7,0)</f>
        <v/>
      </c>
      <c r="AB109" t="n">
        <v>0</v>
      </c>
      <c r="AC109" s="11">
        <f>IF(AB109&gt;4,1,0)+AB109/7</f>
        <v/>
      </c>
      <c r="AD109" t="n">
        <v>237.92</v>
      </c>
      <c r="AE109" t="n">
        <v>39.61</v>
      </c>
      <c r="AF109" t="n">
        <v>148.22</v>
      </c>
      <c r="AG109" s="12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11">
        <f>AG109+IF(X109&lt;1.35,0,1)+IF(Y109&lt;1.35,0,1)+AC109+AA109</f>
        <v/>
      </c>
      <c r="AI109" s="11" t="n">
        <v>13</v>
      </c>
      <c r="AJ109" s="11">
        <f>IF(AI109&gt;12.7,IF(AI109&gt;15.8,0.93,0.98),1)</f>
        <v/>
      </c>
      <c r="AK109" s="11">
        <f>(1.2*AG109+AH109)*AJ109*AQ109</f>
        <v/>
      </c>
      <c r="AL109" s="10">
        <f>D109</f>
        <v/>
      </c>
      <c r="AM109" s="14">
        <f>B109</f>
        <v/>
      </c>
      <c r="AN109" s="54" t="n">
        <v>22</v>
      </c>
      <c r="AO109" s="13">
        <f>AN109+1</f>
        <v/>
      </c>
      <c r="AP109" s="13">
        <f>IF(AK109&gt;13.1,IF(Z109&lt;101,IF(Z109&lt;35,IF(Z109&lt;6,3,2),1),0),0)</f>
        <v/>
      </c>
      <c r="AQ109" s="11" t="n">
        <v>1</v>
      </c>
      <c r="AR109" s="11">
        <f>IF(AP109&gt;0,IF(AB109&gt;10,(AB109/Z109),10/Z109),0)</f>
        <v/>
      </c>
      <c r="AS109" s="11" t="n"/>
      <c r="AT109" s="11">
        <f>100*(AK109-AQ109)/AQ109</f>
        <v/>
      </c>
      <c r="AZ109" s="13" t="n"/>
    </row>
    <row r="110" ht="17.25" customHeight="1">
      <c r="A110" t="inlineStr">
        <is>
          <t>https://www.chittorgarh.com/ipo/krm-ayurveda-ipo/2620/</t>
        </is>
      </c>
      <c r="B110" t="inlineStr">
        <is>
          <t>KRM Ayurveda Date, P</t>
        </is>
      </c>
      <c r="C110" t="inlineStr">
        <is>
          <t>2026</t>
        </is>
      </c>
      <c r="D110" s="17" t="inlineStr">
        <is>
          <t>Pos</t>
        </is>
      </c>
      <c r="E110" t="n">
        <v>31.2</v>
      </c>
      <c r="F110" t="n">
        <v>23.88</v>
      </c>
      <c r="G110" s="11">
        <f>100*(F110-E110)/F110</f>
        <v/>
      </c>
      <c r="H110" t="n">
        <v>66.79000000000001</v>
      </c>
      <c r="I110" t="n">
        <v>12.1</v>
      </c>
      <c r="J110" t="n">
        <v>16.83</v>
      </c>
      <c r="K110" t="n">
        <v>7.79</v>
      </c>
      <c r="L110" t="n">
        <v>21.84</v>
      </c>
      <c r="M110" t="n">
        <v>19.11</v>
      </c>
      <c r="N110" t="n">
        <v>26.54</v>
      </c>
      <c r="O110" t="n">
        <v>76.95</v>
      </c>
      <c r="P110" s="11">
        <f>O110/I110</f>
        <v/>
      </c>
      <c r="Q110" t="n">
        <v>17.32</v>
      </c>
      <c r="R110" s="2" t="n">
        <v>17.03</v>
      </c>
      <c r="S110" s="12" t="n">
        <v>-1</v>
      </c>
      <c r="T110" t="n">
        <v>77.48999999999999</v>
      </c>
      <c r="U110" t="n">
        <v>0</v>
      </c>
      <c r="V110" t="n">
        <v>1</v>
      </c>
      <c r="W110" t="n">
        <v>0</v>
      </c>
      <c r="X110" t="n">
        <v>38.38</v>
      </c>
      <c r="Y110" t="n">
        <v>103.52</v>
      </c>
      <c r="Z110" t="n">
        <v>37.65</v>
      </c>
      <c r="AA110" s="11">
        <f>IF(X110&lt;50,IF(Y110&gt;(2.3*X110),0,1),1)-IF(Z110&gt;Y110,1.7,0)</f>
        <v/>
      </c>
      <c r="AB110" t="n">
        <v>11.85</v>
      </c>
      <c r="AC110" s="11">
        <f>IF(AB110&gt;4,1,0)+AB110/7</f>
        <v/>
      </c>
      <c r="AD110" t="n">
        <v>254.84</v>
      </c>
      <c r="AE110" t="n">
        <v>13.88</v>
      </c>
      <c r="AF110" t="n">
        <v>102.72</v>
      </c>
      <c r="AG110" s="12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11">
        <f>AG110+IF(X110&lt;1.35,0,1)+IF(Y110&lt;1.35,0,1)+AC110+AA110</f>
        <v/>
      </c>
      <c r="AI110" s="11" t="n">
        <v>13</v>
      </c>
      <c r="AJ110" s="11">
        <f>IF(AI110&gt;12.7,IF(AI110&gt;15.8,0.93,0.98),1)</f>
        <v/>
      </c>
      <c r="AK110" s="11">
        <f>(1.2*AG110+AH110)*AJ110*AQ110</f>
        <v/>
      </c>
      <c r="AL110" s="10">
        <f>D110</f>
        <v/>
      </c>
      <c r="AM110" s="14">
        <f>B110</f>
        <v/>
      </c>
      <c r="AN110" s="54" t="n">
        <v>23</v>
      </c>
      <c r="AO110" s="13">
        <f>AN110+1</f>
        <v/>
      </c>
      <c r="AP110" s="13">
        <f>IF(AK110&gt;13.1,IF(Z110&lt;101,IF(Z110&lt;35,IF(Z110&lt;6,3,2),1),0),0)</f>
        <v/>
      </c>
      <c r="AQ110" s="11" t="n">
        <v>1</v>
      </c>
      <c r="AR110" s="11">
        <f>IF(AP110&gt;0,IF(AB110&gt;10,(AB110/Z110),10/Z110),0)</f>
        <v/>
      </c>
      <c r="AS110" s="11" t="n"/>
      <c r="AT110" s="11">
        <f>100*(AK110-AQ110)/AQ110</f>
        <v/>
      </c>
      <c r="AZ110" s="13" t="n"/>
    </row>
    <row r="111" ht="12.75" customHeight="1">
      <c r="A111" t="inlineStr">
        <is>
          <t>https://www.chittorgarh.com/ipo/hannah-joseph-ipo/2251/</t>
        </is>
      </c>
      <c r="B111" t="inlineStr">
        <is>
          <t>Hannah Joseph Hospit</t>
        </is>
      </c>
      <c r="C111" t="inlineStr">
        <is>
          <t>2026</t>
        </is>
      </c>
      <c r="D111" s="17" t="inlineStr">
        <is>
          <t>Rec</t>
        </is>
      </c>
      <c r="E111" t="n">
        <v>33.58</v>
      </c>
      <c r="F111" t="n">
        <v>48.93</v>
      </c>
      <c r="G111" s="11">
        <f>100*(F111-E111)/F111</f>
        <v/>
      </c>
      <c r="H111" t="n">
        <v>99.29000000000001</v>
      </c>
      <c r="I111" t="n">
        <v>7.21</v>
      </c>
      <c r="J111" t="n">
        <v>12.03</v>
      </c>
      <c r="K111" t="n">
        <v>4.32</v>
      </c>
      <c r="L111" t="n">
        <v>9.390000000000001</v>
      </c>
      <c r="M111" t="n">
        <v>20.52</v>
      </c>
      <c r="N111" t="n">
        <v>27.38</v>
      </c>
      <c r="O111" t="n">
        <v>77.90000000000001</v>
      </c>
      <c r="P111" s="11">
        <f>O111/I111</f>
        <v/>
      </c>
      <c r="Q111" t="n">
        <v>16.21</v>
      </c>
      <c r="R111" s="2" t="n">
        <v>15.52</v>
      </c>
      <c r="S111" s="12" t="n">
        <v>1</v>
      </c>
      <c r="T111" t="n">
        <v>42</v>
      </c>
      <c r="U111" t="n">
        <v>0</v>
      </c>
      <c r="V111" t="n">
        <v>1</v>
      </c>
      <c r="W111" t="n">
        <v>1</v>
      </c>
      <c r="X111" t="n">
        <v>0.88</v>
      </c>
      <c r="Y111" t="n">
        <v>1.69</v>
      </c>
      <c r="Z111" t="n">
        <v>1.24</v>
      </c>
      <c r="AA111" s="11">
        <f>IF(X111&lt;50,IF(Y111&gt;(2.3*X111),0,1),1)-IF(Z111&gt;Y111,1.7,0)</f>
        <v/>
      </c>
      <c r="AB111" t="n">
        <v>2.85</v>
      </c>
      <c r="AC111" s="11">
        <f>IF(AB111&gt;4,1,0)+AB111/7</f>
        <v/>
      </c>
      <c r="AD111" t="n">
        <v>77.15000000000001</v>
      </c>
      <c r="AE111" t="n">
        <v>22.43</v>
      </c>
      <c r="AF111" t="n">
        <v>11.38</v>
      </c>
      <c r="AG111" s="12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11">
        <f>AG111+IF(X111&lt;1.35,0,1)+IF(Y111&lt;1.35,0,1)+AC111+AA111</f>
        <v/>
      </c>
      <c r="AI111" s="11" t="n">
        <v>13</v>
      </c>
      <c r="AJ111" s="11">
        <f>IF(AI111&gt;12.7,IF(AI111&gt;15.8,0.93,0.98),1)</f>
        <v/>
      </c>
      <c r="AK111" s="11">
        <f>(1.2*AG111+AH111)*AJ111*AQ111</f>
        <v/>
      </c>
      <c r="AL111" s="10">
        <f>D111</f>
        <v/>
      </c>
      <c r="AM111" s="14">
        <f>B111</f>
        <v/>
      </c>
      <c r="AN111" s="54" t="n">
        <v>27</v>
      </c>
      <c r="AO111" s="13">
        <f>AN111+1</f>
        <v/>
      </c>
      <c r="AP111" s="13">
        <f>IF(AK111&gt;13.1,IF(Z111&lt;101,IF(Z111&lt;35,IF(Z111&lt;6,3,2),1),0),0)</f>
        <v/>
      </c>
      <c r="AQ111" s="11" t="n">
        <v>1</v>
      </c>
      <c r="AR111" s="11">
        <f>IF(AP111&gt;0,IF(AB111&gt;10,(AB111/Z111),10/Z111),0)</f>
        <v/>
      </c>
      <c r="AS111" s="11" t="n"/>
      <c r="AT111" s="11">
        <f>100*(AK111-AQ111)/AQ111</f>
        <v/>
      </c>
      <c r="AZ111" s="13" t="n"/>
    </row>
    <row r="112" ht="12.75" customHeight="1">
      <c r="A112" t="inlineStr">
        <is>
          <t>https://www.chittorgarh.com/ipo/shayona-engineering-ipo/2173/</t>
        </is>
      </c>
      <c r="B112" t="inlineStr">
        <is>
          <t xml:space="preserve">Shayona Engineering </t>
        </is>
      </c>
      <c r="C112" t="inlineStr">
        <is>
          <t>2026</t>
        </is>
      </c>
      <c r="D112" s="17" t="inlineStr">
        <is>
          <t>Pos</t>
        </is>
      </c>
      <c r="E112" t="n">
        <v>13.92</v>
      </c>
      <c r="F112" t="n">
        <v>9.91</v>
      </c>
      <c r="G112" s="11">
        <f>100*(F112-E112)/F112</f>
        <v/>
      </c>
      <c r="H112" t="n">
        <v>29.6</v>
      </c>
      <c r="I112" t="n">
        <v>2.42</v>
      </c>
      <c r="J112" t="n">
        <v>12.8</v>
      </c>
      <c r="K112" t="n">
        <v>8.460000000000001</v>
      </c>
      <c r="L112" t="n">
        <v>0</v>
      </c>
      <c r="M112" t="n">
        <v>5</v>
      </c>
      <c r="N112" t="n">
        <v>21.33</v>
      </c>
      <c r="O112" t="n">
        <v>23.18</v>
      </c>
      <c r="P112" s="11">
        <f>O112/I112</f>
        <v/>
      </c>
      <c r="Q112" t="n">
        <v>17.03</v>
      </c>
      <c r="R112" s="2" t="n">
        <v>15.25</v>
      </c>
      <c r="S112" s="12" t="n">
        <v>1</v>
      </c>
      <c r="T112" t="n">
        <v>14.86</v>
      </c>
      <c r="U112" t="n">
        <v>0</v>
      </c>
      <c r="V112" t="n">
        <v>0</v>
      </c>
      <c r="W112" t="n">
        <v>1</v>
      </c>
      <c r="X112" t="n">
        <v>3.33</v>
      </c>
      <c r="Y112" t="n">
        <v>9.15</v>
      </c>
      <c r="Z112" t="n">
        <v>3.54</v>
      </c>
      <c r="AA112" s="11">
        <f>IF(X112&lt;50,IF(Y112&gt;(2.3*X112),0,1),1)-IF(Z112&gt;Y112,1.7,0)</f>
        <v/>
      </c>
      <c r="AB112" t="n">
        <v>0</v>
      </c>
      <c r="AC112" s="11">
        <f>IF(AB112&gt;4,1,0)+AB112/7</f>
        <v/>
      </c>
      <c r="AD112" t="n">
        <v>41.52</v>
      </c>
      <c r="AE112" t="n">
        <v>51.7</v>
      </c>
      <c r="AF112" t="n">
        <v>148.37</v>
      </c>
      <c r="AG112" s="12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11">
        <f>AG112+IF(X112&lt;1.35,0,1)+IF(Y112&lt;1.35,0,1)+AC112+AA112</f>
        <v/>
      </c>
      <c r="AI112" s="11" t="n">
        <v>13</v>
      </c>
      <c r="AJ112" s="11">
        <f>IF(AI112&gt;12.7,IF(AI112&gt;15.8,0.93,0.98),1)</f>
        <v/>
      </c>
      <c r="AK112" s="11">
        <f>(1.2*AG112+AH112)*AJ112*AQ112</f>
        <v/>
      </c>
      <c r="AL112" s="10">
        <f>D112</f>
        <v/>
      </c>
      <c r="AM112" s="14">
        <f>B112</f>
        <v/>
      </c>
      <c r="AN112" s="54" t="n">
        <v>27</v>
      </c>
      <c r="AO112" s="13">
        <f>AN112+1</f>
        <v/>
      </c>
      <c r="AP112" s="13">
        <f>IF(AK112&gt;13.1,IF(Z112&lt;101,IF(Z112&lt;35,IF(Z112&lt;6,3,2),1),0),0)</f>
        <v/>
      </c>
      <c r="AQ112" s="11" t="n">
        <v>1</v>
      </c>
      <c r="AR112" s="11">
        <f>IF(AP112&gt;0,IF(AB112&gt;10,(AB112/Z112),10/Z112),0)</f>
        <v/>
      </c>
      <c r="AS112" s="11" t="n"/>
      <c r="AT112" s="11">
        <f>100*(AK112-AQ112)/AQ112</f>
        <v/>
      </c>
      <c r="AZ112" s="13" t="n"/>
    </row>
    <row r="113" ht="12.75" customHeight="1">
      <c r="A113" t="inlineStr">
        <is>
          <t>https://www.chittorgarh.com/ipo/kasturi-metal-ipo/2281/</t>
        </is>
      </c>
      <c r="B113" t="inlineStr">
        <is>
          <t>Kasturi Metal Compos</t>
        </is>
      </c>
      <c r="C113" t="inlineStr">
        <is>
          <t>2026</t>
        </is>
      </c>
      <c r="D113" s="17" t="inlineStr">
        <is>
          <t>Pos</t>
        </is>
      </c>
      <c r="E113" t="n">
        <v>13.15</v>
      </c>
      <c r="F113" t="n">
        <v>17.76</v>
      </c>
      <c r="G113" s="11">
        <f>100*(F113-E113)/F113</f>
        <v/>
      </c>
      <c r="H113" t="n">
        <v>35.57</v>
      </c>
      <c r="I113" t="n">
        <v>2.07</v>
      </c>
      <c r="J113" t="n">
        <v>7.71</v>
      </c>
      <c r="K113" t="n">
        <v>2.71</v>
      </c>
      <c r="L113" t="n">
        <v>13.01</v>
      </c>
      <c r="M113" t="n">
        <v>5.69</v>
      </c>
      <c r="N113" t="n">
        <v>9.99</v>
      </c>
      <c r="O113" t="n">
        <v>57.22</v>
      </c>
      <c r="P113" s="11">
        <f>O113/I113</f>
        <v/>
      </c>
      <c r="Q113" t="n">
        <v>23.59</v>
      </c>
      <c r="R113" s="2" t="n">
        <v>13.47</v>
      </c>
      <c r="S113" s="12" t="n">
        <v>-0.5</v>
      </c>
      <c r="T113" t="n">
        <v>17.61</v>
      </c>
      <c r="U113" t="n">
        <v>0</v>
      </c>
      <c r="V113" t="n">
        <v>1</v>
      </c>
      <c r="W113" t="n">
        <v>1</v>
      </c>
      <c r="X113" t="n">
        <v>20</v>
      </c>
      <c r="Y113" t="n">
        <v>20</v>
      </c>
      <c r="Z113" t="n">
        <v>10</v>
      </c>
      <c r="AA113" s="11">
        <f>IF(X113&lt;50,IF(Y113&gt;(2.3*X113),0,1),1)-IF(Z113&gt;Y113,1.7,0)</f>
        <v/>
      </c>
      <c r="AB113" t="n">
        <v>0</v>
      </c>
      <c r="AC113" s="11">
        <f>IF(AB113&gt;4,1,0)+AB113/7</f>
        <v/>
      </c>
      <c r="AD113" t="n">
        <v>-11.91</v>
      </c>
      <c r="AE113" t="n">
        <v>13.98</v>
      </c>
      <c r="AF113" t="n">
        <v>44.51</v>
      </c>
      <c r="AG113" s="12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11">
        <f>AG113+IF(X113&lt;1.35,0,1)+IF(Y113&lt;1.35,0,1)+AC113+AA113</f>
        <v/>
      </c>
      <c r="AI113" s="11" t="n">
        <v>13</v>
      </c>
      <c r="AJ113" s="11">
        <f>IF(AI113&gt;12.7,IF(AI113&gt;15.8,0.93,0.98),1)</f>
        <v/>
      </c>
      <c r="AK113" s="11">
        <f>(1.2*AG113+AH113)*AJ113*AQ113</f>
        <v/>
      </c>
      <c r="AL113" s="10">
        <f>D113</f>
        <v/>
      </c>
      <c r="AM113" s="14">
        <f>B113</f>
        <v/>
      </c>
      <c r="AN113" s="54" t="n">
        <v>29</v>
      </c>
      <c r="AO113" s="13">
        <f>AN113+1</f>
        <v/>
      </c>
      <c r="AP113" s="13">
        <f>IF(AK113&gt;13.1,IF(Z113&lt;101,IF(Z113&lt;35,IF(Z113&lt;6,3,2),1),0),0)</f>
        <v/>
      </c>
      <c r="AQ113" s="11" t="n">
        <v>1</v>
      </c>
      <c r="AR113" s="11">
        <f>IF(AP113&gt;0,IF(AB113&gt;10,(AB113/Z113),10/Z113),0)</f>
        <v/>
      </c>
      <c r="AS113" s="11" t="n"/>
      <c r="AT113" s="11">
        <f>100*(AK113-AQ113)/AQ113</f>
        <v/>
      </c>
      <c r="AZ113" s="13" t="n"/>
    </row>
    <row r="114" ht="14.25" customHeight="1">
      <c r="A114" t="inlineStr">
        <is>
          <t>https://www.chittorgarh.com/ipo/kanishk-aluminium-india-ipo/2555/</t>
        </is>
      </c>
      <c r="B114" t="inlineStr">
        <is>
          <t>Kanishk Aluminium In</t>
        </is>
      </c>
      <c r="C114" t="inlineStr">
        <is>
          <t>2026</t>
        </is>
      </c>
      <c r="D114" s="17" t="inlineStr">
        <is>
          <t>Neg</t>
        </is>
      </c>
      <c r="E114" t="n">
        <v>22.74</v>
      </c>
      <c r="F114" t="n">
        <v>16.57</v>
      </c>
      <c r="G114" s="11">
        <f>100*(F114-E114)/F114</f>
        <v/>
      </c>
      <c r="H114" t="n">
        <v>50.5</v>
      </c>
      <c r="I114" t="n">
        <v>3.04</v>
      </c>
      <c r="J114" t="n">
        <v>17.62</v>
      </c>
      <c r="K114" t="n">
        <v>3.22</v>
      </c>
      <c r="L114" t="n">
        <v>29.21</v>
      </c>
      <c r="M114" t="n">
        <v>6.63</v>
      </c>
      <c r="N114" t="n">
        <v>33.55</v>
      </c>
      <c r="O114" t="n">
        <v>60.13</v>
      </c>
      <c r="P114" s="11">
        <f>O114/I114</f>
        <v/>
      </c>
      <c r="Q114" t="n">
        <v>22.66</v>
      </c>
      <c r="R114" s="2" t="n">
        <v>19.03</v>
      </c>
      <c r="S114" s="12" t="n">
        <v>1</v>
      </c>
      <c r="T114" t="n">
        <v>29.2</v>
      </c>
      <c r="U114" t="n">
        <v>0</v>
      </c>
      <c r="V114" t="n">
        <v>0</v>
      </c>
      <c r="W114" t="n">
        <v>0</v>
      </c>
      <c r="X114" t="n">
        <v>0</v>
      </c>
      <c r="Y114" t="n">
        <v>0.14</v>
      </c>
      <c r="Z114" t="n">
        <v>1.65</v>
      </c>
      <c r="AA114" s="11">
        <f>IF(X114&lt;50,IF(Y114&gt;(2.3*X114),0,1),1)-IF(Z114&gt;Y114,1.7,0)</f>
        <v/>
      </c>
      <c r="AB114" t="n">
        <v>9.59</v>
      </c>
      <c r="AC114" s="11">
        <f>IF(AB114&gt;4,1,0)+AB114/7</f>
        <v/>
      </c>
      <c r="AD114" t="n">
        <v>100</v>
      </c>
      <c r="AE114" t="n">
        <v>0.99</v>
      </c>
      <c r="AF114" t="n">
        <v>22.47</v>
      </c>
      <c r="AG114" s="12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11">
        <f>AG114+IF(X114&lt;1.35,0,1)+IF(Y114&lt;1.35,0,1)+AC114+AA114</f>
        <v/>
      </c>
      <c r="AI114" s="11" t="n">
        <v>13</v>
      </c>
      <c r="AJ114" s="11">
        <f>IF(AI114&gt;12.7,IF(AI114&gt;15.8,0.93,0.98),1)</f>
        <v/>
      </c>
      <c r="AK114" s="11">
        <f>(1.2*AG114+AH114)*AJ114*AQ114</f>
        <v/>
      </c>
      <c r="AL114" s="10">
        <f>D114</f>
        <v/>
      </c>
      <c r="AM114" s="14">
        <f>B114</f>
        <v/>
      </c>
      <c r="AN114" s="54" t="n">
        <v>30</v>
      </c>
      <c r="AO114" s="13">
        <f>AN114+1</f>
        <v/>
      </c>
      <c r="AP114" s="13">
        <f>IF(AK114&gt;13.1,IF(Z114&lt;101,IF(Z114&lt;35,IF(Z114&lt;6,3,2),1),0),0)</f>
        <v/>
      </c>
      <c r="AQ114" s="11" t="n">
        <v>1</v>
      </c>
      <c r="AR114" s="11">
        <f>IF(AP114&gt;0,IF(AB114&gt;10,(AB114/Z114),10/Z114),0)</f>
        <v/>
      </c>
      <c r="AS114" s="11" t="n"/>
      <c r="AT114" s="11">
        <f>100*(AK114-AQ114)/AQ114</f>
        <v/>
      </c>
      <c r="AZ114" s="13" t="n"/>
    </row>
    <row r="115" ht="12" customHeight="1">
      <c r="A115" t="inlineStr">
        <is>
          <t>https://www.chittorgarh.com/ipo/msafe-equipments-ipo/2600/</t>
        </is>
      </c>
      <c r="B115" t="inlineStr">
        <is>
          <t>Msafe Equipments Dat</t>
        </is>
      </c>
      <c r="C115" t="inlineStr">
        <is>
          <t>2026</t>
        </is>
      </c>
      <c r="D115" s="17" t="inlineStr">
        <is>
          <t>Pos</t>
        </is>
      </c>
      <c r="E115" t="n">
        <v>32.56</v>
      </c>
      <c r="F115" t="n">
        <v>25.65</v>
      </c>
      <c r="G115" s="11">
        <f>100*(F115-E115)/F115</f>
        <v/>
      </c>
      <c r="H115" t="n">
        <v>73.59</v>
      </c>
      <c r="I115" t="n">
        <v>13.01</v>
      </c>
      <c r="J115" t="n">
        <v>21.42</v>
      </c>
      <c r="K115" t="n">
        <v>8.130000000000001</v>
      </c>
      <c r="L115" t="n">
        <v>33.98</v>
      </c>
      <c r="M115" t="n">
        <v>26.08</v>
      </c>
      <c r="N115" t="n">
        <v>39.2</v>
      </c>
      <c r="O115" t="n">
        <v>71.62</v>
      </c>
      <c r="P115" s="11">
        <f>O115/I115</f>
        <v/>
      </c>
      <c r="Q115" t="n">
        <v>15.12</v>
      </c>
      <c r="R115" s="2" t="n">
        <v>11.95</v>
      </c>
      <c r="S115" s="12" t="n">
        <v>0</v>
      </c>
      <c r="T115" t="n">
        <v>66.42</v>
      </c>
      <c r="U115" t="n">
        <v>12.3</v>
      </c>
      <c r="V115" t="n">
        <v>1</v>
      </c>
      <c r="W115" t="n">
        <v>1</v>
      </c>
      <c r="X115" t="n">
        <v>57.08</v>
      </c>
      <c r="Y115" t="n">
        <v>192.51</v>
      </c>
      <c r="Z115" t="n">
        <v>80.51000000000001</v>
      </c>
      <c r="AA115" s="11">
        <f>IF(X115&lt;50,IF(Y115&gt;(2.3*X115),0,1),1)-IF(Z115&gt;Y115,1.7,0)</f>
        <v/>
      </c>
      <c r="AB115" t="n">
        <v>20.33</v>
      </c>
      <c r="AC115" s="11">
        <f>IF(AB115&gt;4,1,0)+AB115/7</f>
        <v/>
      </c>
      <c r="AD115" t="n">
        <v>98.63</v>
      </c>
      <c r="AE115" t="n">
        <v>48.16</v>
      </c>
      <c r="AF115" t="n">
        <v>102.93</v>
      </c>
      <c r="AG115" s="12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11">
        <f>AG115+IF(X115&lt;1.35,0,1)+IF(Y115&lt;1.35,0,1)+AC115+AA115</f>
        <v/>
      </c>
      <c r="AI115" s="11" t="n">
        <v>13</v>
      </c>
      <c r="AJ115" s="11">
        <f>IF(AI115&gt;12.7,IF(AI115&gt;15.8,0.93,0.98),1)</f>
        <v/>
      </c>
      <c r="AK115" s="11">
        <f>(1.2*AG115+AH115)*AJ115*AQ115</f>
        <v/>
      </c>
      <c r="AL115" s="10">
        <f>D115</f>
        <v/>
      </c>
      <c r="AM115" s="14">
        <f>B115</f>
        <v/>
      </c>
      <c r="AN115" s="54" t="n">
        <v>30</v>
      </c>
      <c r="AO115" s="13">
        <f>AN115+1</f>
        <v/>
      </c>
      <c r="AP115" s="13">
        <f>IF(AK115&gt;13.1,IF(Z115&lt;101,IF(Z115&lt;35,IF(Z115&lt;6,3,2),1),0),0)</f>
        <v/>
      </c>
      <c r="AQ115" s="11" t="n">
        <v>1</v>
      </c>
      <c r="AR115" s="11">
        <f>IF(AP115&gt;0,IF(AB115&gt;10,(AB115/Z115),10/Z115),0)</f>
        <v/>
      </c>
      <c r="AS115" s="11" t="n"/>
      <c r="AT115" s="11">
        <f>100*(AK115-AQ115)/AQ115</f>
        <v/>
      </c>
      <c r="AZ115" s="13" t="n"/>
    </row>
    <row r="116" ht="12.75" customHeight="1">
      <c r="A116" t="inlineStr">
        <is>
          <t>https://www.chittorgarh.com/ipo/accretion-nutraveda-ipo/2699/</t>
        </is>
      </c>
      <c r="B116" t="inlineStr">
        <is>
          <t xml:space="preserve">Accretion Nutraveda </t>
        </is>
      </c>
      <c r="C116" t="inlineStr">
        <is>
          <t>2026</t>
        </is>
      </c>
      <c r="D116" s="17" t="inlineStr">
        <is>
          <t>Pos</t>
        </is>
      </c>
      <c r="E116" t="n">
        <v>3.86</v>
      </c>
      <c r="F116" t="n">
        <v>5.35</v>
      </c>
      <c r="G116" s="11">
        <f>100*(F116-E116)/F116</f>
        <v/>
      </c>
      <c r="H116" t="n">
        <v>10.86</v>
      </c>
      <c r="I116" t="n">
        <v>2.61</v>
      </c>
      <c r="J116" t="n">
        <v>16.59</v>
      </c>
      <c r="K116" t="n">
        <v>4.91</v>
      </c>
      <c r="L116" t="n">
        <v>68.54000000000001</v>
      </c>
      <c r="M116" t="n">
        <v>3.65</v>
      </c>
      <c r="N116" t="n">
        <v>23.36</v>
      </c>
      <c r="O116" t="n">
        <v>16.06</v>
      </c>
      <c r="P116" s="11">
        <f>O116/I116</f>
        <v/>
      </c>
      <c r="Q116" t="n">
        <v>26.27</v>
      </c>
      <c r="R116" s="2" t="n">
        <v>20.02</v>
      </c>
      <c r="S116" s="12" t="n">
        <v>1</v>
      </c>
      <c r="T116" t="n">
        <v>24.77</v>
      </c>
      <c r="U116" t="n">
        <v>0</v>
      </c>
      <c r="V116" t="n">
        <v>1</v>
      </c>
      <c r="W116" t="n">
        <v>0</v>
      </c>
      <c r="X116" t="n">
        <v>0.99</v>
      </c>
      <c r="Y116" t="n">
        <v>1.89</v>
      </c>
      <c r="Z116" t="n">
        <v>1.7</v>
      </c>
      <c r="AA116" s="11">
        <f>IF(X116&lt;50,IF(Y116&gt;(2.3*X116),0,1),1)-IF(Z116&gt;Y116,1.7,0)</f>
        <v/>
      </c>
      <c r="AB116" t="n">
        <v>0</v>
      </c>
      <c r="AC116" s="11">
        <f>IF(AB116&gt;4,1,0)+AB116/7</f>
        <v/>
      </c>
      <c r="AD116" t="n">
        <v>218.29</v>
      </c>
      <c r="AE116" t="n">
        <v>208.85</v>
      </c>
      <c r="AF116" t="n">
        <v>395.37</v>
      </c>
      <c r="AG116" s="12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11">
        <f>AG116+IF(X116&lt;1.35,0,1)+IF(Y116&lt;1.35,0,1)+AC116+AA116</f>
        <v/>
      </c>
      <c r="AI116" s="11" t="n">
        <v>13</v>
      </c>
      <c r="AJ116" s="11">
        <f>IF(AI116&gt;12.7,IF(AI116&gt;15.8,0.93,0.98),1)</f>
        <v/>
      </c>
      <c r="AK116" s="11">
        <f>(1.2*AG116+AH116)*AJ116*AQ116</f>
        <v/>
      </c>
      <c r="AL116" s="10">
        <f>D116</f>
        <v/>
      </c>
      <c r="AM116" s="14">
        <f>B116</f>
        <v/>
      </c>
      <c r="AN116" s="54" t="n">
        <v>30</v>
      </c>
      <c r="AO116" s="13">
        <f>AN116+1</f>
        <v/>
      </c>
      <c r="AP116" s="13">
        <f>IF(AK116&gt;13.1,IF(Z116&lt;101,IF(Z116&lt;35,IF(Z116&lt;6,3,2),1),0),0)</f>
        <v/>
      </c>
      <c r="AQ116" s="11" t="n">
        <v>1</v>
      </c>
      <c r="AR116" s="11">
        <f>IF(AP116&gt;0,IF(AB116&gt;10,(AB116/Z116),10/Z116),0)</f>
        <v/>
      </c>
      <c r="AS116" s="11" t="n"/>
      <c r="AT116" s="11">
        <f>100*(AK116-AQ116)/AQ116</f>
        <v/>
      </c>
      <c r="AZ116" s="13" t="n"/>
    </row>
    <row r="117" ht="12.75" customHeight="1">
      <c r="A117" t="inlineStr">
        <is>
          <t>https://www.chittorgarh.com/ipo/c-k-k-retail-mart-ipo/2409/</t>
        </is>
      </c>
      <c r="B117" t="inlineStr">
        <is>
          <t>CKK Retail Mart Date</t>
        </is>
      </c>
      <c r="C117" t="inlineStr">
        <is>
          <t>2026</t>
        </is>
      </c>
      <c r="D117" s="17" t="inlineStr">
        <is>
          <t>Pos</t>
        </is>
      </c>
      <c r="E117" t="n">
        <v>0</v>
      </c>
      <c r="F117" t="n">
        <v>42.53</v>
      </c>
      <c r="G117" s="11">
        <f>100*(F117-E117)/F117</f>
        <v/>
      </c>
      <c r="H117" t="n">
        <v>68.09</v>
      </c>
      <c r="I117" t="n">
        <v>16.36</v>
      </c>
      <c r="J117" t="n">
        <v>5.39</v>
      </c>
      <c r="K117" t="n">
        <v>10.94</v>
      </c>
      <c r="L117" t="n">
        <v>18.34</v>
      </c>
      <c r="M117" t="n">
        <v>22.6</v>
      </c>
      <c r="N117" t="n">
        <v>7.38</v>
      </c>
      <c r="O117" t="n">
        <v>301.85</v>
      </c>
      <c r="P117" s="11">
        <f>O117/I117</f>
        <v/>
      </c>
      <c r="Q117" t="n">
        <v>14.9</v>
      </c>
      <c r="R117" s="2" t="n">
        <v>18.38</v>
      </c>
      <c r="S117" s="12" t="n">
        <v>-1</v>
      </c>
      <c r="T117" t="n">
        <v>88.02</v>
      </c>
      <c r="U117" t="n">
        <v>16.17</v>
      </c>
      <c r="V117" t="n">
        <v>0</v>
      </c>
      <c r="W117" t="n">
        <v>1</v>
      </c>
      <c r="X117" t="n">
        <v>1.12</v>
      </c>
      <c r="Y117" t="n">
        <v>1.52</v>
      </c>
      <c r="Z117" t="n">
        <v>2.19</v>
      </c>
      <c r="AA117" s="11">
        <f>IF(X117&lt;50,IF(Y117&gt;(2.3*X117),0,1),1)-IF(Z117&gt;Y117,1.7,0)</f>
        <v/>
      </c>
      <c r="AB117" t="n">
        <v>0</v>
      </c>
      <c r="AC117" s="11">
        <f>IF(AB117&gt;4,1,0)+AB117/7</f>
        <v/>
      </c>
      <c r="AD117" t="n">
        <v>29.12</v>
      </c>
      <c r="AE117" t="n">
        <v>29.36</v>
      </c>
      <c r="AF117" t="n">
        <v>62.51</v>
      </c>
      <c r="AG117" s="12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11">
        <f>AG117+IF(X117&lt;1.35,0,1)+IF(Y117&lt;1.35,0,1)+AC117+AA117</f>
        <v/>
      </c>
      <c r="AI117" s="11" t="n">
        <v>12</v>
      </c>
      <c r="AJ117" s="11">
        <f>IF(AI117&gt;12.7,IF(AI117&gt;15.8,0.93,0.98),1)</f>
        <v/>
      </c>
      <c r="AK117" s="11">
        <f>(1.2*AG117+AH117)*AJ117*AQ117</f>
        <v/>
      </c>
      <c r="AL117" s="10">
        <f>D117</f>
        <v/>
      </c>
      <c r="AM117" s="14">
        <f>B117</f>
        <v/>
      </c>
      <c r="AN117" s="55" t="n">
        <v>3</v>
      </c>
      <c r="AO117" s="13">
        <f>AN117+1</f>
        <v/>
      </c>
      <c r="AP117" s="13">
        <f>IF(AK117&gt;13.1,IF(Z117&lt;101,IF(Z117&lt;35,IF(Z117&lt;6,3,2),1),0),0)</f>
        <v/>
      </c>
      <c r="AQ117" s="11" t="n">
        <v>1</v>
      </c>
      <c r="AR117" s="11">
        <f>IF(AP117&gt;0,IF(AB117&gt;10,(AB117/Z117),10/Z117),0)</f>
        <v/>
      </c>
      <c r="AS117" s="53" t="inlineStr">
        <is>
          <t>Feb</t>
        </is>
      </c>
      <c r="AT117" s="11">
        <f>100*(AK117-AQ117)/AQ117</f>
        <v/>
      </c>
      <c r="AZ117" s="21" t="n"/>
      <c r="BA117" s="56" t="n"/>
      <c r="BB117" s="56" t="n"/>
      <c r="BC117" s="56" t="n"/>
      <c r="BD117" s="56" t="n"/>
    </row>
    <row r="118" ht="17.25" customHeight="1">
      <c r="A118" t="inlineStr">
        <is>
          <t>https://www.chittorgarh.com/ipo/brandman-retail-ipo/2274/</t>
        </is>
      </c>
      <c r="B118" t="inlineStr">
        <is>
          <t>Brandman Retail Date</t>
        </is>
      </c>
      <c r="C118" t="inlineStr">
        <is>
          <t>2026</t>
        </is>
      </c>
      <c r="D118" s="17" t="inlineStr">
        <is>
          <t>Pos</t>
        </is>
      </c>
      <c r="E118" t="n">
        <v>11.87</v>
      </c>
      <c r="F118" t="n">
        <v>29.79</v>
      </c>
      <c r="G118" s="11">
        <f>100*(F118-E118)/F118</f>
        <v/>
      </c>
      <c r="H118" t="n">
        <v>84.73</v>
      </c>
      <c r="I118" t="n">
        <v>20.95</v>
      </c>
      <c r="J118" t="n">
        <v>20.64</v>
      </c>
      <c r="K118" t="n">
        <v>15.45</v>
      </c>
      <c r="L118" t="n">
        <v>43.69</v>
      </c>
      <c r="M118" t="n">
        <v>31.15</v>
      </c>
      <c r="N118" t="n">
        <v>28.35</v>
      </c>
      <c r="O118" t="n">
        <v>136.3</v>
      </c>
      <c r="P118" s="11">
        <f>O118/I118</f>
        <v/>
      </c>
      <c r="Q118" t="n">
        <v>11.39</v>
      </c>
      <c r="R118" s="2" t="n">
        <v>12.38</v>
      </c>
      <c r="S118" s="12" t="n">
        <v>1</v>
      </c>
      <c r="T118" t="n">
        <v>86.09</v>
      </c>
      <c r="U118" t="n">
        <v>0</v>
      </c>
      <c r="V118" t="n">
        <v>1</v>
      </c>
      <c r="W118" t="n">
        <v>1</v>
      </c>
      <c r="X118" t="n">
        <v>85.23999999999999</v>
      </c>
      <c r="Y118" t="n">
        <v>202.98</v>
      </c>
      <c r="Z118" t="n">
        <v>93.11</v>
      </c>
      <c r="AA118" s="11">
        <f>IF(X118&lt;50,IF(Y118&gt;(2.3*X118),0,1),1)-IF(Z118&gt;Y118,1.7,0)</f>
        <v/>
      </c>
      <c r="AB118" t="n">
        <v>15.91</v>
      </c>
      <c r="AC118" s="11">
        <f>IF(AB118&gt;4,1,0)+AB118/7</f>
        <v/>
      </c>
      <c r="AD118" t="n">
        <v>153.33</v>
      </c>
      <c r="AE118" t="n">
        <v>10.37</v>
      </c>
      <c r="AF118" t="n">
        <v>236.99</v>
      </c>
      <c r="AG118" s="12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11">
        <f>AG118+IF(X118&lt;1.35,0,1)+IF(Y118&lt;1.35,0,1)+AC118+AA118</f>
        <v/>
      </c>
      <c r="AI118" s="11" t="n">
        <v>12</v>
      </c>
      <c r="AJ118" s="11">
        <f>IF(AI118&gt;12.7,IF(AI118&gt;15.8,0.93,0.98),1)</f>
        <v/>
      </c>
      <c r="AK118" s="11">
        <f>(1.2*AG118+AH118)*AJ118*AQ118</f>
        <v/>
      </c>
      <c r="AL118" s="10">
        <f>D118</f>
        <v/>
      </c>
      <c r="AM118" s="14">
        <f>B118</f>
        <v/>
      </c>
      <c r="AN118" s="55" t="n">
        <v>6</v>
      </c>
      <c r="AO118" s="13">
        <f>AN118+1</f>
        <v/>
      </c>
      <c r="AP118" s="13">
        <f>IF(AK118&gt;13.1,IF(Z118&lt;101,IF(Z118&lt;35,IF(Z118&lt;6,3,2),1),0),0)</f>
        <v/>
      </c>
      <c r="AQ118" s="11" t="n">
        <v>1</v>
      </c>
      <c r="AR118" s="11">
        <f>IF(AP118&gt;0,IF(AB118&gt;10,(AB118/Z118),10/Z118),0)</f>
        <v/>
      </c>
      <c r="AS118" s="11" t="n"/>
      <c r="AT118" s="11">
        <f>100*(AK118-AQ118)/AQ118</f>
        <v/>
      </c>
      <c r="AZ118" s="13" t="n"/>
    </row>
    <row r="119" ht="12.75" customHeight="1">
      <c r="A119" t="inlineStr">
        <is>
          <t>https://www.chittorgarh.com/ipo/grover-jewells-ipo/2731/</t>
        </is>
      </c>
      <c r="B119" t="inlineStr">
        <is>
          <t>Grover Jewells Date,</t>
        </is>
      </c>
      <c r="C119" t="inlineStr">
        <is>
          <t>2026</t>
        </is>
      </c>
      <c r="D119" s="17" t="inlineStr">
        <is>
          <t>Pos</t>
        </is>
      </c>
      <c r="E119" t="n">
        <v>9.34</v>
      </c>
      <c r="F119" t="n">
        <v>16.69</v>
      </c>
      <c r="G119" s="11">
        <f>100*(F119-E119)/F119</f>
        <v/>
      </c>
      <c r="H119" t="n">
        <v>29.85</v>
      </c>
      <c r="I119" t="n">
        <v>7.62</v>
      </c>
      <c r="J119" t="n">
        <v>2.21</v>
      </c>
      <c r="K119" t="n">
        <v>7.15</v>
      </c>
      <c r="L119" t="n">
        <v>0</v>
      </c>
      <c r="M119" t="n">
        <v>11.26</v>
      </c>
      <c r="N119" t="n">
        <v>3.09</v>
      </c>
      <c r="O119" t="n">
        <v>460.95</v>
      </c>
      <c r="P119" s="11">
        <f>O119/I119</f>
        <v/>
      </c>
      <c r="Q119" t="n">
        <v>12.31</v>
      </c>
      <c r="R119" s="2" t="n">
        <v>7.12</v>
      </c>
      <c r="S119" s="12" t="n">
        <v>1</v>
      </c>
      <c r="T119" t="n">
        <v>33.83</v>
      </c>
      <c r="U119" t="n">
        <v>0</v>
      </c>
      <c r="V119" t="n">
        <v>1</v>
      </c>
      <c r="W119" t="n">
        <v>1</v>
      </c>
      <c r="X119" t="n">
        <v>11.32</v>
      </c>
      <c r="Y119" t="n">
        <v>37.57</v>
      </c>
      <c r="Z119" t="n">
        <v>15</v>
      </c>
      <c r="AA119" s="11">
        <f>IF(X119&lt;50,IF(Y119&gt;(2.3*X119),0,1),1)-IF(Z119&gt;Y119,1.7,0)</f>
        <v/>
      </c>
      <c r="AB119" t="n">
        <v>3.4</v>
      </c>
      <c r="AC119" s="11">
        <f>IF(AB119&gt;4,1,0)+AB119/7</f>
        <v/>
      </c>
      <c r="AD119" t="n">
        <v>174.1</v>
      </c>
      <c r="AE119" t="n">
        <v>78.66</v>
      </c>
      <c r="AF119" t="n">
        <v>84.01000000000001</v>
      </c>
      <c r="AG119" s="12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11">
        <f>AG119+IF(X119&lt;1.35,0,1)+IF(Y119&lt;1.35,0,1)+AC119+AA119</f>
        <v/>
      </c>
      <c r="AI119" s="11" t="n">
        <v>12</v>
      </c>
      <c r="AJ119" s="11">
        <f>IF(AI119&gt;12.7,IF(AI119&gt;15.8,0.93,0.98),1)</f>
        <v/>
      </c>
      <c r="AK119" s="11">
        <f>(1.2*AG119+AH119)*AJ119*AQ119</f>
        <v/>
      </c>
      <c r="AL119" s="10">
        <f>D119</f>
        <v/>
      </c>
      <c r="AM119" s="14">
        <f>B119</f>
        <v/>
      </c>
      <c r="AN119" s="57" t="n">
        <v>6</v>
      </c>
      <c r="AO119" s="13">
        <f>AN119+1</f>
        <v/>
      </c>
      <c r="AP119" s="13">
        <f>IF(AK119&gt;13.1,IF(Z119&lt;101,IF(Z119&lt;35,IF(Z119&lt;6,3,2),1),0),0)</f>
        <v/>
      </c>
      <c r="AQ119" s="11" t="n">
        <v>1</v>
      </c>
      <c r="AR119" s="11">
        <f>IF(AP119&gt;0,IF(AB119&gt;10,(AB119/Z119),10/Z119),0)</f>
        <v/>
      </c>
      <c r="AS119" s="11" t="n">
        <v>1</v>
      </c>
      <c r="AT119" s="11">
        <f>100*(AK119-AQ119)/AQ119</f>
        <v/>
      </c>
      <c r="AZ119" s="21" t="n"/>
      <c r="BA119" s="56" t="n"/>
      <c r="BB119" s="56" t="n"/>
      <c r="BC119" s="56" t="n"/>
      <c r="BD119" s="56" t="n"/>
    </row>
    <row r="120" ht="12.75" customHeight="1">
      <c r="A120" t="inlineStr">
        <is>
          <t>https://www.chittorgarh.com/ipo/pan-hr-solutions-ipo/2759/</t>
        </is>
      </c>
      <c r="B120" t="inlineStr">
        <is>
          <t>PAN HR Solutions Dat</t>
        </is>
      </c>
      <c r="C120" t="inlineStr">
        <is>
          <t>2026</t>
        </is>
      </c>
      <c r="D120" s="17" t="inlineStr">
        <is>
          <t>Neg</t>
        </is>
      </c>
      <c r="E120" t="n">
        <v>0</v>
      </c>
      <c r="F120" t="n">
        <v>18.26</v>
      </c>
      <c r="G120" s="11">
        <f>100*(F120-E120)/F120</f>
        <v/>
      </c>
      <c r="H120" t="n">
        <v>36.06</v>
      </c>
      <c r="I120" t="n">
        <v>5.02</v>
      </c>
      <c r="J120" t="n">
        <v>3.33</v>
      </c>
      <c r="K120" t="n">
        <v>9.27</v>
      </c>
      <c r="L120" t="n">
        <v>24.64</v>
      </c>
      <c r="M120" t="n">
        <v>6.86</v>
      </c>
      <c r="N120" t="n">
        <v>4.12</v>
      </c>
      <c r="O120" t="n">
        <v>283.69</v>
      </c>
      <c r="P120" s="11">
        <f>O120/I120</f>
        <v/>
      </c>
      <c r="Q120" t="n">
        <v>8.41</v>
      </c>
      <c r="R120" s="2" t="n">
        <v>7.31</v>
      </c>
      <c r="S120" s="12" t="n">
        <v>1</v>
      </c>
      <c r="T120" t="n">
        <v>17.04</v>
      </c>
      <c r="U120" t="n">
        <v>3</v>
      </c>
      <c r="V120" t="n">
        <v>1</v>
      </c>
      <c r="W120" t="n">
        <v>1</v>
      </c>
      <c r="X120" t="n">
        <v>3.52</v>
      </c>
      <c r="Y120" t="n">
        <v>6</v>
      </c>
      <c r="Z120" t="n">
        <v>3.9</v>
      </c>
      <c r="AA120" s="11">
        <f>IF(X120&lt;50,IF(Y120&gt;(2.3*X120),0,1),1)-IF(Z120&gt;Y120,1.7,0)</f>
        <v/>
      </c>
      <c r="AB120" t="n">
        <v>0</v>
      </c>
      <c r="AC120" s="11">
        <f>IF(AB120&gt;4,1,0)+AB120/7</f>
        <v/>
      </c>
      <c r="AD120" t="n">
        <v>19.52</v>
      </c>
      <c r="AE120" t="n">
        <v>0.63</v>
      </c>
      <c r="AF120" t="n">
        <v>30.06</v>
      </c>
      <c r="AG120" s="12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11">
        <f>AG120+IF(X120&lt;1.35,0,1)+IF(Y120&lt;1.35,0,1)+AC120+AA120</f>
        <v/>
      </c>
      <c r="AI120" s="11" t="n">
        <v>12</v>
      </c>
      <c r="AJ120" s="11">
        <f>IF(AI120&gt;12.7,IF(AI120&gt;15.8,0.93,0.98),1)</f>
        <v/>
      </c>
      <c r="AK120" s="11">
        <f>(1.2*AG120+AH120)*AJ120*AQ120</f>
        <v/>
      </c>
      <c r="AL120" s="10">
        <f>D120</f>
        <v/>
      </c>
      <c r="AM120" s="14">
        <f>B120</f>
        <v/>
      </c>
      <c r="AN120" s="55" t="n">
        <v>10</v>
      </c>
      <c r="AO120" s="13">
        <f>AN120+1</f>
        <v/>
      </c>
      <c r="AP120" s="13">
        <f>IF(AK120&gt;13.1,IF(Z120&lt;101,IF(Z120&lt;35,IF(Z120&lt;6,3,2),1),0),0)</f>
        <v/>
      </c>
      <c r="AQ120" s="11" t="n">
        <v>1</v>
      </c>
      <c r="AR120" s="11">
        <f>IF(AP120&gt;0,IF(AB120&gt;10,(AB120/Z120),10/Z120),0)</f>
        <v/>
      </c>
      <c r="AS120" s="11" t="n"/>
      <c r="AT120" s="11">
        <f>100*(AK120-AQ120)/AQ120</f>
        <v/>
      </c>
      <c r="AZ120" s="13" t="n"/>
    </row>
    <row r="121" ht="12.75" customHeight="1">
      <c r="A121" t="inlineStr">
        <is>
          <t>https://www.chittorgarh.com/ipo/biopol-chemicals-ipo/2721/</t>
        </is>
      </c>
      <c r="B121" t="inlineStr">
        <is>
          <t>Biopol Chemicals Dat</t>
        </is>
      </c>
      <c r="C121" t="inlineStr">
        <is>
          <t>2026</t>
        </is>
      </c>
      <c r="D121" s="17" t="inlineStr">
        <is>
          <t>Neg</t>
        </is>
      </c>
      <c r="E121" t="n">
        <v>7.69</v>
      </c>
      <c r="F121" t="n">
        <v>13.53</v>
      </c>
      <c r="G121" s="11">
        <f>100*(F121-E121)/F121</f>
        <v/>
      </c>
      <c r="H121" t="n">
        <v>31.48</v>
      </c>
      <c r="I121" t="n">
        <v>4.33</v>
      </c>
      <c r="J121" t="n">
        <v>12.29</v>
      </c>
      <c r="K121" t="n">
        <v>5.47</v>
      </c>
      <c r="L121" t="n">
        <v>36.32</v>
      </c>
      <c r="M121" t="n">
        <v>6.53</v>
      </c>
      <c r="N121" t="n">
        <v>18.41</v>
      </c>
      <c r="O121" t="n">
        <v>49.15</v>
      </c>
      <c r="P121" s="11">
        <f>O121/I121</f>
        <v/>
      </c>
      <c r="Q121" t="n">
        <v>19.73</v>
      </c>
      <c r="R121" s="2" t="n">
        <v>14.58</v>
      </c>
      <c r="S121" s="12" t="n">
        <v>-1</v>
      </c>
      <c r="T121" t="n">
        <v>31.26</v>
      </c>
      <c r="U121" t="n">
        <v>0</v>
      </c>
      <c r="V121" t="n">
        <v>0</v>
      </c>
      <c r="W121" t="n">
        <v>1</v>
      </c>
      <c r="X121" t="n">
        <v>17.39</v>
      </c>
      <c r="Y121" t="n">
        <v>23.67</v>
      </c>
      <c r="Z121" t="n">
        <v>18</v>
      </c>
      <c r="AA121" s="11">
        <f>IF(X121&lt;50,IF(Y121&gt;(2.3*X121),0,1),1)-IF(Z121&gt;Y121,1.7,0)</f>
        <v/>
      </c>
      <c r="AB121" t="n">
        <v>2.78</v>
      </c>
      <c r="AC121" s="11">
        <f>IF(AB121&gt;4,1,0)+AB121/7</f>
        <v/>
      </c>
      <c r="AD121" t="n">
        <v>46.28</v>
      </c>
      <c r="AE121" t="n">
        <v>181.99</v>
      </c>
      <c r="AF121" t="n">
        <v>47.07</v>
      </c>
      <c r="AG121" s="12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11">
        <f>AG121+IF(X121&lt;1.35,0,1)+IF(Y121&lt;1.35,0,1)+AC121+AA121</f>
        <v/>
      </c>
      <c r="AI121" s="11" t="n">
        <v>12</v>
      </c>
      <c r="AJ121" s="11">
        <f>IF(AI121&gt;12.7,IF(AI121&gt;15.8,0.93,0.98),1)</f>
        <v/>
      </c>
      <c r="AK121" s="11">
        <f>(1.2*AG121+AH121)*AJ121*AQ121</f>
        <v/>
      </c>
      <c r="AL121" s="10">
        <f>D121</f>
        <v/>
      </c>
      <c r="AM121" s="14">
        <f>B121</f>
        <v/>
      </c>
      <c r="AN121" s="55" t="n">
        <v>10</v>
      </c>
      <c r="AO121" s="13">
        <f>AN121+1</f>
        <v/>
      </c>
      <c r="AP121" s="13">
        <f>IF(AK121&gt;13.1,IF(Z121&lt;101,IF(Z121&lt;35,IF(Z121&lt;6,3,2),1),0),0)</f>
        <v/>
      </c>
      <c r="AQ121" s="11" t="n">
        <v>1</v>
      </c>
      <c r="AR121" s="11">
        <f>IF(AP121&gt;0,IF(AB121&gt;10,(AB121/Z121),10/Z121),0)</f>
        <v/>
      </c>
      <c r="AS121" s="11" t="n"/>
      <c r="AT121" s="11">
        <f>100*(AK121-AQ121)/AQ121</f>
        <v/>
      </c>
      <c r="AZ121" s="13" t="n"/>
    </row>
    <row r="122" ht="12.75" customHeight="1">
      <c r="A122" t="inlineStr">
        <is>
          <t>https://www.chittorgarh.com/ipo/marushika-technology-ipo/2606/</t>
        </is>
      </c>
      <c r="B122" t="inlineStr">
        <is>
          <t>Marushika Technology</t>
        </is>
      </c>
      <c r="C122" t="inlineStr">
        <is>
          <t>2026</t>
        </is>
      </c>
      <c r="D122" s="17" t="inlineStr">
        <is>
          <t>Pos</t>
        </is>
      </c>
      <c r="E122" t="n">
        <v>21.37</v>
      </c>
      <c r="F122" t="n">
        <v>15.37</v>
      </c>
      <c r="G122" s="11">
        <f>100*(F122-E122)/F122</f>
        <v/>
      </c>
      <c r="H122" t="n">
        <v>53.94</v>
      </c>
      <c r="I122" t="n">
        <v>6.29</v>
      </c>
      <c r="J122" t="n">
        <v>6.45</v>
      </c>
      <c r="K122" t="n">
        <v>10.09</v>
      </c>
      <c r="L122" t="n">
        <v>18.52</v>
      </c>
      <c r="M122" t="n">
        <v>10.47</v>
      </c>
      <c r="N122" t="n">
        <v>11.59</v>
      </c>
      <c r="O122" t="n">
        <v>85.63</v>
      </c>
      <c r="P122" s="11">
        <f>O122/I122</f>
        <v/>
      </c>
      <c r="Q122" t="n">
        <v>11.6</v>
      </c>
      <c r="R122" s="2" t="n">
        <v>15.91</v>
      </c>
      <c r="S122" s="12" t="n">
        <v>-1</v>
      </c>
      <c r="T122" t="n">
        <v>26.97</v>
      </c>
      <c r="U122" t="n">
        <v>0</v>
      </c>
      <c r="V122" t="n">
        <v>1</v>
      </c>
      <c r="W122" t="n">
        <v>1</v>
      </c>
      <c r="X122" t="n">
        <v>0</v>
      </c>
      <c r="Y122" t="n">
        <v>4.7</v>
      </c>
      <c r="Z122" t="n">
        <v>3.01</v>
      </c>
      <c r="AA122" s="11">
        <f>IF(X122&lt;50,IF(Y122&gt;(2.3*X122),0,1),1)-IF(Z122&gt;Y122,1.7,0)</f>
        <v/>
      </c>
      <c r="AB122" t="n">
        <v>0</v>
      </c>
      <c r="AC122" s="11">
        <f>IF(AB122&gt;4,1,0)+AB122/7</f>
        <v/>
      </c>
      <c r="AD122" t="n">
        <v>100.32</v>
      </c>
      <c r="AE122" t="n">
        <v>40.77</v>
      </c>
      <c r="AF122" t="n">
        <v>81.89</v>
      </c>
      <c r="AG122" s="12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11">
        <f>AG122+IF(X122&lt;1.35,0,1)+IF(Y122&lt;1.35,0,1)+AC122+AA122</f>
        <v/>
      </c>
      <c r="AI122" s="11" t="n">
        <v>13</v>
      </c>
      <c r="AJ122" s="11">
        <f>IF(AI122&gt;12.7,IF(AI122&gt;15.8,0.93,0.98),1)</f>
        <v/>
      </c>
      <c r="AK122" s="11">
        <f>(1.2*AG122+AH122)*AJ122*AQ122</f>
        <v/>
      </c>
      <c r="AL122" s="10">
        <f>D122</f>
        <v/>
      </c>
      <c r="AM122" s="14">
        <f>B122</f>
        <v/>
      </c>
      <c r="AN122" s="55" t="n">
        <v>16</v>
      </c>
      <c r="AO122" s="13">
        <f>AN122+1</f>
        <v/>
      </c>
      <c r="AP122" s="13">
        <f>IF(AK122&gt;13.1,IF(Z122&lt;101,IF(Z122&lt;35,IF(Z122&lt;6,3,2),1),0),0)</f>
        <v/>
      </c>
      <c r="AQ122" s="11" t="n">
        <v>1</v>
      </c>
      <c r="AR122" s="11">
        <f>IF(AP122&gt;0,IF(AB122&gt;10,(AB122/Z122),10/Z122),0)</f>
        <v/>
      </c>
      <c r="AS122" s="11" t="n"/>
      <c r="AT122" s="11">
        <f>100*(AK122-AQ122)/AQ122</f>
        <v/>
      </c>
      <c r="AZ122" s="13" t="n"/>
    </row>
    <row r="123" ht="12.75" customHeight="1">
      <c r="A123" t="inlineStr">
        <is>
          <t>https://www.chittorgarh.com/ipo/fractal-industries-ipo/2780/</t>
        </is>
      </c>
      <c r="B123" t="inlineStr">
        <is>
          <t>Fractal Industries D</t>
        </is>
      </c>
      <c r="C123" t="inlineStr">
        <is>
          <t>2026</t>
        </is>
      </c>
      <c r="D123" s="17" t="inlineStr">
        <is>
          <t>Pos</t>
        </is>
      </c>
      <c r="E123" t="n">
        <v>27.61</v>
      </c>
      <c r="F123" t="n">
        <v>15.7</v>
      </c>
      <c r="G123" s="11">
        <f>100*(F123-E123)/F123</f>
        <v/>
      </c>
      <c r="H123" t="n">
        <v>51.42</v>
      </c>
      <c r="I123" t="n">
        <v>7.54</v>
      </c>
      <c r="J123" t="n">
        <v>14.34</v>
      </c>
      <c r="K123" t="n">
        <v>13.51</v>
      </c>
      <c r="L123" t="n">
        <v>34.52</v>
      </c>
      <c r="M123" t="n">
        <v>11.15</v>
      </c>
      <c r="N123" t="n">
        <v>19.63</v>
      </c>
      <c r="O123" t="n">
        <v>85.51000000000001</v>
      </c>
      <c r="P123" s="11">
        <f>O123/I123</f>
        <v/>
      </c>
      <c r="Q123" t="n">
        <v>15.99</v>
      </c>
      <c r="R123" s="2" t="n">
        <v>12.5</v>
      </c>
      <c r="S123" s="12" t="n">
        <v>0.9</v>
      </c>
      <c r="T123" t="n">
        <v>49</v>
      </c>
      <c r="U123" t="n">
        <v>0</v>
      </c>
      <c r="V123" t="n">
        <v>1</v>
      </c>
      <c r="W123" t="n">
        <v>1</v>
      </c>
      <c r="X123" t="n">
        <v>5.95</v>
      </c>
      <c r="Y123" t="n">
        <v>7.91</v>
      </c>
      <c r="Z123" t="n">
        <v>4.09</v>
      </c>
      <c r="AA123" s="11">
        <f>IF(X123&lt;50,IF(Y123&gt;(2.3*X123),0,1),1)-IF(Z123&gt;Y123,1.7,0)</f>
        <v/>
      </c>
      <c r="AB123" t="n">
        <v>0</v>
      </c>
      <c r="AC123" s="11">
        <f>IF(AB123&gt;4,1,0)+AB123/7</f>
        <v/>
      </c>
      <c r="AD123" t="n">
        <v>232.16</v>
      </c>
      <c r="AE123" t="n">
        <v>70.98999999999999</v>
      </c>
      <c r="AF123" t="n">
        <v>92.40000000000001</v>
      </c>
      <c r="AG123" s="12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11">
        <f>AG123+IF(X123&lt;1.35,0,1)+IF(Y123&lt;1.35,0,1)+AC123+AA123</f>
        <v/>
      </c>
      <c r="AI123" s="11" t="n">
        <v>13</v>
      </c>
      <c r="AJ123" s="11">
        <f>IF(AI123&gt;12.7,IF(AI123&gt;15.8,0.93,0.98),1)</f>
        <v/>
      </c>
      <c r="AK123" s="11">
        <f>(1.2*AG123+AH123)*AJ123*AQ123</f>
        <v/>
      </c>
      <c r="AL123" s="10">
        <f>D123</f>
        <v/>
      </c>
      <c r="AM123" s="14">
        <f>B123</f>
        <v/>
      </c>
      <c r="AN123" s="55" t="n">
        <v>18</v>
      </c>
      <c r="AO123" s="13">
        <f>AN123+1</f>
        <v/>
      </c>
      <c r="AP123" s="13">
        <f>IF(AK123&gt;13.1,IF(Z123&lt;101,IF(Z123&lt;35,IF(Z123&lt;6,3,2),1),0),0)</f>
        <v/>
      </c>
      <c r="AQ123" s="11" t="n">
        <v>1</v>
      </c>
      <c r="AR123" s="13">
        <f>IF(AP123&gt;0,IF(AB123&gt;10,(AB123/Z123),10/Z123),0)</f>
        <v/>
      </c>
      <c r="AS123" s="13" t="n"/>
      <c r="AT123" s="11">
        <f>100*(AK123-AQ123)/AQ123</f>
        <v/>
      </c>
      <c r="AZ123" s="13" t="n"/>
    </row>
    <row r="124" ht="12.75" customHeight="1">
      <c r="A124" t="inlineStr">
        <is>
          <t>https://www.chittorgarh.com/ipo/yashhtej-industries-india-ipo/2700/</t>
        </is>
      </c>
      <c r="B124" t="inlineStr">
        <is>
          <t xml:space="preserve">Yashhtej Industries </t>
        </is>
      </c>
      <c r="C124" t="inlineStr">
        <is>
          <t>2026</t>
        </is>
      </c>
      <c r="D124" s="17" t="inlineStr">
        <is>
          <t>Neg</t>
        </is>
      </c>
      <c r="E124" t="n">
        <v>43.85</v>
      </c>
      <c r="F124" t="n">
        <v>19.62</v>
      </c>
      <c r="G124" s="11">
        <f>100*(F124-E124)/F124</f>
        <v/>
      </c>
      <c r="H124" t="n">
        <v>75.2</v>
      </c>
      <c r="I124" t="n">
        <v>11.57</v>
      </c>
      <c r="J124" t="n">
        <v>3.79</v>
      </c>
      <c r="K124" t="n">
        <v>7.71</v>
      </c>
      <c r="L124" t="n">
        <v>31.19</v>
      </c>
      <c r="M124" t="n">
        <v>21.02</v>
      </c>
      <c r="N124" t="n">
        <v>6.51</v>
      </c>
      <c r="O124" t="n">
        <v>324.96</v>
      </c>
      <c r="P124" s="11">
        <f>O124/I124</f>
        <v/>
      </c>
      <c r="Q124" t="n">
        <v>14.26</v>
      </c>
      <c r="R124" s="2" t="n">
        <v>17.51</v>
      </c>
      <c r="S124" s="12" t="n">
        <v>-1</v>
      </c>
      <c r="T124" t="n">
        <v>88.88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s="11">
        <f>IF(X124&lt;50,IF(Y124&gt;(2.3*X124),0,1),1)-IF(Z124&gt;Y124,1.7,0)</f>
        <v/>
      </c>
      <c r="AB124" t="n">
        <v>0</v>
      </c>
      <c r="AC124" s="11">
        <f>IF(AB124&gt;4,1,0)+AB124/7</f>
        <v/>
      </c>
      <c r="AD124" t="n">
        <v>923.89</v>
      </c>
      <c r="AE124" t="n">
        <v>448.46</v>
      </c>
      <c r="AF124" t="n">
        <v>143.73</v>
      </c>
      <c r="AG124" s="12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11">
        <f>AG124+IF(X124&lt;1.35,0,1)+IF(Y124&lt;1.35,0,1)+AC124+AA124</f>
        <v/>
      </c>
      <c r="AI124" s="11" t="n">
        <v>14</v>
      </c>
      <c r="AJ124" s="11">
        <f>IF(AI124&gt;12.7,IF(AI124&gt;15.8,0.93,0.98),1)</f>
        <v/>
      </c>
      <c r="AK124" s="11">
        <f>(1.2*AG124+AH124)*AJ124*AQ124</f>
        <v/>
      </c>
      <c r="AL124" s="10">
        <f>D124</f>
        <v/>
      </c>
      <c r="AM124" s="14">
        <f>B124</f>
        <v/>
      </c>
      <c r="AN124" s="55" t="n">
        <v>20</v>
      </c>
      <c r="AO124" s="13" t="n">
        <v>23</v>
      </c>
      <c r="AP124" s="13">
        <f>IF(AK124&gt;13.1,IF(Z124&lt;101,IF(Z124&lt;35,IF(Z124&lt;6,3,2),1),0),0)</f>
        <v/>
      </c>
      <c r="AQ124" s="11" t="n">
        <v>1</v>
      </c>
      <c r="AR124" s="13">
        <f>IF(AP124&gt;0,IF(AB124&gt;10,(AB124/Z124),10/Z124),0)</f>
        <v/>
      </c>
      <c r="AS124" s="13" t="n"/>
      <c r="AT124" s="11">
        <f>100*(AK124-AQ124)/AQ124</f>
        <v/>
      </c>
      <c r="AZ124" s="13" t="n"/>
    </row>
    <row r="125" ht="12.75" customHeight="1">
      <c r="A125" t="inlineStr">
        <is>
          <t>https://www.chittorgarh.com/ipo/manilam-industries-ipo/2727/</t>
        </is>
      </c>
      <c r="B125" t="inlineStr">
        <is>
          <t>Manilam Industries D</t>
        </is>
      </c>
      <c r="C125" t="inlineStr">
        <is>
          <t>2026</t>
        </is>
      </c>
      <c r="D125" s="17" t="inlineStr">
        <is>
          <t>Neg</t>
        </is>
      </c>
      <c r="E125" t="n">
        <v>62.44</v>
      </c>
      <c r="F125" t="n">
        <v>33.87</v>
      </c>
      <c r="G125" s="11">
        <f>100*(F125-E125)/F125</f>
        <v/>
      </c>
      <c r="H125" t="n">
        <v>158.98</v>
      </c>
      <c r="I125" t="n">
        <v>7.38</v>
      </c>
      <c r="J125" t="n">
        <v>5.33</v>
      </c>
      <c r="K125" t="n">
        <v>4.3</v>
      </c>
      <c r="L125" t="n">
        <v>8.35</v>
      </c>
      <c r="M125" t="n">
        <v>17.75</v>
      </c>
      <c r="N125" t="n">
        <v>14.39</v>
      </c>
      <c r="O125" t="n">
        <v>142.16</v>
      </c>
      <c r="P125" s="11">
        <f>O125/I125</f>
        <v/>
      </c>
      <c r="Q125" t="n">
        <v>16.04</v>
      </c>
      <c r="R125" s="2" t="n">
        <v>23.85</v>
      </c>
      <c r="S125" s="12" t="n">
        <v>-1</v>
      </c>
      <c r="T125" t="n">
        <v>39.95</v>
      </c>
      <c r="U125" t="n">
        <v>7.53</v>
      </c>
      <c r="V125" t="n">
        <v>1</v>
      </c>
      <c r="W125" t="n">
        <v>1</v>
      </c>
      <c r="X125" t="n">
        <v>0.12</v>
      </c>
      <c r="Y125" t="n">
        <v>3.37</v>
      </c>
      <c r="Z125" t="n">
        <v>2.02</v>
      </c>
      <c r="AA125" s="11">
        <f>IF(X125&lt;50,IF(Y125&gt;(2.3*X125),0,1),1)-IF(Z125&gt;Y125,1.7,0)</f>
        <v/>
      </c>
      <c r="AB125" t="n">
        <v>0</v>
      </c>
      <c r="AC125" s="11">
        <f>IF(AB125&gt;4,1,0)+AB125/7</f>
        <v/>
      </c>
      <c r="AD125" t="n">
        <v>138.06</v>
      </c>
      <c r="AE125" t="n">
        <v>2.98</v>
      </c>
      <c r="AF125" t="n">
        <v>28.39</v>
      </c>
      <c r="AG125" s="12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11">
        <f>AG125+IF(X125&lt;1.35,0,1)+IF(Y125&lt;1.35,0,1)+AC125+AA125</f>
        <v/>
      </c>
      <c r="AI125" s="11" t="n">
        <v>14</v>
      </c>
      <c r="AJ125" s="11">
        <f>IF(AI125&gt;12.7,IF(AI125&gt;15.8,0.93,0.98),1)</f>
        <v/>
      </c>
      <c r="AK125" s="11">
        <f>(1.2*AG125+AH125)*AJ125*AQ125</f>
        <v/>
      </c>
      <c r="AL125" s="10">
        <f>D125</f>
        <v/>
      </c>
      <c r="AM125" s="14">
        <f>B125</f>
        <v/>
      </c>
      <c r="AN125" s="55" t="n">
        <v>24</v>
      </c>
      <c r="AO125" s="13" t="n">
        <v>25</v>
      </c>
      <c r="AP125" s="13">
        <f>IF(AK125&gt;13.1,IF(Z125&lt;101,IF(Z125&lt;35,IF(Z125&lt;6,3,2),1),0),0)</f>
        <v/>
      </c>
      <c r="AQ125" s="11" t="n">
        <v>1</v>
      </c>
      <c r="AR125" s="13">
        <f>IF(AP125&gt;0,IF(AB125&gt;10,(AB125/Z125),10/Z125),0)</f>
        <v/>
      </c>
      <c r="AS125" s="13" t="n"/>
      <c r="AT125" s="11">
        <f>100*(AK125-AQ125)/AQ125</f>
        <v/>
      </c>
      <c r="AZ125" s="13" t="n"/>
    </row>
    <row r="126" ht="15" customHeight="1">
      <c r="A126" t="inlineStr">
        <is>
          <t>https://www.chittorgarh.com/ipo/kiaasa-retail-ipo/2417/</t>
        </is>
      </c>
      <c r="B126" t="inlineStr">
        <is>
          <t xml:space="preserve">Kiaasa Retail Date, </t>
        </is>
      </c>
      <c r="C126" t="inlineStr">
        <is>
          <t>2026</t>
        </is>
      </c>
      <c r="D126" s="17" t="inlineStr">
        <is>
          <t>Neg</t>
        </is>
      </c>
      <c r="E126" t="n">
        <v>28.67</v>
      </c>
      <c r="F126" t="n">
        <v>40.67</v>
      </c>
      <c r="G126" s="11">
        <f>100*(F126-E126)/F126</f>
        <v/>
      </c>
      <c r="H126" t="n">
        <v>144.3</v>
      </c>
      <c r="I126" t="n">
        <v>8.380000000000001</v>
      </c>
      <c r="J126" t="n">
        <v>11.46</v>
      </c>
      <c r="K126" t="n">
        <v>6.58</v>
      </c>
      <c r="L126" t="n">
        <v>20.2</v>
      </c>
      <c r="M126" t="n">
        <v>15.49</v>
      </c>
      <c r="N126" t="n">
        <v>21.17</v>
      </c>
      <c r="O126" t="n">
        <v>120.7</v>
      </c>
      <c r="P126" s="11">
        <f>O126/I126</f>
        <v/>
      </c>
      <c r="Q126" t="n">
        <v>19.31</v>
      </c>
      <c r="R126" s="2" t="n">
        <v>17.44</v>
      </c>
      <c r="S126" s="12" t="n">
        <v>-0.9</v>
      </c>
      <c r="T126" t="n">
        <v>69.72</v>
      </c>
      <c r="U126" t="n">
        <v>0</v>
      </c>
      <c r="V126" t="n">
        <v>0</v>
      </c>
      <c r="W126" t="n">
        <v>1</v>
      </c>
      <c r="X126" t="n">
        <v>15</v>
      </c>
      <c r="Y126" t="n">
        <v>1.48</v>
      </c>
      <c r="Z126" t="n">
        <v>2.39</v>
      </c>
      <c r="AA126" s="11">
        <f>IF(X126&lt;50,IF(Y126&gt;(2.3*X126),0,1),1)-IF(Z126&gt;Y126,1.7,0)</f>
        <v/>
      </c>
      <c r="AB126" t="n">
        <v>6</v>
      </c>
      <c r="AC126" s="11">
        <f>IF(AB126&gt;4,1,0)+AB126/7</f>
        <v/>
      </c>
      <c r="AD126" t="n">
        <v>45.99</v>
      </c>
      <c r="AE126" t="n">
        <v>41.68</v>
      </c>
      <c r="AF126" t="n">
        <v>219.98</v>
      </c>
      <c r="AG126" s="12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11">
        <f>AG126+IF(X126&lt;1.35,0,1)+IF(Y126&lt;1.35,0,1)+AC126+AA126</f>
        <v/>
      </c>
      <c r="AI126" s="11" t="n">
        <v>13</v>
      </c>
      <c r="AJ126" s="11">
        <f>IF(AI126&gt;12.7,IF(AI126&gt;15.8,0.93,0.98),1)</f>
        <v/>
      </c>
      <c r="AK126" s="11">
        <f>(1.2*AG126+AH126)*AJ126*AQ126</f>
        <v/>
      </c>
      <c r="AL126" s="10">
        <f>D126</f>
        <v/>
      </c>
      <c r="AM126" s="14">
        <f>B126</f>
        <v/>
      </c>
      <c r="AN126" s="55" t="n">
        <v>25</v>
      </c>
      <c r="AO126" s="13" t="n">
        <v>26</v>
      </c>
      <c r="AP126" s="13">
        <f>IF(AK126&gt;13.1,IF(Z126&lt;101,IF(Z126&lt;35,IF(Z126&lt;6,3,2),1),0),0)</f>
        <v/>
      </c>
      <c r="AQ126" s="11" t="n">
        <v>1</v>
      </c>
      <c r="AR126" s="13">
        <f>IF(AP126&gt;0,IF(AB126&gt;10,(AB126/Z126),10/Z126),0)</f>
        <v/>
      </c>
      <c r="AS126" s="13" t="n"/>
      <c r="AT126" s="11">
        <f>100*(AK126-AQ126)/AQ126</f>
        <v/>
      </c>
      <c r="AZ126" s="13" t="n"/>
    </row>
    <row r="127" ht="15" customHeight="1">
      <c r="A127" t="inlineStr">
        <is>
          <t>https://www.chittorgarh.com/ipo/mobilise-app-ipo/2584/</t>
        </is>
      </c>
      <c r="B127" t="inlineStr">
        <is>
          <t>Mobilise App Date, P</t>
        </is>
      </c>
      <c r="C127" t="inlineStr">
        <is>
          <t>2026</t>
        </is>
      </c>
      <c r="D127" s="17" t="inlineStr">
        <is>
          <t>Neg</t>
        </is>
      </c>
      <c r="E127" t="n">
        <v>0.11</v>
      </c>
      <c r="F127" t="n">
        <v>8.26</v>
      </c>
      <c r="G127" s="11">
        <f>100*(F127-E127)/F127</f>
        <v/>
      </c>
      <c r="H127" t="n">
        <v>11.92</v>
      </c>
      <c r="I127" t="n">
        <v>4.71</v>
      </c>
      <c r="J127" t="n">
        <v>30.32</v>
      </c>
      <c r="K127" t="n">
        <v>6.73</v>
      </c>
      <c r="L127" t="n">
        <v>0</v>
      </c>
      <c r="M127" t="n">
        <v>6.92</v>
      </c>
      <c r="N127" t="n">
        <v>48.34</v>
      </c>
      <c r="O127" t="n">
        <v>16.24</v>
      </c>
      <c r="P127" s="11">
        <f>O127/I127</f>
        <v/>
      </c>
      <c r="Q127" t="n">
        <v>11.88</v>
      </c>
      <c r="R127" s="2" t="n">
        <v>14.22</v>
      </c>
      <c r="S127" s="12" t="n">
        <v>1</v>
      </c>
      <c r="T127" t="n">
        <v>20.1</v>
      </c>
      <c r="U127" t="n">
        <v>0</v>
      </c>
      <c r="V127" t="n">
        <v>1</v>
      </c>
      <c r="W127" t="n">
        <v>1</v>
      </c>
      <c r="X127" t="n">
        <v>49</v>
      </c>
      <c r="Y127" t="n">
        <v>175</v>
      </c>
      <c r="Z127" t="n">
        <v>94.3</v>
      </c>
      <c r="AA127" s="11">
        <f>IF(X127&lt;50,IF(Y127&gt;(2.3*X127),0,1),1)-IF(Z127&gt;Y127,1.7,0)</f>
        <v/>
      </c>
      <c r="AB127" t="n">
        <v>8.75</v>
      </c>
      <c r="AC127" s="11">
        <f>IF(AB127&gt;4,1,0)+AB127/7</f>
        <v/>
      </c>
      <c r="AD127" t="n">
        <v>51.94</v>
      </c>
      <c r="AE127" t="n">
        <v>33.88</v>
      </c>
      <c r="AF127" t="n">
        <v>130.73</v>
      </c>
      <c r="AG127" s="12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11">
        <f>AG127+IF(X127&lt;1.35,0,1)+IF(Y127&lt;1.35,0,1)+AC127+AA127</f>
        <v/>
      </c>
      <c r="AI127" s="11" t="n">
        <v>13</v>
      </c>
      <c r="AJ127" s="11">
        <f>IF(AI127&gt;12.7,IF(AI127&gt;15.8,0.93,0.98),1)</f>
        <v/>
      </c>
      <c r="AK127" s="11">
        <f>(1.2*AG127+AH127)*AJ127*AQ127</f>
        <v/>
      </c>
      <c r="AL127" s="10">
        <f>D127</f>
        <v/>
      </c>
      <c r="AM127" s="14">
        <f>B127</f>
        <v/>
      </c>
      <c r="AN127" s="55" t="n">
        <v>25</v>
      </c>
      <c r="AO127" s="13" t="n">
        <v>26</v>
      </c>
      <c r="AP127" s="13">
        <f>IF(AK127&gt;13.1,IF(Z127&lt;101,IF(Z127&lt;35,IF(Z127&lt;6,3,2),1),0),0)</f>
        <v/>
      </c>
      <c r="AQ127" s="11" t="n">
        <v>0.95</v>
      </c>
      <c r="AR127" s="13">
        <f>IF(AP127&gt;0,IF(AB127&gt;10,(AB127/Z127),10/Z127),0)</f>
        <v/>
      </c>
      <c r="AS127" s="13" t="n"/>
      <c r="AT127" s="11">
        <f>100*(AK127-AQ127)/AQ127</f>
        <v/>
      </c>
      <c r="AZ127" s="13" t="n"/>
    </row>
    <row r="128" ht="15" customHeight="1">
      <c r="A128" t="inlineStr">
        <is>
          <t>https://www.chittorgarh.com/ipo/accord-transformer-switchgear-ipo/2763/</t>
        </is>
      </c>
      <c r="B128" t="inlineStr">
        <is>
          <t>Accord Transformer &amp;</t>
        </is>
      </c>
      <c r="C128" t="inlineStr">
        <is>
          <t>2026</t>
        </is>
      </c>
      <c r="D128" s="17" t="inlineStr">
        <is>
          <t>Pos</t>
        </is>
      </c>
      <c r="E128" t="n">
        <v>11.81</v>
      </c>
      <c r="F128" t="n">
        <v>21.54</v>
      </c>
      <c r="G128" s="11">
        <f>100*(F128-E128)/F128</f>
        <v/>
      </c>
      <c r="H128" t="n">
        <v>59.89</v>
      </c>
      <c r="I128" t="n">
        <v>6.05</v>
      </c>
      <c r="J128" t="n">
        <v>6.44</v>
      </c>
      <c r="K128" t="n">
        <v>4.03</v>
      </c>
      <c r="L128" t="n">
        <v>12.67</v>
      </c>
      <c r="M128" t="n">
        <v>9.1</v>
      </c>
      <c r="N128" t="n">
        <v>10.19</v>
      </c>
      <c r="O128" t="n">
        <v>79.2</v>
      </c>
      <c r="P128" s="11">
        <f>O128/I128</f>
        <v/>
      </c>
      <c r="Q128" t="n">
        <v>11.41</v>
      </c>
      <c r="R128" s="2" t="n">
        <v>15.63</v>
      </c>
      <c r="S128" s="12" t="n">
        <v>-1</v>
      </c>
      <c r="T128" t="n">
        <v>25.59</v>
      </c>
      <c r="U128" t="n">
        <v>0</v>
      </c>
      <c r="V128" t="n">
        <v>1</v>
      </c>
      <c r="W128" t="n">
        <v>1</v>
      </c>
      <c r="X128" t="n">
        <v>153</v>
      </c>
      <c r="Y128" t="n">
        <v>600</v>
      </c>
      <c r="Z128" t="n">
        <v>351</v>
      </c>
      <c r="AA128" s="11">
        <f>IF(X128&lt;50,IF(Y128&gt;(2.3*X128),0,1),1)-IF(Z128&gt;Y128,1.7,0)</f>
        <v/>
      </c>
      <c r="AB128" t="n">
        <v>26.09</v>
      </c>
      <c r="AC128" s="11">
        <f>IF(AB128&gt;4,1,0)+AB128/7</f>
        <v/>
      </c>
      <c r="AD128" t="n">
        <v>275.78</v>
      </c>
      <c r="AE128" t="n">
        <v>62.96</v>
      </c>
      <c r="AF128" t="n">
        <v>256.62</v>
      </c>
      <c r="AG128" s="12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11">
        <f>AG128+IF(X128&lt;1.35,0,1)+IF(Y128&lt;1.35,0,1)+AC128+AA128</f>
        <v/>
      </c>
      <c r="AI128" s="11" t="n">
        <v>13</v>
      </c>
      <c r="AJ128" s="11">
        <f>IF(AI128&gt;12.7,IF(AI128&gt;15.8,0.93,0.98),1)</f>
        <v/>
      </c>
      <c r="AK128" s="11">
        <f>(1.2*AG128+AH128)*AJ128*AQ128</f>
        <v/>
      </c>
      <c r="AL128" s="10">
        <f>D128</f>
        <v/>
      </c>
      <c r="AM128" s="14">
        <f>B128</f>
        <v/>
      </c>
      <c r="AN128" s="55" t="n">
        <v>25</v>
      </c>
      <c r="AO128" s="13" t="n">
        <v>26</v>
      </c>
      <c r="AP128" s="13">
        <f>IF(AK128&gt;13.1,IF(Z128&lt;101,IF(Z128&lt;35,IF(Z128&lt;6,3,2),1),0),0)</f>
        <v/>
      </c>
      <c r="AQ128" s="11" t="n">
        <v>1</v>
      </c>
      <c r="AR128" s="13">
        <f>IF(AP128&gt;0,IF(AB128&gt;10,(AB128/Z128),10/Z128),0)</f>
        <v/>
      </c>
      <c r="AS128" s="13" t="n"/>
      <c r="AT128" s="11">
        <f>100*(AK128-AQ128)/AQ128</f>
        <v/>
      </c>
      <c r="AV128" s="17" t="n"/>
      <c r="AZ128" s="13" t="n"/>
    </row>
    <row r="129" ht="12.75" customHeight="1">
      <c r="A129" t="inlineStr">
        <is>
          <t>https://www.chittorgarh.com/ipo/yaap-digital-ipo/2582/</t>
        </is>
      </c>
      <c r="B129" t="inlineStr">
        <is>
          <t>Yaap Digital Date, P</t>
        </is>
      </c>
      <c r="C129" t="inlineStr">
        <is>
          <t>2026</t>
        </is>
      </c>
      <c r="D129" s="17" t="inlineStr">
        <is>
          <t>Neg</t>
        </is>
      </c>
      <c r="E129" t="n">
        <v>22.8</v>
      </c>
      <c r="F129" t="n">
        <v>22.25</v>
      </c>
      <c r="G129" s="11">
        <f>100*(F129-E129)/F129</f>
        <v/>
      </c>
      <c r="H129" t="n">
        <v>115.1</v>
      </c>
      <c r="I129" t="n">
        <v>11.93</v>
      </c>
      <c r="J129" t="n">
        <v>10.21</v>
      </c>
      <c r="K129" t="n">
        <v>7.74</v>
      </c>
      <c r="L129" t="n">
        <v>34.43</v>
      </c>
      <c r="M129" t="n">
        <v>15.65</v>
      </c>
      <c r="N129" t="n">
        <v>13.86</v>
      </c>
      <c r="O129" t="n">
        <v>154.4</v>
      </c>
      <c r="P129" s="11">
        <f>O129/I129</f>
        <v/>
      </c>
      <c r="Q129" t="n">
        <v>18.72</v>
      </c>
      <c r="R129" s="2" t="n">
        <v>24.73</v>
      </c>
      <c r="S129" s="12" t="n">
        <v>-0.9</v>
      </c>
      <c r="T129" t="n">
        <v>80.11</v>
      </c>
      <c r="U129" t="n">
        <v>0</v>
      </c>
      <c r="V129" t="n">
        <v>1</v>
      </c>
      <c r="W129" t="n">
        <v>1</v>
      </c>
      <c r="X129" t="n">
        <v>7.68</v>
      </c>
      <c r="Y129" t="n">
        <v>4.66</v>
      </c>
      <c r="Z129" t="n">
        <v>1</v>
      </c>
      <c r="AA129" s="11">
        <f>IF(X129&lt;50,IF(Y129&gt;(2.3*X129),0,1),1)-IF(Z129&gt;Y129,1.7,0)</f>
        <v/>
      </c>
      <c r="AB129" t="n">
        <v>1</v>
      </c>
      <c r="AC129" s="11">
        <f>IF(AB129&gt;4,1,0)+AB129/7</f>
        <v/>
      </c>
      <c r="AD129" t="n">
        <v>375.3</v>
      </c>
      <c r="AE129" t="n">
        <v>36.56</v>
      </c>
      <c r="AF129" t="n">
        <v>123.62</v>
      </c>
      <c r="AG129" s="12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11">
        <f>AG129+IF(X129&lt;1.35,0,1)+IF(Y129&lt;1.35,0,1)+AC129+AA129</f>
        <v/>
      </c>
      <c r="AI129" s="11" t="n">
        <v>13</v>
      </c>
      <c r="AJ129" s="11">
        <f>IF(AI129&gt;12.7,IF(AI129&gt;15.8,0.93,0.98),1)</f>
        <v/>
      </c>
      <c r="AK129" s="11">
        <f>(1.2*AG129+AH129)*AJ129*AQ129</f>
        <v/>
      </c>
      <c r="AL129" s="10">
        <f>D129</f>
        <v/>
      </c>
      <c r="AM129" s="14">
        <f>B129</f>
        <v/>
      </c>
      <c r="AN129" s="55" t="n">
        <v>27</v>
      </c>
      <c r="AO129" s="13" t="n">
        <v>30</v>
      </c>
      <c r="AP129" s="13">
        <f>IF(AK129&gt;13.1,IF(Z129&lt;101,IF(Z129&lt;35,IF(Z129&lt;6,3,2),1),0),0)</f>
        <v/>
      </c>
      <c r="AQ129" s="11" t="n">
        <v>1</v>
      </c>
      <c r="AR129" s="13">
        <f>IF(AP129&gt;0,IF(AB129&gt;10,(AB129/Z129),10/Z129),0)</f>
        <v/>
      </c>
      <c r="AS129" s="13" t="n"/>
      <c r="AT129" s="11">
        <f>100*(AK129-AQ129)/AQ129</f>
        <v/>
      </c>
      <c r="AZ129" s="13" t="n"/>
    </row>
    <row r="130" ht="12.75" customHeight="1">
      <c r="A130" t="inlineStr">
        <is>
          <t>https://www.chittorgarh.com/ipo/striders-impex-ipo/2714/</t>
        </is>
      </c>
      <c r="B130" t="inlineStr">
        <is>
          <t>Striders Impex Date,</t>
        </is>
      </c>
      <c r="C130" t="inlineStr">
        <is>
          <t>2026</t>
        </is>
      </c>
      <c r="D130" s="17" t="inlineStr">
        <is>
          <t>Neg</t>
        </is>
      </c>
      <c r="E130" t="n">
        <v>20.55</v>
      </c>
      <c r="F130" t="n">
        <v>14.88</v>
      </c>
      <c r="G130" s="11">
        <f>100*(F130-E130)/F130</f>
        <v/>
      </c>
      <c r="H130" t="n">
        <v>48.7</v>
      </c>
      <c r="I130" t="n">
        <v>8.41</v>
      </c>
      <c r="J130" t="n">
        <v>8.09</v>
      </c>
      <c r="K130" t="n">
        <v>5.97</v>
      </c>
      <c r="L130" t="n">
        <v>0</v>
      </c>
      <c r="M130" t="n">
        <v>9.32</v>
      </c>
      <c r="N130" t="n">
        <v>13.09</v>
      </c>
      <c r="O130" t="n">
        <v>61.95</v>
      </c>
      <c r="P130" s="11">
        <f>O130/I130</f>
        <v/>
      </c>
      <c r="Q130" t="n">
        <v>12.06</v>
      </c>
      <c r="R130" s="2" t="n">
        <v>25.07</v>
      </c>
      <c r="S130" s="12" t="n">
        <v>-1</v>
      </c>
      <c r="T130" t="n">
        <v>36.29</v>
      </c>
      <c r="U130" t="n">
        <v>3.67</v>
      </c>
      <c r="V130" t="n">
        <v>0</v>
      </c>
      <c r="W130" t="n">
        <v>0</v>
      </c>
      <c r="X130" t="n">
        <v>2</v>
      </c>
      <c r="Y130" t="n">
        <v>1.7</v>
      </c>
      <c r="Z130" t="n">
        <v>0.8</v>
      </c>
      <c r="AA130" s="11">
        <f>IF(X130&lt;50,IF(Y130&gt;(2.3*X130),0,1),1)-IF(Z130&gt;Y130,1.7,0)</f>
        <v/>
      </c>
      <c r="AB130" t="n">
        <v>0</v>
      </c>
      <c r="AC130" s="11">
        <f>IF(AB130&gt;4,1,0)+AB130/7</f>
        <v/>
      </c>
      <c r="AD130" t="n">
        <v>91.56999999999999</v>
      </c>
      <c r="AE130" t="n">
        <v>48.31</v>
      </c>
      <c r="AF130" t="n">
        <v>129.98</v>
      </c>
      <c r="AG130" s="12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11">
        <f>AG130+IF(X130&lt;1.35,0,1)+IF(Y130&lt;1.35,0,1)+AC130+AA130</f>
        <v/>
      </c>
      <c r="AI130" s="11" t="n">
        <v>18</v>
      </c>
      <c r="AJ130" s="11">
        <f>IF(AI130&gt;12.7,IF(AI130&gt;15.8,0.93,0.98),1)</f>
        <v/>
      </c>
      <c r="AK130" s="11">
        <f>(1.2*AG130+AH130)*AJ130*AQ130</f>
        <v/>
      </c>
      <c r="AL130" s="10">
        <f>D130</f>
        <v/>
      </c>
      <c r="AM130" s="14">
        <f>B130</f>
        <v/>
      </c>
      <c r="AN130" s="54" t="n">
        <v>2</v>
      </c>
      <c r="AO130" s="13" t="n">
        <v>3</v>
      </c>
      <c r="AP130" s="13">
        <f>IF(AK130&gt;13.1,IF(Z130&lt;101,IF(Z130&lt;35,IF(Z130&lt;6,3,2),1),0),0)</f>
        <v/>
      </c>
      <c r="AQ130" s="11" t="n">
        <v>1</v>
      </c>
      <c r="AR130" s="13">
        <f>IF(AP130&gt;0,IF(AB130&gt;10,(AB130/Z130),10/Z130),0)</f>
        <v/>
      </c>
      <c r="AS130" s="58" t="inlineStr">
        <is>
          <t>March</t>
        </is>
      </c>
      <c r="AT130" s="11">
        <f>100*(AK130-AQ130)/AQ130</f>
        <v/>
      </c>
      <c r="AZ130" s="13" t="n"/>
    </row>
    <row r="131" ht="12.75" customHeight="1">
      <c r="A131" t="inlineStr">
        <is>
          <t>https://www.chittorgarh.com/ipo/acetech-e-commerce-ipo/2616/</t>
        </is>
      </c>
      <c r="B131" t="inlineStr">
        <is>
          <t>Acetech E-Commerce D</t>
        </is>
      </c>
      <c r="C131" t="inlineStr">
        <is>
          <t>2026</t>
        </is>
      </c>
      <c r="D131" s="17" t="inlineStr">
        <is>
          <t>Pos</t>
        </is>
      </c>
      <c r="E131" t="n">
        <v>0.49</v>
      </c>
      <c r="F131" t="n">
        <v>12.77</v>
      </c>
      <c r="G131" s="11">
        <f>100*(F131-E131)/F131</f>
        <v/>
      </c>
      <c r="H131" t="n">
        <v>19.44</v>
      </c>
      <c r="I131" t="n">
        <v>6.88</v>
      </c>
      <c r="J131" t="n">
        <v>14.19</v>
      </c>
      <c r="K131" t="n">
        <v>5.73</v>
      </c>
      <c r="L131" t="n">
        <v>32.88</v>
      </c>
      <c r="M131" t="n">
        <v>9.34</v>
      </c>
      <c r="N131" t="n">
        <v>19.25</v>
      </c>
      <c r="O131" t="n">
        <v>70.41</v>
      </c>
      <c r="P131" s="11">
        <f>O131/I131</f>
        <v/>
      </c>
      <c r="Q131" t="n">
        <v>19.56</v>
      </c>
      <c r="R131" s="2" t="n">
        <v>16</v>
      </c>
      <c r="S131" s="12" t="n">
        <v>1</v>
      </c>
      <c r="T131" t="n">
        <v>48.95</v>
      </c>
      <c r="U131" t="n">
        <v>0</v>
      </c>
      <c r="V131" t="n">
        <v>0</v>
      </c>
      <c r="W131" t="n">
        <v>1</v>
      </c>
      <c r="X131" t="n">
        <v>1</v>
      </c>
      <c r="Y131" t="n">
        <v>1.57</v>
      </c>
      <c r="Z131" t="n">
        <v>1.16</v>
      </c>
      <c r="AA131" s="11">
        <f>IF(X131&lt;50,IF(Y131&gt;(2.3*X131),0,1),1)-IF(Z131&gt;Y131,1.7,0)</f>
        <v/>
      </c>
      <c r="AB131" t="n">
        <v>0</v>
      </c>
      <c r="AC131" s="11">
        <f>IF(AB131&gt;4,1,0)+AB131/7</f>
        <v/>
      </c>
      <c r="AD131" t="n">
        <v>71.14</v>
      </c>
      <c r="AE131" t="n">
        <v>16.8</v>
      </c>
      <c r="AF131" t="n">
        <v>116.81</v>
      </c>
      <c r="AG131" s="12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11">
        <f>AG131+IF(X131&lt;1.35,0,1)+IF(Y131&lt;1.35,0,1)+AC131+AA131</f>
        <v/>
      </c>
      <c r="AI131" s="11" t="n">
        <v>18</v>
      </c>
      <c r="AJ131" s="11">
        <f>IF(AI131&gt;12.7,IF(AI131&gt;15.8,0.93,0.98),1)</f>
        <v/>
      </c>
      <c r="AK131" s="11">
        <f>(1.2*AG131+AH131)*AJ131*AQ131</f>
        <v/>
      </c>
      <c r="AL131" s="10">
        <f>D131</f>
        <v/>
      </c>
      <c r="AM131" s="14">
        <f>B131</f>
        <v/>
      </c>
      <c r="AN131" s="54" t="n">
        <v>4</v>
      </c>
      <c r="AO131" s="13" t="n">
        <v>5</v>
      </c>
      <c r="AP131" s="13">
        <f>IF(AK131&gt;13.1,IF(Z131&lt;101,IF(Z131&lt;35,IF(Z131&lt;6,3,2),1),0),0)</f>
        <v/>
      </c>
      <c r="AQ131" s="11" t="n">
        <v>1</v>
      </c>
      <c r="AR131" s="13">
        <f>IF(AP131&gt;0,IF(AB131&gt;10,(AB131/Z131),10/Z131),0)</f>
        <v/>
      </c>
      <c r="AS131" s="13" t="n"/>
      <c r="AT131" s="11">
        <f>100*(AK131-AQ131)/AQ131</f>
        <v/>
      </c>
      <c r="AZ131" s="13" t="n"/>
    </row>
    <row r="132" ht="12.75" customHeight="1">
      <c r="A132" t="inlineStr">
        <is>
          <t>https://www.chittorgarh.com/ipo/elfin-agro-india-ipo/2696/</t>
        </is>
      </c>
      <c r="B132" t="inlineStr">
        <is>
          <t>Elfin Agro India Dat</t>
        </is>
      </c>
      <c r="C132" t="inlineStr">
        <is>
          <t>2026</t>
        </is>
      </c>
      <c r="D132" s="17" t="inlineStr">
        <is>
          <t>Pos</t>
        </is>
      </c>
      <c r="E132" t="n">
        <v>12.19</v>
      </c>
      <c r="F132" t="n">
        <v>13.78</v>
      </c>
      <c r="G132" s="11">
        <f>100*(F132-E132)/F132</f>
        <v/>
      </c>
      <c r="H132" t="n">
        <v>33.44</v>
      </c>
      <c r="I132" t="n">
        <v>5.08</v>
      </c>
      <c r="J132" t="n">
        <v>3.39</v>
      </c>
      <c r="K132" t="n">
        <v>3.6</v>
      </c>
      <c r="L132" t="n">
        <v>22.42</v>
      </c>
      <c r="M132" t="n">
        <v>7.54</v>
      </c>
      <c r="N132" t="n">
        <v>5.69</v>
      </c>
      <c r="O132" t="n">
        <v>146.44</v>
      </c>
      <c r="P132" s="11">
        <f>O132/I132</f>
        <v/>
      </c>
      <c r="Q132" t="n">
        <v>13.05</v>
      </c>
      <c r="R132" s="2" t="n">
        <v>17.2</v>
      </c>
      <c r="S132" s="12" t="n">
        <v>-1</v>
      </c>
      <c r="T132" t="n">
        <v>25.03</v>
      </c>
      <c r="U132" t="n">
        <v>0</v>
      </c>
      <c r="V132" t="n">
        <v>0</v>
      </c>
      <c r="W132" t="n">
        <v>1</v>
      </c>
      <c r="X132" t="n">
        <v>2.12</v>
      </c>
      <c r="Y132" t="n">
        <v>2.12</v>
      </c>
      <c r="Z132" t="n">
        <v>0.59</v>
      </c>
      <c r="AA132" s="11">
        <f>IF(X132&lt;50,IF(Y132&gt;(2.3*X132),0,1),1)-IF(Z132&gt;Y132,1.7,0)</f>
        <v/>
      </c>
      <c r="AB132" t="n">
        <v>0</v>
      </c>
      <c r="AC132" s="11">
        <f>IF(AB132&gt;4,1,0)+AB132/7</f>
        <v/>
      </c>
      <c r="AD132" t="n">
        <v>38.04</v>
      </c>
      <c r="AE132" t="n">
        <v>17.42</v>
      </c>
      <c r="AF132" t="n">
        <v>58.39</v>
      </c>
      <c r="AG132" s="12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11">
        <f>AG132+IF(X132&lt;1.35,0,1)+IF(Y132&lt;1.35,0,1)+AC132+AA132</f>
        <v/>
      </c>
      <c r="AI132" s="11" t="n">
        <v>18</v>
      </c>
      <c r="AJ132" s="11">
        <f>IF(AI132&gt;12.7,IF(AI132&gt;15.8,0.93,0.98),1)</f>
        <v/>
      </c>
      <c r="AK132" s="11">
        <f>(1.2*AG132+AH132)*AJ132*AQ132</f>
        <v/>
      </c>
      <c r="AL132" s="10">
        <f>D132</f>
        <v/>
      </c>
      <c r="AM132" s="14">
        <f>B132</f>
        <v/>
      </c>
      <c r="AN132" s="54" t="n">
        <v>9</v>
      </c>
      <c r="AO132" s="13" t="n">
        <v>10</v>
      </c>
      <c r="AP132" s="13">
        <f>IF(AK132&gt;13.1,IF(Z132&lt;101,IF(Z132&lt;35,IF(Z132&lt;6,3,2),1),0),0)</f>
        <v/>
      </c>
      <c r="AQ132" s="11" t="n">
        <v>1</v>
      </c>
      <c r="AR132" s="13">
        <f>IF(AP132&gt;0,IF(AB132&gt;10,(AB132/Z132),10/Z132),0)</f>
        <v/>
      </c>
      <c r="AS132" s="13" t="n">
        <v>3</v>
      </c>
      <c r="AT132" s="11">
        <f>100*(AK132-AQ132)/AQ132</f>
        <v/>
      </c>
      <c r="AZ132" s="13" t="n"/>
    </row>
    <row r="133" ht="15" customHeight="1">
      <c r="A133" t="inlineStr">
        <is>
          <t>https://www.chittorgarh.com/ipo/srinibas-pradhan-ipo/2402/</t>
        </is>
      </c>
      <c r="B133" t="inlineStr">
        <is>
          <t>Srinibas Pradhan Con</t>
        </is>
      </c>
      <c r="C133" t="inlineStr">
        <is>
          <t>2026</t>
        </is>
      </c>
      <c r="D133" s="17" t="inlineStr">
        <is>
          <t>Pos</t>
        </is>
      </c>
      <c r="E133" t="n">
        <v>17.25</v>
      </c>
      <c r="F133" t="n">
        <v>15.91</v>
      </c>
      <c r="G133" s="11">
        <f>100*(F133-E133)/F133</f>
        <v/>
      </c>
      <c r="H133" t="n">
        <v>55.76</v>
      </c>
      <c r="I133" t="n">
        <v>6.59</v>
      </c>
      <c r="J133" t="n">
        <v>9.01</v>
      </c>
      <c r="K133" t="n">
        <v>10.71</v>
      </c>
      <c r="L133" t="n">
        <v>21.67</v>
      </c>
      <c r="M133" t="n">
        <v>13.01</v>
      </c>
      <c r="N133" t="n">
        <v>16.76</v>
      </c>
      <c r="O133" t="n">
        <v>89.73</v>
      </c>
      <c r="P133" s="11">
        <f>O133/I133</f>
        <v/>
      </c>
      <c r="Q133" t="n">
        <v>9.15</v>
      </c>
      <c r="R133" s="2" t="n">
        <v>9.369999999999999</v>
      </c>
      <c r="S133" s="12" t="n">
        <v>0.9</v>
      </c>
      <c r="T133" t="n">
        <v>20.32</v>
      </c>
      <c r="U133" t="n">
        <v>3.53</v>
      </c>
      <c r="V133" t="n">
        <v>0</v>
      </c>
      <c r="W133" t="n">
        <v>1</v>
      </c>
      <c r="X133" t="n">
        <v>1.13</v>
      </c>
      <c r="Y133" t="n">
        <v>1.57</v>
      </c>
      <c r="Z133" t="n">
        <v>0.6899999999999999</v>
      </c>
      <c r="AA133" s="11">
        <f>IF(X133&lt;50,IF(Y133&gt;(2.3*X133),0,1),1)-IF(Z133&gt;Y133,1.7,0)</f>
        <v/>
      </c>
      <c r="AB133" t="n">
        <v>0</v>
      </c>
      <c r="AC133" s="11">
        <f>IF(AB133&gt;4,1,0)+AB133/7</f>
        <v/>
      </c>
      <c r="AD133" t="n">
        <v>85.63</v>
      </c>
      <c r="AE133" t="n">
        <v>154.41</v>
      </c>
      <c r="AF133" t="n">
        <v>106.09</v>
      </c>
      <c r="AG133" s="12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11">
        <f>AG133+IF(X133&lt;1.35,0,1)+IF(Y133&lt;1.35,0,1)+AC133+AA133</f>
        <v/>
      </c>
      <c r="AI133" s="11" t="n">
        <v>18</v>
      </c>
      <c r="AJ133" s="11">
        <f>IF(AI133&gt;12.7,IF(AI133&gt;15.8,0.93,0.98),1)</f>
        <v/>
      </c>
      <c r="AK133" s="11">
        <f>(1.2*AG133+AH133)*AJ133*AQ133</f>
        <v/>
      </c>
      <c r="AL133" s="10">
        <f>D133</f>
        <v/>
      </c>
      <c r="AM133" s="14">
        <f>B133</f>
        <v/>
      </c>
      <c r="AN133" s="54" t="n">
        <v>10</v>
      </c>
      <c r="AO133" s="13" t="n">
        <v>11</v>
      </c>
      <c r="AP133" s="13">
        <f>IF(AK133&gt;13.1,IF(Z133&lt;101,IF(Z133&lt;35,IF(Z133&lt;6,3,2),1),0),0)</f>
        <v/>
      </c>
      <c r="AQ133" s="11" t="n">
        <v>1</v>
      </c>
      <c r="AR133" s="13">
        <f>IF(AP133&gt;0,IF(AB133&gt;10,(AB133/Z133),10/Z133),0)</f>
        <v/>
      </c>
      <c r="AS133" s="13" t="n"/>
      <c r="AT133" s="11">
        <f>100*(AK133-AQ133)/AQ133</f>
        <v/>
      </c>
      <c r="AZ133" s="13" t="n"/>
    </row>
    <row r="134" ht="15" customHeight="1">
      <c r="A134" t="inlineStr">
        <is>
          <t>https://www.chittorgarh.com/ipo/apsis-aerocom-ipo/2752/</t>
        </is>
      </c>
      <c r="B134" t="inlineStr">
        <is>
          <t xml:space="preserve">Apsis Aerocom Date, </t>
        </is>
      </c>
      <c r="C134" t="inlineStr">
        <is>
          <t>2026</t>
        </is>
      </c>
      <c r="D134" s="17" t="inlineStr">
        <is>
          <t>Pos</t>
        </is>
      </c>
      <c r="E134" t="n">
        <v>2.84</v>
      </c>
      <c r="F134" t="n">
        <v>10.57</v>
      </c>
      <c r="G134" s="11">
        <f>100*(F134-E134)/F134</f>
        <v/>
      </c>
      <c r="H134" t="n">
        <v>18.46</v>
      </c>
      <c r="I134" t="n">
        <v>6.64</v>
      </c>
      <c r="J134" t="n">
        <v>22.88</v>
      </c>
      <c r="K134" t="n">
        <v>7.54</v>
      </c>
      <c r="L134" t="n">
        <v>25.75</v>
      </c>
      <c r="M134" t="n">
        <v>10.2</v>
      </c>
      <c r="N134" t="n">
        <v>34.99</v>
      </c>
      <c r="O134" t="n">
        <v>20.57</v>
      </c>
      <c r="P134" s="11">
        <f>O134/I134</f>
        <v/>
      </c>
      <c r="Q134" t="n">
        <v>14.58</v>
      </c>
      <c r="R134" s="2" t="n">
        <v>19.97</v>
      </c>
      <c r="S134" s="12" t="n">
        <v>-0.5</v>
      </c>
      <c r="T134" t="n">
        <v>35.77</v>
      </c>
      <c r="U134" t="n">
        <v>0</v>
      </c>
      <c r="V134" t="n">
        <v>1</v>
      </c>
      <c r="W134" t="n">
        <v>1</v>
      </c>
      <c r="X134" t="n">
        <v>99.95999999999999</v>
      </c>
      <c r="Y134" t="n">
        <v>236.61</v>
      </c>
      <c r="Z134" t="n">
        <v>100</v>
      </c>
      <c r="AA134" s="11">
        <f>IF(X134&lt;50,IF(Y134&gt;(2.3*X134),0,1),1)-IF(Z134&gt;Y134,1.7,0)</f>
        <v/>
      </c>
      <c r="AB134" t="n">
        <v>16</v>
      </c>
      <c r="AC134" s="11">
        <f>IF(AB134&gt;4,1,0)+AB134/7</f>
        <v/>
      </c>
      <c r="AD134" t="n">
        <v>160.39</v>
      </c>
      <c r="AE134" t="n">
        <v>21.86</v>
      </c>
      <c r="AF134" t="n">
        <v>168.96</v>
      </c>
      <c r="AG134" s="12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11">
        <f>AG134+IF(X134&lt;1.35,0,1)+IF(Y134&lt;1.35,0,1)+AC134+AA134</f>
        <v/>
      </c>
      <c r="AI134" s="11" t="n">
        <v>18</v>
      </c>
      <c r="AJ134" s="11">
        <f>IF(AI134&gt;12.7,IF(AI134&gt;15.8,0.93,0.98),1)</f>
        <v/>
      </c>
      <c r="AK134" s="11">
        <f>(1.2*AG134+AH134)*AJ134*AQ134</f>
        <v/>
      </c>
      <c r="AL134" s="10">
        <f>D134</f>
        <v/>
      </c>
      <c r="AM134" s="14">
        <f>B134</f>
        <v/>
      </c>
      <c r="AN134" s="54" t="n">
        <v>13</v>
      </c>
      <c r="AO134" s="13" t="n">
        <v>16</v>
      </c>
      <c r="AP134" s="13">
        <f>IF(AK134&gt;13.1,IF(Z134&lt;101,IF(Z134&lt;35,IF(Z134&lt;6,3,2),1),0),0)</f>
        <v/>
      </c>
      <c r="AQ134" s="11" t="n">
        <v>1</v>
      </c>
      <c r="AR134" s="13">
        <f>IF(AP134&gt;0,IF(AB134&gt;10,(AB134/Z134),10/Z134),0)</f>
        <v/>
      </c>
      <c r="AS134" s="13" t="n"/>
      <c r="AT134" s="11">
        <f>100*(AK134-AQ134)/AQ134</f>
        <v/>
      </c>
      <c r="AZ134" s="13" t="n"/>
    </row>
    <row r="135" ht="12.75" customHeight="1">
      <c r="A135" t="inlineStr">
        <is>
          <t>https://www.chittorgarh.com/ipo/novus-loyalty-ipo/2747/</t>
        </is>
      </c>
      <c r="B135" t="inlineStr">
        <is>
          <t xml:space="preserve">Novus Loyalty Date, </t>
        </is>
      </c>
      <c r="C135" t="inlineStr">
        <is>
          <t>2026</t>
        </is>
      </c>
      <c r="D135" s="17" t="inlineStr">
        <is>
          <t>Pos</t>
        </is>
      </c>
      <c r="E135" t="n">
        <v>0</v>
      </c>
      <c r="F135" t="n">
        <v>13.09</v>
      </c>
      <c r="G135" s="11">
        <f>100*(F135-E135)/F135</f>
        <v/>
      </c>
      <c r="H135" t="n">
        <v>14.81</v>
      </c>
      <c r="I135" t="n">
        <v>3.58</v>
      </c>
      <c r="J135" t="n">
        <v>8.130000000000001</v>
      </c>
      <c r="K135" t="n">
        <v>2.93</v>
      </c>
      <c r="L135" t="n">
        <v>36.3</v>
      </c>
      <c r="M135" t="n">
        <v>5.69</v>
      </c>
      <c r="N135" t="n">
        <v>10.91</v>
      </c>
      <c r="O135" t="n">
        <v>104.63</v>
      </c>
      <c r="P135" s="11">
        <f>O135/I135</f>
        <v/>
      </c>
      <c r="Q135" t="n">
        <v>49.89</v>
      </c>
      <c r="R135" s="2" t="n">
        <v>19.56</v>
      </c>
      <c r="S135" s="12" t="n">
        <v>0.9</v>
      </c>
      <c r="T135" t="n">
        <v>60.15</v>
      </c>
      <c r="U135" t="n">
        <v>11.97</v>
      </c>
      <c r="V135" t="n">
        <v>1</v>
      </c>
      <c r="W135" t="n">
        <v>1</v>
      </c>
      <c r="X135" t="n">
        <v>0</v>
      </c>
      <c r="Y135" t="n">
        <v>0</v>
      </c>
      <c r="Z135" t="n">
        <v>1.8182</v>
      </c>
      <c r="AA135" s="11">
        <f>IF(X135&lt;50,IF(Y135&gt;(2.3*X135),0,1),1)-IF(Z135&gt;Y135,1.7,0)</f>
        <v/>
      </c>
      <c r="AB135" t="n">
        <v>0.235</v>
      </c>
      <c r="AC135" s="11">
        <f>IF(AB135&gt;4,1,0)+AB135/7</f>
        <v/>
      </c>
      <c r="AD135" t="n">
        <v>20.95</v>
      </c>
      <c r="AE135" t="n">
        <v>42.14</v>
      </c>
      <c r="AF135" t="n">
        <v>37.79</v>
      </c>
      <c r="AG135" s="12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11">
        <f>AG135+IF(X135&lt;1.35,0,1)+IF(Y135&lt;1.35,0,1)+AC135+AA135</f>
        <v/>
      </c>
      <c r="AI135" s="11" t="n">
        <v>17.205</v>
      </c>
      <c r="AJ135" s="11">
        <f>IF(AI135&gt;12.7,IF(AI135&gt;15.8,0.93,0.98),1)</f>
        <v/>
      </c>
      <c r="AK135" s="11">
        <f>(1.2*AG135+AH135)*AJ135*AQ135</f>
        <v/>
      </c>
      <c r="AL135" s="10">
        <f>D135</f>
        <v/>
      </c>
      <c r="AM135" s="14">
        <f>B135</f>
        <v/>
      </c>
      <c r="AN135" s="54" t="n">
        <v>20</v>
      </c>
      <c r="AO135" s="13" t="n">
        <v>23</v>
      </c>
      <c r="AP135" s="13">
        <f>IF(AK135&gt;13.1,IF(Z135&lt;101,IF(Z135&lt;35,IF(Z135&lt;6,3,2),1),0),0)</f>
        <v/>
      </c>
      <c r="AQ135" s="11" t="n">
        <v>1</v>
      </c>
      <c r="AR135" s="13">
        <f>IF(AP135&gt;0,IF(AB135&gt;10,(AB135/Z135),10/Z135),0)</f>
        <v/>
      </c>
      <c r="AS135" s="13" t="n"/>
      <c r="AT135" s="11">
        <f>100*(AK135-AQ135)/AQ135</f>
        <v/>
      </c>
      <c r="AY135" t="n">
        <v>146</v>
      </c>
      <c r="AZ135" s="13" t="n"/>
      <c r="BA135" t="n">
        <v>146</v>
      </c>
      <c r="BB135" t="n">
        <v>149.5</v>
      </c>
      <c r="BC135" t="n">
        <v>149.5</v>
      </c>
    </row>
    <row r="136" ht="12.75" customHeight="1">
      <c r="A136" t="inlineStr">
        <is>
          <t>https://www.chittorgarh.com/ipo/speciality-medicines-ipo/2381/</t>
        </is>
      </c>
      <c r="B136" t="inlineStr">
        <is>
          <t>Speciality Medicines</t>
        </is>
      </c>
      <c r="C136" t="inlineStr">
        <is>
          <t>2026</t>
        </is>
      </c>
      <c r="D136" s="17" t="inlineStr">
        <is>
          <t>Pos</t>
        </is>
      </c>
      <c r="E136" t="n">
        <v>5.05</v>
      </c>
      <c r="F136" t="n">
        <v>30.42</v>
      </c>
      <c r="G136" s="11">
        <f>100*(F136-E136)/F136</f>
        <v/>
      </c>
      <c r="H136" t="n">
        <v>39.98</v>
      </c>
      <c r="I136" t="n">
        <v>8.609999999999999</v>
      </c>
      <c r="J136" t="n">
        <v>16.49</v>
      </c>
      <c r="K136" t="n">
        <v>13.38</v>
      </c>
      <c r="L136" t="n">
        <v>18.11</v>
      </c>
      <c r="M136" t="n">
        <v>9.09</v>
      </c>
      <c r="N136" t="n">
        <v>17.73</v>
      </c>
      <c r="O136" t="n">
        <v>58.54</v>
      </c>
      <c r="P136" s="11">
        <f>O136/I136</f>
        <v/>
      </c>
      <c r="Q136" t="n">
        <v>9.27</v>
      </c>
      <c r="R136" s="2" t="n">
        <v>10.49</v>
      </c>
      <c r="S136" s="12" t="n">
        <v>-0.9</v>
      </c>
      <c r="T136" t="n">
        <v>29.14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0.8459</v>
      </c>
      <c r="AA136" s="11">
        <f>IF(X136&lt;50,IF(Y136&gt;(2.3*X136),0,1),1)-IF(Z136&gt;Y136,1.7,0)</f>
        <v/>
      </c>
      <c r="AB136" t="n">
        <v>0.235</v>
      </c>
      <c r="AC136" s="11">
        <f>IF(AB136&gt;4,1,0)+AB136/7</f>
        <v/>
      </c>
      <c r="AD136" t="n">
        <v>193.86</v>
      </c>
      <c r="AE136" t="n">
        <v>111.64</v>
      </c>
      <c r="AF136" t="n">
        <v>101.99</v>
      </c>
      <c r="AG136" s="12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11">
        <f>AG136+IF(X136&lt;1.35,0,1)+IF(Y136&lt;1.35,0,1)+AC136+AA136</f>
        <v/>
      </c>
      <c r="AI136" s="11" t="n">
        <v>17.205</v>
      </c>
      <c r="AJ136" s="11">
        <f>IF(AI136&gt;12.7,IF(AI136&gt;15.8,0.93,0.98),1)</f>
        <v/>
      </c>
      <c r="AK136" s="11">
        <f>(1.2*AG136+AH136)*AJ136*AQ136</f>
        <v/>
      </c>
      <c r="AL136" s="10">
        <f>D136</f>
        <v/>
      </c>
      <c r="AM136" s="14">
        <f>B136</f>
        <v/>
      </c>
      <c r="AN136" s="54" t="n">
        <v>20</v>
      </c>
      <c r="AO136" s="13" t="n">
        <v>23</v>
      </c>
      <c r="AP136" s="13">
        <f>IF(AK136&gt;13.1,IF(Z136&lt;101,IF(Z136&lt;35,IF(Z136&lt;6,3,2),1),0),0)</f>
        <v/>
      </c>
      <c r="AQ136" s="11" t="n">
        <v>1</v>
      </c>
      <c r="AR136" s="13">
        <f>IF(AP136&gt;0,IF(AB136&gt;10,(AB136/Z136),10/Z136),0)</f>
        <v/>
      </c>
      <c r="AS136" s="13" t="n"/>
      <c r="AT136" s="11">
        <f>100*(AK136-AQ136)/AQ136</f>
        <v/>
      </c>
      <c r="AZ136" s="13" t="n"/>
    </row>
    <row r="137" ht="12.75" customHeight="1">
      <c r="A137" t="inlineStr">
        <is>
          <t>https://www.chittorgarh.com/ipo/tipco-engineering-ipo/2733/</t>
        </is>
      </c>
      <c r="B137" t="inlineStr">
        <is>
          <t>Tipco Engineering Da</t>
        </is>
      </c>
      <c r="C137" t="inlineStr">
        <is>
          <t>2026</t>
        </is>
      </c>
      <c r="D137" s="17" t="inlineStr">
        <is>
          <t>Pos</t>
        </is>
      </c>
      <c r="E137" t="n">
        <v>37.23</v>
      </c>
      <c r="F137" t="n">
        <v>33.23</v>
      </c>
      <c r="G137" s="11">
        <f>100*(F137-E137)/F137</f>
        <v/>
      </c>
      <c r="H137" t="n">
        <v>100.96</v>
      </c>
      <c r="I137" t="n">
        <v>15.61</v>
      </c>
      <c r="J137" t="n">
        <v>15.35</v>
      </c>
      <c r="K137" t="n">
        <v>10.19</v>
      </c>
      <c r="L137" t="n">
        <v>33.12</v>
      </c>
      <c r="M137" t="n">
        <v>23.85</v>
      </c>
      <c r="N137" t="n">
        <v>24.32</v>
      </c>
      <c r="O137" t="n">
        <v>133.37</v>
      </c>
      <c r="P137" s="11">
        <f>O137/I137</f>
        <v/>
      </c>
      <c r="Q137" t="n">
        <v>8.73</v>
      </c>
      <c r="R137" s="2" t="n">
        <v>10.51</v>
      </c>
      <c r="S137" s="12" t="n">
        <v>-0.5</v>
      </c>
      <c r="T137" t="n">
        <v>60.55</v>
      </c>
      <c r="U137" t="n">
        <v>12.06</v>
      </c>
      <c r="V137" t="n">
        <v>1</v>
      </c>
      <c r="W137" t="n">
        <v>1</v>
      </c>
      <c r="X137" t="n">
        <v>3.2</v>
      </c>
      <c r="Y137" t="n">
        <v>2.12</v>
      </c>
      <c r="Z137" t="n">
        <v>0.66</v>
      </c>
      <c r="AA137" s="11">
        <f>IF(X137&lt;50,IF(Y137&gt;(2.3*X137),0,1),1)-IF(Z137&gt;Y137,1.7,0)</f>
        <v/>
      </c>
      <c r="AB137" t="n">
        <v>0</v>
      </c>
      <c r="AC137" s="11">
        <f>IF(AB137&gt;4,1,0)+AB137/7</f>
        <v/>
      </c>
      <c r="AD137" t="n">
        <v>84.73</v>
      </c>
      <c r="AE137" t="n">
        <v>31.58</v>
      </c>
      <c r="AF137" t="n">
        <v>165.63</v>
      </c>
      <c r="AG137" s="12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11">
        <f>AG137+IF(X137&lt;1.35,0,1)+IF(Y137&lt;1.35,0,1)+AC137+AA137</f>
        <v/>
      </c>
      <c r="AI137" s="11" t="n">
        <v>24</v>
      </c>
      <c r="AJ137" s="11">
        <f>IF(AI137&gt;12.7,IF(AI137&gt;15.8,0.93,0.98),1)</f>
        <v/>
      </c>
      <c r="AK137" s="11">
        <f>(1.2*AG137+AH137)*AJ137*AQ137</f>
        <v/>
      </c>
      <c r="AL137" s="10">
        <f>D137</f>
        <v/>
      </c>
      <c r="AM137" s="14">
        <f>B137</f>
        <v/>
      </c>
      <c r="AN137" s="54" t="n">
        <v>25</v>
      </c>
      <c r="AO137" s="13" t="n">
        <v>26</v>
      </c>
      <c r="AP137" s="13">
        <f>IF(AK137&gt;13.1,IF(Z137&lt;101,IF(Z137&lt;35,IF(Z137&lt;6,3,2),1),0),0)</f>
        <v/>
      </c>
      <c r="AQ137" s="11" t="n">
        <v>1</v>
      </c>
      <c r="AR137" s="13">
        <f>IF(AP137&gt;0,IF(AB137&gt;10,(AB137/Z137),10/Z137),0)</f>
        <v/>
      </c>
      <c r="AS137" s="13" t="n"/>
      <c r="AT137" s="11">
        <f>100*(AK137-AQ137)/AQ137</f>
        <v/>
      </c>
      <c r="AZ137" s="13" t="n"/>
    </row>
    <row r="138" ht="12.75" customHeight="1">
      <c r="A138" t="inlineStr">
        <is>
          <t>https://www.chittorgarh.com/ipo/highness-microelectronics-ipo/2768/</t>
        </is>
      </c>
      <c r="B138" t="inlineStr">
        <is>
          <t>Highness Microelectro</t>
        </is>
      </c>
      <c r="C138" t="inlineStr">
        <is>
          <t>2026</t>
        </is>
      </c>
      <c r="D138" s="17" t="inlineStr">
        <is>
          <t>Pos</t>
        </is>
      </c>
      <c r="E138" t="n">
        <v>4.93</v>
      </c>
      <c r="F138" t="n">
        <v>6.62</v>
      </c>
      <c r="G138" s="11">
        <f>100*(F138-E138)/F138</f>
        <v/>
      </c>
      <c r="H138" t="n">
        <v>14.31</v>
      </c>
      <c r="I138" t="n">
        <v>2.52</v>
      </c>
      <c r="J138" t="n">
        <v>0</v>
      </c>
      <c r="K138" t="n">
        <v>7.19</v>
      </c>
      <c r="L138" t="n">
        <v>40.97</v>
      </c>
      <c r="M138" t="n">
        <v>4.52</v>
      </c>
      <c r="N138" t="n">
        <v>39.26</v>
      </c>
      <c r="O138" t="n">
        <v>14.17</v>
      </c>
      <c r="P138" s="11">
        <f>O138/I138</f>
        <v/>
      </c>
      <c r="Q138" t="n">
        <v>16.7</v>
      </c>
      <c r="R138" s="2" t="n">
        <v>13.63</v>
      </c>
      <c r="S138" s="12" t="n">
        <v>-0.5</v>
      </c>
      <c r="T138" t="n">
        <v>21.67</v>
      </c>
      <c r="U138" t="n">
        <v>1.83</v>
      </c>
      <c r="V138" t="n">
        <v>1</v>
      </c>
      <c r="W138" t="n">
        <v>1</v>
      </c>
      <c r="X138" t="n">
        <v>81.9474</v>
      </c>
      <c r="Y138" t="n">
        <v>362.1157</v>
      </c>
      <c r="Z138" t="n">
        <v>185.1076</v>
      </c>
      <c r="AA138" s="11">
        <f>IF(X138&lt;50,IF(Y138&gt;(2.3*X138),0,1),1)-IF(Z138&gt;Y138,1.7,0)</f>
        <v/>
      </c>
      <c r="AB138" t="n">
        <v>0.235</v>
      </c>
      <c r="AC138" s="11">
        <f>IF(AB138&gt;4,1,0)+AB138/7</f>
        <v/>
      </c>
      <c r="AD138" t="n">
        <v>5.44</v>
      </c>
      <c r="AE138" t="n">
        <v>28.94</v>
      </c>
      <c r="AF138" t="n">
        <v>61.46</v>
      </c>
      <c r="AG138" s="12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11">
        <f>AG138+IF(X138&lt;1.35,0,1)+IF(Y138&lt;1.35,0,1)+AC138+AA138</f>
        <v/>
      </c>
      <c r="AI138" s="11" t="n">
        <v>17.205</v>
      </c>
      <c r="AJ138" s="11">
        <f>IF(AI138&gt;12.7,IF(AI138&gt;15.8,0.93,0.98),1)</f>
        <v/>
      </c>
      <c r="AK138" s="11">
        <f>(1.2*AG138+AH138)*AJ138*AQ138</f>
        <v/>
      </c>
      <c r="AL138" s="10">
        <f>D138</f>
        <v/>
      </c>
      <c r="AM138" s="14">
        <f>B138</f>
        <v/>
      </c>
      <c r="AN138" t="n">
        <v>27</v>
      </c>
      <c r="AO138" s="13" t="n">
        <v>30</v>
      </c>
      <c r="AP138" s="13">
        <f>IF(AK138&gt;13.1,IF(Z138&lt;101,IF(Z138&lt;35,IF(Z138&lt;6,3,2),1),0),0)</f>
        <v/>
      </c>
      <c r="AQ138" s="11" t="n">
        <v>1</v>
      </c>
      <c r="AR138" s="13">
        <f>IF(AP138&gt;0,IF(AB138&gt;10,(AB138/Z138),10/Z138),0)</f>
        <v/>
      </c>
      <c r="AS138" s="13" t="n"/>
      <c r="AT138" s="11">
        <f>100*(AK138-AQ138)/AQ138</f>
        <v/>
      </c>
      <c r="AZ138" s="13" t="n"/>
    </row>
    <row r="139" ht="12.75" customHeight="1">
      <c r="A139" t="inlineStr">
        <is>
          <t>https://www.chittorgarh.com/ipo/vivid-electromech-ipo/2728/</t>
        </is>
      </c>
      <c r="B139" t="inlineStr">
        <is>
          <t>Vivid Electromech  Pr</t>
        </is>
      </c>
      <c r="C139" t="inlineStr">
        <is>
          <t>2026</t>
        </is>
      </c>
      <c r="D139" s="17" t="inlineStr">
        <is>
          <t>Pos</t>
        </is>
      </c>
      <c r="E139" t="n">
        <v>4.23</v>
      </c>
      <c r="F139" t="n">
        <v>27.45</v>
      </c>
      <c r="G139" s="11">
        <f>100*(F139-E139)/F139</f>
        <v/>
      </c>
      <c r="H139" t="n">
        <v>115.3</v>
      </c>
      <c r="I139" t="n">
        <v>20.24</v>
      </c>
      <c r="J139" t="n">
        <v>13.38</v>
      </c>
      <c r="K139" t="n">
        <v>28.9</v>
      </c>
      <c r="L139" t="n">
        <v>29.29</v>
      </c>
      <c r="M139" t="n">
        <v>28.39</v>
      </c>
      <c r="N139" t="n">
        <v>19.13</v>
      </c>
      <c r="O139" t="n">
        <v>155.77</v>
      </c>
      <c r="P139" s="11">
        <f>O139/I139</f>
        <v/>
      </c>
      <c r="Q139" t="n">
        <v>19.2</v>
      </c>
      <c r="R139" s="2" t="n">
        <v>24.37</v>
      </c>
      <c r="S139" s="12" t="n">
        <v>-0.5</v>
      </c>
      <c r="T139" t="n">
        <v>130.54</v>
      </c>
      <c r="U139" t="n">
        <v>25.98</v>
      </c>
      <c r="V139" t="n">
        <v>1</v>
      </c>
      <c r="W139" t="n">
        <v>1</v>
      </c>
      <c r="X139" t="n">
        <v>1.9452</v>
      </c>
      <c r="Y139" t="n">
        <v>1.4964</v>
      </c>
      <c r="Z139" t="n">
        <v>0.3644</v>
      </c>
      <c r="AA139" s="11">
        <f>IF(X139&lt;50,IF(Y139&gt;(2.3*X139),0,1),1)-IF(Z139&gt;Y139,1.7,0)</f>
        <v/>
      </c>
      <c r="AB139" t="n">
        <v>0.235</v>
      </c>
      <c r="AC139" s="11">
        <f>IF(AB139&gt;4,1,0)+AB139/7</f>
        <v/>
      </c>
      <c r="AD139" t="n">
        <v>372.9</v>
      </c>
      <c r="AE139" t="n">
        <v>73.95</v>
      </c>
      <c r="AF139" t="n">
        <v>293.27</v>
      </c>
      <c r="AG139" s="12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11">
        <f>AG139+IF(X139&lt;1.35,0,1)+IF(Y139&lt;1.35,0,1)+AC139+AA139</f>
        <v/>
      </c>
      <c r="AI139" s="11" t="n">
        <v>17.205</v>
      </c>
      <c r="AJ139" s="11">
        <f>IF(AI139&gt;12.7,IF(AI139&gt;15.8,0.93,0.98),1)</f>
        <v/>
      </c>
      <c r="AK139" s="11">
        <f>(1.2*AG139+AH139)*AJ139*AQ139</f>
        <v/>
      </c>
      <c r="AL139" s="10">
        <f>D139</f>
        <v/>
      </c>
      <c r="AM139" s="14">
        <f>B139</f>
        <v/>
      </c>
      <c r="AN139" t="n">
        <v>30</v>
      </c>
      <c r="AO139" s="13" t="n">
        <v>31</v>
      </c>
      <c r="AP139" s="13">
        <f>IF(AK139&gt;13.1,IF(Z139&lt;101,IF(Z139&lt;35,IF(Z139&lt;6,3,2),1),0),0)</f>
        <v/>
      </c>
      <c r="AQ139" s="11" t="n">
        <v>1</v>
      </c>
      <c r="AR139" s="13">
        <f>IF(AP139&gt;0,IF(AB139&gt;10,(AB139/Z139),10/Z139),0)</f>
        <v/>
      </c>
      <c r="AS139" s="13" t="n"/>
      <c r="AT139" s="11">
        <f>100*(AK139-AQ139)/AQ139</f>
        <v/>
      </c>
      <c r="AZ139" s="13" t="n"/>
    </row>
    <row r="140" ht="12.75" customHeight="1">
      <c r="A140" t="inlineStr">
        <is>
          <t>https://www.chittorgarh.com/ipo/safety-controls-and-devices-ipo/2328/</t>
        </is>
      </c>
      <c r="B140" t="inlineStr">
        <is>
          <t>Safety Controls  Pric</t>
        </is>
      </c>
      <c r="C140" t="inlineStr">
        <is>
          <t>2026</t>
        </is>
      </c>
      <c r="D140" s="17" t="inlineStr">
        <is>
          <t>Pos</t>
        </is>
      </c>
      <c r="E140" t="n">
        <v>33.84</v>
      </c>
      <c r="F140" t="n">
        <v>42.17</v>
      </c>
      <c r="G140" s="11">
        <f>100*(F140-E140)/F140</f>
        <v/>
      </c>
      <c r="H140" t="n">
        <v>120.28</v>
      </c>
      <c r="I140" t="n">
        <v>8.99</v>
      </c>
      <c r="J140" t="n">
        <v>12.64</v>
      </c>
      <c r="K140" t="n">
        <v>6.5</v>
      </c>
      <c r="L140" t="n">
        <v>21.17</v>
      </c>
      <c r="M140" t="n">
        <v>17.27</v>
      </c>
      <c r="N140" t="n">
        <v>24.04</v>
      </c>
      <c r="O140" t="n">
        <v>103.5</v>
      </c>
      <c r="P140" s="11">
        <f>O140/I140</f>
        <v/>
      </c>
      <c r="Q140" t="n">
        <v>12.3</v>
      </c>
      <c r="R140" s="2" t="n">
        <v>15.51</v>
      </c>
      <c r="S140" s="12" t="n">
        <v>-0.5</v>
      </c>
      <c r="T140" t="n">
        <v>48</v>
      </c>
      <c r="U140" t="n">
        <v>0</v>
      </c>
      <c r="V140" t="n">
        <v>1</v>
      </c>
      <c r="W140" t="n">
        <v>1</v>
      </c>
      <c r="X140" t="n">
        <v>1.3133</v>
      </c>
      <c r="Y140" t="n">
        <v>2.4519</v>
      </c>
      <c r="Z140" t="n">
        <v>0.7625</v>
      </c>
      <c r="AA140" s="11">
        <f>IF(X140&lt;50,IF(Y140&gt;(2.3*X140),0,1),1)-IF(Z140&gt;Y140,1.7,0)</f>
        <v/>
      </c>
      <c r="AB140" t="n">
        <v>0.235</v>
      </c>
      <c r="AC140" s="11">
        <f>IF(AB140&gt;4,1,0)+AB140/7</f>
        <v/>
      </c>
      <c r="AD140" t="n">
        <v>124.19</v>
      </c>
      <c r="AE140" t="n">
        <v>126.48</v>
      </c>
      <c r="AF140" t="n">
        <v>141.25</v>
      </c>
      <c r="AG140" s="12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11">
        <f>AG140+IF(X140&lt;1.35,0,1)+IF(Y140&lt;1.35,0,1)+AC140+AA140</f>
        <v/>
      </c>
      <c r="AI140" s="11" t="n">
        <v>17.205</v>
      </c>
      <c r="AJ140" s="11">
        <f>IF(AI140&gt;12.7,IF(AI140&gt;15.8,0.93,0.98),1)</f>
        <v/>
      </c>
      <c r="AK140" s="11">
        <f>(1.2*AG140+AH140)*AJ140*AQ140</f>
        <v/>
      </c>
      <c r="AL140" s="10">
        <f>D140</f>
        <v/>
      </c>
      <c r="AM140" s="14">
        <f>B140</f>
        <v/>
      </c>
      <c r="AN140" t="n">
        <v>8</v>
      </c>
      <c r="AO140" s="13" t="n">
        <v>9</v>
      </c>
      <c r="AP140" s="13">
        <f>IF(AK140&gt;13.1,IF(Z140&lt;101,IF(Z140&lt;35,IF(Z140&lt;6,3,2),1),0),0)</f>
        <v/>
      </c>
      <c r="AQ140" s="11" t="n">
        <v>1</v>
      </c>
      <c r="AR140" s="13">
        <f>IF(AP140&gt;0,IF(AB140&gt;10,(AB140/Z140),10/Z140),0)</f>
        <v/>
      </c>
      <c r="AS140" s="13" t="n"/>
      <c r="AT140" s="11">
        <f>100*(AK140-AQ140)/AQ140</f>
        <v/>
      </c>
      <c r="AZ140" s="13" t="n"/>
    </row>
    <row r="141" ht="12.75" customHeight="1">
      <c r="A141" t="inlineStr">
        <is>
          <t>https://www.chittorgarh.com/ipo/mehul-telecom-ipo/2536/</t>
        </is>
      </c>
      <c r="B141" t="inlineStr">
        <is>
          <t>Mehul Telecom  Price,</t>
        </is>
      </c>
      <c r="C141" t="inlineStr">
        <is>
          <t>2026</t>
        </is>
      </c>
      <c r="D141" s="17" t="inlineStr">
        <is>
          <t>Pos</t>
        </is>
      </c>
      <c r="E141" t="n">
        <v>0.07000000000000001</v>
      </c>
      <c r="F141" t="n">
        <v>17.1</v>
      </c>
      <c r="G141" s="11">
        <f>100*(F141-E141)/F141</f>
        <v/>
      </c>
      <c r="H141" t="n">
        <v>0.1</v>
      </c>
      <c r="I141" t="n">
        <v>5.74</v>
      </c>
      <c r="J141" t="n">
        <v>4.65</v>
      </c>
      <c r="K141" t="n">
        <v>7.53</v>
      </c>
      <c r="L141" t="n">
        <v>34.27</v>
      </c>
      <c r="M141" t="n">
        <v>8.02</v>
      </c>
      <c r="N141" t="n">
        <v>6.39</v>
      </c>
      <c r="O141" t="n">
        <v>136</v>
      </c>
      <c r="P141" s="11">
        <f>O141/I141</f>
        <v/>
      </c>
      <c r="Q141" t="n">
        <v>13.02</v>
      </c>
      <c r="R141" s="2" t="n">
        <v>10.86</v>
      </c>
      <c r="S141" s="12" t="n">
        <v>1</v>
      </c>
      <c r="T141" t="n">
        <v>27.73</v>
      </c>
      <c r="U141" t="n">
        <v>0</v>
      </c>
      <c r="V141" t="n">
        <v>1</v>
      </c>
      <c r="W141" t="n">
        <v>1</v>
      </c>
      <c r="X141" t="n">
        <v>0</v>
      </c>
      <c r="Y141" t="n">
        <v>0</v>
      </c>
      <c r="Z141" t="n">
        <v>0</v>
      </c>
      <c r="AA141" s="11">
        <f>IF(X141&lt;50,IF(Y141&gt;(2.3*X141),0,1),1)-IF(Z141&gt;Y141,1.7,0)</f>
        <v/>
      </c>
      <c r="AB141" t="n">
        <v>0</v>
      </c>
      <c r="AC141" s="11">
        <f>IF(AB141&gt;4,1,0)+AB141/7</f>
        <v/>
      </c>
      <c r="AD141" t="n">
        <v>-57500</v>
      </c>
      <c r="AE141" t="n">
        <v>14</v>
      </c>
      <c r="AF141" t="n">
        <v>18900</v>
      </c>
      <c r="AG141" s="12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11">
        <f>AG141+IF(X141&lt;1.35,0,1)+IF(Y141&lt;1.35,0,1)+AC141+AA141</f>
        <v/>
      </c>
      <c r="AI141" s="11" t="n">
        <v>17.205</v>
      </c>
      <c r="AJ141" s="11">
        <f>IF(AI141&gt;12.7,IF(AI141&gt;15.8,0.93,0.98),1)</f>
        <v/>
      </c>
      <c r="AK141" s="11">
        <f>(1.2*AG141+AH141)*AJ141*AQ141</f>
        <v/>
      </c>
      <c r="AL141" s="10">
        <f>D141</f>
        <v/>
      </c>
      <c r="AM141" s="14">
        <f>B141</f>
        <v/>
      </c>
      <c r="AN141" t="n">
        <v>21</v>
      </c>
      <c r="AO141" s="13" t="n">
        <v>22</v>
      </c>
      <c r="AP141" s="13">
        <f>IF(AK141&gt;13.1,IF(Z141&lt;101,IF(Z141&lt;35,IF(Z141&lt;6,3,2),1),0),0)</f>
        <v/>
      </c>
      <c r="AQ141" s="11" t="n">
        <v>1</v>
      </c>
      <c r="AR141" s="13">
        <f>IF(AP141&gt;0,IF(AB141&gt;10,(AB141/Z141),10/Z141),0)</f>
        <v/>
      </c>
      <c r="AS141" s="13" t="n"/>
      <c r="AT141" s="11">
        <f>100*(AK141-AQ141)/AQ141</f>
        <v/>
      </c>
      <c r="AZ141" s="13" t="n"/>
    </row>
    <row r="142" ht="12.75" customHeight="1">
      <c r="A142" t="inlineStr">
        <is>
          <t>https://www.chittorgarh.com/ipo/emiac-technologies-ipo/2766/</t>
        </is>
      </c>
      <c r="B142" t="inlineStr">
        <is>
          <t>Emiac Technologies  P</t>
        </is>
      </c>
      <c r="C142" t="inlineStr">
        <is>
          <t>2026</t>
        </is>
      </c>
      <c r="D142" s="17" t="inlineStr">
        <is>
          <t>Pos</t>
        </is>
      </c>
      <c r="E142" t="n">
        <v>0.01</v>
      </c>
      <c r="F142" t="n">
        <v>9.029999999999999</v>
      </c>
      <c r="G142" s="11">
        <f>100*(F142-E142)/F142</f>
        <v/>
      </c>
      <c r="H142" t="n">
        <v>16.94</v>
      </c>
      <c r="I142" t="n">
        <v>4.22</v>
      </c>
      <c r="J142" t="n">
        <v>32.2</v>
      </c>
      <c r="K142" t="n">
        <v>4.69</v>
      </c>
      <c r="L142" t="n">
        <v>40.26</v>
      </c>
      <c r="M142" t="n">
        <v>5.92</v>
      </c>
      <c r="N142" t="n">
        <v>43.81</v>
      </c>
      <c r="O142" t="n">
        <v>20.06</v>
      </c>
      <c r="P142" s="11">
        <f>O142/I142</f>
        <v/>
      </c>
      <c r="Q142" t="n">
        <v>20.91</v>
      </c>
      <c r="R142" s="2" t="n">
        <v>13.19</v>
      </c>
      <c r="S142" s="12" t="n">
        <v>-0.5</v>
      </c>
      <c r="T142" t="n">
        <v>31.75</v>
      </c>
      <c r="U142" t="n">
        <v>0</v>
      </c>
      <c r="V142" t="n">
        <v>1</v>
      </c>
      <c r="W142" t="n">
        <v>0</v>
      </c>
      <c r="X142" t="n">
        <v>1.0231</v>
      </c>
      <c r="Y142" t="n">
        <v>4.9564</v>
      </c>
      <c r="Z142" t="n">
        <v>3.7385</v>
      </c>
      <c r="AA142" s="11">
        <f>IF(X142&lt;50,IF(Y142&gt;(2.3*X142),0,1),1)-IF(Z142&gt;Y142,1.7,0)</f>
        <v/>
      </c>
      <c r="AB142" t="n">
        <v>0</v>
      </c>
      <c r="AC142" s="11">
        <f>IF(AB142&gt;4,1,0)+AB142/7</f>
        <v/>
      </c>
      <c r="AD142" t="n">
        <v>402.38</v>
      </c>
      <c r="AE142" t="n">
        <v>272.86</v>
      </c>
      <c r="AF142" t="n">
        <v>589.3099999999999</v>
      </c>
      <c r="AG142" s="12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11">
        <f>AG142+IF(X142&lt;1.35,0,1)+IF(Y142&lt;1.35,0,1)+AC142+AA142</f>
        <v/>
      </c>
      <c r="AI142" s="11" t="n">
        <v>18.59</v>
      </c>
      <c r="AJ142" s="11">
        <f>IF(AI142&gt;12.7,IF(AI142&gt;15.8,0.93,0.98),1)</f>
        <v/>
      </c>
      <c r="AK142" s="11">
        <f>(1.2*AG142+AH142)*AJ142*AQ142</f>
        <v/>
      </c>
      <c r="AL142" s="10">
        <f>D142</f>
        <v/>
      </c>
      <c r="AM142" s="14">
        <f>B142</f>
        <v/>
      </c>
      <c r="AN142" t="n">
        <v>8</v>
      </c>
      <c r="AO142" s="13" t="n">
        <v>9</v>
      </c>
      <c r="AP142" s="13">
        <f>IF(AK142&gt;13.1,IF(Z142&lt;101,IF(Z142&lt;35,IF(Z142&lt;6,3,2),1),0),0)</f>
        <v/>
      </c>
      <c r="AQ142" s="11" t="n">
        <v>1</v>
      </c>
      <c r="AR142" s="13">
        <f>IF(AP142&gt;0,IF(AB142&gt;10,(AB142/Z142),10/Z142),0)</f>
        <v/>
      </c>
      <c r="AS142" s="13" t="n"/>
      <c r="AT142" s="11">
        <f>100*(AK142-AQ142)/AQ142</f>
        <v/>
      </c>
      <c r="AZ142" s="13" t="n"/>
    </row>
    <row r="143" ht="12.75" customHeight="1">
      <c r="A143" t="inlineStr">
        <is>
          <t>https://www.chittorgarh.com/ipo/adisoft-technologies-ipo/2788/</t>
        </is>
      </c>
      <c r="B143" t="inlineStr">
        <is>
          <t xml:space="preserve">Adisoft Technologies </t>
        </is>
      </c>
      <c r="C143" t="inlineStr">
        <is>
          <t>2026</t>
        </is>
      </c>
      <c r="E143" t="n">
        <v>28.42</v>
      </c>
      <c r="F143" t="n">
        <v>49.25</v>
      </c>
      <c r="G143" s="11" t="n">
        <v>42.29</v>
      </c>
      <c r="H143" t="n">
        <v>111.01</v>
      </c>
      <c r="I143" t="n">
        <v>16.11</v>
      </c>
      <c r="J143" t="n">
        <v>6.89</v>
      </c>
      <c r="K143" t="n">
        <v>13.41</v>
      </c>
      <c r="L143" t="n">
        <v>7.39</v>
      </c>
      <c r="M143" t="n">
        <v>21.66</v>
      </c>
      <c r="N143" t="n">
        <v>10.76</v>
      </c>
      <c r="O143" t="n">
        <v>133.02</v>
      </c>
      <c r="P143" s="11" t="n">
        <v>8.26</v>
      </c>
      <c r="Q143" t="n">
        <v>12.82</v>
      </c>
      <c r="R143" s="2" t="n">
        <v>43.8</v>
      </c>
      <c r="S143" s="12" t="n">
        <v>-0.5</v>
      </c>
      <c r="T143" t="n">
        <v>74.09999999999999</v>
      </c>
      <c r="U143" t="n">
        <v>0</v>
      </c>
      <c r="V143" t="n">
        <v>1</v>
      </c>
      <c r="W143" t="n">
        <v>1</v>
      </c>
      <c r="X143" t="n">
        <v>45</v>
      </c>
      <c r="Y143" t="n">
        <v>45</v>
      </c>
      <c r="Z143" t="n">
        <v>41</v>
      </c>
      <c r="AA143" s="11">
        <f>IF(X143&lt;50,IF(Y143&gt;(2.3*X143),0,1),1)-IF(Z143&gt;Y143,1.7,0)</f>
        <v/>
      </c>
      <c r="AB143" t="n">
        <v>12.21</v>
      </c>
      <c r="AC143" s="11">
        <f>IF(AB143&gt;4,1,0)+AB143/7</f>
        <v/>
      </c>
      <c r="AD143" t="n">
        <v>36.99</v>
      </c>
      <c r="AE143" t="n">
        <v>27.73</v>
      </c>
      <c r="AF143" t="n">
        <v>48.61</v>
      </c>
      <c r="AG143" s="12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11">
        <f>AG143+IF(X143&lt;1.35,0,1)+IF(Y143&lt;1.35,0,1)+AC143+AA143</f>
        <v/>
      </c>
      <c r="AI143" s="11" t="n">
        <v>18.46</v>
      </c>
      <c r="AJ143" s="11">
        <f>IF(AI143&gt;12.7,IF(AI143&gt;15.8,0.93,0.98),1)</f>
        <v/>
      </c>
      <c r="AK143" s="11">
        <f>(1.2*AG143+AH143)*AJ143*AQ143</f>
        <v/>
      </c>
      <c r="AL143" s="10">
        <f>D143</f>
        <v/>
      </c>
      <c r="AM143" s="14" t="inlineStr">
        <is>
          <t xml:space="preserve">Adisoft Technologies </t>
        </is>
      </c>
      <c r="AN143" t="n">
        <v>26</v>
      </c>
      <c r="AO143" s="13" t="n">
        <v>28</v>
      </c>
      <c r="AP143" s="13">
        <f>IF(AK143&gt;13.1,IF(Z143&lt;101,IF(Z143&lt;35,IF(Z143&lt;6,3,2),1),0),0)</f>
        <v/>
      </c>
      <c r="AQ143" s="11" t="n">
        <v>0.95</v>
      </c>
      <c r="AR143" s="13">
        <f>IF(AP143&gt;0,IF(AB143&gt;10,(AB143/Z143),10/Z143),0)</f>
        <v/>
      </c>
      <c r="AS143" s="13" t="n"/>
      <c r="AT143" s="11">
        <f>100*(AK143-AQ143)/AQ143</f>
        <v/>
      </c>
      <c r="AZ143" s="13" t="n"/>
    </row>
    <row r="144" ht="12.75" customHeight="1">
      <c r="A144" t="inlineStr">
        <is>
          <t>https://www.chittorgarh.com/ipo/amba-auto-sales-services-ipo/2644/</t>
        </is>
      </c>
      <c r="B144" t="inlineStr">
        <is>
          <t>Amba Auto Sales &amp;amp;</t>
        </is>
      </c>
      <c r="C144" t="inlineStr">
        <is>
          <t>2026</t>
        </is>
      </c>
      <c r="E144" t="n">
        <v>55.22</v>
      </c>
      <c r="F144" t="n">
        <v>15.14</v>
      </c>
      <c r="G144" s="11" t="n">
        <v>-264.73</v>
      </c>
      <c r="H144" t="n">
        <v>91.12</v>
      </c>
      <c r="I144" t="n">
        <v>7.78</v>
      </c>
      <c r="J144" t="n">
        <v>5.94</v>
      </c>
      <c r="K144" t="n">
        <v>5.76</v>
      </c>
      <c r="L144" t="n">
        <v>57.61</v>
      </c>
      <c r="M144" t="n">
        <v>17.48</v>
      </c>
      <c r="N144" t="n">
        <v>10.97</v>
      </c>
      <c r="O144" t="n">
        <v>242.46</v>
      </c>
      <c r="P144" s="11" t="n">
        <v>31.16</v>
      </c>
      <c r="Q144" t="n">
        <v>23.44</v>
      </c>
      <c r="R144" s="2" t="n">
        <v>15.32</v>
      </c>
      <c r="S144" s="12" t="n">
        <v>-0.5</v>
      </c>
      <c r="T144" t="n">
        <v>65.12</v>
      </c>
      <c r="U144" t="n">
        <v>0</v>
      </c>
      <c r="V144" t="n">
        <v>0</v>
      </c>
      <c r="W144" t="n">
        <v>1</v>
      </c>
      <c r="X144" t="n">
        <v>1.7522</v>
      </c>
      <c r="Y144" t="n">
        <v>1.4685</v>
      </c>
      <c r="Z144" t="n">
        <v>0.702</v>
      </c>
      <c r="AA144" s="11">
        <f>IF(X144&lt;50,IF(Y144&gt;(2.3*X144),0,1),1)-IF(Z144&gt;Y144,1.7,0)</f>
        <v/>
      </c>
      <c r="AB144" t="n">
        <v>0</v>
      </c>
      <c r="AC144" s="11">
        <f>IF(AB144&gt;4,1,0)+AB144/12</f>
        <v/>
      </c>
      <c r="AD144" t="n">
        <v>169.2</v>
      </c>
      <c r="AE144" t="n">
        <v>14.73</v>
      </c>
      <c r="AF144" t="n">
        <v>105.43</v>
      </c>
      <c r="AG144" s="12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11">
        <f>AG144+IF(X144&lt;1.35,0,1)+IF(Y144&lt;1.35,0,1)+AC144+AA144</f>
        <v/>
      </c>
      <c r="AI144" s="11" t="n">
        <v>17.9075</v>
      </c>
      <c r="AJ144" s="11">
        <f>IF(AI144&gt;12.7,IF(AI144&gt;15.8,0.93,0.98),1)</f>
        <v/>
      </c>
      <c r="AK144" s="11">
        <f>(1.2*AG144+AH144)*AJ144*AQ144</f>
        <v/>
      </c>
      <c r="AL144" s="10">
        <f>D144</f>
        <v/>
      </c>
      <c r="AM144" s="14" t="inlineStr">
        <is>
          <t>Amba Auto Sales &amp;amp;</t>
        </is>
      </c>
      <c r="AN144" t="n">
        <v>29</v>
      </c>
      <c r="AO144" s="13" t="n">
        <v>30</v>
      </c>
      <c r="AP144" s="13">
        <f>IF(AK144&gt;13.1,IF(Z144&lt;101,IF(Z144&lt;35,IF(Z144&lt;6,3,2),1),0),0)</f>
        <v/>
      </c>
      <c r="AQ144" s="11" t="n">
        <v>1</v>
      </c>
      <c r="AR144" s="13">
        <f>IF(AP144&gt;0,IF(AB144&gt;10,(AB144/Z144),10/Z144),0)</f>
        <v/>
      </c>
      <c r="AS144" s="13" t="n"/>
      <c r="AT144" s="11">
        <f>100*(AK144-AQ144)/AQ144</f>
        <v/>
      </c>
      <c r="AZ144" s="13" t="n"/>
    </row>
    <row r="145" ht="12.75" customHeight="1">
      <c r="A145" t="inlineStr">
        <is>
          <t>https://www.chittorgarh.com/ipo/value-360-communications-ipo/2552/</t>
        </is>
      </c>
      <c r="B145" t="inlineStr">
        <is>
          <t>Value 360 Communicati</t>
        </is>
      </c>
      <c r="C145" t="inlineStr">
        <is>
          <t>2026</t>
        </is>
      </c>
      <c r="E145" t="n">
        <v>10.68</v>
      </c>
      <c r="F145" t="n">
        <v>25.17</v>
      </c>
      <c r="G145" s="11" t="n">
        <v>57.57</v>
      </c>
      <c r="H145" t="n">
        <v>52.96</v>
      </c>
      <c r="I145" t="n">
        <v>5.79</v>
      </c>
      <c r="J145" t="n">
        <v>13.83</v>
      </c>
      <c r="K145" t="n">
        <v>4.72</v>
      </c>
      <c r="L145" t="n">
        <v>21.25</v>
      </c>
      <c r="M145" t="n">
        <v>11.82</v>
      </c>
      <c r="N145" t="n">
        <v>26.41</v>
      </c>
      <c r="O145" t="n">
        <v>54.74</v>
      </c>
      <c r="P145" s="11" t="n">
        <v>9.449999999999999</v>
      </c>
      <c r="Q145" t="n">
        <v>20.74</v>
      </c>
      <c r="R145" s="2" t="n">
        <v>17.25</v>
      </c>
      <c r="S145" s="12" t="n">
        <v>1</v>
      </c>
      <c r="T145" t="n">
        <v>41.69</v>
      </c>
      <c r="U145" t="n">
        <v>4.159999999999997</v>
      </c>
      <c r="V145" t="n">
        <v>0</v>
      </c>
      <c r="W145" t="n">
        <v>1</v>
      </c>
      <c r="X145" t="n">
        <v>17</v>
      </c>
      <c r="Y145" t="n">
        <v>0.66</v>
      </c>
      <c r="Z145" t="n">
        <v>0.24</v>
      </c>
      <c r="AA145" s="11">
        <f>IF(X145&lt;50,IF(Y145&gt;(2.3*X145),0,1),1)-IF(Z145&gt;Y145,1.7,0)</f>
        <v/>
      </c>
      <c r="AB145" t="n">
        <v>0</v>
      </c>
      <c r="AC145" s="11">
        <f>IF(AB145&gt;4,1,0)+AB145/12</f>
        <v/>
      </c>
      <c r="AD145" t="n">
        <v>40.53</v>
      </c>
      <c r="AE145" t="n">
        <v>7.76</v>
      </c>
      <c r="AF145" t="n">
        <v>121.57</v>
      </c>
      <c r="AG145" s="12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11">
        <f>AG145+IF(X145&lt;1.35,0,1)+IF(Y145&lt;1.35,0,1)+AC145+AA145</f>
        <v/>
      </c>
      <c r="AI145" s="11" t="n">
        <v>16.6775</v>
      </c>
      <c r="AJ145" s="11">
        <f>IF(AI145&gt;12.7,IF(AI145&gt;15.8,0.93,0.98),1)</f>
        <v/>
      </c>
      <c r="AK145" s="11">
        <f>(1.2*AG145+AH145)*AJ145*AQ145</f>
        <v/>
      </c>
      <c r="AL145" s="10">
        <f>D145</f>
        <v/>
      </c>
      <c r="AM145" s="14" t="inlineStr">
        <is>
          <t>Value 360 Communicati</t>
        </is>
      </c>
      <c r="AN145" t="n">
        <v>4</v>
      </c>
      <c r="AO145" s="13" t="n">
        <v>5</v>
      </c>
      <c r="AP145" s="13">
        <f>IF(AK145&gt;13.1,IF(Z145&lt;101,IF(Z145&lt;35,IF(Z145&lt;6,3,2),1),0),0)</f>
        <v/>
      </c>
      <c r="AQ145" s="11" t="n">
        <v>1</v>
      </c>
      <c r="AR145" s="13">
        <f>IF(AP145&gt;0,IF(AB145&gt;10,(AB145/Z145),10/Z145),0)</f>
        <v/>
      </c>
      <c r="AS145" s="13" t="n"/>
      <c r="AT145" s="11">
        <f>100*(AK145-AQ145)/AQ145</f>
        <v/>
      </c>
      <c r="AZ145" s="13" t="n"/>
    </row>
    <row r="146" ht="12.75" customHeight="1">
      <c r="A146" t="inlineStr">
        <is>
          <t>https://www.chittorgarh.com/ipo/recode-studios-ipo/2825/</t>
        </is>
      </c>
      <c r="B146" t="inlineStr">
        <is>
          <t>Recode Studios  Price</t>
        </is>
      </c>
      <c r="C146" t="inlineStr">
        <is>
          <t>2026</t>
        </is>
      </c>
      <c r="E146" t="n">
        <v>7.56</v>
      </c>
      <c r="F146" t="n">
        <v>8.77</v>
      </c>
      <c r="G146" s="11" t="n">
        <v>13.8</v>
      </c>
      <c r="H146" t="n">
        <v>23.18</v>
      </c>
      <c r="I146" t="n">
        <v>3.3</v>
      </c>
      <c r="J146" t="n">
        <v>15.79</v>
      </c>
      <c r="K146" t="n">
        <v>4.06</v>
      </c>
      <c r="L146" t="n">
        <v>68.11</v>
      </c>
      <c r="M146" t="n">
        <v>6.13</v>
      </c>
      <c r="N146" t="n">
        <v>23.24</v>
      </c>
      <c r="O146" t="n">
        <v>47.94</v>
      </c>
      <c r="P146" s="11" t="n">
        <v>14.53</v>
      </c>
      <c r="Q146" t="n">
        <v>38.94</v>
      </c>
      <c r="R146" s="2" t="n">
        <v>13.92</v>
      </c>
      <c r="S146" s="12" t="n">
        <v>1</v>
      </c>
      <c r="T146" t="n">
        <v>44.59</v>
      </c>
      <c r="U146" t="n">
        <v>5.040000000000006</v>
      </c>
      <c r="V146" t="n">
        <v>1</v>
      </c>
      <c r="W146" t="n">
        <v>1</v>
      </c>
      <c r="X146" t="n">
        <v>3.52</v>
      </c>
      <c r="Y146" t="n">
        <v>19.08</v>
      </c>
      <c r="Z146" t="n">
        <v>15.43</v>
      </c>
      <c r="AA146" s="11">
        <f>IF(X146&lt;50,IF(Y146&gt;(2.3*X146),0,1),1)-IF(Z146&gt;Y146,1.7,0)</f>
        <v/>
      </c>
      <c r="AB146" t="n">
        <v>27.85</v>
      </c>
      <c r="AC146" s="11">
        <f>IF(AB146&gt;4,1,0)+AB146/12</f>
        <v/>
      </c>
      <c r="AD146" t="n">
        <v>1122.22</v>
      </c>
      <c r="AE146" t="n">
        <v>29.81</v>
      </c>
      <c r="AF146" t="n">
        <v>60.33</v>
      </c>
      <c r="AG146" s="12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11">
        <f>AG146+IF(X146&lt;1.35,0,1)+IF(Y146&lt;1.35,0,1)+AC146+AA146</f>
        <v/>
      </c>
      <c r="AI146" s="11" t="n">
        <v>16.6775</v>
      </c>
      <c r="AJ146" s="11">
        <f>IF(AI146&gt;12.7,IF(AI146&gt;15.8,0.93,0.98),1)</f>
        <v/>
      </c>
      <c r="AK146" s="11">
        <f>(1.2*AG146+AH146)*AJ146*AQ146</f>
        <v/>
      </c>
      <c r="AL146" s="10">
        <f>D146</f>
        <v/>
      </c>
      <c r="AM146" s="14" t="inlineStr">
        <is>
          <t>Recode Studios  Price</t>
        </is>
      </c>
      <c r="AN146" t="n">
        <v>7</v>
      </c>
      <c r="AO146" s="13" t="n">
        <v>8</v>
      </c>
      <c r="AP146" s="13" t="n">
        <v>3</v>
      </c>
      <c r="AQ146" s="11" t="n">
        <v>0.95</v>
      </c>
      <c r="AR146" s="13">
        <f>IF(AP146&gt;0,IF(AB146&gt;10,(AB146/Z146),10/Z146),0)</f>
        <v/>
      </c>
      <c r="AS146" s="13" t="n"/>
      <c r="AT146" s="11">
        <f>100*(AK146-AQ146)/AQ146</f>
        <v/>
      </c>
      <c r="AZ146" s="13" t="n"/>
    </row>
    <row r="147" ht="12.75" customHeight="1">
      <c r="A147" t="inlineStr">
        <is>
          <t>https://www.chittorgarh.com/ipo/simca-advertising-ipo/2512/</t>
        </is>
      </c>
      <c r="B147" t="inlineStr">
        <is>
          <t>Simca Advertising  Pr</t>
        </is>
      </c>
      <c r="C147" t="inlineStr">
        <is>
          <t>2026</t>
        </is>
      </c>
      <c r="E147" t="n">
        <v>0.28</v>
      </c>
      <c r="F147" t="n">
        <v>17.37</v>
      </c>
      <c r="G147" s="11" t="n">
        <v>98.39</v>
      </c>
      <c r="H147" t="n">
        <v>36.67</v>
      </c>
      <c r="I147" t="n">
        <v>9.98</v>
      </c>
      <c r="J147" t="n">
        <v>13.73</v>
      </c>
      <c r="K147" t="n">
        <v>11.34</v>
      </c>
      <c r="L147" t="n">
        <v>38.08</v>
      </c>
      <c r="M147" t="n">
        <v>13.49</v>
      </c>
      <c r="N147" t="n">
        <v>18.48</v>
      </c>
      <c r="O147" t="n">
        <v>75.09</v>
      </c>
      <c r="P147" s="11" t="n">
        <v>7.52</v>
      </c>
      <c r="Q147" t="n">
        <v>16.14</v>
      </c>
      <c r="R147" s="2" t="n">
        <v>15.39</v>
      </c>
      <c r="S147" s="12" t="n">
        <v>-0.5</v>
      </c>
      <c r="T147" t="n">
        <v>58.04</v>
      </c>
      <c r="U147" t="n">
        <v>0</v>
      </c>
      <c r="V147" t="n">
        <v>0</v>
      </c>
      <c r="W147" t="n">
        <v>1</v>
      </c>
      <c r="X147" t="n">
        <v>20</v>
      </c>
      <c r="Y147" t="n">
        <v>20</v>
      </c>
      <c r="Z147" t="n">
        <v>10</v>
      </c>
      <c r="AA147" s="11">
        <f>IF(X147&lt;50,IF(Y147&gt;(2.3*X147),0,1),1)-IF(Z147&gt;Y147,1.7,0)</f>
        <v/>
      </c>
      <c r="AB147" t="n">
        <v>0</v>
      </c>
      <c r="AC147" s="11">
        <f>IF(AB147&gt;4,1,0)+AB147/12</f>
        <v/>
      </c>
      <c r="AD147" t="n">
        <v>72.66</v>
      </c>
      <c r="AE147" t="n">
        <v>52.28</v>
      </c>
      <c r="AF147" t="n">
        <v>135.05</v>
      </c>
      <c r="AG147" s="12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11">
        <f>AG147+IF(X147&lt;1.35,0,1)+IF(Y147&lt;1.35,0,1)+AC147+AA147</f>
        <v/>
      </c>
      <c r="AI147" s="11" t="n">
        <v>16.6775</v>
      </c>
      <c r="AJ147" s="11">
        <f>IF(AI147&gt;12.7,IF(AI147&gt;15.8,0.93,0.98),1)</f>
        <v/>
      </c>
      <c r="AK147" s="11">
        <f>(1.2*AG147+AH147)*AJ147*AQ147</f>
        <v/>
      </c>
      <c r="AL147" s="10">
        <f>D147</f>
        <v/>
      </c>
      <c r="AM147" s="14" t="inlineStr">
        <is>
          <t>Simca Advertising  Pr</t>
        </is>
      </c>
      <c r="AN147" t="n">
        <v>12</v>
      </c>
      <c r="AO147" s="13" t="n">
        <v>13</v>
      </c>
      <c r="AP147" s="13">
        <f>IF(AK147&gt;13.1,IF(Z147&lt;101,IF(Z147&lt;35,IF(Z147&lt;6,3,2),1),0),0)</f>
        <v/>
      </c>
      <c r="AQ147" s="11" t="n">
        <v>0.95</v>
      </c>
      <c r="AR147" s="13">
        <f>IF(AP147&gt;0,IF(AB147&gt;10,(AB147/Z147),10/Z147),0)</f>
        <v/>
      </c>
      <c r="AS147" s="13" t="n"/>
      <c r="AT147" s="11">
        <f>100*(AK147-AQ147)/AQ147</f>
        <v/>
      </c>
      <c r="AZ147" s="13" t="n"/>
    </row>
    <row r="148" ht="12.75" customHeight="1">
      <c r="A148" t="inlineStr">
        <is>
          <t>https://www.chittorgarh.com/ipo/rfbl-flexi-pack-ipo/2962/</t>
        </is>
      </c>
      <c r="B148" t="inlineStr">
        <is>
          <t>RFBL Flexi Pack  Pric</t>
        </is>
      </c>
      <c r="C148" t="inlineStr">
        <is>
          <t>2026</t>
        </is>
      </c>
      <c r="E148" t="n">
        <v>18.88</v>
      </c>
      <c r="F148" t="n">
        <v>18</v>
      </c>
      <c r="G148" s="11" t="n">
        <v>-4.89</v>
      </c>
      <c r="H148" t="n">
        <v>46.94</v>
      </c>
      <c r="I148" t="n">
        <v>8.33</v>
      </c>
      <c r="J148" t="n">
        <v>5.51</v>
      </c>
      <c r="K148" t="n">
        <v>5.13</v>
      </c>
      <c r="L148" t="n">
        <v>19.26</v>
      </c>
      <c r="M148" t="n">
        <v>12.57</v>
      </c>
      <c r="N148" t="n">
        <v>8.550000000000001</v>
      </c>
      <c r="O148" t="n">
        <v>135.46</v>
      </c>
      <c r="P148" s="11" t="n">
        <v>16.26</v>
      </c>
      <c r="Q148" t="n">
        <v>9.75</v>
      </c>
      <c r="R148" s="2" t="n">
        <v>15.19</v>
      </c>
      <c r="S148" s="12" t="n">
        <v>-0.5</v>
      </c>
      <c r="T148" t="n">
        <v>35.33</v>
      </c>
      <c r="U148" t="n">
        <v>0</v>
      </c>
      <c r="V148" t="n">
        <v>0</v>
      </c>
      <c r="W148" t="n">
        <v>1</v>
      </c>
      <c r="X148" t="n">
        <v>20</v>
      </c>
      <c r="Y148" t="n">
        <v>20</v>
      </c>
      <c r="Z148" t="n">
        <v>10</v>
      </c>
      <c r="AA148" s="11">
        <f>IF(X148&lt;50,IF(Y148&gt;(2.3*X148),0,1),1)-IF(Z148&gt;Y148,1.7,0)</f>
        <v/>
      </c>
      <c r="AC148" s="11">
        <f>IF(AB148&gt;4,1,0)+AB148/12</f>
        <v/>
      </c>
      <c r="AD148" t="n">
        <v>43.87</v>
      </c>
      <c r="AE148" t="n">
        <v>69.41</v>
      </c>
      <c r="AF148" t="n">
        <v>85.95</v>
      </c>
      <c r="AG148" s="12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11">
        <f>AG148+IF(X148&lt;1.35,0,1)+IF(Y148&lt;1.35,0,1)+AC148+AA148</f>
        <v/>
      </c>
      <c r="AI148" s="11" t="n">
        <v>16.7675</v>
      </c>
      <c r="AJ148" s="11">
        <f>IF(AI148&gt;12.7,IF(AI148&gt;15.8,0.93,0.98),1)</f>
        <v/>
      </c>
      <c r="AK148" s="11">
        <f>(1.2*AG148+AH148)*AJ148*AQ148</f>
        <v/>
      </c>
      <c r="AL148" s="10">
        <f>D148</f>
        <v/>
      </c>
      <c r="AM148" s="14" t="inlineStr">
        <is>
          <t>RFBL Flexi Pack  Pric</t>
        </is>
      </c>
      <c r="AN148" t="n">
        <v>14</v>
      </c>
      <c r="AO148" s="13" t="n">
        <v>15</v>
      </c>
      <c r="AP148" s="13">
        <f>IF(AK148&gt;13.1,IF(Z148&lt;101,IF(Z148&lt;35,IF(Z148&lt;6,3,2),1),0),0)</f>
        <v/>
      </c>
      <c r="AQ148" s="11" t="n">
        <v>1</v>
      </c>
      <c r="AR148" s="13">
        <f>IF(AP148&gt;0,IF(AB148&gt;10,(AB148/Z148),10/Z148),0)</f>
        <v/>
      </c>
      <c r="AS148" s="13" t="n"/>
      <c r="AT148" s="11">
        <f>100*(AK148-AQ148)/AQ148</f>
        <v/>
      </c>
      <c r="AZ148" s="13" t="n"/>
    </row>
    <row r="149" ht="12.75" customHeight="1">
      <c r="A149" t="inlineStr">
        <is>
          <t>https://www.chittorgarh.com/ipo/goldline-pharmaceutical-ipo/2773/</t>
        </is>
      </c>
      <c r="B149" t="inlineStr">
        <is>
          <t>Goldline Pharmaceutic</t>
        </is>
      </c>
      <c r="C149" t="inlineStr">
        <is>
          <t>2026</t>
        </is>
      </c>
      <c r="E149" t="n">
        <v>11.03</v>
      </c>
      <c r="F149" t="n">
        <v>10.35</v>
      </c>
      <c r="G149" s="11" t="n">
        <v>-6.57</v>
      </c>
      <c r="H149" t="n">
        <v>26.28</v>
      </c>
      <c r="I149" t="n">
        <v>2.83</v>
      </c>
      <c r="J149" t="n">
        <v>10.1</v>
      </c>
      <c r="K149" t="n">
        <v>0</v>
      </c>
      <c r="L149" t="n">
        <v>35.84</v>
      </c>
      <c r="M149" t="n">
        <v>5.83</v>
      </c>
      <c r="N149" t="n">
        <v>20.79</v>
      </c>
      <c r="O149" t="n">
        <v>28.06</v>
      </c>
      <c r="P149" s="11" t="n">
        <v>9.92</v>
      </c>
      <c r="Q149" t="n">
        <v>0</v>
      </c>
      <c r="R149" s="2" t="n">
        <v>0</v>
      </c>
      <c r="S149" s="12" t="n">
        <v>-0.5</v>
      </c>
      <c r="T149" t="n">
        <v>11.61</v>
      </c>
      <c r="U149" t="n">
        <v>0</v>
      </c>
      <c r="V149" t="n">
        <v>0</v>
      </c>
      <c r="W149" t="n">
        <v>1</v>
      </c>
      <c r="X149" t="n">
        <v>20</v>
      </c>
      <c r="Y149" t="n">
        <v>20</v>
      </c>
      <c r="Z149" t="n">
        <v>10</v>
      </c>
      <c r="AA149" s="11">
        <f>IF(X149&lt;50,IF(Y149&gt;(2.3*X149),0,1),1)-IF(Z149&gt;Y149,1.7,0)</f>
        <v/>
      </c>
      <c r="AB149" t="n">
        <v>0</v>
      </c>
      <c r="AC149" s="11">
        <f>IF(AB149&gt;4,1,0)+AB149/12</f>
        <v/>
      </c>
      <c r="AD149" t="n">
        <v>56.35</v>
      </c>
      <c r="AE149" t="n">
        <v>19.05</v>
      </c>
      <c r="AF149" t="n">
        <v>31.51</v>
      </c>
      <c r="AG149" s="12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11">
        <f>AG149+IF(X149&lt;1.35,0,1)+IF(Y149&lt;1.35,0,1)+AC149+AA149</f>
        <v/>
      </c>
      <c r="AI149" s="11" t="n">
        <v>16.7775</v>
      </c>
      <c r="AJ149" s="11">
        <f>IF(AI149&gt;12.7,IF(AI149&gt;15.8,0.93,0.98),1)</f>
        <v/>
      </c>
      <c r="AK149" s="11">
        <f>(1.2*AG149+AH149)*AJ149*AQ149</f>
        <v/>
      </c>
      <c r="AL149" s="10">
        <f>D149</f>
        <v/>
      </c>
      <c r="AM149" s="14" t="inlineStr">
        <is>
          <t>Goldline Pharmaceutic</t>
        </is>
      </c>
      <c r="AN149" t="n">
        <v>14</v>
      </c>
      <c r="AO149" s="13" t="n">
        <v>15</v>
      </c>
      <c r="AP149" s="13">
        <f>IF(AK149&gt;13.1,IF(Z149&lt;101,IF(Z149&lt;35,IF(Z149&lt;6,3,2),1),0),0)</f>
        <v/>
      </c>
      <c r="AQ149" s="11" t="n">
        <v>1</v>
      </c>
      <c r="AR149" s="13">
        <f>IF(AP149&gt;0,IF(AB149&gt;10,(AB149/Z149),10/Z149),0)</f>
        <v/>
      </c>
      <c r="AS149" s="13" t="n"/>
      <c r="AT149" s="11">
        <f>100*(AK149-AQ149)/AQ149</f>
        <v/>
      </c>
      <c r="AZ149" s="13" t="n"/>
    </row>
    <row r="150" ht="12.75" customHeight="1">
      <c r="G150" s="11">
        <f>100*(F150-E150)/F150</f>
        <v/>
      </c>
      <c r="P150" s="11">
        <f>O150/I150</f>
        <v/>
      </c>
      <c r="R150" s="2" t="n"/>
      <c r="S150" s="12" t="n">
        <v>5</v>
      </c>
      <c r="AA150" s="11">
        <f>IF(X150&lt;50,IF(Y150&gt;(2.3*X150),0,1),1)-IF(Z150&gt;Y150,1.7,0)</f>
        <v/>
      </c>
      <c r="AC150" s="11">
        <f>IF(AB150&gt;4,1,0)+AB150/12</f>
        <v/>
      </c>
      <c r="AG150" s="12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11">
        <f>AG150+IF(X150&lt;1.35,0,1)+IF(Y150&lt;1.35,0,1)+AC150+AA150</f>
        <v/>
      </c>
      <c r="AI150" s="11" t="n"/>
      <c r="AJ150" s="11">
        <f>IF(AI150&gt;12.7,IF(AI150&gt;15.8,0.93,0.98),1)</f>
        <v/>
      </c>
      <c r="AK150" s="11">
        <f>(1.2*AG150+AH150)*AJ150*AQ150</f>
        <v/>
      </c>
      <c r="AL150" s="10">
        <f>D150</f>
        <v/>
      </c>
      <c r="AM150" s="14">
        <f>B150</f>
        <v/>
      </c>
      <c r="AO150" s="13">
        <f>AN150+1</f>
        <v/>
      </c>
      <c r="AP150" s="13">
        <f>IF(AK150&gt;13.1,IF(Z150&lt;101,IF(Z150&lt;35,IF(Z150&lt;6,3,2),1),0),0)</f>
        <v/>
      </c>
      <c r="AQ150" s="11" t="n">
        <v>1</v>
      </c>
      <c r="AR150" s="13">
        <f>IF(AP150&gt;0,IF(AB150&gt;10,(AB150/Z150),10/Z150),0)</f>
        <v/>
      </c>
      <c r="AS150" s="13" t="n"/>
      <c r="AT150" s="11">
        <f>100*(AK150-AQ150)/AQ150</f>
        <v/>
      </c>
      <c r="AZ150" s="13" t="n"/>
    </row>
    <row r="151" ht="12.75" customHeight="1">
      <c r="G151" s="11">
        <f>100*(F151-E151)/F151</f>
        <v/>
      </c>
      <c r="P151" s="11">
        <f>O151/I151</f>
        <v/>
      </c>
      <c r="R151" s="2" t="n"/>
      <c r="S151" s="12" t="n">
        <v>5</v>
      </c>
      <c r="AA151" s="11">
        <f>IF(X151&lt;50,IF(Y151&gt;(2.3*X151),0,1),1)-IF(Z151&gt;Y151,1.7,0)</f>
        <v/>
      </c>
      <c r="AC151" s="11">
        <f>IF(AB151&gt;4,1,0)+AB151/12</f>
        <v/>
      </c>
      <c r="AG151" s="12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11">
        <f>AG151+IF(X151&lt;1.35,0,1)+IF(Y151&lt;1.35,0,1)+AC151+AA151</f>
        <v/>
      </c>
      <c r="AI151" s="11" t="n"/>
      <c r="AJ151" s="11">
        <f>IF(AI151&gt;12.7,IF(AI151&gt;15.8,0.93,0.98),1)</f>
        <v/>
      </c>
      <c r="AK151" s="11">
        <f>(1.2*AG151+AH151)*AJ151*AQ151</f>
        <v/>
      </c>
      <c r="AL151" s="10">
        <f>D151</f>
        <v/>
      </c>
      <c r="AM151" s="14">
        <f>B151</f>
        <v/>
      </c>
      <c r="AO151" s="13">
        <f>AN151+1</f>
        <v/>
      </c>
      <c r="AP151" s="13">
        <f>IF(AK151&gt;13.1,IF(Z151&lt;101,IF(Z151&lt;35,IF(Z151&lt;6,3,2),1),0),0)</f>
        <v/>
      </c>
      <c r="AQ151" s="11" t="n">
        <v>1</v>
      </c>
      <c r="AR151" s="13">
        <f>IF(AP151&gt;0,IF(AB151&gt;10,(AB151/Z151),10/Z151),0)</f>
        <v/>
      </c>
      <c r="AS151" s="13" t="n"/>
      <c r="AT151" s="11">
        <f>100*(AK151-AQ151)/AQ151</f>
        <v/>
      </c>
      <c r="AZ151" s="13" t="n"/>
    </row>
    <row r="152" ht="12.75" customHeight="1">
      <c r="G152" s="11">
        <f>100*(F152-E152)/F152</f>
        <v/>
      </c>
      <c r="P152" s="11">
        <f>O152/I152</f>
        <v/>
      </c>
      <c r="R152" s="2" t="n"/>
      <c r="S152" s="12" t="n">
        <v>5</v>
      </c>
      <c r="AA152" s="11">
        <f>IF(X152&lt;50,IF(Y152&gt;(2.3*X152),0,1),1)-IF(Z152&gt;Y152,1.7,0)</f>
        <v/>
      </c>
      <c r="AC152" s="11">
        <f>IF(AB152&gt;4,1,0)+AB152/12</f>
        <v/>
      </c>
      <c r="AG152" s="12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11">
        <f>AG152+IF(X152&lt;1.35,0,1)+IF(Y152&lt;1.35,0,1)+AC152+AA152</f>
        <v/>
      </c>
      <c r="AI152" s="11" t="n"/>
      <c r="AJ152" s="11">
        <f>IF(AI152&gt;12.7,IF(AI152&gt;15.8,0.93,0.98),1)</f>
        <v/>
      </c>
      <c r="AK152" s="11">
        <f>(1.2*AG152+AH152)*AJ152*AQ152</f>
        <v/>
      </c>
      <c r="AL152" s="10">
        <f>D152</f>
        <v/>
      </c>
      <c r="AM152" s="14">
        <f>B152</f>
        <v/>
      </c>
      <c r="AO152" s="13">
        <f>AN152+1</f>
        <v/>
      </c>
      <c r="AP152" s="13">
        <f>IF(AK152&gt;13.1,IF(Z152&lt;101,IF(Z152&lt;35,IF(Z152&lt;6,3,2),1),0),0)</f>
        <v/>
      </c>
      <c r="AQ152" s="11" t="n">
        <v>1</v>
      </c>
      <c r="AR152" s="13">
        <f>IF(AP152&gt;0,IF(AB152&gt;10,(AB152/Z152),10/Z152),0)</f>
        <v/>
      </c>
      <c r="AS152" s="13" t="n"/>
      <c r="AT152" s="11">
        <f>100*(AK152-AQ152)/AQ152</f>
        <v/>
      </c>
      <c r="AZ152" s="13" t="n"/>
    </row>
    <row r="153" ht="12.75" customHeight="1">
      <c r="G153" s="11">
        <f>100*(F153-E153)/F153</f>
        <v/>
      </c>
      <c r="P153" s="11">
        <f>O153/I153</f>
        <v/>
      </c>
      <c r="R153" s="2" t="n"/>
      <c r="S153" s="12" t="n">
        <v>5</v>
      </c>
      <c r="AA153" s="11">
        <f>IF(X153&lt;50,IF(Y153&gt;(2.3*X153),0,1),1)-IF(Z153&gt;Y153,1.7,0)</f>
        <v/>
      </c>
      <c r="AC153" s="11">
        <f>IF(AB153&gt;4,1,0)+AB153/12</f>
        <v/>
      </c>
      <c r="AG153" s="12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11">
        <f>AG153+IF(X153&lt;1.35,0,1)+IF(Y153&lt;1.35,0,1)+AC153+AA153</f>
        <v/>
      </c>
      <c r="AI153" s="11" t="n"/>
      <c r="AJ153" s="11">
        <f>IF(AI153&gt;12.7,IF(AI153&gt;15.8,0.93,0.98),1)</f>
        <v/>
      </c>
      <c r="AK153" s="11">
        <f>(1.2*AG153+AH153)*AJ153*AQ153</f>
        <v/>
      </c>
      <c r="AL153" s="10">
        <f>D153</f>
        <v/>
      </c>
      <c r="AM153" s="14">
        <f>B153</f>
        <v/>
      </c>
      <c r="AO153" s="13">
        <f>AN153+1</f>
        <v/>
      </c>
      <c r="AP153" s="13">
        <f>IF(AK153&gt;13.1,IF(Z153&lt;101,IF(Z153&lt;35,IF(Z153&lt;6,3,2),1),0),0)</f>
        <v/>
      </c>
      <c r="AQ153" s="11" t="n">
        <v>1</v>
      </c>
      <c r="AR153" s="13">
        <f>IF(AP153&gt;0,IF(AB153&gt;10,(AB153/Z153),10/Z153),0)</f>
        <v/>
      </c>
      <c r="AS153" s="13" t="n"/>
      <c r="AT153" s="11">
        <f>100*(AK153-AQ153)/AQ153</f>
        <v/>
      </c>
      <c r="AZ153" s="13" t="n"/>
    </row>
    <row r="154" ht="12.75" customHeight="1">
      <c r="G154" s="11">
        <f>100*(F154-E154)/F154</f>
        <v/>
      </c>
      <c r="P154" s="11">
        <f>O154/I154</f>
        <v/>
      </c>
      <c r="R154" s="2" t="n"/>
      <c r="S154" s="12" t="n">
        <v>5</v>
      </c>
      <c r="AA154" s="11">
        <f>IF(X154&lt;50,IF(Y154&gt;(2.3*X154),0,1),1)-IF(Z154&gt;Y154,1.7,0)</f>
        <v/>
      </c>
      <c r="AC154" s="11">
        <f>IF(AB154&gt;4,1,0)+AB154/12</f>
        <v/>
      </c>
      <c r="AG154" s="12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11">
        <f>AG154+IF(X154&lt;1.35,0,1)+IF(Y154&lt;1.35,0,1)+AC154+AA154</f>
        <v/>
      </c>
      <c r="AI154" s="11" t="n"/>
      <c r="AJ154" s="11">
        <f>IF(AI154&gt;12.7,IF(AI154&gt;15.8,0.93,0.98),1)</f>
        <v/>
      </c>
      <c r="AK154" s="11">
        <f>(1.2*AG154+AH154)*AJ154*AQ154</f>
        <v/>
      </c>
      <c r="AL154" s="10">
        <f>D154</f>
        <v/>
      </c>
      <c r="AM154" s="14">
        <f>B154</f>
        <v/>
      </c>
      <c r="AO154" s="13">
        <f>AN154+1</f>
        <v/>
      </c>
      <c r="AP154" s="13">
        <f>IF(AK154&gt;13.1,IF(Z154&lt;101,IF(Z154&lt;35,IF(Z154&lt;6,3,2),1),0),0)</f>
        <v/>
      </c>
      <c r="AQ154" s="11" t="n">
        <v>1</v>
      </c>
      <c r="AR154" s="13">
        <f>IF(AP154&gt;0,IF(AB154&gt;10,(AB154/Z154),10/Z154),0)</f>
        <v/>
      </c>
      <c r="AS154" s="13" t="n"/>
      <c r="AT154" s="11">
        <f>100*(AK154-AQ154)/AQ154</f>
        <v/>
      </c>
      <c r="AZ154" s="13" t="n"/>
    </row>
    <row r="155" ht="12.75" customHeight="1">
      <c r="G155" s="11">
        <f>100*(F155-E155)/F155</f>
        <v/>
      </c>
      <c r="P155" s="11">
        <f>O155/I155</f>
        <v/>
      </c>
      <c r="R155" s="2" t="n"/>
      <c r="S155" s="12" t="n">
        <v>5</v>
      </c>
      <c r="AA155" s="11">
        <f>IF(X155&lt;50,IF(Y155&gt;(2.3*X155),0,1),1)-IF(Z155&gt;Y155,1.7,0)</f>
        <v/>
      </c>
      <c r="AC155" s="11">
        <f>IF(AB155&gt;4,1,0)+AB155/12</f>
        <v/>
      </c>
      <c r="AG155" s="12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11">
        <f>AG155+IF(X155&lt;1.35,0,1)+IF(Y155&lt;1.35,0,1)+AC155+AA155</f>
        <v/>
      </c>
      <c r="AI155" s="11" t="n"/>
      <c r="AJ155" s="11">
        <f>IF(AI155&gt;12.7,IF(AI155&gt;15.8,0.93,0.98),1)</f>
        <v/>
      </c>
      <c r="AK155" s="11">
        <f>(1.2*AG155+AH155)*AJ155*AQ155</f>
        <v/>
      </c>
      <c r="AL155" s="10">
        <f>D155</f>
        <v/>
      </c>
      <c r="AM155" s="14">
        <f>B155</f>
        <v/>
      </c>
      <c r="AO155" s="13">
        <f>AN155+1</f>
        <v/>
      </c>
      <c r="AP155" s="13">
        <f>IF(AK155&gt;13.1,IF(Z155&lt;101,IF(Z155&lt;35,IF(Z155&lt;6,3,2),1),0),0)</f>
        <v/>
      </c>
      <c r="AQ155" s="11" t="n">
        <v>1</v>
      </c>
      <c r="AR155" s="13">
        <f>IF(AP155&gt;0,IF(AB155&gt;10,(AB155/Z155),10/Z155),0)</f>
        <v/>
      </c>
      <c r="AS155" s="13" t="n"/>
      <c r="AT155" s="11">
        <f>100*(AK155-AQ155)/AQ155</f>
        <v/>
      </c>
      <c r="AZ155" s="13" t="n"/>
    </row>
    <row r="156" ht="12.75" customHeight="1">
      <c r="G156" s="11">
        <f>100*(F156-E156)/F156</f>
        <v/>
      </c>
      <c r="P156" s="11">
        <f>O156/I156</f>
        <v/>
      </c>
      <c r="R156" s="2" t="n"/>
      <c r="S156" s="12" t="n">
        <v>5</v>
      </c>
      <c r="AA156" s="11">
        <f>IF(X156&lt;50,IF(Y156&gt;(2.3*X156),0,1),1)-IF(Z156&gt;Y156,1.7,0)</f>
        <v/>
      </c>
      <c r="AC156" s="11">
        <f>IF(AB156&gt;4,1,0)+AB156/12</f>
        <v/>
      </c>
      <c r="AG156" s="12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11">
        <f>AG156+IF(X156&lt;1.35,0,1)+IF(Y156&lt;1.35,0,1)+AC156+AA156</f>
        <v/>
      </c>
      <c r="AI156" s="11" t="n"/>
      <c r="AJ156" s="11">
        <f>IF(AI156&gt;12.7,IF(AI156&gt;15.8,0.93,0.98),1)</f>
        <v/>
      </c>
      <c r="AK156" s="11">
        <f>(1.2*AG156+AH156)*AJ156*AQ156</f>
        <v/>
      </c>
      <c r="AL156" s="10">
        <f>D156</f>
        <v/>
      </c>
      <c r="AM156" s="14">
        <f>B156</f>
        <v/>
      </c>
      <c r="AO156" s="13">
        <f>AN156+1</f>
        <v/>
      </c>
      <c r="AP156" s="13">
        <f>IF(AK156&gt;13.1,IF(Z156&lt;101,IF(Z156&lt;35,IF(Z156&lt;6,3,2),1),0),0)</f>
        <v/>
      </c>
      <c r="AQ156" s="11" t="n">
        <v>1</v>
      </c>
      <c r="AR156" s="13">
        <f>IF(AP156&gt;0,IF(AB156&gt;10,(AB156/Z156),10/Z156),0)</f>
        <v/>
      </c>
      <c r="AS156" s="13" t="n"/>
      <c r="AT156" s="11">
        <f>100*(AK156-AQ156)/AQ156</f>
        <v/>
      </c>
      <c r="AZ156" s="13" t="n"/>
    </row>
    <row r="157" ht="12.75" customHeight="1">
      <c r="G157" s="11">
        <f>100*(F157-E157)/F157</f>
        <v/>
      </c>
      <c r="P157" s="11">
        <f>O157/I157</f>
        <v/>
      </c>
      <c r="R157" s="2" t="n"/>
      <c r="S157" s="12" t="n">
        <v>5</v>
      </c>
      <c r="AA157" s="11">
        <f>IF(X157&lt;50,IF(Y157&gt;(2.3*X157),0,1),1)-IF(Z157&gt;Y157,1.7,0)</f>
        <v/>
      </c>
      <c r="AC157" s="11">
        <f>IF(AB157&gt;4,1,0)+AB157/12</f>
        <v/>
      </c>
      <c r="AG157" s="12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11">
        <f>AG157+IF(X157&lt;1.35,0,1)+IF(Y157&lt;1.35,0,1)+AC157+AA157</f>
        <v/>
      </c>
      <c r="AI157" s="11" t="n"/>
      <c r="AJ157" s="11">
        <f>IF(AI157&gt;12.7,IF(AI157&gt;15.8,0.93,0.98),1)</f>
        <v/>
      </c>
      <c r="AK157" s="11">
        <f>(1.2*AG157+AH157)*AJ157*AQ157</f>
        <v/>
      </c>
      <c r="AL157" s="10">
        <f>D157</f>
        <v/>
      </c>
      <c r="AM157" s="14">
        <f>B157</f>
        <v/>
      </c>
      <c r="AO157" s="13">
        <f>AN157+1</f>
        <v/>
      </c>
      <c r="AP157" s="13">
        <f>IF(AK157&gt;13.1,IF(Z157&lt;101,IF(Z157&lt;35,IF(Z157&lt;6,3,2),1),0),0)</f>
        <v/>
      </c>
      <c r="AQ157" s="11" t="n">
        <v>1</v>
      </c>
      <c r="AR157" s="13">
        <f>IF(AP157&gt;0,IF(AB157&gt;10,(AB157/Z157),10/Z157),0)</f>
        <v/>
      </c>
      <c r="AS157" s="13" t="n"/>
      <c r="AT157" s="11">
        <f>100*(AK157-AQ157)/AQ157</f>
        <v/>
      </c>
      <c r="AZ157" s="13" t="n"/>
    </row>
    <row r="158" ht="12.75" customHeight="1">
      <c r="G158" s="11">
        <f>100*(F158-E158)/F158</f>
        <v/>
      </c>
      <c r="P158" s="11">
        <f>O158/I158</f>
        <v/>
      </c>
      <c r="R158" s="2" t="n"/>
      <c r="S158" s="12" t="n">
        <v>5</v>
      </c>
      <c r="AA158" s="11">
        <f>IF(X158&lt;50,IF(Y158&gt;(2.3*X158),0,1),1)-IF(Z158&gt;Y158,1.7,0)</f>
        <v/>
      </c>
      <c r="AC158" s="11">
        <f>IF(AB158&gt;4,1,0)+AB158/12</f>
        <v/>
      </c>
      <c r="AG158" s="12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11">
        <f>AG158+IF(X158&lt;1.35,0,1)+IF(Y158&lt;1.35,0,1)+AC158+AA158</f>
        <v/>
      </c>
      <c r="AI158" s="11" t="n"/>
      <c r="AJ158" s="11">
        <f>IF(AI158&gt;12.7,IF(AI158&gt;15.8,0.93,0.98),1)</f>
        <v/>
      </c>
      <c r="AK158" s="11">
        <f>(1.2*AG158+AH158)*AJ158*AQ158</f>
        <v/>
      </c>
      <c r="AL158" s="10">
        <f>D158</f>
        <v/>
      </c>
      <c r="AM158" s="14">
        <f>B158</f>
        <v/>
      </c>
      <c r="AO158" s="13">
        <f>AN158+1</f>
        <v/>
      </c>
      <c r="AP158" s="13">
        <f>IF(AK158&gt;13.1,IF(Z158&lt;101,IF(Z158&lt;35,IF(Z158&lt;6,3,2),1),0),0)</f>
        <v/>
      </c>
      <c r="AQ158" s="11" t="n">
        <v>1</v>
      </c>
      <c r="AR158" s="13">
        <f>IF(AP158&gt;0,IF(AB158&gt;10,(AB158/Z158),10/Z158),0)</f>
        <v/>
      </c>
      <c r="AS158" s="13" t="n"/>
      <c r="AT158" s="11">
        <f>100*(AK158-AQ158)/AQ158</f>
        <v/>
      </c>
      <c r="AZ158" s="13" t="n"/>
    </row>
    <row r="159" ht="12.75" customHeight="1">
      <c r="G159" s="11">
        <f>100*(F159-E159)/F159</f>
        <v/>
      </c>
      <c r="P159" s="11">
        <f>O159/I159</f>
        <v/>
      </c>
      <c r="R159" s="2" t="n"/>
      <c r="S159" s="12" t="n">
        <v>5</v>
      </c>
      <c r="AA159" s="11">
        <f>IF(X159&lt;50,IF(Y159&gt;(2.3*X159),0,1),1)-IF(Z159&gt;Y159,1.7,0)</f>
        <v/>
      </c>
      <c r="AC159" s="11">
        <f>IF(AB159&gt;4,1,0)+AB159/12</f>
        <v/>
      </c>
      <c r="AG159" s="12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11">
        <f>AG159+IF(X159&lt;1.35,0,1)+IF(Y159&lt;1.35,0,1)+AC159+AA159</f>
        <v/>
      </c>
      <c r="AI159" s="11" t="n"/>
      <c r="AJ159" s="11">
        <f>IF(AI159&gt;12.7,IF(AI159&gt;15.8,0.93,0.98),1)</f>
        <v/>
      </c>
      <c r="AK159" s="11">
        <f>(1.2*AG159+AH159)*AJ159*AQ159</f>
        <v/>
      </c>
      <c r="AL159" s="10">
        <f>D159</f>
        <v/>
      </c>
      <c r="AM159" s="14">
        <f>B159</f>
        <v/>
      </c>
      <c r="AO159" s="13">
        <f>AN159+1</f>
        <v/>
      </c>
      <c r="AP159" s="13">
        <f>IF(AK159&gt;13.1,IF(Z159&lt;101,IF(Z159&lt;35,IF(Z159&lt;6,3,2),1),0),0)</f>
        <v/>
      </c>
      <c r="AQ159" s="11" t="n">
        <v>1</v>
      </c>
      <c r="AR159" s="13">
        <f>IF(AP159&gt;0,IF(AB159&gt;10,(AB159/Z159),10/Z159),0)</f>
        <v/>
      </c>
      <c r="AS159" s="13" t="n"/>
      <c r="AT159" s="11">
        <f>100*(AK159-AQ159)/AQ159</f>
        <v/>
      </c>
      <c r="AZ159" s="13" t="n"/>
    </row>
    <row r="160" ht="12.75" customHeight="1">
      <c r="G160" s="11">
        <f>100*(F160-E160)/F160</f>
        <v/>
      </c>
      <c r="P160" s="11">
        <f>O160/I160</f>
        <v/>
      </c>
      <c r="R160" s="2" t="n"/>
      <c r="S160" s="12" t="n">
        <v>5</v>
      </c>
      <c r="AA160" s="11">
        <f>IF(X160&lt;50,IF(Y160&gt;(2.3*X160),0,1),1)-IF(Z160&gt;Y160,1.7,0)</f>
        <v/>
      </c>
      <c r="AC160" s="11">
        <f>IF(AB160&gt;4,1,0)+AB160/12</f>
        <v/>
      </c>
      <c r="AG160" s="12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11">
        <f>AG160+IF(X160&lt;1.35,0,1)+IF(Y160&lt;1.35,0,1)+AC160+AA160</f>
        <v/>
      </c>
      <c r="AI160" s="11" t="n"/>
      <c r="AJ160" s="11">
        <f>IF(AI160&gt;12.7,IF(AI160&gt;15.8,0.93,0.98),1)</f>
        <v/>
      </c>
      <c r="AK160" s="11">
        <f>(1.2*AG160+AH160)*AJ160*AQ160</f>
        <v/>
      </c>
      <c r="AL160" s="10">
        <f>D160</f>
        <v/>
      </c>
      <c r="AM160" s="14">
        <f>B160</f>
        <v/>
      </c>
      <c r="AO160" s="13">
        <f>AN160+1</f>
        <v/>
      </c>
      <c r="AP160" s="13">
        <f>IF(AK160&gt;13.1,IF(Z160&lt;101,IF(Z160&lt;35,IF(Z160&lt;6,3,2),1),0),0)</f>
        <v/>
      </c>
      <c r="AQ160" s="11" t="n">
        <v>1</v>
      </c>
      <c r="AR160" s="13">
        <f>IF(AP160&gt;0,IF(AB160&gt;10,(AB160/Z160),10/Z160),0)</f>
        <v/>
      </c>
      <c r="AS160" s="13" t="n"/>
      <c r="AT160" s="11">
        <f>100*(AK160-AQ160)/AQ160</f>
        <v/>
      </c>
      <c r="AZ160" s="13" t="n"/>
    </row>
    <row r="161" ht="12.75" customHeight="1">
      <c r="G161" s="11">
        <f>100*(F161-E161)/F161</f>
        <v/>
      </c>
      <c r="P161" s="11">
        <f>O161/I161</f>
        <v/>
      </c>
      <c r="R161" s="2" t="n"/>
      <c r="S161" s="12" t="n">
        <v>5</v>
      </c>
      <c r="AA161" s="11">
        <f>IF(X161&lt;50,IF(Y161&gt;(2.3*X161),0,1),1)-IF(Z161&gt;Y161,1.7,0)</f>
        <v/>
      </c>
      <c r="AC161" s="11">
        <f>IF(AB161&gt;4,1,0)+AB161/12</f>
        <v/>
      </c>
      <c r="AG161" s="12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11">
        <f>AG161+IF(X161&lt;1.35,0,1)+IF(Y161&lt;1.35,0,1)+AC161+AA161</f>
        <v/>
      </c>
      <c r="AI161" s="11" t="n"/>
      <c r="AJ161" s="11">
        <f>IF(AI161&gt;12.7,IF(AI161&gt;15.8,0.93,0.98),1)</f>
        <v/>
      </c>
      <c r="AK161" s="11">
        <f>(1.2*AG161+AH161)*AJ161*AQ161</f>
        <v/>
      </c>
      <c r="AL161" s="10">
        <f>D161</f>
        <v/>
      </c>
      <c r="AM161" s="14">
        <f>B161</f>
        <v/>
      </c>
      <c r="AO161" s="13">
        <f>AN161+1</f>
        <v/>
      </c>
      <c r="AP161" s="13">
        <f>IF(AK161&gt;13.1,IF(Z161&lt;101,IF(Z161&lt;35,IF(Z161&lt;6,3,2),1),0),0)</f>
        <v/>
      </c>
      <c r="AQ161" s="11" t="n">
        <v>1</v>
      </c>
      <c r="AR161" s="13">
        <f>IF(AP161&gt;0,IF(AB161&gt;10,(AB161/Z161),10/Z161),0)</f>
        <v/>
      </c>
      <c r="AS161" s="13" t="n"/>
      <c r="AT161" s="11">
        <f>100*(AK161-AQ161)/AQ161</f>
        <v/>
      </c>
      <c r="AZ161" s="13" t="n"/>
    </row>
    <row r="162" ht="12.75" customHeight="1">
      <c r="G162" s="11">
        <f>100*(F162-E162)/F162</f>
        <v/>
      </c>
      <c r="P162" s="11">
        <f>O162/I162</f>
        <v/>
      </c>
      <c r="R162" s="2" t="n"/>
      <c r="S162" s="12" t="n">
        <v>5</v>
      </c>
      <c r="AA162" s="11">
        <f>IF(X162&lt;50,IF(Y162&gt;(2.3*X162),0,1),1)-IF(Z162&gt;Y162,1.7,0)</f>
        <v/>
      </c>
      <c r="AC162" s="11">
        <f>IF(AB162&gt;4,1,0)+AB162/12</f>
        <v/>
      </c>
      <c r="AG162" s="12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11">
        <f>AG162+IF(X162&lt;1.35,0,1)+IF(Y162&lt;1.35,0,1)+AC162+AA162</f>
        <v/>
      </c>
      <c r="AI162" s="11" t="n"/>
      <c r="AJ162" s="11">
        <f>IF(AI162&gt;12.7,IF(AI162&gt;15.8,0.93,0.98),1)</f>
        <v/>
      </c>
      <c r="AK162" s="11">
        <f>(1.2*AG162+AH162)*AJ162*AQ162</f>
        <v/>
      </c>
      <c r="AL162" s="10">
        <f>D162</f>
        <v/>
      </c>
      <c r="AM162" s="14">
        <f>B162</f>
        <v/>
      </c>
      <c r="AO162" s="13">
        <f>AN162+1</f>
        <v/>
      </c>
      <c r="AP162" s="13">
        <f>IF(AK162&gt;13.1,IF(Z162&lt;101,IF(Z162&lt;35,IF(Z162&lt;6,3,2),1),0),0)</f>
        <v/>
      </c>
      <c r="AQ162" s="11" t="n">
        <v>1</v>
      </c>
      <c r="AR162" s="13">
        <f>IF(AP162&gt;0,IF(AB162&gt;10,(AB162/Z162),10/Z162),0)</f>
        <v/>
      </c>
      <c r="AS162" s="13" t="n"/>
      <c r="AT162" s="11">
        <f>100*(AK162-AQ162)/AQ162</f>
        <v/>
      </c>
      <c r="AZ162" s="13" t="n"/>
    </row>
    <row r="163" ht="12.75" customHeight="1">
      <c r="G163" s="11">
        <f>100*(F163-E163)/F163</f>
        <v/>
      </c>
      <c r="P163" s="11">
        <f>O163/I163</f>
        <v/>
      </c>
      <c r="R163" s="2" t="n"/>
      <c r="S163" s="12" t="n">
        <v>5</v>
      </c>
      <c r="AA163" s="11">
        <f>IF(X163&lt;50,IF(Y163&gt;(2.3*X163),0,1),1)-IF(Z163&gt;Y163,1.7,0)</f>
        <v/>
      </c>
      <c r="AC163" s="11">
        <f>IF(AB163&gt;4,1,0)+AB163/12</f>
        <v/>
      </c>
      <c r="AG163" s="12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11">
        <f>AG163+IF(X163&lt;1.35,0,1)+IF(Y163&lt;1.35,0,1)+AC163+AA163</f>
        <v/>
      </c>
      <c r="AI163" s="11" t="n"/>
      <c r="AJ163" s="11">
        <f>IF(AI163&gt;12.7,IF(AI163&gt;15.8,0.93,0.98),1)</f>
        <v/>
      </c>
      <c r="AK163" s="11">
        <f>(1.2*AG163+AH163)*AJ163*AQ163</f>
        <v/>
      </c>
      <c r="AL163" s="10">
        <f>D163</f>
        <v/>
      </c>
      <c r="AM163" s="14">
        <f>B163</f>
        <v/>
      </c>
      <c r="AO163" s="13">
        <f>AN163+1</f>
        <v/>
      </c>
      <c r="AP163" s="13">
        <f>IF(AK163&gt;13.1,IF(Z163&lt;101,IF(Z163&lt;35,IF(Z163&lt;6,3,2),1),0),0)</f>
        <v/>
      </c>
      <c r="AQ163" s="11" t="n">
        <v>1</v>
      </c>
      <c r="AR163" s="13">
        <f>IF(AP163&gt;0,IF(AB163&gt;10,(AB163/Z163),10/Z163),0)</f>
        <v/>
      </c>
      <c r="AS163" s="13" t="n"/>
      <c r="AT163" s="11">
        <f>100*(AK163-AQ163)/AQ163</f>
        <v/>
      </c>
      <c r="AZ163" s="13" t="n"/>
    </row>
    <row r="164" ht="12.75" customHeight="1">
      <c r="G164" s="11">
        <f>100*(F164-E164)/F164</f>
        <v/>
      </c>
      <c r="P164" s="11">
        <f>O164/I164</f>
        <v/>
      </c>
      <c r="R164" s="2" t="n"/>
      <c r="S164" s="12" t="n">
        <v>5</v>
      </c>
      <c r="AA164" s="11">
        <f>IF(X164&lt;50,IF(Y164&gt;(2.3*X164),0,1),1)-IF(Z164&gt;Y164,1.7,0)</f>
        <v/>
      </c>
      <c r="AC164" s="11">
        <f>IF(AB164&gt;4,1,0)+AB164/12</f>
        <v/>
      </c>
      <c r="AG164" s="12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11">
        <f>AG164+IF(X164&lt;1.35,0,1)+IF(Y164&lt;1.35,0,1)+AC164+AA164</f>
        <v/>
      </c>
      <c r="AI164" s="11" t="n"/>
      <c r="AJ164" s="11">
        <f>IF(AI164&gt;12.7,IF(AI164&gt;15.8,0.93,0.98),1)</f>
        <v/>
      </c>
      <c r="AK164" s="11">
        <f>(1.2*AG164+AH164)*AJ164*AQ164</f>
        <v/>
      </c>
      <c r="AL164" s="10">
        <f>D164</f>
        <v/>
      </c>
      <c r="AM164" s="14">
        <f>B164</f>
        <v/>
      </c>
      <c r="AO164" s="13">
        <f>AN164+1</f>
        <v/>
      </c>
      <c r="AP164" s="13">
        <f>IF(AK164&gt;13.1,IF(Z164&lt;101,IF(Z164&lt;35,IF(Z164&lt;6,3,2),1),0),0)</f>
        <v/>
      </c>
      <c r="AQ164" s="11" t="n">
        <v>1</v>
      </c>
      <c r="AR164" s="13">
        <f>IF(AP164&gt;0,IF(AB164&gt;10,(AB164/Z164),10/Z164),0)</f>
        <v/>
      </c>
      <c r="AS164" s="13" t="n"/>
      <c r="AT164" s="11">
        <f>100*(AK164-AQ164)/AQ164</f>
        <v/>
      </c>
      <c r="AZ164" s="13" t="n"/>
    </row>
    <row r="165" ht="12.75" customHeight="1">
      <c r="G165" s="11">
        <f>100*(F165-E165)/F165</f>
        <v/>
      </c>
      <c r="P165" s="11">
        <f>O165/I165</f>
        <v/>
      </c>
      <c r="R165" s="2" t="n"/>
      <c r="S165" s="12" t="n">
        <v>5</v>
      </c>
      <c r="AA165" s="11">
        <f>IF(X165&lt;50,IF(Y165&gt;(2.3*X165),0,1),1)-IF(Z165&gt;Y165,1.7,0)</f>
        <v/>
      </c>
      <c r="AC165" s="11">
        <f>IF(AB165&gt;4,1,0)+AB165/12</f>
        <v/>
      </c>
      <c r="AG165" s="12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11">
        <f>AG165+IF(X165&lt;1.35,0,1)+IF(Y165&lt;1.35,0,1)+AC165+AA165</f>
        <v/>
      </c>
      <c r="AI165" s="11" t="n"/>
      <c r="AJ165" s="11">
        <f>IF(AI165&gt;12.7,IF(AI165&gt;15.8,0.93,0.98),1)</f>
        <v/>
      </c>
      <c r="AK165" s="11">
        <f>(1.2*AG165+AH165)*AJ165*AQ165</f>
        <v/>
      </c>
      <c r="AL165" s="10">
        <f>D165</f>
        <v/>
      </c>
      <c r="AM165" s="14">
        <f>B165</f>
        <v/>
      </c>
      <c r="AO165" s="13">
        <f>AN165+1</f>
        <v/>
      </c>
      <c r="AP165" s="13">
        <f>IF(AK165&gt;13.1,IF(Z165&lt;101,IF(Z165&lt;35,IF(Z165&lt;6,3,2),1),0),0)</f>
        <v/>
      </c>
      <c r="AQ165" s="11" t="n">
        <v>1</v>
      </c>
      <c r="AR165" s="13">
        <f>IF(AP165&gt;0,IF(AB165&gt;10,(AB165/Z165),10/Z165),0)</f>
        <v/>
      </c>
      <c r="AS165" s="13" t="n"/>
      <c r="AT165" s="11">
        <f>100*(AK165-AQ165)/AQ165</f>
        <v/>
      </c>
      <c r="AZ165" s="13" t="n"/>
    </row>
    <row r="166" ht="12.75" customHeight="1">
      <c r="G166" s="11">
        <f>100*(F166-E166)/F166</f>
        <v/>
      </c>
      <c r="P166" s="11">
        <f>O166/I166</f>
        <v/>
      </c>
      <c r="R166" s="2" t="n"/>
      <c r="S166" s="12" t="n">
        <v>5</v>
      </c>
      <c r="AA166" s="11">
        <f>IF(X166&lt;50,IF(Y166&gt;(2.3*X166),0,1),1)-IF(Z166&gt;Y166,1.7,0)</f>
        <v/>
      </c>
      <c r="AC166" s="11">
        <f>IF(AB166&gt;4,1,0)+AB166/12</f>
        <v/>
      </c>
      <c r="AG166" s="12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11">
        <f>AG166+IF(X166&lt;1.35,0,1)+IF(Y166&lt;1.35,0,1)+AC166+AA166</f>
        <v/>
      </c>
      <c r="AI166" s="11" t="n"/>
      <c r="AJ166" s="11">
        <f>IF(AI166&gt;12.7,IF(AI166&gt;15.8,0.93,0.98),1)</f>
        <v/>
      </c>
      <c r="AK166" s="11">
        <f>(1.2*AG166+AH166)*AJ166*AQ166</f>
        <v/>
      </c>
      <c r="AL166" s="10">
        <f>D166</f>
        <v/>
      </c>
      <c r="AM166" s="14">
        <f>B166</f>
        <v/>
      </c>
      <c r="AO166" s="13">
        <f>AN166+1</f>
        <v/>
      </c>
      <c r="AP166" s="13">
        <f>IF(AK166&gt;13.1,IF(Z166&lt;101,IF(Z166&lt;35,IF(Z166&lt;6,3,2),1),0),0)</f>
        <v/>
      </c>
      <c r="AQ166" s="11" t="n">
        <v>1</v>
      </c>
      <c r="AR166" s="13">
        <f>IF(AP166&gt;0,IF(AB166&gt;10,(AB166/Z166),10/Z166),0)</f>
        <v/>
      </c>
      <c r="AS166" s="13" t="n"/>
      <c r="AT166" s="11">
        <f>100*(AK166-AQ166)/AQ166</f>
        <v/>
      </c>
      <c r="AZ166" s="13" t="n"/>
    </row>
    <row r="167" ht="12.75" customHeight="1">
      <c r="G167" s="11">
        <f>100*(F167-E167)/F167</f>
        <v/>
      </c>
      <c r="P167" s="11">
        <f>O167/I167</f>
        <v/>
      </c>
      <c r="R167" s="2" t="n"/>
      <c r="S167" s="12" t="n">
        <v>5</v>
      </c>
      <c r="AA167" s="11">
        <f>IF(X167&lt;50,IF(Y167&gt;(2.3*X167),0,1),1)-IF(Z167&gt;Y167,1.7,0)</f>
        <v/>
      </c>
      <c r="AC167" s="11">
        <f>IF(AB167&gt;4,1,0)+AB167/12</f>
        <v/>
      </c>
      <c r="AG167" s="12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11">
        <f>AG167+IF(X167&lt;1.35,0,1)+IF(Y167&lt;1.35,0,1)+AC167+AA167</f>
        <v/>
      </c>
      <c r="AI167" s="11" t="n"/>
      <c r="AJ167" s="11">
        <f>IF(AI167&gt;12.7,IF(AI167&gt;15.8,0.93,0.98),1)</f>
        <v/>
      </c>
      <c r="AK167" s="11">
        <f>(1.2*AG167+AH167)*AJ167*AQ167</f>
        <v/>
      </c>
      <c r="AL167" s="10">
        <f>D167</f>
        <v/>
      </c>
      <c r="AM167" s="14">
        <f>B167</f>
        <v/>
      </c>
      <c r="AO167" s="13">
        <f>AN167+1</f>
        <v/>
      </c>
      <c r="AP167" s="13">
        <f>IF(AK167&gt;13.1,IF(Z167&lt;101,IF(Z167&lt;35,IF(Z167&lt;6,3,2),1),0),0)</f>
        <v/>
      </c>
      <c r="AQ167" s="11" t="n">
        <v>1</v>
      </c>
      <c r="AR167" s="13">
        <f>IF(AP167&gt;0,IF(AB167&gt;10,(AB167/Z167),10/Z167),0)</f>
        <v/>
      </c>
      <c r="AS167" s="13" t="n"/>
      <c r="AT167" s="11">
        <f>100*(AK167-AQ167)/AQ167</f>
        <v/>
      </c>
      <c r="AZ167" s="13" t="n"/>
    </row>
    <row r="168" ht="12.75" customHeight="1">
      <c r="G168" s="11">
        <f>100*(F168-E168)/F168</f>
        <v/>
      </c>
      <c r="P168" s="11">
        <f>O168/I168</f>
        <v/>
      </c>
      <c r="R168" s="2" t="n"/>
      <c r="S168" s="12" t="n">
        <v>5</v>
      </c>
      <c r="AA168" s="11">
        <f>IF(X168&lt;50,IF(Y168&gt;(2.3*X168),0,1),1)-IF(Z168&gt;Y168,1.7,0)</f>
        <v/>
      </c>
      <c r="AC168" s="11">
        <f>IF(AB168&gt;4,1,0)+AB168/12</f>
        <v/>
      </c>
      <c r="AG168" s="12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11">
        <f>AG168+IF(X168&lt;1.35,0,1)+IF(Y168&lt;1.35,0,1)+AC168+AA168</f>
        <v/>
      </c>
      <c r="AI168" s="11" t="n"/>
      <c r="AJ168" s="11">
        <f>IF(AI168&gt;12.7,IF(AI168&gt;15.8,0.93,0.98),1)</f>
        <v/>
      </c>
      <c r="AK168" s="11">
        <f>(1.2*AG168+AH168)*AJ168*AQ168</f>
        <v/>
      </c>
      <c r="AL168" s="10">
        <f>D168</f>
        <v/>
      </c>
      <c r="AM168" s="14">
        <f>B168</f>
        <v/>
      </c>
      <c r="AO168" s="13">
        <f>AN168+1</f>
        <v/>
      </c>
      <c r="AP168" s="13">
        <f>IF(AK168&gt;13.1,IF(Z168&lt;101,IF(Z168&lt;35,IF(Z168&lt;6,3,2),1),0),0)</f>
        <v/>
      </c>
      <c r="AQ168" s="11" t="n">
        <v>1</v>
      </c>
      <c r="AR168" s="13">
        <f>IF(AP168&gt;0,IF(AB168&gt;10,(AB168/Z168),10/Z168),0)</f>
        <v/>
      </c>
      <c r="AS168" s="13" t="n"/>
      <c r="AT168" s="11">
        <f>100*(AK168-AQ168)/AQ168</f>
        <v/>
      </c>
      <c r="AZ168" s="13" t="n"/>
    </row>
    <row r="169" ht="12.75" customHeight="1">
      <c r="G169" s="11">
        <f>100*(F169-E169)/F169</f>
        <v/>
      </c>
      <c r="P169" s="11">
        <f>O169/I169</f>
        <v/>
      </c>
      <c r="R169" s="2" t="n"/>
      <c r="S169" s="12" t="n">
        <v>5</v>
      </c>
      <c r="AA169" s="11">
        <f>IF(X169&lt;50,IF(Y169&gt;(2.3*X169),0,1),1)-IF(Z169&gt;Y169,1.7,0)</f>
        <v/>
      </c>
      <c r="AC169" s="11">
        <f>IF(AB169&gt;4,1,0)+AB169/12</f>
        <v/>
      </c>
      <c r="AG169" s="12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11">
        <f>AG169+IF(X169&lt;1.35,0,1)+IF(Y169&lt;1.35,0,1)+AC169+AA169</f>
        <v/>
      </c>
      <c r="AI169" s="11" t="n"/>
      <c r="AJ169" s="11">
        <f>IF(AI169&gt;12.7,IF(AI169&gt;15.8,0.93,0.98),1)</f>
        <v/>
      </c>
      <c r="AK169" s="11">
        <f>(1.2*AG169+AH169)*AJ169*AQ169</f>
        <v/>
      </c>
      <c r="AL169" s="10">
        <f>D169</f>
        <v/>
      </c>
      <c r="AM169" s="14">
        <f>B169</f>
        <v/>
      </c>
      <c r="AO169" s="13">
        <f>AN169+1</f>
        <v/>
      </c>
      <c r="AP169" s="13">
        <f>IF(AK169&gt;13.1,IF(Z169&lt;101,IF(Z169&lt;35,IF(Z169&lt;6,3,2),1),0),0)</f>
        <v/>
      </c>
      <c r="AQ169" s="11" t="n">
        <v>1</v>
      </c>
      <c r="AR169" s="13">
        <f>IF(AP169&gt;0,IF(AB169&gt;10,(AB169/Z169),10/Z169),0)</f>
        <v/>
      </c>
      <c r="AS169" s="13" t="n"/>
      <c r="AT169" s="11">
        <f>100*(AK169-AQ169)/AQ169</f>
        <v/>
      </c>
      <c r="AZ169" s="13" t="n"/>
    </row>
    <row r="170" ht="12.75" customHeight="1">
      <c r="G170" s="11">
        <f>100*(F170-E170)/F170</f>
        <v/>
      </c>
      <c r="P170" s="11">
        <f>O170/I170</f>
        <v/>
      </c>
      <c r="R170" s="2" t="n"/>
      <c r="S170" s="12" t="n">
        <v>5</v>
      </c>
      <c r="AA170" s="11">
        <f>IF(X170&lt;50,IF(Y170&gt;(2.3*X170),0,1),1)-IF(Z170&gt;Y170,1.7,0)</f>
        <v/>
      </c>
      <c r="AC170" s="11">
        <f>IF(AB170&gt;4,1,0)+AB170/12</f>
        <v/>
      </c>
      <c r="AG170" s="12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11">
        <f>AG170+IF(X170&lt;1.35,0,1)+IF(Y170&lt;1.35,0,1)+AC170+AA170</f>
        <v/>
      </c>
      <c r="AI170" s="11" t="n"/>
      <c r="AJ170" s="11">
        <f>IF(AI170&gt;12.7,IF(AI170&gt;15.8,0.93,0.98),1)</f>
        <v/>
      </c>
      <c r="AK170" s="11">
        <f>(1.2*AG170+AH170)*AJ170*AQ170</f>
        <v/>
      </c>
      <c r="AL170" s="10">
        <f>D170</f>
        <v/>
      </c>
      <c r="AM170" s="14">
        <f>B170</f>
        <v/>
      </c>
      <c r="AO170" s="13">
        <f>AN170+1</f>
        <v/>
      </c>
      <c r="AP170" s="13">
        <f>IF(AK170&gt;13.1,IF(Z170&lt;101,IF(Z170&lt;35,IF(Z170&lt;6,3,2),1),0),0)</f>
        <v/>
      </c>
      <c r="AQ170" s="11" t="n">
        <v>1</v>
      </c>
      <c r="AR170" s="13">
        <f>IF(AP170&gt;0,IF(AB170&gt;10,(AB170/Z170),10/Z170),0)</f>
        <v/>
      </c>
      <c r="AS170" s="13" t="n"/>
      <c r="AT170" s="11">
        <f>100*(AK170-AQ170)/AQ170</f>
        <v/>
      </c>
      <c r="AZ170" s="13" t="n"/>
    </row>
    <row r="171" ht="12.75" customHeight="1">
      <c r="G171" s="11">
        <f>100*(F171-E171)/F171</f>
        <v/>
      </c>
      <c r="P171" s="11">
        <f>O171/I171</f>
        <v/>
      </c>
      <c r="R171" s="2" t="n"/>
      <c r="S171" s="12" t="n">
        <v>5</v>
      </c>
      <c r="AA171" s="11">
        <f>IF(X171&lt;50,IF(Y171&gt;(2.3*X171),0,1),1)-IF(Z171&gt;Y171,1.7,0)</f>
        <v/>
      </c>
      <c r="AC171" s="11">
        <f>IF(AB171&gt;4,1,0)+AB171/12</f>
        <v/>
      </c>
      <c r="AG171" s="12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11">
        <f>AG171+IF(X171&lt;1.35,0,1)+IF(Y171&lt;1.35,0,1)+AC171+AA171</f>
        <v/>
      </c>
      <c r="AI171" s="11" t="n"/>
      <c r="AJ171" s="11">
        <f>IF(AI171&gt;12.7,IF(AI171&gt;15.8,0.93,0.98),1)</f>
        <v/>
      </c>
      <c r="AK171" s="11">
        <f>(1.2*AG171+AH171)*AJ171*AQ171</f>
        <v/>
      </c>
      <c r="AL171" s="10">
        <f>D171</f>
        <v/>
      </c>
      <c r="AM171" s="14">
        <f>B171</f>
        <v/>
      </c>
      <c r="AO171" s="13">
        <f>AN171+1</f>
        <v/>
      </c>
      <c r="AP171" s="13">
        <f>IF(AK171&gt;13.1,IF(Z171&lt;101,IF(Z171&lt;35,IF(Z171&lt;6,3,2),1),0),0)</f>
        <v/>
      </c>
      <c r="AQ171" s="11" t="n">
        <v>1</v>
      </c>
      <c r="AR171" s="13">
        <f>IF(AP171&gt;0,IF(AB171&gt;10,(AB171/Z171),10/Z171),0)</f>
        <v/>
      </c>
      <c r="AS171" s="13" t="n"/>
      <c r="AT171" s="11">
        <f>100*(AK171-AQ171)/AQ171</f>
        <v/>
      </c>
      <c r="AZ171" s="13" t="n"/>
    </row>
    <row r="172" ht="12.75" customHeight="1">
      <c r="G172" s="11">
        <f>100*(F172-E172)/F172</f>
        <v/>
      </c>
      <c r="P172" s="11">
        <f>O172/I172</f>
        <v/>
      </c>
      <c r="R172" s="2" t="n"/>
      <c r="S172" s="12" t="n">
        <v>5</v>
      </c>
      <c r="AA172" s="11">
        <f>IF(X172&lt;50,IF(Y172&gt;(2.3*X172),0,1),1)-IF(Z172&gt;Y172,1.7,0)</f>
        <v/>
      </c>
      <c r="AC172" s="11">
        <f>IF(AB172&gt;4,1,0)+AB172/12</f>
        <v/>
      </c>
      <c r="AG172" s="12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11">
        <f>AG172+IF(X172&lt;1.35,0,1)+IF(Y172&lt;1.35,0,1)+AC172+AA172</f>
        <v/>
      </c>
      <c r="AI172" s="11" t="n"/>
      <c r="AJ172" s="11">
        <f>IF(AI172&gt;12.7,IF(AI172&gt;15.8,0.93,0.98),1)</f>
        <v/>
      </c>
      <c r="AK172" s="11">
        <f>(1.2*AG172+AH172)*AJ172*AQ172</f>
        <v/>
      </c>
      <c r="AL172" s="10">
        <f>D172</f>
        <v/>
      </c>
      <c r="AM172" s="14">
        <f>B172</f>
        <v/>
      </c>
      <c r="AO172" s="13">
        <f>AN172+1</f>
        <v/>
      </c>
      <c r="AP172" s="13">
        <f>IF(AK172&gt;13.1,IF(Z172&lt;101,IF(Z172&lt;35,IF(Z172&lt;6,3,2),1),0),0)</f>
        <v/>
      </c>
      <c r="AQ172" s="11" t="n">
        <v>1</v>
      </c>
      <c r="AR172" s="13">
        <f>IF(AP172&gt;0,IF(AB172&gt;10,(AB172/Z172),10/Z172),0)</f>
        <v/>
      </c>
      <c r="AS172" s="13" t="n"/>
      <c r="AT172" s="11">
        <f>100*(AK172-AQ172)/AQ172</f>
        <v/>
      </c>
      <c r="AZ172" s="13" t="n"/>
    </row>
    <row r="173" ht="12.75" customHeight="1">
      <c r="G173" s="11">
        <f>100*(F173-E173)/F173</f>
        <v/>
      </c>
      <c r="P173" s="11">
        <f>O173/I173</f>
        <v/>
      </c>
      <c r="R173" s="2" t="n"/>
      <c r="S173" s="12" t="n">
        <v>5</v>
      </c>
      <c r="AA173" s="11">
        <f>IF(X173&lt;50,IF(Y173&gt;(2.3*X173),0,1),1)-IF(Z173&gt;Y173,1.7,0)</f>
        <v/>
      </c>
      <c r="AC173" s="11">
        <f>IF(AB173&gt;4,1,0)+AB173/12</f>
        <v/>
      </c>
      <c r="AG173" s="12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11">
        <f>AG173+IF(X173&lt;1.35,0,1)+IF(Y173&lt;1.35,0,1)+AC173+AA173</f>
        <v/>
      </c>
      <c r="AI173" s="11" t="n"/>
      <c r="AJ173" s="11">
        <f>IF(AI173&gt;12.7,IF(AI173&gt;15.8,0.93,0.98),1)</f>
        <v/>
      </c>
      <c r="AK173" s="11">
        <f>(1.2*AG173+AH173)*AJ173*AQ173</f>
        <v/>
      </c>
      <c r="AL173" s="10">
        <f>D173</f>
        <v/>
      </c>
      <c r="AM173" s="14">
        <f>B173</f>
        <v/>
      </c>
      <c r="AO173" s="13">
        <f>AN173+1</f>
        <v/>
      </c>
      <c r="AP173" s="13">
        <f>IF(AK173&gt;13.1,IF(Z173&lt;101,IF(Z173&lt;35,IF(Z173&lt;6,3,2),1),0),0)</f>
        <v/>
      </c>
      <c r="AQ173" s="11" t="n">
        <v>1</v>
      </c>
      <c r="AR173" s="13">
        <f>IF(AP173&gt;0,IF(AB173&gt;10,(AB173/Z173),10/Z173),0)</f>
        <v/>
      </c>
      <c r="AS173" s="13" t="n"/>
      <c r="AT173" s="11">
        <f>100*(AK173-AQ173)/AQ173</f>
        <v/>
      </c>
      <c r="AZ173" s="13" t="n"/>
    </row>
    <row r="174" ht="12.75" customHeight="1">
      <c r="G174" s="11">
        <f>100*(F174-E174)/F174</f>
        <v/>
      </c>
      <c r="P174" s="11">
        <f>O174/I174</f>
        <v/>
      </c>
      <c r="R174" s="2" t="n"/>
      <c r="S174" s="12" t="n">
        <v>5</v>
      </c>
      <c r="AA174" s="11">
        <f>IF(X174&lt;50,IF(Y174&gt;(2.3*X174),0,1),1)-IF(Z174&gt;Y174,1.7,0)</f>
        <v/>
      </c>
      <c r="AC174" s="11">
        <f>IF(AB174&gt;4,1,0)+AB174/12</f>
        <v/>
      </c>
      <c r="AG174" s="12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11">
        <f>AG174+IF(X174&lt;1.35,0,1)+IF(Y174&lt;1.35,0,1)+AC174+AA174</f>
        <v/>
      </c>
      <c r="AI174" s="11" t="n"/>
      <c r="AJ174" s="11">
        <f>IF(AI174&gt;12.7,IF(AI174&gt;15.8,0.93,0.98),1)</f>
        <v/>
      </c>
      <c r="AK174" s="11">
        <f>(1.2*AG174+AH174)*AJ174*AQ174</f>
        <v/>
      </c>
      <c r="AL174" s="10">
        <f>D174</f>
        <v/>
      </c>
      <c r="AM174" s="14">
        <f>B174</f>
        <v/>
      </c>
      <c r="AO174" s="13">
        <f>AN174+1</f>
        <v/>
      </c>
      <c r="AP174" s="13">
        <f>IF(AK174&gt;13.1,IF(Z174&lt;101,IF(Z174&lt;35,IF(Z174&lt;6,3,2),1),0),0)</f>
        <v/>
      </c>
      <c r="AQ174" s="11" t="n">
        <v>1</v>
      </c>
      <c r="AR174" s="13">
        <f>IF(AP174&gt;0,IF(AB174&gt;10,(AB174/Z174),10/Z174),0)</f>
        <v/>
      </c>
      <c r="AS174" s="13" t="n"/>
      <c r="AT174" s="11">
        <f>100*(AK174-AQ174)/AQ174</f>
        <v/>
      </c>
      <c r="AZ174" s="13" t="n"/>
    </row>
    <row r="175" ht="12.75" customHeight="1">
      <c r="G175" s="11">
        <f>100*(F175-E175)/F175</f>
        <v/>
      </c>
      <c r="P175" s="11">
        <f>O175/I175</f>
        <v/>
      </c>
      <c r="R175" s="2" t="n"/>
      <c r="S175" s="12" t="n">
        <v>5</v>
      </c>
      <c r="AA175" s="11">
        <f>IF(X175&lt;50,IF(Y175&gt;(2.3*X175),0,1),1)-IF(Z175&gt;Y175,1.7,0)</f>
        <v/>
      </c>
      <c r="AC175" s="11">
        <f>IF(AB175&gt;4,1,0)+AB175/12</f>
        <v/>
      </c>
      <c r="AG175" s="12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11">
        <f>AG175+IF(X175&lt;1.35,0,1)+IF(Y175&lt;1.35,0,1)+AC175+AA175</f>
        <v/>
      </c>
      <c r="AI175" s="11" t="n"/>
      <c r="AJ175" s="11">
        <f>IF(AI175&gt;12.7,IF(AI175&gt;15.8,0.93,0.98),1)</f>
        <v/>
      </c>
      <c r="AK175" s="11">
        <f>(1.2*AG175+AH175)*AJ175*AQ175</f>
        <v/>
      </c>
      <c r="AL175" s="10">
        <f>D175</f>
        <v/>
      </c>
      <c r="AM175" s="14">
        <f>B175</f>
        <v/>
      </c>
      <c r="AO175" s="13">
        <f>AN175+1</f>
        <v/>
      </c>
      <c r="AP175" s="13">
        <f>IF(AK175&gt;13.1,IF(Z175&lt;101,IF(Z175&lt;35,IF(Z175&lt;6,3,2),1),0),0)</f>
        <v/>
      </c>
      <c r="AQ175" s="11" t="n">
        <v>1</v>
      </c>
      <c r="AR175" s="13">
        <f>IF(AP175&gt;0,IF(AB175&gt;10,(AB175/Z175),10/Z175),0)</f>
        <v/>
      </c>
      <c r="AS175" s="13" t="n"/>
      <c r="AT175" s="11">
        <f>100*(AK175-AQ175)/AQ175</f>
        <v/>
      </c>
      <c r="AZ175" s="13" t="n"/>
    </row>
    <row r="176" ht="12.75" customHeight="1">
      <c r="G176" s="11">
        <f>100*(F176-E176)/F176</f>
        <v/>
      </c>
      <c r="P176" s="11">
        <f>O176/I176</f>
        <v/>
      </c>
      <c r="R176" s="2" t="n"/>
      <c r="S176" s="12" t="n">
        <v>5</v>
      </c>
      <c r="AA176" s="11">
        <f>IF(X176&lt;50,IF(Y176&gt;(2.3*X176),0,1),1)-IF(Z176&gt;Y176,1.7,0)</f>
        <v/>
      </c>
      <c r="AC176" s="11">
        <f>IF(AB176&gt;4,1,0)+AB176/12</f>
        <v/>
      </c>
      <c r="AG176" s="12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11">
        <f>AG176+IF(X176&lt;1.35,0,1)+IF(Y176&lt;1.35,0,1)+AC176+AA176</f>
        <v/>
      </c>
      <c r="AI176" s="11" t="n"/>
      <c r="AJ176" s="11">
        <f>IF(AI176&gt;12.7,IF(AI176&gt;15.8,0.93,0.98),1)</f>
        <v/>
      </c>
      <c r="AK176" s="11">
        <f>(1.2*AG176+AH176)*AJ176*AQ176</f>
        <v/>
      </c>
      <c r="AL176" s="10">
        <f>D176</f>
        <v/>
      </c>
      <c r="AM176" s="14">
        <f>B176</f>
        <v/>
      </c>
      <c r="AO176" s="13">
        <f>AN176+1</f>
        <v/>
      </c>
      <c r="AP176" s="13">
        <f>IF(AK176&gt;13.1,IF(Z176&lt;101,IF(Z176&lt;35,IF(Z176&lt;6,3,2),1),0),0)</f>
        <v/>
      </c>
      <c r="AQ176" s="11" t="n">
        <v>1</v>
      </c>
      <c r="AR176" s="13">
        <f>IF(AP176&gt;0,IF(AB176&gt;10,(AB176/Z176),10/Z176),0)</f>
        <v/>
      </c>
      <c r="AS176" s="13" t="n"/>
      <c r="AT176" s="11">
        <f>100*(AK176-AQ176)/AQ176</f>
        <v/>
      </c>
      <c r="AZ176" s="13" t="n"/>
    </row>
    <row r="177" ht="12.75" customHeight="1">
      <c r="G177" s="11">
        <f>100*(F177-E177)/F177</f>
        <v/>
      </c>
      <c r="P177" s="11">
        <f>O177/I177</f>
        <v/>
      </c>
      <c r="R177" s="2" t="n"/>
      <c r="S177" s="12" t="n">
        <v>5</v>
      </c>
      <c r="AA177" s="11">
        <f>IF(X177&lt;50,IF(Y177&gt;(2.3*X177),0,1),1)-IF(Z177&gt;Y177,1.7,0)</f>
        <v/>
      </c>
      <c r="AC177" s="11">
        <f>IF(AB177&gt;4,1,0)+AB177/12</f>
        <v/>
      </c>
      <c r="AG177" s="12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11">
        <f>AG177+IF(X177&lt;1.35,0,1)+IF(Y177&lt;1.35,0,1)+AC177+AA177</f>
        <v/>
      </c>
      <c r="AI177" s="11" t="n"/>
      <c r="AJ177" s="11">
        <f>IF(AI177&gt;12.7,IF(AI177&gt;15.8,0.93,0.98),1)</f>
        <v/>
      </c>
      <c r="AK177" s="11">
        <f>(1.2*AG177+AH177)*AJ177*AQ177</f>
        <v/>
      </c>
      <c r="AL177" s="10">
        <f>D177</f>
        <v/>
      </c>
      <c r="AM177" s="14">
        <f>B177</f>
        <v/>
      </c>
      <c r="AO177" s="13">
        <f>AN177+1</f>
        <v/>
      </c>
      <c r="AP177" s="13">
        <f>IF(AK177&gt;13.1,IF(Z177&lt;101,IF(Z177&lt;35,IF(Z177&lt;6,3,2),1),0),0)</f>
        <v/>
      </c>
      <c r="AQ177" s="11" t="n">
        <v>1</v>
      </c>
      <c r="AR177" s="13">
        <f>IF(AP177&gt;0,IF(AB177&gt;10,(AB177/Z177),10/Z177),0)</f>
        <v/>
      </c>
      <c r="AS177" s="13" t="n"/>
      <c r="AT177" s="11">
        <f>100*(AK177-AQ177)/AQ177</f>
        <v/>
      </c>
      <c r="AZ177" s="13" t="n"/>
    </row>
    <row r="178" ht="12.75" customHeight="1">
      <c r="G178" s="11">
        <f>100*(F178-E178)/F178</f>
        <v/>
      </c>
      <c r="P178" s="11">
        <f>O178/I178</f>
        <v/>
      </c>
      <c r="R178" s="2" t="n"/>
      <c r="S178" s="12" t="n">
        <v>5</v>
      </c>
      <c r="AA178" s="11">
        <f>IF(X178&lt;50,IF(Y178&gt;(2.3*X178),0,1),1)-IF(Z178&gt;Y178,1.7,0)</f>
        <v/>
      </c>
      <c r="AC178" s="11">
        <f>IF(AB178&gt;4,1,0)+AB178/12</f>
        <v/>
      </c>
      <c r="AG178" s="12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11">
        <f>AG178+IF(X178&lt;1.35,0,1)+IF(Y178&lt;1.35,0,1)+AC178+AA178</f>
        <v/>
      </c>
      <c r="AI178" s="11" t="n"/>
      <c r="AJ178" s="11">
        <f>IF(AI178&gt;12.7,IF(AI178&gt;15.8,0.93,0.98),1)</f>
        <v/>
      </c>
      <c r="AK178" s="11">
        <f>(1.2*AG178+AH178)*AJ178*AQ178</f>
        <v/>
      </c>
      <c r="AL178" s="10">
        <f>D178</f>
        <v/>
      </c>
      <c r="AM178" s="14">
        <f>B178</f>
        <v/>
      </c>
      <c r="AO178" s="13">
        <f>AN178+1</f>
        <v/>
      </c>
      <c r="AP178" s="13">
        <f>IF(AK178&gt;13.1,IF(Z178&lt;101,IF(Z178&lt;35,IF(Z178&lt;6,3,2),1),0),0)</f>
        <v/>
      </c>
      <c r="AQ178" s="11" t="n">
        <v>1</v>
      </c>
      <c r="AR178" s="13">
        <f>IF(AP178&gt;0,IF(AB178&gt;10,(AB178/Z178),10/Z178),0)</f>
        <v/>
      </c>
      <c r="AS178" s="13" t="n"/>
      <c r="AT178" s="11">
        <f>100*(AK178-AQ178)/AQ178</f>
        <v/>
      </c>
      <c r="AZ178" s="13" t="n"/>
    </row>
    <row r="179" ht="12.75" customHeight="1">
      <c r="G179" s="11">
        <f>100*(F179-E179)/F179</f>
        <v/>
      </c>
      <c r="P179" s="11">
        <f>O179/I179</f>
        <v/>
      </c>
      <c r="R179" s="2" t="n"/>
      <c r="S179" s="12" t="n">
        <v>5</v>
      </c>
      <c r="AA179" s="11">
        <f>IF(X179&lt;50,IF(Y179&gt;(2.3*X179),0,1),1)-IF(Z179&gt;Y179,1.7,0)</f>
        <v/>
      </c>
      <c r="AC179" s="11">
        <f>IF(AB179&gt;4,1,0)+AB179/12</f>
        <v/>
      </c>
      <c r="AG179" s="12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11">
        <f>AG179+IF(X179&lt;1.35,0,1)+IF(Y179&lt;1.35,0,1)+AC179+AA179</f>
        <v/>
      </c>
      <c r="AI179" s="11" t="n"/>
      <c r="AJ179" s="11">
        <f>IF(AI179&gt;12.7,IF(AI179&gt;15.8,0.93,0.98),1)</f>
        <v/>
      </c>
      <c r="AK179" s="11">
        <f>(1.2*AG179+AH179)*AJ179*AQ179</f>
        <v/>
      </c>
      <c r="AL179" s="10">
        <f>D179</f>
        <v/>
      </c>
      <c r="AM179" s="14">
        <f>B179</f>
        <v/>
      </c>
      <c r="AO179" s="13">
        <f>AN179+1</f>
        <v/>
      </c>
      <c r="AP179" s="13">
        <f>IF(AK179&gt;13.1,IF(Z179&lt;101,IF(Z179&lt;35,IF(Z179&lt;6,3,2),1),0),0)</f>
        <v/>
      </c>
      <c r="AQ179" s="11" t="n">
        <v>1</v>
      </c>
      <c r="AR179" s="13">
        <f>IF(AP179&gt;0,IF(AB179&gt;10,(AB179/Z179),10/Z179),0)</f>
        <v/>
      </c>
      <c r="AS179" s="13" t="n"/>
      <c r="AT179" s="11">
        <f>100*(AK179-AQ179)/AQ179</f>
        <v/>
      </c>
      <c r="AZ179" s="13" t="n"/>
    </row>
    <row r="180" ht="12.75" customHeight="1">
      <c r="G180" s="11">
        <f>100*(F180-E180)/F180</f>
        <v/>
      </c>
      <c r="P180" s="11">
        <f>O180/I180</f>
        <v/>
      </c>
      <c r="R180" s="2" t="n"/>
      <c r="S180" s="12" t="n">
        <v>5</v>
      </c>
      <c r="AA180" s="11">
        <f>IF(X180&lt;50,IF(Y180&gt;(2.3*X180),0,1),1)-IF(Z180&gt;Y180,1.7,0)</f>
        <v/>
      </c>
      <c r="AC180" s="11">
        <f>IF(AB180&gt;4,1,0)+AB180/12</f>
        <v/>
      </c>
      <c r="AG180" s="12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11">
        <f>AG180+IF(X180&lt;1.35,0,1)+IF(Y180&lt;1.35,0,1)+AC180+AA180</f>
        <v/>
      </c>
      <c r="AI180" s="11" t="n"/>
      <c r="AJ180" s="11">
        <f>IF(AI180&gt;12.7,IF(AI180&gt;15.8,0.93,0.98),1)</f>
        <v/>
      </c>
      <c r="AK180" s="11">
        <f>(1.2*AG180+AH180)*AJ180*AQ180</f>
        <v/>
      </c>
      <c r="AL180" s="10">
        <f>D180</f>
        <v/>
      </c>
      <c r="AM180" s="14">
        <f>B180</f>
        <v/>
      </c>
      <c r="AO180" s="13">
        <f>AN180+1</f>
        <v/>
      </c>
      <c r="AP180" s="13">
        <f>IF(AK180&gt;13.1,IF(Z180&lt;101,IF(Z180&lt;35,IF(Z180&lt;6,3,2),1),0),0)</f>
        <v/>
      </c>
      <c r="AQ180" s="11" t="n">
        <v>1</v>
      </c>
      <c r="AR180" s="13">
        <f>IF(AP180&gt;0,IF(AB180&gt;10,(AB180/Z180),10/Z180),0)</f>
        <v/>
      </c>
      <c r="AS180" s="13" t="n"/>
      <c r="AT180" s="11">
        <f>100*(AK180-AQ180)/AQ180</f>
        <v/>
      </c>
      <c r="AZ180" s="13" t="n"/>
    </row>
    <row r="181" ht="12.75" customHeight="1">
      <c r="G181" s="11">
        <f>100*(F181-E181)/F181</f>
        <v/>
      </c>
      <c r="P181" s="11">
        <f>O181/I181</f>
        <v/>
      </c>
      <c r="R181" s="2" t="n"/>
      <c r="S181" s="12" t="n">
        <v>5</v>
      </c>
      <c r="AA181" s="11">
        <f>IF(X181&lt;50,IF(Y181&gt;(2.3*X181),0,1),1)-IF(Z181&gt;Y181,1.7,0)</f>
        <v/>
      </c>
      <c r="AC181" s="11">
        <f>IF(AB181&gt;4,1,0)+AB181/12</f>
        <v/>
      </c>
      <c r="AG181" s="12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11">
        <f>AG181+IF(X181&lt;1.35,0,1)+IF(Y181&lt;1.35,0,1)+AC181+AA181</f>
        <v/>
      </c>
      <c r="AI181" s="11" t="n"/>
      <c r="AJ181" s="11">
        <f>IF(AI181&gt;12.7,IF(AI181&gt;15.8,0.93,0.98),1)</f>
        <v/>
      </c>
      <c r="AK181" s="11">
        <f>(1.2*AG181+AH181)*AJ181*AQ181</f>
        <v/>
      </c>
      <c r="AL181" s="10">
        <f>D181</f>
        <v/>
      </c>
      <c r="AM181" s="14">
        <f>B181</f>
        <v/>
      </c>
      <c r="AO181" s="13">
        <f>AN181+1</f>
        <v/>
      </c>
      <c r="AP181" s="13">
        <f>IF(AK181&gt;13.1,IF(Z181&lt;101,IF(Z181&lt;35,IF(Z181&lt;6,3,2),1),0),0)</f>
        <v/>
      </c>
      <c r="AQ181" s="11" t="n">
        <v>1</v>
      </c>
      <c r="AR181" s="13">
        <f>IF(AP181&gt;0,IF(AB181&gt;10,(AB181/Z181),10/Z181),0)</f>
        <v/>
      </c>
      <c r="AS181" s="13" t="n"/>
      <c r="AT181" s="11">
        <f>100*(AK181-AQ181)/AQ181</f>
        <v/>
      </c>
      <c r="AZ181" s="13" t="n"/>
    </row>
    <row r="182" ht="12.75" customHeight="1">
      <c r="G182" s="11">
        <f>100*(F182-E182)/F182</f>
        <v/>
      </c>
      <c r="P182" s="11">
        <f>O182/I182</f>
        <v/>
      </c>
      <c r="R182" s="2" t="n"/>
      <c r="S182" s="12" t="n">
        <v>5</v>
      </c>
      <c r="AA182" s="11">
        <f>IF(X182&lt;50,IF(Y182&gt;(2.3*X182),0,1),1)-IF(Z182&gt;Y182,1.7,0)</f>
        <v/>
      </c>
      <c r="AC182" s="11">
        <f>IF(AB182&gt;4,1,0)+AB182/12</f>
        <v/>
      </c>
      <c r="AG182" s="12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11">
        <f>AG182+IF(X182&lt;1.35,0,1)+IF(Y182&lt;1.35,0,1)+AC182+AA182</f>
        <v/>
      </c>
      <c r="AI182" s="11" t="n"/>
      <c r="AJ182" s="11">
        <f>IF(AI182&gt;12.7,IF(AI182&gt;15.8,0.93,0.98),1)</f>
        <v/>
      </c>
      <c r="AK182" s="11">
        <f>(1.2*AG182+AH182)*AJ182*AQ182</f>
        <v/>
      </c>
      <c r="AL182" s="10">
        <f>D182</f>
        <v/>
      </c>
      <c r="AM182" s="14">
        <f>B182</f>
        <v/>
      </c>
      <c r="AO182" s="13">
        <f>AN182+1</f>
        <v/>
      </c>
      <c r="AP182" s="13">
        <f>IF(AK182&gt;13.1,IF(Z182&lt;101,IF(Z182&lt;35,IF(Z182&lt;6,3,2),1),0),0)</f>
        <v/>
      </c>
      <c r="AQ182" s="11" t="n">
        <v>1</v>
      </c>
      <c r="AR182" s="13">
        <f>IF(AP182&gt;0,IF(AB182&gt;10,(AB182/Z182),10/Z182),0)</f>
        <v/>
      </c>
      <c r="AS182" s="13" t="n"/>
      <c r="AT182" s="11">
        <f>100*(AK182-AQ182)/AQ182</f>
        <v/>
      </c>
      <c r="AZ182" s="13" t="n"/>
    </row>
    <row r="183" ht="12.75" customHeight="1">
      <c r="G183" s="11">
        <f>100*(F183-E183)/F183</f>
        <v/>
      </c>
      <c r="P183" s="11">
        <f>O183/I183</f>
        <v/>
      </c>
      <c r="R183" s="2" t="n"/>
      <c r="S183" s="12" t="n">
        <v>5</v>
      </c>
      <c r="AA183" s="11">
        <f>IF(X183&lt;50,IF(Y183&gt;(2.3*X183),0,1),1)-IF(Z183&gt;Y183,1.7,0)</f>
        <v/>
      </c>
      <c r="AC183" s="11">
        <f>IF(AB183&gt;4,1,0)+AB183/12</f>
        <v/>
      </c>
      <c r="AG183" s="12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11">
        <f>AG183+IF(X183&lt;1.35,0,1)+IF(Y183&lt;1.35,0,1)+AC183+AA183</f>
        <v/>
      </c>
      <c r="AI183" s="11" t="n"/>
      <c r="AJ183" s="11">
        <f>IF(AI183&gt;12.7,IF(AI183&gt;15.8,0.93,0.98),1)</f>
        <v/>
      </c>
      <c r="AK183" s="11">
        <f>(1.2*AG183+AH183)*AJ183*AQ183</f>
        <v/>
      </c>
      <c r="AL183" s="10">
        <f>D183</f>
        <v/>
      </c>
      <c r="AM183" s="14">
        <f>B183</f>
        <v/>
      </c>
      <c r="AO183" s="13">
        <f>AN183+1</f>
        <v/>
      </c>
      <c r="AP183" s="13">
        <f>IF(AK183&gt;13.1,IF(Z183&lt;101,IF(Z183&lt;35,IF(Z183&lt;6,3,2),1),0),0)</f>
        <v/>
      </c>
      <c r="AQ183" s="11" t="n">
        <v>1</v>
      </c>
      <c r="AR183" s="13">
        <f>IF(AP183&gt;0,IF(AB183&gt;10,(AB183/Z183),10/Z183),0)</f>
        <v/>
      </c>
      <c r="AS183" s="13" t="n"/>
      <c r="AT183" s="11">
        <f>100*(AK183-AQ183)/AQ183</f>
        <v/>
      </c>
      <c r="AZ183" s="13" t="n"/>
    </row>
    <row r="184" ht="12.75" customHeight="1">
      <c r="G184" s="11">
        <f>100*(F184-E184)/F184</f>
        <v/>
      </c>
      <c r="P184" s="11">
        <f>O184/I184</f>
        <v/>
      </c>
      <c r="R184" s="2" t="n"/>
      <c r="S184" s="12" t="n">
        <v>5</v>
      </c>
      <c r="AA184" s="11">
        <f>IF(X184&lt;50,IF(Y184&gt;(2.3*X184),0,1),1)-IF(Z184&gt;Y184,1.7,0)</f>
        <v/>
      </c>
      <c r="AC184" s="11">
        <f>IF(AB184&gt;4,1,0)+AB184/12</f>
        <v/>
      </c>
      <c r="AG184" s="12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11">
        <f>AG184+IF(X184&lt;1.35,0,1)+IF(Y184&lt;1.35,0,1)+AC184+AA184</f>
        <v/>
      </c>
      <c r="AI184" s="11" t="n"/>
      <c r="AJ184" s="11">
        <f>IF(AI184&gt;12.7,IF(AI184&gt;15.8,0.93,0.98),1)</f>
        <v/>
      </c>
      <c r="AK184" s="11">
        <f>(1.2*AG184+AH184)*AJ184*AQ184</f>
        <v/>
      </c>
      <c r="AL184" s="10">
        <f>D184</f>
        <v/>
      </c>
      <c r="AM184" s="14">
        <f>B184</f>
        <v/>
      </c>
      <c r="AO184" s="13">
        <f>AN184+1</f>
        <v/>
      </c>
      <c r="AP184" s="13">
        <f>IF(AK184&gt;13.1,IF(Z184&lt;101,IF(Z184&lt;35,IF(Z184&lt;6,3,2),1),0),0)</f>
        <v/>
      </c>
      <c r="AQ184" s="11" t="n">
        <v>1</v>
      </c>
      <c r="AR184" s="13">
        <f>IF(AP184&gt;0,IF(AB184&gt;10,(AB184/Z184),10/Z184),0)</f>
        <v/>
      </c>
      <c r="AS184" s="13" t="n"/>
      <c r="AT184" s="11">
        <f>100*(AK184-AQ184)/AQ184</f>
        <v/>
      </c>
      <c r="AZ184" s="13" t="n"/>
    </row>
    <row r="185" ht="12.75" customHeight="1">
      <c r="G185" s="11">
        <f>100*(F185-E185)/F185</f>
        <v/>
      </c>
      <c r="P185" s="11">
        <f>O185/I185</f>
        <v/>
      </c>
      <c r="R185" s="2" t="n"/>
      <c r="S185" s="12" t="n">
        <v>5</v>
      </c>
      <c r="AA185" s="11">
        <f>IF(X185&lt;50,IF(Y185&gt;(2.3*X185),0,1),1)-IF(Z185&gt;Y185,1.7,0)</f>
        <v/>
      </c>
      <c r="AC185" s="11">
        <f>IF(AB185&gt;4,1,0)+AB185/12</f>
        <v/>
      </c>
      <c r="AG185" s="12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11">
        <f>AG185+IF(X185&lt;1.35,0,1)+IF(Y185&lt;1.35,0,1)+AC185+AA185</f>
        <v/>
      </c>
      <c r="AI185" s="11" t="n"/>
      <c r="AJ185" s="11">
        <f>IF(AI185&gt;12.7,IF(AI185&gt;15.8,0.93,0.98),1)</f>
        <v/>
      </c>
      <c r="AK185" s="11">
        <f>(1.2*AG185+AH185)*AJ185*AQ185</f>
        <v/>
      </c>
      <c r="AL185" s="10">
        <f>D185</f>
        <v/>
      </c>
      <c r="AM185" s="14">
        <f>B185</f>
        <v/>
      </c>
      <c r="AO185" s="13">
        <f>AN185+1</f>
        <v/>
      </c>
      <c r="AP185" s="13">
        <f>IF(AK185&gt;13.1,IF(Z185&lt;101,IF(Z185&lt;35,IF(Z185&lt;6,3,2),1),0),0)</f>
        <v/>
      </c>
      <c r="AQ185" s="11" t="n">
        <v>1</v>
      </c>
      <c r="AR185" s="13">
        <f>IF(AP185&gt;0,IF(AB185&gt;10,(AB185/Z185),10/Z185),0)</f>
        <v/>
      </c>
      <c r="AS185" s="13" t="n"/>
      <c r="AT185" s="11">
        <f>100*(AK185-AQ185)/AQ185</f>
        <v/>
      </c>
      <c r="AZ185" s="13" t="n"/>
    </row>
    <row r="186" ht="12.75" customHeight="1">
      <c r="G186" s="11">
        <f>100*(F186-E186)/F186</f>
        <v/>
      </c>
      <c r="P186" s="11">
        <f>O186/I186</f>
        <v/>
      </c>
      <c r="R186" s="2" t="n"/>
      <c r="S186" s="12" t="n">
        <v>5</v>
      </c>
      <c r="AA186" s="11">
        <f>IF(X186&lt;50,IF(Y186&gt;(2.3*X186),0,1),1)-IF(Z186&gt;Y186,1.7,0)</f>
        <v/>
      </c>
      <c r="AC186" s="11">
        <f>IF(AB186&gt;4,1,0)+AB186/12</f>
        <v/>
      </c>
      <c r="AG186" s="12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11">
        <f>AG186+IF(X186&lt;1.35,0,1)+IF(Y186&lt;1.35,0,1)+AC186+AA186</f>
        <v/>
      </c>
      <c r="AI186" s="11" t="n"/>
      <c r="AJ186" s="11">
        <f>IF(AI186&gt;12.7,IF(AI186&gt;15.8,0.93,0.98),1)</f>
        <v/>
      </c>
      <c r="AK186" s="11">
        <f>(1.2*AG186+AH186)*AJ186*AQ186</f>
        <v/>
      </c>
      <c r="AL186" s="10">
        <f>D186</f>
        <v/>
      </c>
      <c r="AM186" s="14">
        <f>B186</f>
        <v/>
      </c>
      <c r="AO186" s="13">
        <f>AN186+1</f>
        <v/>
      </c>
      <c r="AP186" s="13">
        <f>IF(AK186&gt;13.1,IF(Z186&lt;101,IF(Z186&lt;35,IF(Z186&lt;6,3,2),1),0),0)</f>
        <v/>
      </c>
      <c r="AQ186" s="11" t="n">
        <v>1</v>
      </c>
      <c r="AR186" s="13">
        <f>IF(AP186&gt;0,IF(AB186&gt;10,(AB186/Z186),10/Z186),0)</f>
        <v/>
      </c>
      <c r="AS186" s="13" t="n"/>
      <c r="AT186" s="11">
        <f>100*(AK186-AQ186)/AQ186</f>
        <v/>
      </c>
      <c r="AZ186" s="13" t="n"/>
    </row>
    <row r="187" ht="12.75" customHeight="1">
      <c r="G187" s="11">
        <f>100*(F187-E187)/F187</f>
        <v/>
      </c>
      <c r="P187" s="11">
        <f>O187/I187</f>
        <v/>
      </c>
      <c r="R187" s="2" t="n"/>
      <c r="S187" s="12" t="n">
        <v>5</v>
      </c>
      <c r="AA187" s="11">
        <f>IF(X187&lt;50,IF(Y187&gt;(2.3*X187),0,1),1)-IF(Z187&gt;Y187,1.7,0)</f>
        <v/>
      </c>
      <c r="AC187" s="11">
        <f>IF(AB187&gt;4,1,0)+AB187/12</f>
        <v/>
      </c>
      <c r="AG187" s="12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11">
        <f>AG187+IF(X187&lt;1.35,0,1)+IF(Y187&lt;1.35,0,1)+AC187+AA187</f>
        <v/>
      </c>
      <c r="AI187" s="11" t="n"/>
      <c r="AJ187" s="11">
        <f>IF(AI187&gt;12.7,IF(AI187&gt;15.8,0.93,0.98),1)</f>
        <v/>
      </c>
      <c r="AK187" s="11">
        <f>(1.2*AG187+AH187)*AJ187*AQ187</f>
        <v/>
      </c>
      <c r="AL187" s="10">
        <f>D187</f>
        <v/>
      </c>
      <c r="AM187" s="14">
        <f>B187</f>
        <v/>
      </c>
      <c r="AO187" s="13">
        <f>AN187+1</f>
        <v/>
      </c>
      <c r="AP187" s="13">
        <f>IF(AK187&gt;13.1,IF(Z187&lt;101,IF(Z187&lt;35,IF(Z187&lt;6,3,2),1),0),0)</f>
        <v/>
      </c>
      <c r="AQ187" s="11" t="n">
        <v>1</v>
      </c>
      <c r="AR187" s="13">
        <f>IF(AP187&gt;0,IF(AB187&gt;10,(AB187/Z187),10/Z187),0)</f>
        <v/>
      </c>
      <c r="AS187" s="13" t="n"/>
      <c r="AT187" s="11">
        <f>100*(AK187-AQ187)/AQ187</f>
        <v/>
      </c>
      <c r="AZ187" s="13" t="n"/>
    </row>
    <row r="188" ht="12.75" customHeight="1">
      <c r="G188" s="11">
        <f>100*(F188-E188)/F188</f>
        <v/>
      </c>
      <c r="P188" s="11">
        <f>O188/I188</f>
        <v/>
      </c>
      <c r="R188" s="2" t="n"/>
      <c r="S188" s="12" t="n">
        <v>5</v>
      </c>
      <c r="AA188" s="11">
        <f>IF(X188&lt;50,IF(Y188&gt;(2.3*X188),0,1),1)-IF(Z188&gt;Y188,1.7,0)</f>
        <v/>
      </c>
      <c r="AC188" s="11">
        <f>IF(AB188&gt;4,1,0)+AB188/12</f>
        <v/>
      </c>
      <c r="AG188" s="12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11">
        <f>AG188+IF(X188&lt;1.35,0,1)+IF(Y188&lt;1.35,0,1)+AC188+AA188</f>
        <v/>
      </c>
      <c r="AI188" s="11" t="n"/>
      <c r="AJ188" s="11">
        <f>IF(AI188&gt;12.7,IF(AI188&gt;15.8,0.93,0.98),1)</f>
        <v/>
      </c>
      <c r="AK188" s="11">
        <f>(1.2*AG188+AH188)*AJ188*AQ188</f>
        <v/>
      </c>
      <c r="AL188" s="10">
        <f>D188</f>
        <v/>
      </c>
      <c r="AM188" s="14">
        <f>B188</f>
        <v/>
      </c>
      <c r="AO188" s="13">
        <f>AN188+1</f>
        <v/>
      </c>
      <c r="AP188" s="13">
        <f>IF(AK188&gt;13.1,IF(Z188&lt;101,IF(Z188&lt;35,IF(Z188&lt;6,3,2),1),0),0)</f>
        <v/>
      </c>
      <c r="AQ188" s="11" t="n">
        <v>1</v>
      </c>
      <c r="AR188" s="13">
        <f>IF(AP188&gt;0,IF(AB188&gt;10,(AB188/Z188),10/Z188),0)</f>
        <v/>
      </c>
      <c r="AS188" s="13" t="n"/>
      <c r="AT188" s="11">
        <f>100*(AK188-AQ188)/AQ188</f>
        <v/>
      </c>
      <c r="AZ188" s="13" t="n"/>
    </row>
    <row r="189" ht="12.75" customHeight="1">
      <c r="G189" s="11">
        <f>100*(F189-E189)/F189</f>
        <v/>
      </c>
      <c r="P189" s="11">
        <f>O189/I189</f>
        <v/>
      </c>
      <c r="R189" s="2" t="n"/>
      <c r="S189" s="12" t="n">
        <v>5</v>
      </c>
      <c r="AA189" s="11">
        <f>IF(X189&lt;50,IF(Y189&gt;(2.3*X189),0,1),1)-IF(Z189&gt;Y189,1.7,0)</f>
        <v/>
      </c>
      <c r="AC189" s="11">
        <f>IF(AB189&gt;4,1,0)+AB189/12</f>
        <v/>
      </c>
      <c r="AG189" s="12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11">
        <f>AG189+IF(X189&lt;1.35,0,1)+IF(Y189&lt;1.35,0,1)+AC189+AA189</f>
        <v/>
      </c>
      <c r="AI189" s="11" t="n"/>
      <c r="AJ189" s="11">
        <f>IF(AI189&gt;12.7,IF(AI189&gt;15.8,0.93,0.98),1)</f>
        <v/>
      </c>
      <c r="AK189" s="11">
        <f>(1.2*AG189+AH189)*AJ189*AQ189</f>
        <v/>
      </c>
      <c r="AL189" s="10">
        <f>D189</f>
        <v/>
      </c>
      <c r="AM189" s="14">
        <f>B189</f>
        <v/>
      </c>
      <c r="AO189" s="13">
        <f>AN189+1</f>
        <v/>
      </c>
      <c r="AP189" s="13">
        <f>IF(AK189&gt;13.1,IF(Z189&lt;101,IF(Z189&lt;35,IF(Z189&lt;6,3,2),1),0),0)</f>
        <v/>
      </c>
      <c r="AQ189" s="11" t="n">
        <v>1</v>
      </c>
      <c r="AR189" s="13">
        <f>IF(AP189&gt;0,IF(AB189&gt;10,(AB189/Z189),10/Z189),0)</f>
        <v/>
      </c>
      <c r="AS189" s="13" t="n"/>
      <c r="AT189" s="11">
        <f>100*(AK189-AQ189)/AQ189</f>
        <v/>
      </c>
      <c r="AZ189" s="13" t="n"/>
    </row>
    <row r="190" ht="12.75" customHeight="1">
      <c r="G190" s="11">
        <f>100*(F190-E190)/F190</f>
        <v/>
      </c>
      <c r="P190" s="11">
        <f>O190/I190</f>
        <v/>
      </c>
      <c r="R190" s="2" t="n"/>
      <c r="S190" s="12" t="n">
        <v>5</v>
      </c>
      <c r="AA190" s="11">
        <f>IF(X190&lt;50,IF(Y190&gt;(2.3*X190),0,1),1)-IF(Z190&gt;Y190,1.7,0)</f>
        <v/>
      </c>
      <c r="AC190" s="11">
        <f>IF(AB190&gt;4,1,0)+AB190/12</f>
        <v/>
      </c>
      <c r="AG190" s="12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11">
        <f>AG190+IF(X190&lt;1.35,0,1)+IF(Y190&lt;1.35,0,1)+AC190+AA190</f>
        <v/>
      </c>
      <c r="AI190" s="11" t="n"/>
      <c r="AJ190" s="11">
        <f>IF(AI190&gt;12.7,IF(AI190&gt;15.8,0.93,0.98),1)</f>
        <v/>
      </c>
      <c r="AK190" s="11">
        <f>(1.2*AG190+AH190)*AJ190*AQ190</f>
        <v/>
      </c>
      <c r="AL190" s="10">
        <f>D190</f>
        <v/>
      </c>
      <c r="AM190" s="14">
        <f>B190</f>
        <v/>
      </c>
      <c r="AO190" s="13">
        <f>AN190+1</f>
        <v/>
      </c>
      <c r="AP190" s="13">
        <f>IF(AK190&gt;13.1,IF(Z190&lt;101,IF(Z190&lt;35,IF(Z190&lt;6,3,2),1),0),0)</f>
        <v/>
      </c>
      <c r="AQ190" s="11" t="n">
        <v>1</v>
      </c>
      <c r="AR190" s="13">
        <f>IF(AP190&gt;0,IF(AB190&gt;10,(AB190/Z190),10/Z190),0)</f>
        <v/>
      </c>
      <c r="AS190" s="13" t="n"/>
      <c r="AT190" s="11">
        <f>100*(AK190-AQ190)/AQ190</f>
        <v/>
      </c>
      <c r="AZ190" s="13" t="n"/>
    </row>
    <row r="191" ht="12.75" customHeight="1">
      <c r="G191" s="11">
        <f>100*(F191-E191)/F191</f>
        <v/>
      </c>
      <c r="P191" s="11">
        <f>O191/I191</f>
        <v/>
      </c>
      <c r="R191" s="2" t="n"/>
      <c r="S191" s="12" t="n">
        <v>5</v>
      </c>
      <c r="AA191" s="11">
        <f>IF(X191&lt;50,IF(Y191&gt;(2.3*X191),0,1),1)-IF(Z191&gt;Y191,1.7,0)</f>
        <v/>
      </c>
      <c r="AC191" s="11">
        <f>IF(AB191&gt;4,1,0)+AB191/12</f>
        <v/>
      </c>
      <c r="AG191" s="12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11">
        <f>AG191+IF(X191&lt;1.35,0,1)+IF(Y191&lt;1.35,0,1)+AC191+AA191</f>
        <v/>
      </c>
      <c r="AI191" s="11" t="n"/>
      <c r="AJ191" s="11">
        <f>IF(AI191&gt;12.7,IF(AI191&gt;15.8,0.93,0.98),1)</f>
        <v/>
      </c>
      <c r="AK191" s="11">
        <f>(1.2*AG191+AH191)*AJ191*AQ191</f>
        <v/>
      </c>
      <c r="AL191" s="10">
        <f>D191</f>
        <v/>
      </c>
      <c r="AM191" s="14">
        <f>B191</f>
        <v/>
      </c>
      <c r="AO191" s="13">
        <f>AN191+1</f>
        <v/>
      </c>
      <c r="AP191" s="13">
        <f>IF(AK191&gt;13.1,IF(Z191&lt;101,IF(Z191&lt;35,IF(Z191&lt;6,3,2),1),0),0)</f>
        <v/>
      </c>
      <c r="AQ191" s="11" t="n">
        <v>1</v>
      </c>
      <c r="AR191" s="13">
        <f>IF(AP191&gt;0,IF(AB191&gt;10,(AB191/Z191),10/Z191),0)</f>
        <v/>
      </c>
      <c r="AS191" s="13" t="n"/>
      <c r="AT191" s="11">
        <f>100*(AK191-AQ191)/AQ191</f>
        <v/>
      </c>
      <c r="AZ191" s="13" t="n"/>
    </row>
    <row r="192" ht="12.75" customHeight="1">
      <c r="G192" s="11">
        <f>100*(F192-E192)/F192</f>
        <v/>
      </c>
      <c r="P192" s="11">
        <f>O192/I192</f>
        <v/>
      </c>
      <c r="R192" s="2" t="n"/>
      <c r="S192" s="12" t="n">
        <v>5</v>
      </c>
      <c r="AA192" s="11">
        <f>IF(X192&lt;50,IF(Y192&gt;(2.3*X192),0,1),1)-IF(Z192&gt;Y192,1.7,0)</f>
        <v/>
      </c>
      <c r="AC192" s="11">
        <f>IF(AB192&gt;4,1,0)+AB192/12</f>
        <v/>
      </c>
      <c r="AG192" s="12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11">
        <f>AG192+IF(X192&lt;1.35,0,1)+IF(Y192&lt;1.35,0,1)+AC192+AA192</f>
        <v/>
      </c>
      <c r="AI192" s="11" t="n"/>
      <c r="AJ192" s="11">
        <f>IF(AI192&gt;12.7,IF(AI192&gt;15.8,0.93,0.98),1)</f>
        <v/>
      </c>
      <c r="AK192" s="11">
        <f>(1.2*AG192+AH192)*AJ192*AQ192</f>
        <v/>
      </c>
      <c r="AL192" s="10">
        <f>D192</f>
        <v/>
      </c>
      <c r="AM192" s="14">
        <f>B192</f>
        <v/>
      </c>
      <c r="AO192" s="13">
        <f>AN192+1</f>
        <v/>
      </c>
      <c r="AP192" s="13">
        <f>IF(AK192&gt;13.1,IF(Z192&lt;101,IF(Z192&lt;35,IF(Z192&lt;6,3,2),1),0),0)</f>
        <v/>
      </c>
      <c r="AQ192" s="11" t="n">
        <v>1</v>
      </c>
      <c r="AR192" s="13">
        <f>IF(AP192&gt;0,IF(AB192&gt;10,(AB192/Z192),10/Z192),0)</f>
        <v/>
      </c>
      <c r="AS192" s="13" t="n"/>
      <c r="AT192" s="11">
        <f>100*(AK192-AQ192)/AQ192</f>
        <v/>
      </c>
      <c r="AZ192" s="13" t="n"/>
    </row>
    <row r="193" ht="12.75" customHeight="1">
      <c r="G193" s="11">
        <f>100*(F193-E193)/F193</f>
        <v/>
      </c>
      <c r="P193" s="11">
        <f>O193/I193</f>
        <v/>
      </c>
      <c r="R193" s="2" t="n"/>
      <c r="S193" s="12" t="n">
        <v>5</v>
      </c>
      <c r="AA193" s="11">
        <f>IF(X193&lt;50,IF(Y193&gt;(2.3*X193),0,1),1)-IF(Z193&gt;Y193,1.7,0)</f>
        <v/>
      </c>
      <c r="AC193" s="11">
        <f>IF(AB193&gt;4,1,0)+AB193/12</f>
        <v/>
      </c>
      <c r="AG193" s="12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11">
        <f>AG193+IF(X193&lt;1.35,0,1)+IF(Y193&lt;1.35,0,1)+AC193+AA193</f>
        <v/>
      </c>
      <c r="AI193" s="11" t="n"/>
      <c r="AJ193" s="11">
        <f>IF(AI193&gt;12.7,IF(AI193&gt;15.8,0.93,0.98),1)</f>
        <v/>
      </c>
      <c r="AK193" s="11">
        <f>(1.2*AG193+AH193)*AJ193*AQ193</f>
        <v/>
      </c>
      <c r="AL193" s="10">
        <f>D193</f>
        <v/>
      </c>
      <c r="AM193" s="14">
        <f>B193</f>
        <v/>
      </c>
      <c r="AO193" s="13">
        <f>AN193+1</f>
        <v/>
      </c>
      <c r="AP193" s="13">
        <f>IF(AK193&gt;13.1,IF(Z193&lt;101,IF(Z193&lt;35,IF(Z193&lt;6,3,2),1),0),0)</f>
        <v/>
      </c>
      <c r="AQ193" s="11" t="n">
        <v>1</v>
      </c>
      <c r="AR193" s="13">
        <f>IF(AP193&gt;0,IF(AB193&gt;10,(AB193/Z193),10/Z193),0)</f>
        <v/>
      </c>
      <c r="AS193" s="13" t="n"/>
      <c r="AT193" s="11">
        <f>100*(AK193-AQ193)/AQ193</f>
        <v/>
      </c>
      <c r="AZ193" s="13" t="n"/>
    </row>
    <row r="194" ht="12.75" customHeight="1">
      <c r="G194" s="11">
        <f>100*(F194-E194)/F194</f>
        <v/>
      </c>
      <c r="P194" s="11">
        <f>O194/I194</f>
        <v/>
      </c>
      <c r="R194" s="2" t="n"/>
      <c r="S194" s="12" t="n">
        <v>5</v>
      </c>
      <c r="AA194" s="11">
        <f>IF(X194&lt;50,IF(Y194&gt;(2.3*X194),0,1),1)-IF(Z194&gt;Y194,1.7,0)</f>
        <v/>
      </c>
      <c r="AC194" s="11">
        <f>IF(AB194&gt;4,1,0)+AB194/12</f>
        <v/>
      </c>
      <c r="AG194" s="12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11">
        <f>AG194+IF(X194&lt;1.35,0,1)+IF(Y194&lt;1.35,0,1)+AC194+AA194</f>
        <v/>
      </c>
      <c r="AI194" s="11" t="n"/>
      <c r="AJ194" s="11">
        <f>IF(AI194&gt;12.7,IF(AI194&gt;15.8,0.93,0.98),1)</f>
        <v/>
      </c>
      <c r="AK194" s="11">
        <f>(1.2*AG194+AH194)*AJ194*AQ194</f>
        <v/>
      </c>
      <c r="AL194" s="10">
        <f>D194</f>
        <v/>
      </c>
      <c r="AM194" s="14">
        <f>B194</f>
        <v/>
      </c>
      <c r="AO194" s="13">
        <f>AN194+1</f>
        <v/>
      </c>
      <c r="AP194" s="13">
        <f>IF(AK194&gt;13.1,IF(Z194&lt;101,IF(Z194&lt;35,IF(Z194&lt;6,3,2),1),0),0)</f>
        <v/>
      </c>
      <c r="AQ194" s="11" t="n">
        <v>1</v>
      </c>
      <c r="AR194" s="13">
        <f>IF(AP194&gt;0,IF(AB194&gt;10,(AB194/Z194),10/Z194),0)</f>
        <v/>
      </c>
      <c r="AS194" s="13" t="n"/>
      <c r="AT194" s="11">
        <f>100*(AK194-AQ194)/AQ194</f>
        <v/>
      </c>
      <c r="AZ194" s="13" t="n"/>
    </row>
    <row r="195" ht="12.75" customHeight="1">
      <c r="G195" s="11">
        <f>100*(F195-E195)/F195</f>
        <v/>
      </c>
      <c r="P195" s="11">
        <f>O195/I195</f>
        <v/>
      </c>
      <c r="R195" s="2" t="n"/>
      <c r="S195" s="12" t="n">
        <v>5</v>
      </c>
      <c r="AA195" s="11">
        <f>IF(X195&lt;50,IF(Y195&gt;(2.3*X195),0,1),1)-IF(Z195&gt;Y195,1.7,0)</f>
        <v/>
      </c>
      <c r="AC195" s="11">
        <f>IF(AB195&gt;4,1,0)+AB195/12</f>
        <v/>
      </c>
      <c r="AG195" s="12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11">
        <f>AG195+IF(X195&lt;1.35,0,1)+IF(Y195&lt;1.35,0,1)+AC195+AA195</f>
        <v/>
      </c>
      <c r="AI195" s="11" t="n"/>
      <c r="AJ195" s="11">
        <f>IF(AI195&gt;12.7,IF(AI195&gt;15.8,0.93,0.98),1)</f>
        <v/>
      </c>
      <c r="AK195" s="11">
        <f>(1.2*AG195+AH195)*AJ195*AQ195</f>
        <v/>
      </c>
      <c r="AL195" s="10">
        <f>D195</f>
        <v/>
      </c>
      <c r="AM195" s="14">
        <f>B195</f>
        <v/>
      </c>
      <c r="AO195" s="13">
        <f>AN195+1</f>
        <v/>
      </c>
      <c r="AP195" s="13">
        <f>IF(AK195&gt;13.1,IF(Z195&lt;101,IF(Z195&lt;35,IF(Z195&lt;6,3,2),1),0),0)</f>
        <v/>
      </c>
      <c r="AQ195" s="11" t="n">
        <v>1</v>
      </c>
      <c r="AR195" s="13">
        <f>IF(AP195&gt;0,IF(AB195&gt;10,(AB195/Z195),10/Z195),0)</f>
        <v/>
      </c>
      <c r="AS195" s="13" t="n"/>
      <c r="AT195" s="11">
        <f>100*(AK195-AQ195)/AQ195</f>
        <v/>
      </c>
      <c r="AZ195" s="13" t="n"/>
    </row>
    <row r="196" ht="12.75" customHeight="1">
      <c r="G196" s="11">
        <f>100*(F196-E196)/F196</f>
        <v/>
      </c>
      <c r="P196" s="11">
        <f>O196/I196</f>
        <v/>
      </c>
      <c r="R196" s="2" t="n"/>
      <c r="S196" s="12" t="n">
        <v>5</v>
      </c>
      <c r="AA196" s="11">
        <f>IF(X196&lt;50,IF(Y196&gt;(2.3*X196),0,1),1)-IF(Z196&gt;Y196,1.7,0)</f>
        <v/>
      </c>
      <c r="AC196" s="11">
        <f>IF(AB196&gt;4,1,0)+AB196/12</f>
        <v/>
      </c>
      <c r="AG196" s="12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11">
        <f>AG196+IF(X196&lt;1.35,0,1)+IF(Y196&lt;1.35,0,1)+AC196+AA196</f>
        <v/>
      </c>
      <c r="AI196" s="11" t="n"/>
      <c r="AJ196" s="11">
        <f>IF(AI196&gt;12.7,IF(AI196&gt;15.8,0.93,0.98),1)</f>
        <v/>
      </c>
      <c r="AK196" s="11">
        <f>(1.2*AG196+AH196)*AJ196*AQ196</f>
        <v/>
      </c>
      <c r="AL196" s="10">
        <f>D196</f>
        <v/>
      </c>
      <c r="AM196" s="14">
        <f>B196</f>
        <v/>
      </c>
      <c r="AO196" s="13">
        <f>AN196+1</f>
        <v/>
      </c>
      <c r="AP196" s="13">
        <f>IF(AK196&gt;13.1,IF(Z196&lt;101,IF(Z196&lt;35,IF(Z196&lt;6,3,2),1),0),0)</f>
        <v/>
      </c>
      <c r="AQ196" s="11" t="n">
        <v>1</v>
      </c>
      <c r="AR196" s="13">
        <f>IF(AP196&gt;0,IF(AB196&gt;10,(AB196/Z196),10/Z196),0)</f>
        <v/>
      </c>
      <c r="AS196" s="13" t="n"/>
      <c r="AT196" s="11">
        <f>100*(AK196-AQ196)/AQ196</f>
        <v/>
      </c>
      <c r="AZ196" s="13" t="n"/>
    </row>
    <row r="197" ht="12.75" customHeight="1">
      <c r="G197" s="11">
        <f>100*(F197-E197)/F197</f>
        <v/>
      </c>
      <c r="P197" s="11">
        <f>O197/I197</f>
        <v/>
      </c>
      <c r="R197" s="2" t="n"/>
      <c r="S197" s="12" t="n">
        <v>5</v>
      </c>
      <c r="AA197" s="11">
        <f>IF(X197&lt;50,IF(Y197&gt;(2.3*X197),0,1),1)-IF(Z197&gt;Y197,1.7,0)</f>
        <v/>
      </c>
      <c r="AC197" s="11">
        <f>IF(AB197&gt;4,1,0)+AB197/12</f>
        <v/>
      </c>
      <c r="AG197" s="12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11">
        <f>AG197+IF(X197&lt;1.35,0,1)+IF(Y197&lt;1.35,0,1)+AC197+AA197</f>
        <v/>
      </c>
      <c r="AI197" s="11" t="n"/>
      <c r="AJ197" s="11">
        <f>IF(AI197&gt;12.7,IF(AI197&gt;15.8,0.93,0.98),1)</f>
        <v/>
      </c>
      <c r="AK197" s="11">
        <f>(1.2*AG197+AH197)*AJ197*AQ197</f>
        <v/>
      </c>
      <c r="AL197" s="10">
        <f>D197</f>
        <v/>
      </c>
      <c r="AM197" s="14">
        <f>B197</f>
        <v/>
      </c>
      <c r="AO197" s="13">
        <f>AN197+1</f>
        <v/>
      </c>
      <c r="AP197" s="13">
        <f>IF(AK197&gt;13.1,IF(Z197&lt;101,IF(Z197&lt;35,IF(Z197&lt;6,3,2),1),0),0)</f>
        <v/>
      </c>
      <c r="AQ197" s="11" t="n">
        <v>1</v>
      </c>
      <c r="AR197" s="13">
        <f>IF(AP197&gt;0,IF(AB197&gt;10,(AB197/Z197),10/Z197),0)</f>
        <v/>
      </c>
      <c r="AS197" s="13" t="n"/>
      <c r="AT197" s="11">
        <f>100*(AK197-AQ197)/AQ197</f>
        <v/>
      </c>
      <c r="AZ197" s="13" t="n"/>
    </row>
    <row r="198" ht="12.75" customHeight="1">
      <c r="G198" s="11">
        <f>100*(F198-E198)/F198</f>
        <v/>
      </c>
      <c r="P198" s="11">
        <f>O198/I198</f>
        <v/>
      </c>
      <c r="R198" s="2" t="n"/>
      <c r="S198" s="12" t="n">
        <v>5</v>
      </c>
      <c r="AA198" s="11">
        <f>IF(X198&lt;50,IF(Y198&gt;(2.3*X198),0,1),1)-IF(Z198&gt;Y198,1.7,0)</f>
        <v/>
      </c>
      <c r="AC198" s="11">
        <f>IF(AB198&gt;4,1,0)+AB198/12</f>
        <v/>
      </c>
      <c r="AG198" s="12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11">
        <f>AG198+IF(X198&lt;1.35,0,1)+IF(Y198&lt;1.35,0,1)+AC198+AA198</f>
        <v/>
      </c>
      <c r="AI198" s="11" t="n"/>
      <c r="AJ198" s="11">
        <f>IF(AI198&gt;12.7,IF(AI198&gt;15.8,0.93,0.98),1)</f>
        <v/>
      </c>
      <c r="AK198" s="11">
        <f>(1.2*AG198+AH198)*AJ198*AQ198</f>
        <v/>
      </c>
      <c r="AL198" s="10">
        <f>D198</f>
        <v/>
      </c>
      <c r="AM198" s="14">
        <f>B198</f>
        <v/>
      </c>
      <c r="AO198" s="13">
        <f>AN198+1</f>
        <v/>
      </c>
      <c r="AP198" s="13">
        <f>IF(AK198&gt;13.1,IF(Z198&lt;101,IF(Z198&lt;35,IF(Z198&lt;6,3,2),1),0),0)</f>
        <v/>
      </c>
      <c r="AQ198" s="11" t="n">
        <v>1</v>
      </c>
      <c r="AR198" s="13">
        <f>IF(AP198&gt;0,IF(AB198&gt;10,(AB198/Z198),10/Z198),0)</f>
        <v/>
      </c>
      <c r="AS198" s="13" t="n"/>
      <c r="AT198" s="11">
        <f>100*(AK198-AQ198)/AQ198</f>
        <v/>
      </c>
      <c r="AZ198" s="13" t="n"/>
    </row>
    <row r="199" ht="12.75" customHeight="1">
      <c r="G199" s="11">
        <f>100*(F199-E199)/F199</f>
        <v/>
      </c>
      <c r="P199" s="11">
        <f>O199/I199</f>
        <v/>
      </c>
      <c r="R199" s="2" t="n"/>
      <c r="S199" s="12" t="n">
        <v>5</v>
      </c>
      <c r="AA199" s="11">
        <f>IF(X199&lt;50,IF(Y199&gt;(2.3*X199),0,1),1)-IF(Z199&gt;Y199,1.7,0)</f>
        <v/>
      </c>
      <c r="AC199" s="11">
        <f>IF(AB199&gt;4,1,0)+AB199/12</f>
        <v/>
      </c>
      <c r="AG199" s="12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11">
        <f>AG199+IF(X199&lt;1.35,0,1)+IF(Y199&lt;1.35,0,1)+AC199+AA199</f>
        <v/>
      </c>
      <c r="AI199" s="11" t="n"/>
      <c r="AJ199" s="11">
        <f>IF(AI199&gt;12.7,IF(AI199&gt;15.8,0.93,0.98),1)</f>
        <v/>
      </c>
      <c r="AK199" s="11">
        <f>(1.2*AG199+AH199)*AJ199*AQ199</f>
        <v/>
      </c>
      <c r="AL199" s="10">
        <f>D199</f>
        <v/>
      </c>
      <c r="AM199" s="14">
        <f>B199</f>
        <v/>
      </c>
      <c r="AO199" s="13">
        <f>AN199+1</f>
        <v/>
      </c>
      <c r="AP199" s="13">
        <f>IF(AK199&gt;13.1,IF(Z199&lt;101,IF(Z199&lt;35,IF(Z199&lt;6,3,2),1),0),0)</f>
        <v/>
      </c>
      <c r="AQ199" s="11" t="n">
        <v>1</v>
      </c>
      <c r="AR199" s="13">
        <f>IF(AP199&gt;0,IF(AB199&gt;10,(AB199/Z199),10/Z199),0)</f>
        <v/>
      </c>
      <c r="AS199" s="13" t="n"/>
      <c r="AT199" s="11">
        <f>100*(AK199-AQ199)/AQ199</f>
        <v/>
      </c>
      <c r="AZ199" s="13" t="n"/>
    </row>
    <row r="200" ht="12.75" customHeight="1">
      <c r="G200" s="11">
        <f>100*(F200-E200)/F200</f>
        <v/>
      </c>
      <c r="P200" s="11">
        <f>O200/I200</f>
        <v/>
      </c>
      <c r="R200" s="2" t="n"/>
      <c r="S200" s="12" t="n">
        <v>5</v>
      </c>
      <c r="AA200" s="11">
        <f>IF(X200&lt;50,IF(Y200&gt;(2.3*X200),0,1),1)-IF(Z200&gt;Y200,1.7,0)</f>
        <v/>
      </c>
      <c r="AC200" s="11">
        <f>IF(AB200&gt;4,1,0)+AB200/12</f>
        <v/>
      </c>
      <c r="AG200" s="12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11">
        <f>AG200+IF(X200&lt;1.35,0,1)+IF(Y200&lt;1.35,0,1)+AC200+AA200</f>
        <v/>
      </c>
      <c r="AI200" s="11" t="n"/>
      <c r="AJ200" s="11">
        <f>IF(AI200&gt;12.7,IF(AI200&gt;15.8,0.93,0.98),1)</f>
        <v/>
      </c>
      <c r="AK200" s="11">
        <f>(1.2*AG200+AH200)*AJ200*AQ200</f>
        <v/>
      </c>
      <c r="AL200" s="10">
        <f>D200</f>
        <v/>
      </c>
      <c r="AM200" s="14">
        <f>B200</f>
        <v/>
      </c>
      <c r="AO200" s="13">
        <f>AN200+1</f>
        <v/>
      </c>
      <c r="AP200" s="13">
        <f>IF(AK200&gt;13.1,IF(Z200&lt;101,IF(Z200&lt;35,IF(Z200&lt;6,3,2),1),0),0)</f>
        <v/>
      </c>
      <c r="AQ200" s="11" t="n">
        <v>1</v>
      </c>
      <c r="AR200" s="13">
        <f>IF(AP200&gt;0,IF(AB200&gt;10,(AB200/Z200),10/Z200),0)</f>
        <v/>
      </c>
      <c r="AS200" s="13" t="n"/>
      <c r="AT200" s="11">
        <f>100*(AK200-AQ200)/AQ200</f>
        <v/>
      </c>
      <c r="AZ200" s="13" t="n"/>
    </row>
    <row r="201" ht="12.75" customHeight="1">
      <c r="G201" s="11">
        <f>100*(F201-E201)/F201</f>
        <v/>
      </c>
      <c r="P201" s="11">
        <f>O201/I201</f>
        <v/>
      </c>
      <c r="R201" s="2" t="n"/>
      <c r="S201" s="12" t="n">
        <v>5</v>
      </c>
      <c r="AA201" s="11">
        <f>IF(X201&lt;50,IF(Y201&gt;(2.3*X201),0,1),1)-IF(Z201&gt;Y201,1.7,0)</f>
        <v/>
      </c>
      <c r="AC201" s="11">
        <f>IF(AB201&gt;4,1,0)+AB201/12</f>
        <v/>
      </c>
      <c r="AG201" s="12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11">
        <f>AG201+IF(X201&lt;1.35,0,1)+IF(Y201&lt;1.35,0,1)+AC201+AA201</f>
        <v/>
      </c>
      <c r="AI201" s="11" t="n"/>
      <c r="AJ201" s="11">
        <f>IF(AI201&gt;12.7,IF(AI201&gt;15.8,0.93,0.98),1)</f>
        <v/>
      </c>
      <c r="AK201" s="11">
        <f>(1.2*AG201+AH201)*AJ201*AQ201</f>
        <v/>
      </c>
      <c r="AL201" s="10">
        <f>D201</f>
        <v/>
      </c>
      <c r="AM201" s="14">
        <f>B201</f>
        <v/>
      </c>
      <c r="AO201" s="13">
        <f>AN201+1</f>
        <v/>
      </c>
      <c r="AP201" s="13">
        <f>IF(AK201&gt;13.1,IF(Z201&lt;101,IF(Z201&lt;35,IF(Z201&lt;6,3,2),1),0),0)</f>
        <v/>
      </c>
      <c r="AQ201" s="11" t="n">
        <v>1</v>
      </c>
      <c r="AT201" s="11">
        <f>100*(AK201-AQ201)/AQ201</f>
        <v/>
      </c>
      <c r="AZ201" s="13" t="n"/>
    </row>
    <row r="202" ht="12.75" customHeight="1">
      <c r="G202" s="11">
        <f>100*(F202-E202)/F202</f>
        <v/>
      </c>
      <c r="P202" s="11">
        <f>O202/I202</f>
        <v/>
      </c>
      <c r="R202" s="2" t="n"/>
      <c r="S202" s="12" t="n">
        <v>5</v>
      </c>
      <c r="AA202" s="11">
        <f>IF(X202&lt;50,IF(Y202&gt;(2.3*X202),0,1),1)-IF(Z202&gt;Y202,1.7,0)</f>
        <v/>
      </c>
      <c r="AC202" s="11">
        <f>IF(AB202&gt;4,1,0)+AB202/12</f>
        <v/>
      </c>
      <c r="AG202" s="12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11">
        <f>AG202+IF(X202&lt;1.35,0,1)+IF(Y202&lt;1.35,0,1)+AC202+AA202</f>
        <v/>
      </c>
      <c r="AI202" s="11" t="n"/>
      <c r="AJ202" s="11">
        <f>IF(AI202&gt;12.7,IF(AI202&gt;15.8,0.93,0.98),1)</f>
        <v/>
      </c>
      <c r="AK202" s="11">
        <f>(1.2*AG202+AH202)*AJ202*AQ202</f>
        <v/>
      </c>
      <c r="AL202" s="10">
        <f>D202</f>
        <v/>
      </c>
      <c r="AM202" s="14">
        <f>B202</f>
        <v/>
      </c>
      <c r="AO202" s="13">
        <f>AN202+1</f>
        <v/>
      </c>
      <c r="AP202" s="13">
        <f>IF(AK202&gt;13.1,IF(Z202&lt;101,IF(Z202&lt;35,IF(Z202&lt;6,3,2),1),0),0)</f>
        <v/>
      </c>
      <c r="AQ202" s="11" t="n">
        <v>1</v>
      </c>
      <c r="AT202" s="11">
        <f>100*(AK202-AQ202)/AQ202</f>
        <v/>
      </c>
      <c r="AZ202" s="13" t="n"/>
    </row>
    <row r="203" ht="12.75" customHeight="1">
      <c r="G203" s="11">
        <f>100*(F203-E203)/F203</f>
        <v/>
      </c>
      <c r="P203" s="11">
        <f>O203/I203</f>
        <v/>
      </c>
      <c r="R203" s="2" t="n"/>
      <c r="S203" s="12" t="n">
        <v>5</v>
      </c>
      <c r="AA203" s="11">
        <f>IF(X203&lt;50,IF(Y203&gt;(2.3*X203),0,1),1)-IF(Z203&gt;Y203,1.7,0)</f>
        <v/>
      </c>
      <c r="AC203" s="11">
        <f>IF(AB203&gt;4,1,0)+AB203/12</f>
        <v/>
      </c>
      <c r="AG203" s="12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11">
        <f>AG203+IF(X203&lt;1.35,0,1)+IF(Y203&lt;1.35,0,1)+AC203+AA203</f>
        <v/>
      </c>
      <c r="AI203" s="11" t="n"/>
      <c r="AJ203" s="11">
        <f>IF(AI203&gt;12.7,IF(AI203&gt;15.8,0.93,0.98),1)</f>
        <v/>
      </c>
      <c r="AK203" s="11">
        <f>(1.2*AG203+AH203)*AJ203*AQ203</f>
        <v/>
      </c>
      <c r="AL203" s="10">
        <f>D203</f>
        <v/>
      </c>
      <c r="AM203" s="14">
        <f>B203</f>
        <v/>
      </c>
      <c r="AO203" s="13">
        <f>AN203+1</f>
        <v/>
      </c>
      <c r="AP203" s="13">
        <f>IF(AK203&gt;13.1,IF(Z203&lt;101,IF(Z203&lt;35,IF(Z203&lt;6,3,2),1),0),0)</f>
        <v/>
      </c>
      <c r="AQ203" s="11" t="n">
        <v>1</v>
      </c>
      <c r="AT203" s="11">
        <f>100*(AK203-AQ203)/AQ203</f>
        <v/>
      </c>
      <c r="AZ203" s="13" t="n"/>
    </row>
    <row r="204" ht="12.75" customHeight="1">
      <c r="G204" s="11">
        <f>100*(F204-E204)/F204</f>
        <v/>
      </c>
      <c r="P204" s="11">
        <f>O204/I204</f>
        <v/>
      </c>
      <c r="R204" s="2" t="n"/>
      <c r="S204" s="12" t="n">
        <v>5</v>
      </c>
      <c r="AA204" s="11">
        <f>IF(X204&lt;50,IF(Y204&gt;(2.3*X204),0,1),1)-IF(Z204&gt;Y204,1.7,0)</f>
        <v/>
      </c>
      <c r="AC204" s="11">
        <f>IF(AB204&gt;4,1,0)+AB204/12</f>
        <v/>
      </c>
      <c r="AG204" s="12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11">
        <f>AG204+IF(X204&lt;1.35,0,1)+IF(Y204&lt;1.35,0,1)+AC204+AA204</f>
        <v/>
      </c>
      <c r="AI204" s="11" t="n"/>
      <c r="AJ204" s="11">
        <f>IF(AI204&gt;12.7,IF(AI204&gt;15.8,0.93,0.98),1)</f>
        <v/>
      </c>
      <c r="AK204" s="11">
        <f>(1.2*AG204+AH204)*AJ204*AQ204</f>
        <v/>
      </c>
      <c r="AL204" s="10">
        <f>D204</f>
        <v/>
      </c>
      <c r="AM204" s="14">
        <f>B204</f>
        <v/>
      </c>
      <c r="AO204" s="13">
        <f>AN204+1</f>
        <v/>
      </c>
      <c r="AP204" s="13">
        <f>IF(AK204&gt;13.1,IF(Z204&lt;101,IF(Z204&lt;35,IF(Z204&lt;6,3,2),1),0),0)</f>
        <v/>
      </c>
      <c r="AQ204" s="11" t="n">
        <v>1</v>
      </c>
      <c r="AT204" s="11">
        <f>100*(AK204-AQ204)/AQ204</f>
        <v/>
      </c>
      <c r="AZ204" s="13" t="n"/>
    </row>
    <row r="205" ht="12.75" customHeight="1">
      <c r="G205" s="11">
        <f>100*(F205-E205)/F205</f>
        <v/>
      </c>
      <c r="P205" s="11">
        <f>O205/I205</f>
        <v/>
      </c>
      <c r="R205" s="2" t="n"/>
      <c r="S205" s="12" t="n">
        <v>5</v>
      </c>
      <c r="AA205" s="11">
        <f>IF(X205&lt;50,IF(Y205&gt;(2.3*X205),0,1),1)-IF(Z205&gt;Y205,1.7,0)</f>
        <v/>
      </c>
      <c r="AC205" s="11">
        <f>IF(AB205&gt;4,1,0)+AB205/12</f>
        <v/>
      </c>
      <c r="AG205" s="12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11">
        <f>AG205+IF(X205&lt;1.35,0,1)+IF(Y205&lt;1.35,0,1)+AC205+AA205</f>
        <v/>
      </c>
      <c r="AI205" s="11" t="n"/>
      <c r="AJ205" s="11">
        <f>IF(AI205&gt;12.7,IF(AI205&gt;15.8,0.93,0.98),1)</f>
        <v/>
      </c>
      <c r="AK205" s="11">
        <f>(1.2*AG205+AH205)*AJ205*AQ205</f>
        <v/>
      </c>
      <c r="AL205" s="10">
        <f>D205</f>
        <v/>
      </c>
      <c r="AM205" s="14">
        <f>B205</f>
        <v/>
      </c>
      <c r="AO205" s="13">
        <f>AN205+1</f>
        <v/>
      </c>
      <c r="AP205" s="13">
        <f>IF(AK205&gt;13.1,IF(Z205&lt;101,IF(Z205&lt;35,IF(Z205&lt;6,3,2),1),0),0)</f>
        <v/>
      </c>
      <c r="AQ205" s="11" t="n">
        <v>1</v>
      </c>
      <c r="AT205" s="11">
        <f>100*(AK205-AQ205)/AQ205</f>
        <v/>
      </c>
      <c r="AZ205" s="13" t="n"/>
    </row>
    <row r="206" ht="12.75" customHeight="1">
      <c r="G206" s="11">
        <f>100*(F206-E206)/F206</f>
        <v/>
      </c>
      <c r="P206" s="11">
        <f>O206/I206</f>
        <v/>
      </c>
      <c r="R206" s="2" t="n"/>
      <c r="S206" s="12" t="n">
        <v>5</v>
      </c>
      <c r="AA206" s="11">
        <f>IF(X206&lt;50,IF(Y206&gt;(2.3*X206),0,1),1)-IF(Z206&gt;Y206,1.7,0)</f>
        <v/>
      </c>
      <c r="AC206" s="11">
        <f>IF(AB206&gt;4,1,0)+AB206/12</f>
        <v/>
      </c>
      <c r="AG206" s="12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11">
        <f>AG206+IF(X206&lt;1.35,0,1)+IF(Y206&lt;1.35,0,1)+AC206+AA206</f>
        <v/>
      </c>
      <c r="AI206" s="11" t="n"/>
      <c r="AJ206" s="11">
        <f>IF(AI206&gt;12.7,IF(AI206&gt;15.8,0.93,0.98),1)</f>
        <v/>
      </c>
      <c r="AK206" s="11">
        <f>(1.2*AG206+AH206)*AJ206*AQ206</f>
        <v/>
      </c>
      <c r="AL206" s="10">
        <f>D206</f>
        <v/>
      </c>
      <c r="AM206" s="14">
        <f>B206</f>
        <v/>
      </c>
      <c r="AO206" s="13">
        <f>AN206+1</f>
        <v/>
      </c>
      <c r="AP206" s="13">
        <f>IF(AK206&gt;13.1,IF(Z206&lt;101,IF(Z206&lt;35,IF(Z206&lt;6,3,2),1),0),0)</f>
        <v/>
      </c>
      <c r="AQ206" s="11" t="n">
        <v>1</v>
      </c>
      <c r="AT206" s="11">
        <f>100*(AK206-AQ206)/AQ206</f>
        <v/>
      </c>
      <c r="AZ206" s="13" t="n"/>
    </row>
    <row r="207" ht="12.75" customHeight="1">
      <c r="G207" s="11">
        <f>100*(F207-E207)/F207</f>
        <v/>
      </c>
      <c r="P207" s="11">
        <f>O207/I207</f>
        <v/>
      </c>
      <c r="R207" s="2" t="n"/>
      <c r="S207" s="12" t="n">
        <v>5</v>
      </c>
      <c r="AA207" s="11">
        <f>IF(X207&lt;50,IF(Y207&gt;(2.3*X207),0,1),1)-IF(Z207&gt;Y207,1.7,0)</f>
        <v/>
      </c>
      <c r="AC207" s="11">
        <f>IF(AB207&gt;4,1,0)+AB207/12</f>
        <v/>
      </c>
      <c r="AG207" s="12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11">
        <f>AG207+IF(X207&lt;1.35,0,1)+IF(Y207&lt;1.35,0,1)+AC207+AA207</f>
        <v/>
      </c>
      <c r="AI207" s="11" t="n"/>
      <c r="AJ207" s="11">
        <f>IF(AI207&gt;12.7,IF(AI207&gt;15.8,0.93,0.98),1)</f>
        <v/>
      </c>
      <c r="AK207" s="11">
        <f>(1.2*AG207+AH207)*AJ207*AQ207</f>
        <v/>
      </c>
      <c r="AL207" s="10">
        <f>D207</f>
        <v/>
      </c>
      <c r="AM207" s="14">
        <f>B207</f>
        <v/>
      </c>
      <c r="AO207" s="13">
        <f>AN207+1</f>
        <v/>
      </c>
      <c r="AP207" s="13">
        <f>IF(AK207&gt;13.1,IF(Z207&lt;101,IF(Z207&lt;35,IF(Z207&lt;6,3,2),1),0),0)</f>
        <v/>
      </c>
      <c r="AQ207" s="11" t="n">
        <v>1</v>
      </c>
      <c r="AT207" s="11">
        <f>100*(AK207-AQ207)/AQ207</f>
        <v/>
      </c>
      <c r="AZ207" s="13" t="n"/>
    </row>
    <row r="208" ht="12.75" customHeight="1">
      <c r="G208" s="11">
        <f>100*(F208-E208)/F208</f>
        <v/>
      </c>
      <c r="P208" s="11">
        <f>O208/I208</f>
        <v/>
      </c>
      <c r="R208" s="2" t="n"/>
      <c r="S208" s="12" t="n">
        <v>5</v>
      </c>
      <c r="AA208" s="11">
        <f>IF(X208&lt;50,IF(Y208&gt;(2.3*X208),0,1),1)-IF(Z208&gt;Y208,1.7,0)</f>
        <v/>
      </c>
      <c r="AC208" s="11">
        <f>IF(AB208&gt;4,1,0)+AB208/12</f>
        <v/>
      </c>
      <c r="AG208" s="12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11">
        <f>AG208+IF(X208&lt;1.35,0,1)+IF(Y208&lt;1.35,0,1)+AC208+AA208</f>
        <v/>
      </c>
      <c r="AI208" s="11" t="n"/>
      <c r="AJ208" s="11">
        <f>IF(AI208&gt;12.7,IF(AI208&gt;15.8,0.93,0.98),1)</f>
        <v/>
      </c>
      <c r="AK208" s="11">
        <f>(1.2*AG208+AH208)*AJ208*AQ208</f>
        <v/>
      </c>
      <c r="AL208" s="10">
        <f>D208</f>
        <v/>
      </c>
      <c r="AM208" s="14">
        <f>B208</f>
        <v/>
      </c>
      <c r="AO208" s="13">
        <f>AN208+1</f>
        <v/>
      </c>
      <c r="AP208" s="13">
        <f>IF(AK208&gt;13.1,IF(Z208&lt;101,IF(Z208&lt;35,IF(Z208&lt;6,3,2),1),0),0)</f>
        <v/>
      </c>
      <c r="AQ208" s="11" t="n">
        <v>1</v>
      </c>
      <c r="AT208" s="11">
        <f>100*(AK208-AQ208)/AQ208</f>
        <v/>
      </c>
      <c r="AZ208" s="13" t="n"/>
    </row>
    <row r="209" ht="12.75" customHeight="1">
      <c r="G209" s="11">
        <f>100*(F209-E209)/F209</f>
        <v/>
      </c>
      <c r="P209" s="11">
        <f>O209/I209</f>
        <v/>
      </c>
      <c r="R209" s="2" t="n"/>
      <c r="S209" s="12" t="n">
        <v>5</v>
      </c>
      <c r="AA209" s="11">
        <f>IF(X209&lt;50,IF(Y209&gt;(2.3*X209),0,1),1)-IF(Z209&gt;Y209,1.7,0)</f>
        <v/>
      </c>
      <c r="AC209" s="11">
        <f>IF(AB209&gt;4,1,0)+AB209/12</f>
        <v/>
      </c>
      <c r="AG209" s="12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11">
        <f>AG209+IF(X209&lt;1.35,0,1)+IF(Y209&lt;1.35,0,1)+AC209+AA209</f>
        <v/>
      </c>
      <c r="AI209" s="11" t="n"/>
      <c r="AJ209" s="11">
        <f>IF(AI209&gt;12.7,IF(AI209&gt;15.8,0.93,0.98),1)</f>
        <v/>
      </c>
      <c r="AK209" s="11">
        <f>(1.2*AG209+AH209)*AJ209*AQ209</f>
        <v/>
      </c>
      <c r="AL209" s="10">
        <f>D209</f>
        <v/>
      </c>
      <c r="AM209" s="14">
        <f>B209</f>
        <v/>
      </c>
      <c r="AO209" s="13">
        <f>AN209+1</f>
        <v/>
      </c>
      <c r="AP209" s="13">
        <f>IF(AK209&gt;13.1,IF(Z209&lt;101,IF(Z209&lt;35,IF(Z209&lt;6,3,2),1),0),0)</f>
        <v/>
      </c>
      <c r="AQ209" s="11" t="n">
        <v>1</v>
      </c>
      <c r="AT209" s="11">
        <f>100*(AK209-AQ209)/AQ209</f>
        <v/>
      </c>
      <c r="AZ209" s="13" t="n"/>
    </row>
    <row r="210" ht="12.75" customHeight="1">
      <c r="G210" s="11">
        <f>100*(F210-E210)/F210</f>
        <v/>
      </c>
      <c r="P210" s="11">
        <f>O210/I210</f>
        <v/>
      </c>
      <c r="R210" s="2" t="n"/>
      <c r="S210" s="12" t="n">
        <v>5</v>
      </c>
      <c r="AA210" s="11">
        <f>IF(X210&lt;50,IF(Y210&gt;(2.3*X210),0,1),1)-IF(Z210&gt;Y210,1.7,0)</f>
        <v/>
      </c>
      <c r="AC210" s="11">
        <f>IF(AB210&gt;4,1,0)+AB210/12</f>
        <v/>
      </c>
      <c r="AG210" s="12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11">
        <f>AG210+IF(X210&lt;1.35,0,1)+IF(Y210&lt;1.35,0,1)+AC210+AA210</f>
        <v/>
      </c>
      <c r="AI210" s="11" t="n"/>
      <c r="AJ210" s="11">
        <f>IF(AI210&gt;12.7,IF(AI210&gt;15.8,0.93,0.98),1)</f>
        <v/>
      </c>
      <c r="AK210" s="11">
        <f>(1.2*AG210+AH210)*AJ210*AQ210</f>
        <v/>
      </c>
      <c r="AL210" s="10">
        <f>D210</f>
        <v/>
      </c>
      <c r="AM210" s="14">
        <f>B210</f>
        <v/>
      </c>
      <c r="AO210" s="13">
        <f>AN210+1</f>
        <v/>
      </c>
      <c r="AP210" s="13">
        <f>IF(AK210&gt;13.1,IF(Z210&lt;101,IF(Z210&lt;35,IF(Z210&lt;6,3,2),1),0),0)</f>
        <v/>
      </c>
      <c r="AQ210" s="11" t="n">
        <v>1</v>
      </c>
      <c r="AT210" s="11">
        <f>100*(AK210-AQ210)/AQ210</f>
        <v/>
      </c>
      <c r="AZ210" s="13" t="n"/>
    </row>
    <row r="211" ht="12.75" customHeight="1">
      <c r="G211" s="11">
        <f>100*(F211-E211)/F211</f>
        <v/>
      </c>
      <c r="P211" s="11">
        <f>O211/I211</f>
        <v/>
      </c>
      <c r="R211" s="2" t="n"/>
      <c r="S211" s="12" t="n">
        <v>5</v>
      </c>
      <c r="AA211" s="11">
        <f>IF(X211&lt;50,IF(Y211&gt;(2.3*X211),0,1),1)-IF(Z211&gt;Y211,1.7,0)</f>
        <v/>
      </c>
      <c r="AC211" s="11">
        <f>IF(AB211&gt;4,1,0)+AB211/12</f>
        <v/>
      </c>
      <c r="AG211" s="12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11">
        <f>AG211+IF(X211&lt;1.35,0,1)+IF(Y211&lt;1.35,0,1)+AC211+AA211</f>
        <v/>
      </c>
      <c r="AI211" s="11" t="n"/>
      <c r="AJ211" s="11">
        <f>IF(AI211&gt;12.7,IF(AI211&gt;15.8,0.93,0.98),1)</f>
        <v/>
      </c>
      <c r="AK211" s="11">
        <f>(1.2*AG211+AH211)*AJ211*AQ211</f>
        <v/>
      </c>
      <c r="AL211" s="10">
        <f>D211</f>
        <v/>
      </c>
      <c r="AM211" s="14">
        <f>B211</f>
        <v/>
      </c>
      <c r="AO211" s="13">
        <f>AN211+1</f>
        <v/>
      </c>
      <c r="AP211" s="13">
        <f>IF(AK211&gt;13.1,IF(Z211&lt;101,IF(Z211&lt;35,IF(Z211&lt;6,3,2),1),0),0)</f>
        <v/>
      </c>
      <c r="AQ211" s="11" t="n">
        <v>1</v>
      </c>
      <c r="AT211" s="11">
        <f>100*(AK211-AQ211)/AQ211</f>
        <v/>
      </c>
      <c r="AZ211" s="13" t="n"/>
    </row>
    <row r="212" ht="12.75" customHeight="1">
      <c r="G212" s="11">
        <f>100*(F212-E212)/F212</f>
        <v/>
      </c>
      <c r="P212" s="11">
        <f>O212/I212</f>
        <v/>
      </c>
      <c r="R212" s="2" t="n"/>
      <c r="S212" s="12" t="n">
        <v>5</v>
      </c>
      <c r="AA212" s="11">
        <f>IF(X212&lt;50,IF(Y212&gt;(2.3*X212),0,1),1)-IF(Z212&gt;Y212,1.7,0)</f>
        <v/>
      </c>
      <c r="AC212" s="11">
        <f>IF(AB212&gt;4,1,0)+AB212/12</f>
        <v/>
      </c>
      <c r="AG212" s="12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11">
        <f>AG212+IF(X212&lt;1.35,0,1)+IF(Y212&lt;1.35,0,1)+AC212+AA212</f>
        <v/>
      </c>
      <c r="AI212" s="11" t="n"/>
      <c r="AJ212" s="11">
        <f>IF(AI212&gt;12.7,IF(AI212&gt;15.8,0.93,0.98),1)</f>
        <v/>
      </c>
      <c r="AK212" s="11">
        <f>(1.2*AG212+AH212)*AJ212*AQ212</f>
        <v/>
      </c>
      <c r="AL212" s="10">
        <f>D212</f>
        <v/>
      </c>
      <c r="AM212" s="14">
        <f>B212</f>
        <v/>
      </c>
      <c r="AO212" s="13">
        <f>AN212+1</f>
        <v/>
      </c>
      <c r="AP212" s="13">
        <f>IF(AK212&gt;13.1,IF(Z212&lt;101,IF(Z212&lt;35,IF(Z212&lt;6,3,2),1),0),0)</f>
        <v/>
      </c>
      <c r="AQ212" s="11" t="n">
        <v>1</v>
      </c>
      <c r="AT212" s="11">
        <f>100*(AK212-AQ212)/AQ212</f>
        <v/>
      </c>
      <c r="AZ212" s="13" t="n"/>
    </row>
    <row r="213" ht="12.75" customHeight="1">
      <c r="G213" s="11">
        <f>100*(F213-E213)/F213</f>
        <v/>
      </c>
      <c r="P213" s="11">
        <f>O213/I213</f>
        <v/>
      </c>
      <c r="R213" s="2" t="n"/>
      <c r="S213" s="12" t="n">
        <v>5</v>
      </c>
      <c r="AA213" s="11">
        <f>IF(X213&lt;50,IF(Y213&gt;(2.3*X213),0,1),1)-IF(Z213&gt;Y213,1.7,0)</f>
        <v/>
      </c>
      <c r="AC213" s="11">
        <f>IF(AB213&gt;4,1,0)+AB213/12</f>
        <v/>
      </c>
      <c r="AG213" s="12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11">
        <f>AG213+IF(X213&lt;1.35,0,1)+IF(Y213&lt;1.35,0,1)+AC213+AA213</f>
        <v/>
      </c>
      <c r="AI213" s="11" t="n"/>
      <c r="AJ213" s="11">
        <f>IF(AI213&gt;12.7,IF(AI213&gt;15.8,0.93,0.98),1)</f>
        <v/>
      </c>
      <c r="AK213" s="11">
        <f>(1.2*AG213+AH213)*AJ213*AQ213</f>
        <v/>
      </c>
      <c r="AL213" s="10">
        <f>D213</f>
        <v/>
      </c>
      <c r="AM213" s="14">
        <f>B213</f>
        <v/>
      </c>
      <c r="AO213" s="13">
        <f>AN213+1</f>
        <v/>
      </c>
      <c r="AP213" s="13">
        <f>IF(AK213&gt;13.1,IF(Z213&lt;101,IF(Z213&lt;35,IF(Z213&lt;6,3,2),1),0),0)</f>
        <v/>
      </c>
      <c r="AQ213" s="11" t="n">
        <v>1</v>
      </c>
      <c r="AT213" s="11">
        <f>100*(AK213-AQ213)/AQ213</f>
        <v/>
      </c>
      <c r="AZ213" s="13" t="n"/>
    </row>
    <row r="214" ht="12.75" customHeight="1">
      <c r="G214" s="11">
        <f>100*(F214-E214)/F214</f>
        <v/>
      </c>
      <c r="P214" s="11">
        <f>O214/I214</f>
        <v/>
      </c>
      <c r="R214" s="2" t="n"/>
      <c r="S214" s="12" t="n">
        <v>5</v>
      </c>
      <c r="AA214" s="11">
        <f>IF(X214&lt;50,IF(Y214&gt;(2.3*X214),0,1),1)-IF(Z214&gt;Y214,1.7,0)</f>
        <v/>
      </c>
      <c r="AC214" s="11">
        <f>IF(AB214&gt;4,1,0)+AB214/12</f>
        <v/>
      </c>
      <c r="AG214" s="12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11">
        <f>AG214+IF(X214&lt;1.35,0,1)+IF(Y214&lt;1.35,0,1)+AC214+AA214</f>
        <v/>
      </c>
      <c r="AI214" s="11" t="n"/>
      <c r="AJ214" s="11">
        <f>IF(AI214&gt;12.7,IF(AI214&gt;15.8,0.93,0.98),1)</f>
        <v/>
      </c>
      <c r="AK214" s="11">
        <f>(1.2*AG214+AH214)*AJ214*AQ214</f>
        <v/>
      </c>
      <c r="AL214" s="10">
        <f>D214</f>
        <v/>
      </c>
      <c r="AM214" s="14">
        <f>B214</f>
        <v/>
      </c>
      <c r="AO214" s="13">
        <f>AN214+1</f>
        <v/>
      </c>
      <c r="AP214" s="13">
        <f>IF(AK214&gt;13.1,IF(Z214&lt;101,IF(Z214&lt;35,IF(Z214&lt;6,3,2),1),0),0)</f>
        <v/>
      </c>
      <c r="AQ214" s="11" t="n">
        <v>1</v>
      </c>
      <c r="AT214" s="11">
        <f>100*(AK214-AQ214)/AQ214</f>
        <v/>
      </c>
      <c r="AZ214" s="13" t="n"/>
    </row>
    <row r="215" ht="12.75" customHeight="1">
      <c r="G215" s="11">
        <f>100*(F215-E215)/F215</f>
        <v/>
      </c>
      <c r="P215" s="11">
        <f>O215/I215</f>
        <v/>
      </c>
      <c r="R215" s="2" t="n"/>
      <c r="S215" s="12" t="n">
        <v>5</v>
      </c>
      <c r="AA215" s="11">
        <f>IF(X215&lt;50,IF(Y215&gt;(2.3*X215),0,1),1)-IF(Z215&gt;Y215,1.7,0)</f>
        <v/>
      </c>
      <c r="AC215" s="11">
        <f>IF(AB215&gt;4,1,0)+AB215/12</f>
        <v/>
      </c>
      <c r="AG215" s="12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11">
        <f>AG215+IF(X215&lt;1.35,0,1)+IF(Y215&lt;1.35,0,1)+AC215+AA215</f>
        <v/>
      </c>
      <c r="AI215" s="11" t="n"/>
      <c r="AJ215" s="11">
        <f>IF(AI215&gt;12.7,IF(AI215&gt;15.8,0.93,0.98),1)</f>
        <v/>
      </c>
      <c r="AK215" s="11">
        <f>(1.2*AG215+AH215)*AJ215*AQ215</f>
        <v/>
      </c>
      <c r="AL215" s="10">
        <f>D215</f>
        <v/>
      </c>
      <c r="AM215" s="14">
        <f>B215</f>
        <v/>
      </c>
      <c r="AO215" s="13">
        <f>AN215+1</f>
        <v/>
      </c>
      <c r="AP215" s="13">
        <f>IF(AK215&gt;13.1,IF(Z215&lt;101,IF(Z215&lt;35,IF(Z215&lt;6,3,2),1),0),0)</f>
        <v/>
      </c>
      <c r="AQ215" s="11" t="n">
        <v>1</v>
      </c>
      <c r="AT215" s="11">
        <f>100*(AK215-AQ215)/AQ215</f>
        <v/>
      </c>
      <c r="AZ215" s="13" t="n"/>
    </row>
    <row r="216" ht="12.75" customHeight="1">
      <c r="G216" s="11">
        <f>100*(F216-E216)/F216</f>
        <v/>
      </c>
      <c r="P216" s="11">
        <f>O216/I216</f>
        <v/>
      </c>
      <c r="R216" s="2" t="n"/>
      <c r="S216" s="12" t="n">
        <v>5</v>
      </c>
      <c r="AA216" s="11">
        <f>IF(X216&lt;50,IF(Y216&gt;(2.3*X216),0,1),1)-IF(Z216&gt;Y216,1.7,0)</f>
        <v/>
      </c>
      <c r="AC216" s="11">
        <f>IF(AB216&gt;4,1,0)+AB216/12</f>
        <v/>
      </c>
      <c r="AG216" s="12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11">
        <f>AG216+IF(X216&lt;1.35,0,1)+IF(Y216&lt;1.35,0,1)+AC216+AA216</f>
        <v/>
      </c>
      <c r="AI216" s="11" t="n"/>
      <c r="AJ216" s="11">
        <f>IF(AI216&gt;12.7,IF(AI216&gt;15.8,0.93,0.98),1)</f>
        <v/>
      </c>
      <c r="AK216" s="11">
        <f>(1.2*AG216+AH216)*AJ216*AQ216</f>
        <v/>
      </c>
      <c r="AL216" s="10">
        <f>D216</f>
        <v/>
      </c>
      <c r="AM216" s="14">
        <f>B216</f>
        <v/>
      </c>
      <c r="AO216" s="13">
        <f>AN216+1</f>
        <v/>
      </c>
      <c r="AP216" s="13">
        <f>IF(AK216&gt;13.1,IF(Z216&lt;101,IF(Z216&lt;35,IF(Z216&lt;6,3,2),1),0),0)</f>
        <v/>
      </c>
      <c r="AQ216" s="11" t="n">
        <v>1</v>
      </c>
      <c r="AT216" s="11">
        <f>100*(AK216-AQ216)/AQ216</f>
        <v/>
      </c>
      <c r="AZ216" s="13" t="n"/>
    </row>
    <row r="217" ht="12.75" customHeight="1">
      <c r="G217" s="11">
        <f>100*(F217-E217)/F217</f>
        <v/>
      </c>
      <c r="P217" s="11">
        <f>O217/I217</f>
        <v/>
      </c>
      <c r="R217" s="2" t="n"/>
      <c r="S217" s="12" t="n">
        <v>5</v>
      </c>
      <c r="AA217" s="11">
        <f>IF(X217&lt;50,IF(Y217&gt;(2.3*X217),0,1),1)-IF(Z217&gt;Y217,1.7,0)</f>
        <v/>
      </c>
      <c r="AC217" s="11">
        <f>IF(AB217&gt;4,1,0)+AB217/12</f>
        <v/>
      </c>
      <c r="AG217" s="12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11">
        <f>AG217+IF(X217&lt;1.35,0,1)+IF(Y217&lt;1.35,0,1)+AC217+AA217</f>
        <v/>
      </c>
      <c r="AI217" s="11" t="n"/>
      <c r="AJ217" s="11">
        <f>IF(AI217&gt;12.7,IF(AI217&gt;15.8,0.93,0.98),1)</f>
        <v/>
      </c>
      <c r="AK217" s="11">
        <f>(1.2*AG217+AH217)*AJ217*AQ217</f>
        <v/>
      </c>
      <c r="AL217" s="10">
        <f>D217</f>
        <v/>
      </c>
      <c r="AM217" s="14">
        <f>B217</f>
        <v/>
      </c>
      <c r="AO217" s="13">
        <f>AN217+1</f>
        <v/>
      </c>
      <c r="AP217" s="13">
        <f>IF(AK217&gt;13.1,IF(Z217&lt;101,IF(Z217&lt;35,IF(Z217&lt;6,3,2),1),0),0)</f>
        <v/>
      </c>
      <c r="AQ217" s="11" t="n">
        <v>1</v>
      </c>
      <c r="AT217" s="11">
        <f>100*(AK217-AQ217)/AQ217</f>
        <v/>
      </c>
      <c r="AZ217" s="13" t="n"/>
    </row>
    <row r="218" ht="12.75" customHeight="1">
      <c r="G218" s="11">
        <f>100*(F218-E218)/F218</f>
        <v/>
      </c>
      <c r="P218" s="11">
        <f>O218/I218</f>
        <v/>
      </c>
      <c r="R218" s="2" t="n"/>
      <c r="S218" s="12" t="n">
        <v>5</v>
      </c>
      <c r="AA218" s="11">
        <f>IF(X218&lt;50,IF(Y218&gt;(2.3*X218),0,1),1)-IF(Z218&gt;Y218,1.7,0)</f>
        <v/>
      </c>
      <c r="AC218" s="11">
        <f>IF(AB218&gt;4,1,0)+AB218/12</f>
        <v/>
      </c>
      <c r="AG218" s="12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11">
        <f>AG218+IF(X218&lt;1.35,0,1)+IF(Y218&lt;1.35,0,1)+AC218+AA218</f>
        <v/>
      </c>
      <c r="AI218" s="11" t="n"/>
      <c r="AJ218" s="11">
        <f>IF(AI218&gt;12.7,IF(AI218&gt;15.8,0.93,0.98),1)</f>
        <v/>
      </c>
      <c r="AK218" s="11">
        <f>(1.2*AG218+AH218)*AJ218*AQ218</f>
        <v/>
      </c>
      <c r="AL218" s="10">
        <f>D218</f>
        <v/>
      </c>
      <c r="AM218" s="14">
        <f>B218</f>
        <v/>
      </c>
      <c r="AO218" s="13">
        <f>AN218+1</f>
        <v/>
      </c>
      <c r="AP218" s="13">
        <f>IF(AK218&gt;13.1,IF(Z218&lt;101,IF(Z218&lt;35,IF(Z218&lt;6,3,2),1),0),0)</f>
        <v/>
      </c>
      <c r="AQ218" s="11" t="n">
        <v>1</v>
      </c>
      <c r="AT218" s="11">
        <f>100*(AK218-AQ218)/AQ218</f>
        <v/>
      </c>
      <c r="AZ218" s="13" t="n"/>
    </row>
    <row r="219" ht="12.75" customHeight="1">
      <c r="G219" s="11">
        <f>100*(F219-E219)/F219</f>
        <v/>
      </c>
      <c r="P219" s="11">
        <f>O219/I219</f>
        <v/>
      </c>
      <c r="R219" s="2" t="n"/>
      <c r="S219" s="12" t="n">
        <v>5</v>
      </c>
      <c r="AA219" s="11">
        <f>IF(X219&lt;50,IF(Y219&gt;(2.3*X219),0,1),1)-IF(Z219&gt;Y219,1.7,0)</f>
        <v/>
      </c>
      <c r="AC219" s="11">
        <f>IF(AB219&gt;4,1,0)+AB219/12</f>
        <v/>
      </c>
      <c r="AG219" s="12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11">
        <f>AG219+IF(X219&lt;1.35,0,1)+IF(Y219&lt;1.35,0,1)+AC219+AA219</f>
        <v/>
      </c>
      <c r="AI219" s="11" t="n"/>
      <c r="AJ219" s="11">
        <f>IF(AI219&gt;12.7,IF(AI219&gt;15.8,0.93,0.98),1)</f>
        <v/>
      </c>
      <c r="AK219" s="11">
        <f>(1.2*AG219+AH219)*AJ219*AQ219</f>
        <v/>
      </c>
      <c r="AL219" s="10">
        <f>D219</f>
        <v/>
      </c>
      <c r="AM219" s="14">
        <f>B219</f>
        <v/>
      </c>
      <c r="AO219" s="13">
        <f>AN219+1</f>
        <v/>
      </c>
      <c r="AP219" s="13">
        <f>IF(AK219&gt;13.1,IF(Z219&lt;101,IF(Z219&lt;35,IF(Z219&lt;6,3,2),1),0),0)</f>
        <v/>
      </c>
      <c r="AQ219" s="11" t="n">
        <v>1</v>
      </c>
      <c r="AT219" s="11">
        <f>100*(AK219-AQ219)/AQ219</f>
        <v/>
      </c>
      <c r="AZ219" s="13" t="n"/>
    </row>
    <row r="220" ht="12.75" customHeight="1">
      <c r="G220" s="11">
        <f>100*(F220-E220)/F220</f>
        <v/>
      </c>
      <c r="P220" s="11">
        <f>O220/I220</f>
        <v/>
      </c>
      <c r="R220" s="2" t="n"/>
      <c r="S220" s="12" t="n">
        <v>5</v>
      </c>
      <c r="AA220" s="11">
        <f>IF(X220&lt;50,IF(Y220&gt;(2.3*X220),0,1),1)-IF(Z220&gt;Y220,1.7,0)</f>
        <v/>
      </c>
      <c r="AC220" s="11">
        <f>IF(AB220&gt;4,1,0)+AB220/12</f>
        <v/>
      </c>
      <c r="AG220" s="12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11">
        <f>AG220+IF(X220&lt;1.35,0,1)+IF(Y220&lt;1.35,0,1)+AC220+AA220</f>
        <v/>
      </c>
      <c r="AI220" s="11" t="n"/>
      <c r="AJ220" s="11">
        <f>IF(AI220&gt;12.7,IF(AI220&gt;15.8,0.93,0.98),1)</f>
        <v/>
      </c>
      <c r="AK220" s="11">
        <f>(1.2*AG220+AH220)*AJ220*AQ220</f>
        <v/>
      </c>
      <c r="AL220" s="10">
        <f>D220</f>
        <v/>
      </c>
      <c r="AM220" s="14">
        <f>B220</f>
        <v/>
      </c>
      <c r="AO220" s="13">
        <f>AN220+1</f>
        <v/>
      </c>
      <c r="AP220" s="13">
        <f>IF(AK220&gt;13.1,IF(Z220&lt;101,IF(Z220&lt;35,IF(Z220&lt;6,3,2),1),0),0)</f>
        <v/>
      </c>
      <c r="AQ220" s="11" t="n">
        <v>1</v>
      </c>
      <c r="AT220" s="11">
        <f>100*(AK220-AQ220)/AQ220</f>
        <v/>
      </c>
      <c r="AZ220" s="13" t="n"/>
    </row>
    <row r="221" ht="12.75" customHeight="1">
      <c r="G221" s="11">
        <f>100*(F221-E221)/F221</f>
        <v/>
      </c>
      <c r="P221" s="11">
        <f>O221/I221</f>
        <v/>
      </c>
      <c r="R221" s="2" t="n"/>
      <c r="S221" s="12" t="n">
        <v>5</v>
      </c>
      <c r="AA221" s="11">
        <f>IF(X221&lt;50,IF(Y221&gt;(2.3*X221),0,1),1)-IF(Z221&gt;Y221,1.7,0)</f>
        <v/>
      </c>
      <c r="AC221" s="11">
        <f>IF(AB221&gt;4,1,0)+AB221/12</f>
        <v/>
      </c>
      <c r="AG221" s="12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11">
        <f>AG221+IF(X221&lt;1.35,0,1)+IF(Y221&lt;1.35,0,1)+AC221+AA221</f>
        <v/>
      </c>
      <c r="AI221" s="11" t="n"/>
      <c r="AJ221" s="11">
        <f>IF(AI221&gt;12.7,IF(AI221&gt;15.8,0.93,0.98),1)</f>
        <v/>
      </c>
      <c r="AK221" s="11">
        <f>(1.2*AG221+AH221)*AJ221*AQ221</f>
        <v/>
      </c>
      <c r="AL221" s="10">
        <f>D221</f>
        <v/>
      </c>
      <c r="AM221" s="14">
        <f>B221</f>
        <v/>
      </c>
      <c r="AO221" s="13">
        <f>AN221+1</f>
        <v/>
      </c>
      <c r="AP221" s="13">
        <f>IF(AK221&gt;13.1,IF(Z221&lt;101,IF(Z221&lt;35,IF(Z221&lt;6,3,2),1),0),0)</f>
        <v/>
      </c>
      <c r="AQ221" s="11" t="n">
        <v>1</v>
      </c>
      <c r="AT221" s="11">
        <f>100*(AK221-AQ221)/AQ221</f>
        <v/>
      </c>
      <c r="AZ221" s="13" t="n"/>
    </row>
    <row r="222" ht="12.75" customHeight="1">
      <c r="G222" s="11">
        <f>100*(F222-E222)/F222</f>
        <v/>
      </c>
      <c r="P222" s="11">
        <f>O222/I222</f>
        <v/>
      </c>
      <c r="R222" s="2" t="n"/>
      <c r="S222" s="12" t="n">
        <v>5</v>
      </c>
      <c r="AA222" s="11">
        <f>IF(X222&lt;50,IF(Y222&gt;(2.3*X222),0,1),1)-IF(Z222&gt;Y222,1.7,0)</f>
        <v/>
      </c>
      <c r="AC222" s="11">
        <f>IF(AB222&gt;4,1,0)+AB222/12</f>
        <v/>
      </c>
      <c r="AG222" s="12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11">
        <f>AG222+IF(X222&lt;1.35,0,1)+IF(Y222&lt;1.35,0,1)+AC222+AA222</f>
        <v/>
      </c>
      <c r="AI222" s="11" t="n"/>
      <c r="AJ222" s="11">
        <f>IF(AI222&gt;12.7,IF(AI222&gt;15.8,0.93,0.98),1)</f>
        <v/>
      </c>
      <c r="AK222" s="11">
        <f>(1.2*AG222+AH222)*AJ222*AQ222</f>
        <v/>
      </c>
      <c r="AL222" s="10">
        <f>D222</f>
        <v/>
      </c>
      <c r="AM222" s="14">
        <f>B222</f>
        <v/>
      </c>
      <c r="AO222" s="13">
        <f>AN222+1</f>
        <v/>
      </c>
      <c r="AP222" s="13">
        <f>IF(AK222&gt;13.1,IF(Z222&lt;101,IF(Z222&lt;35,IF(Z222&lt;6,3,2),1),0),0)</f>
        <v/>
      </c>
      <c r="AQ222" s="11" t="n">
        <v>1</v>
      </c>
      <c r="AT222" s="11">
        <f>100*(AK222-AQ222)/AQ222</f>
        <v/>
      </c>
      <c r="AZ222" s="13" t="n"/>
    </row>
    <row r="223" ht="12.75" customHeight="1">
      <c r="G223" s="11">
        <f>100*(F223-E223)/F223</f>
        <v/>
      </c>
      <c r="P223" s="11">
        <f>O223/I223</f>
        <v/>
      </c>
      <c r="R223" s="2" t="n"/>
      <c r="S223" s="12" t="n">
        <v>5</v>
      </c>
      <c r="AA223" s="11">
        <f>IF(X223&lt;50,IF(Y223&gt;(2.3*X223),0,1),1)-IF(Z223&gt;Y223,1.7,0)</f>
        <v/>
      </c>
      <c r="AC223" s="11">
        <f>IF(AB223&gt;4,1,0)+AB223/12</f>
        <v/>
      </c>
      <c r="AG223" s="12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11">
        <f>AG223+IF(X223&lt;1.35,0,1)+IF(Y223&lt;1.35,0,1)+AC223+AA223</f>
        <v/>
      </c>
      <c r="AI223" s="11" t="n"/>
      <c r="AJ223" s="11">
        <f>IF(AI223&gt;12.7,IF(AI223&gt;15.8,0.93,0.98),1)</f>
        <v/>
      </c>
      <c r="AK223" s="11">
        <f>(1.2*AG223+AH223)*AJ223*AQ223</f>
        <v/>
      </c>
      <c r="AL223" s="10">
        <f>D223</f>
        <v/>
      </c>
      <c r="AM223" s="14">
        <f>B223</f>
        <v/>
      </c>
      <c r="AO223" s="13">
        <f>AN223+1</f>
        <v/>
      </c>
      <c r="AP223" s="13">
        <f>IF(AK223&gt;13.1,IF(Z223&lt;101,IF(Z223&lt;35,IF(Z223&lt;6,3,2),1),0),0)</f>
        <v/>
      </c>
      <c r="AQ223" s="11" t="n">
        <v>1</v>
      </c>
      <c r="AT223" s="11">
        <f>100*(AK223-AQ223)/AQ223</f>
        <v/>
      </c>
      <c r="AZ223" s="13" t="n"/>
    </row>
    <row r="224" ht="12.75" customHeight="1">
      <c r="G224" s="11">
        <f>100*(F224-E224)/F224</f>
        <v/>
      </c>
      <c r="P224" s="11">
        <f>O224/I224</f>
        <v/>
      </c>
      <c r="R224" s="2" t="n"/>
      <c r="S224" s="12" t="n">
        <v>5</v>
      </c>
      <c r="AA224" s="11">
        <f>IF(X224&lt;50,IF(Y224&gt;(2.3*X224),0,1),1)-IF(Z224&gt;Y224,1.7,0)</f>
        <v/>
      </c>
      <c r="AC224" s="11">
        <f>IF(AB224&gt;4,1,0)+AB224/12</f>
        <v/>
      </c>
      <c r="AG224" s="12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11">
        <f>AG224+IF(X224&lt;1.35,0,1)+IF(Y224&lt;1.35,0,1)+AC224+AA224</f>
        <v/>
      </c>
      <c r="AI224" s="11" t="n"/>
      <c r="AJ224" s="11">
        <f>IF(AI224&gt;12.7,IF(AI224&gt;15.8,0.93,0.98),1)</f>
        <v/>
      </c>
      <c r="AK224" s="11">
        <f>(1.2*AG224+AH224)*AJ224*AQ224</f>
        <v/>
      </c>
      <c r="AL224" s="10">
        <f>D224</f>
        <v/>
      </c>
      <c r="AM224" s="14">
        <f>B224</f>
        <v/>
      </c>
      <c r="AO224" s="13">
        <f>AN224+1</f>
        <v/>
      </c>
      <c r="AP224" s="13">
        <f>IF(AK224&gt;13.1,IF(Z224&lt;101,IF(Z224&lt;35,IF(Z224&lt;6,3,2),1),0),0)</f>
        <v/>
      </c>
      <c r="AQ224" s="11" t="n">
        <v>1</v>
      </c>
      <c r="AT224" s="11">
        <f>100*(AK224-AQ224)/AQ224</f>
        <v/>
      </c>
      <c r="AZ224" s="13" t="n"/>
    </row>
    <row r="225" ht="12.75" customHeight="1">
      <c r="G225" s="11">
        <f>100*(F225-E225)/F225</f>
        <v/>
      </c>
      <c r="P225" s="11">
        <f>O225/I225</f>
        <v/>
      </c>
      <c r="R225" s="2" t="n"/>
      <c r="S225" s="12" t="n">
        <v>5</v>
      </c>
      <c r="AA225" s="11">
        <f>IF(X225&lt;50,IF(Y225&gt;(2.3*X225),0,1),1)-IF(Z225&gt;Y225,1.7,0)</f>
        <v/>
      </c>
      <c r="AC225" s="11">
        <f>IF(AB225&gt;4,1,0)+AB225/12</f>
        <v/>
      </c>
      <c r="AG225" s="12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11">
        <f>AG225+IF(X225&lt;1.35,0,1)+IF(Y225&lt;1.35,0,1)+AC225+AA225</f>
        <v/>
      </c>
      <c r="AI225" s="11" t="n"/>
      <c r="AJ225" s="11">
        <f>IF(AI225&gt;12.7,IF(AI225&gt;15.8,0.93,0.98),1)</f>
        <v/>
      </c>
      <c r="AK225" s="11">
        <f>(1.2*AG225+AH225)*AJ225*AQ225</f>
        <v/>
      </c>
      <c r="AL225" s="10">
        <f>D225</f>
        <v/>
      </c>
      <c r="AM225" s="14">
        <f>B225</f>
        <v/>
      </c>
      <c r="AO225" s="13">
        <f>AN225+1</f>
        <v/>
      </c>
      <c r="AP225" s="13">
        <f>IF(AK225&gt;13.1,IF(Z225&lt;101,IF(Z225&lt;35,IF(Z225&lt;6,3,2),1),0),0)</f>
        <v/>
      </c>
      <c r="AQ225" s="11" t="n">
        <v>1</v>
      </c>
      <c r="AT225" s="11">
        <f>100*(AK225-AQ225)/AQ225</f>
        <v/>
      </c>
      <c r="AZ225" s="13" t="n"/>
    </row>
    <row r="226" ht="12.75" customHeight="1">
      <c r="G226" s="11">
        <f>100*(F226-E226)/F226</f>
        <v/>
      </c>
      <c r="P226" s="11">
        <f>O226/I226</f>
        <v/>
      </c>
      <c r="R226" s="2" t="n"/>
      <c r="S226" s="12" t="n">
        <v>5</v>
      </c>
      <c r="AA226" s="11">
        <f>IF(X226&lt;50,IF(Y226&gt;(2.3*X226),0,1),1)-IF(Z226&gt;Y226,1.7,0)</f>
        <v/>
      </c>
      <c r="AC226" s="11">
        <f>IF(AB226&gt;4,1,0)+AB226/12</f>
        <v/>
      </c>
      <c r="AG226" s="12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11">
        <f>AG226+IF(X226&lt;1.35,0,1)+IF(Y226&lt;1.35,0,1)+AC226+AA226</f>
        <v/>
      </c>
      <c r="AI226" s="11" t="n"/>
      <c r="AJ226" s="11">
        <f>IF(AI226&gt;12.7,IF(AI226&gt;15.8,0.93,0.98),1)</f>
        <v/>
      </c>
      <c r="AK226" s="11">
        <f>(1.2*AG226+AH226)*AJ226*AQ226</f>
        <v/>
      </c>
      <c r="AL226" s="10">
        <f>D226</f>
        <v/>
      </c>
      <c r="AM226" s="14">
        <f>B226</f>
        <v/>
      </c>
      <c r="AO226" s="13">
        <f>AN226+1</f>
        <v/>
      </c>
      <c r="AP226" s="13">
        <f>IF(AK226&gt;13.1,IF(Z226&lt;101,IF(Z226&lt;35,IF(Z226&lt;6,3,2),1),0),0)</f>
        <v/>
      </c>
      <c r="AQ226" s="11" t="n">
        <v>1</v>
      </c>
      <c r="AT226" s="11">
        <f>100*(AK226-AQ226)/AQ226</f>
        <v/>
      </c>
      <c r="AZ226" s="13" t="n"/>
    </row>
    <row r="227" ht="12.75" customHeight="1">
      <c r="G227" s="11">
        <f>100*(F227-E227)/F227</f>
        <v/>
      </c>
      <c r="P227" s="11">
        <f>O227/I227</f>
        <v/>
      </c>
      <c r="R227" s="2" t="n"/>
      <c r="S227" s="12" t="n">
        <v>5</v>
      </c>
      <c r="AA227" s="11">
        <f>IF(X227&lt;50,IF(Y227&gt;(2.3*X227),0,1),1)-IF(Z227&gt;Y227,1.7,0)</f>
        <v/>
      </c>
      <c r="AC227" s="11">
        <f>IF(AB227&gt;4,1,0)+AB227/12</f>
        <v/>
      </c>
      <c r="AG227" s="12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11">
        <f>AG227+IF(X227&lt;1.35,0,1)+IF(Y227&lt;1.35,0,1)+AC227+AA227</f>
        <v/>
      </c>
      <c r="AI227" s="11" t="n"/>
      <c r="AJ227" s="11">
        <f>IF(AI227&gt;12.7,IF(AI227&gt;15.8,0.93,0.98),1)</f>
        <v/>
      </c>
      <c r="AK227" s="11">
        <f>(1.2*AG227+AH227)*AJ227*AQ227</f>
        <v/>
      </c>
      <c r="AL227" s="10">
        <f>D227</f>
        <v/>
      </c>
      <c r="AM227" s="14">
        <f>B227</f>
        <v/>
      </c>
      <c r="AO227" s="13">
        <f>AN227+1</f>
        <v/>
      </c>
      <c r="AP227" s="13">
        <f>IF(AK227&gt;13.1,IF(Z227&lt;101,IF(Z227&lt;35,IF(Z227&lt;6,3,2),1),0),0)</f>
        <v/>
      </c>
      <c r="AQ227" s="11" t="n">
        <v>1</v>
      </c>
      <c r="AT227" s="11">
        <f>100*(AK227-AQ227)/AQ227</f>
        <v/>
      </c>
      <c r="AZ227" s="13" t="n"/>
    </row>
    <row r="228" ht="12.75" customHeight="1">
      <c r="G228" s="11">
        <f>100*(F228-E228)/F228</f>
        <v/>
      </c>
      <c r="P228" s="11">
        <f>O228/I228</f>
        <v/>
      </c>
      <c r="R228" s="2" t="n"/>
      <c r="S228" s="12" t="n">
        <v>5</v>
      </c>
      <c r="AA228" s="11">
        <f>IF(X228&lt;50,IF(Y228&gt;(2.3*X228),0,1),1)-IF(Z228&gt;Y228,1.7,0)</f>
        <v/>
      </c>
      <c r="AC228" s="11">
        <f>IF(AB228&gt;4,1,0)+AB228/12</f>
        <v/>
      </c>
      <c r="AG228" s="12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11">
        <f>AG228+IF(X228&lt;1.35,0,1)+IF(Y228&lt;1.35,0,1)+AC228+AA228</f>
        <v/>
      </c>
      <c r="AI228" s="11" t="n"/>
      <c r="AJ228" s="11">
        <f>IF(AI228&gt;12.7,IF(AI228&gt;15.8,0.93,0.98),1)</f>
        <v/>
      </c>
      <c r="AK228" s="11">
        <f>(1.2*AG228+AH228)*AJ228*AQ228</f>
        <v/>
      </c>
      <c r="AL228" s="10">
        <f>D228</f>
        <v/>
      </c>
      <c r="AM228" s="14">
        <f>B228</f>
        <v/>
      </c>
      <c r="AO228" s="13">
        <f>AN228+1</f>
        <v/>
      </c>
      <c r="AP228" s="13">
        <f>IF(AK228&gt;13.1,IF(Z228&lt;101,IF(Z228&lt;35,IF(Z228&lt;6,3,2),1),0),0)</f>
        <v/>
      </c>
      <c r="AQ228" s="11" t="n">
        <v>1</v>
      </c>
      <c r="AT228" s="11">
        <f>100*(AK228-AQ228)/AQ228</f>
        <v/>
      </c>
      <c r="AZ228" s="13" t="n"/>
    </row>
    <row r="229" ht="12.75" customHeight="1">
      <c r="G229" s="11">
        <f>100*(F229-E229)/F229</f>
        <v/>
      </c>
      <c r="P229" s="11">
        <f>O229/I229</f>
        <v/>
      </c>
      <c r="R229" s="2" t="n"/>
      <c r="S229" s="12" t="n">
        <v>5</v>
      </c>
      <c r="AA229" s="11">
        <f>IF(X229&lt;50,IF(Y229&gt;(2.3*X229),0,1),1)-IF(Z229&gt;Y229,1.7,0)</f>
        <v/>
      </c>
      <c r="AC229" s="11">
        <f>IF(AB229&gt;4,1,0)+AB229/12</f>
        <v/>
      </c>
      <c r="AG229" s="12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11">
        <f>AG229+IF(X229&lt;1.35,0,1)+IF(Y229&lt;1.35,0,1)+AC229+AA229</f>
        <v/>
      </c>
      <c r="AI229" s="11" t="n"/>
      <c r="AJ229" s="11">
        <f>IF(AI229&gt;12.7,IF(AI229&gt;15.8,0.93,0.98),1)</f>
        <v/>
      </c>
      <c r="AK229" s="11">
        <f>(1.2*AG229+AH229)*AJ229*AQ229</f>
        <v/>
      </c>
      <c r="AL229" s="10">
        <f>D229</f>
        <v/>
      </c>
      <c r="AM229" s="14">
        <f>B229</f>
        <v/>
      </c>
      <c r="AO229" s="13">
        <f>AN229+1</f>
        <v/>
      </c>
      <c r="AP229" s="13">
        <f>IF(AK229&gt;13.1,IF(Z229&lt;101,IF(Z229&lt;35,IF(Z229&lt;6,3,2),1),0),0)</f>
        <v/>
      </c>
      <c r="AQ229" s="11" t="n">
        <v>1</v>
      </c>
      <c r="AT229" s="11">
        <f>100*(AK229-AQ229)/AQ229</f>
        <v/>
      </c>
      <c r="AZ229" s="13" t="n"/>
    </row>
    <row r="230" ht="12.75" customHeight="1">
      <c r="G230" s="11">
        <f>100*(F230-E230)/F230</f>
        <v/>
      </c>
      <c r="P230" s="11">
        <f>O230/I230</f>
        <v/>
      </c>
      <c r="R230" s="2" t="n"/>
      <c r="S230" s="12" t="n">
        <v>5</v>
      </c>
      <c r="AA230" s="11">
        <f>IF(X230&lt;50,IF(Y230&gt;(2.3*X230),0,1),1)-IF(Z230&gt;Y230,1.7,0)</f>
        <v/>
      </c>
      <c r="AC230" s="11">
        <f>IF(AB230&gt;4,1,0)+AB230/12</f>
        <v/>
      </c>
      <c r="AG230" s="12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11">
        <f>AG230+IF(X230&lt;1.35,0,1)+IF(Y230&lt;1.35,0,1)+AC230+AA230</f>
        <v/>
      </c>
      <c r="AI230" s="11" t="n"/>
      <c r="AJ230" s="11">
        <f>IF(AI230&gt;12.7,IF(AI230&gt;15.8,0.93,0.98),1)</f>
        <v/>
      </c>
      <c r="AK230" s="11">
        <f>(1.2*AG230+AH230)*AJ230*AQ230</f>
        <v/>
      </c>
      <c r="AL230" s="10">
        <f>D230</f>
        <v/>
      </c>
      <c r="AM230" s="14">
        <f>B230</f>
        <v/>
      </c>
      <c r="AO230" s="13">
        <f>AN230+1</f>
        <v/>
      </c>
      <c r="AP230" s="13">
        <f>IF(AK230&gt;13.1,IF(Z230&lt;101,IF(Z230&lt;35,IF(Z230&lt;6,3,2),1),0),0)</f>
        <v/>
      </c>
      <c r="AQ230" s="11" t="n">
        <v>1</v>
      </c>
      <c r="AT230" s="11">
        <f>100*(AK230-AQ230)/AQ230</f>
        <v/>
      </c>
      <c r="AZ230" s="13" t="n"/>
    </row>
    <row r="231" ht="12.75" customHeight="1">
      <c r="G231" s="11">
        <f>100*(F231-E231)/F231</f>
        <v/>
      </c>
      <c r="P231" s="11">
        <f>O231/I231</f>
        <v/>
      </c>
      <c r="R231" s="2" t="n"/>
      <c r="S231" s="12" t="n">
        <v>5</v>
      </c>
      <c r="AA231" s="11">
        <f>IF(X231&lt;50,IF(Y231&gt;(2.3*X231),0,1),1)-IF(Z231&gt;Y231,1.7,0)</f>
        <v/>
      </c>
      <c r="AC231" s="11">
        <f>IF(AB231&gt;4,1,0)+AB231/12</f>
        <v/>
      </c>
      <c r="AG231" s="12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11">
        <f>AG231+IF(X231&lt;1.35,0,1)+IF(Y231&lt;1.35,0,1)+AC231+AA231</f>
        <v/>
      </c>
      <c r="AI231" s="11" t="n"/>
      <c r="AJ231" s="11">
        <f>IF(AI231&gt;12.7,IF(AI231&gt;15.8,0.93,0.98),1)</f>
        <v/>
      </c>
      <c r="AK231" s="11">
        <f>(1.2*AG231+AH231)*AJ231*AQ231</f>
        <v/>
      </c>
      <c r="AL231" s="10">
        <f>D231</f>
        <v/>
      </c>
      <c r="AM231" s="14">
        <f>B231</f>
        <v/>
      </c>
      <c r="AO231" s="13">
        <f>AN231+1</f>
        <v/>
      </c>
      <c r="AP231" s="13">
        <f>IF(AK231&gt;13.1,IF(Z231&lt;101,IF(Z231&lt;35,IF(Z231&lt;6,3,2),1),0),0)</f>
        <v/>
      </c>
      <c r="AQ231" s="11" t="n">
        <v>1</v>
      </c>
      <c r="AT231" s="11">
        <f>100*(AK231-AQ231)/AQ231</f>
        <v/>
      </c>
      <c r="AZ231" s="13" t="n"/>
    </row>
    <row r="232" ht="12.75" customHeight="1">
      <c r="G232" s="11">
        <f>100*(F232-E232)/F232</f>
        <v/>
      </c>
      <c r="P232" s="11">
        <f>O232/I232</f>
        <v/>
      </c>
      <c r="R232" s="2" t="n"/>
      <c r="S232" s="12" t="n">
        <v>5</v>
      </c>
      <c r="AA232" s="11">
        <f>IF(X232&lt;50,IF(Y232&gt;(2.3*X232),0,1),1)-IF(Z232&gt;Y232,1.7,0)</f>
        <v/>
      </c>
      <c r="AC232" s="11">
        <f>IF(AB232&gt;4,1,0)+AB232/12</f>
        <v/>
      </c>
      <c r="AG232" s="12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11">
        <f>AG232+IF(X232&lt;1.35,0,1)+IF(Y232&lt;1.35,0,1)+AC232+AA232</f>
        <v/>
      </c>
      <c r="AI232" s="11" t="n"/>
      <c r="AJ232" s="11">
        <f>IF(AI232&gt;12.7,IF(AI232&gt;15.8,0.93,0.98),1)</f>
        <v/>
      </c>
      <c r="AK232" s="11">
        <f>(1.2*AG232+AH232)*AJ232*AQ232</f>
        <v/>
      </c>
      <c r="AL232" s="10">
        <f>D232</f>
        <v/>
      </c>
      <c r="AM232" s="14">
        <f>B232</f>
        <v/>
      </c>
      <c r="AO232" s="13">
        <f>AN232+1</f>
        <v/>
      </c>
      <c r="AP232" s="13">
        <f>IF(AK232&gt;13.1,IF(Z232&lt;101,IF(Z232&lt;35,IF(Z232&lt;6,3,2),1),0),0)</f>
        <v/>
      </c>
      <c r="AQ232" s="11" t="n">
        <v>1</v>
      </c>
      <c r="AT232" s="11">
        <f>100*(AK232-AQ232)/AQ232</f>
        <v/>
      </c>
      <c r="AZ232" s="13" t="n"/>
    </row>
    <row r="233" ht="12.75" customHeight="1">
      <c r="G233" s="11">
        <f>100*(F233-E233)/F233</f>
        <v/>
      </c>
      <c r="P233" s="11">
        <f>O233/I233</f>
        <v/>
      </c>
      <c r="R233" s="2" t="n"/>
      <c r="S233" s="12" t="n">
        <v>5</v>
      </c>
      <c r="AA233" s="11">
        <f>IF(X233&lt;50,IF(Y233&gt;(2.3*X233),0,1),1)-IF(Z233&gt;Y233,1.7,0)</f>
        <v/>
      </c>
      <c r="AC233" s="11">
        <f>IF(AB233&gt;4,1,0)+AB233/12</f>
        <v/>
      </c>
      <c r="AG233" s="12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11">
        <f>AG233+IF(X233&lt;1.35,0,1)+IF(Y233&lt;1.35,0,1)+AC233+AA233</f>
        <v/>
      </c>
      <c r="AI233" s="11" t="n"/>
      <c r="AJ233" s="11">
        <f>IF(AI233&gt;12.7,IF(AI233&gt;15.8,0.93,0.98),1)</f>
        <v/>
      </c>
      <c r="AK233" s="11">
        <f>(1.2*AG233+AH233)*AJ233*AQ233</f>
        <v/>
      </c>
      <c r="AL233" s="10">
        <f>D233</f>
        <v/>
      </c>
      <c r="AM233" s="14">
        <f>B233</f>
        <v/>
      </c>
      <c r="AO233" s="13">
        <f>AN233+1</f>
        <v/>
      </c>
      <c r="AP233" s="13">
        <f>IF(AK233&gt;13.1,IF(Z233&lt;101,IF(Z233&lt;35,IF(Z233&lt;6,3,2),1),0),0)</f>
        <v/>
      </c>
      <c r="AQ233" s="11" t="n">
        <v>1</v>
      </c>
      <c r="AT233" s="11">
        <f>100*(AK233-AQ233)/AQ233</f>
        <v/>
      </c>
      <c r="AZ233" s="13" t="n"/>
    </row>
    <row r="234" ht="12.75" customHeight="1">
      <c r="G234" s="11">
        <f>100*(F234-E234)/F234</f>
        <v/>
      </c>
      <c r="P234" s="11">
        <f>O234/I234</f>
        <v/>
      </c>
      <c r="R234" s="2" t="n"/>
      <c r="S234" s="12" t="n">
        <v>5</v>
      </c>
      <c r="AA234" s="11">
        <f>IF(X234&lt;50,IF(Y234&gt;(2.3*X234),0,1),1)-IF(Z234&gt;Y234,1.7,0)</f>
        <v/>
      </c>
      <c r="AC234" s="11">
        <f>IF(AB234&gt;4,1,0)+AB234/12</f>
        <v/>
      </c>
      <c r="AG234" s="12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11">
        <f>AG234+IF(X234&lt;1.35,0,1)+IF(Y234&lt;1.35,0,1)+AC234+AA234</f>
        <v/>
      </c>
      <c r="AI234" s="11" t="n"/>
      <c r="AJ234" s="11">
        <f>IF(AI234&gt;12.7,IF(AI234&gt;15.8,0.93,0.98),1)</f>
        <v/>
      </c>
      <c r="AK234" s="11">
        <f>(1.2*AG234+AH234)*AJ234*AQ234</f>
        <v/>
      </c>
      <c r="AL234" s="10">
        <f>D234</f>
        <v/>
      </c>
      <c r="AM234" s="14">
        <f>B234</f>
        <v/>
      </c>
      <c r="AO234" s="13">
        <f>AN234+1</f>
        <v/>
      </c>
      <c r="AP234" s="13">
        <f>IF(AK234&gt;13.1,IF(Z234&lt;101,IF(Z234&lt;35,IF(Z234&lt;6,3,2),1),0),0)</f>
        <v/>
      </c>
      <c r="AQ234" s="11" t="n">
        <v>1</v>
      </c>
      <c r="AT234" s="11">
        <f>100*(AK234-AQ234)/AQ234</f>
        <v/>
      </c>
      <c r="AZ234" s="13" t="n"/>
    </row>
    <row r="235" ht="12.75" customHeight="1">
      <c r="G235" s="11">
        <f>100*(F235-E235)/F235</f>
        <v/>
      </c>
      <c r="P235" s="11">
        <f>O235/I235</f>
        <v/>
      </c>
      <c r="R235" s="2" t="n"/>
      <c r="S235" s="12" t="n">
        <v>5</v>
      </c>
      <c r="AA235" s="11">
        <f>IF(X235&lt;50,IF(Y235&gt;(2.3*X235),0,1),1)-IF(Z235&gt;Y235,1.7,0)</f>
        <v/>
      </c>
      <c r="AC235" s="11">
        <f>IF(AB235&gt;4,1,0)+AB235/12</f>
        <v/>
      </c>
      <c r="AG235" s="12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11">
        <f>AG235+IF(X235&lt;1.35,0,1)+IF(Y235&lt;1.35,0,1)+AC235+AA235</f>
        <v/>
      </c>
      <c r="AI235" s="11" t="n"/>
      <c r="AJ235" s="11">
        <f>IF(AI235&gt;12.7,IF(AI235&gt;15.8,0.93,0.98),1)</f>
        <v/>
      </c>
      <c r="AK235" s="11">
        <f>(1.2*AG235+AH235)*AJ235*AQ235</f>
        <v/>
      </c>
      <c r="AL235" s="10">
        <f>D235</f>
        <v/>
      </c>
      <c r="AM235" s="14">
        <f>B235</f>
        <v/>
      </c>
      <c r="AO235" s="13">
        <f>AN235+1</f>
        <v/>
      </c>
      <c r="AP235" s="13">
        <f>IF(AK235&gt;13.1,IF(Z235&lt;101,IF(Z235&lt;35,IF(Z235&lt;6,3,2),1),0),0)</f>
        <v/>
      </c>
      <c r="AQ235" s="11" t="n">
        <v>1</v>
      </c>
      <c r="AT235" s="11">
        <f>100*(AK235-AQ235)/AQ235</f>
        <v/>
      </c>
      <c r="AZ235" s="13" t="n"/>
    </row>
    <row r="236" ht="12.75" customHeight="1">
      <c r="G236" s="11">
        <f>100*(F236-E236)/F236</f>
        <v/>
      </c>
      <c r="P236" s="11">
        <f>O236/I236</f>
        <v/>
      </c>
      <c r="R236" s="2" t="n"/>
      <c r="S236" s="12" t="n">
        <v>5</v>
      </c>
      <c r="AA236" s="11">
        <f>IF(X236&lt;50,IF(Y236&gt;(2.3*X236),0,1),1)-IF(Z236&gt;Y236,1.7,0)</f>
        <v/>
      </c>
      <c r="AC236" s="11">
        <f>IF(AB236&gt;4,1,0)+AB236/12</f>
        <v/>
      </c>
      <c r="AG236" s="12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11">
        <f>AG236+IF(X236&lt;1.35,0,1)+IF(Y236&lt;1.35,0,1)+AC236+AA236</f>
        <v/>
      </c>
      <c r="AI236" s="11" t="n"/>
      <c r="AJ236" s="11">
        <f>IF(AI236&gt;12.7,IF(AI236&gt;15.8,0.93,0.98),1)</f>
        <v/>
      </c>
      <c r="AK236" s="11">
        <f>(1.2*AG236+AH236)*AJ236*AQ236</f>
        <v/>
      </c>
      <c r="AL236" s="10">
        <f>D236</f>
        <v/>
      </c>
      <c r="AM236" s="14">
        <f>B236</f>
        <v/>
      </c>
      <c r="AO236" s="13">
        <f>AN236+1</f>
        <v/>
      </c>
      <c r="AP236" s="13">
        <f>IF(AK236&gt;13.1,IF(Z236&lt;101,IF(Z236&lt;35,IF(Z236&lt;6,3,2),1),0),0)</f>
        <v/>
      </c>
      <c r="AQ236" s="11" t="n">
        <v>1</v>
      </c>
      <c r="AT236" s="11">
        <f>100*(AK236-AQ236)/AQ236</f>
        <v/>
      </c>
      <c r="AZ236" s="13" t="n"/>
    </row>
    <row r="237" ht="12.75" customHeight="1">
      <c r="G237" s="11">
        <f>100*(F237-E237)/F237</f>
        <v/>
      </c>
      <c r="P237" s="11">
        <f>O237/I237</f>
        <v/>
      </c>
      <c r="R237" s="2" t="n"/>
      <c r="S237" s="12" t="n">
        <v>5</v>
      </c>
      <c r="AA237" s="11">
        <f>IF(X237&lt;50,IF(Y237&gt;(2.3*X237),0,1),1)-IF(Z237&gt;Y237,1.7,0)</f>
        <v/>
      </c>
      <c r="AC237" s="11">
        <f>IF(AB237&gt;4,1,0)+AB237/12</f>
        <v/>
      </c>
      <c r="AG237" s="12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11">
        <f>AG237+IF(X237&lt;1.35,0,1)+IF(Y237&lt;1.35,0,1)+AC237+AA237</f>
        <v/>
      </c>
      <c r="AI237" s="11" t="n"/>
      <c r="AJ237" s="11">
        <f>IF(AI237&gt;12.7,IF(AI237&gt;15.8,0.93,0.98),1)</f>
        <v/>
      </c>
      <c r="AK237" s="11">
        <f>(1.2*AG237+AH237)*AJ237*AQ237</f>
        <v/>
      </c>
      <c r="AL237" s="10">
        <f>D237</f>
        <v/>
      </c>
      <c r="AM237" s="14">
        <f>B237</f>
        <v/>
      </c>
      <c r="AO237" s="13">
        <f>AN237+1</f>
        <v/>
      </c>
      <c r="AP237" s="13">
        <f>IF(AK237&gt;13.1,IF(Z237&lt;101,IF(Z237&lt;35,IF(Z237&lt;6,3,2),1),0),0)</f>
        <v/>
      </c>
      <c r="AQ237" s="11" t="n">
        <v>1</v>
      </c>
      <c r="AT237" s="11">
        <f>100*(AK237-AQ237)/AQ237</f>
        <v/>
      </c>
      <c r="AZ237" s="13" t="n"/>
    </row>
    <row r="238" ht="12.75" customHeight="1">
      <c r="G238" s="11">
        <f>100*(F238-E238)/F238</f>
        <v/>
      </c>
      <c r="P238" s="11">
        <f>O238/I238</f>
        <v/>
      </c>
      <c r="R238" s="2" t="n"/>
      <c r="S238" s="12" t="n">
        <v>5</v>
      </c>
      <c r="AA238" s="11">
        <f>IF(X238&lt;50,IF(Y238&gt;(2.3*X238),0,1),1)-IF(Z238&gt;Y238,1.7,0)</f>
        <v/>
      </c>
      <c r="AC238" s="11">
        <f>IF(AB238&gt;4,1,0)+AB238/12</f>
        <v/>
      </c>
      <c r="AG238" s="12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11">
        <f>AG238+IF(X238&lt;1.35,0,1)+IF(Y238&lt;1.35,0,1)+AC238+AA238</f>
        <v/>
      </c>
      <c r="AI238" s="11" t="n"/>
      <c r="AJ238" s="11">
        <f>IF(AI238&gt;12.7,IF(AI238&gt;15.8,0.93,0.98),1)</f>
        <v/>
      </c>
      <c r="AK238" s="11">
        <f>(1.2*AG238+AH238)*AJ238*AQ238</f>
        <v/>
      </c>
      <c r="AL238" s="10">
        <f>D238</f>
        <v/>
      </c>
      <c r="AM238" s="14">
        <f>B238</f>
        <v/>
      </c>
      <c r="AO238" s="13">
        <f>AN238+1</f>
        <v/>
      </c>
      <c r="AP238" s="13">
        <f>IF(AK238&gt;13.1,IF(Z238&lt;101,IF(Z238&lt;35,IF(Z238&lt;6,3,2),1),0),0)</f>
        <v/>
      </c>
      <c r="AQ238" s="11" t="n">
        <v>1</v>
      </c>
      <c r="AT238" s="11">
        <f>100*(AK238-AQ238)/AQ238</f>
        <v/>
      </c>
      <c r="AZ238" s="13" t="n"/>
    </row>
    <row r="239" ht="12.75" customHeight="1">
      <c r="G239" s="11">
        <f>100*(F239-E239)/F239</f>
        <v/>
      </c>
      <c r="P239" s="11">
        <f>O239/I239</f>
        <v/>
      </c>
      <c r="R239" s="2" t="n"/>
      <c r="S239" s="12" t="n">
        <v>5</v>
      </c>
      <c r="AA239" s="11">
        <f>IF(X239&lt;50,IF(Y239&gt;(2.3*X239),0,1),1)-IF(Z239&gt;Y239,1.7,0)</f>
        <v/>
      </c>
      <c r="AC239" s="11">
        <f>IF(AB239&gt;4,1,0)+AB239/12</f>
        <v/>
      </c>
      <c r="AG239" s="12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11">
        <f>AG239+IF(X239&lt;1.35,0,1)+IF(Y239&lt;1.35,0,1)+AC239+AA239</f>
        <v/>
      </c>
      <c r="AI239" s="11" t="n"/>
      <c r="AJ239" s="11">
        <f>IF(AI239&gt;12.7,IF(AI239&gt;15.8,0.93,0.98),1)</f>
        <v/>
      </c>
      <c r="AK239" s="11">
        <f>(1.2*AG239+AH239)*AJ239*AQ239</f>
        <v/>
      </c>
      <c r="AL239" s="10">
        <f>D239</f>
        <v/>
      </c>
      <c r="AM239" s="14">
        <f>B239</f>
        <v/>
      </c>
      <c r="AO239" s="13">
        <f>AN239+1</f>
        <v/>
      </c>
      <c r="AP239" s="13">
        <f>IF(AK239&gt;13.1,IF(Z239&lt;101,IF(Z239&lt;35,IF(Z239&lt;6,3,2),1),0),0)</f>
        <v/>
      </c>
      <c r="AQ239" s="11" t="n">
        <v>1</v>
      </c>
      <c r="AT239" s="11">
        <f>100*(AK239-AQ239)/AQ239</f>
        <v/>
      </c>
      <c r="AZ239" s="13" t="n"/>
    </row>
    <row r="240" ht="12.75" customHeight="1">
      <c r="G240" s="11">
        <f>100*(F240-E240)/F240</f>
        <v/>
      </c>
      <c r="P240" s="11">
        <f>O240/I240</f>
        <v/>
      </c>
      <c r="R240" s="2" t="n"/>
      <c r="S240" s="12" t="n">
        <v>5</v>
      </c>
      <c r="AA240" s="11">
        <f>IF(X240&lt;50,IF(Y240&gt;(2.3*X240),0,1),1)-IF(Z240&gt;Y240,1.7,0)</f>
        <v/>
      </c>
      <c r="AC240" s="11">
        <f>IF(AB240&gt;4,1,0)+AB240/12</f>
        <v/>
      </c>
      <c r="AG240" s="12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11">
        <f>AG240+IF(X240&lt;1.35,0,1)+IF(Y240&lt;1.35,0,1)+AC240+AA240</f>
        <v/>
      </c>
      <c r="AI240" s="11" t="n"/>
      <c r="AJ240" s="11">
        <f>IF(AI240&gt;12.7,IF(AI240&gt;15.8,0.93,0.98),1)</f>
        <v/>
      </c>
      <c r="AK240" s="11">
        <f>(1.2*AG240+AH240)*AJ240*AQ240</f>
        <v/>
      </c>
      <c r="AL240" s="10">
        <f>D240</f>
        <v/>
      </c>
      <c r="AM240" s="14">
        <f>B240</f>
        <v/>
      </c>
      <c r="AO240" s="13">
        <f>AN240+1</f>
        <v/>
      </c>
      <c r="AP240" s="13">
        <f>IF(AK240&gt;13.1,IF(Z240&lt;101,IF(Z240&lt;35,IF(Z240&lt;6,3,2),1),0),0)</f>
        <v/>
      </c>
      <c r="AQ240" s="11" t="n">
        <v>1</v>
      </c>
      <c r="AT240" s="11">
        <f>100*(AK240-AQ240)/AQ240</f>
        <v/>
      </c>
      <c r="AZ240" s="13" t="n"/>
    </row>
    <row r="241" ht="12.75" customHeight="1">
      <c r="G241" s="11">
        <f>100*(F241-E241)/F241</f>
        <v/>
      </c>
      <c r="P241" s="11">
        <f>O241/I241</f>
        <v/>
      </c>
      <c r="R241" s="2" t="n"/>
      <c r="S241" s="12" t="n">
        <v>5</v>
      </c>
      <c r="AA241" s="11">
        <f>IF(X241&lt;50,IF(Y241&gt;(2.3*X241),0,1),1)-IF(Z241&gt;Y241,1.7,0)</f>
        <v/>
      </c>
      <c r="AC241" s="11">
        <f>IF(AB241&gt;4,1,0)+AB241/12</f>
        <v/>
      </c>
      <c r="AG241" s="12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11">
        <f>AG241+IF(X241&lt;1.35,0,1)+IF(Y241&lt;1.35,0,1)+AC241+AA241</f>
        <v/>
      </c>
      <c r="AI241" s="11" t="n"/>
      <c r="AJ241" s="11">
        <f>IF(AI241&gt;12.7,IF(AI241&gt;15.8,0.93,0.98),1)</f>
        <v/>
      </c>
      <c r="AK241" s="11">
        <f>(1.2*AG241+AH241)*AJ241*AQ241</f>
        <v/>
      </c>
      <c r="AL241" s="10">
        <f>D241</f>
        <v/>
      </c>
      <c r="AM241" s="14">
        <f>B241</f>
        <v/>
      </c>
      <c r="AO241" s="13">
        <f>AN241+1</f>
        <v/>
      </c>
      <c r="AP241" s="13">
        <f>IF(AK241&gt;13.1,IF(Z241&lt;101,IF(Z241&lt;35,IF(Z241&lt;6,3,2),1),0),0)</f>
        <v/>
      </c>
      <c r="AQ241" s="11" t="n">
        <v>1</v>
      </c>
      <c r="AT241" s="11">
        <f>100*(AK241-AQ241)/AQ241</f>
        <v/>
      </c>
      <c r="AZ241" s="13" t="n"/>
    </row>
    <row r="242" ht="12.75" customHeight="1">
      <c r="G242" s="11">
        <f>100*(F242-E242)/F242</f>
        <v/>
      </c>
      <c r="P242" s="11">
        <f>O242/I242</f>
        <v/>
      </c>
      <c r="R242" s="2" t="n"/>
      <c r="S242" s="12" t="n">
        <v>5</v>
      </c>
      <c r="AA242" s="11">
        <f>IF(X242&lt;50,IF(Y242&gt;(2.3*X242),0,1),1)-IF(Z242&gt;Y242,1.7,0)</f>
        <v/>
      </c>
      <c r="AC242" s="11">
        <f>IF(AB242&gt;4,1,0)+AB242/12</f>
        <v/>
      </c>
      <c r="AG242" s="12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11">
        <f>AG242+IF(X242&lt;1.35,0,1)+IF(Y242&lt;1.35,0,1)+AC242+AA242</f>
        <v/>
      </c>
      <c r="AI242" s="11" t="n"/>
      <c r="AJ242" s="11">
        <f>IF(AI242&gt;12.7,IF(AI242&gt;15.8,0.93,0.98),1)</f>
        <v/>
      </c>
      <c r="AK242" s="11">
        <f>(1.2*AG242+AH242)*AJ242*AQ242</f>
        <v/>
      </c>
      <c r="AL242" s="10">
        <f>D242</f>
        <v/>
      </c>
      <c r="AM242" s="14">
        <f>B242</f>
        <v/>
      </c>
      <c r="AO242" s="13">
        <f>AN242+1</f>
        <v/>
      </c>
      <c r="AP242" s="13">
        <f>IF(AK242&gt;13.1,IF(Z242&lt;101,IF(Z242&lt;35,IF(Z242&lt;6,3,2),1),0),0)</f>
        <v/>
      </c>
      <c r="AQ242" s="11" t="n">
        <v>1</v>
      </c>
      <c r="AT242" s="11">
        <f>100*(AK242-AQ242)/AQ242</f>
        <v/>
      </c>
      <c r="AZ242" s="13" t="n"/>
    </row>
    <row r="243" ht="12.75" customHeight="1">
      <c r="G243" s="11">
        <f>100*(F243-E243)/F243</f>
        <v/>
      </c>
      <c r="P243" s="11">
        <f>O243/I243</f>
        <v/>
      </c>
      <c r="R243" s="2" t="n"/>
      <c r="S243" s="12" t="n">
        <v>5</v>
      </c>
      <c r="AA243" s="11">
        <f>IF(X243&lt;50,IF(Y243&gt;(2.3*X243),0,1),1)-IF(Z243&gt;Y243,1.7,0)</f>
        <v/>
      </c>
      <c r="AC243" s="11">
        <f>IF(AB243&gt;4,1,0)+AB243/12</f>
        <v/>
      </c>
      <c r="AG243" s="12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11">
        <f>AG243+IF(X243&lt;1.35,0,1)+IF(Y243&lt;1.35,0,1)+AC243+AA243</f>
        <v/>
      </c>
      <c r="AI243" s="11" t="n"/>
      <c r="AJ243" s="11">
        <f>IF(AI243&gt;12.7,IF(AI243&gt;15.8,0.93,0.98),1)</f>
        <v/>
      </c>
      <c r="AK243" s="11">
        <f>(1.2*AG243+AH243)*AJ243*AQ243</f>
        <v/>
      </c>
      <c r="AL243" s="10">
        <f>D243</f>
        <v/>
      </c>
      <c r="AM243" s="14">
        <f>B243</f>
        <v/>
      </c>
      <c r="AO243" s="13">
        <f>AN243+1</f>
        <v/>
      </c>
      <c r="AP243" s="13">
        <f>IF(AK243&gt;13.1,IF(Z243&lt;101,IF(Z243&lt;35,IF(Z243&lt;6,3,2),1),0),0)</f>
        <v/>
      </c>
      <c r="AQ243" s="11" t="n">
        <v>1</v>
      </c>
      <c r="AT243" s="11">
        <f>100*(AK243-AQ243)/AQ243</f>
        <v/>
      </c>
      <c r="AZ243" s="13" t="n"/>
    </row>
    <row r="244" ht="12.75" customHeight="1">
      <c r="G244" s="11">
        <f>100*(F244-E244)/F244</f>
        <v/>
      </c>
      <c r="P244" s="11">
        <f>O244/I244</f>
        <v/>
      </c>
      <c r="R244" s="2" t="n"/>
      <c r="S244" s="12" t="n">
        <v>5</v>
      </c>
      <c r="AA244" s="11">
        <f>IF(X244&lt;50,IF(Y244&gt;(2.3*X244),0,1),1)-IF(Z244&gt;Y244,1.7,0)</f>
        <v/>
      </c>
      <c r="AC244" s="11">
        <f>IF(AB244&gt;4,1,0)+AB244/12</f>
        <v/>
      </c>
      <c r="AG244" s="12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11">
        <f>AG244+IF(X244&lt;1.35,0,1)+IF(Y244&lt;1.35,0,1)+AC244+AA244</f>
        <v/>
      </c>
      <c r="AI244" s="11" t="n"/>
      <c r="AJ244" s="11">
        <f>IF(AI244&gt;12.7,IF(AI244&gt;15.8,0.93,0.98),1)</f>
        <v/>
      </c>
      <c r="AK244" s="11">
        <f>(1.2*AG244+AH244)*AJ244*AQ244</f>
        <v/>
      </c>
      <c r="AL244" s="10">
        <f>D244</f>
        <v/>
      </c>
      <c r="AM244" s="14">
        <f>B244</f>
        <v/>
      </c>
      <c r="AO244" s="13">
        <f>AN244+1</f>
        <v/>
      </c>
      <c r="AP244" s="13">
        <f>IF(AK244&gt;13.1,IF(Z244&lt;101,IF(Z244&lt;35,IF(Z244&lt;6,3,2),1),0),0)</f>
        <v/>
      </c>
      <c r="AQ244" s="11" t="n">
        <v>1</v>
      </c>
      <c r="AT244" s="11">
        <f>100*(AK244-AQ244)/AQ244</f>
        <v/>
      </c>
      <c r="AZ244" s="13" t="n"/>
    </row>
    <row r="245" ht="12.75" customHeight="1">
      <c r="G245" s="11">
        <f>100*(F245-E245)/F245</f>
        <v/>
      </c>
      <c r="P245" s="11">
        <f>O245/I245</f>
        <v/>
      </c>
      <c r="R245" s="2" t="n"/>
      <c r="S245" s="12" t="n">
        <v>5</v>
      </c>
      <c r="AA245" s="11">
        <f>IF(X245&lt;50,IF(Y245&gt;(2.3*X245),0,1),1)-IF(Z245&gt;Y245,1.7,0)</f>
        <v/>
      </c>
      <c r="AC245" s="11">
        <f>IF(AB245&gt;4,1,0)+AB245/12</f>
        <v/>
      </c>
      <c r="AG245" s="12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11">
        <f>AG245+IF(X245&lt;1.35,0,1)+IF(Y245&lt;1.35,0,1)+AC245+AA245</f>
        <v/>
      </c>
      <c r="AI245" s="11" t="n"/>
      <c r="AJ245" s="11">
        <f>IF(AI245&gt;12.7,IF(AI245&gt;15.8,0.93,0.98),1)</f>
        <v/>
      </c>
      <c r="AK245" s="11">
        <f>(1.2*AG245+AH245)*AJ245*AQ245</f>
        <v/>
      </c>
      <c r="AL245" s="10">
        <f>D245</f>
        <v/>
      </c>
      <c r="AM245" s="14">
        <f>B245</f>
        <v/>
      </c>
      <c r="AO245" s="13">
        <f>AN245+1</f>
        <v/>
      </c>
      <c r="AP245" s="13">
        <f>IF(AK245&gt;13.1,IF(Z245&lt;101,IF(Z245&lt;35,IF(Z245&lt;6,3,2),1),0),0)</f>
        <v/>
      </c>
      <c r="AQ245" s="11" t="n">
        <v>1</v>
      </c>
      <c r="AT245" s="11">
        <f>100*(AK245-AQ245)/AQ245</f>
        <v/>
      </c>
      <c r="AZ245" s="13" t="n"/>
    </row>
    <row r="246" ht="12.75" customHeight="1">
      <c r="G246" s="11">
        <f>100*(F246-E246)/F246</f>
        <v/>
      </c>
      <c r="P246" s="11">
        <f>O246/I246</f>
        <v/>
      </c>
      <c r="R246" s="2" t="n"/>
      <c r="S246" s="12" t="n">
        <v>5</v>
      </c>
      <c r="AA246" s="11">
        <f>IF(X246&lt;50,IF(Y246&gt;(2.3*X246),0,1),1)-IF(Z246&gt;Y246,1.7,0)</f>
        <v/>
      </c>
      <c r="AC246" s="11">
        <f>IF(AB246&gt;4,1,0)+AB246/12</f>
        <v/>
      </c>
      <c r="AG246" s="12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11">
        <f>AG246+IF(X246&lt;1.35,0,1)+IF(Y246&lt;1.35,0,1)+AC246+AA246</f>
        <v/>
      </c>
      <c r="AI246" s="11" t="n"/>
      <c r="AJ246" s="11">
        <f>IF(AI246&gt;12.7,IF(AI246&gt;15.8,0.93,0.98),1)</f>
        <v/>
      </c>
      <c r="AK246" s="11">
        <f>(1.2*AG246+AH246)*AJ246*AQ246</f>
        <v/>
      </c>
      <c r="AL246" s="10">
        <f>D246</f>
        <v/>
      </c>
      <c r="AM246" s="14">
        <f>B246</f>
        <v/>
      </c>
      <c r="AO246" s="13">
        <f>AN246+1</f>
        <v/>
      </c>
      <c r="AP246" s="13">
        <f>IF(AK246&gt;13.1,IF(Z246&lt;101,IF(Z246&lt;35,IF(Z246&lt;6,3,2),1),0),0)</f>
        <v/>
      </c>
      <c r="AQ246" s="11" t="n">
        <v>1</v>
      </c>
      <c r="AT246" s="11">
        <f>100*(AK246-AQ246)/AQ246</f>
        <v/>
      </c>
      <c r="AZ246" s="13" t="n"/>
    </row>
    <row r="247" ht="12.75" customHeight="1">
      <c r="G247" s="11">
        <f>100*(F247-E247)/F247</f>
        <v/>
      </c>
      <c r="P247" s="11">
        <f>O247/I247</f>
        <v/>
      </c>
      <c r="R247" s="2" t="n"/>
      <c r="S247" s="12" t="n">
        <v>5</v>
      </c>
      <c r="AA247" s="11">
        <f>IF(X247&lt;50,IF(Y247&gt;(2.3*X247),0,1),1)-IF(Z247&gt;Y247,1.7,0)</f>
        <v/>
      </c>
      <c r="AC247" s="11">
        <f>IF(AB247&gt;4,1,0)+AB247/12</f>
        <v/>
      </c>
      <c r="AG247" s="12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11">
        <f>AG247+IF(X247&lt;1.35,0,1)+IF(Y247&lt;1.35,0,1)+AC247+AA247</f>
        <v/>
      </c>
      <c r="AI247" s="11" t="n"/>
      <c r="AJ247" s="11">
        <f>IF(AI247&gt;12.7,IF(AI247&gt;15.8,0.93,0.98),1)</f>
        <v/>
      </c>
      <c r="AK247" s="11">
        <f>(1.2*AG247+AH247)*AJ247*AQ247</f>
        <v/>
      </c>
      <c r="AL247" s="10">
        <f>D247</f>
        <v/>
      </c>
      <c r="AM247" s="14">
        <f>B247</f>
        <v/>
      </c>
      <c r="AO247" s="13">
        <f>AN247+1</f>
        <v/>
      </c>
      <c r="AP247" s="13">
        <f>IF(AK247&gt;13.1,IF(Z247&lt;101,IF(Z247&lt;35,IF(Z247&lt;6,3,2),1),0),0)</f>
        <v/>
      </c>
      <c r="AQ247" s="11" t="n">
        <v>1</v>
      </c>
      <c r="AT247" s="11">
        <f>100*(AK247-AQ247)/AQ247</f>
        <v/>
      </c>
      <c r="AZ247" s="13" t="n"/>
    </row>
    <row r="248" ht="12.75" customHeight="1">
      <c r="G248" s="11">
        <f>100*(F248-E248)/F248</f>
        <v/>
      </c>
      <c r="P248" s="11">
        <f>O248/I248</f>
        <v/>
      </c>
      <c r="R248" s="2" t="n"/>
      <c r="S248" s="12" t="n">
        <v>5</v>
      </c>
      <c r="AA248" s="11">
        <f>IF(X248&lt;50,IF(Y248&gt;(2.3*X248),0,1),1)-IF(Z248&gt;Y248,1.7,0)</f>
        <v/>
      </c>
      <c r="AC248" s="11">
        <f>IF(AB248&gt;4,1,0)+AB248/12</f>
        <v/>
      </c>
      <c r="AG248" s="12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11">
        <f>AG248+IF(X248&lt;1.35,0,1)+IF(Y248&lt;1.35,0,1)+AC248+AA248</f>
        <v/>
      </c>
      <c r="AI248" s="11" t="n"/>
      <c r="AJ248" s="11">
        <f>IF(AI248&gt;12.7,IF(AI248&gt;15.8,0.93,0.98),1)</f>
        <v/>
      </c>
      <c r="AK248" s="11">
        <f>(1.2*AG248+AH248)*AJ248*AQ248</f>
        <v/>
      </c>
      <c r="AL248" s="10">
        <f>D248</f>
        <v/>
      </c>
      <c r="AM248" s="14">
        <f>B248</f>
        <v/>
      </c>
      <c r="AO248" s="13">
        <f>AN248+1</f>
        <v/>
      </c>
      <c r="AP248" s="13">
        <f>IF(AK248&gt;13.1,IF(Z248&lt;101,IF(Z248&lt;35,IF(Z248&lt;6,3,2),1),0),0)</f>
        <v/>
      </c>
      <c r="AQ248" s="11" t="n">
        <v>1</v>
      </c>
      <c r="AT248" s="11">
        <f>100*(AK248-AQ248)/AQ248</f>
        <v/>
      </c>
      <c r="AZ248" s="13" t="n"/>
    </row>
    <row r="249" ht="12.75" customHeight="1">
      <c r="G249" s="11">
        <f>100*(F249-E249)/F249</f>
        <v/>
      </c>
      <c r="P249" s="11">
        <f>O249/I249</f>
        <v/>
      </c>
      <c r="R249" s="2" t="n"/>
      <c r="S249" s="12" t="n">
        <v>5</v>
      </c>
      <c r="AA249" s="11">
        <f>IF(X249&lt;50,IF(Y249&gt;(2.3*X249),0,1),1)-IF(Z249&gt;Y249,1.7,0)</f>
        <v/>
      </c>
      <c r="AC249" s="11">
        <f>IF(AB249&gt;4,1,0)+AB249/12</f>
        <v/>
      </c>
      <c r="AG249" s="12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11">
        <f>AG249+IF(X249&lt;1.35,0,1)+IF(Y249&lt;1.35,0,1)+AC249+AA249</f>
        <v/>
      </c>
      <c r="AI249" s="11" t="n"/>
      <c r="AJ249" s="11">
        <f>IF(AI249&gt;12.7,IF(AI249&gt;15.8,0.93,0.98),1)</f>
        <v/>
      </c>
      <c r="AK249" s="11">
        <f>(1.2*AG249+AH249)*AJ249*AQ249</f>
        <v/>
      </c>
      <c r="AL249" s="10">
        <f>D249</f>
        <v/>
      </c>
      <c r="AM249" s="14">
        <f>B249</f>
        <v/>
      </c>
      <c r="AO249" s="13">
        <f>AN249+1</f>
        <v/>
      </c>
      <c r="AP249" s="13">
        <f>IF(AK249&gt;13.1,IF(Z249&lt;101,IF(Z249&lt;35,IF(Z249&lt;6,3,2),1),0),0)</f>
        <v/>
      </c>
      <c r="AQ249" s="11" t="n">
        <v>1</v>
      </c>
      <c r="AT249" s="11">
        <f>100*(AK249-AQ249)/AQ249</f>
        <v/>
      </c>
      <c r="AZ249" s="13" t="n"/>
    </row>
    <row r="250" ht="12.75" customHeight="1">
      <c r="G250" s="11">
        <f>100*(F250-E250)/F250</f>
        <v/>
      </c>
      <c r="P250" s="11">
        <f>O250/I250</f>
        <v/>
      </c>
      <c r="R250" s="2" t="n"/>
      <c r="S250" s="12" t="n">
        <v>5</v>
      </c>
      <c r="AA250" s="11">
        <f>IF(X250&lt;50,IF(Y250&gt;(2.3*X250),0,1),1)-IF(Z250&gt;Y250,1.7,0)</f>
        <v/>
      </c>
      <c r="AC250" s="11">
        <f>IF(AB250&gt;4,1,0)+AB250/12</f>
        <v/>
      </c>
      <c r="AG250" s="12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11">
        <f>AG250+IF(X250&lt;1.35,0,1)+IF(Y250&lt;1.35,0,1)+AC250+AA250</f>
        <v/>
      </c>
      <c r="AI250" s="11" t="n"/>
      <c r="AJ250" s="11">
        <f>IF(AI250&gt;12.7,IF(AI250&gt;15.8,0.93,0.98),1)</f>
        <v/>
      </c>
      <c r="AK250" s="11">
        <f>(1.2*AG250+AH250)*AJ250*AQ250</f>
        <v/>
      </c>
      <c r="AL250" s="10">
        <f>D250</f>
        <v/>
      </c>
      <c r="AM250" s="14">
        <f>B250</f>
        <v/>
      </c>
      <c r="AO250" s="13">
        <f>AN250+1</f>
        <v/>
      </c>
      <c r="AP250" s="13">
        <f>IF(AK250&gt;13.1,IF(Z250&lt;101,IF(Z250&lt;35,IF(Z250&lt;6,3,2),1),0),0)</f>
        <v/>
      </c>
      <c r="AQ250" s="11" t="n">
        <v>1</v>
      </c>
      <c r="AT250" s="11">
        <f>100*(AK250-AQ250)/AQ250</f>
        <v/>
      </c>
      <c r="AZ250" s="13" t="n"/>
    </row>
    <row r="251" ht="12.75" customHeight="1">
      <c r="G251" s="11">
        <f>100*(F251-E251)/F251</f>
        <v/>
      </c>
      <c r="P251" s="11">
        <f>O251/I251</f>
        <v/>
      </c>
      <c r="R251" s="2" t="n"/>
      <c r="S251" s="12" t="n">
        <v>5</v>
      </c>
      <c r="AA251" s="11">
        <f>IF(X251&lt;50,IF(Y251&gt;(2.3*X251),0,1),1)-IF(Z251&gt;Y251,1.7,0)</f>
        <v/>
      </c>
      <c r="AC251" s="11">
        <f>IF(AB251&gt;4,1,0)+AB251/12</f>
        <v/>
      </c>
      <c r="AG251" s="12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11">
        <f>AG251+IF(X251&lt;1.35,0,1)+IF(Y251&lt;1.35,0,1)+AC251+AA251</f>
        <v/>
      </c>
      <c r="AI251" s="11" t="n"/>
      <c r="AJ251" s="11">
        <f>IF(AI251&gt;12.7,IF(AI251&gt;15.8,0.93,0.98),1)</f>
        <v/>
      </c>
      <c r="AK251" s="11">
        <f>(1.2*AG251+AH251)*AJ251*AQ251</f>
        <v/>
      </c>
      <c r="AL251" s="10">
        <f>D251</f>
        <v/>
      </c>
      <c r="AM251" s="14">
        <f>B251</f>
        <v/>
      </c>
      <c r="AO251" s="13">
        <f>AN251+1</f>
        <v/>
      </c>
      <c r="AP251" s="13">
        <f>IF(AK251&gt;13.1,IF(Z251&lt;101,IF(Z251&lt;35,IF(Z251&lt;6,3,2),1),0),0)</f>
        <v/>
      </c>
      <c r="AQ251" s="11" t="n">
        <v>1</v>
      </c>
      <c r="AT251" s="11">
        <f>100*(AK251-AQ251)/AQ251</f>
        <v/>
      </c>
      <c r="AZ251" s="13" t="n"/>
    </row>
    <row r="252" ht="12.75" customHeight="1">
      <c r="G252" s="11">
        <f>100*(F252-E252)/F252</f>
        <v/>
      </c>
      <c r="P252" s="11">
        <f>O252/I252</f>
        <v/>
      </c>
      <c r="R252" s="2" t="n"/>
      <c r="S252" s="12" t="n">
        <v>5</v>
      </c>
      <c r="AA252" s="11">
        <f>IF(X252&lt;50,IF(Y252&gt;(2.3*X252),0,1),1)-IF(Z252&gt;Y252,1.7,0)</f>
        <v/>
      </c>
      <c r="AC252" s="11">
        <f>IF(AB252&gt;4,1,0)+AB252/12</f>
        <v/>
      </c>
      <c r="AG252" s="12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11">
        <f>AG252+IF(X252&lt;1.35,0,1)+IF(Y252&lt;1.35,0,1)+AC252+AA252</f>
        <v/>
      </c>
      <c r="AI252" s="11" t="n"/>
      <c r="AJ252" s="11">
        <f>IF(AI252&gt;12.7,IF(AI252&gt;15.8,0.93,0.98),1)</f>
        <v/>
      </c>
      <c r="AK252" s="11">
        <f>(1.2*AG252+AH252)*AJ252*AQ252</f>
        <v/>
      </c>
      <c r="AL252" s="10">
        <f>D252</f>
        <v/>
      </c>
      <c r="AM252" s="14">
        <f>B252</f>
        <v/>
      </c>
      <c r="AO252" s="13">
        <f>AN252+1</f>
        <v/>
      </c>
      <c r="AP252" s="13">
        <f>IF(AK252&gt;13.1,IF(Z252&lt;101,IF(Z252&lt;35,IF(Z252&lt;6,3,2),1),0),0)</f>
        <v/>
      </c>
      <c r="AQ252" s="11" t="n">
        <v>1</v>
      </c>
      <c r="AT252" s="11">
        <f>100*(AK252-AQ252)/AQ252</f>
        <v/>
      </c>
      <c r="AZ252" s="13" t="n"/>
    </row>
    <row r="253" ht="12.75" customHeight="1">
      <c r="G253" s="11">
        <f>100*(F253-E253)/F253</f>
        <v/>
      </c>
      <c r="P253" s="11">
        <f>O253/I253</f>
        <v/>
      </c>
      <c r="R253" s="2" t="n"/>
      <c r="S253" s="12" t="n">
        <v>5</v>
      </c>
      <c r="AA253" s="11">
        <f>IF(X253&lt;50,IF(Y253&gt;(2.3*X253),0,1),1)-IF(Z253&gt;Y253,1.7,0)</f>
        <v/>
      </c>
      <c r="AC253" s="11">
        <f>IF(AB253&gt;4,1,0)+AB253/12</f>
        <v/>
      </c>
      <c r="AG253" s="12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11">
        <f>AG253+IF(X253&lt;1.35,0,1)+IF(Y253&lt;1.35,0,1)+AC253+AA253</f>
        <v/>
      </c>
      <c r="AI253" s="11" t="n"/>
      <c r="AJ253" s="11">
        <f>IF(AI253&gt;12.7,IF(AI253&gt;15.8,0.93,0.98),1)</f>
        <v/>
      </c>
      <c r="AK253" s="11">
        <f>(1.2*AG253+AH253)*AJ253*AQ253</f>
        <v/>
      </c>
      <c r="AL253" s="10">
        <f>D253</f>
        <v/>
      </c>
      <c r="AM253" s="14">
        <f>B253</f>
        <v/>
      </c>
      <c r="AO253" s="13">
        <f>AN253+1</f>
        <v/>
      </c>
      <c r="AP253" s="13">
        <f>IF(AK253&gt;13.1,IF(Z253&lt;101,IF(Z253&lt;35,IF(Z253&lt;6,3,2),1),0),0)</f>
        <v/>
      </c>
      <c r="AQ253" s="11" t="n">
        <v>1</v>
      </c>
      <c r="AT253" s="11">
        <f>100*(AK253-AQ253)/AQ253</f>
        <v/>
      </c>
      <c r="AZ253" s="13" t="n"/>
    </row>
    <row r="254" ht="12.75" customHeight="1">
      <c r="G254" s="11">
        <f>100*(F254-E254)/F254</f>
        <v/>
      </c>
      <c r="P254" s="11">
        <f>O254/I254</f>
        <v/>
      </c>
      <c r="R254" s="2" t="n"/>
      <c r="S254" s="12" t="n">
        <v>5</v>
      </c>
      <c r="AA254" s="11">
        <f>IF(X254&lt;50,IF(Y254&gt;(2.3*X254),0,1),1)-IF(Z254&gt;Y254,1.7,0)</f>
        <v/>
      </c>
      <c r="AC254" s="11">
        <f>IF(AB254&gt;4,1,0)+AB254/12</f>
        <v/>
      </c>
      <c r="AG254" s="12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11">
        <f>AG254+IF(X254&lt;1.35,0,1)+IF(Y254&lt;1.35,0,1)+AC254+AA254</f>
        <v/>
      </c>
      <c r="AI254" s="11" t="n"/>
      <c r="AJ254" s="11">
        <f>IF(AI254&gt;12.7,IF(AI254&gt;15.8,0.93,0.98),1)</f>
        <v/>
      </c>
      <c r="AK254" s="11">
        <f>(1.2*AG254+AH254)*AJ254*AQ254</f>
        <v/>
      </c>
      <c r="AL254" s="10">
        <f>D254</f>
        <v/>
      </c>
      <c r="AM254" s="14">
        <f>B254</f>
        <v/>
      </c>
      <c r="AO254" s="13">
        <f>AN254+1</f>
        <v/>
      </c>
      <c r="AP254" s="13">
        <f>IF(AK254&gt;13.1,IF(Z254&lt;101,IF(Z254&lt;35,IF(Z254&lt;6,3,2),1),0),0)</f>
        <v/>
      </c>
      <c r="AQ254" s="11" t="n">
        <v>1</v>
      </c>
      <c r="AT254" s="11">
        <f>100*(AK254-AQ254)/AQ254</f>
        <v/>
      </c>
      <c r="AZ254" s="13" t="n"/>
    </row>
    <row r="255" ht="12.75" customHeight="1">
      <c r="G255" s="11">
        <f>100*(F255-E255)/F255</f>
        <v/>
      </c>
      <c r="P255" s="11">
        <f>O255/I255</f>
        <v/>
      </c>
      <c r="R255" s="2" t="n"/>
      <c r="S255" s="12" t="n">
        <v>5</v>
      </c>
      <c r="AA255" s="11">
        <f>IF(X255&lt;50,IF(Y255&gt;(2.3*X255),0,1),1)-IF(Z255&gt;Y255,1.7,0)</f>
        <v/>
      </c>
      <c r="AC255" s="11">
        <f>IF(AB255&gt;4,1,0)+AB255/12</f>
        <v/>
      </c>
      <c r="AG255" s="12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11">
        <f>AG255+IF(X255&lt;1.35,0,1)+IF(Y255&lt;1.35,0,1)+AC255+AA255</f>
        <v/>
      </c>
      <c r="AI255" s="11" t="n"/>
      <c r="AJ255" s="11">
        <f>IF(AI255&gt;12.7,IF(AI255&gt;15.8,0.93,0.98),1)</f>
        <v/>
      </c>
      <c r="AK255" s="11">
        <f>(1.2*AG255+AH255)*AJ255*AQ255</f>
        <v/>
      </c>
      <c r="AL255" s="10">
        <f>D255</f>
        <v/>
      </c>
      <c r="AM255" s="14">
        <f>B255</f>
        <v/>
      </c>
      <c r="AO255" s="13">
        <f>AN255+1</f>
        <v/>
      </c>
      <c r="AP255" s="13">
        <f>IF(AK255&gt;13.1,IF(Z255&lt;101,IF(Z255&lt;35,IF(Z255&lt;6,3,2),1),0),0)</f>
        <v/>
      </c>
      <c r="AQ255" s="11" t="n">
        <v>1</v>
      </c>
      <c r="AT255" s="11">
        <f>100*(AK255-AQ255)/AQ255</f>
        <v/>
      </c>
      <c r="AZ255" s="13" t="n"/>
    </row>
    <row r="256" ht="12.75" customHeight="1">
      <c r="G256" s="11">
        <f>100*(F256-E256)/F256</f>
        <v/>
      </c>
      <c r="P256" s="11">
        <f>O256/I256</f>
        <v/>
      </c>
      <c r="R256" s="2" t="n"/>
      <c r="S256" s="12" t="n">
        <v>5</v>
      </c>
      <c r="AA256" s="11">
        <f>IF(X256&lt;50,IF(Y256&gt;(2.3*X256),0,1),1)-IF(Z256&gt;Y256,1.7,0)</f>
        <v/>
      </c>
      <c r="AC256" s="11">
        <f>IF(AB256&gt;4,1,0)+AB256/12</f>
        <v/>
      </c>
      <c r="AG256" s="12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11">
        <f>AG256+IF(X256&lt;1.35,0,1)+IF(Y256&lt;1.35,0,1)+AC256+AA256</f>
        <v/>
      </c>
      <c r="AI256" s="11" t="n"/>
      <c r="AJ256" s="11">
        <f>IF(AI256&gt;12.7,IF(AI256&gt;15.8,0.93,0.98),1)</f>
        <v/>
      </c>
      <c r="AK256" s="11">
        <f>(1.2*AG256+AH256)*AJ256*AQ256</f>
        <v/>
      </c>
      <c r="AL256" s="10">
        <f>D256</f>
        <v/>
      </c>
      <c r="AM256" s="14">
        <f>B256</f>
        <v/>
      </c>
      <c r="AO256" s="13">
        <f>AN256+1</f>
        <v/>
      </c>
      <c r="AP256" s="13">
        <f>IF(AK256&gt;13.1,IF(Z256&lt;101,IF(Z256&lt;35,IF(Z256&lt;6,3,2),1),0),0)</f>
        <v/>
      </c>
      <c r="AQ256" s="11" t="n">
        <v>1</v>
      </c>
      <c r="AT256" s="11">
        <f>100*(AK256-AQ256)/AQ256</f>
        <v/>
      </c>
      <c r="AZ256" s="13" t="n"/>
    </row>
    <row r="257" ht="12.75" customHeight="1">
      <c r="G257" s="11">
        <f>100*(F257-E257)/F257</f>
        <v/>
      </c>
      <c r="P257" s="11">
        <f>O257/I257</f>
        <v/>
      </c>
      <c r="R257" s="2" t="n"/>
      <c r="S257" s="12" t="n">
        <v>5</v>
      </c>
      <c r="AA257" s="11">
        <f>IF(X257&lt;50,IF(Y257&gt;(2.3*X257),0,1),1)-IF(Z257&gt;Y257,1.7,0)</f>
        <v/>
      </c>
      <c r="AC257" s="11">
        <f>IF(AB257&gt;4,1,0)+AB257/12</f>
        <v/>
      </c>
      <c r="AG257" s="12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11">
        <f>AG257+IF(X257&lt;1.35,0,1)+IF(Y257&lt;1.35,0,1)+AC257+AA257</f>
        <v/>
      </c>
      <c r="AI257" s="11" t="n"/>
      <c r="AJ257" s="11">
        <f>IF(AI257&gt;12.7,IF(AI257&gt;15.8,0.93,0.98),1)</f>
        <v/>
      </c>
      <c r="AK257" s="11">
        <f>(1.2*AG257+AH257)*AJ257*AQ257</f>
        <v/>
      </c>
      <c r="AL257" s="10">
        <f>D257</f>
        <v/>
      </c>
      <c r="AM257" s="14">
        <f>B257</f>
        <v/>
      </c>
      <c r="AO257" s="13">
        <f>AN257+1</f>
        <v/>
      </c>
      <c r="AP257" s="13">
        <f>IF(AK257&gt;13.1,IF(Z257&lt;101,IF(Z257&lt;35,IF(Z257&lt;6,3,2),1),0),0)</f>
        <v/>
      </c>
      <c r="AQ257" s="11" t="n">
        <v>1</v>
      </c>
      <c r="AT257" s="11">
        <f>100*(AK257-AQ257)/AQ257</f>
        <v/>
      </c>
      <c r="AZ257" s="13" t="n"/>
    </row>
    <row r="258" ht="12.75" customHeight="1">
      <c r="G258" s="11">
        <f>100*(F258-E258)/F258</f>
        <v/>
      </c>
      <c r="P258" s="11">
        <f>O258/I258</f>
        <v/>
      </c>
      <c r="R258" s="2" t="n"/>
      <c r="S258" s="12" t="n">
        <v>5</v>
      </c>
      <c r="AA258" s="11">
        <f>IF(X258&lt;50,IF(Y258&gt;(2.3*X258),0,1),1)-IF(Z258&gt;Y258,1.7,0)</f>
        <v/>
      </c>
      <c r="AC258" s="11">
        <f>IF(AB258&gt;9,1,0)+AB258/3</f>
        <v/>
      </c>
      <c r="AG258" s="12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11">
        <f>AG258+IF(X258&lt;1.35,0,1)+IF(Y258&lt;1.35,0,1)+AC258+AA258</f>
        <v/>
      </c>
      <c r="AI258" s="11" t="n"/>
      <c r="AJ258" s="11">
        <f>IF(AI258&gt;12.7,IF(AI258&gt;15.8,0.93,0.98),1)</f>
        <v/>
      </c>
      <c r="AK258" s="11">
        <f>(1.2*AG258+AH258)*AJ258*AQ258</f>
        <v/>
      </c>
      <c r="AL258" s="10">
        <f>D258</f>
        <v/>
      </c>
      <c r="AM258" s="14">
        <f>B258</f>
        <v/>
      </c>
      <c r="AO258" s="13">
        <f>AN258+1</f>
        <v/>
      </c>
      <c r="AP258" s="13">
        <f>IF(AK258&gt;13.1,IF(Z258&lt;101,IF(Z258&lt;35,IF(Z258&lt;6,3,2),1),0),0)</f>
        <v/>
      </c>
      <c r="AQ258" s="11" t="n">
        <v>1</v>
      </c>
      <c r="AT258" s="11">
        <f>100*(AK258-AQ258)/AQ258</f>
        <v/>
      </c>
      <c r="AZ258" s="13" t="n"/>
    </row>
    <row r="259" ht="12.75" customHeight="1">
      <c r="G259" s="11">
        <f>100*(F259-E259)/F259</f>
        <v/>
      </c>
      <c r="P259" s="11">
        <f>O259/I259</f>
        <v/>
      </c>
      <c r="R259" s="2" t="n"/>
      <c r="S259" s="12" t="n">
        <v>5</v>
      </c>
      <c r="AA259" s="11">
        <f>IF(X259&lt;50,IF(Y259&gt;(2.3*X259),0,1),1)-IF(Z259&gt;Y259,1.7,0)</f>
        <v/>
      </c>
      <c r="AC259" s="11">
        <f>IF(AB259&gt;9,1,0)+AB259/3</f>
        <v/>
      </c>
      <c r="AG259" s="12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11">
        <f>AG259+IF(X259&lt;1.35,0,1)+IF(Y259&lt;1.35,0,1)+AC259+AA259</f>
        <v/>
      </c>
      <c r="AI259" s="11" t="n"/>
      <c r="AJ259" s="11">
        <f>IF(AI259&gt;12.7,IF(AI259&gt;15.8,0.93,0.98),1)</f>
        <v/>
      </c>
      <c r="AK259" s="11">
        <f>(1.2*AG259+AH259)*AJ259*AQ259</f>
        <v/>
      </c>
      <c r="AL259" s="10">
        <f>D259</f>
        <v/>
      </c>
      <c r="AM259" s="14">
        <f>B259</f>
        <v/>
      </c>
      <c r="AO259" s="13">
        <f>AN259+1</f>
        <v/>
      </c>
      <c r="AP259" s="13">
        <f>IF(AK259&gt;13.1,IF(Z259&lt;101,IF(Z259&lt;35,IF(Z259&lt;6,3,2),1),0),0)</f>
        <v/>
      </c>
      <c r="AQ259" s="11" t="n">
        <v>1</v>
      </c>
      <c r="AT259" s="11">
        <f>100*(AK259-AQ259)/AQ259</f>
        <v/>
      </c>
      <c r="AZ259" s="13" t="n"/>
    </row>
    <row r="260" ht="12.75" customHeight="1">
      <c r="G260" s="11">
        <f>100*(F260-E260)/F260</f>
        <v/>
      </c>
      <c r="P260" s="11">
        <f>O260/I260</f>
        <v/>
      </c>
      <c r="R260" s="2" t="n"/>
      <c r="S260" s="12" t="n">
        <v>5</v>
      </c>
      <c r="AA260" s="11">
        <f>IF(X260&lt;50,IF(Y260&gt;(2.3*X260),0,1),1)-IF(Z260&gt;Y260,1.7,0)</f>
        <v/>
      </c>
      <c r="AC260" s="11">
        <f>IF(AB260&gt;9,1,0)+AB260/3</f>
        <v/>
      </c>
      <c r="AG260" s="12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11">
        <f>AG260+IF(X260&lt;1.35,0,1)+IF(Y260&lt;1.35,0,1)+AC260+AA260</f>
        <v/>
      </c>
      <c r="AI260" s="11" t="n"/>
      <c r="AJ260" s="11">
        <f>IF(AI260&gt;12.7,IF(AI260&gt;15.8,0.93,0.98),1)</f>
        <v/>
      </c>
      <c r="AK260" s="11">
        <f>(1.2*AG260+AH260)*AJ260*AQ260</f>
        <v/>
      </c>
      <c r="AL260" s="10">
        <f>D260</f>
        <v/>
      </c>
      <c r="AM260" s="14">
        <f>B260</f>
        <v/>
      </c>
      <c r="AO260" s="13">
        <f>AN260+1</f>
        <v/>
      </c>
      <c r="AP260" s="13">
        <f>IF(AK260&gt;13.1,IF(Z260&lt;101,IF(Z260&lt;35,IF(Z260&lt;6,3,2),1),0),0)</f>
        <v/>
      </c>
      <c r="AQ260" s="11" t="n">
        <v>1</v>
      </c>
      <c r="AT260" s="11">
        <f>100*(AK260-AQ260)/AQ260</f>
        <v/>
      </c>
      <c r="AZ260" s="13" t="n"/>
    </row>
    <row r="261" ht="12.75" customHeight="1">
      <c r="G261" s="11">
        <f>100*(F261-E261)/F261</f>
        <v/>
      </c>
      <c r="P261" s="11">
        <f>O261/I261</f>
        <v/>
      </c>
      <c r="R261" s="2" t="n"/>
      <c r="S261" s="12" t="n">
        <v>5</v>
      </c>
      <c r="AA261" s="11">
        <f>IF(X261&lt;50,IF(Y261&gt;(2.3*X261),0,1),1)-IF(Z261&gt;Y261,1.7,0)</f>
        <v/>
      </c>
      <c r="AC261" s="11">
        <f>IF(AB261&gt;9,1,0)+AB261/3</f>
        <v/>
      </c>
      <c r="AG261" s="12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11">
        <f>AG261+IF(X261&lt;1.35,0,1)+IF(Y261&lt;1.35,0,1)+AC261+AA261</f>
        <v/>
      </c>
      <c r="AI261" s="11" t="n"/>
      <c r="AJ261" s="11">
        <f>IF(AI261&gt;12.7,IF(AI261&gt;15.8,0.93,0.98),1)</f>
        <v/>
      </c>
      <c r="AK261" s="11">
        <f>(1.2*AG261+AH261)*AJ261*AQ261</f>
        <v/>
      </c>
      <c r="AL261" s="10">
        <f>D261</f>
        <v/>
      </c>
      <c r="AM261" s="14">
        <f>B261</f>
        <v/>
      </c>
      <c r="AO261" s="13">
        <f>AN261+1</f>
        <v/>
      </c>
      <c r="AP261" s="13">
        <f>IF(AK261&gt;13.1,IF(Z261&lt;101,IF(Z261&lt;35,IF(Z261&lt;6,3,2),1),0),0)</f>
        <v/>
      </c>
      <c r="AQ261" s="11" t="n">
        <v>1</v>
      </c>
      <c r="AT261" s="11">
        <f>100*(AK261-AQ261)/AQ261</f>
        <v/>
      </c>
      <c r="AZ261" s="13" t="n"/>
    </row>
    <row r="262" ht="12.75" customHeight="1">
      <c r="G262" s="11">
        <f>100*(F262-E262)/F262</f>
        <v/>
      </c>
      <c r="P262" s="11">
        <f>O262/I262</f>
        <v/>
      </c>
      <c r="R262" s="2" t="n"/>
      <c r="S262" s="12" t="n">
        <v>5</v>
      </c>
      <c r="AA262" s="11">
        <f>IF(X262&lt;50,IF(Y262&gt;(2.3*X262),0,1),1)-IF(Z262&gt;Y262,1.7,0)</f>
        <v/>
      </c>
      <c r="AC262" s="11">
        <f>IF(AB262&gt;9,1,0)+AB262/3</f>
        <v/>
      </c>
      <c r="AG262" s="12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11">
        <f>AG262+IF(X262&lt;1.35,0,1)+IF(Y262&lt;1.35,0,1)+AC262+AA262</f>
        <v/>
      </c>
      <c r="AI262" s="11" t="n"/>
      <c r="AJ262" s="11">
        <f>IF(AI262&gt;12.7,IF(AI262&gt;15.8,0.93,0.98),1)</f>
        <v/>
      </c>
      <c r="AK262" s="11">
        <f>(1.2*AG262+AH262)*AJ262*AQ262</f>
        <v/>
      </c>
      <c r="AL262" s="10">
        <f>D262</f>
        <v/>
      </c>
      <c r="AM262" s="14">
        <f>B262</f>
        <v/>
      </c>
      <c r="AO262" s="13">
        <f>AN262+1</f>
        <v/>
      </c>
      <c r="AP262" s="13">
        <f>IF(AK262&gt;13.1,IF(Z262&lt;101,IF(Z262&lt;35,IF(Z262&lt;6,3,2),1),0),0)</f>
        <v/>
      </c>
      <c r="AQ262" s="11" t="n">
        <v>1</v>
      </c>
      <c r="AT262" s="11">
        <f>100*(AK262-AQ262)/AQ262</f>
        <v/>
      </c>
      <c r="AZ262" s="13" t="n"/>
    </row>
    <row r="263" ht="12.75" customHeight="1">
      <c r="G263" s="11">
        <f>100*(F263-E263)/F263</f>
        <v/>
      </c>
      <c r="P263" s="11">
        <f>O263/I263</f>
        <v/>
      </c>
      <c r="R263" s="2" t="n"/>
      <c r="S263" s="12" t="n">
        <v>5</v>
      </c>
      <c r="AA263" s="11">
        <f>IF(X263&lt;50,IF(Y263&gt;(2.3*X263),0,1),1)-IF(Z263&gt;Y263,1.7,0)</f>
        <v/>
      </c>
      <c r="AC263" s="11">
        <f>IF(AB263&gt;9,1,0)+AB263/3</f>
        <v/>
      </c>
      <c r="AG263" s="12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11">
        <f>AG263+IF(X263&lt;1.35,0,1)+IF(Y263&lt;1.35,0,1)+AC263+AA263</f>
        <v/>
      </c>
      <c r="AI263" s="11" t="n"/>
      <c r="AJ263" s="11">
        <f>IF(AI263&gt;12.7,IF(AI263&gt;15.8,0.93,0.98),1)</f>
        <v/>
      </c>
      <c r="AK263" s="11">
        <f>(1.2*AG263+AH263)*AJ263*AQ263</f>
        <v/>
      </c>
      <c r="AL263" s="10">
        <f>D263</f>
        <v/>
      </c>
      <c r="AM263" s="14">
        <f>B263</f>
        <v/>
      </c>
      <c r="AO263" s="13">
        <f>AN263+1</f>
        <v/>
      </c>
      <c r="AP263" s="13">
        <f>IF(AK263&gt;13.1,IF(Z263&lt;101,IF(Z263&lt;35,IF(Z263&lt;6,3,2),1),0),0)</f>
        <v/>
      </c>
      <c r="AQ263" s="11" t="n">
        <v>1</v>
      </c>
      <c r="AT263" s="11">
        <f>100*(AK263-AQ263)/AQ263</f>
        <v/>
      </c>
      <c r="AZ263" s="13" t="n"/>
    </row>
    <row r="264" ht="12.75" customHeight="1">
      <c r="G264" s="11">
        <f>100*(F264-E264)/F264</f>
        <v/>
      </c>
      <c r="P264" s="11">
        <f>O264/I264</f>
        <v/>
      </c>
      <c r="R264" s="2" t="n"/>
      <c r="S264" s="12" t="n">
        <v>5</v>
      </c>
      <c r="AA264" s="11">
        <f>IF(X264&lt;50,IF(Y264&gt;(2.3*X264),0,1),1)-IF(Z264&gt;Y264,1.7,0)</f>
        <v/>
      </c>
      <c r="AC264" s="11">
        <f>IF(AB264&gt;9,1,0)+AB264/3</f>
        <v/>
      </c>
      <c r="AG264" s="12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11">
        <f>AG264+IF(X264&lt;1.35,0,1)+IF(Y264&lt;1.35,0,1)+AC264+AA264</f>
        <v/>
      </c>
      <c r="AI264" s="11" t="n"/>
      <c r="AJ264" s="11">
        <f>IF(AI264&gt;12.7,IF(AI264&gt;15.8,0.93,0.98),1)</f>
        <v/>
      </c>
      <c r="AK264" s="11">
        <f>(1.2*AG264+AH264)*AJ264*AQ264</f>
        <v/>
      </c>
      <c r="AL264" s="10">
        <f>D264</f>
        <v/>
      </c>
      <c r="AM264" s="14">
        <f>B264</f>
        <v/>
      </c>
      <c r="AO264" s="13">
        <f>AN264+1</f>
        <v/>
      </c>
      <c r="AP264" s="13">
        <f>IF(AK264&gt;13.1,IF(Z264&lt;101,IF(Z264&lt;35,IF(Z264&lt;6,3,2),1),0),0)</f>
        <v/>
      </c>
      <c r="AQ264" s="11" t="n">
        <v>1</v>
      </c>
      <c r="AT264" s="11">
        <f>100*(AK264-AQ264)/AQ264</f>
        <v/>
      </c>
      <c r="AZ264" s="13" t="n"/>
    </row>
    <row r="265" ht="12.75" customHeight="1">
      <c r="G265" s="11">
        <f>100*(F265-E265)/F265</f>
        <v/>
      </c>
      <c r="P265" s="11">
        <f>O265/I265</f>
        <v/>
      </c>
      <c r="R265" s="2" t="n"/>
      <c r="S265" s="12" t="n">
        <v>5</v>
      </c>
      <c r="AA265" s="11">
        <f>IF(X265&lt;50,IF(Y265&gt;(2.3*X265),0,1),1)-IF(Z265&gt;Y265,1.7,0)</f>
        <v/>
      </c>
      <c r="AC265" s="11">
        <f>IF(AB265&gt;9,1,0)+AB265/3</f>
        <v/>
      </c>
      <c r="AG265" s="12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11">
        <f>AG265+IF(X265&lt;1.35,0,1)+IF(Y265&lt;1.35,0,1)+AC265+AA265</f>
        <v/>
      </c>
      <c r="AI265" s="11" t="n"/>
      <c r="AJ265" s="11">
        <f>IF(AI265&gt;12.7,IF(AI265&gt;15.8,0.93,0.98),1)</f>
        <v/>
      </c>
      <c r="AK265" s="11">
        <f>(1.2*AG265+AH265)*AJ265*AQ265</f>
        <v/>
      </c>
      <c r="AL265" s="10">
        <f>D265</f>
        <v/>
      </c>
      <c r="AM265" s="14">
        <f>B265</f>
        <v/>
      </c>
      <c r="AO265" s="13">
        <f>AN265+1</f>
        <v/>
      </c>
      <c r="AP265" s="13">
        <f>IF(AK265&gt;13.1,IF(Z265&lt;101,IF(Z265&lt;35,IF(Z265&lt;6,3,2),1),0),0)</f>
        <v/>
      </c>
      <c r="AQ265" s="11" t="n">
        <v>1</v>
      </c>
      <c r="AT265" s="11">
        <f>100*(AK265-AQ265)/AQ265</f>
        <v/>
      </c>
      <c r="AZ265" s="13" t="n"/>
    </row>
    <row r="266" ht="12.75" customHeight="1">
      <c r="G266" s="11">
        <f>100*(F266-E266)/F266</f>
        <v/>
      </c>
      <c r="P266" s="11">
        <f>O266/I266</f>
        <v/>
      </c>
      <c r="R266" s="2" t="n"/>
      <c r="S266" s="12" t="n">
        <v>5</v>
      </c>
      <c r="AA266" s="11">
        <f>IF(X266&lt;50,IF(Y266&gt;(2.3*X266),0,1),1)-IF(Z266&gt;Y266,1.7,0)</f>
        <v/>
      </c>
      <c r="AC266" s="11">
        <f>IF(AB266&gt;9,1,0)+AB266/3</f>
        <v/>
      </c>
      <c r="AG266" s="12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11">
        <f>AG266+IF(X266&lt;1.35,0,1)+IF(Y266&lt;1.35,0,1)+AC266+AA266</f>
        <v/>
      </c>
      <c r="AI266" s="11" t="n"/>
      <c r="AJ266" s="11">
        <f>IF(AI266&gt;12.7,IF(AI266&gt;15.8,0.93,0.98),1)</f>
        <v/>
      </c>
      <c r="AK266" s="11">
        <f>(1.2*AG266+AH266)*AJ266*AQ266</f>
        <v/>
      </c>
      <c r="AL266" s="10">
        <f>D266</f>
        <v/>
      </c>
      <c r="AM266" s="14">
        <f>B266</f>
        <v/>
      </c>
      <c r="AO266" s="13">
        <f>AN266+1</f>
        <v/>
      </c>
      <c r="AP266" s="13">
        <f>IF(AK266&gt;13.1,IF(Z266&lt;101,IF(Z266&lt;35,IF(Z266&lt;6,3,2),1),0),0)</f>
        <v/>
      </c>
      <c r="AQ266" s="11" t="n">
        <v>1</v>
      </c>
      <c r="AT266" s="11">
        <f>100*(AK266-AQ266)/AQ266</f>
        <v/>
      </c>
      <c r="AZ266" s="13" t="n"/>
    </row>
    <row r="267" ht="12.75" customHeight="1">
      <c r="G267" s="11">
        <f>100*(F267-E267)/F267</f>
        <v/>
      </c>
      <c r="P267" s="11">
        <f>O267/I267</f>
        <v/>
      </c>
      <c r="R267" s="2" t="n"/>
      <c r="S267" s="12" t="n">
        <v>5</v>
      </c>
      <c r="AA267" s="11">
        <f>IF(X267&lt;50,IF(Y267&gt;(2.3*X267),0,1),1)-IF(Z267&gt;Y267,1.7,0)</f>
        <v/>
      </c>
      <c r="AC267" s="11">
        <f>IF(AB267&gt;9,1,0)+AB267/3</f>
        <v/>
      </c>
      <c r="AG267" s="12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11">
        <f>AG267+IF(X267&lt;1.35,0,1)+IF(Y267&lt;1.35,0,1)+AC267+AA267</f>
        <v/>
      </c>
      <c r="AI267" s="11" t="n"/>
      <c r="AJ267" s="11">
        <f>IF(AI267&gt;12.7,IF(AI267&gt;15.8,0.93,0.98),1)</f>
        <v/>
      </c>
      <c r="AK267" s="11">
        <f>(1.2*AG267+AH267)*AJ267*AQ267</f>
        <v/>
      </c>
      <c r="AL267" s="10">
        <f>D267</f>
        <v/>
      </c>
      <c r="AM267" s="14">
        <f>B267</f>
        <v/>
      </c>
      <c r="AO267" s="13">
        <f>AN267+1</f>
        <v/>
      </c>
      <c r="AP267" s="13">
        <f>IF(AK267&gt;13.1,IF(Z267&lt;101,IF(Z267&lt;35,IF(Z267&lt;6,3,2),1),0),0)</f>
        <v/>
      </c>
      <c r="AQ267" s="11" t="n">
        <v>1</v>
      </c>
      <c r="AT267" s="11">
        <f>100*(AK267-AQ267)/AQ267</f>
        <v/>
      </c>
      <c r="AZ267" s="13" t="n"/>
    </row>
    <row r="268" ht="12.75" customHeight="1">
      <c r="G268" s="11">
        <f>100*(F268-E268)/F268</f>
        <v/>
      </c>
      <c r="P268" s="11">
        <f>O268/I268</f>
        <v/>
      </c>
      <c r="R268" s="2" t="n"/>
      <c r="S268" s="12" t="n">
        <v>5</v>
      </c>
      <c r="AA268" s="11">
        <f>IF(X268&lt;50,IF(Y268&gt;(2.3*X268),0,1),1)-IF(Z268&gt;Y268,1.7,0)</f>
        <v/>
      </c>
      <c r="AC268" s="11">
        <f>IF(AB268&gt;9,1,0)+AB268/3</f>
        <v/>
      </c>
      <c r="AG268" s="12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11">
        <f>AG268+IF(X268&lt;1.35,0,1)+IF(Y268&lt;1.35,0,1)+AC268+AA268</f>
        <v/>
      </c>
      <c r="AI268" s="11" t="n"/>
      <c r="AJ268" s="11">
        <f>IF(AI268&gt;12.7,IF(AI268&gt;15.8,0.93,0.98),1)</f>
        <v/>
      </c>
      <c r="AK268" s="11">
        <f>(1.2*AG268+AH268)*AJ268*AQ268</f>
        <v/>
      </c>
      <c r="AL268" s="10">
        <f>D268</f>
        <v/>
      </c>
      <c r="AM268" s="14">
        <f>B268</f>
        <v/>
      </c>
      <c r="AO268" s="13">
        <f>AN268+1</f>
        <v/>
      </c>
      <c r="AP268" s="13">
        <f>IF(AK268&gt;13.1,IF(Z268&lt;101,IF(Z268&lt;35,IF(Z268&lt;6,3,2),1),0),0)</f>
        <v/>
      </c>
      <c r="AQ268" s="11" t="n">
        <v>1</v>
      </c>
      <c r="AT268" s="11">
        <f>100*(AK268-AQ268)/AQ268</f>
        <v/>
      </c>
      <c r="AZ268" s="13" t="n"/>
    </row>
    <row r="269" ht="12.75" customHeight="1">
      <c r="G269" s="11">
        <f>100*(F269-E269)/F269</f>
        <v/>
      </c>
      <c r="P269" s="11">
        <f>O269/I269</f>
        <v/>
      </c>
      <c r="R269" s="2" t="n"/>
      <c r="S269" s="12" t="n">
        <v>5</v>
      </c>
      <c r="AA269" s="11">
        <f>IF(X269&lt;50,IF(Y269&gt;(2.3*X269),0,1),1)-IF(Z269&gt;Y269,1.7,0)</f>
        <v/>
      </c>
      <c r="AC269" s="11">
        <f>IF(AB269&gt;9,1,0)+AB269/3</f>
        <v/>
      </c>
      <c r="AG269" s="12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11">
        <f>AG269+IF(X269&lt;1.35,0,1)+IF(Y269&lt;1.35,0,1)+AC269+AA269</f>
        <v/>
      </c>
      <c r="AI269" s="11" t="n"/>
      <c r="AJ269" s="11">
        <f>IF(AI269&gt;12.7,IF(AI269&gt;15.8,0.93,0.98),1)</f>
        <v/>
      </c>
      <c r="AK269" s="11">
        <f>(1.2*AG269+AH269)*AJ269*AQ269</f>
        <v/>
      </c>
      <c r="AL269" s="10">
        <f>D269</f>
        <v/>
      </c>
      <c r="AM269" s="14">
        <f>B269</f>
        <v/>
      </c>
      <c r="AO269" s="13">
        <f>AN269+1</f>
        <v/>
      </c>
      <c r="AP269" s="13">
        <f>IF(AK269&gt;13.1,IF(Z269&lt;101,IF(Z269&lt;35,IF(Z269&lt;6,3,2),1),0),0)</f>
        <v/>
      </c>
      <c r="AQ269" s="11" t="n">
        <v>1</v>
      </c>
      <c r="AT269" s="11">
        <f>100*(AK269-AQ269)/AQ269</f>
        <v/>
      </c>
      <c r="AZ269" s="13" t="n"/>
    </row>
    <row r="270" ht="12.75" customHeight="1">
      <c r="G270" s="11">
        <f>100*(F270-E270)/F270</f>
        <v/>
      </c>
      <c r="P270" s="11">
        <f>O270/I270</f>
        <v/>
      </c>
      <c r="R270" s="2" t="n"/>
      <c r="S270" s="12" t="n">
        <v>5</v>
      </c>
      <c r="AA270" s="11">
        <f>IF(X270&lt;50,IF(Y270&gt;(2.3*X270),0,1),1)-IF(Z270&gt;Y270,1.7,0)</f>
        <v/>
      </c>
      <c r="AC270" s="11">
        <f>IF(AB270&gt;9,1,0)+AB270/3</f>
        <v/>
      </c>
      <c r="AG270" s="12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11">
        <f>AG270+IF(X270&lt;1.35,0,1)+IF(Y270&lt;1.35,0,1)+AC270+AA270</f>
        <v/>
      </c>
      <c r="AI270" s="11" t="n"/>
      <c r="AJ270" s="11">
        <f>IF(AI270&gt;12.7,IF(AI270&gt;15.8,0.93,0.98),1)</f>
        <v/>
      </c>
      <c r="AK270" s="11">
        <f>(1.2*AG270+AH270)*AJ270*AQ270</f>
        <v/>
      </c>
      <c r="AL270" s="10">
        <f>D270</f>
        <v/>
      </c>
      <c r="AM270" s="14">
        <f>B270</f>
        <v/>
      </c>
      <c r="AP270" s="13">
        <f>IF(AK270&gt;13.1,IF(Z270&lt;101,IF(Z270&lt;35,IF(Z270&lt;6,3,2),1),0),0)</f>
        <v/>
      </c>
      <c r="AQ270" s="11" t="n">
        <v>1</v>
      </c>
      <c r="AT270" s="11">
        <f>100*(AK270-AQ270)/AQ270</f>
        <v/>
      </c>
      <c r="AZ270" s="13" t="n"/>
    </row>
    <row r="271" ht="12.75" customHeight="1">
      <c r="G271" s="11">
        <f>100*(F271-E271)/F271</f>
        <v/>
      </c>
      <c r="P271" s="11">
        <f>O271/I271</f>
        <v/>
      </c>
      <c r="R271" s="2" t="n"/>
      <c r="S271" s="12" t="n">
        <v>5</v>
      </c>
      <c r="AA271" s="11">
        <f>IF(X271&lt;50,IF(Y271&gt;(2.3*X271),0,1),1)-IF(Z271&gt;Y271,1.7,0)</f>
        <v/>
      </c>
      <c r="AC271" s="11">
        <f>IF(AB271&gt;9,1,0)+AB271/3</f>
        <v/>
      </c>
      <c r="AG271" s="12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11">
        <f>AG271+IF(X271&lt;1.35,0,1)+IF(Y271&lt;1.35,0,1)+AC271+AA271</f>
        <v/>
      </c>
      <c r="AI271" s="11" t="n"/>
      <c r="AJ271" s="11">
        <f>IF(AI271&gt;12.7,IF(AI271&gt;15.8,0.93,0.98),1)</f>
        <v/>
      </c>
      <c r="AK271" s="11">
        <f>(1.2*AG271+AH271)*AJ271*AQ271</f>
        <v/>
      </c>
      <c r="AL271" s="10">
        <f>D271</f>
        <v/>
      </c>
      <c r="AM271" s="14">
        <f>B271</f>
        <v/>
      </c>
      <c r="AP271" s="13">
        <f>IF(AK271&gt;13.1,IF(Z271&lt;101,IF(Z271&lt;35,IF(Z271&lt;6,3,2),1),0),0)</f>
        <v/>
      </c>
      <c r="AQ271" s="11" t="n">
        <v>1</v>
      </c>
      <c r="AT271" s="11">
        <f>100*(AK271-AQ271)/AQ271</f>
        <v/>
      </c>
      <c r="AZ271" s="13" t="n"/>
    </row>
    <row r="272" ht="12.75" customHeight="1">
      <c r="G272" s="11">
        <f>100*(F272-E272)/F272</f>
        <v/>
      </c>
      <c r="P272" s="11">
        <f>O272/I272</f>
        <v/>
      </c>
      <c r="R272" s="2" t="n"/>
      <c r="S272" s="12" t="n">
        <v>5</v>
      </c>
      <c r="AA272" s="11">
        <f>IF(X272&lt;50,IF(Y272&gt;(2.3*X272),0,1),1)-IF(Z272&gt;Y272,1.7,0)</f>
        <v/>
      </c>
      <c r="AC272" s="11">
        <f>IF(AB272&gt;9,1,0)+AB272/3</f>
        <v/>
      </c>
      <c r="AG272" s="12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11">
        <f>AG272+IF(X272&lt;1.35,0,1)+IF(Y272&lt;1.35,0,1)+AC272+AA272</f>
        <v/>
      </c>
      <c r="AI272" s="11" t="n"/>
      <c r="AJ272" s="11">
        <f>IF(AI272&gt;12.7,IF(AI272&gt;15.8,0.93,0.98),1)</f>
        <v/>
      </c>
      <c r="AK272" s="11">
        <f>(1.2*AG272+AH272)*AJ272*AQ272</f>
        <v/>
      </c>
      <c r="AL272" s="10">
        <f>D272</f>
        <v/>
      </c>
      <c r="AM272" s="14">
        <f>B272</f>
        <v/>
      </c>
      <c r="AP272" s="13">
        <f>IF(AK272&gt;13.1,IF(Z272&lt;101,IF(Z272&lt;35,IF(Z272&lt;6,3,2),1),0),0)</f>
        <v/>
      </c>
      <c r="AQ272" s="11" t="n">
        <v>1</v>
      </c>
      <c r="AT272" s="11">
        <f>100*(AK272-AQ272)/AQ272</f>
        <v/>
      </c>
      <c r="AZ272" s="13" t="n"/>
    </row>
    <row r="273" ht="12.75" customHeight="1">
      <c r="G273" s="11">
        <f>100*(F273-E273)/F273</f>
        <v/>
      </c>
      <c r="P273" s="11">
        <f>O273/I273</f>
        <v/>
      </c>
      <c r="R273" s="2" t="n"/>
      <c r="S273" s="12" t="n">
        <v>5</v>
      </c>
      <c r="AA273" s="11">
        <f>IF(X273&lt;50,IF(Y273&gt;(2.3*X273),0,1),1)-IF(Z273&gt;Y273,1.7,0)</f>
        <v/>
      </c>
      <c r="AC273" s="11">
        <f>IF(AB273&gt;9,1,0)+AB273/3</f>
        <v/>
      </c>
      <c r="AG273" s="12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11">
        <f>AG273+IF(X273&lt;1.35,0,1)+IF(Y273&lt;1.35,0,1)+AC273+AA273</f>
        <v/>
      </c>
      <c r="AI273" s="11" t="n"/>
      <c r="AJ273" s="11">
        <f>IF(AI273&gt;12.7,IF(AI273&gt;15.8,0.93,0.98),1)</f>
        <v/>
      </c>
      <c r="AK273" s="11">
        <f>(1.2*AG273+AH273)*AJ273*AQ273</f>
        <v/>
      </c>
      <c r="AL273" s="10">
        <f>D273</f>
        <v/>
      </c>
      <c r="AM273" s="14">
        <f>B273</f>
        <v/>
      </c>
      <c r="AP273" s="13">
        <f>IF(AK273&gt;13.1,IF(Z273&lt;101,IF(Z273&lt;35,IF(Z273&lt;6,3,2),1),0),0)</f>
        <v/>
      </c>
      <c r="AQ273" s="11" t="n">
        <v>1</v>
      </c>
      <c r="AT273" s="11">
        <f>100*(AK273-AQ273)/AQ273</f>
        <v/>
      </c>
      <c r="AZ273" s="13" t="n"/>
    </row>
    <row r="274" ht="12.75" customHeight="1">
      <c r="G274" s="11">
        <f>100*(F274-E274)/F274</f>
        <v/>
      </c>
      <c r="P274" s="11">
        <f>O274/I274</f>
        <v/>
      </c>
      <c r="R274" s="2" t="n"/>
      <c r="S274" s="12" t="n">
        <v>5</v>
      </c>
      <c r="AA274" s="11">
        <f>IF(X274&lt;50,IF(Y274&gt;(2.3*X274),0,1),1)-IF(Z274&gt;Y274,1.7,0)</f>
        <v/>
      </c>
      <c r="AC274" s="11">
        <f>IF(AB274&gt;9,1,0)+AB274/3</f>
        <v/>
      </c>
      <c r="AG274" s="12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11">
        <f>AG274+IF(X274&lt;1.35,0,1)+IF(Y274&lt;1.35,0,1)+AC274+AA274</f>
        <v/>
      </c>
      <c r="AI274" s="11" t="n"/>
      <c r="AJ274" s="11">
        <f>IF(AI274&gt;12.7,IF(AI274&gt;15.8,0.93,0.98),1)</f>
        <v/>
      </c>
      <c r="AK274" s="11">
        <f>(1.2*AG274+AH274)*AJ274*AQ274</f>
        <v/>
      </c>
      <c r="AL274" s="10">
        <f>D274</f>
        <v/>
      </c>
      <c r="AM274" s="14">
        <f>B274</f>
        <v/>
      </c>
      <c r="AP274" s="13">
        <f>IF(AK274&gt;13.1,IF(Z274&lt;101,IF(Z274&lt;35,IF(Z274&lt;6,3,2),1),0),0)</f>
        <v/>
      </c>
      <c r="AQ274" s="11" t="n">
        <v>1</v>
      </c>
      <c r="AT274" s="11">
        <f>100*(AK274-AQ274)/AQ274</f>
        <v/>
      </c>
      <c r="AZ274" s="13" t="n"/>
    </row>
    <row r="275" ht="12.75" customHeight="1">
      <c r="G275" s="11">
        <f>100*(F275-E275)/F275</f>
        <v/>
      </c>
      <c r="P275" s="11">
        <f>O275/I275</f>
        <v/>
      </c>
      <c r="R275" s="2" t="n"/>
      <c r="S275" s="12" t="n">
        <v>5</v>
      </c>
      <c r="AA275" s="11">
        <f>IF(X275&lt;50,IF(Y275&gt;(2.3*X275),0,1),1)-IF(Z275&gt;Y275,1.7,0)</f>
        <v/>
      </c>
      <c r="AC275" s="11">
        <f>IF(AB275&gt;9,1,0)+AB275/3</f>
        <v/>
      </c>
      <c r="AG275" s="12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11">
        <f>AG275+IF(X275&lt;1.35,0,1)+IF(Y275&lt;1.35,0,1)+AC275+AA275</f>
        <v/>
      </c>
      <c r="AI275" s="11" t="n"/>
      <c r="AJ275" s="11">
        <f>IF(AI275&gt;12.7,IF(AI275&gt;15.8,0.93,0.98),1)</f>
        <v/>
      </c>
      <c r="AK275" s="11">
        <f>(1.2*AG275+AH275)*AJ275*AQ275</f>
        <v/>
      </c>
      <c r="AL275" s="10">
        <f>D275</f>
        <v/>
      </c>
      <c r="AM275" s="14">
        <f>B275</f>
        <v/>
      </c>
      <c r="AP275" s="13">
        <f>IF(AK275&gt;13.1,IF(Z275&lt;101,IF(Z275&lt;35,IF(Z275&lt;6,3,2),1),0),0)</f>
        <v/>
      </c>
      <c r="AQ275" s="11" t="n">
        <v>1</v>
      </c>
      <c r="AT275" s="11">
        <f>100*(AK275-AQ275)/AQ275</f>
        <v/>
      </c>
      <c r="AZ275" s="13" t="n"/>
    </row>
    <row r="276" ht="12.75" customHeight="1">
      <c r="G276" s="11">
        <f>100*(F276-E276)/F276</f>
        <v/>
      </c>
      <c r="P276" s="11">
        <f>O276/I276</f>
        <v/>
      </c>
      <c r="R276" s="2" t="n"/>
      <c r="S276" s="12" t="n">
        <v>5</v>
      </c>
      <c r="AA276" s="11">
        <f>IF(X276&lt;50,IF(Y276&gt;(2.3*X276),0,1),1)-IF(Z276&gt;Y276,1.7,0)</f>
        <v/>
      </c>
      <c r="AC276" s="11">
        <f>IF(AB276&gt;9,1,0)+AB276/3</f>
        <v/>
      </c>
      <c r="AG276" s="12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11">
        <f>AG276+IF(X276&lt;1.35,0,1)+IF(Y276&lt;1.35,0,1)+AC276+AA276</f>
        <v/>
      </c>
      <c r="AI276" s="11" t="n"/>
      <c r="AJ276" s="11">
        <f>IF(AI276&gt;12.7,IF(AI276&gt;15.8,0.93,0.98),1)</f>
        <v/>
      </c>
      <c r="AK276" s="11">
        <f>(1.2*AG276+AH276)*AJ276*AQ276</f>
        <v/>
      </c>
      <c r="AL276" s="10">
        <f>D276</f>
        <v/>
      </c>
      <c r="AM276" s="14">
        <f>B276</f>
        <v/>
      </c>
      <c r="AP276" s="13">
        <f>IF(AK276&gt;13.1,IF(Z276&lt;101,IF(Z276&lt;35,IF(Z276&lt;6,3,2),1),0),0)</f>
        <v/>
      </c>
      <c r="AQ276" s="11" t="n">
        <v>1</v>
      </c>
      <c r="AT276" s="11">
        <f>100*(AK276-AQ276)/AQ276</f>
        <v/>
      </c>
      <c r="AZ276" s="13" t="n"/>
    </row>
    <row r="277" ht="12.75" customHeight="1">
      <c r="G277" s="11">
        <f>100*(F277-E277)/F277</f>
        <v/>
      </c>
      <c r="P277" s="11">
        <f>O277/I277</f>
        <v/>
      </c>
      <c r="R277" s="2" t="n"/>
      <c r="S277" s="12" t="n">
        <v>5</v>
      </c>
      <c r="AA277" s="11">
        <f>IF(X277&lt;50,IF(Y277&gt;(2.3*X277),0,1),1)-IF(Z277&gt;Y277,1.7,0)</f>
        <v/>
      </c>
      <c r="AC277" s="11">
        <f>IF(AB277&gt;9,1,0)+AB277/3</f>
        <v/>
      </c>
      <c r="AG277" s="12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11">
        <f>AG277+IF(X277&lt;1.35,0,1)+IF(Y277&lt;1.35,0,1)+AC277+AA277</f>
        <v/>
      </c>
      <c r="AI277" s="11" t="n"/>
      <c r="AJ277" s="11">
        <f>IF(AI277&gt;12.7,IF(AI277&gt;15.8,0.93,0.98),1)</f>
        <v/>
      </c>
      <c r="AK277" s="11">
        <f>(1.2*AG277+AH277)*AJ277*AQ277</f>
        <v/>
      </c>
      <c r="AL277" s="10">
        <f>D277</f>
        <v/>
      </c>
      <c r="AM277" s="14">
        <f>B277</f>
        <v/>
      </c>
      <c r="AP277" s="13">
        <f>IF(AK277&gt;13.1,IF(Z277&lt;101,IF(Z277&lt;35,IF(Z277&lt;6,3,2),1),0),0)</f>
        <v/>
      </c>
      <c r="AQ277" s="11" t="n">
        <v>1</v>
      </c>
      <c r="AT277" s="11">
        <f>100*(AK277-AQ277)/AQ277</f>
        <v/>
      </c>
      <c r="AZ277" s="13" t="n"/>
    </row>
    <row r="278" ht="12.75" customHeight="1">
      <c r="G278" s="11">
        <f>100*(F278-E278)/F278</f>
        <v/>
      </c>
      <c r="P278" s="11">
        <f>O278/I278</f>
        <v/>
      </c>
      <c r="R278" s="2" t="n"/>
      <c r="S278" s="12" t="n">
        <v>5</v>
      </c>
      <c r="AA278" s="11">
        <f>IF(X278&lt;50,IF(Y278&gt;(2.3*X278),0,1),1)-IF(Z278&gt;Y278,1.7,0)</f>
        <v/>
      </c>
      <c r="AC278" s="11">
        <f>IF(AB278&gt;9,1,0)+AB278/3</f>
        <v/>
      </c>
      <c r="AG278" s="12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11">
        <f>AG278+IF(X278&lt;1.35,0,1)+IF(Y278&lt;1.35,0,1)+AC278+AA278</f>
        <v/>
      </c>
      <c r="AI278" s="11" t="n"/>
      <c r="AJ278" s="11">
        <f>IF(AI278&gt;12.7,IF(AI278&gt;15.8,0.93,0.98),1)</f>
        <v/>
      </c>
      <c r="AK278" s="11">
        <f>(1.2*AG278+AH278)*AJ278*AQ278</f>
        <v/>
      </c>
      <c r="AL278" s="10">
        <f>D278</f>
        <v/>
      </c>
      <c r="AM278" s="14">
        <f>B278</f>
        <v/>
      </c>
      <c r="AP278" s="13">
        <f>IF(AK278&gt;13.1,IF(Z278&lt;101,IF(Z278&lt;35,IF(Z278&lt;6,3,2),1),0),0)</f>
        <v/>
      </c>
      <c r="AQ278" s="11" t="n">
        <v>1</v>
      </c>
      <c r="AT278" s="11">
        <f>100*(AK278-AQ278)/AQ278</f>
        <v/>
      </c>
      <c r="AZ278" s="13" t="n"/>
    </row>
    <row r="279" ht="12.75" customHeight="1">
      <c r="G279" s="11">
        <f>100*(F279-E279)/F279</f>
        <v/>
      </c>
      <c r="P279" s="11">
        <f>O279/I279</f>
        <v/>
      </c>
      <c r="R279" s="2" t="n"/>
      <c r="S279" s="12" t="n">
        <v>5</v>
      </c>
      <c r="AA279" s="11">
        <f>IF(X279&lt;50,IF(Y279&gt;(2.3*X279),0,1),1)-IF(Z279&gt;Y279,1.7,0)</f>
        <v/>
      </c>
      <c r="AC279" s="11">
        <f>IF(AB279&gt;9,1,0)+AB279/3</f>
        <v/>
      </c>
      <c r="AG279" s="12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11">
        <f>AG279+IF(X279&lt;1.35,0,1)+IF(Y279&lt;1.35,0,1)+AC279+AA279</f>
        <v/>
      </c>
      <c r="AI279" s="11" t="n"/>
      <c r="AJ279" s="11">
        <f>IF(AI279&gt;12.7,IF(AI279&gt;15.8,0.93,0.98),1)</f>
        <v/>
      </c>
      <c r="AK279" s="11">
        <f>(1.2*AG279+AH279)*AJ279*AQ279</f>
        <v/>
      </c>
      <c r="AL279" s="10">
        <f>D279</f>
        <v/>
      </c>
      <c r="AM279" s="14">
        <f>B279</f>
        <v/>
      </c>
      <c r="AP279" s="13">
        <f>IF(AK279&gt;13.1,IF(Z279&lt;101,IF(Z279&lt;35,IF(Z279&lt;6,3,2),1),0),0)</f>
        <v/>
      </c>
      <c r="AQ279" s="11" t="n">
        <v>1</v>
      </c>
      <c r="AT279" s="11">
        <f>100*(AK279-AQ279)/AQ279</f>
        <v/>
      </c>
      <c r="AZ279" s="13" t="n"/>
    </row>
    <row r="280" ht="12.75" customHeight="1">
      <c r="G280" s="11">
        <f>100*(F280-E280)/F280</f>
        <v/>
      </c>
      <c r="P280" s="11">
        <f>O280/I280</f>
        <v/>
      </c>
      <c r="R280" s="2" t="n"/>
      <c r="S280" s="12" t="n">
        <v>5</v>
      </c>
      <c r="AA280" s="11">
        <f>IF(X280&lt;50,IF(Y280&gt;(2.3*X280),0,1),1)-IF(Z280&gt;Y280,1.7,0)</f>
        <v/>
      </c>
      <c r="AC280" s="11">
        <f>IF(AB280&gt;9,1,0)+AB280/3</f>
        <v/>
      </c>
      <c r="AG280" s="12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11">
        <f>AG280+IF(X280&lt;1.35,0,1)+IF(Y280&lt;1.35,0,1)+AC280+AA280</f>
        <v/>
      </c>
      <c r="AI280" s="11" t="n"/>
      <c r="AJ280" s="11">
        <f>IF(AI280&gt;12.7,IF(AI280&gt;15.8,0.93,0.98),1)</f>
        <v/>
      </c>
      <c r="AK280" s="11">
        <f>(1.2*AG280+AH280)*AJ280*AQ280</f>
        <v/>
      </c>
      <c r="AL280" s="10">
        <f>D280</f>
        <v/>
      </c>
      <c r="AM280" s="14">
        <f>B280</f>
        <v/>
      </c>
      <c r="AP280" s="13">
        <f>IF(AK280&gt;13.1,IF(Z280&lt;101,IF(Z280&lt;35,IF(Z280&lt;6,3,2),1),0),0)</f>
        <v/>
      </c>
      <c r="AQ280" s="11" t="n">
        <v>1</v>
      </c>
      <c r="AT280" s="11">
        <f>100*(AK280-AQ280)/AQ280</f>
        <v/>
      </c>
      <c r="AZ280" s="13" t="n"/>
    </row>
    <row r="281" ht="12.75" customHeight="1">
      <c r="G281" s="11">
        <f>100*(F281-E281)/F281</f>
        <v/>
      </c>
      <c r="P281" s="11">
        <f>O281/I281</f>
        <v/>
      </c>
      <c r="R281" s="2" t="n"/>
      <c r="S281" s="12" t="n">
        <v>5</v>
      </c>
      <c r="AA281" s="11">
        <f>IF(X281&lt;50,IF(Y281&gt;(2.3*X281),0,1),1)-IF(Z281&gt;Y281,1.7,0)</f>
        <v/>
      </c>
      <c r="AC281" s="11">
        <f>IF(AB281&gt;9,1,0)+AB281/3</f>
        <v/>
      </c>
      <c r="AG281" s="12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11">
        <f>AG281+IF(X281&lt;1.35,0,1)+IF(Y281&lt;1.35,0,1)+AC281+AA281</f>
        <v/>
      </c>
      <c r="AI281" s="11" t="n"/>
      <c r="AJ281" s="11">
        <f>IF(AI281&gt;12.7,IF(AI281&gt;15.8,0.93,0.98),1)</f>
        <v/>
      </c>
      <c r="AK281" s="11">
        <f>(1.2*AG281+AH281)*AJ281*AQ281</f>
        <v/>
      </c>
      <c r="AL281" s="10">
        <f>D281</f>
        <v/>
      </c>
      <c r="AM281" s="14">
        <f>B281</f>
        <v/>
      </c>
      <c r="AP281" s="13">
        <f>IF(AK281&gt;13.1,IF(Z281&lt;101,IF(Z281&lt;35,IF(Z281&lt;6,3,2),1),0),0)</f>
        <v/>
      </c>
      <c r="AQ281" s="11" t="n">
        <v>1</v>
      </c>
      <c r="AT281" s="11">
        <f>100*(AK281-AQ281)/AQ281</f>
        <v/>
      </c>
      <c r="AZ281" s="13" t="n"/>
    </row>
    <row r="282" ht="12.75" customHeight="1">
      <c r="G282" s="11">
        <f>100*(F282-E282)/F282</f>
        <v/>
      </c>
      <c r="P282" s="11">
        <f>O282/I282</f>
        <v/>
      </c>
      <c r="R282" s="2" t="n"/>
      <c r="S282" s="12" t="n">
        <v>5</v>
      </c>
      <c r="AA282" s="11">
        <f>IF(X282&lt;50,IF(Y282&gt;(2.3*X282),0,1),1)-IF(Z282&gt;Y282,1.7,0)</f>
        <v/>
      </c>
      <c r="AC282" s="11">
        <f>IF(AB282&gt;9,1,0)+AB282/3</f>
        <v/>
      </c>
      <c r="AG282" s="12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11">
        <f>AG282+IF(X282&lt;1.35,0,1)+IF(Y282&lt;1.35,0,1)+AC282+AA282</f>
        <v/>
      </c>
      <c r="AI282" s="11" t="n"/>
      <c r="AJ282" s="11">
        <f>IF(AI282&gt;12.7,IF(AI282&gt;15.8,0.93,0.98),1)</f>
        <v/>
      </c>
      <c r="AK282" s="11">
        <f>(1.2*AG282+AH282)*AJ282*AQ282</f>
        <v/>
      </c>
      <c r="AL282" s="10">
        <f>D282</f>
        <v/>
      </c>
      <c r="AM282" s="14">
        <f>B282</f>
        <v/>
      </c>
      <c r="AP282" s="13">
        <f>IF(AK282&gt;13.1,IF(Z282&lt;101,IF(Z282&lt;35,IF(Z282&lt;6,3,2),1),0),0)</f>
        <v/>
      </c>
      <c r="AQ282" s="11" t="n">
        <v>1</v>
      </c>
      <c r="AT282" s="11">
        <f>100*(AK282-AQ282)/AQ282</f>
        <v/>
      </c>
      <c r="AZ282" s="13" t="n"/>
    </row>
    <row r="283" ht="12.75" customHeight="1">
      <c r="G283" s="11">
        <f>100*(F283-E283)/F283</f>
        <v/>
      </c>
      <c r="P283" s="11">
        <f>O283/I283</f>
        <v/>
      </c>
      <c r="R283" s="2" t="n"/>
      <c r="S283" s="12" t="n">
        <v>5</v>
      </c>
      <c r="AA283" s="11">
        <f>IF(X283&lt;50,IF(Y283&gt;(2.3*X283),0,1),1)-IF(Z283&gt;Y283,1.7,0)</f>
        <v/>
      </c>
      <c r="AC283" s="11">
        <f>IF(U284&gt;9,1,0)+U284/3</f>
        <v/>
      </c>
      <c r="AG283" s="12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11">
        <f>AG283+IF(X283&lt;1.35,0,1)+IF(Y283&lt;1.35,0,1)+AC283+AA283</f>
        <v/>
      </c>
      <c r="AI283" s="11" t="n"/>
      <c r="AJ283" s="11">
        <f>IF(AI283&gt;12.7,IF(AI283&gt;15.8,0.93,0.98),1)</f>
        <v/>
      </c>
      <c r="AK283" s="11">
        <f>(1.2*AG283+AH283)*AJ283*AQ283</f>
        <v/>
      </c>
      <c r="AL283" s="10">
        <f>D283</f>
        <v/>
      </c>
      <c r="AM283" s="14">
        <f>B283</f>
        <v/>
      </c>
      <c r="AP283" s="13">
        <f>IF(AK283&gt;13.1,IF(Z283&lt;101,IF(Z283&lt;35,IF(Z283&lt;6,3,2),1),0),0)</f>
        <v/>
      </c>
      <c r="AQ283" s="11" t="n">
        <v>1</v>
      </c>
      <c r="AT283" s="11">
        <f>100*(AK283-AQ283)/AQ283</f>
        <v/>
      </c>
      <c r="AZ283" s="13" t="n"/>
    </row>
    <row r="284" ht="12.75" customHeight="1">
      <c r="G284" s="11">
        <f>100*(F284-E284)/F284</f>
        <v/>
      </c>
      <c r="P284" s="11">
        <f>O284/I284</f>
        <v/>
      </c>
      <c r="R284" s="2" t="n"/>
      <c r="S284" s="12" t="n">
        <v>5</v>
      </c>
      <c r="AA284" s="11">
        <f>IF(X284&lt;50,IF(Y284&gt;(2.3*X284),0,1),1)-IF(Z284&gt;Y284,1.7,0)</f>
        <v/>
      </c>
      <c r="AC284" s="11">
        <f>IF(U285&gt;9,1,0)+U285/3</f>
        <v/>
      </c>
      <c r="AG284" s="12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11">
        <f>AG284+IF(X284&lt;1.35,0,1)+IF(Y284&lt;1.35,0,1)+AC284+AA284</f>
        <v/>
      </c>
      <c r="AI284" s="11" t="n"/>
      <c r="AJ284" s="11">
        <f>IF(AI284&gt;12.7,IF(AI284&gt;15.8,0.93,0.98),1)</f>
        <v/>
      </c>
      <c r="AK284" s="11">
        <f>(1.2*AG284+AH284)*AJ284*AQ284</f>
        <v/>
      </c>
      <c r="AL284" s="10">
        <f>D284</f>
        <v/>
      </c>
      <c r="AM284" s="14">
        <f>B284</f>
        <v/>
      </c>
      <c r="AP284" s="13">
        <f>IF(AK284&gt;13.1,IF(Z284&lt;101,IF(Z284&lt;35,IF(Z284&lt;6,3,2),1),0),0)</f>
        <v/>
      </c>
      <c r="AQ284" s="11" t="n">
        <v>1</v>
      </c>
      <c r="AT284" s="11">
        <f>100*(AK284-AQ284)/AQ284</f>
        <v/>
      </c>
      <c r="AZ284" s="13" t="n"/>
    </row>
    <row r="285" ht="12.75" customHeight="1">
      <c r="G285" s="11">
        <f>100*(F285-E285)/F285</f>
        <v/>
      </c>
      <c r="P285" s="11">
        <f>O285/I285</f>
        <v/>
      </c>
      <c r="R285" s="2" t="n"/>
      <c r="S285" s="12" t="n">
        <v>5</v>
      </c>
      <c r="AA285" s="11">
        <f>IF(X285&lt;50,IF(Y285&gt;(2.3*X285),0,1),1)-IF(Z285&gt;Y285,1.7,0)</f>
        <v/>
      </c>
      <c r="AC285" s="11">
        <f>IF(U286&gt;9,1,0)+U286/3</f>
        <v/>
      </c>
      <c r="AG285" s="12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11">
        <f>AG285+IF(X285&lt;1.35,0,1)+IF(Y285&lt;1.35,0,1)+AC285+AA285</f>
        <v/>
      </c>
      <c r="AI285" s="11" t="n"/>
      <c r="AJ285" s="11">
        <f>IF(AI285&gt;12.7,IF(AI285&gt;15.8,0.93,0.98),1)</f>
        <v/>
      </c>
      <c r="AK285" s="11">
        <f>(1.2*AG285+AH285)*AJ285*AQ285</f>
        <v/>
      </c>
      <c r="AL285" s="10">
        <f>D285</f>
        <v/>
      </c>
      <c r="AM285" s="14">
        <f>B285</f>
        <v/>
      </c>
      <c r="AP285" s="13">
        <f>IF(AK285&gt;13.1,IF(Z285&lt;101,IF(Z285&lt;35,IF(Z285&lt;6,3,2),1),0),0)</f>
        <v/>
      </c>
      <c r="AQ285" s="11" t="n">
        <v>1</v>
      </c>
      <c r="AT285" s="11">
        <f>100*(AK285-AQ285)/AQ285</f>
        <v/>
      </c>
      <c r="AZ285" s="13" t="n"/>
    </row>
    <row r="286" ht="12.75" customHeight="1">
      <c r="G286" s="11">
        <f>100*(F286-E286)/F286</f>
        <v/>
      </c>
      <c r="P286" s="11">
        <f>O286/I286</f>
        <v/>
      </c>
      <c r="R286" s="2" t="n"/>
      <c r="S286" s="12" t="n">
        <v>5</v>
      </c>
      <c r="AA286" s="11">
        <f>IF(X286&lt;50,IF(Y286&gt;(2.3*X286),0,1),1)-IF(Z286&gt;Y286,1.7,0)</f>
        <v/>
      </c>
      <c r="AC286" s="11">
        <f>IF(U287&gt;9,1,0)+U287/3</f>
        <v/>
      </c>
      <c r="AG286" s="12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11">
        <f>AG286+IF(X286&lt;1.35,0,1)+IF(Y286&lt;1.35,0,1)+AC286+AA286</f>
        <v/>
      </c>
      <c r="AI286" s="11" t="n"/>
      <c r="AJ286" s="11">
        <f>IF(AI286&gt;12.7,IF(AI286&gt;15.8,0.93,0.98),1)</f>
        <v/>
      </c>
      <c r="AK286" s="11">
        <f>(1.2*AG286+AH286)*AJ286*AQ286</f>
        <v/>
      </c>
      <c r="AL286" s="10">
        <f>D286</f>
        <v/>
      </c>
      <c r="AM286" s="14">
        <f>B286</f>
        <v/>
      </c>
      <c r="AP286" s="13">
        <f>IF(AK286&gt;13.1,IF(Z286&lt;101,IF(Z286&lt;35,IF(Z286&lt;6,3,2),1),0),0)</f>
        <v/>
      </c>
      <c r="AQ286" s="11" t="n">
        <v>1</v>
      </c>
      <c r="AT286" s="11">
        <f>100*(AK286-AQ286)/AQ286</f>
        <v/>
      </c>
      <c r="AZ286" s="13" t="n"/>
    </row>
    <row r="287" ht="12.75" customHeight="1">
      <c r="G287" s="11">
        <f>100*(F287-E287)/F287</f>
        <v/>
      </c>
      <c r="P287" s="11">
        <f>O287/I287</f>
        <v/>
      </c>
      <c r="R287" s="2" t="n"/>
      <c r="S287" s="12" t="n">
        <v>5</v>
      </c>
      <c r="AA287" s="11">
        <f>IF(X287&lt;50,IF(Y287&gt;(2.3*X287),0,1),1)-IF(Z287&gt;Y287,1.7,0)</f>
        <v/>
      </c>
      <c r="AC287" s="11">
        <f>IF(U288&gt;9,1,0)+U288/3</f>
        <v/>
      </c>
      <c r="AG287" s="12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11">
        <f>AG287+IF(X287&lt;1.35,0,1)+IF(Y287&lt;1.35,0,1)+AC287+AA287</f>
        <v/>
      </c>
      <c r="AI287" s="11" t="n"/>
      <c r="AJ287" s="11">
        <f>IF(AI287&gt;12.7,IF(AI287&gt;15.8,0.93,0.98),1)</f>
        <v/>
      </c>
      <c r="AK287" s="11">
        <f>(1.2*AG287+AH287)*AJ287*AQ287</f>
        <v/>
      </c>
      <c r="AL287" s="10">
        <f>D287</f>
        <v/>
      </c>
      <c r="AM287" s="14">
        <f>B287</f>
        <v/>
      </c>
      <c r="AP287" s="13">
        <f>IF(AK287&gt;13.1,IF(Z287&lt;101,IF(Z287&lt;35,IF(Z287&lt;6,3,2),1),0),0)</f>
        <v/>
      </c>
      <c r="AQ287" s="11" t="n">
        <v>1</v>
      </c>
      <c r="AT287" s="11">
        <f>100*(AK287-AQ287)/AQ287</f>
        <v/>
      </c>
      <c r="AZ287" s="13" t="n"/>
    </row>
    <row r="288" ht="12.75" customHeight="1">
      <c r="G288" s="11">
        <f>100*(F288-E288)/F288</f>
        <v/>
      </c>
      <c r="P288" s="11">
        <f>O288/I288</f>
        <v/>
      </c>
      <c r="R288" s="2" t="n"/>
      <c r="S288" s="12" t="n">
        <v>5</v>
      </c>
      <c r="AA288" s="11">
        <f>IF(X288&lt;50,IF(Y288&gt;(2.3*X288),0,1),1)-IF(Z288&gt;Y288,1.7,0)</f>
        <v/>
      </c>
      <c r="AC288" s="11">
        <f>IF(U289&gt;9,1,0)+U289/3</f>
        <v/>
      </c>
      <c r="AG288" s="12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11">
        <f>AG288+IF(X288&lt;1.35,0,1)+IF(Y288&lt;1.35,0,1)+AC288+AA288</f>
        <v/>
      </c>
      <c r="AI288" s="11" t="n"/>
      <c r="AJ288" s="11">
        <f>IF(AI288&gt;12.7,IF(AI288&gt;15.8,0.93,0.98),1)</f>
        <v/>
      </c>
      <c r="AK288" s="11">
        <f>(1.2*AG288+AH288)*AJ288*AQ288</f>
        <v/>
      </c>
      <c r="AL288" s="10">
        <f>D288</f>
        <v/>
      </c>
      <c r="AM288" s="14">
        <f>B288</f>
        <v/>
      </c>
      <c r="AP288" s="13">
        <f>IF(AK288&gt;13.1,IF(Z288&lt;101,IF(Z288&lt;35,IF(Z288&lt;6,3,2),1),0),0)</f>
        <v/>
      </c>
      <c r="AQ288" s="11" t="n">
        <v>1</v>
      </c>
      <c r="AT288" s="11">
        <f>100*(AK288-AQ288)/AQ288</f>
        <v/>
      </c>
      <c r="AZ288" s="13" t="n"/>
    </row>
    <row r="289" ht="12.75" customHeight="1">
      <c r="G289" s="11">
        <f>100*(F289-E289)/F289</f>
        <v/>
      </c>
      <c r="P289" s="11">
        <f>O289/I289</f>
        <v/>
      </c>
      <c r="R289" s="2" t="n"/>
      <c r="S289" s="12" t="n">
        <v>5</v>
      </c>
      <c r="AA289" s="11">
        <f>IF(X289&lt;50,IF(Y289&gt;(2.3*X289),0,1),1)-IF(Z289&gt;Y289,1.7,0)</f>
        <v/>
      </c>
      <c r="AC289" s="11">
        <f>IF(U290&gt;9,1,0)+U290/3</f>
        <v/>
      </c>
      <c r="AG289" s="12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11">
        <f>AG289+IF(X289&lt;1.35,0,1)+IF(Y289&lt;1.35,0,1)+AC289+AA289</f>
        <v/>
      </c>
      <c r="AI289" s="11" t="n"/>
      <c r="AJ289" s="11">
        <f>IF(AI289&gt;12.7,IF(AI289&gt;15.8,0.93,0.98),1)</f>
        <v/>
      </c>
      <c r="AK289" s="11">
        <f>(1.2*AG289+AH289)*AJ289*AQ289</f>
        <v/>
      </c>
      <c r="AL289" s="10">
        <f>D289</f>
        <v/>
      </c>
      <c r="AM289" s="14">
        <f>B289</f>
        <v/>
      </c>
      <c r="AP289" s="13">
        <f>IF(AK289&gt;13.1,IF(Z289&lt;101,IF(Z289&lt;35,IF(Z289&lt;6,3,2),1),0),0)</f>
        <v/>
      </c>
      <c r="AQ289" s="11" t="n">
        <v>1</v>
      </c>
      <c r="AT289" s="11">
        <f>100*(AK289-AQ289)/AQ289</f>
        <v/>
      </c>
      <c r="AZ289" s="13" t="n"/>
    </row>
    <row r="290" ht="12.75" customHeight="1">
      <c r="G290" s="11">
        <f>100*(F290-E290)/F290</f>
        <v/>
      </c>
      <c r="P290" s="11">
        <f>O290/I290</f>
        <v/>
      </c>
      <c r="R290" s="2" t="n"/>
      <c r="S290" s="12" t="n">
        <v>5</v>
      </c>
      <c r="AA290" s="11">
        <f>IF(X290&lt;50,IF(Y290&gt;(2.3*X290),0,1),1)-IF(Z290&gt;Y290,1.7,0)</f>
        <v/>
      </c>
      <c r="AC290" s="11">
        <f>IF(U291&gt;9,1,0)+U291/3</f>
        <v/>
      </c>
      <c r="AG290" s="12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11">
        <f>AG290+IF(X290&lt;1.35,0,1)+IF(Y290&lt;1.35,0,1)+AC290+AA290</f>
        <v/>
      </c>
      <c r="AI290" s="11" t="n"/>
      <c r="AJ290" s="11">
        <f>IF(AI290&gt;12.7,IF(AI290&gt;15.8,0.93,0.98),1)</f>
        <v/>
      </c>
      <c r="AK290" s="11">
        <f>(1.2*AG290+AH290)*AJ290*AQ290</f>
        <v/>
      </c>
      <c r="AL290" s="10">
        <f>D290</f>
        <v/>
      </c>
      <c r="AM290" s="14">
        <f>B290</f>
        <v/>
      </c>
      <c r="AP290" s="13">
        <f>IF(AK290&gt;13.1,IF(Z290&lt;101,IF(Z290&lt;35,IF(Z290&lt;6,3,2),1),0),0)</f>
        <v/>
      </c>
      <c r="AQ290" s="11" t="n">
        <v>1</v>
      </c>
      <c r="AT290" s="11">
        <f>100*(AK290-AQ290)/AQ290</f>
        <v/>
      </c>
      <c r="AZ290" s="13" t="n"/>
    </row>
    <row r="291" ht="12.75" customHeight="1">
      <c r="G291" s="11">
        <f>100*(F291-E291)/F291</f>
        <v/>
      </c>
      <c r="P291" s="11">
        <f>O291/I291</f>
        <v/>
      </c>
      <c r="R291" s="2" t="n"/>
      <c r="S291" s="12" t="n">
        <v>5</v>
      </c>
      <c r="AA291" s="11">
        <f>IF(X291&lt;50,IF(Y291&gt;(2.3*X291),0,1),1)-IF(Z291&gt;Y291,1.7,0)</f>
        <v/>
      </c>
      <c r="AC291" s="11">
        <f>IF(U292&gt;9,1,0)+U292/3</f>
        <v/>
      </c>
      <c r="AG291" s="12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11">
        <f>AG291+IF(X291&lt;1.35,0,1)+IF(Y291&lt;1.35,0,1)+AC291+AA291</f>
        <v/>
      </c>
      <c r="AI291" s="11" t="n"/>
      <c r="AJ291" s="11">
        <f>IF(AI291&gt;12.7,IF(AI291&gt;15.8,0.93,0.98),1)</f>
        <v/>
      </c>
      <c r="AK291" s="11">
        <f>(1.2*AG291+AH291)*AJ291*AQ291</f>
        <v/>
      </c>
      <c r="AL291" s="10">
        <f>D291</f>
        <v/>
      </c>
      <c r="AM291" s="14">
        <f>B291</f>
        <v/>
      </c>
      <c r="AP291" s="13">
        <f>IF(AK291&gt;13.1,IF(Z291&lt;101,IF(Z291&lt;35,IF(Z291&lt;6,3,2),1),0),0)</f>
        <v/>
      </c>
      <c r="AQ291" s="11" t="n">
        <v>1</v>
      </c>
      <c r="AT291" s="11">
        <f>100*(AK291-AQ291)/AQ291</f>
        <v/>
      </c>
      <c r="AZ291" s="13" t="n"/>
    </row>
    <row r="292" ht="12.75" customHeight="1">
      <c r="G292" s="11">
        <f>100*(F292-E292)/F292</f>
        <v/>
      </c>
      <c r="P292" s="11">
        <f>O292/I292</f>
        <v/>
      </c>
      <c r="R292" s="2" t="n"/>
      <c r="S292" s="12" t="n">
        <v>5</v>
      </c>
      <c r="AA292" s="11">
        <f>IF(X292&lt;50,IF(Y292&gt;(2.3*X292),0,1),1)-IF(Z292&gt;Y292,1.7,0)</f>
        <v/>
      </c>
      <c r="AC292" s="11">
        <f>IF(U293&gt;9,1,0)+U293/3</f>
        <v/>
      </c>
      <c r="AG292" s="12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11">
        <f>AG292+IF(X292&lt;1.35,0,1)+IF(Y292&lt;1.35,0,1)+AC292+AA292</f>
        <v/>
      </c>
      <c r="AI292" s="11" t="n"/>
      <c r="AJ292" s="11">
        <f>IF(AI292&gt;12.7,IF(AI292&gt;15.8,0.93,0.98),1)</f>
        <v/>
      </c>
      <c r="AK292" s="11">
        <f>(1.2*AG292+AH292)*AJ292*AQ292</f>
        <v/>
      </c>
      <c r="AL292" s="10">
        <f>D292</f>
        <v/>
      </c>
      <c r="AM292" s="14">
        <f>B292</f>
        <v/>
      </c>
      <c r="AP292" s="13">
        <f>IF(AK292&gt;13.1,IF(Z292&lt;101,IF(Z292&lt;35,IF(Z292&lt;6,3,2),1),0),0)</f>
        <v/>
      </c>
      <c r="AQ292" s="11" t="n">
        <v>1</v>
      </c>
      <c r="AT292" s="11">
        <f>100*(AK292-AQ292)/AQ292</f>
        <v/>
      </c>
      <c r="AZ292" s="13" t="n"/>
    </row>
    <row r="293" ht="12.75" customHeight="1">
      <c r="G293" s="11">
        <f>100*(F293-E293)/F293</f>
        <v/>
      </c>
      <c r="P293" s="11">
        <f>O293/I293</f>
        <v/>
      </c>
      <c r="R293" s="2" t="n"/>
      <c r="S293" s="12" t="n">
        <v>5</v>
      </c>
      <c r="AA293" s="11">
        <f>IF(X293&lt;50,IF(Y293&gt;(2.3*X293),0,1),1)-IF(Z293&gt;Y293,1.7,0)</f>
        <v/>
      </c>
      <c r="AC293" s="11">
        <f>IF(U294&gt;9,1,0)+U294/3</f>
        <v/>
      </c>
      <c r="AG293" s="12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11">
        <f>AG293+IF(X293&lt;1.35,0,1)+IF(Y293&lt;1.35,0,1)+AC293+AA293</f>
        <v/>
      </c>
      <c r="AI293" s="11" t="n"/>
      <c r="AJ293" s="11">
        <f>IF(AI293&gt;12.7,IF(AI293&gt;15.8,0.93,0.98),1)</f>
        <v/>
      </c>
      <c r="AK293" s="11">
        <f>(1.2*AG293+AH293)*AJ293*AQ293</f>
        <v/>
      </c>
      <c r="AL293" s="10">
        <f>D293</f>
        <v/>
      </c>
      <c r="AM293" s="14">
        <f>B293</f>
        <v/>
      </c>
      <c r="AP293" s="13">
        <f>IF(AK293&gt;13.1,IF(Z293&lt;101,IF(Z293&lt;35,IF(Z293&lt;6,3,2),1),0),0)</f>
        <v/>
      </c>
      <c r="AQ293" s="11" t="n">
        <v>1</v>
      </c>
      <c r="AT293" s="11">
        <f>100*(AK293-AQ293)/AQ293</f>
        <v/>
      </c>
      <c r="AZ293" s="13" t="n"/>
    </row>
    <row r="294" ht="12.75" customHeight="1">
      <c r="G294" s="11">
        <f>100*(F294-E294)/F294</f>
        <v/>
      </c>
      <c r="P294" s="11">
        <f>O294/I294</f>
        <v/>
      </c>
      <c r="R294" s="2" t="n"/>
      <c r="S294" s="12" t="n">
        <v>5</v>
      </c>
      <c r="AA294" s="11">
        <f>IF(X294&lt;50,IF(Y294&gt;(2.3*X294),0,1),1)-IF(Z294&gt;Y294,1.7,0)</f>
        <v/>
      </c>
      <c r="AC294" s="11">
        <f>IF(U295&gt;9,1,0)+U295/3</f>
        <v/>
      </c>
      <c r="AG294" s="12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11">
        <f>AG294+IF(X294&lt;1.35,0,1)+IF(Y294&lt;1.35,0,1)+AC294+AA294</f>
        <v/>
      </c>
      <c r="AI294" s="11" t="n"/>
      <c r="AJ294" s="11">
        <f>IF(AI294&gt;12.7,IF(AI294&gt;15.8,0.93,0.98),1)</f>
        <v/>
      </c>
      <c r="AK294" s="11">
        <f>(1.2*AG294+AH294)*AJ294*AQ294</f>
        <v/>
      </c>
      <c r="AL294" s="10">
        <f>D294</f>
        <v/>
      </c>
      <c r="AM294" s="14">
        <f>B294</f>
        <v/>
      </c>
      <c r="AP294" s="13">
        <f>IF(AK294&gt;13.1,IF(Z294&lt;101,IF(Z294&lt;35,IF(Z294&lt;6,3,2),1),0),0)</f>
        <v/>
      </c>
      <c r="AQ294" s="11" t="n">
        <v>1</v>
      </c>
      <c r="AT294" s="11">
        <f>100*(AK294-AQ294)/AQ294</f>
        <v/>
      </c>
      <c r="AZ294" s="13" t="n"/>
    </row>
    <row r="295" ht="12.75" customHeight="1">
      <c r="G295" s="11">
        <f>100*(F295-E295)/F295</f>
        <v/>
      </c>
      <c r="P295" s="11">
        <f>O295/I295</f>
        <v/>
      </c>
      <c r="R295" s="2" t="n"/>
      <c r="S295" s="12" t="n">
        <v>5</v>
      </c>
      <c r="AA295" s="11">
        <f>IF(X295&lt;50,IF(Y295&gt;(2.3*X295),0,1),1)-IF(Z295&gt;Y295,1.7,0)</f>
        <v/>
      </c>
      <c r="AC295" s="11">
        <f>IF(U296&gt;9,1,0)+U296/3</f>
        <v/>
      </c>
      <c r="AG295" s="12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11">
        <f>AG295+IF(X295&lt;1.35,0,1)+IF(Y295&lt;1.35,0,1)+AC295+AA295</f>
        <v/>
      </c>
      <c r="AI295" s="11" t="n"/>
      <c r="AJ295" s="11">
        <f>IF(AI295&gt;12.7,IF(AI295&gt;15.8,0.93,0.98),1)</f>
        <v/>
      </c>
      <c r="AK295" s="11">
        <f>(1.2*AG295+AH295)*AJ295*AQ295</f>
        <v/>
      </c>
      <c r="AL295" s="10">
        <f>D295</f>
        <v/>
      </c>
      <c r="AM295" s="14">
        <f>B295</f>
        <v/>
      </c>
      <c r="AP295" s="13">
        <f>IF(AK295&gt;13.1,IF(Z295&lt;101,IF(Z295&lt;35,IF(Z295&lt;6,3,2),1),0),0)</f>
        <v/>
      </c>
      <c r="AQ295" s="11" t="n">
        <v>1</v>
      </c>
      <c r="AT295" s="11">
        <f>100*(AK295-AQ295)/AQ295</f>
        <v/>
      </c>
      <c r="AZ295" s="13" t="n"/>
    </row>
    <row r="296" ht="12.75" customHeight="1">
      <c r="G296" s="11">
        <f>100*(F296-E296)/F296</f>
        <v/>
      </c>
      <c r="P296" s="11">
        <f>O296/I296</f>
        <v/>
      </c>
      <c r="R296" s="2" t="n"/>
      <c r="S296" s="12" t="n">
        <v>5</v>
      </c>
      <c r="AA296" s="11">
        <f>IF(X296&lt;50,IF(Y296&gt;(2.3*X296),0,1),1)-IF(Z296&gt;Y296,1.7,0)</f>
        <v/>
      </c>
      <c r="AC296" s="11">
        <f>IF(U297&gt;9,1,0)+U297/3</f>
        <v/>
      </c>
      <c r="AG296" s="12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11">
        <f>AG296+IF(X296&lt;1.35,0,1)+IF(Y296&lt;1.35,0,1)+AC296+AA296</f>
        <v/>
      </c>
      <c r="AI296" s="11" t="n"/>
      <c r="AJ296" s="11">
        <f>IF(AI296&gt;12.7,IF(AI296&gt;15.8,0.93,0.98),1)</f>
        <v/>
      </c>
      <c r="AK296" s="11">
        <f>(1.2*AG296+AH296)*AJ296*AQ296</f>
        <v/>
      </c>
      <c r="AL296" s="10">
        <f>D296</f>
        <v/>
      </c>
      <c r="AM296" s="14">
        <f>B296</f>
        <v/>
      </c>
      <c r="AP296" s="13">
        <f>IF(AK296&gt;13.1,IF(Z296&lt;101,IF(Z296&lt;35,IF(Z296&lt;6,3,2),1),0),0)</f>
        <v/>
      </c>
      <c r="AQ296" s="11" t="n">
        <v>1</v>
      </c>
      <c r="AT296" s="11">
        <f>100*(AK296-AQ296)/AQ296</f>
        <v/>
      </c>
      <c r="AZ296" s="13" t="n"/>
    </row>
    <row r="297" ht="12.75" customHeight="1">
      <c r="G297" s="11">
        <f>100*(F297-E297)/F297</f>
        <v/>
      </c>
      <c r="P297" s="11">
        <f>O297/I297</f>
        <v/>
      </c>
      <c r="R297" s="2" t="n"/>
      <c r="S297" s="12" t="n">
        <v>5</v>
      </c>
      <c r="AA297" s="11">
        <f>IF(X297&lt;50,IF(Y297&gt;(2.3*X297),0,1),1)-IF(Z297&gt;Y297,1.7,0)</f>
        <v/>
      </c>
      <c r="AC297" s="11">
        <f>IF(U298&gt;9,1,0)+U298/3</f>
        <v/>
      </c>
      <c r="AG297" s="12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11">
        <f>AG297+IF(X297&lt;1.35,0,1)+IF(Y297&lt;1.35,0,1)+AC297+AA297</f>
        <v/>
      </c>
      <c r="AI297" s="11" t="n"/>
      <c r="AJ297" s="11">
        <f>IF(AI297&gt;12.7,IF(AI297&gt;15.8,0.93,0.98),1)</f>
        <v/>
      </c>
      <c r="AK297" s="11">
        <f>(1.2*AG297+AH297)*AJ297*AQ297</f>
        <v/>
      </c>
      <c r="AL297" s="10">
        <f>D297</f>
        <v/>
      </c>
      <c r="AM297" s="14">
        <f>B297</f>
        <v/>
      </c>
      <c r="AP297" s="13">
        <f>IF(AK297&gt;13.1,IF(Z297&lt;101,IF(Z297&lt;35,IF(Z297&lt;6,3,2),1),0),0)</f>
        <v/>
      </c>
      <c r="AQ297" s="11" t="n">
        <v>1</v>
      </c>
      <c r="AT297" s="11">
        <f>100*(AK297-AQ297)/AQ297</f>
        <v/>
      </c>
      <c r="AZ297" s="13" t="n"/>
    </row>
    <row r="298" ht="12.75" customHeight="1">
      <c r="G298" s="11">
        <f>100*(F298-E298)/F298</f>
        <v/>
      </c>
      <c r="P298" s="11">
        <f>O298/I298</f>
        <v/>
      </c>
      <c r="R298" s="2" t="n"/>
      <c r="S298" s="12" t="n">
        <v>5</v>
      </c>
      <c r="AA298" s="11">
        <f>IF(X298&lt;50,IF(Y298&gt;(2.3*X298),0,1),1)-IF(Z298&gt;Y298,1.7,0)</f>
        <v/>
      </c>
      <c r="AC298" s="11">
        <f>IF(U299&gt;9,1,0)+U299/3</f>
        <v/>
      </c>
      <c r="AG298" s="12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11">
        <f>AG298+IF(X298&lt;1.35,0,1)+IF(Y298&lt;1.35,0,1)+AC298+AA298</f>
        <v/>
      </c>
      <c r="AI298" s="11" t="n"/>
      <c r="AJ298" s="11">
        <f>IF(AI298&gt;12.7,IF(AI298&gt;15.8,0.93,0.98),1)</f>
        <v/>
      </c>
      <c r="AK298" s="11">
        <f>(1.2*AG298+AH298)*AJ298*AQ298</f>
        <v/>
      </c>
      <c r="AL298" s="10">
        <f>D298</f>
        <v/>
      </c>
      <c r="AM298" s="14">
        <f>B298</f>
        <v/>
      </c>
      <c r="AP298" s="13">
        <f>IF(AK298&gt;13.1,IF(Z298&lt;101,IF(Z298&lt;35,IF(Z298&lt;6,3,2),1),0),0)</f>
        <v/>
      </c>
      <c r="AQ298" s="11" t="n">
        <v>1</v>
      </c>
      <c r="AT298" s="11">
        <f>100*(AK298-AQ298)/AQ298</f>
        <v/>
      </c>
      <c r="AZ298" s="13" t="n"/>
    </row>
    <row r="299" ht="12.75" customHeight="1">
      <c r="G299" s="11">
        <f>100*(F299-E299)/F299</f>
        <v/>
      </c>
      <c r="P299" s="11">
        <f>O299/I299</f>
        <v/>
      </c>
      <c r="R299" s="2" t="n"/>
      <c r="S299" s="12" t="n">
        <v>5</v>
      </c>
      <c r="AA299" s="11">
        <f>IF(X299&lt;50,IF(Y299&gt;(2.3*X299),0,1),1)-IF(Z299&gt;Y299,1.7,0)</f>
        <v/>
      </c>
      <c r="AC299" s="11">
        <f>IF(U300&gt;9,1,0)+U300/3</f>
        <v/>
      </c>
      <c r="AG299" s="12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11">
        <f>AG299+IF(X299&lt;1.35,0,1)+IF(Y299&lt;1.35,0,1)+AC299+AA299</f>
        <v/>
      </c>
      <c r="AI299" s="11" t="n"/>
      <c r="AJ299" s="11">
        <f>IF(AI299&gt;12.7,IF(AI299&gt;15.8,0.93,0.98),1)</f>
        <v/>
      </c>
      <c r="AK299" s="11">
        <f>(1.2*AG299+AH299)*AJ299*AQ299</f>
        <v/>
      </c>
      <c r="AL299" s="10">
        <f>D299</f>
        <v/>
      </c>
      <c r="AM299" s="14">
        <f>B299</f>
        <v/>
      </c>
      <c r="AP299" s="13">
        <f>IF(AK299&gt;13.1,IF(Z299&lt;101,IF(Z299&lt;35,IF(Z299&lt;6,3,2),1),0),0)</f>
        <v/>
      </c>
      <c r="AQ299" s="11" t="n">
        <v>1</v>
      </c>
      <c r="AT299" s="11">
        <f>100*(AK299-AQ299)/AQ299</f>
        <v/>
      </c>
      <c r="AZ299" s="13" t="n"/>
    </row>
    <row r="300" ht="12.75" customHeight="1">
      <c r="G300" s="11">
        <f>100*(F300-E300)/F300</f>
        <v/>
      </c>
      <c r="P300" s="11">
        <f>O300/I300</f>
        <v/>
      </c>
      <c r="R300" s="2" t="n"/>
      <c r="S300" s="12" t="n">
        <v>5</v>
      </c>
      <c r="AA300" s="11">
        <f>IF(X300&lt;50,IF(Y300&gt;(2.3*X300),0,1),1)-IF(Z300&gt;Y300,1.7,0)</f>
        <v/>
      </c>
      <c r="AC300" s="11">
        <f>IF(U301&gt;9,1,0)+U301/3</f>
        <v/>
      </c>
      <c r="AG300" s="12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11">
        <f>AG300+IF(X300&lt;1.35,0,1)+IF(Y300&lt;1.35,0,1)+AC300+AA300</f>
        <v/>
      </c>
      <c r="AI300" s="11" t="n"/>
      <c r="AJ300" s="11">
        <f>IF(AI300&gt;12.7,IF(AI300&gt;15.8,0.93,0.98),1)</f>
        <v/>
      </c>
      <c r="AK300" s="11">
        <f>(1.2*AG300+AH300)*AJ300*AQ300</f>
        <v/>
      </c>
      <c r="AL300" s="10">
        <f>D300</f>
        <v/>
      </c>
      <c r="AM300" s="14">
        <f>B300</f>
        <v/>
      </c>
      <c r="AP300" s="13">
        <f>IF(AK300&gt;13.1,IF(Z300&lt;101,IF(Z300&lt;35,IF(Z300&lt;6,3,2),1),0),0)</f>
        <v/>
      </c>
      <c r="AQ300" s="11" t="n">
        <v>1</v>
      </c>
      <c r="AT300" s="11">
        <f>100*(AK300-AQ300)/AQ300</f>
        <v/>
      </c>
      <c r="AZ300" s="13" t="n"/>
    </row>
    <row r="301" ht="12.75" customHeight="1">
      <c r="G301" s="11">
        <f>100*(F301-E301)/F301</f>
        <v/>
      </c>
      <c r="P301" s="11">
        <f>O301/I301</f>
        <v/>
      </c>
      <c r="R301" s="2" t="n"/>
      <c r="S301" s="12" t="n">
        <v>5</v>
      </c>
      <c r="AA301" s="11">
        <f>IF(X301&lt;50,IF(Y301&gt;(2.3*X301),0,1),1)-IF(Z301&gt;Y301,1.7,0)</f>
        <v/>
      </c>
      <c r="AC301" s="11">
        <f>IF(U302&gt;9,1,0)+U302/3</f>
        <v/>
      </c>
      <c r="AG301" s="12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11">
        <f>AG301+IF(X301&lt;1.35,0,1)+IF(Y301&lt;1.35,0,1)+AC301+AA301</f>
        <v/>
      </c>
      <c r="AI301" s="11" t="n"/>
      <c r="AJ301" s="11">
        <f>IF(AI301&gt;12.7,IF(AI301&gt;15.8,0.93,0.98),1)</f>
        <v/>
      </c>
      <c r="AK301" s="11">
        <f>(1.2*AG301+AH301)*AJ301*AQ301</f>
        <v/>
      </c>
      <c r="AL301" s="10">
        <f>D301</f>
        <v/>
      </c>
      <c r="AM301" s="14">
        <f>B301</f>
        <v/>
      </c>
      <c r="AP301" s="13">
        <f>IF(AK301&gt;13.1,IF(Z301&lt;101,IF(Z301&lt;35,IF(Z301&lt;6,3,2),1),0),0)</f>
        <v/>
      </c>
      <c r="AQ301" s="11" t="n">
        <v>1</v>
      </c>
      <c r="AT301" s="11">
        <f>100*(AK301-AQ301)/AQ301</f>
        <v/>
      </c>
      <c r="AZ301" s="13" t="n"/>
    </row>
    <row r="302" ht="12.75" customHeight="1">
      <c r="G302" s="11">
        <f>100*(F302-E302)/F302</f>
        <v/>
      </c>
      <c r="P302" s="11">
        <f>O302/I302</f>
        <v/>
      </c>
      <c r="R302" s="2" t="n"/>
      <c r="S302" s="12" t="n">
        <v>5</v>
      </c>
      <c r="AA302" s="11">
        <f>IF(X302&lt;50,IF(Y302&gt;(2.3*X302),0,1),1)-IF(Z302&gt;Y302,1.7,0)</f>
        <v/>
      </c>
      <c r="AC302" s="11">
        <f>IF(U303&gt;9,1,0)+U303/3</f>
        <v/>
      </c>
      <c r="AG302" s="12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11">
        <f>AG302+IF(X302&lt;1.35,0,1)+IF(Y302&lt;1.35,0,1)+AC302+AA302</f>
        <v/>
      </c>
      <c r="AI302" s="11" t="n"/>
      <c r="AJ302" s="11">
        <f>IF(AI302&gt;12.7,IF(AI302&gt;15.8,0.93,0.98),1)</f>
        <v/>
      </c>
      <c r="AK302" s="11">
        <f>(1.2*AG302+AH302)*AJ302*AQ302</f>
        <v/>
      </c>
      <c r="AL302" s="10">
        <f>D302</f>
        <v/>
      </c>
      <c r="AM302" s="14">
        <f>B302</f>
        <v/>
      </c>
      <c r="AP302" s="13">
        <f>IF(AK302&gt;13.1,IF(Z302&lt;101,IF(Z302&lt;35,IF(Z302&lt;6,3,2),1),0),0)</f>
        <v/>
      </c>
      <c r="AQ302" s="11" t="n">
        <v>1</v>
      </c>
      <c r="AT302" s="11">
        <f>100*(AK302-AQ302)/AQ302</f>
        <v/>
      </c>
      <c r="AZ302" s="13" t="n"/>
    </row>
    <row r="303" ht="12.75" customHeight="1">
      <c r="G303" s="11">
        <f>100*(F303-E303)/F303</f>
        <v/>
      </c>
      <c r="P303" s="11">
        <f>O303/I303</f>
        <v/>
      </c>
      <c r="R303" s="2" t="n"/>
      <c r="S303" s="12" t="n">
        <v>5</v>
      </c>
      <c r="AA303" s="11">
        <f>IF(X303&lt;50,IF(Y303&gt;(2.3*X303),0,1),1)-IF(Z303&gt;Y303,1.7,0)</f>
        <v/>
      </c>
      <c r="AC303" s="11">
        <f>IF(U304&gt;9,1,0)+U304/3</f>
        <v/>
      </c>
      <c r="AG303" s="12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11">
        <f>AG303+IF(X303&lt;1.35,0,1)+IF(Y303&lt;1.35,0,1)+AC303+AA303</f>
        <v/>
      </c>
      <c r="AI303" s="11" t="n"/>
      <c r="AJ303" s="11">
        <f>IF(AI303&gt;12.7,IF(AI303&gt;15.8,0.93,0.98),1)</f>
        <v/>
      </c>
      <c r="AK303" s="11">
        <f>(1.2*AG303+AH303)*AJ303*AQ303</f>
        <v/>
      </c>
      <c r="AL303" s="10">
        <f>D303</f>
        <v/>
      </c>
      <c r="AM303" s="14">
        <f>B303</f>
        <v/>
      </c>
      <c r="AP303" s="13">
        <f>IF(AK303&gt;13.1,IF(Z303&lt;101,IF(Z303&lt;35,IF(Z303&lt;6,3,2),1),0),0)</f>
        <v/>
      </c>
      <c r="AQ303" s="11" t="n">
        <v>1</v>
      </c>
      <c r="AT303" s="11">
        <f>100*(AK303-AQ303)/AQ303</f>
        <v/>
      </c>
      <c r="AZ303" s="13" t="n"/>
    </row>
    <row r="304" ht="12.75" customHeight="1">
      <c r="G304" s="11">
        <f>100*(F304-E304)/F304</f>
        <v/>
      </c>
      <c r="P304" s="11">
        <f>O304/I304</f>
        <v/>
      </c>
      <c r="R304" s="2" t="n"/>
      <c r="S304" s="12" t="n">
        <v>5</v>
      </c>
      <c r="AA304" s="11">
        <f>IF(X304&lt;50,IF(Y304&gt;(2.3*X304),0,1),1)-IF(Z304&gt;Y304,1.7,0)</f>
        <v/>
      </c>
      <c r="AC304" s="11">
        <f>IF(U305&gt;9,1,0)+U305/3</f>
        <v/>
      </c>
      <c r="AG304" s="12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11">
        <f>AG304+IF(X304&lt;1.35,0,1)+IF(Y304&lt;1.35,0,1)+AC304+AA304</f>
        <v/>
      </c>
      <c r="AI304" s="11" t="n"/>
      <c r="AJ304" s="11">
        <f>IF(AI304&gt;12.7,IF(AI304&gt;15.8,0.93,0.98),1)</f>
        <v/>
      </c>
      <c r="AK304" s="11">
        <f>(1.2*AG304+AH304)*AJ304*AQ304</f>
        <v/>
      </c>
      <c r="AL304" s="10">
        <f>D304</f>
        <v/>
      </c>
      <c r="AM304" s="14">
        <f>B304</f>
        <v/>
      </c>
      <c r="AP304" s="13">
        <f>IF(AK304&gt;13.1,IF(Z304&lt;101,IF(Z304&lt;35,IF(Z304&lt;6,3,2),1),0),0)</f>
        <v/>
      </c>
      <c r="AQ304" s="11" t="n">
        <v>1</v>
      </c>
      <c r="AT304" s="11">
        <f>100*(AK304-AQ304)/AQ304</f>
        <v/>
      </c>
      <c r="AZ304" s="13" t="n"/>
    </row>
    <row r="305" ht="12.75" customHeight="1">
      <c r="G305" s="11">
        <f>100*(F305-E305)/F305</f>
        <v/>
      </c>
      <c r="P305" s="11">
        <f>O305/I305</f>
        <v/>
      </c>
      <c r="R305" s="2" t="n"/>
      <c r="S305" s="12" t="n">
        <v>5</v>
      </c>
      <c r="AA305" s="11">
        <f>IF(X305&lt;50,IF(Y305&gt;(2.3*X305),0,1),1)-IF(Z305&gt;Y305,1.7,0)</f>
        <v/>
      </c>
      <c r="AC305" s="11">
        <f>IF(U306&gt;9,1,0)+U306/3</f>
        <v/>
      </c>
      <c r="AG305" s="12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11">
        <f>AG305+IF(X305&lt;1.35,0,1)+IF(Y305&lt;1.35,0,1)+AC305+AA305</f>
        <v/>
      </c>
      <c r="AI305" s="11" t="n"/>
      <c r="AJ305" s="11">
        <f>IF(AI305&gt;12.7,IF(AI305&gt;15.8,0.93,0.98),1)</f>
        <v/>
      </c>
      <c r="AK305" s="11">
        <f>(1.2*AG305+AH305)*AJ305*AQ305</f>
        <v/>
      </c>
      <c r="AL305" s="10">
        <f>D305</f>
        <v/>
      </c>
      <c r="AM305" s="14">
        <f>B305</f>
        <v/>
      </c>
      <c r="AP305" s="13">
        <f>IF(AK305&gt;13.1,IF(Z305&lt;101,IF(Z305&lt;35,IF(Z305&lt;6,3,2),1),0),0)</f>
        <v/>
      </c>
      <c r="AQ305" s="11" t="n">
        <v>1</v>
      </c>
      <c r="AT305" s="11">
        <f>100*(AK305-AQ305)/AQ305</f>
        <v/>
      </c>
      <c r="AZ305" s="13" t="n"/>
    </row>
    <row r="306" ht="12.75" customHeight="1">
      <c r="G306" s="11">
        <f>100*(F306-E306)/F306</f>
        <v/>
      </c>
      <c r="P306" s="11">
        <f>O306/I306</f>
        <v/>
      </c>
      <c r="R306" s="2" t="n"/>
      <c r="S306" s="12" t="n">
        <v>5</v>
      </c>
      <c r="AA306" s="11">
        <f>IF(X306&lt;50,IF(Y306&gt;(2.3*X306),0,1),1)-IF(Z306&gt;Y306,1.7,0)</f>
        <v/>
      </c>
      <c r="AC306" s="11">
        <f>IF(U307&gt;9,1,0)+U307/3</f>
        <v/>
      </c>
      <c r="AG306" s="12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11">
        <f>AG306+IF(X306&lt;1.35,0,1)+IF(Y306&lt;1.35,0,1)+AC306+AA306</f>
        <v/>
      </c>
      <c r="AI306" s="11" t="n"/>
      <c r="AJ306" s="11">
        <f>IF(AI306&gt;12.7,IF(AI306&gt;15.8,0.93,0.98),1)</f>
        <v/>
      </c>
      <c r="AK306" s="11">
        <f>(1.2*AG306+AH306)*AJ306*AQ306</f>
        <v/>
      </c>
      <c r="AL306" s="10">
        <f>D306</f>
        <v/>
      </c>
      <c r="AM306" s="14">
        <f>B306</f>
        <v/>
      </c>
      <c r="AP306" s="13">
        <f>IF(AK306&gt;13.1,IF(Z306&lt;101,IF(Z306&lt;35,IF(Z306&lt;6,3,2),1),0),0)</f>
        <v/>
      </c>
      <c r="AQ306" s="11" t="n">
        <v>1</v>
      </c>
      <c r="AT306" s="11">
        <f>100*(AK306-AQ306)/AQ306</f>
        <v/>
      </c>
      <c r="AZ306" s="13" t="n"/>
    </row>
    <row r="307" ht="12.75" customHeight="1">
      <c r="G307" s="11">
        <f>100*(F307-E307)/F307</f>
        <v/>
      </c>
      <c r="P307" s="11">
        <f>O307/I307</f>
        <v/>
      </c>
      <c r="R307" s="2" t="n"/>
      <c r="S307" s="12" t="n">
        <v>5</v>
      </c>
      <c r="AA307" s="11">
        <f>IF(X307&lt;50,IF(Y307&gt;(2.3*X307),0,1),1)-IF(Z307&gt;Y307,1.7,0)</f>
        <v/>
      </c>
      <c r="AC307" s="11">
        <f>IF(U308&gt;9,1,0)+U308/3</f>
        <v/>
      </c>
      <c r="AG307" s="12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11">
        <f>AG307+IF(X307&lt;1.35,0,1)+IF(Y307&lt;1.35,0,1)+AC307+AA307</f>
        <v/>
      </c>
      <c r="AI307" s="11" t="n"/>
      <c r="AJ307" s="11">
        <f>IF(AI307&gt;12.7,IF(AI307&gt;15.8,0.93,0.98),1)</f>
        <v/>
      </c>
      <c r="AK307" s="11">
        <f>(1.2*AG307+AH307)*AJ307*AQ307</f>
        <v/>
      </c>
      <c r="AL307" s="10">
        <f>D307</f>
        <v/>
      </c>
      <c r="AM307" s="14">
        <f>B307</f>
        <v/>
      </c>
      <c r="AP307" s="13">
        <f>IF(AK307&gt;13.1,IF(Z307&lt;101,IF(Z307&lt;35,IF(Z307&lt;6,3,2),1),0),0)</f>
        <v/>
      </c>
      <c r="AQ307" s="11" t="n">
        <v>1</v>
      </c>
      <c r="AT307" s="11">
        <f>100*(AK307-AQ307)/AQ307</f>
        <v/>
      </c>
      <c r="AZ307" s="13" t="n"/>
    </row>
    <row r="308" ht="12.75" customHeight="1">
      <c r="G308" s="11">
        <f>100*(F308-E308)/F308</f>
        <v/>
      </c>
      <c r="P308" s="11">
        <f>O308/I308</f>
        <v/>
      </c>
      <c r="R308" s="2" t="n"/>
      <c r="S308" s="12" t="n">
        <v>5</v>
      </c>
      <c r="AA308" s="11">
        <f>IF(X308&lt;50,IF(Y308&gt;(2.3*X308),0,1),1)-IF(Z308&gt;Y308,1.7,0)</f>
        <v/>
      </c>
      <c r="AC308" s="11">
        <f>IF(U309&gt;9,1,0)+U309/3</f>
        <v/>
      </c>
      <c r="AG308" s="12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11">
        <f>AG308+IF(X308&lt;1.35,0,1)+IF(Y308&lt;1.35,0,1)+AC308+AA308</f>
        <v/>
      </c>
      <c r="AI308" s="11" t="n"/>
      <c r="AJ308" s="11">
        <f>IF(AI308&gt;12.7,IF(AI308&gt;15.8,0.93,0.98),1)</f>
        <v/>
      </c>
      <c r="AK308" s="11">
        <f>(1.2*AG308+AH308)*AJ308*AQ308</f>
        <v/>
      </c>
      <c r="AL308" s="10">
        <f>D308</f>
        <v/>
      </c>
      <c r="AM308" s="14">
        <f>B308</f>
        <v/>
      </c>
      <c r="AP308" s="13">
        <f>IF(AK308&gt;13.1,IF(Z308&lt;101,IF(Z308&lt;35,IF(Z308&lt;6,3,2),1),0),0)</f>
        <v/>
      </c>
      <c r="AQ308" s="11" t="n">
        <v>1</v>
      </c>
      <c r="AT308" s="11">
        <f>100*(AK308-AQ308)/AQ308</f>
        <v/>
      </c>
      <c r="AZ308" s="13" t="n"/>
    </row>
    <row r="309" ht="12.75" customHeight="1">
      <c r="G309" s="11">
        <f>100*(F309-E309)/F309</f>
        <v/>
      </c>
      <c r="P309" s="11">
        <f>O309/I309</f>
        <v/>
      </c>
      <c r="R309" s="2" t="n"/>
      <c r="S309" s="12" t="n">
        <v>5</v>
      </c>
      <c r="AA309" s="11">
        <f>IF(X309&lt;50,IF(Y309&gt;(2.3*X309),0,1),1)-IF(Z309&gt;Y309,1.7,0)</f>
        <v/>
      </c>
      <c r="AC309" s="11">
        <f>IF(U310&gt;9,1,0)+U310/3</f>
        <v/>
      </c>
      <c r="AG309" s="12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11">
        <f>AG309+IF(X309&lt;1.35,0,1)+IF(Y309&lt;1.35,0,1)+AC309+AA309</f>
        <v/>
      </c>
      <c r="AI309" s="11" t="n"/>
      <c r="AJ309" s="11">
        <f>IF(AI309&gt;12.7,IF(AI309&gt;15.8,0.93,0.98),1)</f>
        <v/>
      </c>
      <c r="AK309" s="11">
        <f>(1.2*AG309+AH309)*AJ309*AQ309</f>
        <v/>
      </c>
      <c r="AL309" s="10">
        <f>D309</f>
        <v/>
      </c>
      <c r="AM309" s="14">
        <f>B309</f>
        <v/>
      </c>
      <c r="AP309" s="13">
        <f>IF(AK309&gt;13.1,IF(Z309&lt;101,IF(Z309&lt;35,IF(Z309&lt;6,3,2),1),0),0)</f>
        <v/>
      </c>
      <c r="AQ309" s="11" t="n">
        <v>1</v>
      </c>
      <c r="AT309" s="11">
        <f>100*(AK309-AQ309)/AQ309</f>
        <v/>
      </c>
      <c r="AZ309" s="13" t="n"/>
    </row>
    <row r="310" ht="12.75" customHeight="1">
      <c r="G310" s="11">
        <f>100*(F310-E310)/F310</f>
        <v/>
      </c>
      <c r="P310" s="11">
        <f>O310/I310</f>
        <v/>
      </c>
      <c r="R310" s="2" t="n"/>
      <c r="S310" s="12" t="n">
        <v>5</v>
      </c>
      <c r="AA310" s="11">
        <f>IF(X310&lt;50,IF(Y310&gt;(2.3*X310),0,1),1)-IF(Z310&gt;Y310,1.7,0)</f>
        <v/>
      </c>
      <c r="AC310" s="11">
        <f>IF(U311&gt;9,1,0)+U311/3</f>
        <v/>
      </c>
      <c r="AG310" s="12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11">
        <f>AG310+IF(X310&lt;1.35,0,1)+IF(Y310&lt;1.35,0,1)+AC310+AA310</f>
        <v/>
      </c>
      <c r="AI310" s="11" t="n"/>
      <c r="AJ310" s="11">
        <f>IF(AI310&gt;12.7,IF(AI310&gt;15.8,0.93,0.98),1)</f>
        <v/>
      </c>
      <c r="AK310" s="11">
        <f>(1.2*AG310+AH310)*AJ310*AQ310</f>
        <v/>
      </c>
      <c r="AL310" s="10">
        <f>D310</f>
        <v/>
      </c>
      <c r="AM310" s="14">
        <f>B310</f>
        <v/>
      </c>
      <c r="AP310" s="13">
        <f>IF(AK310&gt;13.1,IF(Z310&lt;101,IF(Z310&lt;35,IF(Z310&lt;6,3,2),1),0),0)</f>
        <v/>
      </c>
      <c r="AQ310" s="11" t="n">
        <v>1</v>
      </c>
      <c r="AT310" s="11">
        <f>100*(AK310-AQ310)/AQ310</f>
        <v/>
      </c>
      <c r="AZ310" s="13" t="n"/>
    </row>
    <row r="311" ht="12.75" customHeight="1">
      <c r="G311" s="11">
        <f>100*(F311-E311)/F311</f>
        <v/>
      </c>
      <c r="P311" s="11">
        <f>O311/I311</f>
        <v/>
      </c>
      <c r="R311" s="2" t="n"/>
      <c r="S311" s="12" t="n">
        <v>5</v>
      </c>
      <c r="AA311" s="11">
        <f>IF(X311&lt;50,IF(Y311&gt;(2.3*X311),0,1),1)-IF(Z311&gt;Y311,1.7,0)</f>
        <v/>
      </c>
      <c r="AC311" s="11">
        <f>IF(U312&gt;9,1,0)+U312/3</f>
        <v/>
      </c>
      <c r="AG311" s="12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11">
        <f>AG311+IF(X311&lt;1.35,0,1)+IF(Y311&lt;1.35,0,1)+AC311+AA311</f>
        <v/>
      </c>
      <c r="AI311" s="11" t="n"/>
      <c r="AJ311" s="11">
        <f>IF(AI311&gt;12.7,IF(AI311&gt;15.8,0.93,0.98),1)</f>
        <v/>
      </c>
      <c r="AK311" s="11">
        <f>(1.2*AG311+AH311)*AJ311*AQ311</f>
        <v/>
      </c>
      <c r="AL311" s="10">
        <f>D311</f>
        <v/>
      </c>
      <c r="AM311" s="14">
        <f>B311</f>
        <v/>
      </c>
      <c r="AP311" s="13">
        <f>IF(AK311&gt;13.1,IF(Z311&lt;101,IF(Z311&lt;35,IF(Z311&lt;6,3,2),1),0),0)</f>
        <v/>
      </c>
      <c r="AQ311" s="11" t="n">
        <v>1</v>
      </c>
      <c r="AT311" s="11">
        <f>100*(AK311-AQ311)/AQ311</f>
        <v/>
      </c>
      <c r="AZ311" s="13" t="n"/>
    </row>
    <row r="312" ht="12.75" customHeight="1">
      <c r="G312" s="11">
        <f>100*(F312-E312)/F312</f>
        <v/>
      </c>
      <c r="P312" s="11">
        <f>O312/I312</f>
        <v/>
      </c>
      <c r="R312" s="2" t="n"/>
      <c r="S312" s="12" t="n">
        <v>5</v>
      </c>
      <c r="AA312" s="11">
        <f>IF(X312&lt;50,IF(Y312&gt;(2.3*X312),0,1),1)-IF(Z312&gt;Y312,1.7,0)</f>
        <v/>
      </c>
      <c r="AC312" s="11">
        <f>IF(U313&gt;9,1,0)+U313/3</f>
        <v/>
      </c>
      <c r="AG312" s="12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11">
        <f>AG312+IF(X312&lt;1.35,0,1)+IF(Y312&lt;1.35,0,1)+AC312+AA312</f>
        <v/>
      </c>
      <c r="AI312" s="11" t="n"/>
      <c r="AJ312" s="11">
        <f>IF(AI312&gt;12.7,IF(AI312&gt;15.8,0.93,0.98),1)</f>
        <v/>
      </c>
      <c r="AK312" s="11">
        <f>(1.2*AG312+AH312)*AJ312*AQ312</f>
        <v/>
      </c>
      <c r="AL312" s="10">
        <f>D312</f>
        <v/>
      </c>
      <c r="AM312" s="14">
        <f>B312</f>
        <v/>
      </c>
      <c r="AP312" s="13">
        <f>IF(AK312&gt;13.1,IF(Z312&lt;101,IF(Z312&lt;35,IF(Z312&lt;6,3,2),1),0),0)</f>
        <v/>
      </c>
      <c r="AQ312" s="11" t="n">
        <v>1</v>
      </c>
      <c r="AT312" s="11">
        <f>100*(AK312-AQ312)/AQ312</f>
        <v/>
      </c>
      <c r="AZ312" s="13" t="n"/>
    </row>
    <row r="313" ht="12.75" customHeight="1">
      <c r="G313" s="11">
        <f>100*(F313-E313)/F313</f>
        <v/>
      </c>
      <c r="P313" s="11">
        <f>O313/I313</f>
        <v/>
      </c>
      <c r="R313" s="2" t="n"/>
      <c r="S313" s="12" t="n">
        <v>5</v>
      </c>
      <c r="AA313" s="11">
        <f>IF(X313&lt;50,IF(Y313&gt;(2.3*X313),0,1),1)-IF(Z313&gt;Y313,1.7,0)</f>
        <v/>
      </c>
      <c r="AC313" s="11">
        <f>IF(U314&gt;9,1,0)+U314/3</f>
        <v/>
      </c>
      <c r="AG313" s="12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11">
        <f>AG313+IF(X313&lt;1.35,0,1)+IF(Y313&lt;1.35,0,1)+AC313+AA313</f>
        <v/>
      </c>
      <c r="AI313" s="11" t="n"/>
      <c r="AJ313" s="11">
        <f>IF(AI313&gt;12.7,IF(AI313&gt;15.8,0.93,0.98),1)</f>
        <v/>
      </c>
      <c r="AK313" s="11">
        <f>(1.2*AG313+AH313)*AJ313*AQ313</f>
        <v/>
      </c>
      <c r="AL313" s="10">
        <f>D313</f>
        <v/>
      </c>
      <c r="AM313" s="14">
        <f>B313</f>
        <v/>
      </c>
      <c r="AP313" s="13">
        <f>IF(AK313&gt;13.1,IF(Z313&lt;101,IF(Z313&lt;35,IF(Z313&lt;6,3,2),1),0),0)</f>
        <v/>
      </c>
      <c r="AQ313" s="11" t="n">
        <v>1</v>
      </c>
      <c r="AT313" s="11">
        <f>100*(AK313-AQ313)/AQ313</f>
        <v/>
      </c>
      <c r="AZ313" s="13" t="n"/>
    </row>
    <row r="314" ht="12.75" customHeight="1">
      <c r="G314" s="11">
        <f>100*(F314-E314)/F314</f>
        <v/>
      </c>
      <c r="P314" s="11">
        <f>O314/I314</f>
        <v/>
      </c>
      <c r="R314" s="2" t="n"/>
      <c r="S314" s="12" t="n">
        <v>5</v>
      </c>
      <c r="AA314" s="11">
        <f>IF(X314&lt;50,IF(Y314&gt;(2.3*X314),0,1),1)-IF(Z314&gt;Y314,1.7,0)</f>
        <v/>
      </c>
      <c r="AC314" s="11">
        <f>IF(U315&gt;9,1,0)+U315/3</f>
        <v/>
      </c>
      <c r="AG314" s="12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11">
        <f>AG314+IF(X314&lt;1.35,0,1)+IF(Y314&lt;1.35,0,1)+AC314+AA314</f>
        <v/>
      </c>
      <c r="AI314" s="11" t="n"/>
      <c r="AJ314" s="11">
        <f>IF(AI314&gt;12.7,IF(AI314&gt;15.8,0.93,0.98),1)</f>
        <v/>
      </c>
      <c r="AK314" s="11">
        <f>(1.2*AG314+AH314)*AJ314*AQ314</f>
        <v/>
      </c>
      <c r="AL314" s="10">
        <f>D314</f>
        <v/>
      </c>
      <c r="AM314" s="14">
        <f>B314</f>
        <v/>
      </c>
      <c r="AP314" s="13">
        <f>IF(AK314&gt;13.1,IF(Z314&lt;101,IF(Z314&lt;35,IF(Z314&lt;6,3,2),1),0),0)</f>
        <v/>
      </c>
      <c r="AQ314" s="11" t="n">
        <v>1</v>
      </c>
      <c r="AT314" s="11">
        <f>100*(AK314-AQ314)/AQ314</f>
        <v/>
      </c>
      <c r="AZ314" s="13" t="n"/>
    </row>
    <row r="315" ht="12.75" customHeight="1">
      <c r="G315" s="11">
        <f>100*(F315-E315)/F315</f>
        <v/>
      </c>
      <c r="P315" s="11">
        <f>O315/I315</f>
        <v/>
      </c>
      <c r="R315" s="2" t="n"/>
      <c r="S315" s="12" t="n">
        <v>5</v>
      </c>
      <c r="AA315" s="11">
        <f>IF(X315&lt;50,IF(Y315&gt;(2.3*X315),0,1),1)-IF(Z315&gt;Y315,1.7,0)</f>
        <v/>
      </c>
      <c r="AC315" s="11">
        <f>IF(U316&gt;9,1,0)+U316/3</f>
        <v/>
      </c>
      <c r="AG315" s="12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11">
        <f>AG315+IF(X315&lt;1.35,0,1)+IF(Y315&lt;1.35,0,1)+AC315+AA315</f>
        <v/>
      </c>
      <c r="AI315" s="11" t="n"/>
      <c r="AJ315" s="11">
        <f>IF(AI315&gt;12.7,IF(AI315&gt;15.8,0.93,0.98),1)</f>
        <v/>
      </c>
      <c r="AK315" s="11">
        <f>(1.2*AG315+AH315)*AJ315*AQ315</f>
        <v/>
      </c>
      <c r="AL315" s="10">
        <f>D315</f>
        <v/>
      </c>
      <c r="AM315" s="14">
        <f>B315</f>
        <v/>
      </c>
      <c r="AP315" s="13">
        <f>IF(AK315&gt;13.1,IF(Z315&lt;101,IF(Z315&lt;35,IF(Z315&lt;6,3,2),1),0),0)</f>
        <v/>
      </c>
      <c r="AQ315" s="11" t="n">
        <v>1</v>
      </c>
      <c r="AT315" s="11">
        <f>100*(AK315-AQ315)/AQ315</f>
        <v/>
      </c>
      <c r="AZ315" s="13" t="n"/>
    </row>
    <row r="316" ht="12.75" customHeight="1">
      <c r="G316" s="11">
        <f>100*(F316-E316)/F316</f>
        <v/>
      </c>
      <c r="P316" s="11">
        <f>O316/I316</f>
        <v/>
      </c>
      <c r="R316" s="2" t="n"/>
      <c r="S316" s="12" t="n">
        <v>5</v>
      </c>
      <c r="AA316" s="11">
        <f>IF(X316&lt;50,IF(Y316&gt;(2.3*X316),0,1),1)-IF(Z316&gt;Y316,1.7,0)</f>
        <v/>
      </c>
      <c r="AC316" s="11">
        <f>IF(U317&gt;9,1,0)+U317/3</f>
        <v/>
      </c>
      <c r="AG316" s="12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11">
        <f>AG316+IF(X316&lt;1.35,0,1)+IF(Y316&lt;1.35,0,1)+AC316+AA316</f>
        <v/>
      </c>
      <c r="AI316" s="11" t="n"/>
      <c r="AJ316" s="11">
        <f>IF(AI316&gt;12.7,IF(AI316&gt;15.8,0.93,0.98),1)</f>
        <v/>
      </c>
      <c r="AK316" s="11">
        <f>(1.2*AG316+AH316)*AJ316*AQ316</f>
        <v/>
      </c>
      <c r="AL316" s="10">
        <f>D316</f>
        <v/>
      </c>
      <c r="AM316" s="14">
        <f>B316</f>
        <v/>
      </c>
      <c r="AP316" s="13">
        <f>IF(AK316&gt;13.1,IF(Z316&lt;101,IF(Z316&lt;35,IF(Z316&lt;6,3,2),1),0),0)</f>
        <v/>
      </c>
      <c r="AQ316" s="11" t="n">
        <v>1</v>
      </c>
      <c r="AT316" s="11">
        <f>100*(AK316-AQ316)/AQ316</f>
        <v/>
      </c>
      <c r="AZ316" s="13" t="n"/>
    </row>
    <row r="317" ht="12.75" customHeight="1">
      <c r="G317" s="11">
        <f>100*(F317-E317)/F317</f>
        <v/>
      </c>
      <c r="P317" s="11">
        <f>O317/I317</f>
        <v/>
      </c>
      <c r="R317" s="2" t="n"/>
      <c r="S317" s="12" t="n">
        <v>5</v>
      </c>
      <c r="AA317" s="11">
        <f>IF(X317&lt;50,IF(Y317&gt;(2.3*X317),0,1),1)-IF(Z317&gt;Y317,1.7,0)</f>
        <v/>
      </c>
      <c r="AC317" s="11">
        <f>IF(U318&gt;9,1,0)+U318/3</f>
        <v/>
      </c>
      <c r="AG317" s="12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11">
        <f>AG317+IF(X317&lt;1.35,0,1)+IF(Y317&lt;1.35,0,1)+AC317+AA317</f>
        <v/>
      </c>
      <c r="AI317" s="11" t="n"/>
      <c r="AJ317" s="11">
        <f>IF(AI317&gt;12.7,IF(AI317&gt;15.8,0.93,0.98),1)</f>
        <v/>
      </c>
      <c r="AK317" s="11">
        <f>(1.2*AG317+AH317)*AJ317*AQ317</f>
        <v/>
      </c>
      <c r="AL317" s="10">
        <f>D317</f>
        <v/>
      </c>
      <c r="AM317" s="14">
        <f>B317</f>
        <v/>
      </c>
      <c r="AP317" s="13">
        <f>IF(AK317&gt;13.1,IF(Z317&lt;101,IF(Z317&lt;35,IF(Z317&lt;6,3,2),1),0),0)</f>
        <v/>
      </c>
      <c r="AQ317" s="11" t="n">
        <v>1</v>
      </c>
      <c r="AT317" s="11">
        <f>100*(AK317-AQ317)/AQ317</f>
        <v/>
      </c>
      <c r="AZ317" s="13" t="n"/>
    </row>
    <row r="318" ht="12.75" customHeight="1">
      <c r="G318" s="11">
        <f>100*(F318-E318)/F318</f>
        <v/>
      </c>
      <c r="P318" s="11">
        <f>O318/I318</f>
        <v/>
      </c>
      <c r="R318" s="2" t="n"/>
      <c r="S318" s="12" t="n">
        <v>5</v>
      </c>
      <c r="AA318" s="11">
        <f>IF(X318&lt;50,IF(Y318&gt;(2.3*X318),0,1),1)-IF(Z318&gt;Y318,1.7,0)</f>
        <v/>
      </c>
      <c r="AC318" s="11">
        <f>IF(U319&gt;9,1,0)+U319/3</f>
        <v/>
      </c>
      <c r="AG318" s="12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11">
        <f>AG318+IF(X318&lt;1.35,0,1)+IF(Y318&lt;1.35,0,1)+AC318+AA318</f>
        <v/>
      </c>
      <c r="AI318" s="11" t="n"/>
      <c r="AJ318" s="11">
        <f>IF(AI318&gt;12.7,IF(AI318&gt;15.8,0.93,0.98),1)</f>
        <v/>
      </c>
      <c r="AK318" s="11">
        <f>(1.2*AG318+AH318)*AJ318*AQ318</f>
        <v/>
      </c>
      <c r="AL318" s="10">
        <f>D318</f>
        <v/>
      </c>
      <c r="AM318" s="14">
        <f>B318</f>
        <v/>
      </c>
      <c r="AP318" s="13">
        <f>IF(AK318&gt;13.1,IF(Z318&lt;101,IF(Z318&lt;35,IF(Z318&lt;6,3,2),1),0),0)</f>
        <v/>
      </c>
      <c r="AQ318" s="11" t="n">
        <v>1</v>
      </c>
      <c r="AT318" s="11">
        <f>100*(AK318-AQ318)/AQ318</f>
        <v/>
      </c>
      <c r="AZ318" s="13" t="n"/>
    </row>
    <row r="319" ht="12.75" customHeight="1">
      <c r="G319" s="11">
        <f>100*(F319-E319)/F319</f>
        <v/>
      </c>
      <c r="P319" s="11">
        <f>O319/I319</f>
        <v/>
      </c>
      <c r="R319" s="2" t="n"/>
      <c r="S319" s="12" t="n">
        <v>5</v>
      </c>
      <c r="AA319" s="11">
        <f>IF(X319&lt;50,IF(Y319&gt;(2.3*X319),0,1),1)-IF(Z319&gt;Y319,1.7,0)</f>
        <v/>
      </c>
      <c r="AC319" s="11">
        <f>IF(U320&gt;9,1,0)+U320/3</f>
        <v/>
      </c>
      <c r="AG319" s="12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11">
        <f>AG319+IF(X319&lt;1.35,0,1)+IF(Y319&lt;1.35,0,1)+AC319+AA319</f>
        <v/>
      </c>
      <c r="AI319" s="11" t="n"/>
      <c r="AJ319" s="11">
        <f>IF(AI319&gt;12.7,IF(AI319&gt;15.8,0.93,0.98),1)</f>
        <v/>
      </c>
      <c r="AK319" s="11">
        <f>(1.2*AG319+AH319)*AJ319*AQ319</f>
        <v/>
      </c>
      <c r="AL319" s="10">
        <f>D319</f>
        <v/>
      </c>
      <c r="AM319" s="14">
        <f>B319</f>
        <v/>
      </c>
      <c r="AP319" s="13">
        <f>IF(AK319&gt;13.1,IF(Z319&lt;101,IF(Z319&lt;35,IF(Z319&lt;6,3,2),1),0),0)</f>
        <v/>
      </c>
      <c r="AQ319" s="11" t="n">
        <v>1</v>
      </c>
      <c r="AT319" s="11">
        <f>100*(AK319-AQ319)/AQ319</f>
        <v/>
      </c>
      <c r="AZ319" s="13" t="n"/>
    </row>
    <row r="320" ht="12.75" customHeight="1">
      <c r="G320" s="11">
        <f>100*(F320-E320)/F320</f>
        <v/>
      </c>
      <c r="P320" s="11">
        <f>O320/I320</f>
        <v/>
      </c>
      <c r="R320" s="2" t="n"/>
      <c r="S320" s="12" t="n">
        <v>5</v>
      </c>
      <c r="AA320" s="11">
        <f>IF(X320&lt;50,IF(Y320&gt;(2.3*X320),0,1),1)-IF(Z320&gt;Y320,1.7,0)</f>
        <v/>
      </c>
      <c r="AC320" s="11">
        <f>IF(U321&gt;9,1,0)+U321/3</f>
        <v/>
      </c>
      <c r="AG320" s="12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11">
        <f>AG320+IF(X320&lt;1.35,0,1)+IF(Y320&lt;1.35,0,1)+AC320+AA320</f>
        <v/>
      </c>
      <c r="AI320" s="11" t="n"/>
      <c r="AJ320" s="11">
        <f>IF(AI320&gt;12.7,IF(AI320&gt;15.8,0.93,0.98),1)</f>
        <v/>
      </c>
      <c r="AK320" s="11">
        <f>(1.2*AG320+AH320)*AJ320*AQ320</f>
        <v/>
      </c>
      <c r="AL320" s="10">
        <f>D320</f>
        <v/>
      </c>
      <c r="AM320" s="14">
        <f>B320</f>
        <v/>
      </c>
      <c r="AP320" s="13">
        <f>IF(AK320&gt;13.1,IF(Z320&lt;101,IF(Z320&lt;35,IF(Z320&lt;6,3,2),1),0),0)</f>
        <v/>
      </c>
      <c r="AQ320" s="11" t="n">
        <v>0.95</v>
      </c>
      <c r="AZ320" s="13" t="n"/>
    </row>
    <row r="321" ht="12.75" customHeight="1">
      <c r="G321" s="11">
        <f>100*(F321-E321)/F321</f>
        <v/>
      </c>
      <c r="P321" s="11">
        <f>O321/I321</f>
        <v/>
      </c>
      <c r="R321" s="2" t="n"/>
      <c r="S321" s="12" t="n">
        <v>5</v>
      </c>
      <c r="AA321" s="11">
        <f>IF(X321&lt;50,IF(Y321&gt;(2.3*X321),0,1),1)-IF(Z321&gt;Y321,1.7,0)</f>
        <v/>
      </c>
      <c r="AC321" s="11">
        <f>IF(U322&gt;9,1,0)+U322/3</f>
        <v/>
      </c>
      <c r="AG321" s="12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11">
        <f>AG321+IF(X321&lt;1.35,0,1)+IF(Y321&lt;1.35,0,1)+AC321+AA321</f>
        <v/>
      </c>
      <c r="AI321" s="11" t="n"/>
      <c r="AJ321" s="11">
        <f>IF(AI321&gt;12.7,IF(AI321&gt;15.8,0.93,0.98),1)</f>
        <v/>
      </c>
      <c r="AK321" s="11">
        <f>(1.2*AG321+AH321)*AJ321*AQ321</f>
        <v/>
      </c>
      <c r="AL321" s="10">
        <f>D321</f>
        <v/>
      </c>
      <c r="AM321" s="14">
        <f>B321</f>
        <v/>
      </c>
      <c r="AP321" s="13">
        <f>IF(AK321&gt;13.1,IF(Z321&lt;101,IF(Z321&lt;35,IF(Z321&lt;6,3,2),1),0),0)</f>
        <v/>
      </c>
      <c r="AQ321" s="11" t="n">
        <v>0.95</v>
      </c>
      <c r="AZ321" s="13" t="n"/>
    </row>
    <row r="322" ht="12.75" customHeight="1">
      <c r="G322" s="11">
        <f>100*(F322-E322)/F322</f>
        <v/>
      </c>
      <c r="P322" s="11">
        <f>O322/I322</f>
        <v/>
      </c>
      <c r="R322" s="2" t="n"/>
      <c r="S322" s="12" t="n">
        <v>5</v>
      </c>
      <c r="AA322" s="11">
        <f>IF(X322&lt;50,IF(Y322&gt;(2.3*X322),0,1),1)-IF(Z322&gt;Y322,1.7,0)</f>
        <v/>
      </c>
      <c r="AC322" s="11">
        <f>IF(U323&gt;9,1,0)+U323/3</f>
        <v/>
      </c>
      <c r="AG322" s="12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11">
        <f>AG322+IF(X322&lt;1.35,0,1)+IF(Y322&lt;1.35,0,1)+AC322+AA322</f>
        <v/>
      </c>
      <c r="AI322" s="11" t="n"/>
      <c r="AJ322" s="11">
        <f>IF(AI322&gt;12.7,IF(AI322&gt;15.8,0.93,0.98),1)</f>
        <v/>
      </c>
      <c r="AK322" s="11">
        <f>(1.2*AG322+AH322)*AJ322*AQ322</f>
        <v/>
      </c>
      <c r="AL322" s="10">
        <f>D322</f>
        <v/>
      </c>
      <c r="AM322" s="14">
        <f>B322</f>
        <v/>
      </c>
      <c r="AP322" s="13">
        <f>IF(AK322&gt;13.1,IF(Z322&lt;101,IF(Z322&lt;35,IF(Z322&lt;6,3,2),1),0),0)</f>
        <v/>
      </c>
      <c r="AQ322" s="11" t="n">
        <v>0.95</v>
      </c>
      <c r="AZ322" s="13" t="n"/>
    </row>
    <row r="323" ht="12.75" customHeight="1">
      <c r="G323" s="11">
        <f>100*(F323-E323)/F323</f>
        <v/>
      </c>
      <c r="P323" s="11">
        <f>O323/I323</f>
        <v/>
      </c>
      <c r="R323" s="2" t="n"/>
      <c r="S323" s="12" t="n">
        <v>5</v>
      </c>
      <c r="AA323" s="11">
        <f>IF(X323&lt;50,IF(Y323&gt;(2.3*X323),0,1),1)-IF(Z323&gt;Y323,1.7,0)</f>
        <v/>
      </c>
      <c r="AC323" s="11">
        <f>IF(U324&gt;9,1,0)+U324/3</f>
        <v/>
      </c>
      <c r="AG323" s="12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11">
        <f>AG323+IF(X323&lt;1.35,0,1)+IF(Y323&lt;1.35,0,1)+AC323+AA323</f>
        <v/>
      </c>
      <c r="AI323" s="11" t="n"/>
      <c r="AJ323" s="11">
        <f>IF(AI323&gt;12.7,IF(AI323&gt;15.8,0.93,0.98),1)</f>
        <v/>
      </c>
      <c r="AK323" s="11">
        <f>(1.2*AG323+AH323)*AJ323*AQ323</f>
        <v/>
      </c>
      <c r="AL323" s="10">
        <f>D323</f>
        <v/>
      </c>
      <c r="AM323" s="14">
        <f>B323</f>
        <v/>
      </c>
      <c r="AP323" s="13">
        <f>IF(AK323&gt;13.1,IF(Z323&lt;101,IF(Z323&lt;35,IF(Z323&lt;6,3,2),1),0),0)</f>
        <v/>
      </c>
      <c r="AQ323" s="11" t="n">
        <v>0.95</v>
      </c>
      <c r="AZ323" s="13" t="n"/>
    </row>
    <row r="324" ht="12.75" customHeight="1">
      <c r="G324" s="11">
        <f>100*(F324-E324)/F324</f>
        <v/>
      </c>
      <c r="P324" s="11">
        <f>O324/I324</f>
        <v/>
      </c>
      <c r="R324" s="2" t="n"/>
      <c r="S324" s="12" t="n">
        <v>5</v>
      </c>
      <c r="AA324" s="11">
        <f>IF(X324&lt;50,IF(Y324&gt;(2.3*X324),0,1),1)-IF(Z324&gt;Y324,1.7,0)</f>
        <v/>
      </c>
      <c r="AC324" s="11">
        <f>IF(U325&gt;9,1,0)+U325/3</f>
        <v/>
      </c>
      <c r="AG324" s="12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11">
        <f>AG324+IF(X324&lt;1.35,0,1)+IF(Y324&lt;1.35,0,1)+AC324+AA324</f>
        <v/>
      </c>
      <c r="AI324" s="11" t="n"/>
      <c r="AJ324" s="11">
        <f>IF(AI324&gt;12.7,IF(AI324&gt;15.8,0.93,0.98),1)</f>
        <v/>
      </c>
      <c r="AK324" s="11">
        <f>(1.2*AG324+AH324)*AJ324*AQ324</f>
        <v/>
      </c>
      <c r="AL324" s="10">
        <f>D324</f>
        <v/>
      </c>
      <c r="AM324" s="14">
        <f>B324</f>
        <v/>
      </c>
      <c r="AP324" s="13">
        <f>IF(AK324&gt;13.1,IF(Z324&lt;101,IF(Z324&lt;35,IF(Z324&lt;6,3,2),1),0),0)</f>
        <v/>
      </c>
      <c r="AQ324" s="11" t="n">
        <v>0.95</v>
      </c>
      <c r="AZ324" s="13" t="n"/>
    </row>
    <row r="325" ht="12.75" customHeight="1">
      <c r="G325" s="11">
        <f>100*(F325-E325)/F325</f>
        <v/>
      </c>
      <c r="P325" s="11">
        <f>O325/I325</f>
        <v/>
      </c>
      <c r="R325" s="2" t="n"/>
      <c r="S325" s="12" t="n">
        <v>5</v>
      </c>
      <c r="AA325" s="11">
        <f>IF(X325&lt;50,IF(Y325&gt;(2.3*X325),0,1),1)-IF(Z325&gt;Y325,1.7,0)</f>
        <v/>
      </c>
      <c r="AC325" s="11">
        <f>IF(U326&gt;9,1,0)+U326/3</f>
        <v/>
      </c>
      <c r="AG325" s="12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11">
        <f>AG325+IF(X325&lt;1.35,0,1)+IF(Y325&lt;1.35,0,1)+AC325+AA325</f>
        <v/>
      </c>
      <c r="AI325" s="11" t="n"/>
      <c r="AJ325" s="11">
        <f>IF(AI325&gt;12.7,IF(AI325&gt;15.8,0.93,0.98),1)</f>
        <v/>
      </c>
      <c r="AK325" s="11">
        <f>(1.2*AG325+AH325)*AJ325*AQ325</f>
        <v/>
      </c>
      <c r="AL325" s="10">
        <f>D325</f>
        <v/>
      </c>
      <c r="AM325" s="14">
        <f>B325</f>
        <v/>
      </c>
      <c r="AP325" s="13">
        <f>IF(AK325&gt;13.1,IF(Z325&lt;101,IF(Z325&lt;35,IF(Z325&lt;6,3,2),1),0),0)</f>
        <v/>
      </c>
      <c r="AQ325" s="11" t="n">
        <v>0.95</v>
      </c>
      <c r="AZ325" s="13" t="n"/>
    </row>
    <row r="326" ht="12.75" customHeight="1">
      <c r="G326" s="11">
        <f>100*(F326-E326)/F326</f>
        <v/>
      </c>
      <c r="P326" s="11">
        <f>O326/I326</f>
        <v/>
      </c>
      <c r="R326" s="2" t="n"/>
      <c r="S326" s="12" t="n">
        <v>5</v>
      </c>
      <c r="AA326" s="11">
        <f>IF(X326&lt;50,IF(Y326&gt;(2.3*X326),0,1),1)-IF(Z326&gt;Y326,1.7,0)</f>
        <v/>
      </c>
      <c r="AC326" s="11">
        <f>IF(U327&gt;9,1,0)+U327/3</f>
        <v/>
      </c>
      <c r="AG326" s="12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11">
        <f>AG326+IF(X326&lt;1.35,0,1)+IF(Y326&lt;1.35,0,1)+AC326+AA326</f>
        <v/>
      </c>
      <c r="AI326" s="11" t="n"/>
      <c r="AJ326" s="11">
        <f>IF(AI326&gt;12.7,IF(AI326&gt;15.8,0.93,0.98),1)</f>
        <v/>
      </c>
      <c r="AK326" s="11">
        <f>(1.2*AG326+AH326)*AJ326*AQ326</f>
        <v/>
      </c>
      <c r="AL326" s="10">
        <f>D326</f>
        <v/>
      </c>
      <c r="AM326" s="14">
        <f>B326</f>
        <v/>
      </c>
      <c r="AP326" s="13">
        <f>IF(AK326&gt;13.1,IF(Z326&lt;101,IF(Z326&lt;35,IF(Z326&lt;6,3,2),1),0),0)</f>
        <v/>
      </c>
      <c r="AQ326" s="11" t="n">
        <v>0.95</v>
      </c>
      <c r="AZ326" s="13" t="n"/>
    </row>
    <row r="327" ht="12.75" customHeight="1">
      <c r="G327" s="11">
        <f>100*(F327-E327)/F327</f>
        <v/>
      </c>
      <c r="P327" s="11">
        <f>O327/I327</f>
        <v/>
      </c>
      <c r="R327" s="2" t="n"/>
      <c r="S327" s="12" t="n">
        <v>5</v>
      </c>
      <c r="AA327" s="11">
        <f>IF(X327&lt;50,IF(Y327&gt;(2.3*X327),0,1),1)-IF(Z327&gt;Y327,1.7,0)</f>
        <v/>
      </c>
      <c r="AC327" s="11">
        <f>IF(U328&gt;9,1,0)+U328/3</f>
        <v/>
      </c>
      <c r="AG327" s="12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11">
        <f>AG327+IF(X327&lt;1.35,0,1)+IF(Y327&lt;1.35,0,1)+AC327+AA327</f>
        <v/>
      </c>
      <c r="AI327" s="11" t="n"/>
      <c r="AJ327" s="11">
        <f>IF(AI327&gt;12.7,IF(AI327&gt;15.8,0.93,0.98),1)</f>
        <v/>
      </c>
      <c r="AK327" s="11">
        <f>(1.2*AG327+AH327)*AJ327*AQ327</f>
        <v/>
      </c>
      <c r="AL327" s="10">
        <f>D327</f>
        <v/>
      </c>
      <c r="AM327" s="14">
        <f>B327</f>
        <v/>
      </c>
      <c r="AP327" s="13">
        <f>IF(AK327&gt;13.1,IF(Z327&lt;101,IF(Z327&lt;35,IF(Z327&lt;6,3,2),1),0),0)</f>
        <v/>
      </c>
      <c r="AQ327" s="11" t="n">
        <v>0.95</v>
      </c>
      <c r="AZ327" s="13" t="n"/>
    </row>
    <row r="328" ht="12.75" customHeight="1">
      <c r="G328" s="11">
        <f>100*(F328-E328)/F328</f>
        <v/>
      </c>
      <c r="P328" s="11">
        <f>O328/I328</f>
        <v/>
      </c>
      <c r="R328" s="2" t="n"/>
      <c r="S328" s="12" t="n">
        <v>5</v>
      </c>
      <c r="AA328" s="11">
        <f>IF(X328&lt;50,IF(Y328&gt;(2.3*X328),0,1),1)-IF(Z328&gt;Y328,1.7,0)</f>
        <v/>
      </c>
      <c r="AC328" s="11">
        <f>IF(U329&gt;9,1,0)+U329/3</f>
        <v/>
      </c>
      <c r="AG328" s="12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11">
        <f>AG328+IF(X328&lt;1.35,0,1)+IF(Y328&lt;1.35,0,1)+AC328+AA328</f>
        <v/>
      </c>
      <c r="AI328" s="11" t="n"/>
      <c r="AJ328" s="11">
        <f>IF(AI328&gt;12.7,IF(AI328&gt;15.8,0.93,0.98),1)</f>
        <v/>
      </c>
      <c r="AK328" s="11">
        <f>(1.2*AG328+AH328)*AJ328*AQ328</f>
        <v/>
      </c>
      <c r="AL328" s="10">
        <f>D328</f>
        <v/>
      </c>
      <c r="AM328" s="14">
        <f>B328</f>
        <v/>
      </c>
      <c r="AP328" s="13">
        <f>IF(AK328&gt;13.1,IF(Z328&lt;101,IF(Z328&lt;35,IF(Z328&lt;6,3,2),1),0),0)</f>
        <v/>
      </c>
      <c r="AQ328" s="11" t="n">
        <v>0.95</v>
      </c>
      <c r="AZ328" s="13" t="n"/>
    </row>
    <row r="329" ht="12.75" customHeight="1">
      <c r="G329" s="11">
        <f>100*(F329-E329)/F329</f>
        <v/>
      </c>
      <c r="P329" s="11">
        <f>O329/I329</f>
        <v/>
      </c>
      <c r="R329" s="2" t="n"/>
      <c r="S329" s="12" t="n">
        <v>5</v>
      </c>
      <c r="AA329" s="11">
        <f>IF(X329&lt;50,IF(Y329&gt;(2.3*X329),0,1),1)-IF(Z329&gt;Y329,1.7,0)</f>
        <v/>
      </c>
      <c r="AC329" s="11">
        <f>IF(U330&gt;9,1,0)+U330/3</f>
        <v/>
      </c>
      <c r="AG329" s="12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11">
        <f>AG329+IF(X329&lt;1.35,0,1)+IF(Y329&lt;1.35,0,1)+AC329+AA329</f>
        <v/>
      </c>
      <c r="AI329" s="11" t="n"/>
      <c r="AJ329" s="11">
        <f>IF(AI329&gt;12.7,IF(AI329&gt;15.8,0.93,0.98),1)</f>
        <v/>
      </c>
      <c r="AK329" s="11">
        <f>(1.2*AG329+AH329)*AJ329*AQ329</f>
        <v/>
      </c>
      <c r="AL329" s="10">
        <f>D329</f>
        <v/>
      </c>
      <c r="AM329" s="14">
        <f>B329</f>
        <v/>
      </c>
      <c r="AP329" s="13">
        <f>IF(AK329&gt;13.1,IF(Z329&lt;101,IF(Z329&lt;35,IF(Z329&lt;6,3,2),1),0),0)</f>
        <v/>
      </c>
      <c r="AQ329" s="11" t="n">
        <v>0.95</v>
      </c>
      <c r="AZ329" s="13" t="n"/>
    </row>
    <row r="330" ht="12.75" customHeight="1">
      <c r="G330" s="11">
        <f>100*(F330-E330)/F330</f>
        <v/>
      </c>
      <c r="P330" s="11">
        <f>O330/I330</f>
        <v/>
      </c>
      <c r="R330" s="2" t="n"/>
      <c r="S330" s="12" t="n">
        <v>5</v>
      </c>
      <c r="AA330" s="11">
        <f>IF(X330&lt;50,IF(Y330&gt;(2.3*X330),0,1),1)-IF(Z330&gt;Y330,1.7,0)</f>
        <v/>
      </c>
      <c r="AC330" s="11">
        <f>IF(U331&gt;9,1,0)+U331/3</f>
        <v/>
      </c>
      <c r="AG330" s="12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11">
        <f>AG330+IF(X330&lt;1.35,0,1)+IF(Y330&lt;1.35,0,1)+AC330+AA330</f>
        <v/>
      </c>
      <c r="AI330" s="11" t="n"/>
      <c r="AJ330" s="11">
        <f>IF(AI330&gt;12.7,IF(AI330&gt;15.8,0.93,0.98),1)</f>
        <v/>
      </c>
      <c r="AK330" s="11">
        <f>(1.2*AG330+AH330)*AJ330*AQ330</f>
        <v/>
      </c>
      <c r="AL330" s="10">
        <f>D330</f>
        <v/>
      </c>
      <c r="AM330" s="14">
        <f>B330</f>
        <v/>
      </c>
      <c r="AP330" s="13">
        <f>IF(AK330&gt;13.1,IF(Z330&lt;101,IF(Z330&lt;35,IF(Z330&lt;6,3,2),1),0),0)</f>
        <v/>
      </c>
      <c r="AQ330" s="11" t="n">
        <v>0.95</v>
      </c>
      <c r="AZ330" s="13" t="n"/>
    </row>
    <row r="331" ht="12.75" customHeight="1">
      <c r="G331" s="11">
        <f>100*(F331-E331)/F331</f>
        <v/>
      </c>
      <c r="P331" s="11">
        <f>O331/I331</f>
        <v/>
      </c>
      <c r="R331" s="2" t="n"/>
      <c r="S331" s="12" t="n">
        <v>5</v>
      </c>
      <c r="AA331" s="11">
        <f>IF(X331&lt;50,IF(Y331&gt;(2.3*X331),0,1),1)-IF(Z331&gt;Y331,1.7,0)</f>
        <v/>
      </c>
      <c r="AC331" s="11">
        <f>IF(U332&gt;9,1,0)+U332/3</f>
        <v/>
      </c>
      <c r="AG331" s="12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11">
        <f>AG331+IF(X331&lt;1.35,0,1)+IF(Y331&lt;1.35,0,1)+AC331+AA331</f>
        <v/>
      </c>
      <c r="AI331" s="11" t="n"/>
      <c r="AJ331" s="11">
        <f>IF(AI331&gt;12.7,IF(AI331&gt;15.8,0.93,0.98),1)</f>
        <v/>
      </c>
      <c r="AK331" s="11">
        <f>(1.2*AG331+AH331)*AJ331*AQ331</f>
        <v/>
      </c>
      <c r="AL331" s="10">
        <f>D331</f>
        <v/>
      </c>
      <c r="AM331" s="14">
        <f>B331</f>
        <v/>
      </c>
      <c r="AP331" s="13">
        <f>IF(AK331&gt;13.1,IF(Z331&lt;101,IF(Z331&lt;35,IF(Z331&lt;6,3,2),1),0),0)</f>
        <v/>
      </c>
      <c r="AQ331" s="11" t="n">
        <v>0.95</v>
      </c>
      <c r="AZ331" s="13" t="n"/>
    </row>
    <row r="332" ht="12.75" customHeight="1">
      <c r="G332" s="11">
        <f>100*(F332-E332)/F332</f>
        <v/>
      </c>
      <c r="P332" s="11">
        <f>O332/I332</f>
        <v/>
      </c>
      <c r="R332" s="2" t="n"/>
      <c r="S332" s="12" t="n">
        <v>5</v>
      </c>
      <c r="AA332" s="11">
        <f>IF(X332&lt;50,IF(Y332&gt;(2.3*X332),0,1),1)-IF(Z332&gt;Y332,1.7,0)</f>
        <v/>
      </c>
      <c r="AC332" s="11">
        <f>IF(U333&gt;9,1,0)+U333/3</f>
        <v/>
      </c>
      <c r="AG332" s="12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11">
        <f>AG332+IF(X332&lt;1.35,0,1)+IF(Y332&lt;1.35,0,1)+AC332+AA332</f>
        <v/>
      </c>
      <c r="AI332" s="11" t="n"/>
      <c r="AJ332" s="11">
        <f>IF(AI332&gt;12.7,IF(AI332&gt;15.8,0.93,0.98),1)</f>
        <v/>
      </c>
      <c r="AK332" s="11">
        <f>(1.2*AG332+AH332)*AJ332*AQ332</f>
        <v/>
      </c>
      <c r="AL332" s="10">
        <f>D332</f>
        <v/>
      </c>
      <c r="AM332" s="14">
        <f>B332</f>
        <v/>
      </c>
      <c r="AP332" s="13">
        <f>IF(AK332&gt;13.1,IF(Z332&lt;101,IF(Z332&lt;35,IF(Z332&lt;6,3,2),1),0),0)</f>
        <v/>
      </c>
      <c r="AQ332" s="11" t="n">
        <v>0.95</v>
      </c>
      <c r="AZ332" s="13" t="n"/>
    </row>
    <row r="333" ht="12.75" customHeight="1">
      <c r="G333" s="11">
        <f>100*(F333-E333)/F333</f>
        <v/>
      </c>
      <c r="P333" s="11">
        <f>O333/I333</f>
        <v/>
      </c>
      <c r="R333" s="2" t="n"/>
      <c r="S333" s="12" t="n">
        <v>5</v>
      </c>
      <c r="AA333" s="11">
        <f>IF(X333&lt;50,IF(Y333&gt;(2.3*X333),0,1),1)-IF(Z333&gt;Y333,1.7,0)</f>
        <v/>
      </c>
      <c r="AC333" s="11">
        <f>IF(U334&gt;9,1,0)+U334/3</f>
        <v/>
      </c>
      <c r="AG333" s="12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11">
        <f>AG333+IF(X333&lt;1.35,0,1)+IF(Y333&lt;1.35,0,1)+AC333+AA333</f>
        <v/>
      </c>
      <c r="AI333" s="11" t="n"/>
      <c r="AJ333" s="11">
        <f>IF(AI333&gt;12.7,IF(AI333&gt;15.8,0.93,0.98),1)</f>
        <v/>
      </c>
      <c r="AK333" s="11">
        <f>(1.2*AG333+AH333)*AJ333*AQ333</f>
        <v/>
      </c>
      <c r="AL333" s="10">
        <f>D333</f>
        <v/>
      </c>
      <c r="AM333" s="14">
        <f>B333</f>
        <v/>
      </c>
      <c r="AP333" s="13">
        <f>IF(AK333&gt;13.1,IF(Z333&lt;101,IF(Z333&lt;35,IF(Z333&lt;6,3,2),1),0),0)</f>
        <v/>
      </c>
      <c r="AQ333" s="11" t="n">
        <v>0.95</v>
      </c>
      <c r="AZ333" s="13" t="n"/>
    </row>
    <row r="334" ht="12.75" customHeight="1">
      <c r="G334" s="11">
        <f>100*(F334-E334)/F334</f>
        <v/>
      </c>
      <c r="P334" s="11">
        <f>O334/I334</f>
        <v/>
      </c>
      <c r="R334" s="2" t="n"/>
      <c r="S334" s="12" t="n">
        <v>5</v>
      </c>
      <c r="AA334" s="11">
        <f>IF(X334&lt;50,IF(Y334&gt;(2.3*X334),0,1),1)-IF(Z334&gt;Y334,1.7,0)</f>
        <v/>
      </c>
      <c r="AC334" s="11">
        <f>IF(U335&gt;9,1,0)+U335/3</f>
        <v/>
      </c>
      <c r="AG334" s="12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11">
        <f>AG334+IF(X334&lt;1.35,0,1)+IF(Y334&lt;1.35,0,1)+AC334+AA334</f>
        <v/>
      </c>
      <c r="AI334" s="11" t="n"/>
      <c r="AJ334" s="11">
        <f>IF(AI334&gt;12.7,IF(AI334&gt;15.8,0.93,0.98),1)</f>
        <v/>
      </c>
      <c r="AK334" s="11">
        <f>(1.2*AG334+AH334)*AJ334*AQ334</f>
        <v/>
      </c>
      <c r="AL334" s="10">
        <f>D334</f>
        <v/>
      </c>
      <c r="AM334" s="14">
        <f>B334</f>
        <v/>
      </c>
      <c r="AP334" s="13">
        <f>IF(AK334&gt;13.1,IF(Z334&lt;101,IF(Z334&lt;35,IF(Z334&lt;6,3,2),1),0),0)</f>
        <v/>
      </c>
      <c r="AQ334" s="11" t="n">
        <v>0.95</v>
      </c>
      <c r="AZ334" s="13" t="n"/>
    </row>
    <row r="335" ht="12.75" customHeight="1">
      <c r="G335" s="11">
        <f>100*(F335-E335)/F335</f>
        <v/>
      </c>
      <c r="P335" s="11">
        <f>O335/I335</f>
        <v/>
      </c>
      <c r="R335" s="2" t="n"/>
      <c r="S335" s="12" t="n">
        <v>5</v>
      </c>
      <c r="AA335" s="11">
        <f>IF(X335&lt;50,IF(Y335&gt;(2.3*X335),0,1),1)-IF(Z335&gt;Y335,1.7,0)</f>
        <v/>
      </c>
      <c r="AC335" s="11">
        <f>IF(U336&gt;9,1,0)+U336/3</f>
        <v/>
      </c>
      <c r="AG335" s="12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11">
        <f>AG335+IF(X335&lt;1.35,0,1)+IF(Y335&lt;1.35,0,1)+AC335+AA335</f>
        <v/>
      </c>
      <c r="AI335" s="11" t="n"/>
      <c r="AJ335" s="11">
        <f>IF(AI335&gt;12.7,IF(AI335&gt;15.8,0.93,0.98),1)</f>
        <v/>
      </c>
      <c r="AK335" s="11">
        <f>(1.2*AG335+AH335)*AJ335*AQ335</f>
        <v/>
      </c>
      <c r="AL335" s="10">
        <f>D335</f>
        <v/>
      </c>
      <c r="AM335" s="14">
        <f>B335</f>
        <v/>
      </c>
      <c r="AP335" s="13">
        <f>IF(AK335&gt;13.1,IF(Z335&lt;101,IF(Z335&lt;35,IF(Z335&lt;6,3,2),1),0),0)</f>
        <v/>
      </c>
      <c r="AQ335" s="11" t="n">
        <v>0.95</v>
      </c>
      <c r="AZ335" s="13" t="n"/>
    </row>
    <row r="336" ht="12.75" customHeight="1">
      <c r="G336" s="11">
        <f>100*(F336-E336)/F336</f>
        <v/>
      </c>
      <c r="P336" s="11">
        <f>O336/I336</f>
        <v/>
      </c>
      <c r="R336" s="2" t="n"/>
      <c r="S336" s="12" t="n">
        <v>5</v>
      </c>
      <c r="AA336" s="11">
        <f>IF(X336&lt;50,IF(Y336&gt;(2.3*X336),0,1),1)-IF(Z336&gt;Y336,1.7,0)</f>
        <v/>
      </c>
      <c r="AC336" s="11">
        <f>IF(U337&gt;9,1,0)+U337/3</f>
        <v/>
      </c>
      <c r="AG336" s="12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11">
        <f>AG336+IF(X336&lt;1.35,0,1)+IF(Y336&lt;1.35,0,1)+AC336+AA336</f>
        <v/>
      </c>
      <c r="AI336" s="11" t="n"/>
      <c r="AJ336" s="11">
        <f>IF(AI336&gt;12.7,IF(AI336&gt;15.8,0.93,0.98),1)</f>
        <v/>
      </c>
      <c r="AK336" s="11">
        <f>(1.2*AG336+AH336)*AJ336*AQ336</f>
        <v/>
      </c>
      <c r="AL336" s="10">
        <f>D336</f>
        <v/>
      </c>
      <c r="AM336" s="14">
        <f>B336</f>
        <v/>
      </c>
      <c r="AP336" s="13">
        <f>IF(AK336&gt;13.1,IF(Z336&lt;101,IF(Z336&lt;35,IF(Z336&lt;6,3,2),1),0),0)</f>
        <v/>
      </c>
      <c r="AQ336" s="11" t="n">
        <v>0.95</v>
      </c>
      <c r="AZ336" s="13" t="n"/>
    </row>
    <row r="337" ht="12.75" customHeight="1">
      <c r="G337" s="11">
        <f>100*(F337-E337)/F337</f>
        <v/>
      </c>
      <c r="P337" s="11">
        <f>O337/I337</f>
        <v/>
      </c>
      <c r="R337" s="2" t="n"/>
      <c r="S337" s="12" t="n">
        <v>5</v>
      </c>
      <c r="AA337" s="11">
        <f>IF(X337&lt;50,IF(Y337&gt;(2.3*X337),0,1),1)-IF(Z337&gt;Y337,1.7,0)</f>
        <v/>
      </c>
      <c r="AC337" s="11">
        <f>IF(U338&gt;9,1,0)+U338/3</f>
        <v/>
      </c>
      <c r="AG337" s="12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11">
        <f>AG337+IF(X337&lt;1.35,0,1)+IF(Y337&lt;1.35,0,1)+AC337+AA337</f>
        <v/>
      </c>
      <c r="AI337" s="11" t="n"/>
      <c r="AJ337" s="11">
        <f>IF(AI337&gt;12.7,IF(AI337&gt;15.8,0.93,0.98),1)</f>
        <v/>
      </c>
      <c r="AK337" s="11">
        <f>(1.2*AG337+AH337)*AJ337*AQ337</f>
        <v/>
      </c>
      <c r="AL337" s="10">
        <f>D337</f>
        <v/>
      </c>
      <c r="AM337" s="14">
        <f>B337</f>
        <v/>
      </c>
      <c r="AP337" s="13">
        <f>IF(AK337&gt;13.1,IF(Z337&lt;101,IF(Z337&lt;35,IF(Z337&lt;6,3,2),1),0),0)</f>
        <v/>
      </c>
      <c r="AQ337" s="11" t="n">
        <v>0.95</v>
      </c>
      <c r="AZ337" s="13" t="n"/>
    </row>
    <row r="338" ht="12.75" customHeight="1">
      <c r="G338" s="11">
        <f>100*(F338-E338)/F338</f>
        <v/>
      </c>
      <c r="P338" s="11">
        <f>O338/I338</f>
        <v/>
      </c>
      <c r="R338" s="2" t="n"/>
      <c r="S338" s="12" t="n">
        <v>5</v>
      </c>
      <c r="AA338" s="11">
        <f>IF(X338&lt;50,IF(Y338&gt;(2.3*X338),0,1),1)-IF(Z338&gt;Y338,1.7,0)</f>
        <v/>
      </c>
      <c r="AC338" s="11">
        <f>IF(U339&gt;9,1,0)+U339/3</f>
        <v/>
      </c>
      <c r="AG338" s="12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11">
        <f>AG338+IF(X338&lt;1.35,0,1)+IF(Y338&lt;1.35,0,1)+AC338+AA338</f>
        <v/>
      </c>
      <c r="AI338" s="11" t="n"/>
      <c r="AJ338" s="11">
        <f>IF(AI338&gt;12.7,IF(AI338&gt;15.8,0.93,0.98),1)</f>
        <v/>
      </c>
      <c r="AK338" s="11">
        <f>(1.2*AG338+AH338)*AJ338*AQ338</f>
        <v/>
      </c>
      <c r="AL338" s="10">
        <f>D338</f>
        <v/>
      </c>
      <c r="AM338" s="14">
        <f>B338</f>
        <v/>
      </c>
      <c r="AP338" s="13">
        <f>IF(AK338&gt;13.1,IF(Z338&lt;101,IF(Z338&lt;35,IF(Z338&lt;6,3,2),1),0),0)</f>
        <v/>
      </c>
      <c r="AQ338" s="11" t="n">
        <v>0.95</v>
      </c>
      <c r="AZ338" s="13" t="n"/>
    </row>
    <row r="339" ht="12.75" customHeight="1">
      <c r="G339" s="11">
        <f>100*(F339-E339)/F339</f>
        <v/>
      </c>
      <c r="P339" s="11">
        <f>O339/I339</f>
        <v/>
      </c>
      <c r="R339" s="2" t="n"/>
      <c r="S339" s="12" t="n">
        <v>5</v>
      </c>
      <c r="AA339" s="11">
        <f>IF(X339&lt;50,IF(Y339&gt;(2.3*X339),0,1),1)-IF(Z339&gt;Y339,1.7,0)</f>
        <v/>
      </c>
      <c r="AC339" s="11">
        <f>IF(U340&gt;9,1,0)+U340/3</f>
        <v/>
      </c>
      <c r="AG339" s="12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11">
        <f>AG339+IF(X339&lt;1.35,0,1)+IF(Y339&lt;1.35,0,1)+AC339+AA339</f>
        <v/>
      </c>
      <c r="AI339" s="11" t="n"/>
      <c r="AJ339" s="11">
        <f>IF(AI339&gt;12.7,IF(AI339&gt;15.8,0.93,0.98),1)</f>
        <v/>
      </c>
      <c r="AK339" s="11">
        <f>(1.2*AG339+AH339)*AJ339*AQ339</f>
        <v/>
      </c>
      <c r="AL339" s="10">
        <f>D339</f>
        <v/>
      </c>
      <c r="AM339" s="14">
        <f>B339</f>
        <v/>
      </c>
      <c r="AP339" s="13">
        <f>IF(AK339&gt;13.1,IF(Z339&lt;101,IF(Z339&lt;35,IF(Z339&lt;6,3,2),1),0),0)</f>
        <v/>
      </c>
      <c r="AQ339" s="11" t="n">
        <v>0.95</v>
      </c>
      <c r="AZ339" s="13" t="n"/>
    </row>
    <row r="340" ht="12.75" customHeight="1">
      <c r="G340" s="11">
        <f>100*(F340-E340)/F340</f>
        <v/>
      </c>
      <c r="P340" s="11">
        <f>O340/I340</f>
        <v/>
      </c>
      <c r="R340" s="2" t="n"/>
      <c r="S340" s="12" t="n">
        <v>5</v>
      </c>
      <c r="AA340" s="11">
        <f>IF(X340&lt;50,IF(Y340&gt;(2.3*X340),0,1),1)-IF(Z340&gt;Y340,1.7,0)</f>
        <v/>
      </c>
      <c r="AC340" s="11">
        <f>IF(U341&gt;9,1,0)+U341/3</f>
        <v/>
      </c>
      <c r="AG340" s="12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11">
        <f>AG340+IF(X340&lt;1.35,0,1)+IF(Y340&lt;1.35,0,1)+AC340+AA340</f>
        <v/>
      </c>
      <c r="AI340" s="11" t="n"/>
      <c r="AJ340" s="11">
        <f>IF(AI340&gt;12.7,IF(AI340&gt;15.8,0.93,0.98),1)</f>
        <v/>
      </c>
      <c r="AK340" s="11">
        <f>(1.2*AG340+AH340)*AJ340*AQ340</f>
        <v/>
      </c>
      <c r="AL340" s="10">
        <f>D340</f>
        <v/>
      </c>
      <c r="AM340" s="14">
        <f>B340</f>
        <v/>
      </c>
      <c r="AP340" s="13">
        <f>IF(AK340&gt;13.1,IF(Z340&lt;101,IF(Z340&lt;35,IF(Z340&lt;6,3,2),1),0),0)</f>
        <v/>
      </c>
      <c r="AQ340" s="11" t="n">
        <v>0.95</v>
      </c>
      <c r="AZ340" s="13" t="n"/>
    </row>
    <row r="341" ht="12.75" customHeight="1">
      <c r="G341" s="11">
        <f>100*(F341-E341)/F341</f>
        <v/>
      </c>
      <c r="P341" s="11">
        <f>O341/I341</f>
        <v/>
      </c>
      <c r="R341" s="2" t="n"/>
      <c r="S341" s="12" t="n">
        <v>5</v>
      </c>
      <c r="AA341" s="11">
        <f>IF(X341&lt;50,IF(Y341&gt;(2.3*X341),0,1),1)-IF(Z341&gt;Y341,1.7,0)</f>
        <v/>
      </c>
      <c r="AC341" s="11">
        <f>IF(U342&gt;9,1,0)+U342/3</f>
        <v/>
      </c>
      <c r="AG341" s="12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11">
        <f>AG341+IF(X341&lt;1.35,0,1)+IF(Y341&lt;1.35,0,1)+AC341+AA341</f>
        <v/>
      </c>
      <c r="AI341" s="11" t="n"/>
      <c r="AJ341" s="11">
        <f>IF(AI341&gt;12.7,IF(AI341&gt;15.8,0.93,0.98),1)</f>
        <v/>
      </c>
      <c r="AK341" s="11">
        <f>(1.2*AG341+AH341)*AJ341*AQ341</f>
        <v/>
      </c>
      <c r="AL341" s="10">
        <f>D341</f>
        <v/>
      </c>
      <c r="AM341" s="14">
        <f>B341</f>
        <v/>
      </c>
      <c r="AP341" s="13">
        <f>IF(AK341&gt;13.1,IF(Z341&lt;101,IF(Z341&lt;35,IF(Z341&lt;6,3,2),1),0),0)</f>
        <v/>
      </c>
      <c r="AQ341" s="11" t="n">
        <v>0.95</v>
      </c>
      <c r="AZ341" s="13" t="n"/>
    </row>
    <row r="342" ht="12.75" customHeight="1">
      <c r="G342" s="11">
        <f>100*(F342-E342)/F342</f>
        <v/>
      </c>
      <c r="P342" s="11">
        <f>O342/I342</f>
        <v/>
      </c>
      <c r="R342" s="2" t="n"/>
      <c r="S342" s="12" t="n">
        <v>5</v>
      </c>
      <c r="AA342" s="11">
        <f>IF(X342&lt;50,IF(Y342&gt;(2.3*X342),0,1),1)-IF(Z342&gt;Y342,1.7,0)</f>
        <v/>
      </c>
      <c r="AC342" s="11">
        <f>IF(U343&gt;9,1,0)+U343/3</f>
        <v/>
      </c>
      <c r="AG342" s="12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11">
        <f>AG342+IF(X342&lt;1.35,0,1)+IF(Y342&lt;1.35,0,1)+AC342+AA342</f>
        <v/>
      </c>
      <c r="AI342" s="11" t="n"/>
      <c r="AJ342" s="11">
        <f>IF(AI342&gt;12.7,IF(AI342&gt;15.8,0.93,0.98),1)</f>
        <v/>
      </c>
      <c r="AK342" s="11">
        <f>(1.2*AG342+AH342)*AJ342*AQ342</f>
        <v/>
      </c>
      <c r="AL342" s="10">
        <f>D342</f>
        <v/>
      </c>
      <c r="AM342" s="14">
        <f>B342</f>
        <v/>
      </c>
      <c r="AP342" s="13">
        <f>IF(AK342&gt;13.1,IF(Z342&lt;101,IF(Z342&lt;35,IF(Z342&lt;6,3,2),1),0),0)</f>
        <v/>
      </c>
      <c r="AQ342" s="11" t="n">
        <v>0.95</v>
      </c>
      <c r="AZ342" s="13" t="n"/>
    </row>
    <row r="343" ht="12.75" customHeight="1">
      <c r="G343" s="11">
        <f>100*(F343-E343)/F343</f>
        <v/>
      </c>
      <c r="P343" s="11">
        <f>O343/I343</f>
        <v/>
      </c>
      <c r="R343" s="2" t="n"/>
      <c r="S343" s="12" t="n">
        <v>5</v>
      </c>
      <c r="AA343" s="11">
        <f>IF(X343&lt;50,IF(Y343&gt;(2.3*X343),0,1),1)-IF(Z343&gt;Y343,1.7,0)</f>
        <v/>
      </c>
      <c r="AC343" s="11">
        <f>IF(U344&gt;9,1,0)+U344/3</f>
        <v/>
      </c>
      <c r="AG343" s="12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11">
        <f>AG343+IF(X343&lt;1.35,0,1)+IF(Y343&lt;1.35,0,1)+AC343+AA343</f>
        <v/>
      </c>
      <c r="AI343" s="11" t="n"/>
      <c r="AJ343" s="11">
        <f>IF(AI343&gt;12.7,IF(AI343&gt;15.8,0.93,0.98),1)</f>
        <v/>
      </c>
      <c r="AK343" s="11">
        <f>(1.2*AG343+AH343)*AJ343*AQ343</f>
        <v/>
      </c>
      <c r="AL343" s="10">
        <f>D343</f>
        <v/>
      </c>
      <c r="AM343" s="14">
        <f>B343</f>
        <v/>
      </c>
      <c r="AP343" s="13">
        <f>IF(AK343&gt;13.1,IF(Z343&lt;101,IF(Z343&lt;35,IF(Z343&lt;6,3,2),1),0),0)</f>
        <v/>
      </c>
      <c r="AQ343" s="11" t="n">
        <v>0.95</v>
      </c>
      <c r="AZ343" s="13" t="n"/>
    </row>
    <row r="344" ht="12.75" customHeight="1">
      <c r="G344" s="11">
        <f>100*(F344-E344)/F344</f>
        <v/>
      </c>
      <c r="P344" s="11">
        <f>O344/I344</f>
        <v/>
      </c>
      <c r="R344" s="2" t="n"/>
      <c r="S344" s="12" t="n">
        <v>5</v>
      </c>
      <c r="AA344" s="11">
        <f>IF(X344&lt;50,IF(Y344&gt;(2.3*X344),0,1),1)-IF(Z344&gt;Y344,1.7,0)</f>
        <v/>
      </c>
      <c r="AC344" s="11">
        <f>IF(U345&gt;9,1,0)+U345/3</f>
        <v/>
      </c>
      <c r="AG344" s="12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11">
        <f>AG344+IF(X344&lt;1.35,0,1)+IF(Y344&lt;1.35,0,1)+AC344+AA344</f>
        <v/>
      </c>
      <c r="AI344" s="11" t="n"/>
      <c r="AJ344" s="11">
        <f>IF(AI344&gt;12.7,IF(AI344&gt;15.8,0.93,0.98),1)</f>
        <v/>
      </c>
      <c r="AK344" s="11">
        <f>(1.2*AG344+AH344)*AJ344*AQ344</f>
        <v/>
      </c>
      <c r="AL344" s="10">
        <f>D344</f>
        <v/>
      </c>
      <c r="AM344" s="14">
        <f>B344</f>
        <v/>
      </c>
      <c r="AP344" s="13">
        <f>IF(AK344&gt;13.1,IF(Z344&lt;101,IF(Z344&lt;35,IF(Z344&lt;6,3,2),1),0),0)</f>
        <v/>
      </c>
      <c r="AQ344" s="11" t="n">
        <v>0.95</v>
      </c>
      <c r="AZ344" s="13" t="n"/>
    </row>
    <row r="345" ht="12.75" customHeight="1">
      <c r="G345" s="11">
        <f>100*(F345-E345)/F345</f>
        <v/>
      </c>
      <c r="P345" s="11">
        <f>O345/I345</f>
        <v/>
      </c>
      <c r="R345" s="2" t="n"/>
      <c r="S345" s="12" t="n">
        <v>5</v>
      </c>
      <c r="AA345" s="11">
        <f>IF(X345&lt;50,IF(Y345&gt;(2.3*X345),0,1),1)-IF(Z345&gt;Y345,1.7,0)</f>
        <v/>
      </c>
      <c r="AC345" s="11">
        <f>IF(U346&gt;9,1,0)+U346/3</f>
        <v/>
      </c>
      <c r="AG345" s="12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11">
        <f>AG345+IF(X345&lt;1.35,0,1)+IF(Y345&lt;1.35,0,1)+AC345+AA345</f>
        <v/>
      </c>
      <c r="AI345" s="11" t="n"/>
      <c r="AJ345" s="11">
        <f>IF(AI345&gt;12.7,IF(AI345&gt;15.8,0.93,0.98),1)</f>
        <v/>
      </c>
      <c r="AK345" s="11">
        <f>(1.2*AG345+AH345)*AJ345*AQ345</f>
        <v/>
      </c>
      <c r="AL345" s="10">
        <f>D345</f>
        <v/>
      </c>
      <c r="AM345" s="14">
        <f>B345</f>
        <v/>
      </c>
      <c r="AP345" s="13">
        <f>IF(AK345&gt;13.1,IF(Z345&lt;101,IF(Z345&lt;35,IF(Z345&lt;6,3,2),1),0),0)</f>
        <v/>
      </c>
      <c r="AQ345" s="11" t="n">
        <v>0.95</v>
      </c>
      <c r="AZ345" s="13" t="n"/>
    </row>
    <row r="346" ht="12.75" customHeight="1">
      <c r="G346" s="11">
        <f>100*(F346-E346)/F346</f>
        <v/>
      </c>
      <c r="P346" s="11">
        <f>O346/I346</f>
        <v/>
      </c>
      <c r="R346" s="2" t="n"/>
      <c r="S346" s="12" t="n">
        <v>5</v>
      </c>
      <c r="AA346" s="11">
        <f>IF(X346&lt;50,IF(Y346&gt;(2.3*X346),0,1),1)-IF(Z346&gt;Y346,1.7,0)</f>
        <v/>
      </c>
      <c r="AC346" s="11">
        <f>IF(U347&gt;9,1,0)+U347/3</f>
        <v/>
      </c>
      <c r="AG346" s="12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11">
        <f>AG346+IF(X346&lt;1.35,0,1)+IF(Y346&lt;1.35,0,1)+AC346+AA346</f>
        <v/>
      </c>
      <c r="AI346" s="11" t="n"/>
      <c r="AJ346" s="11">
        <f>IF(AI346&gt;12.7,IF(AI346&gt;15.8,0.93,0.98),1)</f>
        <v/>
      </c>
      <c r="AK346" s="11">
        <f>(1.2*AG346+AH346)*AJ346*AQ346</f>
        <v/>
      </c>
      <c r="AL346" s="10">
        <f>D346</f>
        <v/>
      </c>
      <c r="AM346" s="14">
        <f>B346</f>
        <v/>
      </c>
      <c r="AP346" s="13">
        <f>IF(AK346&gt;13.1,IF(Z346&lt;101,IF(Z346&lt;35,IF(Z346&lt;6,3,2),1),0),0)</f>
        <v/>
      </c>
      <c r="AQ346" s="11" t="n">
        <v>0.95</v>
      </c>
      <c r="AZ346" s="13" t="n"/>
    </row>
    <row r="347" ht="12.75" customHeight="1">
      <c r="G347" s="11">
        <f>100*(F347-E347)/F347</f>
        <v/>
      </c>
      <c r="P347" s="11">
        <f>O347/I347</f>
        <v/>
      </c>
      <c r="R347" s="2" t="n"/>
      <c r="S347" s="12" t="n">
        <v>5</v>
      </c>
      <c r="AA347" s="11">
        <f>IF(X347&lt;50,IF(Y347&gt;(2.3*X347),0,1),1)-IF(Z347&gt;Y347,1.7,0)</f>
        <v/>
      </c>
      <c r="AC347" s="11">
        <f>IF(U348&gt;9,1,0)+U348/3</f>
        <v/>
      </c>
      <c r="AG347" s="12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11">
        <f>AG347+IF(X347&lt;1.35,0,1)+IF(Y347&lt;1.35,0,1)+AC347+AA347</f>
        <v/>
      </c>
      <c r="AI347" s="11" t="n"/>
      <c r="AJ347" s="11">
        <f>IF(AI347&gt;12.7,IF(AI347&gt;15.8,0.93,0.98),1)</f>
        <v/>
      </c>
      <c r="AK347" s="11">
        <f>(1.2*AG347+AH347)*AJ347*AQ347</f>
        <v/>
      </c>
      <c r="AL347" s="10">
        <f>D347</f>
        <v/>
      </c>
      <c r="AM347" s="14">
        <f>B347</f>
        <v/>
      </c>
      <c r="AP347" s="13">
        <f>IF(AK347&gt;13.1,IF(Z347&lt;101,IF(Z347&lt;35,IF(Z347&lt;6,3,2),1),0),0)</f>
        <v/>
      </c>
      <c r="AQ347" s="11" t="n">
        <v>0.95</v>
      </c>
      <c r="AZ347" s="13" t="n"/>
    </row>
    <row r="348" ht="12.75" customHeight="1">
      <c r="G348" s="11">
        <f>100*(F348-E348)/F348</f>
        <v/>
      </c>
      <c r="P348" s="11">
        <f>O348/I348</f>
        <v/>
      </c>
      <c r="R348" s="2" t="n"/>
      <c r="S348" s="12" t="n">
        <v>5</v>
      </c>
      <c r="AA348" s="11">
        <f>IF(X348&lt;50,IF(Y348&gt;(2.3*X348),0,1),1)-IF(Z348&gt;Y348,1.7,0)</f>
        <v/>
      </c>
      <c r="AC348" s="11">
        <f>IF(U349&gt;9,1,0)+U349/3</f>
        <v/>
      </c>
      <c r="AG348" s="12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11">
        <f>AG348+IF(X348&lt;1.35,0,1)+IF(Y348&lt;1.35,0,1)+AC348+AA348</f>
        <v/>
      </c>
      <c r="AI348" s="11" t="n"/>
      <c r="AJ348" s="11">
        <f>IF(AI348&gt;12.7,IF(AI348&gt;15.8,0.93,0.98),1)</f>
        <v/>
      </c>
      <c r="AK348" s="11">
        <f>(1.2*AG348+AH348)*AJ348*AQ348</f>
        <v/>
      </c>
      <c r="AL348" s="10">
        <f>D348</f>
        <v/>
      </c>
      <c r="AM348" s="14">
        <f>B348</f>
        <v/>
      </c>
      <c r="AP348" s="13">
        <f>IF(AK348&gt;13.1,IF(Z348&lt;101,IF(Z348&lt;35,IF(Z348&lt;6,3,2),1),0),0)</f>
        <v/>
      </c>
      <c r="AQ348" s="11" t="n">
        <v>0.95</v>
      </c>
      <c r="AZ348" s="13">
        <f>AY348+(AY348*AB348)/100</f>
        <v/>
      </c>
    </row>
    <row r="349" ht="12.75" customHeight="1">
      <c r="G349" s="11">
        <f>100*(F349-E349)/F349</f>
        <v/>
      </c>
      <c r="P349" s="11">
        <f>O349/I349</f>
        <v/>
      </c>
      <c r="R349" s="2" t="n"/>
      <c r="S349" s="12" t="n">
        <v>5</v>
      </c>
      <c r="AA349" s="11">
        <f>IF(X349&lt;50,IF(Y349&gt;(2.3*X349),0,1),1)-IF(Z349&gt;Y349,1.7,0)</f>
        <v/>
      </c>
      <c r="AC349" s="11">
        <f>IF(U350&gt;9,1,0)+U350/3</f>
        <v/>
      </c>
      <c r="AG349" s="12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11">
        <f>AG349+IF(X349&lt;1.35,0,1)+IF(Y349&lt;1.35,0,1)+AC349+AA349</f>
        <v/>
      </c>
      <c r="AI349" s="11" t="n"/>
      <c r="AJ349" s="11">
        <f>IF(AI349&gt;12.7,IF(AI349&gt;15.8,0.93,0.98),1)</f>
        <v/>
      </c>
      <c r="AK349" s="11">
        <f>(1.2*AG349+AH349)*AJ349*AQ349</f>
        <v/>
      </c>
      <c r="AL349" s="10">
        <f>D349</f>
        <v/>
      </c>
      <c r="AM349" s="14">
        <f>B349</f>
        <v/>
      </c>
      <c r="AP349" s="13">
        <f>IF(AK349&gt;13.1,IF(Z349&lt;101,IF(Z349&lt;35,IF(Z349&lt;6,3,2),1),0),0)</f>
        <v/>
      </c>
      <c r="AQ349" s="11" t="n">
        <v>0.95</v>
      </c>
      <c r="AZ349" s="13">
        <f>AY349+(AY349*AB349)/100</f>
        <v/>
      </c>
    </row>
    <row r="350" ht="12.75" customHeight="1">
      <c r="G350" s="11">
        <f>100*(F350-E350)/F350</f>
        <v/>
      </c>
      <c r="P350" s="11">
        <f>O350/I350</f>
        <v/>
      </c>
      <c r="R350" s="2" t="n"/>
      <c r="S350" s="12" t="n">
        <v>5</v>
      </c>
      <c r="AA350" s="11">
        <f>IF(X350&lt;50,IF(Y350&gt;(2.3*X350),0,1),1)-IF(Z350&gt;Y350,1.7,0)</f>
        <v/>
      </c>
      <c r="AC350" s="11">
        <f>IF(U351&gt;9,1,0)+U351/3</f>
        <v/>
      </c>
      <c r="AG350" s="12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11">
        <f>AG350+IF(X350&lt;1.35,0,1)+IF(Y350&lt;1.35,0,1)+AC350+AA350</f>
        <v/>
      </c>
      <c r="AI350" s="11" t="n"/>
      <c r="AJ350" s="11">
        <f>IF(AI350&gt;12.7,IF(AI350&gt;15.8,0.93,0.98),1)</f>
        <v/>
      </c>
      <c r="AK350" s="11">
        <f>(1.2*AG350+AH350)*AJ350*AQ350</f>
        <v/>
      </c>
      <c r="AL350" s="10">
        <f>D350</f>
        <v/>
      </c>
      <c r="AM350" s="14">
        <f>B350</f>
        <v/>
      </c>
      <c r="AP350" s="13">
        <f>IF(AK350&gt;13.1,IF(Z350&lt;101,IF(Z350&lt;35,IF(Z350&lt;6,3,2),1),0),0)</f>
        <v/>
      </c>
      <c r="AQ350" s="11" t="n">
        <v>0.95</v>
      </c>
      <c r="AZ350" s="13">
        <f>AY350+(AY350*AB350)/100</f>
        <v/>
      </c>
    </row>
    <row r="351" ht="12.75" customHeight="1">
      <c r="G351" s="11">
        <f>100*(F351-E351)/F351</f>
        <v/>
      </c>
      <c r="P351" s="11">
        <f>O351/I351</f>
        <v/>
      </c>
      <c r="R351" s="2" t="n"/>
      <c r="S351" s="12" t="n">
        <v>5</v>
      </c>
      <c r="AA351" s="11">
        <f>IF(X351&lt;50,IF(Y351&gt;(2.3*X351),0,1),1)-IF(Z351&gt;Y351,1.7,0)</f>
        <v/>
      </c>
      <c r="AC351" s="11">
        <f>IF(U352&gt;9,1,0)+U352/3</f>
        <v/>
      </c>
      <c r="AG351" s="12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11">
        <f>AG351+IF(X351&lt;1.35,0,1)+IF(Y351&lt;1.35,0,1)+AC351+AA351</f>
        <v/>
      </c>
      <c r="AI351" s="11" t="n"/>
      <c r="AJ351" s="11">
        <f>IF(AI351&gt;12.7,IF(AI351&gt;15.8,0.93,0.98),1)</f>
        <v/>
      </c>
      <c r="AK351" s="11">
        <f>(1.2*AG351+AH351)*AJ351*AQ351</f>
        <v/>
      </c>
      <c r="AL351" s="10">
        <f>D351</f>
        <v/>
      </c>
      <c r="AM351" s="14">
        <f>B351</f>
        <v/>
      </c>
      <c r="AP351" s="13">
        <f>IF(AK351&gt;13.1,IF(Z351&lt;101,IF(Z351&lt;35,IF(Z351&lt;6,3,2),1),0),0)</f>
        <v/>
      </c>
      <c r="AQ351" s="11" t="n">
        <v>0.95</v>
      </c>
      <c r="AZ351" s="13">
        <f>AY351+(AY351*AB351)/100</f>
        <v/>
      </c>
    </row>
    <row r="352" ht="12.75" customHeight="1">
      <c r="G352" s="11">
        <f>100*(F352-E352)/F352</f>
        <v/>
      </c>
      <c r="P352" s="11">
        <f>O352/I352</f>
        <v/>
      </c>
      <c r="R352" s="2" t="n"/>
      <c r="S352" s="12" t="n">
        <v>5</v>
      </c>
      <c r="AA352" s="11">
        <f>IF(X352&lt;50,IF(Y352&gt;(2.3*X352),0,1),1)-IF(Z352&gt;Y352,1.7,0)</f>
        <v/>
      </c>
      <c r="AC352" s="11">
        <f>IF(U353&gt;9,1,0)+U353/3</f>
        <v/>
      </c>
      <c r="AG352" s="12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11">
        <f>AG352+IF(X352&lt;1.35,0,1)+IF(Y352&lt;1.35,0,1)+AC352+AA352</f>
        <v/>
      </c>
      <c r="AI352" s="11" t="n"/>
      <c r="AJ352" s="11">
        <f>IF(AI352&gt;12.7,IF(AI352&gt;15.8,0.93,0.98),1)</f>
        <v/>
      </c>
      <c r="AK352" s="11">
        <f>(1.2*AG352+AH352)*AJ352*AQ352</f>
        <v/>
      </c>
      <c r="AL352" s="10">
        <f>D352</f>
        <v/>
      </c>
      <c r="AM352" s="14">
        <f>B352</f>
        <v/>
      </c>
      <c r="AP352" s="13">
        <f>IF(AK352&gt;13.1,IF(Z352&lt;101,IF(Z352&lt;35,IF(Z352&lt;6,3,2),1),0),0)</f>
        <v/>
      </c>
      <c r="AQ352" s="11" t="n">
        <v>0.95</v>
      </c>
      <c r="AZ352" s="13">
        <f>AY352+(AY352*AB352)/100</f>
        <v/>
      </c>
    </row>
    <row r="353" ht="12.75" customHeight="1">
      <c r="G353" s="11">
        <f>100*(F353-E353)/F353</f>
        <v/>
      </c>
      <c r="P353" s="11">
        <f>O353/I353</f>
        <v/>
      </c>
      <c r="R353" s="2" t="n"/>
      <c r="S353" s="12" t="n">
        <v>5</v>
      </c>
      <c r="AA353" s="11">
        <f>IF(X353&lt;50,IF(Y353&gt;(2.3*X353),0,1),1)-IF(Z353&gt;Y353,1.7,0)</f>
        <v/>
      </c>
      <c r="AC353" s="11">
        <f>IF(U354&gt;9,1,0)+U354/3</f>
        <v/>
      </c>
      <c r="AG353" s="12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11">
        <f>AG353+IF(X353&lt;1.35,0,1)+IF(Y353&lt;1.35,0,1)+AC353+AA353</f>
        <v/>
      </c>
      <c r="AI353" s="11" t="n"/>
      <c r="AJ353" s="11">
        <f>IF(AI353&gt;12.7,IF(AI353&gt;15.8,0.93,0.98),1)</f>
        <v/>
      </c>
      <c r="AK353" s="11">
        <f>(1.2*AG353+AH353)*AJ353*AQ353</f>
        <v/>
      </c>
      <c r="AL353" s="10">
        <f>D353</f>
        <v/>
      </c>
      <c r="AM353" s="14">
        <f>B353</f>
        <v/>
      </c>
      <c r="AP353" s="13">
        <f>IF(AK353&gt;13.1,IF(Z353&lt;101,IF(Z353&lt;35,IF(Z353&lt;6,3,2),1),0),0)</f>
        <v/>
      </c>
      <c r="AQ353" s="11" t="n">
        <v>0.95</v>
      </c>
      <c r="AZ353" s="13">
        <f>AY353+(AY353*AB353)/100</f>
        <v/>
      </c>
    </row>
    <row r="354" ht="12.75" customHeight="1">
      <c r="G354" s="11">
        <f>100*(F354-E354)/F354</f>
        <v/>
      </c>
      <c r="P354" s="11">
        <f>O354/I354</f>
        <v/>
      </c>
      <c r="R354" s="2" t="n"/>
      <c r="S354" s="12" t="n">
        <v>5</v>
      </c>
      <c r="AA354" s="11">
        <f>IF(X354&lt;50,IF(Y354&gt;(2.3*X354),0,1),1)-IF(Z354&gt;Y354,1.7,0)</f>
        <v/>
      </c>
      <c r="AC354" s="11">
        <f>IF(U355&gt;9,1,0)+U355/3</f>
        <v/>
      </c>
      <c r="AG354" s="12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11">
        <f>AG354+IF(X354&lt;1.35,0,1)+IF(Y354&lt;1.35,0,1)+AC354+AA354</f>
        <v/>
      </c>
      <c r="AI354" s="11" t="n"/>
      <c r="AJ354" s="11">
        <f>IF(AI354&gt;12.7,IF(AI354&gt;15.8,0.93,0.98),1)</f>
        <v/>
      </c>
      <c r="AK354" s="11">
        <f>(1.2*AG354+AH354)*AJ354*AQ354</f>
        <v/>
      </c>
      <c r="AL354" s="10">
        <f>D354</f>
        <v/>
      </c>
      <c r="AM354" s="14">
        <f>B354</f>
        <v/>
      </c>
      <c r="AP354" s="13">
        <f>IF(AK354&gt;13.1,IF(Z354&lt;101,IF(Z354&lt;35,IF(Z354&lt;6,3,2),1),0),0)</f>
        <v/>
      </c>
      <c r="AQ354" s="11" t="n">
        <v>0.95</v>
      </c>
      <c r="AZ354" s="13">
        <f>AY354+(AY354*AB354)/100</f>
        <v/>
      </c>
    </row>
    <row r="355" ht="12.75" customHeight="1">
      <c r="G355" s="11">
        <f>100*(F355-E355)/F355</f>
        <v/>
      </c>
      <c r="P355" s="11">
        <f>O355/I355</f>
        <v/>
      </c>
      <c r="R355" s="2" t="n"/>
      <c r="S355" s="12" t="n">
        <v>5</v>
      </c>
      <c r="AA355" s="11">
        <f>IF(X355&lt;50,IF(Y355&gt;(2.3*X355),0,1),1)-IF(Z355&gt;Y355,1.7,0)</f>
        <v/>
      </c>
      <c r="AC355" s="11">
        <f>IF(U356&gt;9,1,0)+U356/3</f>
        <v/>
      </c>
      <c r="AG355" s="12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11">
        <f>AG355+IF(X355&lt;1.35,0,1)+IF(Y355&lt;1.35,0,1)+AC355+AA355</f>
        <v/>
      </c>
      <c r="AI355" s="11" t="n"/>
      <c r="AJ355" s="11">
        <f>IF(AI355&gt;12.7,IF(AI355&gt;15.8,0.93,0.98),1)</f>
        <v/>
      </c>
      <c r="AK355" s="11">
        <f>(1.2*AG355+AH355)*AJ355*AQ355</f>
        <v/>
      </c>
      <c r="AL355" s="10">
        <f>D355</f>
        <v/>
      </c>
      <c r="AM355" s="14">
        <f>B355</f>
        <v/>
      </c>
      <c r="AP355" s="13">
        <f>IF(AK355&gt;13.1,IF(Z355&lt;101,IF(Z355&lt;35,IF(Z355&lt;6,3,2),1),0),0)</f>
        <v/>
      </c>
      <c r="AQ355" s="11" t="n">
        <v>0.95</v>
      </c>
      <c r="AZ355" s="13">
        <f>AY355+(AY355*AB355)/100</f>
        <v/>
      </c>
    </row>
    <row r="356" ht="12.75" customHeight="1">
      <c r="G356" s="11">
        <f>100*(F356-E356)/F356</f>
        <v/>
      </c>
      <c r="P356" s="11">
        <f>O356/I356</f>
        <v/>
      </c>
      <c r="R356" s="2" t="n"/>
      <c r="S356" s="12" t="n">
        <v>5</v>
      </c>
      <c r="AA356" s="11">
        <f>IF(X356&lt;50,IF(Y356&gt;(2.3*X356),0,1),1)-IF(Z356&gt;Y356,1.7,0)</f>
        <v/>
      </c>
      <c r="AC356" s="11">
        <f>IF(U357&gt;9,1,0)+U357/3</f>
        <v/>
      </c>
      <c r="AG356" s="12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11">
        <f>AG356+IF(X356&lt;1.35,0,1)+IF(Y356&lt;1.35,0,1)+AC356+AA356</f>
        <v/>
      </c>
      <c r="AI356" s="11" t="n"/>
      <c r="AJ356" s="11">
        <f>IF(AI356&gt;12.7,IF(AI356&gt;15.8,0.93,0.98),1)</f>
        <v/>
      </c>
      <c r="AK356" s="11">
        <f>(1.2*AG356+AH356)*AJ356*AQ356</f>
        <v/>
      </c>
      <c r="AL356" s="10">
        <f>D356</f>
        <v/>
      </c>
      <c r="AM356" s="14">
        <f>B356</f>
        <v/>
      </c>
      <c r="AP356" s="13">
        <f>IF(AK356&gt;13.1,IF(Z356&lt;101,IF(Z356&lt;35,IF(Z356&lt;6,3,2),1),0),0)</f>
        <v/>
      </c>
      <c r="AQ356" s="11" t="n">
        <v>0.95</v>
      </c>
      <c r="AZ356" s="13">
        <f>AY356+(AY356*AB356)/100</f>
        <v/>
      </c>
    </row>
    <row r="357" ht="12.75" customHeight="1">
      <c r="G357" s="11">
        <f>100*(F357-E357)/F357</f>
        <v/>
      </c>
      <c r="P357" s="11">
        <f>O357/I357</f>
        <v/>
      </c>
      <c r="R357" s="2" t="n"/>
      <c r="S357" s="12" t="n">
        <v>5</v>
      </c>
      <c r="AA357" s="11">
        <f>IF(X357&lt;50,IF(Y357&gt;(2.3*X357),0,1),1)-IF(Z357&gt;Y357,1.7,0)</f>
        <v/>
      </c>
      <c r="AC357" s="11">
        <f>IF(U358&gt;9,1,0)+U358/3</f>
        <v/>
      </c>
      <c r="AG357" s="12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11">
        <f>AG357+IF(X357&lt;1.35,0,1)+IF(Y357&lt;1.35,0,1)+AC357+AA357</f>
        <v/>
      </c>
      <c r="AI357" s="11" t="n"/>
      <c r="AJ357" s="11">
        <f>IF(AI357&gt;12.7,IF(AI357&gt;15.8,0.93,0.98),1)</f>
        <v/>
      </c>
      <c r="AK357" s="11">
        <f>(1.2*AG357+AH357)*AJ357*AQ357</f>
        <v/>
      </c>
      <c r="AL357" s="10">
        <f>D357</f>
        <v/>
      </c>
      <c r="AM357" s="14">
        <f>B357</f>
        <v/>
      </c>
      <c r="AP357" s="13">
        <f>IF(AK357&gt;13.1,IF(Z357&lt;101,IF(Z357&lt;35,IF(Z357&lt;6,3,2),1),0),0)</f>
        <v/>
      </c>
      <c r="AQ357" s="11" t="n">
        <v>0.95</v>
      </c>
      <c r="AZ357" s="13">
        <f>AY357+(AY357*AB357)/100</f>
        <v/>
      </c>
    </row>
    <row r="358" ht="12.75" customHeight="1">
      <c r="G358" s="11">
        <f>100*(F358-E358)/F358</f>
        <v/>
      </c>
      <c r="P358" s="11">
        <f>O358/I358</f>
        <v/>
      </c>
      <c r="R358" s="2" t="n"/>
      <c r="S358" s="12" t="n">
        <v>5</v>
      </c>
      <c r="AA358" s="11">
        <f>IF(X358&lt;50,IF(Y358&gt;(2.3*X358),0,1),1)-IF(Z358&gt;Y358,1.7,0)</f>
        <v/>
      </c>
      <c r="AC358" s="11">
        <f>IF(U359&gt;9,1,0)+U359/3</f>
        <v/>
      </c>
      <c r="AG358" s="12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11">
        <f>AG358+IF(X358&lt;1.35,0,1)+IF(Y358&lt;1.35,0,1)+AC358+AA358</f>
        <v/>
      </c>
      <c r="AI358" s="11" t="n"/>
      <c r="AJ358" s="11">
        <f>IF(AI358&gt;12.7,IF(AI358&gt;15.8,0.93,0.98),1)</f>
        <v/>
      </c>
      <c r="AK358" s="11">
        <f>(1.2*AG358+AH358)*AJ358*AQ358</f>
        <v/>
      </c>
      <c r="AL358" s="10">
        <f>D358</f>
        <v/>
      </c>
      <c r="AM358" s="14">
        <f>B358</f>
        <v/>
      </c>
      <c r="AP358" s="13">
        <f>IF(AK358&gt;13.1,IF(Z358&lt;101,IF(Z358&lt;35,IF(Z358&lt;6,3,2),1),0),0)</f>
        <v/>
      </c>
      <c r="AQ358" s="11" t="n">
        <v>0.95</v>
      </c>
      <c r="AZ358" s="13">
        <f>AY358+(AY358*AB358)/100</f>
        <v/>
      </c>
    </row>
    <row r="359" ht="12.75" customHeight="1">
      <c r="G359" s="11">
        <f>100*(F359-E359)/F359</f>
        <v/>
      </c>
      <c r="P359" s="11">
        <f>O359/I359</f>
        <v/>
      </c>
      <c r="R359" s="2" t="n"/>
      <c r="S359" s="12" t="n">
        <v>5</v>
      </c>
      <c r="AA359" s="11">
        <f>IF(X359&lt;50,IF(Y359&gt;(2.3*X359),0,1),1)-IF(Z359&gt;Y359,1.7,0)</f>
        <v/>
      </c>
      <c r="AC359" s="11">
        <f>IF(U360&gt;9,1,0)+U360/3</f>
        <v/>
      </c>
      <c r="AG359" s="12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11">
        <f>AG359+IF(X359&lt;1.35,0,1)+IF(Y359&lt;1.35,0,1)+AC359+AA359</f>
        <v/>
      </c>
      <c r="AI359" s="11" t="n"/>
      <c r="AJ359" s="11">
        <f>IF(AI359&gt;12.7,IF(AI359&gt;15.8,0.93,0.98),1)</f>
        <v/>
      </c>
      <c r="AK359" s="11">
        <f>(1.2*AG359+AH359)*AJ359*AQ359</f>
        <v/>
      </c>
      <c r="AL359" s="10">
        <f>D359</f>
        <v/>
      </c>
      <c r="AM359" s="14">
        <f>B359</f>
        <v/>
      </c>
      <c r="AP359" s="13">
        <f>IF(AK359&gt;13.1,IF(Z359&lt;101,IF(Z359&lt;35,IF(Z359&lt;6,3,2),1),0),0)</f>
        <v/>
      </c>
      <c r="AQ359" s="11" t="n">
        <v>0.95</v>
      </c>
      <c r="AZ359" s="13">
        <f>AY359+(AY359*AB359)/100</f>
        <v/>
      </c>
    </row>
    <row r="360" ht="12.75" customHeight="1">
      <c r="G360" s="11">
        <f>100*(F360-E360)/F360</f>
        <v/>
      </c>
      <c r="P360" s="11">
        <f>O360/I360</f>
        <v/>
      </c>
      <c r="R360" s="2" t="n"/>
      <c r="S360" s="12" t="n">
        <v>5</v>
      </c>
      <c r="AA360" s="11">
        <f>IF(X360&lt;50,IF(Y360&gt;(2.3*X360),0,1),1)-IF(Z360&gt;Y360,1.7,0)</f>
        <v/>
      </c>
      <c r="AC360" s="11">
        <f>IF(U361&gt;9,1,0)+U361/3</f>
        <v/>
      </c>
      <c r="AG360" s="12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11">
        <f>AG360+IF(X360&lt;1.35,0,1)+IF(Y360&lt;1.35,0,1)+AC360+AA360</f>
        <v/>
      </c>
      <c r="AI360" s="11" t="n"/>
      <c r="AJ360" s="11">
        <f>IF(AI360&gt;12.7,IF(AI360&gt;15.8,0.93,0.98),1)</f>
        <v/>
      </c>
      <c r="AK360" s="11">
        <f>(1.2*AG360+AH360)*AJ360*AQ360</f>
        <v/>
      </c>
      <c r="AL360" s="10">
        <f>D360</f>
        <v/>
      </c>
      <c r="AM360" s="14">
        <f>B360</f>
        <v/>
      </c>
      <c r="AP360" s="13">
        <f>IF(AK360&gt;13.1,IF(Z360&lt;101,IF(Z360&lt;35,IF(Z360&lt;6,3,2),1),0),0)</f>
        <v/>
      </c>
      <c r="AQ360" s="11" t="n">
        <v>0.95</v>
      </c>
      <c r="AZ360" s="13">
        <f>AY360+(AY360*AB360)/100</f>
        <v/>
      </c>
    </row>
    <row r="361" ht="12.75" customHeight="1">
      <c r="G361" s="11">
        <f>100*(F361-E361)/F361</f>
        <v/>
      </c>
      <c r="P361" s="11">
        <f>O361/I361</f>
        <v/>
      </c>
      <c r="R361" s="2" t="n"/>
      <c r="S361" s="12" t="n">
        <v>5</v>
      </c>
      <c r="AA361" s="11">
        <f>IF(X361&lt;50,IF(Y361&gt;(2.3*X361),0,1),1)-IF(Z361&gt;Y361,1.7,0)</f>
        <v/>
      </c>
      <c r="AC361" s="11">
        <f>IF(U362&gt;9,1,0)+U362/3</f>
        <v/>
      </c>
      <c r="AG361" s="12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11">
        <f>AG361+IF(X361&lt;1.35,0,1)+IF(Y361&lt;1.35,0,1)+AC361+AA361</f>
        <v/>
      </c>
      <c r="AI361" s="11" t="n"/>
      <c r="AJ361" s="11">
        <f>IF(AI361&gt;12.7,IF(AI361&gt;15.8,0.93,0.98),1)</f>
        <v/>
      </c>
      <c r="AK361" s="11">
        <f>(1.2*AG361+AH361)*AJ361*AQ361</f>
        <v/>
      </c>
      <c r="AL361" s="10">
        <f>D361</f>
        <v/>
      </c>
      <c r="AM361" s="14">
        <f>B361</f>
        <v/>
      </c>
      <c r="AP361" s="13">
        <f>IF(AK361&gt;13.1,IF(Z361&lt;101,IF(Z361&lt;35,IF(Z361&lt;6,3,2),1),0),0)</f>
        <v/>
      </c>
      <c r="AQ361" s="11" t="n">
        <v>0.95</v>
      </c>
      <c r="AZ361" s="13">
        <f>AY361+(AY361*AB361)/100</f>
        <v/>
      </c>
    </row>
    <row r="362" ht="12.75" customHeight="1">
      <c r="G362" s="11">
        <f>100*(F362-E362)/F362</f>
        <v/>
      </c>
      <c r="P362" s="11">
        <f>O362/I362</f>
        <v/>
      </c>
      <c r="R362" s="2" t="n"/>
      <c r="S362" s="12" t="n">
        <v>5</v>
      </c>
      <c r="AA362" s="11">
        <f>IF(X362&lt;50,IF(Y362&gt;(2.3*X362),0,1),1)-IF(Z362&gt;Y362,1.7,0)</f>
        <v/>
      </c>
      <c r="AC362" s="11">
        <f>IF(U363&gt;9,1,0)+U363/3</f>
        <v/>
      </c>
      <c r="AG362" s="12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11">
        <f>AG362+IF(X362&lt;1.35,0,1)+IF(Y362&lt;1.35,0,1)+AC362+AA362</f>
        <v/>
      </c>
      <c r="AI362" s="11" t="n"/>
      <c r="AJ362" s="11">
        <f>IF(AI362&gt;12.7,IF(AI362&gt;15.8,0.93,0.98),1)</f>
        <v/>
      </c>
      <c r="AK362" s="11">
        <f>(1.2*AG362+AH362)*AJ362*AQ362</f>
        <v/>
      </c>
      <c r="AL362" s="10">
        <f>D362</f>
        <v/>
      </c>
      <c r="AM362" s="14">
        <f>B362</f>
        <v/>
      </c>
      <c r="AP362" s="13">
        <f>IF(AK362&gt;13.1,IF(Z362&lt;101,IF(Z362&lt;35,IF(Z362&lt;6,3,2),1),0),0)</f>
        <v/>
      </c>
      <c r="AQ362" s="11" t="n">
        <v>0.95</v>
      </c>
      <c r="AZ362" s="13">
        <f>AY362+(AY362*AB362)/100</f>
        <v/>
      </c>
    </row>
    <row r="363" ht="12.75" customHeight="1">
      <c r="G363" s="11">
        <f>100*(F363-E363)/F363</f>
        <v/>
      </c>
      <c r="P363" s="11">
        <f>O363/I363</f>
        <v/>
      </c>
      <c r="R363" s="2" t="n"/>
      <c r="S363" s="12" t="n">
        <v>5</v>
      </c>
      <c r="AA363" s="11">
        <f>IF(X363&lt;50,IF(Y363&gt;(2.3*X363),0,1),1)-IF(Z363&gt;Y363,1.7,0)</f>
        <v/>
      </c>
      <c r="AC363" s="11">
        <f>IF(U364&gt;9,1,0)+U364/3</f>
        <v/>
      </c>
      <c r="AG363" s="12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11">
        <f>AG363+IF(X363&lt;1.35,0,1)+IF(Y363&lt;1.35,0,1)+AC363+AA363</f>
        <v/>
      </c>
      <c r="AI363" s="11" t="n"/>
      <c r="AJ363" s="11">
        <f>IF(AI363&gt;12.7,IF(AI363&gt;15.8,0.93,0.98),1)</f>
        <v/>
      </c>
      <c r="AK363" s="11">
        <f>(1.2*AG363+AH363)*AJ363*AQ363</f>
        <v/>
      </c>
      <c r="AL363" s="10">
        <f>D363</f>
        <v/>
      </c>
      <c r="AM363" s="14">
        <f>B363</f>
        <v/>
      </c>
      <c r="AP363" s="13">
        <f>IF(AK363&gt;13.1,IF(Z363&lt;101,IF(Z363&lt;35,IF(Z363&lt;6,3,2),1),0),0)</f>
        <v/>
      </c>
      <c r="AQ363" s="11" t="n">
        <v>0.95</v>
      </c>
      <c r="AZ363" s="13">
        <f>AY363+(AY363*AB363)/100</f>
        <v/>
      </c>
    </row>
    <row r="364" ht="12.75" customHeight="1">
      <c r="G364" s="11">
        <f>100*(F364-E364)/F364</f>
        <v/>
      </c>
      <c r="P364" s="11">
        <f>O364/I364</f>
        <v/>
      </c>
      <c r="R364" s="2" t="n"/>
      <c r="S364" s="12" t="n">
        <v>5</v>
      </c>
      <c r="AA364" s="11">
        <f>IF(X364&lt;50,IF(Y364&gt;(2.3*X364),0,1),1)-IF(Z364&gt;Y364,1.7,0)</f>
        <v/>
      </c>
      <c r="AC364" s="11">
        <f>IF(U365&gt;9,1,0)+U365/3</f>
        <v/>
      </c>
      <c r="AG364" s="12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11">
        <f>AG364+IF(X364&lt;1.35,0,1)+IF(Y364&lt;1.35,0,1)+AC364+AA364</f>
        <v/>
      </c>
      <c r="AI364" s="11" t="n"/>
      <c r="AJ364" s="11">
        <f>IF(AI364&gt;12.7,IF(AI364&gt;15.8,0.93,0.98),1)</f>
        <v/>
      </c>
      <c r="AK364" s="11">
        <f>(1.2*AG364+AH364)*AJ364*AQ364</f>
        <v/>
      </c>
      <c r="AL364" s="10">
        <f>D364</f>
        <v/>
      </c>
      <c r="AM364" s="14">
        <f>B364</f>
        <v/>
      </c>
      <c r="AP364" s="13">
        <f>IF(AK364&gt;13.1,IF(Z364&lt;101,IF(Z364&lt;35,IF(Z364&lt;6,3,2),1),0),0)</f>
        <v/>
      </c>
      <c r="AQ364" s="11" t="n">
        <v>0.95</v>
      </c>
      <c r="AZ364" s="13">
        <f>AY364+(AY364*AB364)/100</f>
        <v/>
      </c>
    </row>
    <row r="365" ht="12.75" customHeight="1">
      <c r="G365" s="11">
        <f>100*(F365-E365)/F365</f>
        <v/>
      </c>
      <c r="P365" s="11">
        <f>O365/I365</f>
        <v/>
      </c>
      <c r="R365" s="2" t="n"/>
      <c r="S365" s="12" t="n">
        <v>5</v>
      </c>
      <c r="AA365" s="11">
        <f>IF(X365&lt;50,IF(Y365&gt;(2.3*X365),0,1),1)-IF(Z365&gt;Y365,1.7,0)</f>
        <v/>
      </c>
      <c r="AC365" s="11">
        <f>IF(U366&gt;9,1,0)+U366/3</f>
        <v/>
      </c>
      <c r="AG365" s="12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11">
        <f>AG365+IF(X365&lt;1.35,0,1)+IF(Y365&lt;1.35,0,1)+AC365+AA365</f>
        <v/>
      </c>
      <c r="AI365" s="11" t="n"/>
      <c r="AJ365" s="11">
        <f>IF(AI365&gt;12.7,IF(AI365&gt;15.8,0.93,0.98),1)</f>
        <v/>
      </c>
      <c r="AK365" s="11">
        <f>(1.2*AG365+AH365)*AJ365*AQ365</f>
        <v/>
      </c>
      <c r="AL365" s="10">
        <f>D365</f>
        <v/>
      </c>
      <c r="AM365" s="14">
        <f>B365</f>
        <v/>
      </c>
      <c r="AP365" s="13">
        <f>IF(AK365&gt;13.1,IF(Z365&lt;101,IF(Z365&lt;35,IF(Z365&lt;6,3,2),1),0),0)</f>
        <v/>
      </c>
      <c r="AQ365" s="11" t="n">
        <v>0.95</v>
      </c>
      <c r="AZ365" s="13">
        <f>AY365+(AY365*AB365)/100</f>
        <v/>
      </c>
    </row>
    <row r="366" ht="12.75" customHeight="1">
      <c r="G366" s="11">
        <f>100*(F366-E366)/F366</f>
        <v/>
      </c>
      <c r="P366" s="11">
        <f>O366/I366</f>
        <v/>
      </c>
      <c r="R366" s="2" t="n"/>
      <c r="S366" s="12" t="n">
        <v>5</v>
      </c>
      <c r="AA366" s="11">
        <f>IF(X366&lt;50,IF(Y366&gt;(2.3*X366),0,1),1)-IF(Z366&gt;Y366,1.7,0)</f>
        <v/>
      </c>
      <c r="AC366" s="11">
        <f>IF(U367&gt;9,1,0)+U367/3</f>
        <v/>
      </c>
      <c r="AG366" s="12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11">
        <f>AG366+IF(X366&lt;1.35,0,1)+IF(Y366&lt;1.35,0,1)+AC366+AA366</f>
        <v/>
      </c>
      <c r="AI366" s="11" t="n"/>
      <c r="AJ366" s="11">
        <f>IF(AI366&gt;12.7,IF(AI366&gt;15.8,0.93,0.98),1)</f>
        <v/>
      </c>
      <c r="AK366" s="11">
        <f>(1.2*AG366+AH366)*AJ366*AQ366</f>
        <v/>
      </c>
      <c r="AL366" s="10">
        <f>D366</f>
        <v/>
      </c>
      <c r="AM366" s="14">
        <f>B366</f>
        <v/>
      </c>
      <c r="AP366" s="13">
        <f>IF(AK366&gt;13.1,IF(Z366&lt;101,IF(Z366&lt;35,IF(Z366&lt;6,3,2),1),0),0)</f>
        <v/>
      </c>
      <c r="AQ366" s="11" t="n">
        <v>0.95</v>
      </c>
      <c r="AZ366" s="13">
        <f>AY366+(AY366*AB366)/100</f>
        <v/>
      </c>
    </row>
    <row r="367" ht="12.75" customHeight="1">
      <c r="G367" s="11">
        <f>100*(F367-E367)/F367</f>
        <v/>
      </c>
      <c r="P367" s="11">
        <f>O367/I367</f>
        <v/>
      </c>
      <c r="R367" s="2" t="n"/>
      <c r="S367" s="12" t="n">
        <v>5</v>
      </c>
      <c r="AA367" s="11">
        <f>IF(X367&lt;50,IF(Y367&gt;(2.3*X367),0,1),1)-IF(Z367&gt;Y367,1.7,0)</f>
        <v/>
      </c>
      <c r="AC367" s="11">
        <f>IF(U368&gt;9,1,0)+U368/3</f>
        <v/>
      </c>
      <c r="AG367" s="12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11">
        <f>AG367+IF(X367&lt;1.35,0,1)+IF(Y367&lt;1.35,0,1)+AC367+AA367</f>
        <v/>
      </c>
      <c r="AI367" s="11" t="n"/>
      <c r="AJ367" s="11">
        <f>IF(AI367&gt;12.7,IF(AI367&gt;15.8,0.93,0.98),1)</f>
        <v/>
      </c>
      <c r="AK367" s="11">
        <f>(1.2*AG367+AH367)*AJ367*AQ367</f>
        <v/>
      </c>
      <c r="AL367" s="10">
        <f>D367</f>
        <v/>
      </c>
      <c r="AM367" s="14">
        <f>B367</f>
        <v/>
      </c>
      <c r="AP367" s="13">
        <f>IF(AK367&gt;13.1,IF(Z367&lt;101,IF(Z367&lt;35,IF(Z367&lt;6,3,2),1),0),0)</f>
        <v/>
      </c>
      <c r="AQ367" s="11" t="n">
        <v>0.95</v>
      </c>
      <c r="AZ367" s="13">
        <f>AY367+(AY367*AB367)/100</f>
        <v/>
      </c>
    </row>
    <row r="368" ht="12.75" customHeight="1">
      <c r="G368" s="11">
        <f>100*(F368-E368)/F368</f>
        <v/>
      </c>
      <c r="P368" s="11">
        <f>O368/I368</f>
        <v/>
      </c>
      <c r="R368" s="2" t="n"/>
      <c r="S368" s="12" t="n">
        <v>5</v>
      </c>
      <c r="AA368" s="11">
        <f>IF(X368&lt;50,IF(Y368&gt;(2.3*X368),0,1),1)-IF(Z368&gt;Y368,1.7,0)</f>
        <v/>
      </c>
      <c r="AC368" s="11">
        <f>IF(U369&gt;9,1,0)+U369/3</f>
        <v/>
      </c>
      <c r="AG368" s="12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11">
        <f>AG368+IF(X368&lt;1.35,0,1)+IF(Y368&lt;1.35,0,1)+AC368+AA368</f>
        <v/>
      </c>
      <c r="AI368" s="11" t="n"/>
      <c r="AJ368" s="11">
        <f>IF(AI368&gt;12.7,IF(AI368&gt;15.8,0.93,0.98),1)</f>
        <v/>
      </c>
      <c r="AK368" s="11">
        <f>(1.2*AG368+AH368)*AJ368*AQ368</f>
        <v/>
      </c>
      <c r="AL368" s="10">
        <f>D368</f>
        <v/>
      </c>
      <c r="AM368" s="14">
        <f>B368</f>
        <v/>
      </c>
      <c r="AP368" s="13">
        <f>IF(AK368&gt;13.1,IF(Z368&lt;101,IF(Z368&lt;35,IF(Z368&lt;6,3,2),1),0),0)</f>
        <v/>
      </c>
      <c r="AQ368" s="11" t="n">
        <v>0.95</v>
      </c>
      <c r="AZ368" s="13">
        <f>AY368+(AY368*AB368)/100</f>
        <v/>
      </c>
    </row>
    <row r="369" ht="12.75" customHeight="1">
      <c r="G369" s="11">
        <f>100*(F369-E369)/F369</f>
        <v/>
      </c>
      <c r="P369" s="11">
        <f>O369/I369</f>
        <v/>
      </c>
      <c r="R369" s="2" t="n"/>
      <c r="S369" s="12" t="n">
        <v>5</v>
      </c>
      <c r="AA369" s="11">
        <f>IF(X369&lt;50,IF(Y369&gt;(2.3*X369),0,1),1)-IF(Z369&gt;Y369,1.7,0)</f>
        <v/>
      </c>
      <c r="AC369" s="11">
        <f>IF(U370&gt;9,1,0)+U370/3</f>
        <v/>
      </c>
      <c r="AG369" s="12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11">
        <f>AG369+IF(X369&lt;1.35,0,1)+IF(Y369&lt;1.35,0,1)+AC369+AA369</f>
        <v/>
      </c>
      <c r="AI369" s="11" t="n"/>
      <c r="AJ369" s="11">
        <f>IF(AI369&gt;12.7,IF(AI369&gt;15.8,0.93,0.98),1)</f>
        <v/>
      </c>
      <c r="AK369" s="11">
        <f>(1.2*AG369+AH369)*AJ369*AQ369</f>
        <v/>
      </c>
      <c r="AL369" s="10">
        <f>D369</f>
        <v/>
      </c>
      <c r="AM369" s="14">
        <f>B369</f>
        <v/>
      </c>
      <c r="AP369" s="13">
        <f>IF(AK369&gt;13.1,IF(Z369&lt;101,IF(Z369&lt;35,IF(Z369&lt;6,3,2),1),0),0)</f>
        <v/>
      </c>
      <c r="AQ369" s="11" t="n">
        <v>0.95</v>
      </c>
      <c r="AZ369" s="13">
        <f>AY369+(AY369*AB369)/100</f>
        <v/>
      </c>
    </row>
    <row r="370" ht="12.75" customHeight="1">
      <c r="G370" s="11">
        <f>100*(F370-E370)/F370</f>
        <v/>
      </c>
      <c r="P370" s="11">
        <f>O370/I370</f>
        <v/>
      </c>
      <c r="R370" s="2" t="n"/>
      <c r="S370" s="12" t="n">
        <v>5</v>
      </c>
      <c r="AA370" s="11">
        <f>IF(X370&lt;50,IF(Y370&gt;(2.3*X370),0,1),1)-IF(Z370&gt;Y370,1.7,0)</f>
        <v/>
      </c>
      <c r="AC370" s="11">
        <f>IF(U371&gt;9,1,0)+U371/3</f>
        <v/>
      </c>
      <c r="AG370" s="12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11">
        <f>AG370+IF(X370&lt;1.35,0,1)+IF(Y370&lt;1.35,0,1)+AC370+AA370</f>
        <v/>
      </c>
      <c r="AI370" s="11" t="n"/>
      <c r="AJ370" s="11">
        <f>IF(AI370&gt;12.7,IF(AI370&gt;15.8,0.93,0.98),1)</f>
        <v/>
      </c>
      <c r="AK370" s="11">
        <f>(1.2*AG370+AH370)*AJ370*AQ370</f>
        <v/>
      </c>
      <c r="AL370" s="10">
        <f>D370</f>
        <v/>
      </c>
      <c r="AM370" s="14">
        <f>B370</f>
        <v/>
      </c>
      <c r="AP370" s="13">
        <f>IF(AK370&gt;13.1,IF(Z370&lt;101,IF(Z370&lt;35,IF(Z370&lt;6,3,2),1),0),0)</f>
        <v/>
      </c>
      <c r="AQ370" s="11" t="n">
        <v>0.95</v>
      </c>
      <c r="AZ370" s="13">
        <f>AY370+(AY370*AB370)/100</f>
        <v/>
      </c>
    </row>
    <row r="371" ht="12.75" customHeight="1">
      <c r="G371" s="11">
        <f>100*(F371-E371)/F371</f>
        <v/>
      </c>
      <c r="P371" s="11">
        <f>O371/I371</f>
        <v/>
      </c>
      <c r="R371" s="2" t="n"/>
      <c r="S371" s="12" t="n">
        <v>0</v>
      </c>
      <c r="AA371" s="11">
        <f>IF(X371&lt;50,IF(Y371&gt;(2.3*X371),0,1),1)-IF(Z371&gt;Y371,1.7,0)</f>
        <v/>
      </c>
      <c r="AC371" s="11">
        <f>IF(U372&gt;9,1,0)+U372/3</f>
        <v/>
      </c>
      <c r="AG371" s="12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11">
        <f>AG371+IF(X371&lt;1.35,0,1)+IF(Y371&lt;1.35,0,1)+AC371+AA371</f>
        <v/>
      </c>
      <c r="AI371" s="11" t="n"/>
      <c r="AJ371" s="11">
        <f>IF(AI371&gt;12.7,IF(AI371&gt;15.8,0.93,0.98),1)</f>
        <v/>
      </c>
      <c r="AK371" s="11">
        <f>(1.2*AG371+AH371)*AJ371*AQ371</f>
        <v/>
      </c>
      <c r="AL371" s="10">
        <f>D371</f>
        <v/>
      </c>
      <c r="AM371" s="14">
        <f>B371</f>
        <v/>
      </c>
      <c r="AP371" s="13">
        <f>IF(AK371&gt;13.1,IF(Z371&lt;101,IF(Z371&lt;35,IF(Z371&lt;6,3,2),1),0),0)</f>
        <v/>
      </c>
      <c r="AQ371" s="11" t="n">
        <v>0.95</v>
      </c>
      <c r="AZ371" s="13">
        <f>AY371+(AY371*AB371)/100</f>
        <v/>
      </c>
    </row>
    <row r="372" ht="12.75" customHeight="1">
      <c r="G372" s="11">
        <f>100*(F372-E372)/F372</f>
        <v/>
      </c>
      <c r="P372" s="11">
        <f>O372/I372</f>
        <v/>
      </c>
      <c r="R372" s="2" t="n"/>
      <c r="S372" s="12" t="n">
        <v>0</v>
      </c>
      <c r="AA372" s="11">
        <f>IF(X372&lt;50,IF(Y372&gt;(2.3*X372),0,1),1)-IF(Z372&gt;Y372,1.7,0)</f>
        <v/>
      </c>
      <c r="AC372" s="11">
        <f>IF(U373&gt;9,1,0)+U373/3</f>
        <v/>
      </c>
      <c r="AG372" s="12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11">
        <f>AG372+IF(X372&lt;1.35,0,1)+IF(Y372&lt;1.35,0,1)+AC372+AA372</f>
        <v/>
      </c>
      <c r="AI372" s="11" t="n"/>
      <c r="AJ372" s="11">
        <f>IF(AI372&gt;12.7,IF(AI372&gt;15.8,0.93,0.98),1)</f>
        <v/>
      </c>
      <c r="AK372" s="11">
        <f>(1.2*AG372+AH372)*AJ372*AQ372</f>
        <v/>
      </c>
      <c r="AL372" s="10">
        <f>D372</f>
        <v/>
      </c>
      <c r="AM372" s="14">
        <f>B372</f>
        <v/>
      </c>
      <c r="AP372" s="13">
        <f>IF(AK372&gt;13.1,IF(Z372&lt;101,IF(Z372&lt;35,IF(Z372&lt;6,3,2),1),0),0)</f>
        <v/>
      </c>
      <c r="AQ372" s="11" t="n">
        <v>0.95</v>
      </c>
      <c r="AZ372" s="13">
        <f>AY372+(AY372*AB372)/100</f>
        <v/>
      </c>
    </row>
    <row r="373" ht="12.75" customHeight="1">
      <c r="G373" s="11">
        <f>100*(F373-E373)/F373</f>
        <v/>
      </c>
      <c r="P373" s="11">
        <f>O373/I373</f>
        <v/>
      </c>
      <c r="R373" s="2" t="n"/>
      <c r="AA373" s="11">
        <f>IF(X373&lt;50,IF(Y373&gt;(2.3*X373),0,1),1)-IF(Z373&gt;Y373,1.7,0)</f>
        <v/>
      </c>
      <c r="AC373" s="11">
        <f>IF(AB373&gt;6.2,1,0)+AB373/5</f>
        <v/>
      </c>
      <c r="AG373" s="12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11">
        <f>AG373+IF(X373&lt;1.35,0,1)+IF(Y373&lt;1.35,0,1)+AC373+AA373</f>
        <v/>
      </c>
      <c r="AI373" s="11" t="n"/>
      <c r="AJ373" s="11">
        <f>IF(AI373&gt;12.7,IF(AI373&gt;15.8,0.93,0.98),1)</f>
        <v/>
      </c>
      <c r="AK373" s="11">
        <f>(1.2*AG373+AH373)*AJ373*AQ373</f>
        <v/>
      </c>
      <c r="AL373" s="10">
        <f>D373</f>
        <v/>
      </c>
      <c r="AM373" s="14">
        <f>B373</f>
        <v/>
      </c>
      <c r="AP373" s="13">
        <f>IF(AK373&gt;13.1,IF(Z373&lt;101,IF(Z373&lt;35,IF(Z373&lt;6,3,2),1),0),0)</f>
        <v/>
      </c>
      <c r="AQ373" s="11" t="n">
        <v>0.95</v>
      </c>
      <c r="AZ373" s="13">
        <f>AY373+(AY373*AB373)/100</f>
        <v/>
      </c>
    </row>
    <row r="374" ht="12.75" customHeight="1">
      <c r="G374" s="11">
        <f>100*(F374-E374)/F374</f>
        <v/>
      </c>
      <c r="P374" s="11">
        <f>O374/I374</f>
        <v/>
      </c>
      <c r="R374" s="2" t="n"/>
      <c r="AA374" s="11">
        <f>IF(X374&lt;50,IF(Y374&gt;(2.3*X374),0,1),1)-IF(Z374&gt;Y374,1.7,0)</f>
        <v/>
      </c>
      <c r="AC374" s="11">
        <f>IF(AB374&gt;6.2,1,0)+AB374/5</f>
        <v/>
      </c>
      <c r="AG374" s="12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11">
        <f>AG374+IF(X374&lt;1.35,0,1)+IF(Y374&lt;1.35,0,1)+AC374+AA374</f>
        <v/>
      </c>
      <c r="AI374" s="11" t="n"/>
      <c r="AJ374" s="11">
        <f>IF(AI374&gt;12.7,IF(AI374&gt;15.8,0.93,0.98),1)</f>
        <v/>
      </c>
      <c r="AK374" s="11">
        <f>(1.2*AG374+AH374)*AJ374*AQ374</f>
        <v/>
      </c>
      <c r="AL374" s="10">
        <f>D374</f>
        <v/>
      </c>
      <c r="AM374" s="14">
        <f>B374</f>
        <v/>
      </c>
      <c r="AP374" s="13">
        <f>IF(AK374&gt;13.1,IF(Z374&lt;101,IF(Z374&lt;35,IF(Z374&lt;6,3,2),1),0),0)</f>
        <v/>
      </c>
      <c r="AQ374" s="11" t="n">
        <v>0.95</v>
      </c>
      <c r="AZ374" s="13">
        <f>AY374+(AY374*AB374)/100</f>
        <v/>
      </c>
    </row>
    <row r="375" ht="12.75" customHeight="1">
      <c r="G375" s="11">
        <f>100*(F375-E375)/F375</f>
        <v/>
      </c>
      <c r="P375" s="11">
        <f>O375/I375</f>
        <v/>
      </c>
      <c r="R375" s="2" t="n"/>
      <c r="AA375" s="11">
        <f>IF(X375&lt;50,IF(Y375&gt;(2.3*X375),0,1),1)-IF(Z375&gt;Y375,1.7,0)</f>
        <v/>
      </c>
      <c r="AC375" s="11">
        <f>IF(AB375&gt;6.2,1,0)+AB375/5</f>
        <v/>
      </c>
      <c r="AG375" s="12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11">
        <f>AG375+IF(X375&lt;1.35,0,1)+IF(Y375&lt;1.35,0,1)+AC375+AA375</f>
        <v/>
      </c>
      <c r="AI375" s="11" t="n"/>
      <c r="AJ375" s="11">
        <f>IF(AI375&gt;12.7,IF(AI375&gt;15.8,0.93,0.98),1)</f>
        <v/>
      </c>
      <c r="AK375" s="11">
        <f>(1.2*AG375+AH375)*AJ375*AQ375</f>
        <v/>
      </c>
      <c r="AL375" s="10">
        <f>D375</f>
        <v/>
      </c>
      <c r="AM375" s="14">
        <f>B375</f>
        <v/>
      </c>
      <c r="AP375" s="13">
        <f>IF(AK375&gt;13.1,IF(Z375&lt;101,IF(Z375&lt;35,IF(Z375&lt;6,3,2),1),0),0)</f>
        <v/>
      </c>
      <c r="AQ375" s="11" t="n">
        <v>0.95</v>
      </c>
      <c r="AZ375" s="13">
        <f>AY375+(AY375*AB375)/100</f>
        <v/>
      </c>
    </row>
    <row r="376" ht="12.75" customHeight="1">
      <c r="G376" s="11">
        <f>100*(F376-E376)/F376</f>
        <v/>
      </c>
      <c r="P376" s="11">
        <f>O376/I376</f>
        <v/>
      </c>
      <c r="R376" s="2" t="n"/>
      <c r="AA376" s="11">
        <f>IF(X376&lt;50,IF(Y376&gt;(2.3*X376),0,1),1)-IF(Z376&gt;Y376,1.7,0)</f>
        <v/>
      </c>
      <c r="AC376" s="11">
        <f>IF(AB376&gt;6.2,1,0)+AB376/5</f>
        <v/>
      </c>
      <c r="AG376" s="12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11">
        <f>AG376+IF(X376&lt;1.35,0,1)+IF(Y376&lt;1.35,0,1)+AC376+AA376</f>
        <v/>
      </c>
      <c r="AI376" s="11" t="n"/>
      <c r="AJ376" s="11">
        <f>IF(AI376&gt;12.7,IF(AI376&gt;15.8,0.93,0.98),1)</f>
        <v/>
      </c>
      <c r="AK376" s="11">
        <f>(1.2*AG376+AH376)*AJ376*AQ376</f>
        <v/>
      </c>
      <c r="AL376" s="10">
        <f>D376</f>
        <v/>
      </c>
      <c r="AM376" s="14">
        <f>B376</f>
        <v/>
      </c>
      <c r="AP376" s="13">
        <f>IF(AK376&gt;13.1,IF(Z376&lt;101,IF(Z376&lt;35,IF(Z376&lt;6,3,2),1),0),0)</f>
        <v/>
      </c>
      <c r="AQ376" s="11" t="n">
        <v>0.95</v>
      </c>
      <c r="AZ376" s="13">
        <f>AY376+(AY376*AB376)/100</f>
        <v/>
      </c>
    </row>
    <row r="377" ht="12.75" customHeight="1">
      <c r="G377" s="11">
        <f>100*(F377-E377)/F377</f>
        <v/>
      </c>
      <c r="P377" s="11">
        <f>O377/I377</f>
        <v/>
      </c>
      <c r="R377" s="2" t="n"/>
      <c r="AA377" s="11">
        <f>IF(X377&lt;50,IF(Y377&gt;(2.3*X377),0,1),1)-IF(Z377&gt;Y377,1.7,0)</f>
        <v/>
      </c>
      <c r="AC377" s="11">
        <f>IF(AB377&gt;6.2,1,0)+AB377/5</f>
        <v/>
      </c>
      <c r="AG377" s="12">
        <f>IF(G377&lt;52,0,0.7)+IF(G377&lt;34,0,0.7)+IF(G377&lt;1,0,0.7)+IF(P377&gt;14.56,0,1)+IF(R377&lt;9,0.5,0)+IF(R377&lt;33.8,0.5,0)+IF(R377&lt;50,0.5,0)+IF(R377&lt;80,0.5,0)+IF(S377=5,0,S377)+IF(V377&gt;0,1,0)+IF(AE377&lt;10.56,0,1)-IF(AE377&lt;3,1,0)-IF(AE377&lt;1,1,0)</f>
        <v/>
      </c>
      <c r="AH377" s="11">
        <f>AG377+IF(X377&lt;1.35,0,1)+IF(Y377&lt;1.35,0,1)+AC377+AA377</f>
        <v/>
      </c>
      <c r="AI377" s="11" t="n"/>
      <c r="AJ377" s="11">
        <f>IF(AI377&gt;12.7,IF(AI377&gt;15.8,0.93,0.98),1)</f>
        <v/>
      </c>
      <c r="AK377" s="11">
        <f>(1.2*AG377+AH377)*AJ377*AQ377</f>
        <v/>
      </c>
      <c r="AL377" s="10">
        <f>D377</f>
        <v/>
      </c>
      <c r="AM377" s="14">
        <f>B377</f>
        <v/>
      </c>
      <c r="AP377" s="13">
        <f>IF(AK377&gt;13.1,IF(Z377&lt;101,IF(Z377&lt;35,IF(Z377&lt;6,3,2),1),0),0)</f>
        <v/>
      </c>
      <c r="AQ377" s="11" t="n">
        <v>0.95</v>
      </c>
      <c r="AZ377" s="13">
        <f>AY377+(AY377*AB377)/100</f>
        <v/>
      </c>
    </row>
    <row r="378" ht="12.75" customHeight="1">
      <c r="G378" s="11">
        <f>100*(F378-E378)/F378</f>
        <v/>
      </c>
      <c r="P378" s="11">
        <f>O378/I378</f>
        <v/>
      </c>
      <c r="R378" s="2" t="n"/>
      <c r="AA378" s="11">
        <f>IF(X378&lt;50,IF(Y378&gt;(2.3*X378),0,1),1)</f>
        <v/>
      </c>
      <c r="AG378" s="12">
        <f>IF(G378&lt;52,0,0.7)+IF(G378&lt;34,0,0.7)+IF(G378&lt;1,0,0.7)+IF(P378&gt;14.56,0,1)+IF(R378&lt;9,0.5,0)+IF(R378&lt;33.8,0.5,0)+IF(R378&lt;50,0.5,0)+IF(R378&lt;80,0.5,0)+IF(S378=5,0,S378)+IF(V378&gt;0,1,0)+IF(AE378&lt;10.56,0,1)-IF(AE378&lt;3,1,0)-IF(AE378&lt;1,1,0)</f>
        <v/>
      </c>
      <c r="AH378" s="11">
        <f>AG378+IF(X378&lt;1.35,0,1)+IF(Y378&lt;1.35,0,1)+AC378+AA378</f>
        <v/>
      </c>
      <c r="AI378" s="11" t="n"/>
      <c r="AJ378" s="11">
        <f>IF(AI378&gt;12.7,IF(AI378&gt;15.8,0.93,0.98),1)</f>
        <v/>
      </c>
      <c r="AK378" s="11">
        <f>(1.2*AG378+AH378)*AJ378*AQ378</f>
        <v/>
      </c>
      <c r="AL378" s="10">
        <f>D378</f>
        <v/>
      </c>
      <c r="AM378" s="14">
        <f>B378</f>
        <v/>
      </c>
      <c r="AQ378" s="11" t="n">
        <v>0.95</v>
      </c>
      <c r="AZ378" s="13">
        <f>AY378+(AY378*AB378)/100</f>
        <v/>
      </c>
    </row>
    <row r="379" ht="12.75" customHeight="1">
      <c r="G379" s="11">
        <f>100*(F379-E379)/F379</f>
        <v/>
      </c>
      <c r="P379" s="11">
        <f>O379/I379</f>
        <v/>
      </c>
      <c r="R379" s="2" t="n"/>
      <c r="AJ379" s="11">
        <f>IF(AI379&gt;12.7,IF(AI379&gt;15.8,0.93,0.98),1)</f>
        <v/>
      </c>
      <c r="AK379" s="11">
        <f>(1.2*AG379+AH379)*AJ379*AQ379</f>
        <v/>
      </c>
      <c r="AL379" s="10">
        <f>D379</f>
        <v/>
      </c>
      <c r="AM379" s="14">
        <f>B379</f>
        <v/>
      </c>
      <c r="AQ379" s="11" t="n">
        <v>0.95</v>
      </c>
      <c r="AZ379" s="13">
        <f>AY379+(AY379*AB379)/100</f>
        <v/>
      </c>
    </row>
    <row r="380" ht="12.75" customHeight="1">
      <c r="G380" s="11">
        <f>100*(F380-E380)/F380</f>
        <v/>
      </c>
      <c r="P380" s="11">
        <f>O380/I380</f>
        <v/>
      </c>
      <c r="R380" s="2" t="n"/>
      <c r="AJ380" s="11">
        <f>IF(AI380&gt;12.7,IF(AI380&gt;15.8,0.93,0.98),1)</f>
        <v/>
      </c>
      <c r="AK380" s="11">
        <f>(1.2*AG380+AH380)*AJ380*AQ380</f>
        <v/>
      </c>
      <c r="AL380" s="10">
        <f>D380</f>
        <v/>
      </c>
      <c r="AM380" s="14">
        <f>B380</f>
        <v/>
      </c>
      <c r="AZ380" s="13">
        <f>AY380+(AY380*AB380)/100</f>
        <v/>
      </c>
    </row>
    <row r="381" ht="15" customHeight="1">
      <c r="G381" s="11">
        <f>100*(F381-E381)/F381</f>
        <v/>
      </c>
      <c r="P381" s="11">
        <f>O381/I381</f>
        <v/>
      </c>
      <c r="R381" s="2" t="n"/>
      <c r="AJ381" s="11">
        <f>IF(AI381&gt;12.7,IF(AI381&gt;15.8,0.93,0.98),1)</f>
        <v/>
      </c>
      <c r="AK381" s="11">
        <f>(1.2*AG381+AH381)*AJ381*AQ381</f>
        <v/>
      </c>
      <c r="AL381" s="10">
        <f>D381</f>
        <v/>
      </c>
      <c r="AM381" s="14">
        <f>B381</f>
        <v/>
      </c>
      <c r="AZ381" s="13">
        <f>AY381+(AY381*AB381)/100</f>
        <v/>
      </c>
    </row>
    <row r="382" ht="15" customHeight="1">
      <c r="R382" s="2" t="n"/>
      <c r="AJ382" s="11">
        <f>IF(AI382&gt;12.7,IF(AI382&gt;15.8,0.93,0.98),1)</f>
        <v/>
      </c>
      <c r="AK382" s="11">
        <f>(1.2*AG382+AH382)*AJ382*AQ382</f>
        <v/>
      </c>
      <c r="AL382" s="10">
        <f>D382</f>
        <v/>
      </c>
      <c r="AM382" s="14">
        <f>B382</f>
        <v/>
      </c>
      <c r="AZ382" s="13">
        <f>AY382+(AY382*AB382)/100</f>
        <v/>
      </c>
    </row>
    <row r="383" ht="15" customHeight="1">
      <c r="R383" s="2" t="n"/>
      <c r="AJ383" s="11">
        <f>IF(AI383&gt;12.7,IF(AI383&gt;15.8,0.93,0.98),1)</f>
        <v/>
      </c>
      <c r="AK383" s="11">
        <f>(1.2*AG383+AH383)*AJ383*AQ383</f>
        <v/>
      </c>
      <c r="AL383" s="10">
        <f>D383</f>
        <v/>
      </c>
      <c r="AM383" s="14">
        <f>B383</f>
        <v/>
      </c>
      <c r="AZ383" s="13">
        <f>AY383+(AY383*AB383)/100</f>
        <v/>
      </c>
    </row>
    <row r="384" ht="15" customHeight="1">
      <c r="R384" s="2" t="n"/>
      <c r="AJ384" s="11">
        <f>IF(AI384&gt;12.7,IF(AI384&gt;15.8,0.93,0.98),1)</f>
        <v/>
      </c>
      <c r="AK384" s="11">
        <f>(1.2*AG384+AH384)*AJ384*AQ384</f>
        <v/>
      </c>
      <c r="AL384" s="10">
        <f>D384</f>
        <v/>
      </c>
      <c r="AM384" s="14">
        <f>B384</f>
        <v/>
      </c>
      <c r="AZ384" s="13">
        <f>AY384+(AY384*AB384)/100</f>
        <v/>
      </c>
    </row>
    <row r="385" ht="14.25" customHeight="1">
      <c r="R385" s="2" t="n"/>
      <c r="AZ385" s="13">
        <f>AY385+(AY385*AB385)/100</f>
        <v/>
      </c>
    </row>
    <row r="386" ht="14.25" customHeight="1">
      <c r="R386" s="2" t="n"/>
    </row>
    <row r="387" ht="17.25" customHeight="1">
      <c r="R387" s="2" t="n"/>
    </row>
    <row r="388" ht="15" customHeight="1">
      <c r="R388" s="2" t="n"/>
    </row>
    <row r="389" ht="21" customHeight="1">
      <c r="R389" s="2" t="n"/>
    </row>
  </sheetData>
  <autoFilter ref="AB1:AB389"/>
  <conditionalFormatting sqref="D2:D142">
    <cfRule type="containsText" priority="27" operator="containsText" dxfId="7" text="neg">
      <formula>NOT(ISERROR(SEARCH("neg",D2)))</formula>
    </cfRule>
  </conditionalFormatting>
  <conditionalFormatting sqref="G2:G381">
    <cfRule type="cellIs" priority="20" operator="lessThan" dxfId="7">
      <formula>16</formula>
    </cfRule>
  </conditionalFormatting>
  <conditionalFormatting sqref="P2:P381">
    <cfRule type="cellIs" priority="21" operator="greaterThan" dxfId="7">
      <formula>14.56</formula>
    </cfRule>
  </conditionalFormatting>
  <conditionalFormatting sqref="Q2:Q137">
    <cfRule type="cellIs" priority="24" operator="greaterThan" dxfId="7">
      <formula>33.8</formula>
    </cfRule>
  </conditionalFormatting>
  <conditionalFormatting sqref="R1:R137">
    <cfRule type="cellIs" priority="18" operator="greaterThan" dxfId="7">
      <formula>33.8</formula>
    </cfRule>
  </conditionalFormatting>
  <conditionalFormatting sqref="X2">
    <cfRule type="expression" priority="28" dxfId="38">
      <formula>LEN(TRIM(X2))&gt;0</formula>
    </cfRule>
  </conditionalFormatting>
  <conditionalFormatting sqref="AE2:AE137">
    <cfRule type="cellIs" priority="19" operator="lessThan" dxfId="7">
      <formula>10.56</formula>
    </cfRule>
  </conditionalFormatting>
  <conditionalFormatting sqref="AG2:AG378">
    <cfRule type="cellIs" priority="25" operator="greaterThan" dxfId="34">
      <formula>6.1</formula>
    </cfRule>
  </conditionalFormatting>
  <conditionalFormatting sqref="AH2:AH378">
    <cfRule type="cellIs" priority="23" operator="greaterThan" dxfId="34">
      <formula>8.7</formula>
    </cfRule>
  </conditionalFormatting>
  <conditionalFormatting sqref="AK2:AK384">
    <cfRule type="cellIs" priority="26" operator="greaterThan" dxfId="34">
      <formula>13.4</formula>
    </cfRule>
  </conditionalFormatting>
  <conditionalFormatting sqref="AL2:AL384">
    <cfRule type="containsText" priority="5" operator="containsText" dxfId="1" text="Rec">
      <formula>NOT(ISERROR(SEARCH("Rec",AL2)))</formula>
    </cfRule>
    <cfRule type="containsText" priority="6" operator="containsText" dxfId="7" text="neg">
      <formula>NOT(ISERROR(SEARCH("neg",AL2)))</formula>
    </cfRule>
    <cfRule type="containsText" priority="7" operator="containsText" dxfId="31" text="Pos">
      <formula>NOT(ISERROR(SEARCH("Pos",AL2)))</formula>
    </cfRule>
  </conditionalFormatting>
  <conditionalFormatting sqref="AN2:AN142">
    <cfRule type="endsWith" priority="8" operator="endsWith" dxfId="4" text="4">
      <formula>RIGHT(AN2,LEN("4"))="4"</formula>
    </cfRule>
    <cfRule type="endsWith" priority="9" operator="endsWith" dxfId="25" text="2">
      <formula>RIGHT(AN2,LEN("2"))="2"</formula>
    </cfRule>
    <cfRule type="endsWith" priority="10" operator="endsWith" dxfId="28" text="7">
      <formula>RIGHT(AN2,LEN("7"))="7"</formula>
    </cfRule>
    <cfRule type="endsWith" priority="11" operator="endsWith" dxfId="0" text="0">
      <formula>RIGHT(AN2,LEN("0"))="0"</formula>
    </cfRule>
    <cfRule type="endsWith" priority="12" operator="endsWith" dxfId="4" text="8">
      <formula>RIGHT(AN2,LEN("8"))="8"</formula>
    </cfRule>
    <cfRule type="endsWith" priority="13" operator="endsWith" dxfId="25" text="9">
      <formula>RIGHT(AN2,LEN("9"))="9"</formula>
    </cfRule>
    <cfRule type="endsWith" priority="14" operator="endsWith" dxfId="24" text="6">
      <formula>RIGHT(AN2,LEN("6"))="6"</formula>
    </cfRule>
    <cfRule type="endsWith" priority="15" operator="endsWith" dxfId="23" text="1">
      <formula>RIGHT(AN2,LEN("1"))="1"</formula>
    </cfRule>
    <cfRule type="endsWith" priority="16" operator="endsWith" dxfId="1" text="3">
      <formula>RIGHT(AN2,LEN("3"))="3"</formula>
    </cfRule>
    <cfRule type="endsWith" priority="17" operator="endsWith" dxfId="0" text="5">
      <formula>RIGHT(AN2,LEN("5"))="5"</formula>
    </cfRule>
  </conditionalFormatting>
  <conditionalFormatting sqref="AP2:AP381">
    <cfRule type="containsText" priority="2" operator="containsText" dxfId="0" text="2">
      <formula>NOT(ISERROR(SEARCH("2",AP2)))</formula>
    </cfRule>
    <cfRule type="cellIs" priority="3" operator="equal" dxfId="1">
      <formula>1</formula>
    </cfRule>
    <cfRule type="cellIs" priority="4" operator="equal" dxfId="2">
      <formula>3</formula>
    </cfRule>
  </conditionalFormatting>
  <conditionalFormatting sqref="BB2:BH85 BB87:BH97 BC86:BH86">
    <cfRule type="cellIs" priority="22" operator="lessThan" dxfId="17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35"/>
  <sheetViews>
    <sheetView zoomScaleNormal="100" workbookViewId="0">
      <pane ySplit="1" topLeftCell="A71" activePane="bottomLeft" state="frozen"/>
      <selection pane="bottomLeft" activeCell="AK83" sqref="AK83"/>
    </sheetView>
  </sheetViews>
  <sheetFormatPr baseColWidth="8" defaultColWidth="8.6640625" defaultRowHeight="12.75" customHeight="1" outlineLevelCol="0"/>
  <cols>
    <col width="4" customWidth="1" min="1" max="1"/>
    <col width="18" customWidth="1" min="2" max="2"/>
    <col width="7.109375" customWidth="1" min="3" max="3"/>
    <col width="4.33203125" customWidth="1" min="4" max="4"/>
    <col width="7.88671875" customWidth="1" min="5" max="5"/>
    <col width="5.5546875" customWidth="1" min="6" max="6"/>
    <col width="5.6640625" customWidth="1" min="7" max="7"/>
    <col width="7.33203125" customWidth="1" min="8" max="8"/>
    <col width="5.6640625" customWidth="1" min="9" max="9"/>
    <col width="4.88671875" customWidth="1" min="10" max="10"/>
    <col width="6.109375" customWidth="1" min="11" max="11"/>
    <col width="4.109375" customWidth="1" min="12" max="12"/>
    <col width="6.5546875" customWidth="1" min="13" max="14"/>
    <col width="7.5546875" customWidth="1" min="15" max="15"/>
    <col width="7.33203125" customWidth="1" min="16" max="16"/>
    <col width="5" customWidth="1" min="17" max="17"/>
    <col width="6.109375" customWidth="1" min="18" max="18"/>
    <col width="6" customWidth="1" min="19" max="19"/>
    <col width="5.6640625" customWidth="1" min="20" max="20"/>
    <col width="5.5546875" customWidth="1" min="21" max="21"/>
    <col width="6.109375" customWidth="1" min="22" max="22"/>
    <col width="6.6640625" customWidth="1" min="23" max="24"/>
    <col width="8.33203125" customWidth="1" min="25" max="25"/>
    <col width="5.44140625" customWidth="1" min="26" max="26"/>
    <col width="5.109375" customWidth="1" min="27" max="27"/>
    <col width="4.5546875" customWidth="1" min="28" max="28"/>
    <col width="4.88671875" customWidth="1" min="29" max="29"/>
    <col width="6.5546875" customWidth="1" min="30" max="30"/>
    <col width="5.6640625" customWidth="1" min="31" max="31"/>
    <col width="6.33203125" customWidth="1" min="32" max="32"/>
    <col width="4.88671875" customWidth="1" min="33" max="36"/>
    <col width="5" customWidth="1" min="37" max="37"/>
    <col width="5.6640625" customWidth="1" min="38" max="38"/>
    <col width="19.109375" customWidth="1" min="39" max="39"/>
    <col width="4.5546875" customWidth="1" min="40" max="40"/>
    <col width="5.44140625" customWidth="1" min="41" max="41"/>
    <col width="10.88671875" customWidth="1" min="42" max="42"/>
    <col width="7" customWidth="1" min="43" max="43"/>
    <col width="10.88671875" customWidth="1" min="44" max="45"/>
    <col width="6" customWidth="1" min="46" max="46"/>
    <col width="6.109375" customWidth="1" min="47" max="47"/>
    <col width="4" customWidth="1" min="48" max="48"/>
    <col width="4.109375" customWidth="1" min="49" max="49"/>
    <col width="5.33203125" customWidth="1" min="50" max="51"/>
    <col width="6.6640625" customWidth="1" min="52" max="52"/>
    <col width="3.88671875" customWidth="1" min="53" max="53"/>
    <col width="4" customWidth="1" min="54" max="54"/>
    <col width="4.6640625" customWidth="1" min="55" max="55"/>
  </cols>
  <sheetData>
    <row r="1" ht="92.25" customHeight="1">
      <c r="A1" s="17" t="inlineStr">
        <is>
          <t>URL</t>
        </is>
      </c>
      <c r="B1" s="59" t="inlineStr">
        <is>
          <t>Company Name</t>
        </is>
      </c>
      <c r="C1" s="59" t="inlineStr">
        <is>
          <t>Year</t>
        </is>
      </c>
      <c r="D1" s="59" t="inlineStr">
        <is>
          <t>Pos/ Neg</t>
        </is>
      </c>
      <c r="E1" s="59" t="inlineStr">
        <is>
          <t>Total Borrowings</t>
        </is>
      </c>
      <c r="F1" s="59" t="inlineStr">
        <is>
          <t>Net Worth</t>
        </is>
      </c>
      <c r="G1" s="60" t="inlineStr">
        <is>
          <t>100* (Networth -Tot. Borr.) / Net Worth &lt;0</t>
        </is>
      </c>
      <c r="H1" s="59" t="inlineStr">
        <is>
          <t>Total Assets</t>
        </is>
      </c>
      <c r="I1" s="59" t="inlineStr">
        <is>
          <t>Profit After Ta</t>
        </is>
      </c>
      <c r="J1" s="59" t="inlineStr">
        <is>
          <t>PAT % (10)</t>
        </is>
      </c>
      <c r="K1" s="59" t="inlineStr">
        <is>
          <t>Earnings Per Share</t>
        </is>
      </c>
      <c r="L1" s="59" t="inlineStr">
        <is>
          <t>ROE %</t>
        </is>
      </c>
      <c r="M1" s="59" t="inlineStr">
        <is>
          <t>EBDITA</t>
        </is>
      </c>
      <c r="N1" s="59" t="inlineStr">
        <is>
          <t>bdita Margin %</t>
        </is>
      </c>
      <c r="O1" s="59" t="inlineStr">
        <is>
          <t>Total Income</t>
        </is>
      </c>
      <c r="P1" s="60" t="inlineStr">
        <is>
          <t>Total Income/Profit After Tax &gt;23</t>
        </is>
      </c>
      <c r="Q1" s="59" t="inlineStr">
        <is>
          <t>P/E before  &gt;88</t>
        </is>
      </c>
      <c r="R1" s="59" t="inlineStr">
        <is>
          <t>P/E After</t>
        </is>
      </c>
      <c r="S1" s="59" t="inlineStr">
        <is>
          <t>PE Effect</t>
        </is>
      </c>
      <c r="T1" s="59" t="inlineStr">
        <is>
          <t>Total Issue Size (20)</t>
        </is>
      </c>
      <c r="U1" s="59" t="inlineStr">
        <is>
          <t>OFS</t>
        </is>
      </c>
      <c r="V1" s="59" t="inlineStr">
        <is>
          <t>Anchor</t>
        </is>
      </c>
      <c r="W1" s="61" t="inlineStr">
        <is>
          <t>Dilip Devda Pricey/Dicey</t>
        </is>
      </c>
      <c r="X1" s="62" t="inlineStr">
        <is>
          <t>Subscription QIB &lt;16</t>
        </is>
      </c>
      <c r="Y1" s="61" t="inlineStr">
        <is>
          <t>NII &lt;11</t>
        </is>
      </c>
      <c r="Z1" s="61" t="inlineStr">
        <is>
          <t>RII &lt;1.34</t>
        </is>
      </c>
      <c r="AA1" s="63" t="inlineStr">
        <is>
          <t>If QIB&gt;NII=1,0</t>
        </is>
      </c>
      <c r="AB1" s="6" t="inlineStr">
        <is>
          <t>GMP</t>
        </is>
      </c>
      <c r="AC1" s="7" t="inlineStr">
        <is>
          <t>Effect GMP</t>
        </is>
      </c>
      <c r="AD1" s="59" t="inlineStr">
        <is>
          <t>YOY Profit (%)</t>
        </is>
      </c>
      <c r="AE1" s="59" t="inlineStr">
        <is>
          <t>YOY Total Income (%) &lt;14</t>
        </is>
      </c>
      <c r="AF1" s="59" t="inlineStr">
        <is>
          <t>YOY Net Worth (%) &lt;26</t>
        </is>
      </c>
      <c r="AG1" s="7" t="inlineStr">
        <is>
          <t>Pre Subscription &gt;5</t>
        </is>
      </c>
      <c r="AH1" s="7" t="inlineStr">
        <is>
          <t>Last Day of Close &gt;8</t>
        </is>
      </c>
      <c r="AI1" s="6" t="inlineStr">
        <is>
          <t>Vix</t>
        </is>
      </c>
      <c r="AJ1" s="7" t="inlineStr">
        <is>
          <t>Effect of Vix</t>
        </is>
      </c>
      <c r="AK1" s="7" t="inlineStr">
        <is>
          <t>Total &gt;23</t>
        </is>
      </c>
      <c r="AL1" s="60" t="inlineStr">
        <is>
          <t>Pos/ Neg</t>
        </is>
      </c>
      <c r="AM1" s="60" t="inlineStr">
        <is>
          <t>Company Name</t>
        </is>
      </c>
      <c r="AN1" s="3" t="inlineStr">
        <is>
          <t>Closing Date</t>
        </is>
      </c>
      <c r="AO1" s="3" t="inlineStr">
        <is>
          <t>BOA Date</t>
        </is>
      </c>
      <c r="AP1" s="4" t="inlineStr">
        <is>
          <t>apply_or_not</t>
        </is>
      </c>
      <c r="AQ1" s="3" t="inlineStr">
        <is>
          <t>Category Effect</t>
        </is>
      </c>
      <c r="AR1" s="4" t="inlineStr">
        <is>
          <t>effective_value</t>
        </is>
      </c>
      <c r="AS1" s="3" t="inlineStr">
        <is>
          <t>Applied</t>
        </is>
      </c>
      <c r="AT1" s="59" t="inlineStr">
        <is>
          <t>Probability of allotment %</t>
        </is>
      </c>
      <c r="AU1" s="59" t="inlineStr">
        <is>
          <t>Prob % with all a/cs</t>
        </is>
      </c>
      <c r="AV1" s="59" t="inlineStr">
        <is>
          <t># of Accounts</t>
        </is>
      </c>
      <c r="AW1" s="59" t="inlineStr">
        <is>
          <t>ipo price</t>
        </is>
      </c>
      <c r="AX1" s="59" t="inlineStr">
        <is>
          <t>Listing Price</t>
        </is>
      </c>
      <c r="AY1" s="59" t="inlineStr">
        <is>
          <t>Listing Gain</t>
        </is>
      </c>
      <c r="AZ1" s="59" t="inlineStr">
        <is>
          <t>Gain on Listing Closing</t>
        </is>
      </c>
      <c r="BA1" s="59" t="inlineStr">
        <is>
          <t>LTP</t>
        </is>
      </c>
      <c r="BB1" s="59" t="inlineStr">
        <is>
          <t xml:space="preserve">LTP GAIN </t>
        </is>
      </c>
      <c r="BC1" s="59" t="inlineStr">
        <is>
          <t>LTP Gain on Listing Pric</t>
        </is>
      </c>
    </row>
    <row r="2" ht="12.75" customHeight="1">
      <c r="A2" s="17" t="n"/>
      <c r="B2" s="64" t="inlineStr">
        <is>
          <t>Rubicon Research</t>
        </is>
      </c>
      <c r="C2" s="13" t="n">
        <v>2025</v>
      </c>
      <c r="D2" s="11" t="inlineStr">
        <is>
          <t>Pos</t>
        </is>
      </c>
      <c r="E2" s="13" t="n">
        <v>495.77</v>
      </c>
      <c r="F2" s="13" t="n">
        <v>593.6</v>
      </c>
      <c r="G2" s="13">
        <f>100*(F2-E2)/F2</f>
        <v/>
      </c>
      <c r="H2" s="13" t="n">
        <v>1647.59</v>
      </c>
      <c r="I2" s="13" t="n">
        <v>134.36</v>
      </c>
      <c r="J2" s="13" t="n"/>
      <c r="K2" s="12" t="n">
        <v>8.199999999999999</v>
      </c>
      <c r="L2" s="12" t="n"/>
      <c r="M2" s="13" t="n">
        <v>267.9</v>
      </c>
      <c r="N2" s="13" t="n"/>
      <c r="O2" s="13" t="n">
        <v>1296</v>
      </c>
      <c r="P2" s="13">
        <f>O2/I2</f>
        <v/>
      </c>
      <c r="Q2" s="13" t="n">
        <v>59.15</v>
      </c>
      <c r="R2" s="13" t="n">
        <v>59.15</v>
      </c>
      <c r="S2" s="13" t="n">
        <v>5</v>
      </c>
      <c r="T2" s="13" t="n"/>
      <c r="U2" s="13" t="n"/>
      <c r="V2" s="13" t="n">
        <v>1</v>
      </c>
      <c r="W2" s="13" t="n">
        <v>1</v>
      </c>
      <c r="X2" s="65" t="n">
        <v>130.26</v>
      </c>
      <c r="Y2" s="12" t="n">
        <v>117.77</v>
      </c>
      <c r="Z2" s="12" t="n">
        <v>37.33</v>
      </c>
      <c r="AA2" s="66">
        <f>IF(X2&lt;33,IF(Y2&gt;(1.1*X2),0,1),1)+IF(Y2&gt;(4*X2),-1,0)</f>
        <v/>
      </c>
      <c r="AB2" s="13" t="n">
        <v>25</v>
      </c>
      <c r="AC2" s="12">
        <f>IF(AB2&gt;9,1,0)+AB2/3</f>
        <v/>
      </c>
      <c r="AD2" s="12" t="n">
        <v>47.57</v>
      </c>
      <c r="AE2" s="12" t="n">
        <v>48.67</v>
      </c>
      <c r="AF2" s="12" t="n">
        <v>43.82</v>
      </c>
      <c r="AG2" s="12">
        <f>IF(G2&lt;0,0,1.2)+IF(G2&lt;14,0,0.9)+IF(P2&lt;0,0.7,0)+IF(P2&lt;6.5,1,0)+IF(P2&lt;23,1,0)+IF(R2&gt;88,0,1)+S2+IF(AD2&lt;20,0,1)+IF(AE2&lt;14,0,1)+IF(AF2&lt;26,0,1)</f>
        <v/>
      </c>
      <c r="AH2" s="12">
        <f>AG2+IF(AG2&gt;6,1,0)+IF(X2&lt;17,0,1)+IF(Y2&lt;11,0,1)+IF(Z2&lt;1.35,0,1)+AC2+AA2</f>
        <v/>
      </c>
      <c r="AI2" s="12" t="n">
        <v>11</v>
      </c>
      <c r="AJ2" s="11">
        <f>IF(AI2&gt;12.8,IF(AI2&gt;15.8,0.9,0.97),1)</f>
        <v/>
      </c>
      <c r="AK2" s="12">
        <f>(AG2*2.6+AH2)*AJ2*AQ2</f>
        <v/>
      </c>
      <c r="AL2" s="11">
        <f>D2</f>
        <v/>
      </c>
      <c r="AM2" s="11">
        <f>B2</f>
        <v/>
      </c>
      <c r="AN2" s="13" t="n"/>
      <c r="AO2" s="13" t="n"/>
      <c r="AP2" s="13">
        <f>IF(AK2&gt;23.73,IF(Z2&lt;101,IF(Z2&lt;30,IF(Z2&lt;6,3,2),1),0),0)</f>
        <v/>
      </c>
      <c r="AQ2" s="13" t="n">
        <v>1</v>
      </c>
      <c r="AR2" s="11">
        <f>IF(AP2&gt;0,IF(AB2&gt;10,(AB2/Z2),10/Z2),0)</f>
        <v/>
      </c>
      <c r="AS2" s="13" t="n"/>
      <c r="AT2" s="12" t="n">
        <v>0.849112677252271</v>
      </c>
      <c r="AU2" s="12" t="n">
        <v>4.24556338626136</v>
      </c>
      <c r="AV2" s="12" t="n">
        <v>5</v>
      </c>
      <c r="AW2" s="12" t="n"/>
      <c r="AX2" s="12" t="n"/>
      <c r="AY2" s="12" t="n">
        <v>28</v>
      </c>
      <c r="AZ2" s="12" t="n">
        <v>30</v>
      </c>
      <c r="BA2" s="12" t="n"/>
      <c r="BB2" s="12" t="n">
        <v>47</v>
      </c>
      <c r="BC2" s="12" t="n"/>
    </row>
    <row r="3" ht="12.75" customHeight="1">
      <c r="A3" s="17" t="n"/>
      <c r="B3" s="64" t="inlineStr">
        <is>
          <t>LG Electronics</t>
        </is>
      </c>
      <c r="C3" s="13" t="n">
        <v>2025</v>
      </c>
      <c r="D3" s="11" t="inlineStr">
        <is>
          <t>Pos</t>
        </is>
      </c>
      <c r="E3" s="13" t="n">
        <v>427.8</v>
      </c>
      <c r="F3" s="13" t="n">
        <v>5970.2</v>
      </c>
      <c r="G3" s="13">
        <f>100*(F3-E3)/F3</f>
        <v/>
      </c>
      <c r="H3" s="13" t="n">
        <v>11517.1</v>
      </c>
      <c r="I3" s="13" t="n">
        <v>2203</v>
      </c>
      <c r="J3" s="13" t="n"/>
      <c r="K3" s="12" t="n">
        <v>32.5</v>
      </c>
      <c r="L3" s="12" t="n"/>
      <c r="M3" s="13" t="n">
        <v>3110</v>
      </c>
      <c r="N3" s="13" t="n"/>
      <c r="O3" s="13" t="n">
        <v>24367</v>
      </c>
      <c r="P3" s="13">
        <f>O3/I3</f>
        <v/>
      </c>
      <c r="Q3" s="13" t="n">
        <v>35</v>
      </c>
      <c r="R3" s="13" t="n">
        <v>35</v>
      </c>
      <c r="S3" s="13" t="n">
        <v>5</v>
      </c>
      <c r="T3" s="13" t="n"/>
      <c r="U3" s="13" t="n"/>
      <c r="V3" s="13" t="n">
        <v>1</v>
      </c>
      <c r="W3" s="13" t="n">
        <v>1</v>
      </c>
      <c r="X3" s="65" t="n">
        <v>166.51</v>
      </c>
      <c r="Y3" s="12" t="n">
        <v>24.68</v>
      </c>
      <c r="Z3" s="12" t="n">
        <v>3.55</v>
      </c>
      <c r="AA3" s="66">
        <f>IF(X3&lt;33,IF(Y3&gt;(1.1*X3),0,1),1)+IF(Y3&gt;(4*X3),-1,0)</f>
        <v/>
      </c>
      <c r="AB3" s="13" t="n">
        <v>40</v>
      </c>
      <c r="AC3" s="12">
        <f>IF(AB3&gt;9,1,0)+AB3/3</f>
        <v/>
      </c>
      <c r="AD3" s="12" t="n">
        <v>45.8</v>
      </c>
      <c r="AE3" s="12" t="n">
        <v>14.1</v>
      </c>
      <c r="AF3" s="12" t="n">
        <v>58.3</v>
      </c>
      <c r="AG3" s="12">
        <f>IF(G3&lt;0,0,1.2)+IF(G3&lt;14,0,0.9)+IF(P3&lt;0,0.7,0)+IF(P3&lt;6.5,1,0)+IF(P3&lt;23,1,0)+IF(R3&gt;88,0,1)+S3+IF(AD3&lt;20,0,1)+IF(AE3&lt;14,0,1)+IF(AF3&lt;26,0,1)</f>
        <v/>
      </c>
      <c r="AH3" s="12">
        <f>AG3+IF(AG3&gt;6,1,0)+IF(X3&lt;17,0,1)+IF(Y3&lt;11,0,1)+IF(Z3&lt;1.35,0,1)+AC3+AA3</f>
        <v/>
      </c>
      <c r="AI3" s="12" t="n">
        <v>11</v>
      </c>
      <c r="AJ3" s="11">
        <f>IF(AI3&gt;12.8,IF(AI3&gt;15.8,0.9,0.97),1)</f>
        <v/>
      </c>
      <c r="AK3" s="12">
        <f>(AG3*2.6+AH3)*AJ3*AQ3</f>
        <v/>
      </c>
      <c r="AL3" s="11">
        <f>D3</f>
        <v/>
      </c>
      <c r="AM3" s="11">
        <f>B3</f>
        <v/>
      </c>
      <c r="AN3" s="13" t="n"/>
      <c r="AO3" s="13" t="n"/>
      <c r="AP3" s="13">
        <f>IF(AK3&gt;23.73,IF(Z3&lt;101,IF(Z3&lt;30,IF(Z3&lt;6,3,2),1),0),0)</f>
        <v/>
      </c>
      <c r="AQ3" s="13" t="n">
        <v>1</v>
      </c>
      <c r="AR3" s="11">
        <f>IF(AP3&gt;0,IF(AB3&gt;10,(AB3/Z3),10/Z3),0)</f>
        <v/>
      </c>
      <c r="AS3" s="13" t="n"/>
      <c r="AT3" s="12" t="n">
        <v>4.05186385737439</v>
      </c>
      <c r="AU3" s="12" t="n">
        <v>20.259319286872</v>
      </c>
      <c r="AV3" s="12" t="n">
        <v>5</v>
      </c>
      <c r="AW3" s="12" t="n"/>
      <c r="AX3" s="12" t="n"/>
      <c r="AY3" s="12" t="n">
        <v>50</v>
      </c>
      <c r="AZ3" s="12" t="n">
        <v>48</v>
      </c>
      <c r="BA3" s="12" t="n"/>
      <c r="BB3" s="12" t="n">
        <v>42</v>
      </c>
      <c r="BC3" s="12" t="n"/>
    </row>
    <row r="4" ht="12.75" customHeight="1">
      <c r="A4" s="17" t="n"/>
      <c r="B4" s="64" t="inlineStr">
        <is>
          <t>Urban Co.</t>
        </is>
      </c>
      <c r="C4" s="13" t="n">
        <v>2025</v>
      </c>
      <c r="D4" s="11" t="inlineStr">
        <is>
          <t>Pos</t>
        </is>
      </c>
      <c r="E4" s="13" t="n">
        <v>119.91</v>
      </c>
      <c r="F4" s="13" t="n">
        <v>1795.82</v>
      </c>
      <c r="G4" s="13">
        <f>100*(F4-E4)/F4</f>
        <v/>
      </c>
      <c r="H4" s="13" t="n">
        <v>2200.64</v>
      </c>
      <c r="I4" s="13" t="n">
        <v>240</v>
      </c>
      <c r="J4" s="13" t="n"/>
      <c r="K4" s="12" t="n">
        <v>1.67</v>
      </c>
      <c r="L4" s="12" t="n"/>
      <c r="M4" s="13" t="n">
        <v>-32</v>
      </c>
      <c r="N4" s="13" t="n"/>
      <c r="O4" s="13" t="n">
        <v>1144</v>
      </c>
      <c r="P4" s="13">
        <f>O4/I4</f>
        <v/>
      </c>
      <c r="Q4" s="13" t="n">
        <v>61.68</v>
      </c>
      <c r="R4" s="13" t="n">
        <v>61.68</v>
      </c>
      <c r="S4" s="13" t="n">
        <v>5</v>
      </c>
      <c r="T4" s="13" t="n"/>
      <c r="U4" s="13" t="n"/>
      <c r="V4" s="13" t="n">
        <v>1</v>
      </c>
      <c r="W4" s="13" t="n">
        <v>1</v>
      </c>
      <c r="X4" s="65" t="n">
        <v>147.35</v>
      </c>
      <c r="Y4" s="12" t="n">
        <v>77.81999999999999</v>
      </c>
      <c r="Z4" s="12" t="n">
        <v>41.49</v>
      </c>
      <c r="AA4" s="66">
        <f>IF(X4&lt;33,IF(Y4&gt;(1.1*X4),0,1),1)+IF(Y4&gt;(4*X4),-1,0)</f>
        <v/>
      </c>
      <c r="AB4" s="13" t="n">
        <v>52</v>
      </c>
      <c r="AC4" s="12">
        <f>IF(AB4&gt;9,1,0)+AB4/3</f>
        <v/>
      </c>
      <c r="AD4" s="12" t="n">
        <v>358</v>
      </c>
      <c r="AE4" s="12" t="n">
        <v>38</v>
      </c>
      <c r="AF4" s="12" t="n">
        <v>39</v>
      </c>
      <c r="AG4" s="12">
        <f>IF(G4&lt;0,0,1.2)+IF(G4&lt;14,0,0.9)+IF(P4&lt;0,0.7,0)+IF(P4&lt;6.5,1,0)+IF(P4&lt;23,1,0)+IF(R4&gt;88,0,1)+S4+IF(AD4&lt;20,0,1)+IF(AE4&lt;14,0,1)+IF(AF4&lt;26,0,1)</f>
        <v/>
      </c>
      <c r="AH4" s="12">
        <f>AG4+IF(AG4&gt;6,1,0)+IF(X4&lt;17,0,1)+IF(Y4&lt;11,0,1)+IF(Z4&lt;1.35,0,1)+AC4+AA4</f>
        <v/>
      </c>
      <c r="AI4" s="12" t="n">
        <v>11</v>
      </c>
      <c r="AJ4" s="11">
        <f>IF(AI4&gt;12.8,IF(AI4&gt;15.8,0.9,0.97),1)</f>
        <v/>
      </c>
      <c r="AK4" s="12">
        <f>(AG4*2.6+AH4)*AJ4*AQ4</f>
        <v/>
      </c>
      <c r="AL4" s="11">
        <f>D4</f>
        <v/>
      </c>
      <c r="AM4" s="11">
        <f>B4</f>
        <v/>
      </c>
      <c r="AN4" s="13" t="n"/>
      <c r="AO4" s="13" t="n"/>
      <c r="AP4" s="13">
        <f>IF(AK4&gt;23.73,IF(Z4&lt;101,IF(Z4&lt;30,IF(Z4&lt;6,3,2),1),0),0)</f>
        <v/>
      </c>
      <c r="AQ4" s="13" t="n">
        <v>1</v>
      </c>
      <c r="AR4" s="11">
        <f>IF(AP4&gt;0,IF(AB4&gt;10,(AB4/Z4),10/Z4),0)</f>
        <v/>
      </c>
      <c r="AS4" s="13" t="n"/>
      <c r="AT4" s="12" t="n">
        <v>1.28501670521717</v>
      </c>
      <c r="AU4" s="12" t="n">
        <v>6.42508352608584</v>
      </c>
      <c r="AV4" s="12" t="n">
        <v>5</v>
      </c>
      <c r="AW4" s="12" t="n"/>
      <c r="AX4" s="12" t="n"/>
      <c r="AY4" s="12" t="n">
        <v>58</v>
      </c>
      <c r="AZ4" s="12" t="n">
        <v>62</v>
      </c>
      <c r="BA4" s="12" t="n"/>
      <c r="BB4" s="12" t="n">
        <v>37</v>
      </c>
      <c r="BC4" s="12" t="n"/>
    </row>
    <row r="5" ht="12.75" customHeight="1">
      <c r="A5" s="17" t="n"/>
      <c r="B5" s="64" t="inlineStr">
        <is>
          <t>Regaal Resources</t>
        </is>
      </c>
      <c r="C5" s="13" t="n">
        <v>2025</v>
      </c>
      <c r="D5" s="11" t="inlineStr">
        <is>
          <t>Pos</t>
        </is>
      </c>
      <c r="E5" s="13" t="n">
        <v>507.05</v>
      </c>
      <c r="F5" s="13" t="n">
        <v>235.41</v>
      </c>
      <c r="G5" s="13">
        <f>100*(F5-E5)/F5</f>
        <v/>
      </c>
      <c r="H5" s="13" t="n">
        <v>860</v>
      </c>
      <c r="I5" s="13" t="n">
        <v>47.67</v>
      </c>
      <c r="J5" s="13" t="n"/>
      <c r="K5" s="12" t="n">
        <v>6.05</v>
      </c>
      <c r="L5" s="12" t="n"/>
      <c r="M5" s="13" t="n">
        <v>112.79</v>
      </c>
      <c r="N5" s="13" t="n"/>
      <c r="O5" s="13" t="n">
        <v>915.16</v>
      </c>
      <c r="P5" s="13">
        <f>O5/I5</f>
        <v/>
      </c>
      <c r="Q5" s="13" t="n">
        <v>17</v>
      </c>
      <c r="R5" s="13" t="n">
        <v>17</v>
      </c>
      <c r="S5" s="13" t="n">
        <v>5</v>
      </c>
      <c r="T5" s="13" t="n"/>
      <c r="U5" s="13" t="n"/>
      <c r="V5" s="13" t="n">
        <v>1</v>
      </c>
      <c r="W5" s="13" t="n">
        <v>1</v>
      </c>
      <c r="X5" s="65" t="n">
        <v>190.96</v>
      </c>
      <c r="Y5" s="12" t="n">
        <v>356.72</v>
      </c>
      <c r="Z5" s="12" t="n">
        <v>57.75</v>
      </c>
      <c r="AA5" s="66">
        <f>IF(X5&lt;33,IF(Y5&gt;(1.1*X5),0,1),1)+IF(Y5&gt;(4*X5),-1,0)</f>
        <v/>
      </c>
      <c r="AB5" s="13" t="n">
        <v>30</v>
      </c>
      <c r="AC5" s="12">
        <f>IF(AB5&gt;9,1,0)+AB5/3</f>
        <v/>
      </c>
      <c r="AD5" s="12" t="n">
        <v>115</v>
      </c>
      <c r="AE5" s="12" t="n">
        <v>52</v>
      </c>
      <c r="AF5" s="12" t="n">
        <v>86</v>
      </c>
      <c r="AG5" s="12">
        <f>IF(G5&lt;0,0,1.2)+IF(G5&lt;14,0,0.9)+IF(P5&lt;0,0.7,0)+IF(P5&lt;6.5,1,0)+IF(P5&lt;23,1,0)+IF(R5&gt;88,0,1)+S5+IF(AD5&lt;20,0,1)+IF(AE5&lt;14,0,1)+IF(AF5&lt;26,0,1)</f>
        <v/>
      </c>
      <c r="AH5" s="12">
        <f>AG5+IF(AG5&gt;6,1,0)+IF(X5&lt;17,0,1)+IF(Y5&lt;11,0,1)+IF(Z5&lt;1.35,0,1)+AC5+AA5</f>
        <v/>
      </c>
      <c r="AI5" s="12" t="n">
        <v>11</v>
      </c>
      <c r="AJ5" s="11">
        <f>IF(AI5&gt;12.8,IF(AI5&gt;15.8,0.9,0.97),1)</f>
        <v/>
      </c>
      <c r="AK5" s="12">
        <f>(AG5*2.6+AH5)*AJ5*AQ5</f>
        <v/>
      </c>
      <c r="AL5" s="11">
        <f>D5</f>
        <v/>
      </c>
      <c r="AM5" s="11">
        <f>B5</f>
        <v/>
      </c>
      <c r="AN5" s="13" t="n"/>
      <c r="AO5" s="13" t="n"/>
      <c r="AP5" s="13">
        <f>IF(AK5&gt;23.73,IF(Z5&lt;101,IF(Z5&lt;30,IF(Z5&lt;6,3,2),1),0),0)</f>
        <v/>
      </c>
      <c r="AQ5" s="13" t="n">
        <v>1</v>
      </c>
      <c r="AR5" s="11">
        <f>IF(AP5&gt;0,IF(AB5&gt;10,(AB5/Z5),10/Z5),0)</f>
        <v/>
      </c>
      <c r="AS5" s="13" t="n"/>
      <c r="AT5" s="12" t="n">
        <v>0.280331912984974</v>
      </c>
      <c r="AU5" s="12" t="n">
        <v>1.40165956492487</v>
      </c>
      <c r="AV5" s="12" t="n">
        <v>5</v>
      </c>
      <c r="AW5" s="12" t="n"/>
      <c r="AX5" s="12" t="n"/>
      <c r="AY5" s="12" t="n">
        <v>38</v>
      </c>
      <c r="AZ5" s="12" t="n">
        <v>29</v>
      </c>
      <c r="BA5" s="12" t="n"/>
      <c r="BB5" s="12" t="n">
        <v>-11</v>
      </c>
      <c r="BC5" s="12" t="n"/>
    </row>
    <row r="6" ht="12.75" customHeight="1">
      <c r="A6" s="17" t="n"/>
      <c r="B6" s="64" t="inlineStr">
        <is>
          <t>Highway Infrastructure</t>
        </is>
      </c>
      <c r="C6" s="13" t="n">
        <v>2025</v>
      </c>
      <c r="D6" s="11" t="inlineStr">
        <is>
          <t>Pos</t>
        </is>
      </c>
      <c r="E6" s="13" t="n">
        <v>71.8</v>
      </c>
      <c r="F6" s="13" t="n">
        <v>117.72</v>
      </c>
      <c r="G6" s="13">
        <f>100*(F6-E6)/F6</f>
        <v/>
      </c>
      <c r="H6" s="13" t="n">
        <v>231.56</v>
      </c>
      <c r="I6" s="13" t="n">
        <v>22.39</v>
      </c>
      <c r="J6" s="13" t="n"/>
      <c r="K6" s="12" t="n">
        <v>3.4</v>
      </c>
      <c r="L6" s="12" t="n"/>
      <c r="M6" s="13" t="n">
        <v>40.07</v>
      </c>
      <c r="N6" s="13" t="n"/>
      <c r="O6" s="13" t="n">
        <v>495.71</v>
      </c>
      <c r="P6" s="13">
        <f>O6/I6</f>
        <v/>
      </c>
      <c r="Q6" s="13" t="n">
        <v>22.41</v>
      </c>
      <c r="R6" s="13" t="n">
        <v>22.41</v>
      </c>
      <c r="S6" s="13" t="n">
        <v>0</v>
      </c>
      <c r="T6" s="13" t="n"/>
      <c r="U6" s="13" t="n"/>
      <c r="V6" s="13" t="n">
        <v>1</v>
      </c>
      <c r="W6" s="13" t="n">
        <v>1</v>
      </c>
      <c r="X6" s="65" t="n">
        <v>6.46</v>
      </c>
      <c r="Y6" s="12" t="n">
        <v>89.09999999999999</v>
      </c>
      <c r="Z6" s="12" t="n">
        <v>70.45</v>
      </c>
      <c r="AA6" s="66">
        <f>IF(X6&lt;33,IF(Y6&gt;(1.1*X6),0,1),1)+IF(Y6&gt;(4*X6),-1,0)</f>
        <v/>
      </c>
      <c r="AB6" s="13" t="n">
        <v>34</v>
      </c>
      <c r="AC6" s="12">
        <f>IF(AB6&gt;9,1,0)+AB6/3</f>
        <v/>
      </c>
      <c r="AD6" s="12" t="n">
        <v>4.57</v>
      </c>
      <c r="AE6" s="12" t="n">
        <v>-13.56</v>
      </c>
      <c r="AF6" s="12" t="n">
        <v>26.37</v>
      </c>
      <c r="AG6" s="12">
        <f>IF(G6&lt;0,0,1.2)+IF(G6&lt;14,0,0.9)+IF(P6&lt;0,0.7,0)+IF(P6&lt;6.5,1,0)+IF(P6&lt;23,1,0)+IF(R6&gt;88,0,1)+S6+IF(AD6&lt;20,0,1)+IF(AE6&lt;14,0,1)+IF(AF6&lt;26,0,1)</f>
        <v/>
      </c>
      <c r="AH6" s="12">
        <f>AG6+IF(AG6&gt;6,1,0)+IF(X6&lt;17,0,1)+IF(Y6&lt;11,0,1)+IF(Z6&lt;1.35,0,1)+AC6+AA6</f>
        <v/>
      </c>
      <c r="AI6" s="12" t="n">
        <v>11</v>
      </c>
      <c r="AJ6" s="11">
        <f>IF(AI6&gt;12.8,IF(AI6&gt;15.8,0.9,0.97),1)</f>
        <v/>
      </c>
      <c r="AK6" s="12">
        <f>(AG6*2.6+AH6)*AJ6*AQ6</f>
        <v/>
      </c>
      <c r="AL6" s="11">
        <f>D6</f>
        <v/>
      </c>
      <c r="AM6" s="11">
        <f>B6</f>
        <v/>
      </c>
      <c r="AN6" s="13" t="n"/>
      <c r="AO6" s="13" t="n"/>
      <c r="AP6" s="13">
        <f>IF(AK6&gt;23.73,IF(Z6&lt;101,IF(Z6&lt;30,IF(Z6&lt;6,3,2),1),0),0)</f>
        <v/>
      </c>
      <c r="AQ6" s="13" t="n">
        <v>1</v>
      </c>
      <c r="AR6" s="11">
        <f>IF(AP6&gt;0,IF(AB6&gt;10,(AB6/Z6),10/Z6),0)</f>
        <v/>
      </c>
      <c r="AS6" s="13" t="n"/>
      <c r="AT6" s="12" t="n">
        <v>1.12233445566779</v>
      </c>
      <c r="AU6" s="12" t="n">
        <v>5.61167227833895</v>
      </c>
      <c r="AV6" s="12" t="n">
        <v>5</v>
      </c>
      <c r="AW6" s="12" t="n"/>
      <c r="AX6" s="12" t="n"/>
      <c r="AY6" s="12" t="n">
        <v>64</v>
      </c>
      <c r="AZ6" s="12" t="n">
        <v>75</v>
      </c>
      <c r="BA6" s="12" t="n"/>
      <c r="BB6" s="12" t="n">
        <v>-1</v>
      </c>
      <c r="BC6" s="12" t="n"/>
    </row>
    <row r="7" ht="12.75" customHeight="1">
      <c r="A7" s="17" t="n"/>
      <c r="B7" s="64" t="inlineStr">
        <is>
          <t>Aditya Infotech</t>
        </is>
      </c>
      <c r="C7" s="13" t="n">
        <v>2025</v>
      </c>
      <c r="D7" s="11" t="inlineStr">
        <is>
          <t>Pos</t>
        </is>
      </c>
      <c r="E7" s="13" t="n">
        <v>412.84</v>
      </c>
      <c r="F7" s="13" t="n">
        <v>1017.67</v>
      </c>
      <c r="G7" s="13">
        <f>100*(F7-E7)/F7</f>
        <v/>
      </c>
      <c r="H7" s="13" t="n">
        <v>3174.54</v>
      </c>
      <c r="I7" s="13" t="n">
        <v>351.37</v>
      </c>
      <c r="J7" s="13" t="n"/>
      <c r="K7" s="12" t="n">
        <v>33.02</v>
      </c>
      <c r="L7" s="12" t="n"/>
      <c r="M7" s="13" t="n">
        <v>258.39</v>
      </c>
      <c r="N7" s="13" t="n"/>
      <c r="O7" s="13" t="n">
        <v>3111.87</v>
      </c>
      <c r="P7" s="13">
        <f>O7/I7</f>
        <v/>
      </c>
      <c r="Q7" s="13" t="n">
        <v>20.44</v>
      </c>
      <c r="R7" s="13" t="n">
        <v>20.44</v>
      </c>
      <c r="S7" s="13" t="n">
        <v>0</v>
      </c>
      <c r="T7" s="13" t="n"/>
      <c r="U7" s="13" t="n"/>
      <c r="V7" s="13" t="n">
        <v>1</v>
      </c>
      <c r="W7" s="13" t="n">
        <v>1</v>
      </c>
      <c r="X7" s="65" t="n">
        <v>140.5</v>
      </c>
      <c r="Y7" s="12" t="n">
        <v>75.93000000000001</v>
      </c>
      <c r="Z7" s="12" t="n">
        <v>53.81</v>
      </c>
      <c r="AA7" s="66">
        <f>IF(X7&lt;33,IF(Y7&gt;(1.1*X7),0,1),1)+IF(Y7&gt;(4*X7),-1,0)</f>
        <v/>
      </c>
      <c r="AB7" s="13" t="n">
        <v>45</v>
      </c>
      <c r="AC7" s="12">
        <f>IF(AB7&gt;9,1,0)+AB7/3</f>
        <v/>
      </c>
      <c r="AD7" s="12" t="n">
        <v>205</v>
      </c>
      <c r="AE7" s="12" t="n">
        <v>12</v>
      </c>
      <c r="AF7" s="12" t="n">
        <v>140</v>
      </c>
      <c r="AG7" s="12">
        <f>IF(G7&lt;0,0,1.2)+IF(G7&lt;14,0,0.9)+IF(P7&lt;0,0.7,0)+IF(P7&lt;6.5,1,0)+IF(P7&lt;23,1,0)+IF(R7&gt;88,0,1)+S7+IF(AD7&lt;20,0,1)+IF(AE7&lt;14,0,1)+IF(AF7&lt;26,0,1)</f>
        <v/>
      </c>
      <c r="AH7" s="12">
        <f>AG7+IF(AG7&gt;6,1,0)+IF(X7&lt;17,0,1)+IF(Y7&lt;11,0,1)+IF(Z7&lt;1.35,0,1)+AC7+AA7</f>
        <v/>
      </c>
      <c r="AI7" s="12" t="n">
        <v>11</v>
      </c>
      <c r="AJ7" s="11">
        <f>IF(AI7&gt;12.8,IF(AI7&gt;15.8,0.9,0.97),1)</f>
        <v/>
      </c>
      <c r="AK7" s="12">
        <f>(AG7*2.6+AH7)*AJ7*AQ7</f>
        <v/>
      </c>
      <c r="AL7" s="11">
        <f>D7</f>
        <v/>
      </c>
      <c r="AM7" s="11">
        <f>B7</f>
        <v/>
      </c>
      <c r="AN7" s="13" t="n"/>
      <c r="AO7" s="13" t="n"/>
      <c r="AP7" s="13">
        <f>IF(AK7&gt;23.73,IF(Z7&lt;101,IF(Z7&lt;30,IF(Z7&lt;6,3,2),1),0),0)</f>
        <v/>
      </c>
      <c r="AQ7" s="13" t="n">
        <v>1</v>
      </c>
      <c r="AR7" s="11">
        <f>IF(AP7&gt;0,IF(AB7&gt;10,(AB7/Z7),10/Z7),0)</f>
        <v/>
      </c>
      <c r="AS7" s="13" t="n"/>
      <c r="AT7" s="12" t="n">
        <v>1.31700250230475</v>
      </c>
      <c r="AU7" s="12" t="n">
        <v>6.58501251152377</v>
      </c>
      <c r="AV7" s="12" t="n">
        <v>5</v>
      </c>
      <c r="AW7" s="12" t="n"/>
      <c r="AX7" s="12" t="n"/>
      <c r="AY7" s="12" t="n">
        <v>50</v>
      </c>
      <c r="AZ7" s="12" t="n">
        <v>61</v>
      </c>
      <c r="BA7" s="12" t="n"/>
      <c r="BB7" s="12" t="n">
        <v>140</v>
      </c>
      <c r="BC7" s="12" t="n"/>
    </row>
    <row r="8" ht="12.75" customHeight="1">
      <c r="A8" s="17" t="n"/>
      <c r="B8" s="64" t="inlineStr">
        <is>
          <t>GNG Electronics</t>
        </is>
      </c>
      <c r="C8" s="13" t="n">
        <v>2025</v>
      </c>
      <c r="D8" s="11" t="inlineStr">
        <is>
          <t>Pos</t>
        </is>
      </c>
      <c r="E8" s="13" t="n">
        <v>39</v>
      </c>
      <c r="F8" s="13" t="n">
        <v>226</v>
      </c>
      <c r="G8" s="13">
        <f>100*(F8-E8)/F8</f>
        <v/>
      </c>
      <c r="H8" s="13" t="n">
        <v>719</v>
      </c>
      <c r="I8" s="13" t="n">
        <v>69</v>
      </c>
      <c r="J8" s="13" t="n"/>
      <c r="K8" s="12" t="n">
        <v>7.09</v>
      </c>
      <c r="L8" s="12" t="n"/>
      <c r="M8" s="13" t="n">
        <v>126</v>
      </c>
      <c r="N8" s="13" t="n"/>
      <c r="O8" s="13" t="n">
        <v>1411</v>
      </c>
      <c r="P8" s="13">
        <f>O8/I8</f>
        <v/>
      </c>
      <c r="Q8" s="13" t="n">
        <v>33.43</v>
      </c>
      <c r="R8" s="13" t="n">
        <v>33.43</v>
      </c>
      <c r="S8" s="13" t="n">
        <v>0</v>
      </c>
      <c r="T8" s="13" t="n"/>
      <c r="U8" s="13" t="n"/>
      <c r="V8" s="13" t="n">
        <v>1</v>
      </c>
      <c r="W8" s="13" t="n">
        <v>1</v>
      </c>
      <c r="X8" s="65" t="n">
        <v>275.75</v>
      </c>
      <c r="Y8" s="12" t="n">
        <v>264.14</v>
      </c>
      <c r="Z8" s="12" t="n">
        <v>49.01</v>
      </c>
      <c r="AA8" s="66">
        <f>IF(X8&lt;33,IF(Y8&gt;(1.1*X8),0,1),1)+IF(Y8&gt;(4*X8),-1,0)</f>
        <v/>
      </c>
      <c r="AB8" s="13" t="n">
        <v>35</v>
      </c>
      <c r="AC8" s="12">
        <f>IF(AB8&gt;9,1,0)+AB8/3</f>
        <v/>
      </c>
      <c r="AD8" s="12" t="n">
        <v>33</v>
      </c>
      <c r="AE8" s="12" t="n">
        <v>24</v>
      </c>
      <c r="AF8" s="12" t="n">
        <v>39</v>
      </c>
      <c r="AG8" s="12">
        <f>IF(G8&lt;0,0,1.2)+IF(G8&lt;14,0,0.9)+IF(P8&lt;0,0.7,0)+IF(P8&lt;6.5,1,0)+IF(P8&lt;23,1,0)+IF(R8&gt;88,0,1)+S8+IF(AD8&lt;20,0,1)+IF(AE8&lt;14,0,1)+IF(AF8&lt;26,0,1)</f>
        <v/>
      </c>
      <c r="AH8" s="12">
        <f>AG8+IF(AG8&gt;6,1,0)+IF(X8&lt;17,0,1)+IF(Y8&lt;11,0,1)+IF(Z8&lt;1.35,0,1)+AC8+AA8</f>
        <v/>
      </c>
      <c r="AI8" s="12" t="n">
        <v>11</v>
      </c>
      <c r="AJ8" s="11">
        <f>IF(AI8&gt;12.8,IF(AI8&gt;15.8,0.9,0.97),1)</f>
        <v/>
      </c>
      <c r="AK8" s="12">
        <f>(AG8*2.6+AH8)*AJ8*AQ8</f>
        <v/>
      </c>
      <c r="AL8" s="11">
        <f>D8</f>
        <v/>
      </c>
      <c r="AM8" s="11">
        <f>B8</f>
        <v/>
      </c>
      <c r="AN8" s="13" t="n"/>
      <c r="AO8" s="13" t="n"/>
      <c r="AP8" s="13">
        <f>IF(AK8&gt;23.73,IF(Z8&lt;101,IF(Z8&lt;30,IF(Z8&lt;6,3,2),1),0),0)</f>
        <v/>
      </c>
      <c r="AQ8" s="13" t="n">
        <v>1</v>
      </c>
      <c r="AR8" s="11">
        <f>IF(AP8&gt;0,IF(AB8&gt;10,(AB8/Z8),10/Z8),0)</f>
        <v/>
      </c>
      <c r="AS8" s="13" t="n"/>
      <c r="AT8" s="12" t="n">
        <v>0.378587112894677</v>
      </c>
      <c r="AU8" s="12" t="n">
        <v>1.89293556447339</v>
      </c>
      <c r="AV8" s="12" t="n">
        <v>5</v>
      </c>
      <c r="AW8" s="12" t="n"/>
      <c r="AX8" s="12" t="n"/>
      <c r="AY8" s="12" t="n">
        <v>50</v>
      </c>
      <c r="AZ8" s="12" t="n">
        <v>41</v>
      </c>
      <c r="BA8" s="12" t="n"/>
      <c r="BB8" s="12" t="n">
        <v>40</v>
      </c>
      <c r="BC8" s="12" t="n"/>
    </row>
    <row r="9" ht="12.75" customHeight="1">
      <c r="A9" s="17" t="n"/>
      <c r="B9" s="64" t="inlineStr">
        <is>
          <t>Sambhv Steel Tubes</t>
        </is>
      </c>
      <c r="C9" s="13" t="n">
        <v>2025</v>
      </c>
      <c r="D9" s="11" t="inlineStr">
        <is>
          <t>Pos</t>
        </is>
      </c>
      <c r="E9" s="13" t="n">
        <v>181.43</v>
      </c>
      <c r="F9" s="13" t="n">
        <v>438.28</v>
      </c>
      <c r="G9" s="13">
        <f>100*(F9-E9)/F9</f>
        <v/>
      </c>
      <c r="H9" s="13" t="n">
        <v>957.58</v>
      </c>
      <c r="I9" s="13" t="n">
        <v>82.44</v>
      </c>
      <c r="J9" s="13" t="n"/>
      <c r="K9" s="12" t="n">
        <v>3.79</v>
      </c>
      <c r="L9" s="12" t="n"/>
      <c r="M9" s="13" t="n">
        <v>159.87</v>
      </c>
      <c r="N9" s="13" t="n"/>
      <c r="O9" s="13" t="n">
        <v>1285.76</v>
      </c>
      <c r="P9" s="13">
        <f>O9/I9</f>
        <v/>
      </c>
      <c r="Q9" s="13" t="n">
        <v>21.63</v>
      </c>
      <c r="R9" s="13" t="n">
        <v>21.63</v>
      </c>
      <c r="S9" s="13" t="n">
        <v>0</v>
      </c>
      <c r="T9" s="13" t="n"/>
      <c r="U9" s="13" t="n"/>
      <c r="V9" s="13" t="n">
        <v>1</v>
      </c>
      <c r="W9" s="13" t="n">
        <v>1</v>
      </c>
      <c r="X9" s="65" t="n">
        <v>66.36</v>
      </c>
      <c r="Y9" s="12" t="n">
        <v>33.88</v>
      </c>
      <c r="Z9" s="12" t="n">
        <v>8.56</v>
      </c>
      <c r="AA9" s="66">
        <f>IF(X9&lt;33,IF(Y9&gt;(1.1*X9),0,1),1)+IF(Y9&gt;(4*X9),-1,0)</f>
        <v/>
      </c>
      <c r="AB9" s="13" t="n">
        <v>17</v>
      </c>
      <c r="AC9" s="12">
        <f>IF(AB9&gt;9,1,0)+AB9/3</f>
        <v/>
      </c>
      <c r="AD9" s="12" t="n">
        <v>36.49</v>
      </c>
      <c r="AE9" s="12" t="n">
        <v>37.17</v>
      </c>
      <c r="AF9" s="12" t="n">
        <v>108.27</v>
      </c>
      <c r="AG9" s="12">
        <f>IF(G9&lt;0,0,1.2)+IF(G9&lt;14,0,0.9)+IF(P9&lt;0,0.7,0)+IF(P9&lt;6.5,1,0)+IF(P9&lt;23,1,0)+IF(R9&gt;88,0,1)+S9+IF(AD9&lt;20,0,1)+IF(AE9&lt;14,0,1)+IF(AF9&lt;26,0,1)</f>
        <v/>
      </c>
      <c r="AH9" s="12">
        <f>AG9+IF(AG9&gt;6,1,0)+IF(X9&lt;17,0,1)+IF(Y9&lt;11,0,1)+IF(Z9&lt;1.35,0,1)+AC9+AA9</f>
        <v/>
      </c>
      <c r="AI9" s="12" t="n">
        <v>11</v>
      </c>
      <c r="AJ9" s="11">
        <f>IF(AI9&gt;12.8,IF(AI9&gt;15.8,0.9,0.97),1)</f>
        <v/>
      </c>
      <c r="AK9" s="12">
        <f>(AG9*2.6+AH9)*AJ9*AQ9</f>
        <v/>
      </c>
      <c r="AL9" s="11">
        <f>D9</f>
        <v/>
      </c>
      <c r="AM9" s="11">
        <f>B9</f>
        <v/>
      </c>
      <c r="AN9" s="13" t="n"/>
      <c r="AO9" s="13" t="n"/>
      <c r="AP9" s="13">
        <f>IF(AK9&gt;23.73,IF(Z9&lt;101,IF(Z9&lt;30,IF(Z9&lt;6,3,2),1),0),0)</f>
        <v/>
      </c>
      <c r="AQ9" s="13" t="n">
        <v>1</v>
      </c>
      <c r="AR9" s="11">
        <f>IF(AP9&gt;0,IF(AB9&gt;10,(AB9/Z9),10/Z9),0)</f>
        <v/>
      </c>
      <c r="AS9" s="13" t="n"/>
      <c r="AT9" s="12" t="n">
        <v>2.95159386068477</v>
      </c>
      <c r="AU9" s="12" t="n">
        <v>14.7579693034239</v>
      </c>
      <c r="AV9" s="12" t="n">
        <v>5</v>
      </c>
      <c r="AW9" s="12" t="n"/>
      <c r="AX9" s="12" t="n"/>
      <c r="AY9" s="12" t="n">
        <v>34</v>
      </c>
      <c r="AZ9" s="12" t="n">
        <v>19</v>
      </c>
      <c r="BA9" s="12" t="n"/>
      <c r="BB9" s="12" t="n">
        <v>34</v>
      </c>
      <c r="BC9" s="12" t="n"/>
    </row>
    <row r="10" ht="12.75" customHeight="1">
      <c r="A10" s="17" t="n"/>
      <c r="B10" s="64" t="inlineStr">
        <is>
          <t>Lami Dental</t>
        </is>
      </c>
      <c r="C10" s="13" t="n">
        <v>2025</v>
      </c>
      <c r="D10" s="11" t="inlineStr">
        <is>
          <t>Pos</t>
        </is>
      </c>
      <c r="E10" s="13" t="n">
        <v>42</v>
      </c>
      <c r="F10" s="13" t="n">
        <v>42</v>
      </c>
      <c r="G10" s="13">
        <f>100*(F10-E10)/F10</f>
        <v/>
      </c>
      <c r="H10" s="13" t="n">
        <v>99</v>
      </c>
      <c r="I10" s="13" t="n">
        <v>26.5</v>
      </c>
      <c r="J10" s="13" t="n"/>
      <c r="K10" s="12" t="n">
        <v>9.5</v>
      </c>
      <c r="L10" s="12" t="n"/>
      <c r="M10" s="13" t="n">
        <v>23.8</v>
      </c>
      <c r="N10" s="13" t="n"/>
      <c r="O10" s="13" t="n">
        <v>193.6</v>
      </c>
      <c r="P10" s="13">
        <f>O10/I10</f>
        <v/>
      </c>
      <c r="Q10" s="13" t="n">
        <v>45</v>
      </c>
      <c r="R10" s="13" t="n">
        <v>45</v>
      </c>
      <c r="S10" s="13" t="n">
        <v>0</v>
      </c>
      <c r="T10" s="13" t="n"/>
      <c r="U10" s="13" t="n"/>
      <c r="V10" s="13" t="n">
        <v>1</v>
      </c>
      <c r="W10" s="13" t="n">
        <v>1</v>
      </c>
      <c r="X10" s="65" t="n">
        <v>110.38</v>
      </c>
      <c r="Y10" s="12" t="n">
        <v>147.69</v>
      </c>
      <c r="Z10" s="12" t="n">
        <v>75.09999999999999</v>
      </c>
      <c r="AA10" s="66">
        <f>IF(X10&lt;33,IF(Y10&gt;(1.1*X10),0,1),1)+IF(Y10&gt;(4*X10),-1,0)</f>
        <v/>
      </c>
      <c r="AB10" s="13" t="n">
        <v>33</v>
      </c>
      <c r="AC10" s="12">
        <f>IF(AB10&gt;9,1,0)+AB10/3</f>
        <v/>
      </c>
      <c r="AD10" s="12" t="n">
        <v>741</v>
      </c>
      <c r="AE10" s="12" t="n">
        <v>19.8</v>
      </c>
      <c r="AF10" s="12" t="n">
        <v>133</v>
      </c>
      <c r="AG10" s="12">
        <f>IF(G10&lt;0,0,1.2)+IF(G10&lt;14,0,0.9)+IF(P10&lt;0,0.7,0)+IF(P10&lt;6.5,1,0)+IF(P10&lt;23,1,0)+IF(R10&gt;88,0,1)+S10+IF(AD10&lt;20,0,1)+IF(AE10&lt;14,0,1)+IF(AF10&lt;26,0,1)</f>
        <v/>
      </c>
      <c r="AH10" s="12">
        <f>AG10+IF(AG10&gt;6,1,0)+IF(X10&lt;17,0,1)+IF(Y10&lt;11,0,1)+IF(Z10&lt;1.35,0,1)+AC10+AA10</f>
        <v/>
      </c>
      <c r="AI10" s="12" t="n">
        <v>11</v>
      </c>
      <c r="AJ10" s="11">
        <f>IF(AI10&gt;12.8,IF(AI10&gt;15.8,0.9,0.97),1)</f>
        <v/>
      </c>
      <c r="AK10" s="12">
        <f>(AG10*2.6+AH10)*AJ10*AQ10</f>
        <v/>
      </c>
      <c r="AL10" s="11">
        <f>D10</f>
        <v/>
      </c>
      <c r="AM10" s="11">
        <f>B10</f>
        <v/>
      </c>
      <c r="AN10" s="13" t="n"/>
      <c r="AO10" s="13" t="n"/>
      <c r="AP10" s="13">
        <f>IF(AK10&gt;23.73,IF(Z10&lt;101,IF(Z10&lt;30,IF(Z10&lt;6,3,2),1),0),0)</f>
        <v/>
      </c>
      <c r="AQ10" s="13" t="n">
        <v>1</v>
      </c>
      <c r="AR10" s="11">
        <f>IF(AP10&gt;0,IF(AB10&gt;10,(AB10/Z10),10/Z10),0)</f>
        <v/>
      </c>
      <c r="AS10" s="13" t="n"/>
      <c r="AT10" s="12" t="n">
        <v>0.677093912925723</v>
      </c>
      <c r="AU10" s="12" t="n">
        <v>3.38546956462861</v>
      </c>
      <c r="AV10" s="12" t="n">
        <v>5</v>
      </c>
      <c r="AW10" s="12" t="n"/>
      <c r="AX10" s="12" t="n"/>
      <c r="AY10" s="12" t="n">
        <v>27</v>
      </c>
      <c r="AZ10" s="12" t="n">
        <v>29</v>
      </c>
      <c r="BA10" s="12" t="n"/>
      <c r="BB10" s="12" t="n">
        <v>-27</v>
      </c>
      <c r="BC10" s="12" t="n"/>
    </row>
    <row r="11" ht="12.75" customHeight="1">
      <c r="A11" s="17" t="n"/>
      <c r="B11" s="64" t="inlineStr">
        <is>
          <t>Unimech Aerospace</t>
        </is>
      </c>
      <c r="C11" s="13" t="n">
        <v>2024</v>
      </c>
      <c r="D11" s="11" t="inlineStr">
        <is>
          <t>Pos</t>
        </is>
      </c>
      <c r="E11" s="13" t="n">
        <v>75.03</v>
      </c>
      <c r="F11" s="13" t="n">
        <v>108.6</v>
      </c>
      <c r="G11" s="13">
        <f>100*(F11-E11)/F11</f>
        <v/>
      </c>
      <c r="H11" s="13" t="n">
        <v>175.63</v>
      </c>
      <c r="I11" s="13" t="n">
        <v>58.13</v>
      </c>
      <c r="J11" s="13" t="n"/>
      <c r="K11" s="12" t="n">
        <v>13.23</v>
      </c>
      <c r="L11" s="12" t="n"/>
      <c r="M11" s="13" t="n">
        <v>79.13</v>
      </c>
      <c r="N11" s="13" t="n"/>
      <c r="O11" s="13" t="n">
        <v>208.77</v>
      </c>
      <c r="P11" s="13">
        <f>O11/I11</f>
        <v/>
      </c>
      <c r="Q11" s="13" t="n">
        <v>59.33</v>
      </c>
      <c r="R11" s="13" t="n">
        <v>59.33</v>
      </c>
      <c r="S11" s="13" t="n">
        <v>0</v>
      </c>
      <c r="T11" s="13" t="n"/>
      <c r="U11" s="13" t="n"/>
      <c r="V11" s="13" t="n">
        <v>1</v>
      </c>
      <c r="W11" s="13" t="n">
        <v>1</v>
      </c>
      <c r="X11" s="65" t="n">
        <v>116.01</v>
      </c>
      <c r="Y11" s="12" t="n">
        <v>196.78</v>
      </c>
      <c r="Z11" s="12" t="n">
        <v>44.11</v>
      </c>
      <c r="AA11" s="66">
        <f>IF(X11&lt;33,IF(Y11&gt;(1.1*X11),0,1),1)+IF(Y11&gt;(4*X11),-1,0)</f>
        <v/>
      </c>
      <c r="AB11" s="13" t="n">
        <v>79</v>
      </c>
      <c r="AC11" s="12">
        <f>IF(AB11&gt;9,1,0)+AB11/3</f>
        <v/>
      </c>
      <c r="AD11" s="12" t="n">
        <v>155</v>
      </c>
      <c r="AE11" s="12" t="n">
        <v>122</v>
      </c>
      <c r="AF11" s="12" t="n">
        <v>122</v>
      </c>
      <c r="AG11" s="12">
        <f>IF(G11&lt;0,0,1.2)+IF(G11&lt;14,0,0.9)+IF(P11&lt;0,0.7,0)+IF(P11&lt;6.5,1,0)+IF(P11&lt;23,1,0)+IF(R11&gt;88,0,1)+S11+IF(AD11&lt;20,0,1)+IF(AE11&lt;14,0,1)+IF(AF11&lt;26,0,1)</f>
        <v/>
      </c>
      <c r="AH11" s="12">
        <f>AG11+IF(AG11&gt;6,1,0)+IF(X11&lt;17,0,1)+IF(Y11&lt;11,0,1)+IF(Z11&lt;1.35,0,1)+AC11+AA11</f>
        <v/>
      </c>
      <c r="AI11" s="12" t="n">
        <v>11</v>
      </c>
      <c r="AJ11" s="11">
        <f>IF(AI11&gt;12.8,IF(AI11&gt;15.8,0.9,0.97),1)</f>
        <v/>
      </c>
      <c r="AK11" s="12">
        <f>(AG11*2.6+AH11)*AJ11*AQ11</f>
        <v/>
      </c>
      <c r="AL11" s="11">
        <f>D11</f>
        <v/>
      </c>
      <c r="AM11" s="11">
        <f>B11</f>
        <v/>
      </c>
      <c r="AN11" s="13" t="n"/>
      <c r="AO11" s="13" t="n"/>
      <c r="AP11" s="13">
        <f>IF(AK11&gt;23.73,IF(Z11&lt;101,IF(Z11&lt;30,IF(Z11&lt;6,3,2),1),0),0)</f>
        <v/>
      </c>
      <c r="AQ11" s="13" t="n">
        <v>1</v>
      </c>
      <c r="AR11" s="11">
        <f>IF(AP11&gt;0,IF(AB11&gt;10,(AB11/Z11),10/Z11),0)</f>
        <v/>
      </c>
      <c r="AS11" s="13" t="n"/>
      <c r="AT11" s="12" t="n">
        <v>0.508181725785141</v>
      </c>
      <c r="AU11" s="12" t="n">
        <v>2.5409086289257</v>
      </c>
      <c r="AV11" s="12" t="n">
        <v>5</v>
      </c>
      <c r="AW11" s="12" t="n"/>
      <c r="AX11" s="12" t="n"/>
      <c r="AY11" s="12" t="n">
        <v>86</v>
      </c>
      <c r="AZ11" s="12" t="n">
        <v>75</v>
      </c>
      <c r="BA11" s="12" t="n"/>
      <c r="BB11" s="12" t="n">
        <v>28</v>
      </c>
      <c r="BC11" s="12" t="n"/>
    </row>
    <row r="12" ht="12.75" customHeight="1">
      <c r="A12" s="17" t="n"/>
      <c r="B12" s="64" t="inlineStr">
        <is>
          <t>Senores Pharmaceuticals</t>
        </is>
      </c>
      <c r="C12" s="13" t="n">
        <v>2024</v>
      </c>
      <c r="D12" s="11" t="inlineStr">
        <is>
          <t>Pos</t>
        </is>
      </c>
      <c r="E12" s="13" t="n">
        <v>200.8</v>
      </c>
      <c r="F12" s="13" t="n">
        <v>811.9</v>
      </c>
      <c r="G12" s="13">
        <f>100*(F12-E12)/F12</f>
        <v/>
      </c>
      <c r="H12" s="13" t="n">
        <v>1091.2</v>
      </c>
      <c r="I12" s="13" t="n">
        <v>58.3</v>
      </c>
      <c r="J12" s="13" t="n"/>
      <c r="K12" s="12" t="n">
        <v>12.7</v>
      </c>
      <c r="L12" s="12" t="n"/>
      <c r="M12" s="13" t="n">
        <v>89.7</v>
      </c>
      <c r="N12" s="13" t="n"/>
      <c r="O12" s="13" t="n">
        <v>398.3</v>
      </c>
      <c r="P12" s="13">
        <f>O12/I12</f>
        <v/>
      </c>
      <c r="Q12" s="13" t="n">
        <v>55.1</v>
      </c>
      <c r="R12" s="13" t="n">
        <v>55.1</v>
      </c>
      <c r="S12" s="13" t="n">
        <v>0</v>
      </c>
      <c r="T12" s="13" t="n"/>
      <c r="U12" s="13" t="n"/>
      <c r="V12" s="13" t="n">
        <v>1</v>
      </c>
      <c r="W12" s="13" t="n">
        <v>1</v>
      </c>
      <c r="X12" s="65" t="n">
        <v>97.84</v>
      </c>
      <c r="Y12" s="12" t="n">
        <v>100.35</v>
      </c>
      <c r="Z12" s="12" t="n">
        <v>93.16</v>
      </c>
      <c r="AA12" s="66">
        <f>IF(X12&lt;33,IF(Y12&gt;(1.1*X12),0,1),1)+IF(Y12&gt;(4*X12),-1,0)</f>
        <v/>
      </c>
      <c r="AB12" s="13" t="n">
        <v>0</v>
      </c>
      <c r="AC12" s="12">
        <f>IF(AB12&gt;9,1,0)+AB12/3</f>
        <v/>
      </c>
      <c r="AD12" s="12" t="n">
        <v>85.7</v>
      </c>
      <c r="AE12" s="12" t="n">
        <v>85.59999999999999</v>
      </c>
      <c r="AF12" s="12" t="n">
        <v>250.5</v>
      </c>
      <c r="AG12" s="12">
        <f>IF(G12&lt;0,0,1.2)+IF(G12&lt;14,0,0.9)+IF(P12&lt;0,0.7,0)+IF(P12&lt;6.5,1,0)+IF(P12&lt;23,1,0)+IF(R12&gt;88,0,1)+S12+IF(AD12&lt;20,0,1)+IF(AE12&lt;14,0,1)+IF(AF12&lt;26,0,1)</f>
        <v/>
      </c>
      <c r="AH12" s="12">
        <f>AG12+IF(AG12&gt;6,1,0)+IF(X12&lt;17,0,1)+IF(Y12&lt;11,0,1)+IF(Z12&lt;1.35,0,1)+AC12+AA12</f>
        <v/>
      </c>
      <c r="AI12" s="12" t="n">
        <v>11</v>
      </c>
      <c r="AJ12" s="11">
        <f>IF(AI12&gt;12.8,IF(AI12&gt;15.8,0.9,0.97),1)</f>
        <v/>
      </c>
      <c r="AK12" s="12">
        <f>(AG12*2.6+AH12)*AJ12*AQ12</f>
        <v/>
      </c>
      <c r="AL12" s="11">
        <f>D12</f>
        <v/>
      </c>
      <c r="AM12" s="11">
        <f>B12</f>
        <v/>
      </c>
      <c r="AN12" s="13" t="n"/>
      <c r="AO12" s="13" t="n"/>
      <c r="AP12" s="13">
        <f>IF(AK12&gt;23.73,IF(Z12&lt;101,IF(Z12&lt;30,IF(Z12&lt;6,3,2),1),0),0)</f>
        <v/>
      </c>
      <c r="AQ12" s="13" t="n">
        <v>1</v>
      </c>
      <c r="AR12" s="11">
        <f>IF(AP12&gt;0,IF(AB12&gt;10,(AB12/Z12),10/Z12),0)</f>
        <v/>
      </c>
      <c r="AS12" s="13" t="n"/>
      <c r="AT12" s="12" t="n">
        <v>0.996512207274539</v>
      </c>
      <c r="AU12" s="12" t="n">
        <v>4.9825610363727</v>
      </c>
      <c r="AV12" s="12" t="n">
        <v>5</v>
      </c>
      <c r="AW12" s="12" t="n"/>
      <c r="AX12" s="12" t="n"/>
      <c r="AY12" s="12" t="n">
        <v>53</v>
      </c>
      <c r="AZ12" s="12" t="n">
        <v>43</v>
      </c>
      <c r="BA12" s="12" t="n"/>
      <c r="BB12" s="12" t="n">
        <v>100</v>
      </c>
      <c r="BC12" s="12" t="n"/>
    </row>
    <row r="13" ht="12.75" customHeight="1">
      <c r="A13" s="17" t="n"/>
      <c r="B13" s="64" t="inlineStr">
        <is>
          <t>Mamata Machinery</t>
        </is>
      </c>
      <c r="C13" s="13" t="n">
        <v>2024</v>
      </c>
      <c r="D13" s="11" t="inlineStr">
        <is>
          <t>Pos</t>
        </is>
      </c>
      <c r="E13" s="13" t="n">
        <v>11.5</v>
      </c>
      <c r="F13" s="13" t="n">
        <v>132.3</v>
      </c>
      <c r="G13" s="13">
        <f>100*(F13-E13)/F13</f>
        <v/>
      </c>
      <c r="H13" s="13" t="n">
        <v>237.4</v>
      </c>
      <c r="I13" s="13" t="n">
        <v>36.1</v>
      </c>
      <c r="J13" s="13" t="n"/>
      <c r="K13" s="12" t="n">
        <v>14.65</v>
      </c>
      <c r="L13" s="12" t="n"/>
      <c r="M13" s="13" t="n">
        <v>47.1</v>
      </c>
      <c r="N13" s="13" t="n"/>
      <c r="O13" s="13" t="n">
        <v>236.6</v>
      </c>
      <c r="P13" s="13">
        <f>O13/I13</f>
        <v/>
      </c>
      <c r="Q13" s="13" t="n">
        <v>16.59</v>
      </c>
      <c r="R13" s="13" t="n">
        <v>16.59</v>
      </c>
      <c r="S13" s="13" t="n">
        <v>0</v>
      </c>
      <c r="T13" s="13" t="n"/>
      <c r="U13" s="13" t="n"/>
      <c r="V13" s="13" t="n">
        <v>1</v>
      </c>
      <c r="W13" s="13" t="n">
        <v>1</v>
      </c>
      <c r="X13" s="65" t="n">
        <v>235.88</v>
      </c>
      <c r="Y13" s="12" t="n">
        <v>274.38</v>
      </c>
      <c r="Z13" s="12" t="n">
        <v>138.08</v>
      </c>
      <c r="AA13" s="66">
        <f>IF(X13&lt;33,IF(Y13&gt;(1.1*X13),0,1),1)+IF(Y13&gt;(4*X13),-1,0)</f>
        <v/>
      </c>
      <c r="AB13" s="13" t="n">
        <v>107</v>
      </c>
      <c r="AC13" s="12">
        <f>IF(AB13&gt;9,1,0)+AB13/3</f>
        <v/>
      </c>
      <c r="AD13" s="12" t="n">
        <v>60</v>
      </c>
      <c r="AE13" s="12" t="n">
        <v>18</v>
      </c>
      <c r="AF13" s="12" t="n">
        <v>4</v>
      </c>
      <c r="AG13" s="12">
        <f>IF(G13&lt;0,0,1.2)+IF(G13&lt;14,0,0.9)+IF(P13&lt;0,0.7,0)+IF(P13&lt;6.5,1,0)+IF(P13&lt;23,1,0)+IF(R13&gt;88,0,1)+S13+IF(AD13&lt;20,0,1)+IF(AE13&lt;14,0,1)+IF(AF13&lt;26,0,1)</f>
        <v/>
      </c>
      <c r="AH13" s="12">
        <f>AG13+IF(AG13&gt;6,1,0)+IF(X13&lt;17,0,1)+IF(Y13&lt;11,0,1)+IF(Z13&lt;1.35,0,1)+AC13+AA13</f>
        <v/>
      </c>
      <c r="AI13" s="12" t="n">
        <v>11</v>
      </c>
      <c r="AJ13" s="11">
        <f>IF(AI13&gt;12.8,IF(AI13&gt;15.8,0.9,0.97),1)</f>
        <v/>
      </c>
      <c r="AK13" s="12">
        <f>(AG13*2.6+AH13)*AJ13*AQ13</f>
        <v/>
      </c>
      <c r="AL13" s="11">
        <f>D13</f>
        <v/>
      </c>
      <c r="AM13" s="11">
        <f>B13</f>
        <v/>
      </c>
      <c r="AN13" s="13" t="n"/>
      <c r="AO13" s="13" t="n"/>
      <c r="AP13" s="13">
        <f>IF(AK13&gt;23.73,IF(Z13&lt;101,IF(Z13&lt;30,IF(Z13&lt;6,3,2),1),0),0)</f>
        <v/>
      </c>
      <c r="AQ13" s="13" t="n">
        <v>1</v>
      </c>
      <c r="AR13" s="11">
        <f>IF(AP13&gt;0,IF(AB13&gt;10,(AB13/Z13),10/Z13),0)</f>
        <v/>
      </c>
      <c r="AS13" s="13" t="n"/>
      <c r="AT13" s="12" t="n">
        <v>0.364458050878344</v>
      </c>
      <c r="AU13" s="12" t="n">
        <v>1.82229025439172</v>
      </c>
      <c r="AV13" s="12" t="n">
        <v>5</v>
      </c>
      <c r="AW13" s="12" t="n"/>
      <c r="AX13" s="12" t="n"/>
      <c r="AY13" s="12" t="n">
        <v>147</v>
      </c>
      <c r="AZ13" s="12" t="n">
        <v>159</v>
      </c>
      <c r="BA13" s="12" t="n"/>
      <c r="BB13" s="12" t="n">
        <v>73</v>
      </c>
      <c r="BC13" s="12" t="n"/>
    </row>
    <row r="14" ht="12.75" customHeight="1">
      <c r="A14" s="17" t="n"/>
      <c r="B14" s="64" t="inlineStr">
        <is>
          <t>Mobikwik</t>
        </is>
      </c>
      <c r="C14" s="13" t="n">
        <v>2024</v>
      </c>
      <c r="D14" s="11" t="inlineStr">
        <is>
          <t>Pos</t>
        </is>
      </c>
      <c r="E14" s="13" t="n">
        <v>211.7</v>
      </c>
      <c r="F14" s="13" t="n">
        <v>162.59</v>
      </c>
      <c r="G14" s="13">
        <f>100*(F14-E14)/F14</f>
        <v/>
      </c>
      <c r="H14" s="13" t="n">
        <v>854.65</v>
      </c>
      <c r="I14" s="13" t="n">
        <v>14.08</v>
      </c>
      <c r="J14" s="13" t="n"/>
      <c r="K14" s="12" t="n">
        <v>2.46</v>
      </c>
      <c r="L14" s="12" t="n"/>
      <c r="M14" s="13" t="n">
        <v>37.22</v>
      </c>
      <c r="N14" s="13" t="n"/>
      <c r="O14" s="13" t="n">
        <v>875</v>
      </c>
      <c r="P14" s="13">
        <f>O14/I14</f>
        <v/>
      </c>
      <c r="Q14" s="13" t="n">
        <v>113.32</v>
      </c>
      <c r="R14" s="13" t="n">
        <v>113.32</v>
      </c>
      <c r="S14" s="13" t="n">
        <v>0</v>
      </c>
      <c r="T14" s="13" t="n"/>
      <c r="U14" s="13" t="n"/>
      <c r="V14" s="13" t="n">
        <v>1</v>
      </c>
      <c r="W14" s="13" t="n">
        <v>1</v>
      </c>
      <c r="X14" s="65" t="n">
        <v>125</v>
      </c>
      <c r="Y14" s="12" t="n">
        <v>114.7</v>
      </c>
      <c r="Z14" s="12" t="n">
        <v>141.78</v>
      </c>
      <c r="AA14" s="66">
        <f>IF(X14&lt;33,IF(Y14&gt;(1.1*X14),0,1),1)+IF(Y14&gt;(4*X14),-1,0)</f>
        <v/>
      </c>
      <c r="AB14" s="13" t="n">
        <v>59</v>
      </c>
      <c r="AC14" s="12">
        <f>IF(AB14&gt;9,1,0)+AB14/3</f>
        <v/>
      </c>
      <c r="AD14" s="12" t="n">
        <v>117</v>
      </c>
      <c r="AE14" s="12" t="n">
        <v>62</v>
      </c>
      <c r="AF14" s="12" t="n">
        <v>14</v>
      </c>
      <c r="AG14" s="12">
        <f>IF(G14&lt;0,0,1.2)+IF(G14&lt;14,0,0.9)+IF(P14&lt;0,0.7,0)+IF(P14&lt;6.5,1,0)+IF(P14&lt;23,1,0)+IF(R14&gt;88,0,1)+S14+IF(AD14&lt;20,0,1)+IF(AE14&lt;14,0,1)+IF(AF14&lt;26,0,1)</f>
        <v/>
      </c>
      <c r="AH14" s="12">
        <f>AG14+IF(AG14&gt;6,1,0)+IF(X14&lt;17,0,1)+IF(Y14&lt;11,0,1)+IF(Z14&lt;1.35,0,1)+AC14+AA14</f>
        <v/>
      </c>
      <c r="AI14" s="12" t="n">
        <v>11</v>
      </c>
      <c r="AJ14" s="11">
        <f>IF(AI14&gt;12.8,IF(AI14&gt;15.8,0.9,0.97),1)</f>
        <v/>
      </c>
      <c r="AK14" s="12">
        <f>(AG14*2.6+AH14)*AJ14*AQ14</f>
        <v/>
      </c>
      <c r="AL14" s="11">
        <f>D14</f>
        <v/>
      </c>
      <c r="AM14" s="11">
        <f>B14</f>
        <v/>
      </c>
      <c r="AN14" s="13" t="n"/>
      <c r="AO14" s="13" t="n"/>
      <c r="AP14" s="13">
        <f>IF(AK14&gt;23.73,IF(Z14&lt;101,IF(Z14&lt;30,IF(Z14&lt;6,3,2),1),0),0)</f>
        <v/>
      </c>
      <c r="AQ14" s="13" t="n">
        <v>1</v>
      </c>
      <c r="AR14" s="11">
        <f>IF(AP14&gt;0,IF(AB14&gt;10,(AB14/Z14),10/Z14),0)</f>
        <v/>
      </c>
      <c r="AS14" s="13" t="n"/>
      <c r="AT14" s="12" t="n">
        <v>0.871839581517001</v>
      </c>
      <c r="AU14" s="12" t="n">
        <v>4.359197907585</v>
      </c>
      <c r="AV14" s="12" t="n">
        <v>5</v>
      </c>
      <c r="AW14" s="12" t="n"/>
      <c r="AX14" s="12" t="n"/>
      <c r="AY14" s="12" t="n">
        <v>58</v>
      </c>
      <c r="AZ14" s="12" t="n">
        <v>90</v>
      </c>
      <c r="BA14" s="12" t="n"/>
      <c r="BB14" s="12" t="n">
        <v>-9</v>
      </c>
      <c r="BC14" s="12" t="n"/>
    </row>
    <row r="15" ht="12.75" customHeight="1">
      <c r="A15" s="17" t="n"/>
      <c r="B15" s="64" t="inlineStr">
        <is>
          <t>Enviro Infra Engineers</t>
        </is>
      </c>
      <c r="C15" s="13" t="n">
        <v>2024</v>
      </c>
      <c r="D15" s="11" t="inlineStr">
        <is>
          <t>Pos</t>
        </is>
      </c>
      <c r="E15" s="13" t="n">
        <v>305.58</v>
      </c>
      <c r="F15" s="13" t="n">
        <v>323</v>
      </c>
      <c r="G15" s="13">
        <f>100*(F15-E15)/F15</f>
        <v/>
      </c>
      <c r="H15" s="13" t="n">
        <v>812.87</v>
      </c>
      <c r="I15" s="13" t="n">
        <v>110.54</v>
      </c>
      <c r="J15" s="13" t="n"/>
      <c r="K15" s="12" t="n">
        <v>5.95</v>
      </c>
      <c r="L15" s="12" t="n"/>
      <c r="M15" s="13" t="n">
        <v>169.32</v>
      </c>
      <c r="N15" s="13" t="n"/>
      <c r="O15" s="13" t="n">
        <v>728.92</v>
      </c>
      <c r="P15" s="13">
        <f>O15/I15</f>
        <v/>
      </c>
      <c r="Q15" s="13" t="n">
        <v>23.9</v>
      </c>
      <c r="R15" s="13" t="n">
        <v>23.9</v>
      </c>
      <c r="S15" s="13" t="n">
        <v>0</v>
      </c>
      <c r="T15" s="13" t="n"/>
      <c r="U15" s="13" t="n"/>
      <c r="V15" s="13" t="n">
        <v>1</v>
      </c>
      <c r="W15" s="13" t="n">
        <v>1</v>
      </c>
      <c r="X15" s="65" t="n">
        <v>157.05</v>
      </c>
      <c r="Y15" s="12" t="n">
        <v>153.8</v>
      </c>
      <c r="Z15" s="12" t="n">
        <v>24.48</v>
      </c>
      <c r="AA15" s="66">
        <f>IF(X15&lt;33,IF(Y15&gt;(1.1*X15),0,1),1)+IF(Y15&gt;(4*X15),-1,0)</f>
        <v/>
      </c>
      <c r="AB15" s="13" t="n">
        <v>39</v>
      </c>
      <c r="AC15" s="12">
        <f>IF(AB15&gt;9,1,0)+AB15/3</f>
        <v/>
      </c>
      <c r="AD15" s="12" t="n">
        <v>101</v>
      </c>
      <c r="AE15" s="12" t="n">
        <v>115.6</v>
      </c>
      <c r="AF15" s="12" t="n">
        <v>10.5</v>
      </c>
      <c r="AG15" s="12">
        <f>IF(G15&lt;0,0,1.2)+IF(G15&lt;14,0,0.9)+IF(P15&lt;0,0.7,0)+IF(P15&lt;6.5,1,0)+IF(P15&lt;23,1,0)+IF(R15&gt;88,0,1)+S15+IF(AD15&lt;20,0,1)+IF(AE15&lt;14,0,1)+IF(AF15&lt;26,0,1)</f>
        <v/>
      </c>
      <c r="AH15" s="12">
        <f>AG15+IF(AG15&gt;6,1,0)+IF(X15&lt;17,0,1)+IF(Y15&lt;11,0,1)+IF(Z15&lt;1.35,0,1)+AC15+AA15</f>
        <v/>
      </c>
      <c r="AI15" s="12" t="n">
        <v>11</v>
      </c>
      <c r="AJ15" s="11">
        <f>IF(AI15&gt;12.8,IF(AI15&gt;15.8,0.9,0.97),1)</f>
        <v/>
      </c>
      <c r="AK15" s="12">
        <f>(AG15*2.6+AH15)*AJ15*AQ15</f>
        <v/>
      </c>
      <c r="AL15" s="11">
        <f>D15</f>
        <v/>
      </c>
      <c r="AM15" s="11">
        <f>B15</f>
        <v/>
      </c>
      <c r="AN15" s="13" t="n"/>
      <c r="AO15" s="13" t="n"/>
      <c r="AP15" s="13">
        <f>IF(AK15&gt;23.73,IF(Z15&lt;101,IF(Z15&lt;30,IF(Z15&lt;6,3,2),1),0),0)</f>
        <v/>
      </c>
      <c r="AQ15" s="13" t="n">
        <v>1</v>
      </c>
      <c r="AR15" s="11">
        <f>IF(AP15&gt;0,IF(AB15&gt;10,(AB15/Z15),10/Z15),0)</f>
        <v/>
      </c>
      <c r="AS15" s="13" t="n"/>
      <c r="AT15" s="12" t="n">
        <v>0.650195058517555</v>
      </c>
      <c r="AU15" s="12" t="n">
        <v>3.25097529258778</v>
      </c>
      <c r="AV15" s="12" t="n">
        <v>5</v>
      </c>
      <c r="AW15" s="12" t="n"/>
      <c r="AX15" s="12" t="n"/>
      <c r="AY15" s="12" t="n">
        <v>49</v>
      </c>
      <c r="AZ15" s="12" t="n">
        <v>40</v>
      </c>
      <c r="BA15" s="12" t="n"/>
      <c r="BB15" s="12" t="n">
        <v>53</v>
      </c>
      <c r="BC15" s="12" t="n"/>
    </row>
    <row r="16" ht="12.75" customHeight="1">
      <c r="A16" s="17" t="n"/>
      <c r="B16" s="64" t="inlineStr">
        <is>
          <t>KRN Heat Echanger</t>
        </is>
      </c>
      <c r="C16" s="13" t="n">
        <v>2024</v>
      </c>
      <c r="D16" s="11" t="inlineStr">
        <is>
          <t>Pos</t>
        </is>
      </c>
      <c r="E16" s="13" t="n">
        <v>63.04</v>
      </c>
      <c r="F16" s="13" t="n">
        <v>130.28</v>
      </c>
      <c r="G16" s="13">
        <f>100*(F16-E16)/F16</f>
        <v/>
      </c>
      <c r="H16" s="13" t="n">
        <v>257.42</v>
      </c>
      <c r="I16" s="13" t="n">
        <v>39.88</v>
      </c>
      <c r="J16" s="13" t="n"/>
      <c r="K16" s="12" t="n">
        <v>8.869999999999999</v>
      </c>
      <c r="L16" s="12" t="n"/>
      <c r="M16" s="13" t="n">
        <v>59.58</v>
      </c>
      <c r="N16" s="13" t="n"/>
      <c r="O16" s="13" t="n">
        <v>313.6</v>
      </c>
      <c r="P16" s="13">
        <f>O16/I16</f>
        <v/>
      </c>
      <c r="Q16" s="13" t="n">
        <v>23</v>
      </c>
      <c r="R16" s="13" t="n">
        <v>23</v>
      </c>
      <c r="S16" s="13" t="n">
        <v>0</v>
      </c>
      <c r="T16" s="13" t="n"/>
      <c r="U16" s="13" t="n"/>
      <c r="V16" s="13" t="n">
        <v>1</v>
      </c>
      <c r="W16" s="13" t="n">
        <v>1</v>
      </c>
      <c r="X16" s="65" t="n">
        <v>223.48</v>
      </c>
      <c r="Y16" s="12" t="n">
        <v>410.11</v>
      </c>
      <c r="Z16" s="12" t="n">
        <v>88.29000000000001</v>
      </c>
      <c r="AA16" s="66">
        <f>IF(X16&lt;33,IF(Y16&gt;(1.1*X16),0,1),1)+IF(Y16&gt;(4*X16),-1,0)</f>
        <v/>
      </c>
      <c r="AB16" s="13" t="n">
        <v>106</v>
      </c>
      <c r="AC16" s="12">
        <f>IF(AB16&gt;9,1,0)+AB16/3</f>
        <v/>
      </c>
      <c r="AD16" s="12" t="n">
        <v>23</v>
      </c>
      <c r="AE16" s="12" t="n">
        <v>27</v>
      </c>
      <c r="AF16" s="12" t="n">
        <v>125</v>
      </c>
      <c r="AG16" s="12">
        <f>IF(G16&lt;0,0,1.2)+IF(G16&lt;14,0,0.9)+IF(P16&lt;0,0.7,0)+IF(P16&lt;6.5,1,0)+IF(P16&lt;23,1,0)+IF(R16&gt;88,0,1)+S16+IF(AD16&lt;20,0,1)+IF(AE16&lt;14,0,1)+IF(AF16&lt;26,0,1)</f>
        <v/>
      </c>
      <c r="AH16" s="12">
        <f>AG16+IF(AG16&gt;6,1,0)+IF(X16&lt;17,0,1)+IF(Y16&lt;11,0,1)+IF(Z16&lt;1.35,0,1)+AC16+AA16</f>
        <v/>
      </c>
      <c r="AI16" s="12" t="n">
        <v>11</v>
      </c>
      <c r="AJ16" s="11">
        <f>IF(AI16&gt;12.8,IF(AI16&gt;15.8,0.9,0.97),1)</f>
        <v/>
      </c>
      <c r="AK16" s="12">
        <f>(AG16*2.6+AH16)*AJ16*AQ16</f>
        <v/>
      </c>
      <c r="AL16" s="11">
        <f>D16</f>
        <v/>
      </c>
      <c r="AM16" s="11">
        <f>B16</f>
        <v/>
      </c>
      <c r="AN16" s="13" t="n"/>
      <c r="AO16" s="13" t="n"/>
      <c r="AP16" s="13">
        <f>IF(AK16&gt;23.73,IF(Z16&lt;101,IF(Z16&lt;30,IF(Z16&lt;6,3,2),1),0),0)</f>
        <v/>
      </c>
      <c r="AQ16" s="13" t="n">
        <v>1</v>
      </c>
      <c r="AR16" s="11">
        <f>IF(AP16&gt;0,IF(AB16&gt;10,(AB16/Z16),10/Z16),0)</f>
        <v/>
      </c>
      <c r="AS16" s="13" t="n"/>
      <c r="AT16" s="12" t="n">
        <v>0.243837019336276</v>
      </c>
      <c r="AU16" s="12" t="n">
        <v>1.21918509668138</v>
      </c>
      <c r="AV16" s="12" t="n">
        <v>5</v>
      </c>
      <c r="AW16" s="12" t="n"/>
      <c r="AX16" s="12" t="n"/>
      <c r="AY16" s="12" t="n">
        <v>118</v>
      </c>
      <c r="AZ16" s="12" t="n">
        <v>118</v>
      </c>
      <c r="BA16" s="12" t="n"/>
      <c r="BB16" s="12" t="n">
        <v>275</v>
      </c>
      <c r="BC16" s="12" t="n"/>
    </row>
    <row r="17" ht="12.75" customHeight="1">
      <c r="A17" s="17" t="n"/>
      <c r="B17" s="64" t="inlineStr">
        <is>
          <t>P N Gadgil Jewellers</t>
        </is>
      </c>
      <c r="C17" s="13" t="n">
        <v>2024</v>
      </c>
      <c r="D17" s="11" t="inlineStr">
        <is>
          <t>Pos</t>
        </is>
      </c>
      <c r="E17" s="13" t="n">
        <v>396.5</v>
      </c>
      <c r="F17" s="13" t="n">
        <v>534.38</v>
      </c>
      <c r="G17" s="13">
        <f>100*(F17-E17)/F17</f>
        <v/>
      </c>
      <c r="H17" s="13" t="n">
        <v>1464.98</v>
      </c>
      <c r="I17" s="13" t="n">
        <v>154.34</v>
      </c>
      <c r="J17" s="13" t="n"/>
      <c r="K17" s="12" t="n">
        <v>21.59</v>
      </c>
      <c r="L17" s="12" t="n"/>
      <c r="M17" s="13" t="n">
        <v>277.43</v>
      </c>
      <c r="N17" s="13" t="n"/>
      <c r="O17" s="13" t="n">
        <v>6110.95</v>
      </c>
      <c r="P17" s="13">
        <f>O17/I17</f>
        <v/>
      </c>
      <c r="Q17" s="13" t="n">
        <v>22.23</v>
      </c>
      <c r="R17" s="13" t="n">
        <v>22.23</v>
      </c>
      <c r="S17" s="13" t="n">
        <v>0</v>
      </c>
      <c r="T17" s="13" t="n"/>
      <c r="U17" s="13" t="n"/>
      <c r="V17" s="13" t="n">
        <v>1</v>
      </c>
      <c r="W17" s="13" t="n">
        <v>1</v>
      </c>
      <c r="X17" s="65" t="n">
        <v>136.85</v>
      </c>
      <c r="Y17" s="12" t="n">
        <v>56.08</v>
      </c>
      <c r="Z17" s="12" t="n">
        <v>16.58</v>
      </c>
      <c r="AA17" s="66">
        <f>IF(X17&lt;33,IF(Y17&gt;(1.1*X17),0,1),1)+IF(Y17&gt;(4*X17),-1,0)</f>
        <v/>
      </c>
      <c r="AB17" s="13" t="n">
        <v>63</v>
      </c>
      <c r="AC17" s="12">
        <f>IF(AB17&gt;9,1,0)+AB17/3</f>
        <v/>
      </c>
      <c r="AD17" s="12" t="n">
        <v>64.72</v>
      </c>
      <c r="AE17" s="12" t="n">
        <v>35.7</v>
      </c>
      <c r="AF17" s="12" t="n">
        <v>46.07</v>
      </c>
      <c r="AG17" s="12">
        <f>IF(G17&lt;0,0,1.2)+IF(G17&lt;14,0,0.9)+IF(P17&lt;0,0.7,0)+IF(P17&lt;6.5,1,0)+IF(P17&lt;23,1,0)+IF(R17&gt;88,0,1)+S17+IF(AD17&lt;20,0,1)+IF(AE17&lt;14,0,1)+IF(AF17&lt;26,0,1)</f>
        <v/>
      </c>
      <c r="AH17" s="12">
        <f>AG17+IF(AG17&gt;6,1,0)+IF(X17&lt;17,0,1)+IF(Y17&lt;11,0,1)+IF(Z17&lt;1.35,0,1)+AC17+AA17</f>
        <v/>
      </c>
      <c r="AI17" s="12" t="n">
        <v>11</v>
      </c>
      <c r="AJ17" s="11">
        <f>IF(AI17&gt;12.8,IF(AI17&gt;15.8,0.9,0.97),1)</f>
        <v/>
      </c>
      <c r="AK17" s="12">
        <f>(AG17*2.6+AH17)*AJ17*AQ17</f>
        <v/>
      </c>
      <c r="AL17" s="11">
        <f>D17</f>
        <v/>
      </c>
      <c r="AM17" s="11">
        <f>B17</f>
        <v/>
      </c>
      <c r="AN17" s="13" t="n"/>
      <c r="AO17" s="13" t="n"/>
      <c r="AP17" s="13">
        <f>IF(AK17&gt;23.73,IF(Z17&lt;101,IF(Z17&lt;30,IF(Z17&lt;6,3,2),1),0),0)</f>
        <v/>
      </c>
      <c r="AQ17" s="13" t="n">
        <v>1</v>
      </c>
      <c r="AR17" s="11">
        <f>IF(AP17&gt;0,IF(AB17&gt;10,(AB17/Z17),10/Z17),0)</f>
        <v/>
      </c>
      <c r="AS17" s="13" t="n"/>
      <c r="AT17" s="12" t="n">
        <v>1.78316690442225</v>
      </c>
      <c r="AU17" s="12" t="n">
        <v>8.91583452211127</v>
      </c>
      <c r="AV17" s="12" t="n">
        <v>5</v>
      </c>
      <c r="AW17" s="12" t="n"/>
      <c r="AX17" s="12" t="n"/>
      <c r="AY17" s="12" t="n">
        <v>73</v>
      </c>
      <c r="AZ17" s="12" t="n">
        <v>65</v>
      </c>
      <c r="BA17" s="12" t="n"/>
      <c r="BB17" s="12" t="n">
        <v>34</v>
      </c>
      <c r="BC17" s="12" t="n"/>
    </row>
    <row r="18" ht="12.75" customHeight="1">
      <c r="A18" s="17" t="n"/>
      <c r="B18" s="64" t="inlineStr">
        <is>
          <t>Premier Energies</t>
        </is>
      </c>
      <c r="C18" s="13" t="n">
        <v>2024</v>
      </c>
      <c r="D18" s="11" t="inlineStr">
        <is>
          <t>Pos</t>
        </is>
      </c>
      <c r="E18" s="13" t="n">
        <v>1392.24</v>
      </c>
      <c r="F18" s="13" t="n">
        <v>528</v>
      </c>
      <c r="G18" s="13">
        <f>100*(F18-E18)/F18</f>
        <v/>
      </c>
      <c r="H18" s="13" t="n">
        <v>3554.13</v>
      </c>
      <c r="I18" s="13" t="n">
        <v>231.36</v>
      </c>
      <c r="J18" s="13" t="n"/>
      <c r="K18" s="12" t="n">
        <v>5.13</v>
      </c>
      <c r="L18" s="12" t="n"/>
      <c r="M18" s="13" t="n">
        <v>505</v>
      </c>
      <c r="N18" s="13" t="n"/>
      <c r="O18" s="13" t="n">
        <v>3143.79</v>
      </c>
      <c r="P18" s="13">
        <f>O18/I18</f>
        <v/>
      </c>
      <c r="Q18" s="13" t="n">
        <v>87.7</v>
      </c>
      <c r="R18" s="13" t="n">
        <v>87.7</v>
      </c>
      <c r="S18" s="13" t="n">
        <v>0</v>
      </c>
      <c r="T18" s="13" t="n"/>
      <c r="U18" s="13" t="n"/>
      <c r="V18" s="13" t="n">
        <v>1</v>
      </c>
      <c r="W18" s="13" t="n">
        <v>1</v>
      </c>
      <c r="X18" s="65" t="n">
        <v>212.42</v>
      </c>
      <c r="Y18" s="12" t="n">
        <v>50.98</v>
      </c>
      <c r="Z18" s="12" t="n">
        <v>7.44</v>
      </c>
      <c r="AA18" s="66">
        <f>IF(X18&lt;33,IF(Y18&gt;(1.1*X18),0,1),1)+IF(Y18&gt;(4*X18),-1,0)</f>
        <v/>
      </c>
      <c r="AB18" s="13" t="n">
        <v>108</v>
      </c>
      <c r="AC18" s="12">
        <f>IF(AB18&gt;9,1,0)+AB18/3</f>
        <v/>
      </c>
      <c r="AD18" s="12" t="n">
        <v>1838</v>
      </c>
      <c r="AE18" s="12" t="n">
        <v>120</v>
      </c>
      <c r="AF18" s="12" t="n">
        <v>29</v>
      </c>
      <c r="AG18" s="12">
        <f>IF(G18&lt;0,0,1.2)+IF(G18&lt;14,0,0.9)+IF(P18&lt;0,0.7,0)+IF(P18&lt;6.5,1,0)+IF(P18&lt;23,1,0)+IF(R18&gt;88,0,1)+S18+IF(AD18&lt;20,0,1)+IF(AE18&lt;14,0,1)+IF(AF18&lt;26,0,1)</f>
        <v/>
      </c>
      <c r="AH18" s="12">
        <f>AG18+IF(AG18&gt;6,1,0)+IF(X18&lt;17,0,1)+IF(Y18&lt;11,0,1)+IF(Z18&lt;1.35,0,1)+AC18+AA18</f>
        <v/>
      </c>
      <c r="AI18" s="12" t="n">
        <v>11</v>
      </c>
      <c r="AJ18" s="11">
        <f>IF(AI18&gt;12.8,IF(AI18&gt;15.8,0.9,0.97),1)</f>
        <v/>
      </c>
      <c r="AK18" s="12">
        <f>(AG18*2.6+AH18)*AJ18*AQ18</f>
        <v/>
      </c>
      <c r="AL18" s="11">
        <f>D18</f>
        <v/>
      </c>
      <c r="AM18" s="11">
        <f>B18</f>
        <v/>
      </c>
      <c r="AN18" s="13" t="n"/>
      <c r="AO18" s="13" t="n"/>
      <c r="AP18" s="13">
        <f>IF(AK18&gt;23.73,IF(Z18&lt;101,IF(Z18&lt;30,IF(Z18&lt;6,3,2),1),0),0)</f>
        <v/>
      </c>
      <c r="AQ18" s="13" t="n">
        <v>1</v>
      </c>
      <c r="AR18" s="11">
        <f>IF(AP18&gt;0,IF(AB18&gt;10,(AB18/Z18),10/Z18),0)</f>
        <v/>
      </c>
      <c r="AS18" s="13" t="n"/>
      <c r="AT18" s="12" t="n">
        <v>1.96155355041193</v>
      </c>
      <c r="AU18" s="12" t="n">
        <v>9.807767752059631</v>
      </c>
      <c r="AV18" s="12" t="n">
        <v>5</v>
      </c>
      <c r="AW18" s="12" t="n"/>
      <c r="AX18" s="12" t="n"/>
      <c r="AY18" s="12" t="n">
        <v>120</v>
      </c>
      <c r="AZ18" s="12" t="n">
        <v>87</v>
      </c>
      <c r="BA18" s="12" t="n"/>
      <c r="BB18" s="12" t="n">
        <v>122</v>
      </c>
      <c r="BC18" s="12" t="n"/>
    </row>
    <row r="19" ht="12.75" customHeight="1">
      <c r="A19" s="17" t="n"/>
      <c r="B19" s="64" t="inlineStr">
        <is>
          <t>BLS E-Services</t>
        </is>
      </c>
      <c r="C19" s="13" t="n">
        <v>2024</v>
      </c>
      <c r="D19" s="11" t="inlineStr">
        <is>
          <t>Pos</t>
        </is>
      </c>
      <c r="E19" s="13" t="n">
        <v>68.01000000000001</v>
      </c>
      <c r="F19" s="13" t="n">
        <v>67</v>
      </c>
      <c r="G19" s="13">
        <f>100*(F19-E19)/F19</f>
        <v/>
      </c>
      <c r="H19" s="13" t="n">
        <v>179.47</v>
      </c>
      <c r="I19" s="13" t="n">
        <v>18.88</v>
      </c>
      <c r="J19" s="13" t="n"/>
      <c r="K19" s="12" t="n">
        <v>2.08</v>
      </c>
      <c r="L19" s="12" t="n"/>
      <c r="M19" s="13" t="n">
        <v>33.58</v>
      </c>
      <c r="N19" s="13" t="n"/>
      <c r="O19" s="13" t="n">
        <v>243.06</v>
      </c>
      <c r="P19" s="13">
        <f>O19/I19</f>
        <v/>
      </c>
      <c r="Q19" s="13" t="n">
        <v>64.90000000000001</v>
      </c>
      <c r="R19" s="13" t="n">
        <v>64.90000000000001</v>
      </c>
      <c r="S19" s="13" t="n">
        <v>0</v>
      </c>
      <c r="T19" s="13" t="n"/>
      <c r="U19" s="13" t="n"/>
      <c r="V19" s="13" t="n">
        <v>1</v>
      </c>
      <c r="W19" s="13" t="n">
        <v>1</v>
      </c>
      <c r="X19" s="65" t="n">
        <v>123.3</v>
      </c>
      <c r="Y19" s="12" t="n">
        <v>300.05</v>
      </c>
      <c r="Z19" s="12" t="n">
        <v>236.53</v>
      </c>
      <c r="AA19" s="66">
        <f>IF(X19&lt;33,IF(Y19&gt;(1.1*X19),0,1),1)+IF(Y19&gt;(4*X19),-1,0)</f>
        <v/>
      </c>
      <c r="AB19" s="13" t="n">
        <v>114</v>
      </c>
      <c r="AC19" s="12">
        <f>IF(AB19&gt;9,1,0)+AB19/3</f>
        <v/>
      </c>
      <c r="AD19" s="12" t="n">
        <v>251</v>
      </c>
      <c r="AE19" s="12" t="n">
        <v>183</v>
      </c>
      <c r="AF19" s="12" t="n">
        <v>235</v>
      </c>
      <c r="AG19" s="12">
        <f>IF(G19&lt;0,0,1.2)+IF(G19&lt;14,0,0.9)+IF(P19&lt;0,0.7,0)+IF(P19&lt;6.5,1,0)+IF(P19&lt;23,1,0)+IF(R19&gt;88,0,1)+S19+IF(AD19&lt;20,0,1)+IF(AE19&lt;14,0,1)+IF(AF19&lt;26,0,1)</f>
        <v/>
      </c>
      <c r="AH19" s="12">
        <f>AG19+IF(AG19&gt;6,1,0)+IF(X19&lt;17,0,1)+IF(Y19&lt;11,0,1)+IF(Z19&lt;1.35,0,1)+AC19+AA19</f>
        <v/>
      </c>
      <c r="AI19" s="12" t="n">
        <v>11</v>
      </c>
      <c r="AJ19" s="11">
        <f>IF(AI19&gt;12.8,IF(AI19&gt;15.8,0.9,0.97),1)</f>
        <v/>
      </c>
      <c r="AK19" s="12">
        <f>(AG19*2.6+AH19)*AJ19*AQ19</f>
        <v/>
      </c>
      <c r="AL19" s="11">
        <f>D19</f>
        <v/>
      </c>
      <c r="AM19" s="11">
        <f>B19</f>
        <v/>
      </c>
      <c r="AN19" s="13" t="n"/>
      <c r="AO19" s="13" t="n"/>
      <c r="AP19" s="13">
        <f>IF(AK19&gt;23.73,IF(Z19&lt;101,IF(Z19&lt;30,IF(Z19&lt;6,3,2),1),0),0)</f>
        <v/>
      </c>
      <c r="AQ19" s="13" t="n">
        <v>1</v>
      </c>
      <c r="AR19" s="11">
        <f>IF(AP19&gt;0,IF(AB19&gt;10,(AB19/Z19),10/Z19),0)</f>
        <v/>
      </c>
      <c r="AS19" s="13" t="n"/>
      <c r="AT19" s="12" t="n">
        <v>0.333277787035494</v>
      </c>
      <c r="AU19" s="12" t="n">
        <v>1.66638893517747</v>
      </c>
      <c r="AV19" s="12" t="n">
        <v>5</v>
      </c>
      <c r="AW19" s="12" t="n"/>
      <c r="AX19" s="12" t="n"/>
      <c r="AY19" s="12" t="n">
        <v>126</v>
      </c>
      <c r="AZ19" s="12" t="n">
        <v>175</v>
      </c>
      <c r="BA19" s="12" t="n"/>
      <c r="BB19" s="12" t="n">
        <v>56</v>
      </c>
      <c r="BC19" s="12" t="n"/>
    </row>
    <row r="20" ht="12.75" customHeight="1">
      <c r="A20" s="17" t="n"/>
      <c r="B20" s="67" t="inlineStr">
        <is>
          <t>JSW Cement</t>
        </is>
      </c>
      <c r="C20" s="13" t="n">
        <v>2025</v>
      </c>
      <c r="D20" s="11" t="inlineStr">
        <is>
          <t>Pos</t>
        </is>
      </c>
      <c r="E20" s="13" t="n">
        <v>6166.54</v>
      </c>
      <c r="F20" s="13" t="n">
        <v>2372.35</v>
      </c>
      <c r="G20" s="13">
        <f>100*(F20-E20)/F20</f>
        <v/>
      </c>
      <c r="H20" s="13" t="n">
        <v>12003.94</v>
      </c>
      <c r="I20" s="13" t="n">
        <v>-163.76</v>
      </c>
      <c r="J20" s="13" t="n"/>
      <c r="K20" s="12" t="n">
        <v>-1.16</v>
      </c>
      <c r="L20" s="12" t="n"/>
      <c r="M20" s="13" t="n">
        <v>716.84</v>
      </c>
      <c r="N20" s="13" t="n"/>
      <c r="O20" s="13" t="n">
        <v>5813.07</v>
      </c>
      <c r="P20" s="13">
        <f>O20/I20</f>
        <v/>
      </c>
      <c r="Q20" s="13" t="n">
        <v>-122.38</v>
      </c>
      <c r="R20" s="13" t="n">
        <v>-122.38</v>
      </c>
      <c r="S20" s="13" t="n">
        <v>0</v>
      </c>
      <c r="T20" s="13" t="n"/>
      <c r="U20" s="13" t="n"/>
      <c r="V20" s="13" t="n">
        <v>1</v>
      </c>
      <c r="W20" s="13" t="n">
        <v>1</v>
      </c>
      <c r="X20" s="65" t="n">
        <v>16.71</v>
      </c>
      <c r="Y20" s="12" t="n">
        <v>11.6</v>
      </c>
      <c r="Z20" s="12" t="n">
        <v>1.91</v>
      </c>
      <c r="AA20" s="66">
        <f>IF(X20&lt;33,IF(Y20&gt;(1.1*X20),0,1),1)+IF(Y20&gt;(4*X20),-1,0)</f>
        <v/>
      </c>
      <c r="AB20" s="13" t="n">
        <v>3.7</v>
      </c>
      <c r="AC20" s="12">
        <f>IF(AB20&gt;9,1,0)+AB20/3</f>
        <v/>
      </c>
      <c r="AD20" s="12" t="n">
        <v>-364</v>
      </c>
      <c r="AE20" s="12" t="n">
        <v>-3.56</v>
      </c>
      <c r="AF20" s="12" t="n">
        <v>-3.74</v>
      </c>
      <c r="AG20" s="12">
        <f>IF(G20&lt;0,0,1.2)+IF(G20&lt;14,0,0.9)+IF(P20&lt;0,0.7,0)+IF(P20&lt;6.5,1,0)+IF(P20&lt;23,1,0)+IF(R20&gt;88,0,1)+S20+IF(AD20&lt;20,0,1)+IF(AE20&lt;14,0,1)+IF(AF20&lt;26,0,1)</f>
        <v/>
      </c>
      <c r="AH20" s="12">
        <f>AG20+IF(AG20&gt;6,1,0)+IF(X20&lt;17,0,1)+IF(Y20&lt;11,0,1)+IF(Z20&lt;1.35,0,1)+AC20+AA20</f>
        <v/>
      </c>
      <c r="AI20" s="12" t="n">
        <v>11</v>
      </c>
      <c r="AJ20" s="11">
        <f>IF(AI20&gt;12.8,IF(AI20&gt;15.8,0.9,0.97),1)</f>
        <v/>
      </c>
      <c r="AK20" s="12">
        <f>(AG20*2.6+AH20)*AJ20*AQ20</f>
        <v/>
      </c>
      <c r="AL20" s="11">
        <f>D20</f>
        <v/>
      </c>
      <c r="AM20" s="11">
        <f>B20</f>
        <v/>
      </c>
      <c r="AN20" s="13" t="n"/>
      <c r="AO20" s="13" t="n"/>
      <c r="AP20" s="13">
        <f>IF(AK20&gt;23.73,IF(Z20&lt;101,IF(Z20&lt;30,IF(Z20&lt;6,3,2),1),0),0)</f>
        <v/>
      </c>
      <c r="AQ20" s="13" t="n">
        <v>1</v>
      </c>
      <c r="AR20" s="11">
        <f>IF(AP20&gt;0,IF(AB20&gt;10,(AB20/Z20),10/Z20),0)</f>
        <v/>
      </c>
      <c r="AS20" s="13" t="n"/>
      <c r="AT20" s="12" t="n">
        <v>8.62068965517242</v>
      </c>
      <c r="AU20" s="12" t="n">
        <v>43.1034482758621</v>
      </c>
      <c r="AV20" s="12" t="n">
        <v>5</v>
      </c>
      <c r="AW20" s="12" t="n"/>
      <c r="AX20" s="12" t="n"/>
      <c r="AY20" s="12" t="n">
        <v>4</v>
      </c>
      <c r="AZ20" s="12" t="n">
        <v>-1</v>
      </c>
      <c r="BA20" s="12" t="n"/>
      <c r="BB20" s="12" t="n">
        <v>-14</v>
      </c>
      <c r="BC20" s="12" t="n"/>
    </row>
    <row r="21" ht="12.75" customHeight="1">
      <c r="A21" s="17" t="n"/>
      <c r="B21" s="67" t="inlineStr">
        <is>
          <t>Smartworks Coworking</t>
        </is>
      </c>
      <c r="C21" s="13" t="n">
        <v>2025</v>
      </c>
      <c r="D21" s="11" t="inlineStr">
        <is>
          <t>Pos</t>
        </is>
      </c>
      <c r="E21" s="13" t="n">
        <v>397.77</v>
      </c>
      <c r="F21" s="13" t="n">
        <v>107.88</v>
      </c>
      <c r="G21" s="13">
        <f>100*(F21-E21)/F21</f>
        <v/>
      </c>
      <c r="H21" s="13" t="n">
        <v>4650.85</v>
      </c>
      <c r="I21" s="13" t="n">
        <v>-63.18</v>
      </c>
      <c r="J21" s="13" t="n"/>
      <c r="K21" s="12" t="n">
        <v>-6.18</v>
      </c>
      <c r="L21" s="12" t="n"/>
      <c r="M21" s="13" t="n">
        <v>857.26</v>
      </c>
      <c r="N21" s="13" t="n"/>
      <c r="O21" s="13" t="n">
        <v>1374.06</v>
      </c>
      <c r="P21" s="13">
        <f>O21/I21</f>
        <v/>
      </c>
      <c r="Q21" s="13" t="n">
        <v>1</v>
      </c>
      <c r="R21" s="13" t="n">
        <v>1</v>
      </c>
      <c r="S21" s="13" t="n">
        <v>0</v>
      </c>
      <c r="T21" s="13" t="n"/>
      <c r="U21" s="13" t="n"/>
      <c r="V21" s="13" t="n">
        <v>1</v>
      </c>
      <c r="W21" s="13" t="n">
        <v>1</v>
      </c>
      <c r="X21" s="65" t="n">
        <v>24.92</v>
      </c>
      <c r="Y21" s="12" t="n">
        <v>23.68</v>
      </c>
      <c r="Z21" s="12" t="n">
        <v>3.69</v>
      </c>
      <c r="AA21" s="66">
        <f>IF(X21&lt;33,IF(Y21&gt;(1.1*X21),0,1),1)+IF(Y21&gt;(4*X21),-1,0)</f>
        <v/>
      </c>
      <c r="AB21" s="13" t="n">
        <v>4</v>
      </c>
      <c r="AC21" s="12">
        <f>IF(AB21&gt;9,1,0)+AB21/3</f>
        <v/>
      </c>
      <c r="AD21" s="12" t="n">
        <v>-27.5</v>
      </c>
      <c r="AE21" s="12" t="n">
        <v>32.2</v>
      </c>
      <c r="AF21" s="12" t="n">
        <v>115.76</v>
      </c>
      <c r="AG21" s="12">
        <f>IF(G21&lt;0,0,1.2)+IF(G21&lt;14,0,0.9)+IF(P21&lt;0,0.7,0)+IF(P21&lt;6.5,1,0)+IF(P21&lt;23,1,0)+IF(R21&gt;88,0,1)+S21+IF(AD21&lt;20,0,1)+IF(AE21&lt;14,0,1)+IF(AF21&lt;26,0,1)</f>
        <v/>
      </c>
      <c r="AH21" s="12">
        <f>AG21+IF(AG21&gt;6,1,0)+IF(X21&lt;17,0,1)+IF(Y21&lt;11,0,1)+IF(Z21&lt;1.35,0,1)+AC21+AA21</f>
        <v/>
      </c>
      <c r="AI21" s="12" t="n">
        <v>11</v>
      </c>
      <c r="AJ21" s="11">
        <f>IF(AI21&gt;12.8,IF(AI21&gt;15.8,0.9,0.97),1)</f>
        <v/>
      </c>
      <c r="AK21" s="12">
        <f>(AG21*2.6+AH21)*AJ21*AQ21</f>
        <v/>
      </c>
      <c r="AL21" s="11">
        <f>D21</f>
        <v/>
      </c>
      <c r="AM21" s="11">
        <f>B21</f>
        <v/>
      </c>
      <c r="AN21" s="13" t="n"/>
      <c r="AO21" s="13" t="n"/>
      <c r="AP21" s="13">
        <f>IF(AK21&gt;23.73,IF(Z21&lt;101,IF(Z21&lt;30,IF(Z21&lt;6,3,2),1),0),0)</f>
        <v/>
      </c>
      <c r="AQ21" s="13" t="n">
        <v>1</v>
      </c>
      <c r="AR21" s="11">
        <f>IF(AP21&gt;0,IF(AB21&gt;10,(AB21/Z21),10/Z21),0)</f>
        <v/>
      </c>
      <c r="AS21" s="13" t="n"/>
      <c r="AT21" s="12" t="n">
        <v>4.22297297297297</v>
      </c>
      <c r="AU21" s="12" t="n">
        <v>21.1148648648649</v>
      </c>
      <c r="AV21" s="12" t="n">
        <v>5</v>
      </c>
      <c r="AW21" s="12" t="n"/>
      <c r="AX21" s="12" t="n"/>
      <c r="AY21" s="12" t="n">
        <v>7</v>
      </c>
      <c r="AZ21" s="12" t="n">
        <v>9</v>
      </c>
      <c r="BA21" s="12" t="n"/>
      <c r="BB21" s="12" t="n">
        <v>42</v>
      </c>
      <c r="BC21" s="12" t="n"/>
    </row>
    <row r="22" ht="12.75" customHeight="1">
      <c r="A22" s="17" t="n"/>
      <c r="B22" s="68" t="inlineStr">
        <is>
          <t>Carraro India</t>
        </is>
      </c>
      <c r="C22" s="13" t="n">
        <v>2024</v>
      </c>
      <c r="D22" s="11" t="inlineStr">
        <is>
          <t>Neg</t>
        </is>
      </c>
      <c r="E22" s="13" t="n">
        <v>213</v>
      </c>
      <c r="F22" s="13" t="n">
        <v>370</v>
      </c>
      <c r="G22" s="13">
        <f>100*(F22-E22)/F22</f>
        <v/>
      </c>
      <c r="H22" s="13" t="n">
        <v>632</v>
      </c>
      <c r="I22" s="13" t="n">
        <v>63</v>
      </c>
      <c r="J22" s="13" t="n"/>
      <c r="K22" s="12" t="n">
        <v>11</v>
      </c>
      <c r="L22" s="12" t="n"/>
      <c r="M22" s="13" t="n">
        <v>132</v>
      </c>
      <c r="N22" s="13" t="n"/>
      <c r="O22" s="13" t="n">
        <v>1789</v>
      </c>
      <c r="P22" s="13">
        <f>O22/I22</f>
        <v/>
      </c>
      <c r="Q22" s="13" t="n">
        <v>64</v>
      </c>
      <c r="R22" s="13" t="n">
        <v>64</v>
      </c>
      <c r="S22" s="13" t="n">
        <v>0</v>
      </c>
      <c r="T22" s="13" t="n"/>
      <c r="U22" s="13" t="n"/>
      <c r="V22" s="13" t="n">
        <v>1</v>
      </c>
      <c r="W22" s="13" t="n">
        <v>1</v>
      </c>
      <c r="X22" s="65" t="n">
        <v>2.33</v>
      </c>
      <c r="Y22" s="12" t="n">
        <v>0.63</v>
      </c>
      <c r="Z22" s="12" t="n">
        <v>0.75</v>
      </c>
      <c r="AA22" s="66">
        <f>IF(X22&lt;33,IF(Y22&gt;(1.1*X22),0,1),1)+IF(Y22&gt;(4*X22),-1,0)</f>
        <v/>
      </c>
      <c r="AB22" s="13" t="n">
        <v>0</v>
      </c>
      <c r="AC22" s="12">
        <f>IF(AB22&gt;9,1,0)+AB22/3</f>
        <v/>
      </c>
      <c r="AD22" s="12" t="n">
        <v>31</v>
      </c>
      <c r="AE22" s="12" t="n">
        <v>4</v>
      </c>
      <c r="AF22" s="12" t="n">
        <v>10</v>
      </c>
      <c r="AG22" s="12">
        <f>IF(G22&lt;0,0,1.2)+IF(G22&lt;14,0,0.9)+IF(P22&lt;0,0.7,0)+IF(P22&lt;6.5,1,0)+IF(P22&lt;23,1,0)+IF(R22&gt;88,0,1)+S22+IF(AD22&lt;20,0,1)+IF(AE22&lt;14,0,1)+IF(AF22&lt;26,0,1)</f>
        <v/>
      </c>
      <c r="AH22" s="12">
        <f>AG22+IF(AG22&gt;6,1,0)+IF(X22&lt;17,0,1)+IF(Y22&lt;11,0,1)+IF(Z22&lt;1.35,0,1)+AC22+AA22</f>
        <v/>
      </c>
      <c r="AI22" s="12" t="n">
        <v>11</v>
      </c>
      <c r="AJ22" s="11">
        <f>IF(AI22&gt;12.8,IF(AI22&gt;15.8,0.9,0.97),1)</f>
        <v/>
      </c>
      <c r="AK22" s="12">
        <f>(AG22*2.6+AH22)*AJ22*AQ22</f>
        <v/>
      </c>
      <c r="AL22" s="11">
        <f>D22</f>
        <v/>
      </c>
      <c r="AM22" s="11">
        <f>B22</f>
        <v/>
      </c>
      <c r="AN22" s="13" t="n"/>
      <c r="AO22" s="13" t="n"/>
      <c r="AP22" s="13">
        <f>IF(AK22&gt;23.73,IF(Z22&lt;101,IF(Z22&lt;30,IF(Z22&lt;6,3,2),1),0),0)</f>
        <v/>
      </c>
      <c r="AQ22" s="13" t="n">
        <v>1</v>
      </c>
      <c r="AR22" s="11">
        <f>IF(AP22&gt;0,IF(AB22&gt;10,(AB22/Z22),10/Z22),0)</f>
        <v/>
      </c>
      <c r="AS22" s="13" t="n"/>
      <c r="AT22" s="12" t="n">
        <v>158.730158730159</v>
      </c>
      <c r="AU22" s="12" t="n">
        <v>793.650793650794</v>
      </c>
      <c r="AV22" s="12" t="n">
        <v>5</v>
      </c>
      <c r="AW22" s="12" t="n"/>
      <c r="AX22" s="12" t="n"/>
      <c r="AY22" s="12" t="n"/>
      <c r="AZ22" s="12" t="n"/>
      <c r="BA22" s="12" t="n"/>
      <c r="BB22" s="12" t="n"/>
      <c r="BC22" s="12" t="n"/>
    </row>
    <row r="23" ht="12.75" customHeight="1">
      <c r="A23" s="17" t="n"/>
      <c r="B23" s="68" t="inlineStr">
        <is>
          <t>ACME Solar Holdings</t>
        </is>
      </c>
      <c r="C23" s="13" t="n">
        <v>2024</v>
      </c>
      <c r="D23" s="11" t="inlineStr">
        <is>
          <t>Neg</t>
        </is>
      </c>
      <c r="E23" s="13" t="n">
        <v>8536.35</v>
      </c>
      <c r="F23" s="13" t="n">
        <v>2590.87</v>
      </c>
      <c r="G23" s="13">
        <f>100*(F23-E23)/F23</f>
        <v/>
      </c>
      <c r="H23" s="13" t="n">
        <v>13399.8</v>
      </c>
      <c r="I23" s="13" t="n">
        <v>698</v>
      </c>
      <c r="J23" s="13" t="n"/>
      <c r="K23" s="12" t="n">
        <v>66.81</v>
      </c>
      <c r="L23" s="12" t="n"/>
      <c r="M23" s="13" t="n">
        <v>1089</v>
      </c>
      <c r="N23" s="13" t="n"/>
      <c r="O23" s="13" t="n">
        <v>1319</v>
      </c>
      <c r="P23" s="13">
        <f>O23/I23</f>
        <v/>
      </c>
      <c r="Q23" s="13" t="n">
        <v>24</v>
      </c>
      <c r="R23" s="13" t="n">
        <v>24</v>
      </c>
      <c r="S23" s="13" t="n">
        <v>0</v>
      </c>
      <c r="T23" s="13" t="n"/>
      <c r="U23" s="13" t="n"/>
      <c r="V23" s="13" t="n">
        <v>1</v>
      </c>
      <c r="W23" s="13" t="n">
        <v>1</v>
      </c>
      <c r="X23" s="65" t="n">
        <v>3.72</v>
      </c>
      <c r="Y23" s="12" t="n">
        <v>1.02</v>
      </c>
      <c r="Z23" s="12" t="n">
        <v>3.25</v>
      </c>
      <c r="AA23" s="66">
        <f>IF(X23&lt;33,IF(Y23&gt;(1.1*X23),0,1),1)+IF(Y23&gt;(4*X23),-1,0)</f>
        <v/>
      </c>
      <c r="AB23" s="13" t="n">
        <v>0</v>
      </c>
      <c r="AC23" s="12">
        <f>IF(AB23&gt;9,1,0)+AB23/3</f>
        <v/>
      </c>
      <c r="AD23" s="12" t="n">
        <v>0</v>
      </c>
      <c r="AE23" s="12" t="n">
        <v>1.88</v>
      </c>
      <c r="AF23" s="12" t="n">
        <v>36.4</v>
      </c>
      <c r="AG23" s="12">
        <f>IF(G23&lt;0,0,1.2)+IF(G23&lt;14,0,0.9)+IF(P23&lt;0,0.7,0)+IF(P23&lt;6.5,1,0)+IF(P23&lt;23,1,0)+IF(R23&gt;88,0,1)+S23+IF(AD23&lt;20,0,1)+IF(AE23&lt;14,0,1)+IF(AF23&lt;26,0,1)</f>
        <v/>
      </c>
      <c r="AH23" s="12">
        <f>AG23+IF(AG23&gt;6,1,0)+IF(X23&lt;17,0,1)+IF(Y23&lt;11,0,1)+IF(Z23&lt;1.35,0,1)+AC23+AA23</f>
        <v/>
      </c>
      <c r="AI23" s="12" t="n">
        <v>11</v>
      </c>
      <c r="AJ23" s="11">
        <f>IF(AI23&gt;12.8,IF(AI23&gt;15.8,0.9,0.97),1)</f>
        <v/>
      </c>
      <c r="AK23" s="12">
        <f>(AG23*2.6+AH23)*AJ23*AQ23</f>
        <v/>
      </c>
      <c r="AL23" s="11">
        <f>D23</f>
        <v/>
      </c>
      <c r="AM23" s="11">
        <f>B23</f>
        <v/>
      </c>
      <c r="AN23" s="13" t="n"/>
      <c r="AO23" s="13" t="n"/>
      <c r="AP23" s="13">
        <f>IF(AK23&gt;23.73,IF(Z23&lt;101,IF(Z23&lt;30,IF(Z23&lt;6,3,2),1),0),0)</f>
        <v/>
      </c>
      <c r="AQ23" s="13" t="n">
        <v>1</v>
      </c>
      <c r="AR23" s="11">
        <f>IF(AP23&gt;0,IF(AB23&gt;10,(AB23/Z23),10/Z23),0)</f>
        <v/>
      </c>
      <c r="AS23" s="13" t="n"/>
      <c r="AT23" s="12" t="n">
        <v>98.0392156862745</v>
      </c>
      <c r="AU23" s="12" t="n">
        <v>490.196078431373</v>
      </c>
      <c r="AV23" s="12" t="n">
        <v>5</v>
      </c>
      <c r="AW23" s="12" t="n"/>
      <c r="AX23" s="12" t="n"/>
      <c r="AY23" s="12" t="n"/>
      <c r="AZ23" s="12" t="n"/>
      <c r="BA23" s="12" t="n"/>
      <c r="BB23" s="12" t="n"/>
      <c r="BC23" s="12" t="n"/>
    </row>
    <row r="24" ht="12.75" customHeight="1">
      <c r="A24" s="17" t="n"/>
      <c r="B24" s="68" t="inlineStr">
        <is>
          <t>Afcons Infrastructure</t>
        </is>
      </c>
      <c r="C24" s="13" t="n">
        <v>2024</v>
      </c>
      <c r="D24" s="11" t="inlineStr">
        <is>
          <t>Neg</t>
        </is>
      </c>
      <c r="E24" s="13" t="n">
        <v>2253.44</v>
      </c>
      <c r="F24" s="13" t="n">
        <v>3075.29</v>
      </c>
      <c r="G24" s="13">
        <f>100*(F24-E24)/F24</f>
        <v/>
      </c>
      <c r="H24" s="13" t="n">
        <v>15611.2</v>
      </c>
      <c r="I24" s="13" t="n">
        <v>449.76</v>
      </c>
      <c r="J24" s="13" t="n"/>
      <c r="K24" s="12" t="n">
        <v>13.2</v>
      </c>
      <c r="L24" s="12" t="n"/>
      <c r="M24" s="13" t="n">
        <v>1583.12</v>
      </c>
      <c r="N24" s="13" t="n"/>
      <c r="O24" s="13" t="n">
        <v>13646.88</v>
      </c>
      <c r="P24" s="13">
        <f>O24/I24</f>
        <v/>
      </c>
      <c r="Q24" s="13" t="n">
        <v>35.08</v>
      </c>
      <c r="R24" s="13" t="n">
        <v>35.08</v>
      </c>
      <c r="S24" s="13" t="n">
        <v>0</v>
      </c>
      <c r="T24" s="13" t="n"/>
      <c r="U24" s="13" t="n"/>
      <c r="V24" s="13" t="n">
        <v>1</v>
      </c>
      <c r="W24" s="13" t="n">
        <v>1</v>
      </c>
      <c r="X24" s="65" t="n">
        <v>3.99</v>
      </c>
      <c r="Y24" s="12" t="n">
        <v>5.31</v>
      </c>
      <c r="Z24" s="12" t="n">
        <v>0.99</v>
      </c>
      <c r="AA24" s="66">
        <f>IF(X24&lt;33,IF(Y24&gt;(1.1*X24),0,1),1)+IF(Y24&gt;(4*X24),-1,0)</f>
        <v/>
      </c>
      <c r="AB24" s="13" t="n">
        <v>0</v>
      </c>
      <c r="AC24" s="12">
        <f>IF(AB24&gt;9,1,0)+AB24/3</f>
        <v/>
      </c>
      <c r="AD24" s="12" t="n">
        <v>9.5</v>
      </c>
      <c r="AE24" s="12" t="n">
        <v>6.3</v>
      </c>
      <c r="AF24" s="12" t="n">
        <v>15.3</v>
      </c>
      <c r="AG24" s="12">
        <f>IF(G24&lt;0,0,1.2)+IF(G24&lt;14,0,0.9)+IF(P24&lt;0,0.7,0)+IF(P24&lt;6.5,1,0)+IF(P24&lt;23,1,0)+IF(R24&gt;88,0,1)+S24+IF(AD24&lt;20,0,1)+IF(AE24&lt;14,0,1)+IF(AF24&lt;26,0,1)</f>
        <v/>
      </c>
      <c r="AH24" s="12">
        <f>AG24+IF(AG24&gt;6,1,0)+IF(X24&lt;17,0,1)+IF(Y24&lt;11,0,1)+IF(Z24&lt;1.35,0,1)+AC24+AA24</f>
        <v/>
      </c>
      <c r="AI24" s="12" t="n">
        <v>11</v>
      </c>
      <c r="AJ24" s="11">
        <f>IF(AI24&gt;12.8,IF(AI24&gt;15.8,0.9,0.97),1)</f>
        <v/>
      </c>
      <c r="AK24" s="12">
        <f>(AG24*2.6+AH24)*AJ24*AQ24</f>
        <v/>
      </c>
      <c r="AL24" s="11">
        <f>D24</f>
        <v/>
      </c>
      <c r="AM24" s="11">
        <f>B24</f>
        <v/>
      </c>
      <c r="AN24" s="13" t="n"/>
      <c r="AO24" s="13" t="n"/>
      <c r="AP24" s="13">
        <f>IF(AK24&gt;23.73,IF(Z24&lt;101,IF(Z24&lt;30,IF(Z24&lt;6,3,2),1),0),0)</f>
        <v/>
      </c>
      <c r="AQ24" s="13" t="n">
        <v>1</v>
      </c>
      <c r="AR24" s="11">
        <f>IF(AP24&gt;0,IF(AB24&gt;10,(AB24/Z24),10/Z24),0)</f>
        <v/>
      </c>
      <c r="AS24" s="13" t="n"/>
      <c r="AT24" s="12" t="n">
        <v>18.8323917137477</v>
      </c>
      <c r="AU24" s="12" t="n">
        <v>94.1619585687382</v>
      </c>
      <c r="AV24" s="12" t="n">
        <v>5</v>
      </c>
      <c r="AW24" s="12" t="n"/>
      <c r="AX24" s="12" t="n"/>
      <c r="AY24" s="12" t="n"/>
      <c r="AZ24" s="12" t="n"/>
      <c r="BA24" s="12" t="n"/>
      <c r="BB24" s="12" t="n"/>
      <c r="BC24" s="12" t="n"/>
    </row>
    <row r="25" ht="12.75" customHeight="1">
      <c r="A25" s="17" t="n"/>
      <c r="B25" s="68" t="inlineStr">
        <is>
          <t>Godavari Biorefineries</t>
        </is>
      </c>
      <c r="C25" s="13" t="n">
        <v>2024</v>
      </c>
      <c r="D25" s="11" t="inlineStr">
        <is>
          <t>Neg</t>
        </is>
      </c>
      <c r="E25" s="13" t="n">
        <v>652</v>
      </c>
      <c r="F25" s="13" t="n">
        <v>260.25</v>
      </c>
      <c r="G25" s="13">
        <f>100*(F25-E25)/F25</f>
        <v/>
      </c>
      <c r="H25" s="13" t="n">
        <v>1554.62</v>
      </c>
      <c r="I25" s="13" t="n">
        <v>12.3</v>
      </c>
      <c r="J25" s="13" t="n"/>
      <c r="K25" s="12" t="n">
        <v>2.9</v>
      </c>
      <c r="L25" s="12" t="n"/>
      <c r="M25" s="13" t="n">
        <v>133.53</v>
      </c>
      <c r="N25" s="13" t="n"/>
      <c r="O25" s="13" t="n">
        <v>1701.06</v>
      </c>
      <c r="P25" s="13">
        <f>O25/I25</f>
        <v/>
      </c>
      <c r="Q25" s="13" t="n">
        <v>146.67</v>
      </c>
      <c r="R25" s="13" t="n">
        <v>146.67</v>
      </c>
      <c r="S25" s="13" t="n">
        <v>0</v>
      </c>
      <c r="T25" s="13" t="n"/>
      <c r="U25" s="13" t="n"/>
      <c r="V25" s="13" t="n">
        <v>1</v>
      </c>
      <c r="W25" s="13" t="n">
        <v>1</v>
      </c>
      <c r="X25" s="65" t="n">
        <v>2.76</v>
      </c>
      <c r="Y25" s="12" t="n">
        <v>0.93</v>
      </c>
      <c r="Z25" s="12" t="n">
        <v>1.76</v>
      </c>
      <c r="AA25" s="66">
        <f>IF(X25&lt;33,IF(Y25&gt;(1.1*X25),0,1),1)+IF(Y25&gt;(4*X25),-1,0)</f>
        <v/>
      </c>
      <c r="AB25" s="13" t="n">
        <v>0</v>
      </c>
      <c r="AC25" s="12">
        <f>IF(AB25&gt;9,1,0)+AB25/3</f>
        <v/>
      </c>
      <c r="AD25" s="12" t="n">
        <v>-37.37</v>
      </c>
      <c r="AE25" s="12" t="n">
        <v>-15.89</v>
      </c>
      <c r="AF25" s="12" t="n">
        <v>4.51</v>
      </c>
      <c r="AG25" s="12">
        <f>IF(G25&lt;0,0,1.2)+IF(G25&lt;14,0,0.9)+IF(P25&lt;0,0.7,0)+IF(P25&lt;6.5,1,0)+IF(P25&lt;23,1,0)+IF(R25&gt;88,0,1)+S25+IF(AD25&lt;20,0,1)+IF(AE25&lt;14,0,1)+IF(AF25&lt;26,0,1)</f>
        <v/>
      </c>
      <c r="AH25" s="12">
        <f>AG25+IF(AG25&gt;6,1,0)+IF(X25&lt;17,0,1)+IF(Y25&lt;11,0,1)+IF(Z25&lt;1.35,0,1)+AC25+AA25</f>
        <v/>
      </c>
      <c r="AI25" s="12" t="n">
        <v>11</v>
      </c>
      <c r="AJ25" s="11">
        <f>IF(AI25&gt;12.8,IF(AI25&gt;15.8,0.9,0.97),1)</f>
        <v/>
      </c>
      <c r="AK25" s="12">
        <f>(AG25*2.6+AH25)*AJ25*AQ25</f>
        <v/>
      </c>
      <c r="AL25" s="11">
        <f>D25</f>
        <v/>
      </c>
      <c r="AM25" s="11">
        <f>B25</f>
        <v/>
      </c>
      <c r="AN25" s="13" t="n"/>
      <c r="AO25" s="13" t="n"/>
      <c r="AP25" s="13">
        <f>IF(AK25&gt;23.73,IF(Z25&lt;101,IF(Z25&lt;30,IF(Z25&lt;6,3,2),1),0),0)</f>
        <v/>
      </c>
      <c r="AQ25" s="13" t="n">
        <v>1</v>
      </c>
      <c r="AR25" s="11">
        <f>IF(AP25&gt;0,IF(AB25&gt;10,(AB25/Z25),10/Z25),0)</f>
        <v/>
      </c>
      <c r="AS25" s="13" t="n"/>
      <c r="AT25" s="12" t="n">
        <v>107.52688172043</v>
      </c>
      <c r="AU25" s="12" t="n">
        <v>537.634408602151</v>
      </c>
      <c r="AV25" s="12" t="n">
        <v>5</v>
      </c>
      <c r="AW25" s="12" t="n"/>
      <c r="AX25" s="12" t="n"/>
      <c r="AY25" s="12" t="n"/>
      <c r="AZ25" s="12" t="n"/>
      <c r="BA25" s="12" t="n"/>
      <c r="BB25" s="12" t="n"/>
      <c r="BC25" s="12" t="n"/>
    </row>
    <row r="26" ht="12.75" customHeight="1">
      <c r="A26" s="17" t="n"/>
      <c r="B26" s="68" t="inlineStr">
        <is>
          <t>JG Chemicals</t>
        </is>
      </c>
      <c r="C26" s="13" t="n">
        <v>2024</v>
      </c>
      <c r="D26" s="11" t="inlineStr">
        <is>
          <t>Neg</t>
        </is>
      </c>
      <c r="E26" s="13" t="n">
        <v>100</v>
      </c>
      <c r="F26" s="13" t="n">
        <v>180</v>
      </c>
      <c r="G26" s="13">
        <f>100*(F26-E26)/F26</f>
        <v/>
      </c>
      <c r="H26" s="13" t="n">
        <v>400</v>
      </c>
      <c r="I26" s="13" t="n">
        <v>40.5</v>
      </c>
      <c r="J26" s="13" t="n"/>
      <c r="K26" s="12" t="n">
        <v>12.61</v>
      </c>
      <c r="L26" s="12" t="n"/>
      <c r="M26" s="13" t="n">
        <v>80</v>
      </c>
      <c r="N26" s="13" t="n"/>
      <c r="O26" s="13" t="n">
        <v>795</v>
      </c>
      <c r="P26" s="13">
        <f>O26/I26</f>
        <v/>
      </c>
      <c r="Q26" s="13" t="n">
        <v>20.08</v>
      </c>
      <c r="R26" s="13" t="n">
        <v>20.08</v>
      </c>
      <c r="S26" s="13" t="n">
        <v>0</v>
      </c>
      <c r="T26" s="13" t="n"/>
      <c r="U26" s="13" t="n"/>
      <c r="V26" s="13" t="n">
        <v>1</v>
      </c>
      <c r="W26" s="13" t="n">
        <v>1</v>
      </c>
      <c r="X26" s="65" t="n">
        <v>32.33</v>
      </c>
      <c r="Y26" s="12" t="n">
        <v>47.92</v>
      </c>
      <c r="Z26" s="12" t="n">
        <v>18.03</v>
      </c>
      <c r="AA26" s="66">
        <f>IF(X26&lt;33,IF(Y26&gt;(1.1*X26),0,1),1)+IF(Y26&gt;(4*X26),-1,0)</f>
        <v/>
      </c>
      <c r="AB26" s="13" t="n">
        <v>0</v>
      </c>
      <c r="AC26" s="12">
        <f>IF(AB26&gt;9,1,0)+AB26/3</f>
        <v/>
      </c>
      <c r="AD26" s="12" t="n">
        <v>-6</v>
      </c>
      <c r="AE26" s="12" t="n">
        <v>30</v>
      </c>
      <c r="AF26" s="12" t="n">
        <v>25</v>
      </c>
      <c r="AG26" s="12">
        <f>IF(G26&lt;0,0,1.2)+IF(G26&lt;14,0,0.9)+IF(P26&lt;0,0.7,0)+IF(P26&lt;6.5,1,0)+IF(P26&lt;23,1,0)+IF(R26&gt;88,0,1)+S26+IF(AD26&lt;20,0,1)+IF(AE26&lt;14,0,1)+IF(AF26&lt;26,0,1)</f>
        <v/>
      </c>
      <c r="AH26" s="12">
        <f>AG26+IF(AG26&gt;6,1,0)+IF(X26&lt;17,0,1)+IF(Y26&lt;11,0,1)+IF(Z26&lt;1.35,0,1)+AC26+AA26</f>
        <v/>
      </c>
      <c r="AI26" s="12" t="n">
        <v>11</v>
      </c>
      <c r="AJ26" s="11">
        <f>IF(AI26&gt;12.8,IF(AI26&gt;15.8,0.9,0.97),1)</f>
        <v/>
      </c>
      <c r="AK26" s="12">
        <f>(AG26*2.6+AH26)*AJ26*AQ26</f>
        <v/>
      </c>
      <c r="AL26" s="11">
        <f>D26</f>
        <v/>
      </c>
      <c r="AM26" s="11">
        <f>B26</f>
        <v/>
      </c>
      <c r="AN26" s="13" t="n"/>
      <c r="AO26" s="13" t="n"/>
      <c r="AP26" s="13">
        <f>IF(AK26&gt;23.73,IF(Z26&lt;101,IF(Z26&lt;30,IF(Z26&lt;6,3,2),1),0),0)</f>
        <v/>
      </c>
      <c r="AQ26" s="13" t="n">
        <v>1</v>
      </c>
      <c r="AR26" s="11">
        <f>IF(AP26&gt;0,IF(AB26&gt;10,(AB26/Z26),10/Z26),0)</f>
        <v/>
      </c>
      <c r="AS26" s="13" t="n"/>
      <c r="AT26" s="12" t="n">
        <v>2.08681135225376</v>
      </c>
      <c r="AU26" s="12" t="n">
        <v>10.4340567612688</v>
      </c>
      <c r="AV26" s="12" t="n">
        <v>5</v>
      </c>
      <c r="AW26" s="12" t="n"/>
      <c r="AX26" s="12" t="n"/>
      <c r="AY26" s="12" t="n"/>
      <c r="AZ26" s="12" t="n"/>
      <c r="BA26" s="12" t="n"/>
      <c r="BB26" s="12" t="n"/>
      <c r="BC26" s="12" t="n"/>
    </row>
    <row r="27" ht="12.75" customHeight="1">
      <c r="A27" s="17" t="n"/>
      <c r="B27" s="68" t="inlineStr">
        <is>
          <t>Gopal Snacks</t>
        </is>
      </c>
      <c r="C27" s="13" t="n">
        <v>2024</v>
      </c>
      <c r="D27" s="11" t="inlineStr">
        <is>
          <t>Neg</t>
        </is>
      </c>
      <c r="E27" s="13" t="n">
        <v>108</v>
      </c>
      <c r="F27" s="13" t="n">
        <v>346</v>
      </c>
      <c r="G27" s="13">
        <f>100*(F27-E27)/F27</f>
        <v/>
      </c>
      <c r="H27" s="13" t="n">
        <v>461</v>
      </c>
      <c r="I27" s="13" t="n">
        <v>112</v>
      </c>
      <c r="J27" s="13" t="n"/>
      <c r="K27" s="12" t="n">
        <v>9.02</v>
      </c>
      <c r="L27" s="12" t="n"/>
      <c r="M27" s="13" t="n">
        <v>196</v>
      </c>
      <c r="N27" s="13" t="n"/>
      <c r="O27" s="13" t="n">
        <v>1394</v>
      </c>
      <c r="P27" s="13">
        <f>O27/I27</f>
        <v/>
      </c>
      <c r="Q27" s="13" t="n">
        <v>44.5</v>
      </c>
      <c r="R27" s="13" t="n">
        <v>44.5</v>
      </c>
      <c r="S27" s="13" t="n">
        <v>0</v>
      </c>
      <c r="T27" s="13" t="n"/>
      <c r="U27" s="13" t="n"/>
      <c r="V27" s="13" t="n">
        <v>1</v>
      </c>
      <c r="W27" s="13" t="n">
        <v>1</v>
      </c>
      <c r="X27" s="65" t="n">
        <v>18.42</v>
      </c>
      <c r="Y27" s="12" t="n">
        <v>10</v>
      </c>
      <c r="Z27" s="12" t="n">
        <v>4.22</v>
      </c>
      <c r="AA27" s="66">
        <f>IF(X27&lt;33,IF(Y27&gt;(1.1*X27),0,1),1)+IF(Y27&gt;(4*X27),-1,0)</f>
        <v/>
      </c>
      <c r="AB27" s="13" t="n">
        <v>0</v>
      </c>
      <c r="AC27" s="12">
        <f>IF(AB27&gt;9,1,0)+AB27/3</f>
        <v/>
      </c>
      <c r="AD27" s="12" t="n">
        <v>170</v>
      </c>
      <c r="AE27" s="12" t="n">
        <v>3</v>
      </c>
      <c r="AF27" s="12" t="n">
        <v>19</v>
      </c>
      <c r="AG27" s="12">
        <f>IF(G27&lt;0,0,1.2)+IF(G27&lt;14,0,0.9)+IF(P27&lt;0,0.7,0)+IF(P27&lt;6.5,1,0)+IF(P27&lt;23,1,0)+IF(R27&gt;88,0,1)+S27+IF(AD27&lt;20,0,1)+IF(AE27&lt;14,0,1)+IF(AF27&lt;26,0,1)</f>
        <v/>
      </c>
      <c r="AH27" s="12">
        <f>AG27+IF(AG27&gt;6,1,0)+IF(X27&lt;17,0,1)+IF(Y27&lt;11,0,1)+IF(Z27&lt;1.35,0,1)+AC27+AA27</f>
        <v/>
      </c>
      <c r="AI27" s="12" t="n">
        <v>11</v>
      </c>
      <c r="AJ27" s="11">
        <f>IF(AI27&gt;12.8,IF(AI27&gt;15.8,0.9,0.97),1)</f>
        <v/>
      </c>
      <c r="AK27" s="12">
        <f>(AG27*2.6+AH27)*AJ27*AQ27</f>
        <v/>
      </c>
      <c r="AL27" s="11">
        <f>D27</f>
        <v/>
      </c>
      <c r="AM27" s="11">
        <f>B27</f>
        <v/>
      </c>
      <c r="AN27" s="13" t="n"/>
      <c r="AO27" s="13" t="n"/>
      <c r="AP27" s="13">
        <f>IF(AK27&gt;23.73,IF(Z27&lt;101,IF(Z27&lt;30,IF(Z27&lt;6,3,2),1),0),0)</f>
        <v/>
      </c>
      <c r="AQ27" s="13" t="n">
        <v>1</v>
      </c>
      <c r="AR27" s="11">
        <f>IF(AP27&gt;0,IF(AB27&gt;10,(AB27/Z27),10/Z27),0)</f>
        <v/>
      </c>
      <c r="AS27" s="13" t="n"/>
      <c r="AT27" s="12" t="n">
        <v>10</v>
      </c>
      <c r="AU27" s="12" t="n">
        <v>50</v>
      </c>
      <c r="AV27" s="12" t="n">
        <v>5</v>
      </c>
      <c r="AW27" s="12" t="n"/>
      <c r="AX27" s="12" t="n"/>
      <c r="AY27" s="12" t="n"/>
      <c r="AZ27" s="12" t="n"/>
      <c r="BA27" s="12" t="n"/>
      <c r="BB27" s="12" t="n"/>
      <c r="BC27" s="12" t="n"/>
    </row>
    <row r="28" ht="12.75" customHeight="1">
      <c r="A28" s="17" t="n"/>
      <c r="B28" s="68" t="inlineStr">
        <is>
          <t>R K SWAMY</t>
        </is>
      </c>
      <c r="C28" s="13" t="n">
        <v>2024</v>
      </c>
      <c r="D28" s="11" t="inlineStr">
        <is>
          <t>Neg</t>
        </is>
      </c>
      <c r="E28" s="13" t="n">
        <v>4.51</v>
      </c>
      <c r="F28" s="13" t="n">
        <v>140.81</v>
      </c>
      <c r="G28" s="13">
        <f>100*(F28-E28)/F28</f>
        <v/>
      </c>
      <c r="H28" s="13" t="n">
        <v>313.65</v>
      </c>
      <c r="I28" s="13" t="n">
        <v>31.26</v>
      </c>
      <c r="J28" s="13" t="n"/>
      <c r="K28" s="12" t="n">
        <v>7.03</v>
      </c>
      <c r="L28" s="12" t="n"/>
      <c r="M28" s="13" t="n">
        <v>62.91</v>
      </c>
      <c r="N28" s="13" t="n"/>
      <c r="O28" s="13" t="n">
        <v>292.61</v>
      </c>
      <c r="P28" s="13">
        <f>O28/I28</f>
        <v/>
      </c>
      <c r="Q28" s="13" t="n">
        <v>46.5</v>
      </c>
      <c r="R28" s="13" t="n">
        <v>46.5</v>
      </c>
      <c r="S28" s="13" t="n">
        <v>-0.9</v>
      </c>
      <c r="T28" s="13" t="n"/>
      <c r="U28" s="13" t="n"/>
      <c r="V28" s="13" t="n">
        <v>1</v>
      </c>
      <c r="W28" s="13" t="n">
        <v>1</v>
      </c>
      <c r="X28" s="65" t="n">
        <v>20.58</v>
      </c>
      <c r="Y28" s="12" t="n">
        <v>34.24</v>
      </c>
      <c r="Z28" s="12" t="n">
        <v>33.31</v>
      </c>
      <c r="AA28" s="66">
        <f>IF(X28&lt;33,IF(Y28&gt;(1.1*X28),0,1),1)+IF(Y28&gt;(4*X28),-1,0)</f>
        <v/>
      </c>
      <c r="AB28" s="13" t="n">
        <v>6</v>
      </c>
      <c r="AC28" s="12">
        <f>IF(AB28&gt;9,1,0)+AB28/3</f>
        <v/>
      </c>
      <c r="AD28" s="12" t="n">
        <v>62.29</v>
      </c>
      <c r="AE28" s="12" t="n">
        <v>24.85</v>
      </c>
      <c r="AF28" s="12" t="n">
        <v>25.58</v>
      </c>
      <c r="AG28" s="12">
        <f>IF(G28&lt;0,0,1.2)+IF(G28&lt;14,0,0.9)+IF(P28&lt;0,0.7,0)+IF(P28&lt;6.5,1,0)+IF(P28&lt;23,1,0)+IF(R28&gt;88,0,1)+S28+IF(AD28&lt;20,0,1)+IF(AE28&lt;14,0,1)+IF(AF28&lt;26,0,1)</f>
        <v/>
      </c>
      <c r="AH28" s="12">
        <f>AG28+IF(AG28&gt;6,1,0)+IF(X28&lt;17,0,1)+IF(Y28&lt;11,0,1)+IF(Z28&lt;1.35,0,1)+AC28+AA28</f>
        <v/>
      </c>
      <c r="AI28" s="12" t="n">
        <v>11</v>
      </c>
      <c r="AJ28" s="11">
        <f>IF(AI28&gt;12.8,IF(AI28&gt;15.8,0.9,0.97),1)</f>
        <v/>
      </c>
      <c r="AK28" s="12">
        <f>(AG28*2.6+AH28)*AJ28*AQ28</f>
        <v/>
      </c>
      <c r="AL28" s="11">
        <f>D28</f>
        <v/>
      </c>
      <c r="AM28" s="11">
        <f>B28</f>
        <v/>
      </c>
      <c r="AN28" s="13" t="n"/>
      <c r="AO28" s="13" t="n"/>
      <c r="AP28" s="13">
        <f>IF(AK28&gt;23.73,IF(Z28&lt;101,IF(Z28&lt;30,IF(Z28&lt;6,3,2),1),0),0)</f>
        <v/>
      </c>
      <c r="AQ28" s="13" t="n">
        <v>1</v>
      </c>
      <c r="AR28" s="11">
        <f>IF(AP28&gt;0,IF(AB28&gt;10,(AB28/Z28),10/Z28),0)</f>
        <v/>
      </c>
      <c r="AS28" s="13" t="n"/>
      <c r="AT28" s="12" t="n">
        <v>2.92056074766355</v>
      </c>
      <c r="AU28" s="12" t="n">
        <v>14.6028037383178</v>
      </c>
      <c r="AV28" s="12" t="n">
        <v>5</v>
      </c>
      <c r="AW28" s="12" t="n"/>
      <c r="AX28" s="12" t="n"/>
      <c r="AY28" s="12" t="n">
        <v>-13.5</v>
      </c>
      <c r="AZ28" s="12" t="n"/>
      <c r="BA28" s="12" t="n"/>
      <c r="BB28" s="12" t="n"/>
      <c r="BC28" s="12" t="n"/>
    </row>
    <row r="29" ht="12.75" customHeight="1">
      <c r="A29" s="17" t="n"/>
      <c r="B29" s="68" t="inlineStr">
        <is>
          <t>Capital Small Finance</t>
        </is>
      </c>
      <c r="C29" s="13" t="n">
        <v>2024</v>
      </c>
      <c r="D29" s="11" t="inlineStr">
        <is>
          <t>Neg</t>
        </is>
      </c>
      <c r="E29" s="13" t="n">
        <v>472.25</v>
      </c>
      <c r="F29" s="13" t="n">
        <v>2430</v>
      </c>
      <c r="G29" s="13">
        <f>100*(F29-E29)/F29</f>
        <v/>
      </c>
      <c r="H29" s="13" t="n">
        <v>9295</v>
      </c>
      <c r="I29" s="13" t="n">
        <v>93.59999999999999</v>
      </c>
      <c r="J29" s="13" t="n"/>
      <c r="K29" s="12" t="n">
        <v>26.48</v>
      </c>
      <c r="L29" s="12" t="n"/>
      <c r="M29" s="13" t="n">
        <v>310.79</v>
      </c>
      <c r="N29" s="13" t="n"/>
      <c r="O29" s="13" t="n">
        <v>908.5</v>
      </c>
      <c r="P29" s="13">
        <f>O29/I29</f>
        <v/>
      </c>
      <c r="Q29" s="13" t="n">
        <v>17.68</v>
      </c>
      <c r="R29" s="13" t="n">
        <v>17.68</v>
      </c>
      <c r="S29" s="13" t="n">
        <v>-0.9</v>
      </c>
      <c r="T29" s="13" t="n"/>
      <c r="U29" s="13" t="n"/>
      <c r="V29" s="13" t="n">
        <v>1</v>
      </c>
      <c r="W29" s="13" t="n">
        <v>1</v>
      </c>
      <c r="X29" s="65" t="n">
        <v>1.21</v>
      </c>
      <c r="Y29" s="12" t="n">
        <v>2.25</v>
      </c>
      <c r="Z29" s="12" t="n">
        <v>1.97</v>
      </c>
      <c r="AA29" s="66">
        <f>IF(X29&lt;33,IF(Y29&gt;(1.1*X29),0,1),1)+IF(Y29&gt;(4*X29),-1,0)</f>
        <v/>
      </c>
      <c r="AB29" s="13" t="n">
        <v>0</v>
      </c>
      <c r="AC29" s="12">
        <f>IF(AB29&gt;9,1,0)+AB29/3</f>
        <v/>
      </c>
      <c r="AD29" s="12" t="n">
        <v>49.6</v>
      </c>
      <c r="AE29" s="12" t="n">
        <v>43.7</v>
      </c>
      <c r="AF29" s="12" t="n">
        <v>8.199999999999999</v>
      </c>
      <c r="AG29" s="12">
        <f>IF(G29&lt;0,0,1.2)+IF(G29&lt;14,0,0.9)+IF(P29&lt;0,0.7,0)+IF(P29&lt;6.5,1,0)+IF(P29&lt;23,1,0)+IF(R29&gt;88,0,1)+S29+IF(AD29&lt;20,0,1)+IF(AE29&lt;14,0,1)+IF(AF29&lt;26,0,1)</f>
        <v/>
      </c>
      <c r="AH29" s="12">
        <f>AG29+IF(AG29&gt;6,1,0)+IF(X29&lt;17,0,1)+IF(Y29&lt;11,0,1)+IF(Z29&lt;1.35,0,1)+AC29+AA29</f>
        <v/>
      </c>
      <c r="AI29" s="12" t="n">
        <v>11</v>
      </c>
      <c r="AJ29" s="11">
        <f>IF(AI29&gt;12.8,IF(AI29&gt;15.8,0.9,0.97),1)</f>
        <v/>
      </c>
      <c r="AK29" s="12">
        <f>(AG29*2.6+AH29)*AJ29*AQ29</f>
        <v/>
      </c>
      <c r="AL29" s="11">
        <f>D29</f>
        <v/>
      </c>
      <c r="AM29" s="11">
        <f>B29</f>
        <v/>
      </c>
      <c r="AN29" s="13" t="n"/>
      <c r="AO29" s="13" t="n"/>
      <c r="AP29" s="13">
        <f>IF(AK29&gt;23.73,IF(Z29&lt;101,IF(Z29&lt;30,IF(Z29&lt;6,3,2),1),0),0)</f>
        <v/>
      </c>
      <c r="AQ29" s="13" t="n">
        <v>1</v>
      </c>
      <c r="AR29" s="11">
        <f>IF(AP29&gt;0,IF(AB29&gt;10,(AB29/Z29),10/Z29),0)</f>
        <v/>
      </c>
      <c r="AS29" s="13" t="n"/>
      <c r="AT29" s="12" t="n">
        <v>44.4444444444444</v>
      </c>
      <c r="AU29" s="12" t="n">
        <v>222.222222222222</v>
      </c>
      <c r="AV29" s="12" t="n">
        <v>5</v>
      </c>
      <c r="AW29" s="12" t="n"/>
      <c r="AX29" s="12" t="n"/>
      <c r="AY29" s="12" t="n">
        <v>-8</v>
      </c>
      <c r="AZ29" s="12" t="n"/>
      <c r="BA29" s="12" t="n"/>
      <c r="BB29" s="12" t="n"/>
      <c r="BC29" s="12" t="n"/>
    </row>
    <row r="30" ht="12.75" customHeight="1">
      <c r="A30" s="17" t="n"/>
      <c r="B30" s="68" t="inlineStr">
        <is>
          <t>EPACK Durable</t>
        </is>
      </c>
      <c r="C30" s="13" t="n">
        <v>2024</v>
      </c>
      <c r="D30" s="11" t="inlineStr">
        <is>
          <t>Neg</t>
        </is>
      </c>
      <c r="E30" s="13" t="n">
        <v>492.45</v>
      </c>
      <c r="F30" s="13" t="n">
        <v>313.62</v>
      </c>
      <c r="G30" s="13">
        <f>100*(F30-E30)/F30</f>
        <v/>
      </c>
      <c r="H30" s="13" t="n">
        <v>1464.16</v>
      </c>
      <c r="I30" s="13" t="n">
        <v>31.97</v>
      </c>
      <c r="J30" s="13" t="n"/>
      <c r="K30" s="12" t="n">
        <v>4.64</v>
      </c>
      <c r="L30" s="12" t="n"/>
      <c r="M30" s="13" t="n">
        <v>102.52</v>
      </c>
      <c r="N30" s="13" t="n"/>
      <c r="O30" s="13" t="n">
        <v>1539</v>
      </c>
      <c r="P30" s="13">
        <f>O30/I30</f>
        <v/>
      </c>
      <c r="Q30" s="13" t="n">
        <v>49.56</v>
      </c>
      <c r="R30" s="13" t="n">
        <v>49.56</v>
      </c>
      <c r="S30" s="13" t="n">
        <v>0</v>
      </c>
      <c r="T30" s="13" t="n"/>
      <c r="U30" s="13" t="n"/>
      <c r="V30" s="13" t="n">
        <v>1</v>
      </c>
      <c r="W30" s="13" t="n">
        <v>1</v>
      </c>
      <c r="X30" s="65" t="n">
        <v>25.59</v>
      </c>
      <c r="Y30" s="12" t="n">
        <v>29.07</v>
      </c>
      <c r="Z30" s="12" t="n">
        <v>6.5</v>
      </c>
      <c r="AA30" s="66">
        <f>IF(X30&lt;33,IF(Y30&gt;(1.1*X30),0,1),1)+IF(Y30&gt;(4*X30),-1,0)</f>
        <v/>
      </c>
      <c r="AB30" s="13" t="n">
        <v>0</v>
      </c>
      <c r="AC30" s="12">
        <f>IF(AB30&gt;9,1,0)+AB30/3</f>
        <v/>
      </c>
      <c r="AD30" s="12" t="n">
        <v>83.39</v>
      </c>
      <c r="AE30" s="12" t="n">
        <v>66.09</v>
      </c>
      <c r="AF30" s="12" t="n">
        <v>157.3</v>
      </c>
      <c r="AG30" s="12">
        <f>IF(G30&lt;0,0,1.2)+IF(G30&lt;14,0,0.9)+IF(P30&lt;0,0.7,0)+IF(P30&lt;6.5,1,0)+IF(P30&lt;23,1,0)+IF(R30&gt;88,0,1)+S30+IF(AD30&lt;20,0,1)+IF(AE30&lt;14,0,1)+IF(AF30&lt;26,0,1)</f>
        <v/>
      </c>
      <c r="AH30" s="12">
        <f>AG30+IF(AG30&gt;6,1,0)+IF(X30&lt;17,0,1)+IF(Y30&lt;11,0,1)+IF(Z30&lt;1.35,0,1)+AC30+AA30</f>
        <v/>
      </c>
      <c r="AI30" s="12" t="n">
        <v>11</v>
      </c>
      <c r="AJ30" s="11">
        <f>IF(AI30&gt;12.8,IF(AI30&gt;15.8,0.9,0.97),1)</f>
        <v/>
      </c>
      <c r="AK30" s="12">
        <f>(AG30*2.6+AH30)*AJ30*AQ30</f>
        <v/>
      </c>
      <c r="AL30" s="11">
        <f>D30</f>
        <v/>
      </c>
      <c r="AM30" s="11">
        <f>B30</f>
        <v/>
      </c>
      <c r="AN30" s="13" t="n"/>
      <c r="AO30" s="13" t="n"/>
      <c r="AP30" s="13">
        <f>IF(AK30&gt;23.73,IF(Z30&lt;101,IF(Z30&lt;30,IF(Z30&lt;6,3,2),1),0),0)</f>
        <v/>
      </c>
      <c r="AQ30" s="13" t="n">
        <v>1</v>
      </c>
      <c r="AR30" s="11">
        <f>IF(AP30&gt;0,IF(AB30&gt;10,(AB30/Z30),10/Z30),0)</f>
        <v/>
      </c>
      <c r="AS30" s="13" t="n"/>
      <c r="AT30" s="12" t="n">
        <v>3.43997248022016</v>
      </c>
      <c r="AU30" s="12" t="n">
        <v>17.1998624011008</v>
      </c>
      <c r="AV30" s="12" t="n">
        <v>5</v>
      </c>
      <c r="AW30" s="12" t="n"/>
      <c r="AX30" s="12" t="n"/>
      <c r="AY30" s="12" t="n"/>
      <c r="AZ30" s="12" t="n"/>
      <c r="BA30" s="12" t="n"/>
      <c r="BB30" s="12" t="n"/>
      <c r="BC30" s="12" t="n"/>
    </row>
    <row r="31" ht="12.75" customHeight="1">
      <c r="A31" s="17" t="n"/>
      <c r="B31" s="68" t="inlineStr">
        <is>
          <t>Om Freight Forwarders</t>
        </is>
      </c>
      <c r="C31" s="13" t="n">
        <v>2025</v>
      </c>
      <c r="D31" s="11" t="inlineStr">
        <is>
          <t>Neg</t>
        </is>
      </c>
      <c r="E31" s="13" t="n">
        <v>26.95</v>
      </c>
      <c r="F31" s="13" t="n">
        <v>173.47</v>
      </c>
      <c r="G31" s="13">
        <f>100*(F31-E31)/F31</f>
        <v/>
      </c>
      <c r="H31" s="13" t="n">
        <v>312.02</v>
      </c>
      <c r="I31" s="13" t="n">
        <v>21.99</v>
      </c>
      <c r="J31" s="13" t="n"/>
      <c r="K31" s="12" t="n">
        <v>6.9</v>
      </c>
      <c r="L31" s="12" t="n"/>
      <c r="M31" s="13" t="n">
        <v>37.71</v>
      </c>
      <c r="N31" s="13" t="n"/>
      <c r="O31" s="13" t="n">
        <v>490.14</v>
      </c>
      <c r="P31" s="13">
        <f>O31/I31</f>
        <v/>
      </c>
      <c r="Q31" s="13" t="n">
        <v>19.56</v>
      </c>
      <c r="R31" s="13" t="n">
        <v>19.56</v>
      </c>
      <c r="S31" s="13" t="n">
        <v>0</v>
      </c>
      <c r="T31" s="13" t="n"/>
      <c r="U31" s="13" t="n"/>
      <c r="V31" s="13" t="n">
        <v>1</v>
      </c>
      <c r="W31" s="13" t="n">
        <v>1</v>
      </c>
      <c r="X31" s="65" t="n">
        <v>3.97</v>
      </c>
      <c r="Y31" s="12" t="n">
        <v>7.39</v>
      </c>
      <c r="Z31" s="12" t="n">
        <v>2.75</v>
      </c>
      <c r="AA31" s="66">
        <f>IF(X31&lt;33,IF(Y31&gt;(1.1*X31),0,1),1)+IF(Y31&gt;(4*X31),-1,0)</f>
        <v/>
      </c>
      <c r="AB31" s="13" t="n">
        <v>-2.5</v>
      </c>
      <c r="AC31" s="12">
        <f>IF(AB31&gt;9,1,0)+AB31/3</f>
        <v/>
      </c>
      <c r="AD31" s="12" t="n">
        <v>112.51</v>
      </c>
      <c r="AE31" s="12" t="n">
        <v>19.42</v>
      </c>
      <c r="AF31" s="12" t="n">
        <v>14.42</v>
      </c>
      <c r="AG31" s="12">
        <f>IF(G31&lt;0,0,1.2)+IF(G31&lt;14,0,0.9)+IF(P31&lt;0,0.7,0)+IF(P31&lt;6.5,1,0)+IF(P31&lt;23,1,0)+IF(R31&gt;88,0,1)+S31+IF(AD31&lt;20,0,1)+IF(AE31&lt;14,0,1)+IF(AF31&lt;26,0,1)</f>
        <v/>
      </c>
      <c r="AH31" s="12">
        <f>AG31+IF(AG31&gt;6,1,0)+IF(X31&lt;17,0,1)+IF(Y31&lt;11,0,1)+IF(Z31&lt;1.35,0,1)+AC31+AA31</f>
        <v/>
      </c>
      <c r="AI31" s="12" t="n">
        <v>11</v>
      </c>
      <c r="AJ31" s="11">
        <f>IF(AI31&gt;12.8,IF(AI31&gt;15.8,0.9,0.97),1)</f>
        <v/>
      </c>
      <c r="AK31" s="12">
        <f>(AG31*2.6+AH31)*AJ31*AQ31</f>
        <v/>
      </c>
      <c r="AL31" s="11">
        <f>D31</f>
        <v/>
      </c>
      <c r="AM31" s="11">
        <f>B31</f>
        <v/>
      </c>
      <c r="AN31" s="13" t="n"/>
      <c r="AO31" s="13" t="n"/>
      <c r="AP31" s="13">
        <f>IF(AK31&gt;23.73,IF(Z31&lt;101,IF(Z31&lt;30,IF(Z31&lt;6,3,2),1),0),0)</f>
        <v/>
      </c>
      <c r="AQ31" s="13" t="n">
        <v>1</v>
      </c>
      <c r="AR31" s="11">
        <f>IF(AP31&gt;0,IF(AB31&gt;10,(AB31/Z31),10/Z31),0)</f>
        <v/>
      </c>
      <c r="AS31" s="13" t="n"/>
      <c r="AT31" s="12" t="n">
        <v>13.531799729364</v>
      </c>
      <c r="AU31" s="12" t="n">
        <v>67.65899864682</v>
      </c>
      <c r="AV31" s="12" t="n">
        <v>5</v>
      </c>
      <c r="AW31" s="12" t="n"/>
      <c r="AX31" s="12" t="n"/>
      <c r="AY31" s="12" t="n"/>
      <c r="AZ31" s="12" t="n"/>
      <c r="BA31" s="12" t="n"/>
      <c r="BB31" s="12" t="n"/>
      <c r="BC31" s="12" t="n"/>
    </row>
    <row r="32" ht="12.75" customHeight="1">
      <c r="A32" s="17" t="n"/>
      <c r="B32" s="68" t="inlineStr">
        <is>
          <t>Glottis</t>
        </is>
      </c>
      <c r="C32" s="13" t="n">
        <v>2025</v>
      </c>
      <c r="D32" s="11" t="inlineStr">
        <is>
          <t>Neg</t>
        </is>
      </c>
      <c r="E32" s="13" t="n">
        <v>21.67</v>
      </c>
      <c r="F32" s="13" t="n">
        <v>98.5</v>
      </c>
      <c r="G32" s="13">
        <f>100*(F32-E32)/F32</f>
        <v/>
      </c>
      <c r="H32" s="13" t="n">
        <v>120.17</v>
      </c>
      <c r="I32" s="13" t="n">
        <v>56.14</v>
      </c>
      <c r="J32" s="13" t="n"/>
      <c r="K32" s="12" t="n">
        <v>7.02</v>
      </c>
      <c r="L32" s="12" t="n"/>
      <c r="M32" s="13" t="n">
        <v>78.59999999999999</v>
      </c>
      <c r="N32" s="13" t="n"/>
      <c r="O32" s="13" t="n">
        <v>942.55</v>
      </c>
      <c r="P32" s="13">
        <f>O32/I32</f>
        <v/>
      </c>
      <c r="Q32" s="13" t="n">
        <v>18.37</v>
      </c>
      <c r="R32" s="13" t="n">
        <v>18.37</v>
      </c>
      <c r="S32" s="13" t="n">
        <v>-0.9</v>
      </c>
      <c r="T32" s="13" t="n"/>
      <c r="U32" s="13" t="n"/>
      <c r="V32" s="13" t="n">
        <v>1</v>
      </c>
      <c r="W32" s="13" t="n">
        <v>1</v>
      </c>
      <c r="X32" s="65" t="n">
        <v>1.84</v>
      </c>
      <c r="Y32" s="12" t="n">
        <v>3.08</v>
      </c>
      <c r="Z32" s="12" t="n">
        <v>1.47</v>
      </c>
      <c r="AA32" s="66">
        <f>IF(X32&lt;33,IF(Y32&gt;(1.1*X32),0,1),1)+IF(Y32&gt;(4*X32),-1,0)</f>
        <v/>
      </c>
      <c r="AB32" s="13" t="n">
        <v>1</v>
      </c>
      <c r="AC32" s="12">
        <f>IF(AB32&gt;9,1,0)+AB32/3</f>
        <v/>
      </c>
      <c r="AD32" s="12" t="n">
        <v>81.3</v>
      </c>
      <c r="AE32" s="12" t="n">
        <v>89.3</v>
      </c>
      <c r="AF32" s="12" t="n">
        <v>80</v>
      </c>
      <c r="AG32" s="12">
        <f>IF(G32&lt;0,0,1.2)+IF(G32&lt;14,0,0.9)+IF(P32&lt;0,0.7,0)+IF(P32&lt;6.5,1,0)+IF(P32&lt;23,1,0)+IF(R32&gt;88,0,1)+S32+IF(AD32&lt;20,0,1)+IF(AE32&lt;14,0,1)+IF(AF32&lt;26,0,1)</f>
        <v/>
      </c>
      <c r="AH32" s="12">
        <f>AG32+IF(AG32&gt;6,1,0)+IF(X32&lt;17,0,1)+IF(Y32&lt;11,0,1)+IF(Z32&lt;1.35,0,1)+AC32+AA32</f>
        <v/>
      </c>
      <c r="AI32" s="12" t="n">
        <v>11</v>
      </c>
      <c r="AJ32" s="11">
        <f>IF(AI32&gt;12.8,IF(AI32&gt;15.8,0.9,0.97),1)</f>
        <v/>
      </c>
      <c r="AK32" s="12">
        <f>(AG32*2.6+AH32)*AJ32*AQ32</f>
        <v/>
      </c>
      <c r="AL32" s="11">
        <f>D32</f>
        <v/>
      </c>
      <c r="AM32" s="11">
        <f>B32</f>
        <v/>
      </c>
      <c r="AN32" s="13" t="n"/>
      <c r="AO32" s="13" t="n"/>
      <c r="AP32" s="13">
        <f>IF(AK32&gt;23.73,IF(Z32&lt;101,IF(Z32&lt;30,IF(Z32&lt;6,3,2),1),0),0)</f>
        <v/>
      </c>
      <c r="AQ32" s="13" t="n">
        <v>1</v>
      </c>
      <c r="AR32" s="11">
        <f>IF(AP32&gt;0,IF(AB32&gt;10,(AB32/Z32),10/Z32),0)</f>
        <v/>
      </c>
      <c r="AS32" s="13" t="n"/>
      <c r="AT32" s="12" t="n">
        <v>32.4675324675325</v>
      </c>
      <c r="AU32" s="12" t="n">
        <v>162.337662337662</v>
      </c>
      <c r="AV32" s="12" t="n">
        <v>5</v>
      </c>
      <c r="AW32" s="12" t="n"/>
      <c r="AX32" s="12" t="n"/>
      <c r="AY32" s="12" t="n">
        <v>-34</v>
      </c>
      <c r="AZ32" s="12" t="n"/>
      <c r="BA32" s="12" t="n"/>
      <c r="BB32" s="12" t="n"/>
      <c r="BC32" s="12" t="n"/>
    </row>
    <row r="33" ht="12.75" customHeight="1">
      <c r="A33" s="17" t="n"/>
      <c r="B33" s="68" t="inlineStr">
        <is>
          <t>Epack Prefab Technologies</t>
        </is>
      </c>
      <c r="C33" s="13" t="n">
        <v>2025</v>
      </c>
      <c r="D33" s="11" t="inlineStr">
        <is>
          <t>Neg</t>
        </is>
      </c>
      <c r="E33" s="13" t="n">
        <v>318.53</v>
      </c>
      <c r="F33" s="13" t="n">
        <v>353.92</v>
      </c>
      <c r="G33" s="13">
        <f>100*(F33-E33)/F33</f>
        <v/>
      </c>
      <c r="H33" s="13" t="n">
        <v>931.02</v>
      </c>
      <c r="I33" s="13" t="n">
        <v>59.3</v>
      </c>
      <c r="J33" s="13" t="n"/>
      <c r="K33" s="12" t="n">
        <v>7.65</v>
      </c>
      <c r="L33" s="12" t="n"/>
      <c r="M33" s="13" t="n">
        <v>117.79</v>
      </c>
      <c r="N33" s="13" t="n"/>
      <c r="O33" s="13" t="n">
        <v>1134</v>
      </c>
      <c r="P33" s="13">
        <f>O33/I33</f>
        <v/>
      </c>
      <c r="Q33" s="13" t="n">
        <v>26.67</v>
      </c>
      <c r="R33" s="13" t="n">
        <v>26.67</v>
      </c>
      <c r="S33" s="13" t="n">
        <v>-0.9</v>
      </c>
      <c r="T33" s="13" t="n"/>
      <c r="U33" s="13" t="n"/>
      <c r="V33" s="13" t="n">
        <v>1</v>
      </c>
      <c r="W33" s="13" t="n">
        <v>1</v>
      </c>
      <c r="X33" s="65" t="n">
        <v>5.09</v>
      </c>
      <c r="Y33" s="12" t="n">
        <v>3.79</v>
      </c>
      <c r="Z33" s="12" t="n">
        <v>1.74</v>
      </c>
      <c r="AA33" s="66">
        <f>IF(X33&lt;33,IF(Y33&gt;(1.1*X33),0,1),1)+IF(Y33&gt;(4*X33),-1,0)</f>
        <v/>
      </c>
      <c r="AB33" s="13" t="n">
        <v>1</v>
      </c>
      <c r="AC33" s="12">
        <f>IF(AB33&gt;9,1,0)+AB33/3</f>
        <v/>
      </c>
      <c r="AD33" s="12" t="n">
        <v>38</v>
      </c>
      <c r="AE33" s="12" t="n">
        <v>26</v>
      </c>
      <c r="AF33" s="12" t="n">
        <v>109</v>
      </c>
      <c r="AG33" s="12">
        <f>IF(G33&lt;0,0,1.2)+IF(G33&lt;14,0,0.9)+IF(P33&lt;0,0.7,0)+IF(P33&lt;6.5,1,0)+IF(P33&lt;23,1,0)+IF(R33&gt;88,0,1)+S33+IF(AD33&lt;20,0,1)+IF(AE33&lt;14,0,1)+IF(AF33&lt;26,0,1)</f>
        <v/>
      </c>
      <c r="AH33" s="12">
        <f>AG33+IF(AG33&gt;6,1,0)+IF(X33&lt;17,0,1)+IF(Y33&lt;11,0,1)+IF(Z33&lt;1.35,0,1)+AC33+AA33</f>
        <v/>
      </c>
      <c r="AI33" s="12" t="n">
        <v>11</v>
      </c>
      <c r="AJ33" s="11">
        <f>IF(AI33&gt;12.8,IF(AI33&gt;15.8,0.9,0.97),1)</f>
        <v/>
      </c>
      <c r="AK33" s="12">
        <f>(AG33*2.6+AH33)*AJ33*AQ33</f>
        <v/>
      </c>
      <c r="AL33" s="11">
        <f>D33</f>
        <v/>
      </c>
      <c r="AM33" s="11">
        <f>B33</f>
        <v/>
      </c>
      <c r="AN33" s="13" t="n"/>
      <c r="AO33" s="13" t="n"/>
      <c r="AP33" s="13">
        <f>IF(AK33&gt;23.73,IF(Z33&lt;101,IF(Z33&lt;30,IF(Z33&lt;6,3,2),1),0),0)</f>
        <v/>
      </c>
      <c r="AQ33" s="13" t="n">
        <v>1</v>
      </c>
      <c r="AR33" s="11">
        <f>IF(AP33&gt;0,IF(AB33&gt;10,(AB33/Z33),10/Z33),0)</f>
        <v/>
      </c>
      <c r="AS33" s="13" t="n"/>
      <c r="AT33" s="12" t="n">
        <v>26.3852242744063</v>
      </c>
      <c r="AU33" s="12" t="n">
        <v>131.926121372032</v>
      </c>
      <c r="AV33" s="12" t="n">
        <v>5</v>
      </c>
      <c r="AW33" s="12" t="n"/>
      <c r="AX33" s="12" t="n"/>
      <c r="AY33" s="12" t="n">
        <v>-9</v>
      </c>
      <c r="AZ33" s="12" t="n"/>
      <c r="BA33" s="12" t="n"/>
      <c r="BB33" s="12" t="n">
        <v>60</v>
      </c>
      <c r="BC33" s="12" t="n"/>
    </row>
    <row r="34" ht="12.75" customHeight="1">
      <c r="A34" s="17" t="n"/>
      <c r="B34" s="68" t="inlineStr">
        <is>
          <t>BMW Ventures</t>
        </is>
      </c>
      <c r="C34" s="13" t="n">
        <v>2025</v>
      </c>
      <c r="D34" s="11" t="inlineStr">
        <is>
          <t>Neg</t>
        </is>
      </c>
      <c r="E34" s="13" t="n">
        <v>428.39</v>
      </c>
      <c r="F34" s="13" t="n">
        <v>210.12</v>
      </c>
      <c r="G34" s="13">
        <f>100*(F34-E34)/F34</f>
        <v/>
      </c>
      <c r="H34" s="13" t="n">
        <v>676.09</v>
      </c>
      <c r="I34" s="13" t="n">
        <v>32.82</v>
      </c>
      <c r="J34" s="13" t="n"/>
      <c r="K34" s="12" t="n">
        <v>5.18</v>
      </c>
      <c r="L34" s="12" t="n"/>
      <c r="M34" s="13" t="n">
        <v>82</v>
      </c>
      <c r="N34" s="13" t="n"/>
      <c r="O34" s="13" t="n">
        <v>2062</v>
      </c>
      <c r="P34" s="13">
        <f>O34/I34</f>
        <v/>
      </c>
      <c r="Q34" s="13" t="n">
        <v>26.2</v>
      </c>
      <c r="R34" s="13" t="n">
        <v>26.2</v>
      </c>
      <c r="S34" s="13" t="n">
        <v>0</v>
      </c>
      <c r="T34" s="13" t="n"/>
      <c r="U34" s="13" t="n"/>
      <c r="V34" s="13" t="n">
        <v>1</v>
      </c>
      <c r="W34" s="13" t="n">
        <v>1</v>
      </c>
      <c r="X34" s="65" t="n">
        <v>0.23</v>
      </c>
      <c r="Y34" s="12" t="n">
        <v>5.62</v>
      </c>
      <c r="Z34" s="12" t="n">
        <v>17.55</v>
      </c>
      <c r="AA34" s="66">
        <f>IF(X34&lt;33,IF(Y34&gt;(1.1*X34),0,1),1)+IF(Y34&gt;(4*X34),-1,0)</f>
        <v/>
      </c>
      <c r="AB34" s="13" t="n">
        <v>0</v>
      </c>
      <c r="AC34" s="12">
        <f>IF(AB34&gt;9,1,0)+AB34/3</f>
        <v/>
      </c>
      <c r="AD34" s="12" t="n">
        <v>10</v>
      </c>
      <c r="AE34" s="12" t="n">
        <v>6</v>
      </c>
      <c r="AF34" s="12" t="n">
        <v>12.5</v>
      </c>
      <c r="AG34" s="12">
        <f>IF(G34&lt;0,0,1.2)+IF(G34&lt;14,0,0.9)+IF(P34&lt;0,0.7,0)+IF(P34&lt;6.5,1,0)+IF(P34&lt;23,1,0)+IF(R34&gt;88,0,1)+S34+IF(AD34&lt;20,0,1)+IF(AE34&lt;14,0,1)+IF(AF34&lt;26,0,1)</f>
        <v/>
      </c>
      <c r="AH34" s="12">
        <f>AG34+IF(AG34&gt;6,1,0)+IF(X34&lt;17,0,1)+IF(Y34&lt;11,0,1)+IF(Z34&lt;1.35,0,1)+AC34+AA34</f>
        <v/>
      </c>
      <c r="AI34" s="12" t="n">
        <v>11</v>
      </c>
      <c r="AJ34" s="11">
        <f>IF(AI34&gt;12.8,IF(AI34&gt;15.8,0.9,0.97),1)</f>
        <v/>
      </c>
      <c r="AK34" s="12">
        <f>(AG34*2.6+AH34)*AJ34*AQ34</f>
        <v/>
      </c>
      <c r="AL34" s="11">
        <f>D34</f>
        <v/>
      </c>
      <c r="AM34" s="11">
        <f>B34</f>
        <v/>
      </c>
      <c r="AN34" s="13" t="n"/>
      <c r="AO34" s="13" t="n"/>
      <c r="AP34" s="13">
        <f>IF(AK34&gt;23.73,IF(Z34&lt;101,IF(Z34&lt;30,IF(Z34&lt;6,3,2),1),0),0)</f>
        <v/>
      </c>
      <c r="AQ34" s="13" t="n">
        <v>1</v>
      </c>
      <c r="AR34" s="11">
        <f>IF(AP34&gt;0,IF(AB34&gt;10,(AB34/Z34),10/Z34),0)</f>
        <v/>
      </c>
      <c r="AS34" s="13" t="n"/>
      <c r="AT34" s="12" t="n">
        <v>17.7935943060498</v>
      </c>
      <c r="AU34" s="12" t="n">
        <v>88.9679715302491</v>
      </c>
      <c r="AV34" s="12" t="n">
        <v>5</v>
      </c>
      <c r="AW34" s="12" t="n"/>
      <c r="AX34" s="12" t="n"/>
      <c r="AY34" s="12" t="n"/>
      <c r="AZ34" s="12" t="n"/>
      <c r="BA34" s="12" t="n"/>
      <c r="BB34" s="12" t="n"/>
      <c r="BC34" s="12" t="n"/>
    </row>
    <row r="35" ht="12.75" customHeight="1">
      <c r="A35" s="17" t="n"/>
      <c r="B35" s="68" t="inlineStr">
        <is>
          <t>Ganesh Consumer Products</t>
        </is>
      </c>
      <c r="C35" s="13" t="n">
        <v>2025</v>
      </c>
      <c r="D35" s="11" t="inlineStr">
        <is>
          <t>Neg</t>
        </is>
      </c>
      <c r="E35" s="13" t="n">
        <v>50</v>
      </c>
      <c r="F35" s="13" t="n">
        <v>224.13</v>
      </c>
      <c r="G35" s="13">
        <f>100*(F35-E35)/F35</f>
        <v/>
      </c>
      <c r="H35" s="13" t="n">
        <v>341.74</v>
      </c>
      <c r="I35" s="13" t="n">
        <v>35.4</v>
      </c>
      <c r="J35" s="13" t="n"/>
      <c r="K35" s="12" t="n">
        <v>8.800000000000001</v>
      </c>
      <c r="L35" s="12" t="n"/>
      <c r="M35" s="13" t="n">
        <v>73.2</v>
      </c>
      <c r="N35" s="13" t="n"/>
      <c r="O35" s="13" t="n">
        <v>850.5</v>
      </c>
      <c r="P35" s="13">
        <f>O35/I35</f>
        <v/>
      </c>
      <c r="Q35" s="13" t="n">
        <v>36.7</v>
      </c>
      <c r="R35" s="13" t="n">
        <v>36.7</v>
      </c>
      <c r="S35" s="13" t="n">
        <v>0</v>
      </c>
      <c r="T35" s="13" t="n"/>
      <c r="U35" s="13" t="n"/>
      <c r="V35" s="13" t="n">
        <v>1</v>
      </c>
      <c r="W35" s="13" t="n">
        <v>1</v>
      </c>
      <c r="X35" s="65" t="n">
        <v>4.03</v>
      </c>
      <c r="Y35" s="12" t="n">
        <v>4.41</v>
      </c>
      <c r="Z35" s="12" t="n">
        <v>1.17</v>
      </c>
      <c r="AA35" s="66">
        <f>IF(X35&lt;33,IF(Y35&gt;(1.1*X35),0,1),1)+IF(Y35&gt;(4*X35),-1,0)</f>
        <v/>
      </c>
      <c r="AB35" s="13" t="n">
        <v>0</v>
      </c>
      <c r="AC35" s="12">
        <f>IF(AB35&gt;9,1,0)+AB35/3</f>
        <v/>
      </c>
      <c r="AD35" s="12" t="n">
        <v>31.1</v>
      </c>
      <c r="AE35" s="12" t="n">
        <v>12</v>
      </c>
      <c r="AF35" s="12" t="n">
        <v>2.5</v>
      </c>
      <c r="AG35" s="12">
        <f>IF(G35&lt;0,0,1.2)+IF(G35&lt;14,0,0.9)+IF(P35&lt;0,0.7,0)+IF(P35&lt;6.5,1,0)+IF(P35&lt;23,1,0)+IF(R35&gt;88,0,1)+S35+IF(AD35&lt;20,0,1)+IF(AE35&lt;14,0,1)+IF(AF35&lt;26,0,1)</f>
        <v/>
      </c>
      <c r="AH35" s="12">
        <f>AG35+IF(AG35&gt;6,1,0)+IF(X35&lt;17,0,1)+IF(Y35&lt;11,0,1)+IF(Z35&lt;1.35,0,1)+AC35+AA35</f>
        <v/>
      </c>
      <c r="AI35" s="12" t="n">
        <v>11</v>
      </c>
      <c r="AJ35" s="11">
        <f>IF(AI35&gt;12.8,IF(AI35&gt;15.8,0.9,0.97),1)</f>
        <v/>
      </c>
      <c r="AK35" s="12">
        <f>(AG35*2.6+AH35)*AJ35*AQ35</f>
        <v/>
      </c>
      <c r="AL35" s="11">
        <f>D35</f>
        <v/>
      </c>
      <c r="AM35" s="11">
        <f>B35</f>
        <v/>
      </c>
      <c r="AN35" s="13" t="n"/>
      <c r="AO35" s="13" t="n"/>
      <c r="AP35" s="13">
        <f>IF(AK35&gt;23.73,IF(Z35&lt;101,IF(Z35&lt;30,IF(Z35&lt;6,3,2),1),0),0)</f>
        <v/>
      </c>
      <c r="AQ35" s="13" t="n">
        <v>1</v>
      </c>
      <c r="AR35" s="11">
        <f>IF(AP35&gt;0,IF(AB35&gt;10,(AB35/Z35),10/Z35),0)</f>
        <v/>
      </c>
      <c r="AS35" s="13" t="n"/>
      <c r="AT35" s="12" t="n">
        <v>22.6757369614513</v>
      </c>
      <c r="AU35" s="12" t="n">
        <v>113.378684807256</v>
      </c>
      <c r="AV35" s="12" t="n">
        <v>5</v>
      </c>
      <c r="AW35" s="12" t="n"/>
      <c r="AX35" s="12" t="n"/>
      <c r="AY35" s="12" t="n"/>
      <c r="AZ35" s="12" t="n"/>
      <c r="BA35" s="12" t="n"/>
      <c r="BB35" s="12" t="n"/>
      <c r="BC35" s="12" t="n"/>
    </row>
    <row r="36" ht="12.75" customHeight="1">
      <c r="A36" s="17" t="n"/>
      <c r="B36" s="68" t="inlineStr">
        <is>
          <t>Lami India Finance</t>
        </is>
      </c>
      <c r="C36" s="13" t="n">
        <v>2025</v>
      </c>
      <c r="D36" s="11" t="inlineStr">
        <is>
          <t>Neg</t>
        </is>
      </c>
      <c r="E36" s="13" t="n">
        <v>1137.06</v>
      </c>
      <c r="F36" s="13" t="n">
        <v>257.47</v>
      </c>
      <c r="G36" s="13">
        <f>100*(F36-E36)/F36</f>
        <v/>
      </c>
      <c r="H36" s="13" t="n">
        <v>1413</v>
      </c>
      <c r="I36" s="13" t="n">
        <v>35.91</v>
      </c>
      <c r="J36" s="13" t="n"/>
      <c r="K36" s="12" t="n">
        <v>8.779999999999999</v>
      </c>
      <c r="L36" s="12" t="n"/>
      <c r="M36" s="13" t="n">
        <v>163.88</v>
      </c>
      <c r="N36" s="13" t="n"/>
      <c r="O36" s="13" t="n">
        <v>245.71</v>
      </c>
      <c r="P36" s="13">
        <f>O36/I36</f>
        <v/>
      </c>
      <c r="Q36" s="13" t="n">
        <v>18</v>
      </c>
      <c r="R36" s="13" t="n">
        <v>18</v>
      </c>
      <c r="S36" s="13" t="n">
        <v>0</v>
      </c>
      <c r="T36" s="13" t="n"/>
      <c r="U36" s="13" t="n"/>
      <c r="V36" s="13" t="n">
        <v>1</v>
      </c>
      <c r="W36" s="13" t="n">
        <v>1</v>
      </c>
      <c r="X36" s="65" t="n">
        <v>1.2</v>
      </c>
      <c r="Y36" s="12" t="n">
        <v>1.83</v>
      </c>
      <c r="Z36" s="12" t="n">
        <v>2.2</v>
      </c>
      <c r="AA36" s="66">
        <f>IF(X36&lt;33,IF(Y36&gt;(1.1*X36),0,1),1)+IF(Y36&gt;(4*X36),-1,0)</f>
        <v/>
      </c>
      <c r="AB36" s="13" t="n">
        <v>0</v>
      </c>
      <c r="AC36" s="12">
        <f>IF(AB36&gt;9,1,0)+AB36/3</f>
        <v/>
      </c>
      <c r="AD36" s="12" t="n">
        <v>58.75</v>
      </c>
      <c r="AE36" s="12" t="n">
        <v>41.95</v>
      </c>
      <c r="AF36" s="12" t="n">
        <v>27.95</v>
      </c>
      <c r="AG36" s="12">
        <f>IF(G36&lt;0,0,1.2)+IF(G36&lt;14,0,0.9)+IF(P36&lt;0,0.7,0)+IF(P36&lt;6.5,1,0)+IF(P36&lt;23,1,0)+IF(R36&gt;88,0,1)+S36+IF(AD36&lt;20,0,1)+IF(AE36&lt;14,0,1)+IF(AF36&lt;26,0,1)</f>
        <v/>
      </c>
      <c r="AH36" s="12">
        <f>AG36+IF(AG36&gt;6,1,0)+IF(X36&lt;17,0,1)+IF(Y36&lt;11,0,1)+IF(Z36&lt;1.35,0,1)+AC36+AA36</f>
        <v/>
      </c>
      <c r="AI36" s="12" t="n">
        <v>11</v>
      </c>
      <c r="AJ36" s="11">
        <f>IF(AI36&gt;12.8,IF(AI36&gt;15.8,0.9,0.97),1)</f>
        <v/>
      </c>
      <c r="AK36" s="12">
        <f>(AG36*2.6+AH36)*AJ36*AQ36</f>
        <v/>
      </c>
      <c r="AL36" s="11">
        <f>D36</f>
        <v/>
      </c>
      <c r="AM36" s="11">
        <f>B36</f>
        <v/>
      </c>
      <c r="AN36" s="13" t="n"/>
      <c r="AO36" s="13" t="n"/>
      <c r="AP36" s="13">
        <f>IF(AK36&gt;23.73,IF(Z36&lt;101,IF(Z36&lt;30,IF(Z36&lt;6,3,2),1),0),0)</f>
        <v/>
      </c>
      <c r="AQ36" s="13" t="n">
        <v>1</v>
      </c>
      <c r="AR36" s="11">
        <f>IF(AP36&gt;0,IF(AB36&gt;10,(AB36/Z36),10/Z36),0)</f>
        <v/>
      </c>
      <c r="AS36" s="13" t="n"/>
      <c r="AT36" s="12" t="n">
        <v>54.6448087431694</v>
      </c>
      <c r="AU36" s="12" t="n">
        <v>273.224043715847</v>
      </c>
      <c r="AV36" s="12" t="n">
        <v>5</v>
      </c>
      <c r="AW36" s="12" t="n"/>
      <c r="AX36" s="12" t="n"/>
      <c r="AY36" s="12" t="n"/>
      <c r="AZ36" s="12" t="n"/>
      <c r="BA36" s="12" t="n"/>
      <c r="BB36" s="12" t="n"/>
      <c r="BC36" s="12" t="n"/>
    </row>
    <row r="37" ht="12.75" customHeight="1">
      <c r="A37" s="17" t="n"/>
      <c r="B37" s="68" t="inlineStr">
        <is>
          <t>Brigade Hotel Ventures</t>
        </is>
      </c>
      <c r="C37" s="13" t="n">
        <v>2025</v>
      </c>
      <c r="D37" s="11" t="inlineStr">
        <is>
          <t>Neg</t>
        </is>
      </c>
      <c r="E37" s="13" t="n">
        <v>781.2</v>
      </c>
      <c r="F37" s="13" t="n">
        <v>86.90000000000001</v>
      </c>
      <c r="G37" s="13">
        <f>100*(F37-E37)/F37</f>
        <v/>
      </c>
      <c r="H37" s="13" t="n">
        <v>893.7</v>
      </c>
      <c r="I37" s="13" t="n">
        <v>23.7</v>
      </c>
      <c r="J37" s="13" t="n"/>
      <c r="K37" s="12" t="n">
        <v>0.7</v>
      </c>
      <c r="L37" s="12" t="n"/>
      <c r="M37" s="13" t="n">
        <v>164.4</v>
      </c>
      <c r="N37" s="13" t="n"/>
      <c r="O37" s="13" t="n">
        <v>468.3</v>
      </c>
      <c r="P37" s="13">
        <f>O37/I37</f>
        <v/>
      </c>
      <c r="Q37" s="13" t="n">
        <v>125</v>
      </c>
      <c r="R37" s="13" t="n">
        <v>125</v>
      </c>
      <c r="S37" s="13" t="n">
        <v>0</v>
      </c>
      <c r="T37" s="13" t="n"/>
      <c r="U37" s="13" t="n"/>
      <c r="V37" s="13" t="n">
        <v>1</v>
      </c>
      <c r="W37" s="13" t="n">
        <v>1</v>
      </c>
      <c r="X37" s="65" t="n">
        <v>5.74</v>
      </c>
      <c r="Y37" s="12" t="n">
        <v>2.03</v>
      </c>
      <c r="Z37" s="12" t="n">
        <v>6.83</v>
      </c>
      <c r="AA37" s="66">
        <f>IF(X37&lt;33,IF(Y37&gt;(1.1*X37),0,1),1)+IF(Y37&gt;(4*X37),-1,0)</f>
        <v/>
      </c>
      <c r="AB37" s="13" t="n">
        <v>0</v>
      </c>
      <c r="AC37" s="12">
        <f>IF(AB37&gt;9,1,0)+AB37/3</f>
        <v/>
      </c>
      <c r="AD37" s="12" t="n">
        <v>-23.8</v>
      </c>
      <c r="AE37" s="12" t="n">
        <v>16.6</v>
      </c>
      <c r="AF37" s="12" t="n">
        <v>29.6</v>
      </c>
      <c r="AG37" s="12">
        <f>IF(G37&lt;0,0,1.2)+IF(G37&lt;14,0,0.9)+IF(P37&lt;0,0.7,0)+IF(P37&lt;6.5,1,0)+IF(P37&lt;23,1,0)+IF(R37&gt;88,0,1)+S37+IF(AD37&lt;20,0,1)+IF(AE37&lt;14,0,1)+IF(AF37&lt;26,0,1)</f>
        <v/>
      </c>
      <c r="AH37" s="12">
        <f>AG37+IF(AG37&gt;6,1,0)+IF(X37&lt;17,0,1)+IF(Y37&lt;11,0,1)+IF(Z37&lt;1.35,0,1)+AC37+AA37</f>
        <v/>
      </c>
      <c r="AI37" s="12" t="n">
        <v>11</v>
      </c>
      <c r="AJ37" s="11">
        <f>IF(AI37&gt;12.8,IF(AI37&gt;15.8,0.9,0.97),1)</f>
        <v/>
      </c>
      <c r="AK37" s="12">
        <f>(AG37*2.6+AH37)*AJ37*AQ37</f>
        <v/>
      </c>
      <c r="AL37" s="11">
        <f>D37</f>
        <v/>
      </c>
      <c r="AM37" s="11">
        <f>B37</f>
        <v/>
      </c>
      <c r="AN37" s="13" t="n"/>
      <c r="AO37" s="13" t="n"/>
      <c r="AP37" s="13">
        <f>IF(AK37&gt;23.73,IF(Z37&lt;101,IF(Z37&lt;30,IF(Z37&lt;6,3,2),1),0),0)</f>
        <v/>
      </c>
      <c r="AQ37" s="13" t="n">
        <v>1</v>
      </c>
      <c r="AR37" s="11">
        <f>IF(AP37&gt;0,IF(AB37&gt;10,(AB37/Z37),10/Z37),0)</f>
        <v/>
      </c>
      <c r="AS37" s="13" t="n"/>
      <c r="AT37" s="12" t="n">
        <v>49.2610837438424</v>
      </c>
      <c r="AU37" s="12" t="n">
        <v>246.305418719212</v>
      </c>
      <c r="AV37" s="12" t="n">
        <v>5</v>
      </c>
      <c r="AW37" s="12" t="n"/>
      <c r="AX37" s="12" t="n"/>
      <c r="AY37" s="12" t="n"/>
      <c r="AZ37" s="12" t="n"/>
      <c r="BA37" s="12" t="n"/>
      <c r="BB37" s="12" t="n"/>
      <c r="BC37" s="12" t="n"/>
    </row>
    <row r="38" ht="12.75" customHeight="1">
      <c r="A38" s="17" t="n"/>
      <c r="B38" s="68" t="inlineStr">
        <is>
          <t>Indiqube Spaces</t>
        </is>
      </c>
      <c r="C38" s="13" t="n">
        <v>2025</v>
      </c>
      <c r="D38" s="11" t="inlineStr">
        <is>
          <t>Neg</t>
        </is>
      </c>
      <c r="E38" s="13" t="n">
        <v>343.96</v>
      </c>
      <c r="F38" s="13" t="n">
        <v>1</v>
      </c>
      <c r="G38" s="13">
        <f>100*(F38-E38)/F38</f>
        <v/>
      </c>
      <c r="H38" s="13" t="n">
        <v>4685.12</v>
      </c>
      <c r="I38" s="13" t="n">
        <v>-139.62</v>
      </c>
      <c r="J38" s="13" t="n"/>
      <c r="K38" s="12" t="n">
        <v>-7.65</v>
      </c>
      <c r="L38" s="12" t="n"/>
      <c r="M38" s="13" t="n">
        <v>660.1900000000001</v>
      </c>
      <c r="N38" s="13" t="n"/>
      <c r="O38" s="13" t="n">
        <v>1102.93</v>
      </c>
      <c r="P38" s="13">
        <f>O38/I38</f>
        <v/>
      </c>
      <c r="Q38" s="13" t="n">
        <v>0</v>
      </c>
      <c r="R38" s="13" t="n">
        <v>0</v>
      </c>
      <c r="S38" s="13" t="n">
        <v>0</v>
      </c>
      <c r="T38" s="13" t="n"/>
      <c r="U38" s="13" t="n"/>
      <c r="V38" s="13" t="n">
        <v>1</v>
      </c>
      <c r="W38" s="13" t="n">
        <v>1</v>
      </c>
      <c r="X38" s="65" t="n">
        <v>1.49</v>
      </c>
      <c r="Y38" s="12" t="n">
        <v>1.95</v>
      </c>
      <c r="Z38" s="12" t="n">
        <v>7.53</v>
      </c>
      <c r="AA38" s="66">
        <f>IF(X38&lt;33,IF(Y38&gt;(1.1*X38),0,1),1)+IF(Y38&gt;(4*X38),-1,0)</f>
        <v/>
      </c>
      <c r="AB38" s="13" t="n">
        <v>0</v>
      </c>
      <c r="AC38" s="12">
        <f>IF(AB38&gt;9,1,0)+AB38/3</f>
        <v/>
      </c>
      <c r="AD38" s="12" t="n">
        <v>59</v>
      </c>
      <c r="AE38" s="12" t="n">
        <v>27</v>
      </c>
      <c r="AF38" s="12" t="n">
        <v>-102</v>
      </c>
      <c r="AG38" s="12">
        <f>IF(G38&lt;0,0,1.2)+IF(G38&lt;14,0,0.9)+IF(P38&lt;0,0.7,0)+IF(P38&lt;6.5,1,0)+IF(P38&lt;23,1,0)+IF(R38&gt;88,0,1)+S38+IF(AD38&lt;20,0,1)+IF(AE38&lt;14,0,1)+IF(AF38&lt;26,0,1)</f>
        <v/>
      </c>
      <c r="AH38" s="12">
        <f>AG38+IF(AG38&gt;6,1,0)+IF(X38&lt;17,0,1)+IF(Y38&lt;11,0,1)+IF(Z38&lt;1.35,0,1)+AC38+AA38</f>
        <v/>
      </c>
      <c r="AI38" s="12" t="n">
        <v>11</v>
      </c>
      <c r="AJ38" s="11">
        <f>IF(AI38&gt;12.8,IF(AI38&gt;15.8,0.9,0.97),1)</f>
        <v/>
      </c>
      <c r="AK38" s="12">
        <f>(AG38*2.6+AH38)*AJ38*AQ38</f>
        <v/>
      </c>
      <c r="AL38" s="11">
        <f>D38</f>
        <v/>
      </c>
      <c r="AM38" s="11">
        <f>B38</f>
        <v/>
      </c>
      <c r="AN38" s="13" t="n"/>
      <c r="AO38" s="13" t="n"/>
      <c r="AP38" s="13">
        <f>IF(AK38&gt;23.73,IF(Z38&lt;101,IF(Z38&lt;30,IF(Z38&lt;6,3,2),1),0),0)</f>
        <v/>
      </c>
      <c r="AQ38" s="13" t="n">
        <v>1</v>
      </c>
      <c r="AR38" s="11">
        <f>IF(AP38&gt;0,IF(AB38&gt;10,(AB38/Z38),10/Z38),0)</f>
        <v/>
      </c>
      <c r="AS38" s="13" t="n"/>
      <c r="AT38" s="12" t="n">
        <v>51.2820512820513</v>
      </c>
      <c r="AU38" s="12" t="n">
        <v>256.410256410256</v>
      </c>
      <c r="AV38" s="12" t="n">
        <v>5</v>
      </c>
      <c r="AW38" s="12" t="n"/>
      <c r="AX38" s="12" t="n"/>
      <c r="AY38" s="12" t="n"/>
      <c r="AZ38" s="12" t="n"/>
      <c r="BA38" s="12" t="n"/>
      <c r="BB38" s="12" t="n"/>
      <c r="BC38" s="12" t="n"/>
    </row>
    <row r="39" ht="12.75" customHeight="1">
      <c r="A39" s="17" t="n"/>
      <c r="B39" s="68" t="inlineStr">
        <is>
          <t>Arisinfra Solutions</t>
        </is>
      </c>
      <c r="C39" s="13" t="n">
        <v>2025</v>
      </c>
      <c r="D39" s="11" t="inlineStr">
        <is>
          <t>Neg</t>
        </is>
      </c>
      <c r="E39" s="13" t="n">
        <v>273.98</v>
      </c>
      <c r="F39" s="13" t="n">
        <v>141.6</v>
      </c>
      <c r="G39" s="13">
        <f>100*(F39-E39)/F39</f>
        <v/>
      </c>
      <c r="H39" s="13" t="n">
        <v>492.83</v>
      </c>
      <c r="I39" s="13" t="n">
        <v>-17.29</v>
      </c>
      <c r="J39" s="13" t="n"/>
      <c r="K39" s="12" t="n">
        <v>-5.3</v>
      </c>
      <c r="L39" s="12" t="n"/>
      <c r="M39" s="13" t="n">
        <v>38.72</v>
      </c>
      <c r="N39" s="13" t="n"/>
      <c r="O39" s="13" t="n">
        <v>702.35</v>
      </c>
      <c r="P39" s="13">
        <f>O39/I39</f>
        <v/>
      </c>
      <c r="Q39" s="13" t="n">
        <v>-41.89</v>
      </c>
      <c r="R39" s="13" t="n">
        <v>-41.89</v>
      </c>
      <c r="S39" s="13" t="n">
        <v>0</v>
      </c>
      <c r="T39" s="13" t="n"/>
      <c r="U39" s="13" t="n"/>
      <c r="V39" s="13" t="n">
        <v>1</v>
      </c>
      <c r="W39" s="13" t="n">
        <v>1</v>
      </c>
      <c r="X39" s="65" t="n">
        <v>1.5</v>
      </c>
      <c r="Y39" s="12" t="n">
        <v>3.32</v>
      </c>
      <c r="Z39" s="12" t="n">
        <v>5.9</v>
      </c>
      <c r="AA39" s="66">
        <f>IF(X39&lt;33,IF(Y39&gt;(1.1*X39),0,1),1)+IF(Y39&gt;(4*X39),-1,0)</f>
        <v/>
      </c>
      <c r="AB39" s="13" t="n">
        <v>0</v>
      </c>
      <c r="AC39" s="12">
        <f>IF(AB39&gt;9,1,0)+AB39/3</f>
        <v/>
      </c>
      <c r="AD39" s="12" t="n">
        <v>-12</v>
      </c>
      <c r="AE39" s="12" t="n">
        <v>-7</v>
      </c>
      <c r="AF39" s="12" t="n">
        <v>35</v>
      </c>
      <c r="AG39" s="12">
        <f>IF(G39&lt;0,0,1.2)+IF(G39&lt;14,0,0.9)+IF(P39&lt;0,0.7,0)+IF(P39&lt;6.5,1,0)+IF(P39&lt;23,1,0)+IF(R39&gt;88,0,1)+S39+IF(AD39&lt;20,0,1)+IF(AE39&lt;14,0,1)+IF(AF39&lt;26,0,1)</f>
        <v/>
      </c>
      <c r="AH39" s="12">
        <f>AG39+IF(AG39&gt;6,1,0)+IF(X39&lt;17,0,1)+IF(Y39&lt;11,0,1)+IF(Z39&lt;1.35,0,1)+AC39+AA39</f>
        <v/>
      </c>
      <c r="AI39" s="12" t="n">
        <v>11</v>
      </c>
      <c r="AJ39" s="11">
        <f>IF(AI39&gt;12.8,IF(AI39&gt;15.8,0.9,0.97),1)</f>
        <v/>
      </c>
      <c r="AK39" s="12">
        <f>(AG39*2.6+AH39)*AJ39*AQ39</f>
        <v/>
      </c>
      <c r="AL39" s="11">
        <f>D39</f>
        <v/>
      </c>
      <c r="AM39" s="11">
        <f>B39</f>
        <v/>
      </c>
      <c r="AN39" s="13" t="n"/>
      <c r="AO39" s="13" t="n"/>
      <c r="AP39" s="13">
        <f>IF(AK39&gt;23.73,IF(Z39&lt;101,IF(Z39&lt;30,IF(Z39&lt;6,3,2),1),0),0)</f>
        <v/>
      </c>
      <c r="AQ39" s="13" t="n">
        <v>1</v>
      </c>
      <c r="AR39" s="11">
        <f>IF(AP39&gt;0,IF(AB39&gt;10,(AB39/Z39),10/Z39),0)</f>
        <v/>
      </c>
      <c r="AS39" s="13" t="n"/>
      <c r="AT39" s="12" t="n">
        <v>30.1204819277108</v>
      </c>
      <c r="AU39" s="12" t="n">
        <v>150.602409638554</v>
      </c>
      <c r="AV39" s="12" t="n">
        <v>5</v>
      </c>
      <c r="AW39" s="12" t="n"/>
      <c r="AX39" s="12" t="n"/>
      <c r="AY39" s="12" t="n"/>
      <c r="AZ39" s="12" t="n"/>
      <c r="BA39" s="12" t="n"/>
      <c r="BB39" s="12" t="n"/>
      <c r="BC39" s="12" t="n"/>
    </row>
    <row r="40" ht="12.75" customHeight="1">
      <c r="A40" s="17" t="n"/>
      <c r="B40" s="69" t="inlineStr">
        <is>
          <t>Entero Healthcare Solutions</t>
        </is>
      </c>
      <c r="C40" s="13" t="n">
        <v>2024</v>
      </c>
      <c r="D40" s="11" t="inlineStr">
        <is>
          <t>Neg</t>
        </is>
      </c>
      <c r="E40" s="13" t="n">
        <v>0</v>
      </c>
      <c r="F40" s="13" t="n">
        <v>1626.41</v>
      </c>
      <c r="G40" s="13">
        <f>100*(F40-E40)/F40</f>
        <v/>
      </c>
      <c r="H40" s="13" t="n">
        <v>1768.58</v>
      </c>
      <c r="I40" s="13" t="n">
        <v>39.8</v>
      </c>
      <c r="J40" s="13" t="n"/>
      <c r="K40" s="12" t="n">
        <v>9.699999999999999</v>
      </c>
      <c r="L40" s="12" t="n"/>
      <c r="M40" s="13" t="n">
        <v>111.78</v>
      </c>
      <c r="N40" s="13" t="n"/>
      <c r="O40" s="13" t="n">
        <v>3922.31</v>
      </c>
      <c r="P40" s="13">
        <f>O40/I40</f>
        <v/>
      </c>
      <c r="Q40" s="13" t="n">
        <v>129.75</v>
      </c>
      <c r="R40" s="13" t="n">
        <v>129.75</v>
      </c>
      <c r="S40" s="13" t="n">
        <v>0</v>
      </c>
      <c r="T40" s="13" t="n"/>
      <c r="U40" s="13" t="n"/>
      <c r="V40" s="13" t="n">
        <v>1</v>
      </c>
      <c r="W40" s="13" t="n">
        <v>1</v>
      </c>
      <c r="X40" s="65" t="n">
        <v>2.28</v>
      </c>
      <c r="Y40" s="12" t="n">
        <v>0.22</v>
      </c>
      <c r="Z40" s="12" t="n">
        <v>1.33</v>
      </c>
      <c r="AA40" s="66">
        <f>IF(X40&lt;33,IF(Y40&gt;(1.1*X40),0,1),1)+IF(Y40&gt;(4*X40),-1,0)</f>
        <v/>
      </c>
      <c r="AB40" s="13" t="n">
        <v>0</v>
      </c>
      <c r="AC40" s="12">
        <f>IF(AB40&gt;9,1,0)+AB40/3</f>
        <v/>
      </c>
      <c r="AD40" s="12" t="n">
        <v>62</v>
      </c>
      <c r="AE40" s="12" t="n">
        <v>19</v>
      </c>
      <c r="AF40" s="12" t="n">
        <v>0</v>
      </c>
      <c r="AG40" s="12">
        <f>IF(G40&lt;0,0,1.2)+IF(G40&lt;14,0,0.9)+IF(P40&lt;0,0.7,0)+IF(P40&lt;6.5,1,0)+IF(P40&lt;23,1,0)+IF(R40&gt;88,0,1)+S40+IF(AD40&lt;20,0,1)+IF(AE40&lt;14,0,1)+IF(AF40&lt;26,0,1)</f>
        <v/>
      </c>
      <c r="AH40" s="12">
        <f>AG40+IF(AG40&gt;6,1,0)+IF(X40&lt;17,0,1)+IF(Y40&lt;11,0,1)+IF(Z40&lt;1.35,0,1)+AC40+AA40</f>
        <v/>
      </c>
      <c r="AI40" s="12" t="n">
        <v>11</v>
      </c>
      <c r="AJ40" s="11">
        <f>IF(AI40&gt;12.8,IF(AI40&gt;15.8,0.9,0.97),1)</f>
        <v/>
      </c>
      <c r="AK40" s="12">
        <f>(AG40*2.6+AH40)*AJ40*AQ40</f>
        <v/>
      </c>
      <c r="AL40" s="11">
        <f>D40</f>
        <v/>
      </c>
      <c r="AM40" s="11">
        <f>B40</f>
        <v/>
      </c>
      <c r="AN40" s="13" t="n"/>
      <c r="AO40" s="13" t="n"/>
      <c r="AP40" s="13">
        <f>IF(AK40&gt;23.73,IF(Z40&lt;101,IF(Z40&lt;30,IF(Z40&lt;6,3,2),1),0),0)</f>
        <v/>
      </c>
      <c r="AQ40" s="13" t="n">
        <v>1</v>
      </c>
      <c r="AR40" s="11">
        <f>IF(AP40&gt;0,IF(AB40&gt;10,(AB40/Z40),10/Z40),0)</f>
        <v/>
      </c>
      <c r="AS40" s="13" t="n"/>
      <c r="AT40" s="12" t="n">
        <v>454.545454545455</v>
      </c>
      <c r="AU40" s="12" t="n">
        <v>2272.72727272727</v>
      </c>
      <c r="AV40" s="12" t="n">
        <v>5</v>
      </c>
      <c r="AW40" s="12" t="n"/>
      <c r="AX40" s="12" t="n"/>
      <c r="AY40" s="12" t="n"/>
      <c r="AZ40" s="12" t="n"/>
      <c r="BA40" s="12" t="n"/>
      <c r="BB40" s="12" t="n"/>
      <c r="BC40" s="12" t="n"/>
    </row>
    <row r="41" ht="12.75" customHeight="1">
      <c r="A41" s="17" t="n"/>
      <c r="B41" s="69" t="inlineStr">
        <is>
          <t>Deepak Builders Engineers</t>
        </is>
      </c>
      <c r="C41" s="13" t="n">
        <v>2024</v>
      </c>
      <c r="D41" s="11" t="inlineStr">
        <is>
          <t>Neg</t>
        </is>
      </c>
      <c r="E41" s="13" t="n">
        <v>1530</v>
      </c>
      <c r="F41" s="13" t="n">
        <v>1601</v>
      </c>
      <c r="G41" s="13">
        <f>100*(F41-E41)/F41</f>
        <v/>
      </c>
      <c r="H41" s="13" t="n">
        <v>5587</v>
      </c>
      <c r="I41" s="13" t="n">
        <v>60.41</v>
      </c>
      <c r="J41" s="13" t="n"/>
      <c r="K41" s="12" t="n">
        <v>16.84</v>
      </c>
      <c r="L41" s="12" t="n"/>
      <c r="M41" s="13" t="n">
        <v>117.5</v>
      </c>
      <c r="N41" s="13" t="n"/>
      <c r="O41" s="13" t="n">
        <v>511.4</v>
      </c>
      <c r="P41" s="13">
        <f>O41/I41</f>
        <v/>
      </c>
      <c r="Q41" s="13" t="n">
        <v>12.05</v>
      </c>
      <c r="R41" s="13" t="n">
        <v>12.05</v>
      </c>
      <c r="S41" s="13" t="n">
        <v>-0.9</v>
      </c>
      <c r="T41" s="13" t="n"/>
      <c r="U41" s="13" t="n"/>
      <c r="V41" s="13" t="n">
        <v>1</v>
      </c>
      <c r="W41" s="13" t="n">
        <v>1</v>
      </c>
      <c r="X41" s="65" t="n">
        <v>13.91</v>
      </c>
      <c r="Y41" s="12" t="n">
        <v>82.47</v>
      </c>
      <c r="Z41" s="12" t="n">
        <v>39.79</v>
      </c>
      <c r="AA41" s="66">
        <f>IF(X41&lt;33,IF(Y41&gt;(1.1*X41),0,1),1)+IF(Y41&gt;(4*X41),-1,0)</f>
        <v/>
      </c>
      <c r="AB41" s="13" t="n">
        <v>24</v>
      </c>
      <c r="AC41" s="12">
        <f>IF(AB41&gt;9,1,0)+AB41/3</f>
        <v/>
      </c>
      <c r="AD41" s="12" t="n">
        <v>182</v>
      </c>
      <c r="AE41" s="12" t="n">
        <v>18</v>
      </c>
      <c r="AF41" s="12" t="n">
        <v>59</v>
      </c>
      <c r="AG41" s="12">
        <f>IF(G41&lt;0,0,1.2)+IF(G41&lt;14,0,0.9)+IF(P41&lt;0,0.7,0)+IF(P41&lt;6.5,1,0)+IF(P41&lt;23,1,0)+IF(R41&gt;88,0,1)+S41+IF(AD41&lt;20,0,1)+IF(AE41&lt;14,0,1)+IF(AF41&lt;26,0,1)</f>
        <v/>
      </c>
      <c r="AH41" s="12">
        <f>AG41+IF(AG41&gt;6,1,0)+IF(X41&lt;17,0,1)+IF(Y41&lt;11,0,1)+IF(Z41&lt;1.35,0,1)+AC41+AA41</f>
        <v/>
      </c>
      <c r="AI41" s="12" t="n">
        <v>11</v>
      </c>
      <c r="AJ41" s="11">
        <f>IF(AI41&gt;12.8,IF(AI41&gt;15.8,0.9,0.97),1)</f>
        <v/>
      </c>
      <c r="AK41" s="12">
        <f>(AG41*2.6+AH41)*AJ41*AQ41</f>
        <v/>
      </c>
      <c r="AL41" s="11">
        <f>D41</f>
        <v/>
      </c>
      <c r="AM41" s="11">
        <f>B41</f>
        <v/>
      </c>
      <c r="AN41" s="13" t="n"/>
      <c r="AO41" s="13" t="n"/>
      <c r="AP41" s="13">
        <f>IF(AK41&gt;23.73,IF(Z41&lt;101,IF(Z41&lt;30,IF(Z41&lt;6,3,2),1),0),0)</f>
        <v/>
      </c>
      <c r="AQ41" s="13" t="n">
        <v>1</v>
      </c>
      <c r="AR41" s="11">
        <f>IF(AP41&gt;0,IF(AB41&gt;10,(AB41/Z41),10/Z41),0)</f>
        <v/>
      </c>
      <c r="AS41" s="13" t="n"/>
      <c r="AT41" s="12" t="n">
        <v>1.21256214380987</v>
      </c>
      <c r="AU41" s="12" t="n">
        <v>6.06281071904935</v>
      </c>
      <c r="AV41" s="12" t="n">
        <v>5</v>
      </c>
      <c r="AW41" s="12" t="n"/>
      <c r="AX41" s="12" t="n"/>
      <c r="AY41" s="12" t="n">
        <v>-2</v>
      </c>
      <c r="AZ41" s="12" t="n">
        <v>-20</v>
      </c>
      <c r="BA41" s="12" t="n"/>
      <c r="BB41" s="12" t="n">
        <v>-31</v>
      </c>
      <c r="BC41" s="12" t="n"/>
    </row>
    <row r="42" ht="12.75" customHeight="1">
      <c r="A42" s="17" t="n"/>
      <c r="B42" s="69" t="inlineStr">
        <is>
          <t>Mangal Electrical Industries</t>
        </is>
      </c>
      <c r="C42" s="13" t="n">
        <v>2025</v>
      </c>
      <c r="D42" s="11" t="inlineStr">
        <is>
          <t>Neg</t>
        </is>
      </c>
      <c r="E42" s="13" t="n">
        <v>92.12</v>
      </c>
      <c r="F42" s="13" t="n">
        <v>114.99</v>
      </c>
      <c r="G42" s="13">
        <f>100*(F42-E42)/F42</f>
        <v/>
      </c>
      <c r="H42" s="13" t="n">
        <v>246.54</v>
      </c>
      <c r="I42" s="13" t="n">
        <v>20.95</v>
      </c>
      <c r="J42" s="13" t="n"/>
      <c r="K42" s="12" t="n">
        <v>10.22</v>
      </c>
      <c r="L42" s="12" t="n"/>
      <c r="M42" s="13" t="n">
        <v>42.63</v>
      </c>
      <c r="N42" s="13" t="n"/>
      <c r="O42" s="13" t="n">
        <v>449.48</v>
      </c>
      <c r="P42" s="13">
        <f>O42/I42</f>
        <v/>
      </c>
      <c r="Q42" s="13" t="n">
        <v>54.89</v>
      </c>
      <c r="R42" s="13" t="n">
        <v>54.89</v>
      </c>
      <c r="S42" s="13" t="n">
        <v>0</v>
      </c>
      <c r="T42" s="13" t="n"/>
      <c r="U42" s="13" t="n"/>
      <c r="V42" s="13" t="n">
        <v>1</v>
      </c>
      <c r="W42" s="13" t="n">
        <v>1</v>
      </c>
      <c r="X42" s="65" t="n">
        <v>11.09</v>
      </c>
      <c r="Y42" s="12" t="n">
        <v>19.78</v>
      </c>
      <c r="Z42" s="12" t="n">
        <v>5.09</v>
      </c>
      <c r="AA42" s="66">
        <f>IF(X42&lt;33,IF(Y42&gt;(1.1*X42),0,1),1)+IF(Y42&gt;(4*X42),-1,0)</f>
        <v/>
      </c>
      <c r="AB42" s="13" t="n">
        <v>0</v>
      </c>
      <c r="AC42" s="12">
        <f>IF(AB42&gt;9,1,0)+AB42/3</f>
        <v/>
      </c>
      <c r="AD42" s="12" t="n">
        <v>-15.33</v>
      </c>
      <c r="AE42" s="12" t="n">
        <v>26.88</v>
      </c>
      <c r="AF42" s="12" t="n">
        <v>22.4</v>
      </c>
      <c r="AG42" s="12">
        <f>IF(G42&lt;0,0,1.2)+IF(G42&lt;14,0,0.9)+IF(P42&lt;0,0.7,0)+IF(P42&lt;6.5,1,0)+IF(P42&lt;23,1,0)+IF(R42&gt;88,0,1)+S42+IF(AD42&lt;20,0,1)+IF(AE42&lt;14,0,1)+IF(AF42&lt;26,0,1)</f>
        <v/>
      </c>
      <c r="AH42" s="12">
        <f>AG42+IF(AG42&gt;6,1,0)+IF(X42&lt;17,0,1)+IF(Y42&lt;11,0,1)+IF(Z42&lt;1.35,0,1)+AC42+AA42</f>
        <v/>
      </c>
      <c r="AI42" s="12" t="n">
        <v>11</v>
      </c>
      <c r="AJ42" s="11">
        <f>IF(AI42&gt;12.8,IF(AI42&gt;15.8,0.9,0.97),1)</f>
        <v/>
      </c>
      <c r="AK42" s="12">
        <f>(AG42*2.6+AH42)*AJ42*AQ42</f>
        <v/>
      </c>
      <c r="AL42" s="11">
        <f>D42</f>
        <v/>
      </c>
      <c r="AM42" s="11">
        <f>B42</f>
        <v/>
      </c>
      <c r="AN42" s="13" t="n"/>
      <c r="AO42" s="13" t="n"/>
      <c r="AP42" s="13">
        <f>IF(AK42&gt;23.73,IF(Z42&lt;101,IF(Z42&lt;30,IF(Z42&lt;6,3,2),1),0),0)</f>
        <v/>
      </c>
      <c r="AQ42" s="13" t="n">
        <v>1</v>
      </c>
      <c r="AR42" s="11">
        <f>IF(AP42&gt;0,IF(AB42&gt;10,(AB42/Z42),10/Z42),0)</f>
        <v/>
      </c>
      <c r="AS42" s="13" t="n"/>
      <c r="AT42" s="12" t="n">
        <v>5.05561172901921</v>
      </c>
      <c r="AU42" s="12" t="n">
        <v>25.2780586450961</v>
      </c>
      <c r="AV42" s="12" t="n">
        <v>5</v>
      </c>
      <c r="AW42" s="12" t="n"/>
      <c r="AX42" s="12" t="n"/>
      <c r="AY42" s="12" t="n">
        <v>-0.8</v>
      </c>
      <c r="AZ42" s="12" t="n"/>
      <c r="BA42" s="12" t="n"/>
      <c r="BB42" s="12" t="n"/>
      <c r="BC42" s="12" t="n"/>
    </row>
    <row r="43" ht="12.75" customHeight="1">
      <c r="A43" s="17" t="n"/>
      <c r="B43" s="11" t="inlineStr">
        <is>
          <t>Canara Robeco Asset Management</t>
        </is>
      </c>
      <c r="C43" s="13" t="n">
        <v>2025</v>
      </c>
      <c r="D43" s="11" t="inlineStr">
        <is>
          <t>Pos</t>
        </is>
      </c>
      <c r="E43" s="13" t="n">
        <v>0</v>
      </c>
      <c r="F43" s="13" t="n">
        <v>600.0599999999999</v>
      </c>
      <c r="G43" s="13">
        <f>100*(F43-E43)/F43</f>
        <v/>
      </c>
      <c r="H43" s="13" t="n">
        <v>0</v>
      </c>
      <c r="I43" s="13" t="n">
        <v>190.7</v>
      </c>
      <c r="J43" s="13" t="n"/>
      <c r="K43" s="12" t="n">
        <v>9.56</v>
      </c>
      <c r="L43" s="12" t="n"/>
      <c r="M43" s="13" t="n">
        <v>264.08</v>
      </c>
      <c r="N43" s="13" t="n"/>
      <c r="O43" s="13" t="n">
        <v>404</v>
      </c>
      <c r="P43" s="13">
        <f>O43/I43</f>
        <v/>
      </c>
      <c r="Q43" s="13" t="n">
        <v>27.82</v>
      </c>
      <c r="R43" s="13" t="n">
        <v>27.82</v>
      </c>
      <c r="S43" s="13" t="n">
        <v>0.7</v>
      </c>
      <c r="T43" s="13" t="n"/>
      <c r="U43" s="13" t="n"/>
      <c r="V43" s="13" t="n">
        <v>1</v>
      </c>
      <c r="W43" s="13" t="n">
        <v>1</v>
      </c>
      <c r="X43" s="65" t="n">
        <v>25.92</v>
      </c>
      <c r="Y43" s="12" t="n">
        <v>6.45</v>
      </c>
      <c r="Z43" s="12" t="n">
        <v>1.91</v>
      </c>
      <c r="AA43" s="66">
        <f>IF(X43&lt;33,IF(Y43&gt;(1.1*X43),0,1),1)+IF(Y43&gt;(4*X43),-1,0)</f>
        <v/>
      </c>
      <c r="AB43" s="13" t="n">
        <v>7.5</v>
      </c>
      <c r="AC43" s="12">
        <f>IF(AB43&gt;9,1,0)+AB43/3</f>
        <v/>
      </c>
      <c r="AD43" s="12" t="n">
        <v>26.35</v>
      </c>
      <c r="AE43" s="12" t="n">
        <v>26.94</v>
      </c>
      <c r="AF43" s="12" t="n">
        <v>32.07</v>
      </c>
      <c r="AG43" s="12">
        <f>IF(G43&lt;0,0,1.2)+IF(G43&lt;14,0,0.9)+IF(P43&lt;0,0.7,0)+IF(P43&lt;6.5,1,0)+IF(P43&lt;23,1,0)+IF(R43&gt;88,0,1)+S43+IF(AD43&lt;20,0,1)+IF(AE43&lt;14,0,1)+IF(AF43&lt;26,0,1)</f>
        <v/>
      </c>
      <c r="AH43" s="12">
        <f>AG43+IF(AG43&gt;6,1,0)+IF(X43&lt;17,0,1)+IF(Y43&lt;11,0,1)+IF(Z43&lt;1.35,0,1)+AC43+AA43</f>
        <v/>
      </c>
      <c r="AI43" s="12" t="n">
        <v>11</v>
      </c>
      <c r="AJ43" s="11">
        <f>IF(AI43&gt;12.8,IF(AI43&gt;15.8,0.9,0.97),1)</f>
        <v/>
      </c>
      <c r="AK43" s="12">
        <f>(AG43*2.6+AH43)*AJ43*AQ43</f>
        <v/>
      </c>
      <c r="AL43" s="11">
        <f>D43</f>
        <v/>
      </c>
      <c r="AM43" s="11">
        <f>B43</f>
        <v/>
      </c>
      <c r="AN43" s="13" t="n"/>
      <c r="AO43" s="13" t="n"/>
      <c r="AP43" s="13">
        <f>IF(AK43&gt;23.73,IF(Z43&lt;101,IF(Z43&lt;30,IF(Z43&lt;6,3,2),1),0),0)</f>
        <v/>
      </c>
      <c r="AQ43" s="13" t="n">
        <v>1</v>
      </c>
      <c r="AR43" s="11">
        <f>IF(AP43&gt;0,IF(AB43&gt;10,(AB43/Z43),10/Z43),0)</f>
        <v/>
      </c>
      <c r="AS43" s="13" t="n"/>
      <c r="AT43" s="12" t="n">
        <v>15.5038759689923</v>
      </c>
      <c r="AU43" s="12" t="n">
        <v>77.51937984496119</v>
      </c>
      <c r="AV43" s="12" t="n">
        <v>5</v>
      </c>
      <c r="AW43" s="12" t="n"/>
      <c r="AX43" s="12" t="n"/>
      <c r="AY43" s="12" t="n">
        <v>5</v>
      </c>
      <c r="AZ43" s="12" t="n">
        <v>13</v>
      </c>
      <c r="BA43" s="12" t="n"/>
      <c r="BB43" s="12" t="n">
        <v>10</v>
      </c>
      <c r="BC43" s="12" t="n"/>
    </row>
    <row r="44" ht="12.75" customHeight="1">
      <c r="A44" s="17" t="n"/>
      <c r="B44" s="11" t="inlineStr">
        <is>
          <t>Canara HSBC Life Insurance</t>
        </is>
      </c>
      <c r="C44" s="13" t="n">
        <v>2025</v>
      </c>
      <c r="D44" s="11" t="inlineStr">
        <is>
          <t>Pos</t>
        </is>
      </c>
      <c r="E44" s="13" t="n">
        <v>0</v>
      </c>
      <c r="F44" s="13" t="n">
        <v>1516.86</v>
      </c>
      <c r="G44" s="13">
        <f>100*(F44-E44)/F44</f>
        <v/>
      </c>
      <c r="H44" s="13" t="n">
        <v>42914</v>
      </c>
      <c r="I44" s="13" t="n">
        <v>116.98</v>
      </c>
      <c r="J44" s="13" t="n"/>
      <c r="K44" s="12" t="n">
        <v>1.23</v>
      </c>
      <c r="L44" s="12" t="n"/>
      <c r="M44" s="13" t="n">
        <v>149.91</v>
      </c>
      <c r="N44" s="13" t="n"/>
      <c r="O44" s="13" t="n">
        <v>10710</v>
      </c>
      <c r="P44" s="13">
        <f>O44/I44</f>
        <v/>
      </c>
      <c r="Q44" s="13" t="n">
        <v>86.18000000000001</v>
      </c>
      <c r="R44" s="13" t="n">
        <v>86.18000000000001</v>
      </c>
      <c r="S44" s="13" t="n">
        <v>-3</v>
      </c>
      <c r="T44" s="13" t="n"/>
      <c r="U44" s="13" t="n"/>
      <c r="V44" s="13" t="n">
        <v>1</v>
      </c>
      <c r="W44" s="13" t="n">
        <v>1</v>
      </c>
      <c r="X44" s="65" t="n">
        <v>7.05</v>
      </c>
      <c r="Y44" s="12" t="n">
        <v>0.33</v>
      </c>
      <c r="Z44" s="12" t="n">
        <v>0.42</v>
      </c>
      <c r="AA44" s="66">
        <f>IF(X44&lt;33,IF(Y44&gt;(1.1*X44),0,1),1)+IF(Y44&gt;(4*X44),-1,0)</f>
        <v/>
      </c>
      <c r="AB44" s="13" t="n">
        <v>0</v>
      </c>
      <c r="AC44" s="12">
        <f>IF(AB44&gt;9,1,0)+AB44/3</f>
        <v/>
      </c>
      <c r="AD44" s="12" t="n">
        <v>39</v>
      </c>
      <c r="AE44" s="12" t="n">
        <v>7</v>
      </c>
      <c r="AF44" s="12" t="n">
        <v>7</v>
      </c>
      <c r="AG44" s="12">
        <f>IF(G44&lt;0,0,1.2)+IF(G44&lt;14,0,0.9)+IF(P44&lt;0,0.7,0)+IF(P44&lt;6.5,1,0)+IF(P44&lt;23,1,0)+IF(R44&gt;88,0,1)+S44+IF(AD44&lt;20,0,1)+IF(AE44&lt;14,0,1)+IF(AF44&lt;26,0,1)</f>
        <v/>
      </c>
      <c r="AH44" s="12">
        <f>AG44+IF(AG44&gt;6,1,0)+IF(X44&lt;17,0,1)+IF(Y44&lt;11,0,1)+IF(Z44&lt;1.35,0,1)+AC44+AA44</f>
        <v/>
      </c>
      <c r="AI44" s="12" t="n">
        <v>11</v>
      </c>
      <c r="AJ44" s="11">
        <f>IF(AI44&gt;12.8,IF(AI44&gt;15.8,0.9,0.97),1)</f>
        <v/>
      </c>
      <c r="AK44" s="12">
        <f>(AG44*2.6+AH44)*AJ44*AQ44</f>
        <v/>
      </c>
      <c r="AL44" s="11">
        <f>D44</f>
        <v/>
      </c>
      <c r="AM44" s="11">
        <f>B44</f>
        <v/>
      </c>
      <c r="AN44" s="13" t="n"/>
      <c r="AO44" s="13" t="n"/>
      <c r="AP44" s="13">
        <f>IF(AK44&gt;23.73,IF(Z44&lt;101,IF(Z44&lt;30,IF(Z44&lt;6,3,2),1),0),0)</f>
        <v/>
      </c>
      <c r="AQ44" s="13" t="n">
        <v>1</v>
      </c>
      <c r="AR44" s="11">
        <f>IF(AP44&gt;0,IF(AB44&gt;10,(AB44/Z44),10/Z44),0)</f>
        <v/>
      </c>
      <c r="AS44" s="13" t="n"/>
      <c r="AT44" s="12" t="n">
        <v>303.030303030303</v>
      </c>
      <c r="AU44" s="12" t="n">
        <v>1515.15151515152</v>
      </c>
      <c r="AV44" s="12" t="n">
        <v>5</v>
      </c>
      <c r="AW44" s="12" t="n"/>
      <c r="AX44" s="12" t="n"/>
      <c r="AY44" s="12" t="n"/>
      <c r="AZ44" s="12" t="n"/>
      <c r="BA44" s="12" t="n"/>
      <c r="BB44" s="12" t="n"/>
      <c r="BC44" s="12" t="n"/>
    </row>
    <row r="45" ht="12.75" customHeight="1">
      <c r="A45" s="17" t="n"/>
      <c r="B45" s="11" t="inlineStr">
        <is>
          <t>Orkla India</t>
        </is>
      </c>
      <c r="C45" s="13" t="n">
        <v>2025</v>
      </c>
      <c r="D45" s="11" t="inlineStr">
        <is>
          <t>Neg</t>
        </is>
      </c>
      <c r="E45" s="13" t="n">
        <v>0</v>
      </c>
      <c r="F45" s="13" t="n">
        <v>1853.47</v>
      </c>
      <c r="G45" s="13">
        <f>100*(F45-E45)/F45</f>
        <v/>
      </c>
      <c r="H45" s="13" t="n">
        <v>3171.3</v>
      </c>
      <c r="I45" s="13" t="n">
        <v>255.69</v>
      </c>
      <c r="J45" s="13" t="n"/>
      <c r="K45" s="12" t="n">
        <v>18.7</v>
      </c>
      <c r="L45" s="12" t="n"/>
      <c r="M45" s="13" t="n">
        <v>396.44</v>
      </c>
      <c r="N45" s="13" t="n"/>
      <c r="O45" s="13" t="n">
        <v>2394.71</v>
      </c>
      <c r="P45" s="13">
        <f>O45/I45</f>
        <v/>
      </c>
      <c r="Q45" s="13" t="n">
        <v>39.03</v>
      </c>
      <c r="R45" s="13" t="n">
        <v>39.03</v>
      </c>
      <c r="S45" s="13" t="n">
        <v>-0.5</v>
      </c>
      <c r="T45" s="13" t="n"/>
      <c r="U45" s="13" t="n"/>
      <c r="V45" s="13" t="n">
        <v>1</v>
      </c>
      <c r="W45" s="13" t="n">
        <v>1</v>
      </c>
      <c r="X45" s="65" t="n">
        <v>118</v>
      </c>
      <c r="Y45" s="12" t="n">
        <v>54.42</v>
      </c>
      <c r="Z45" s="12" t="n">
        <v>7</v>
      </c>
      <c r="AA45" s="66">
        <f>IF(X45&lt;33,IF(Y45&gt;(1.1*X45),0,1),1)+IF(Y45&gt;(4*X45),-1,0)</f>
        <v/>
      </c>
      <c r="AB45" s="13" t="n">
        <v>2.7</v>
      </c>
      <c r="AC45" s="12">
        <f>IF(AB45&gt;9,1,0)+AB45/3</f>
        <v/>
      </c>
      <c r="AD45" s="12" t="n">
        <v>13</v>
      </c>
      <c r="AE45" s="12" t="n">
        <v>1.6</v>
      </c>
      <c r="AF45" s="12" t="n">
        <v>-4</v>
      </c>
      <c r="AG45" s="12">
        <f>IF(G45&lt;0,0,1.2)+IF(G45&lt;14,0,0.9)+IF(P45&lt;0,0.7,0)+IF(P45&lt;6.5,1,0)+IF(P45&lt;23,1,0)+IF(R45&gt;88,0,1)+S45+IF(AD45&lt;20,0,1)+IF(AE45&lt;14,0,1)+IF(AF45&lt;26,0,1)</f>
        <v/>
      </c>
      <c r="AH45" s="12">
        <f>AG45+IF(AG45&gt;6,1,0)+IF(X45&lt;17,0,1)+IF(Y45&lt;11,0,1)+IF(Z45&lt;1.35,0,1)+AC45+AA45</f>
        <v/>
      </c>
      <c r="AI45" s="12" t="n">
        <v>11</v>
      </c>
      <c r="AJ45" s="11">
        <f>IF(AI45&gt;12.8,IF(AI45&gt;15.8,0.9,0.97),1)</f>
        <v/>
      </c>
      <c r="AK45" s="12">
        <f>(AG45*2.6+AH45)*AJ45*AQ45</f>
        <v/>
      </c>
      <c r="AL45" s="11">
        <f>D45</f>
        <v/>
      </c>
      <c r="AM45" s="11">
        <f>B45</f>
        <v/>
      </c>
      <c r="AN45" s="13" t="n"/>
      <c r="AO45" s="13" t="n"/>
      <c r="AP45" s="13">
        <f>IF(AK45&gt;23.73,IF(Z45&lt;101,IF(Z45&lt;30,IF(Z45&lt;6,3,2),1),0),0)</f>
        <v/>
      </c>
      <c r="AQ45" s="13" t="n">
        <v>1</v>
      </c>
      <c r="AR45" s="11">
        <f>IF(AP45&gt;0,IF(AB45&gt;10,(AB45/Z45),10/Z45),0)</f>
        <v/>
      </c>
      <c r="AS45" s="13" t="n"/>
      <c r="AT45" s="12" t="n">
        <v>1.83755972069092</v>
      </c>
      <c r="AU45" s="12" t="n">
        <v>9.18779860345461</v>
      </c>
      <c r="AV45" s="12" t="n">
        <v>5</v>
      </c>
      <c r="AW45" s="12" t="n"/>
      <c r="AX45" s="12" t="n"/>
      <c r="AY45" s="12" t="n"/>
      <c r="AZ45" s="12" t="n"/>
      <c r="BA45" s="12" t="n"/>
      <c r="BB45" s="12" t="n"/>
      <c r="BC45" s="12" t="n"/>
    </row>
    <row r="46" ht="12.75" customHeight="1">
      <c r="A46" s="17" t="n"/>
      <c r="B46" s="11" t="inlineStr">
        <is>
          <t>Lenskart Solutions</t>
        </is>
      </c>
      <c r="C46" s="13" t="n">
        <v>2025</v>
      </c>
      <c r="D46" s="11" t="inlineStr">
        <is>
          <t>Neg</t>
        </is>
      </c>
      <c r="E46" s="13" t="n">
        <v>346</v>
      </c>
      <c r="F46" s="13" t="n">
        <v>6099</v>
      </c>
      <c r="G46" s="13">
        <f>100*(F46-E46)/F46</f>
        <v/>
      </c>
      <c r="H46" s="13" t="n">
        <v>9263</v>
      </c>
      <c r="I46" s="13" t="n">
        <v>295.6</v>
      </c>
      <c r="J46" s="13" t="n"/>
      <c r="K46" s="12" t="n">
        <v>0.8</v>
      </c>
      <c r="L46" s="12" t="n"/>
      <c r="M46" s="13" t="n">
        <v>975.5</v>
      </c>
      <c r="N46" s="13" t="n"/>
      <c r="O46" s="13" t="n">
        <v>6652.5</v>
      </c>
      <c r="P46" s="13">
        <f>O46/I46</f>
        <v/>
      </c>
      <c r="Q46" s="13" t="n">
        <v>526.4</v>
      </c>
      <c r="R46" s="13" t="n">
        <v>526.4</v>
      </c>
      <c r="S46" s="13" t="n">
        <v>-0.5</v>
      </c>
      <c r="T46" s="13" t="n"/>
      <c r="U46" s="13" t="n"/>
      <c r="V46" s="13" t="n">
        <v>1</v>
      </c>
      <c r="W46" s="13" t="n">
        <v>1</v>
      </c>
      <c r="X46" s="65" t="n">
        <v>40.36</v>
      </c>
      <c r="Y46" s="12" t="n">
        <v>20</v>
      </c>
      <c r="Z46" s="12" t="n">
        <v>7.56</v>
      </c>
      <c r="AA46" s="66">
        <f>IF(X46&lt;33,IF(Y46&gt;(1.1*X46),0,1),1)+IF(Y46&gt;(4*X46),-1,0)</f>
        <v/>
      </c>
      <c r="AB46" s="13" t="n">
        <v>2.5</v>
      </c>
      <c r="AC46" s="12">
        <f>IF(AB46&gt;9,1,0)+AB46/3</f>
        <v/>
      </c>
      <c r="AD46" s="12" t="n">
        <v>3031</v>
      </c>
      <c r="AE46" s="12" t="n">
        <v>22.6</v>
      </c>
      <c r="AF46" s="12" t="n">
        <v>7.9</v>
      </c>
      <c r="AG46" s="12">
        <f>IF(G46&lt;0,0,1.2)+IF(G46&lt;14,0,0.9)+IF(P46&lt;0,0.7,0)+IF(P46&lt;6.5,1,0)+IF(P46&lt;23,1,0)+IF(R46&gt;88,0,1)+S46+IF(AD46&lt;20,0,1)+IF(AE46&lt;14,0,1)+IF(AF46&lt;26,0,1)</f>
        <v/>
      </c>
      <c r="AH46" s="12">
        <f>AG46+IF(AG46&gt;6,1,0)+IF(X46&lt;17,0,1)+IF(Y46&lt;11,0,1)+IF(Z46&lt;1.35,0,1)+AC46+AA46</f>
        <v/>
      </c>
      <c r="AI46" s="12" t="n">
        <v>11</v>
      </c>
      <c r="AJ46" s="11">
        <f>IF(AI46&gt;12.8,IF(AI46&gt;15.8,0.9,0.97),1)</f>
        <v/>
      </c>
      <c r="AK46" s="12">
        <f>(AG46*2.6+AH46)*AJ46*AQ46</f>
        <v/>
      </c>
      <c r="AL46" s="11">
        <f>D46</f>
        <v/>
      </c>
      <c r="AM46" s="11">
        <f>B46</f>
        <v/>
      </c>
      <c r="AN46" s="13" t="n"/>
      <c r="AO46" s="13" t="n"/>
      <c r="AP46" s="13">
        <f>IF(AK46&gt;23.73,IF(Z46&lt;101,IF(Z46&lt;30,IF(Z46&lt;6,3,2),1),0),0)</f>
        <v/>
      </c>
      <c r="AQ46" s="13" t="n">
        <v>1</v>
      </c>
      <c r="AR46" s="11">
        <f>IF(AP46&gt;0,IF(AB46&gt;10,(AB46/Z46),10/Z46),0)</f>
        <v/>
      </c>
      <c r="AS46" s="13" t="n"/>
      <c r="AT46" s="12" t="n">
        <v>5</v>
      </c>
      <c r="AU46" s="12" t="n">
        <v>25</v>
      </c>
      <c r="AV46" s="12" t="n">
        <v>5</v>
      </c>
      <c r="AW46" s="12" t="n"/>
      <c r="AX46" s="12" t="n"/>
      <c r="AY46" s="12" t="n">
        <v>-1.75</v>
      </c>
      <c r="AZ46" s="12" t="n"/>
      <c r="BA46" s="12" t="n"/>
      <c r="BB46" s="12" t="n"/>
      <c r="BC46" s="12" t="n"/>
    </row>
    <row r="47" ht="12.75" customHeight="1">
      <c r="A47" s="17" t="n"/>
      <c r="B47" s="11" t="inlineStr">
        <is>
          <t>Groww</t>
        </is>
      </c>
      <c r="C47" s="13" t="n">
        <v>2025</v>
      </c>
      <c r="D47" s="11" t="inlineStr">
        <is>
          <t>Pos</t>
        </is>
      </c>
      <c r="E47" s="13" t="n">
        <v>351.99</v>
      </c>
      <c r="F47" s="13" t="n">
        <v>4855.35</v>
      </c>
      <c r="G47" s="13">
        <f>100*(F47-E47)/F47</f>
        <v/>
      </c>
      <c r="H47" s="13" t="n">
        <v>10077.31</v>
      </c>
      <c r="I47" s="13" t="n">
        <v>1824.37</v>
      </c>
      <c r="J47" s="13" t="n"/>
      <c r="K47" s="12" t="n">
        <v>3.01</v>
      </c>
      <c r="L47" s="12" t="n"/>
      <c r="M47" s="13" t="n">
        <v>2371.01</v>
      </c>
      <c r="N47" s="13" t="n"/>
      <c r="O47" s="13" t="n">
        <v>4061.65</v>
      </c>
      <c r="P47" s="13">
        <f>O47/I47</f>
        <v/>
      </c>
      <c r="Q47" s="13" t="n">
        <v>33.26</v>
      </c>
      <c r="R47" s="13" t="n">
        <v>33.26</v>
      </c>
      <c r="S47" s="13" t="n">
        <v>-1</v>
      </c>
      <c r="T47" s="13" t="inlineStr">
        <is>
          <t xml:space="preserve"> </t>
        </is>
      </c>
      <c r="U47" s="13" t="n"/>
      <c r="V47" s="13" t="n">
        <v>1</v>
      </c>
      <c r="W47" s="13" t="n">
        <v>1</v>
      </c>
      <c r="X47" s="65" t="n">
        <v>22.3</v>
      </c>
      <c r="Y47" s="12" t="n">
        <v>14</v>
      </c>
      <c r="Z47" s="12" t="n">
        <v>9</v>
      </c>
      <c r="AA47" s="66">
        <f>IF(X47&lt;33,IF(Y47&gt;(1.1*X47),0,1),1)+IF(Y47&gt;(4*X47),-1,0)</f>
        <v/>
      </c>
      <c r="AB47" s="13" t="n">
        <v>5</v>
      </c>
      <c r="AC47" s="12">
        <f>IF(AB47&gt;9,1,0)+AB47/3</f>
        <v/>
      </c>
      <c r="AD47" s="12" t="n">
        <v>0</v>
      </c>
      <c r="AE47" s="12" t="n">
        <v>45.2</v>
      </c>
      <c r="AF47" s="12" t="n">
        <v>91</v>
      </c>
      <c r="AG47" s="12">
        <f>IF(G47&lt;0,0,1.2)+IF(G47&lt;14,0,0.9)+IF(P47&lt;0,0.7,0)+IF(P47&lt;6.5,1,0)+IF(P47&lt;23,1,0)+IF(R47&gt;88,0,1)+S47+IF(AD47&lt;20,0,1)+IF(AE47&lt;14,0,1)+IF(AF47&lt;26,0,1)</f>
        <v/>
      </c>
      <c r="AH47" s="12">
        <f>AG47+IF(AG47&gt;6,1,0)+IF(X47&lt;17,0,1)+IF(Y47&lt;11,0,1)+IF(Z47&lt;1.35,0,1)+AC47+AA47</f>
        <v/>
      </c>
      <c r="AI47" s="12" t="n">
        <v>11</v>
      </c>
      <c r="AJ47" s="11">
        <f>IF(AI47&gt;12.8,IF(AI47&gt;15.8,0.9,0.97),1)</f>
        <v/>
      </c>
      <c r="AK47" s="12">
        <f>(AG47*2.6+AH47)*AJ47*AQ47</f>
        <v/>
      </c>
      <c r="AL47" s="11">
        <f>D47</f>
        <v/>
      </c>
      <c r="AM47" s="11">
        <f>B47</f>
        <v/>
      </c>
      <c r="AN47" s="13" t="n"/>
      <c r="AO47" s="13" t="n"/>
      <c r="AP47" s="13">
        <f>IF(AK47&gt;23.73,IF(Z47&lt;101,IF(Z47&lt;30,IF(Z47&lt;6,3,2),1),0),0)</f>
        <v/>
      </c>
      <c r="AQ47" s="13" t="n">
        <v>1</v>
      </c>
      <c r="AR47" s="11">
        <f>IF(AP47&gt;0,IF(AB47&gt;10,(AB47/Z47),10/Z47),0)</f>
        <v/>
      </c>
      <c r="AS47" s="13" t="n"/>
      <c r="AT47" s="12" t="n">
        <v>7.14285714285714</v>
      </c>
      <c r="AU47" s="12" t="n">
        <v>35.7142857142857</v>
      </c>
      <c r="AV47" s="12" t="n">
        <v>5</v>
      </c>
      <c r="AW47" s="12" t="n"/>
      <c r="AX47" s="12" t="n"/>
      <c r="AY47" s="12" t="n">
        <v>12</v>
      </c>
      <c r="AZ47" s="12" t="n">
        <v>31</v>
      </c>
      <c r="BA47" s="12" t="n"/>
      <c r="BB47" s="12" t="n">
        <v>49</v>
      </c>
      <c r="BC47" s="12" t="n"/>
    </row>
    <row r="48" ht="12.75" customHeight="1">
      <c r="A48" s="17" t="n"/>
      <c r="B48" s="11" t="inlineStr">
        <is>
          <t>Pine Labs</t>
        </is>
      </c>
      <c r="C48" s="13" t="n">
        <v>2025</v>
      </c>
      <c r="D48" s="11" t="inlineStr">
        <is>
          <t>Pos</t>
        </is>
      </c>
      <c r="E48" s="13" t="n">
        <v>829.48</v>
      </c>
      <c r="F48" s="13" t="n">
        <v>3506.15</v>
      </c>
      <c r="G48" s="13">
        <f>100*(F48-E48)/F48</f>
        <v/>
      </c>
      <c r="H48" s="13" t="n">
        <v>10715.73</v>
      </c>
      <c r="I48" s="13" t="n">
        <v>-145.48</v>
      </c>
      <c r="J48" s="13" t="n"/>
      <c r="K48" s="12" t="n">
        <v>0</v>
      </c>
      <c r="L48" s="12" t="n"/>
      <c r="M48" s="13" t="n">
        <v>234.51</v>
      </c>
      <c r="N48" s="13" t="n"/>
      <c r="O48" s="13" t="n">
        <v>2274.27</v>
      </c>
      <c r="P48" s="13">
        <f>O48/I48</f>
        <v/>
      </c>
      <c r="Q48" s="13" t="n">
        <v>0</v>
      </c>
      <c r="R48" s="13" t="n">
        <v>0</v>
      </c>
      <c r="S48" s="13" t="n">
        <v>0</v>
      </c>
      <c r="T48" s="13" t="n"/>
      <c r="U48" s="13" t="n"/>
      <c r="V48" s="13" t="n">
        <v>1</v>
      </c>
      <c r="W48" s="13" t="n">
        <v>1</v>
      </c>
      <c r="X48" s="65" t="n">
        <v>3.97</v>
      </c>
      <c r="Y48" s="12" t="n">
        <v>0.3</v>
      </c>
      <c r="Z48" s="12" t="n">
        <v>1.27</v>
      </c>
      <c r="AA48" s="66">
        <f>IF(X48&lt;33,IF(Y48&gt;(1.1*X48),0,1),1)+IF(Y48&gt;(4*X48),-1,0)</f>
        <v/>
      </c>
      <c r="AB48" s="13" t="n">
        <v>2.5</v>
      </c>
      <c r="AC48" s="12">
        <f>IF(AB48&gt;9,1,0)+AB48/3</f>
        <v/>
      </c>
      <c r="AD48" s="12" t="n">
        <v>57.47</v>
      </c>
      <c r="AE48" s="12" t="n">
        <v>28.5</v>
      </c>
      <c r="AF48" s="12" t="n">
        <v>-1</v>
      </c>
      <c r="AG48" s="12">
        <f>IF(G48&lt;0,0,1.2)+IF(G48&lt;14,0,0.9)+IF(P48&lt;0,0.7,0)+IF(P48&lt;6.5,1,0)+IF(P48&lt;23,1,0)+IF(R48&gt;88,0,1)+S48+IF(AD48&lt;20,0,1)+IF(AE48&lt;14,0,1)+IF(AF48&lt;26,0,1)</f>
        <v/>
      </c>
      <c r="AH48" s="12">
        <f>AG48+IF(AG48&gt;6,1,0)+IF(X48&lt;17,0,1)+IF(Y48&lt;11,0,1)+IF(Z48&lt;1.35,0,1)+AC48+AA48</f>
        <v/>
      </c>
      <c r="AI48" s="12" t="n">
        <v>11</v>
      </c>
      <c r="AJ48" s="11">
        <f>IF(AI48&gt;12.8,IF(AI48&gt;15.8,0.9,0.97),1)</f>
        <v/>
      </c>
      <c r="AK48" s="12">
        <f>(AG48*2.6+AH48)*AJ48*AQ48</f>
        <v/>
      </c>
      <c r="AL48" s="11">
        <f>D48</f>
        <v/>
      </c>
      <c r="AM48" s="11">
        <f>B48</f>
        <v/>
      </c>
      <c r="AN48" s="13" t="n"/>
      <c r="AO48" s="13" t="n"/>
      <c r="AP48" s="13">
        <f>IF(AK48&gt;23.73,IF(Z48&lt;101,IF(Z48&lt;30,IF(Z48&lt;6,3,2),1),0),0)</f>
        <v/>
      </c>
      <c r="AQ48" s="13" t="n">
        <v>1</v>
      </c>
      <c r="AR48" s="11">
        <f>IF(AP48&gt;0,IF(AB48&gt;10,(AB48/Z48),10/Z48),0)</f>
        <v/>
      </c>
      <c r="AS48" s="13" t="n"/>
      <c r="AT48" s="12" t="n">
        <v>333.333333333333</v>
      </c>
      <c r="AU48" s="12" t="n">
        <v>1666.66666666667</v>
      </c>
      <c r="AV48" s="12" t="n">
        <v>5</v>
      </c>
      <c r="AW48" s="12" t="n"/>
      <c r="AX48" s="12" t="n"/>
      <c r="AY48" s="12" t="n"/>
      <c r="AZ48" s="12" t="n"/>
      <c r="BA48" s="12" t="n"/>
      <c r="BB48" s="12" t="n"/>
      <c r="BC48" s="12" t="n"/>
    </row>
    <row r="49" ht="12.75" customHeight="1">
      <c r="A49" s="17" t="n"/>
      <c r="B49" s="11" t="inlineStr">
        <is>
          <t>Emmvee Photovoltaic</t>
        </is>
      </c>
      <c r="C49" s="13" t="n">
        <v>2025</v>
      </c>
      <c r="D49" s="11" t="inlineStr">
        <is>
          <t>Pos</t>
        </is>
      </c>
      <c r="E49" s="13" t="n">
        <v>1949.69</v>
      </c>
      <c r="F49" s="13" t="n">
        <v>531.41</v>
      </c>
      <c r="G49" s="13">
        <f>100*(F49-E49)/F49</f>
        <v/>
      </c>
      <c r="H49" s="13" t="n">
        <v>2629.95</v>
      </c>
      <c r="I49" s="13" t="n">
        <v>369.01</v>
      </c>
      <c r="J49" s="13" t="n"/>
      <c r="K49" s="12" t="n">
        <v>6.22</v>
      </c>
      <c r="L49" s="12" t="n"/>
      <c r="M49" s="13" t="n">
        <v>721.9400000000001</v>
      </c>
      <c r="N49" s="13" t="n"/>
      <c r="O49" s="13" t="n">
        <v>2335.61</v>
      </c>
      <c r="P49" s="13">
        <f>O49/I49</f>
        <v/>
      </c>
      <c r="Q49" s="13" t="n">
        <v>40</v>
      </c>
      <c r="R49" s="13" t="n">
        <v>40</v>
      </c>
      <c r="S49" s="13" t="n">
        <v>0.7</v>
      </c>
      <c r="T49" s="13" t="n"/>
      <c r="U49" s="13" t="n"/>
      <c r="V49" s="13" t="n">
        <v>1</v>
      </c>
      <c r="W49" s="13" t="n">
        <v>1</v>
      </c>
      <c r="X49" s="65" t="n">
        <v>1.2</v>
      </c>
      <c r="Y49" s="12" t="n">
        <v>1</v>
      </c>
      <c r="Z49" s="12" t="n">
        <v>1.1</v>
      </c>
      <c r="AA49" s="66">
        <f>IF(X49&lt;33,IF(Y49&gt;(1.1*X49),0,1),1)+IF(Y49&gt;(4*X49),-1,0)</f>
        <v/>
      </c>
      <c r="AB49" s="13" t="n">
        <v>0</v>
      </c>
      <c r="AC49" s="12">
        <f>IF(AB49&gt;9,1,0)+AB49/3</f>
        <v/>
      </c>
      <c r="AD49" s="12" t="n">
        <v>1177</v>
      </c>
      <c r="AE49" s="12" t="n">
        <v>145</v>
      </c>
      <c r="AF49" s="12" t="n">
        <v>218</v>
      </c>
      <c r="AG49" s="12">
        <f>IF(G49&lt;0,0,1.2)+IF(G49&lt;14,0,0.9)+IF(P49&lt;0,0.7,0)+IF(P49&lt;6.5,1,0)+IF(P49&lt;23,1,0)+IF(R49&gt;88,0,1)+S49+IF(AD49&lt;20,0,1)+IF(AE49&lt;14,0,1)+IF(AF49&lt;26,0,1)</f>
        <v/>
      </c>
      <c r="AH49" s="12">
        <f>AG49+IF(AG49&gt;6,1,0)+IF(X49&lt;17,0,1)+IF(Y49&lt;11,0,1)+IF(Z49&lt;1.35,0,1)+AC49+AA49</f>
        <v/>
      </c>
      <c r="AI49" s="12" t="n">
        <v>11</v>
      </c>
      <c r="AJ49" s="11">
        <f>IF(AI49&gt;12.8,IF(AI49&gt;15.8,0.9,0.97),1)</f>
        <v/>
      </c>
      <c r="AK49" s="12">
        <f>(AG49*2.6+AH49)*AJ49*AQ49</f>
        <v/>
      </c>
      <c r="AL49" s="11">
        <f>D49</f>
        <v/>
      </c>
      <c r="AM49" s="11">
        <f>B49</f>
        <v/>
      </c>
      <c r="AN49" s="13" t="n"/>
      <c r="AO49" s="13" t="n"/>
      <c r="AP49" s="13">
        <f>IF(AK49&gt;23.73,IF(Z49&lt;101,IF(Z49&lt;30,IF(Z49&lt;6,3,2),1),0),0)</f>
        <v/>
      </c>
      <c r="AQ49" s="13" t="n">
        <v>1</v>
      </c>
      <c r="AR49" s="11">
        <f>IF(AP49&gt;0,IF(AB49&gt;10,(AB49/Z49),10/Z49),0)</f>
        <v/>
      </c>
      <c r="AS49" s="13" t="n"/>
      <c r="AT49" s="12" t="n">
        <v>100</v>
      </c>
      <c r="AU49" s="12" t="n">
        <v>500</v>
      </c>
      <c r="AV49" s="12" t="n">
        <v>5</v>
      </c>
      <c r="AW49" s="12" t="n"/>
      <c r="AX49" s="12" t="n"/>
      <c r="AY49" s="12" t="n"/>
      <c r="AZ49" s="12" t="n"/>
      <c r="BA49" s="12" t="n"/>
      <c r="BB49" s="12" t="n"/>
      <c r="BC49" s="12" t="n"/>
    </row>
    <row r="50" ht="12.75" customHeight="1">
      <c r="A50" s="17" t="n"/>
      <c r="B50" s="11" t="inlineStr">
        <is>
          <t>PhysicsWallah</t>
        </is>
      </c>
      <c r="C50" s="13" t="n">
        <v>2025</v>
      </c>
      <c r="D50" s="11" t="inlineStr">
        <is>
          <t>Pos</t>
        </is>
      </c>
      <c r="E50" s="13" t="n">
        <v>0.33</v>
      </c>
      <c r="F50" s="13" t="n">
        <v>1524.55</v>
      </c>
      <c r="G50" s="13">
        <f>100*(F50-E50)/F50</f>
        <v/>
      </c>
      <c r="H50" s="13" t="n">
        <v>4156.38</v>
      </c>
      <c r="I50" s="13" t="n">
        <v>-243.26</v>
      </c>
      <c r="J50" s="13" t="n"/>
      <c r="K50" s="12" t="n">
        <v>-0.86</v>
      </c>
      <c r="L50" s="12" t="n"/>
      <c r="M50" s="13" t="n">
        <v>193.19</v>
      </c>
      <c r="N50" s="13" t="n"/>
      <c r="O50" s="13" t="n">
        <v>2886.64</v>
      </c>
      <c r="P50" s="13">
        <f>O50/I50</f>
        <v/>
      </c>
      <c r="Q50" s="13" t="n">
        <v>-62.06</v>
      </c>
      <c r="R50" s="13" t="n">
        <v>-62.06</v>
      </c>
      <c r="S50" s="13" t="n">
        <v>-0.5</v>
      </c>
      <c r="T50" s="13" t="n"/>
      <c r="U50" s="13" t="n"/>
      <c r="V50" s="13" t="n">
        <v>1</v>
      </c>
      <c r="W50" s="13" t="n">
        <v>1</v>
      </c>
      <c r="X50" s="65" t="n">
        <v>3</v>
      </c>
      <c r="Y50" s="12" t="n">
        <v>0.5</v>
      </c>
      <c r="Z50" s="12" t="n">
        <v>1.14</v>
      </c>
      <c r="AA50" s="66">
        <f>IF(X50&lt;33,IF(Y50&gt;(1.1*X50),0,1),1)+IF(Y50&gt;(4*X50),-1,0)</f>
        <v/>
      </c>
      <c r="AB50" s="13" t="n">
        <v>0</v>
      </c>
      <c r="AC50" s="12">
        <f>IF(AB50&gt;9,1,0)+AB50/3</f>
        <v/>
      </c>
      <c r="AD50" s="12" t="n">
        <v>78.48999999999999</v>
      </c>
      <c r="AE50" s="12" t="n">
        <v>48.76</v>
      </c>
      <c r="AF50" s="12" t="n">
        <v>222.37</v>
      </c>
      <c r="AG50" s="12">
        <f>IF(G50&lt;0,0,1.2)+IF(G50&lt;14,0,0.9)+IF(P50&lt;0,0.7,0)+IF(P50&lt;6.5,1,0)+IF(P50&lt;23,1,0)+IF(R50&gt;88,0,1)+S50+IF(AD50&lt;20,0,1)+IF(AE50&lt;14,0,1)+IF(AF50&lt;26,0,1)</f>
        <v/>
      </c>
      <c r="AH50" s="12">
        <f>AG50+IF(AG50&gt;6,1,0)+IF(X50&lt;17,0,1)+IF(Y50&lt;11,0,1)+IF(Z50&lt;1.35,0,1)+AC50+AA50</f>
        <v/>
      </c>
      <c r="AI50" s="12" t="n">
        <v>11</v>
      </c>
      <c r="AJ50" s="11">
        <f>IF(AI50&gt;12.8,IF(AI50&gt;15.8,0.9,0.97),1)</f>
        <v/>
      </c>
      <c r="AK50" s="12">
        <f>(AG50*2.6+AH50)*AJ50*AQ50</f>
        <v/>
      </c>
      <c r="AL50" s="11">
        <f>D50</f>
        <v/>
      </c>
      <c r="AM50" s="11">
        <f>B50</f>
        <v/>
      </c>
      <c r="AN50" s="13" t="n"/>
      <c r="AO50" s="13" t="n"/>
      <c r="AP50" s="13">
        <f>IF(AK50&gt;23.73,IF(Z50&lt;101,IF(Z50&lt;30,IF(Z50&lt;6,3,2),1),0),0)</f>
        <v/>
      </c>
      <c r="AQ50" s="13" t="n">
        <v>1</v>
      </c>
      <c r="AR50" s="11">
        <f>IF(AP50&gt;0,IF(AB50&gt;10,(AB50/Z50),10/Z50),0)</f>
        <v/>
      </c>
      <c r="AS50" s="13" t="n"/>
      <c r="AT50" s="12" t="n">
        <v>200</v>
      </c>
      <c r="AU50" s="12" t="n">
        <v>1000</v>
      </c>
      <c r="AV50" s="12" t="n">
        <v>5</v>
      </c>
      <c r="AW50" s="12" t="n"/>
      <c r="AX50" s="12" t="n"/>
      <c r="AY50" s="12" t="n"/>
      <c r="AZ50" s="12" t="n"/>
      <c r="BA50" s="12" t="n"/>
      <c r="BB50" s="12" t="n"/>
      <c r="BC50" s="12" t="n"/>
    </row>
    <row r="51" ht="12.75" customHeight="1">
      <c r="A51" s="17" t="n"/>
      <c r="B51" s="11" t="inlineStr">
        <is>
          <t>Studds Accessories</t>
        </is>
      </c>
      <c r="C51" s="13" t="n">
        <v>2025</v>
      </c>
      <c r="D51" s="11" t="inlineStr">
        <is>
          <t>Neg</t>
        </is>
      </c>
      <c r="E51" s="13" t="n">
        <v>2.9</v>
      </c>
      <c r="F51" s="13" t="n">
        <v>449.5</v>
      </c>
      <c r="G51" s="13">
        <f>100*(F51-E51)/F51</f>
        <v/>
      </c>
      <c r="H51" s="13" t="n">
        <v>556.7</v>
      </c>
      <c r="I51" s="13" t="n">
        <v>69.59999999999999</v>
      </c>
      <c r="J51" s="13" t="n"/>
      <c r="K51" s="12" t="n">
        <v>17.7</v>
      </c>
      <c r="L51" s="12" t="n"/>
      <c r="M51" s="13" t="n">
        <v>104.8</v>
      </c>
      <c r="N51" s="13" t="n"/>
      <c r="O51" s="13" t="n">
        <v>583.8</v>
      </c>
      <c r="P51" s="13">
        <f>O51/I51</f>
        <v/>
      </c>
      <c r="Q51" s="13" t="n">
        <v>33.1</v>
      </c>
      <c r="R51" s="13" t="n">
        <v>33.1</v>
      </c>
      <c r="S51" s="13" t="n">
        <v>-0.6</v>
      </c>
      <c r="T51" s="13" t="n"/>
      <c r="U51" s="13" t="n"/>
      <c r="V51" s="13" t="n">
        <v>1</v>
      </c>
      <c r="W51" s="13" t="n">
        <v>1</v>
      </c>
      <c r="X51" s="65" t="n">
        <v>159.99</v>
      </c>
      <c r="Y51" s="12" t="n">
        <v>76.98999999999999</v>
      </c>
      <c r="Z51" s="12" t="n">
        <v>22.09</v>
      </c>
      <c r="AA51" s="66">
        <f>IF(X51&lt;33,IF(Y51&gt;(1.1*X51),0,1),1)+IF(Y51&gt;(4*X51),-1,0)</f>
        <v/>
      </c>
      <c r="AB51" s="13" t="n">
        <v>3.4</v>
      </c>
      <c r="AC51" s="12">
        <f>IF(AB51&gt;9,1,0)+AB51/3</f>
        <v/>
      </c>
      <c r="AD51" s="12" t="n">
        <v>21.7</v>
      </c>
      <c r="AE51" s="12" t="n">
        <v>10.4</v>
      </c>
      <c r="AF51" s="12" t="n">
        <v>16</v>
      </c>
      <c r="AG51" s="12">
        <f>IF(G51&lt;0,0,1.2)+IF(G51&lt;14,0,0.9)+IF(P51&lt;0,0.7,0)+IF(P51&lt;6.5,1,0)+IF(P51&lt;23,1,0)+IF(R51&gt;88,0,1)+S51+IF(AD51&lt;20,0,1)+IF(AE51&lt;14,0,1)+IF(AF51&lt;26,0,1)</f>
        <v/>
      </c>
      <c r="AH51" s="12">
        <f>AG51+IF(AG51&gt;6,1,0)+IF(X51&lt;17,0,1)+IF(Y51&lt;11,0,1)+IF(Z51&lt;1.35,0,1)+AC51+AA51</f>
        <v/>
      </c>
      <c r="AI51" s="12" t="n">
        <v>11</v>
      </c>
      <c r="AJ51" s="11">
        <f>IF(AI51&gt;12.8,IF(AI51&gt;15.8,0.9,0.97),1)</f>
        <v/>
      </c>
      <c r="AK51" s="12">
        <f>(AG51*2.6+AH51)*AJ51*AQ51</f>
        <v/>
      </c>
      <c r="AL51" s="11">
        <f>D51</f>
        <v/>
      </c>
      <c r="AM51" s="11">
        <f>B51</f>
        <v/>
      </c>
      <c r="AN51" s="13" t="n"/>
      <c r="AO51" s="13" t="n"/>
      <c r="AP51" s="13">
        <f>IF(AK51&gt;23.73,IF(Z51&lt;101,IF(Z51&lt;30,IF(Z51&lt;6,3,2),1),0),0)</f>
        <v/>
      </c>
      <c r="AQ51" s="13" t="n">
        <v>1</v>
      </c>
      <c r="AR51" s="11">
        <f>IF(AP51&gt;0,IF(AB51&gt;10,(AB51/Z51),10/Z51),0)</f>
        <v/>
      </c>
      <c r="AS51" s="13" t="n"/>
      <c r="AT51" s="12" t="n">
        <v>1.29886998311469</v>
      </c>
      <c r="AU51" s="12" t="n">
        <v>6.49434991557345</v>
      </c>
      <c r="AV51" s="12" t="n">
        <v>5</v>
      </c>
      <c r="AW51" s="12" t="n"/>
      <c r="AX51" s="12" t="n"/>
      <c r="AY51" s="12" t="n"/>
      <c r="AZ51" s="12" t="n"/>
      <c r="BA51" s="12" t="n"/>
      <c r="BB51" s="12" t="n"/>
      <c r="BC51" s="12" t="n"/>
    </row>
    <row r="52" ht="12.75" customHeight="1">
      <c r="A52" s="17" t="n"/>
      <c r="B52" s="11" t="inlineStr">
        <is>
          <t>Tenneco Clean Air</t>
        </is>
      </c>
      <c r="C52" s="13" t="n">
        <v>2025</v>
      </c>
      <c r="D52" s="11" t="inlineStr">
        <is>
          <t>Pos</t>
        </is>
      </c>
      <c r="E52" s="13" t="n">
        <v>0</v>
      </c>
      <c r="F52" s="13" t="n">
        <v>12550.93</v>
      </c>
      <c r="G52" s="13">
        <f>100*(F52-E52)/F52</f>
        <v/>
      </c>
      <c r="H52" s="13" t="n">
        <v>28315.84</v>
      </c>
      <c r="I52" s="13" t="n">
        <v>5531.43</v>
      </c>
      <c r="J52" s="13" t="n"/>
      <c r="K52" s="12" t="n">
        <v>13.68</v>
      </c>
      <c r="L52" s="12" t="n"/>
      <c r="M52" s="13" t="n">
        <v>8152.39</v>
      </c>
      <c r="N52" s="13" t="n"/>
      <c r="O52" s="13" t="n">
        <v>48904.3</v>
      </c>
      <c r="P52" s="13">
        <f>O52/I52</f>
        <v/>
      </c>
      <c r="Q52" s="13" t="n">
        <v>14.73</v>
      </c>
      <c r="R52" s="13" t="n">
        <v>14.73</v>
      </c>
      <c r="S52" s="13" t="n">
        <v>-0.9</v>
      </c>
      <c r="T52" s="13" t="n"/>
      <c r="U52" s="13" t="n"/>
      <c r="V52" s="13" t="n">
        <v>1</v>
      </c>
      <c r="W52" s="13" t="n">
        <v>1</v>
      </c>
      <c r="X52" s="65" t="n">
        <v>175</v>
      </c>
      <c r="Y52" s="12" t="n">
        <v>43</v>
      </c>
      <c r="Z52" s="12" t="n">
        <v>5</v>
      </c>
      <c r="AA52" s="66">
        <f>IF(X52&lt;33,IF(Y52&gt;(1.1*X52),0,1),1)+IF(Y52&gt;(4*X52),-1,0)</f>
        <v/>
      </c>
      <c r="AB52" s="13" t="n">
        <v>26</v>
      </c>
      <c r="AC52" s="12">
        <f>IF(AB52&gt;9,1,0)+AB52/3</f>
        <v/>
      </c>
      <c r="AD52" s="12" t="n">
        <v>32.72</v>
      </c>
      <c r="AE52" s="12" t="n">
        <v>-10.56</v>
      </c>
      <c r="AF52" s="12" t="n">
        <v>12.39</v>
      </c>
      <c r="AG52" s="12">
        <f>IF(G52&lt;0,0,1.2)+IF(G52&lt;14,0,0.9)+IF(P52&lt;0,0.7,0)+IF(P52&lt;6.5,1,0)+IF(P52&lt;23,1,0)+IF(R52&gt;88,0,1)+S52+IF(AD52&lt;20,0,1)+IF(AE52&lt;14,0,1)+IF(AF52&lt;26,0,1)</f>
        <v/>
      </c>
      <c r="AH52" s="12">
        <f>AG52+IF(AG52&gt;6,1,0)+IF(X52&lt;17,0,1)+IF(Y52&lt;11,0,1)+IF(Z52&lt;1.35,0,1)+AC52+AA52</f>
        <v/>
      </c>
      <c r="AI52" s="12" t="n">
        <v>11</v>
      </c>
      <c r="AJ52" s="11">
        <f>IF(AI52&gt;12.8,IF(AI52&gt;15.8,0.9,0.97),1)</f>
        <v/>
      </c>
      <c r="AK52" s="12">
        <f>(AG52*2.6+AH52)*AJ52*AQ52</f>
        <v/>
      </c>
      <c r="AL52" s="11">
        <f>D52</f>
        <v/>
      </c>
      <c r="AM52" s="11">
        <f>B52</f>
        <v/>
      </c>
      <c r="AN52" s="13" t="n"/>
      <c r="AO52" s="13" t="n"/>
      <c r="AP52" s="13">
        <f>IF(AK52&gt;23.73,IF(Z52&lt;101,IF(Z52&lt;30,IF(Z52&lt;6,3,2),1),0),0)</f>
        <v/>
      </c>
      <c r="AQ52" s="13" t="n">
        <v>1</v>
      </c>
      <c r="AR52" s="11">
        <f>IF(AP52&gt;0,IF(AB52&gt;10,(AB52/Z52),10/Z52),0)</f>
        <v/>
      </c>
      <c r="AS52" s="13" t="n"/>
      <c r="AT52" s="12" t="n">
        <v>2.32558139534884</v>
      </c>
      <c r="AU52" s="12" t="n">
        <v>11.6279069767442</v>
      </c>
      <c r="AV52" s="12" t="n">
        <v>5</v>
      </c>
      <c r="AW52" s="12" t="n"/>
      <c r="AX52" s="12" t="n"/>
      <c r="AY52" s="12" t="n"/>
      <c r="AZ52" s="12" t="n"/>
      <c r="BA52" s="12" t="n"/>
      <c r="BB52" s="12" t="n"/>
      <c r="BC52" s="12" t="n"/>
    </row>
    <row r="53" ht="12.75" customHeight="1">
      <c r="A53" s="17" t="n"/>
      <c r="B53" s="11" t="inlineStr">
        <is>
          <t>Fujiyama Power Systems</t>
        </is>
      </c>
      <c r="C53" s="13" t="n">
        <v>2025</v>
      </c>
      <c r="D53" s="11" t="inlineStr">
        <is>
          <t>Rec</t>
        </is>
      </c>
      <c r="E53" s="13" t="n">
        <v>346.22</v>
      </c>
      <c r="F53" s="13" t="n">
        <v>396.82</v>
      </c>
      <c r="G53" s="13">
        <f>100*(F53-E53)/F53</f>
        <v/>
      </c>
      <c r="H53" s="13" t="n">
        <v>1013.96</v>
      </c>
      <c r="I53" s="13" t="n">
        <v>156.34</v>
      </c>
      <c r="J53" s="13" t="n"/>
      <c r="K53" s="12" t="n">
        <v>5.58</v>
      </c>
      <c r="L53" s="12" t="n"/>
      <c r="M53" s="13" t="n">
        <v>248.52</v>
      </c>
      <c r="N53" s="13" t="n"/>
      <c r="O53" s="13" t="n">
        <v>1550.09</v>
      </c>
      <c r="P53" s="13">
        <f>O53/I53</f>
        <v/>
      </c>
      <c r="Q53" s="13" t="n">
        <v>40.85</v>
      </c>
      <c r="R53" s="13" t="n">
        <v>40.85</v>
      </c>
      <c r="S53" s="13" t="n">
        <v>0.7</v>
      </c>
      <c r="T53" s="13" t="n"/>
      <c r="U53" s="13" t="n"/>
      <c r="V53" s="13" t="n">
        <v>1</v>
      </c>
      <c r="W53" s="13" t="n">
        <v>1</v>
      </c>
      <c r="X53" s="65" t="n">
        <v>5.24</v>
      </c>
      <c r="Y53" s="12" t="n">
        <v>0.87</v>
      </c>
      <c r="Z53" s="12" t="n">
        <v>0.88</v>
      </c>
      <c r="AA53" s="66">
        <f>IF(X53&lt;33,IF(Y53&gt;(1.1*X53),0,1),1)+IF(Y53&gt;(4*X53),-1,0)</f>
        <v/>
      </c>
      <c r="AB53" s="13" t="n">
        <v>1.3</v>
      </c>
      <c r="AC53" s="12">
        <f>IF(AB53&gt;9,1,0)+AB53/3</f>
        <v/>
      </c>
      <c r="AD53" s="12" t="n">
        <v>245</v>
      </c>
      <c r="AE53" s="12" t="n">
        <v>67</v>
      </c>
      <c r="AF53" s="12" t="n">
        <v>66</v>
      </c>
      <c r="AG53" s="12">
        <f>IF(G53&lt;0,0,1.2)+IF(G53&lt;14,0,0.9)+IF(P53&lt;0,0.7,0)+IF(P53&lt;6.5,1,0)+IF(P53&lt;23,1,0)+IF(R53&gt;88,0,1)+S53+IF(AD53&lt;20,0,1)+IF(AE53&lt;14,0,1)+IF(AF53&lt;26,0,1)</f>
        <v/>
      </c>
      <c r="AH53" s="12">
        <f>AG53+IF(AG53&gt;6,1,0)+IF(X53&lt;17,0,1)+IF(Y53&lt;11,0,1)+IF(Z53&lt;1.35,0,1)+AC53+AA53</f>
        <v/>
      </c>
      <c r="AI53" s="12" t="n">
        <v>11</v>
      </c>
      <c r="AJ53" s="11">
        <f>IF(AI53&gt;12.8,IF(AI53&gt;15.8,0.9,0.97),1)</f>
        <v/>
      </c>
      <c r="AK53" s="12">
        <f>(AG53*2.6+AH53)*AJ53*AQ53</f>
        <v/>
      </c>
      <c r="AL53" s="11">
        <f>D53</f>
        <v/>
      </c>
      <c r="AM53" s="70">
        <f>B53</f>
        <v/>
      </c>
      <c r="AN53" s="13" t="n"/>
      <c r="AO53" s="13" t="n"/>
      <c r="AP53" s="13">
        <f>IF(AK53&gt;23.73,IF(Z53&lt;101,IF(Z53&lt;30,IF(Z53&lt;6,3,2),1),0),0)</f>
        <v/>
      </c>
      <c r="AQ53" s="13" t="n">
        <v>1</v>
      </c>
      <c r="AR53" s="11">
        <f>IF(AP53&gt;0,IF(AB53&gt;10,(AB53/Z53),10/Z53),0)</f>
        <v/>
      </c>
      <c r="AS53" s="13" t="n"/>
      <c r="AT53" s="12" t="n">
        <v>114.942528735632</v>
      </c>
      <c r="AU53" s="12" t="n">
        <v>574.712643678161</v>
      </c>
      <c r="AV53" s="12" t="n">
        <v>5</v>
      </c>
      <c r="AW53" s="12" t="n"/>
      <c r="AX53" s="12" t="n"/>
      <c r="AY53" s="12" t="n"/>
      <c r="AZ53" s="12" t="n"/>
      <c r="BA53" s="12" t="n"/>
      <c r="BB53" s="12" t="n"/>
      <c r="BC53" s="12" t="n"/>
    </row>
    <row r="54" ht="12.75" customHeight="1">
      <c r="A54" s="17" t="n"/>
      <c r="B54" s="11" t="inlineStr">
        <is>
          <t>Capillary Technologies</t>
        </is>
      </c>
      <c r="C54" s="13" t="n">
        <v>2025</v>
      </c>
      <c r="D54" s="11" t="inlineStr">
        <is>
          <t>Pos</t>
        </is>
      </c>
      <c r="E54" s="13" t="n">
        <v>100.09</v>
      </c>
      <c r="F54" s="13" t="n">
        <v>481.42</v>
      </c>
      <c r="G54" s="13">
        <f>100*(F54-E54)/F54</f>
        <v/>
      </c>
      <c r="H54" s="13" t="n">
        <v>838.65</v>
      </c>
      <c r="I54" s="13" t="n">
        <v>13.28</v>
      </c>
      <c r="J54" s="13" t="n"/>
      <c r="K54" s="12" t="n">
        <v>1.81</v>
      </c>
      <c r="L54" s="12" t="n"/>
      <c r="M54" s="13" t="n">
        <v>78.56999999999999</v>
      </c>
      <c r="N54" s="13" t="n"/>
      <c r="O54" s="13" t="n">
        <v>598.26</v>
      </c>
      <c r="P54" s="13">
        <f>O54/I54</f>
        <v/>
      </c>
      <c r="Q54" s="13" t="n">
        <v>10</v>
      </c>
      <c r="R54" s="13" t="n">
        <v>10</v>
      </c>
      <c r="S54" s="13" t="n">
        <v>-1</v>
      </c>
      <c r="T54" s="13" t="n"/>
      <c r="U54" s="13" t="n"/>
      <c r="V54" s="13" t="n">
        <v>1</v>
      </c>
      <c r="W54" s="13" t="n">
        <v>1</v>
      </c>
      <c r="X54" s="65" t="n">
        <v>45</v>
      </c>
      <c r="Y54" s="12" t="n">
        <v>70</v>
      </c>
      <c r="Z54" s="12" t="n">
        <v>16</v>
      </c>
      <c r="AA54" s="66">
        <f>IF(X54&lt;33,IF(Y54&gt;(1.1*X54),0,1),1)+IF(Y54&gt;(4*X54),-1,0)</f>
        <v/>
      </c>
      <c r="AB54" s="13" t="n">
        <v>14</v>
      </c>
      <c r="AC54" s="12">
        <f>IF(AB54&gt;9,1,0)+AB54/3</f>
        <v/>
      </c>
      <c r="AD54" s="12" t="n">
        <v>20</v>
      </c>
      <c r="AE54" s="12" t="n">
        <v>20</v>
      </c>
      <c r="AF54" s="12" t="n">
        <v>6.48</v>
      </c>
      <c r="AG54" s="12">
        <f>IF(G54&lt;0,0,1.2)+IF(G54&lt;14,0,0.9)+IF(P54&lt;0,0.7,0)+IF(P54&lt;6.5,1,0)+IF(P54&lt;23,1,0)+IF(R54&gt;88,0,1)+S54+IF(AD54&lt;20,0,1)+IF(AE54&lt;14,0,1)+IF(AF54&lt;26,0,1)</f>
        <v/>
      </c>
      <c r="AH54" s="12">
        <f>AG54+IF(AG54&gt;6,1,0)+IF(X54&lt;17,0,1)+IF(Y54&lt;11,0,1)+IF(Z54&lt;1.35,0,1)+AC54+AA54</f>
        <v/>
      </c>
      <c r="AI54" s="12" t="n">
        <v>11</v>
      </c>
      <c r="AJ54" s="11">
        <f>IF(AI54&gt;12.8,IF(AI54&gt;15.8,0.9,0.97),1)</f>
        <v/>
      </c>
      <c r="AK54" s="12">
        <f>(AG54*2.6+AH54)*AJ54*AQ54</f>
        <v/>
      </c>
      <c r="AL54" s="11">
        <f>D54</f>
        <v/>
      </c>
      <c r="AM54" s="11">
        <f>B54</f>
        <v/>
      </c>
      <c r="AN54" s="13" t="n"/>
      <c r="AO54" s="13" t="n"/>
      <c r="AP54" s="13">
        <f>IF(AK54&gt;23.73,IF(Z54&lt;101,IF(Z54&lt;30,IF(Z54&lt;6,3,2),1),0),0)</f>
        <v/>
      </c>
      <c r="AQ54" s="13" t="n">
        <v>1</v>
      </c>
      <c r="AR54" s="11">
        <f>IF(AP54&gt;0,IF(AB54&gt;10,(AB54/Z54),10/Z54),0)</f>
        <v/>
      </c>
      <c r="AS54" s="13" t="n"/>
      <c r="AT54" s="12" t="n">
        <v>1.42857142857143</v>
      </c>
      <c r="AU54" s="12" t="n">
        <v>7.14285714285714</v>
      </c>
      <c r="AV54" s="12" t="n">
        <v>5</v>
      </c>
      <c r="AW54" s="12" t="n"/>
      <c r="AX54" s="12" t="n"/>
      <c r="AY54" s="12" t="n"/>
      <c r="AZ54" s="12" t="n"/>
      <c r="BA54" s="12" t="n"/>
      <c r="BB54" s="12" t="n"/>
      <c r="BC54" s="12" t="n"/>
    </row>
    <row r="55" ht="12.75" customHeight="1">
      <c r="A55" s="17" t="n"/>
      <c r="B55" s="11" t="inlineStr">
        <is>
          <t>Ecelsoft Technologies</t>
        </is>
      </c>
      <c r="C55" s="13" t="n">
        <v>2025</v>
      </c>
      <c r="D55" s="11" t="inlineStr">
        <is>
          <t>Pos</t>
        </is>
      </c>
      <c r="E55" s="13" t="n">
        <v>76.73</v>
      </c>
      <c r="F55" s="13" t="n">
        <v>297.3</v>
      </c>
      <c r="G55" s="13">
        <f>100*(F55-E55)/F55</f>
        <v/>
      </c>
      <c r="H55" s="13" t="n">
        <v>421.03</v>
      </c>
      <c r="I55" s="13" t="n">
        <v>12.75</v>
      </c>
      <c r="J55" s="13" t="n"/>
      <c r="K55" s="12" t="n">
        <v>3.45</v>
      </c>
      <c r="L55" s="12" t="n"/>
      <c r="M55" s="13" t="n">
        <v>54.97</v>
      </c>
      <c r="N55" s="13" t="n"/>
      <c r="O55" s="13" t="n">
        <v>198.3</v>
      </c>
      <c r="P55" s="13">
        <f>O55/I55</f>
        <v/>
      </c>
      <c r="Q55" s="13" t="n">
        <v>34</v>
      </c>
      <c r="R55" s="13" t="n">
        <v>34</v>
      </c>
      <c r="S55" s="13" t="n">
        <v>-1</v>
      </c>
      <c r="T55" s="13" t="n"/>
      <c r="U55" s="13" t="n"/>
      <c r="V55" s="13" t="n">
        <v>1</v>
      </c>
      <c r="W55" s="13" t="n">
        <v>1</v>
      </c>
      <c r="X55" s="65" t="n">
        <v>50</v>
      </c>
      <c r="Y55" s="12" t="n">
        <v>106</v>
      </c>
      <c r="Z55" s="12" t="n">
        <v>16</v>
      </c>
      <c r="AA55" s="66">
        <f>IF(X55&lt;33,IF(Y55&gt;(1.1*X55),0,1),1)+IF(Y55&gt;(4*X55),-1,0)</f>
        <v/>
      </c>
      <c r="AB55" s="13" t="n">
        <v>6</v>
      </c>
      <c r="AC55" s="12">
        <f>IF(AB55&gt;9,1,0)+AB55/3</f>
        <v/>
      </c>
      <c r="AD55" s="12" t="n">
        <v>200</v>
      </c>
      <c r="AE55" s="12" t="n">
        <v>24</v>
      </c>
      <c r="AF55" s="12" t="n">
        <v>27</v>
      </c>
      <c r="AG55" s="12">
        <f>IF(G55&lt;0,0,1.2)+IF(G55&lt;14,0,0.9)+IF(P55&lt;0,0.7,0)+IF(P55&lt;6.5,1,0)+IF(P55&lt;23,1,0)+IF(R55&gt;88,0,1)+S55+IF(AD55&lt;20,0,1)+IF(AE55&lt;14,0,1)+IF(AF55&lt;26,0,1)</f>
        <v/>
      </c>
      <c r="AH55" s="12">
        <f>AG55+IF(AG55&gt;6,1,0)+IF(X55&lt;17,0,1)+IF(Y55&lt;11,0,1)+IF(Z55&lt;1.35,0,1)+AC55+AA55</f>
        <v/>
      </c>
      <c r="AI55" s="12" t="n">
        <v>11</v>
      </c>
      <c r="AJ55" s="11">
        <f>IF(AI55&gt;12.8,IF(AI55&gt;15.8,0.9,0.97),1)</f>
        <v/>
      </c>
      <c r="AK55" s="12">
        <f>(AG55*2.6+AH55)*AJ55*AQ55</f>
        <v/>
      </c>
      <c r="AL55" s="11">
        <f>D55</f>
        <v/>
      </c>
      <c r="AM55" s="11">
        <f>B55</f>
        <v/>
      </c>
      <c r="AN55" s="13" t="n"/>
      <c r="AO55" s="13" t="n"/>
      <c r="AP55" s="13">
        <f>IF(AK55&gt;23.73,IF(Z55&lt;101,IF(Z55&lt;30,IF(Z55&lt;6,3,2),1),0),0)</f>
        <v/>
      </c>
      <c r="AQ55" s="13" t="n">
        <v>1</v>
      </c>
      <c r="AR55" s="11">
        <f>IF(AP55&gt;0,IF(AB55&gt;10,(AB55/Z55),10/Z55),0)</f>
        <v/>
      </c>
      <c r="AS55" s="13" t="n"/>
      <c r="AT55" s="12" t="n">
        <v>0.943396226415094</v>
      </c>
      <c r="AU55" s="12" t="n">
        <v>4.71698113207547</v>
      </c>
      <c r="AV55" s="12" t="n">
        <v>5</v>
      </c>
      <c r="AW55" s="12" t="n"/>
      <c r="AX55" s="12" t="n"/>
      <c r="AY55" s="12" t="n"/>
      <c r="AZ55" s="12" t="n"/>
      <c r="BA55" s="12" t="n"/>
      <c r="BB55" s="12" t="n"/>
      <c r="BC55" s="12" t="n"/>
    </row>
    <row r="56" ht="12.75" customHeight="1">
      <c r="A56" s="17" t="n"/>
      <c r="B56" s="11" t="inlineStr">
        <is>
          <t>Sudeep Pharma</t>
        </is>
      </c>
      <c r="C56" s="13" t="n">
        <v>2025</v>
      </c>
      <c r="D56" s="11" t="inlineStr">
        <is>
          <t>Pos</t>
        </is>
      </c>
      <c r="E56" s="13" t="n">
        <v>135.25</v>
      </c>
      <c r="F56" s="13" t="n">
        <v>497.53</v>
      </c>
      <c r="G56" s="13">
        <f>100*(F56-E56)/F56</f>
        <v/>
      </c>
      <c r="H56" s="13" t="n">
        <v>717.17</v>
      </c>
      <c r="I56" s="13" t="n">
        <v>138.69</v>
      </c>
      <c r="J56" s="13" t="n"/>
      <c r="K56" s="12" t="n">
        <v>12.46</v>
      </c>
      <c r="L56" s="12" t="n"/>
      <c r="M56" s="13" t="n">
        <v>190</v>
      </c>
      <c r="N56" s="13" t="n"/>
      <c r="O56" s="13" t="n">
        <v>502</v>
      </c>
      <c r="P56" s="13">
        <f>O56/I56</f>
        <v/>
      </c>
      <c r="Q56" s="13" t="n">
        <v>47.61</v>
      </c>
      <c r="R56" s="13" t="n">
        <v>47.61</v>
      </c>
      <c r="S56" s="13" t="n">
        <v>-0.5</v>
      </c>
      <c r="T56" s="13" t="n"/>
      <c r="U56" s="13" t="n"/>
      <c r="V56" s="13" t="n">
        <v>1</v>
      </c>
      <c r="W56" s="13" t="n">
        <v>1</v>
      </c>
      <c r="X56" s="65" t="n">
        <v>213</v>
      </c>
      <c r="Y56" s="12" t="n">
        <v>116</v>
      </c>
      <c r="Z56" s="12" t="n">
        <v>15</v>
      </c>
      <c r="AA56" s="66">
        <f>IF(X56&lt;33,IF(Y56&gt;(1.1*X56),0,1),1)+IF(Y56&gt;(4*X56),-1,0)</f>
        <v/>
      </c>
      <c r="AB56" s="13" t="n">
        <v>19</v>
      </c>
      <c r="AC56" s="12">
        <f>IF(AB56&gt;9,1,0)+AB56/3</f>
        <v/>
      </c>
      <c r="AD56" s="12" t="n">
        <v>4</v>
      </c>
      <c r="AE56" s="12" t="n">
        <v>10</v>
      </c>
      <c r="AF56" s="12" t="n">
        <v>39</v>
      </c>
      <c r="AG56" s="12">
        <f>IF(G56&lt;0,0,1.2)+IF(G56&lt;14,0,0.9)+IF(P56&lt;0,0.7,0)+IF(P56&lt;6.5,1,0)+IF(P56&lt;23,1,0)+IF(R56&gt;88,0,1)+S56+IF(AD56&lt;20,0,1)+IF(AE56&lt;14,0,1)+IF(AF56&lt;26,0,1)</f>
        <v/>
      </c>
      <c r="AH56" s="12">
        <f>AG56+IF(AG56&gt;6,1,0)+IF(X56&lt;17,0,1)+IF(Y56&lt;11,0,1)+IF(Z56&lt;1.35,0,1)+AC56+AA56</f>
        <v/>
      </c>
      <c r="AI56" s="12" t="n">
        <v>11</v>
      </c>
      <c r="AJ56" s="11">
        <f>IF(AI56&gt;12.8,IF(AI56&gt;15.8,0.9,0.97),1)</f>
        <v/>
      </c>
      <c r="AK56" s="12">
        <f>(AG56*2.6+AH56)*AJ56*AQ56</f>
        <v/>
      </c>
      <c r="AL56" s="11">
        <f>D56</f>
        <v/>
      </c>
      <c r="AM56" s="11">
        <f>B56</f>
        <v/>
      </c>
      <c r="AN56" s="13" t="n">
        <v>25</v>
      </c>
      <c r="AO56" s="13" t="n">
        <v>26</v>
      </c>
      <c r="AP56" s="13">
        <f>IF(AK56&gt;23.73,IF(Z56&lt;101,IF(Z56&lt;30,IF(Z56&lt;6,3,2),1),0),0)</f>
        <v/>
      </c>
      <c r="AQ56" s="13" t="n">
        <v>1</v>
      </c>
      <c r="AR56" s="11">
        <f>IF(AP56&gt;0,IF(AB56&gt;10,(AB56/Z56),10/Z56),0)</f>
        <v/>
      </c>
      <c r="AS56" s="13" t="n"/>
      <c r="AT56" s="12" t="n">
        <v>1.25</v>
      </c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</row>
    <row r="57" ht="12.75" customHeight="1">
      <c r="A57" s="17" t="n"/>
      <c r="B57" s="10" t="inlineStr">
        <is>
          <t>Aequs</t>
        </is>
      </c>
      <c r="C57" s="13" t="n">
        <v>2025</v>
      </c>
      <c r="D57" s="11" t="inlineStr">
        <is>
          <t>Pos</t>
        </is>
      </c>
      <c r="E57" s="13" t="n">
        <v>437.04</v>
      </c>
      <c r="F57" s="13" t="n">
        <v>716.92</v>
      </c>
      <c r="G57" s="13">
        <f>100*(F57-E57)/F57</f>
        <v/>
      </c>
      <c r="H57" s="13" t="n">
        <v>1859.84</v>
      </c>
      <c r="I57" s="13" t="n">
        <v>-102.35</v>
      </c>
      <c r="J57" s="13" t="n"/>
      <c r="K57" s="13" t="n">
        <v>-1.8</v>
      </c>
      <c r="L57" s="13" t="n"/>
      <c r="M57" s="10" t="n">
        <v>107.97</v>
      </c>
      <c r="N57" s="10" t="n"/>
      <c r="O57" s="13" t="n">
        <v>924.61</v>
      </c>
      <c r="P57" s="13">
        <f>O57/I57</f>
        <v/>
      </c>
      <c r="Q57" s="13" t="n">
        <v>46</v>
      </c>
      <c r="R57" s="13" t="n">
        <v>46</v>
      </c>
      <c r="S57" s="13" t="n">
        <v>-0.5</v>
      </c>
      <c r="T57" s="13" t="n"/>
      <c r="U57" s="13" t="n"/>
      <c r="V57" s="13" t="n">
        <v>1</v>
      </c>
      <c r="W57" s="13" t="n">
        <v>1</v>
      </c>
      <c r="X57" s="71" t="n">
        <v>20</v>
      </c>
      <c r="Y57" s="10" t="n">
        <v>20</v>
      </c>
      <c r="Z57" s="10" t="n">
        <v>20</v>
      </c>
      <c r="AA57" s="66">
        <f>IF(X57&lt;33,IF(Y57&gt;(1.1*X57),0,1),1)+IF(Y57&gt;(4*X57),-1,0)</f>
        <v/>
      </c>
      <c r="AB57" s="13" t="n">
        <v>35</v>
      </c>
      <c r="AC57" s="12">
        <f>IF(AB57&gt;9,1,0)+AB57/3</f>
        <v/>
      </c>
      <c r="AD57" s="10" t="n">
        <v>-620</v>
      </c>
      <c r="AE57" s="10" t="n">
        <v>-4</v>
      </c>
      <c r="AF57" s="10" t="n">
        <v>-12</v>
      </c>
      <c r="AG57" s="12">
        <f>IF(G57&lt;0,0,1.2)+IF(G57&lt;14,0,0.9)+IF(P57&lt;0,0.7,0)+IF(P57&lt;6.5,1,0)+IF(P57&lt;23,1,0)+IF(R57&gt;88,0,1)+S57+IF(AD57&lt;20,0,1)+IF(AE57&lt;14,0,1)+IF(AF57&lt;26,0,1)</f>
        <v/>
      </c>
      <c r="AH57" s="12">
        <f>AG57+IF(AG57&gt;6,1,0)+IF(X57&lt;17,0,1)+IF(Y57&lt;11,0,1)+IF(Z57&lt;1.35,0,1)+AC57+AA57</f>
        <v/>
      </c>
      <c r="AI57" s="12" t="n">
        <v>11</v>
      </c>
      <c r="AJ57" s="11">
        <f>IF(AI57&gt;12.8,IF(AI57&gt;15.8,0.9,0.97),1)</f>
        <v/>
      </c>
      <c r="AK57" s="12">
        <f>(AG57*2.6+AH57)*AJ57*AQ57</f>
        <v/>
      </c>
      <c r="AL57" s="11">
        <f>D57</f>
        <v/>
      </c>
      <c r="AM57" s="11">
        <f>B57</f>
        <v/>
      </c>
      <c r="AN57" s="72" t="n">
        <v>5</v>
      </c>
      <c r="AO57" s="13" t="n">
        <v>8</v>
      </c>
      <c r="AP57" s="13">
        <f>IF(AK57&gt;23.73,IF(Z57&lt;101,IF(Z57&lt;30,IF(Z57&lt;6,3,2),1),0),0)</f>
        <v/>
      </c>
      <c r="AQ57" s="13" t="n">
        <v>1</v>
      </c>
      <c r="AR57" s="11">
        <f>IF(AP57&gt;0,IF(AB57&gt;10,(AB57/Z57),10/Z57),0)</f>
        <v/>
      </c>
      <c r="AS57" s="58" t="inlineStr">
        <is>
          <t>Dec</t>
        </is>
      </c>
      <c r="AT57" s="13" t="n"/>
      <c r="AU57" s="13" t="n"/>
      <c r="AV57" s="10" t="n"/>
      <c r="AW57" s="10" t="n"/>
      <c r="AX57" s="10" t="n"/>
      <c r="AY57" s="10" t="n"/>
      <c r="AZ57" s="10" t="n"/>
      <c r="BA57" s="10" t="n"/>
      <c r="BB57" s="10" t="n"/>
      <c r="BC57" s="10" t="n"/>
    </row>
    <row r="58" ht="12.75" customHeight="1">
      <c r="A58" s="17" t="n"/>
      <c r="B58" s="10" t="inlineStr">
        <is>
          <t>Meesho</t>
        </is>
      </c>
      <c r="C58" s="13" t="n">
        <v>2025</v>
      </c>
      <c r="D58" s="11" t="inlineStr">
        <is>
          <t>Pos</t>
        </is>
      </c>
      <c r="E58" s="13" t="n">
        <v>0</v>
      </c>
      <c r="F58" s="13" t="n">
        <v>1203.62</v>
      </c>
      <c r="G58" s="13">
        <f>100*(F58-E58)/F58</f>
        <v/>
      </c>
      <c r="H58" s="13" t="n">
        <v>7226.09</v>
      </c>
      <c r="I58" s="13" t="n">
        <v>-3941.71</v>
      </c>
      <c r="J58" s="13" t="n"/>
      <c r="K58" s="13" t="n">
        <v>-9.98</v>
      </c>
      <c r="L58" s="13" t="n"/>
      <c r="M58" s="10" t="n">
        <v>-593.76</v>
      </c>
      <c r="N58" s="10" t="n"/>
      <c r="O58" s="13" t="n">
        <v>10015.48</v>
      </c>
      <c r="P58" s="13">
        <f>O58/I58</f>
        <v/>
      </c>
      <c r="Q58" s="13" t="n">
        <v>56</v>
      </c>
      <c r="R58" s="13" t="n">
        <v>56</v>
      </c>
      <c r="S58" s="13" t="n">
        <v>-0.5</v>
      </c>
      <c r="T58" s="13" t="n"/>
      <c r="U58" s="13" t="n"/>
      <c r="V58" s="13" t="n">
        <v>1</v>
      </c>
      <c r="W58" s="13" t="n">
        <v>1</v>
      </c>
      <c r="X58" s="71" t="n">
        <v>20</v>
      </c>
      <c r="Y58" s="10" t="n">
        <v>20</v>
      </c>
      <c r="Z58" s="10" t="n">
        <v>20</v>
      </c>
      <c r="AA58" s="66">
        <f>IF(X58&lt;33,IF(Y58&gt;(1.1*X58),0,1),1)+IF(Y58&gt;(4*X58),-1,0)</f>
        <v/>
      </c>
      <c r="AB58" s="13" t="n">
        <v>38</v>
      </c>
      <c r="AC58" s="12">
        <f>IF(AB58&gt;9,1,0)+AB58/3</f>
        <v/>
      </c>
      <c r="AD58" s="10" t="n">
        <v>-1103</v>
      </c>
      <c r="AE58" s="10" t="n">
        <v>23</v>
      </c>
      <c r="AF58" s="10" t="n">
        <v>11.11</v>
      </c>
      <c r="AG58" s="12">
        <f>IF(G58&lt;0,0,1.2)+IF(G58&lt;14,0,0.9)+IF(P58&lt;0,0.7,0)+IF(P58&lt;6.5,1,0)+IF(P58&lt;23,1,0)+IF(R58&gt;88,0,1)+S58+IF(AD58&lt;20,0,1)+IF(AE58&lt;14,0,1)+IF(AF58&lt;26,0,1)</f>
        <v/>
      </c>
      <c r="AH58" s="12">
        <f>AG58+IF(AG58&gt;6,1,0)+IF(X58&lt;17,0,1)+IF(Y58&lt;11,0,1)+IF(Z58&lt;1.35,0,1)+AC58+AA58</f>
        <v/>
      </c>
      <c r="AI58" s="12" t="n">
        <v>11</v>
      </c>
      <c r="AJ58" s="11">
        <f>IF(AI58&gt;12.8,IF(AI58&gt;15.8,0.9,0.97),1)</f>
        <v/>
      </c>
      <c r="AK58" s="12">
        <f>(AG58*2.6+AH58)*AJ58*AQ58</f>
        <v/>
      </c>
      <c r="AL58" s="11">
        <f>D58</f>
        <v/>
      </c>
      <c r="AM58" s="11">
        <f>B58</f>
        <v/>
      </c>
      <c r="AN58" s="72" t="n">
        <v>5</v>
      </c>
      <c r="AO58" s="13" t="n">
        <v>8</v>
      </c>
      <c r="AP58" s="13">
        <f>IF(AK58&gt;23.73,IF(Z58&lt;101,IF(Z58&lt;30,IF(Z58&lt;6,3,2),1),0),0)</f>
        <v/>
      </c>
      <c r="AQ58" s="13" t="n">
        <v>1</v>
      </c>
      <c r="AR58" s="11">
        <f>IF(AP58&gt;0,IF(AB58&gt;10,(AB58/Z58),10/Z58),0)</f>
        <v/>
      </c>
      <c r="AS58" s="13" t="n"/>
      <c r="AT58" s="13" t="n"/>
      <c r="AU58" s="13" t="n"/>
      <c r="AV58" s="10" t="n"/>
      <c r="AW58" s="10" t="n"/>
      <c r="AX58" s="10" t="n"/>
      <c r="AY58" s="10" t="n"/>
      <c r="AZ58" s="10" t="n"/>
      <c r="BA58" s="10" t="n"/>
      <c r="BB58" s="10" t="n"/>
      <c r="BC58" s="10" t="n"/>
    </row>
    <row r="59" ht="12.75" customHeight="1">
      <c r="A59" s="17" t="inlineStr">
        <is>
          <t>https://www.chittorgarh.com/ipo/ksh-international-ipo/2454/</t>
        </is>
      </c>
      <c r="B59" s="10" t="inlineStr">
        <is>
          <t>Vidya Wires</t>
        </is>
      </c>
      <c r="C59" s="13" t="n">
        <v>2025</v>
      </c>
      <c r="D59" s="11" t="inlineStr">
        <is>
          <t>Pos</t>
        </is>
      </c>
      <c r="E59" s="13" t="n">
        <v>146.38</v>
      </c>
      <c r="F59" s="13" t="n">
        <v>166.34</v>
      </c>
      <c r="G59" s="13">
        <f>100*(F59-E59)/F59</f>
        <v/>
      </c>
      <c r="H59" s="13" t="n">
        <v>331.33</v>
      </c>
      <c r="I59" s="13" t="n">
        <v>40.87</v>
      </c>
      <c r="J59" s="13" t="n"/>
      <c r="K59" s="13" t="n">
        <v>2.55</v>
      </c>
      <c r="L59" s="13" t="n"/>
      <c r="M59" s="10" t="n">
        <v>64.45</v>
      </c>
      <c r="N59" s="10" t="n"/>
      <c r="O59" s="13" t="n">
        <v>1491.45</v>
      </c>
      <c r="P59" s="13">
        <f>O59/I59</f>
        <v/>
      </c>
      <c r="Q59" s="13" t="n">
        <v>20.39</v>
      </c>
      <c r="R59" s="13" t="n">
        <v>20.39</v>
      </c>
      <c r="S59" s="13" t="n">
        <v>-0.5</v>
      </c>
      <c r="T59" s="13" t="n"/>
      <c r="U59" s="13" t="n"/>
      <c r="V59" s="13" t="n">
        <v>1</v>
      </c>
      <c r="W59" s="13" t="n">
        <v>1</v>
      </c>
      <c r="X59" s="71" t="n">
        <v>20</v>
      </c>
      <c r="Y59" s="10" t="n">
        <v>20</v>
      </c>
      <c r="Z59" s="10" t="n">
        <v>20</v>
      </c>
      <c r="AA59" s="66">
        <f>IF(X59&lt;33,IF(Y59&gt;(1.1*X59),0,1),1)+IF(Y59&gt;(4*X59),-1,0)</f>
        <v/>
      </c>
      <c r="AB59" s="13" t="n">
        <v>19</v>
      </c>
      <c r="AC59" s="12">
        <f>IF(AB59&gt;9,1,0)+AB59/3</f>
        <v/>
      </c>
      <c r="AD59" s="10" t="n">
        <v>59</v>
      </c>
      <c r="AE59" s="10" t="n">
        <v>25</v>
      </c>
      <c r="AF59" s="10" t="n">
        <v>60</v>
      </c>
      <c r="AG59" s="12">
        <f>IF(G59&lt;0,0,1.2)+IF(G59&lt;14,0,0.9)+IF(P59&lt;0,0.7,0)+IF(P59&lt;6.5,1,0)+IF(P59&lt;23,1,0)+IF(R59&gt;88,0,1)+S59+IF(AD59&lt;20,0,1)+IF(AE59&lt;14,0,1)+IF(AF59&lt;26,0,1)</f>
        <v/>
      </c>
      <c r="AH59" s="12">
        <f>AG59+IF(AG59&gt;6,1,0)+IF(X59&lt;17,0,1)+IF(Y59&lt;11,0,1)+IF(Z59&lt;1.35,0,1)+AC59+AA59</f>
        <v/>
      </c>
      <c r="AI59" s="12" t="n">
        <v>11</v>
      </c>
      <c r="AJ59" s="11">
        <f>IF(AI59&gt;12.8,IF(AI59&gt;15.8,0.9,0.97),1)</f>
        <v/>
      </c>
      <c r="AK59" s="12">
        <f>(AG59*2.6+AH59)*AJ59*AQ59</f>
        <v/>
      </c>
      <c r="AL59" s="11">
        <f>D59</f>
        <v/>
      </c>
      <c r="AM59" s="11">
        <f>B59</f>
        <v/>
      </c>
      <c r="AN59" s="72" t="n">
        <v>5</v>
      </c>
      <c r="AO59" s="13" t="n">
        <v>8</v>
      </c>
      <c r="AP59" s="13">
        <f>IF(AK59&gt;23.73,IF(Z59&lt;101,IF(Z59&lt;30,IF(Z59&lt;6,3,2),1),0),0)</f>
        <v/>
      </c>
      <c r="AQ59" s="13" t="n">
        <v>1</v>
      </c>
      <c r="AR59" s="11">
        <f>IF(AP59&gt;0,IF(AB59&gt;10,(AB59/Z59),10/Z59),0)</f>
        <v/>
      </c>
      <c r="AS59" s="13" t="n"/>
      <c r="AT59" s="13" t="n"/>
      <c r="AU59" s="13" t="n"/>
      <c r="AV59" s="10" t="n"/>
      <c r="AW59" s="10" t="n"/>
      <c r="AX59" s="10" t="n"/>
      <c r="AY59" s="10" t="n"/>
      <c r="AZ59" s="10" t="n"/>
      <c r="BA59" s="10" t="n"/>
      <c r="BB59" s="10" t="n"/>
      <c r="BC59" s="10" t="n"/>
    </row>
    <row r="60" ht="12.75" customHeight="1">
      <c r="A60" s="17" t="inlineStr">
        <is>
          <t>https://www.chittorgarh.com/ipo/gujarat-kidney-and-super-speciality-ipo/2289/</t>
        </is>
      </c>
      <c r="B60" s="10" t="inlineStr">
        <is>
          <t>Wakefit Innovations</t>
        </is>
      </c>
      <c r="C60" s="13" t="n">
        <v>2025</v>
      </c>
      <c r="D60" s="11" t="inlineStr">
        <is>
          <t>Pos</t>
        </is>
      </c>
      <c r="E60" s="13" t="n">
        <v>0</v>
      </c>
      <c r="F60" s="13" t="n">
        <v>520</v>
      </c>
      <c r="G60" s="13">
        <f>100*(F60-E60)/F60</f>
        <v/>
      </c>
      <c r="H60" s="13" t="n">
        <v>1050</v>
      </c>
      <c r="I60" s="13" t="n">
        <v>-35</v>
      </c>
      <c r="J60" s="13" t="n"/>
      <c r="K60" s="13" t="n"/>
      <c r="L60" s="13" t="n"/>
      <c r="M60" s="10" t="n">
        <v>90.83</v>
      </c>
      <c r="N60" s="10" t="n"/>
      <c r="O60" s="13" t="n">
        <v>1305</v>
      </c>
      <c r="P60" s="13">
        <f>O60/I60</f>
        <v/>
      </c>
      <c r="Q60" s="13" t="n">
        <v>50</v>
      </c>
      <c r="R60" s="13" t="n">
        <v>50</v>
      </c>
      <c r="S60" s="13" t="n">
        <v>0</v>
      </c>
      <c r="T60" s="13" t="n"/>
      <c r="U60" s="13" t="n"/>
      <c r="V60" s="13" t="n">
        <v>1</v>
      </c>
      <c r="W60" s="13" t="n">
        <v>1</v>
      </c>
      <c r="X60" s="71" t="n">
        <v>2.25</v>
      </c>
      <c r="Y60" s="10" t="n">
        <v>0.82</v>
      </c>
      <c r="Z60" s="10" t="n">
        <v>2.76</v>
      </c>
      <c r="AA60" s="66">
        <f>IF(X60&lt;33,IF(Y60&gt;(1.1*X60),0,1),1)+IF(Y60&gt;(4*X60),-1,0)</f>
        <v/>
      </c>
      <c r="AB60" s="13" t="n">
        <v>0</v>
      </c>
      <c r="AC60" s="12">
        <f>IF(AB60&gt;9,1,0)+AB60/3</f>
        <v/>
      </c>
      <c r="AD60" s="10" t="n">
        <v>-132.45</v>
      </c>
      <c r="AE60" s="10" t="n">
        <v>35.33</v>
      </c>
      <c r="AF60" s="10" t="n">
        <v>-4.2</v>
      </c>
      <c r="AG60" s="12">
        <f>IF(G60&lt;0,0,1.2)+IF(G60&lt;14,0,0.9)+IF(P60&lt;0,0.7,0)+IF(P60&lt;6.5,1,0)+IF(P60&lt;23,1,0)+IF(R60&gt;88,0,1)+S60+IF(AD60&lt;20,0,1)+IF(AE60&lt;14,0,1)+IF(AF60&lt;26,0,1)</f>
        <v/>
      </c>
      <c r="AH60" s="12">
        <f>AG60+IF(AG60&gt;6,1,0)+IF(X60&lt;17,0,1)+IF(Y60&lt;11,0,1)+IF(Z60&lt;1.35,0,1)+AC60+AA60</f>
        <v/>
      </c>
      <c r="AI60" s="12" t="n">
        <v>11</v>
      </c>
      <c r="AJ60" s="11">
        <f>IF(AI60&gt;12.8,IF(AI60&gt;15.8,0.9,0.97),1)</f>
        <v/>
      </c>
      <c r="AK60" s="12">
        <f>(AG60*2.6+AH60)*AJ60*AQ60</f>
        <v/>
      </c>
      <c r="AL60" s="11">
        <f>D60</f>
        <v/>
      </c>
      <c r="AM60" s="11">
        <f>B60</f>
        <v/>
      </c>
      <c r="AN60" s="72" t="n">
        <v>10</v>
      </c>
      <c r="AO60" s="13" t="n">
        <v>11</v>
      </c>
      <c r="AP60" s="13">
        <f>IF(AK60&gt;23.73,IF(Z60&lt;101,IF(Z60&lt;30,IF(Z60&lt;6,3,2),1),0),0)</f>
        <v/>
      </c>
      <c r="AQ60" s="13" t="n">
        <v>1</v>
      </c>
      <c r="AR60" s="11">
        <f>IF(AP60&gt;0,IF(AB60&gt;10,(AB60/Z60),10/Z60),0)</f>
        <v/>
      </c>
      <c r="AS60" s="13" t="n">
        <v>6</v>
      </c>
      <c r="AT60" s="13" t="n"/>
      <c r="AU60" s="13" t="n"/>
      <c r="AV60" s="10" t="n"/>
      <c r="AW60" s="10" t="n"/>
      <c r="AX60" s="10" t="n"/>
      <c r="AY60" s="10" t="n"/>
      <c r="AZ60" s="10" t="n"/>
      <c r="BA60" s="10" t="n"/>
      <c r="BB60" s="10" t="n"/>
      <c r="BC60" s="10" t="n"/>
    </row>
    <row r="61" ht="12.75" customHeight="1">
      <c r="A61" s="17" t="n"/>
      <c r="B61" s="10" t="inlineStr">
        <is>
          <t>ICICI Prudential AMC</t>
        </is>
      </c>
      <c r="C61" s="13" t="n">
        <v>2025</v>
      </c>
      <c r="D61" s="11" t="inlineStr">
        <is>
          <t>Pos</t>
        </is>
      </c>
      <c r="E61" s="13" t="n">
        <v>0</v>
      </c>
      <c r="F61" s="13" t="n">
        <v>3516.94</v>
      </c>
      <c r="G61" s="13">
        <f>100*(F61-E61)/F61</f>
        <v/>
      </c>
      <c r="H61" s="13" t="n">
        <v>4383.68</v>
      </c>
      <c r="I61" s="13" t="n">
        <v>2650.66</v>
      </c>
      <c r="J61" s="13" t="n"/>
      <c r="K61" s="13" t="n">
        <v>53.63</v>
      </c>
      <c r="L61" s="13" t="n"/>
      <c r="M61" s="10" t="n">
        <v>3636.99</v>
      </c>
      <c r="N61" s="10" t="n"/>
      <c r="O61" s="13" t="n">
        <v>4979.67</v>
      </c>
      <c r="P61" s="13">
        <f>O61/I61</f>
        <v/>
      </c>
      <c r="Q61" s="13" t="n">
        <v>40.37</v>
      </c>
      <c r="R61" s="13" t="n">
        <v>40.37</v>
      </c>
      <c r="S61" s="13" t="n">
        <v>0</v>
      </c>
      <c r="T61" s="13" t="n"/>
      <c r="U61" s="13" t="n"/>
      <c r="V61" s="13" t="n">
        <v>1</v>
      </c>
      <c r="W61" s="13" t="n">
        <v>1</v>
      </c>
      <c r="X61" s="71" t="n">
        <v>21.59</v>
      </c>
      <c r="Y61" s="10" t="n">
        <v>16.75</v>
      </c>
      <c r="Z61" s="10" t="n">
        <v>2.77</v>
      </c>
      <c r="AA61" s="66">
        <f>IF(X61&lt;33,IF(Y61&gt;(1.1*X61),0,1),1)+IF(Y61&gt;(4*X61),-1,0)</f>
        <v/>
      </c>
      <c r="AB61" s="13" t="n">
        <v>15.52</v>
      </c>
      <c r="AC61" s="12">
        <f>IF(AB61&gt;9,1,0)+AB61/3</f>
        <v/>
      </c>
      <c r="AD61" s="10" t="n">
        <v>100</v>
      </c>
      <c r="AE61" s="10" t="n">
        <v>32</v>
      </c>
      <c r="AF61" s="10" t="n">
        <v>10.97</v>
      </c>
      <c r="AG61" s="12">
        <f>IF(G61&lt;0,0,1.2)+IF(G61&lt;14,0,0.9)+IF(P61&lt;0,0.7,0)+IF(P61&lt;6.5,1,0)+IF(P61&lt;23,1,0)+IF(R61&gt;88,0,1)+S61+IF(AD61&lt;20,0,1)+IF(AE61&lt;14,0,1)+IF(AF61&lt;26,0,1)</f>
        <v/>
      </c>
      <c r="AH61" s="12">
        <f>AG61+IF(AG61&gt;6,1,0)+IF(X61&lt;17,0,1)+IF(Y61&lt;11,0,1)+IF(Z61&lt;1.35,0,1)+AC61+AA61</f>
        <v/>
      </c>
      <c r="AI61" s="12" t="n">
        <v>11</v>
      </c>
      <c r="AJ61" s="11">
        <f>IF(AI61&gt;12.8,IF(AI61&gt;15.8,0.9,0.97),1)</f>
        <v/>
      </c>
      <c r="AK61" s="12">
        <f>(AG61*2.6+AH61)*AJ61*AQ61</f>
        <v/>
      </c>
      <c r="AL61" s="11">
        <f>D61</f>
        <v/>
      </c>
      <c r="AM61" s="11">
        <f>B61</f>
        <v/>
      </c>
      <c r="AN61" s="72" t="n">
        <v>16</v>
      </c>
      <c r="AO61" s="13" t="n">
        <v>17</v>
      </c>
      <c r="AP61" s="13">
        <f>IF(AK61&gt;23.73,IF(Z61&lt;101,IF(Z61&lt;30,IF(Z61&lt;6,3,2),1),0),0)</f>
        <v/>
      </c>
      <c r="AQ61" s="13" t="n">
        <v>1</v>
      </c>
      <c r="AR61" s="11">
        <f>IF(AP61&gt;0,IF(AB61&gt;10,(AB61/Z61),10/Z61),0)</f>
        <v/>
      </c>
      <c r="AS61" s="13" t="n"/>
      <c r="AT61" s="13" t="n"/>
      <c r="AU61" s="13" t="n"/>
      <c r="AV61" s="10" t="n"/>
      <c r="AW61" s="10" t="n"/>
      <c r="AX61" s="10" t="n"/>
      <c r="AY61" s="10" t="n"/>
      <c r="AZ61" s="10" t="n"/>
      <c r="BA61" s="10" t="n"/>
      <c r="BB61" s="10" t="n"/>
      <c r="BC61" s="10" t="n"/>
    </row>
    <row r="62" ht="12.75" customHeight="1">
      <c r="A62" s="17" t="n"/>
      <c r="B62" s="10" t="inlineStr">
        <is>
          <t>KSH International</t>
        </is>
      </c>
      <c r="C62" s="13" t="n">
        <v>2025</v>
      </c>
      <c r="D62" s="10" t="inlineStr">
        <is>
          <t>Neg</t>
        </is>
      </c>
      <c r="E62" s="13" t="n">
        <v>360.05</v>
      </c>
      <c r="F62" s="13" t="n">
        <v>298.55</v>
      </c>
      <c r="G62" s="13">
        <f>100*(F62-E62)/F62</f>
        <v/>
      </c>
      <c r="H62" s="13" t="n">
        <v>744.91</v>
      </c>
      <c r="I62" s="13" t="n">
        <v>67.98999999999999</v>
      </c>
      <c r="J62" s="13" t="n"/>
      <c r="K62" s="13" t="n">
        <v>11.97</v>
      </c>
      <c r="L62" s="13" t="n"/>
      <c r="M62" s="10" t="n">
        <v>122.53</v>
      </c>
      <c r="N62" s="10" t="n"/>
      <c r="O62" s="13" t="n">
        <v>1938.19</v>
      </c>
      <c r="P62" s="13">
        <f>O62/I62</f>
        <v/>
      </c>
      <c r="Q62" s="13" t="n">
        <v>32</v>
      </c>
      <c r="R62" s="13" t="n">
        <v>32</v>
      </c>
      <c r="S62" s="13" t="n">
        <v>0</v>
      </c>
      <c r="T62" s="13" t="n"/>
      <c r="U62" s="13" t="n"/>
      <c r="V62" s="13" t="n">
        <v>1</v>
      </c>
      <c r="W62" s="13" t="n">
        <v>1</v>
      </c>
      <c r="X62" s="71" t="n">
        <v>1.12</v>
      </c>
      <c r="Y62" s="10" t="n">
        <v>0.44</v>
      </c>
      <c r="Z62" s="10" t="n">
        <v>0.91</v>
      </c>
      <c r="AA62" s="66">
        <f>IF(X62&lt;33,IF(Y62&gt;(1.1*X62),0,1),1)+IF(Y62&gt;(4*X62),-1,0)</f>
        <v/>
      </c>
      <c r="AB62" s="13" t="n"/>
      <c r="AC62" s="12">
        <f>IF(AB62&gt;9,1,0)+AB62/3</f>
        <v/>
      </c>
      <c r="AD62" s="10" t="n">
        <v>78.95999999999999</v>
      </c>
      <c r="AE62" s="10" t="n">
        <v>82</v>
      </c>
      <c r="AF62" s="10" t="n">
        <v>39</v>
      </c>
      <c r="AG62" s="12">
        <f>IF(G62&lt;0,0,1.2)+IF(G62&lt;14,0,0.9)+IF(P62&lt;0,0.7,0)+IF(P62&lt;6.5,1,0)+IF(P62&lt;23,1,0)+IF(R62&gt;88,0,1)+S62+IF(AD62&lt;20,0,1)+IF(AE62&lt;14,0,1)+IF(AF62&lt;26,0,1)</f>
        <v/>
      </c>
      <c r="AH62" s="12">
        <f>AG62+IF(AG62&gt;6,1,0)+IF(X62&lt;17,0,1)+IF(Y62&lt;11,0,1)+IF(Z62&lt;1.35,0,1)+AC62+AA62</f>
        <v/>
      </c>
      <c r="AI62" s="12" t="n">
        <v>11</v>
      </c>
      <c r="AJ62" s="11">
        <f>IF(AI62&gt;12.8,IF(AI62&gt;15.8,0.9,0.97),1)</f>
        <v/>
      </c>
      <c r="AK62" s="12">
        <f>(AG62*2.6+AH62)*AJ62*AQ62</f>
        <v/>
      </c>
      <c r="AL62" s="11">
        <f>D62</f>
        <v/>
      </c>
      <c r="AM62" s="11">
        <f>B62</f>
        <v/>
      </c>
      <c r="AN62" s="72" t="n">
        <v>18</v>
      </c>
      <c r="AO62" s="13" t="n">
        <v>19</v>
      </c>
      <c r="AP62" s="13">
        <f>IF(AK62&gt;23.73,IF(Z62&lt;101,IF(Z62&lt;30,IF(Z62&lt;6,3,2),1),0),0)</f>
        <v/>
      </c>
      <c r="AQ62" s="13" t="n">
        <v>1</v>
      </c>
      <c r="AR62" s="11">
        <f>IF(AP62&gt;0,IF(AB62&gt;10,(AB62/Z62),10/Z62),0)</f>
        <v/>
      </c>
      <c r="AS62" s="13" t="n"/>
      <c r="AT62" s="13" t="n"/>
      <c r="AU62" s="13" t="n"/>
      <c r="AV62" s="10" t="n"/>
      <c r="AW62" s="10" t="n"/>
      <c r="AX62" s="10" t="n"/>
      <c r="AY62" s="10" t="n"/>
      <c r="AZ62" s="10" t="n"/>
      <c r="BA62" s="10" t="n"/>
      <c r="BB62" s="10" t="n"/>
      <c r="BC62" s="10" t="n"/>
    </row>
    <row r="63" ht="12.75" customHeight="1">
      <c r="A63" s="17" t="n"/>
      <c r="B63" s="10" t="inlineStr">
        <is>
          <t>Gujarat Kidney</t>
        </is>
      </c>
      <c r="C63" s="13" t="n">
        <v>2025</v>
      </c>
      <c r="D63" s="11" t="inlineStr">
        <is>
          <t>Pos</t>
        </is>
      </c>
      <c r="E63" s="13" t="n">
        <v>3.88</v>
      </c>
      <c r="F63" s="13" t="n">
        <v>25.71</v>
      </c>
      <c r="G63" s="13">
        <f>100*(F63-E63)/F63</f>
        <v/>
      </c>
      <c r="H63" s="13" t="n">
        <v>55.34</v>
      </c>
      <c r="I63" s="13" t="n">
        <v>9.5</v>
      </c>
      <c r="J63" s="13" t="n"/>
      <c r="K63" s="13" t="n">
        <v>1.85</v>
      </c>
      <c r="L63" s="13" t="n"/>
      <c r="M63" s="10" t="n">
        <v>16.55</v>
      </c>
      <c r="N63" s="10" t="n"/>
      <c r="O63" s="10" t="n">
        <v>40.4</v>
      </c>
      <c r="P63" s="13">
        <f>O63/I63</f>
        <v/>
      </c>
      <c r="Q63" s="13" t="n">
        <v>62</v>
      </c>
      <c r="R63" s="13" t="n">
        <v>62</v>
      </c>
      <c r="S63" s="13" t="n">
        <v>0</v>
      </c>
      <c r="T63" s="13" t="n"/>
      <c r="U63" s="13" t="n"/>
      <c r="V63" s="13" t="n">
        <v>1</v>
      </c>
      <c r="W63" s="13" t="n">
        <v>1</v>
      </c>
      <c r="X63" s="71" t="n">
        <v>1.06</v>
      </c>
      <c r="Y63" s="10" t="n">
        <v>5.73</v>
      </c>
      <c r="Z63" s="10" t="n">
        <v>19.04</v>
      </c>
      <c r="AA63" s="66">
        <f>IF(X63&lt;33,IF(Y63&gt;(1.1*X63),0,1),1)+IF(Y63&gt;(4*X63),-1,0)</f>
        <v/>
      </c>
      <c r="AB63" s="13" t="n"/>
      <c r="AC63" s="12">
        <f>IF(AB63&gt;9,1,0)+AB63/3</f>
        <v/>
      </c>
      <c r="AD63" s="10" t="n">
        <v>454</v>
      </c>
      <c r="AE63" s="10" t="n">
        <v>637</v>
      </c>
      <c r="AF63" s="10" t="n">
        <v>138</v>
      </c>
      <c r="AG63" s="12">
        <f>IF(G63&lt;0,0,1.2)+IF(G63&lt;14,0,0.9)+IF(P63&lt;0,0.7,0)+IF(P63&lt;6.5,1,0)+IF(P63&lt;23,1,0)+IF(R63&gt;88,0,1)+S63+IF(AD63&lt;20,0,1)+IF(AE63&lt;14,0,1)+IF(AF63&lt;26,0,1)</f>
        <v/>
      </c>
      <c r="AH63" s="12">
        <f>AG63+IF(AG63&gt;6,1,0)+IF(X63&lt;17,0,1)+IF(Y63&lt;11,0,1)+IF(Z63&lt;1.35,0,1)+AC63+AA63</f>
        <v/>
      </c>
      <c r="AI63" s="12" t="n">
        <v>11</v>
      </c>
      <c r="AJ63" s="11">
        <f>IF(AI63&gt;12.8,IF(AI63&gt;15.8,0.9,0.97),1)</f>
        <v/>
      </c>
      <c r="AK63" s="12">
        <f>(AG63*2.6+AH63)*AJ63*AQ63</f>
        <v/>
      </c>
      <c r="AL63" s="11">
        <f>D63</f>
        <v/>
      </c>
      <c r="AM63" s="11">
        <f>B63</f>
        <v/>
      </c>
      <c r="AN63" s="72" t="n">
        <v>24</v>
      </c>
      <c r="AO63" s="13" t="n">
        <v>26</v>
      </c>
      <c r="AP63" s="13">
        <f>IF(AK63&gt;23.73,IF(Z63&lt;101,IF(Z63&lt;30,IF(Z63&lt;6,3,2),1),0),0)</f>
        <v/>
      </c>
      <c r="AQ63" s="13" t="n">
        <v>1</v>
      </c>
      <c r="AR63" s="11">
        <f>IF(AP63&gt;0,IF(AB63&gt;10,(AB63/Z63),10/Z63),0)</f>
        <v/>
      </c>
      <c r="AS63" s="13" t="n"/>
      <c r="AT63" s="13" t="n"/>
      <c r="AU63" s="13" t="n"/>
      <c r="AV63" s="10" t="n"/>
      <c r="AW63" s="10" t="n"/>
      <c r="AX63" s="10" t="n"/>
      <c r="AY63" s="10" t="n"/>
      <c r="AZ63" s="10" t="n"/>
      <c r="BA63" s="10" t="n"/>
      <c r="BB63" s="10" t="n"/>
      <c r="BC63" s="10" t="n"/>
    </row>
    <row r="64" ht="12.75" customHeight="1">
      <c r="A64" s="17" t="inlineStr">
        <is>
          <t>https://www.chittorgarh.com/ipo/bharat-coking-coal-ipo/2462/</t>
        </is>
      </c>
      <c r="B64" s="17" t="inlineStr">
        <is>
          <t>Bharat Coking Coal D</t>
        </is>
      </c>
      <c r="C64" s="17" t="inlineStr">
        <is>
          <t>2026</t>
        </is>
      </c>
      <c r="D64" s="11" t="inlineStr">
        <is>
          <t>Pos</t>
        </is>
      </c>
      <c r="E64" s="17" t="n">
        <v>0</v>
      </c>
      <c r="F64" s="17" t="n">
        <v>6551.23</v>
      </c>
      <c r="G64" s="13">
        <f>100*(F64-E64)/F64</f>
        <v/>
      </c>
      <c r="H64" s="17" t="n">
        <v>17283.48</v>
      </c>
      <c r="I64" s="17" t="n">
        <v>1240.19</v>
      </c>
      <c r="J64" s="17" t="n">
        <v>1.96</v>
      </c>
      <c r="K64" s="17" t="n">
        <v>2.66</v>
      </c>
      <c r="L64" s="17" t="n">
        <v>0</v>
      </c>
      <c r="M64" s="17" t="n">
        <v>2356.06</v>
      </c>
      <c r="N64" s="17" t="n">
        <v>7.29</v>
      </c>
      <c r="O64" s="17" t="n">
        <v>14401.63</v>
      </c>
      <c r="P64" s="13">
        <f>O64/I64</f>
        <v/>
      </c>
      <c r="Q64" s="17" t="n">
        <v>8.640000000000001</v>
      </c>
      <c r="R64" s="17" t="n">
        <v>43.23</v>
      </c>
      <c r="S64" s="13" t="n">
        <v>0</v>
      </c>
      <c r="T64" s="17" t="n">
        <v>1068.78</v>
      </c>
      <c r="U64" s="17" t="n">
        <v>0</v>
      </c>
      <c r="V64" s="17" t="n">
        <v>1</v>
      </c>
      <c r="W64" s="17" t="n">
        <v>1</v>
      </c>
      <c r="X64" s="17" t="n">
        <v>310.81</v>
      </c>
      <c r="Y64" s="17" t="n">
        <v>240.49</v>
      </c>
      <c r="Z64" s="17" t="n">
        <v>49.37</v>
      </c>
      <c r="AA64" s="66">
        <f>IF(X64&lt;33,IF(Y64&gt;(1.1*X64),0,1),1)+IF(Y64&gt;(4*X64),-1,0)</f>
        <v/>
      </c>
      <c r="AB64" s="17" t="n">
        <v>80</v>
      </c>
      <c r="AC64" s="12">
        <f>IF(AB64&gt;9,1,0)+AB64/3</f>
        <v/>
      </c>
      <c r="AD64" s="17" t="n">
        <v>-20.73</v>
      </c>
      <c r="AE64" s="17" t="n">
        <v>-1.71</v>
      </c>
      <c r="AF64" s="17" t="n">
        <v>22.33</v>
      </c>
      <c r="AG64" s="12">
        <f>IF(G64&lt;0,0,1.2)+IF(G64&lt;14,0,0.9)+IF(P64&lt;0,0.7,0)+IF(P64&lt;6.5,1,0)+IF(P64&lt;23,1,0)+IF(R64&gt;88,0,1)+S64+IF(AD64&lt;20,0,1)+IF(AE64&lt;14,0,1)+IF(AF64&lt;26,0,1)</f>
        <v/>
      </c>
      <c r="AH64" s="12">
        <f>AG64+IF(AG64&gt;6,1,0)+IF(X64&lt;17,0,1)+IF(Y64&lt;11,0,1)+IF(Z64&lt;1.35,0,1)+AC64+AA64</f>
        <v/>
      </c>
      <c r="AI64" s="12" t="n">
        <v>11</v>
      </c>
      <c r="AJ64" s="11">
        <f>IF(AI64&gt;12.8,IF(AI64&gt;15.8,0.9,0.97),1)</f>
        <v/>
      </c>
      <c r="AK64" s="12">
        <f>(AG64*2.6+AH64)*AJ64*AQ64</f>
        <v/>
      </c>
      <c r="AL64" s="11">
        <f>D64</f>
        <v/>
      </c>
      <c r="AM64" s="11">
        <f>B64</f>
        <v/>
      </c>
      <c r="AN64" s="73" t="n">
        <v>13</v>
      </c>
      <c r="AO64" s="17" t="n">
        <v>15</v>
      </c>
      <c r="AP64" s="13">
        <f>IF(AK64&gt;23.73,IF(Z64&lt;101,IF(Z64&lt;30,IF(Z64&lt;6,3,2),1),0),0)</f>
        <v/>
      </c>
      <c r="AQ64" s="13" t="n">
        <v>1</v>
      </c>
      <c r="AR64" s="11">
        <f>IF(AP64&gt;0,IF(AB64&gt;10,(AB64/Z64),10/Z64),0)</f>
        <v/>
      </c>
      <c r="AS64" s="74" t="inlineStr">
        <is>
          <t>Jan</t>
        </is>
      </c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</row>
    <row r="65" ht="12.75" customHeight="1">
      <c r="A65" s="17" t="inlineStr">
        <is>
          <t>https://www.chittorgarh.com/ipo/amagi-media-labs-ipo/2549/</t>
        </is>
      </c>
      <c r="B65" s="17" t="inlineStr">
        <is>
          <t>Amagi Media Labs Dat</t>
        </is>
      </c>
      <c r="C65" s="17" t="inlineStr">
        <is>
          <t>2026</t>
        </is>
      </c>
      <c r="D65" s="11" t="inlineStr">
        <is>
          <t>Rec</t>
        </is>
      </c>
      <c r="E65" s="17" t="n">
        <v>0</v>
      </c>
      <c r="F65" s="17" t="n">
        <v>509.45</v>
      </c>
      <c r="G65" s="13">
        <f>100*(F65-E65)/F65</f>
        <v/>
      </c>
      <c r="H65" s="17" t="n">
        <v>1425</v>
      </c>
      <c r="I65" s="17" t="n">
        <v>-68.70999999999999</v>
      </c>
      <c r="J65" s="17" t="n">
        <v>0.88</v>
      </c>
      <c r="K65" s="17" t="n">
        <v>-3.55</v>
      </c>
      <c r="L65" s="17" t="n">
        <v>0</v>
      </c>
      <c r="M65" s="17" t="n">
        <v>23.49</v>
      </c>
      <c r="N65" s="17" t="n">
        <v>8.26</v>
      </c>
      <c r="O65" s="17" t="n">
        <v>1223.31</v>
      </c>
      <c r="P65" s="13">
        <f>O65/I65</f>
        <v/>
      </c>
      <c r="Q65" s="17" t="n">
        <v>-101.78</v>
      </c>
      <c r="R65" s="17" t="n">
        <v>603.54</v>
      </c>
      <c r="S65" s="13" t="n">
        <v>0</v>
      </c>
      <c r="T65" s="17" t="n">
        <v>1788.62</v>
      </c>
      <c r="U65" s="17" t="n">
        <v>972.62</v>
      </c>
      <c r="V65" s="17" t="n">
        <v>1</v>
      </c>
      <c r="W65" s="17" t="n">
        <v>1</v>
      </c>
      <c r="X65" s="17" t="n">
        <v>33.13</v>
      </c>
      <c r="Y65" s="17" t="n">
        <v>38.26</v>
      </c>
      <c r="Z65" s="17" t="n">
        <v>9.539999999999999</v>
      </c>
      <c r="AA65" s="66">
        <f>IF(X65&lt;33,IF(Y65&gt;(1.1*X65),0,1),1)+IF(Y65&gt;(4*X65),-1,0)</f>
        <v/>
      </c>
      <c r="AB65" s="17" t="n">
        <v>0.235</v>
      </c>
      <c r="AC65" s="12">
        <f>IF(AB65&gt;9,1,0)+AB65/3</f>
        <v/>
      </c>
      <c r="AD65" s="17" t="n">
        <v>-71.95999999999999</v>
      </c>
      <c r="AE65" s="17" t="n">
        <v>29.83</v>
      </c>
      <c r="AF65" s="17" t="n">
        <v>2.55</v>
      </c>
      <c r="AG65" s="12">
        <f>IF(G65&lt;0,0,1.2)+IF(G65&lt;14,0,0.9)+IF(P65&lt;0,0.7,0)+IF(P65&lt;6.5,1,0)+IF(P65&lt;23,1,0)+IF(R65&gt;88,0,1)+S65+IF(AD65&lt;20,0,1)+IF(AE65&lt;14,0,1)+IF(AF65&lt;26,0,1)</f>
        <v/>
      </c>
      <c r="AH65" s="12">
        <f>AG65+IF(AG65&gt;6,1,0)+IF(X65&lt;17,0,1)+IF(Y65&lt;11,0,1)+IF(Z65&lt;1.35,0,1)+AC65+AA65</f>
        <v/>
      </c>
      <c r="AI65" s="12" t="n">
        <v>11</v>
      </c>
      <c r="AJ65" s="11">
        <f>IF(AI65&gt;12.8,IF(AI65&gt;15.8,0.9,0.97),1)</f>
        <v/>
      </c>
      <c r="AK65" s="12">
        <f>(AG65*2.6+AH65)*AJ65*AQ65</f>
        <v/>
      </c>
      <c r="AL65" s="11">
        <f>D65</f>
        <v/>
      </c>
      <c r="AM65" s="11">
        <f>B65</f>
        <v/>
      </c>
      <c r="AN65" s="73" t="n">
        <v>16</v>
      </c>
      <c r="AO65" s="17" t="n">
        <v>18</v>
      </c>
      <c r="AP65" s="13">
        <f>IF(AK65&gt;23.73,IF(Z65&lt;101,IF(Z65&lt;30,IF(Z65&lt;6,3,2),1),0),0)</f>
        <v/>
      </c>
      <c r="AQ65" s="13" t="n">
        <v>1</v>
      </c>
      <c r="AR65" s="11">
        <f>IF(AP65&gt;0,IF(AB65&gt;10,(AB65/Z65),10/Z65),0)</f>
        <v/>
      </c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</row>
    <row r="66" ht="12.75" customHeight="1">
      <c r="A66" s="17" t="inlineStr">
        <is>
          <t>https://www.chittorgarh.com/ipo/shadowfax-technologies-ipo/2526/</t>
        </is>
      </c>
      <c r="B66" s="17" t="inlineStr">
        <is>
          <t>Shadowfax Technologi</t>
        </is>
      </c>
      <c r="C66" s="17" t="inlineStr">
        <is>
          <t>2026</t>
        </is>
      </c>
      <c r="D66" s="11" t="inlineStr">
        <is>
          <t>Neg</t>
        </is>
      </c>
      <c r="E66" s="17" t="n">
        <v>132.23</v>
      </c>
      <c r="F66" s="17" t="n">
        <v>660.4299999999999</v>
      </c>
      <c r="G66" s="13">
        <f>100*(F66-E66)/F66</f>
        <v/>
      </c>
      <c r="H66" s="17" t="n">
        <v>1259.26</v>
      </c>
      <c r="I66" s="17" t="n">
        <v>6.06</v>
      </c>
      <c r="J66" s="17" t="n">
        <v>0</v>
      </c>
      <c r="K66" s="17" t="n">
        <v>0.12</v>
      </c>
      <c r="L66" s="17" t="n">
        <v>0</v>
      </c>
      <c r="M66" s="17" t="n">
        <v>56.19</v>
      </c>
      <c r="N66" s="17" t="n">
        <v>2.86</v>
      </c>
      <c r="O66" s="17" t="n">
        <v>2514.66</v>
      </c>
      <c r="P66" s="13">
        <f>O66/I66</f>
        <v/>
      </c>
      <c r="Q66" s="17" t="n">
        <v>1017.96</v>
      </c>
      <c r="R66" s="17" t="n">
        <v>170.39</v>
      </c>
      <c r="S66" s="13" t="n">
        <v>0</v>
      </c>
      <c r="T66" s="17" t="n">
        <v>1907.27</v>
      </c>
      <c r="U66" s="17" t="n">
        <v>907.27</v>
      </c>
      <c r="V66" s="17" t="n">
        <v>1</v>
      </c>
      <c r="W66" s="17" t="n">
        <v>1</v>
      </c>
      <c r="X66" s="17" t="n">
        <v>4</v>
      </c>
      <c r="Y66" s="17" t="n">
        <v>0.88</v>
      </c>
      <c r="Z66" s="17" t="n">
        <v>2.43</v>
      </c>
      <c r="AA66" s="66">
        <f>IF(X66&lt;33,IF(Y66&gt;(1.1*X66),0,1),1)+IF(Y66&gt;(4*X66),-1,0)</f>
        <v/>
      </c>
      <c r="AB66" s="17" t="n">
        <v>0</v>
      </c>
      <c r="AC66" s="12">
        <f>IF(AB66&gt;9,1,0)+AB66/3</f>
        <v/>
      </c>
      <c r="AD66" s="17" t="n">
        <v>-151.01</v>
      </c>
      <c r="AE66" s="17" t="n">
        <v>32.6</v>
      </c>
      <c r="AF66" s="17" t="n">
        <v>56.58</v>
      </c>
      <c r="AG66" s="12">
        <f>IF(G66&lt;0,0,1.2)+IF(G66&lt;14,0,0.9)+IF(P66&lt;0,0.7,0)+IF(P66&lt;6.5,1,0)+IF(P66&lt;23,1,0)+IF(R66&gt;88,0,1)+S66+IF(AD66&lt;20,0,1)+IF(AE66&lt;14,0,1)+IF(AF66&lt;26,0,1)</f>
        <v/>
      </c>
      <c r="AH66" s="12">
        <f>AG66+IF(AG66&gt;6,1,0)+IF(X66&lt;17,0,1)+IF(Y66&lt;11,0,1)+IF(Z66&lt;1.35,0,1)+AC66+AA66</f>
        <v/>
      </c>
      <c r="AI66" s="12" t="n">
        <v>13</v>
      </c>
      <c r="AJ66" s="11">
        <f>IF(AI66&gt;12.8,IF(AI66&gt;15.8,0.9,0.97),1)</f>
        <v/>
      </c>
      <c r="AK66" s="12">
        <f>(AG66*2.6+AH66)*AJ66*AQ66</f>
        <v/>
      </c>
      <c r="AL66" s="11">
        <f>D66</f>
        <v/>
      </c>
      <c r="AM66" s="11">
        <f>B66</f>
        <v/>
      </c>
      <c r="AN66" s="73" t="n">
        <v>22</v>
      </c>
      <c r="AO66" s="17" t="n">
        <v>24</v>
      </c>
      <c r="AP66" s="13">
        <f>IF(AK66&gt;23.73,IF(Z66&lt;101,IF(Z66&lt;30,IF(Z66&lt;6,3,2),1),0),0)</f>
        <v/>
      </c>
      <c r="AQ66" s="13" t="n">
        <v>1</v>
      </c>
      <c r="AR66" s="11">
        <f>IF(AP66&gt;0,IF(AB66&gt;10,(AB66/Z66),10/Z66),0)</f>
        <v/>
      </c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</row>
    <row r="67" ht="12.75" customHeight="1">
      <c r="A67" s="17" t="inlineStr">
        <is>
          <t>https://www.chittorgarh.com/ipo/fractal-analytics-ipo/2569/</t>
        </is>
      </c>
      <c r="B67" s="17" t="inlineStr">
        <is>
          <t>Fractal Analytics Da</t>
        </is>
      </c>
      <c r="C67" s="17" t="inlineStr">
        <is>
          <t>2026</t>
        </is>
      </c>
      <c r="D67" s="11" t="inlineStr">
        <is>
          <t>Neg</t>
        </is>
      </c>
      <c r="E67" s="17" t="n">
        <v>266.2</v>
      </c>
      <c r="F67" s="17" t="n">
        <v>1748.3</v>
      </c>
      <c r="G67" s="13">
        <f>100*(F67-E67)/F67</f>
        <v/>
      </c>
      <c r="H67" s="17" t="n">
        <v>2857.6</v>
      </c>
      <c r="I67" s="17" t="n">
        <v>220.6</v>
      </c>
      <c r="J67" s="17" t="n">
        <v>4.5</v>
      </c>
      <c r="K67" s="17" t="n">
        <v>13.74</v>
      </c>
      <c r="L67" s="17" t="n">
        <v>0</v>
      </c>
      <c r="M67" s="17" t="n">
        <v>398</v>
      </c>
      <c r="N67" s="17" t="n">
        <v>11.9</v>
      </c>
      <c r="O67" s="17" t="n">
        <v>2816.2</v>
      </c>
      <c r="P67" s="13">
        <f>O67/I67</f>
        <v/>
      </c>
      <c r="Q67" s="17" t="n">
        <v>65.5</v>
      </c>
      <c r="R67" s="17" t="n">
        <v>109.12</v>
      </c>
      <c r="S67" s="13" t="n">
        <v>0</v>
      </c>
      <c r="T67" s="17" t="n">
        <v>2833.9</v>
      </c>
      <c r="U67" s="17" t="n">
        <v>1810.4</v>
      </c>
      <c r="V67" s="17" t="n">
        <v>1</v>
      </c>
      <c r="W67" s="17" t="n">
        <v>1</v>
      </c>
      <c r="X67" s="17" t="n">
        <v>4.41</v>
      </c>
      <c r="Y67" s="17" t="n">
        <v>1.11</v>
      </c>
      <c r="Z67" s="17" t="n">
        <v>1.1</v>
      </c>
      <c r="AA67" s="66">
        <f>IF(X67&lt;33,IF(Y67&gt;(1.1*X67),0,1),1)+IF(Y67&gt;(4*X67),-1,0)</f>
        <v/>
      </c>
      <c r="AB67" s="17" t="n">
        <v>0</v>
      </c>
      <c r="AC67" s="12">
        <f>IF(AB67&gt;9,1,0)+AB67/3</f>
        <v/>
      </c>
      <c r="AD67" s="17" t="n">
        <v>-503.29</v>
      </c>
      <c r="AE67" s="17" t="n">
        <v>25.62</v>
      </c>
      <c r="AF67" s="17" t="n">
        <v>25.15</v>
      </c>
      <c r="AG67" s="12">
        <f>IF(G67&lt;0,0,1.2)+IF(G67&lt;14,0,0.9)+IF(P67&lt;0,0.7,0)+IF(P67&lt;6.5,1,0)+IF(P67&lt;23,1,0)+IF(R67&gt;88,0,1)+S67+IF(AD67&lt;20,0,1)+IF(AE67&lt;14,0,1)+IF(AF67&lt;26,0,1)</f>
        <v/>
      </c>
      <c r="AH67" s="12">
        <f>AG67+IF(AG67&gt;6,1,0)+IF(X67&lt;17,0,1)+IF(Y67&lt;11,0,1)+IF(Z67&lt;1.35,0,1)+AC67+AA67</f>
        <v/>
      </c>
      <c r="AI67" s="12" t="n">
        <v>11</v>
      </c>
      <c r="AJ67" s="11">
        <f>IF(AI67&gt;12.8,IF(AI67&gt;15.8,0.9,0.97),1)</f>
        <v/>
      </c>
      <c r="AK67" s="12">
        <f>(AG67*2.6+AH67)*AJ67*AQ67</f>
        <v/>
      </c>
      <c r="AL67" s="11">
        <f>D67</f>
        <v/>
      </c>
      <c r="AM67" s="11">
        <f>B67</f>
        <v/>
      </c>
      <c r="AN67" s="75" t="n">
        <v>11</v>
      </c>
      <c r="AO67" s="17" t="n">
        <v>13</v>
      </c>
      <c r="AP67" s="13">
        <f>IF(AK67&gt;23.73,IF(Z67&lt;101,IF(Z67&lt;30,IF(Z67&lt;6,3,2),1),0),0)</f>
        <v/>
      </c>
      <c r="AQ67" s="13" t="n">
        <v>1</v>
      </c>
      <c r="AR67" s="11">
        <f>IF(AP67&gt;0,IF(AB67&gt;10,(AB67/Z67),10/Z67),0)</f>
        <v/>
      </c>
      <c r="AS67" s="74" t="inlineStr">
        <is>
          <t>Feb</t>
        </is>
      </c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</row>
    <row r="68" ht="12.75" customHeight="1">
      <c r="A68" s="17" t="inlineStr">
        <is>
          <t>https://www.chittorgarh.com/ipo/aye-finance-ipo/2026/</t>
        </is>
      </c>
      <c r="B68" s="17" t="inlineStr">
        <is>
          <t>Aye Finance Date, Pr</t>
        </is>
      </c>
      <c r="C68" s="17" t="inlineStr">
        <is>
          <t>2026</t>
        </is>
      </c>
      <c r="D68" s="11" t="inlineStr">
        <is>
          <t>Neg</t>
        </is>
      </c>
      <c r="E68" s="17" t="n">
        <v>4526.33</v>
      </c>
      <c r="F68" s="17" t="n">
        <v>1658.87</v>
      </c>
      <c r="G68" s="13" t="n">
        <v>-172.86</v>
      </c>
      <c r="H68" s="17" t="n">
        <v>6338.63</v>
      </c>
      <c r="I68" s="17" t="n">
        <v>175.25</v>
      </c>
      <c r="J68" s="17" t="n">
        <v>0</v>
      </c>
      <c r="K68" s="17" t="n">
        <v>9.140000000000001</v>
      </c>
      <c r="L68" s="17" t="n">
        <v>7.63</v>
      </c>
      <c r="M68" s="17" t="n">
        <v>0</v>
      </c>
      <c r="N68" s="17" t="n">
        <v>0</v>
      </c>
      <c r="O68" s="17" t="n">
        <v>1504.99</v>
      </c>
      <c r="P68" s="13" t="n">
        <v>8.59</v>
      </c>
      <c r="Q68" s="17" t="n">
        <v>14.11</v>
      </c>
      <c r="R68" s="17" t="n">
        <v>24.64</v>
      </c>
      <c r="S68" s="13" t="n">
        <v>0</v>
      </c>
      <c r="T68" s="17" t="n">
        <v>1010</v>
      </c>
      <c r="U68" s="17" t="n">
        <v>300</v>
      </c>
      <c r="V68" s="17" t="n">
        <v>1</v>
      </c>
      <c r="W68" s="17" t="n">
        <v>1</v>
      </c>
      <c r="X68" s="17" t="n">
        <v>0.74</v>
      </c>
      <c r="Y68" s="17" t="n">
        <v>0.04</v>
      </c>
      <c r="Z68" s="17" t="n">
        <v>0.71</v>
      </c>
      <c r="AA68" s="66">
        <f>IF(X68&lt;33,IF(Y68&gt;(1.1*X68),0,1),1)+IF(Y68&gt;(4*X68),-1,0)</f>
        <v/>
      </c>
      <c r="AB68" s="17" t="n">
        <v>0</v>
      </c>
      <c r="AC68" s="12">
        <f>IF(AB68&gt;9,1,0)+AB68/3</f>
        <v/>
      </c>
      <c r="AD68" s="17" t="n">
        <v>2.08</v>
      </c>
      <c r="AE68" s="17" t="n">
        <v>40.42</v>
      </c>
      <c r="AF68" s="17" t="n">
        <v>34.58</v>
      </c>
      <c r="AG68" s="12">
        <f>IF(G68&lt;0,0,1.2)+IF(G68&lt;14,0,0.9)+IF(P68&lt;0,0.7,0)+IF(P68&lt;6.5,1,0)+IF(P68&lt;23,1,0)+IF(R68&gt;88,0,1)+S68+IF(AD68&lt;20,0,1)+IF(AE68&lt;14,0,1)+IF(AF68&lt;26,0,1)</f>
        <v/>
      </c>
      <c r="AH68" s="12">
        <f>AG68+IF(AG68&gt;6,1,0)+IF(X68&lt;17,0,1)+IF(Y68&lt;11,0,1)+IF(Z68&lt;1.35,0,1)+AC68+AA68</f>
        <v/>
      </c>
      <c r="AI68" s="12" t="n">
        <v>12</v>
      </c>
      <c r="AJ68" s="11">
        <f>IF(AI68&gt;12.8,IF(AI68&gt;15.8,0.9,0.97),1)</f>
        <v/>
      </c>
      <c r="AK68" s="12">
        <f>(AG68*2.6+AH68)*AJ68*AQ68</f>
        <v/>
      </c>
      <c r="AL68" s="11">
        <f>D68</f>
        <v/>
      </c>
      <c r="AM68" s="11">
        <f>B68</f>
        <v/>
      </c>
      <c r="AN68" s="75" t="n">
        <v>11</v>
      </c>
      <c r="AO68" s="17" t="n">
        <v>13</v>
      </c>
      <c r="AP68" s="13">
        <f>IF(AK68&gt;23.73,IF(Z68&lt;101,IF(Z68&lt;30,IF(Z68&lt;6,3,2),1),0),0)</f>
        <v/>
      </c>
      <c r="AQ68" s="13" t="n">
        <v>1</v>
      </c>
      <c r="AR68" s="11">
        <f>IF(AP68&gt;0,IF(AB68&gt;10,(AB68/Z68),10/Z68),0)</f>
        <v/>
      </c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</row>
    <row r="69" ht="12.75" customHeight="1">
      <c r="A69" s="17" t="inlineStr">
        <is>
          <t>https://www.chittorgarh.com/ipo/gaudium-ivf-ipo/2019/</t>
        </is>
      </c>
      <c r="B69" s="17" t="inlineStr">
        <is>
          <t>Gaudium IVF Date, Pr</t>
        </is>
      </c>
      <c r="C69" s="17" t="inlineStr">
        <is>
          <t>2026</t>
        </is>
      </c>
      <c r="D69" s="17" t="inlineStr">
        <is>
          <t>Pos</t>
        </is>
      </c>
      <c r="E69" s="17" t="n">
        <v>18.93</v>
      </c>
      <c r="F69" s="17" t="n">
        <v>46.3</v>
      </c>
      <c r="G69" s="13" t="n">
        <v>59.11</v>
      </c>
      <c r="H69" s="17" t="n">
        <v>88.51000000000001</v>
      </c>
      <c r="I69" s="17" t="n">
        <v>19.13</v>
      </c>
      <c r="J69" s="17" t="n">
        <v>25.14</v>
      </c>
      <c r="K69" s="17" t="n">
        <v>3.12</v>
      </c>
      <c r="L69" s="17" t="n">
        <v>21.25</v>
      </c>
      <c r="M69" s="17" t="n">
        <v>28.63</v>
      </c>
      <c r="N69" s="17" t="n">
        <v>38.29</v>
      </c>
      <c r="O69" s="17" t="n">
        <v>70.95999999999999</v>
      </c>
      <c r="P69" s="13" t="n">
        <v>3.71</v>
      </c>
      <c r="Q69" s="17" t="n">
        <v>25.36</v>
      </c>
      <c r="R69" s="17" t="n">
        <v>22.99</v>
      </c>
      <c r="S69" s="13" t="n">
        <v>0</v>
      </c>
      <c r="T69" s="17" t="n">
        <v>165</v>
      </c>
      <c r="U69" s="17" t="n">
        <v>75</v>
      </c>
      <c r="V69" s="17" t="n">
        <v>1</v>
      </c>
      <c r="W69" s="17" t="n">
        <v>1</v>
      </c>
      <c r="X69" s="17" t="n">
        <v>0</v>
      </c>
      <c r="Y69" s="17" t="n">
        <v>0</v>
      </c>
      <c r="Z69" s="17" t="n">
        <v>2</v>
      </c>
      <c r="AA69" s="66">
        <f>IF(X69&lt;33,IF(Y69&gt;(1.1*X69),0,1),1)+IF(Y69&gt;(4*X69),-1,0)</f>
        <v/>
      </c>
      <c r="AB69" s="17" t="n">
        <v>5.06</v>
      </c>
      <c r="AC69" s="12">
        <f>IF(AB69&gt;9,1,0)+AB69/3</f>
        <v/>
      </c>
      <c r="AD69" s="17" t="n">
        <v>85.37</v>
      </c>
      <c r="AE69" s="17" t="n">
        <v>47.37</v>
      </c>
      <c r="AF69" s="17" t="n">
        <v>71.55</v>
      </c>
      <c r="AG69" s="12">
        <f>IF(G69&lt;0,0,1.2)+IF(G69&lt;14,0,0.9)+IF(P69&lt;0,0.7,0)+IF(P69&lt;6.5,1,0)+IF(P69&lt;23,1,0)+IF(R69&gt;88,0,1)+S69+IF(AD69&lt;20,0,1)+IF(AE69&lt;14,0,1)+IF(AF69&lt;26,0,1)</f>
        <v/>
      </c>
      <c r="AH69" s="12">
        <f>AG69+IF(AG69&gt;6,1,0)+IF(X69&lt;17,0,1)+IF(Y69&lt;11,0,1)+IF(Z69&lt;1.35,0,1)+AC69+AA69</f>
        <v/>
      </c>
      <c r="AI69" s="12" t="n">
        <v>13</v>
      </c>
      <c r="AJ69" s="11">
        <f>IF(AI69&gt;12.8,IF(AI69&gt;15.8,0.9,0.97),1)</f>
        <v/>
      </c>
      <c r="AK69" s="12">
        <f>(AG69*2.6+AH69)*AJ69*AQ69</f>
        <v/>
      </c>
      <c r="AL69" s="11">
        <f>D69</f>
        <v/>
      </c>
      <c r="AM69" s="11" t="inlineStr">
        <is>
          <t>Gaudium IVF Date, Pr</t>
        </is>
      </c>
      <c r="AN69" s="75" t="n">
        <v>24</v>
      </c>
      <c r="AO69" s="17" t="n">
        <v>25</v>
      </c>
      <c r="AP69" s="13">
        <f>IF(AK69&gt;23.73,IF(Z69&lt;101,IF(Z69&lt;30,IF(Z69&lt;6,3,2),1),0),0)</f>
        <v/>
      </c>
      <c r="AQ69" s="13" t="n">
        <v>1</v>
      </c>
      <c r="AR69" s="11">
        <f>IF(AP69&gt;0,IF(AB69&gt;10,(AB69/Z69),10/Z69),0)</f>
        <v/>
      </c>
      <c r="AS69" s="17" t="n">
        <v>1</v>
      </c>
      <c r="AT69" s="17" t="n">
        <v>27</v>
      </c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</row>
    <row r="70" ht="12.75" customHeight="1">
      <c r="A70" s="17" t="inlineStr">
        <is>
          <t>https://www.chittorgarh.com/ipo/shree-ram-twistex-ipo/2502/</t>
        </is>
      </c>
      <c r="B70" s="17" t="inlineStr">
        <is>
          <t>Shree Ram Twistex Da</t>
        </is>
      </c>
      <c r="C70" s="17" t="inlineStr">
        <is>
          <t>2026</t>
        </is>
      </c>
      <c r="D70" s="17" t="inlineStr">
        <is>
          <t>Neg</t>
        </is>
      </c>
      <c r="E70" s="17" t="n">
        <v>62.48</v>
      </c>
      <c r="F70" s="17" t="n">
        <v>74.03</v>
      </c>
      <c r="G70" s="13" t="n">
        <v>15.6</v>
      </c>
      <c r="H70" s="17" t="n">
        <v>194.2</v>
      </c>
      <c r="I70" s="17" t="n">
        <v>8</v>
      </c>
      <c r="J70" s="17" t="n">
        <v>5.3</v>
      </c>
      <c r="K70" s="17" t="n">
        <v>2.72</v>
      </c>
      <c r="L70" s="17" t="n">
        <v>0</v>
      </c>
      <c r="M70" s="17" t="n">
        <v>21.85</v>
      </c>
      <c r="N70" s="17" t="n">
        <v>12.9</v>
      </c>
      <c r="O70" s="17" t="n">
        <v>256.32</v>
      </c>
      <c r="P70" s="13" t="n">
        <v>32.04</v>
      </c>
      <c r="Q70" s="17" t="n">
        <v>38.21</v>
      </c>
      <c r="R70" s="17" t="n">
        <v>29.69</v>
      </c>
      <c r="S70" s="13" t="n">
        <v>-0.9</v>
      </c>
      <c r="T70" s="17" t="n">
        <v>110.24</v>
      </c>
      <c r="U70" s="17" t="n">
        <v>0</v>
      </c>
      <c r="V70" s="17" t="n">
        <v>0</v>
      </c>
      <c r="W70" s="17" t="n">
        <v>0</v>
      </c>
      <c r="X70" s="17" t="n">
        <v>3.94</v>
      </c>
      <c r="Y70" s="17" t="n">
        <v>220</v>
      </c>
      <c r="Z70" s="17" t="n">
        <v>75</v>
      </c>
      <c r="AA70" s="66">
        <f>IF(X70&lt;33,IF(Y70&gt;(1.1*X70),0,1),1)+IF(Y70&gt;(4*X70),-1,0)</f>
        <v/>
      </c>
      <c r="AB70" s="17" t="n">
        <v>0</v>
      </c>
      <c r="AC70" s="12">
        <f>IF(AB70&gt;9,1,0)+AB70/3</f>
        <v/>
      </c>
      <c r="AD70" s="17" t="n">
        <v>22.14</v>
      </c>
      <c r="AE70" s="17" t="n">
        <v>10.62</v>
      </c>
      <c r="AF70" s="17" t="n">
        <v>10.82</v>
      </c>
      <c r="AG70" s="12">
        <f>IF(G70&lt;0,0,1.2)+IF(G70&lt;14,0,0.9)+IF(P70&lt;0,0.7,0)+IF(P70&lt;6.5,1,0)+IF(P70&lt;23,1,0)+IF(R70&gt;88,0,1)+S70+IF(AD70&lt;20,0,1)+IF(AE70&lt;14,0,1)+IF(AF70&lt;26,0,1)</f>
        <v/>
      </c>
      <c r="AH70" s="12">
        <f>AG70+IF(AG70&gt;6,1,0)+IF(X70&lt;17,0,1)+IF(Y70&lt;11,0,1)+IF(Z70&lt;1.35,0,1)+AC70+AA70</f>
        <v/>
      </c>
      <c r="AI70" s="12" t="n">
        <v>14</v>
      </c>
      <c r="AJ70" s="11">
        <f>IF(AI70&gt;12.8,IF(AI70&gt;15.8,0.9,0.97),1)</f>
        <v/>
      </c>
      <c r="AK70" s="12">
        <f>(AG70*2.6+AH70)*AJ70*AQ70</f>
        <v/>
      </c>
      <c r="AL70" s="11">
        <f>D70</f>
        <v/>
      </c>
      <c r="AM70" s="76" t="inlineStr">
        <is>
          <t>Shree Ram Twistex Da</t>
        </is>
      </c>
      <c r="AN70" s="75" t="n">
        <v>25</v>
      </c>
      <c r="AO70" s="17" t="n">
        <v>26</v>
      </c>
      <c r="AP70" s="13">
        <f>IF(AK70&gt;23.73,IF(Z70&lt;101,IF(Z70&lt;30,IF(Z70&lt;6,3,2),1),0),0)</f>
        <v/>
      </c>
      <c r="AQ70" s="13" t="n">
        <v>1</v>
      </c>
      <c r="AR70" s="11">
        <f>IF(AP70&gt;0,IF(AB70&gt;10,(AB70/Z70),10/Z70),0)</f>
        <v/>
      </c>
      <c r="AS70" s="17" t="n"/>
      <c r="AT70" s="17" t="n">
        <v>30</v>
      </c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</row>
    <row r="71" ht="12.75" customHeight="1">
      <c r="A71" s="17" t="inlineStr">
        <is>
          <t>https://www.chittorgarh.com/ipo/clean-max-enviro-energy-solutions-ipo/2573/</t>
        </is>
      </c>
      <c r="B71" s="17" t="inlineStr">
        <is>
          <t>Clean Max Enviro Ene</t>
        </is>
      </c>
      <c r="C71" s="17" t="inlineStr">
        <is>
          <t>2026</t>
        </is>
      </c>
      <c r="D71" s="17" t="inlineStr">
        <is>
          <t>Neg</t>
        </is>
      </c>
      <c r="E71" s="17" t="n">
        <v>7973.7</v>
      </c>
      <c r="F71" s="17" t="n">
        <v>2545.44</v>
      </c>
      <c r="G71" s="13" t="n">
        <v>-213.25</v>
      </c>
      <c r="H71" s="17" t="n">
        <v>13279.25</v>
      </c>
      <c r="I71" s="17" t="n">
        <v>19.43</v>
      </c>
      <c r="J71" s="17" t="n">
        <v>0</v>
      </c>
      <c r="K71" s="17" t="n">
        <v>1.84</v>
      </c>
      <c r="L71" s="17" t="n">
        <v>0.43</v>
      </c>
      <c r="M71" s="17" t="n">
        <v>1015.07</v>
      </c>
      <c r="N71" s="17" t="n">
        <v>0</v>
      </c>
      <c r="O71" s="17" t="n">
        <v>1610.34</v>
      </c>
      <c r="P71" s="13" t="n">
        <v>82.88</v>
      </c>
      <c r="Q71" s="17" t="n">
        <v>634.34</v>
      </c>
      <c r="R71" s="17" t="n">
        <v>324.28</v>
      </c>
      <c r="S71" s="13" t="n">
        <v>0</v>
      </c>
      <c r="T71" s="17" t="n">
        <v>3100</v>
      </c>
      <c r="U71" s="17" t="n">
        <v>1900</v>
      </c>
      <c r="V71" s="17" t="n">
        <v>1</v>
      </c>
      <c r="W71" s="17" t="n">
        <v>1</v>
      </c>
      <c r="X71" s="17" t="n">
        <v>1.42</v>
      </c>
      <c r="Y71" s="17" t="n">
        <v>0.48</v>
      </c>
      <c r="Z71" s="17" t="n">
        <v>0.05</v>
      </c>
      <c r="AA71" s="66">
        <f>IF(X71&lt;33,IF(Y71&gt;(1.1*X71),0,1),1)+IF(Y71&gt;(4*X71),-1,0)</f>
        <v/>
      </c>
      <c r="AB71" s="17" t="n">
        <v>0</v>
      </c>
      <c r="AC71" s="12">
        <f>IF(AB71&gt;9,1,0)+AB71/3</f>
        <v/>
      </c>
      <c r="AD71" s="17" t="n">
        <v>-151.62</v>
      </c>
      <c r="AE71" s="17" t="n">
        <v>12.98</v>
      </c>
      <c r="AF71" s="17" t="n">
        <v>40.02</v>
      </c>
      <c r="AG71" s="12">
        <f>IF(G71&lt;0,0,1.2)+IF(G71&lt;14,0,0.9)+IF(P71&lt;0,0.7,0)+IF(P71&lt;6.5,1,0)+IF(P71&lt;23,1,0)+IF(R71&gt;88,0,1)+S71+IF(AD71&lt;20,0,1)+IF(AE71&lt;14,0,1)+IF(AF71&lt;26,0,1)</f>
        <v/>
      </c>
      <c r="AH71" s="12">
        <f>AG71+IF(AG71&gt;6,1,0)+IF(X71&lt;17,0,1)+IF(Y71&lt;11,0,1)+IF(Z71&lt;1.35,0,1)+AC71+AA71</f>
        <v/>
      </c>
      <c r="AI71" s="12" t="n">
        <v>14</v>
      </c>
      <c r="AJ71" s="11">
        <f>IF(AI71&gt;12.8,IF(AI71&gt;15.8,0.9,0.97),1)</f>
        <v/>
      </c>
      <c r="AK71" s="12">
        <f>(AG71*2.6+AH71)*AJ71*AQ71</f>
        <v/>
      </c>
      <c r="AL71" s="11">
        <f>D71</f>
        <v/>
      </c>
      <c r="AM71" s="11" t="inlineStr">
        <is>
          <t>Clean Max Enviro Ene</t>
        </is>
      </c>
      <c r="AN71" s="75" t="n">
        <v>25</v>
      </c>
      <c r="AO71" s="17" t="n">
        <v>26</v>
      </c>
      <c r="AP71" s="13">
        <f>IF(AK71&gt;23.73,IF(Z71&lt;101,IF(Z71&lt;30,IF(Z71&lt;6,3,2),1),0),0)</f>
        <v/>
      </c>
      <c r="AQ71" s="13" t="n">
        <v>1</v>
      </c>
      <c r="AR71" s="11">
        <f>IF(AP71&gt;0,IF(AB71&gt;10,(AB71/Z71),10/Z71),0)</f>
        <v/>
      </c>
      <c r="AS71" s="17" t="n"/>
      <c r="AT71" s="17" t="n">
        <v>30</v>
      </c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</row>
    <row r="72" ht="12.75" customHeight="1">
      <c r="A72" s="17" t="inlineStr">
        <is>
          <t>https://www.chittorgarh.com/ipo/pngs-reva-ipo/2475/</t>
        </is>
      </c>
      <c r="B72" s="17" t="inlineStr">
        <is>
          <t>PNGS Reva Diamond Je</t>
        </is>
      </c>
      <c r="C72" s="17" t="inlineStr">
        <is>
          <t>2026</t>
        </is>
      </c>
      <c r="D72" s="17" t="inlineStr">
        <is>
          <t>Pos</t>
        </is>
      </c>
      <c r="E72" s="17" t="n">
        <v>90.65000000000001</v>
      </c>
      <c r="F72" s="17" t="n">
        <v>100.19</v>
      </c>
      <c r="G72" s="13" t="n">
        <v>9.52</v>
      </c>
      <c r="H72" s="17" t="n">
        <v>226.84</v>
      </c>
      <c r="I72" s="17" t="n">
        <v>59.47</v>
      </c>
      <c r="J72" s="17" t="n">
        <v>12.85</v>
      </c>
      <c r="K72" s="17" t="n">
        <v>35.21</v>
      </c>
      <c r="L72" s="17" t="n">
        <v>18.3</v>
      </c>
      <c r="M72" s="17" t="n">
        <v>79.61</v>
      </c>
      <c r="N72" s="17" t="n">
        <v>19.65</v>
      </c>
      <c r="O72" s="17" t="n">
        <v>259.11</v>
      </c>
      <c r="P72" s="13" t="n">
        <v>4.36</v>
      </c>
      <c r="Q72" s="17" t="n">
        <v>10.96</v>
      </c>
      <c r="R72" s="17" t="n">
        <v>0</v>
      </c>
      <c r="S72" s="13" t="n">
        <v>-0.9</v>
      </c>
      <c r="T72" s="17" t="n">
        <v>380</v>
      </c>
      <c r="U72" s="17" t="n">
        <v>0</v>
      </c>
      <c r="V72" s="17" t="n">
        <v>1</v>
      </c>
      <c r="W72" s="17" t="n">
        <v>1</v>
      </c>
      <c r="X72" s="17" t="n">
        <v>1.1</v>
      </c>
      <c r="Y72" s="17" t="n">
        <v>1.57</v>
      </c>
      <c r="Z72" s="17" t="n">
        <v>1.22</v>
      </c>
      <c r="AA72" s="66">
        <f>IF(X72&lt;33,IF(Y72&gt;(1.1*X72),0,1),1)+IF(Y72&gt;(4*X72),-1,0)</f>
        <v/>
      </c>
      <c r="AB72" s="17" t="n">
        <v>0</v>
      </c>
      <c r="AC72" s="12">
        <f>IF(AB72&gt;9,1,0)+AB72/3</f>
        <v/>
      </c>
      <c r="AD72" s="17" t="n">
        <v>40.23</v>
      </c>
      <c r="AE72" s="17" t="n">
        <v>32.04</v>
      </c>
      <c r="AF72" s="17" t="n">
        <v>-451.54</v>
      </c>
      <c r="AG72" s="12">
        <f>IF(G72&lt;0,0,1.2)+IF(G72&lt;14,0,0.9)+IF(P72&lt;0,0.7,0)+IF(P72&lt;6.5,1,0)+IF(P72&lt;23,1,0)+IF(R72&gt;88,0,1)+S72+IF(AD72&lt;20,0,1)+IF(AE72&lt;14,0,1)+IF(AF72&lt;26,0,1)</f>
        <v/>
      </c>
      <c r="AH72" s="12">
        <f>AG72+IF(AG72&gt;6,1,0)+IF(X72&lt;17,0,1)+IF(Y72&lt;11,0,1)+IF(Z72&lt;1.35,0,1)+AC72+AA72</f>
        <v/>
      </c>
      <c r="AI72" s="12" t="n">
        <v>15</v>
      </c>
      <c r="AJ72" s="11">
        <f>IF(AI72&gt;12.8,IF(AI72&gt;15.8,0.9,0.97),1)</f>
        <v/>
      </c>
      <c r="AK72" s="12">
        <f>(AG72*2.6+AH72)*AJ72*AQ72</f>
        <v/>
      </c>
      <c r="AL72" s="11">
        <f>D72</f>
        <v/>
      </c>
      <c r="AM72" s="76" t="inlineStr">
        <is>
          <t>PNGS Reva Diamond Je</t>
        </is>
      </c>
      <c r="AN72" s="75" t="n">
        <v>26</v>
      </c>
      <c r="AO72" s="17" t="n">
        <v>27</v>
      </c>
      <c r="AP72" s="13">
        <f>IF(AK72&gt;23.73,IF(Z72&lt;101,IF(Z72&lt;30,IF(Z72&lt;6,3,2),1),0),0)</f>
        <v/>
      </c>
      <c r="AQ72" s="13" t="n">
        <v>1</v>
      </c>
      <c r="AR72" s="11">
        <f>IF(AP72&gt;0,IF(AB72&gt;10,(AB72/Z72),10/Z72),0)</f>
        <v/>
      </c>
      <c r="AS72" s="17" t="n"/>
      <c r="AT72" s="17" t="n">
        <v>1</v>
      </c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</row>
    <row r="73" ht="12.75" customHeight="1">
      <c r="A73" s="17" t="inlineStr">
        <is>
          <t>https://www.chittorgarh.com/ipo/omnitech-engineering-ipo/2479/</t>
        </is>
      </c>
      <c r="B73" s="17" t="inlineStr">
        <is>
          <t>Omnitech Engineering</t>
        </is>
      </c>
      <c r="C73" s="17" t="inlineStr">
        <is>
          <t>2026</t>
        </is>
      </c>
      <c r="D73" s="17" t="inlineStr">
        <is>
          <t>Neg</t>
        </is>
      </c>
      <c r="E73" s="17" t="n">
        <v>330.63</v>
      </c>
      <c r="F73" s="17" t="n">
        <v>204.44</v>
      </c>
      <c r="G73" s="13" t="n">
        <v>-61.72</v>
      </c>
      <c r="H73" s="17" t="n">
        <v>626.33</v>
      </c>
      <c r="I73" s="17" t="n">
        <v>43.87</v>
      </c>
      <c r="J73" s="17" t="n">
        <v>11.74</v>
      </c>
      <c r="K73" s="17" t="n">
        <v>4.17</v>
      </c>
      <c r="L73" s="17" t="n">
        <v>12.07</v>
      </c>
      <c r="M73" s="17" t="n">
        <v>117.65</v>
      </c>
      <c r="N73" s="17" t="n">
        <v>30.72</v>
      </c>
      <c r="O73" s="17" t="n">
        <v>349.71</v>
      </c>
      <c r="P73" s="13" t="n">
        <v>7.97</v>
      </c>
      <c r="Q73" s="17" t="n">
        <v>54.47</v>
      </c>
      <c r="R73" s="17" t="n">
        <v>50.53</v>
      </c>
      <c r="S73" s="13" t="n">
        <v>0</v>
      </c>
      <c r="T73" s="17" t="n">
        <v>583</v>
      </c>
      <c r="U73" s="17" t="n">
        <v>165</v>
      </c>
      <c r="V73" s="17" t="n">
        <v>1</v>
      </c>
      <c r="W73" s="17" t="n">
        <v>1</v>
      </c>
      <c r="X73" s="17" t="n">
        <v>3</v>
      </c>
      <c r="Y73" s="17" t="n">
        <v>0.77</v>
      </c>
      <c r="Z73" s="17" t="n">
        <v>0.35</v>
      </c>
      <c r="AA73" s="66">
        <f>IF(X73&lt;33,IF(Y73&gt;(1.1*X73),0,1),1)+IF(Y73&gt;(4*X73),-1,0)</f>
        <v/>
      </c>
      <c r="AB73" s="17" t="n">
        <v>0</v>
      </c>
      <c r="AC73" s="12">
        <f>IF(AB73&gt;9,1,0)+AB73/3</f>
        <v/>
      </c>
      <c r="AD73" s="17" t="n">
        <v>131.99</v>
      </c>
      <c r="AE73" s="17" t="n">
        <v>92.2</v>
      </c>
      <c r="AF73" s="17" t="n">
        <v>159.41</v>
      </c>
      <c r="AG73" s="12">
        <f>IF(G73&lt;0,0,1.2)+IF(G73&lt;14,0,0.9)+IF(P73&lt;0,0.7,0)+IF(P73&lt;6.5,1,0)+IF(P73&lt;23,1,0)+IF(R73&gt;88,0,1)+S73+IF(AD73&lt;20,0,1)+IF(AE73&lt;14,0,1)+IF(AF73&lt;26,0,1)</f>
        <v/>
      </c>
      <c r="AH73" s="12">
        <f>AG73+IF(AG73&gt;6,1,0)+IF(X73&lt;17,0,1)+IF(Y73&lt;11,0,1)+IF(Z73&lt;1.35,0,1)+AC73+AA73</f>
        <v/>
      </c>
      <c r="AI73" s="12" t="n">
        <v>16</v>
      </c>
      <c r="AJ73" s="11">
        <f>IF(AI73&gt;12.8,IF(AI73&gt;15.8,0.9,0.97),1)</f>
        <v/>
      </c>
      <c r="AK73" s="12">
        <f>(AG73*2.6+AH73)*AJ73*AQ73</f>
        <v/>
      </c>
      <c r="AL73" s="11">
        <f>D73</f>
        <v/>
      </c>
      <c r="AM73" s="11" t="inlineStr">
        <is>
          <t>Omnitech Engineering</t>
        </is>
      </c>
      <c r="AN73" s="75" t="n">
        <v>27</v>
      </c>
      <c r="AO73" s="17" t="n">
        <v>30</v>
      </c>
      <c r="AP73" s="13">
        <f>IF(AK73&gt;23.73,IF(Z73&lt;101,IF(Z73&lt;30,IF(Z73&lt;6,3,2),1),0),0)</f>
        <v/>
      </c>
      <c r="AQ73" s="13" t="n">
        <v>1</v>
      </c>
      <c r="AR73" s="11">
        <f>IF(AP73&gt;0,IF(AB73&gt;10,(AB73/Z73),10/Z73),0)</f>
        <v/>
      </c>
      <c r="AS73" s="17" t="n"/>
      <c r="AT73" s="17" t="n">
        <v>1</v>
      </c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</row>
    <row r="74" ht="12.75" customHeight="1">
      <c r="A74" s="17" t="inlineStr">
        <is>
          <t>https://www.chittorgarh.com/ipo/sedemac-mechatronics-ipo/2794/</t>
        </is>
      </c>
      <c r="B74" s="17" t="inlineStr">
        <is>
          <t>SEDEMAC Mechatronics</t>
        </is>
      </c>
      <c r="C74" s="17" t="inlineStr">
        <is>
          <t>2026</t>
        </is>
      </c>
      <c r="D74" s="17" t="inlineStr">
        <is>
          <t>Pos</t>
        </is>
      </c>
      <c r="E74" s="17" t="n">
        <v>49.62</v>
      </c>
      <c r="F74" s="17" t="n">
        <v>303.88</v>
      </c>
      <c r="G74" s="13" t="n">
        <v>83.67</v>
      </c>
      <c r="H74" s="17" t="n">
        <v>491.16</v>
      </c>
      <c r="I74" s="17" t="n">
        <v>47.05</v>
      </c>
      <c r="J74" s="17" t="n">
        <v>7.15</v>
      </c>
      <c r="K74" s="17" t="n">
        <v>10.76</v>
      </c>
      <c r="L74" s="17" t="n">
        <v>22.01</v>
      </c>
      <c r="M74" s="17" t="n">
        <v>125.07</v>
      </c>
      <c r="N74" s="17" t="n">
        <v>19</v>
      </c>
      <c r="O74" s="17" t="n">
        <v>662.54</v>
      </c>
      <c r="P74" s="13" t="n">
        <v>14.08</v>
      </c>
      <c r="Q74" s="17" t="n">
        <v>125.69</v>
      </c>
      <c r="R74" s="17" t="n">
        <v>86.61</v>
      </c>
      <c r="S74" s="13" t="n">
        <v>0.7</v>
      </c>
      <c r="T74" s="17" t="n">
        <v>1087.45</v>
      </c>
      <c r="U74" s="17" t="n">
        <v>0</v>
      </c>
      <c r="V74" s="17" t="n">
        <v>0</v>
      </c>
      <c r="W74" s="17" t="n">
        <v>1</v>
      </c>
      <c r="X74" s="17" t="n">
        <v>7</v>
      </c>
      <c r="Y74" s="17" t="n">
        <v>0.4</v>
      </c>
      <c r="Z74" s="17" t="n">
        <v>0.5</v>
      </c>
      <c r="AA74" s="66">
        <f>IF(X74&lt;33,IF(Y74&gt;(1.1*X74),0,1),1)+IF(Y74&gt;(4*X74),-1,0)</f>
        <v/>
      </c>
      <c r="AB74" s="17" t="n">
        <v>1</v>
      </c>
      <c r="AC74" s="12">
        <f>IF(AB74&gt;9,1,0)+AB74/3</f>
        <v/>
      </c>
      <c r="AD74" s="17" t="n">
        <v>700.17</v>
      </c>
      <c r="AE74" s="17" t="n">
        <v>23.63</v>
      </c>
      <c r="AF74" s="17" t="n">
        <v>144.22</v>
      </c>
      <c r="AG74" s="12">
        <f>IF(G74&lt;0,0,1.2)+IF(G74&lt;14,0,0.9)+IF(P74&lt;0,0.7,0)+IF(P74&lt;6.5,1,0)+IF(P74&lt;23,1,0)+IF(R74&gt;88,0,1)+S74+IF(AD74&lt;20,0,1)+IF(AE74&lt;14,0,1)+IF(AF74&lt;26,0,1)</f>
        <v/>
      </c>
      <c r="AH74" s="12">
        <f>AG74+IF(AG74&gt;6,1,0)+IF(X74&lt;17,0,1)+IF(Y74&lt;11,0,1)+IF(Z74&lt;1.35,0,1)+AC74+AA74</f>
        <v/>
      </c>
      <c r="AI74" s="12" t="n">
        <v>17</v>
      </c>
      <c r="AJ74" s="11">
        <f>IF(AI74&gt;12.8,IF(AI74&gt;15.8,0.9,0.97),1)</f>
        <v/>
      </c>
      <c r="AK74" s="12">
        <f>(AG74*2.6+AH74)*AJ74*AQ74</f>
        <v/>
      </c>
      <c r="AL74" s="11">
        <f>D74</f>
        <v/>
      </c>
      <c r="AM74" s="11" t="inlineStr">
        <is>
          <t>SEDEMAC Mechatronics</t>
        </is>
      </c>
      <c r="AN74" s="73" t="n">
        <v>6</v>
      </c>
      <c r="AO74" s="17" t="n">
        <v>9</v>
      </c>
      <c r="AP74" s="13">
        <f>IF(AK74&gt;23.73,IF(Z74&lt;101,IF(Z74&lt;30,IF(Z74&lt;6,3,2),1),0),0)</f>
        <v/>
      </c>
      <c r="AQ74" s="13" t="n">
        <v>1</v>
      </c>
      <c r="AR74" s="11">
        <f>IF(AP74&gt;0,IF(AB74&gt;10,(AB74/Z74),10/Z74),0)</f>
        <v/>
      </c>
      <c r="AS74" s="74" t="inlineStr">
        <is>
          <t>March</t>
        </is>
      </c>
      <c r="AT74" s="17" t="n">
        <v>11</v>
      </c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</row>
    <row r="75" ht="12.75" customHeight="1">
      <c r="A75" s="17" t="inlineStr">
        <is>
          <t>s</t>
        </is>
      </c>
      <c r="B75" s="17" t="inlineStr">
        <is>
          <t xml:space="preserve">Rajputana Stainless </t>
        </is>
      </c>
      <c r="C75" s="17" t="inlineStr">
        <is>
          <t>2026</t>
        </is>
      </c>
      <c r="D75" s="17" t="inlineStr">
        <is>
          <t>Neg</t>
        </is>
      </c>
      <c r="E75" s="17" t="n">
        <v>99.75</v>
      </c>
      <c r="F75" s="17" t="n">
        <v>151.95</v>
      </c>
      <c r="G75" s="13" t="n">
        <v>34.35</v>
      </c>
      <c r="H75" s="17" t="n">
        <v>420.36</v>
      </c>
      <c r="I75" s="17" t="n">
        <v>39.85</v>
      </c>
      <c r="J75" s="17" t="n">
        <v>4.87</v>
      </c>
      <c r="K75" s="17" t="n">
        <v>5.78</v>
      </c>
      <c r="L75" s="17" t="n">
        <v>14.86</v>
      </c>
      <c r="M75" s="17" t="n">
        <v>73.79000000000001</v>
      </c>
      <c r="N75" s="17" t="n">
        <v>9.16</v>
      </c>
      <c r="O75" s="17" t="n">
        <v>937.49</v>
      </c>
      <c r="P75" s="13" t="n">
        <v>23.53</v>
      </c>
      <c r="Q75" s="17" t="n">
        <v>21.1</v>
      </c>
      <c r="R75" s="17" t="n">
        <v>20.88</v>
      </c>
      <c r="S75" s="13" t="n">
        <v>-0.9</v>
      </c>
      <c r="T75" s="17" t="n">
        <v>254.98</v>
      </c>
      <c r="U75" s="17" t="n">
        <v>76.25</v>
      </c>
      <c r="V75" s="17" t="n">
        <v>0</v>
      </c>
      <c r="W75" s="17" t="n">
        <v>1</v>
      </c>
      <c r="X75" s="17" t="n">
        <v>17</v>
      </c>
      <c r="Y75" s="17" t="n">
        <v>12</v>
      </c>
      <c r="Z75" s="17" t="n">
        <v>1</v>
      </c>
      <c r="AA75" s="66">
        <f>IF(X75&lt;33,IF(Y75&gt;(1.1*X75),0,1),1)+IF(Y75&gt;(4*X75),-1,0)</f>
        <v/>
      </c>
      <c r="AB75" s="17" t="n">
        <v>2</v>
      </c>
      <c r="AC75" s="12">
        <f>IF(AB75&gt;9,1,0)+AB75/3</f>
        <v/>
      </c>
      <c r="AD75" s="17" t="n">
        <v>25.99</v>
      </c>
      <c r="AE75" s="17" t="n">
        <v>2.4</v>
      </c>
      <c r="AF75" s="17" t="n">
        <v>35.34</v>
      </c>
      <c r="AG75" s="12">
        <f>IF(G75&lt;0,0,1.2)+IF(G75&lt;14,0,0.9)+IF(P75&lt;0,0.7,0)+IF(P75&lt;6.5,1,0)+IF(P75&lt;23,1,0)+IF(R75&gt;88,0,1)+S75+IF(AD75&lt;20,0,1)+IF(AE75&lt;14,0,1)+IF(AF75&lt;26,0,1)</f>
        <v/>
      </c>
      <c r="AH75" s="12">
        <f>AG75+IF(AG75&gt;6,1,0)+IF(X75&lt;17,0,1)+IF(Y75&lt;11,0,1)+IF(Z75&lt;1.35,0,1)+AC75+AA75</f>
        <v/>
      </c>
      <c r="AI75" s="12" t="n">
        <v>18</v>
      </c>
      <c r="AJ75" s="11">
        <f>IF(AI75&gt;12.8,IF(AI75&gt;15.8,0.9,0.97),1)</f>
        <v/>
      </c>
      <c r="AK75" s="12">
        <f>(AG75*2.6+AH75)*AJ75*AQ75</f>
        <v/>
      </c>
      <c r="AL75" s="11">
        <f>D75</f>
        <v/>
      </c>
      <c r="AM75" s="11" t="inlineStr">
        <is>
          <t xml:space="preserve">Rajputana Stainless </t>
        </is>
      </c>
      <c r="AN75" s="73" t="n">
        <v>11</v>
      </c>
      <c r="AO75" s="17" t="n">
        <v>12</v>
      </c>
      <c r="AP75" s="13">
        <f>IF(AK75&gt;23.73,IF(Z75&lt;101,IF(Z75&lt;30,IF(Z75&lt;6,3,2),1),0),0)</f>
        <v/>
      </c>
      <c r="AQ75" s="13" t="n">
        <v>1</v>
      </c>
      <c r="AR75" s="11">
        <f>IF(AP75&gt;0,IF(AB75&gt;10,(AB75/Z75),10/Z75),0)</f>
        <v/>
      </c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</row>
    <row r="76" ht="12.75" customHeight="1">
      <c r="A76" s="17" t="inlineStr">
        <is>
          <t>https://www.chittorgarh.com/ipo/innovision-limited-ipo/2039/</t>
        </is>
      </c>
      <c r="B76" s="17" t="inlineStr">
        <is>
          <t>Innovision Date, Pri</t>
        </is>
      </c>
      <c r="C76" s="17" t="inlineStr">
        <is>
          <t>2026</t>
        </is>
      </c>
      <c r="D76" s="17" t="inlineStr">
        <is>
          <t>Neg</t>
        </is>
      </c>
      <c r="E76" s="17" t="n">
        <v>79.05</v>
      </c>
      <c r="F76" s="17" t="n">
        <v>81.88</v>
      </c>
      <c r="G76" s="13" t="n">
        <v>3.46</v>
      </c>
      <c r="H76" s="17" t="n">
        <v>220.3</v>
      </c>
      <c r="I76" s="17" t="n">
        <v>29.02</v>
      </c>
      <c r="J76" s="17" t="n">
        <v>4.17</v>
      </c>
      <c r="K76" s="17" t="n">
        <v>15.36</v>
      </c>
      <c r="L76" s="17" t="n">
        <v>19.55</v>
      </c>
      <c r="M76" s="17" t="n">
        <v>51.75</v>
      </c>
      <c r="N76" s="17" t="n">
        <v>6.34</v>
      </c>
      <c r="O76" s="17" t="n">
        <v>895.95</v>
      </c>
      <c r="P76" s="13" t="n">
        <v>30.87</v>
      </c>
      <c r="Q76" s="17" t="n">
        <v>35.69</v>
      </c>
      <c r="R76" s="17" t="n">
        <v>32.26</v>
      </c>
      <c r="S76" s="13" t="n">
        <v>-0.9</v>
      </c>
      <c r="T76" s="17" t="n">
        <v>322.84</v>
      </c>
      <c r="U76" s="17" t="n">
        <v>67.84</v>
      </c>
      <c r="V76" s="17" t="n">
        <v>0</v>
      </c>
      <c r="W76" s="17" t="n">
        <v>0</v>
      </c>
      <c r="X76" s="17" t="n">
        <v>17</v>
      </c>
      <c r="Y76" s="17" t="n">
        <v>8</v>
      </c>
      <c r="Z76" s="17" t="n">
        <v>2</v>
      </c>
      <c r="AA76" s="66">
        <f>IF(X76&lt;33,IF(Y76&gt;(1.1*X76),0,1),1)+IF(Y76&gt;(4*X76),-1,0)</f>
        <v/>
      </c>
      <c r="AB76" s="17" t="n">
        <v>0.5</v>
      </c>
      <c r="AC76" s="12">
        <f>IF(AB76&gt;9,1,0)+AB76/3</f>
        <v/>
      </c>
      <c r="AD76" s="17" t="n">
        <v>182.57</v>
      </c>
      <c r="AE76" s="17" t="n">
        <v>74.95</v>
      </c>
      <c r="AF76" s="17" t="n">
        <v>56.41</v>
      </c>
      <c r="AG76" s="12">
        <f>IF(G76&lt;0,0,1.2)+IF(G76&lt;14,0,0.9)+IF(P76&lt;0,0.7,0)+IF(P76&lt;6.5,1,0)+IF(P76&lt;23,1,0)+IF(R76&gt;88,0,1)+S76+IF(AD76&lt;20,0,1)+IF(AE76&lt;14,0,1)+IF(AF76&lt;26,0,1)</f>
        <v/>
      </c>
      <c r="AH76" s="12">
        <f>AG76+IF(AG76&gt;6,1,0)+IF(X76&lt;17,0,1)+IF(Y76&lt;11,0,1)+IF(Z76&lt;1.35,0,1)+AC76+AA76</f>
        <v/>
      </c>
      <c r="AI76" s="12" t="n">
        <v>18</v>
      </c>
      <c r="AJ76" s="11">
        <f>IF(AI76&gt;12.8,IF(AI76&gt;15.8,0.9,0.97),1)</f>
        <v/>
      </c>
      <c r="AK76" s="12">
        <f>(AG76*2.6+AH76)*AJ76*AQ76</f>
        <v/>
      </c>
      <c r="AL76" s="11">
        <f>D76</f>
        <v/>
      </c>
      <c r="AM76" s="11" t="inlineStr">
        <is>
          <t>Innovision Date, Pri</t>
        </is>
      </c>
      <c r="AN76" s="73" t="n">
        <v>12</v>
      </c>
      <c r="AO76" s="17" t="n">
        <v>13</v>
      </c>
      <c r="AP76" s="13">
        <f>IF(AK76&gt;23.73,IF(Z76&lt;101,IF(Z76&lt;30,IF(Z76&lt;6,3,2),1),0),0)</f>
        <v/>
      </c>
      <c r="AQ76" s="13" t="n">
        <v>1</v>
      </c>
      <c r="AR76" s="11">
        <f>IF(AP76&gt;0,IF(AB76&gt;10,(AB76/Z76),10/Z76),0)</f>
        <v/>
      </c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</row>
    <row r="77" ht="12.75" customHeight="1">
      <c r="A77" s="17" t="inlineStr">
        <is>
          <t>https://www.chittorgarh.com/ipo/gsp-crop-ipo/2031/</t>
        </is>
      </c>
      <c r="B77" s="17" t="inlineStr">
        <is>
          <t>GSP Crop Science Dat</t>
        </is>
      </c>
      <c r="C77" s="17" t="inlineStr">
        <is>
          <t>2026</t>
        </is>
      </c>
      <c r="D77" s="17" t="inlineStr">
        <is>
          <t>Pos</t>
        </is>
      </c>
      <c r="E77" s="17" t="n">
        <v>295.6</v>
      </c>
      <c r="F77" s="17" t="n">
        <v>450.03</v>
      </c>
      <c r="G77" s="13" t="n">
        <v>34.32</v>
      </c>
      <c r="H77" s="17" t="n">
        <v>1228.5</v>
      </c>
      <c r="I77" s="17" t="n">
        <v>81.42</v>
      </c>
      <c r="J77" s="17" t="n">
        <v>9.56</v>
      </c>
      <c r="K77" s="17" t="n">
        <v>20.87</v>
      </c>
      <c r="L77" s="17" t="n">
        <v>15.62</v>
      </c>
      <c r="M77" s="17" t="n">
        <v>164.03</v>
      </c>
      <c r="N77" s="17" t="n">
        <v>16.45</v>
      </c>
      <c r="O77" s="17" t="n">
        <v>1301.06</v>
      </c>
      <c r="P77" s="13" t="n">
        <v>15.98</v>
      </c>
      <c r="Q77" s="17" t="n">
        <v>15.34</v>
      </c>
      <c r="R77" s="17" t="n">
        <v>9.18</v>
      </c>
      <c r="S77" s="13" t="n">
        <v>0.7</v>
      </c>
      <c r="T77" s="17" t="n">
        <v>400</v>
      </c>
      <c r="U77" s="17" t="n">
        <v>160</v>
      </c>
      <c r="V77" s="17" t="n">
        <v>1</v>
      </c>
      <c r="W77" s="17" t="n">
        <v>1</v>
      </c>
      <c r="X77" s="17" t="n">
        <v>2.66</v>
      </c>
      <c r="Y77" s="17" t="n">
        <v>3.14</v>
      </c>
      <c r="Z77" s="17" t="n">
        <v>0.42</v>
      </c>
      <c r="AA77" s="66">
        <f>IF(X77&lt;33,IF(Y77&gt;(1.1*X77),0,1),1)+IF(Y77&gt;(4*X77),-1,0)</f>
        <v/>
      </c>
      <c r="AB77" s="17" t="n">
        <v>0.62</v>
      </c>
      <c r="AC77" s="12">
        <f>IF(AB77&gt;9,1,0)+AB77/3</f>
        <v/>
      </c>
      <c r="AD77" s="17" t="n">
        <v>46.6</v>
      </c>
      <c r="AE77" s="17" t="n">
        <v>12.33</v>
      </c>
      <c r="AF77" s="17" t="n">
        <v>21.48</v>
      </c>
      <c r="AG77" s="12">
        <f>IF(G77&lt;0,0,1.2)+IF(G77&lt;14,0,0.9)+IF(P77&lt;0,0.7,0)+IF(P77&lt;6.5,1,0)+IF(P77&lt;23,1,0)+IF(R77&gt;88,0,1)+S77+IF(AD77&lt;20,0,1)+IF(AE77&lt;14,0,1)+IF(AF77&lt;26,0,1)</f>
        <v/>
      </c>
      <c r="AH77" s="12">
        <f>AG77+IF(AG77&gt;6,1,0)+IF(X77&lt;17,0,1)+IF(Y77&lt;11,0,1)+IF(Z77&lt;1.35,0,1)+AC77+AA77</f>
        <v/>
      </c>
      <c r="AI77" s="12" t="n">
        <v>18</v>
      </c>
      <c r="AJ77" s="11">
        <f>IF(AI77&gt;12.8,IF(AI77&gt;15.8,0.9,0.97),1)</f>
        <v/>
      </c>
      <c r="AK77" s="12">
        <f>(AG77*2.6+AH77)*AJ77*AQ77</f>
        <v/>
      </c>
      <c r="AL77" s="11">
        <f>D77</f>
        <v/>
      </c>
      <c r="AM77" s="11" t="inlineStr">
        <is>
          <t>GSP Crop Science Dat</t>
        </is>
      </c>
      <c r="AN77" s="73" t="n">
        <v>18</v>
      </c>
      <c r="AO77" s="17" t="n">
        <v>19</v>
      </c>
      <c r="AP77" s="13">
        <f>IF(AK77&gt;23.73,IF(Z77&lt;101,IF(Z77&lt;30,IF(Z77&lt;6,3,2),1),0),0)</f>
        <v/>
      </c>
      <c r="AQ77" s="13" t="n">
        <v>1</v>
      </c>
      <c r="AR77" s="11">
        <f>IF(AP77&gt;0,IF(AB77&gt;10,(AB77/Z77),10/Z77),0)</f>
        <v/>
      </c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</row>
    <row r="78" ht="12.75" customHeight="1">
      <c r="A78" s="17" t="inlineStr">
        <is>
          <t>https://www.chittorgarh.com/ipo/central-mine-planning-design-institute-ipo/2456/</t>
        </is>
      </c>
      <c r="B78" s="17" t="inlineStr">
        <is>
          <t>Central Mine Plannin</t>
        </is>
      </c>
      <c r="C78" s="17" t="inlineStr">
        <is>
          <t>2026</t>
        </is>
      </c>
      <c r="D78" s="17" t="inlineStr">
        <is>
          <t>Rec</t>
        </is>
      </c>
      <c r="E78" s="17" t="n">
        <v>0</v>
      </c>
      <c r="F78" s="17" t="n">
        <v>2041.85</v>
      </c>
      <c r="G78" s="13" t="n">
        <v>100</v>
      </c>
      <c r="H78" s="17" t="n">
        <v>2682.8</v>
      </c>
      <c r="I78" s="17" t="n">
        <v>666.91</v>
      </c>
      <c r="J78" s="17" t="n">
        <v>27.6</v>
      </c>
      <c r="K78" s="17" t="n">
        <v>9.34</v>
      </c>
      <c r="L78" s="17" t="n">
        <v>0</v>
      </c>
      <c r="M78" s="17" t="n">
        <v>915.71</v>
      </c>
      <c r="N78" s="17" t="n">
        <v>38.5</v>
      </c>
      <c r="O78" s="17" t="n">
        <v>2177.53</v>
      </c>
      <c r="P78" s="13" t="n">
        <v>3.27</v>
      </c>
      <c r="Q78" s="17" t="n">
        <v>18.41</v>
      </c>
      <c r="R78" s="17" t="n">
        <v>21.65</v>
      </c>
      <c r="S78" s="13" t="n">
        <v>-0.9</v>
      </c>
      <c r="T78" s="17" t="n">
        <v>1842.12</v>
      </c>
      <c r="U78" s="17" t="n">
        <v>0</v>
      </c>
      <c r="V78" s="17" t="n">
        <v>1</v>
      </c>
      <c r="W78" s="17" t="n">
        <v>1</v>
      </c>
      <c r="X78" s="17" t="n">
        <v>3.48</v>
      </c>
      <c r="Y78" s="17" t="n">
        <v>0.35</v>
      </c>
      <c r="Z78" s="17" t="n">
        <v>0.35</v>
      </c>
      <c r="AA78" s="66">
        <f>IF(X78&lt;33,IF(Y78&gt;(1.1*X78),0,1),1)+IF(Y78&gt;(4*X78),-1,0)</f>
        <v/>
      </c>
      <c r="AB78" s="17" t="n">
        <v>4</v>
      </c>
      <c r="AC78" s="12">
        <f>IF(AB78&gt;9,1,0)+AB78/3</f>
        <v/>
      </c>
      <c r="AD78" s="17" t="n">
        <v>32.53</v>
      </c>
      <c r="AE78" s="17" t="n">
        <v>23.01</v>
      </c>
      <c r="AF78" s="17" t="n">
        <v>28.29</v>
      </c>
      <c r="AG78" s="12">
        <f>IF(G78&lt;0,0,1.2)+IF(G78&lt;14,0,0.9)+IF(P78&lt;0,0.7,0)+IF(P78&lt;6.5,1,0)+IF(P78&lt;23,1,0)+IF(R78&gt;88,0,1)+S78+IF(AD78&lt;20,0,1)+IF(AE78&lt;14,0,1)+IF(AF78&lt;26,0,1)</f>
        <v/>
      </c>
      <c r="AH78" s="12">
        <f>AG78+IF(AG78&gt;6,1,0)+IF(X78&lt;17,0,1)+IF(Y78&lt;11,0,1)+IF(Z78&lt;1.35,0,1)+AC78+AA78</f>
        <v/>
      </c>
      <c r="AI78" s="12" t="n">
        <v>18</v>
      </c>
      <c r="AJ78" s="11">
        <f>IF(AI78&gt;12.8,IF(AI78&gt;15.8,0.9,0.97),1)</f>
        <v/>
      </c>
      <c r="AK78" s="12">
        <f>(AG78*2.6+AH78)*AJ78*AQ78</f>
        <v/>
      </c>
      <c r="AL78" s="11">
        <f>D78</f>
        <v/>
      </c>
      <c r="AM78" s="11" t="inlineStr">
        <is>
          <t>Central Mine Plannin</t>
        </is>
      </c>
      <c r="AN78" s="73" t="n">
        <v>26</v>
      </c>
      <c r="AO78" s="17" t="n">
        <v>24</v>
      </c>
      <c r="AP78" s="13">
        <f>IF(AK78&gt;23.73,IF(Z78&lt;101,IF(Z78&lt;30,IF(Z78&lt;6,3,2),1),0),0)</f>
        <v/>
      </c>
      <c r="AQ78" s="13" t="n">
        <v>1</v>
      </c>
      <c r="AR78" s="11">
        <f>IF(AP78&gt;0,IF(AB78&gt;10,(AB78/Z78),10/Z78),0)</f>
        <v/>
      </c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</row>
    <row r="79" ht="12.75" customHeight="1">
      <c r="A79" s="17" t="inlineStr">
        <is>
          <t>https://www.chittorgarh.com/ipo/sai-parenterals-ipo/2681/</t>
        </is>
      </c>
      <c r="B79" s="17" t="inlineStr">
        <is>
          <t>Sai Parenteral&amp;#x27;</t>
        </is>
      </c>
      <c r="C79" s="17" t="inlineStr">
        <is>
          <t>2026</t>
        </is>
      </c>
      <c r="D79" s="17" t="inlineStr">
        <is>
          <t>Pos</t>
        </is>
      </c>
      <c r="E79" s="17" t="n">
        <v>93.95</v>
      </c>
      <c r="F79" s="17" t="n">
        <v>95.78</v>
      </c>
      <c r="G79" s="13" t="n">
        <v>1.91</v>
      </c>
      <c r="H79" s="17" t="n">
        <v>272.39</v>
      </c>
      <c r="I79" s="17" t="n">
        <v>14.43</v>
      </c>
      <c r="J79" s="17" t="n">
        <v>8.93</v>
      </c>
      <c r="K79" s="17" t="n">
        <v>5.43</v>
      </c>
      <c r="L79" s="17" t="n">
        <v>5.13</v>
      </c>
      <c r="M79" s="17" t="n">
        <v>39.44</v>
      </c>
      <c r="N79" s="17" t="n">
        <v>18.68</v>
      </c>
      <c r="O79" s="17" t="n">
        <v>163.74</v>
      </c>
      <c r="P79" s="13" t="n">
        <v>11.35</v>
      </c>
      <c r="Q79" s="17" t="n">
        <v>72.19</v>
      </c>
      <c r="R79" s="17" t="n">
        <v>0</v>
      </c>
      <c r="S79" s="13" t="n">
        <v>0.45</v>
      </c>
      <c r="T79" s="17" t="n">
        <v>408.79</v>
      </c>
      <c r="U79" s="17" t="n">
        <v>123.79</v>
      </c>
      <c r="V79" s="17" t="n">
        <v>1</v>
      </c>
      <c r="W79" s="17" t="n">
        <v>1</v>
      </c>
      <c r="X79" s="17" t="n">
        <v>0.6</v>
      </c>
      <c r="Y79" s="17" t="n">
        <v>1.05</v>
      </c>
      <c r="Z79" s="17" t="n">
        <v>0.05</v>
      </c>
      <c r="AA79" s="66">
        <f>IF(X79&lt;33,IF(Y79&gt;(1.1*X79),0,1),1)+IF(Y79&gt;(4*X79),-1,0)</f>
        <v/>
      </c>
      <c r="AB79" s="17" t="n">
        <v>0</v>
      </c>
      <c r="AC79" s="12">
        <f>IF(AB79&gt;9,1,0)+AB79/3</f>
        <v/>
      </c>
      <c r="AD79" s="17" t="n">
        <v>71.38</v>
      </c>
      <c r="AE79" s="17" t="n">
        <v>5.52</v>
      </c>
      <c r="AF79" s="17" t="n">
        <v>25.37</v>
      </c>
      <c r="AG79" s="12">
        <f>IF(G79&lt;0,0,1.2)+IF(G79&lt;14,0,0.9)+IF(P79&lt;0,0.7,0)+IF(P79&lt;6.5,1,0)+IF(P79&lt;23,1,0)+IF(R79&gt;88,0,1)+S79+IF(AD79&lt;20,0,1)+IF(AE79&lt;14,0,1)+IF(AF79&lt;26,0,1)</f>
        <v/>
      </c>
      <c r="AH79" s="12">
        <f>AG79+IF(AG79&gt;6,1,0)+IF(X79&lt;17,0,1)+IF(Y79&lt;11,0,1)+IF(Z79&lt;1.35,0,1)+AC79+AA79</f>
        <v/>
      </c>
      <c r="AI79" s="12" t="n">
        <v>18</v>
      </c>
      <c r="AJ79" s="11">
        <f>IF(AI79&gt;12.8,IF(AI79&gt;15.8,0.9,0.97),1)</f>
        <v/>
      </c>
      <c r="AK79" s="12">
        <f>(AG79*2.6+AH79)*AJ79*AQ79</f>
        <v/>
      </c>
      <c r="AL79" s="11">
        <f>D79</f>
        <v/>
      </c>
      <c r="AM79" s="11" t="inlineStr">
        <is>
          <t>Sai Parenteral&amp;#x27;</t>
        </is>
      </c>
      <c r="AN79" s="73" t="n">
        <v>27</v>
      </c>
      <c r="AO79" s="17" t="n">
        <v>25</v>
      </c>
      <c r="AP79" s="13">
        <f>IF(AK79&gt;23.73,IF(Z79&lt;101,IF(Z79&lt;30,IF(Z79&lt;6,3,2),1),0),0)</f>
        <v/>
      </c>
      <c r="AQ79" s="13" t="n">
        <v>1</v>
      </c>
      <c r="AR79" s="11">
        <f>IF(AP79&gt;0,IF(AB79&gt;10,(AB79/Z79),10/Z79),0)</f>
        <v/>
      </c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</row>
    <row r="80" ht="12.75" customHeight="1">
      <c r="A80" s="17" t="inlineStr">
        <is>
          <t>https://www.chittorgarh.com/ipo/amir-chand-jagdish-kumar-ipo/2501/</t>
        </is>
      </c>
      <c r="B80" s="17" t="inlineStr">
        <is>
          <t>Amir Chand Jagdish K</t>
        </is>
      </c>
      <c r="C80" s="17" t="inlineStr">
        <is>
          <t>2026</t>
        </is>
      </c>
      <c r="D80" s="17" t="inlineStr">
        <is>
          <t>Neg</t>
        </is>
      </c>
      <c r="E80" s="17" t="n">
        <v>784.0599999999999</v>
      </c>
      <c r="F80" s="17" t="n">
        <v>379.18</v>
      </c>
      <c r="G80" s="13" t="n">
        <v>-106.78</v>
      </c>
      <c r="H80" s="17" t="n">
        <v>1549.03</v>
      </c>
      <c r="I80" s="17" t="n">
        <v>60.82</v>
      </c>
      <c r="J80" s="17" t="n">
        <v>4.76</v>
      </c>
      <c r="K80" s="17" t="n">
        <v>7.35</v>
      </c>
      <c r="L80" s="17" t="n">
        <v>11.87</v>
      </c>
      <c r="M80" s="17" t="n">
        <v>163.65</v>
      </c>
      <c r="N80" s="17" t="n">
        <v>10.36</v>
      </c>
      <c r="O80" s="17" t="n">
        <v>2004.03</v>
      </c>
      <c r="P80" s="13" t="n">
        <v>32.95</v>
      </c>
      <c r="Q80" s="17" t="n">
        <v>28.86</v>
      </c>
      <c r="R80" s="17" t="n">
        <v>22.56</v>
      </c>
      <c r="S80" s="13" t="n">
        <v>-0.9</v>
      </c>
      <c r="T80" s="17" t="n">
        <v>440</v>
      </c>
      <c r="U80" s="17" t="n">
        <v>0</v>
      </c>
      <c r="V80" s="17" t="n">
        <v>0</v>
      </c>
      <c r="W80" s="17" t="n">
        <v>1</v>
      </c>
      <c r="X80" s="17" t="n">
        <v>5</v>
      </c>
      <c r="Y80" s="17" t="n">
        <v>9</v>
      </c>
      <c r="Z80" s="17" t="n">
        <v>1</v>
      </c>
      <c r="AA80" s="66">
        <f>IF(X80&lt;33,IF(Y80&gt;(1.1*X80),0,1),1)+IF(Y80&gt;(4*X80),-1,0)</f>
        <v/>
      </c>
      <c r="AB80" s="17" t="n">
        <v>3.77</v>
      </c>
      <c r="AC80" s="12">
        <f>IF(AB80&gt;9,1,0)+AB80/3</f>
        <v/>
      </c>
      <c r="AD80" s="17" t="n">
        <v>100</v>
      </c>
      <c r="AE80" s="17" t="n">
        <v>29.17</v>
      </c>
      <c r="AF80" s="17" t="n">
        <v>21.73</v>
      </c>
      <c r="AG80" s="12">
        <f>IF(G80&lt;0,0,1.2)+IF(G80&lt;14,0,0.9)+IF(P80&lt;0,0.7,0)+IF(P80&lt;6.5,1,0)+IF(P80&lt;23,1,0)+IF(R80&gt;88,0,1)+S80+IF(AD80&lt;20,0,1)+IF(AE80&lt;14,0,1)+IF(AF80&lt;26,0,1)</f>
        <v/>
      </c>
      <c r="AH80" s="12">
        <f>AG80+IF(AG80&gt;6,1,0)+IF(X80&lt;17,0,1)+IF(Y80&lt;11,0,1)+IF(Z80&lt;1.35,0,1)+AC80+AA80</f>
        <v/>
      </c>
      <c r="AI80" s="12" t="n">
        <v>21</v>
      </c>
      <c r="AJ80" s="11">
        <f>IF(AI80&gt;12.8,IF(AI80&gt;15.8,0.9,0.97),1)</f>
        <v/>
      </c>
      <c r="AK80" s="12">
        <f>(AG80*2.6+AH80)*AJ80*AQ80</f>
        <v/>
      </c>
      <c r="AL80" s="11">
        <f>D80</f>
        <v/>
      </c>
      <c r="AM80" s="11" t="inlineStr">
        <is>
          <t>Amir Chand Jagdish K</t>
        </is>
      </c>
      <c r="AN80" s="73" t="n">
        <v>27</v>
      </c>
      <c r="AO80" s="17" t="n">
        <v>25</v>
      </c>
      <c r="AP80" s="13">
        <f>IF(AK80&gt;23.73,IF(Z80&lt;101,IF(Z80&lt;30,IF(Z80&lt;6,3,2),1),0),0)</f>
        <v/>
      </c>
      <c r="AQ80" s="13" t="n">
        <v>1</v>
      </c>
      <c r="AR80" s="11">
        <f>IF(AP80&gt;0,IF(AB80&gt;10,(AB80/Z80),10/Z80),0)</f>
        <v/>
      </c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</row>
    <row r="81" ht="12.75" customHeight="1">
      <c r="A81" s="17" t="inlineStr">
        <is>
          <t>https://www.chittorgarh.com/ipo/powerica-ipo/2570/</t>
        </is>
      </c>
      <c r="B81" s="17" t="inlineStr">
        <is>
          <t>Powerica Date, Price</t>
        </is>
      </c>
      <c r="C81" s="17" t="inlineStr">
        <is>
          <t>2026</t>
        </is>
      </c>
      <c r="D81" s="17" t="inlineStr">
        <is>
          <t>Pos</t>
        </is>
      </c>
      <c r="E81" s="17" t="n">
        <v>300.8</v>
      </c>
      <c r="F81" s="17" t="n">
        <v>1085.6</v>
      </c>
      <c r="G81" s="13" t="n">
        <v>72.29000000000001</v>
      </c>
      <c r="H81" s="17" t="n">
        <v>2414.83</v>
      </c>
      <c r="I81" s="17" t="n">
        <v>175.83</v>
      </c>
      <c r="J81" s="17" t="n">
        <v>9.119999999999999</v>
      </c>
      <c r="K81" s="17" t="n">
        <v>16.16</v>
      </c>
      <c r="L81" s="17" t="n">
        <v>11.6</v>
      </c>
      <c r="M81" s="17" t="n">
        <v>345.66</v>
      </c>
      <c r="N81" s="17" t="n">
        <v>15.23</v>
      </c>
      <c r="O81" s="17" t="n">
        <v>2710.93</v>
      </c>
      <c r="P81" s="13" t="n">
        <v>15.42</v>
      </c>
      <c r="Q81" s="17" t="n">
        <v>24.45</v>
      </c>
      <c r="R81" s="17" t="n">
        <v>18.58</v>
      </c>
      <c r="S81" s="13" t="n">
        <v>0.7</v>
      </c>
      <c r="T81" s="17" t="n">
        <v>1100</v>
      </c>
      <c r="U81" s="17" t="n">
        <v>400</v>
      </c>
      <c r="V81" s="17" t="n">
        <v>1</v>
      </c>
      <c r="W81" s="17" t="n">
        <v>1</v>
      </c>
      <c r="X81" s="17" t="n">
        <v>4.74</v>
      </c>
      <c r="Y81" s="17" t="n">
        <v>0.47</v>
      </c>
      <c r="Z81" s="17" t="n">
        <v>0.16</v>
      </c>
      <c r="AA81" s="66">
        <f>IF(X81&lt;33,IF(Y81&gt;(1.1*X81),0,1),1)+IF(Y81&gt;(4*X81),-1,0)</f>
        <v/>
      </c>
      <c r="AB81" s="17" t="n">
        <v>0.7</v>
      </c>
      <c r="AC81" s="12">
        <f>IF(AB81&gt;9,1,0)+AB81/3</f>
        <v/>
      </c>
      <c r="AD81" s="17" t="n">
        <v>-22.24</v>
      </c>
      <c r="AE81" s="17" t="n">
        <v>15.03</v>
      </c>
      <c r="AF81" s="17" t="n">
        <v>18.97</v>
      </c>
      <c r="AG81" s="12">
        <f>IF(G81&lt;0,0,1.2)+IF(G81&lt;14,0,0.9)+IF(P81&lt;0,0.7,0)+IF(P81&lt;6.5,1,0)+IF(P81&lt;23,1,0)+IF(R81&gt;88,0,1)+S81+IF(AD81&lt;20,0,1)+IF(AE81&lt;14,0,1)+IF(AF81&lt;26,0,1)</f>
        <v/>
      </c>
      <c r="AH81" s="12">
        <f>AG81+IF(AG81&gt;6,1,0)+IF(X81&lt;17,0,1)+IF(Y81&lt;11,0,1)+IF(Z81&lt;1.35,0,1)+AC81+AA81</f>
        <v/>
      </c>
      <c r="AI81" s="12" t="n">
        <v>20</v>
      </c>
      <c r="AJ81" s="11">
        <f>IF(AI81&gt;12.8,IF(AI81&gt;15.8,0.9,0.97),1)</f>
        <v/>
      </c>
      <c r="AK81" s="12">
        <f>(AG81*2.6+AH81)*AJ81*AQ81</f>
        <v/>
      </c>
      <c r="AL81" s="11">
        <f>D81</f>
        <v/>
      </c>
      <c r="AM81" s="11" t="inlineStr">
        <is>
          <t>Powerica Date, Price</t>
        </is>
      </c>
      <c r="AN81" s="73" t="n">
        <v>27</v>
      </c>
      <c r="AO81" s="17" t="n">
        <v>25</v>
      </c>
      <c r="AP81" s="13">
        <f>IF(AK81&gt;23.73,IF(Z81&lt;101,IF(Z81&lt;30,IF(Z81&lt;6,3,2),1),0),0)</f>
        <v/>
      </c>
      <c r="AQ81" s="13" t="n">
        <v>1</v>
      </c>
      <c r="AR81" s="11">
        <f>IF(AP81&gt;0,IF(AB81&gt;10,(AB81/Z81),10/Z81),0)</f>
        <v/>
      </c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</row>
    <row r="82" ht="12.75" customHeight="1">
      <c r="A82" s="17" t="inlineStr">
        <is>
          <t>https://www.chittorgarh.com/ipo/om-power-transmission-ipo/2676/</t>
        </is>
      </c>
      <c r="B82" s="17" t="inlineStr">
        <is>
          <t>Om Power Transmission</t>
        </is>
      </c>
      <c r="C82" s="17" t="inlineStr">
        <is>
          <t>2026</t>
        </is>
      </c>
      <c r="D82" s="17" t="n"/>
      <c r="E82" s="17" t="n">
        <v>18.9</v>
      </c>
      <c r="F82" s="17" t="n">
        <v>72.65000000000001</v>
      </c>
      <c r="G82" s="13" t="n">
        <v>73.98</v>
      </c>
      <c r="H82" s="17" t="n">
        <v>150.17</v>
      </c>
      <c r="I82" s="17" t="n">
        <v>22.08</v>
      </c>
      <c r="J82" s="17" t="n">
        <v>8.449999999999999</v>
      </c>
      <c r="K82" s="17" t="n">
        <v>8.279999999999999</v>
      </c>
      <c r="L82" s="17" t="n">
        <v>24.28</v>
      </c>
      <c r="M82" s="17" t="n">
        <v>35.66</v>
      </c>
      <c r="N82" s="17" t="n">
        <v>12.38</v>
      </c>
      <c r="O82" s="17" t="n">
        <v>281.65</v>
      </c>
      <c r="P82" s="13" t="n">
        <v>12.76</v>
      </c>
      <c r="Q82" s="17" t="n">
        <v>21.13</v>
      </c>
      <c r="R82" s="17" t="n">
        <v>19.23</v>
      </c>
      <c r="S82" s="13" t="n">
        <v>0.7</v>
      </c>
      <c r="T82" s="17" t="n">
        <v>150.06</v>
      </c>
      <c r="U82" s="17" t="n">
        <v>17.5</v>
      </c>
      <c r="V82" s="17" t="n">
        <v>1</v>
      </c>
      <c r="W82" s="17" t="n">
        <v>1</v>
      </c>
      <c r="X82" s="17" t="n">
        <v>3.6472</v>
      </c>
      <c r="Y82" s="17" t="n">
        <v>7.0624</v>
      </c>
      <c r="Z82" s="17" t="n">
        <v>1.5428</v>
      </c>
      <c r="AA82" s="66">
        <f>IF(X82&lt;33,IF(Y82&gt;(1.1*X82),0,1),1)+IF(Y82&gt;(4*X82),-1,0)</f>
        <v/>
      </c>
      <c r="AB82" s="17" t="n">
        <v>0.235</v>
      </c>
      <c r="AC82" s="12">
        <f>IF(AB82&gt;9,1,0)+AB82/3</f>
        <v/>
      </c>
      <c r="AD82" s="17" t="n">
        <v>197.98</v>
      </c>
      <c r="AE82" s="17" t="n">
        <v>52.75</v>
      </c>
      <c r="AF82" s="17" t="n">
        <v>43.46</v>
      </c>
      <c r="AG82" s="12">
        <f>IF(G82&lt;0,0,1.2)+IF(G82&lt;14,0,0.9)+IF(P82&lt;0,0.7,0)+IF(P82&lt;6.5,1,0)+IF(P82&lt;23,1,0)+IF(R82&gt;88,0,1)+S82+IF(AD82&lt;20,0,1)+IF(AE82&lt;14,0,1)+IF(AF82&lt;26,0,1)</f>
        <v/>
      </c>
      <c r="AH82" s="12">
        <f>AG82+IF(AG82&gt;6,1,0)+IF(X82&lt;17,0,1)+IF(Y82&lt;11,0,1)+IF(Z82&lt;1.35,0,1)+AC82+AA82</f>
        <v/>
      </c>
      <c r="AI82" s="12" t="n">
        <v>18.59</v>
      </c>
      <c r="AJ82" s="11">
        <f>IF(AI82&gt;12.8,IF(AI82&gt;15.8,0.9,0.97),1)</f>
        <v/>
      </c>
      <c r="AK82" s="12">
        <f>(AG82*2.6+AH82)*AJ82*AQ82</f>
        <v/>
      </c>
      <c r="AL82" s="11">
        <f>D82</f>
        <v/>
      </c>
      <c r="AM82" s="11" t="inlineStr">
        <is>
          <t>Om Power Transmission</t>
        </is>
      </c>
      <c r="AN82" s="17" t="n">
        <v>13</v>
      </c>
      <c r="AO82" s="17" t="n">
        <v>14</v>
      </c>
      <c r="AP82" s="13">
        <f>IF(AK82&gt;23.73,IF(Z82&lt;101,IF(Z82&lt;30,IF(Z82&lt;6,3,2),1),0),0)</f>
        <v/>
      </c>
      <c r="AQ82" s="13" t="n">
        <v>1</v>
      </c>
      <c r="AR82" s="11">
        <f>IF(AP82&gt;0,IF(AB82&gt;10,(AB82/Z82),10/Z82),0)</f>
        <v/>
      </c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</row>
    <row r="83" ht="12.75" customHeight="1">
      <c r="A83" s="17" t="inlineStr">
        <is>
          <t>https://www.chittorgarh.com/ipo/onemi-technology-ipo/2576/</t>
        </is>
      </c>
      <c r="B83" s="17" t="inlineStr">
        <is>
          <t>OnEMI Technology  Pri</t>
        </is>
      </c>
      <c r="C83" s="17" t="inlineStr">
        <is>
          <t>2026</t>
        </is>
      </c>
      <c r="D83" s="17" t="n"/>
      <c r="E83" s="17" t="n">
        <v>1507.58</v>
      </c>
      <c r="F83" s="17" t="n">
        <v>1005.99</v>
      </c>
      <c r="G83" s="13" t="n">
        <v>-49.86</v>
      </c>
      <c r="H83" s="17" t="n">
        <v>2701.1</v>
      </c>
      <c r="I83" s="17" t="n">
        <v>160.62</v>
      </c>
      <c r="J83" s="17" t="n">
        <v>0</v>
      </c>
      <c r="K83" s="17" t="n">
        <v>13.52</v>
      </c>
      <c r="L83" s="17" t="n">
        <v>23.51</v>
      </c>
      <c r="M83" s="17" t="n">
        <v>403.37</v>
      </c>
      <c r="N83" s="17" t="n">
        <v>0</v>
      </c>
      <c r="O83" s="17" t="n">
        <v>1352.69</v>
      </c>
      <c r="P83" s="13" t="n">
        <v>8.42</v>
      </c>
      <c r="Q83" s="17" t="n">
        <v>12.65</v>
      </c>
      <c r="R83" s="17" t="n">
        <v>10.84</v>
      </c>
      <c r="S83" s="13" t="n">
        <v>0.7</v>
      </c>
      <c r="T83" s="17" t="n">
        <v>925.92</v>
      </c>
      <c r="U83" s="17" t="n">
        <v>75.92</v>
      </c>
      <c r="V83" s="17" t="n">
        <v>1</v>
      </c>
      <c r="W83" s="17" t="n">
        <v>1</v>
      </c>
      <c r="X83" s="17" t="n">
        <v>25.97</v>
      </c>
      <c r="Y83" s="17" t="n">
        <v>6.9</v>
      </c>
      <c r="Z83" s="17" t="n">
        <v>2.13</v>
      </c>
      <c r="AA83" s="66">
        <f>IF(X83&lt;33,IF(Y83&gt;(1.1*X83),0,1),1)+IF(Y83&gt;(4*X83),-1,0)</f>
        <v/>
      </c>
      <c r="AB83" s="17" t="n">
        <v>0</v>
      </c>
      <c r="AC83" s="12">
        <f>IF(AB83&gt;9,1,0)+AB83/3</f>
        <v/>
      </c>
      <c r="AD83" s="17" t="n">
        <v>-18.59</v>
      </c>
      <c r="AE83" s="17" t="n">
        <v>-20.44</v>
      </c>
      <c r="AF83" s="17" t="n">
        <v>25.03</v>
      </c>
      <c r="AG83" s="12">
        <f>IF(G83&lt;0,0,1.2)+IF(G83&lt;14,0,0.9)+IF(P83&lt;0,0.7,0)+IF(P83&lt;6.5,1,0)+IF(P83&lt;23,1,0)+IF(R83&gt;88,0,1)+S83+IF(AD83&lt;20,0,1)+IF(AE83&lt;14,0,1)+IF(AF83&lt;26,0,1)</f>
        <v/>
      </c>
      <c r="AH83" s="12">
        <f>AG83+IF(AG83&gt;6,1,0)+IF(X83&lt;17,0,1)+IF(Y83&lt;11,0,1)+IF(Z83&lt;1.35,0,1)+AC83+AA83</f>
        <v/>
      </c>
      <c r="AI83" s="12" t="n">
        <v>17.9075</v>
      </c>
      <c r="AJ83" s="11">
        <f>IF(AI83&gt;12.8,IF(AI83&gt;15.8,0.9,0.97),1)</f>
        <v/>
      </c>
      <c r="AK83" s="12">
        <f>(AG83*2.6+AH83)*AJ83*AQ83</f>
        <v/>
      </c>
      <c r="AL83" s="11">
        <f>D83</f>
        <v/>
      </c>
      <c r="AM83" s="11" t="inlineStr">
        <is>
          <t>OnEMI Technology  Pri</t>
        </is>
      </c>
      <c r="AN83" s="17" t="n">
        <v>5</v>
      </c>
      <c r="AO83" s="17" t="n">
        <v>6</v>
      </c>
      <c r="AP83" s="13">
        <f>IF(AK83&gt;23.73,IF(Z83&lt;101,IF(Z83&lt;30,IF(Z83&lt;6,3,2),1),0),0)</f>
        <v/>
      </c>
      <c r="AQ83" s="13" t="n">
        <v>0.95</v>
      </c>
      <c r="AR83" s="11">
        <f>IF(AP83&gt;0,IF(AB83&gt;10,(AB83/Z83),10/Z83),0)</f>
        <v/>
      </c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</row>
    <row r="84" ht="12.75" customHeight="1">
      <c r="A84" s="17" t="n"/>
      <c r="B84" s="17" t="n"/>
      <c r="C84" s="17" t="n"/>
      <c r="D84" s="17" t="n"/>
      <c r="E84" s="17" t="n"/>
      <c r="F84" s="17" t="n"/>
      <c r="G84" s="13">
        <f>100*(F84-E84)/F84</f>
        <v/>
      </c>
      <c r="H84" s="17" t="n"/>
      <c r="I84" s="17" t="n"/>
      <c r="J84" s="17" t="n"/>
      <c r="K84" s="17" t="n"/>
      <c r="L84" s="17" t="n"/>
      <c r="M84" s="17" t="n"/>
      <c r="N84" s="17" t="n"/>
      <c r="O84" s="17" t="n"/>
      <c r="P84" s="13">
        <f>O84/I84</f>
        <v/>
      </c>
      <c r="Q84" s="17" t="n"/>
      <c r="R84" s="17" t="n"/>
      <c r="S84" s="13" t="n">
        <v>5</v>
      </c>
      <c r="T84" s="17" t="n"/>
      <c r="U84" s="17" t="n"/>
      <c r="V84" s="17" t="n"/>
      <c r="W84" s="17" t="n"/>
      <c r="X84" s="17" t="n"/>
      <c r="Y84" s="17" t="n"/>
      <c r="Z84" s="17" t="n"/>
      <c r="AA84" s="66">
        <f>IF(X84&lt;33,IF(Y84&gt;(1.1*X84),0,1),1)+IF(Y84&gt;(4*X84),-1,0)</f>
        <v/>
      </c>
      <c r="AB84" s="17" t="n"/>
      <c r="AC84" s="12">
        <f>IF(AB84&gt;9,1,0)+AB84/3</f>
        <v/>
      </c>
      <c r="AD84" s="17" t="n"/>
      <c r="AE84" s="17" t="n"/>
      <c r="AF84" s="17" t="n"/>
      <c r="AG84" s="12">
        <f>IF(G84&lt;0,0,1.2)+IF(G84&lt;14,0,0.9)+IF(P84&lt;0,0.7,0)+IF(P84&lt;6.5,1,0)+IF(P84&lt;23,1,0)+IF(R84&gt;88,0,1)+S84+IF(AD84&lt;20,0,1)+IF(AE84&lt;14,0,1)+IF(AF84&lt;26,0,1)</f>
        <v/>
      </c>
      <c r="AH84" s="12">
        <f>AG84+IF(AG84&gt;6,1,0)+IF(X84&lt;17,0,1)+IF(Y84&lt;11,0,1)+IF(Z84&lt;1.35,0,1)+AC84+AA84</f>
        <v/>
      </c>
      <c r="AI84" s="12" t="n"/>
      <c r="AJ84" s="11">
        <f>IF(AI84&gt;12.8,IF(AI84&gt;15.8,0.9,0.97),1)</f>
        <v/>
      </c>
      <c r="AK84" s="12">
        <f>(AG84*2.6+AH84)*AJ84*AQ84</f>
        <v/>
      </c>
      <c r="AL84" s="11">
        <f>D84</f>
        <v/>
      </c>
      <c r="AM84" s="11">
        <f>B84</f>
        <v/>
      </c>
      <c r="AN84" s="17" t="n"/>
      <c r="AO84" s="17" t="n"/>
      <c r="AP84" s="13">
        <f>IF(AK84&gt;23.73,IF(Z84&lt;101,IF(Z84&lt;30,IF(Z84&lt;6,3,2),1),0),0)</f>
        <v/>
      </c>
      <c r="AQ84" s="13" t="n">
        <v>1</v>
      </c>
      <c r="AR84" s="11">
        <f>IF(AP84&gt;0,IF(AB84&gt;10,(AB84/Z84),10/Z84),0)</f>
        <v/>
      </c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</row>
    <row r="85" ht="12.75" customHeight="1">
      <c r="A85" s="17" t="n"/>
      <c r="B85" s="17" t="n"/>
      <c r="C85" s="17" t="n"/>
      <c r="D85" s="17" t="n"/>
      <c r="E85" s="17" t="n"/>
      <c r="F85" s="17" t="n"/>
      <c r="G85" s="13">
        <f>100*(F85-E85)/F85</f>
        <v/>
      </c>
      <c r="H85" s="17" t="n"/>
      <c r="I85" s="17" t="n"/>
      <c r="J85" s="17" t="n"/>
      <c r="K85" s="17" t="n"/>
      <c r="L85" s="17" t="n"/>
      <c r="M85" s="17" t="n"/>
      <c r="N85" s="17" t="n"/>
      <c r="O85" s="17" t="n"/>
      <c r="P85" s="13">
        <f>O85/I85</f>
        <v/>
      </c>
      <c r="Q85" s="17" t="n"/>
      <c r="R85" s="17" t="n"/>
      <c r="S85" s="13" t="n">
        <v>5</v>
      </c>
      <c r="T85" s="17" t="n"/>
      <c r="U85" s="17" t="n"/>
      <c r="V85" s="17" t="n"/>
      <c r="W85" s="17" t="n"/>
      <c r="X85" s="17" t="n"/>
      <c r="Y85" s="17" t="n"/>
      <c r="Z85" s="17" t="n"/>
      <c r="AA85" s="66">
        <f>IF(X85&lt;33,IF(Y85&gt;(1.1*X85),0,1),1)+IF(Y85&gt;(4*X85),-1,0)</f>
        <v/>
      </c>
      <c r="AB85" s="17" t="n"/>
      <c r="AC85" s="12">
        <f>IF(AB85&gt;9,1,0)+AB85/3</f>
        <v/>
      </c>
      <c r="AD85" s="17" t="n"/>
      <c r="AE85" s="17" t="n"/>
      <c r="AF85" s="17" t="n"/>
      <c r="AG85" s="12">
        <f>IF(G85&lt;0,0,1.2)+IF(G85&lt;14,0,0.9)+IF(P85&lt;0,0.7,0)+IF(P85&lt;6.5,1,0)+IF(P85&lt;23,1,0)+IF(R85&gt;88,0,1)+S85+IF(AD85&lt;20,0,1)+IF(AE85&lt;14,0,1)+IF(AF85&lt;26,0,1)</f>
        <v/>
      </c>
      <c r="AH85" s="12">
        <f>AG85+IF(AG85&gt;6,1,0)+IF(X85&lt;17,0,1)+IF(Y85&lt;11,0,1)+IF(Z85&lt;1.35,0,1)+AC85+AA85</f>
        <v/>
      </c>
      <c r="AI85" s="12" t="n"/>
      <c r="AJ85" s="11">
        <f>IF(AI85&gt;12.8,IF(AI85&gt;15.8,0.9,0.97),1)</f>
        <v/>
      </c>
      <c r="AK85" s="12">
        <f>(AG85*2.6+AH85)*AJ85*AQ85</f>
        <v/>
      </c>
      <c r="AL85" s="11">
        <f>D85</f>
        <v/>
      </c>
      <c r="AM85" s="11">
        <f>B85</f>
        <v/>
      </c>
      <c r="AN85" s="17" t="n"/>
      <c r="AO85" s="17" t="n"/>
      <c r="AP85" s="13">
        <f>IF(AK85&gt;23.73,IF(Z85&lt;101,IF(Z85&lt;30,IF(Z85&lt;6,3,2),1),0),0)</f>
        <v/>
      </c>
      <c r="AQ85" s="13" t="n">
        <v>1</v>
      </c>
      <c r="AR85" s="11">
        <f>IF(AP85&gt;0,IF(AB85&gt;10,(AB85/Z85),10/Z85),0)</f>
        <v/>
      </c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</row>
    <row r="86" ht="12.75" customHeight="1">
      <c r="A86" s="17" t="n"/>
      <c r="B86" s="17" t="n"/>
      <c r="C86" s="17" t="n"/>
      <c r="D86" s="17" t="n"/>
      <c r="E86" s="17" t="n"/>
      <c r="F86" s="17" t="n"/>
      <c r="G86" s="13">
        <f>100*(F86-E86)/F86</f>
        <v/>
      </c>
      <c r="H86" s="17" t="n"/>
      <c r="I86" s="17" t="n"/>
      <c r="J86" s="17" t="n"/>
      <c r="K86" s="17" t="n"/>
      <c r="L86" s="17" t="n"/>
      <c r="M86" s="17" t="n"/>
      <c r="N86" s="17" t="n"/>
      <c r="O86" s="17" t="n"/>
      <c r="P86" s="13">
        <f>O86/I86</f>
        <v/>
      </c>
      <c r="Q86" s="17" t="n"/>
      <c r="R86" s="17" t="n"/>
      <c r="S86" s="13" t="n">
        <v>5</v>
      </c>
      <c r="T86" s="17" t="n"/>
      <c r="U86" s="17" t="n"/>
      <c r="V86" s="17" t="n"/>
      <c r="W86" s="17" t="n"/>
      <c r="X86" s="17" t="n"/>
      <c r="Y86" s="17" t="n"/>
      <c r="Z86" s="17" t="n"/>
      <c r="AA86" s="66">
        <f>IF(X86&lt;33,IF(Y86&gt;(1.1*X86),0,1),1)+IF(Y86&gt;(4*X86),-1,0)</f>
        <v/>
      </c>
      <c r="AB86" s="17" t="n"/>
      <c r="AC86" s="12">
        <f>IF(AB86&gt;9,1,0)+AB86/3</f>
        <v/>
      </c>
      <c r="AD86" s="17" t="n"/>
      <c r="AE86" s="17" t="n"/>
      <c r="AF86" s="17" t="n"/>
      <c r="AG86" s="12">
        <f>IF(G86&lt;0,0,1.2)+IF(G86&lt;14,0,0.9)+IF(P86&lt;0,0.7,0)+IF(P86&lt;6.5,1,0)+IF(P86&lt;23,1,0)+IF(R86&gt;88,0,1)+S86+IF(AD86&lt;20,0,1)+IF(AE86&lt;14,0,1)+IF(AF86&lt;26,0,1)</f>
        <v/>
      </c>
      <c r="AH86" s="12">
        <f>AG86+IF(AG86&gt;6,1,0)+IF(X86&lt;17,0,1)+IF(Y86&lt;11,0,1)+IF(Z86&lt;1.35,0,1)+AC86+AA86</f>
        <v/>
      </c>
      <c r="AI86" s="12" t="n"/>
      <c r="AJ86" s="11">
        <f>IF(AI86&gt;12.8,IF(AI86&gt;15.8,0.9,0.97),1)</f>
        <v/>
      </c>
      <c r="AK86" s="12">
        <f>(AG86*2.6+AH86)*AJ86*AQ86</f>
        <v/>
      </c>
      <c r="AL86" s="11">
        <f>D86</f>
        <v/>
      </c>
      <c r="AM86" s="11">
        <f>B86</f>
        <v/>
      </c>
      <c r="AN86" s="17" t="n"/>
      <c r="AO86" s="17" t="n"/>
      <c r="AP86" s="13">
        <f>IF(AK86&gt;23.73,IF(Z86&lt;101,IF(Z86&lt;30,IF(Z86&lt;6,3,2),1),0),0)</f>
        <v/>
      </c>
      <c r="AQ86" s="13" t="n">
        <v>1</v>
      </c>
      <c r="AR86" s="11">
        <f>IF(AP86&gt;0,IF(AB86&gt;10,(AB86/Z86),10/Z86),0)</f>
        <v/>
      </c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</row>
    <row r="87" ht="12.75" customHeight="1">
      <c r="A87" s="17" t="n"/>
      <c r="B87" s="17" t="n"/>
      <c r="C87" s="17" t="n"/>
      <c r="D87" s="17" t="n"/>
      <c r="E87" s="17" t="n"/>
      <c r="F87" s="17" t="n"/>
      <c r="G87" s="13">
        <f>100*(F87-E87)/F87</f>
        <v/>
      </c>
      <c r="H87" s="17" t="n"/>
      <c r="I87" s="17" t="n"/>
      <c r="J87" s="17" t="n"/>
      <c r="K87" s="17" t="n"/>
      <c r="L87" s="17" t="n"/>
      <c r="M87" s="17" t="n"/>
      <c r="N87" s="17" t="n"/>
      <c r="O87" s="17" t="n"/>
      <c r="P87" s="13">
        <f>O87/I87</f>
        <v/>
      </c>
      <c r="Q87" s="17" t="n"/>
      <c r="R87" s="17" t="n"/>
      <c r="S87" s="13" t="n">
        <v>5</v>
      </c>
      <c r="T87" s="17" t="n"/>
      <c r="U87" s="17" t="n"/>
      <c r="V87" s="17" t="n"/>
      <c r="W87" s="17" t="n"/>
      <c r="X87" s="17" t="n"/>
      <c r="Y87" s="17" t="n"/>
      <c r="Z87" s="17" t="n"/>
      <c r="AA87" s="66">
        <f>IF(X87&lt;33,IF(Y87&gt;(1.1*X87),0,1),1)+IF(Y87&gt;(4*X87),-1,0)</f>
        <v/>
      </c>
      <c r="AB87" s="17" t="n"/>
      <c r="AC87" s="12">
        <f>IF(AB87&gt;9,1,0)+AB87/3</f>
        <v/>
      </c>
      <c r="AD87" s="17" t="n"/>
      <c r="AE87" s="17" t="n"/>
      <c r="AF87" s="17" t="n"/>
      <c r="AG87" s="12">
        <f>IF(G87&lt;0,0,1.2)+IF(G87&lt;14,0,0.9)+IF(P87&lt;0,0.7,0)+IF(P87&lt;6.5,1,0)+IF(P87&lt;23,1,0)+IF(R87&gt;88,0,1)+S87+IF(AD87&lt;20,0,1)+IF(AE87&lt;14,0,1)+IF(AF87&lt;26,0,1)</f>
        <v/>
      </c>
      <c r="AH87" s="12">
        <f>AG87+IF(AG87&gt;6,1,0)+IF(X87&lt;17,0,1)+IF(Y87&lt;11,0,1)+IF(Z87&lt;1.35,0,1)+AC87+AA87</f>
        <v/>
      </c>
      <c r="AI87" s="12" t="n"/>
      <c r="AJ87" s="11">
        <f>IF(AI87&gt;12.8,IF(AI87&gt;15.8,0.9,0.97),1)</f>
        <v/>
      </c>
      <c r="AK87" s="12">
        <f>(AG87*2.6+AH87)*AJ87*AQ87</f>
        <v/>
      </c>
      <c r="AL87" s="11">
        <f>D87</f>
        <v/>
      </c>
      <c r="AM87" s="11">
        <f>B87</f>
        <v/>
      </c>
      <c r="AN87" s="17" t="n"/>
      <c r="AO87" s="17" t="n"/>
      <c r="AP87" s="13">
        <f>IF(AK87&gt;23.73,IF(Z87&lt;101,IF(Z87&lt;30,IF(Z87&lt;6,3,2),1),0),0)</f>
        <v/>
      </c>
      <c r="AQ87" s="13" t="n">
        <v>1</v>
      </c>
      <c r="AR87" s="11">
        <f>IF(AP87&gt;0,IF(AB87&gt;10,(AB87/Z87),10/Z87),0)</f>
        <v/>
      </c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</row>
    <row r="88" ht="12.75" customHeight="1">
      <c r="A88" s="17" t="n"/>
      <c r="B88" s="17" t="n"/>
      <c r="C88" s="17" t="n"/>
      <c r="D88" s="17" t="n"/>
      <c r="E88" s="17" t="n"/>
      <c r="F88" s="17" t="n"/>
      <c r="G88" s="13">
        <f>100*(F88-E88)/F88</f>
        <v/>
      </c>
      <c r="H88" s="17" t="n"/>
      <c r="I88" s="17" t="n"/>
      <c r="J88" s="17" t="n"/>
      <c r="K88" s="17" t="n"/>
      <c r="L88" s="17" t="n"/>
      <c r="M88" s="17" t="n"/>
      <c r="N88" s="17" t="n"/>
      <c r="O88" s="17" t="n"/>
      <c r="P88" s="13">
        <f>O88/I88</f>
        <v/>
      </c>
      <c r="Q88" s="17" t="n"/>
      <c r="R88" s="17" t="n"/>
      <c r="S88" s="13" t="n">
        <v>5</v>
      </c>
      <c r="T88" s="17" t="n"/>
      <c r="U88" s="17" t="n"/>
      <c r="V88" s="17" t="n"/>
      <c r="W88" s="17" t="n"/>
      <c r="X88" s="17" t="n"/>
      <c r="Y88" s="17" t="n"/>
      <c r="Z88" s="17" t="n"/>
      <c r="AA88" s="66">
        <f>IF(X88&lt;33,IF(Y88&gt;(1.1*X88),0,1),1)+IF(Y88&gt;(4*X88),-1,0)</f>
        <v/>
      </c>
      <c r="AB88" s="17" t="n"/>
      <c r="AC88" s="12">
        <f>IF(AB88&gt;9,1,0)+AB88/3</f>
        <v/>
      </c>
      <c r="AD88" s="17" t="n"/>
      <c r="AE88" s="17" t="n"/>
      <c r="AF88" s="17" t="n"/>
      <c r="AG88" s="12">
        <f>IF(G88&lt;0,0,1.2)+IF(G88&lt;14,0,0.9)+IF(P88&lt;0,0.7,0)+IF(P88&lt;6.5,1,0)+IF(P88&lt;23,1,0)+IF(R88&gt;88,0,1)+S88+IF(AD88&lt;20,0,1)+IF(AE88&lt;14,0,1)+IF(AF88&lt;26,0,1)</f>
        <v/>
      </c>
      <c r="AH88" s="12">
        <f>AG88+IF(AG88&gt;6,1,0)+IF(X88&lt;17,0,1)+IF(Y88&lt;11,0,1)+IF(Z88&lt;1.35,0,1)+AC88+AA88</f>
        <v/>
      </c>
      <c r="AI88" s="12" t="n"/>
      <c r="AJ88" s="11">
        <f>IF(AI88&gt;12.8,IF(AI88&gt;15.8,0.9,0.97),1)</f>
        <v/>
      </c>
      <c r="AK88" s="12">
        <f>(AG88*2.6+AH88)*AJ88*AQ88</f>
        <v/>
      </c>
      <c r="AL88" s="11">
        <f>D88</f>
        <v/>
      </c>
      <c r="AM88" s="11">
        <f>B88</f>
        <v/>
      </c>
      <c r="AN88" s="17" t="n"/>
      <c r="AO88" s="17" t="n"/>
      <c r="AP88" s="13">
        <f>IF(AK88&gt;23.73,IF(Z88&lt;101,IF(Z88&lt;30,IF(Z88&lt;6,3,2),1),0),0)</f>
        <v/>
      </c>
      <c r="AQ88" s="13" t="n">
        <v>1</v>
      </c>
      <c r="AR88" s="11">
        <f>IF(AP88&gt;0,IF(AB88&gt;10,(AB88/Z88),10/Z88),0)</f>
        <v/>
      </c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</row>
    <row r="89" ht="12.75" customHeight="1">
      <c r="A89" s="17" t="n"/>
      <c r="B89" s="17" t="n"/>
      <c r="C89" s="17" t="n"/>
      <c r="D89" s="17" t="n"/>
      <c r="E89" s="17" t="n"/>
      <c r="F89" s="17" t="n"/>
      <c r="G89" s="13">
        <f>100*(F89-E89)/F89</f>
        <v/>
      </c>
      <c r="H89" s="17" t="n"/>
      <c r="I89" s="17" t="n"/>
      <c r="J89" s="17" t="n"/>
      <c r="K89" s="17" t="n"/>
      <c r="L89" s="17" t="n"/>
      <c r="M89" s="17" t="n"/>
      <c r="N89" s="17" t="n"/>
      <c r="O89" s="17" t="n"/>
      <c r="P89" s="13">
        <f>O89/I89</f>
        <v/>
      </c>
      <c r="Q89" s="17" t="n"/>
      <c r="R89" s="17" t="n"/>
      <c r="S89" s="13" t="n">
        <v>5</v>
      </c>
      <c r="T89" s="17" t="n"/>
      <c r="U89" s="17" t="n"/>
      <c r="V89" s="17" t="n"/>
      <c r="W89" s="17" t="n"/>
      <c r="X89" s="17" t="n"/>
      <c r="Y89" s="17" t="n"/>
      <c r="Z89" s="17" t="n"/>
      <c r="AA89" s="66">
        <f>IF(X89&lt;33,IF(Y89&gt;(1.1*X89),0,1),1)+IF(Y89&gt;(4*X89),-1,0)</f>
        <v/>
      </c>
      <c r="AB89" s="17" t="n"/>
      <c r="AC89" s="12">
        <f>IF(AB89&gt;9,1,0)+AB89/3</f>
        <v/>
      </c>
      <c r="AD89" s="17" t="n"/>
      <c r="AE89" s="17" t="n"/>
      <c r="AF89" s="17" t="n"/>
      <c r="AG89" s="12">
        <f>IF(G89&lt;0,0,1.2)+IF(G89&lt;14,0,0.9)+IF(P89&lt;0,0.7,0)+IF(P89&lt;6.5,1,0)+IF(P89&lt;23,1,0)+IF(R89&gt;88,0,1)+S89+IF(AD89&lt;20,0,1)+IF(AE89&lt;14,0,1)+IF(AF89&lt;26,0,1)</f>
        <v/>
      </c>
      <c r="AH89" s="12">
        <f>AG89+IF(AG89&gt;6,1,0)+IF(X89&lt;17,0,1)+IF(Y89&lt;11,0,1)+IF(Z89&lt;1.35,0,1)+AC89+AA89</f>
        <v/>
      </c>
      <c r="AI89" s="12" t="n"/>
      <c r="AJ89" s="11">
        <f>IF(AI89&gt;12.8,IF(AI89&gt;15.8,0.9,0.97),1)</f>
        <v/>
      </c>
      <c r="AK89" s="12">
        <f>(AG89*2.6+AH89)*AJ89*AQ89</f>
        <v/>
      </c>
      <c r="AL89" s="11">
        <f>D89</f>
        <v/>
      </c>
      <c r="AM89" s="11">
        <f>B89</f>
        <v/>
      </c>
      <c r="AN89" s="17" t="n"/>
      <c r="AO89" s="17" t="n"/>
      <c r="AP89" s="13">
        <f>IF(AK89&gt;23.73,IF(Z89&lt;101,IF(Z89&lt;30,IF(Z89&lt;6,3,2),1),0),0)</f>
        <v/>
      </c>
      <c r="AQ89" s="13" t="n">
        <v>1</v>
      </c>
      <c r="AR89" s="11">
        <f>IF(AP89&gt;0,IF(AB89&gt;10,(AB89/Z89),10/Z89),0)</f>
        <v/>
      </c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</row>
    <row r="90" ht="12.75" customHeight="1">
      <c r="A90" s="17" t="n"/>
      <c r="B90" s="17" t="n"/>
      <c r="C90" s="17" t="n"/>
      <c r="D90" s="17" t="n"/>
      <c r="E90" s="17" t="n"/>
      <c r="F90" s="17" t="n"/>
      <c r="G90" s="13">
        <f>100*(F90-E90)/F90</f>
        <v/>
      </c>
      <c r="H90" s="17" t="n"/>
      <c r="I90" s="17" t="n"/>
      <c r="J90" s="17" t="n"/>
      <c r="K90" s="17" t="n"/>
      <c r="L90" s="17" t="n"/>
      <c r="M90" s="17" t="n"/>
      <c r="N90" s="17" t="n"/>
      <c r="O90" s="17" t="n"/>
      <c r="P90" s="13">
        <f>O90/I90</f>
        <v/>
      </c>
      <c r="Q90" s="17" t="n"/>
      <c r="R90" s="17" t="n"/>
      <c r="S90" s="13" t="n">
        <v>5</v>
      </c>
      <c r="T90" s="17" t="n"/>
      <c r="U90" s="17" t="n"/>
      <c r="V90" s="17" t="n"/>
      <c r="W90" s="17" t="n"/>
      <c r="X90" s="17" t="n"/>
      <c r="Y90" s="17" t="n"/>
      <c r="Z90" s="17" t="n"/>
      <c r="AA90" s="66">
        <f>IF(X90&lt;33,IF(Y90&gt;(1.1*X90),0,1),1)+IF(Y90&gt;(4*X90),-1,0)</f>
        <v/>
      </c>
      <c r="AB90" s="17" t="n"/>
      <c r="AC90" s="12">
        <f>IF(AB90&gt;9,1,0)+AB90/3</f>
        <v/>
      </c>
      <c r="AD90" s="17" t="n"/>
      <c r="AE90" s="17" t="n"/>
      <c r="AF90" s="17" t="n"/>
      <c r="AG90" s="12">
        <f>IF(G90&lt;0,0,1.2)+IF(G90&lt;14,0,0.9)+IF(P90&lt;0,0.7,0)+IF(P90&lt;6.5,1,0)+IF(P90&lt;23,1,0)+IF(R90&gt;88,0,1)+S90+IF(AD90&lt;20,0,1)+IF(AE90&lt;14,0,1)+IF(AF90&lt;26,0,1)</f>
        <v/>
      </c>
      <c r="AH90" s="12">
        <f>AG90+IF(AG90&gt;6,1,0)+IF(X90&lt;17,0,1)+IF(Y90&lt;11,0,1)+IF(Z90&lt;1.35,0,1)+AC90+AA90</f>
        <v/>
      </c>
      <c r="AI90" s="12" t="n"/>
      <c r="AJ90" s="11">
        <f>IF(AI90&gt;12.8,IF(AI90&gt;15.8,0.9,0.97),1)</f>
        <v/>
      </c>
      <c r="AK90" s="12">
        <f>(AG90*2.6+AH90)*AJ90*AQ90</f>
        <v/>
      </c>
      <c r="AL90" s="11">
        <f>D90</f>
        <v/>
      </c>
      <c r="AM90" s="11">
        <f>B90</f>
        <v/>
      </c>
      <c r="AN90" s="17" t="n"/>
      <c r="AO90" s="17" t="n"/>
      <c r="AP90" s="13">
        <f>IF(AK90&gt;23.73,IF(Z90&lt;101,IF(Z90&lt;30,IF(Z90&lt;6,3,2),1),0),0)</f>
        <v/>
      </c>
      <c r="AQ90" s="13" t="n">
        <v>1</v>
      </c>
      <c r="AR90" s="11">
        <f>IF(AP90&gt;0,IF(AB90&gt;10,(AB90/Z90),10/Z90),0)</f>
        <v/>
      </c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</row>
    <row r="91" ht="12.75" customHeight="1">
      <c r="A91" s="17" t="n"/>
      <c r="B91" s="17" t="n"/>
      <c r="C91" s="17" t="n"/>
      <c r="D91" s="17" t="n"/>
      <c r="E91" s="17" t="n"/>
      <c r="F91" s="17" t="n"/>
      <c r="G91" s="13">
        <f>100*(F91-E91)/F91</f>
        <v/>
      </c>
      <c r="H91" s="17" t="n"/>
      <c r="I91" s="17" t="n"/>
      <c r="J91" s="17" t="n"/>
      <c r="K91" s="17" t="n"/>
      <c r="L91" s="17" t="n"/>
      <c r="M91" s="17" t="n"/>
      <c r="N91" s="17" t="n"/>
      <c r="O91" s="17" t="n"/>
      <c r="P91" s="13">
        <f>O91/I91</f>
        <v/>
      </c>
      <c r="Q91" s="17" t="n"/>
      <c r="R91" s="17" t="n"/>
      <c r="S91" s="13" t="n">
        <v>5</v>
      </c>
      <c r="T91" s="17" t="n"/>
      <c r="U91" s="17" t="n"/>
      <c r="V91" s="17" t="n"/>
      <c r="W91" s="17" t="n"/>
      <c r="X91" s="17" t="n"/>
      <c r="Y91" s="17" t="n"/>
      <c r="Z91" s="17" t="n"/>
      <c r="AA91" s="66">
        <f>IF(X91&lt;33,IF(Y91&gt;(1.1*X91),0,1),1)+IF(Y91&gt;(4*X91),-1,0)</f>
        <v/>
      </c>
      <c r="AB91" s="17" t="n"/>
      <c r="AC91" s="12">
        <f>IF(AB91&gt;9,1,0)+AB91/3</f>
        <v/>
      </c>
      <c r="AD91" s="17" t="n"/>
      <c r="AE91" s="17" t="n"/>
      <c r="AF91" s="17" t="n"/>
      <c r="AG91" s="12">
        <f>IF(G91&lt;0,0,1.2)+IF(G91&lt;14,0,0.9)+IF(P91&lt;0,0.7,0)+IF(P91&lt;6.5,1,0)+IF(P91&lt;23,1,0)+IF(R91&gt;88,0,1)+S91+IF(AD91&lt;20,0,1)+IF(AE91&lt;14,0,1)+IF(AF91&lt;26,0,1)</f>
        <v/>
      </c>
      <c r="AH91" s="12">
        <f>AG91+IF(AG91&gt;6,1,0)+IF(X91&lt;17,0,1)+IF(Y91&lt;11,0,1)+IF(Z91&lt;1.35,0,1)+AC91+AA91</f>
        <v/>
      </c>
      <c r="AI91" s="12" t="n"/>
      <c r="AJ91" s="11">
        <f>IF(AI91&gt;12.8,IF(AI91&gt;15.8,0.9,0.97),1)</f>
        <v/>
      </c>
      <c r="AK91" s="12">
        <f>(AG91*2.6+AH91)*AJ91*AQ91</f>
        <v/>
      </c>
      <c r="AL91" s="11">
        <f>D91</f>
        <v/>
      </c>
      <c r="AM91" s="11">
        <f>B91</f>
        <v/>
      </c>
      <c r="AN91" s="17" t="n"/>
      <c r="AO91" s="17" t="n"/>
      <c r="AP91" s="13">
        <f>IF(AK91&gt;23.73,IF(Z91&lt;101,IF(Z91&lt;30,IF(Z91&lt;6,3,2),1),0),0)</f>
        <v/>
      </c>
      <c r="AQ91" s="13" t="n">
        <v>1</v>
      </c>
      <c r="AR91" s="11">
        <f>IF(AP91&gt;0,IF(AB91&gt;10,(AB91/Z91),10/Z91),0)</f>
        <v/>
      </c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</row>
    <row r="92" ht="12.75" customHeight="1">
      <c r="A92" s="17" t="n"/>
      <c r="B92" s="17" t="n"/>
      <c r="C92" s="17" t="n"/>
      <c r="D92" s="17" t="n"/>
      <c r="E92" s="17" t="n"/>
      <c r="F92" s="17" t="n"/>
      <c r="G92" s="13">
        <f>100*(F92-E92)/F92</f>
        <v/>
      </c>
      <c r="H92" s="17" t="n"/>
      <c r="I92" s="17" t="n"/>
      <c r="J92" s="17" t="n"/>
      <c r="K92" s="17" t="n"/>
      <c r="L92" s="17" t="n"/>
      <c r="M92" s="17" t="n"/>
      <c r="N92" s="17" t="n"/>
      <c r="O92" s="17" t="n"/>
      <c r="P92" s="13">
        <f>O92/I92</f>
        <v/>
      </c>
      <c r="Q92" s="17" t="n"/>
      <c r="R92" s="17" t="n"/>
      <c r="S92" s="13" t="n">
        <v>5</v>
      </c>
      <c r="T92" s="17" t="n"/>
      <c r="U92" s="17" t="n"/>
      <c r="V92" s="17" t="n"/>
      <c r="W92" s="17" t="n"/>
      <c r="X92" s="17" t="n"/>
      <c r="Y92" s="17" t="n"/>
      <c r="Z92" s="17" t="n"/>
      <c r="AA92" s="66">
        <f>IF(X92&lt;33,IF(Y92&gt;(1.1*X92),0,1),1)+IF(Y92&gt;(4*X92),-1,0)</f>
        <v/>
      </c>
      <c r="AB92" s="17" t="n"/>
      <c r="AC92" s="12">
        <f>IF(AB92&gt;9,1,0)+AB92/3</f>
        <v/>
      </c>
      <c r="AD92" s="17" t="n"/>
      <c r="AE92" s="17" t="n"/>
      <c r="AF92" s="17" t="n"/>
      <c r="AG92" s="12">
        <f>IF(G92&lt;0,0,1.2)+IF(G92&lt;14,0,0.9)+IF(P92&lt;0,0.7,0)+IF(P92&lt;6.5,1,0)+IF(P92&lt;23,1,0)+IF(R92&gt;88,0,1)+S92+IF(AD92&lt;20,0,1)+IF(AE92&lt;14,0,1)+IF(AF92&lt;26,0,1)</f>
        <v/>
      </c>
      <c r="AH92" s="12">
        <f>AG92+IF(AG92&gt;6,1,0)+IF(X92&lt;17,0,1)+IF(Y92&lt;11,0,1)+IF(Z92&lt;1.35,0,1)+AC92+AA92</f>
        <v/>
      </c>
      <c r="AI92" s="12" t="n"/>
      <c r="AJ92" s="11">
        <f>IF(AI92&gt;12.8,IF(AI92&gt;15.8,0.9,0.97),1)</f>
        <v/>
      </c>
      <c r="AK92" s="12">
        <f>(AG92*2.6+AH92)*AJ92*AQ92</f>
        <v/>
      </c>
      <c r="AL92" s="11">
        <f>D92</f>
        <v/>
      </c>
      <c r="AM92" s="11">
        <f>B92</f>
        <v/>
      </c>
      <c r="AN92" s="17" t="n"/>
      <c r="AO92" s="17" t="n"/>
      <c r="AP92" s="13">
        <f>IF(AK92&gt;23.73,IF(Z92&lt;101,IF(Z92&lt;30,IF(Z92&lt;6,3,2),1),0),0)</f>
        <v/>
      </c>
      <c r="AQ92" s="13" t="n">
        <v>1</v>
      </c>
      <c r="AR92" s="11">
        <f>IF(AP92&gt;0,IF(AB92&gt;10,(AB92/Z92),10/Z92),0)</f>
        <v/>
      </c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</row>
    <row r="93" ht="12.75" customHeight="1">
      <c r="A93" s="17" t="n"/>
      <c r="B93" s="17" t="n"/>
      <c r="C93" s="17" t="n"/>
      <c r="D93" s="17" t="n"/>
      <c r="E93" s="17" t="n"/>
      <c r="F93" s="17" t="n"/>
      <c r="G93" s="13">
        <f>100*(F93-E93)/F93</f>
        <v/>
      </c>
      <c r="H93" s="17" t="n"/>
      <c r="I93" s="17" t="n"/>
      <c r="J93" s="17" t="n"/>
      <c r="K93" s="17" t="n"/>
      <c r="L93" s="17" t="n"/>
      <c r="M93" s="17" t="n"/>
      <c r="N93" s="17" t="n"/>
      <c r="O93" s="17" t="n"/>
      <c r="P93" s="13">
        <f>O93/I93</f>
        <v/>
      </c>
      <c r="Q93" s="17" t="n"/>
      <c r="R93" s="17" t="n"/>
      <c r="S93" s="13" t="n">
        <v>5</v>
      </c>
      <c r="T93" s="17" t="n"/>
      <c r="U93" s="17" t="n"/>
      <c r="V93" s="17" t="n"/>
      <c r="W93" s="17" t="n"/>
      <c r="X93" s="17" t="n"/>
      <c r="Y93" s="17" t="n"/>
      <c r="Z93" s="17" t="n"/>
      <c r="AA93" s="66">
        <f>IF(X93&lt;33,IF(Y93&gt;(1.1*X93),0,1),1)+IF(Y93&gt;(4*X93),-1,0)</f>
        <v/>
      </c>
      <c r="AB93" s="17" t="n"/>
      <c r="AC93" s="12">
        <f>IF(AB93&gt;9,1,0)+AB93/3</f>
        <v/>
      </c>
      <c r="AD93" s="17" t="n"/>
      <c r="AE93" s="17" t="n"/>
      <c r="AF93" s="17" t="n"/>
      <c r="AG93" s="12">
        <f>IF(G93&lt;0,0,1.2)+IF(G93&lt;14,0,0.9)+IF(P93&lt;0,0.7,0)+IF(P93&lt;6.5,1,0)+IF(P93&lt;23,1,0)+IF(R93&gt;88,0,1)+S93+IF(AD93&lt;20,0,1)+IF(AE93&lt;14,0,1)+IF(AF93&lt;26,0,1)</f>
        <v/>
      </c>
      <c r="AH93" s="12">
        <f>AG93+IF(AG93&gt;6,1,0)+IF(X93&lt;17,0,1)+IF(Y93&lt;11,0,1)+IF(Z93&lt;1.35,0,1)+AC93+AA93</f>
        <v/>
      </c>
      <c r="AI93" s="12" t="n"/>
      <c r="AJ93" s="11">
        <f>IF(AI93&gt;12.8,IF(AI93&gt;15.8,0.9,0.97),1)</f>
        <v/>
      </c>
      <c r="AK93" s="12">
        <f>(AG93*2.6+AH93)*AJ93*AQ93</f>
        <v/>
      </c>
      <c r="AL93" s="11">
        <f>D93</f>
        <v/>
      </c>
      <c r="AM93" s="11">
        <f>B93</f>
        <v/>
      </c>
      <c r="AN93" s="17" t="n"/>
      <c r="AO93" s="17" t="n"/>
      <c r="AP93" s="13">
        <f>IF(AK93&gt;23.73,IF(Z93&lt;101,IF(Z93&lt;30,IF(Z93&lt;6,3,2),1),0),0)</f>
        <v/>
      </c>
      <c r="AQ93" s="13" t="n">
        <v>1</v>
      </c>
      <c r="AR93" s="11">
        <f>IF(AP93&gt;0,IF(AB93&gt;10,(AB93/Z93),10/Z93),0)</f>
        <v/>
      </c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</row>
    <row r="94" ht="12.75" customHeight="1">
      <c r="A94" s="17" t="n"/>
      <c r="B94" s="17" t="n"/>
      <c r="C94" s="17" t="n"/>
      <c r="D94" s="17" t="n"/>
      <c r="E94" s="17" t="n"/>
      <c r="F94" s="17" t="n"/>
      <c r="G94" s="13">
        <f>100*(F94-E94)/F94</f>
        <v/>
      </c>
      <c r="H94" s="17" t="n"/>
      <c r="I94" s="17" t="n"/>
      <c r="J94" s="17" t="n"/>
      <c r="K94" s="17" t="n"/>
      <c r="L94" s="17" t="n"/>
      <c r="M94" s="17" t="n"/>
      <c r="N94" s="17" t="n"/>
      <c r="O94" s="17" t="n"/>
      <c r="P94" s="13">
        <f>O94/I94</f>
        <v/>
      </c>
      <c r="Q94" s="17" t="n"/>
      <c r="R94" s="17" t="n"/>
      <c r="S94" s="13" t="n">
        <v>5</v>
      </c>
      <c r="T94" s="17" t="n"/>
      <c r="U94" s="17" t="n"/>
      <c r="V94" s="17" t="n"/>
      <c r="W94" s="17" t="n"/>
      <c r="X94" s="17" t="n"/>
      <c r="Y94" s="17" t="n"/>
      <c r="Z94" s="17" t="n"/>
      <c r="AA94" s="66">
        <f>IF(X94&lt;33,IF(Y94&gt;(1.1*X94),0,1),1)+IF(Y94&gt;(4*X94),-1,0)</f>
        <v/>
      </c>
      <c r="AB94" s="17" t="n"/>
      <c r="AC94" s="12">
        <f>IF(AB94&gt;9,1,0)+AB94/3</f>
        <v/>
      </c>
      <c r="AD94" s="17" t="n"/>
      <c r="AE94" s="17" t="n"/>
      <c r="AF94" s="17" t="n"/>
      <c r="AG94" s="12">
        <f>IF(G94&lt;0,0,1.2)+IF(G94&lt;14,0,0.9)+IF(P94&lt;0,0.7,0)+IF(P94&lt;6.5,1,0)+IF(P94&lt;23,1,0)+IF(R94&gt;88,0,1)+S94+IF(AD94&lt;20,0,1)+IF(AE94&lt;14,0,1)+IF(AF94&lt;26,0,1)</f>
        <v/>
      </c>
      <c r="AH94" s="12">
        <f>AG94+IF(AG94&gt;6,1,0)+IF(X94&lt;17,0,1)+IF(Y94&lt;11,0,1)+IF(Z94&lt;1.35,0,1)+AC94+AA94</f>
        <v/>
      </c>
      <c r="AI94" s="12" t="n"/>
      <c r="AJ94" s="11">
        <f>IF(AI94&gt;12.8,IF(AI94&gt;15.8,0.9,0.97),1)</f>
        <v/>
      </c>
      <c r="AK94" s="12">
        <f>(AG94*2.6+AH94)*AJ94*AQ94</f>
        <v/>
      </c>
      <c r="AL94" s="11">
        <f>D94</f>
        <v/>
      </c>
      <c r="AM94" s="11">
        <f>B94</f>
        <v/>
      </c>
      <c r="AN94" s="17" t="n"/>
      <c r="AO94" s="17" t="n"/>
      <c r="AP94" s="13">
        <f>IF(AK94&gt;23.73,IF(Z94&lt;101,IF(Z94&lt;30,IF(Z94&lt;6,3,2),1),0),0)</f>
        <v/>
      </c>
      <c r="AQ94" s="13" t="n">
        <v>1</v>
      </c>
      <c r="AR94" s="11">
        <f>IF(AP94&gt;0,IF(AB94&gt;10,(AB94/Z94),10/Z94),0)</f>
        <v/>
      </c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</row>
    <row r="95" ht="12.75" customHeight="1">
      <c r="A95" s="17" t="n"/>
      <c r="B95" s="17" t="n"/>
      <c r="C95" s="17" t="n"/>
      <c r="D95" s="17" t="n"/>
      <c r="E95" s="17" t="n"/>
      <c r="F95" s="17" t="n"/>
      <c r="G95" s="13">
        <f>100*(F95-E95)/F95</f>
        <v/>
      </c>
      <c r="H95" s="17" t="n"/>
      <c r="I95" s="17" t="n"/>
      <c r="J95" s="17" t="n"/>
      <c r="K95" s="17" t="n"/>
      <c r="L95" s="17" t="n"/>
      <c r="M95" s="17" t="n"/>
      <c r="N95" s="17" t="n"/>
      <c r="O95" s="17" t="n"/>
      <c r="P95" s="13">
        <f>O95/I95</f>
        <v/>
      </c>
      <c r="Q95" s="17" t="n"/>
      <c r="R95" s="17" t="n"/>
      <c r="S95" s="13" t="n">
        <v>5</v>
      </c>
      <c r="T95" s="17" t="n"/>
      <c r="U95" s="17" t="n"/>
      <c r="V95" s="17" t="n"/>
      <c r="W95" s="17" t="n"/>
      <c r="X95" s="17" t="n"/>
      <c r="Y95" s="17" t="n"/>
      <c r="Z95" s="17" t="n"/>
      <c r="AA95" s="66">
        <f>IF(X95&lt;33,IF(Y95&gt;(1.1*X95),0,1),1)+IF(Y95&gt;(4*X95),-1,0)</f>
        <v/>
      </c>
      <c r="AB95" s="17" t="n"/>
      <c r="AC95" s="12">
        <f>IF(AB95&gt;9,1,0)+AB95/3</f>
        <v/>
      </c>
      <c r="AD95" s="17" t="n"/>
      <c r="AE95" s="17" t="n"/>
      <c r="AF95" s="17" t="n"/>
      <c r="AG95" s="12">
        <f>IF(G95&lt;0,0,1.2)+IF(G95&lt;14,0,0.9)+IF(P95&lt;0,0.7,0)+IF(P95&lt;6.5,1,0)+IF(P95&lt;23,1,0)+IF(R95&gt;88,0,1)+S95+IF(AD95&lt;20,0,1)+IF(AE95&lt;14,0,1)+IF(AF95&lt;26,0,1)</f>
        <v/>
      </c>
      <c r="AH95" s="12">
        <f>AG95+IF(AG95&gt;6,1,0)+IF(X95&lt;17,0,1)+IF(Y95&lt;11,0,1)+IF(Z95&lt;1.35,0,1)+AC95+AA95</f>
        <v/>
      </c>
      <c r="AI95" s="12" t="n"/>
      <c r="AJ95" s="11">
        <f>IF(AI95&gt;12.8,IF(AI95&gt;15.8,0.9,0.97),1)</f>
        <v/>
      </c>
      <c r="AK95" s="12">
        <f>(AG95*2.6+AH95)*AJ95*AQ95</f>
        <v/>
      </c>
      <c r="AL95" s="11">
        <f>D95</f>
        <v/>
      </c>
      <c r="AM95" s="11">
        <f>B95</f>
        <v/>
      </c>
      <c r="AN95" s="17" t="n"/>
      <c r="AO95" s="17" t="n"/>
      <c r="AP95" s="13">
        <f>IF(AK95&gt;23.73,IF(Z95&lt;101,IF(Z95&lt;30,IF(Z95&lt;6,3,2),1),0),0)</f>
        <v/>
      </c>
      <c r="AQ95" s="13" t="n">
        <v>1</v>
      </c>
      <c r="AR95" s="11">
        <f>IF(AP95&gt;0,IF(AB95&gt;10,(AB95/Z95),10/Z95),0)</f>
        <v/>
      </c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</row>
    <row r="96" ht="12.75" customHeight="1">
      <c r="A96" s="17" t="n"/>
      <c r="B96" s="17" t="n"/>
      <c r="C96" s="17" t="n"/>
      <c r="D96" s="17" t="n"/>
      <c r="E96" s="17" t="n"/>
      <c r="F96" s="17" t="n"/>
      <c r="G96" s="13">
        <f>100*(F96-E96)/F96</f>
        <v/>
      </c>
      <c r="H96" s="17" t="n"/>
      <c r="I96" s="17" t="n"/>
      <c r="J96" s="17" t="n"/>
      <c r="K96" s="17" t="n"/>
      <c r="L96" s="17" t="n"/>
      <c r="M96" s="17" t="n"/>
      <c r="N96" s="17" t="n"/>
      <c r="O96" s="17" t="n"/>
      <c r="P96" s="13">
        <f>O96/I96</f>
        <v/>
      </c>
      <c r="Q96" s="17" t="n"/>
      <c r="R96" s="17" t="n"/>
      <c r="S96" s="13" t="n">
        <v>5</v>
      </c>
      <c r="T96" s="17" t="n"/>
      <c r="U96" s="17" t="n"/>
      <c r="V96" s="17" t="n"/>
      <c r="W96" s="17" t="n"/>
      <c r="X96" s="17" t="n"/>
      <c r="Y96" s="17" t="n"/>
      <c r="Z96" s="17" t="n"/>
      <c r="AA96" s="66">
        <f>IF(X96&lt;33,IF(Y96&gt;(1.1*X96),0,1),1)+IF(Y96&gt;(4*X96),-1,0)</f>
        <v/>
      </c>
      <c r="AB96" s="17" t="n"/>
      <c r="AC96" s="12">
        <f>IF(AB96&gt;9,1,0)+AB96/3</f>
        <v/>
      </c>
      <c r="AD96" s="17" t="n"/>
      <c r="AE96" s="17" t="n"/>
      <c r="AF96" s="17" t="n"/>
      <c r="AG96" s="12">
        <f>IF(G96&lt;0,0,1.2)+IF(G96&lt;14,0,0.9)+IF(P96&lt;0,0.7,0)+IF(P96&lt;6.5,1,0)+IF(P96&lt;23,1,0)+IF(R96&gt;88,0,1)+S96+IF(AD96&lt;20,0,1)+IF(AE96&lt;14,0,1)+IF(AF96&lt;26,0,1)</f>
        <v/>
      </c>
      <c r="AH96" s="12">
        <f>AG96+IF(AG96&gt;6,1,0)+IF(X96&lt;17,0,1)+IF(Y96&lt;11,0,1)+IF(Z96&lt;1.35,0,1)+AC96+AA96</f>
        <v/>
      </c>
      <c r="AI96" s="12" t="n"/>
      <c r="AJ96" s="11">
        <f>IF(AI96&gt;12.8,IF(AI96&gt;15.8,0.9,0.97),1)</f>
        <v/>
      </c>
      <c r="AK96" s="12">
        <f>(AG96*2.6+AH96)*AJ96*AQ96</f>
        <v/>
      </c>
      <c r="AL96" s="11">
        <f>D96</f>
        <v/>
      </c>
      <c r="AM96" s="11">
        <f>B96</f>
        <v/>
      </c>
      <c r="AN96" s="17" t="n"/>
      <c r="AO96" s="17" t="n"/>
      <c r="AP96" s="13">
        <f>IF(AK96&gt;23.73,IF(Z96&lt;101,IF(Z96&lt;30,IF(Z96&lt;6,3,2),1),0),0)</f>
        <v/>
      </c>
      <c r="AQ96" s="13" t="n">
        <v>1</v>
      </c>
      <c r="AR96" s="11">
        <f>IF(AP96&gt;0,IF(AB96&gt;10,(AB96/Z96),10/Z96),0)</f>
        <v/>
      </c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</row>
    <row r="97" ht="12.75" customHeight="1">
      <c r="A97" s="17" t="n"/>
      <c r="B97" s="17" t="n"/>
      <c r="C97" s="17" t="n"/>
      <c r="D97" s="17" t="n"/>
      <c r="E97" s="17" t="n"/>
      <c r="F97" s="17" t="n"/>
      <c r="G97" s="13">
        <f>100*(F97-E97)/F97</f>
        <v/>
      </c>
      <c r="H97" s="17" t="n"/>
      <c r="I97" s="17" t="n"/>
      <c r="J97" s="17" t="n"/>
      <c r="K97" s="17" t="n"/>
      <c r="L97" s="17" t="n"/>
      <c r="M97" s="17" t="n"/>
      <c r="N97" s="17" t="n"/>
      <c r="O97" s="17" t="n"/>
      <c r="P97" s="13">
        <f>O97/I97</f>
        <v/>
      </c>
      <c r="Q97" s="17" t="n"/>
      <c r="R97" s="17" t="n"/>
      <c r="S97" s="13" t="n">
        <v>5</v>
      </c>
      <c r="T97" s="17" t="n"/>
      <c r="U97" s="17" t="n"/>
      <c r="V97" s="17" t="n"/>
      <c r="W97" s="17" t="n"/>
      <c r="X97" s="17" t="n"/>
      <c r="Y97" s="17" t="n"/>
      <c r="Z97" s="17" t="n"/>
      <c r="AA97" s="66">
        <f>IF(X97&lt;33,IF(Y97&gt;(1.1*X97),0,1),1)+IF(Y97&gt;(4*X97),-1,0)</f>
        <v/>
      </c>
      <c r="AB97" s="17" t="n"/>
      <c r="AC97" s="12">
        <f>IF(AB97&gt;9,1,0)+AB97/3</f>
        <v/>
      </c>
      <c r="AD97" s="17" t="n"/>
      <c r="AE97" s="17" t="n"/>
      <c r="AF97" s="17" t="n"/>
      <c r="AG97" s="12">
        <f>IF(G97&lt;0,0,1.2)+IF(G97&lt;14,0,0.9)+IF(P97&lt;0,0.7,0)+IF(P97&lt;6.5,1,0)+IF(P97&lt;23,1,0)+IF(R97&gt;88,0,1)+S97+IF(AD97&lt;20,0,1)+IF(AE97&lt;14,0,1)+IF(AF97&lt;26,0,1)</f>
        <v/>
      </c>
      <c r="AH97" s="12">
        <f>AG97+IF(AG97&gt;6,1,0)+IF(X97&lt;17,0,1)+IF(Y97&lt;11,0,1)+IF(Z97&lt;1.35,0,1)+AC97+AA97</f>
        <v/>
      </c>
      <c r="AI97" s="12" t="n"/>
      <c r="AJ97" s="11">
        <f>IF(AI97&gt;12.8,IF(AI97&gt;15.8,0.9,0.97),1)</f>
        <v/>
      </c>
      <c r="AK97" s="12">
        <f>(AG97*2.6+AH97)*AJ97*AQ97</f>
        <v/>
      </c>
      <c r="AL97" s="11">
        <f>D97</f>
        <v/>
      </c>
      <c r="AM97" s="11">
        <f>B97</f>
        <v/>
      </c>
      <c r="AN97" s="17" t="n"/>
      <c r="AO97" s="17" t="n"/>
      <c r="AP97" s="13">
        <f>IF(AK97&gt;23.73,IF(Z97&lt;101,IF(Z97&lt;30,IF(Z97&lt;6,3,2),1),0),0)</f>
        <v/>
      </c>
      <c r="AQ97" s="13" t="n">
        <v>1</v>
      </c>
      <c r="AR97" s="11">
        <f>IF(AP97&gt;0,IF(AB97&gt;10,(AB97/Z97),10/Z97),0)</f>
        <v/>
      </c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</row>
    <row r="98" ht="12.75" customHeight="1">
      <c r="A98" s="17" t="n"/>
      <c r="B98" s="17" t="n"/>
      <c r="C98" s="17" t="n"/>
      <c r="D98" s="17" t="n"/>
      <c r="E98" s="17" t="n"/>
      <c r="F98" s="17" t="n"/>
      <c r="G98" s="13">
        <f>100*(F98-E98)/F98</f>
        <v/>
      </c>
      <c r="H98" s="17" t="n"/>
      <c r="I98" s="17" t="n"/>
      <c r="J98" s="17" t="n"/>
      <c r="K98" s="17" t="n"/>
      <c r="L98" s="17" t="n"/>
      <c r="M98" s="17" t="n"/>
      <c r="N98" s="17" t="n"/>
      <c r="O98" s="17" t="n"/>
      <c r="P98" s="13">
        <f>O98/I98</f>
        <v/>
      </c>
      <c r="Q98" s="17" t="n"/>
      <c r="R98" s="17" t="n"/>
      <c r="S98" s="13" t="n">
        <v>5</v>
      </c>
      <c r="T98" s="17" t="n"/>
      <c r="U98" s="17" t="n"/>
      <c r="V98" s="17" t="n"/>
      <c r="W98" s="17" t="n"/>
      <c r="X98" s="17" t="n"/>
      <c r="Y98" s="17" t="n"/>
      <c r="Z98" s="17" t="n"/>
      <c r="AA98" s="66">
        <f>IF(X98&lt;33,IF(Y98&gt;(1.1*X98),0,1),1)+IF(Y98&gt;(4*X98),-1,0)</f>
        <v/>
      </c>
      <c r="AB98" s="17" t="n"/>
      <c r="AC98" s="12">
        <f>IF(AB98&gt;9,1,0)+AB98/3</f>
        <v/>
      </c>
      <c r="AD98" s="17" t="n"/>
      <c r="AE98" s="17" t="n"/>
      <c r="AF98" s="17" t="n"/>
      <c r="AG98" s="12">
        <f>IF(G98&lt;0,0,1.2)+IF(G98&lt;14,0,0.9)+IF(P98&lt;0,0.7,0)+IF(P98&lt;6.5,1,0)+IF(P98&lt;23,1,0)+IF(R98&gt;88,0,1)+S98+IF(AD98&lt;20,0,1)+IF(AE98&lt;14,0,1)+IF(AF98&lt;26,0,1)</f>
        <v/>
      </c>
      <c r="AH98" s="12">
        <f>AG98+IF(AG98&gt;6,1,0)+IF(X98&lt;17,0,1)+IF(Y98&lt;11,0,1)+IF(Z98&lt;1.35,0,1)+AC98+AA98</f>
        <v/>
      </c>
      <c r="AI98" s="12" t="n"/>
      <c r="AJ98" s="11">
        <f>IF(AI98&gt;12.8,IF(AI98&gt;15.8,0.9,0.97),1)</f>
        <v/>
      </c>
      <c r="AK98" s="12">
        <f>(AG98*2.6+AH98)*AJ98*AQ98</f>
        <v/>
      </c>
      <c r="AL98" s="11">
        <f>D98</f>
        <v/>
      </c>
      <c r="AM98" s="11">
        <f>B98</f>
        <v/>
      </c>
      <c r="AN98" s="17" t="n"/>
      <c r="AO98" s="17" t="n"/>
      <c r="AP98" s="13">
        <f>IF(AK98&gt;23.73,IF(Z98&lt;101,IF(Z98&lt;30,IF(Z98&lt;6,3,2),1),0),0)</f>
        <v/>
      </c>
      <c r="AQ98" s="13" t="n">
        <v>1</v>
      </c>
      <c r="AR98" s="11">
        <f>IF(AP98&gt;0,IF(AB98&gt;10,(AB98/Z98),10/Z98),0)</f>
        <v/>
      </c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</row>
    <row r="99" ht="12.75" customHeight="1">
      <c r="A99" s="17" t="n"/>
      <c r="B99" s="17" t="n"/>
      <c r="C99" s="17" t="n"/>
      <c r="D99" s="17" t="n"/>
      <c r="E99" s="17" t="n"/>
      <c r="F99" s="17" t="n"/>
      <c r="G99" s="13">
        <f>100*(F99-E99)/F99</f>
        <v/>
      </c>
      <c r="H99" s="17" t="n"/>
      <c r="I99" s="17" t="n"/>
      <c r="J99" s="17" t="n"/>
      <c r="K99" s="17" t="n"/>
      <c r="L99" s="17" t="n"/>
      <c r="M99" s="17" t="n"/>
      <c r="N99" s="17" t="n"/>
      <c r="O99" s="17" t="n"/>
      <c r="P99" s="13">
        <f>O99/I99</f>
        <v/>
      </c>
      <c r="Q99" s="17" t="n"/>
      <c r="R99" s="17" t="n"/>
      <c r="S99" s="13" t="n">
        <v>5</v>
      </c>
      <c r="T99" s="17" t="n"/>
      <c r="U99" s="17" t="n"/>
      <c r="V99" s="17" t="n"/>
      <c r="W99" s="17" t="n"/>
      <c r="X99" s="17" t="n"/>
      <c r="Y99" s="17" t="n"/>
      <c r="Z99" s="17" t="n"/>
      <c r="AA99" s="66">
        <f>IF(X99&lt;33,IF(Y99&gt;(1.1*X99),0,1),1)+IF(Y99&gt;(4*X99),-1,0)</f>
        <v/>
      </c>
      <c r="AB99" s="17" t="n"/>
      <c r="AC99" s="12">
        <f>IF(AB99&gt;9,1,0)+AB99/3</f>
        <v/>
      </c>
      <c r="AD99" s="17" t="n"/>
      <c r="AE99" s="17" t="n"/>
      <c r="AF99" s="17" t="n"/>
      <c r="AG99" s="12">
        <f>IF(G99&lt;0,0,1.2)+IF(G99&lt;14,0,0.9)+IF(P99&lt;0,0.7,0)+IF(P99&lt;6.5,1,0)+IF(P99&lt;23,1,0)+IF(R99&gt;88,0,1)+S99+IF(AD99&lt;20,0,1)+IF(AE99&lt;14,0,1)+IF(AF99&lt;26,0,1)</f>
        <v/>
      </c>
      <c r="AH99" s="12">
        <f>AG99+IF(AG99&gt;6,1,0)+IF(X99&lt;17,0,1)+IF(Y99&lt;11,0,1)+IF(Z99&lt;1.35,0,1)+AC99+AA99</f>
        <v/>
      </c>
      <c r="AI99" s="12" t="n"/>
      <c r="AJ99" s="11">
        <f>IF(AI99&gt;12.8,IF(AI99&gt;15.8,0.9,0.97),1)</f>
        <v/>
      </c>
      <c r="AK99" s="12">
        <f>(AG99*2.6+AH99)*AJ99*AQ99</f>
        <v/>
      </c>
      <c r="AL99" s="11">
        <f>D99</f>
        <v/>
      </c>
      <c r="AM99" s="11">
        <f>B99</f>
        <v/>
      </c>
      <c r="AN99" s="17" t="n"/>
      <c r="AO99" s="17" t="n"/>
      <c r="AP99" s="13">
        <f>IF(AK99&gt;23.73,IF(Z99&lt;101,IF(Z99&lt;30,IF(Z99&lt;6,3,2),1),0),0)</f>
        <v/>
      </c>
      <c r="AQ99" s="13" t="n">
        <v>1</v>
      </c>
      <c r="AR99" s="11">
        <f>IF(AP99&gt;0,IF(AB99&gt;10,(AB99/Z99),10/Z99),0)</f>
        <v/>
      </c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</row>
    <row r="100" ht="12.75" customHeight="1">
      <c r="A100" s="17" t="n"/>
      <c r="B100" s="17" t="n"/>
      <c r="C100" s="17" t="n"/>
      <c r="D100" s="17" t="n"/>
      <c r="E100" s="17" t="n"/>
      <c r="F100" s="17" t="n"/>
      <c r="G100" s="13">
        <f>100*(F100-E100)/F100</f>
        <v/>
      </c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3">
        <f>O100/I100</f>
        <v/>
      </c>
      <c r="Q100" s="17" t="n"/>
      <c r="R100" s="17" t="n"/>
      <c r="S100" s="13" t="n">
        <v>5</v>
      </c>
      <c r="T100" s="17" t="n"/>
      <c r="U100" s="17" t="n"/>
      <c r="V100" s="17" t="n"/>
      <c r="W100" s="17" t="n"/>
      <c r="X100" s="17" t="n"/>
      <c r="Y100" s="17" t="n"/>
      <c r="Z100" s="17" t="n"/>
      <c r="AA100" s="66">
        <f>IF(X100&lt;33,IF(Y100&gt;(1.1*X100),0,1),1)+IF(Y100&gt;(4*X100),-1,0)</f>
        <v/>
      </c>
      <c r="AB100" s="17" t="n"/>
      <c r="AC100" s="12">
        <f>IF(AB100&gt;9,1,0)+AB100/3</f>
        <v/>
      </c>
      <c r="AD100" s="17" t="n"/>
      <c r="AE100" s="17" t="n"/>
      <c r="AF100" s="17" t="n"/>
      <c r="AG100" s="12">
        <f>IF(G100&lt;0,0,1.2)+IF(G100&lt;14,0,0.9)+IF(P100&lt;0,0.7,0)+IF(P100&lt;6.5,1,0)+IF(P100&lt;23,1,0)+IF(R100&gt;88,0,1)+S100+IF(AD100&lt;20,0,1)+IF(AE100&lt;14,0,1)+IF(AF100&lt;26,0,1)</f>
        <v/>
      </c>
      <c r="AH100" s="12">
        <f>AG100+IF(AG100&gt;6,1,0)+IF(X100&lt;17,0,1)+IF(Y100&lt;11,0,1)+IF(Z100&lt;1.35,0,1)+AC100+AA100</f>
        <v/>
      </c>
      <c r="AI100" s="12" t="n"/>
      <c r="AJ100" s="11">
        <f>IF(AI100&gt;12.8,IF(AI100&gt;15.8,0.9,0.97),1)</f>
        <v/>
      </c>
      <c r="AK100" s="12">
        <f>(AG100*2.6+AH100)*AJ100*AQ100</f>
        <v/>
      </c>
      <c r="AL100" s="11">
        <f>D100</f>
        <v/>
      </c>
      <c r="AM100" s="11">
        <f>B100</f>
        <v/>
      </c>
      <c r="AN100" s="17" t="n"/>
      <c r="AO100" s="17" t="n"/>
      <c r="AP100" s="13">
        <f>IF(AK100&gt;23.73,IF(Z100&lt;101,IF(Z100&lt;30,IF(Z100&lt;6,3,2),1),0),0)</f>
        <v/>
      </c>
      <c r="AQ100" s="13" t="n">
        <v>1</v>
      </c>
      <c r="AR100" s="11">
        <f>IF(AP100&gt;0,IF(AB100&gt;10,(AB100/Z100),10/Z100),0)</f>
        <v/>
      </c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</row>
    <row r="101" ht="12.75" customHeight="1">
      <c r="A101" s="17" t="n"/>
      <c r="B101" s="17" t="n"/>
      <c r="C101" s="17" t="n"/>
      <c r="D101" s="17" t="n"/>
      <c r="E101" s="17" t="n"/>
      <c r="F101" s="17" t="n"/>
      <c r="G101" s="13">
        <f>100*(F101-E101)/F101</f>
        <v/>
      </c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3">
        <f>O101/I101</f>
        <v/>
      </c>
      <c r="Q101" s="17" t="n"/>
      <c r="R101" s="17" t="n"/>
      <c r="S101" s="13" t="n">
        <v>5</v>
      </c>
      <c r="T101" s="17" t="n"/>
      <c r="U101" s="17" t="n"/>
      <c r="V101" s="17" t="n"/>
      <c r="W101" s="17" t="n"/>
      <c r="X101" s="17" t="n"/>
      <c r="Y101" s="17" t="n"/>
      <c r="Z101" s="17" t="n"/>
      <c r="AA101" s="66">
        <f>IF(X101&lt;33,IF(Y101&gt;(1.1*X101),0,1),1)+IF(Y101&gt;(4*X101),-1,0)</f>
        <v/>
      </c>
      <c r="AB101" s="17" t="n"/>
      <c r="AC101" s="12">
        <f>IF(AB101&gt;9,1,0)+AB101/3</f>
        <v/>
      </c>
      <c r="AD101" s="17" t="n"/>
      <c r="AE101" s="17" t="n"/>
      <c r="AF101" s="17" t="n"/>
      <c r="AG101" s="12">
        <f>IF(G101&lt;0,0,1.2)+IF(G101&lt;14,0,0.9)+IF(P101&lt;0,0.7,0)+IF(P101&lt;6.5,1,0)+IF(P101&lt;23,1,0)+IF(R101&gt;88,0,1)+S101+IF(AD101&lt;20,0,1)+IF(AE101&lt;14,0,1)+IF(AF101&lt;26,0,1)</f>
        <v/>
      </c>
      <c r="AH101" s="12">
        <f>AG101+IF(AG101&gt;6,1,0)+IF(X101&lt;17,0,1)+IF(Y101&lt;11,0,1)+IF(Z101&lt;1.35,0,1)+AC101+AA101</f>
        <v/>
      </c>
      <c r="AI101" s="12" t="n"/>
      <c r="AJ101" s="11">
        <f>IF(AI101&gt;12.8,IF(AI101&gt;15.8,0.9,0.97),1)</f>
        <v/>
      </c>
      <c r="AK101" s="12">
        <f>(AG101*2.6+AH101)*AJ101*AQ101</f>
        <v/>
      </c>
      <c r="AL101" s="11">
        <f>D101</f>
        <v/>
      </c>
      <c r="AM101" s="11">
        <f>B101</f>
        <v/>
      </c>
      <c r="AN101" s="17" t="n"/>
      <c r="AO101" s="17" t="n"/>
      <c r="AP101" s="13">
        <f>IF(AK101&gt;23.73,IF(Z101&lt;101,IF(Z101&lt;30,IF(Z101&lt;6,3,2),1),0),0)</f>
        <v/>
      </c>
      <c r="AQ101" s="13" t="n">
        <v>1</v>
      </c>
      <c r="AR101" s="11">
        <f>IF(AP101&gt;0,IF(AB101&gt;10,(AB101/Z101),10/Z101),0)</f>
        <v/>
      </c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</row>
    <row r="102" ht="12.75" customHeight="1">
      <c r="A102" s="17" t="n"/>
      <c r="B102" s="17" t="n"/>
      <c r="C102" s="17" t="n"/>
      <c r="D102" s="17" t="n"/>
      <c r="E102" s="17" t="n"/>
      <c r="F102" s="17" t="n"/>
      <c r="G102" s="13">
        <f>100*(F102-E102)/F102</f>
        <v/>
      </c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3">
        <f>O102/I102</f>
        <v/>
      </c>
      <c r="Q102" s="17" t="n"/>
      <c r="R102" s="17" t="n"/>
      <c r="S102" s="13" t="n">
        <v>5</v>
      </c>
      <c r="T102" s="17" t="n"/>
      <c r="U102" s="17" t="n"/>
      <c r="V102" s="17" t="n"/>
      <c r="W102" s="17" t="n"/>
      <c r="X102" s="17" t="n"/>
      <c r="Y102" s="17" t="n"/>
      <c r="Z102" s="17" t="n"/>
      <c r="AA102" s="66">
        <f>IF(X102&lt;33,IF(Y102&gt;(1.1*X102),0,1),1)+IF(Y102&gt;(4*X102),-1,0)</f>
        <v/>
      </c>
      <c r="AB102" s="17" t="n"/>
      <c r="AC102" s="12">
        <f>IF(AB102&gt;9,1,0)+AB102/3</f>
        <v/>
      </c>
      <c r="AD102" s="17" t="n"/>
      <c r="AE102" s="17" t="n"/>
      <c r="AF102" s="17" t="n"/>
      <c r="AG102" s="12">
        <f>IF(G102&lt;0,0,1.2)+IF(G102&lt;14,0,0.9)+IF(P102&lt;0,0.7,0)+IF(P102&lt;6.5,1,0)+IF(P102&lt;23,1,0)+IF(R102&gt;88,0,1)+S102+IF(AD102&lt;20,0,1)+IF(AE102&lt;14,0,1)+IF(AF102&lt;26,0,1)</f>
        <v/>
      </c>
      <c r="AH102" s="12">
        <f>AG102+IF(AG102&gt;6,1,0)+IF(X102&lt;17,0,1)+IF(Y102&lt;11,0,1)+IF(Z102&lt;1.35,0,1)+AC102+AA102</f>
        <v/>
      </c>
      <c r="AI102" s="12" t="n"/>
      <c r="AJ102" s="11">
        <f>IF(AI102&gt;12.8,IF(AI102&gt;15.8,0.9,0.97),1)</f>
        <v/>
      </c>
      <c r="AK102" s="12">
        <f>(AG102*2.6+AH102)*AJ102*AQ102</f>
        <v/>
      </c>
      <c r="AL102" s="11">
        <f>D102</f>
        <v/>
      </c>
      <c r="AM102" s="11">
        <f>B102</f>
        <v/>
      </c>
      <c r="AN102" s="17" t="n"/>
      <c r="AO102" s="17" t="n"/>
      <c r="AP102" s="13">
        <f>IF(AK102&gt;23.73,IF(Z102&lt;101,IF(Z102&lt;30,IF(Z102&lt;6,3,2),1),0),0)</f>
        <v/>
      </c>
      <c r="AQ102" s="13" t="n">
        <v>1</v>
      </c>
      <c r="AR102" s="11">
        <f>IF(AP102&gt;0,IF(AB102&gt;10,(AB102/Z102),10/Z102),0)</f>
        <v/>
      </c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</row>
    <row r="103" ht="12.75" customHeight="1">
      <c r="A103" s="17" t="n"/>
      <c r="B103" s="17" t="n"/>
      <c r="C103" s="17" t="n"/>
      <c r="D103" s="17" t="n"/>
      <c r="E103" s="17" t="n"/>
      <c r="F103" s="17" t="n"/>
      <c r="G103" s="13">
        <f>100*(F103-E103)/F103</f>
        <v/>
      </c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3">
        <f>O103/I103</f>
        <v/>
      </c>
      <c r="Q103" s="17" t="n"/>
      <c r="R103" s="17" t="n"/>
      <c r="S103" s="13" t="n">
        <v>5</v>
      </c>
      <c r="T103" s="17" t="n"/>
      <c r="U103" s="17" t="n"/>
      <c r="V103" s="17" t="n"/>
      <c r="W103" s="17" t="n"/>
      <c r="X103" s="17" t="n"/>
      <c r="Y103" s="17" t="n"/>
      <c r="Z103" s="17" t="n"/>
      <c r="AA103" s="66">
        <f>IF(X103&lt;33,IF(Y103&gt;(1.1*X103),0,1),1)+IF(Y103&gt;(4*X103),-1,0)</f>
        <v/>
      </c>
      <c r="AB103" s="17" t="n"/>
      <c r="AC103" s="12">
        <f>IF(AB103&gt;9,1,0)+AB103/3</f>
        <v/>
      </c>
      <c r="AD103" s="17" t="n"/>
      <c r="AE103" s="17" t="n"/>
      <c r="AF103" s="17" t="n"/>
      <c r="AG103" s="12">
        <f>IF(G103&lt;0,0,1.2)+IF(G103&lt;14,0,0.9)+IF(P103&lt;0,0.7,0)+IF(P103&lt;6.5,1,0)+IF(P103&lt;23,1,0)+IF(R103&gt;88,0,1)+S103+IF(AD103&lt;20,0,1)+IF(AE103&lt;14,0,1)+IF(AF103&lt;26,0,1)</f>
        <v/>
      </c>
      <c r="AH103" s="12">
        <f>AG103+IF(AG103&gt;6,1,0)+IF(X103&lt;17,0,1)+IF(Y103&lt;11,0,1)+IF(Z103&lt;1.35,0,1)+AC103+AA103</f>
        <v/>
      </c>
      <c r="AI103" s="12" t="n"/>
      <c r="AJ103" s="11">
        <f>IF(AI103&gt;12.8,IF(AI103&gt;15.8,0.9,0.97),1)</f>
        <v/>
      </c>
      <c r="AK103" s="12">
        <f>(AG103*2.6+AH103)*AJ103*AQ103</f>
        <v/>
      </c>
      <c r="AL103" s="11">
        <f>D103</f>
        <v/>
      </c>
      <c r="AM103" s="11">
        <f>B103</f>
        <v/>
      </c>
      <c r="AN103" s="17" t="n"/>
      <c r="AO103" s="17" t="n"/>
      <c r="AP103" s="13">
        <f>IF(AK103&gt;23.73,IF(Z103&lt;101,IF(Z103&lt;30,IF(Z103&lt;6,3,2),1),0),0)</f>
        <v/>
      </c>
      <c r="AQ103" s="13" t="n">
        <v>1</v>
      </c>
      <c r="AR103" s="11">
        <f>IF(AP103&gt;0,IF(AB103&gt;10,(AB103/Z103),10/Z103),0)</f>
        <v/>
      </c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</row>
    <row r="104" ht="12.75" customHeight="1">
      <c r="A104" s="17" t="n"/>
      <c r="B104" s="17" t="n"/>
      <c r="C104" s="17" t="n"/>
      <c r="D104" s="17" t="n"/>
      <c r="E104" s="17" t="n"/>
      <c r="F104" s="17" t="n"/>
      <c r="G104" s="13">
        <f>100*(F104-E104)/F104</f>
        <v/>
      </c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3">
        <f>O104/I104</f>
        <v/>
      </c>
      <c r="Q104" s="17" t="n"/>
      <c r="R104" s="17" t="n"/>
      <c r="S104" s="13" t="n">
        <v>5</v>
      </c>
      <c r="T104" s="17" t="n"/>
      <c r="U104" s="17" t="n"/>
      <c r="V104" s="17" t="n"/>
      <c r="W104" s="17" t="n"/>
      <c r="X104" s="17" t="n"/>
      <c r="Y104" s="17" t="n"/>
      <c r="Z104" s="17" t="n"/>
      <c r="AA104" s="66">
        <f>IF(X104&lt;33,IF(Y104&gt;(1.1*X104),0,1),1)+IF(Y104&gt;(4*X104),-1,0)</f>
        <v/>
      </c>
      <c r="AB104" s="17" t="n"/>
      <c r="AC104" s="12">
        <f>IF(AB104&gt;9,1,0)+AB104/3</f>
        <v/>
      </c>
      <c r="AD104" s="17" t="n"/>
      <c r="AE104" s="17" t="n"/>
      <c r="AF104" s="17" t="n"/>
      <c r="AG104" s="12">
        <f>IF(G104&lt;0,0,1.2)+IF(G104&lt;14,0,0.9)+IF(P104&lt;0,0.7,0)+IF(P104&lt;6.5,1,0)+IF(P104&lt;23,1,0)+IF(R104&gt;88,0,1)+S104+IF(AD104&lt;20,0,1)+IF(AE104&lt;14,0,1)+IF(AF104&lt;26,0,1)</f>
        <v/>
      </c>
      <c r="AH104" s="12">
        <f>AG104+IF(AG104&gt;6,1,0)+IF(X104&lt;17,0,1)+IF(Y104&lt;11,0,1)+IF(Z104&lt;1.35,0,1)+AC104+AA104</f>
        <v/>
      </c>
      <c r="AI104" s="12" t="n"/>
      <c r="AJ104" s="11">
        <f>IF(AI104&gt;12.8,IF(AI104&gt;15.8,0.9,0.97),1)</f>
        <v/>
      </c>
      <c r="AK104" s="12">
        <f>(AG104*2.6+AH104)*AJ104*AQ104</f>
        <v/>
      </c>
      <c r="AL104" s="11">
        <f>D104</f>
        <v/>
      </c>
      <c r="AM104" s="11">
        <f>B104</f>
        <v/>
      </c>
      <c r="AN104" s="17" t="n"/>
      <c r="AO104" s="17" t="n"/>
      <c r="AP104" s="13">
        <f>IF(AK104&gt;23.73,IF(Z104&lt;101,IF(Z104&lt;30,IF(Z104&lt;6,3,2),1),0),0)</f>
        <v/>
      </c>
      <c r="AQ104" s="13" t="n">
        <v>1</v>
      </c>
      <c r="AR104" s="11">
        <f>IF(AP104&gt;0,IF(AB104&gt;10,(AB104/Z104),10/Z104),0)</f>
        <v/>
      </c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</row>
    <row r="105" ht="12.75" customHeight="1">
      <c r="A105" s="17" t="n"/>
      <c r="B105" s="17" t="n"/>
      <c r="C105" s="17" t="n"/>
      <c r="D105" s="17" t="n"/>
      <c r="E105" s="17" t="n"/>
      <c r="F105" s="17" t="n"/>
      <c r="G105" s="13">
        <f>100*(F105-E105)/F105</f>
        <v/>
      </c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3">
        <f>O105/I105</f>
        <v/>
      </c>
      <c r="Q105" s="17" t="n"/>
      <c r="R105" s="17" t="n"/>
      <c r="S105" s="13" t="n">
        <v>5</v>
      </c>
      <c r="T105" s="17" t="n"/>
      <c r="U105" s="17" t="n"/>
      <c r="V105" s="17" t="n"/>
      <c r="W105" s="17" t="n"/>
      <c r="X105" s="17" t="n"/>
      <c r="Y105" s="17" t="n"/>
      <c r="Z105" s="17" t="n"/>
      <c r="AA105" s="66">
        <f>IF(X105&lt;33,IF(Y105&gt;(1.1*X105),0,1),1)+IF(Y105&gt;(4*X105),-1,0)</f>
        <v/>
      </c>
      <c r="AB105" s="17" t="n"/>
      <c r="AC105" s="12">
        <f>IF(AB105&gt;9,1,0)+AB105/3</f>
        <v/>
      </c>
      <c r="AD105" s="17" t="n"/>
      <c r="AE105" s="17" t="n"/>
      <c r="AF105" s="17" t="n"/>
      <c r="AG105" s="12">
        <f>IF(G105&lt;0,0,1.2)+IF(G105&lt;14,0,0.9)+IF(P105&lt;0,0.7,0)+IF(P105&lt;6.5,1,0)+IF(P105&lt;23,1,0)+IF(R105&gt;88,0,1)+S105+IF(AD105&lt;20,0,1)+IF(AE105&lt;14,0,1)+IF(AF105&lt;26,0,1)</f>
        <v/>
      </c>
      <c r="AH105" s="12">
        <f>AG105+IF(AG105&gt;6,1,0)+IF(X105&lt;17,0,1)+IF(Y105&lt;11,0,1)+IF(Z105&lt;1.35,0,1)+AC105+AA105</f>
        <v/>
      </c>
      <c r="AI105" s="12" t="n"/>
      <c r="AJ105" s="11">
        <f>IF(AI105&gt;12.8,IF(AI105&gt;15.8,0.9,0.97),1)</f>
        <v/>
      </c>
      <c r="AK105" s="12">
        <f>(AG105*2.6+AH105)*AJ105*AQ105</f>
        <v/>
      </c>
      <c r="AL105" s="11">
        <f>D105</f>
        <v/>
      </c>
      <c r="AM105" s="11">
        <f>B105</f>
        <v/>
      </c>
      <c r="AN105" s="17" t="n"/>
      <c r="AO105" s="17" t="n"/>
      <c r="AP105" s="13">
        <f>IF(AK105&gt;23.73,IF(Z105&lt;101,IF(Z105&lt;30,IF(Z105&lt;6,3,2),1),0),0)</f>
        <v/>
      </c>
      <c r="AQ105" s="13" t="n">
        <v>1</v>
      </c>
      <c r="AR105" s="11">
        <f>IF(AP105&gt;0,IF(AB105&gt;10,(AB105/Z105),10/Z105),0)</f>
        <v/>
      </c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</row>
    <row r="106" ht="12.75" customHeight="1">
      <c r="A106" s="17" t="n"/>
      <c r="B106" s="17" t="n"/>
      <c r="C106" s="17" t="n"/>
      <c r="D106" s="17" t="n"/>
      <c r="E106" s="17" t="n"/>
      <c r="F106" s="17" t="n"/>
      <c r="G106" s="13">
        <f>100*(F106-E106)/F106</f>
        <v/>
      </c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3">
        <f>O106/I106</f>
        <v/>
      </c>
      <c r="Q106" s="17" t="n"/>
      <c r="R106" s="17" t="n"/>
      <c r="S106" s="13" t="n">
        <v>5</v>
      </c>
      <c r="T106" s="17" t="n"/>
      <c r="U106" s="17" t="n"/>
      <c r="V106" s="17" t="n"/>
      <c r="W106" s="17" t="n"/>
      <c r="X106" s="17" t="n"/>
      <c r="Y106" s="17" t="n"/>
      <c r="Z106" s="17" t="n"/>
      <c r="AA106" s="66">
        <f>IF(X106&lt;33,IF(Y106&gt;(1.1*X106),0,1),1)+IF(Y106&gt;(4*X106),-1,0)</f>
        <v/>
      </c>
      <c r="AB106" s="17" t="n"/>
      <c r="AC106" s="12">
        <f>IF(AB106&gt;9,1,0)+AB106/3</f>
        <v/>
      </c>
      <c r="AD106" s="17" t="n"/>
      <c r="AE106" s="17" t="n"/>
      <c r="AF106" s="17" t="n"/>
      <c r="AG106" s="12">
        <f>IF(G106&lt;0,0,1.2)+IF(G106&lt;14,0,0.9)+IF(P106&lt;0,0.7,0)+IF(P106&lt;6.5,1,0)+IF(P106&lt;23,1,0)+IF(R106&gt;88,0,1)+S106+IF(AD106&lt;20,0,1)+IF(AE106&lt;14,0,1)+IF(AF106&lt;26,0,1)</f>
        <v/>
      </c>
      <c r="AH106" s="12">
        <f>AG106+IF(AG106&gt;6,1,0)+IF(X106&lt;17,0,1)+IF(Y106&lt;11,0,1)+IF(Z106&lt;1.35,0,1)+AC106+AA106</f>
        <v/>
      </c>
      <c r="AI106" s="12" t="n"/>
      <c r="AJ106" s="11">
        <f>IF(AI106&gt;12.8,IF(AI106&gt;15.8,0.9,0.97),1)</f>
        <v/>
      </c>
      <c r="AK106" s="12">
        <f>(AG106*2.6+AH106)*AJ106*AQ106</f>
        <v/>
      </c>
      <c r="AL106" s="11">
        <f>D106</f>
        <v/>
      </c>
      <c r="AM106" s="11">
        <f>B106</f>
        <v/>
      </c>
      <c r="AN106" s="17" t="n"/>
      <c r="AO106" s="17" t="n"/>
      <c r="AP106" s="13">
        <f>IF(AK106&gt;23.73,IF(Z106&lt;101,IF(Z106&lt;30,IF(Z106&lt;6,3,2),1),0),0)</f>
        <v/>
      </c>
      <c r="AQ106" s="13" t="n">
        <v>1</v>
      </c>
      <c r="AR106" s="11">
        <f>IF(AP106&gt;0,IF(AB106&gt;10,(AB106/Z106),10/Z106),0)</f>
        <v/>
      </c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</row>
    <row r="107" ht="12.75" customHeight="1">
      <c r="A107" s="17" t="n"/>
      <c r="B107" s="17" t="n"/>
      <c r="C107" s="17" t="n"/>
      <c r="D107" s="17" t="n"/>
      <c r="E107" s="17" t="n"/>
      <c r="F107" s="17" t="n"/>
      <c r="G107" s="13">
        <f>100*(F107-E107)/F107</f>
        <v/>
      </c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3">
        <f>O107/I107</f>
        <v/>
      </c>
      <c r="Q107" s="17" t="n"/>
      <c r="R107" s="17" t="n"/>
      <c r="S107" s="13" t="n">
        <v>5</v>
      </c>
      <c r="T107" s="17" t="n"/>
      <c r="U107" s="17" t="n"/>
      <c r="V107" s="17" t="n"/>
      <c r="W107" s="17" t="n"/>
      <c r="X107" s="17" t="n"/>
      <c r="Y107" s="17" t="n"/>
      <c r="Z107" s="17" t="n"/>
      <c r="AA107" s="66">
        <f>IF(X107&lt;33,IF(Y107&gt;(1.1*X107),0,1),1)+IF(Y107&gt;(4*X107),-1,0)</f>
        <v/>
      </c>
      <c r="AB107" s="17" t="n"/>
      <c r="AC107" s="12">
        <f>IF(AB107&gt;9,1,0)+AB107/3</f>
        <v/>
      </c>
      <c r="AD107" s="17" t="n"/>
      <c r="AE107" s="17" t="n"/>
      <c r="AF107" s="17" t="n"/>
      <c r="AG107" s="12">
        <f>IF(G107&lt;0,0,1.2)+IF(G107&lt;14,0,0.9)+IF(P107&lt;0,0.7,0)+IF(P107&lt;6.5,1,0)+IF(P107&lt;23,1,0)+IF(R107&gt;88,0,1)+S107+IF(AD107&lt;20,0,1)+IF(AE107&lt;14,0,1)+IF(AF107&lt;26,0,1)</f>
        <v/>
      </c>
      <c r="AH107" s="12">
        <f>AG107+IF(AG107&gt;6,1,0)+IF(X107&lt;17,0,1)+IF(Y107&lt;11,0,1)+IF(Z107&lt;1.35,0,1)+AC107+AA107</f>
        <v/>
      </c>
      <c r="AI107" s="12" t="n"/>
      <c r="AJ107" s="11">
        <f>IF(AI107&gt;12.8,IF(AI107&gt;15.8,0.9,0.97),1)</f>
        <v/>
      </c>
      <c r="AK107" s="12">
        <f>(AG107*2.6+AH107)*AJ107*AQ107</f>
        <v/>
      </c>
      <c r="AL107" s="11">
        <f>D107</f>
        <v/>
      </c>
      <c r="AM107" s="11">
        <f>B107</f>
        <v/>
      </c>
      <c r="AN107" s="17" t="n"/>
      <c r="AO107" s="17" t="n"/>
      <c r="AP107" s="13">
        <f>IF(AK107&gt;23.73,IF(Z107&lt;101,IF(Z107&lt;30,IF(Z107&lt;6,3,2),1),0),0)</f>
        <v/>
      </c>
      <c r="AQ107" s="13" t="n">
        <v>1</v>
      </c>
      <c r="AR107" s="11">
        <f>IF(AP107&gt;0,IF(AB107&gt;10,(AB107/Z107),10/Z107),0)</f>
        <v/>
      </c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</row>
    <row r="108" ht="12.75" customHeight="1">
      <c r="A108" s="17" t="n"/>
      <c r="B108" s="17" t="n"/>
      <c r="C108" s="17" t="n"/>
      <c r="D108" s="17" t="n"/>
      <c r="E108" s="17" t="n"/>
      <c r="F108" s="17" t="n"/>
      <c r="G108" s="13">
        <f>100*(F108-E108)/F108</f>
        <v/>
      </c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3">
        <f>O108/I108</f>
        <v/>
      </c>
      <c r="Q108" s="17" t="n"/>
      <c r="R108" s="17" t="n"/>
      <c r="S108" s="13" t="n">
        <v>5</v>
      </c>
      <c r="T108" s="17" t="n"/>
      <c r="U108" s="17" t="n"/>
      <c r="V108" s="17" t="n"/>
      <c r="W108" s="17" t="n"/>
      <c r="X108" s="17" t="n"/>
      <c r="Y108" s="17" t="n"/>
      <c r="Z108" s="17" t="n"/>
      <c r="AA108" s="66">
        <f>IF(X108&lt;33,IF(Y108&gt;(1.1*X108),0,1),1)+IF(Y108&gt;(4*X108),-1,0)</f>
        <v/>
      </c>
      <c r="AB108" s="17" t="n"/>
      <c r="AC108" s="12">
        <f>IF(AB108&gt;9,1,0)+AB108/3</f>
        <v/>
      </c>
      <c r="AD108" s="17" t="n"/>
      <c r="AE108" s="17" t="n"/>
      <c r="AF108" s="17" t="n"/>
      <c r="AG108" s="12">
        <f>IF(G108&lt;0,0,1.2)+IF(G108&lt;14,0,0.9)+IF(P108&lt;0,0.7,0)+IF(P108&lt;6.5,1,0)+IF(P108&lt;23,1,0)+IF(R108&gt;88,0,1)+S108+IF(AD108&lt;20,0,1)+IF(AE108&lt;14,0,1)+IF(AF108&lt;26,0,1)</f>
        <v/>
      </c>
      <c r="AH108" s="12">
        <f>AG108+IF(AG108&gt;6,1,0)+IF(X108&lt;17,0,1)+IF(Y108&lt;11,0,1)+IF(Z108&lt;1.35,0,1)+AC108+AA108</f>
        <v/>
      </c>
      <c r="AI108" s="12" t="n"/>
      <c r="AJ108" s="11">
        <f>IF(AI108&gt;12.8,IF(AI108&gt;15.8,0.9,0.97),1)</f>
        <v/>
      </c>
      <c r="AK108" s="12">
        <f>(AG108*2.6+AH108)*AJ108*AQ108</f>
        <v/>
      </c>
      <c r="AL108" s="11">
        <f>D108</f>
        <v/>
      </c>
      <c r="AM108" s="11">
        <f>B108</f>
        <v/>
      </c>
      <c r="AN108" s="17" t="n"/>
      <c r="AO108" s="17" t="n"/>
      <c r="AP108" s="13">
        <f>IF(AK108&gt;23.73,IF(Z108&lt;101,IF(Z108&lt;30,IF(Z108&lt;6,3,2),1),0),0)</f>
        <v/>
      </c>
      <c r="AQ108" s="13" t="n">
        <v>1</v>
      </c>
      <c r="AR108" s="11">
        <f>IF(AP108&gt;0,IF(AB108&gt;10,(AB108/Z108),10/Z108),0)</f>
        <v/>
      </c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</row>
    <row r="109" ht="12.75" customHeight="1">
      <c r="A109" s="17" t="n"/>
      <c r="B109" s="17" t="n"/>
      <c r="C109" s="17" t="n"/>
      <c r="D109" s="17" t="n"/>
      <c r="E109" s="17" t="n"/>
      <c r="F109" s="17" t="n"/>
      <c r="G109" s="13">
        <f>100*(F109-E109)/F109</f>
        <v/>
      </c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3">
        <f>O109/I109</f>
        <v/>
      </c>
      <c r="Q109" s="17" t="n"/>
      <c r="R109" s="17" t="n"/>
      <c r="S109" s="13" t="n">
        <v>5</v>
      </c>
      <c r="T109" s="17" t="n"/>
      <c r="U109" s="17" t="n"/>
      <c r="V109" s="17" t="n"/>
      <c r="W109" s="17" t="n"/>
      <c r="X109" s="17" t="n"/>
      <c r="Y109" s="17" t="n"/>
      <c r="Z109" s="17" t="n"/>
      <c r="AA109" s="66">
        <f>IF(X109&lt;33,IF(Y109&gt;(1.1*X109),0,1),1)+IF(Y109&gt;(4*X109),-1,0)</f>
        <v/>
      </c>
      <c r="AB109" s="17" t="n"/>
      <c r="AC109" s="12">
        <f>IF(AB109&gt;9,1,0)+AB109/3</f>
        <v/>
      </c>
      <c r="AD109" s="17" t="n"/>
      <c r="AE109" s="17" t="n"/>
      <c r="AF109" s="17" t="n"/>
      <c r="AG109" s="12">
        <f>IF(G109&lt;0,0,1.2)+IF(G109&lt;14,0,0.9)+IF(P109&lt;0,0.7,0)+IF(P109&lt;6.5,1,0)+IF(P109&lt;23,1,0)+IF(R109&gt;88,0,1)+S109+IF(AD109&lt;20,0,1)+IF(AE109&lt;14,0,1)+IF(AF109&lt;26,0,1)</f>
        <v/>
      </c>
      <c r="AH109" s="12">
        <f>AG109+IF(AG109&gt;6,1,0)+IF(X109&lt;17,0,1)+IF(Y109&lt;11,0,1)+IF(Z109&lt;1.35,0,1)+AC109+AA109</f>
        <v/>
      </c>
      <c r="AI109" s="12" t="n"/>
      <c r="AJ109" s="11">
        <f>IF(AI109&gt;12.8,IF(AI109&gt;15.8,0.9,0.97),1)</f>
        <v/>
      </c>
      <c r="AK109" s="12">
        <f>(AG109*2.6+AH109)*AJ109*AQ109</f>
        <v/>
      </c>
      <c r="AL109" s="11">
        <f>D109</f>
        <v/>
      </c>
      <c r="AM109" s="11">
        <f>B109</f>
        <v/>
      </c>
      <c r="AN109" s="17" t="n"/>
      <c r="AO109" s="17" t="n"/>
      <c r="AP109" s="13">
        <f>IF(AK109&gt;23.73,IF(Z109&lt;101,IF(Z109&lt;30,IF(Z109&lt;6,3,2),1),0),0)</f>
        <v/>
      </c>
      <c r="AQ109" s="13" t="n">
        <v>1</v>
      </c>
      <c r="AR109" s="11">
        <f>IF(AP109&gt;0,IF(AB109&gt;10,(AB109/Z109),10/Z109),0)</f>
        <v/>
      </c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</row>
    <row r="110" ht="12.75" customHeight="1">
      <c r="A110" s="17" t="n"/>
      <c r="B110" s="17" t="n"/>
      <c r="C110" s="17" t="n"/>
      <c r="D110" s="17" t="n"/>
      <c r="E110" s="17" t="n"/>
      <c r="F110" s="17" t="n"/>
      <c r="G110" s="13">
        <f>100*(F110-E110)/F110</f>
        <v/>
      </c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3">
        <f>O110/I110</f>
        <v/>
      </c>
      <c r="Q110" s="17" t="n"/>
      <c r="R110" s="17" t="n"/>
      <c r="S110" s="13" t="n">
        <v>5</v>
      </c>
      <c r="T110" s="17" t="n"/>
      <c r="U110" s="17" t="n"/>
      <c r="V110" s="17" t="n"/>
      <c r="W110" s="17" t="n"/>
      <c r="X110" s="17" t="n"/>
      <c r="Y110" s="17" t="n"/>
      <c r="Z110" s="17" t="n"/>
      <c r="AA110" s="66">
        <f>IF(X110&lt;33,IF(Y110&gt;(1.1*X110),0,1),1)+IF(Y110&gt;(4*X110),-1,0)</f>
        <v/>
      </c>
      <c r="AB110" s="17" t="n"/>
      <c r="AC110" s="12">
        <f>IF(AB110&gt;9,1,0)+AB110/3</f>
        <v/>
      </c>
      <c r="AD110" s="17" t="n"/>
      <c r="AE110" s="17" t="n"/>
      <c r="AF110" s="17" t="n"/>
      <c r="AG110" s="12">
        <f>IF(G110&lt;0,0,1.2)+IF(G110&lt;14,0,0.9)+IF(P110&lt;0,0.7,0)+IF(P110&lt;6.5,1,0)+IF(P110&lt;23,1,0)+IF(R110&gt;88,0,1)+S110+IF(AD110&lt;20,0,1)+IF(AE110&lt;14,0,1)+IF(AF110&lt;26,0,1)</f>
        <v/>
      </c>
      <c r="AH110" s="12">
        <f>AG110+IF(AG110&gt;6,1,0)+IF(X110&lt;17,0,1)+IF(Y110&lt;11,0,1)+IF(Z110&lt;1.35,0,1)+AC110+AA110</f>
        <v/>
      </c>
      <c r="AI110" s="12" t="n"/>
      <c r="AJ110" s="11">
        <f>IF(AI110&gt;12.8,IF(AI110&gt;15.8,0.9,0.97),1)</f>
        <v/>
      </c>
      <c r="AK110" s="12">
        <f>(AG110*2.6+AH110)*AJ110*AQ110</f>
        <v/>
      </c>
      <c r="AL110" s="11">
        <f>D110</f>
        <v/>
      </c>
      <c r="AM110" s="11">
        <f>B110</f>
        <v/>
      </c>
      <c r="AN110" s="17" t="n"/>
      <c r="AO110" s="17" t="n"/>
      <c r="AP110" s="13">
        <f>IF(AK110&gt;23.73,IF(Z110&lt;101,IF(Z110&lt;30,IF(Z110&lt;6,3,2),1),0),0)</f>
        <v/>
      </c>
      <c r="AQ110" s="13" t="n">
        <v>1</v>
      </c>
      <c r="AR110" s="11">
        <f>IF(AP110&gt;0,IF(AB110&gt;10,(AB110/Z110),10/Z110),0)</f>
        <v/>
      </c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</row>
    <row r="111" ht="12.75" customHeight="1">
      <c r="A111" s="17" t="n"/>
      <c r="B111" s="17" t="n"/>
      <c r="C111" s="17" t="n"/>
      <c r="D111" s="17" t="n"/>
      <c r="E111" s="17" t="n"/>
      <c r="F111" s="17" t="n"/>
      <c r="G111" s="13">
        <f>100*(F111-E111)/F111</f>
        <v/>
      </c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3">
        <f>O111/I111</f>
        <v/>
      </c>
      <c r="Q111" s="17" t="n"/>
      <c r="R111" s="17" t="n"/>
      <c r="S111" s="13" t="n">
        <v>5</v>
      </c>
      <c r="T111" s="17" t="n"/>
      <c r="U111" s="17" t="n"/>
      <c r="V111" s="17" t="n"/>
      <c r="W111" s="17" t="n"/>
      <c r="X111" s="17" t="n"/>
      <c r="Y111" s="17" t="n"/>
      <c r="Z111" s="17" t="n"/>
      <c r="AA111" s="66">
        <f>IF(X111&lt;33,IF(Y111&gt;(1.1*X111),0,1),1)+IF(Y111&gt;(4*X111),-1,0)</f>
        <v/>
      </c>
      <c r="AB111" s="17" t="n"/>
      <c r="AC111" s="12">
        <f>IF(AB111&gt;9,1,0)+AB111/3</f>
        <v/>
      </c>
      <c r="AD111" s="17" t="n"/>
      <c r="AE111" s="17" t="n"/>
      <c r="AF111" s="17" t="n"/>
      <c r="AG111" s="12">
        <f>IF(G111&lt;0,0,1.2)+IF(G111&lt;14,0,0.9)+IF(P111&lt;0,0.7,0)+IF(P111&lt;6.5,1,0)+IF(P111&lt;23,1,0)+IF(R111&gt;88,0,1)+S111+IF(AD111&lt;20,0,1)+IF(AE111&lt;14,0,1)+IF(AF111&lt;26,0,1)</f>
        <v/>
      </c>
      <c r="AH111" s="12">
        <f>AG111+IF(AG111&gt;6,1,0)+IF(X111&lt;17,0,1)+IF(Y111&lt;11,0,1)+IF(Z111&lt;1.35,0,1)+AC111+AA111</f>
        <v/>
      </c>
      <c r="AI111" s="12" t="n"/>
      <c r="AJ111" s="11">
        <f>IF(AI111&gt;12.8,IF(AI111&gt;15.8,0.9,0.97),1)</f>
        <v/>
      </c>
      <c r="AK111" s="12">
        <f>(AG111*2.6+AH111)*AJ111*AQ111</f>
        <v/>
      </c>
      <c r="AL111" s="11">
        <f>D111</f>
        <v/>
      </c>
      <c r="AM111" s="11">
        <f>B111</f>
        <v/>
      </c>
      <c r="AN111" s="17" t="n"/>
      <c r="AO111" s="17" t="n"/>
      <c r="AP111" s="13">
        <f>IF(AK111&gt;23.73,IF(Z111&lt;101,IF(Z111&lt;30,IF(Z111&lt;6,3,2),1),0),0)</f>
        <v/>
      </c>
      <c r="AQ111" s="13" t="n">
        <v>1</v>
      </c>
      <c r="AR111" s="11">
        <f>IF(AP111&gt;0,IF(AB111&gt;10,(AB111/Z111),10/Z111),0)</f>
        <v/>
      </c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</row>
    <row r="112" ht="12.75" customHeight="1">
      <c r="A112" s="17" t="n"/>
      <c r="B112" s="17" t="n"/>
      <c r="C112" s="17" t="n"/>
      <c r="D112" s="17" t="n"/>
      <c r="E112" s="17" t="n"/>
      <c r="F112" s="17" t="n"/>
      <c r="G112" s="13">
        <f>100*(F112-E112)/F112</f>
        <v/>
      </c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3">
        <f>O112/I112</f>
        <v/>
      </c>
      <c r="Q112" s="17" t="n"/>
      <c r="R112" s="17" t="n"/>
      <c r="S112" s="13" t="n">
        <v>5</v>
      </c>
      <c r="T112" s="17" t="n"/>
      <c r="U112" s="17" t="n"/>
      <c r="V112" s="17" t="n"/>
      <c r="W112" s="17" t="n"/>
      <c r="X112" s="17" t="n"/>
      <c r="Y112" s="17" t="n"/>
      <c r="Z112" s="17" t="n"/>
      <c r="AA112" s="66">
        <f>IF(X112&lt;33,IF(Y112&gt;(1.1*X112),0,1),1)+IF(Y112&gt;(4*X112),-1,0)</f>
        <v/>
      </c>
      <c r="AB112" s="17" t="n"/>
      <c r="AC112" s="12">
        <f>IF(AB112&gt;9,1,0)+AB112/3</f>
        <v/>
      </c>
      <c r="AD112" s="17" t="n"/>
      <c r="AE112" s="17" t="n"/>
      <c r="AF112" s="17" t="n"/>
      <c r="AG112" s="12">
        <f>IF(G112&lt;0,0,1.2)+IF(G112&lt;14,0,0.9)+IF(P112&lt;0,0.7,0)+IF(P112&lt;6.5,1,0)+IF(P112&lt;23,1,0)+IF(R112&gt;88,0,1)+S112+IF(AD112&lt;20,0,1)+IF(AE112&lt;14,0,1)+IF(AF112&lt;26,0,1)</f>
        <v/>
      </c>
      <c r="AH112" s="12">
        <f>AG112+IF(AG112&gt;6,1,0)+IF(X112&lt;17,0,1)+IF(Y112&lt;11,0,1)+IF(Z112&lt;1.35,0,1)+AC112+AA112</f>
        <v/>
      </c>
      <c r="AI112" s="12" t="n"/>
      <c r="AJ112" s="11">
        <f>IF(AI112&gt;12.8,IF(AI112&gt;15.8,0.9,0.97),1)</f>
        <v/>
      </c>
      <c r="AK112" s="12">
        <f>(AG112*2.6+AH112)*AJ112*AQ112</f>
        <v/>
      </c>
      <c r="AL112" s="11">
        <f>D112</f>
        <v/>
      </c>
      <c r="AM112" s="11">
        <f>B112</f>
        <v/>
      </c>
      <c r="AN112" s="17" t="n"/>
      <c r="AO112" s="17" t="n"/>
      <c r="AP112" s="13">
        <f>IF(AK112&gt;23.73,IF(Z112&lt;101,IF(Z112&lt;30,IF(Z112&lt;6,3,2),1),0),0)</f>
        <v/>
      </c>
      <c r="AQ112" s="13" t="n">
        <v>1</v>
      </c>
      <c r="AR112" s="11">
        <f>IF(AP112&gt;0,IF(AB112&gt;10,(AB112/Z112),10/Z112),0)</f>
        <v/>
      </c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</row>
    <row r="113" ht="12.75" customHeight="1">
      <c r="A113" s="17" t="n"/>
      <c r="B113" s="17" t="n"/>
      <c r="C113" s="17" t="n"/>
      <c r="D113" s="17" t="n"/>
      <c r="E113" s="17" t="n"/>
      <c r="F113" s="17" t="n"/>
      <c r="G113" s="13">
        <f>100*(F113-E113)/F113</f>
        <v/>
      </c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3">
        <f>O113/I113</f>
        <v/>
      </c>
      <c r="Q113" s="17" t="n"/>
      <c r="R113" s="17" t="n"/>
      <c r="S113" s="13" t="n">
        <v>5</v>
      </c>
      <c r="T113" s="17" t="n"/>
      <c r="U113" s="17" t="n"/>
      <c r="V113" s="17" t="n"/>
      <c r="W113" s="17" t="n"/>
      <c r="X113" s="17" t="n"/>
      <c r="Y113" s="17" t="n"/>
      <c r="Z113" s="17" t="n"/>
      <c r="AA113" s="66">
        <f>IF(X113&lt;33,IF(Y113&gt;(1.1*X113),0,1),1)+IF(Y113&gt;(4*X113),-1,0)</f>
        <v/>
      </c>
      <c r="AB113" s="17" t="n"/>
      <c r="AC113" s="12">
        <f>IF(AB113&gt;9,1,0)+AB113/3</f>
        <v/>
      </c>
      <c r="AD113" s="17" t="n"/>
      <c r="AE113" s="17" t="n"/>
      <c r="AF113" s="17" t="n"/>
      <c r="AG113" s="12">
        <f>IF(G113&lt;0,0,1.2)+IF(G113&lt;14,0,0.9)+IF(P113&lt;0,0.7,0)+IF(P113&lt;6.5,1,0)+IF(P113&lt;23,1,0)+IF(R113&gt;88,0,1)+S113+IF(AD113&lt;20,0,1)+IF(AE113&lt;14,0,1)+IF(AF113&lt;26,0,1)</f>
        <v/>
      </c>
      <c r="AH113" s="12">
        <f>AG113+IF(AG113&gt;6,1,0)+IF(X113&lt;17,0,1)+IF(Y113&lt;11,0,1)+IF(Z113&lt;1.35,0,1)+AC113+AA113</f>
        <v/>
      </c>
      <c r="AI113" s="12" t="n"/>
      <c r="AJ113" s="11">
        <f>IF(AI113&gt;12.8,IF(AI113&gt;15.8,0.9,0.97),1)</f>
        <v/>
      </c>
      <c r="AK113" s="12">
        <f>(AG113*2.6+AH113)*AJ113*AQ113</f>
        <v/>
      </c>
      <c r="AL113" s="11">
        <f>D113</f>
        <v/>
      </c>
      <c r="AM113" s="11">
        <f>B113</f>
        <v/>
      </c>
      <c r="AN113" s="17" t="n"/>
      <c r="AO113" s="17" t="n"/>
      <c r="AP113" s="13">
        <f>IF(AK113&gt;23.73,IF(Z113&lt;101,IF(Z113&lt;30,IF(Z113&lt;6,3,2),1),0),0)</f>
        <v/>
      </c>
      <c r="AQ113" s="13" t="n">
        <v>1</v>
      </c>
      <c r="AR113" s="11">
        <f>IF(AP113&gt;0,IF(AB113&gt;10,(AB113/Z113),10/Z113),0)</f>
        <v/>
      </c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</row>
    <row r="114" ht="12.75" customHeight="1">
      <c r="A114" s="17" t="n"/>
      <c r="B114" s="17" t="n"/>
      <c r="C114" s="17" t="n"/>
      <c r="D114" s="17" t="n"/>
      <c r="E114" s="17" t="n"/>
      <c r="F114" s="17" t="n"/>
      <c r="G114" s="13">
        <f>100*(F114-E114)/F114</f>
        <v/>
      </c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3">
        <f>O114/I114</f>
        <v/>
      </c>
      <c r="Q114" s="17" t="n"/>
      <c r="R114" s="17" t="n"/>
      <c r="S114" s="13" t="n">
        <v>5</v>
      </c>
      <c r="T114" s="17" t="n"/>
      <c r="U114" s="17" t="n"/>
      <c r="V114" s="17" t="n"/>
      <c r="W114" s="17" t="n"/>
      <c r="X114" s="17" t="n"/>
      <c r="Y114" s="17" t="n"/>
      <c r="Z114" s="17" t="n"/>
      <c r="AA114" s="66">
        <f>IF(X114&lt;33,IF(Y114&gt;(1.1*X114),0,1),1)+IF(Y114&gt;(4*X114),-1,0)</f>
        <v/>
      </c>
      <c r="AB114" s="17" t="n"/>
      <c r="AC114" s="12">
        <f>IF(AB114&gt;9,1,0)+AB114/3</f>
        <v/>
      </c>
      <c r="AD114" s="17" t="n"/>
      <c r="AE114" s="17" t="n"/>
      <c r="AF114" s="17" t="n"/>
      <c r="AG114" s="12">
        <f>IF(G114&lt;0,0,1.2)+IF(G114&lt;14,0,0.9)+IF(P114&lt;0,0.7,0)+IF(P114&lt;6.5,1,0)+IF(P114&lt;23,1,0)+IF(R114&gt;88,0,1)+S114+IF(AD114&lt;20,0,1)+IF(AE114&lt;14,0,1)+IF(AF114&lt;26,0,1)</f>
        <v/>
      </c>
      <c r="AH114" s="12">
        <f>AG114+IF(AG114&gt;6,1,0)+IF(X114&lt;17,0,1)+IF(Y114&lt;11,0,1)+IF(Z114&lt;1.35,0,1)+AC114+AA114</f>
        <v/>
      </c>
      <c r="AI114" s="12" t="n"/>
      <c r="AJ114" s="11">
        <f>IF(AI114&gt;12.8,IF(AI114&gt;15.8,0.9,0.97),1)</f>
        <v/>
      </c>
      <c r="AK114" s="12">
        <f>(AG114*2.6+AH114)*AJ114*AQ114</f>
        <v/>
      </c>
      <c r="AL114" s="11">
        <f>D114</f>
        <v/>
      </c>
      <c r="AM114" s="11">
        <f>B114</f>
        <v/>
      </c>
      <c r="AN114" s="17" t="n"/>
      <c r="AO114" s="17" t="n"/>
      <c r="AP114" s="13">
        <f>IF(AK114&gt;23.73,IF(Z114&lt;101,IF(Z114&lt;30,IF(Z114&lt;6,3,2),1),0),0)</f>
        <v/>
      </c>
      <c r="AQ114" s="13" t="n">
        <v>1</v>
      </c>
      <c r="AR114" s="11">
        <f>IF(AP114&gt;0,IF(AB114&gt;10,(AB114/Z114),10/Z114),0)</f>
        <v/>
      </c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</row>
    <row r="115" ht="12.75" customHeight="1">
      <c r="A115" s="17" t="n"/>
      <c r="B115" s="17" t="n"/>
      <c r="C115" s="17" t="n"/>
      <c r="D115" s="17" t="n"/>
      <c r="E115" s="17" t="n"/>
      <c r="F115" s="17" t="n"/>
      <c r="G115" s="13">
        <f>100*(F115-E115)/F115</f>
        <v/>
      </c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3">
        <f>O115/I115</f>
        <v/>
      </c>
      <c r="Q115" s="17" t="n"/>
      <c r="R115" s="17" t="n"/>
      <c r="S115" s="13" t="n">
        <v>5</v>
      </c>
      <c r="T115" s="17" t="n"/>
      <c r="U115" s="17" t="n"/>
      <c r="V115" s="17" t="n"/>
      <c r="W115" s="17" t="n"/>
      <c r="X115" s="17" t="n"/>
      <c r="Y115" s="17" t="n"/>
      <c r="Z115" s="17" t="n"/>
      <c r="AA115" s="66">
        <f>IF(X115&lt;33,IF(Y115&gt;(1.1*X115),0,1),1)+IF(Y115&gt;(4*X115),-1,0)</f>
        <v/>
      </c>
      <c r="AB115" s="17" t="n"/>
      <c r="AC115" s="12">
        <f>IF(AB115&gt;9,1,0)+AB115/3</f>
        <v/>
      </c>
      <c r="AD115" s="17" t="n"/>
      <c r="AE115" s="17" t="n"/>
      <c r="AF115" s="17" t="n"/>
      <c r="AG115" s="12">
        <f>IF(G115&lt;0,0,1.2)+IF(G115&lt;14,0,0.9)+IF(P115&lt;0,0.7,0)+IF(P115&lt;6.5,1,0)+IF(P115&lt;23,1,0)+IF(R115&gt;88,0,1)+S115+IF(AD115&lt;20,0,1)+IF(AE115&lt;14,0,1)+IF(AF115&lt;26,0,1)</f>
        <v/>
      </c>
      <c r="AH115" s="12">
        <f>AG115+IF(AG115&gt;6,1,0)+IF(X115&lt;17,0,1)+IF(Y115&lt;11,0,1)+IF(Z115&lt;1.35,0,1)+AC115+AA115</f>
        <v/>
      </c>
      <c r="AI115" s="12" t="n"/>
      <c r="AJ115" s="11">
        <f>IF(AI115&gt;12.8,IF(AI115&gt;15.8,0.9,0.97),1)</f>
        <v/>
      </c>
      <c r="AK115" s="12">
        <f>(AG115*2.6+AH115)*AJ115*AQ115</f>
        <v/>
      </c>
      <c r="AL115" s="11">
        <f>D115</f>
        <v/>
      </c>
      <c r="AM115" s="11">
        <f>B115</f>
        <v/>
      </c>
      <c r="AN115" s="17" t="n"/>
      <c r="AO115" s="17" t="n"/>
      <c r="AP115" s="13">
        <f>IF(AK115&gt;23.73,IF(Z115&lt;101,IF(Z115&lt;30,IF(Z115&lt;6,3,2),1),0),0)</f>
        <v/>
      </c>
      <c r="AQ115" s="13" t="n">
        <v>1</v>
      </c>
      <c r="AR115" s="11">
        <f>IF(AP115&gt;0,IF(AB115&gt;10,(AB115/Z115),10/Z115),0)</f>
        <v/>
      </c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</row>
    <row r="116" ht="12.75" customHeight="1">
      <c r="A116" s="17" t="n"/>
      <c r="B116" s="17" t="n"/>
      <c r="C116" s="17" t="n"/>
      <c r="D116" s="17" t="n"/>
      <c r="E116" s="17" t="n"/>
      <c r="F116" s="17" t="n"/>
      <c r="G116" s="13">
        <f>100*(F116-E116)/F116</f>
        <v/>
      </c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3">
        <f>O116/I116</f>
        <v/>
      </c>
      <c r="Q116" s="17" t="n"/>
      <c r="R116" s="17" t="n"/>
      <c r="S116" s="13" t="n">
        <v>5</v>
      </c>
      <c r="T116" s="17" t="n"/>
      <c r="U116" s="17" t="n"/>
      <c r="V116" s="17" t="n"/>
      <c r="W116" s="17" t="n"/>
      <c r="X116" s="17" t="n"/>
      <c r="Y116" s="17" t="n"/>
      <c r="Z116" s="17" t="n"/>
      <c r="AA116" s="66">
        <f>IF(X116&lt;33,IF(Y116&gt;(1.1*X116),0,1),1)+IF(Y116&gt;(4*X116),-1,0)</f>
        <v/>
      </c>
      <c r="AB116" s="17" t="n"/>
      <c r="AC116" s="12">
        <f>IF(AB116&gt;9,1,0)+AB116/3</f>
        <v/>
      </c>
      <c r="AD116" s="17" t="n"/>
      <c r="AE116" s="17" t="n"/>
      <c r="AF116" s="17" t="n"/>
      <c r="AG116" s="12">
        <f>IF(G116&lt;0,0,1.2)+IF(G116&lt;14,0,0.9)+IF(P116&lt;0,0.7,0)+IF(P116&lt;6.5,1,0)+IF(P116&lt;23,1,0)+IF(R116&gt;88,0,1)+S116+IF(AD116&lt;20,0,1)+IF(AE116&lt;14,0,1)+IF(AF116&lt;26,0,1)</f>
        <v/>
      </c>
      <c r="AH116" s="12">
        <f>AG116+IF(AG116&gt;6,1,0)+IF(X116&lt;17,0,1)+IF(Y116&lt;11,0,1)+IF(Z116&lt;1.35,0,1)+AC116+AA116</f>
        <v/>
      </c>
      <c r="AI116" s="12" t="n"/>
      <c r="AJ116" s="11">
        <f>IF(AI116&gt;12.8,IF(AI116&gt;15.8,0.9,0.97),1)</f>
        <v/>
      </c>
      <c r="AK116" s="12">
        <f>(AG116*2.6+AH116)*AJ116*AQ116</f>
        <v/>
      </c>
      <c r="AL116" s="11">
        <f>D116</f>
        <v/>
      </c>
      <c r="AM116" s="11">
        <f>B116</f>
        <v/>
      </c>
      <c r="AN116" s="17" t="n"/>
      <c r="AO116" s="17" t="n"/>
      <c r="AP116" s="13">
        <f>IF(AK116&gt;23.73,IF(Z116&lt;101,IF(Z116&lt;30,IF(Z116&lt;6,3,2),1),0),0)</f>
        <v/>
      </c>
      <c r="AQ116" s="13" t="n">
        <v>1</v>
      </c>
      <c r="AR116" s="11">
        <f>IF(AP116&gt;0,IF(AB116&gt;10,(AB116/Z116),10/Z116),0)</f>
        <v/>
      </c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</row>
    <row r="117" ht="12.75" customHeight="1">
      <c r="A117" s="17" t="n"/>
      <c r="B117" s="17" t="n"/>
      <c r="C117" s="17" t="n"/>
      <c r="D117" s="17" t="n"/>
      <c r="E117" s="17" t="n"/>
      <c r="F117" s="17" t="n"/>
      <c r="G117" s="13">
        <f>100*(F117-E117)/F117</f>
        <v/>
      </c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3">
        <f>O117/I117</f>
        <v/>
      </c>
      <c r="Q117" s="17" t="n"/>
      <c r="R117" s="17" t="n"/>
      <c r="S117" s="13" t="n">
        <v>5</v>
      </c>
      <c r="T117" s="17" t="n"/>
      <c r="U117" s="17" t="n"/>
      <c r="V117" s="17" t="n"/>
      <c r="W117" s="17" t="n"/>
      <c r="X117" s="17" t="n"/>
      <c r="Y117" s="17" t="n"/>
      <c r="Z117" s="17" t="n"/>
      <c r="AA117" s="66">
        <f>IF(X117&lt;33,IF(Y117&gt;(1.1*X117),0,1),1)+IF(Y117&gt;(4*X117),-1,0)</f>
        <v/>
      </c>
      <c r="AB117" s="17" t="n"/>
      <c r="AC117" s="12">
        <f>IF(AB117&gt;9,1,0)+AB117/3</f>
        <v/>
      </c>
      <c r="AD117" s="17" t="n"/>
      <c r="AE117" s="17" t="n"/>
      <c r="AF117" s="17" t="n"/>
      <c r="AG117" s="12">
        <f>IF(G117&lt;0,0,1.2)+IF(G117&lt;14,0,0.9)+IF(P117&lt;0,0.7,0)+IF(P117&lt;6.5,1,0)+IF(P117&lt;23,1,0)+IF(R117&gt;88,0,1)+S117+IF(AD117&lt;20,0,1)+IF(AE117&lt;14,0,1)+IF(AF117&lt;26,0,1)</f>
        <v/>
      </c>
      <c r="AH117" s="12">
        <f>AG117+IF(AG117&gt;6,1,0)+IF(X117&lt;17,0,1)+IF(Y117&lt;11,0,1)+IF(Z117&lt;1.35,0,1)+AC117+AA117</f>
        <v/>
      </c>
      <c r="AI117" s="12" t="n"/>
      <c r="AJ117" s="11">
        <f>IF(AI117&gt;12.8,IF(AI117&gt;15.8,0.9,0.97),1)</f>
        <v/>
      </c>
      <c r="AK117" s="12">
        <f>(AG117*2.6+AH117)*AJ117*AQ117</f>
        <v/>
      </c>
      <c r="AL117" s="11">
        <f>D117</f>
        <v/>
      </c>
      <c r="AM117" s="11">
        <f>B117</f>
        <v/>
      </c>
      <c r="AN117" s="17" t="n"/>
      <c r="AO117" s="17" t="n"/>
      <c r="AP117" s="13">
        <f>IF(AK117&gt;23.73,IF(Z117&lt;101,IF(Z117&lt;30,IF(Z117&lt;6,3,2),1),0),0)</f>
        <v/>
      </c>
      <c r="AQ117" s="13" t="n">
        <v>1</v>
      </c>
      <c r="AR117" s="11">
        <f>IF(AP117&gt;0,IF(AB117&gt;10,(AB117/Z117),10/Z117),0)</f>
        <v/>
      </c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</row>
    <row r="118" ht="12.75" customHeight="1">
      <c r="A118" s="17" t="n"/>
      <c r="B118" s="17" t="n"/>
      <c r="C118" s="17" t="n"/>
      <c r="D118" s="17" t="n"/>
      <c r="E118" s="17" t="n"/>
      <c r="F118" s="17" t="n"/>
      <c r="G118" s="13">
        <f>100*(F118-E118)/F118</f>
        <v/>
      </c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3">
        <f>O118/I118</f>
        <v/>
      </c>
      <c r="Q118" s="17" t="n"/>
      <c r="R118" s="17" t="n"/>
      <c r="S118" s="13" t="n">
        <v>5</v>
      </c>
      <c r="T118" s="17" t="n"/>
      <c r="U118" s="17" t="n"/>
      <c r="V118" s="17" t="n"/>
      <c r="W118" s="17" t="n"/>
      <c r="X118" s="17" t="n"/>
      <c r="Y118" s="17" t="n"/>
      <c r="Z118" s="17" t="n"/>
      <c r="AA118" s="66">
        <f>IF(X118&lt;33,IF(Y118&gt;(1.1*X118),0,1),1)+IF(Y118&gt;(4*X118),-1,0)</f>
        <v/>
      </c>
      <c r="AB118" s="17" t="n"/>
      <c r="AC118" s="12">
        <f>IF(AB118&gt;9,1,0)+AB118/3</f>
        <v/>
      </c>
      <c r="AD118" s="17" t="n"/>
      <c r="AE118" s="17" t="n"/>
      <c r="AF118" s="17" t="n"/>
      <c r="AG118" s="12">
        <f>IF(G118&lt;0,0,1.2)+IF(G118&lt;14,0,0.9)+IF(P118&lt;0,0.7,0)+IF(P118&lt;6.5,1,0)+IF(P118&lt;23,1,0)+IF(R118&gt;88,0,1)+S118+IF(AD118&lt;20,0,1)+IF(AE118&lt;14,0,1)+IF(AF118&lt;26,0,1)</f>
        <v/>
      </c>
      <c r="AH118" s="12">
        <f>AG118+IF(AG118&gt;6,1,0)+IF(X118&lt;17,0,1)+IF(Y118&lt;11,0,1)+IF(Z118&lt;1.35,0,1)+AC118+AA118</f>
        <v/>
      </c>
      <c r="AI118" s="12" t="n"/>
      <c r="AJ118" s="11">
        <f>IF(AI118&gt;12.8,IF(AI118&gt;15.8,0.9,0.97),1)</f>
        <v/>
      </c>
      <c r="AK118" s="12">
        <f>(AG118*2.6+AH118)*AJ118*AQ118</f>
        <v/>
      </c>
      <c r="AL118" s="11">
        <f>D118</f>
        <v/>
      </c>
      <c r="AM118" s="11">
        <f>B118</f>
        <v/>
      </c>
      <c r="AN118" s="17" t="n"/>
      <c r="AO118" s="17" t="n"/>
      <c r="AP118" s="13">
        <f>IF(AK118&gt;23.73,IF(Z118&lt;101,IF(Z118&lt;30,IF(Z118&lt;6,3,2),1),0),0)</f>
        <v/>
      </c>
      <c r="AQ118" s="13" t="n">
        <v>1</v>
      </c>
      <c r="AR118" s="11">
        <f>IF(AP118&gt;0,IF(AB118&gt;10,(AB118/Z118),10/Z118),0)</f>
        <v/>
      </c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</row>
    <row r="119" ht="12.75" customHeight="1">
      <c r="A119" s="17" t="n"/>
      <c r="B119" s="17" t="n"/>
      <c r="C119" s="17" t="n"/>
      <c r="D119" s="17" t="n"/>
      <c r="E119" s="17" t="n"/>
      <c r="F119" s="17" t="n"/>
      <c r="G119" s="13">
        <f>100*(F119-E119)/F119</f>
        <v/>
      </c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3">
        <f>O119/I119</f>
        <v/>
      </c>
      <c r="Q119" s="17" t="n"/>
      <c r="R119" s="17" t="n"/>
      <c r="S119" s="13" t="n">
        <v>5</v>
      </c>
      <c r="T119" s="17" t="n"/>
      <c r="U119" s="17" t="n"/>
      <c r="V119" s="17" t="n"/>
      <c r="W119" s="17" t="n"/>
      <c r="X119" s="17" t="n"/>
      <c r="Y119" s="17" t="n"/>
      <c r="Z119" s="17" t="n"/>
      <c r="AA119" s="66">
        <f>IF(X119&lt;33,IF(Y119&gt;(1.1*X119),0,1),1)+IF(Y119&gt;(4*X119),-1,0)</f>
        <v/>
      </c>
      <c r="AB119" s="17" t="n"/>
      <c r="AC119" s="12">
        <f>IF(AB119&gt;9,1,0)+AB119/3</f>
        <v/>
      </c>
      <c r="AD119" s="17" t="n"/>
      <c r="AE119" s="17" t="n"/>
      <c r="AF119" s="17" t="n"/>
      <c r="AG119" s="12">
        <f>IF(G119&lt;0,0,1.2)+IF(G119&lt;14,0,0.9)+IF(P119&lt;0,0.7,0)+IF(P119&lt;6.5,1,0)+IF(P119&lt;23,1,0)+IF(R119&gt;88,0,1)+S119+IF(AD119&lt;20,0,1)+IF(AE119&lt;14,0,1)+IF(AF119&lt;26,0,1)</f>
        <v/>
      </c>
      <c r="AH119" s="12">
        <f>AG119+IF(AG119&gt;6,1,0)+IF(X119&lt;17,0,1)+IF(Y119&lt;11,0,1)+IF(Z119&lt;1.35,0,1)+AC119+AA119</f>
        <v/>
      </c>
      <c r="AI119" s="12" t="n"/>
      <c r="AJ119" s="11">
        <f>IF(AI119&gt;12.8,IF(AI119&gt;15.8,0.9,0.97),1)</f>
        <v/>
      </c>
      <c r="AK119" s="12">
        <f>(AG119*2.6+AH119)*AJ119*AQ119</f>
        <v/>
      </c>
      <c r="AL119" s="11">
        <f>D119</f>
        <v/>
      </c>
      <c r="AM119" s="11">
        <f>B119</f>
        <v/>
      </c>
      <c r="AN119" s="17" t="n"/>
      <c r="AO119" s="17" t="n"/>
      <c r="AP119" s="13">
        <f>IF(AK119&gt;23.73,IF(Z119&lt;101,IF(Z119&lt;30,IF(Z119&lt;6,3,2),1),0),0)</f>
        <v/>
      </c>
      <c r="AQ119" s="13" t="n">
        <v>1</v>
      </c>
      <c r="AR119" s="11">
        <f>IF(AP119&gt;0,IF(AB119&gt;10,(AB119/Z119),10/Z119),0)</f>
        <v/>
      </c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</row>
    <row r="120" ht="12.75" customHeight="1">
      <c r="A120" s="17" t="n"/>
      <c r="B120" s="17" t="n"/>
      <c r="C120" s="17" t="n"/>
      <c r="D120" s="17" t="n"/>
      <c r="E120" s="17" t="n"/>
      <c r="F120" s="17" t="n"/>
      <c r="G120" s="13">
        <f>100*(F120-E120)/F120</f>
        <v/>
      </c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3">
        <f>O120/I120</f>
        <v/>
      </c>
      <c r="Q120" s="17" t="n"/>
      <c r="R120" s="17" t="n"/>
      <c r="S120" s="13" t="n">
        <v>5</v>
      </c>
      <c r="T120" s="17" t="n"/>
      <c r="U120" s="17" t="n"/>
      <c r="V120" s="17" t="n"/>
      <c r="W120" s="17" t="n"/>
      <c r="X120" s="17" t="n"/>
      <c r="Y120" s="17" t="n"/>
      <c r="Z120" s="17" t="n"/>
      <c r="AA120" s="66">
        <f>IF(X120&lt;33,IF(Y120&gt;(1.1*X120),0,1),1)+IF(Y120&gt;(4*X120),-1,0)</f>
        <v/>
      </c>
      <c r="AB120" s="17" t="n"/>
      <c r="AC120" s="17" t="n"/>
      <c r="AD120" s="17" t="n"/>
      <c r="AE120" s="17" t="n"/>
      <c r="AF120" s="17" t="n"/>
      <c r="AG120" s="12">
        <f>IF(G120&lt;0,0,1.2)+IF(G120&lt;14,0,0.9)+IF(P120&lt;0,0.7,0)+IF(P120&lt;6.5,1,0)+IF(P120&lt;23,1,0)+IF(R120&gt;88,0,1)+S120+IF(AD120&lt;20,0,1)+IF(AE120&lt;14,0,1)+IF(AF120&lt;26,0,1)</f>
        <v/>
      </c>
      <c r="AH120" s="12">
        <f>AG120+IF(AG120&gt;6,1,0)+IF(X120&lt;17,0,1)+IF(Y120&lt;11,0,1)+IF(Z120&lt;1.35,0,1)+AC120+AA120</f>
        <v/>
      </c>
      <c r="AI120" s="12" t="n"/>
      <c r="AJ120" s="11">
        <f>IF(AI120&gt;12.8,IF(AI120&gt;15.8,0.9,0.97),1)</f>
        <v/>
      </c>
      <c r="AK120" s="12">
        <f>(AG120*2.6+AH120)*AJ120*AQ120</f>
        <v/>
      </c>
      <c r="AL120" s="11">
        <f>D120</f>
        <v/>
      </c>
      <c r="AM120" s="11">
        <f>B120</f>
        <v/>
      </c>
      <c r="AN120" s="17" t="n"/>
      <c r="AO120" s="17" t="n"/>
      <c r="AP120" s="13">
        <f>IF(AK120&gt;23.73,IF(Z120&lt;101,IF(Z120&lt;30,IF(Z120&lt;6,3,2),1),0),0)</f>
        <v/>
      </c>
      <c r="AQ120" s="13" t="n">
        <v>1</v>
      </c>
      <c r="AR120" s="11">
        <f>IF(AP120&gt;0,IF(AB120&gt;10,(AB120/Z120),10/Z120),0)</f>
        <v/>
      </c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</row>
    <row r="121" ht="12.75" customHeight="1">
      <c r="A121" s="17" t="n"/>
      <c r="B121" s="17" t="n"/>
      <c r="C121" s="17" t="n"/>
      <c r="D121" s="17" t="n"/>
      <c r="E121" s="17" t="n"/>
      <c r="F121" s="17" t="n"/>
      <c r="G121" s="13">
        <f>100*(F121-E121)/F121</f>
        <v/>
      </c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3">
        <f>O121/I121</f>
        <v/>
      </c>
      <c r="Q121" s="17" t="n"/>
      <c r="R121" s="17" t="n"/>
      <c r="S121" s="13" t="n">
        <v>5</v>
      </c>
      <c r="T121" s="17" t="n"/>
      <c r="U121" s="17" t="n"/>
      <c r="V121" s="17" t="n"/>
      <c r="W121" s="17" t="n"/>
      <c r="X121" s="17" t="n"/>
      <c r="Y121" s="17" t="n"/>
      <c r="Z121" s="17" t="n"/>
      <c r="AA121" s="66">
        <f>IF(X121&lt;33,IF(Y121&gt;(1.1*X121),0,1),1)+IF(Y121&gt;(4*X121),-1,0)</f>
        <v/>
      </c>
      <c r="AB121" s="17" t="n"/>
      <c r="AC121" s="17" t="n"/>
      <c r="AD121" s="17" t="n"/>
      <c r="AE121" s="17" t="n"/>
      <c r="AF121" s="17" t="n"/>
      <c r="AG121" s="12">
        <f>IF(G121&lt;0,0,1.2)+IF(G121&lt;14,0,0.9)+IF(P121&lt;0,0.7,0)+IF(P121&lt;6.5,1,0)+IF(P121&lt;23,1,0)+IF(R121&gt;88,0,1)+S121+IF(AD121&lt;20,0,1)+IF(AE121&lt;14,0,1)+IF(AF121&lt;26,0,1)</f>
        <v/>
      </c>
      <c r="AH121" s="12">
        <f>AG121+IF(AG121&gt;6,1,0)+IF(X121&lt;17,0,1)+IF(Y121&lt;11,0,1)+IF(Z121&lt;1.35,0,1)+AC121+AA121</f>
        <v/>
      </c>
      <c r="AI121" s="12" t="n"/>
      <c r="AJ121" s="11">
        <f>IF(AI121&gt;12.8,IF(AI121&gt;15.8,0.9,0.97),1)</f>
        <v/>
      </c>
      <c r="AK121" s="12">
        <f>(AG121*2.6+AH121)*AJ121*AQ121</f>
        <v/>
      </c>
      <c r="AL121" s="11">
        <f>D121</f>
        <v/>
      </c>
      <c r="AM121" s="11">
        <f>B121</f>
        <v/>
      </c>
      <c r="AN121" s="17" t="n"/>
      <c r="AO121" s="17" t="n"/>
      <c r="AP121" s="13">
        <f>IF(AK121&gt;23.73,IF(Z121&lt;101,IF(Z121&lt;30,IF(Z121&lt;6,3,2),1),0),0)</f>
        <v/>
      </c>
      <c r="AQ121" s="13" t="n">
        <v>1</v>
      </c>
      <c r="AR121" s="11">
        <f>IF(AP121&gt;0,IF(AB121&gt;10,(AB121/Z121),10/Z121),0)</f>
        <v/>
      </c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</row>
    <row r="122" ht="12.75" customHeight="1">
      <c r="A122" s="17" t="n"/>
      <c r="B122" s="17" t="n"/>
      <c r="C122" s="17" t="n"/>
      <c r="D122" s="17" t="n"/>
      <c r="E122" s="17" t="n"/>
      <c r="F122" s="17" t="n"/>
      <c r="G122" s="13">
        <f>100*(F122-E122)/F122</f>
        <v/>
      </c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3">
        <f>O122/I122</f>
        <v/>
      </c>
      <c r="Q122" s="17" t="n"/>
      <c r="R122" s="17" t="n"/>
      <c r="S122" s="13" t="n">
        <v>5</v>
      </c>
      <c r="T122" s="17" t="n"/>
      <c r="U122" s="17" t="n"/>
      <c r="V122" s="17" t="n"/>
      <c r="W122" s="17" t="n"/>
      <c r="X122" s="17" t="n"/>
      <c r="Y122" s="17" t="n"/>
      <c r="Z122" s="17" t="n"/>
      <c r="AA122" s="66">
        <f>IF(X122&lt;33,IF(Y122&gt;(1.1*X122),0,1),1)+IF(Y122&gt;(4*X122),-1,0)</f>
        <v/>
      </c>
      <c r="AB122" s="17" t="n"/>
      <c r="AC122" s="17" t="n"/>
      <c r="AD122" s="17" t="n"/>
      <c r="AE122" s="17" t="n"/>
      <c r="AF122" s="17" t="n"/>
      <c r="AG122" s="12">
        <f>IF(G122&lt;0,0,1.2)+IF(G122&lt;14,0,0.9)+IF(P122&lt;0,0.7,0)+IF(P122&lt;6.5,1,0)+IF(P122&lt;23,1,0)+IF(R122&gt;88,0,1)+S122+IF(AD122&lt;20,0,1)+IF(AE122&lt;14,0,1)+IF(AF122&lt;26,0,1)</f>
        <v/>
      </c>
      <c r="AH122" s="12">
        <f>AG122+IF(AG122&gt;6,1,0)+IF(X122&lt;17,0,1)+IF(Y122&lt;11,0,1)+IF(Z122&lt;1.35,0,1)+AC122+AA122</f>
        <v/>
      </c>
      <c r="AI122" s="12" t="n"/>
      <c r="AJ122" s="11">
        <f>IF(AI122&gt;12.8,IF(AI122&gt;15.8,0.9,0.97),1)</f>
        <v/>
      </c>
      <c r="AK122" s="12">
        <f>(AG122*2.6+AH122)*AJ122*AQ122</f>
        <v/>
      </c>
      <c r="AL122" s="17" t="n"/>
      <c r="AM122" s="17" t="n"/>
      <c r="AN122" s="17" t="n"/>
      <c r="AO122" s="17" t="n"/>
      <c r="AP122" s="13">
        <f>IF(AK122&gt;23.73,IF(Z122&lt;101,IF(Z122&lt;30,IF(Z122&lt;6,3,2),1),0),0)</f>
        <v/>
      </c>
      <c r="AQ122" s="13" t="n">
        <v>1</v>
      </c>
      <c r="AR122" s="11">
        <f>IF(AP122&gt;0,IF(AB122&gt;10,(AB122/Z122),10/Z122),0)</f>
        <v/>
      </c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</row>
    <row r="123" ht="12.75" customHeight="1">
      <c r="A123" s="17" t="n"/>
      <c r="B123" s="17" t="n"/>
      <c r="C123" s="17" t="n"/>
      <c r="D123" s="17" t="n"/>
      <c r="E123" s="17" t="n"/>
      <c r="F123" s="17" t="n"/>
      <c r="G123" s="13">
        <f>100*(F123-E123)/F123</f>
        <v/>
      </c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3">
        <f>O123/I123</f>
        <v/>
      </c>
      <c r="Q123" s="17" t="n"/>
      <c r="R123" s="17" t="n"/>
      <c r="S123" s="13" t="n">
        <v>5</v>
      </c>
      <c r="T123" s="17" t="n"/>
      <c r="U123" s="17" t="n"/>
      <c r="V123" s="17" t="n"/>
      <c r="W123" s="17" t="n"/>
      <c r="X123" s="17" t="n"/>
      <c r="Y123" s="17" t="n"/>
      <c r="Z123" s="17" t="n"/>
      <c r="AA123" s="66">
        <f>IF(X123&lt;33,IF(Y123&gt;(1.1*X123),0,1),1)+IF(Y123&gt;(4*X123),-1,0)</f>
        <v/>
      </c>
      <c r="AB123" s="17" t="n"/>
      <c r="AC123" s="17" t="n"/>
      <c r="AD123" s="17" t="n"/>
      <c r="AE123" s="17" t="n"/>
      <c r="AF123" s="17" t="n"/>
      <c r="AG123" s="12">
        <f>IF(G123&lt;0,0,1.2)+IF(G123&lt;14,0,0.9)+IF(P123&lt;0,0.7,0)+IF(P123&lt;6.5,1,0)+IF(P123&lt;23,1,0)+IF(R123&gt;88,0,1)+S123+IF(AD123&lt;20,0,1)+IF(AE123&lt;14,0,1)+IF(AF123&lt;26,0,1)</f>
        <v/>
      </c>
      <c r="AH123" s="12">
        <f>AG123+IF(AG123&gt;6,1,0)+IF(X123&lt;17,0,1)+IF(Y123&lt;11,0,1)+IF(Z123&lt;1.35,0,1)+AC123+AA123</f>
        <v/>
      </c>
      <c r="AI123" s="12" t="n"/>
      <c r="AJ123" s="11">
        <f>IF(AI123&gt;12.8,IF(AI123&gt;15.8,0.9,0.97),1)</f>
        <v/>
      </c>
      <c r="AK123" s="12">
        <f>(AG123*2.6+AH123)*AJ123*AQ123</f>
        <v/>
      </c>
      <c r="AL123" s="17" t="n"/>
      <c r="AM123" s="17" t="n"/>
      <c r="AN123" s="17" t="n"/>
      <c r="AO123" s="17" t="n"/>
      <c r="AP123" s="13">
        <f>IF(AK123&gt;23.73,IF(Z123&lt;101,IF(Z123&lt;30,IF(Z123&lt;6,3,2),1),0),0)</f>
        <v/>
      </c>
      <c r="AQ123" s="13" t="n">
        <v>1</v>
      </c>
      <c r="AR123" s="11">
        <f>IF(AP123&gt;0,IF(AB123&gt;10,(AB123/Z123),10/Z123),0)</f>
        <v/>
      </c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</row>
    <row r="124" ht="12.75" customHeight="1">
      <c r="A124" s="17" t="n"/>
      <c r="B124" s="17" t="n"/>
      <c r="C124" s="17" t="n"/>
      <c r="D124" s="17" t="n"/>
      <c r="E124" s="17" t="n"/>
      <c r="F124" s="17" t="n"/>
      <c r="G124" s="13">
        <f>100*(F124-E124)/F124</f>
        <v/>
      </c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3">
        <f>O124/I124</f>
        <v/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2">
        <f>IF(G124&lt;0,0,1.2)+IF(G124&lt;14,0,0.9)+IF(P124&lt;0,0.7,0)+IF(P124&lt;6.5,1,0)+IF(P124&lt;23,1,0)+IF(R124&gt;88,0,1)+S124+IF(AD124&lt;20,0,1)+IF(AE124&lt;14,0,1)+IF(AF124&lt;26,0,1)</f>
        <v/>
      </c>
      <c r="AH124" s="17" t="n"/>
      <c r="AI124" s="17" t="n"/>
      <c r="AJ124" s="11">
        <f>IF(AI124&gt;12.8,IF(AI124&gt;15.8,0.9,0.97),1)</f>
        <v/>
      </c>
      <c r="AK124" s="12">
        <f>(AG124*2.6+AH124)*AJ124*AQ124</f>
        <v/>
      </c>
      <c r="AL124" s="17" t="n"/>
      <c r="AM124" s="17" t="n"/>
      <c r="AN124" s="17" t="n"/>
      <c r="AO124" s="17" t="n"/>
      <c r="AP124" s="13">
        <f>IF(AK124&gt;23.73,IF(Z124&lt;101,IF(Z124&lt;30,IF(Z124&lt;6,3,2),1),0),0)</f>
        <v/>
      </c>
      <c r="AQ124" s="13" t="n">
        <v>1</v>
      </c>
      <c r="AR124" s="11">
        <f>IF(AP124&gt;0,IF(AB124&gt;10,(AB124/Z124),10/Z124),0)</f>
        <v/>
      </c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</row>
    <row r="125" ht="12.75" customHeight="1">
      <c r="A125" s="17" t="n"/>
      <c r="B125" s="17" t="n"/>
      <c r="C125" s="17" t="n"/>
      <c r="D125" s="17" t="n"/>
      <c r="E125" s="17" t="n"/>
      <c r="F125" s="17" t="n"/>
      <c r="G125" s="13">
        <f>100*(F125-E125)/F125</f>
        <v/>
      </c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3">
        <f>O125/I125</f>
        <v/>
      </c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2">
        <f>IF(G125&lt;0,0,1.2)+IF(G125&lt;14,0,0.9)+IF(P125&lt;0,0.7,0)+IF(P125&lt;6.5,1,0)+IF(P125&lt;23,1,0)+IF(R125&gt;88,0,1)+S125+IF(AD125&lt;20,0,1)+IF(AE125&lt;14,0,1)+IF(AF125&lt;26,0,1)</f>
        <v/>
      </c>
      <c r="AH125" s="17" t="n"/>
      <c r="AI125" s="17" t="n"/>
      <c r="AJ125" s="11">
        <f>IF(AI125&gt;12.8,IF(AI125&gt;15.8,0.9,0.97),1)</f>
        <v/>
      </c>
      <c r="AK125" s="12">
        <f>(AG125*2.6+AH125)*AJ125*AQ125</f>
        <v/>
      </c>
      <c r="AL125" s="17" t="n"/>
      <c r="AM125" s="17" t="n"/>
      <c r="AN125" s="17" t="n"/>
      <c r="AO125" s="17" t="n"/>
      <c r="AP125" s="13">
        <f>IF(AK125&gt;23.73,IF(Z125&lt;101,IF(Z125&lt;30,IF(Z125&lt;6,3,2),1),0),0)</f>
        <v/>
      </c>
      <c r="AQ125" s="13" t="n">
        <v>1</v>
      </c>
      <c r="AR125" s="11">
        <f>IF(AP125&gt;0,IF(AB125&gt;10,(AB125/Z125),10/Z125),0)</f>
        <v/>
      </c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</row>
    <row r="126" ht="12.75" customHeight="1">
      <c r="A126" s="17" t="n"/>
      <c r="B126" s="17" t="n"/>
      <c r="C126" s="17" t="n"/>
      <c r="D126" s="17" t="n"/>
      <c r="E126" s="17" t="n"/>
      <c r="F126" s="17" t="n"/>
      <c r="G126" s="13">
        <f>100*(F126-E126)/F126</f>
        <v/>
      </c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3">
        <f>O126/I126</f>
        <v/>
      </c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2">
        <f>IF(G126&lt;0,0,1.2)+IF(G126&lt;14,0,0.9)+IF(P126&lt;0,0.7,0)+IF(P126&lt;6.5,1,0)+IF(P126&lt;23,1,0)+IF(R126&gt;88,0,1)+S126+IF(AD126&lt;20,0,1)+IF(AE126&lt;14,0,1)+IF(AF126&lt;26,0,1)</f>
        <v/>
      </c>
      <c r="AH126" s="17" t="n"/>
      <c r="AI126" s="17" t="n"/>
      <c r="AJ126" s="11">
        <f>IF(AI126&gt;12.8,IF(AI126&gt;15.8,0.9,0.97),1)</f>
        <v/>
      </c>
      <c r="AK126" s="12">
        <f>(AG126*2.6+AH126)*AJ126*AQ126</f>
        <v/>
      </c>
      <c r="AL126" s="17" t="n"/>
      <c r="AM126" s="17" t="n"/>
      <c r="AN126" s="17" t="n"/>
      <c r="AO126" s="17" t="n"/>
      <c r="AP126" s="13">
        <f>IF(AK126&gt;23.73,IF(Z126&lt;101,IF(Z126&lt;30,IF(Z126&lt;6,3,2),1),0),0)</f>
        <v/>
      </c>
      <c r="AQ126" s="13" t="n">
        <v>1</v>
      </c>
      <c r="AR126" s="11">
        <f>IF(AP126&gt;0,IF(AB126&gt;10,(AB126/Z126),10/Z126),0)</f>
        <v/>
      </c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</row>
    <row r="127" ht="12.75" customHeight="1">
      <c r="A127" s="17" t="n"/>
      <c r="B127" s="17" t="n"/>
      <c r="C127" s="17" t="n"/>
      <c r="D127" s="17" t="n"/>
      <c r="E127" s="17" t="n"/>
      <c r="F127" s="17" t="n"/>
      <c r="G127" s="13">
        <f>100*(F127-E127)/F127</f>
        <v/>
      </c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3">
        <f>O127/I127</f>
        <v/>
      </c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2">
        <f>IF(G127&lt;0,0,1.2)+IF(G127&lt;14,0,0.9)+IF(P127&lt;0,0.7,0)+IF(P127&lt;6.5,1,0)+IF(P127&lt;23,1,0)+IF(R127&gt;88,0,1)+S127+IF(AD127&lt;20,0,1)+IF(AE127&lt;14,0,1)+IF(AF127&lt;26,0,1)</f>
        <v/>
      </c>
      <c r="AH127" s="17" t="n"/>
      <c r="AI127" s="17" t="n"/>
      <c r="AJ127" s="11">
        <f>IF(AI127&gt;12.8,IF(AI127&gt;15.8,0.9,0.97),1)</f>
        <v/>
      </c>
      <c r="AK127" s="12">
        <f>(AG127*2.6+AH127)*AJ127*AQ127</f>
        <v/>
      </c>
      <c r="AL127" s="17" t="n"/>
      <c r="AM127" s="17" t="n"/>
      <c r="AN127" s="17" t="n"/>
      <c r="AO127" s="17" t="n"/>
      <c r="AP127" s="13">
        <f>IF(AK127&gt;23.73,IF(Z127&lt;101,IF(Z127&lt;30,IF(Z127&lt;6,3,2),1),0),0)</f>
        <v/>
      </c>
      <c r="AQ127" s="13" t="n">
        <v>1</v>
      </c>
      <c r="AR127" s="11">
        <f>IF(AP127&gt;0,IF(AB127&gt;10,(AB127/Z127),10/Z127),0)</f>
        <v/>
      </c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</row>
    <row r="128" ht="12.75" customHeight="1">
      <c r="A128" s="17" t="n"/>
      <c r="B128" s="17" t="n"/>
      <c r="C128" s="17" t="n"/>
      <c r="D128" s="17" t="n"/>
      <c r="E128" s="17" t="n"/>
      <c r="F128" s="17" t="n"/>
      <c r="G128" s="13">
        <f>100*(F128-E128)/F128</f>
        <v/>
      </c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3">
        <f>O128/I128</f>
        <v/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1">
        <f>IF(AI128&gt;12.8,IF(AI128&gt;15.8,0.9,0.97),1)</f>
        <v/>
      </c>
      <c r="AK128" s="12">
        <f>(AG128*2.6+AH128)*AJ128*AQ128</f>
        <v/>
      </c>
      <c r="AL128" s="17" t="n"/>
      <c r="AM128" s="17" t="n"/>
      <c r="AN128" s="17" t="n"/>
      <c r="AO128" s="17" t="n"/>
      <c r="AP128" s="13">
        <f>IF(AK128&gt;23.73,IF(Z128&lt;101,IF(Z128&lt;30,IF(Z128&lt;6,3,2),1),0),0)</f>
        <v/>
      </c>
      <c r="AQ128" s="13" t="n">
        <v>1</v>
      </c>
      <c r="AR128" s="11">
        <f>IF(AP128&gt;0,IF(AB128&gt;10,(AB128/Z128),10/Z128),0)</f>
        <v/>
      </c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</row>
    <row r="129" ht="12.75" customHeight="1">
      <c r="A129" s="17" t="n"/>
      <c r="B129" s="17" t="n"/>
      <c r="C129" s="17" t="n"/>
      <c r="D129" s="17" t="n"/>
      <c r="E129" s="17" t="n"/>
      <c r="F129" s="17" t="n"/>
      <c r="G129" s="13">
        <f>100*(F129-E129)/F129</f>
        <v/>
      </c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3">
        <f>O129/I129</f>
        <v/>
      </c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1">
        <f>IF(AI129&gt;12.8,IF(AI129&gt;15.8,0.9,0.97),1)</f>
        <v/>
      </c>
      <c r="AK129" s="12">
        <f>(AG129*2.6+AH129)*AJ129*AQ129</f>
        <v/>
      </c>
      <c r="AL129" s="17" t="n"/>
      <c r="AM129" s="17" t="n"/>
      <c r="AN129" s="17" t="n"/>
      <c r="AO129" s="17" t="n"/>
      <c r="AP129" s="13">
        <f>IF(AK129&gt;23.73,IF(Z129&lt;101,IF(Z129&lt;30,IF(Z129&lt;6,3,2),1),0),0)</f>
        <v/>
      </c>
      <c r="AQ129" s="17" t="n"/>
      <c r="AR129" s="11">
        <f>IF(AP129&gt;0,IF(AB129&gt;10,(AB129/Z129),10/Z129),0)</f>
        <v/>
      </c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</row>
    <row r="130" ht="12.75" customHeight="1">
      <c r="AJ130" s="11">
        <f>IF(AI130&gt;12.8,IF(AI130&gt;15.8,0.9,0.97),1)</f>
        <v/>
      </c>
      <c r="AK130" s="12">
        <f>(AG130*2.6+AH130)*AJ130*AQ130</f>
        <v/>
      </c>
      <c r="AP130" s="13">
        <f>IF(AK130&gt;23.73,IF(Z130&lt;101,IF(Z130&lt;30,IF(Z130&lt;6,3,2),1),0),0)</f>
        <v/>
      </c>
      <c r="AR130" s="11">
        <f>IF(AP130&gt;0,IF(AB130&gt;10,(AB130/Z130),10/Z130),0)</f>
        <v/>
      </c>
    </row>
    <row r="131" ht="12.75" customHeight="1">
      <c r="AJ131" s="11">
        <f>IF(AI131&gt;12.8,IF(AI131&gt;15.8,0.9,0.97),1)</f>
        <v/>
      </c>
      <c r="AP131" s="13">
        <f>IF(AK131&gt;23.73,IF(Z131&lt;101,IF(Z131&lt;30,IF(Z131&lt;6,3,2),1),0),0)</f>
        <v/>
      </c>
    </row>
    <row r="132" ht="12.75" customHeight="1">
      <c r="AJ132" s="11">
        <f>IF(AI132&gt;12.8,IF(AI132&gt;15.8,0.9,0.97),1)</f>
        <v/>
      </c>
      <c r="AP132" s="13">
        <f>IF(AK132&gt;23.73,IF(Z132&lt;101,IF(Z132&lt;30,IF(Z132&lt;6,3,2),1),0),0)</f>
        <v/>
      </c>
    </row>
    <row r="133" ht="12.75" customHeight="1">
      <c r="AJ133" s="11">
        <f>IF(AI133&gt;12.8,IF(AI133&gt;15.8,0.9,0.97),1)</f>
        <v/>
      </c>
      <c r="AP133" s="13">
        <f>IF(AK133&gt;23.73,IF(Z133&lt;101,IF(Z133&lt;30,IF(Z133&lt;6,3,2),1),0),0)</f>
        <v/>
      </c>
    </row>
    <row r="134" ht="12.75" customHeight="1">
      <c r="AJ134" s="11">
        <f>IF(AI134&gt;12.8,IF(AI134&gt;15.8,0.9,0.97),1)</f>
        <v/>
      </c>
      <c r="AP134" s="13">
        <f>IF(AK134&gt;23.73,IF(Z134&lt;101,IF(Z134&lt;30,IF(Z134&lt;6,3,2),1),0),0)</f>
        <v/>
      </c>
    </row>
    <row r="135" ht="12.75" customHeight="1">
      <c r="AJ135" s="11">
        <f>IF(AI135&gt;12.8,IF(AI135&gt;15.8,0.9,0.97),1)</f>
        <v/>
      </c>
      <c r="AP135" s="13">
        <f>IF(AK135&gt;23.73,IF(Z135&lt;101,IF(Z135&lt;30,IF(Z135&lt;6,3,2),1),0),0)</f>
        <v/>
      </c>
    </row>
  </sheetData>
  <conditionalFormatting sqref="G2:G129 H56">
    <cfRule type="cellIs" priority="11" operator="lessThan" dxfId="7">
      <formula>0</formula>
    </cfRule>
  </conditionalFormatting>
  <conditionalFormatting sqref="P2:P129 Q60:R60">
    <cfRule type="cellIs" priority="15" operator="greaterThan" dxfId="7">
      <formula>23</formula>
    </cfRule>
  </conditionalFormatting>
  <conditionalFormatting sqref="R2:R366">
    <cfRule type="cellIs" priority="17" operator="greaterThan" dxfId="7">
      <formula>88</formula>
    </cfRule>
  </conditionalFormatting>
  <conditionalFormatting sqref="X2:X63">
    <cfRule type="cellIs" priority="14" operator="lessThan" dxfId="7">
      <formula>16</formula>
    </cfRule>
  </conditionalFormatting>
  <conditionalFormatting sqref="X48">
    <cfRule type="cellIs" priority="9" operator="lessThan" dxfId="7">
      <formula>19</formula>
    </cfRule>
  </conditionalFormatting>
  <conditionalFormatting sqref="Y2:Y63">
    <cfRule type="cellIs" priority="13" operator="lessThan" dxfId="7">
      <formula>11</formula>
    </cfRule>
  </conditionalFormatting>
  <conditionalFormatting sqref="Y48">
    <cfRule type="cellIs" priority="8" operator="lessThan" dxfId="7">
      <formula>10</formula>
    </cfRule>
  </conditionalFormatting>
  <conditionalFormatting sqref="Z48">
    <cfRule type="cellIs" priority="10" operator="lessThan" dxfId="7">
      <formula>3.5</formula>
    </cfRule>
  </conditionalFormatting>
  <conditionalFormatting sqref="AA2:AA123">
    <cfRule type="cellIs" priority="16" operator="equal" dxfId="7">
      <formula>0</formula>
    </cfRule>
  </conditionalFormatting>
  <conditionalFormatting sqref="AF2:AF63">
    <cfRule type="cellIs" priority="12" operator="lessThan" dxfId="7">
      <formula>26</formula>
    </cfRule>
  </conditionalFormatting>
  <conditionalFormatting sqref="AG51:AG66">
    <cfRule type="cellIs" priority="5" operator="greaterThan" dxfId="2">
      <formula>6.1</formula>
    </cfRule>
  </conditionalFormatting>
  <conditionalFormatting sqref="AK2:AK177">
    <cfRule type="cellIs" priority="18" operator="greaterThan" dxfId="2">
      <formula>23.73</formula>
    </cfRule>
  </conditionalFormatting>
  <conditionalFormatting sqref="AL2:AL423">
    <cfRule type="containsText" priority="6" operator="containsText" dxfId="4" text="Neg">
      <formula>NOT(ISERROR(SEARCH("Neg",AL2)))</formula>
    </cfRule>
    <cfRule type="containsText" priority="7" operator="containsText" dxfId="0" text="Pos">
      <formula>NOT(ISERROR(SEARCH("Pos",AL2)))</formula>
    </cfRule>
  </conditionalFormatting>
  <conditionalFormatting sqref="AP2:AP135">
    <cfRule type="cellIs" priority="2" operator="equal" dxfId="2">
      <formula>3</formula>
    </cfRule>
    <cfRule type="cellIs" priority="3" operator="equal" dxfId="1">
      <formula>1</formula>
    </cfRule>
    <cfRule type="cellIs" priority="4" operator="equal" dxfId="0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2026-05-07T05:05:52Z</dcterms:modified>
  <cp:lastModifiedBy>bruce wayne</cp:lastModifiedBy>
  <cp:revision>5</cp:revision>
</cp:coreProperties>
</file>