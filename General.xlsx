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B9DA21E4-2DCE-4193-9DB1-482A28A9B188}" xr6:coauthVersionLast="47" xr6:coauthVersionMax="47" xr10:uidLastSave="{00000000-0000-0000-0000-000000000000}"/>
  <bookViews>
    <workbookView xWindow="-38520" yWindow="2340" windowWidth="38640" windowHeight="2112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IPOSME!$AB$1:$AB$446</definedName>
  </definedNames>
  <calcPr calcId="191029"/>
</workbook>
</file>

<file path=xl/calcChain.xml><?xml version="1.0" encoding="utf-8"?>
<calcChain xmlns="http://schemas.openxmlformats.org/spreadsheetml/2006/main">
  <c r="AP156" i="2" l="1"/>
  <c r="AJ156" i="2"/>
  <c r="AP155" i="2"/>
  <c r="AJ155" i="2"/>
  <c r="AP154" i="2"/>
  <c r="AJ154" i="2"/>
  <c r="AP153" i="2"/>
  <c r="AJ153" i="2"/>
  <c r="AP152" i="2"/>
  <c r="AJ152" i="2"/>
  <c r="AJ151" i="2"/>
  <c r="AK151" i="2" s="1"/>
  <c r="AP151" i="2" s="1"/>
  <c r="AR151" i="2" s="1"/>
  <c r="AJ150" i="2"/>
  <c r="AK150" i="2" s="1"/>
  <c r="AP150" i="2" s="1"/>
  <c r="AR150" i="2" s="1"/>
  <c r="P150" i="2"/>
  <c r="G150" i="2"/>
  <c r="AK149" i="2"/>
  <c r="AP149" i="2" s="1"/>
  <c r="AR149" i="2" s="1"/>
  <c r="AJ149" i="2"/>
  <c r="P149" i="2"/>
  <c r="G149" i="2"/>
  <c r="AJ148" i="2"/>
  <c r="P148" i="2"/>
  <c r="AG148" i="2" s="1"/>
  <c r="G148" i="2"/>
  <c r="AJ147" i="2"/>
  <c r="P147" i="2"/>
  <c r="G147" i="2"/>
  <c r="AJ146" i="2"/>
  <c r="P146" i="2"/>
  <c r="G146" i="2"/>
  <c r="AJ145" i="2"/>
  <c r="P145" i="2"/>
  <c r="G145" i="2"/>
  <c r="AG145" i="2" s="1"/>
  <c r="AK145" i="2" s="1"/>
  <c r="AP145" i="2" s="1"/>
  <c r="AR145" i="2" s="1"/>
  <c r="AJ144" i="2"/>
  <c r="AA144" i="2"/>
  <c r="P144" i="2"/>
  <c r="G144" i="2"/>
  <c r="AG144" i="2" s="1"/>
  <c r="AJ143" i="2"/>
  <c r="AA143" i="2"/>
  <c r="P143" i="2"/>
  <c r="G143" i="2"/>
  <c r="AM142" i="2"/>
  <c r="AL142" i="2"/>
  <c r="AJ142" i="2"/>
  <c r="AA142" i="2"/>
  <c r="P142" i="2"/>
  <c r="G142" i="2"/>
  <c r="AG142" i="2" s="1"/>
  <c r="AM141" i="2"/>
  <c r="AL141" i="2"/>
  <c r="AJ141" i="2"/>
  <c r="AA141" i="2"/>
  <c r="P141" i="2"/>
  <c r="G141" i="2"/>
  <c r="AM140" i="2"/>
  <c r="AL140" i="2"/>
  <c r="AJ140" i="2"/>
  <c r="AC140" i="2"/>
  <c r="AA140" i="2"/>
  <c r="P140" i="2"/>
  <c r="G140" i="2"/>
  <c r="AM139" i="2"/>
  <c r="AL139" i="2"/>
  <c r="AJ139" i="2"/>
  <c r="AC139" i="2"/>
  <c r="AA139" i="2"/>
  <c r="P139" i="2"/>
  <c r="G139" i="2"/>
  <c r="AG139" i="2" s="1"/>
  <c r="AM138" i="2"/>
  <c r="AL138" i="2"/>
  <c r="AJ138" i="2"/>
  <c r="AC138" i="2"/>
  <c r="AA138" i="2"/>
  <c r="P138" i="2"/>
  <c r="G138" i="2"/>
  <c r="AG138" i="2" s="1"/>
  <c r="AM137" i="2"/>
  <c r="AL137" i="2"/>
  <c r="AJ137" i="2"/>
  <c r="AC137" i="2"/>
  <c r="AA137" i="2"/>
  <c r="P137" i="2"/>
  <c r="G137" i="2"/>
  <c r="AM136" i="2"/>
  <c r="AL136" i="2"/>
  <c r="AJ136" i="2"/>
  <c r="AC136" i="2"/>
  <c r="AA136" i="2"/>
  <c r="P136" i="2"/>
  <c r="G136" i="2"/>
  <c r="AM135" i="2"/>
  <c r="AL135" i="2"/>
  <c r="AJ135" i="2"/>
  <c r="AC135" i="2"/>
  <c r="AA135" i="2"/>
  <c r="P135" i="2"/>
  <c r="G135" i="2"/>
  <c r="AG135" i="2" s="1"/>
  <c r="AM134" i="2"/>
  <c r="AL134" i="2"/>
  <c r="AJ134" i="2"/>
  <c r="AC134" i="2"/>
  <c r="AA134" i="2"/>
  <c r="P134" i="2"/>
  <c r="G134" i="2"/>
  <c r="AG134" i="2" s="1"/>
  <c r="AM133" i="2"/>
  <c r="AL133" i="2"/>
  <c r="AJ133" i="2"/>
  <c r="AC133" i="2"/>
  <c r="AA133" i="2"/>
  <c r="P133" i="2"/>
  <c r="G133" i="2"/>
  <c r="AG133" i="2" s="1"/>
  <c r="AM132" i="2"/>
  <c r="AL132" i="2"/>
  <c r="AJ132" i="2"/>
  <c r="AC132" i="2"/>
  <c r="AA132" i="2"/>
  <c r="P132" i="2"/>
  <c r="G132" i="2"/>
  <c r="AM131" i="2"/>
  <c r="AL131" i="2"/>
  <c r="AJ131" i="2"/>
  <c r="AC131" i="2"/>
  <c r="AA131" i="2"/>
  <c r="P131" i="2"/>
  <c r="G131" i="2"/>
  <c r="AG131" i="2" s="1"/>
  <c r="AM130" i="2"/>
  <c r="AL130" i="2"/>
  <c r="AJ130" i="2"/>
  <c r="AC130" i="2"/>
  <c r="AA130" i="2"/>
  <c r="P130" i="2"/>
  <c r="G130" i="2"/>
  <c r="AG130" i="2" s="1"/>
  <c r="AM129" i="2"/>
  <c r="AL129" i="2"/>
  <c r="AJ129" i="2"/>
  <c r="AC129" i="2"/>
  <c r="AA129" i="2"/>
  <c r="P129" i="2"/>
  <c r="G129" i="2"/>
  <c r="AG129" i="2" s="1"/>
  <c r="AM128" i="2"/>
  <c r="AL128" i="2"/>
  <c r="AJ128" i="2"/>
  <c r="AC128" i="2"/>
  <c r="AA128" i="2"/>
  <c r="P128" i="2"/>
  <c r="G128" i="2"/>
  <c r="AM127" i="2"/>
  <c r="AL127" i="2"/>
  <c r="AJ127" i="2"/>
  <c r="AC127" i="2"/>
  <c r="AA127" i="2"/>
  <c r="P127" i="2"/>
  <c r="G127" i="2"/>
  <c r="AG127" i="2" s="1"/>
  <c r="AM126" i="2"/>
  <c r="AL126" i="2"/>
  <c r="AJ126" i="2"/>
  <c r="AC126" i="2"/>
  <c r="AA126" i="2"/>
  <c r="P126" i="2"/>
  <c r="G126" i="2"/>
  <c r="AG126" i="2" s="1"/>
  <c r="AM125" i="2"/>
  <c r="AL125" i="2"/>
  <c r="AJ125" i="2"/>
  <c r="AC125" i="2"/>
  <c r="AA125" i="2"/>
  <c r="P125" i="2"/>
  <c r="G125" i="2"/>
  <c r="AG125" i="2" s="1"/>
  <c r="AM124" i="2"/>
  <c r="AL124" i="2"/>
  <c r="AJ124" i="2"/>
  <c r="AC124" i="2"/>
  <c r="AA124" i="2"/>
  <c r="P124" i="2"/>
  <c r="G124" i="2"/>
  <c r="AM123" i="2"/>
  <c r="AL123" i="2"/>
  <c r="AJ123" i="2"/>
  <c r="AC123" i="2"/>
  <c r="AA123" i="2"/>
  <c r="P123" i="2"/>
  <c r="G123" i="2"/>
  <c r="AG123" i="2" s="1"/>
  <c r="AM122" i="2"/>
  <c r="AL122" i="2"/>
  <c r="AJ122" i="2"/>
  <c r="AC122" i="2"/>
  <c r="AA122" i="2"/>
  <c r="P122" i="2"/>
  <c r="G122" i="2"/>
  <c r="AG122" i="2" s="1"/>
  <c r="AM121" i="2"/>
  <c r="AL121" i="2"/>
  <c r="AJ121" i="2"/>
  <c r="AC121" i="2"/>
  <c r="AA121" i="2"/>
  <c r="P121" i="2"/>
  <c r="G121" i="2"/>
  <c r="AG121" i="2" s="1"/>
  <c r="AM120" i="2"/>
  <c r="AL120" i="2"/>
  <c r="AJ120" i="2"/>
  <c r="AC120" i="2"/>
  <c r="AA120" i="2"/>
  <c r="P120" i="2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M83" i="2"/>
  <c r="AL83" i="2"/>
  <c r="AJ83" i="2"/>
  <c r="AC83" i="2"/>
  <c r="AA83" i="2"/>
  <c r="P83" i="2"/>
  <c r="G83" i="2"/>
  <c r="AG83" i="2" s="1"/>
  <c r="AL82" i="2"/>
  <c r="AJ82" i="2"/>
  <c r="AG82" i="2"/>
  <c r="AC82" i="2"/>
  <c r="AA82" i="2"/>
  <c r="AL81" i="2"/>
  <c r="AJ81" i="2"/>
  <c r="AH81" i="2"/>
  <c r="AG81" i="2"/>
  <c r="AC81" i="2"/>
  <c r="AA81" i="2"/>
  <c r="AL80" i="2"/>
  <c r="AJ80" i="2"/>
  <c r="AG80" i="2"/>
  <c r="AC80" i="2"/>
  <c r="AA80" i="2"/>
  <c r="AH80" i="2" s="1"/>
  <c r="AL79" i="2"/>
  <c r="AJ79" i="2"/>
  <c r="AG79" i="2"/>
  <c r="AC79" i="2"/>
  <c r="AA79" i="2"/>
  <c r="AL78" i="2"/>
  <c r="AJ78" i="2"/>
  <c r="AG78" i="2"/>
  <c r="AC78" i="2"/>
  <c r="AA78" i="2"/>
  <c r="AL77" i="2"/>
  <c r="AJ77" i="2"/>
  <c r="AG77" i="2"/>
  <c r="AH77" i="2" s="1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H73" i="2" s="1"/>
  <c r="AC73" i="2"/>
  <c r="AA73" i="2"/>
  <c r="AL72" i="2"/>
  <c r="AJ72" i="2"/>
  <c r="AG72" i="2"/>
  <c r="AH72" i="2" s="1"/>
  <c r="AC72" i="2"/>
  <c r="AA72" i="2"/>
  <c r="AL71" i="2"/>
  <c r="AJ71" i="2"/>
  <c r="AH71" i="2"/>
  <c r="AK71" i="2" s="1"/>
  <c r="AP71" i="2" s="1"/>
  <c r="AR71" i="2" s="1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J68" i="2"/>
  <c r="AG68" i="2"/>
  <c r="AH68" i="2" s="1"/>
  <c r="AK68" i="2" s="1"/>
  <c r="AP68" i="2" s="1"/>
  <c r="AR68" i="2" s="1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M64" i="2"/>
  <c r="AL64" i="2"/>
  <c r="AJ64" i="2"/>
  <c r="AC64" i="2"/>
  <c r="AA64" i="2"/>
  <c r="P64" i="2"/>
  <c r="G64" i="2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M60" i="2"/>
  <c r="AL60" i="2"/>
  <c r="AJ60" i="2"/>
  <c r="AC60" i="2"/>
  <c r="AA60" i="2"/>
  <c r="P60" i="2"/>
  <c r="G60" i="2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G46" i="2" s="1"/>
  <c r="AM45" i="2"/>
  <c r="AL45" i="2"/>
  <c r="AJ45" i="2"/>
  <c r="AC45" i="2"/>
  <c r="AA45" i="2"/>
  <c r="P45" i="2"/>
  <c r="G45" i="2"/>
  <c r="AM44" i="2"/>
  <c r="AL44" i="2"/>
  <c r="AJ44" i="2"/>
  <c r="AC44" i="2"/>
  <c r="AA44" i="2"/>
  <c r="P44" i="2"/>
  <c r="G44" i="2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G38" i="2" s="1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G33" i="2" s="1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M27" i="2"/>
  <c r="AL27" i="2"/>
  <c r="AJ27" i="2"/>
  <c r="AC27" i="2"/>
  <c r="AA27" i="2"/>
  <c r="P27" i="2"/>
  <c r="G27" i="2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M19" i="2"/>
  <c r="AL19" i="2"/>
  <c r="AJ19" i="2"/>
  <c r="AC19" i="2"/>
  <c r="AA19" i="2"/>
  <c r="P19" i="2"/>
  <c r="G19" i="2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M11" i="2"/>
  <c r="AL11" i="2"/>
  <c r="AJ11" i="2"/>
  <c r="AC11" i="2"/>
  <c r="AA11" i="2"/>
  <c r="P11" i="2"/>
  <c r="G11" i="2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M8" i="2"/>
  <c r="AL8" i="2"/>
  <c r="AJ8" i="2"/>
  <c r="AC8" i="2"/>
  <c r="AA8" i="2"/>
  <c r="P8" i="2"/>
  <c r="G8" i="2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M4" i="2"/>
  <c r="AL4" i="2"/>
  <c r="AJ4" i="2"/>
  <c r="AC4" i="2"/>
  <c r="AA4" i="2"/>
  <c r="P4" i="2"/>
  <c r="G4" i="2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442" i="1"/>
  <c r="AZ441" i="1"/>
  <c r="AJ441" i="1"/>
  <c r="AZ440" i="1"/>
  <c r="AJ440" i="1"/>
  <c r="AK440" i="1" s="1"/>
  <c r="AZ439" i="1"/>
  <c r="AK439" i="1"/>
  <c r="AJ439" i="1"/>
  <c r="AZ438" i="1"/>
  <c r="AJ438" i="1"/>
  <c r="AK438" i="1" s="1"/>
  <c r="AZ437" i="1"/>
  <c r="AJ437" i="1"/>
  <c r="AK437" i="1" s="1"/>
  <c r="AZ436" i="1"/>
  <c r="AJ436" i="1"/>
  <c r="AK436" i="1" s="1"/>
  <c r="AZ435" i="1"/>
  <c r="AM435" i="1"/>
  <c r="AL435" i="1"/>
  <c r="AJ435" i="1"/>
  <c r="AA435" i="1"/>
  <c r="P435" i="1"/>
  <c r="G435" i="1"/>
  <c r="AG435" i="1" s="1"/>
  <c r="AZ434" i="1"/>
  <c r="AM434" i="1"/>
  <c r="AL434" i="1"/>
  <c r="AJ434" i="1"/>
  <c r="AC434" i="1"/>
  <c r="AA434" i="1"/>
  <c r="P434" i="1"/>
  <c r="G434" i="1"/>
  <c r="AG434" i="1" s="1"/>
  <c r="AZ433" i="1"/>
  <c r="AM433" i="1"/>
  <c r="AL433" i="1"/>
  <c r="AJ433" i="1"/>
  <c r="AC433" i="1"/>
  <c r="AA433" i="1"/>
  <c r="P433" i="1"/>
  <c r="G433" i="1"/>
  <c r="AG433" i="1" s="1"/>
  <c r="AZ432" i="1"/>
  <c r="AM432" i="1"/>
  <c r="AL432" i="1"/>
  <c r="AJ432" i="1"/>
  <c r="AC432" i="1"/>
  <c r="AA432" i="1"/>
  <c r="P432" i="1"/>
  <c r="G432" i="1"/>
  <c r="AG432" i="1" s="1"/>
  <c r="AZ431" i="1"/>
  <c r="AM431" i="1"/>
  <c r="AL431" i="1"/>
  <c r="AJ431" i="1"/>
  <c r="AC431" i="1"/>
  <c r="AA431" i="1"/>
  <c r="P431" i="1"/>
  <c r="G431" i="1"/>
  <c r="AG431" i="1" s="1"/>
  <c r="AZ430" i="1"/>
  <c r="AM430" i="1"/>
  <c r="AL430" i="1"/>
  <c r="AJ430" i="1"/>
  <c r="AC430" i="1"/>
  <c r="AA430" i="1"/>
  <c r="P430" i="1"/>
  <c r="G430" i="1"/>
  <c r="AG430" i="1" s="1"/>
  <c r="AZ429" i="1"/>
  <c r="AM429" i="1"/>
  <c r="AL429" i="1"/>
  <c r="AJ429" i="1"/>
  <c r="AC429" i="1"/>
  <c r="AA429" i="1"/>
  <c r="P429" i="1"/>
  <c r="G429" i="1"/>
  <c r="AG429" i="1" s="1"/>
  <c r="AZ428" i="1"/>
  <c r="AM428" i="1"/>
  <c r="AL428" i="1"/>
  <c r="AJ428" i="1"/>
  <c r="AC428" i="1"/>
  <c r="AA428" i="1"/>
  <c r="P428" i="1"/>
  <c r="G428" i="1"/>
  <c r="AZ427" i="1"/>
  <c r="AM427" i="1"/>
  <c r="AL427" i="1"/>
  <c r="AJ427" i="1"/>
  <c r="AC427" i="1"/>
  <c r="AA427" i="1"/>
  <c r="P427" i="1"/>
  <c r="G427" i="1"/>
  <c r="AG427" i="1" s="1"/>
  <c r="AZ426" i="1"/>
  <c r="AM426" i="1"/>
  <c r="AL426" i="1"/>
  <c r="AJ426" i="1"/>
  <c r="AC426" i="1"/>
  <c r="AA426" i="1"/>
  <c r="P426" i="1"/>
  <c r="G426" i="1"/>
  <c r="AG426" i="1" s="1"/>
  <c r="AZ425" i="1"/>
  <c r="AM425" i="1"/>
  <c r="AL425" i="1"/>
  <c r="AJ425" i="1"/>
  <c r="AC425" i="1"/>
  <c r="AA425" i="1"/>
  <c r="P425" i="1"/>
  <c r="G425" i="1"/>
  <c r="AG425" i="1" s="1"/>
  <c r="AZ424" i="1"/>
  <c r="AM424" i="1"/>
  <c r="AL424" i="1"/>
  <c r="AJ424" i="1"/>
  <c r="AC424" i="1"/>
  <c r="AA424" i="1"/>
  <c r="P424" i="1"/>
  <c r="G424" i="1"/>
  <c r="AZ423" i="1"/>
  <c r="AM423" i="1"/>
  <c r="AL423" i="1"/>
  <c r="AJ423" i="1"/>
  <c r="AC423" i="1"/>
  <c r="AA423" i="1"/>
  <c r="P423" i="1"/>
  <c r="G423" i="1"/>
  <c r="AG423" i="1" s="1"/>
  <c r="AZ422" i="1"/>
  <c r="AM422" i="1"/>
  <c r="AL422" i="1"/>
  <c r="AJ422" i="1"/>
  <c r="AC422" i="1"/>
  <c r="AA422" i="1"/>
  <c r="P422" i="1"/>
  <c r="G422" i="1"/>
  <c r="AG422" i="1" s="1"/>
  <c r="AZ421" i="1"/>
  <c r="AM421" i="1"/>
  <c r="AL421" i="1"/>
  <c r="AJ421" i="1"/>
  <c r="AC421" i="1"/>
  <c r="AA421" i="1"/>
  <c r="P421" i="1"/>
  <c r="G421" i="1"/>
  <c r="AG421" i="1" s="1"/>
  <c r="AZ420" i="1"/>
  <c r="AM420" i="1"/>
  <c r="AL420" i="1"/>
  <c r="AJ420" i="1"/>
  <c r="AC420" i="1"/>
  <c r="AA420" i="1"/>
  <c r="P420" i="1"/>
  <c r="G420" i="1"/>
  <c r="AG420" i="1" s="1"/>
  <c r="AZ419" i="1"/>
  <c r="AM419" i="1"/>
  <c r="AL419" i="1"/>
  <c r="AJ419" i="1"/>
  <c r="AC419" i="1"/>
  <c r="AA419" i="1"/>
  <c r="P419" i="1"/>
  <c r="G419" i="1"/>
  <c r="AG419" i="1" s="1"/>
  <c r="AZ418" i="1"/>
  <c r="AM418" i="1"/>
  <c r="AL418" i="1"/>
  <c r="AJ418" i="1"/>
  <c r="AC418" i="1"/>
  <c r="AA418" i="1"/>
  <c r="P418" i="1"/>
  <c r="G418" i="1"/>
  <c r="AG418" i="1" s="1"/>
  <c r="AZ417" i="1"/>
  <c r="AM417" i="1"/>
  <c r="AL417" i="1"/>
  <c r="AJ417" i="1"/>
  <c r="AC417" i="1"/>
  <c r="AA417" i="1"/>
  <c r="P417" i="1"/>
  <c r="G417" i="1"/>
  <c r="AG417" i="1" s="1"/>
  <c r="AZ416" i="1"/>
  <c r="AM416" i="1"/>
  <c r="AL416" i="1"/>
  <c r="AJ416" i="1"/>
  <c r="AC416" i="1"/>
  <c r="AA416" i="1"/>
  <c r="P416" i="1"/>
  <c r="G416" i="1"/>
  <c r="AG416" i="1" s="1"/>
  <c r="AZ415" i="1"/>
  <c r="AM415" i="1"/>
  <c r="AL415" i="1"/>
  <c r="AJ415" i="1"/>
  <c r="AC415" i="1"/>
  <c r="AA415" i="1"/>
  <c r="P415" i="1"/>
  <c r="G415" i="1"/>
  <c r="AG415" i="1" s="1"/>
  <c r="AZ414" i="1"/>
  <c r="AM414" i="1"/>
  <c r="AL414" i="1"/>
  <c r="AJ414" i="1"/>
  <c r="AC414" i="1"/>
  <c r="AA414" i="1"/>
  <c r="P414" i="1"/>
  <c r="G414" i="1"/>
  <c r="AG414" i="1" s="1"/>
  <c r="AZ413" i="1"/>
  <c r="AM413" i="1"/>
  <c r="AL413" i="1"/>
  <c r="AJ413" i="1"/>
  <c r="AC413" i="1"/>
  <c r="AA413" i="1"/>
  <c r="P413" i="1"/>
  <c r="G413" i="1"/>
  <c r="AG413" i="1" s="1"/>
  <c r="AZ412" i="1"/>
  <c r="AM412" i="1"/>
  <c r="AL412" i="1"/>
  <c r="AJ412" i="1"/>
  <c r="AC412" i="1"/>
  <c r="AA412" i="1"/>
  <c r="P412" i="1"/>
  <c r="G412" i="1"/>
  <c r="AZ411" i="1"/>
  <c r="AM411" i="1"/>
  <c r="AL411" i="1"/>
  <c r="AJ411" i="1"/>
  <c r="AC411" i="1"/>
  <c r="AA411" i="1"/>
  <c r="P411" i="1"/>
  <c r="G411" i="1"/>
  <c r="AG411" i="1" s="1"/>
  <c r="AZ410" i="1"/>
  <c r="AM410" i="1"/>
  <c r="AL410" i="1"/>
  <c r="AJ410" i="1"/>
  <c r="AC410" i="1"/>
  <c r="AA410" i="1"/>
  <c r="P410" i="1"/>
  <c r="G410" i="1"/>
  <c r="AG410" i="1" s="1"/>
  <c r="AZ409" i="1"/>
  <c r="AM409" i="1"/>
  <c r="AL409" i="1"/>
  <c r="AJ409" i="1"/>
  <c r="AC409" i="1"/>
  <c r="AA409" i="1"/>
  <c r="P409" i="1"/>
  <c r="G409" i="1"/>
  <c r="AG409" i="1" s="1"/>
  <c r="AZ408" i="1"/>
  <c r="AM408" i="1"/>
  <c r="AL408" i="1"/>
  <c r="AJ408" i="1"/>
  <c r="AC408" i="1"/>
  <c r="AA408" i="1"/>
  <c r="P408" i="1"/>
  <c r="G408" i="1"/>
  <c r="AZ407" i="1"/>
  <c r="AM407" i="1"/>
  <c r="AL407" i="1"/>
  <c r="AJ407" i="1"/>
  <c r="AC407" i="1"/>
  <c r="AA407" i="1"/>
  <c r="P407" i="1"/>
  <c r="G407" i="1"/>
  <c r="AG407" i="1" s="1"/>
  <c r="AZ406" i="1"/>
  <c r="AM406" i="1"/>
  <c r="AL406" i="1"/>
  <c r="AJ406" i="1"/>
  <c r="AC406" i="1"/>
  <c r="AA406" i="1"/>
  <c r="P406" i="1"/>
  <c r="G406" i="1"/>
  <c r="AG406" i="1" s="1"/>
  <c r="AZ405" i="1"/>
  <c r="AM405" i="1"/>
  <c r="AL405" i="1"/>
  <c r="AJ405" i="1"/>
  <c r="AC405" i="1"/>
  <c r="AA405" i="1"/>
  <c r="P405" i="1"/>
  <c r="G405" i="1"/>
  <c r="AG405" i="1" s="1"/>
  <c r="AM404" i="1"/>
  <c r="AL404" i="1"/>
  <c r="AJ404" i="1"/>
  <c r="AC404" i="1"/>
  <c r="AA404" i="1"/>
  <c r="P404" i="1"/>
  <c r="G404" i="1"/>
  <c r="AM403" i="1"/>
  <c r="AL403" i="1"/>
  <c r="AJ403" i="1"/>
  <c r="AC403" i="1"/>
  <c r="AA403" i="1"/>
  <c r="P403" i="1"/>
  <c r="G403" i="1"/>
  <c r="AG403" i="1" s="1"/>
  <c r="AM402" i="1"/>
  <c r="AL402" i="1"/>
  <c r="AJ402" i="1"/>
  <c r="AC402" i="1"/>
  <c r="AA402" i="1"/>
  <c r="P402" i="1"/>
  <c r="G402" i="1"/>
  <c r="AM401" i="1"/>
  <c r="AL401" i="1"/>
  <c r="AJ401" i="1"/>
  <c r="AC401" i="1"/>
  <c r="AA401" i="1"/>
  <c r="P401" i="1"/>
  <c r="G401" i="1"/>
  <c r="AG401" i="1" s="1"/>
  <c r="AM400" i="1"/>
  <c r="AL400" i="1"/>
  <c r="AJ400" i="1"/>
  <c r="AC400" i="1"/>
  <c r="AA400" i="1"/>
  <c r="P400" i="1"/>
  <c r="G400" i="1"/>
  <c r="AM399" i="1"/>
  <c r="AL399" i="1"/>
  <c r="AJ399" i="1"/>
  <c r="AC399" i="1"/>
  <c r="AA399" i="1"/>
  <c r="P399" i="1"/>
  <c r="G399" i="1"/>
  <c r="AG399" i="1" s="1"/>
  <c r="AM398" i="1"/>
  <c r="AL398" i="1"/>
  <c r="AJ398" i="1"/>
  <c r="AC398" i="1"/>
  <c r="AA398" i="1"/>
  <c r="P398" i="1"/>
  <c r="G398" i="1"/>
  <c r="AM397" i="1"/>
  <c r="AL397" i="1"/>
  <c r="AJ397" i="1"/>
  <c r="AC397" i="1"/>
  <c r="AA397" i="1"/>
  <c r="P397" i="1"/>
  <c r="G397" i="1"/>
  <c r="AG397" i="1" s="1"/>
  <c r="AM396" i="1"/>
  <c r="AL396" i="1"/>
  <c r="AJ396" i="1"/>
  <c r="AC396" i="1"/>
  <c r="AA396" i="1"/>
  <c r="P396" i="1"/>
  <c r="G396" i="1"/>
  <c r="AM395" i="1"/>
  <c r="AL395" i="1"/>
  <c r="AJ395" i="1"/>
  <c r="AC395" i="1"/>
  <c r="AA395" i="1"/>
  <c r="P395" i="1"/>
  <c r="G395" i="1"/>
  <c r="AG395" i="1" s="1"/>
  <c r="AM394" i="1"/>
  <c r="AL394" i="1"/>
  <c r="AJ394" i="1"/>
  <c r="AC394" i="1"/>
  <c r="AA394" i="1"/>
  <c r="P394" i="1"/>
  <c r="G394" i="1"/>
  <c r="AM393" i="1"/>
  <c r="AL393" i="1"/>
  <c r="AJ393" i="1"/>
  <c r="AC393" i="1"/>
  <c r="AA393" i="1"/>
  <c r="P393" i="1"/>
  <c r="G393" i="1"/>
  <c r="AG393" i="1" s="1"/>
  <c r="AM392" i="1"/>
  <c r="AL392" i="1"/>
  <c r="AJ392" i="1"/>
  <c r="AC392" i="1"/>
  <c r="AA392" i="1"/>
  <c r="P392" i="1"/>
  <c r="G392" i="1"/>
  <c r="AM391" i="1"/>
  <c r="AL391" i="1"/>
  <c r="AJ391" i="1"/>
  <c r="AC391" i="1"/>
  <c r="AA391" i="1"/>
  <c r="P391" i="1"/>
  <c r="G391" i="1"/>
  <c r="AG391" i="1" s="1"/>
  <c r="AM390" i="1"/>
  <c r="AL390" i="1"/>
  <c r="AJ390" i="1"/>
  <c r="AC390" i="1"/>
  <c r="AA390" i="1"/>
  <c r="P390" i="1"/>
  <c r="G390" i="1"/>
  <c r="AM389" i="1"/>
  <c r="AL389" i="1"/>
  <c r="AJ389" i="1"/>
  <c r="AC389" i="1"/>
  <c r="AA389" i="1"/>
  <c r="P389" i="1"/>
  <c r="G389" i="1"/>
  <c r="AG389" i="1" s="1"/>
  <c r="AM388" i="1"/>
  <c r="AL388" i="1"/>
  <c r="AJ388" i="1"/>
  <c r="AC388" i="1"/>
  <c r="AA388" i="1"/>
  <c r="P388" i="1"/>
  <c r="G388" i="1"/>
  <c r="AM387" i="1"/>
  <c r="AL387" i="1"/>
  <c r="AJ387" i="1"/>
  <c r="AC387" i="1"/>
  <c r="AA387" i="1"/>
  <c r="P387" i="1"/>
  <c r="G387" i="1"/>
  <c r="AG387" i="1" s="1"/>
  <c r="AM386" i="1"/>
  <c r="AL386" i="1"/>
  <c r="AJ386" i="1"/>
  <c r="AC386" i="1"/>
  <c r="AA386" i="1"/>
  <c r="P386" i="1"/>
  <c r="G386" i="1"/>
  <c r="AM385" i="1"/>
  <c r="AL385" i="1"/>
  <c r="AJ385" i="1"/>
  <c r="AC385" i="1"/>
  <c r="AA385" i="1"/>
  <c r="P385" i="1"/>
  <c r="G385" i="1"/>
  <c r="AG385" i="1" s="1"/>
  <c r="AM384" i="1"/>
  <c r="AL384" i="1"/>
  <c r="AJ384" i="1"/>
  <c r="AC384" i="1"/>
  <c r="AA384" i="1"/>
  <c r="P384" i="1"/>
  <c r="G384" i="1"/>
  <c r="AM383" i="1"/>
  <c r="AL383" i="1"/>
  <c r="AJ383" i="1"/>
  <c r="AC383" i="1"/>
  <c r="AA383" i="1"/>
  <c r="P383" i="1"/>
  <c r="G383" i="1"/>
  <c r="AG383" i="1" s="1"/>
  <c r="AM382" i="1"/>
  <c r="AL382" i="1"/>
  <c r="AJ382" i="1"/>
  <c r="AC382" i="1"/>
  <c r="AA382" i="1"/>
  <c r="P382" i="1"/>
  <c r="G382" i="1"/>
  <c r="AM381" i="1"/>
  <c r="AL381" i="1"/>
  <c r="AJ381" i="1"/>
  <c r="AC381" i="1"/>
  <c r="AA381" i="1"/>
  <c r="P381" i="1"/>
  <c r="G381" i="1"/>
  <c r="AG381" i="1" s="1"/>
  <c r="AM380" i="1"/>
  <c r="AL380" i="1"/>
  <c r="AJ380" i="1"/>
  <c r="AC380" i="1"/>
  <c r="AA380" i="1"/>
  <c r="P380" i="1"/>
  <c r="G380" i="1"/>
  <c r="AM379" i="1"/>
  <c r="AL379" i="1"/>
  <c r="AJ379" i="1"/>
  <c r="AC379" i="1"/>
  <c r="AA379" i="1"/>
  <c r="P379" i="1"/>
  <c r="G379" i="1"/>
  <c r="AG379" i="1" s="1"/>
  <c r="AM378" i="1"/>
  <c r="AL378" i="1"/>
  <c r="AJ378" i="1"/>
  <c r="AC378" i="1"/>
  <c r="AA378" i="1"/>
  <c r="P378" i="1"/>
  <c r="G378" i="1"/>
  <c r="AM377" i="1"/>
  <c r="AL377" i="1"/>
  <c r="AJ377" i="1"/>
  <c r="AC377" i="1"/>
  <c r="AA377" i="1"/>
  <c r="P377" i="1"/>
  <c r="G377" i="1"/>
  <c r="AG377" i="1" s="1"/>
  <c r="AM376" i="1"/>
  <c r="AL376" i="1"/>
  <c r="AJ376" i="1"/>
  <c r="AC376" i="1"/>
  <c r="AA376" i="1"/>
  <c r="P376" i="1"/>
  <c r="G376" i="1"/>
  <c r="AM375" i="1"/>
  <c r="AL375" i="1"/>
  <c r="AJ375" i="1"/>
  <c r="AC375" i="1"/>
  <c r="AA375" i="1"/>
  <c r="P375" i="1"/>
  <c r="G375" i="1"/>
  <c r="AG375" i="1" s="1"/>
  <c r="AM374" i="1"/>
  <c r="AL374" i="1"/>
  <c r="AJ374" i="1"/>
  <c r="AC374" i="1"/>
  <c r="AA374" i="1"/>
  <c r="P374" i="1"/>
  <c r="G374" i="1"/>
  <c r="AM373" i="1"/>
  <c r="AL373" i="1"/>
  <c r="AJ373" i="1"/>
  <c r="AC373" i="1"/>
  <c r="AA373" i="1"/>
  <c r="P373" i="1"/>
  <c r="G373" i="1"/>
  <c r="AG373" i="1" s="1"/>
  <c r="AM372" i="1"/>
  <c r="AL372" i="1"/>
  <c r="AJ372" i="1"/>
  <c r="AC372" i="1"/>
  <c r="AA372" i="1"/>
  <c r="P372" i="1"/>
  <c r="G372" i="1"/>
  <c r="AM371" i="1"/>
  <c r="AL371" i="1"/>
  <c r="AJ371" i="1"/>
  <c r="AC371" i="1"/>
  <c r="AA371" i="1"/>
  <c r="P371" i="1"/>
  <c r="G371" i="1"/>
  <c r="AG371" i="1" s="1"/>
  <c r="AM370" i="1"/>
  <c r="AL370" i="1"/>
  <c r="AJ370" i="1"/>
  <c r="AC370" i="1"/>
  <c r="AA370" i="1"/>
  <c r="P370" i="1"/>
  <c r="G370" i="1"/>
  <c r="AM369" i="1"/>
  <c r="AL369" i="1"/>
  <c r="AJ369" i="1"/>
  <c r="AC369" i="1"/>
  <c r="AA369" i="1"/>
  <c r="P369" i="1"/>
  <c r="G369" i="1"/>
  <c r="AG369" i="1" s="1"/>
  <c r="AM368" i="1"/>
  <c r="AL368" i="1"/>
  <c r="AJ368" i="1"/>
  <c r="AC368" i="1"/>
  <c r="AA368" i="1"/>
  <c r="P368" i="1"/>
  <c r="G368" i="1"/>
  <c r="AM367" i="1"/>
  <c r="AL367" i="1"/>
  <c r="AJ367" i="1"/>
  <c r="AC367" i="1"/>
  <c r="AA367" i="1"/>
  <c r="P367" i="1"/>
  <c r="G367" i="1"/>
  <c r="AG367" i="1" s="1"/>
  <c r="AM366" i="1"/>
  <c r="AL366" i="1"/>
  <c r="AJ366" i="1"/>
  <c r="AC366" i="1"/>
  <c r="AA366" i="1"/>
  <c r="P366" i="1"/>
  <c r="G366" i="1"/>
  <c r="AM365" i="1"/>
  <c r="AL365" i="1"/>
  <c r="AJ365" i="1"/>
  <c r="AC365" i="1"/>
  <c r="AA365" i="1"/>
  <c r="P365" i="1"/>
  <c r="G365" i="1"/>
  <c r="AG365" i="1" s="1"/>
  <c r="AM364" i="1"/>
  <c r="AL364" i="1"/>
  <c r="AJ364" i="1"/>
  <c r="AC364" i="1"/>
  <c r="AA364" i="1"/>
  <c r="P364" i="1"/>
  <c r="G364" i="1"/>
  <c r="AM363" i="1"/>
  <c r="AL363" i="1"/>
  <c r="AJ363" i="1"/>
  <c r="AC363" i="1"/>
  <c r="AA363" i="1"/>
  <c r="P363" i="1"/>
  <c r="G363" i="1"/>
  <c r="AG363" i="1" s="1"/>
  <c r="AM362" i="1"/>
  <c r="AL362" i="1"/>
  <c r="AJ362" i="1"/>
  <c r="AC362" i="1"/>
  <c r="AA362" i="1"/>
  <c r="P362" i="1"/>
  <c r="G362" i="1"/>
  <c r="AM361" i="1"/>
  <c r="AL361" i="1"/>
  <c r="AJ361" i="1"/>
  <c r="AC361" i="1"/>
  <c r="AA361" i="1"/>
  <c r="P361" i="1"/>
  <c r="G361" i="1"/>
  <c r="AG361" i="1" s="1"/>
  <c r="AM360" i="1"/>
  <c r="AL360" i="1"/>
  <c r="AJ360" i="1"/>
  <c r="AC360" i="1"/>
  <c r="AA360" i="1"/>
  <c r="P360" i="1"/>
  <c r="G360" i="1"/>
  <c r="AM359" i="1"/>
  <c r="AL359" i="1"/>
  <c r="AJ359" i="1"/>
  <c r="AC359" i="1"/>
  <c r="AA359" i="1"/>
  <c r="P359" i="1"/>
  <c r="G359" i="1"/>
  <c r="AG359" i="1" s="1"/>
  <c r="AM358" i="1"/>
  <c r="AL358" i="1"/>
  <c r="AJ358" i="1"/>
  <c r="AC358" i="1"/>
  <c r="AA358" i="1"/>
  <c r="P358" i="1"/>
  <c r="G358" i="1"/>
  <c r="AM357" i="1"/>
  <c r="AL357" i="1"/>
  <c r="AJ357" i="1"/>
  <c r="AC357" i="1"/>
  <c r="AA357" i="1"/>
  <c r="P357" i="1"/>
  <c r="G357" i="1"/>
  <c r="AG357" i="1" s="1"/>
  <c r="AM356" i="1"/>
  <c r="AL356" i="1"/>
  <c r="AJ356" i="1"/>
  <c r="AC356" i="1"/>
  <c r="AA356" i="1"/>
  <c r="P356" i="1"/>
  <c r="G356" i="1"/>
  <c r="AM355" i="1"/>
  <c r="AL355" i="1"/>
  <c r="AJ355" i="1"/>
  <c r="AC355" i="1"/>
  <c r="AA355" i="1"/>
  <c r="P355" i="1"/>
  <c r="G355" i="1"/>
  <c r="AG355" i="1" s="1"/>
  <c r="AM354" i="1"/>
  <c r="AL354" i="1"/>
  <c r="AJ354" i="1"/>
  <c r="AC354" i="1"/>
  <c r="AA354" i="1"/>
  <c r="P354" i="1"/>
  <c r="G354" i="1"/>
  <c r="AM353" i="1"/>
  <c r="AL353" i="1"/>
  <c r="AJ353" i="1"/>
  <c r="AC353" i="1"/>
  <c r="AA353" i="1"/>
  <c r="P353" i="1"/>
  <c r="G353" i="1"/>
  <c r="AG353" i="1" s="1"/>
  <c r="AM352" i="1"/>
  <c r="AL352" i="1"/>
  <c r="AJ352" i="1"/>
  <c r="AC352" i="1"/>
  <c r="AA352" i="1"/>
  <c r="P352" i="1"/>
  <c r="G352" i="1"/>
  <c r="AM351" i="1"/>
  <c r="AL351" i="1"/>
  <c r="AJ351" i="1"/>
  <c r="AC351" i="1"/>
  <c r="AA351" i="1"/>
  <c r="P351" i="1"/>
  <c r="G351" i="1"/>
  <c r="AG351" i="1" s="1"/>
  <c r="AM350" i="1"/>
  <c r="AL350" i="1"/>
  <c r="AJ350" i="1"/>
  <c r="AC350" i="1"/>
  <c r="AA350" i="1"/>
  <c r="P350" i="1"/>
  <c r="G350" i="1"/>
  <c r="AM349" i="1"/>
  <c r="AL349" i="1"/>
  <c r="AJ349" i="1"/>
  <c r="AC349" i="1"/>
  <c r="AA349" i="1"/>
  <c r="P349" i="1"/>
  <c r="G349" i="1"/>
  <c r="AG349" i="1" s="1"/>
  <c r="AM348" i="1"/>
  <c r="AL348" i="1"/>
  <c r="AJ348" i="1"/>
  <c r="AC348" i="1"/>
  <c r="AA348" i="1"/>
  <c r="P348" i="1"/>
  <c r="G348" i="1"/>
  <c r="AM347" i="1"/>
  <c r="AL347" i="1"/>
  <c r="AJ347" i="1"/>
  <c r="AC347" i="1"/>
  <c r="AA347" i="1"/>
  <c r="P347" i="1"/>
  <c r="G347" i="1"/>
  <c r="AG347" i="1" s="1"/>
  <c r="AM346" i="1"/>
  <c r="AL346" i="1"/>
  <c r="AJ346" i="1"/>
  <c r="AC346" i="1"/>
  <c r="AA346" i="1"/>
  <c r="P346" i="1"/>
  <c r="G346" i="1"/>
  <c r="AM345" i="1"/>
  <c r="AL345" i="1"/>
  <c r="AJ345" i="1"/>
  <c r="AC345" i="1"/>
  <c r="AA345" i="1"/>
  <c r="P345" i="1"/>
  <c r="G345" i="1"/>
  <c r="AG345" i="1" s="1"/>
  <c r="AM344" i="1"/>
  <c r="AL344" i="1"/>
  <c r="AJ344" i="1"/>
  <c r="AC344" i="1"/>
  <c r="AA344" i="1"/>
  <c r="P344" i="1"/>
  <c r="G344" i="1"/>
  <c r="AM343" i="1"/>
  <c r="AL343" i="1"/>
  <c r="AJ343" i="1"/>
  <c r="AC343" i="1"/>
  <c r="AA343" i="1"/>
  <c r="P343" i="1"/>
  <c r="G343" i="1"/>
  <c r="AG343" i="1" s="1"/>
  <c r="AM342" i="1"/>
  <c r="AL342" i="1"/>
  <c r="AJ342" i="1"/>
  <c r="AC342" i="1"/>
  <c r="AA342" i="1"/>
  <c r="P342" i="1"/>
  <c r="G342" i="1"/>
  <c r="AM341" i="1"/>
  <c r="AL341" i="1"/>
  <c r="AJ341" i="1"/>
  <c r="AC341" i="1"/>
  <c r="AA341" i="1"/>
  <c r="P341" i="1"/>
  <c r="G341" i="1"/>
  <c r="AG341" i="1" s="1"/>
  <c r="AM340" i="1"/>
  <c r="AL340" i="1"/>
  <c r="AJ340" i="1"/>
  <c r="AC340" i="1"/>
  <c r="AA340" i="1"/>
  <c r="P340" i="1"/>
  <c r="G340" i="1"/>
  <c r="AM339" i="1"/>
  <c r="AL339" i="1"/>
  <c r="AJ339" i="1"/>
  <c r="AC339" i="1"/>
  <c r="AA339" i="1"/>
  <c r="P339" i="1"/>
  <c r="G339" i="1"/>
  <c r="AG339" i="1" s="1"/>
  <c r="AM338" i="1"/>
  <c r="AL338" i="1"/>
  <c r="AJ338" i="1"/>
  <c r="AC338" i="1"/>
  <c r="AA338" i="1"/>
  <c r="P338" i="1"/>
  <c r="G338" i="1"/>
  <c r="AM337" i="1"/>
  <c r="AL337" i="1"/>
  <c r="AJ337" i="1"/>
  <c r="AC337" i="1"/>
  <c r="AA337" i="1"/>
  <c r="P337" i="1"/>
  <c r="G337" i="1"/>
  <c r="AG337" i="1" s="1"/>
  <c r="AM336" i="1"/>
  <c r="AL336" i="1"/>
  <c r="AJ336" i="1"/>
  <c r="AC336" i="1"/>
  <c r="AA336" i="1"/>
  <c r="P336" i="1"/>
  <c r="G336" i="1"/>
  <c r="AM335" i="1"/>
  <c r="AL335" i="1"/>
  <c r="AJ335" i="1"/>
  <c r="AC335" i="1"/>
  <c r="AA335" i="1"/>
  <c r="P335" i="1"/>
  <c r="G335" i="1"/>
  <c r="AM334" i="1"/>
  <c r="AL334" i="1"/>
  <c r="AJ334" i="1"/>
  <c r="AC334" i="1"/>
  <c r="AA334" i="1"/>
  <c r="P334" i="1"/>
  <c r="G334" i="1"/>
  <c r="AM333" i="1"/>
  <c r="AL333" i="1"/>
  <c r="AJ333" i="1"/>
  <c r="AC333" i="1"/>
  <c r="AA333" i="1"/>
  <c r="P333" i="1"/>
  <c r="G333" i="1"/>
  <c r="AG333" i="1" s="1"/>
  <c r="AM332" i="1"/>
  <c r="AL332" i="1"/>
  <c r="AJ332" i="1"/>
  <c r="AC332" i="1"/>
  <c r="AA332" i="1"/>
  <c r="P332" i="1"/>
  <c r="G332" i="1"/>
  <c r="AM331" i="1"/>
  <c r="AL331" i="1"/>
  <c r="AJ331" i="1"/>
  <c r="AC331" i="1"/>
  <c r="AA331" i="1"/>
  <c r="P331" i="1"/>
  <c r="G331" i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G328" i="1"/>
  <c r="AM327" i="1"/>
  <c r="AL327" i="1"/>
  <c r="AJ327" i="1"/>
  <c r="AC327" i="1"/>
  <c r="AA327" i="1"/>
  <c r="P327" i="1"/>
  <c r="G327" i="1"/>
  <c r="AO326" i="1"/>
  <c r="AM326" i="1"/>
  <c r="AL326" i="1"/>
  <c r="AJ326" i="1"/>
  <c r="AC326" i="1"/>
  <c r="AA326" i="1"/>
  <c r="P326" i="1"/>
  <c r="G326" i="1"/>
  <c r="AO325" i="1"/>
  <c r="AM325" i="1"/>
  <c r="AL325" i="1"/>
  <c r="AJ325" i="1"/>
  <c r="AC325" i="1"/>
  <c r="AA325" i="1"/>
  <c r="P325" i="1"/>
  <c r="G325" i="1"/>
  <c r="AO324" i="1"/>
  <c r="AM324" i="1"/>
  <c r="AL324" i="1"/>
  <c r="AJ324" i="1"/>
  <c r="AC324" i="1"/>
  <c r="AA324" i="1"/>
  <c r="P324" i="1"/>
  <c r="G324" i="1"/>
  <c r="AO323" i="1"/>
  <c r="AM323" i="1"/>
  <c r="AL323" i="1"/>
  <c r="AJ323" i="1"/>
  <c r="AC323" i="1"/>
  <c r="AA323" i="1"/>
  <c r="P323" i="1"/>
  <c r="G323" i="1"/>
  <c r="AO322" i="1"/>
  <c r="AM322" i="1"/>
  <c r="AL322" i="1"/>
  <c r="AJ322" i="1"/>
  <c r="AC322" i="1"/>
  <c r="AA322" i="1"/>
  <c r="P322" i="1"/>
  <c r="G322" i="1"/>
  <c r="AO321" i="1"/>
  <c r="AM321" i="1"/>
  <c r="AL321" i="1"/>
  <c r="AJ321" i="1"/>
  <c r="AC321" i="1"/>
  <c r="AA321" i="1"/>
  <c r="P321" i="1"/>
  <c r="G321" i="1"/>
  <c r="AO320" i="1"/>
  <c r="AM320" i="1"/>
  <c r="AL320" i="1"/>
  <c r="AJ320" i="1"/>
  <c r="AC320" i="1"/>
  <c r="AA320" i="1"/>
  <c r="P320" i="1"/>
  <c r="G320" i="1"/>
  <c r="AO319" i="1"/>
  <c r="AM319" i="1"/>
  <c r="AL319" i="1"/>
  <c r="AJ319" i="1"/>
  <c r="AC319" i="1"/>
  <c r="AA319" i="1"/>
  <c r="P319" i="1"/>
  <c r="G319" i="1"/>
  <c r="AO318" i="1"/>
  <c r="AM318" i="1"/>
  <c r="AL318" i="1"/>
  <c r="AJ318" i="1"/>
  <c r="AC318" i="1"/>
  <c r="AA318" i="1"/>
  <c r="P318" i="1"/>
  <c r="G318" i="1"/>
  <c r="AO317" i="1"/>
  <c r="AM317" i="1"/>
  <c r="AL317" i="1"/>
  <c r="AJ317" i="1"/>
  <c r="AC317" i="1"/>
  <c r="AA317" i="1"/>
  <c r="P317" i="1"/>
  <c r="G317" i="1"/>
  <c r="AO316" i="1"/>
  <c r="AM316" i="1"/>
  <c r="AL316" i="1"/>
  <c r="AJ316" i="1"/>
  <c r="AC316" i="1"/>
  <c r="AA316" i="1"/>
  <c r="P316" i="1"/>
  <c r="G316" i="1"/>
  <c r="AO315" i="1"/>
  <c r="AM315" i="1"/>
  <c r="AL315" i="1"/>
  <c r="AJ315" i="1"/>
  <c r="AC315" i="1"/>
  <c r="AA315" i="1"/>
  <c r="P315" i="1"/>
  <c r="G315" i="1"/>
  <c r="AO314" i="1"/>
  <c r="AM314" i="1"/>
  <c r="AL314" i="1"/>
  <c r="AJ314" i="1"/>
  <c r="AC314" i="1"/>
  <c r="AA314" i="1"/>
  <c r="P314" i="1"/>
  <c r="G314" i="1"/>
  <c r="AO313" i="1"/>
  <c r="AM313" i="1"/>
  <c r="AL313" i="1"/>
  <c r="AJ313" i="1"/>
  <c r="AC313" i="1"/>
  <c r="AA313" i="1"/>
  <c r="P313" i="1"/>
  <c r="G313" i="1"/>
  <c r="AO312" i="1"/>
  <c r="AM312" i="1"/>
  <c r="AL312" i="1"/>
  <c r="AJ312" i="1"/>
  <c r="AC312" i="1"/>
  <c r="AA312" i="1"/>
  <c r="P312" i="1"/>
  <c r="G312" i="1"/>
  <c r="AO311" i="1"/>
  <c r="AM311" i="1"/>
  <c r="AL311" i="1"/>
  <c r="AJ311" i="1"/>
  <c r="AC311" i="1"/>
  <c r="AA311" i="1"/>
  <c r="P311" i="1"/>
  <c r="G311" i="1"/>
  <c r="AO310" i="1"/>
  <c r="AM310" i="1"/>
  <c r="AL310" i="1"/>
  <c r="AJ310" i="1"/>
  <c r="AC310" i="1"/>
  <c r="AA310" i="1"/>
  <c r="P310" i="1"/>
  <c r="G310" i="1"/>
  <c r="AO309" i="1"/>
  <c r="AM309" i="1"/>
  <c r="AL309" i="1"/>
  <c r="AJ309" i="1"/>
  <c r="AC309" i="1"/>
  <c r="AA309" i="1"/>
  <c r="P309" i="1"/>
  <c r="G309" i="1"/>
  <c r="AO308" i="1"/>
  <c r="AM308" i="1"/>
  <c r="AL308" i="1"/>
  <c r="AJ308" i="1"/>
  <c r="AC308" i="1"/>
  <c r="AA308" i="1"/>
  <c r="P308" i="1"/>
  <c r="G308" i="1"/>
  <c r="AO307" i="1"/>
  <c r="AM307" i="1"/>
  <c r="AL307" i="1"/>
  <c r="AJ307" i="1"/>
  <c r="AC307" i="1"/>
  <c r="AA307" i="1"/>
  <c r="P307" i="1"/>
  <c r="G307" i="1"/>
  <c r="AO306" i="1"/>
  <c r="AM306" i="1"/>
  <c r="AL306" i="1"/>
  <c r="AJ306" i="1"/>
  <c r="AC306" i="1"/>
  <c r="AA306" i="1"/>
  <c r="P306" i="1"/>
  <c r="G306" i="1"/>
  <c r="AO305" i="1"/>
  <c r="AM305" i="1"/>
  <c r="AL305" i="1"/>
  <c r="AJ305" i="1"/>
  <c r="AC305" i="1"/>
  <c r="AA305" i="1"/>
  <c r="P305" i="1"/>
  <c r="G305" i="1"/>
  <c r="AO304" i="1"/>
  <c r="AM304" i="1"/>
  <c r="AL304" i="1"/>
  <c r="AJ304" i="1"/>
  <c r="AC304" i="1"/>
  <c r="AA304" i="1"/>
  <c r="P304" i="1"/>
  <c r="G304" i="1"/>
  <c r="AO303" i="1"/>
  <c r="AM303" i="1"/>
  <c r="AL303" i="1"/>
  <c r="AJ303" i="1"/>
  <c r="AC303" i="1"/>
  <c r="AA303" i="1"/>
  <c r="P303" i="1"/>
  <c r="G303" i="1"/>
  <c r="AO302" i="1"/>
  <c r="AM302" i="1"/>
  <c r="AL302" i="1"/>
  <c r="AJ302" i="1"/>
  <c r="AC302" i="1"/>
  <c r="AA302" i="1"/>
  <c r="P302" i="1"/>
  <c r="G302" i="1"/>
  <c r="AO301" i="1"/>
  <c r="AM301" i="1"/>
  <c r="AL301" i="1"/>
  <c r="AJ301" i="1"/>
  <c r="AC301" i="1"/>
  <c r="AA301" i="1"/>
  <c r="P301" i="1"/>
  <c r="G301" i="1"/>
  <c r="AO300" i="1"/>
  <c r="AM300" i="1"/>
  <c r="AL300" i="1"/>
  <c r="AJ300" i="1"/>
  <c r="AC300" i="1"/>
  <c r="AA300" i="1"/>
  <c r="P300" i="1"/>
  <c r="G300" i="1"/>
  <c r="AO299" i="1"/>
  <c r="AM299" i="1"/>
  <c r="AL299" i="1"/>
  <c r="AJ299" i="1"/>
  <c r="AC299" i="1"/>
  <c r="AA299" i="1"/>
  <c r="P299" i="1"/>
  <c r="G299" i="1"/>
  <c r="AO298" i="1"/>
  <c r="AM298" i="1"/>
  <c r="AL298" i="1"/>
  <c r="AJ298" i="1"/>
  <c r="AC298" i="1"/>
  <c r="AA298" i="1"/>
  <c r="P298" i="1"/>
  <c r="G298" i="1"/>
  <c r="AO297" i="1"/>
  <c r="AM297" i="1"/>
  <c r="AL297" i="1"/>
  <c r="AJ297" i="1"/>
  <c r="AC297" i="1"/>
  <c r="AA297" i="1"/>
  <c r="P297" i="1"/>
  <c r="G297" i="1"/>
  <c r="AO296" i="1"/>
  <c r="AM296" i="1"/>
  <c r="AL296" i="1"/>
  <c r="AJ296" i="1"/>
  <c r="AC296" i="1"/>
  <c r="AA296" i="1"/>
  <c r="P296" i="1"/>
  <c r="G296" i="1"/>
  <c r="AO295" i="1"/>
  <c r="AM295" i="1"/>
  <c r="AL295" i="1"/>
  <c r="AJ295" i="1"/>
  <c r="AC295" i="1"/>
  <c r="AA295" i="1"/>
  <c r="P295" i="1"/>
  <c r="G295" i="1"/>
  <c r="AO294" i="1"/>
  <c r="AM294" i="1"/>
  <c r="AL294" i="1"/>
  <c r="AJ294" i="1"/>
  <c r="AC294" i="1"/>
  <c r="AA294" i="1"/>
  <c r="P294" i="1"/>
  <c r="G294" i="1"/>
  <c r="AO293" i="1"/>
  <c r="AM293" i="1"/>
  <c r="AL293" i="1"/>
  <c r="AJ293" i="1"/>
  <c r="AC293" i="1"/>
  <c r="AA293" i="1"/>
  <c r="P293" i="1"/>
  <c r="G293" i="1"/>
  <c r="AO292" i="1"/>
  <c r="AM292" i="1"/>
  <c r="AL292" i="1"/>
  <c r="AJ292" i="1"/>
  <c r="AC292" i="1"/>
  <c r="AA292" i="1"/>
  <c r="P292" i="1"/>
  <c r="G292" i="1"/>
  <c r="AO291" i="1"/>
  <c r="AM291" i="1"/>
  <c r="AL291" i="1"/>
  <c r="AJ291" i="1"/>
  <c r="AC291" i="1"/>
  <c r="AA291" i="1"/>
  <c r="P291" i="1"/>
  <c r="G291" i="1"/>
  <c r="AO290" i="1"/>
  <c r="AM290" i="1"/>
  <c r="AL290" i="1"/>
  <c r="AJ290" i="1"/>
  <c r="AC290" i="1"/>
  <c r="AA290" i="1"/>
  <c r="P290" i="1"/>
  <c r="G290" i="1"/>
  <c r="AO289" i="1"/>
  <c r="AM289" i="1"/>
  <c r="AL289" i="1"/>
  <c r="AJ289" i="1"/>
  <c r="AC289" i="1"/>
  <c r="AA289" i="1"/>
  <c r="P289" i="1"/>
  <c r="G289" i="1"/>
  <c r="AO288" i="1"/>
  <c r="AM288" i="1"/>
  <c r="AL288" i="1"/>
  <c r="AJ288" i="1"/>
  <c r="AC288" i="1"/>
  <c r="AA288" i="1"/>
  <c r="P288" i="1"/>
  <c r="G288" i="1"/>
  <c r="AO287" i="1"/>
  <c r="AM287" i="1"/>
  <c r="AL287" i="1"/>
  <c r="AJ287" i="1"/>
  <c r="AC287" i="1"/>
  <c r="AA287" i="1"/>
  <c r="P287" i="1"/>
  <c r="G287" i="1"/>
  <c r="AO286" i="1"/>
  <c r="AM286" i="1"/>
  <c r="AL286" i="1"/>
  <c r="AJ286" i="1"/>
  <c r="AC286" i="1"/>
  <c r="AA286" i="1"/>
  <c r="P286" i="1"/>
  <c r="G286" i="1"/>
  <c r="AO285" i="1"/>
  <c r="AM285" i="1"/>
  <c r="AL285" i="1"/>
  <c r="AJ285" i="1"/>
  <c r="AC285" i="1"/>
  <c r="AA285" i="1"/>
  <c r="P285" i="1"/>
  <c r="G285" i="1"/>
  <c r="AO284" i="1"/>
  <c r="AM284" i="1"/>
  <c r="AL284" i="1"/>
  <c r="AJ284" i="1"/>
  <c r="AC284" i="1"/>
  <c r="AA284" i="1"/>
  <c r="P284" i="1"/>
  <c r="G284" i="1"/>
  <c r="AO283" i="1"/>
  <c r="AM283" i="1"/>
  <c r="AL283" i="1"/>
  <c r="AJ283" i="1"/>
  <c r="AC283" i="1"/>
  <c r="AA283" i="1"/>
  <c r="P283" i="1"/>
  <c r="G283" i="1"/>
  <c r="AO282" i="1"/>
  <c r="AM282" i="1"/>
  <c r="AL282" i="1"/>
  <c r="AJ282" i="1"/>
  <c r="AC282" i="1"/>
  <c r="AA282" i="1"/>
  <c r="P282" i="1"/>
  <c r="G282" i="1"/>
  <c r="AO281" i="1"/>
  <c r="AM281" i="1"/>
  <c r="AL281" i="1"/>
  <c r="AJ281" i="1"/>
  <c r="AC281" i="1"/>
  <c r="AA281" i="1"/>
  <c r="P281" i="1"/>
  <c r="G281" i="1"/>
  <c r="AO280" i="1"/>
  <c r="AM280" i="1"/>
  <c r="AL280" i="1"/>
  <c r="AJ280" i="1"/>
  <c r="AC280" i="1"/>
  <c r="AA280" i="1"/>
  <c r="P280" i="1"/>
  <c r="G280" i="1"/>
  <c r="AO279" i="1"/>
  <c r="AM279" i="1"/>
  <c r="AL279" i="1"/>
  <c r="AJ279" i="1"/>
  <c r="AC279" i="1"/>
  <c r="AA279" i="1"/>
  <c r="P279" i="1"/>
  <c r="G279" i="1"/>
  <c r="AO278" i="1"/>
  <c r="AM278" i="1"/>
  <c r="AL278" i="1"/>
  <c r="AJ278" i="1"/>
  <c r="AC278" i="1"/>
  <c r="AA278" i="1"/>
  <c r="P278" i="1"/>
  <c r="G278" i="1"/>
  <c r="AO277" i="1"/>
  <c r="AM277" i="1"/>
  <c r="AL277" i="1"/>
  <c r="AJ277" i="1"/>
  <c r="AC277" i="1"/>
  <c r="AA277" i="1"/>
  <c r="P277" i="1"/>
  <c r="G277" i="1"/>
  <c r="AO276" i="1"/>
  <c r="AM276" i="1"/>
  <c r="AL276" i="1"/>
  <c r="AJ276" i="1"/>
  <c r="AC276" i="1"/>
  <c r="AA276" i="1"/>
  <c r="P276" i="1"/>
  <c r="G276" i="1"/>
  <c r="AO275" i="1"/>
  <c r="AM275" i="1"/>
  <c r="AL275" i="1"/>
  <c r="AJ275" i="1"/>
  <c r="AC275" i="1"/>
  <c r="AA275" i="1"/>
  <c r="P275" i="1"/>
  <c r="G275" i="1"/>
  <c r="AO274" i="1"/>
  <c r="AM274" i="1"/>
  <c r="AL274" i="1"/>
  <c r="AJ274" i="1"/>
  <c r="AC274" i="1"/>
  <c r="AA274" i="1"/>
  <c r="P274" i="1"/>
  <c r="G274" i="1"/>
  <c r="AO273" i="1"/>
  <c r="AM273" i="1"/>
  <c r="AL273" i="1"/>
  <c r="AJ273" i="1"/>
  <c r="AC273" i="1"/>
  <c r="AA273" i="1"/>
  <c r="P273" i="1"/>
  <c r="G273" i="1"/>
  <c r="AO272" i="1"/>
  <c r="AM272" i="1"/>
  <c r="AL272" i="1"/>
  <c r="AJ272" i="1"/>
  <c r="AC272" i="1"/>
  <c r="AA272" i="1"/>
  <c r="P272" i="1"/>
  <c r="G272" i="1"/>
  <c r="AG272" i="1" s="1"/>
  <c r="AO271" i="1"/>
  <c r="AM271" i="1"/>
  <c r="AL271" i="1"/>
  <c r="AJ271" i="1"/>
  <c r="AC271" i="1"/>
  <c r="AA271" i="1"/>
  <c r="P271" i="1"/>
  <c r="G271" i="1"/>
  <c r="AO270" i="1"/>
  <c r="AM270" i="1"/>
  <c r="AL270" i="1"/>
  <c r="AJ270" i="1"/>
  <c r="AC270" i="1"/>
  <c r="AA270" i="1"/>
  <c r="P270" i="1"/>
  <c r="G270" i="1"/>
  <c r="AG270" i="1" s="1"/>
  <c r="AO269" i="1"/>
  <c r="AM269" i="1"/>
  <c r="AL269" i="1"/>
  <c r="AJ269" i="1"/>
  <c r="AC269" i="1"/>
  <c r="AA269" i="1"/>
  <c r="P269" i="1"/>
  <c r="G269" i="1"/>
  <c r="AG269" i="1" s="1"/>
  <c r="AO268" i="1"/>
  <c r="AM268" i="1"/>
  <c r="AL268" i="1"/>
  <c r="AJ268" i="1"/>
  <c r="AC268" i="1"/>
  <c r="AA268" i="1"/>
  <c r="P268" i="1"/>
  <c r="G268" i="1"/>
  <c r="AG268" i="1" s="1"/>
  <c r="AH268" i="1" s="1"/>
  <c r="AO267" i="1"/>
  <c r="AM267" i="1"/>
  <c r="AL267" i="1"/>
  <c r="AJ267" i="1"/>
  <c r="AC267" i="1"/>
  <c r="AA267" i="1"/>
  <c r="P267" i="1"/>
  <c r="G267" i="1"/>
  <c r="AO266" i="1"/>
  <c r="AM266" i="1"/>
  <c r="AL266" i="1"/>
  <c r="AJ266" i="1"/>
  <c r="AC266" i="1"/>
  <c r="AA266" i="1"/>
  <c r="P266" i="1"/>
  <c r="G266" i="1"/>
  <c r="AG266" i="1" s="1"/>
  <c r="AO265" i="1"/>
  <c r="AM265" i="1"/>
  <c r="AL265" i="1"/>
  <c r="AJ265" i="1"/>
  <c r="AC265" i="1"/>
  <c r="AA265" i="1"/>
  <c r="P265" i="1"/>
  <c r="G265" i="1"/>
  <c r="AG265" i="1" s="1"/>
  <c r="AO264" i="1"/>
  <c r="AM264" i="1"/>
  <c r="AL264" i="1"/>
  <c r="AJ264" i="1"/>
  <c r="AC264" i="1"/>
  <c r="AA264" i="1"/>
  <c r="P264" i="1"/>
  <c r="G264" i="1"/>
  <c r="AG264" i="1" s="1"/>
  <c r="AO263" i="1"/>
  <c r="AM263" i="1"/>
  <c r="AL263" i="1"/>
  <c r="AJ263" i="1"/>
  <c r="AC263" i="1"/>
  <c r="AA263" i="1"/>
  <c r="P263" i="1"/>
  <c r="G263" i="1"/>
  <c r="AG263" i="1" s="1"/>
  <c r="AO262" i="1"/>
  <c r="AM262" i="1"/>
  <c r="AL262" i="1"/>
  <c r="AJ262" i="1"/>
  <c r="AC262" i="1"/>
  <c r="AA262" i="1"/>
  <c r="P262" i="1"/>
  <c r="G262" i="1"/>
  <c r="AG262" i="1" s="1"/>
  <c r="AO261" i="1"/>
  <c r="AM261" i="1"/>
  <c r="AL261" i="1"/>
  <c r="AJ261" i="1"/>
  <c r="AC261" i="1"/>
  <c r="AA261" i="1"/>
  <c r="P261" i="1"/>
  <c r="G261" i="1"/>
  <c r="AG261" i="1" s="1"/>
  <c r="AO260" i="1"/>
  <c r="AM260" i="1"/>
  <c r="AL260" i="1"/>
  <c r="AJ260" i="1"/>
  <c r="AC260" i="1"/>
  <c r="AA260" i="1"/>
  <c r="P260" i="1"/>
  <c r="G260" i="1"/>
  <c r="AG260" i="1" s="1"/>
  <c r="AH260" i="1" s="1"/>
  <c r="AK260" i="1" s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C257" i="1"/>
  <c r="AA257" i="1"/>
  <c r="P257" i="1"/>
  <c r="G257" i="1"/>
  <c r="AO256" i="1"/>
  <c r="AM256" i="1"/>
  <c r="AL256" i="1"/>
  <c r="AJ256" i="1"/>
  <c r="AC256" i="1"/>
  <c r="AA256" i="1"/>
  <c r="P256" i="1"/>
  <c r="G256" i="1"/>
  <c r="AO255" i="1"/>
  <c r="AM255" i="1"/>
  <c r="AL255" i="1"/>
  <c r="AJ255" i="1"/>
  <c r="AC255" i="1"/>
  <c r="AA255" i="1"/>
  <c r="P255" i="1"/>
  <c r="G255" i="1"/>
  <c r="AO254" i="1"/>
  <c r="AM254" i="1"/>
  <c r="AL254" i="1"/>
  <c r="AJ254" i="1"/>
  <c r="AC254" i="1"/>
  <c r="AA254" i="1"/>
  <c r="P254" i="1"/>
  <c r="G254" i="1"/>
  <c r="AO253" i="1"/>
  <c r="AM253" i="1"/>
  <c r="AL253" i="1"/>
  <c r="AJ253" i="1"/>
  <c r="AC253" i="1"/>
  <c r="AA253" i="1"/>
  <c r="P253" i="1"/>
  <c r="G253" i="1"/>
  <c r="AO252" i="1"/>
  <c r="AM252" i="1"/>
  <c r="AL252" i="1"/>
  <c r="AJ252" i="1"/>
  <c r="AC252" i="1"/>
  <c r="AA252" i="1"/>
  <c r="P252" i="1"/>
  <c r="G252" i="1"/>
  <c r="AO251" i="1"/>
  <c r="AM251" i="1"/>
  <c r="AL251" i="1"/>
  <c r="AJ251" i="1"/>
  <c r="AC251" i="1"/>
  <c r="AA251" i="1"/>
  <c r="P251" i="1"/>
  <c r="G251" i="1"/>
  <c r="AO250" i="1"/>
  <c r="AM250" i="1"/>
  <c r="AL250" i="1"/>
  <c r="AJ250" i="1"/>
  <c r="AC250" i="1"/>
  <c r="AA250" i="1"/>
  <c r="P250" i="1"/>
  <c r="G250" i="1"/>
  <c r="AO249" i="1"/>
  <c r="AM249" i="1"/>
  <c r="AL249" i="1"/>
  <c r="AJ249" i="1"/>
  <c r="AC249" i="1"/>
  <c r="AA249" i="1"/>
  <c r="P249" i="1"/>
  <c r="G249" i="1"/>
  <c r="AO248" i="1"/>
  <c r="AM248" i="1"/>
  <c r="AL248" i="1"/>
  <c r="AJ248" i="1"/>
  <c r="AC248" i="1"/>
  <c r="AA248" i="1"/>
  <c r="P248" i="1"/>
  <c r="G248" i="1"/>
  <c r="AO247" i="1"/>
  <c r="AM247" i="1"/>
  <c r="AL247" i="1"/>
  <c r="AJ247" i="1"/>
  <c r="AC247" i="1"/>
  <c r="AA247" i="1"/>
  <c r="P247" i="1"/>
  <c r="G247" i="1"/>
  <c r="AO246" i="1"/>
  <c r="AM246" i="1"/>
  <c r="AL246" i="1"/>
  <c r="AJ246" i="1"/>
  <c r="AC246" i="1"/>
  <c r="AA246" i="1"/>
  <c r="P246" i="1"/>
  <c r="G246" i="1"/>
  <c r="AO245" i="1"/>
  <c r="AM245" i="1"/>
  <c r="AL245" i="1"/>
  <c r="AJ245" i="1"/>
  <c r="AC245" i="1"/>
  <c r="AA245" i="1"/>
  <c r="P245" i="1"/>
  <c r="G245" i="1"/>
  <c r="AO244" i="1"/>
  <c r="AM244" i="1"/>
  <c r="AL244" i="1"/>
  <c r="AJ244" i="1"/>
  <c r="AC244" i="1"/>
  <c r="AA244" i="1"/>
  <c r="P244" i="1"/>
  <c r="G244" i="1"/>
  <c r="AO243" i="1"/>
  <c r="AM243" i="1"/>
  <c r="AL243" i="1"/>
  <c r="AJ243" i="1"/>
  <c r="AC243" i="1"/>
  <c r="AA243" i="1"/>
  <c r="P243" i="1"/>
  <c r="G243" i="1"/>
  <c r="AO242" i="1"/>
  <c r="AM242" i="1"/>
  <c r="AL242" i="1"/>
  <c r="AJ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O240" i="1"/>
  <c r="AM240" i="1"/>
  <c r="AL240" i="1"/>
  <c r="AJ240" i="1"/>
  <c r="AC240" i="1"/>
  <c r="AA240" i="1"/>
  <c r="P240" i="1"/>
  <c r="G240" i="1"/>
  <c r="AO239" i="1"/>
  <c r="AM239" i="1"/>
  <c r="AL239" i="1"/>
  <c r="AJ239" i="1"/>
  <c r="AC239" i="1"/>
  <c r="AA239" i="1"/>
  <c r="P239" i="1"/>
  <c r="G239" i="1"/>
  <c r="AO238" i="1"/>
  <c r="AM238" i="1"/>
  <c r="AL238" i="1"/>
  <c r="AJ238" i="1"/>
  <c r="AC238" i="1"/>
  <c r="AA238" i="1"/>
  <c r="P238" i="1"/>
  <c r="G238" i="1"/>
  <c r="AO237" i="1"/>
  <c r="AM237" i="1"/>
  <c r="AL237" i="1"/>
  <c r="AJ237" i="1"/>
  <c r="AC237" i="1"/>
  <c r="AA237" i="1"/>
  <c r="P237" i="1"/>
  <c r="G237" i="1"/>
  <c r="AG237" i="1" s="1"/>
  <c r="AO236" i="1"/>
  <c r="AM236" i="1"/>
  <c r="AL236" i="1"/>
  <c r="AJ236" i="1"/>
  <c r="AC236" i="1"/>
  <c r="AA236" i="1"/>
  <c r="P236" i="1"/>
  <c r="G236" i="1"/>
  <c r="AG236" i="1" s="1"/>
  <c r="AO235" i="1"/>
  <c r="AM235" i="1"/>
  <c r="AL235" i="1"/>
  <c r="AJ235" i="1"/>
  <c r="AC235" i="1"/>
  <c r="AA235" i="1"/>
  <c r="P235" i="1"/>
  <c r="G235" i="1"/>
  <c r="AG235" i="1" s="1"/>
  <c r="AO234" i="1"/>
  <c r="AM234" i="1"/>
  <c r="AL234" i="1"/>
  <c r="AJ234" i="1"/>
  <c r="AC234" i="1"/>
  <c r="AA234" i="1"/>
  <c r="P234" i="1"/>
  <c r="G234" i="1"/>
  <c r="AG234" i="1" s="1"/>
  <c r="AO233" i="1"/>
  <c r="AM233" i="1"/>
  <c r="AL233" i="1"/>
  <c r="AJ233" i="1"/>
  <c r="AC233" i="1"/>
  <c r="AA233" i="1"/>
  <c r="P233" i="1"/>
  <c r="G233" i="1"/>
  <c r="AG233" i="1" s="1"/>
  <c r="AO232" i="1"/>
  <c r="AM232" i="1"/>
  <c r="AL232" i="1"/>
  <c r="AJ232" i="1"/>
  <c r="AC232" i="1"/>
  <c r="AA232" i="1"/>
  <c r="P232" i="1"/>
  <c r="G232" i="1"/>
  <c r="AG232" i="1" s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G230" i="1"/>
  <c r="AG230" i="1" s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C228" i="1"/>
  <c r="AA228" i="1"/>
  <c r="P228" i="1"/>
  <c r="G228" i="1"/>
  <c r="AG228" i="1" s="1"/>
  <c r="AO227" i="1"/>
  <c r="AM227" i="1"/>
  <c r="AL227" i="1"/>
  <c r="AJ227" i="1"/>
  <c r="AC227" i="1"/>
  <c r="AA227" i="1"/>
  <c r="P227" i="1"/>
  <c r="G227" i="1"/>
  <c r="AG227" i="1" s="1"/>
  <c r="AO226" i="1"/>
  <c r="AM226" i="1"/>
  <c r="AL226" i="1"/>
  <c r="AJ226" i="1"/>
  <c r="AC226" i="1"/>
  <c r="AA226" i="1"/>
  <c r="P226" i="1"/>
  <c r="G226" i="1"/>
  <c r="AG226" i="1" s="1"/>
  <c r="AO225" i="1"/>
  <c r="AM225" i="1"/>
  <c r="AL225" i="1"/>
  <c r="AJ225" i="1"/>
  <c r="AC225" i="1"/>
  <c r="AA225" i="1"/>
  <c r="P225" i="1"/>
  <c r="G225" i="1"/>
  <c r="AG225" i="1" s="1"/>
  <c r="AO224" i="1"/>
  <c r="AM224" i="1"/>
  <c r="AL224" i="1"/>
  <c r="AJ224" i="1"/>
  <c r="AC224" i="1"/>
  <c r="AA224" i="1"/>
  <c r="P224" i="1"/>
  <c r="G224" i="1"/>
  <c r="AG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J222" i="1"/>
  <c r="AC222" i="1"/>
  <c r="AA222" i="1"/>
  <c r="P222" i="1"/>
  <c r="G222" i="1"/>
  <c r="AG222" i="1" s="1"/>
  <c r="AO221" i="1"/>
  <c r="AM221" i="1"/>
  <c r="AL221" i="1"/>
  <c r="AJ221" i="1"/>
  <c r="AC221" i="1"/>
  <c r="AA221" i="1"/>
  <c r="P221" i="1"/>
  <c r="G221" i="1"/>
  <c r="AG221" i="1" s="1"/>
  <c r="AO220" i="1"/>
  <c r="AM220" i="1"/>
  <c r="AL220" i="1"/>
  <c r="AJ220" i="1"/>
  <c r="AC220" i="1"/>
  <c r="AA220" i="1"/>
  <c r="P220" i="1"/>
  <c r="G220" i="1"/>
  <c r="AG220" i="1" s="1"/>
  <c r="AO219" i="1"/>
  <c r="AM219" i="1"/>
  <c r="AL219" i="1"/>
  <c r="AJ219" i="1"/>
  <c r="AC219" i="1"/>
  <c r="AA219" i="1"/>
  <c r="P219" i="1"/>
  <c r="G219" i="1"/>
  <c r="AG219" i="1" s="1"/>
  <c r="AO218" i="1"/>
  <c r="AM218" i="1"/>
  <c r="AL218" i="1"/>
  <c r="AJ218" i="1"/>
  <c r="AC218" i="1"/>
  <c r="AA218" i="1"/>
  <c r="P218" i="1"/>
  <c r="G218" i="1"/>
  <c r="AG218" i="1" s="1"/>
  <c r="AO217" i="1"/>
  <c r="AM217" i="1"/>
  <c r="AL217" i="1"/>
  <c r="AJ217" i="1"/>
  <c r="AC217" i="1"/>
  <c r="AA217" i="1"/>
  <c r="P217" i="1"/>
  <c r="G217" i="1"/>
  <c r="AG217" i="1" s="1"/>
  <c r="AO216" i="1"/>
  <c r="AM216" i="1"/>
  <c r="AL216" i="1"/>
  <c r="AJ216" i="1"/>
  <c r="AC216" i="1"/>
  <c r="AA216" i="1"/>
  <c r="P216" i="1"/>
  <c r="G216" i="1"/>
  <c r="AG216" i="1" s="1"/>
  <c r="AO215" i="1"/>
  <c r="AM215" i="1"/>
  <c r="AL215" i="1"/>
  <c r="AJ215" i="1"/>
  <c r="AC215" i="1"/>
  <c r="AA215" i="1"/>
  <c r="P215" i="1"/>
  <c r="G215" i="1"/>
  <c r="AG215" i="1" s="1"/>
  <c r="AO214" i="1"/>
  <c r="AM214" i="1"/>
  <c r="AL214" i="1"/>
  <c r="AJ214" i="1"/>
  <c r="AC214" i="1"/>
  <c r="AA214" i="1"/>
  <c r="P214" i="1"/>
  <c r="G214" i="1"/>
  <c r="AG214" i="1" s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G209" i="1"/>
  <c r="AG209" i="1" s="1"/>
  <c r="AO208" i="1"/>
  <c r="AM208" i="1"/>
  <c r="AL208" i="1"/>
  <c r="AJ208" i="1"/>
  <c r="AC208" i="1"/>
  <c r="AA208" i="1"/>
  <c r="P208" i="1"/>
  <c r="G208" i="1"/>
  <c r="AG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G206" i="1" s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C204" i="1"/>
  <c r="AA204" i="1"/>
  <c r="P204" i="1"/>
  <c r="G204" i="1"/>
  <c r="AG204" i="1" s="1"/>
  <c r="AO203" i="1"/>
  <c r="AM203" i="1"/>
  <c r="AL203" i="1"/>
  <c r="AJ203" i="1"/>
  <c r="AC203" i="1"/>
  <c r="AA203" i="1"/>
  <c r="P203" i="1"/>
  <c r="G203" i="1"/>
  <c r="AG203" i="1" s="1"/>
  <c r="AO202" i="1"/>
  <c r="AM202" i="1"/>
  <c r="AL202" i="1"/>
  <c r="AJ202" i="1"/>
  <c r="AC202" i="1"/>
  <c r="AA202" i="1"/>
  <c r="P202" i="1"/>
  <c r="G202" i="1"/>
  <c r="AG202" i="1" s="1"/>
  <c r="AO201" i="1"/>
  <c r="AM201" i="1"/>
  <c r="AL201" i="1"/>
  <c r="AJ201" i="1"/>
  <c r="AC201" i="1"/>
  <c r="AA201" i="1"/>
  <c r="P201" i="1"/>
  <c r="G201" i="1"/>
  <c r="AG201" i="1" s="1"/>
  <c r="AO200" i="1"/>
  <c r="AM200" i="1"/>
  <c r="AL200" i="1"/>
  <c r="AJ200" i="1"/>
  <c r="AC200" i="1"/>
  <c r="AA200" i="1"/>
  <c r="P200" i="1"/>
  <c r="G200" i="1"/>
  <c r="AG200" i="1" s="1"/>
  <c r="AO199" i="1"/>
  <c r="AM199" i="1"/>
  <c r="AL199" i="1"/>
  <c r="AJ199" i="1"/>
  <c r="AC199" i="1"/>
  <c r="AA199" i="1"/>
  <c r="P199" i="1"/>
  <c r="G199" i="1"/>
  <c r="AG199" i="1" s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G191" i="1"/>
  <c r="AG191" i="1" s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G185" i="1"/>
  <c r="AG185" i="1" s="1"/>
  <c r="AO184" i="1"/>
  <c r="AM184" i="1"/>
  <c r="AL184" i="1"/>
  <c r="AJ184" i="1"/>
  <c r="AC184" i="1"/>
  <c r="AA184" i="1"/>
  <c r="P184" i="1"/>
  <c r="G184" i="1"/>
  <c r="AG184" i="1" s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G179" i="1"/>
  <c r="AG179" i="1" s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G177" i="1"/>
  <c r="AG177" i="1" s="1"/>
  <c r="AO176" i="1"/>
  <c r="AM176" i="1"/>
  <c r="AL176" i="1"/>
  <c r="AJ176" i="1"/>
  <c r="AC176" i="1"/>
  <c r="AA176" i="1"/>
  <c r="P176" i="1"/>
  <c r="G176" i="1"/>
  <c r="AG176" i="1" s="1"/>
  <c r="AO175" i="1"/>
  <c r="AM175" i="1"/>
  <c r="AL175" i="1"/>
  <c r="AJ175" i="1"/>
  <c r="AC175" i="1"/>
  <c r="AA175" i="1"/>
  <c r="P175" i="1"/>
  <c r="G175" i="1"/>
  <c r="AG175" i="1" s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C173" i="1"/>
  <c r="AA173" i="1"/>
  <c r="P173" i="1"/>
  <c r="G173" i="1"/>
  <c r="AG173" i="1" s="1"/>
  <c r="AO172" i="1"/>
  <c r="AM172" i="1"/>
  <c r="AL172" i="1"/>
  <c r="AJ172" i="1"/>
  <c r="AC172" i="1"/>
  <c r="AA172" i="1"/>
  <c r="P172" i="1"/>
  <c r="G172" i="1"/>
  <c r="AG172" i="1" s="1"/>
  <c r="AO171" i="1"/>
  <c r="AM171" i="1"/>
  <c r="AL171" i="1"/>
  <c r="AJ171" i="1"/>
  <c r="AC171" i="1"/>
  <c r="AA171" i="1"/>
  <c r="P171" i="1"/>
  <c r="G171" i="1"/>
  <c r="AG171" i="1" s="1"/>
  <c r="AO170" i="1"/>
  <c r="AM170" i="1"/>
  <c r="AL170" i="1"/>
  <c r="AJ170" i="1"/>
  <c r="AC170" i="1"/>
  <c r="AA170" i="1"/>
  <c r="P170" i="1"/>
  <c r="G170" i="1"/>
  <c r="AG170" i="1" s="1"/>
  <c r="AO169" i="1"/>
  <c r="AM169" i="1"/>
  <c r="AL169" i="1"/>
  <c r="AJ169" i="1"/>
  <c r="AC169" i="1"/>
  <c r="AA169" i="1"/>
  <c r="P169" i="1"/>
  <c r="G169" i="1"/>
  <c r="AG169" i="1" s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A167" i="1"/>
  <c r="P167" i="1"/>
  <c r="G167" i="1"/>
  <c r="AG167" i="1" s="1"/>
  <c r="AO166" i="1"/>
  <c r="AM166" i="1"/>
  <c r="AL166" i="1"/>
  <c r="AJ166" i="1"/>
  <c r="AC166" i="1"/>
  <c r="AA166" i="1"/>
  <c r="P166" i="1"/>
  <c r="G166" i="1"/>
  <c r="AG166" i="1" s="1"/>
  <c r="AO165" i="1"/>
  <c r="AM165" i="1"/>
  <c r="AL165" i="1"/>
  <c r="AJ165" i="1"/>
  <c r="AC165" i="1"/>
  <c r="AA165" i="1"/>
  <c r="P165" i="1"/>
  <c r="G165" i="1"/>
  <c r="AG165" i="1" s="1"/>
  <c r="AO164" i="1"/>
  <c r="AM164" i="1"/>
  <c r="AL164" i="1"/>
  <c r="AJ164" i="1"/>
  <c r="AC164" i="1"/>
  <c r="AA164" i="1"/>
  <c r="P164" i="1"/>
  <c r="G164" i="1"/>
  <c r="AG164" i="1" s="1"/>
  <c r="AO163" i="1"/>
  <c r="AM163" i="1"/>
  <c r="AL163" i="1"/>
  <c r="AJ163" i="1"/>
  <c r="AC163" i="1"/>
  <c r="AA163" i="1"/>
  <c r="P163" i="1"/>
  <c r="G163" i="1"/>
  <c r="AG163" i="1" s="1"/>
  <c r="AO162" i="1"/>
  <c r="AM162" i="1"/>
  <c r="AL162" i="1"/>
  <c r="AJ162" i="1"/>
  <c r="AC162" i="1"/>
  <c r="AA162" i="1"/>
  <c r="P162" i="1"/>
  <c r="G162" i="1"/>
  <c r="AG162" i="1" s="1"/>
  <c r="AO161" i="1"/>
  <c r="AM161" i="1"/>
  <c r="AL161" i="1"/>
  <c r="AJ161" i="1"/>
  <c r="AC161" i="1"/>
  <c r="AA161" i="1"/>
  <c r="P161" i="1"/>
  <c r="G161" i="1"/>
  <c r="AG161" i="1" s="1"/>
  <c r="AO160" i="1"/>
  <c r="AM160" i="1"/>
  <c r="AL160" i="1"/>
  <c r="AJ160" i="1"/>
  <c r="AC160" i="1"/>
  <c r="AA160" i="1"/>
  <c r="P160" i="1"/>
  <c r="G160" i="1"/>
  <c r="AG160" i="1" s="1"/>
  <c r="AO159" i="1"/>
  <c r="AM159" i="1"/>
  <c r="AL159" i="1"/>
  <c r="AJ159" i="1"/>
  <c r="AC159" i="1"/>
  <c r="AA159" i="1"/>
  <c r="P159" i="1"/>
  <c r="G159" i="1"/>
  <c r="AG159" i="1" s="1"/>
  <c r="AO158" i="1"/>
  <c r="AM158" i="1"/>
  <c r="AL158" i="1"/>
  <c r="AJ158" i="1"/>
  <c r="AC158" i="1"/>
  <c r="AA158" i="1"/>
  <c r="P158" i="1"/>
  <c r="G158" i="1"/>
  <c r="AG158" i="1" s="1"/>
  <c r="AO157" i="1"/>
  <c r="AM157" i="1"/>
  <c r="AL157" i="1"/>
  <c r="AJ157" i="1"/>
  <c r="AC157" i="1"/>
  <c r="AA157" i="1"/>
  <c r="P157" i="1"/>
  <c r="G157" i="1"/>
  <c r="AG157" i="1" s="1"/>
  <c r="AO156" i="1"/>
  <c r="AM156" i="1"/>
  <c r="AL156" i="1"/>
  <c r="AJ156" i="1"/>
  <c r="AC156" i="1"/>
  <c r="AA156" i="1"/>
  <c r="P156" i="1"/>
  <c r="G156" i="1"/>
  <c r="AG156" i="1" s="1"/>
  <c r="AO155" i="1"/>
  <c r="AM155" i="1"/>
  <c r="AL155" i="1"/>
  <c r="AJ155" i="1"/>
  <c r="AC155" i="1"/>
  <c r="AA155" i="1"/>
  <c r="P155" i="1"/>
  <c r="G155" i="1"/>
  <c r="AG155" i="1" s="1"/>
  <c r="AO154" i="1"/>
  <c r="AM154" i="1"/>
  <c r="AL154" i="1"/>
  <c r="AJ154" i="1"/>
  <c r="AC154" i="1"/>
  <c r="AA154" i="1"/>
  <c r="P154" i="1"/>
  <c r="G154" i="1"/>
  <c r="AG154" i="1" s="1"/>
  <c r="AO153" i="1"/>
  <c r="AM153" i="1"/>
  <c r="AL153" i="1"/>
  <c r="AJ153" i="1"/>
  <c r="AC153" i="1"/>
  <c r="AA153" i="1"/>
  <c r="P153" i="1"/>
  <c r="G153" i="1"/>
  <c r="AG153" i="1" s="1"/>
  <c r="AO152" i="1"/>
  <c r="AM152" i="1"/>
  <c r="AL152" i="1"/>
  <c r="AJ152" i="1"/>
  <c r="AC152" i="1"/>
  <c r="AA152" i="1"/>
  <c r="P152" i="1"/>
  <c r="G152" i="1"/>
  <c r="AG152" i="1" s="1"/>
  <c r="AO151" i="1"/>
  <c r="AM151" i="1"/>
  <c r="AL151" i="1"/>
  <c r="AJ151" i="1"/>
  <c r="AC151" i="1"/>
  <c r="AA151" i="1"/>
  <c r="P151" i="1"/>
  <c r="G151" i="1"/>
  <c r="AG151" i="1" s="1"/>
  <c r="AO150" i="1"/>
  <c r="AM150" i="1"/>
  <c r="AL150" i="1"/>
  <c r="AJ150" i="1"/>
  <c r="AC150" i="1"/>
  <c r="AA150" i="1"/>
  <c r="P150" i="1"/>
  <c r="G150" i="1"/>
  <c r="AG150" i="1" s="1"/>
  <c r="AO149" i="1"/>
  <c r="AM149" i="1"/>
  <c r="AL149" i="1"/>
  <c r="AJ149" i="1"/>
  <c r="AC149" i="1"/>
  <c r="AA149" i="1"/>
  <c r="P149" i="1"/>
  <c r="G149" i="1"/>
  <c r="AG149" i="1" s="1"/>
  <c r="AO148" i="1"/>
  <c r="AM148" i="1"/>
  <c r="AL148" i="1"/>
  <c r="AJ148" i="1"/>
  <c r="AC148" i="1"/>
  <c r="AA148" i="1"/>
  <c r="P148" i="1"/>
  <c r="G148" i="1"/>
  <c r="AG148" i="1" s="1"/>
  <c r="AO147" i="1"/>
  <c r="AM147" i="1"/>
  <c r="AL147" i="1"/>
  <c r="AJ147" i="1"/>
  <c r="AC147" i="1"/>
  <c r="AA147" i="1"/>
  <c r="P147" i="1"/>
  <c r="G147" i="1"/>
  <c r="AG147" i="1" s="1"/>
  <c r="AO146" i="1"/>
  <c r="AM146" i="1"/>
  <c r="AL146" i="1"/>
  <c r="AJ146" i="1"/>
  <c r="AC146" i="1"/>
  <c r="AA146" i="1"/>
  <c r="P146" i="1"/>
  <c r="G146" i="1"/>
  <c r="AG146" i="1" s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L142" i="1"/>
  <c r="AJ142" i="1"/>
  <c r="AG142" i="1"/>
  <c r="AH142" i="1" s="1"/>
  <c r="AC142" i="1"/>
  <c r="AA142" i="1"/>
  <c r="AL141" i="1"/>
  <c r="AJ141" i="1"/>
  <c r="AG141" i="1"/>
  <c r="AC141" i="1"/>
  <c r="AA141" i="1"/>
  <c r="AL140" i="1"/>
  <c r="AJ140" i="1"/>
  <c r="AG140" i="1"/>
  <c r="AC140" i="1"/>
  <c r="AA140" i="1"/>
  <c r="AL139" i="1"/>
  <c r="AJ139" i="1"/>
  <c r="AG139" i="1"/>
  <c r="AC139" i="1"/>
  <c r="AA139" i="1"/>
  <c r="AL138" i="1"/>
  <c r="AJ138" i="1"/>
  <c r="AG138" i="1"/>
  <c r="AH138" i="1" s="1"/>
  <c r="AC138" i="1"/>
  <c r="AA138" i="1"/>
  <c r="AL137" i="1"/>
  <c r="AJ137" i="1"/>
  <c r="AG137" i="1"/>
  <c r="AC137" i="1"/>
  <c r="AA137" i="1"/>
  <c r="AL136" i="1"/>
  <c r="AJ136" i="1"/>
  <c r="AG136" i="1"/>
  <c r="AC136" i="1"/>
  <c r="AA136" i="1"/>
  <c r="AL135" i="1"/>
  <c r="AJ135" i="1"/>
  <c r="AG135" i="1"/>
  <c r="AC135" i="1"/>
  <c r="AA135" i="1"/>
  <c r="AL134" i="1"/>
  <c r="AJ134" i="1"/>
  <c r="AG134" i="1"/>
  <c r="AC134" i="1"/>
  <c r="AA134" i="1"/>
  <c r="AL133" i="1"/>
  <c r="AJ133" i="1"/>
  <c r="AG133" i="1"/>
  <c r="AC133" i="1"/>
  <c r="AA133" i="1"/>
  <c r="AL132" i="1"/>
  <c r="AJ132" i="1"/>
  <c r="AG132" i="1"/>
  <c r="AC132" i="1"/>
  <c r="AA132" i="1"/>
  <c r="AL131" i="1"/>
  <c r="AJ131" i="1"/>
  <c r="AG131" i="1"/>
  <c r="AC131" i="1"/>
  <c r="AA131" i="1"/>
  <c r="AL130" i="1"/>
  <c r="AJ130" i="1"/>
  <c r="AG130" i="1"/>
  <c r="AC130" i="1"/>
  <c r="AA130" i="1"/>
  <c r="AL129" i="1"/>
  <c r="AJ129" i="1"/>
  <c r="AG129" i="1"/>
  <c r="AC129" i="1"/>
  <c r="AA129" i="1"/>
  <c r="AL128" i="1"/>
  <c r="AJ128" i="1"/>
  <c r="AG128" i="1"/>
  <c r="AC128" i="1"/>
  <c r="AA128" i="1"/>
  <c r="AL127" i="1"/>
  <c r="AJ127" i="1"/>
  <c r="AG127" i="1"/>
  <c r="AC127" i="1"/>
  <c r="AA127" i="1"/>
  <c r="AL126" i="1"/>
  <c r="AJ126" i="1"/>
  <c r="AG126" i="1"/>
  <c r="AC126" i="1"/>
  <c r="AA126" i="1"/>
  <c r="AL125" i="1"/>
  <c r="AJ125" i="1"/>
  <c r="AG125" i="1"/>
  <c r="AC125" i="1"/>
  <c r="AA125" i="1"/>
  <c r="AL124" i="1"/>
  <c r="AJ124" i="1"/>
  <c r="AG124" i="1"/>
  <c r="AC124" i="1"/>
  <c r="AA124" i="1"/>
  <c r="AO123" i="1"/>
  <c r="AL123" i="1"/>
  <c r="AJ123" i="1"/>
  <c r="AG123" i="1"/>
  <c r="AC123" i="1"/>
  <c r="AA123" i="1"/>
  <c r="AO122" i="1"/>
  <c r="AL122" i="1"/>
  <c r="AJ122" i="1"/>
  <c r="AG122" i="1"/>
  <c r="AC122" i="1"/>
  <c r="AH122" i="1" s="1"/>
  <c r="AA122" i="1"/>
  <c r="AO121" i="1"/>
  <c r="AL121" i="1"/>
  <c r="AJ121" i="1"/>
  <c r="AG121" i="1"/>
  <c r="AC121" i="1"/>
  <c r="AA121" i="1"/>
  <c r="AO120" i="1"/>
  <c r="AL120" i="1"/>
  <c r="AJ120" i="1"/>
  <c r="AG120" i="1"/>
  <c r="AC120" i="1"/>
  <c r="AA120" i="1"/>
  <c r="AO119" i="1"/>
  <c r="AL119" i="1"/>
  <c r="AJ119" i="1"/>
  <c r="AG119" i="1"/>
  <c r="AC119" i="1"/>
  <c r="AA119" i="1"/>
  <c r="AO118" i="1"/>
  <c r="AL118" i="1"/>
  <c r="AJ118" i="1"/>
  <c r="AG118" i="1"/>
  <c r="AH118" i="1" s="1"/>
  <c r="AC118" i="1"/>
  <c r="AA118" i="1"/>
  <c r="AO117" i="1"/>
  <c r="AM117" i="1"/>
  <c r="AL117" i="1"/>
  <c r="AJ117" i="1"/>
  <c r="AC117" i="1"/>
  <c r="AA117" i="1"/>
  <c r="P117" i="1"/>
  <c r="G117" i="1"/>
  <c r="AO116" i="1"/>
  <c r="AM116" i="1"/>
  <c r="AL116" i="1"/>
  <c r="AJ116" i="1"/>
  <c r="AC116" i="1"/>
  <c r="AA116" i="1"/>
  <c r="P116" i="1"/>
  <c r="G116" i="1"/>
  <c r="AG116" i="1" s="1"/>
  <c r="AO115" i="1"/>
  <c r="AM115" i="1"/>
  <c r="AL115" i="1"/>
  <c r="AJ115" i="1"/>
  <c r="AC115" i="1"/>
  <c r="AA115" i="1"/>
  <c r="P115" i="1"/>
  <c r="G115" i="1"/>
  <c r="AO114" i="1"/>
  <c r="AM114" i="1"/>
  <c r="AL114" i="1"/>
  <c r="AJ114" i="1"/>
  <c r="AC114" i="1"/>
  <c r="AA114" i="1"/>
  <c r="P114" i="1"/>
  <c r="G114" i="1"/>
  <c r="AG114" i="1" s="1"/>
  <c r="AO113" i="1"/>
  <c r="AM113" i="1"/>
  <c r="AL113" i="1"/>
  <c r="AJ113" i="1"/>
  <c r="AC113" i="1"/>
  <c r="AA113" i="1"/>
  <c r="P113" i="1"/>
  <c r="G113" i="1"/>
  <c r="AO112" i="1"/>
  <c r="AM112" i="1"/>
  <c r="AL112" i="1"/>
  <c r="AJ112" i="1"/>
  <c r="AC112" i="1"/>
  <c r="AA112" i="1"/>
  <c r="P112" i="1"/>
  <c r="G112" i="1"/>
  <c r="AG112" i="1" s="1"/>
  <c r="AO111" i="1"/>
  <c r="AM111" i="1"/>
  <c r="AL111" i="1"/>
  <c r="AJ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G110" i="1" s="1"/>
  <c r="AO109" i="1"/>
  <c r="AM109" i="1"/>
  <c r="AL109" i="1"/>
  <c r="AJ109" i="1"/>
  <c r="AC109" i="1"/>
  <c r="AA109" i="1"/>
  <c r="P109" i="1"/>
  <c r="G109" i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G107" i="1"/>
  <c r="AO106" i="1"/>
  <c r="AM106" i="1"/>
  <c r="AL106" i="1"/>
  <c r="AJ106" i="1"/>
  <c r="AC106" i="1"/>
  <c r="AA106" i="1"/>
  <c r="P106" i="1"/>
  <c r="G106" i="1"/>
  <c r="AG106" i="1" s="1"/>
  <c r="AO105" i="1"/>
  <c r="AM105" i="1"/>
  <c r="AL105" i="1"/>
  <c r="AJ105" i="1"/>
  <c r="AC105" i="1"/>
  <c r="AA105" i="1"/>
  <c r="P105" i="1"/>
  <c r="G105" i="1"/>
  <c r="AO104" i="1"/>
  <c r="AM104" i="1"/>
  <c r="AL104" i="1"/>
  <c r="AJ104" i="1"/>
  <c r="AC104" i="1"/>
  <c r="AA104" i="1"/>
  <c r="P104" i="1"/>
  <c r="G104" i="1"/>
  <c r="AG104" i="1" s="1"/>
  <c r="AO103" i="1"/>
  <c r="AM103" i="1"/>
  <c r="AL103" i="1"/>
  <c r="AJ103" i="1"/>
  <c r="AC103" i="1"/>
  <c r="AA103" i="1"/>
  <c r="P103" i="1"/>
  <c r="G103" i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G101" i="1"/>
  <c r="AO100" i="1"/>
  <c r="AM100" i="1"/>
  <c r="AL100" i="1"/>
  <c r="AJ100" i="1"/>
  <c r="AC100" i="1"/>
  <c r="AA100" i="1"/>
  <c r="P100" i="1"/>
  <c r="G100" i="1"/>
  <c r="AG100" i="1" s="1"/>
  <c r="AO99" i="1"/>
  <c r="AM99" i="1"/>
  <c r="AL99" i="1"/>
  <c r="AJ99" i="1"/>
  <c r="AC99" i="1"/>
  <c r="AA99" i="1"/>
  <c r="P99" i="1"/>
  <c r="G99" i="1"/>
  <c r="AO98" i="1"/>
  <c r="AM98" i="1"/>
  <c r="AL98" i="1"/>
  <c r="AJ98" i="1"/>
  <c r="AC98" i="1"/>
  <c r="AA98" i="1"/>
  <c r="P98" i="1"/>
  <c r="G98" i="1"/>
  <c r="AG98" i="1" s="1"/>
  <c r="AO97" i="1"/>
  <c r="AM97" i="1"/>
  <c r="AL97" i="1"/>
  <c r="AJ97" i="1"/>
  <c r="AC97" i="1"/>
  <c r="AA97" i="1"/>
  <c r="P97" i="1"/>
  <c r="G97" i="1"/>
  <c r="AO96" i="1"/>
  <c r="AM96" i="1"/>
  <c r="AL96" i="1"/>
  <c r="AJ96" i="1"/>
  <c r="AC96" i="1"/>
  <c r="AA96" i="1"/>
  <c r="P96" i="1"/>
  <c r="G96" i="1"/>
  <c r="AG96" i="1" s="1"/>
  <c r="AO95" i="1"/>
  <c r="AM95" i="1"/>
  <c r="AL95" i="1"/>
  <c r="AJ95" i="1"/>
  <c r="AC95" i="1"/>
  <c r="AA95" i="1"/>
  <c r="P95" i="1"/>
  <c r="G95" i="1"/>
  <c r="AO94" i="1"/>
  <c r="AM94" i="1"/>
  <c r="AL94" i="1"/>
  <c r="AJ94" i="1"/>
  <c r="AC94" i="1"/>
  <c r="AA94" i="1"/>
  <c r="P94" i="1"/>
  <c r="G94" i="1"/>
  <c r="AG94" i="1" s="1"/>
  <c r="AO93" i="1"/>
  <c r="AM93" i="1"/>
  <c r="AL93" i="1"/>
  <c r="AJ93" i="1"/>
  <c r="AC93" i="1"/>
  <c r="AA93" i="1"/>
  <c r="P93" i="1"/>
  <c r="G93" i="1"/>
  <c r="AG93" i="1" s="1"/>
  <c r="AO92" i="1"/>
  <c r="AM92" i="1"/>
  <c r="AL92" i="1"/>
  <c r="AJ92" i="1"/>
  <c r="AC92" i="1"/>
  <c r="AA92" i="1"/>
  <c r="P92" i="1"/>
  <c r="G92" i="1"/>
  <c r="AG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O89" i="1"/>
  <c r="AM89" i="1"/>
  <c r="AL89" i="1"/>
  <c r="AJ89" i="1"/>
  <c r="AC89" i="1"/>
  <c r="AA89" i="1"/>
  <c r="P89" i="1"/>
  <c r="G89" i="1"/>
  <c r="AG89" i="1" s="1"/>
  <c r="AO88" i="1"/>
  <c r="AM88" i="1"/>
  <c r="AL88" i="1"/>
  <c r="AJ88" i="1"/>
  <c r="AC88" i="1"/>
  <c r="AA88" i="1"/>
  <c r="P88" i="1"/>
  <c r="G88" i="1"/>
  <c r="AG88" i="1" s="1"/>
  <c r="AO87" i="1"/>
  <c r="AM87" i="1"/>
  <c r="AL87" i="1"/>
  <c r="AJ87" i="1"/>
  <c r="AC87" i="1"/>
  <c r="AA87" i="1"/>
  <c r="P87" i="1"/>
  <c r="G87" i="1"/>
  <c r="AG87" i="1" s="1"/>
  <c r="AO86" i="1"/>
  <c r="AM86" i="1"/>
  <c r="AL86" i="1"/>
  <c r="AJ86" i="1"/>
  <c r="AC86" i="1"/>
  <c r="AA86" i="1"/>
  <c r="P86" i="1"/>
  <c r="G86" i="1"/>
  <c r="AG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O83" i="1"/>
  <c r="AM83" i="1"/>
  <c r="AL83" i="1"/>
  <c r="AJ83" i="1"/>
  <c r="AC83" i="1"/>
  <c r="AA83" i="1"/>
  <c r="P83" i="1"/>
  <c r="G83" i="1"/>
  <c r="AG83" i="1" s="1"/>
  <c r="AO82" i="1"/>
  <c r="AM82" i="1"/>
  <c r="AL82" i="1"/>
  <c r="AJ82" i="1"/>
  <c r="AC82" i="1"/>
  <c r="AA82" i="1"/>
  <c r="P82" i="1"/>
  <c r="G82" i="1"/>
  <c r="AG82" i="1" s="1"/>
  <c r="AO81" i="1"/>
  <c r="AM81" i="1"/>
  <c r="AL81" i="1"/>
  <c r="AJ81" i="1"/>
  <c r="AC81" i="1"/>
  <c r="AA81" i="1"/>
  <c r="P81" i="1"/>
  <c r="G81" i="1"/>
  <c r="AG81" i="1" s="1"/>
  <c r="AO80" i="1"/>
  <c r="AM80" i="1"/>
  <c r="AL80" i="1"/>
  <c r="AJ80" i="1"/>
  <c r="AC80" i="1"/>
  <c r="AA80" i="1"/>
  <c r="P80" i="1"/>
  <c r="G80" i="1"/>
  <c r="AG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O77" i="1"/>
  <c r="AM77" i="1"/>
  <c r="AL77" i="1"/>
  <c r="AJ77" i="1"/>
  <c r="AC77" i="1"/>
  <c r="AA77" i="1"/>
  <c r="P77" i="1"/>
  <c r="G77" i="1"/>
  <c r="AG77" i="1" s="1"/>
  <c r="AO76" i="1"/>
  <c r="AM76" i="1"/>
  <c r="AL76" i="1"/>
  <c r="AJ76" i="1"/>
  <c r="AC76" i="1"/>
  <c r="AA76" i="1"/>
  <c r="P76" i="1"/>
  <c r="G76" i="1"/>
  <c r="AG76" i="1" s="1"/>
  <c r="AO75" i="1"/>
  <c r="AM75" i="1"/>
  <c r="AL75" i="1"/>
  <c r="AJ75" i="1"/>
  <c r="AC75" i="1"/>
  <c r="AA75" i="1"/>
  <c r="P75" i="1"/>
  <c r="G75" i="1"/>
  <c r="AG75" i="1" s="1"/>
  <c r="AO74" i="1"/>
  <c r="AM74" i="1"/>
  <c r="AL74" i="1"/>
  <c r="AJ74" i="1"/>
  <c r="AC74" i="1"/>
  <c r="AA74" i="1"/>
  <c r="P74" i="1"/>
  <c r="G74" i="1"/>
  <c r="AG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C70" i="1"/>
  <c r="AA70" i="1"/>
  <c r="P70" i="1"/>
  <c r="G70" i="1"/>
  <c r="AG70" i="1" s="1"/>
  <c r="AO69" i="1"/>
  <c r="AM69" i="1"/>
  <c r="AL69" i="1"/>
  <c r="AJ69" i="1"/>
  <c r="AC69" i="1"/>
  <c r="AA69" i="1"/>
  <c r="P69" i="1"/>
  <c r="G69" i="1"/>
  <c r="AG69" i="1" s="1"/>
  <c r="AO68" i="1"/>
  <c r="AM68" i="1"/>
  <c r="AL68" i="1"/>
  <c r="AJ68" i="1"/>
  <c r="AC68" i="1"/>
  <c r="AA68" i="1"/>
  <c r="P68" i="1"/>
  <c r="G68" i="1"/>
  <c r="AG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O65" i="1"/>
  <c r="AM65" i="1"/>
  <c r="AL65" i="1"/>
  <c r="AJ65" i="1"/>
  <c r="AC65" i="1"/>
  <c r="AA65" i="1"/>
  <c r="P65" i="1"/>
  <c r="G65" i="1"/>
  <c r="AG65" i="1" s="1"/>
  <c r="AO64" i="1"/>
  <c r="AM64" i="1"/>
  <c r="AL64" i="1"/>
  <c r="AJ64" i="1"/>
  <c r="AC64" i="1"/>
  <c r="AA64" i="1"/>
  <c r="P64" i="1"/>
  <c r="G64" i="1"/>
  <c r="AG64" i="1" s="1"/>
  <c r="AO63" i="1"/>
  <c r="AM63" i="1"/>
  <c r="AL63" i="1"/>
  <c r="AJ63" i="1"/>
  <c r="AC63" i="1"/>
  <c r="AA63" i="1"/>
  <c r="P63" i="1"/>
  <c r="G63" i="1"/>
  <c r="AG63" i="1" s="1"/>
  <c r="AO62" i="1"/>
  <c r="AM62" i="1"/>
  <c r="AL62" i="1"/>
  <c r="AJ62" i="1"/>
  <c r="AC62" i="1"/>
  <c r="AA62" i="1"/>
  <c r="P62" i="1"/>
  <c r="G62" i="1"/>
  <c r="AG62" i="1" s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C59" i="1"/>
  <c r="AA59" i="1"/>
  <c r="P59" i="1"/>
  <c r="G59" i="1"/>
  <c r="AG59" i="1" s="1"/>
  <c r="AO58" i="1"/>
  <c r="AM58" i="1"/>
  <c r="AL58" i="1"/>
  <c r="AJ58" i="1"/>
  <c r="AC58" i="1"/>
  <c r="AA58" i="1"/>
  <c r="P58" i="1"/>
  <c r="G58" i="1"/>
  <c r="AG58" i="1" s="1"/>
  <c r="AO57" i="1"/>
  <c r="AM57" i="1"/>
  <c r="AL57" i="1"/>
  <c r="AJ57" i="1"/>
  <c r="AC57" i="1"/>
  <c r="AA57" i="1"/>
  <c r="P57" i="1"/>
  <c r="G57" i="1"/>
  <c r="AG57" i="1" s="1"/>
  <c r="AO56" i="1"/>
  <c r="AM56" i="1"/>
  <c r="AL56" i="1"/>
  <c r="AJ56" i="1"/>
  <c r="AC56" i="1"/>
  <c r="AA56" i="1"/>
  <c r="P56" i="1"/>
  <c r="G56" i="1"/>
  <c r="AG56" i="1" s="1"/>
  <c r="AO55" i="1"/>
  <c r="AM55" i="1"/>
  <c r="AL55" i="1"/>
  <c r="AJ55" i="1"/>
  <c r="AC55" i="1"/>
  <c r="AA55" i="1"/>
  <c r="P55" i="1"/>
  <c r="G55" i="1"/>
  <c r="AG55" i="1" s="1"/>
  <c r="AO54" i="1"/>
  <c r="AM54" i="1"/>
  <c r="AL54" i="1"/>
  <c r="AJ54" i="1"/>
  <c r="AC54" i="1"/>
  <c r="AA54" i="1"/>
  <c r="P54" i="1"/>
  <c r="G54" i="1"/>
  <c r="AG54" i="1" s="1"/>
  <c r="AO53" i="1"/>
  <c r="AM53" i="1"/>
  <c r="AL53" i="1"/>
  <c r="AJ53" i="1"/>
  <c r="AC53" i="1"/>
  <c r="AA53" i="1"/>
  <c r="P53" i="1"/>
  <c r="G53" i="1"/>
  <c r="AG53" i="1" s="1"/>
  <c r="AO52" i="1"/>
  <c r="AM52" i="1"/>
  <c r="AL52" i="1"/>
  <c r="AJ52" i="1"/>
  <c r="AC52" i="1"/>
  <c r="AA52" i="1"/>
  <c r="P52" i="1"/>
  <c r="G52" i="1"/>
  <c r="AG52" i="1" s="1"/>
  <c r="AO51" i="1"/>
  <c r="AM51" i="1"/>
  <c r="AL51" i="1"/>
  <c r="AJ51" i="1"/>
  <c r="AC51" i="1"/>
  <c r="AA51" i="1"/>
  <c r="P51" i="1"/>
  <c r="G51" i="1"/>
  <c r="AG51" i="1" s="1"/>
  <c r="AO50" i="1"/>
  <c r="AM50" i="1"/>
  <c r="AL50" i="1"/>
  <c r="AJ50" i="1"/>
  <c r="AC50" i="1"/>
  <c r="AA50" i="1"/>
  <c r="P50" i="1"/>
  <c r="G50" i="1"/>
  <c r="AG50" i="1" s="1"/>
  <c r="AO49" i="1"/>
  <c r="AM49" i="1"/>
  <c r="AL49" i="1"/>
  <c r="AJ49" i="1"/>
  <c r="AC49" i="1"/>
  <c r="AA49" i="1"/>
  <c r="P49" i="1"/>
  <c r="G49" i="1"/>
  <c r="AG49" i="1" s="1"/>
  <c r="AO48" i="1"/>
  <c r="AM48" i="1"/>
  <c r="AL48" i="1"/>
  <c r="AJ48" i="1"/>
  <c r="AC48" i="1"/>
  <c r="AA48" i="1"/>
  <c r="P48" i="1"/>
  <c r="G48" i="1"/>
  <c r="AG48" i="1" s="1"/>
  <c r="AO47" i="1"/>
  <c r="AM47" i="1"/>
  <c r="AL47" i="1"/>
  <c r="AJ47" i="1"/>
  <c r="AC47" i="1"/>
  <c r="AA47" i="1"/>
  <c r="P47" i="1"/>
  <c r="G47" i="1"/>
  <c r="AG47" i="1" s="1"/>
  <c r="AO46" i="1"/>
  <c r="AM46" i="1"/>
  <c r="AL46" i="1"/>
  <c r="AJ46" i="1"/>
  <c r="AC46" i="1"/>
  <c r="AA46" i="1"/>
  <c r="P46" i="1"/>
  <c r="G46" i="1"/>
  <c r="AG46" i="1" s="1"/>
  <c r="AO45" i="1"/>
  <c r="AM45" i="1"/>
  <c r="AL45" i="1"/>
  <c r="AJ45" i="1"/>
  <c r="AC45" i="1"/>
  <c r="AA45" i="1"/>
  <c r="P45" i="1"/>
  <c r="G45" i="1"/>
  <c r="AG45" i="1" s="1"/>
  <c r="AO44" i="1"/>
  <c r="AM44" i="1"/>
  <c r="AL44" i="1"/>
  <c r="AJ44" i="1"/>
  <c r="AC44" i="1"/>
  <c r="AA44" i="1"/>
  <c r="P44" i="1"/>
  <c r="G44" i="1"/>
  <c r="AG44" i="1" s="1"/>
  <c r="AO43" i="1"/>
  <c r="AM43" i="1"/>
  <c r="AL43" i="1"/>
  <c r="AJ43" i="1"/>
  <c r="AC43" i="1"/>
  <c r="AA43" i="1"/>
  <c r="P43" i="1"/>
  <c r="G43" i="1"/>
  <c r="AG43" i="1" s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C41" i="1"/>
  <c r="AA41" i="1"/>
  <c r="P41" i="1"/>
  <c r="G41" i="1"/>
  <c r="AG41" i="1" s="1"/>
  <c r="AO40" i="1"/>
  <c r="AM40" i="1"/>
  <c r="AL40" i="1"/>
  <c r="AJ40" i="1"/>
  <c r="AC40" i="1"/>
  <c r="AA40" i="1"/>
  <c r="P40" i="1"/>
  <c r="G40" i="1"/>
  <c r="AG40" i="1" s="1"/>
  <c r="AO39" i="1"/>
  <c r="AM39" i="1"/>
  <c r="AL39" i="1"/>
  <c r="AJ39" i="1"/>
  <c r="AC39" i="1"/>
  <c r="AA39" i="1"/>
  <c r="P39" i="1"/>
  <c r="G39" i="1"/>
  <c r="AG39" i="1" s="1"/>
  <c r="AO38" i="1"/>
  <c r="AM38" i="1"/>
  <c r="AL38" i="1"/>
  <c r="AJ38" i="1"/>
  <c r="AC38" i="1"/>
  <c r="AA38" i="1"/>
  <c r="P38" i="1"/>
  <c r="G38" i="1"/>
  <c r="AG38" i="1" s="1"/>
  <c r="AO37" i="1"/>
  <c r="AM37" i="1"/>
  <c r="AL37" i="1"/>
  <c r="AJ37" i="1"/>
  <c r="AC37" i="1"/>
  <c r="AA37" i="1"/>
  <c r="P37" i="1"/>
  <c r="G37" i="1"/>
  <c r="AG37" i="1" s="1"/>
  <c r="AO36" i="1"/>
  <c r="AM36" i="1"/>
  <c r="AL36" i="1"/>
  <c r="AJ36" i="1"/>
  <c r="AC36" i="1"/>
  <c r="AA36" i="1"/>
  <c r="P36" i="1"/>
  <c r="G36" i="1"/>
  <c r="AG36" i="1" s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G34" i="1"/>
  <c r="AG34" i="1" s="1"/>
  <c r="AO33" i="1"/>
  <c r="AM33" i="1"/>
  <c r="AL33" i="1"/>
  <c r="AJ33" i="1"/>
  <c r="AC33" i="1"/>
  <c r="AA33" i="1"/>
  <c r="P33" i="1"/>
  <c r="G33" i="1"/>
  <c r="AG33" i="1" s="1"/>
  <c r="AO32" i="1"/>
  <c r="AM32" i="1"/>
  <c r="AL32" i="1"/>
  <c r="AJ32" i="1"/>
  <c r="AC32" i="1"/>
  <c r="AA32" i="1"/>
  <c r="P32" i="1"/>
  <c r="G32" i="1"/>
  <c r="AG32" i="1" s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G30" i="1" s="1"/>
  <c r="AO29" i="1"/>
  <c r="AM29" i="1"/>
  <c r="AL29" i="1"/>
  <c r="AJ29" i="1"/>
  <c r="AC29" i="1"/>
  <c r="AA29" i="1"/>
  <c r="P29" i="1"/>
  <c r="G29" i="1"/>
  <c r="AG29" i="1" s="1"/>
  <c r="AO28" i="1"/>
  <c r="AM28" i="1"/>
  <c r="AL28" i="1"/>
  <c r="AJ28" i="1"/>
  <c r="AC28" i="1"/>
  <c r="AA28" i="1"/>
  <c r="P28" i="1"/>
  <c r="G28" i="1"/>
  <c r="AG28" i="1" s="1"/>
  <c r="AO27" i="1"/>
  <c r="AM27" i="1"/>
  <c r="AL27" i="1"/>
  <c r="AJ27" i="1"/>
  <c r="AC27" i="1"/>
  <c r="AA27" i="1"/>
  <c r="P27" i="1"/>
  <c r="G27" i="1"/>
  <c r="AG27" i="1" s="1"/>
  <c r="AO26" i="1"/>
  <c r="AM26" i="1"/>
  <c r="AL26" i="1"/>
  <c r="AJ26" i="1"/>
  <c r="AC26" i="1"/>
  <c r="AA26" i="1"/>
  <c r="P26" i="1"/>
  <c r="G26" i="1"/>
  <c r="AG26" i="1" s="1"/>
  <c r="AO25" i="1"/>
  <c r="AM25" i="1"/>
  <c r="AL25" i="1"/>
  <c r="AJ25" i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H24" i="1" s="1"/>
  <c r="AO23" i="1"/>
  <c r="AM23" i="1"/>
  <c r="AL23" i="1"/>
  <c r="AJ23" i="1"/>
  <c r="AC23" i="1"/>
  <c r="AA23" i="1"/>
  <c r="P23" i="1"/>
  <c r="G23" i="1"/>
  <c r="AO22" i="1"/>
  <c r="AM22" i="1"/>
  <c r="AL22" i="1"/>
  <c r="AJ22" i="1"/>
  <c r="AC22" i="1"/>
  <c r="AA22" i="1"/>
  <c r="P22" i="1"/>
  <c r="G22" i="1"/>
  <c r="AO21" i="1"/>
  <c r="AM21" i="1"/>
  <c r="AL21" i="1"/>
  <c r="AJ21" i="1"/>
  <c r="AC21" i="1"/>
  <c r="AA21" i="1"/>
  <c r="P21" i="1"/>
  <c r="G21" i="1"/>
  <c r="AO20" i="1"/>
  <c r="AM20" i="1"/>
  <c r="AL20" i="1"/>
  <c r="AJ20" i="1"/>
  <c r="AC20" i="1"/>
  <c r="AA20" i="1"/>
  <c r="P20" i="1"/>
  <c r="G20" i="1"/>
  <c r="AO19" i="1"/>
  <c r="AM19" i="1"/>
  <c r="AL19" i="1"/>
  <c r="AJ19" i="1"/>
  <c r="AC19" i="1"/>
  <c r="AA19" i="1"/>
  <c r="P19" i="1"/>
  <c r="G19" i="1"/>
  <c r="AO18" i="1"/>
  <c r="AM18" i="1"/>
  <c r="AL18" i="1"/>
  <c r="AJ18" i="1"/>
  <c r="AC18" i="1"/>
  <c r="AA18" i="1"/>
  <c r="P18" i="1"/>
  <c r="G18" i="1"/>
  <c r="AO17" i="1"/>
  <c r="AM17" i="1"/>
  <c r="AL17" i="1"/>
  <c r="AJ17" i="1"/>
  <c r="AC17" i="1"/>
  <c r="AA17" i="1"/>
  <c r="P17" i="1"/>
  <c r="G17" i="1"/>
  <c r="AO16" i="1"/>
  <c r="AM16" i="1"/>
  <c r="AL16" i="1"/>
  <c r="AJ16" i="1"/>
  <c r="AC16" i="1"/>
  <c r="AA16" i="1"/>
  <c r="P16" i="1"/>
  <c r="G16" i="1"/>
  <c r="AO15" i="1"/>
  <c r="AM15" i="1"/>
  <c r="AL15" i="1"/>
  <c r="AJ15" i="1"/>
  <c r="AC15" i="1"/>
  <c r="AA15" i="1"/>
  <c r="P15" i="1"/>
  <c r="G15" i="1"/>
  <c r="AO14" i="1"/>
  <c r="AM14" i="1"/>
  <c r="AL14" i="1"/>
  <c r="AJ14" i="1"/>
  <c r="AC14" i="1"/>
  <c r="AA14" i="1"/>
  <c r="P14" i="1"/>
  <c r="G14" i="1"/>
  <c r="AO13" i="1"/>
  <c r="AM13" i="1"/>
  <c r="AL13" i="1"/>
  <c r="AJ13" i="1"/>
  <c r="AC13" i="1"/>
  <c r="AA13" i="1"/>
  <c r="P13" i="1"/>
  <c r="G13" i="1"/>
  <c r="AO12" i="1"/>
  <c r="AM12" i="1"/>
  <c r="AL12" i="1"/>
  <c r="AJ12" i="1"/>
  <c r="AC12" i="1"/>
  <c r="AA12" i="1"/>
  <c r="P12" i="1"/>
  <c r="G12" i="1"/>
  <c r="AO11" i="1"/>
  <c r="AM11" i="1"/>
  <c r="AL11" i="1"/>
  <c r="AJ11" i="1"/>
  <c r="AC11" i="1"/>
  <c r="AA11" i="1"/>
  <c r="P11" i="1"/>
  <c r="G11" i="1"/>
  <c r="AO10" i="1"/>
  <c r="AM10" i="1"/>
  <c r="AL10" i="1"/>
  <c r="AJ10" i="1"/>
  <c r="AC10" i="1"/>
  <c r="AA10" i="1"/>
  <c r="P10" i="1"/>
  <c r="G10" i="1"/>
  <c r="AO9" i="1"/>
  <c r="AM9" i="1"/>
  <c r="AL9" i="1"/>
  <c r="AJ9" i="1"/>
  <c r="AC9" i="1"/>
  <c r="AA9" i="1"/>
  <c r="P9" i="1"/>
  <c r="G9" i="1"/>
  <c r="AO8" i="1"/>
  <c r="AM8" i="1"/>
  <c r="AL8" i="1"/>
  <c r="AJ8" i="1"/>
  <c r="AC8" i="1"/>
  <c r="AA8" i="1"/>
  <c r="P8" i="1"/>
  <c r="G8" i="1"/>
  <c r="AO7" i="1"/>
  <c r="AM7" i="1"/>
  <c r="AL7" i="1"/>
  <c r="AJ7" i="1"/>
  <c r="AC7" i="1"/>
  <c r="AA7" i="1"/>
  <c r="P7" i="1"/>
  <c r="G7" i="1"/>
  <c r="AO6" i="1"/>
  <c r="AM6" i="1"/>
  <c r="AL6" i="1"/>
  <c r="AJ6" i="1"/>
  <c r="AC6" i="1"/>
  <c r="AA6" i="1"/>
  <c r="P6" i="1"/>
  <c r="G6" i="1"/>
  <c r="AO5" i="1"/>
  <c r="AM5" i="1"/>
  <c r="AL5" i="1"/>
  <c r="AJ5" i="1"/>
  <c r="AC5" i="1"/>
  <c r="AA5" i="1"/>
  <c r="P5" i="1"/>
  <c r="G5" i="1"/>
  <c r="AO4" i="1"/>
  <c r="AM4" i="1"/>
  <c r="AL4" i="1"/>
  <c r="AJ4" i="1"/>
  <c r="AC4" i="1"/>
  <c r="AA4" i="1"/>
  <c r="P4" i="1"/>
  <c r="G4" i="1"/>
  <c r="AO3" i="1"/>
  <c r="AM3" i="1"/>
  <c r="AL3" i="1"/>
  <c r="AJ3" i="1"/>
  <c r="AC3" i="1"/>
  <c r="AA3" i="1"/>
  <c r="P3" i="1"/>
  <c r="G3" i="1"/>
  <c r="AO2" i="1"/>
  <c r="AM2" i="1"/>
  <c r="AL2" i="1"/>
  <c r="AJ2" i="1"/>
  <c r="AC2" i="1"/>
  <c r="AA2" i="1"/>
  <c r="P2" i="1"/>
  <c r="G2" i="1"/>
  <c r="AG5" i="2" l="1"/>
  <c r="AG9" i="2"/>
  <c r="AK9" i="2" s="1"/>
  <c r="AP9" i="2" s="1"/>
  <c r="AR9" i="2" s="1"/>
  <c r="AG13" i="2"/>
  <c r="AG41" i="2"/>
  <c r="AH69" i="2"/>
  <c r="AK69" i="2" s="1"/>
  <c r="AP69" i="2" s="1"/>
  <c r="AR69" i="2" s="1"/>
  <c r="AH75" i="2"/>
  <c r="AK75" i="2" s="1"/>
  <c r="AP75" i="2" s="1"/>
  <c r="AR75" i="2" s="1"/>
  <c r="AH97" i="2"/>
  <c r="AH129" i="2"/>
  <c r="AK129" i="2" s="1"/>
  <c r="AP129" i="2" s="1"/>
  <c r="AR129" i="2" s="1"/>
  <c r="AG137" i="2"/>
  <c r="AG141" i="2"/>
  <c r="AG4" i="2"/>
  <c r="AG8" i="2"/>
  <c r="AH8" i="2" s="1"/>
  <c r="AK8" i="2" s="1"/>
  <c r="AP8" i="2" s="1"/>
  <c r="AR8" i="2" s="1"/>
  <c r="AG12" i="2"/>
  <c r="AK12" i="2" s="1"/>
  <c r="AP12" i="2" s="1"/>
  <c r="AR12" i="2" s="1"/>
  <c r="AG16" i="2"/>
  <c r="AG20" i="2"/>
  <c r="AG24" i="2"/>
  <c r="AG28" i="2"/>
  <c r="AG32" i="2"/>
  <c r="AK32" i="2" s="1"/>
  <c r="AP32" i="2" s="1"/>
  <c r="AR32" i="2" s="1"/>
  <c r="AG36" i="2"/>
  <c r="AG40" i="2"/>
  <c r="AH40" i="2" s="1"/>
  <c r="AK40" i="2" s="1"/>
  <c r="AP40" i="2" s="1"/>
  <c r="AR40" i="2" s="1"/>
  <c r="AG44" i="2"/>
  <c r="AG48" i="2"/>
  <c r="AG52" i="2"/>
  <c r="AH76" i="2"/>
  <c r="AG84" i="2"/>
  <c r="AK84" i="2" s="1"/>
  <c r="AP84" i="2" s="1"/>
  <c r="AR84" i="2" s="1"/>
  <c r="AG88" i="2"/>
  <c r="AG92" i="2"/>
  <c r="AG96" i="2"/>
  <c r="AG100" i="2"/>
  <c r="AH100" i="2" s="1"/>
  <c r="AK100" i="2" s="1"/>
  <c r="AP100" i="2" s="1"/>
  <c r="AR100" i="2" s="1"/>
  <c r="AG104" i="2"/>
  <c r="AG108" i="2"/>
  <c r="AG112" i="2"/>
  <c r="AG116" i="2"/>
  <c r="AG120" i="2"/>
  <c r="AH120" i="2" s="1"/>
  <c r="AK120" i="2" s="1"/>
  <c r="AP120" i="2" s="1"/>
  <c r="AR120" i="2" s="1"/>
  <c r="AG124" i="2"/>
  <c r="AG128" i="2"/>
  <c r="AG132" i="2"/>
  <c r="AH132" i="2" s="1"/>
  <c r="AK132" i="2" s="1"/>
  <c r="AP132" i="2" s="1"/>
  <c r="AR132" i="2" s="1"/>
  <c r="AG136" i="2"/>
  <c r="AG140" i="2"/>
  <c r="AG147" i="2"/>
  <c r="AK147" i="2" s="1"/>
  <c r="AP147" i="2" s="1"/>
  <c r="AR147" i="2" s="1"/>
  <c r="AK148" i="2"/>
  <c r="AP148" i="2" s="1"/>
  <c r="AR148" i="2" s="1"/>
  <c r="AG2" i="1"/>
  <c r="AG3" i="1"/>
  <c r="AG4" i="1"/>
  <c r="AG5" i="1"/>
  <c r="AH5" i="1" s="1"/>
  <c r="AK5" i="1" s="1"/>
  <c r="AG6" i="1"/>
  <c r="AG7" i="1"/>
  <c r="AG8" i="1"/>
  <c r="AG9" i="1"/>
  <c r="AH9" i="1" s="1"/>
  <c r="AK9" i="1" s="1"/>
  <c r="AG10" i="1"/>
  <c r="AG11" i="1"/>
  <c r="AG12" i="1"/>
  <c r="AG13" i="1"/>
  <c r="AH13" i="1" s="1"/>
  <c r="AK13" i="1" s="1"/>
  <c r="AG14" i="1"/>
  <c r="AG15" i="1"/>
  <c r="AG16" i="1"/>
  <c r="AG17" i="1"/>
  <c r="AG18" i="1"/>
  <c r="AG19" i="1"/>
  <c r="AG20" i="1"/>
  <c r="AG21" i="1"/>
  <c r="AH21" i="1" s="1"/>
  <c r="AK21" i="1" s="1"/>
  <c r="AG22" i="1"/>
  <c r="AG23" i="1"/>
  <c r="AH119" i="1"/>
  <c r="AK119" i="1" s="1"/>
  <c r="AT119" i="1" s="1"/>
  <c r="AK122" i="1"/>
  <c r="AP122" i="1" s="1"/>
  <c r="AR122" i="1" s="1"/>
  <c r="AH143" i="1"/>
  <c r="AK268" i="1"/>
  <c r="AT268" i="1" s="1"/>
  <c r="AG273" i="1"/>
  <c r="AG275" i="1"/>
  <c r="AG276" i="1"/>
  <c r="AG277" i="1"/>
  <c r="AH277" i="1" s="1"/>
  <c r="AG279" i="1"/>
  <c r="AG280" i="1"/>
  <c r="AH280" i="1" s="1"/>
  <c r="AG281" i="1"/>
  <c r="AG283" i="1"/>
  <c r="AG284" i="1"/>
  <c r="AG285" i="1"/>
  <c r="AH285" i="1" s="1"/>
  <c r="AG287" i="1"/>
  <c r="AG288" i="1"/>
  <c r="AH288" i="1" s="1"/>
  <c r="AG289" i="1"/>
  <c r="AG291" i="1"/>
  <c r="AG292" i="1"/>
  <c r="AG293" i="1"/>
  <c r="AH293" i="1" s="1"/>
  <c r="AG295" i="1"/>
  <c r="AG296" i="1"/>
  <c r="AH296" i="1" s="1"/>
  <c r="AG297" i="1"/>
  <c r="AG299" i="1"/>
  <c r="AG300" i="1"/>
  <c r="AG301" i="1"/>
  <c r="AH301" i="1" s="1"/>
  <c r="AG304" i="1"/>
  <c r="AH304" i="1" s="1"/>
  <c r="AG305" i="1"/>
  <c r="AG306" i="1"/>
  <c r="AG307" i="1"/>
  <c r="AH307" i="1" s="1"/>
  <c r="AK307" i="1" s="1"/>
  <c r="AG308" i="1"/>
  <c r="AG309" i="1"/>
  <c r="AG311" i="1"/>
  <c r="AG312" i="1"/>
  <c r="AG328" i="1"/>
  <c r="AG332" i="1"/>
  <c r="AG336" i="1"/>
  <c r="AG340" i="1"/>
  <c r="AH340" i="1" s="1"/>
  <c r="AK340" i="1" s="1"/>
  <c r="AG344" i="1"/>
  <c r="AG348" i="1"/>
  <c r="AG352" i="1"/>
  <c r="AG356" i="1"/>
  <c r="AH356" i="1" s="1"/>
  <c r="AK356" i="1" s="1"/>
  <c r="AG360" i="1"/>
  <c r="AG364" i="1"/>
  <c r="AG368" i="1"/>
  <c r="AG372" i="1"/>
  <c r="AH372" i="1" s="1"/>
  <c r="AK372" i="1" s="1"/>
  <c r="AG376" i="1"/>
  <c r="AG380" i="1"/>
  <c r="AG384" i="1"/>
  <c r="AG388" i="1"/>
  <c r="AG392" i="1"/>
  <c r="AG396" i="1"/>
  <c r="AG400" i="1"/>
  <c r="AG404" i="1"/>
  <c r="AH404" i="1" s="1"/>
  <c r="AK404" i="1" s="1"/>
  <c r="AP404" i="1" s="1"/>
  <c r="AH68" i="1"/>
  <c r="AH76" i="1"/>
  <c r="AH92" i="1"/>
  <c r="AH123" i="1"/>
  <c r="AG238" i="1"/>
  <c r="AG239" i="1"/>
  <c r="AG240" i="1"/>
  <c r="AG241" i="1"/>
  <c r="AH241" i="1" s="1"/>
  <c r="AK241" i="1" s="1"/>
  <c r="AG242" i="1"/>
  <c r="AG243" i="1"/>
  <c r="AG244" i="1"/>
  <c r="AG245" i="1"/>
  <c r="AH245" i="1" s="1"/>
  <c r="AK245" i="1" s="1"/>
  <c r="AG246" i="1"/>
  <c r="AG247" i="1"/>
  <c r="AG248" i="1"/>
  <c r="AG249" i="1"/>
  <c r="AH249" i="1" s="1"/>
  <c r="AK249" i="1" s="1"/>
  <c r="AG250" i="1"/>
  <c r="AG251" i="1"/>
  <c r="AG252" i="1"/>
  <c r="AG253" i="1"/>
  <c r="AG313" i="1"/>
  <c r="AG314" i="1"/>
  <c r="AG315" i="1"/>
  <c r="AG316" i="1"/>
  <c r="AH316" i="1" s="1"/>
  <c r="AK316" i="1" s="1"/>
  <c r="AG317" i="1"/>
  <c r="AG320" i="1"/>
  <c r="AH320" i="1" s="1"/>
  <c r="AG321" i="1"/>
  <c r="AG322" i="1"/>
  <c r="AH322" i="1" s="1"/>
  <c r="AK322" i="1" s="1"/>
  <c r="AG323" i="1"/>
  <c r="AG324" i="1"/>
  <c r="AG325" i="1"/>
  <c r="AG327" i="1"/>
  <c r="AH327" i="1" s="1"/>
  <c r="AK327" i="1" s="1"/>
  <c r="AG331" i="1"/>
  <c r="AG335" i="1"/>
  <c r="AH387" i="1"/>
  <c r="AH403" i="1"/>
  <c r="AK403" i="1" s="1"/>
  <c r="AP403" i="1" s="1"/>
  <c r="AH72" i="1"/>
  <c r="AH80" i="1"/>
  <c r="AH84" i="1"/>
  <c r="AH88" i="1"/>
  <c r="AH140" i="1"/>
  <c r="AH145" i="1"/>
  <c r="AG254" i="1"/>
  <c r="AG255" i="1"/>
  <c r="AG256" i="1"/>
  <c r="AG257" i="1"/>
  <c r="AG330" i="1"/>
  <c r="AG334" i="1"/>
  <c r="AH334" i="1" s="1"/>
  <c r="AK334" i="1" s="1"/>
  <c r="AG338" i="1"/>
  <c r="AG342" i="1"/>
  <c r="AG346" i="1"/>
  <c r="AG350" i="1"/>
  <c r="AH350" i="1" s="1"/>
  <c r="AK350" i="1" s="1"/>
  <c r="AG354" i="1"/>
  <c r="AG358" i="1"/>
  <c r="AG362" i="1"/>
  <c r="AG366" i="1"/>
  <c r="AH366" i="1" s="1"/>
  <c r="AK366" i="1" s="1"/>
  <c r="AG370" i="1"/>
  <c r="AG374" i="1"/>
  <c r="AG390" i="1"/>
  <c r="AG394" i="1"/>
  <c r="AH2" i="1"/>
  <c r="AK2" i="1"/>
  <c r="AH10" i="1"/>
  <c r="AK10" i="1"/>
  <c r="AH12" i="1"/>
  <c r="AK12" i="1"/>
  <c r="AH18" i="1"/>
  <c r="AK18" i="1"/>
  <c r="AH4" i="1"/>
  <c r="AK4" i="1"/>
  <c r="AH8" i="1"/>
  <c r="AK8" i="1"/>
  <c r="AH14" i="1"/>
  <c r="AK14" i="1"/>
  <c r="AH16" i="1"/>
  <c r="AK16" i="1"/>
  <c r="AH6" i="1"/>
  <c r="AK6" i="1"/>
  <c r="AH7" i="1"/>
  <c r="AK7" i="1" s="1"/>
  <c r="AH11" i="1"/>
  <c r="AK11" i="1" s="1"/>
  <c r="AH23" i="1"/>
  <c r="AK23" i="1" s="1"/>
  <c r="AH26" i="1"/>
  <c r="AK26" i="1"/>
  <c r="AH29" i="1"/>
  <c r="AK29" i="1" s="1"/>
  <c r="AH31" i="1"/>
  <c r="AK31" i="1" s="1"/>
  <c r="AH33" i="1"/>
  <c r="AK33" i="1" s="1"/>
  <c r="AH35" i="1"/>
  <c r="AK35" i="1" s="1"/>
  <c r="AH37" i="1"/>
  <c r="AK37" i="1" s="1"/>
  <c r="AH40" i="1"/>
  <c r="AK40" i="1" s="1"/>
  <c r="AH42" i="1"/>
  <c r="AK42" i="1" s="1"/>
  <c r="AH44" i="1"/>
  <c r="AK44" i="1" s="1"/>
  <c r="AH46" i="1"/>
  <c r="AK46" i="1" s="1"/>
  <c r="AH49" i="1"/>
  <c r="AK49" i="1" s="1"/>
  <c r="AH51" i="1"/>
  <c r="AK51" i="1" s="1"/>
  <c r="AH53" i="1"/>
  <c r="AK53" i="1" s="1"/>
  <c r="AH55" i="1"/>
  <c r="AK55" i="1" s="1"/>
  <c r="AH57" i="1"/>
  <c r="AK57" i="1" s="1"/>
  <c r="AH59" i="1"/>
  <c r="AK59" i="1" s="1"/>
  <c r="AH62" i="1"/>
  <c r="AK62" i="1" s="1"/>
  <c r="AH64" i="1"/>
  <c r="AK64" i="1" s="1"/>
  <c r="AH67" i="1"/>
  <c r="AK67" i="1" s="1"/>
  <c r="AH73" i="1"/>
  <c r="AK73" i="1" s="1"/>
  <c r="AH79" i="1"/>
  <c r="AK79" i="1" s="1"/>
  <c r="AH83" i="1"/>
  <c r="AK83" i="1" s="1"/>
  <c r="AH87" i="1"/>
  <c r="AK87" i="1" s="1"/>
  <c r="AH91" i="1"/>
  <c r="AK91" i="1" s="1"/>
  <c r="AH3" i="1"/>
  <c r="AK3" i="1" s="1"/>
  <c r="AH15" i="1"/>
  <c r="AK15" i="1" s="1"/>
  <c r="AH19" i="1"/>
  <c r="AK19" i="1" s="1"/>
  <c r="AH20" i="1"/>
  <c r="AK20" i="1"/>
  <c r="AH22" i="1"/>
  <c r="AK22" i="1"/>
  <c r="AH25" i="1"/>
  <c r="AK25" i="1" s="1"/>
  <c r="AH27" i="1"/>
  <c r="AK27" i="1" s="1"/>
  <c r="AH28" i="1"/>
  <c r="AK28" i="1"/>
  <c r="AH30" i="1"/>
  <c r="AK30" i="1"/>
  <c r="AH32" i="1"/>
  <c r="AK32" i="1"/>
  <c r="AH34" i="1"/>
  <c r="AK34" i="1"/>
  <c r="AH36" i="1"/>
  <c r="AK36" i="1"/>
  <c r="AH38" i="1"/>
  <c r="AK38" i="1"/>
  <c r="AH39" i="1"/>
  <c r="AK39" i="1" s="1"/>
  <c r="AH41" i="1"/>
  <c r="AK41" i="1" s="1"/>
  <c r="AH43" i="1"/>
  <c r="AK43" i="1" s="1"/>
  <c r="AH45" i="1"/>
  <c r="AK45" i="1" s="1"/>
  <c r="AH47" i="1"/>
  <c r="AK47" i="1" s="1"/>
  <c r="AH48" i="1"/>
  <c r="AK48" i="1" s="1"/>
  <c r="AH50" i="1"/>
  <c r="AK50" i="1" s="1"/>
  <c r="AH52" i="1"/>
  <c r="AK52" i="1" s="1"/>
  <c r="AH54" i="1"/>
  <c r="AK54" i="1" s="1"/>
  <c r="AH56" i="1"/>
  <c r="AK56" i="1" s="1"/>
  <c r="AH58" i="1"/>
  <c r="AK58" i="1" s="1"/>
  <c r="AH60" i="1"/>
  <c r="AK60" i="1" s="1"/>
  <c r="AH61" i="1"/>
  <c r="AK61" i="1" s="1"/>
  <c r="AH63" i="1"/>
  <c r="AK63" i="1" s="1"/>
  <c r="AH65" i="1"/>
  <c r="AK65" i="1" s="1"/>
  <c r="AH69" i="1"/>
  <c r="AK69" i="1" s="1"/>
  <c r="AH71" i="1"/>
  <c r="AK71" i="1" s="1"/>
  <c r="AH75" i="1"/>
  <c r="AK75" i="1" s="1"/>
  <c r="AH77" i="1"/>
  <c r="AK77" i="1" s="1"/>
  <c r="AH81" i="1"/>
  <c r="AK81" i="1" s="1"/>
  <c r="AH85" i="1"/>
  <c r="AK85" i="1" s="1"/>
  <c r="AH89" i="1"/>
  <c r="AK89" i="1" s="1"/>
  <c r="AH93" i="1"/>
  <c r="AK93" i="1" s="1"/>
  <c r="AH17" i="1"/>
  <c r="AK17" i="1" s="1"/>
  <c r="AH127" i="1"/>
  <c r="AK127" i="1" s="1"/>
  <c r="AH129" i="1"/>
  <c r="AK129" i="1" s="1"/>
  <c r="AH133" i="1"/>
  <c r="AK133" i="1" s="1"/>
  <c r="AH135" i="1"/>
  <c r="AK135" i="1" s="1"/>
  <c r="AH147" i="1"/>
  <c r="AK147" i="1" s="1"/>
  <c r="AH66" i="1"/>
  <c r="AK66" i="1" s="1"/>
  <c r="AH70" i="1"/>
  <c r="AH74" i="1"/>
  <c r="AK74" i="1" s="1"/>
  <c r="AH78" i="1"/>
  <c r="AK78" i="1" s="1"/>
  <c r="AH82" i="1"/>
  <c r="AK82" i="1" s="1"/>
  <c r="AH86" i="1"/>
  <c r="AH90" i="1"/>
  <c r="AK90" i="1" s="1"/>
  <c r="AP119" i="1"/>
  <c r="AR119" i="1" s="1"/>
  <c r="AH124" i="1"/>
  <c r="AK124" i="1" s="1"/>
  <c r="AH126" i="1"/>
  <c r="AK126" i="1" s="1"/>
  <c r="AH128" i="1"/>
  <c r="AK128" i="1" s="1"/>
  <c r="AH130" i="1"/>
  <c r="AK130" i="1" s="1"/>
  <c r="AH132" i="1"/>
  <c r="AK132" i="1" s="1"/>
  <c r="AH134" i="1"/>
  <c r="AK134" i="1" s="1"/>
  <c r="AH136" i="1"/>
  <c r="AK136" i="1" s="1"/>
  <c r="AT260" i="1"/>
  <c r="AP260" i="1"/>
  <c r="AH264" i="1"/>
  <c r="AK264" i="1" s="1"/>
  <c r="AK24" i="1"/>
  <c r="AK70" i="1"/>
  <c r="AK86" i="1"/>
  <c r="AG95" i="1"/>
  <c r="AG97" i="1"/>
  <c r="AG99" i="1"/>
  <c r="AG101" i="1"/>
  <c r="AG103" i="1"/>
  <c r="AG105" i="1"/>
  <c r="AG107" i="1"/>
  <c r="AG109" i="1"/>
  <c r="AG111" i="1"/>
  <c r="AG113" i="1"/>
  <c r="AG115" i="1"/>
  <c r="AG117" i="1"/>
  <c r="AK118" i="1"/>
  <c r="AK123" i="1"/>
  <c r="AH125" i="1"/>
  <c r="AK125" i="1" s="1"/>
  <c r="AH131" i="1"/>
  <c r="AK131" i="1" s="1"/>
  <c r="AH146" i="1"/>
  <c r="AK146" i="1" s="1"/>
  <c r="AH148" i="1"/>
  <c r="AK148" i="1" s="1"/>
  <c r="AH149" i="1"/>
  <c r="AK149" i="1" s="1"/>
  <c r="AH150" i="1"/>
  <c r="AK150" i="1" s="1"/>
  <c r="AK151" i="1"/>
  <c r="AH151" i="1"/>
  <c r="AH152" i="1"/>
  <c r="AK152" i="1" s="1"/>
  <c r="AH153" i="1"/>
  <c r="AK153" i="1" s="1"/>
  <c r="AH154" i="1"/>
  <c r="AK154" i="1" s="1"/>
  <c r="AK155" i="1"/>
  <c r="AH155" i="1"/>
  <c r="AH156" i="1"/>
  <c r="AK156" i="1" s="1"/>
  <c r="AH157" i="1"/>
  <c r="AK157" i="1" s="1"/>
  <c r="AH158" i="1"/>
  <c r="AK158" i="1" s="1"/>
  <c r="AK159" i="1"/>
  <c r="AH159" i="1"/>
  <c r="AH160" i="1"/>
  <c r="AK160" i="1" s="1"/>
  <c r="AH161" i="1"/>
  <c r="AK161" i="1" s="1"/>
  <c r="AH162" i="1"/>
  <c r="AK162" i="1" s="1"/>
  <c r="AK163" i="1"/>
  <c r="AH163" i="1"/>
  <c r="AH164" i="1"/>
  <c r="AK164" i="1" s="1"/>
  <c r="AH165" i="1"/>
  <c r="AK165" i="1" s="1"/>
  <c r="AH166" i="1"/>
  <c r="AK166" i="1" s="1"/>
  <c r="AK167" i="1"/>
  <c r="AH167" i="1"/>
  <c r="AH168" i="1"/>
  <c r="AK168" i="1" s="1"/>
  <c r="AH169" i="1"/>
  <c r="AK169" i="1" s="1"/>
  <c r="AH170" i="1"/>
  <c r="AK170" i="1" s="1"/>
  <c r="AK171" i="1"/>
  <c r="AH171" i="1"/>
  <c r="AH172" i="1"/>
  <c r="AK172" i="1" s="1"/>
  <c r="AH173" i="1"/>
  <c r="AK173" i="1" s="1"/>
  <c r="AH174" i="1"/>
  <c r="AK174" i="1" s="1"/>
  <c r="AK175" i="1"/>
  <c r="AH175" i="1"/>
  <c r="AH176" i="1"/>
  <c r="AK176" i="1" s="1"/>
  <c r="AH177" i="1"/>
  <c r="AK177" i="1" s="1"/>
  <c r="AH178" i="1"/>
  <c r="AK178" i="1" s="1"/>
  <c r="AK179" i="1"/>
  <c r="AH179" i="1"/>
  <c r="AH180" i="1"/>
  <c r="AK180" i="1" s="1"/>
  <c r="AH181" i="1"/>
  <c r="AK181" i="1" s="1"/>
  <c r="AH182" i="1"/>
  <c r="AK182" i="1" s="1"/>
  <c r="AK183" i="1"/>
  <c r="AH183" i="1"/>
  <c r="AH184" i="1"/>
  <c r="AK184" i="1" s="1"/>
  <c r="AH185" i="1"/>
  <c r="AK185" i="1" s="1"/>
  <c r="AH187" i="1"/>
  <c r="AK187" i="1" s="1"/>
  <c r="AH189" i="1"/>
  <c r="AK189" i="1" s="1"/>
  <c r="AH191" i="1"/>
  <c r="AK191" i="1" s="1"/>
  <c r="AH193" i="1"/>
  <c r="AK193" i="1" s="1"/>
  <c r="AH195" i="1"/>
  <c r="AK195" i="1" s="1"/>
  <c r="AH197" i="1"/>
  <c r="AK197" i="1" s="1"/>
  <c r="AH199" i="1"/>
  <c r="AK199" i="1" s="1"/>
  <c r="AH201" i="1"/>
  <c r="AK201" i="1" s="1"/>
  <c r="AH203" i="1"/>
  <c r="AK203" i="1" s="1"/>
  <c r="AH205" i="1"/>
  <c r="AK205" i="1" s="1"/>
  <c r="AH207" i="1"/>
  <c r="AK207" i="1" s="1"/>
  <c r="AH209" i="1"/>
  <c r="AK209" i="1" s="1"/>
  <c r="AH211" i="1"/>
  <c r="AK211" i="1" s="1"/>
  <c r="AH213" i="1"/>
  <c r="AK213" i="1" s="1"/>
  <c r="AK214" i="1"/>
  <c r="AH214" i="1"/>
  <c r="AH215" i="1"/>
  <c r="AK215" i="1" s="1"/>
  <c r="AH216" i="1"/>
  <c r="AK216" i="1" s="1"/>
  <c r="AH217" i="1"/>
  <c r="AK217" i="1" s="1"/>
  <c r="AK218" i="1"/>
  <c r="AH218" i="1"/>
  <c r="AH219" i="1"/>
  <c r="AK219" i="1" s="1"/>
  <c r="AH220" i="1"/>
  <c r="AK220" i="1" s="1"/>
  <c r="AH221" i="1"/>
  <c r="AK221" i="1" s="1"/>
  <c r="AK222" i="1"/>
  <c r="AH222" i="1"/>
  <c r="AH223" i="1"/>
  <c r="AK223" i="1" s="1"/>
  <c r="AH224" i="1"/>
  <c r="AK224" i="1" s="1"/>
  <c r="AH225" i="1"/>
  <c r="AK225" i="1" s="1"/>
  <c r="AK226" i="1"/>
  <c r="AH226" i="1"/>
  <c r="AH227" i="1"/>
  <c r="AK227" i="1" s="1"/>
  <c r="AH228" i="1"/>
  <c r="AK228" i="1" s="1"/>
  <c r="AH229" i="1"/>
  <c r="AK229" i="1" s="1"/>
  <c r="AK230" i="1"/>
  <c r="AH230" i="1"/>
  <c r="AH231" i="1"/>
  <c r="AK231" i="1" s="1"/>
  <c r="AH232" i="1"/>
  <c r="AK232" i="1" s="1"/>
  <c r="AH233" i="1"/>
  <c r="AK233" i="1" s="1"/>
  <c r="AK234" i="1"/>
  <c r="AH234" i="1"/>
  <c r="AH235" i="1"/>
  <c r="AK235" i="1" s="1"/>
  <c r="AH236" i="1"/>
  <c r="AK236" i="1" s="1"/>
  <c r="AH237" i="1"/>
  <c r="AK237" i="1" s="1"/>
  <c r="AK238" i="1"/>
  <c r="AH238" i="1"/>
  <c r="AH239" i="1"/>
  <c r="AK239" i="1" s="1"/>
  <c r="AH240" i="1"/>
  <c r="AK240" i="1" s="1"/>
  <c r="AK242" i="1"/>
  <c r="AH242" i="1"/>
  <c r="AH243" i="1"/>
  <c r="AK243" i="1" s="1"/>
  <c r="AH244" i="1"/>
  <c r="AK244" i="1" s="1"/>
  <c r="AK246" i="1"/>
  <c r="AH246" i="1"/>
  <c r="AH247" i="1"/>
  <c r="AK247" i="1" s="1"/>
  <c r="AH248" i="1"/>
  <c r="AK248" i="1" s="1"/>
  <c r="AK250" i="1"/>
  <c r="AH250" i="1"/>
  <c r="AH251" i="1"/>
  <c r="AK251" i="1" s="1"/>
  <c r="AH186" i="1"/>
  <c r="AK186" i="1" s="1"/>
  <c r="AH188" i="1"/>
  <c r="AK188" i="1" s="1"/>
  <c r="AH190" i="1"/>
  <c r="AK190" i="1" s="1"/>
  <c r="AH192" i="1"/>
  <c r="AK192" i="1" s="1"/>
  <c r="AH194" i="1"/>
  <c r="AK194" i="1" s="1"/>
  <c r="AH196" i="1"/>
  <c r="AK196" i="1" s="1"/>
  <c r="AH198" i="1"/>
  <c r="AK198" i="1" s="1"/>
  <c r="AH200" i="1"/>
  <c r="AK200" i="1" s="1"/>
  <c r="AH202" i="1"/>
  <c r="AK202" i="1" s="1"/>
  <c r="AH204" i="1"/>
  <c r="AK204" i="1" s="1"/>
  <c r="AH206" i="1"/>
  <c r="AK206" i="1" s="1"/>
  <c r="AH208" i="1"/>
  <c r="AK208" i="1" s="1"/>
  <c r="AH210" i="1"/>
  <c r="AK210" i="1" s="1"/>
  <c r="AH212" i="1"/>
  <c r="AK212" i="1" s="1"/>
  <c r="AK68" i="1"/>
  <c r="AK72" i="1"/>
  <c r="AK76" i="1"/>
  <c r="AK80" i="1"/>
  <c r="AK84" i="1"/>
  <c r="AK88" i="1"/>
  <c r="AK92" i="1"/>
  <c r="AH94" i="1"/>
  <c r="AK94" i="1" s="1"/>
  <c r="AH96" i="1"/>
  <c r="AK96" i="1" s="1"/>
  <c r="AH98" i="1"/>
  <c r="AK98" i="1" s="1"/>
  <c r="AH100" i="1"/>
  <c r="AK100" i="1" s="1"/>
  <c r="AH102" i="1"/>
  <c r="AK102" i="1" s="1"/>
  <c r="AH104" i="1"/>
  <c r="AK104" i="1" s="1"/>
  <c r="AH106" i="1"/>
  <c r="AK106" i="1" s="1"/>
  <c r="AH108" i="1"/>
  <c r="AK108" i="1" s="1"/>
  <c r="AH110" i="1"/>
  <c r="AK110" i="1" s="1"/>
  <c r="AH112" i="1"/>
  <c r="AK112" i="1" s="1"/>
  <c r="AH114" i="1"/>
  <c r="AK114" i="1" s="1"/>
  <c r="AH116" i="1"/>
  <c r="AK116" i="1" s="1"/>
  <c r="AH120" i="1"/>
  <c r="AK120" i="1" s="1"/>
  <c r="AH121" i="1"/>
  <c r="AK121" i="1" s="1"/>
  <c r="AH255" i="1"/>
  <c r="AK255" i="1" s="1"/>
  <c r="AH262" i="1"/>
  <c r="AK262" i="1" s="1"/>
  <c r="AP268" i="1"/>
  <c r="AK141" i="1"/>
  <c r="AH259" i="1"/>
  <c r="AK259" i="1" s="1"/>
  <c r="AH263" i="1"/>
  <c r="AK263" i="1" s="1"/>
  <c r="AH270" i="1"/>
  <c r="AK270" i="1" s="1"/>
  <c r="AH283" i="1"/>
  <c r="AK283" i="1" s="1"/>
  <c r="AH284" i="1"/>
  <c r="AK284" i="1" s="1"/>
  <c r="AH291" i="1"/>
  <c r="AK291" i="1" s="1"/>
  <c r="AH292" i="1"/>
  <c r="AK292" i="1"/>
  <c r="AH299" i="1"/>
  <c r="AK299" i="1" s="1"/>
  <c r="AH300" i="1"/>
  <c r="AK300" i="1" s="1"/>
  <c r="AH308" i="1"/>
  <c r="AK308" i="1" s="1"/>
  <c r="AH328" i="1"/>
  <c r="AK328" i="1" s="1"/>
  <c r="AH332" i="1"/>
  <c r="AK332" i="1" s="1"/>
  <c r="AH336" i="1"/>
  <c r="AK336" i="1" s="1"/>
  <c r="AH344" i="1"/>
  <c r="AK344" i="1" s="1"/>
  <c r="AH348" i="1"/>
  <c r="AK348" i="1" s="1"/>
  <c r="AH352" i="1"/>
  <c r="AK352" i="1" s="1"/>
  <c r="AH360" i="1"/>
  <c r="AK360" i="1" s="1"/>
  <c r="AH364" i="1"/>
  <c r="AK364" i="1" s="1"/>
  <c r="AH368" i="1"/>
  <c r="AK368" i="1" s="1"/>
  <c r="AH376" i="1"/>
  <c r="AK376" i="1" s="1"/>
  <c r="AH380" i="1"/>
  <c r="AK380" i="1"/>
  <c r="AP380" i="1" s="1"/>
  <c r="AH137" i="1"/>
  <c r="AK137" i="1" s="1"/>
  <c r="AH139" i="1"/>
  <c r="AK139" i="1" s="1"/>
  <c r="AH141" i="1"/>
  <c r="AH144" i="1"/>
  <c r="AK144" i="1" s="1"/>
  <c r="AH252" i="1"/>
  <c r="AK252" i="1" s="1"/>
  <c r="AH256" i="1"/>
  <c r="AK256" i="1" s="1"/>
  <c r="AH265" i="1"/>
  <c r="AK265" i="1" s="1"/>
  <c r="AG267" i="1"/>
  <c r="AH272" i="1"/>
  <c r="AK272" i="1"/>
  <c r="AH324" i="1"/>
  <c r="AK324" i="1"/>
  <c r="AK138" i="1"/>
  <c r="AK140" i="1"/>
  <c r="AK142" i="1"/>
  <c r="AK143" i="1"/>
  <c r="AK145" i="1"/>
  <c r="AH276" i="1"/>
  <c r="AK276" i="1" s="1"/>
  <c r="AH279" i="1"/>
  <c r="AK279" i="1" s="1"/>
  <c r="AH295" i="1"/>
  <c r="AK295" i="1" s="1"/>
  <c r="AH306" i="1"/>
  <c r="AK306" i="1" s="1"/>
  <c r="AH325" i="1"/>
  <c r="AK325" i="1" s="1"/>
  <c r="AH329" i="1"/>
  <c r="AK329" i="1" s="1"/>
  <c r="AH335" i="1"/>
  <c r="AK335" i="1" s="1"/>
  <c r="AH337" i="1"/>
  <c r="AK337" i="1" s="1"/>
  <c r="AH343" i="1"/>
  <c r="AK343" i="1" s="1"/>
  <c r="AH345" i="1"/>
  <c r="AK345" i="1" s="1"/>
  <c r="AH351" i="1"/>
  <c r="AK351" i="1" s="1"/>
  <c r="AH353" i="1"/>
  <c r="AK353" i="1" s="1"/>
  <c r="AH359" i="1"/>
  <c r="AK359" i="1" s="1"/>
  <c r="AH361" i="1"/>
  <c r="AK361" i="1" s="1"/>
  <c r="AH367" i="1"/>
  <c r="AK367" i="1" s="1"/>
  <c r="AH369" i="1"/>
  <c r="AK369" i="1" s="1"/>
  <c r="AH375" i="1"/>
  <c r="AK375" i="1" s="1"/>
  <c r="AH377" i="1"/>
  <c r="AK377" i="1" s="1"/>
  <c r="AP377" i="1" s="1"/>
  <c r="AH384" i="1"/>
  <c r="AK384" i="1" s="1"/>
  <c r="AP384" i="1" s="1"/>
  <c r="AH385" i="1"/>
  <c r="AK385" i="1" s="1"/>
  <c r="AP385" i="1" s="1"/>
  <c r="AH406" i="1"/>
  <c r="AK406" i="1" s="1"/>
  <c r="AP406" i="1" s="1"/>
  <c r="AH407" i="1"/>
  <c r="AK407" i="1" s="1"/>
  <c r="AP407" i="1" s="1"/>
  <c r="AH411" i="1"/>
  <c r="AK411" i="1" s="1"/>
  <c r="AP411" i="1" s="1"/>
  <c r="AH415" i="1"/>
  <c r="AK415" i="1" s="1"/>
  <c r="AP415" i="1" s="1"/>
  <c r="AH419" i="1"/>
  <c r="AK419" i="1" s="1"/>
  <c r="AP419" i="1" s="1"/>
  <c r="AH423" i="1"/>
  <c r="AK423" i="1" s="1"/>
  <c r="AP423" i="1" s="1"/>
  <c r="AH427" i="1"/>
  <c r="AK427" i="1" s="1"/>
  <c r="AP427" i="1" s="1"/>
  <c r="AH431" i="1"/>
  <c r="AK431" i="1" s="1"/>
  <c r="AP431" i="1" s="1"/>
  <c r="AH83" i="2"/>
  <c r="AK83" i="2" s="1"/>
  <c r="AP83" i="2" s="1"/>
  <c r="AR83" i="2" s="1"/>
  <c r="AH111" i="2"/>
  <c r="AK111" i="2" s="1"/>
  <c r="AP111" i="2" s="1"/>
  <c r="AR111" i="2" s="1"/>
  <c r="AG271" i="1"/>
  <c r="AG282" i="1"/>
  <c r="AK288" i="1"/>
  <c r="AG298" i="1"/>
  <c r="AG303" i="1"/>
  <c r="AK314" i="1"/>
  <c r="AH314" i="1"/>
  <c r="AK320" i="1"/>
  <c r="AK342" i="1"/>
  <c r="AH342" i="1"/>
  <c r="AH358" i="1"/>
  <c r="AK358" i="1" s="1"/>
  <c r="AK374" i="1"/>
  <c r="AH374" i="1"/>
  <c r="AH388" i="1"/>
  <c r="AK388" i="1" s="1"/>
  <c r="AP388" i="1" s="1"/>
  <c r="AH392" i="1"/>
  <c r="AK392" i="1" s="1"/>
  <c r="AP392" i="1" s="1"/>
  <c r="AH396" i="1"/>
  <c r="AK396" i="1" s="1"/>
  <c r="AP396" i="1" s="1"/>
  <c r="AK400" i="1"/>
  <c r="AP400" i="1" s="1"/>
  <c r="AH400" i="1"/>
  <c r="AH254" i="1"/>
  <c r="AK254" i="1" s="1"/>
  <c r="AH258" i="1"/>
  <c r="AK258" i="1" s="1"/>
  <c r="AH261" i="1"/>
  <c r="AK261" i="1" s="1"/>
  <c r="AH266" i="1"/>
  <c r="AK266" i="1" s="1"/>
  <c r="AH269" i="1"/>
  <c r="AK269" i="1" s="1"/>
  <c r="AH287" i="1"/>
  <c r="AK287" i="1" s="1"/>
  <c r="AH309" i="1"/>
  <c r="AK309" i="1"/>
  <c r="AH311" i="1"/>
  <c r="AK311" i="1" s="1"/>
  <c r="AH315" i="1"/>
  <c r="AK315" i="1" s="1"/>
  <c r="AH331" i="1"/>
  <c r="AK331" i="1" s="1"/>
  <c r="AH333" i="1"/>
  <c r="AK333" i="1" s="1"/>
  <c r="AH339" i="1"/>
  <c r="AK339" i="1" s="1"/>
  <c r="AK341" i="1"/>
  <c r="AH341" i="1"/>
  <c r="AH347" i="1"/>
  <c r="AK347" i="1" s="1"/>
  <c r="AH349" i="1"/>
  <c r="AK349" i="1" s="1"/>
  <c r="AH355" i="1"/>
  <c r="AK355" i="1" s="1"/>
  <c r="AK357" i="1"/>
  <c r="AH357" i="1"/>
  <c r="AH363" i="1"/>
  <c r="AK363" i="1" s="1"/>
  <c r="AH365" i="1"/>
  <c r="AK365" i="1" s="1"/>
  <c r="AH371" i="1"/>
  <c r="AK371" i="1" s="1"/>
  <c r="AK373" i="1"/>
  <c r="AH373" i="1"/>
  <c r="AH381" i="1"/>
  <c r="AK381" i="1" s="1"/>
  <c r="AP381" i="1" s="1"/>
  <c r="AH273" i="1"/>
  <c r="AG274" i="1"/>
  <c r="AK277" i="1"/>
  <c r="AG290" i="1"/>
  <c r="AK293" i="1"/>
  <c r="AK296" i="1"/>
  <c r="AK304" i="1"/>
  <c r="AH317" i="1"/>
  <c r="AK317" i="1" s="1"/>
  <c r="AG319" i="1"/>
  <c r="AH323" i="1"/>
  <c r="AK323" i="1" s="1"/>
  <c r="AK330" i="1"/>
  <c r="AH330" i="1"/>
  <c r="AH338" i="1"/>
  <c r="AK338" i="1" s="1"/>
  <c r="AH346" i="1"/>
  <c r="AK346" i="1" s="1"/>
  <c r="AH354" i="1"/>
  <c r="AK354" i="1" s="1"/>
  <c r="AK362" i="1"/>
  <c r="AH362" i="1"/>
  <c r="AH370" i="1"/>
  <c r="AK370" i="1" s="1"/>
  <c r="AK38" i="2"/>
  <c r="AP38" i="2" s="1"/>
  <c r="AR38" i="2" s="1"/>
  <c r="AH38" i="2"/>
  <c r="AH46" i="2"/>
  <c r="AK46" i="2" s="1"/>
  <c r="AP46" i="2" s="1"/>
  <c r="AR46" i="2" s="1"/>
  <c r="AK390" i="1"/>
  <c r="AP390" i="1" s="1"/>
  <c r="AH390" i="1"/>
  <c r="AH401" i="1"/>
  <c r="AK401" i="1" s="1"/>
  <c r="AP401" i="1" s="1"/>
  <c r="AH413" i="1"/>
  <c r="AK413" i="1" s="1"/>
  <c r="AP413" i="1" s="1"/>
  <c r="AH414" i="1"/>
  <c r="AK414" i="1" s="1"/>
  <c r="AP414" i="1" s="1"/>
  <c r="AK420" i="1"/>
  <c r="AP420" i="1" s="1"/>
  <c r="AH420" i="1"/>
  <c r="AH429" i="1"/>
  <c r="AK429" i="1" s="1"/>
  <c r="AP429" i="1" s="1"/>
  <c r="AH430" i="1"/>
  <c r="AK430" i="1" s="1"/>
  <c r="AP430" i="1" s="1"/>
  <c r="AH10" i="2"/>
  <c r="AK10" i="2" s="1"/>
  <c r="AP10" i="2" s="1"/>
  <c r="AR10" i="2" s="1"/>
  <c r="AH12" i="2"/>
  <c r="AH18" i="2"/>
  <c r="AK18" i="2" s="1"/>
  <c r="AP18" i="2" s="1"/>
  <c r="AR18" i="2" s="1"/>
  <c r="AK20" i="2"/>
  <c r="AP20" i="2" s="1"/>
  <c r="AR20" i="2" s="1"/>
  <c r="AH20" i="2"/>
  <c r="AH26" i="2"/>
  <c r="AK26" i="2" s="1"/>
  <c r="AP26" i="2" s="1"/>
  <c r="AR26" i="2" s="1"/>
  <c r="AH28" i="2"/>
  <c r="AK28" i="2" s="1"/>
  <c r="AP28" i="2" s="1"/>
  <c r="AR28" i="2" s="1"/>
  <c r="AH34" i="2"/>
  <c r="AK34" i="2" s="1"/>
  <c r="AP34" i="2" s="1"/>
  <c r="AR34" i="2" s="1"/>
  <c r="AK39" i="2"/>
  <c r="AP39" i="2" s="1"/>
  <c r="AR39" i="2" s="1"/>
  <c r="AH39" i="2"/>
  <c r="AH48" i="2"/>
  <c r="AK48" i="2" s="1"/>
  <c r="AP48" i="2" s="1"/>
  <c r="AR48" i="2" s="1"/>
  <c r="AH52" i="2"/>
  <c r="AK52" i="2" s="1"/>
  <c r="AP52" i="2" s="1"/>
  <c r="AR52" i="2" s="1"/>
  <c r="AH89" i="2"/>
  <c r="AK89" i="2"/>
  <c r="AP89" i="2" s="1"/>
  <c r="AR89" i="2" s="1"/>
  <c r="AH113" i="2"/>
  <c r="AK113" i="2" s="1"/>
  <c r="AP113" i="2" s="1"/>
  <c r="AR113" i="2" s="1"/>
  <c r="AH119" i="2"/>
  <c r="AK119" i="2" s="1"/>
  <c r="AP119" i="2" s="1"/>
  <c r="AR119" i="2" s="1"/>
  <c r="AH123" i="2"/>
  <c r="AK123" i="2" s="1"/>
  <c r="AP123" i="2" s="1"/>
  <c r="AR123" i="2" s="1"/>
  <c r="AH127" i="2"/>
  <c r="AK127" i="2"/>
  <c r="AP127" i="2" s="1"/>
  <c r="AR127" i="2" s="1"/>
  <c r="AH131" i="2"/>
  <c r="AK131" i="2" s="1"/>
  <c r="AP131" i="2" s="1"/>
  <c r="AR131" i="2" s="1"/>
  <c r="AK387" i="1"/>
  <c r="AP387" i="1" s="1"/>
  <c r="AH389" i="1"/>
  <c r="AK389" i="1" s="1"/>
  <c r="AP389" i="1" s="1"/>
  <c r="AH391" i="1"/>
  <c r="AH394" i="1"/>
  <c r="AK394" i="1" s="1"/>
  <c r="AP394" i="1" s="1"/>
  <c r="AK405" i="1"/>
  <c r="AP405" i="1" s="1"/>
  <c r="AH405" i="1"/>
  <c r="AH409" i="1"/>
  <c r="AK409" i="1" s="1"/>
  <c r="AP409" i="1" s="1"/>
  <c r="AH410" i="1"/>
  <c r="AK410" i="1" s="1"/>
  <c r="AP410" i="1" s="1"/>
  <c r="AH416" i="1"/>
  <c r="AK416" i="1" s="1"/>
  <c r="AP416" i="1" s="1"/>
  <c r="AK425" i="1"/>
  <c r="AP425" i="1" s="1"/>
  <c r="AH425" i="1"/>
  <c r="AH426" i="1"/>
  <c r="AK426" i="1" s="1"/>
  <c r="AP426" i="1" s="1"/>
  <c r="AH432" i="1"/>
  <c r="AK432" i="1" s="1"/>
  <c r="AP432" i="1" s="1"/>
  <c r="AH3" i="2"/>
  <c r="AK3" i="2" s="1"/>
  <c r="AP3" i="2" s="1"/>
  <c r="AR3" i="2" s="1"/>
  <c r="AK5" i="2"/>
  <c r="AP5" i="2" s="1"/>
  <c r="AR5" i="2" s="1"/>
  <c r="AH5" i="2"/>
  <c r="AH7" i="2"/>
  <c r="AK7" i="2" s="1"/>
  <c r="AP7" i="2" s="1"/>
  <c r="AR7" i="2" s="1"/>
  <c r="AH9" i="2"/>
  <c r="AH15" i="2"/>
  <c r="AK15" i="2" s="1"/>
  <c r="AP15" i="2" s="1"/>
  <c r="AR15" i="2" s="1"/>
  <c r="AK17" i="2"/>
  <c r="AP17" i="2" s="1"/>
  <c r="AR17" i="2" s="1"/>
  <c r="AH17" i="2"/>
  <c r="AH23" i="2"/>
  <c r="AK23" i="2" s="1"/>
  <c r="AP23" i="2" s="1"/>
  <c r="AR23" i="2" s="1"/>
  <c r="AH25" i="2"/>
  <c r="AK25" i="2" s="1"/>
  <c r="AP25" i="2" s="1"/>
  <c r="AR25" i="2" s="1"/>
  <c r="AH31" i="2"/>
  <c r="AK31" i="2" s="1"/>
  <c r="AP31" i="2" s="1"/>
  <c r="AR31" i="2" s="1"/>
  <c r="AH44" i="2"/>
  <c r="AK44" i="2" s="1"/>
  <c r="AP44" i="2" s="1"/>
  <c r="AR44" i="2" s="1"/>
  <c r="AG278" i="1"/>
  <c r="AH281" i="1"/>
  <c r="AK281" i="1" s="1"/>
  <c r="AG286" i="1"/>
  <c r="AH289" i="1"/>
  <c r="AK289" i="1" s="1"/>
  <c r="AG294" i="1"/>
  <c r="AH297" i="1"/>
  <c r="AK297" i="1" s="1"/>
  <c r="AG302" i="1"/>
  <c r="AH305" i="1"/>
  <c r="AK305" i="1" s="1"/>
  <c r="AG310" i="1"/>
  <c r="AH313" i="1"/>
  <c r="AK313" i="1" s="1"/>
  <c r="AG318" i="1"/>
  <c r="AH321" i="1"/>
  <c r="AK321" i="1" s="1"/>
  <c r="AG326" i="1"/>
  <c r="AG378" i="1"/>
  <c r="AG382" i="1"/>
  <c r="AK391" i="1"/>
  <c r="AP391" i="1" s="1"/>
  <c r="AH393" i="1"/>
  <c r="AK393" i="1" s="1"/>
  <c r="AP393" i="1" s="1"/>
  <c r="AH395" i="1"/>
  <c r="AK395" i="1" s="1"/>
  <c r="AP395" i="1" s="1"/>
  <c r="AG398" i="1"/>
  <c r="AG412" i="1"/>
  <c r="AH421" i="1"/>
  <c r="AK421" i="1" s="1"/>
  <c r="AP421" i="1" s="1"/>
  <c r="AH422" i="1"/>
  <c r="AK422" i="1" s="1"/>
  <c r="AP422" i="1" s="1"/>
  <c r="AG428" i="1"/>
  <c r="AH2" i="2"/>
  <c r="AK2" i="2" s="1"/>
  <c r="AP2" i="2" s="1"/>
  <c r="AR2" i="2" s="1"/>
  <c r="AH4" i="2"/>
  <c r="AK4" i="2" s="1"/>
  <c r="AP4" i="2" s="1"/>
  <c r="AR4" i="2" s="1"/>
  <c r="AH6" i="2"/>
  <c r="AK6" i="2" s="1"/>
  <c r="AP6" i="2" s="1"/>
  <c r="AR6" i="2" s="1"/>
  <c r="AH14" i="2"/>
  <c r="AK14" i="2" s="1"/>
  <c r="AP14" i="2" s="1"/>
  <c r="AR14" i="2" s="1"/>
  <c r="AH16" i="2"/>
  <c r="AK16" i="2" s="1"/>
  <c r="AP16" i="2" s="1"/>
  <c r="AR16" i="2" s="1"/>
  <c r="AH22" i="2"/>
  <c r="AK22" i="2" s="1"/>
  <c r="AP22" i="2" s="1"/>
  <c r="AR22" i="2" s="1"/>
  <c r="AK24" i="2"/>
  <c r="AP24" i="2" s="1"/>
  <c r="AR24" i="2" s="1"/>
  <c r="AH24" i="2"/>
  <c r="AH30" i="2"/>
  <c r="AK30" i="2" s="1"/>
  <c r="AP30" i="2" s="1"/>
  <c r="AR30" i="2" s="1"/>
  <c r="AH32" i="2"/>
  <c r="AH36" i="2"/>
  <c r="AK36" i="2" s="1"/>
  <c r="AP36" i="2" s="1"/>
  <c r="AR36" i="2" s="1"/>
  <c r="AK50" i="2"/>
  <c r="AP50" i="2" s="1"/>
  <c r="AR50" i="2" s="1"/>
  <c r="AH50" i="2"/>
  <c r="AH87" i="2"/>
  <c r="AK87" i="2" s="1"/>
  <c r="AP87" i="2" s="1"/>
  <c r="AR87" i="2" s="1"/>
  <c r="AH92" i="2"/>
  <c r="AK92" i="2" s="1"/>
  <c r="AP92" i="2" s="1"/>
  <c r="AR92" i="2" s="1"/>
  <c r="AK273" i="1"/>
  <c r="AH379" i="1"/>
  <c r="AK379" i="1" s="1"/>
  <c r="AP379" i="1" s="1"/>
  <c r="AH383" i="1"/>
  <c r="AK383" i="1" s="1"/>
  <c r="AP383" i="1" s="1"/>
  <c r="AG386" i="1"/>
  <c r="AH397" i="1"/>
  <c r="AK397" i="1" s="1"/>
  <c r="AP397" i="1" s="1"/>
  <c r="AH399" i="1"/>
  <c r="AK399" i="1" s="1"/>
  <c r="AP399" i="1" s="1"/>
  <c r="AG402" i="1"/>
  <c r="AG408" i="1"/>
  <c r="AH417" i="1"/>
  <c r="AK417" i="1" s="1"/>
  <c r="AP417" i="1" s="1"/>
  <c r="AH418" i="1"/>
  <c r="AK418" i="1" s="1"/>
  <c r="AP418" i="1" s="1"/>
  <c r="AG424" i="1"/>
  <c r="AH433" i="1"/>
  <c r="AK433" i="1" s="1"/>
  <c r="AP433" i="1" s="1"/>
  <c r="AH434" i="1"/>
  <c r="AK434" i="1" s="1"/>
  <c r="AP434" i="1" s="1"/>
  <c r="AH435" i="1"/>
  <c r="AK435" i="1" s="1"/>
  <c r="AG11" i="2"/>
  <c r="AK13" i="2"/>
  <c r="AP13" i="2" s="1"/>
  <c r="AR13" i="2" s="1"/>
  <c r="AH13" i="2"/>
  <c r="AG19" i="2"/>
  <c r="AH21" i="2"/>
  <c r="AK21" i="2" s="1"/>
  <c r="AP21" i="2" s="1"/>
  <c r="AR21" i="2" s="1"/>
  <c r="AG27" i="2"/>
  <c r="AH29" i="2"/>
  <c r="AK29" i="2" s="1"/>
  <c r="AP29" i="2" s="1"/>
  <c r="AR29" i="2" s="1"/>
  <c r="AK42" i="2"/>
  <c r="AP42" i="2" s="1"/>
  <c r="AR42" i="2" s="1"/>
  <c r="AH42" i="2"/>
  <c r="AH47" i="2"/>
  <c r="AK47" i="2" s="1"/>
  <c r="AP47" i="2" s="1"/>
  <c r="AR47" i="2" s="1"/>
  <c r="AH55" i="2"/>
  <c r="AK55" i="2" s="1"/>
  <c r="AP55" i="2" s="1"/>
  <c r="AR55" i="2" s="1"/>
  <c r="AH99" i="2"/>
  <c r="AK99" i="2"/>
  <c r="AP99" i="2" s="1"/>
  <c r="AR99" i="2" s="1"/>
  <c r="AH115" i="2"/>
  <c r="AK115" i="2" s="1"/>
  <c r="AP115" i="2" s="1"/>
  <c r="AR115" i="2" s="1"/>
  <c r="AH33" i="2"/>
  <c r="AK33" i="2" s="1"/>
  <c r="AP33" i="2" s="1"/>
  <c r="AR33" i="2" s="1"/>
  <c r="AH41" i="2"/>
  <c r="AK41" i="2" s="1"/>
  <c r="AP41" i="2" s="1"/>
  <c r="AR41" i="2" s="1"/>
  <c r="AH49" i="2"/>
  <c r="AK49" i="2" s="1"/>
  <c r="AP49" i="2" s="1"/>
  <c r="AR49" i="2" s="1"/>
  <c r="AK59" i="2"/>
  <c r="AP59" i="2" s="1"/>
  <c r="AR59" i="2" s="1"/>
  <c r="AH59" i="2"/>
  <c r="AH84" i="2"/>
  <c r="AH86" i="2"/>
  <c r="AK86" i="2" s="1"/>
  <c r="AP86" i="2" s="1"/>
  <c r="AR86" i="2" s="1"/>
  <c r="AH88" i="2"/>
  <c r="AK88" i="2"/>
  <c r="AP88" i="2" s="1"/>
  <c r="AR88" i="2" s="1"/>
  <c r="AH108" i="2"/>
  <c r="AK108" i="2" s="1"/>
  <c r="AP108" i="2" s="1"/>
  <c r="AR108" i="2" s="1"/>
  <c r="AH112" i="2"/>
  <c r="AK112" i="2" s="1"/>
  <c r="AP112" i="2" s="1"/>
  <c r="AR112" i="2" s="1"/>
  <c r="AH117" i="2"/>
  <c r="AK117" i="2" s="1"/>
  <c r="AP117" i="2" s="1"/>
  <c r="AR117" i="2" s="1"/>
  <c r="AH35" i="2"/>
  <c r="AK35" i="2" s="1"/>
  <c r="AP35" i="2" s="1"/>
  <c r="AR35" i="2" s="1"/>
  <c r="AK43" i="2"/>
  <c r="AP43" i="2" s="1"/>
  <c r="AR43" i="2" s="1"/>
  <c r="AH43" i="2"/>
  <c r="AH51" i="2"/>
  <c r="AK51" i="2" s="1"/>
  <c r="AP51" i="2" s="1"/>
  <c r="AR51" i="2" s="1"/>
  <c r="AH63" i="2"/>
  <c r="AK63" i="2" s="1"/>
  <c r="AP63" i="2" s="1"/>
  <c r="AR63" i="2" s="1"/>
  <c r="AH91" i="2"/>
  <c r="AH95" i="2"/>
  <c r="AK95" i="2" s="1"/>
  <c r="AP95" i="2" s="1"/>
  <c r="AR95" i="2" s="1"/>
  <c r="AH103" i="2"/>
  <c r="AK103" i="2" s="1"/>
  <c r="AP103" i="2" s="1"/>
  <c r="AR103" i="2" s="1"/>
  <c r="AH107" i="2"/>
  <c r="AK107" i="2" s="1"/>
  <c r="AP107" i="2" s="1"/>
  <c r="AR107" i="2" s="1"/>
  <c r="AH135" i="2"/>
  <c r="AK135" i="2" s="1"/>
  <c r="AP135" i="2" s="1"/>
  <c r="AR135" i="2" s="1"/>
  <c r="AG37" i="2"/>
  <c r="AG45" i="2"/>
  <c r="AH67" i="2"/>
  <c r="AK67" i="2" s="1"/>
  <c r="AP67" i="2" s="1"/>
  <c r="AR67" i="2" s="1"/>
  <c r="AH70" i="2"/>
  <c r="AK70" i="2"/>
  <c r="AP70" i="2" s="1"/>
  <c r="AR70" i="2" s="1"/>
  <c r="AK91" i="2"/>
  <c r="AP91" i="2" s="1"/>
  <c r="AR91" i="2" s="1"/>
  <c r="AH93" i="2"/>
  <c r="AK93" i="2" s="1"/>
  <c r="AP93" i="2" s="1"/>
  <c r="AR93" i="2" s="1"/>
  <c r="AH96" i="2"/>
  <c r="AK96" i="2" s="1"/>
  <c r="AP96" i="2" s="1"/>
  <c r="AR96" i="2" s="1"/>
  <c r="AK97" i="2"/>
  <c r="AP97" i="2" s="1"/>
  <c r="AR97" i="2" s="1"/>
  <c r="AH101" i="2"/>
  <c r="AK101" i="2" s="1"/>
  <c r="AP101" i="2" s="1"/>
  <c r="AR101" i="2" s="1"/>
  <c r="AH124" i="2"/>
  <c r="AK124" i="2" s="1"/>
  <c r="AP124" i="2" s="1"/>
  <c r="AR124" i="2" s="1"/>
  <c r="AH128" i="2"/>
  <c r="AK128" i="2"/>
  <c r="AP128" i="2" s="1"/>
  <c r="AR128" i="2" s="1"/>
  <c r="AH133" i="2"/>
  <c r="AK133" i="2" s="1"/>
  <c r="AP133" i="2" s="1"/>
  <c r="AR133" i="2" s="1"/>
  <c r="AG56" i="2"/>
  <c r="AG60" i="2"/>
  <c r="AG64" i="2"/>
  <c r="AH74" i="2"/>
  <c r="AK74" i="2" s="1"/>
  <c r="AP74" i="2" s="1"/>
  <c r="AR74" i="2" s="1"/>
  <c r="AK76" i="2"/>
  <c r="AP76" i="2" s="1"/>
  <c r="AR76" i="2" s="1"/>
  <c r="AK77" i="2"/>
  <c r="AP77" i="2" s="1"/>
  <c r="AR77" i="2" s="1"/>
  <c r="AH79" i="2"/>
  <c r="AK79" i="2" s="1"/>
  <c r="AP79" i="2" s="1"/>
  <c r="AR79" i="2" s="1"/>
  <c r="AH90" i="2"/>
  <c r="AK90" i="2"/>
  <c r="AP90" i="2" s="1"/>
  <c r="AR90" i="2" s="1"/>
  <c r="AH105" i="2"/>
  <c r="AK105" i="2" s="1"/>
  <c r="AP105" i="2" s="1"/>
  <c r="AR105" i="2" s="1"/>
  <c r="AH116" i="2"/>
  <c r="AK116" i="2" s="1"/>
  <c r="AP116" i="2" s="1"/>
  <c r="AR116" i="2" s="1"/>
  <c r="AH121" i="2"/>
  <c r="AK121" i="2" s="1"/>
  <c r="AP121" i="2" s="1"/>
  <c r="AR121" i="2" s="1"/>
  <c r="AH140" i="2"/>
  <c r="AK140" i="2" s="1"/>
  <c r="AP140" i="2" s="1"/>
  <c r="AR140" i="2" s="1"/>
  <c r="AH144" i="2"/>
  <c r="AK144" i="2" s="1"/>
  <c r="AP144" i="2" s="1"/>
  <c r="AR144" i="2" s="1"/>
  <c r="AG53" i="2"/>
  <c r="AG57" i="2"/>
  <c r="AG61" i="2"/>
  <c r="AG65" i="2"/>
  <c r="AK72" i="2"/>
  <c r="AP72" i="2" s="1"/>
  <c r="AR72" i="2" s="1"/>
  <c r="AK73" i="2"/>
  <c r="AP73" i="2" s="1"/>
  <c r="AR73" i="2" s="1"/>
  <c r="AH82" i="2"/>
  <c r="AK82" i="2" s="1"/>
  <c r="AP82" i="2" s="1"/>
  <c r="AR82" i="2" s="1"/>
  <c r="AH85" i="2"/>
  <c r="AK85" i="2" s="1"/>
  <c r="AP85" i="2" s="1"/>
  <c r="AR85" i="2" s="1"/>
  <c r="AH94" i="2"/>
  <c r="AK94" i="2" s="1"/>
  <c r="AP94" i="2" s="1"/>
  <c r="AR94" i="2" s="1"/>
  <c r="AH104" i="2"/>
  <c r="AK104" i="2" s="1"/>
  <c r="AP104" i="2" s="1"/>
  <c r="AR104" i="2" s="1"/>
  <c r="AH109" i="2"/>
  <c r="AK109" i="2" s="1"/>
  <c r="AP109" i="2" s="1"/>
  <c r="AR109" i="2" s="1"/>
  <c r="AH125" i="2"/>
  <c r="AK125" i="2" s="1"/>
  <c r="AP125" i="2" s="1"/>
  <c r="AR125" i="2" s="1"/>
  <c r="AH136" i="2"/>
  <c r="AK136" i="2" s="1"/>
  <c r="AP136" i="2" s="1"/>
  <c r="AR136" i="2" s="1"/>
  <c r="AH138" i="2"/>
  <c r="AK138" i="2"/>
  <c r="AP138" i="2" s="1"/>
  <c r="AR138" i="2" s="1"/>
  <c r="AH139" i="2"/>
  <c r="AK139" i="2" s="1"/>
  <c r="AP139" i="2" s="1"/>
  <c r="AR139" i="2" s="1"/>
  <c r="AH98" i="2"/>
  <c r="AK98" i="2" s="1"/>
  <c r="AP98" i="2" s="1"/>
  <c r="AR98" i="2" s="1"/>
  <c r="AH102" i="2"/>
  <c r="AK102" i="2" s="1"/>
  <c r="AP102" i="2" s="1"/>
  <c r="AR102" i="2" s="1"/>
  <c r="AH106" i="2"/>
  <c r="AH110" i="2"/>
  <c r="AH114" i="2"/>
  <c r="AK114" i="2" s="1"/>
  <c r="AP114" i="2" s="1"/>
  <c r="AR114" i="2" s="1"/>
  <c r="AH118" i="2"/>
  <c r="AK118" i="2" s="1"/>
  <c r="AP118" i="2" s="1"/>
  <c r="AR118" i="2" s="1"/>
  <c r="AH122" i="2"/>
  <c r="AK122" i="2" s="1"/>
  <c r="AP122" i="2" s="1"/>
  <c r="AR122" i="2" s="1"/>
  <c r="AH126" i="2"/>
  <c r="AK126" i="2" s="1"/>
  <c r="AP126" i="2" s="1"/>
  <c r="AR126" i="2" s="1"/>
  <c r="AH130" i="2"/>
  <c r="AK130" i="2" s="1"/>
  <c r="AP130" i="2" s="1"/>
  <c r="AR130" i="2" s="1"/>
  <c r="AH134" i="2"/>
  <c r="AK134" i="2" s="1"/>
  <c r="AP134" i="2" s="1"/>
  <c r="AR134" i="2" s="1"/>
  <c r="AK142" i="2"/>
  <c r="AP142" i="2" s="1"/>
  <c r="AR142" i="2" s="1"/>
  <c r="AG54" i="2"/>
  <c r="AG58" i="2"/>
  <c r="AG62" i="2"/>
  <c r="AG66" i="2"/>
  <c r="AH78" i="2"/>
  <c r="AK78" i="2" s="1"/>
  <c r="AP78" i="2" s="1"/>
  <c r="AR78" i="2" s="1"/>
  <c r="AK80" i="2"/>
  <c r="AP80" i="2" s="1"/>
  <c r="AR80" i="2" s="1"/>
  <c r="AK81" i="2"/>
  <c r="AP81" i="2" s="1"/>
  <c r="AR81" i="2" s="1"/>
  <c r="AK106" i="2"/>
  <c r="AP106" i="2" s="1"/>
  <c r="AR106" i="2" s="1"/>
  <c r="AK110" i="2"/>
  <c r="AP110" i="2" s="1"/>
  <c r="AR110" i="2" s="1"/>
  <c r="AH137" i="2"/>
  <c r="AK137" i="2" s="1"/>
  <c r="AP137" i="2" s="1"/>
  <c r="AR137" i="2" s="1"/>
  <c r="AH141" i="2"/>
  <c r="AK141" i="2" s="1"/>
  <c r="AP141" i="2" s="1"/>
  <c r="AR141" i="2" s="1"/>
  <c r="AH142" i="2"/>
  <c r="AG143" i="2"/>
  <c r="AG146" i="2"/>
  <c r="AK146" i="2" s="1"/>
  <c r="AP146" i="2" s="1"/>
  <c r="AR146" i="2" s="1"/>
  <c r="AH312" i="1" l="1"/>
  <c r="AK312" i="1" s="1"/>
  <c r="AK285" i="1"/>
  <c r="AT285" i="1" s="1"/>
  <c r="AH275" i="1"/>
  <c r="AK275" i="1" s="1"/>
  <c r="AT122" i="1"/>
  <c r="AH257" i="1"/>
  <c r="AK257" i="1"/>
  <c r="AH253" i="1"/>
  <c r="AK253" i="1"/>
  <c r="AK280" i="1"/>
  <c r="AK301" i="1"/>
  <c r="AT301" i="1" s="1"/>
  <c r="AT354" i="1"/>
  <c r="AP354" i="1"/>
  <c r="AT266" i="1"/>
  <c r="AP266" i="1"/>
  <c r="AT361" i="1"/>
  <c r="AP361" i="1"/>
  <c r="AT265" i="1"/>
  <c r="AP265" i="1"/>
  <c r="AT344" i="1"/>
  <c r="AP344" i="1"/>
  <c r="AP259" i="1"/>
  <c r="AT259" i="1"/>
  <c r="AT200" i="1"/>
  <c r="AP200" i="1"/>
  <c r="AR200" i="1" s="1"/>
  <c r="AT243" i="1"/>
  <c r="AP243" i="1"/>
  <c r="AR243" i="1" s="1"/>
  <c r="AT207" i="1"/>
  <c r="AP207" i="1"/>
  <c r="AR207" i="1" s="1"/>
  <c r="AT172" i="1"/>
  <c r="AP172" i="1"/>
  <c r="AR172" i="1" s="1"/>
  <c r="AT156" i="1"/>
  <c r="AP156" i="1"/>
  <c r="AR156" i="1" s="1"/>
  <c r="AP130" i="1"/>
  <c r="AR130" i="1" s="1"/>
  <c r="AT130" i="1"/>
  <c r="AP17" i="1"/>
  <c r="AR17" i="1" s="1"/>
  <c r="AT17" i="1"/>
  <c r="AP71" i="1"/>
  <c r="AR71" i="1" s="1"/>
  <c r="AT71" i="1"/>
  <c r="AP45" i="1"/>
  <c r="AR45" i="1" s="1"/>
  <c r="AT45" i="1"/>
  <c r="AP3" i="1"/>
  <c r="AR3" i="1" s="1"/>
  <c r="AT3" i="1"/>
  <c r="AP67" i="1"/>
  <c r="AR67" i="1" s="1"/>
  <c r="AT67" i="1"/>
  <c r="AP53" i="1"/>
  <c r="AR53" i="1" s="1"/>
  <c r="AT53" i="1"/>
  <c r="AP35" i="1"/>
  <c r="AR35" i="1" s="1"/>
  <c r="AT35" i="1"/>
  <c r="AP11" i="1"/>
  <c r="AR11" i="1" s="1"/>
  <c r="AT11" i="1"/>
  <c r="AT370" i="1"/>
  <c r="AP370" i="1"/>
  <c r="AT363" i="1"/>
  <c r="AP363" i="1"/>
  <c r="AT331" i="1"/>
  <c r="AP331" i="1"/>
  <c r="AT350" i="1"/>
  <c r="AP350" i="1"/>
  <c r="AT375" i="1"/>
  <c r="AP375" i="1"/>
  <c r="AT359" i="1"/>
  <c r="AP359" i="1"/>
  <c r="AT343" i="1"/>
  <c r="AP343" i="1"/>
  <c r="AT327" i="1"/>
  <c r="AP327" i="1"/>
  <c r="AT137" i="1"/>
  <c r="AP137" i="1"/>
  <c r="AR137" i="1" s="1"/>
  <c r="AT372" i="1"/>
  <c r="AP372" i="1"/>
  <c r="AT356" i="1"/>
  <c r="AP356" i="1"/>
  <c r="AT340" i="1"/>
  <c r="AP340" i="1"/>
  <c r="AP299" i="1"/>
  <c r="AT299" i="1"/>
  <c r="AP283" i="1"/>
  <c r="AT283" i="1"/>
  <c r="AP121" i="1"/>
  <c r="AR121" i="1" s="1"/>
  <c r="AT121" i="1"/>
  <c r="AT198" i="1"/>
  <c r="AP198" i="1"/>
  <c r="AR198" i="1" s="1"/>
  <c r="AT190" i="1"/>
  <c r="AP190" i="1"/>
  <c r="AR190" i="1" s="1"/>
  <c r="AT245" i="1"/>
  <c r="AP245" i="1"/>
  <c r="AR245" i="1" s="1"/>
  <c r="AT237" i="1"/>
  <c r="AP237" i="1"/>
  <c r="AR237" i="1" s="1"/>
  <c r="AT229" i="1"/>
  <c r="AP229" i="1"/>
  <c r="AR229" i="1" s="1"/>
  <c r="AT221" i="1"/>
  <c r="AP221" i="1"/>
  <c r="AR221" i="1" s="1"/>
  <c r="AT213" i="1"/>
  <c r="AP213" i="1"/>
  <c r="AR213" i="1" s="1"/>
  <c r="AT205" i="1"/>
  <c r="AP205" i="1"/>
  <c r="AR205" i="1" s="1"/>
  <c r="AT182" i="1"/>
  <c r="AP182" i="1"/>
  <c r="AR182" i="1" s="1"/>
  <c r="AT174" i="1"/>
  <c r="AP174" i="1"/>
  <c r="AR174" i="1" s="1"/>
  <c r="AT166" i="1"/>
  <c r="AP166" i="1"/>
  <c r="AR166" i="1" s="1"/>
  <c r="AT158" i="1"/>
  <c r="AP158" i="1"/>
  <c r="AR158" i="1" s="1"/>
  <c r="AT150" i="1"/>
  <c r="AP150" i="1"/>
  <c r="AR150" i="1" s="1"/>
  <c r="AT146" i="1"/>
  <c r="AP146" i="1"/>
  <c r="AR146" i="1" s="1"/>
  <c r="AP136" i="1"/>
  <c r="AR136" i="1" s="1"/>
  <c r="AT136" i="1"/>
  <c r="AP128" i="1"/>
  <c r="AR128" i="1" s="1"/>
  <c r="AT128" i="1"/>
  <c r="AT90" i="1"/>
  <c r="AP90" i="1"/>
  <c r="AR90" i="1" s="1"/>
  <c r="AT74" i="1"/>
  <c r="AP74" i="1"/>
  <c r="AR74" i="1" s="1"/>
  <c r="AT127" i="1"/>
  <c r="AP127" i="1"/>
  <c r="AR127" i="1" s="1"/>
  <c r="AP13" i="1"/>
  <c r="AR13" i="1" s="1"/>
  <c r="AT13" i="1"/>
  <c r="AP81" i="1"/>
  <c r="AR81" i="1" s="1"/>
  <c r="AT81" i="1"/>
  <c r="AP69" i="1"/>
  <c r="AR69" i="1" s="1"/>
  <c r="AT69" i="1"/>
  <c r="AP43" i="1"/>
  <c r="AR43" i="1" s="1"/>
  <c r="AT43" i="1"/>
  <c r="AP25" i="1"/>
  <c r="AR25" i="1" s="1"/>
  <c r="AT25" i="1"/>
  <c r="AP9" i="1"/>
  <c r="AR9" i="1" s="1"/>
  <c r="AT9" i="1"/>
  <c r="AP83" i="1"/>
  <c r="AR83" i="1" s="1"/>
  <c r="AT83" i="1"/>
  <c r="AP59" i="1"/>
  <c r="AR59" i="1" s="1"/>
  <c r="AT59" i="1"/>
  <c r="AP51" i="1"/>
  <c r="AR51" i="1" s="1"/>
  <c r="AT51" i="1"/>
  <c r="AP33" i="1"/>
  <c r="AR33" i="1" s="1"/>
  <c r="AT33" i="1"/>
  <c r="AP7" i="1"/>
  <c r="AR7" i="1" s="1"/>
  <c r="AT7" i="1"/>
  <c r="AT355" i="1"/>
  <c r="AP355" i="1"/>
  <c r="AP307" i="1"/>
  <c r="AT307" i="1"/>
  <c r="AT345" i="1"/>
  <c r="AP345" i="1"/>
  <c r="AT139" i="1"/>
  <c r="AP139" i="1"/>
  <c r="AR139" i="1" s="1"/>
  <c r="AT360" i="1"/>
  <c r="AP360" i="1"/>
  <c r="AT328" i="1"/>
  <c r="AP328" i="1"/>
  <c r="AT255" i="1"/>
  <c r="AP255" i="1"/>
  <c r="AR255" i="1" s="1"/>
  <c r="AT251" i="1"/>
  <c r="AP251" i="1"/>
  <c r="AR251" i="1" s="1"/>
  <c r="AT227" i="1"/>
  <c r="AP227" i="1"/>
  <c r="AR227" i="1" s="1"/>
  <c r="AT219" i="1"/>
  <c r="AP219" i="1"/>
  <c r="AR219" i="1" s="1"/>
  <c r="AT180" i="1"/>
  <c r="AP180" i="1"/>
  <c r="AR180" i="1" s="1"/>
  <c r="AT164" i="1"/>
  <c r="AP164" i="1"/>
  <c r="AR164" i="1" s="1"/>
  <c r="AT148" i="1"/>
  <c r="AP148" i="1"/>
  <c r="AR148" i="1" s="1"/>
  <c r="AT129" i="1"/>
  <c r="AP129" i="1"/>
  <c r="AR129" i="1" s="1"/>
  <c r="AP85" i="1"/>
  <c r="AR85" i="1" s="1"/>
  <c r="AT85" i="1"/>
  <c r="AP61" i="1"/>
  <c r="AR61" i="1" s="1"/>
  <c r="AT61" i="1"/>
  <c r="AP27" i="1"/>
  <c r="AR27" i="1" s="1"/>
  <c r="AT27" i="1"/>
  <c r="AP87" i="1"/>
  <c r="AR87" i="1" s="1"/>
  <c r="AT87" i="1"/>
  <c r="AP323" i="1"/>
  <c r="AT323" i="1"/>
  <c r="AT371" i="1"/>
  <c r="AP371" i="1"/>
  <c r="AT339" i="1"/>
  <c r="AP339" i="1"/>
  <c r="AT258" i="1"/>
  <c r="AP258" i="1"/>
  <c r="AT366" i="1"/>
  <c r="AP366" i="1"/>
  <c r="AT369" i="1"/>
  <c r="AP369" i="1"/>
  <c r="AT353" i="1"/>
  <c r="AP353" i="1"/>
  <c r="AT337" i="1"/>
  <c r="AP337" i="1"/>
  <c r="AT368" i="1"/>
  <c r="AP368" i="1"/>
  <c r="AT352" i="1"/>
  <c r="AP352" i="1"/>
  <c r="AT336" i="1"/>
  <c r="AP336" i="1"/>
  <c r="AT270" i="1"/>
  <c r="AP270" i="1"/>
  <c r="AT204" i="1"/>
  <c r="AP204" i="1"/>
  <c r="AR204" i="1" s="1"/>
  <c r="AT196" i="1"/>
  <c r="AP196" i="1"/>
  <c r="AR196" i="1" s="1"/>
  <c r="AT188" i="1"/>
  <c r="AP188" i="1"/>
  <c r="AR188" i="1" s="1"/>
  <c r="AT247" i="1"/>
  <c r="AP247" i="1"/>
  <c r="AR247" i="1" s="1"/>
  <c r="AT239" i="1"/>
  <c r="AP239" i="1"/>
  <c r="AR239" i="1" s="1"/>
  <c r="AT231" i="1"/>
  <c r="AP231" i="1"/>
  <c r="AR231" i="1" s="1"/>
  <c r="AT223" i="1"/>
  <c r="AP223" i="1"/>
  <c r="AR223" i="1" s="1"/>
  <c r="AT215" i="1"/>
  <c r="AP215" i="1"/>
  <c r="AR215" i="1" s="1"/>
  <c r="AT211" i="1"/>
  <c r="AP211" i="1"/>
  <c r="AR211" i="1" s="1"/>
  <c r="AT184" i="1"/>
  <c r="AP184" i="1"/>
  <c r="AR184" i="1" s="1"/>
  <c r="AT176" i="1"/>
  <c r="AP176" i="1"/>
  <c r="AR176" i="1" s="1"/>
  <c r="AT168" i="1"/>
  <c r="AP168" i="1"/>
  <c r="AR168" i="1" s="1"/>
  <c r="AT160" i="1"/>
  <c r="AP160" i="1"/>
  <c r="AR160" i="1" s="1"/>
  <c r="AT152" i="1"/>
  <c r="AP152" i="1"/>
  <c r="AR152" i="1" s="1"/>
  <c r="AT264" i="1"/>
  <c r="AP264" i="1"/>
  <c r="AP134" i="1"/>
  <c r="AR134" i="1" s="1"/>
  <c r="AT134" i="1"/>
  <c r="AP126" i="1"/>
  <c r="AR126" i="1" s="1"/>
  <c r="AT126" i="1"/>
  <c r="AT135" i="1"/>
  <c r="AP135" i="1"/>
  <c r="AR135" i="1" s="1"/>
  <c r="AP93" i="1"/>
  <c r="AR93" i="1" s="1"/>
  <c r="AT93" i="1"/>
  <c r="AP77" i="1"/>
  <c r="AR77" i="1" s="1"/>
  <c r="AT77" i="1"/>
  <c r="AP65" i="1"/>
  <c r="AR65" i="1" s="1"/>
  <c r="AT65" i="1"/>
  <c r="AP41" i="1"/>
  <c r="AR41" i="1" s="1"/>
  <c r="AT41" i="1"/>
  <c r="AP19" i="1"/>
  <c r="AR19" i="1" s="1"/>
  <c r="AT19" i="1"/>
  <c r="AP5" i="1"/>
  <c r="AR5" i="1" s="1"/>
  <c r="AT5" i="1"/>
  <c r="AP79" i="1"/>
  <c r="AR79" i="1" s="1"/>
  <c r="AT79" i="1"/>
  <c r="AP57" i="1"/>
  <c r="AR57" i="1" s="1"/>
  <c r="AT57" i="1"/>
  <c r="AP49" i="1"/>
  <c r="AR49" i="1" s="1"/>
  <c r="AT49" i="1"/>
  <c r="AP31" i="1"/>
  <c r="AR31" i="1" s="1"/>
  <c r="AT31" i="1"/>
  <c r="AP23" i="1"/>
  <c r="AR23" i="1" s="1"/>
  <c r="AT23" i="1"/>
  <c r="AP315" i="1"/>
  <c r="AT315" i="1"/>
  <c r="AT334" i="1"/>
  <c r="AP334" i="1"/>
  <c r="AT329" i="1"/>
  <c r="AP329" i="1"/>
  <c r="AT376" i="1"/>
  <c r="AP376" i="1"/>
  <c r="AP291" i="1"/>
  <c r="AT291" i="1"/>
  <c r="AT192" i="1"/>
  <c r="AP192" i="1"/>
  <c r="AR192" i="1" s="1"/>
  <c r="AT235" i="1"/>
  <c r="AP235" i="1"/>
  <c r="AR235" i="1" s="1"/>
  <c r="AT338" i="1"/>
  <c r="AP338" i="1"/>
  <c r="AT347" i="1"/>
  <c r="AP347" i="1"/>
  <c r="AT269" i="1"/>
  <c r="AP269" i="1"/>
  <c r="AT367" i="1"/>
  <c r="AP367" i="1"/>
  <c r="AT351" i="1"/>
  <c r="AP351" i="1"/>
  <c r="AT335" i="1"/>
  <c r="AP335" i="1"/>
  <c r="AT276" i="1"/>
  <c r="AP276" i="1"/>
  <c r="AT364" i="1"/>
  <c r="AP364" i="1"/>
  <c r="AT348" i="1"/>
  <c r="AP348" i="1"/>
  <c r="AT332" i="1"/>
  <c r="AP332" i="1"/>
  <c r="AP263" i="1"/>
  <c r="AT263" i="1"/>
  <c r="AT202" i="1"/>
  <c r="AP202" i="1"/>
  <c r="AR202" i="1" s="1"/>
  <c r="AT194" i="1"/>
  <c r="AP194" i="1"/>
  <c r="AR194" i="1" s="1"/>
  <c r="AT186" i="1"/>
  <c r="AP186" i="1"/>
  <c r="AR186" i="1" s="1"/>
  <c r="AT249" i="1"/>
  <c r="AP249" i="1"/>
  <c r="AR249" i="1" s="1"/>
  <c r="AT241" i="1"/>
  <c r="AP241" i="1"/>
  <c r="AR241" i="1" s="1"/>
  <c r="AT233" i="1"/>
  <c r="AP233" i="1"/>
  <c r="AR233" i="1" s="1"/>
  <c r="AT225" i="1"/>
  <c r="AP225" i="1"/>
  <c r="AR225" i="1" s="1"/>
  <c r="AT217" i="1"/>
  <c r="AP217" i="1"/>
  <c r="AR217" i="1" s="1"/>
  <c r="AT209" i="1"/>
  <c r="AP209" i="1"/>
  <c r="AR209" i="1" s="1"/>
  <c r="AT178" i="1"/>
  <c r="AP178" i="1"/>
  <c r="AR178" i="1" s="1"/>
  <c r="AT170" i="1"/>
  <c r="AP170" i="1"/>
  <c r="AR170" i="1" s="1"/>
  <c r="AT162" i="1"/>
  <c r="AP162" i="1"/>
  <c r="AR162" i="1" s="1"/>
  <c r="AT154" i="1"/>
  <c r="AP154" i="1"/>
  <c r="AR154" i="1" s="1"/>
  <c r="AP132" i="1"/>
  <c r="AR132" i="1" s="1"/>
  <c r="AT132" i="1"/>
  <c r="AP124" i="1"/>
  <c r="AR124" i="1" s="1"/>
  <c r="AT124" i="1"/>
  <c r="AT82" i="1"/>
  <c r="AP82" i="1"/>
  <c r="AR82" i="1" s="1"/>
  <c r="AT66" i="1"/>
  <c r="AP66" i="1"/>
  <c r="AR66" i="1" s="1"/>
  <c r="AT133" i="1"/>
  <c r="AP133" i="1"/>
  <c r="AR133" i="1" s="1"/>
  <c r="AP89" i="1"/>
  <c r="AR89" i="1" s="1"/>
  <c r="AT89" i="1"/>
  <c r="AP75" i="1"/>
  <c r="AR75" i="1" s="1"/>
  <c r="AT75" i="1"/>
  <c r="AP63" i="1"/>
  <c r="AR63" i="1" s="1"/>
  <c r="AT63" i="1"/>
  <c r="AP47" i="1"/>
  <c r="AR47" i="1" s="1"/>
  <c r="AT47" i="1"/>
  <c r="AP39" i="1"/>
  <c r="AR39" i="1" s="1"/>
  <c r="AT39" i="1"/>
  <c r="AP15" i="1"/>
  <c r="AR15" i="1" s="1"/>
  <c r="AT15" i="1"/>
  <c r="AP91" i="1"/>
  <c r="AR91" i="1" s="1"/>
  <c r="AT91" i="1"/>
  <c r="AP73" i="1"/>
  <c r="AR73" i="1" s="1"/>
  <c r="AT73" i="1"/>
  <c r="AP55" i="1"/>
  <c r="AR55" i="1" s="1"/>
  <c r="AT55" i="1"/>
  <c r="AP37" i="1"/>
  <c r="AR37" i="1" s="1"/>
  <c r="AT37" i="1"/>
  <c r="AP29" i="1"/>
  <c r="AR29" i="1" s="1"/>
  <c r="AT29" i="1"/>
  <c r="AP21" i="1"/>
  <c r="AR21" i="1" s="1"/>
  <c r="AT21" i="1"/>
  <c r="AH62" i="2"/>
  <c r="AK62" i="2"/>
  <c r="AP62" i="2" s="1"/>
  <c r="AR62" i="2" s="1"/>
  <c r="AH424" i="1"/>
  <c r="AK424" i="1" s="1"/>
  <c r="AP424" i="1" s="1"/>
  <c r="AT305" i="1"/>
  <c r="AP305" i="1"/>
  <c r="AT346" i="1"/>
  <c r="AP346" i="1"/>
  <c r="AT330" i="1"/>
  <c r="AP330" i="1"/>
  <c r="AT317" i="1"/>
  <c r="AP317" i="1"/>
  <c r="AT293" i="1"/>
  <c r="AP293" i="1"/>
  <c r="AT309" i="1"/>
  <c r="AP309" i="1"/>
  <c r="AT314" i="1"/>
  <c r="AP314" i="1"/>
  <c r="AH143" i="2"/>
  <c r="AK143" i="2" s="1"/>
  <c r="AP143" i="2" s="1"/>
  <c r="AR143" i="2" s="1"/>
  <c r="AH11" i="2"/>
  <c r="AK11" i="2" s="1"/>
  <c r="AP11" i="2" s="1"/>
  <c r="AR11" i="2" s="1"/>
  <c r="AT273" i="1"/>
  <c r="AP273" i="1"/>
  <c r="AH382" i="1"/>
  <c r="AK382" i="1" s="1"/>
  <c r="AP382" i="1" s="1"/>
  <c r="AH302" i="1"/>
  <c r="AK302" i="1" s="1"/>
  <c r="AH290" i="1"/>
  <c r="AK290" i="1" s="1"/>
  <c r="AH298" i="1"/>
  <c r="AK298" i="1" s="1"/>
  <c r="AT306" i="1"/>
  <c r="AP306" i="1"/>
  <c r="AT324" i="1"/>
  <c r="AP324" i="1"/>
  <c r="AT292" i="1"/>
  <c r="AP292" i="1"/>
  <c r="AT144" i="1"/>
  <c r="AP144" i="1"/>
  <c r="AR144" i="1" s="1"/>
  <c r="AT104" i="1"/>
  <c r="AP104" i="1"/>
  <c r="AR104" i="1" s="1"/>
  <c r="AT84" i="1"/>
  <c r="AP84" i="1"/>
  <c r="AR84" i="1" s="1"/>
  <c r="AT68" i="1"/>
  <c r="AP68" i="1"/>
  <c r="AR68" i="1" s="1"/>
  <c r="AP206" i="1"/>
  <c r="AR206" i="1" s="1"/>
  <c r="AT206" i="1"/>
  <c r="AP248" i="1"/>
  <c r="AR248" i="1" s="1"/>
  <c r="AT248" i="1"/>
  <c r="AP244" i="1"/>
  <c r="AR244" i="1" s="1"/>
  <c r="AT244" i="1"/>
  <c r="AP240" i="1"/>
  <c r="AR240" i="1" s="1"/>
  <c r="AT240" i="1"/>
  <c r="AP234" i="1"/>
  <c r="AR234" i="1" s="1"/>
  <c r="AT234" i="1"/>
  <c r="AP230" i="1"/>
  <c r="AR230" i="1" s="1"/>
  <c r="AT230" i="1"/>
  <c r="AP226" i="1"/>
  <c r="AR226" i="1" s="1"/>
  <c r="AT226" i="1"/>
  <c r="AP222" i="1"/>
  <c r="AR222" i="1" s="1"/>
  <c r="AT222" i="1"/>
  <c r="AP218" i="1"/>
  <c r="AR218" i="1" s="1"/>
  <c r="AT218" i="1"/>
  <c r="AP214" i="1"/>
  <c r="AR214" i="1" s="1"/>
  <c r="AT214" i="1"/>
  <c r="AP195" i="1"/>
  <c r="AR195" i="1" s="1"/>
  <c r="AT195" i="1"/>
  <c r="AP187" i="1"/>
  <c r="AR187" i="1" s="1"/>
  <c r="AT187" i="1"/>
  <c r="AT131" i="1"/>
  <c r="AP131" i="1"/>
  <c r="AR131" i="1" s="1"/>
  <c r="AH115" i="1"/>
  <c r="AK115" i="1" s="1"/>
  <c r="AH99" i="1"/>
  <c r="AK99" i="1" s="1"/>
  <c r="AT86" i="1"/>
  <c r="AP86" i="1"/>
  <c r="AR86" i="1" s="1"/>
  <c r="AT70" i="1"/>
  <c r="AP70" i="1"/>
  <c r="AR70" i="1" s="1"/>
  <c r="AT60" i="1"/>
  <c r="AP60" i="1"/>
  <c r="AR60" i="1" s="1"/>
  <c r="AT56" i="1"/>
  <c r="AP56" i="1"/>
  <c r="AR56" i="1" s="1"/>
  <c r="AT52" i="1"/>
  <c r="AP52" i="1"/>
  <c r="AR52" i="1" s="1"/>
  <c r="AT48" i="1"/>
  <c r="AP48" i="1"/>
  <c r="AR48" i="1" s="1"/>
  <c r="AT38" i="1"/>
  <c r="AP38" i="1"/>
  <c r="AR38" i="1" s="1"/>
  <c r="AT34" i="1"/>
  <c r="AP34" i="1"/>
  <c r="AR34" i="1" s="1"/>
  <c r="AT30" i="1"/>
  <c r="AP30" i="1"/>
  <c r="AR30" i="1" s="1"/>
  <c r="AT22" i="1"/>
  <c r="AP22" i="1"/>
  <c r="AR22" i="1" s="1"/>
  <c r="AT62" i="1"/>
  <c r="AP62" i="1"/>
  <c r="AR62" i="1" s="1"/>
  <c r="AT44" i="1"/>
  <c r="AP44" i="1"/>
  <c r="AR44" i="1" s="1"/>
  <c r="AT40" i="1"/>
  <c r="AP40" i="1"/>
  <c r="AR40" i="1" s="1"/>
  <c r="AT26" i="1"/>
  <c r="AP26" i="1"/>
  <c r="AR26" i="1" s="1"/>
  <c r="AT16" i="1"/>
  <c r="AP16" i="1"/>
  <c r="AR16" i="1" s="1"/>
  <c r="AT8" i="1"/>
  <c r="AP8" i="1"/>
  <c r="AR8" i="1" s="1"/>
  <c r="AT18" i="1"/>
  <c r="AP18" i="1"/>
  <c r="AR18" i="1" s="1"/>
  <c r="AT10" i="1"/>
  <c r="AP10" i="1"/>
  <c r="AR10" i="1" s="1"/>
  <c r="AH54" i="2"/>
  <c r="AK54" i="2"/>
  <c r="AP54" i="2" s="1"/>
  <c r="AR54" i="2" s="1"/>
  <c r="AH57" i="2"/>
  <c r="AK57" i="2" s="1"/>
  <c r="AP57" i="2" s="1"/>
  <c r="AR57" i="2" s="1"/>
  <c r="AH64" i="2"/>
  <c r="AK64" i="2" s="1"/>
  <c r="AP64" i="2" s="1"/>
  <c r="AR64" i="2" s="1"/>
  <c r="AH37" i="2"/>
  <c r="AK37" i="2" s="1"/>
  <c r="AP37" i="2" s="1"/>
  <c r="AR37" i="2" s="1"/>
  <c r="AH19" i="2"/>
  <c r="AK19" i="2" s="1"/>
  <c r="AP19" i="2" s="1"/>
  <c r="AR19" i="2" s="1"/>
  <c r="AH402" i="1"/>
  <c r="AK402" i="1" s="1"/>
  <c r="AP402" i="1" s="1"/>
  <c r="AH386" i="1"/>
  <c r="AK386" i="1" s="1"/>
  <c r="AP386" i="1" s="1"/>
  <c r="AH428" i="1"/>
  <c r="AK428" i="1" s="1"/>
  <c r="AP428" i="1" s="1"/>
  <c r="AH378" i="1"/>
  <c r="AK378" i="1" s="1"/>
  <c r="AP378" i="1" s="1"/>
  <c r="AT313" i="1"/>
  <c r="AP313" i="1"/>
  <c r="AT297" i="1"/>
  <c r="AP297" i="1"/>
  <c r="AT281" i="1"/>
  <c r="AP281" i="1"/>
  <c r="AT304" i="1"/>
  <c r="AP304" i="1"/>
  <c r="AP280" i="1"/>
  <c r="AT280" i="1"/>
  <c r="AT320" i="1"/>
  <c r="AP320" i="1"/>
  <c r="AT288" i="1"/>
  <c r="AP288" i="1"/>
  <c r="AP142" i="1"/>
  <c r="AR142" i="1" s="1"/>
  <c r="AT142" i="1"/>
  <c r="AT120" i="1"/>
  <c r="AP120" i="1"/>
  <c r="AR120" i="1" s="1"/>
  <c r="AT110" i="1"/>
  <c r="AP110" i="1"/>
  <c r="AR110" i="1" s="1"/>
  <c r="AT102" i="1"/>
  <c r="AP102" i="1"/>
  <c r="AR102" i="1" s="1"/>
  <c r="AT94" i="1"/>
  <c r="AP94" i="1"/>
  <c r="AR94" i="1" s="1"/>
  <c r="AT80" i="1"/>
  <c r="AP80" i="1"/>
  <c r="AR80" i="1" s="1"/>
  <c r="AT123" i="1"/>
  <c r="AP123" i="1"/>
  <c r="AR123" i="1" s="1"/>
  <c r="AH113" i="1"/>
  <c r="AK113" i="1" s="1"/>
  <c r="AH105" i="1"/>
  <c r="AK105" i="1" s="1"/>
  <c r="AH97" i="1"/>
  <c r="AK97" i="1" s="1"/>
  <c r="AH65" i="2"/>
  <c r="AK65" i="2" s="1"/>
  <c r="AP65" i="2" s="1"/>
  <c r="AR65" i="2" s="1"/>
  <c r="AH56" i="2"/>
  <c r="AK56" i="2" s="1"/>
  <c r="AP56" i="2" s="1"/>
  <c r="AR56" i="2" s="1"/>
  <c r="AH398" i="1"/>
  <c r="AK398" i="1" s="1"/>
  <c r="AP398" i="1" s="1"/>
  <c r="AT321" i="1"/>
  <c r="AP321" i="1"/>
  <c r="AT289" i="1"/>
  <c r="AP289" i="1"/>
  <c r="AT362" i="1"/>
  <c r="AP362" i="1"/>
  <c r="AH274" i="1"/>
  <c r="AK274" i="1" s="1"/>
  <c r="AH271" i="1"/>
  <c r="AK271" i="1" s="1"/>
  <c r="AH58" i="2"/>
  <c r="AK58" i="2" s="1"/>
  <c r="AP58" i="2" s="1"/>
  <c r="AR58" i="2" s="1"/>
  <c r="AH61" i="2"/>
  <c r="AK61" i="2"/>
  <c r="AP61" i="2" s="1"/>
  <c r="AR61" i="2" s="1"/>
  <c r="AH45" i="2"/>
  <c r="AK45" i="2" s="1"/>
  <c r="AP45" i="2" s="1"/>
  <c r="AR45" i="2" s="1"/>
  <c r="AH408" i="1"/>
  <c r="AK408" i="1" s="1"/>
  <c r="AP408" i="1" s="1"/>
  <c r="AH318" i="1"/>
  <c r="AK318" i="1" s="1"/>
  <c r="AH286" i="1"/>
  <c r="AK286" i="1" s="1"/>
  <c r="AT325" i="1"/>
  <c r="AP325" i="1"/>
  <c r="AP279" i="1"/>
  <c r="AT279" i="1"/>
  <c r="AP143" i="1"/>
  <c r="AR143" i="1" s="1"/>
  <c r="AT143" i="1"/>
  <c r="AT272" i="1"/>
  <c r="AP272" i="1"/>
  <c r="AP252" i="1"/>
  <c r="AR252" i="1" s="1"/>
  <c r="AT252" i="1"/>
  <c r="AT300" i="1"/>
  <c r="AP300" i="1"/>
  <c r="AT112" i="1"/>
  <c r="AP112" i="1"/>
  <c r="AR112" i="1" s="1"/>
  <c r="AT96" i="1"/>
  <c r="AP96" i="1"/>
  <c r="AR96" i="1" s="1"/>
  <c r="AP210" i="1"/>
  <c r="AR210" i="1" s="1"/>
  <c r="AT210" i="1"/>
  <c r="AP250" i="1"/>
  <c r="AR250" i="1" s="1"/>
  <c r="AT250" i="1"/>
  <c r="AP246" i="1"/>
  <c r="AR246" i="1" s="1"/>
  <c r="AT246" i="1"/>
  <c r="AP242" i="1"/>
  <c r="AR242" i="1" s="1"/>
  <c r="AT242" i="1"/>
  <c r="AP238" i="1"/>
  <c r="AR238" i="1" s="1"/>
  <c r="AT238" i="1"/>
  <c r="AP236" i="1"/>
  <c r="AR236" i="1" s="1"/>
  <c r="AT236" i="1"/>
  <c r="AP232" i="1"/>
  <c r="AR232" i="1" s="1"/>
  <c r="AT232" i="1"/>
  <c r="AP228" i="1"/>
  <c r="AR228" i="1" s="1"/>
  <c r="AT228" i="1"/>
  <c r="AP224" i="1"/>
  <c r="AR224" i="1" s="1"/>
  <c r="AT224" i="1"/>
  <c r="AP220" i="1"/>
  <c r="AR220" i="1" s="1"/>
  <c r="AT220" i="1"/>
  <c r="AP216" i="1"/>
  <c r="AR216" i="1" s="1"/>
  <c r="AT216" i="1"/>
  <c r="AP203" i="1"/>
  <c r="AR203" i="1" s="1"/>
  <c r="AT203" i="1"/>
  <c r="AP199" i="1"/>
  <c r="AR199" i="1" s="1"/>
  <c r="AT199" i="1"/>
  <c r="AP191" i="1"/>
  <c r="AR191" i="1" s="1"/>
  <c r="AT191" i="1"/>
  <c r="AH107" i="1"/>
  <c r="AK107" i="1" s="1"/>
  <c r="AH66" i="2"/>
  <c r="AK66" i="2"/>
  <c r="AP66" i="2" s="1"/>
  <c r="AR66" i="2" s="1"/>
  <c r="AH53" i="2"/>
  <c r="AK53" i="2"/>
  <c r="AP53" i="2" s="1"/>
  <c r="AR53" i="2" s="1"/>
  <c r="AH60" i="2"/>
  <c r="AK60" i="2" s="1"/>
  <c r="AP60" i="2" s="1"/>
  <c r="AR60" i="2" s="1"/>
  <c r="AH27" i="2"/>
  <c r="AK27" i="2" s="1"/>
  <c r="AP27" i="2" s="1"/>
  <c r="AR27" i="2" s="1"/>
  <c r="AH412" i="1"/>
  <c r="AK412" i="1" s="1"/>
  <c r="AP412" i="1" s="1"/>
  <c r="AH326" i="1"/>
  <c r="AK326" i="1" s="1"/>
  <c r="AH310" i="1"/>
  <c r="AK310" i="1" s="1"/>
  <c r="AH294" i="1"/>
  <c r="AK294" i="1" s="1"/>
  <c r="AH278" i="1"/>
  <c r="AK278" i="1" s="1"/>
  <c r="AH319" i="1"/>
  <c r="AK319" i="1" s="1"/>
  <c r="AP296" i="1"/>
  <c r="AT296" i="1"/>
  <c r="AT277" i="1"/>
  <c r="AP277" i="1"/>
  <c r="AT261" i="1"/>
  <c r="AP261" i="1"/>
  <c r="AT373" i="1"/>
  <c r="AP373" i="1"/>
  <c r="AT365" i="1"/>
  <c r="AP365" i="1"/>
  <c r="AT357" i="1"/>
  <c r="AP357" i="1"/>
  <c r="AT349" i="1"/>
  <c r="AP349" i="1"/>
  <c r="AT341" i="1"/>
  <c r="AP341" i="1"/>
  <c r="AT333" i="1"/>
  <c r="AP333" i="1"/>
  <c r="AT322" i="1"/>
  <c r="AP322" i="1"/>
  <c r="AP311" i="1"/>
  <c r="AT311" i="1"/>
  <c r="AP287" i="1"/>
  <c r="AT287" i="1"/>
  <c r="AP254" i="1"/>
  <c r="AR254" i="1" s="1"/>
  <c r="AT254" i="1"/>
  <c r="AT374" i="1"/>
  <c r="AP374" i="1"/>
  <c r="AT358" i="1"/>
  <c r="AP358" i="1"/>
  <c r="AT342" i="1"/>
  <c r="AP342" i="1"/>
  <c r="AH303" i="1"/>
  <c r="AK303" i="1" s="1"/>
  <c r="AH282" i="1"/>
  <c r="AK282" i="1" s="1"/>
  <c r="AP295" i="1"/>
  <c r="AT295" i="1"/>
  <c r="AP140" i="1"/>
  <c r="AR140" i="1" s="1"/>
  <c r="AT140" i="1"/>
  <c r="AT316" i="1"/>
  <c r="AP316" i="1"/>
  <c r="AH267" i="1"/>
  <c r="AK267" i="1" s="1"/>
  <c r="AP256" i="1"/>
  <c r="AR256" i="1" s="1"/>
  <c r="AT256" i="1"/>
  <c r="AT308" i="1"/>
  <c r="AP308" i="1"/>
  <c r="AT284" i="1"/>
  <c r="AP284" i="1"/>
  <c r="AT141" i="1"/>
  <c r="AP141" i="1"/>
  <c r="AR141" i="1" s="1"/>
  <c r="AT262" i="1"/>
  <c r="AP262" i="1"/>
  <c r="AT116" i="1"/>
  <c r="AP116" i="1"/>
  <c r="AR116" i="1" s="1"/>
  <c r="AT108" i="1"/>
  <c r="AP108" i="1"/>
  <c r="AR108" i="1" s="1"/>
  <c r="AT100" i="1"/>
  <c r="AP100" i="1"/>
  <c r="AR100" i="1" s="1"/>
  <c r="AT92" i="1"/>
  <c r="AP92" i="1"/>
  <c r="AR92" i="1" s="1"/>
  <c r="AT76" i="1"/>
  <c r="AP76" i="1"/>
  <c r="AR76" i="1" s="1"/>
  <c r="AP212" i="1"/>
  <c r="AR212" i="1" s="1"/>
  <c r="AT212" i="1"/>
  <c r="AP208" i="1"/>
  <c r="AR208" i="1" s="1"/>
  <c r="AT208" i="1"/>
  <c r="AP201" i="1"/>
  <c r="AR201" i="1" s="1"/>
  <c r="AT201" i="1"/>
  <c r="AP197" i="1"/>
  <c r="AR197" i="1" s="1"/>
  <c r="AT197" i="1"/>
  <c r="AP193" i="1"/>
  <c r="AR193" i="1" s="1"/>
  <c r="AT193" i="1"/>
  <c r="AP189" i="1"/>
  <c r="AR189" i="1" s="1"/>
  <c r="AT189" i="1"/>
  <c r="AP185" i="1"/>
  <c r="AR185" i="1" s="1"/>
  <c r="AT185" i="1"/>
  <c r="AP183" i="1"/>
  <c r="AR183" i="1" s="1"/>
  <c r="AT183" i="1"/>
  <c r="AP181" i="1"/>
  <c r="AR181" i="1" s="1"/>
  <c r="AT181" i="1"/>
  <c r="AP179" i="1"/>
  <c r="AR179" i="1" s="1"/>
  <c r="AT179" i="1"/>
  <c r="AP177" i="1"/>
  <c r="AR177" i="1" s="1"/>
  <c r="AT177" i="1"/>
  <c r="AP175" i="1"/>
  <c r="AR175" i="1" s="1"/>
  <c r="AT175" i="1"/>
  <c r="AP173" i="1"/>
  <c r="AR173" i="1" s="1"/>
  <c r="AT173" i="1"/>
  <c r="AP171" i="1"/>
  <c r="AR171" i="1" s="1"/>
  <c r="AT171" i="1"/>
  <c r="AP169" i="1"/>
  <c r="AR169" i="1" s="1"/>
  <c r="AT169" i="1"/>
  <c r="AP167" i="1"/>
  <c r="AR167" i="1" s="1"/>
  <c r="AT167" i="1"/>
  <c r="AP165" i="1"/>
  <c r="AR165" i="1" s="1"/>
  <c r="AT165" i="1"/>
  <c r="AP163" i="1"/>
  <c r="AR163" i="1" s="1"/>
  <c r="AT163" i="1"/>
  <c r="AP161" i="1"/>
  <c r="AR161" i="1" s="1"/>
  <c r="AT161" i="1"/>
  <c r="AP159" i="1"/>
  <c r="AR159" i="1" s="1"/>
  <c r="AT159" i="1"/>
  <c r="AP157" i="1"/>
  <c r="AR157" i="1" s="1"/>
  <c r="AT157" i="1"/>
  <c r="AP155" i="1"/>
  <c r="AR155" i="1" s="1"/>
  <c r="AT155" i="1"/>
  <c r="AP153" i="1"/>
  <c r="AR153" i="1" s="1"/>
  <c r="AT153" i="1"/>
  <c r="AP151" i="1"/>
  <c r="AR151" i="1" s="1"/>
  <c r="AT151" i="1"/>
  <c r="AP149" i="1"/>
  <c r="AR149" i="1" s="1"/>
  <c r="AT149" i="1"/>
  <c r="AT125" i="1"/>
  <c r="AP125" i="1"/>
  <c r="AR125" i="1" s="1"/>
  <c r="AP118" i="1"/>
  <c r="AR118" i="1" s="1"/>
  <c r="AT118" i="1"/>
  <c r="AH111" i="1"/>
  <c r="AK111" i="1" s="1"/>
  <c r="AH103" i="1"/>
  <c r="AK103" i="1" s="1"/>
  <c r="AH95" i="1"/>
  <c r="AK95" i="1" s="1"/>
  <c r="AT78" i="1"/>
  <c r="AP78" i="1"/>
  <c r="AR78" i="1" s="1"/>
  <c r="AT24" i="1"/>
  <c r="AP24" i="1"/>
  <c r="AR24" i="1" s="1"/>
  <c r="AP147" i="1"/>
  <c r="AR147" i="1" s="1"/>
  <c r="AT147" i="1"/>
  <c r="AT58" i="1"/>
  <c r="AP58" i="1"/>
  <c r="AR58" i="1" s="1"/>
  <c r="AT54" i="1"/>
  <c r="AP54" i="1"/>
  <c r="AR54" i="1" s="1"/>
  <c r="AT50" i="1"/>
  <c r="AP50" i="1"/>
  <c r="AR50" i="1" s="1"/>
  <c r="AT36" i="1"/>
  <c r="AP36" i="1"/>
  <c r="AR36" i="1" s="1"/>
  <c r="AT32" i="1"/>
  <c r="AP32" i="1"/>
  <c r="AR32" i="1" s="1"/>
  <c r="AT28" i="1"/>
  <c r="AP28" i="1"/>
  <c r="AR28" i="1" s="1"/>
  <c r="AT20" i="1"/>
  <c r="AP20" i="1"/>
  <c r="AR20" i="1" s="1"/>
  <c r="AT64" i="1"/>
  <c r="AP64" i="1"/>
  <c r="AR64" i="1" s="1"/>
  <c r="AT46" i="1"/>
  <c r="AP46" i="1"/>
  <c r="AR46" i="1" s="1"/>
  <c r="AT42" i="1"/>
  <c r="AP42" i="1"/>
  <c r="AR42" i="1" s="1"/>
  <c r="AT6" i="1"/>
  <c r="AP6" i="1"/>
  <c r="AR6" i="1" s="1"/>
  <c r="AT14" i="1"/>
  <c r="AP14" i="1"/>
  <c r="AR14" i="1" s="1"/>
  <c r="AT4" i="1"/>
  <c r="AP4" i="1"/>
  <c r="AR4" i="1" s="1"/>
  <c r="AT12" i="1"/>
  <c r="AP12" i="1"/>
  <c r="AR12" i="1" s="1"/>
  <c r="AT2" i="1"/>
  <c r="AP2" i="1"/>
  <c r="AR2" i="1" s="1"/>
  <c r="AP145" i="1"/>
  <c r="AR145" i="1" s="1"/>
  <c r="AT145" i="1"/>
  <c r="AP138" i="1"/>
  <c r="AR138" i="1" s="1"/>
  <c r="AT138" i="1"/>
  <c r="AT114" i="1"/>
  <c r="AP114" i="1"/>
  <c r="AR114" i="1" s="1"/>
  <c r="AT106" i="1"/>
  <c r="AP106" i="1"/>
  <c r="AR106" i="1" s="1"/>
  <c r="AT98" i="1"/>
  <c r="AP98" i="1"/>
  <c r="AR98" i="1" s="1"/>
  <c r="AT88" i="1"/>
  <c r="AP88" i="1"/>
  <c r="AR88" i="1" s="1"/>
  <c r="AT72" i="1"/>
  <c r="AP72" i="1"/>
  <c r="AR72" i="1" s="1"/>
  <c r="AH117" i="1"/>
  <c r="AK117" i="1" s="1"/>
  <c r="AH109" i="1"/>
  <c r="AK109" i="1" s="1"/>
  <c r="AH101" i="1"/>
  <c r="AK101" i="1" s="1"/>
  <c r="AT275" i="1" l="1"/>
  <c r="AP275" i="1"/>
  <c r="AT312" i="1"/>
  <c r="AP312" i="1"/>
  <c r="AT257" i="1"/>
  <c r="AP257" i="1"/>
  <c r="AR257" i="1" s="1"/>
  <c r="AP285" i="1"/>
  <c r="AP301" i="1"/>
  <c r="AT253" i="1"/>
  <c r="AP253" i="1"/>
  <c r="AR253" i="1" s="1"/>
  <c r="AP95" i="1"/>
  <c r="AR95" i="1" s="1"/>
  <c r="AT95" i="1"/>
  <c r="AT282" i="1"/>
  <c r="AP282" i="1"/>
  <c r="AT294" i="1"/>
  <c r="AP294" i="1"/>
  <c r="AP115" i="1"/>
  <c r="AR115" i="1" s="1"/>
  <c r="AT115" i="1"/>
  <c r="AT290" i="1"/>
  <c r="AP290" i="1"/>
  <c r="AP117" i="1"/>
  <c r="AR117" i="1" s="1"/>
  <c r="AT117" i="1"/>
  <c r="AP103" i="1"/>
  <c r="AR103" i="1" s="1"/>
  <c r="AT103" i="1"/>
  <c r="AP267" i="1"/>
  <c r="AT267" i="1"/>
  <c r="AP303" i="1"/>
  <c r="AT303" i="1"/>
  <c r="AT310" i="1"/>
  <c r="AP310" i="1"/>
  <c r="AT286" i="1"/>
  <c r="AP286" i="1"/>
  <c r="AP271" i="1"/>
  <c r="AT271" i="1"/>
  <c r="AP97" i="1"/>
  <c r="AR97" i="1" s="1"/>
  <c r="AT97" i="1"/>
  <c r="AT302" i="1"/>
  <c r="AP302" i="1"/>
  <c r="AP109" i="1"/>
  <c r="AR109" i="1" s="1"/>
  <c r="AT109" i="1"/>
  <c r="AP111" i="1"/>
  <c r="AR111" i="1" s="1"/>
  <c r="AT111" i="1"/>
  <c r="AP319" i="1"/>
  <c r="AT319" i="1"/>
  <c r="AT326" i="1"/>
  <c r="AP326" i="1"/>
  <c r="AP107" i="1"/>
  <c r="AR107" i="1" s="1"/>
  <c r="AT107" i="1"/>
  <c r="AT318" i="1"/>
  <c r="AP318" i="1"/>
  <c r="AT274" i="1"/>
  <c r="AP274" i="1"/>
  <c r="AP105" i="1"/>
  <c r="AR105" i="1" s="1"/>
  <c r="AT105" i="1"/>
  <c r="AP101" i="1"/>
  <c r="AR101" i="1" s="1"/>
  <c r="AT101" i="1"/>
  <c r="AT278" i="1"/>
  <c r="AP278" i="1"/>
  <c r="AP113" i="1"/>
  <c r="AR113" i="1" s="1"/>
  <c r="AT113" i="1"/>
  <c r="AP99" i="1"/>
  <c r="AR99" i="1" s="1"/>
  <c r="AT99" i="1"/>
  <c r="AT298" i="1"/>
  <c r="AP298" i="1"/>
</calcChain>
</file>

<file path=xl/sharedStrings.xml><?xml version="1.0" encoding="utf-8"?>
<sst xmlns="http://schemas.openxmlformats.org/spreadsheetml/2006/main" count="756" uniqueCount="385">
  <si>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</si>
  <si>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</si>
  <si>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</si>
  <si>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</si>
  <si>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</si>
  <si>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</si>
  <si>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</si>
  <si>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</si>
  <si>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</si>
  <si>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</si>
  <si>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</si>
  <si>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</si>
  <si>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</si>
  <si>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</si>
  <si>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</si>
  <si>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</si>
  <si>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</si>
  <si>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</si>
  <si>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</si>
  <si>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</si>
  <si>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</si>
  <si>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</si>
  <si>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</si>
  <si>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</si>
  <si>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</si>
  <si>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</si>
  <si>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</si>
  <si>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</si>
  <si>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</si>
  <si>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</si>
  <si>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</si>
  <si>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</si>
  <si>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</si>
  <si>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</si>
  <si>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</si>
  <si>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</si>
  <si>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</si>
  <si>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</si>
  <si>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</si>
  <si>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</si>
  <si>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</si>
  <si>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</si>
  <si>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</si>
  <si>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</si>
  <si>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</si>
  <si>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</si>
  <si>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</si>
  <si>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</si>
  <si>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</si>
  <si>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</si>
  <si>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</si>
  <si>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</si>
  <si>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</si>
  <si>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</si>
  <si>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</si>
  <si>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</si>
  <si>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</si>
  <si>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</si>
  <si>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</si>
  <si>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</si>
  <si>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</si>
  <si>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</si>
  <si>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</si>
  <si>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</si>
  <si>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</si>
  <si>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</si>
  <si>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</si>
  <si>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</si>
  <si>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</si>
  <si>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</si>
  <si>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</si>
  <si>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</si>
  <si>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</si>
  <si>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</si>
  <si>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</si>
  <si>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</si>
  <si>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</si>
  <si>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</si>
  <si>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</si>
  <si>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</si>
  <si>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</si>
  <si>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</si>
  <si>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</si>
  <si>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</si>
  <si>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</si>
  <si>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</si>
  <si>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</si>
  <si>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</si>
  <si>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</si>
  <si>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</si>
  <si>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</si>
  <si>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</si>
  <si>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</si>
  <si>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</si>
  <si>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</si>
  <si>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</si>
  <si>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</si>
  <si>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</si>
  <si>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</si>
  <si>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</si>
  <si>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</si>
  <si>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</si>
  <si>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</si>
  <si>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</si>
  <si>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</si>
  <si>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</si>
  <si>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</si>
  <si>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</si>
  <si>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</si>
  <si>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</si>
  <si>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</si>
  <si>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</si>
  <si>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</si>
  <si>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</si>
  <si>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</si>
  <si>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</si>
  <si>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</si>
  <si>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</si>
  <si>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</si>
  <si>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</si>
  <si>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</si>
  <si>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</si>
  <si>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</si>
  <si>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</si>
  <si>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</si>
  <si>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</si>
  <si>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</si>
  <si>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</si>
  <si>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</si>
  <si>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</si>
  <si>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</si>
  <si>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</si>
  <si>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</si>
  <si>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</si>
  <si>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</si>
  <si>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</si>
  <si>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</si>
  <si>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</si>
  <si>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</si>
  <si>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</si>
  <si>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</si>
  <si>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</si>
  <si>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</si>
  <si>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</si>
  <si>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</si>
  <si>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</si>
  <si>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</si>
  <si>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</si>
  <si>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</si>
  <si>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</si>
  <si>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</si>
  <si>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</si>
  <si>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</si>
  <si>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</si>
  <si>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</si>
  <si>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</si>
  <si>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</si>
  <si>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</si>
  <si>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</si>
  <si>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</si>
  <si>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</si>
  <si>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</si>
  <si>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</si>
  <si>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</si>
  <si>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</si>
  <si>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</si>
  <si>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</si>
  <si>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</si>
  <si>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</si>
  <si>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</si>
  <si>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</si>
  <si>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</si>
  <si>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</si>
  <si>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</si>
  <si>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</si>
  <si>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</si>
  <si>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</si>
  <si>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</si>
  <si>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</si>
  <si>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</si>
  <si>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</si>
  <si>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</si>
  <si>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</si>
  <si>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</si>
  <si>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</si>
  <si>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</si>
  <si>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</si>
  <si>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</si>
  <si>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</si>
  <si>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</si>
  <si>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</si>
  <si>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</si>
  <si>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</si>
  <si>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</si>
  <si>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</si>
  <si>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</si>
  <si>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</si>
  <si>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</si>
  <si>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</si>
  <si>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</si>
  <si>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</si>
  <si>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</si>
  <si>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</si>
  <si>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</si>
  <si>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</si>
  <si>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</si>
  <si>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</si>
  <si>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</si>
  <si>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</si>
  <si>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</si>
  <si>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</si>
  <si>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</si>
  <si>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</si>
  <si>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</si>
  <si>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</si>
  <si>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</si>
  <si>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</si>
  <si>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</si>
  <si>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</si>
  <si>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</si>
  <si>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</si>
  <si>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</si>
  <si>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</si>
  <si>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</si>
  <si>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</si>
  <si>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</si>
  <si>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</si>
  <si>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</si>
  <si>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</si>
  <si>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</si>
  <si>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</si>
  <si>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</si>
  <si>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</si>
  <si>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</si>
  <si>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</si>
  <si>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</si>
  <si>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</si>
  <si>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</si>
  <si>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</si>
  <si>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</si>
  <si>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</si>
  <si>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</si>
  <si>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</si>
  <si>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</si>
  <si>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</si>
  <si>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</si>
  <si>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</si>
  <si>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</si>
  <si>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</si>
  <si>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</si>
  <si>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</si>
  <si>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</si>
  <si>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</si>
  <si>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</si>
  <si>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</si>
  <si>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</si>
  <si>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</si>
  <si>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</si>
  <si>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</si>
  <si>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https://www.chittorgarh.com/ipo/leapfrog-engineering-ipo/2107/</t>
  </si>
  <si>
    <t xml:space="preserve">Leapfrog Engineering 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</si>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</sst>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D5A6BD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2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7" fillId="0" borderId="0" xfId="0" applyNumberFormat="1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1" fontId="7" fillId="11" borderId="0" xfId="0" applyNumberFormat="1" applyFont="1" applyFill="1" applyAlignment="1">
      <alignment horizontal="left"/>
    </xf>
    <xf numFmtId="2" fontId="7" fillId="11" borderId="0" xfId="0" applyNumberFormat="1" applyFont="1" applyFill="1" applyAlignment="1">
      <alignment horizontal="left"/>
    </xf>
    <xf numFmtId="0" fontId="7" fillId="11" borderId="0" xfId="0" applyFont="1" applyFill="1" applyAlignment="1">
      <alignment horizontal="left"/>
    </xf>
    <xf numFmtId="2" fontId="14" fillId="11" borderId="0" xfId="0" applyNumberFormat="1" applyFont="1" applyFill="1" applyAlignment="1">
      <alignment horizontal="left"/>
    </xf>
    <xf numFmtId="1" fontId="7" fillId="14" borderId="0" xfId="0" applyNumberFormat="1" applyFont="1" applyFill="1" applyAlignment="1">
      <alignment horizontal="center"/>
    </xf>
    <xf numFmtId="1" fontId="7" fillId="13" borderId="0" xfId="0" applyNumberFormat="1" applyFont="1" applyFill="1" applyAlignment="1">
      <alignment horizontal="left"/>
    </xf>
    <xf numFmtId="2" fontId="7" fillId="13" borderId="0" xfId="0" applyNumberFormat="1" applyFont="1" applyFill="1" applyAlignment="1">
      <alignment horizontal="left"/>
    </xf>
    <xf numFmtId="0" fontId="7" fillId="13" borderId="0" xfId="0" applyFont="1" applyFill="1"/>
    <xf numFmtId="0" fontId="7" fillId="13" borderId="0" xfId="0" applyFont="1" applyFill="1" applyAlignment="1">
      <alignment horizontal="left"/>
    </xf>
    <xf numFmtId="1" fontId="7" fillId="15" borderId="0" xfId="0" applyNumberFormat="1" applyFont="1" applyFill="1" applyAlignment="1">
      <alignment horizontal="center"/>
    </xf>
    <xf numFmtId="1" fontId="7" fillId="16" borderId="0" xfId="0" applyNumberFormat="1" applyFont="1" applyFill="1" applyAlignment="1">
      <alignment horizontal="center"/>
    </xf>
    <xf numFmtId="1" fontId="1" fillId="17" borderId="0" xfId="0" applyNumberFormat="1" applyFont="1" applyFill="1" applyAlignment="1">
      <alignment horizontal="center"/>
    </xf>
    <xf numFmtId="0" fontId="1" fillId="13" borderId="0" xfId="0" applyFont="1" applyFill="1"/>
    <xf numFmtId="2" fontId="1" fillId="13" borderId="0" xfId="0" applyNumberFormat="1" applyFont="1" applyFill="1" applyAlignment="1">
      <alignment horizontal="left"/>
    </xf>
    <xf numFmtId="0" fontId="19" fillId="13" borderId="0" xfId="0" applyFont="1" applyFill="1"/>
    <xf numFmtId="0" fontId="0" fillId="13" borderId="0" xfId="0" applyFill="1"/>
    <xf numFmtId="2" fontId="14" fillId="0" borderId="0" xfId="0" applyNumberFormat="1" applyFont="1" applyAlignment="1">
      <alignment horizontal="left" wrapText="1"/>
    </xf>
    <xf numFmtId="0" fontId="1" fillId="18" borderId="0" xfId="0" applyFont="1" applyFill="1" applyAlignment="1">
      <alignment horizontal="left" wrapText="1"/>
    </xf>
    <xf numFmtId="2" fontId="0" fillId="18" borderId="0" xfId="0" applyNumberFormat="1" applyFill="1" applyAlignment="1">
      <alignment horizontal="left" wrapText="1"/>
    </xf>
    <xf numFmtId="0" fontId="7" fillId="18" borderId="0" xfId="0" applyFont="1" applyFill="1" applyAlignment="1">
      <alignment horizontal="left" wrapText="1"/>
    </xf>
    <xf numFmtId="2" fontId="14" fillId="19" borderId="0" xfId="0" applyNumberFormat="1" applyFont="1" applyFill="1" applyAlignment="1">
      <alignment horizontal="left" wrapText="1"/>
    </xf>
    <xf numFmtId="2" fontId="11" fillId="19" borderId="0" xfId="0" applyNumberFormat="1" applyFont="1" applyFill="1" applyAlignment="1">
      <alignment horizontal="left" wrapText="1"/>
    </xf>
    <xf numFmtId="2" fontId="1" fillId="19" borderId="0" xfId="0" applyNumberFormat="1" applyFont="1" applyFill="1" applyAlignment="1">
      <alignment horizontal="left" wrapText="1"/>
    </xf>
    <xf numFmtId="2" fontId="13" fillId="19" borderId="2" xfId="0" applyNumberFormat="1" applyFont="1" applyFill="1" applyBorder="1" applyAlignment="1">
      <alignment horizontal="left" wrapText="1"/>
    </xf>
    <xf numFmtId="2" fontId="13" fillId="19" borderId="0" xfId="0" applyNumberFormat="1" applyFont="1" applyFill="1" applyAlignment="1">
      <alignment horizontal="left" wrapText="1"/>
    </xf>
    <xf numFmtId="2" fontId="10" fillId="19" borderId="0" xfId="0" applyNumberFormat="1" applyFont="1" applyFill="1" applyAlignment="1">
      <alignment horizontal="left" wrapText="1"/>
    </xf>
    <xf numFmtId="0" fontId="14" fillId="0" borderId="0" xfId="0" applyFont="1" applyAlignment="1">
      <alignment horizontal="left"/>
    </xf>
  </cellXfs>
  <cellStyles count="1">
    <cellStyle name="Normal" xfId="0" builtinId="0"/>
  </cellStyles>
  <dxfs count="113"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12"/>
      <tableStyleElement type="firstRowStripe" dxfId="111"/>
      <tableStyleElement type="secondRowStripe" dxfId="110"/>
    </tableStyle>
    <tableStyle name="SME IPO v1-style" pivot="0" count="3" xr9:uid="{00000000-0011-0000-FFFF-FFFF01000000}">
      <tableStyleElement type="headerRow" dxfId="109"/>
      <tableStyleElement type="firstRowStripe" dxfId="108"/>
      <tableStyleElement type="secondRowStripe" dxfId="107"/>
    </tableStyle>
    <tableStyle name="SME IPO v1-style 2" pivot="0" count="2" xr9:uid="{00000000-0011-0000-FFFF-FFFF02000000}">
      <tableStyleElement type="firstRowStripe" dxfId="106"/>
      <tableStyleElement type="secondRowStripe" dxfId="105"/>
    </tableStyle>
    <tableStyle name="SME IPO v1-style 3" pivot="0" count="2" xr9:uid="{00000000-0011-0000-FFFF-FFFF03000000}">
      <tableStyleElement type="firstRowStripe" dxfId="104"/>
      <tableStyleElement type="secondRowStripe" dxfId="103"/>
    </tableStyle>
    <tableStyle name="SME IPO v1-style 4" pivot="0" count="2" xr9:uid="{00000000-0011-0000-FFFF-FFFF04000000}">
      <tableStyleElement type="firstRowStripe" dxfId="102"/>
      <tableStyleElement type="secondRowStripe" dxfId="101"/>
    </tableStyle>
    <tableStyle name="SME IPO v1-style 5" pivot="0" count="2" xr9:uid="{00000000-0011-0000-FFFF-FFFF05000000}">
      <tableStyleElement type="firstRowStripe" dxfId="100"/>
      <tableStyleElement type="secondRowStripe" dxfId="99"/>
    </tableStyle>
    <tableStyle name="SME IPO v1-style 6" pivot="0" count="2" xr9:uid="{00000000-0011-0000-FFFF-FFFF06000000}">
      <tableStyleElement type="firstRowStripe" dxfId="98"/>
      <tableStyleElement type="secondRowStripe" dxfId="97"/>
    </tableStyle>
    <tableStyle name="SME IPO v2-style" pivot="0" count="3" xr9:uid="{00000000-0011-0000-FFFF-FFFF07000000}">
      <tableStyleElement type="headerRow" dxfId="96"/>
      <tableStyleElement type="firstRowStripe" dxfId="95"/>
      <tableStyleElement type="secondRowStripe" dxfId="94"/>
    </tableStyle>
    <tableStyle name="SME IPO v2-style 2" pivot="0" count="2" xr9:uid="{00000000-0011-0000-FFFF-FFFF08000000}">
      <tableStyleElement type="firstRowStripe" dxfId="93"/>
      <tableStyleElement type="secondRowStripe" dxfId="92"/>
    </tableStyle>
    <tableStyle name="SME IPO v2-style 3" pivot="0" count="2" xr9:uid="{00000000-0011-0000-FFFF-FFFF09000000}">
      <tableStyleElement type="firstRowStripe" dxfId="91"/>
      <tableStyleElement type="secondRowStripe" dxfId="90"/>
    </tableStyle>
    <tableStyle name="SME IPO v2-style 4" pivot="0" count="2" xr9:uid="{00000000-0011-0000-FFFF-FFFF0A000000}">
      <tableStyleElement type="firstRowStripe" dxfId="89"/>
      <tableStyleElement type="secondRowStripe" dxfId="88"/>
    </tableStyle>
    <tableStyle name="SME IPO v2-style 5" pivot="0" count="2" xr9:uid="{00000000-0011-0000-FFFF-FFFF0B000000}">
      <tableStyleElement type="firstRowStripe" dxfId="87"/>
      <tableStyleElement type="secondRowStripe" dxfId="86"/>
    </tableStyle>
    <tableStyle name="SME IPO v2-style 6" pivot="0" count="2" xr9:uid="{00000000-0011-0000-FFFF-FFFF0C000000}">
      <tableStyleElement type="firstRowStripe" dxfId="85"/>
      <tableStyleElement type="secondRowStripe" dxfId="84"/>
    </tableStyle>
    <tableStyle name="SME IPO v3-style" pivot="0" count="3" xr9:uid="{00000000-0011-0000-FFFF-FFFF0D000000}">
      <tableStyleElement type="headerRow" dxfId="83"/>
      <tableStyleElement type="firstRowStripe" dxfId="82"/>
      <tableStyleElement type="secondRowStripe" dxfId="81"/>
    </tableStyle>
    <tableStyle name="SME IPO v3-style 2" pivot="0" count="2" xr9:uid="{00000000-0011-0000-FFFF-FFFF0E000000}">
      <tableStyleElement type="firstRowStripe" dxfId="80"/>
      <tableStyleElement type="secondRowStripe" dxfId="79"/>
    </tableStyle>
    <tableStyle name="SME IPO v3-style 3" pivot="0" count="2" xr9:uid="{00000000-0011-0000-FFFF-FFFF0F000000}">
      <tableStyleElement type="firstRowStripe" dxfId="78"/>
      <tableStyleElement type="secondRowStripe" dxfId="77"/>
    </tableStyle>
    <tableStyle name="SME IPO v3-style 4" pivot="0" count="2" xr9:uid="{00000000-0011-0000-FFFF-FFFF10000000}">
      <tableStyleElement type="firstRowStripe" dxfId="76"/>
      <tableStyleElement type="secondRowStripe" dxfId="75"/>
    </tableStyle>
    <tableStyle name="SME IPO v3-style 5" pivot="0" count="2" xr9:uid="{00000000-0011-0000-FFFF-FFFF11000000}">
      <tableStyleElement type="firstRowStripe" dxfId="74"/>
      <tableStyleElement type="secondRowStripe" dxfId="73"/>
    </tableStyle>
    <tableStyle name="SME IPO v3-style 6" pivot="0" count="2" xr9:uid="{00000000-0011-0000-FFFF-FFFF12000000}">
      <tableStyleElement type="firstRowStripe" dxfId="72"/>
      <tableStyleElement type="secondRowStripe" dxfId="7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446"/>
  <sheetViews>
    <sheetView tabSelected="1" zoomScale="80" zoomScaleNormal="80" workbookViewId="0">
      <pane ySplit="1" topLeftCell="A32" activePane="bottomLeft" state="frozen"/>
      <selection activeCell="AF1" sqref="AF1"/>
      <selection pane="bottomLeft" activeCell="AK141" sqref="AK141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75" customWidth="1"/>
    <col min="20" max="20" width="5.33203125" customWidth="1"/>
    <col min="21" max="21" width="4.6640625" customWidth="1"/>
    <col min="22" max="22" width="4.33203125" customWidth="1"/>
    <col min="23" max="38" width="7.33203125" customWidth="1"/>
    <col min="39" max="39" width="20.5546875" customWidth="1"/>
    <col min="40" max="42" width="7.33203125" customWidth="1"/>
    <col min="43" max="43" width="7.33203125" style="78" customWidth="1"/>
    <col min="44" max="46" width="7.33203125" customWidth="1"/>
    <col min="47" max="51" width="7.33203125" hidden="1" customWidth="1"/>
    <col min="52" max="59" width="7.33203125" customWidth="1"/>
  </cols>
  <sheetData>
    <row r="1" spans="1:60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1" t="s">
        <v>6</v>
      </c>
      <c r="H1" s="12" t="s">
        <v>7</v>
      </c>
      <c r="I1" s="12" t="s">
        <v>8</v>
      </c>
      <c r="J1" s="38" t="s">
        <v>9</v>
      </c>
      <c r="K1" s="12" t="s">
        <v>10</v>
      </c>
      <c r="L1" s="12" t="s">
        <v>11</v>
      </c>
      <c r="M1" s="12" t="s">
        <v>12</v>
      </c>
      <c r="N1" s="38" t="s">
        <v>13</v>
      </c>
      <c r="O1" s="12" t="s">
        <v>14</v>
      </c>
      <c r="P1" s="111" t="s">
        <v>15</v>
      </c>
      <c r="Q1" s="12" t="s">
        <v>16</v>
      </c>
      <c r="R1" s="12" t="s">
        <v>17</v>
      </c>
      <c r="S1" s="38" t="s">
        <v>18</v>
      </c>
      <c r="T1" s="38" t="s">
        <v>19</v>
      </c>
      <c r="U1" s="38" t="s">
        <v>20</v>
      </c>
      <c r="V1" s="12" t="s">
        <v>21</v>
      </c>
      <c r="W1" s="12" t="s">
        <v>22</v>
      </c>
      <c r="X1" s="38" t="s">
        <v>23</v>
      </c>
      <c r="Y1" s="38" t="s">
        <v>24</v>
      </c>
      <c r="Z1" s="12" t="s">
        <v>25</v>
      </c>
      <c r="AA1" s="112" t="s">
        <v>26</v>
      </c>
      <c r="AB1" s="12" t="s">
        <v>27</v>
      </c>
      <c r="AC1" s="113" t="s">
        <v>28</v>
      </c>
      <c r="AD1" s="38" t="s">
        <v>29</v>
      </c>
      <c r="AE1" s="38" t="s">
        <v>30</v>
      </c>
      <c r="AF1" s="12" t="s">
        <v>31</v>
      </c>
      <c r="AG1" s="111" t="s">
        <v>32</v>
      </c>
      <c r="AH1" s="111" t="s">
        <v>33</v>
      </c>
      <c r="AI1" s="110" t="s">
        <v>34</v>
      </c>
      <c r="AJ1" s="114" t="s">
        <v>35</v>
      </c>
      <c r="AK1" s="111" t="s">
        <v>36</v>
      </c>
      <c r="AL1" s="113" t="s">
        <v>37</v>
      </c>
      <c r="AM1" s="113" t="s">
        <v>38</v>
      </c>
      <c r="AN1" s="38" t="s">
        <v>39</v>
      </c>
      <c r="AO1" s="38" t="s">
        <v>40</v>
      </c>
      <c r="AP1" s="111" t="s">
        <v>41</v>
      </c>
      <c r="AQ1" s="38" t="s">
        <v>42</v>
      </c>
      <c r="AR1" s="111" t="s">
        <v>43</v>
      </c>
      <c r="AS1" s="38" t="s">
        <v>44</v>
      </c>
      <c r="AT1" s="38"/>
      <c r="AU1" s="12" t="s">
        <v>45</v>
      </c>
      <c r="AV1" s="12" t="s">
        <v>46</v>
      </c>
      <c r="AW1" s="12" t="s">
        <v>47</v>
      </c>
      <c r="AX1" s="12"/>
      <c r="AY1" s="12" t="s">
        <v>48</v>
      </c>
      <c r="AZ1" s="65" t="s">
        <v>49</v>
      </c>
      <c r="BA1" s="12" t="s">
        <v>50</v>
      </c>
      <c r="BB1" s="38" t="s">
        <v>51</v>
      </c>
      <c r="BC1" s="38" t="s">
        <v>52</v>
      </c>
      <c r="BD1" s="38" t="s">
        <v>53</v>
      </c>
      <c r="BE1" s="65" t="s">
        <v>54</v>
      </c>
      <c r="BF1" s="38" t="s">
        <v>55</v>
      </c>
      <c r="BG1" s="38" t="s">
        <v>56</v>
      </c>
      <c r="BH1" s="38" t="s">
        <v>57</v>
      </c>
    </row>
    <row r="2" spans="1:60">
      <c r="B2" s="13" t="s">
        <v>58</v>
      </c>
      <c r="C2" s="14">
        <v>2025</v>
      </c>
      <c r="D2" s="14" t="s">
        <v>59</v>
      </c>
      <c r="E2" s="15">
        <v>31.7</v>
      </c>
      <c r="F2" s="15">
        <v>49.09</v>
      </c>
      <c r="G2" s="15">
        <f t="shared" ref="G2:G33" si="0">100*(F2-E2)/F2</f>
        <v>35.42473008759422</v>
      </c>
      <c r="H2" s="15">
        <v>84.04</v>
      </c>
      <c r="I2" s="15">
        <v>9.0500000000000007</v>
      </c>
      <c r="J2" s="15">
        <v>5.0999999999999996</v>
      </c>
      <c r="K2" s="15">
        <v>5.53</v>
      </c>
      <c r="L2" s="15">
        <v>20.7</v>
      </c>
      <c r="M2" s="15">
        <v>17.05</v>
      </c>
      <c r="N2" s="15">
        <v>13.04</v>
      </c>
      <c r="O2" s="15">
        <v>131.47</v>
      </c>
      <c r="P2" s="15">
        <f t="shared" ref="P2:P33" si="1">O2/I2</f>
        <v>14.527071823204418</v>
      </c>
      <c r="Q2" s="15">
        <v>18.079999999999998</v>
      </c>
      <c r="R2" s="15">
        <v>24.8</v>
      </c>
      <c r="S2" s="85">
        <v>5</v>
      </c>
      <c r="T2" s="16"/>
      <c r="U2" s="16"/>
      <c r="V2" s="16">
        <v>1</v>
      </c>
      <c r="W2" s="15"/>
      <c r="X2" s="15">
        <v>1.53</v>
      </c>
      <c r="Y2" s="15">
        <v>2.06</v>
      </c>
      <c r="Z2" s="15">
        <v>0.96</v>
      </c>
      <c r="AA2" s="2">
        <f t="shared" ref="AA2:AA65" si="2">IF(X2&lt;50,IF(Y2&gt;(2.3*X2),0,1),1)-IF(Z2&gt;Y2,1.7,0)</f>
        <v>1</v>
      </c>
      <c r="AB2" s="15">
        <v>0</v>
      </c>
      <c r="AC2" s="15">
        <f>IF(AB2&gt;4,1,0)+AB2/7</f>
        <v>0</v>
      </c>
      <c r="AD2" s="15">
        <v>93.79</v>
      </c>
      <c r="AE2" s="15">
        <v>44.98</v>
      </c>
      <c r="AF2" s="15">
        <v>29.05</v>
      </c>
      <c r="AG2" s="85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5">
        <f t="shared" ref="AH2:AH65" si="4">AG2+IF(X2&lt;1.35,0,1)+IF(Y2&lt;1.35,0,1)+AC2+AA2</f>
        <v>8.9</v>
      </c>
      <c r="AI2" s="15">
        <v>11</v>
      </c>
      <c r="AJ2" s="15">
        <f t="shared" ref="AJ2:AJ65" si="5">IF(AI2&gt;12.7,IF(AI2&gt;15.8,0.93,0.98),1)</f>
        <v>1</v>
      </c>
      <c r="AK2" s="15">
        <f t="shared" ref="AK2:AK65" si="6">(1.2*AG2+AH2)*AJ2*AQ2</f>
        <v>15.98</v>
      </c>
      <c r="AL2" s="14" t="str">
        <f t="shared" ref="AL2:AL65" si="7">D2</f>
        <v>Pos</v>
      </c>
      <c r="AM2" s="64" t="str">
        <f t="shared" ref="AM2:AM33" si="8">B2</f>
        <v>DSM Fresh Foods</v>
      </c>
      <c r="AN2" s="16"/>
      <c r="AO2" s="16">
        <f t="shared" ref="AO2:AO33" si="9">AN2+1</f>
        <v>1</v>
      </c>
      <c r="AP2" s="16">
        <f t="shared" ref="AP2:AP65" si="10">IF(AK2&gt;13.1,IF(Z2&lt;101,IF(Z2&lt;35,IF(Z2&lt;6,3,2),1),0),0)</f>
        <v>3</v>
      </c>
      <c r="AQ2" s="15">
        <v>1</v>
      </c>
      <c r="AR2" s="15">
        <f t="shared" ref="AR2:AR65" si="11">IF(AP2&gt;0,IF(AB2&gt;10,(AB2/Z2),10/Z2),0)</f>
        <v>10.416666666666668</v>
      </c>
      <c r="AS2" s="15"/>
      <c r="AT2" s="15">
        <f t="shared" ref="AT2:AT65" si="12">100*(AK2-AQ2)/AQ2</f>
        <v>1498</v>
      </c>
      <c r="AU2" s="16">
        <v>208.33333333333329</v>
      </c>
      <c r="AV2" s="16">
        <v>1041.666666666667</v>
      </c>
      <c r="AW2" s="14">
        <v>5</v>
      </c>
      <c r="AX2" s="14"/>
      <c r="AY2" s="14">
        <v>100</v>
      </c>
      <c r="AZ2" s="16"/>
      <c r="BA2" s="14">
        <v>120</v>
      </c>
      <c r="BB2" s="15">
        <v>125</v>
      </c>
      <c r="BC2" s="15">
        <v>132</v>
      </c>
      <c r="BD2" s="15">
        <v>138</v>
      </c>
      <c r="BE2" s="15">
        <v>208</v>
      </c>
      <c r="BF2" s="15">
        <v>186</v>
      </c>
      <c r="BG2" s="15">
        <v>86</v>
      </c>
      <c r="BH2" s="15">
        <v>55</v>
      </c>
    </row>
    <row r="3" spans="1:60">
      <c r="B3" s="17" t="s">
        <v>60</v>
      </c>
      <c r="C3" s="14">
        <v>2025</v>
      </c>
      <c r="D3" s="14" t="s">
        <v>59</v>
      </c>
      <c r="E3" s="15">
        <v>0</v>
      </c>
      <c r="F3" s="15">
        <v>22.2</v>
      </c>
      <c r="G3" s="15">
        <f t="shared" si="0"/>
        <v>100</v>
      </c>
      <c r="H3" s="15">
        <v>43.84</v>
      </c>
      <c r="I3" s="15">
        <v>9.1</v>
      </c>
      <c r="J3" s="15"/>
      <c r="K3" s="15">
        <v>5.42</v>
      </c>
      <c r="L3" s="15"/>
      <c r="M3" s="15">
        <v>14</v>
      </c>
      <c r="N3" s="15"/>
      <c r="O3" s="15">
        <v>35.630000000000003</v>
      </c>
      <c r="P3" s="15">
        <f t="shared" si="1"/>
        <v>3.9153846153846157</v>
      </c>
      <c r="Q3" s="15">
        <v>16.05</v>
      </c>
      <c r="R3" s="15">
        <v>16.05</v>
      </c>
      <c r="S3" s="85">
        <v>0</v>
      </c>
      <c r="T3" s="16"/>
      <c r="U3" s="16"/>
      <c r="V3" s="16">
        <v>1</v>
      </c>
      <c r="W3" s="15"/>
      <c r="X3" s="15">
        <v>1.38</v>
      </c>
      <c r="Y3" s="15">
        <v>2.63</v>
      </c>
      <c r="Z3" s="15">
        <v>0.83</v>
      </c>
      <c r="AA3" s="2">
        <f t="shared" si="2"/>
        <v>1</v>
      </c>
      <c r="AB3" s="15">
        <v>0</v>
      </c>
      <c r="AC3" s="15">
        <f t="shared" ref="AC3:AC66" si="13">IF(AB3&gt;4,1,0)+AB3/12</f>
        <v>0</v>
      </c>
      <c r="AD3" s="15">
        <v>13.32</v>
      </c>
      <c r="AE3" s="15">
        <v>17.510000000000002</v>
      </c>
      <c r="AF3" s="15">
        <v>212.24</v>
      </c>
      <c r="AG3" s="85">
        <f t="shared" si="3"/>
        <v>6.6</v>
      </c>
      <c r="AH3" s="15">
        <f t="shared" si="4"/>
        <v>9.6</v>
      </c>
      <c r="AI3" s="15">
        <v>11</v>
      </c>
      <c r="AJ3" s="15">
        <f t="shared" si="5"/>
        <v>1</v>
      </c>
      <c r="AK3" s="15">
        <f t="shared" si="6"/>
        <v>17.52</v>
      </c>
      <c r="AL3" s="14" t="str">
        <f t="shared" si="7"/>
        <v>Pos</v>
      </c>
      <c r="AM3" s="64" t="str">
        <f t="shared" si="8"/>
        <v>B.A.G. Convergence</v>
      </c>
      <c r="AN3" s="16"/>
      <c r="AO3" s="16">
        <f t="shared" si="9"/>
        <v>1</v>
      </c>
      <c r="AP3" s="16">
        <f t="shared" si="10"/>
        <v>3</v>
      </c>
      <c r="AQ3" s="15">
        <v>1</v>
      </c>
      <c r="AR3" s="15">
        <f t="shared" si="11"/>
        <v>12.048192771084338</v>
      </c>
      <c r="AS3" s="15"/>
      <c r="AT3" s="15">
        <f t="shared" si="12"/>
        <v>1652</v>
      </c>
      <c r="AU3" s="16">
        <v>240.96385542168679</v>
      </c>
      <c r="AV3" s="16">
        <v>1204.8192771084341</v>
      </c>
      <c r="AW3" s="14">
        <v>5</v>
      </c>
      <c r="AX3" s="14"/>
      <c r="AY3" s="14">
        <v>87</v>
      </c>
      <c r="AZ3" s="16"/>
      <c r="BA3" s="14">
        <v>101</v>
      </c>
      <c r="BB3" s="15"/>
      <c r="BC3" s="15"/>
      <c r="BD3" s="15"/>
      <c r="BE3" s="15"/>
      <c r="BF3" s="15">
        <v>127</v>
      </c>
      <c r="BG3" s="15">
        <v>45.977011494252871</v>
      </c>
      <c r="BH3" s="15">
        <v>25.742574257425741</v>
      </c>
    </row>
    <row r="4" spans="1:60">
      <c r="B4" s="17" t="s">
        <v>61</v>
      </c>
      <c r="C4" s="14">
        <v>2025</v>
      </c>
      <c r="D4" s="14" t="s">
        <v>59</v>
      </c>
      <c r="E4" s="15">
        <v>30.68</v>
      </c>
      <c r="F4" s="15">
        <v>26.67</v>
      </c>
      <c r="G4" s="15">
        <f t="shared" si="0"/>
        <v>-15.035620547431561</v>
      </c>
      <c r="H4" s="14">
        <v>45.02</v>
      </c>
      <c r="I4" s="15">
        <v>16</v>
      </c>
      <c r="J4" s="15"/>
      <c r="K4" s="15">
        <v>4.12</v>
      </c>
      <c r="L4" s="15"/>
      <c r="M4" s="15">
        <v>21.02</v>
      </c>
      <c r="N4" s="15"/>
      <c r="O4" s="15">
        <v>172.19</v>
      </c>
      <c r="P4" s="15">
        <f t="shared" si="1"/>
        <v>10.761875</v>
      </c>
      <c r="Q4" s="15">
        <v>32.770000000000003</v>
      </c>
      <c r="R4" s="15">
        <v>17.97</v>
      </c>
      <c r="S4" s="85">
        <v>0</v>
      </c>
      <c r="T4" s="16"/>
      <c r="U4" s="16"/>
      <c r="V4" s="16">
        <v>1</v>
      </c>
      <c r="W4" s="15"/>
      <c r="X4" s="15">
        <v>1.61</v>
      </c>
      <c r="Y4" s="15">
        <v>1.56</v>
      </c>
      <c r="Z4" s="15">
        <v>1.32</v>
      </c>
      <c r="AA4" s="2">
        <f t="shared" si="2"/>
        <v>1</v>
      </c>
      <c r="AB4" s="15">
        <v>0</v>
      </c>
      <c r="AC4" s="15">
        <f t="shared" si="13"/>
        <v>0</v>
      </c>
      <c r="AD4" s="15">
        <v>154</v>
      </c>
      <c r="AE4" s="15">
        <v>83</v>
      </c>
      <c r="AF4" s="15">
        <v>150</v>
      </c>
      <c r="AG4" s="85">
        <f t="shared" si="3"/>
        <v>4.5</v>
      </c>
      <c r="AH4" s="15">
        <f t="shared" si="4"/>
        <v>7.5</v>
      </c>
      <c r="AI4" s="15">
        <v>11</v>
      </c>
      <c r="AJ4" s="15">
        <f t="shared" si="5"/>
        <v>1</v>
      </c>
      <c r="AK4" s="15">
        <f t="shared" si="6"/>
        <v>12.899999999999999</v>
      </c>
      <c r="AL4" s="14" t="str">
        <f t="shared" si="7"/>
        <v>Pos</v>
      </c>
      <c r="AM4" s="64" t="str">
        <f t="shared" si="8"/>
        <v>Zelio E-Mobility</v>
      </c>
      <c r="AN4" s="16"/>
      <c r="AO4" s="16">
        <f t="shared" si="9"/>
        <v>1</v>
      </c>
      <c r="AP4" s="16">
        <f t="shared" si="10"/>
        <v>0</v>
      </c>
      <c r="AQ4" s="15">
        <v>1</v>
      </c>
      <c r="AR4" s="15">
        <f t="shared" si="11"/>
        <v>0</v>
      </c>
      <c r="AS4" s="15"/>
      <c r="AT4" s="15">
        <f t="shared" si="12"/>
        <v>1189.9999999999998</v>
      </c>
      <c r="AU4" s="16">
        <v>151.5151515151515</v>
      </c>
      <c r="AV4" s="16">
        <v>757.57575757575751</v>
      </c>
      <c r="AW4" s="14">
        <v>5</v>
      </c>
      <c r="AX4" s="14"/>
      <c r="AY4" s="14">
        <v>136</v>
      </c>
      <c r="AZ4" s="16"/>
      <c r="BA4" s="14">
        <v>154</v>
      </c>
      <c r="BB4" s="15"/>
      <c r="BC4" s="15"/>
      <c r="BD4" s="15"/>
      <c r="BE4" s="15"/>
      <c r="BF4" s="15">
        <v>343</v>
      </c>
      <c r="BG4" s="15">
        <v>152.20588235294119</v>
      </c>
      <c r="BH4" s="15">
        <v>122.72727272727271</v>
      </c>
    </row>
    <row r="5" spans="1:60">
      <c r="B5" s="17" t="s">
        <v>62</v>
      </c>
      <c r="C5" s="14">
        <v>2025</v>
      </c>
      <c r="D5" s="14" t="s">
        <v>59</v>
      </c>
      <c r="E5" s="15">
        <v>17.36</v>
      </c>
      <c r="F5" s="15">
        <v>83.85</v>
      </c>
      <c r="G5" s="15">
        <f t="shared" si="0"/>
        <v>79.296362552176504</v>
      </c>
      <c r="H5" s="14">
        <v>113</v>
      </c>
      <c r="I5" s="15">
        <v>10.64</v>
      </c>
      <c r="J5" s="15"/>
      <c r="K5" s="15">
        <v>7.21</v>
      </c>
      <c r="L5" s="15"/>
      <c r="M5" s="15">
        <v>14.97</v>
      </c>
      <c r="N5" s="15"/>
      <c r="O5" s="15">
        <v>102.27</v>
      </c>
      <c r="P5" s="15">
        <f t="shared" si="1"/>
        <v>9.6118421052631575</v>
      </c>
      <c r="Q5" s="15">
        <v>8.74</v>
      </c>
      <c r="R5" s="15">
        <v>8.74</v>
      </c>
      <c r="S5" s="85">
        <v>0</v>
      </c>
      <c r="T5" s="16"/>
      <c r="U5" s="16"/>
      <c r="V5" s="16">
        <v>1</v>
      </c>
      <c r="W5" s="15"/>
      <c r="X5" s="15">
        <v>19.73</v>
      </c>
      <c r="Y5" s="15">
        <v>25.92</v>
      </c>
      <c r="Z5" s="15">
        <v>9.56</v>
      </c>
      <c r="AA5" s="2">
        <f t="shared" si="2"/>
        <v>1</v>
      </c>
      <c r="AB5" s="15">
        <v>25</v>
      </c>
      <c r="AC5" s="15">
        <f t="shared" si="13"/>
        <v>3.0833333333333335</v>
      </c>
      <c r="AD5" s="15">
        <v>2</v>
      </c>
      <c r="AE5" s="15">
        <v>11</v>
      </c>
      <c r="AF5" s="15">
        <v>15</v>
      </c>
      <c r="AG5" s="85">
        <f t="shared" si="3"/>
        <v>7.1</v>
      </c>
      <c r="AH5" s="15">
        <f t="shared" si="4"/>
        <v>13.183333333333334</v>
      </c>
      <c r="AI5" s="15">
        <v>11</v>
      </c>
      <c r="AJ5" s="15">
        <f t="shared" si="5"/>
        <v>1</v>
      </c>
      <c r="AK5" s="15">
        <f t="shared" si="6"/>
        <v>21.703333333333333</v>
      </c>
      <c r="AL5" s="14" t="str">
        <f t="shared" si="7"/>
        <v>Pos</v>
      </c>
      <c r="AM5" s="64" t="str">
        <f t="shared" si="8"/>
        <v>Sheel Biotech</v>
      </c>
      <c r="AN5" s="16"/>
      <c r="AO5" s="16">
        <f t="shared" si="9"/>
        <v>1</v>
      </c>
      <c r="AP5" s="16">
        <f t="shared" si="10"/>
        <v>2</v>
      </c>
      <c r="AQ5" s="15">
        <v>1</v>
      </c>
      <c r="AR5" s="15">
        <f t="shared" si="11"/>
        <v>2.6150627615062758</v>
      </c>
      <c r="AS5" s="15"/>
      <c r="AT5" s="15">
        <f t="shared" si="12"/>
        <v>2070.3333333333335</v>
      </c>
      <c r="AU5" s="16">
        <v>20.92050209205021</v>
      </c>
      <c r="AV5" s="16">
        <v>104.602510460251</v>
      </c>
      <c r="AW5" s="14">
        <v>5</v>
      </c>
      <c r="AX5" s="14"/>
      <c r="AY5" s="14">
        <v>63</v>
      </c>
      <c r="AZ5" s="16"/>
      <c r="BA5" s="14">
        <v>91</v>
      </c>
      <c r="BB5" s="15"/>
      <c r="BC5" s="15"/>
      <c r="BD5" s="15"/>
      <c r="BE5" s="15"/>
      <c r="BF5" s="15">
        <v>80</v>
      </c>
      <c r="BG5" s="15">
        <v>26.984126984126981</v>
      </c>
      <c r="BH5" s="15">
        <v>-12.087912087912089</v>
      </c>
    </row>
    <row r="6" spans="1:60">
      <c r="B6" s="13" t="s">
        <v>63</v>
      </c>
      <c r="C6" s="14">
        <v>2025</v>
      </c>
      <c r="D6" s="14" t="s">
        <v>59</v>
      </c>
      <c r="E6" s="15">
        <v>0.23</v>
      </c>
      <c r="F6" s="15">
        <v>12.68</v>
      </c>
      <c r="G6" s="15">
        <f t="shared" si="0"/>
        <v>98.186119873817034</v>
      </c>
      <c r="H6" s="15">
        <v>14.92</v>
      </c>
      <c r="I6" s="15">
        <v>4.1900000000000004</v>
      </c>
      <c r="J6" s="15"/>
      <c r="K6" s="15">
        <v>11.22</v>
      </c>
      <c r="L6" s="15"/>
      <c r="M6" s="15">
        <v>6.16</v>
      </c>
      <c r="N6" s="15"/>
      <c r="O6" s="15">
        <v>13.19</v>
      </c>
      <c r="P6" s="15">
        <f t="shared" si="1"/>
        <v>3.1479713603818613</v>
      </c>
      <c r="Q6" s="15">
        <v>13.81</v>
      </c>
      <c r="R6" s="15">
        <v>19.64</v>
      </c>
      <c r="S6" s="85">
        <v>0</v>
      </c>
      <c r="T6" s="16"/>
      <c r="U6" s="16"/>
      <c r="V6" s="16">
        <v>1</v>
      </c>
      <c r="W6" s="15"/>
      <c r="X6" s="15">
        <v>157.13999999999999</v>
      </c>
      <c r="Y6" s="15">
        <v>548.99</v>
      </c>
      <c r="Z6" s="15">
        <v>303.35000000000002</v>
      </c>
      <c r="AA6" s="2">
        <f t="shared" si="2"/>
        <v>1</v>
      </c>
      <c r="AB6" s="15">
        <v>38</v>
      </c>
      <c r="AC6" s="15">
        <f t="shared" si="13"/>
        <v>4.1666666666666661</v>
      </c>
      <c r="AD6" s="15">
        <v>20.75</v>
      </c>
      <c r="AE6" s="15">
        <v>29.7</v>
      </c>
      <c r="AF6" s="15">
        <v>152.09</v>
      </c>
      <c r="AG6" s="85">
        <f t="shared" si="3"/>
        <v>6.6</v>
      </c>
      <c r="AH6" s="15">
        <f t="shared" si="4"/>
        <v>13.766666666666666</v>
      </c>
      <c r="AI6" s="15">
        <v>11</v>
      </c>
      <c r="AJ6" s="15">
        <f t="shared" si="5"/>
        <v>1</v>
      </c>
      <c r="AK6" s="15">
        <f t="shared" si="6"/>
        <v>21.686666666666664</v>
      </c>
      <c r="AL6" s="14" t="str">
        <f t="shared" si="7"/>
        <v>Pos</v>
      </c>
      <c r="AM6" s="64" t="str">
        <f t="shared" si="8"/>
        <v>Infinity Infoway</v>
      </c>
      <c r="AN6" s="16"/>
      <c r="AO6" s="16">
        <f t="shared" si="9"/>
        <v>1</v>
      </c>
      <c r="AP6" s="16">
        <f t="shared" si="10"/>
        <v>0</v>
      </c>
      <c r="AQ6" s="15">
        <v>1</v>
      </c>
      <c r="AR6" s="15">
        <f t="shared" si="11"/>
        <v>0</v>
      </c>
      <c r="AS6" s="15"/>
      <c r="AT6" s="15">
        <f t="shared" si="12"/>
        <v>2068.6666666666665</v>
      </c>
      <c r="AU6" s="16">
        <v>0.6593044338223174</v>
      </c>
      <c r="AV6" s="16">
        <v>3.2965221691115869</v>
      </c>
      <c r="AW6" s="14">
        <v>5</v>
      </c>
      <c r="AX6" s="14"/>
      <c r="AY6" s="14">
        <v>155</v>
      </c>
      <c r="AZ6" s="16"/>
      <c r="BA6" s="14">
        <v>294</v>
      </c>
      <c r="BB6" s="15">
        <v>368</v>
      </c>
      <c r="BC6" s="15">
        <v>405</v>
      </c>
      <c r="BD6" s="15">
        <v>413</v>
      </c>
      <c r="BE6" s="15"/>
      <c r="BF6" s="15">
        <v>372</v>
      </c>
      <c r="BG6" s="15">
        <v>140</v>
      </c>
      <c r="BH6" s="15">
        <v>26.530612244897959</v>
      </c>
    </row>
    <row r="7" spans="1:60">
      <c r="B7" s="13" t="s">
        <v>64</v>
      </c>
      <c r="C7" s="14">
        <v>2025</v>
      </c>
      <c r="D7" s="14" t="s">
        <v>59</v>
      </c>
      <c r="E7" s="15">
        <v>0.05</v>
      </c>
      <c r="F7" s="15">
        <v>7.42</v>
      </c>
      <c r="G7" s="15">
        <f t="shared" si="0"/>
        <v>99.326145552560646</v>
      </c>
      <c r="H7" s="15">
        <v>7.6</v>
      </c>
      <c r="I7" s="15">
        <v>2.1800000000000002</v>
      </c>
      <c r="J7" s="15"/>
      <c r="K7" s="15">
        <v>3.49</v>
      </c>
      <c r="L7" s="15"/>
      <c r="M7" s="15">
        <v>3.05</v>
      </c>
      <c r="N7" s="15"/>
      <c r="O7" s="15">
        <v>4.13</v>
      </c>
      <c r="P7" s="15">
        <f t="shared" si="1"/>
        <v>1.8944954128440366</v>
      </c>
      <c r="Q7" s="15">
        <v>18.55</v>
      </c>
      <c r="R7" s="15">
        <v>18.55</v>
      </c>
      <c r="S7" s="85">
        <v>0</v>
      </c>
      <c r="T7" s="16"/>
      <c r="U7" s="16"/>
      <c r="V7" s="16">
        <v>0</v>
      </c>
      <c r="W7" s="15"/>
      <c r="X7" s="15">
        <v>5.99</v>
      </c>
      <c r="Y7" s="15">
        <v>5.99</v>
      </c>
      <c r="Z7" s="15">
        <v>4.8499999999999996</v>
      </c>
      <c r="AA7" s="2">
        <f t="shared" si="2"/>
        <v>1</v>
      </c>
      <c r="AB7" s="15">
        <v>0</v>
      </c>
      <c r="AC7" s="15">
        <f t="shared" si="13"/>
        <v>0</v>
      </c>
      <c r="AD7" s="15">
        <v>-1.36</v>
      </c>
      <c r="AE7" s="15">
        <v>10.130000000000001</v>
      </c>
      <c r="AF7" s="15">
        <v>41.87</v>
      </c>
      <c r="AG7" s="85">
        <f t="shared" si="3"/>
        <v>4.5999999999999996</v>
      </c>
      <c r="AH7" s="15">
        <f t="shared" si="4"/>
        <v>7.6</v>
      </c>
      <c r="AI7" s="15">
        <v>11</v>
      </c>
      <c r="AJ7" s="15">
        <f t="shared" si="5"/>
        <v>1</v>
      </c>
      <c r="AK7" s="15">
        <f t="shared" si="6"/>
        <v>13.12</v>
      </c>
      <c r="AL7" s="14" t="str">
        <f t="shared" si="7"/>
        <v>Pos</v>
      </c>
      <c r="AM7" s="64" t="str">
        <f t="shared" si="8"/>
        <v>Sodhani Capital</v>
      </c>
      <c r="AN7" s="16"/>
      <c r="AO7" s="16">
        <f t="shared" si="9"/>
        <v>1</v>
      </c>
      <c r="AP7" s="16">
        <f t="shared" si="10"/>
        <v>3</v>
      </c>
      <c r="AQ7" s="15">
        <v>1</v>
      </c>
      <c r="AR7" s="15">
        <f t="shared" si="11"/>
        <v>2.061855670103093</v>
      </c>
      <c r="AS7" s="15"/>
      <c r="AT7" s="15">
        <f t="shared" si="12"/>
        <v>1212</v>
      </c>
      <c r="AU7" s="16">
        <v>41.237113402061858</v>
      </c>
      <c r="AV7" s="16">
        <v>206.18556701030931</v>
      </c>
      <c r="AW7" s="14">
        <v>5</v>
      </c>
      <c r="AX7" s="14"/>
      <c r="AY7" s="14">
        <v>51</v>
      </c>
      <c r="AZ7" s="16"/>
      <c r="BA7" s="14">
        <v>80</v>
      </c>
      <c r="BB7" s="15"/>
      <c r="BC7" s="15"/>
      <c r="BD7" s="15"/>
      <c r="BE7" s="15"/>
      <c r="BF7" s="15">
        <v>121</v>
      </c>
      <c r="BG7" s="15">
        <v>137.25490196078431</v>
      </c>
      <c r="BH7" s="15">
        <v>51.25</v>
      </c>
    </row>
    <row r="8" spans="1:60">
      <c r="B8" s="18" t="s">
        <v>65</v>
      </c>
      <c r="C8" s="14">
        <v>2025</v>
      </c>
      <c r="D8" s="14" t="s">
        <v>59</v>
      </c>
      <c r="E8" s="15">
        <v>50.23</v>
      </c>
      <c r="F8" s="15">
        <v>47.61</v>
      </c>
      <c r="G8" s="15">
        <f t="shared" si="0"/>
        <v>-5.5030455786599406</v>
      </c>
      <c r="H8" s="15">
        <v>123.04</v>
      </c>
      <c r="I8" s="15">
        <v>15.15</v>
      </c>
      <c r="J8" s="15"/>
      <c r="K8" s="15">
        <v>8.69</v>
      </c>
      <c r="L8" s="15"/>
      <c r="M8" s="15">
        <v>23.27</v>
      </c>
      <c r="N8" s="15"/>
      <c r="O8" s="15">
        <v>79.239999999999995</v>
      </c>
      <c r="P8" s="15">
        <f t="shared" si="1"/>
        <v>5.23036303630363</v>
      </c>
      <c r="Q8" s="15">
        <v>17.760000000000002</v>
      </c>
      <c r="R8" s="15">
        <v>17.760000000000002</v>
      </c>
      <c r="S8" s="85">
        <v>0</v>
      </c>
      <c r="T8" s="16"/>
      <c r="U8" s="16"/>
      <c r="V8" s="16">
        <v>1</v>
      </c>
      <c r="W8" s="15"/>
      <c r="X8" s="15">
        <v>20.98</v>
      </c>
      <c r="Y8" s="15">
        <v>22.41</v>
      </c>
      <c r="Z8" s="15">
        <v>9.07</v>
      </c>
      <c r="AA8" s="2">
        <f t="shared" si="2"/>
        <v>1</v>
      </c>
      <c r="AB8" s="15">
        <v>9</v>
      </c>
      <c r="AC8" s="15">
        <f t="shared" si="13"/>
        <v>1.75</v>
      </c>
      <c r="AD8" s="15">
        <v>69.08</v>
      </c>
      <c r="AE8" s="15">
        <v>51.55</v>
      </c>
      <c r="AF8" s="15">
        <v>47.25</v>
      </c>
      <c r="AG8" s="85">
        <f t="shared" si="3"/>
        <v>4.5</v>
      </c>
      <c r="AH8" s="15">
        <f t="shared" si="4"/>
        <v>9.25</v>
      </c>
      <c r="AI8" s="15">
        <v>11</v>
      </c>
      <c r="AJ8" s="15">
        <f t="shared" si="5"/>
        <v>1</v>
      </c>
      <c r="AK8" s="15">
        <f t="shared" si="6"/>
        <v>14.649999999999999</v>
      </c>
      <c r="AL8" s="14" t="str">
        <f t="shared" si="7"/>
        <v>Pos</v>
      </c>
      <c r="AM8" s="64" t="str">
        <f t="shared" si="8"/>
        <v>Suba Hotels</v>
      </c>
      <c r="AN8" s="16"/>
      <c r="AO8" s="16">
        <f t="shared" si="9"/>
        <v>1</v>
      </c>
      <c r="AP8" s="16">
        <f t="shared" si="10"/>
        <v>2</v>
      </c>
      <c r="AQ8" s="15">
        <v>1</v>
      </c>
      <c r="AR8" s="15">
        <f t="shared" si="11"/>
        <v>1.1025358324145533</v>
      </c>
      <c r="AS8" s="15"/>
      <c r="AT8" s="15">
        <f t="shared" si="12"/>
        <v>1364.9999999999998</v>
      </c>
      <c r="AU8" s="16">
        <v>22.050716648291068</v>
      </c>
      <c r="AV8" s="16">
        <v>110.2535832414553</v>
      </c>
      <c r="AW8" s="14">
        <v>5</v>
      </c>
      <c r="AX8" s="14"/>
      <c r="AY8" s="14">
        <v>111</v>
      </c>
      <c r="AZ8" s="16"/>
      <c r="BA8" s="14">
        <v>154</v>
      </c>
      <c r="BB8" s="15">
        <v>175</v>
      </c>
      <c r="BC8" s="15">
        <v>177.29</v>
      </c>
      <c r="BD8" s="15">
        <v>181.76</v>
      </c>
      <c r="BE8" s="15"/>
      <c r="BF8" s="15">
        <v>170</v>
      </c>
      <c r="BG8" s="15">
        <v>53.153153153153163</v>
      </c>
      <c r="BH8" s="15">
        <v>10.38961038961039</v>
      </c>
    </row>
    <row r="9" spans="1:60">
      <c r="B9" s="18" t="s">
        <v>66</v>
      </c>
      <c r="C9" s="14">
        <v>2025</v>
      </c>
      <c r="D9" s="14" t="s">
        <v>59</v>
      </c>
      <c r="E9" s="15">
        <v>10.71</v>
      </c>
      <c r="F9" s="15">
        <v>10.23</v>
      </c>
      <c r="G9" s="15">
        <f t="shared" si="0"/>
        <v>-4.692082111436954</v>
      </c>
      <c r="H9" s="15">
        <v>29.85</v>
      </c>
      <c r="I9" s="15">
        <v>4.29</v>
      </c>
      <c r="J9" s="15"/>
      <c r="K9" s="15">
        <v>8.81</v>
      </c>
      <c r="L9" s="15"/>
      <c r="M9" s="15">
        <v>5.76</v>
      </c>
      <c r="N9" s="15"/>
      <c r="O9" s="15">
        <v>33.06</v>
      </c>
      <c r="P9" s="15">
        <f t="shared" si="1"/>
        <v>7.7062937062937067</v>
      </c>
      <c r="Q9" s="15">
        <v>9.19</v>
      </c>
      <c r="R9" s="15">
        <v>9.19</v>
      </c>
      <c r="S9" s="85">
        <v>0</v>
      </c>
      <c r="T9" s="16"/>
      <c r="U9" s="16"/>
      <c r="V9" s="16">
        <v>0</v>
      </c>
      <c r="W9" s="15"/>
      <c r="X9" s="15">
        <v>6.66</v>
      </c>
      <c r="Y9" s="15">
        <v>1.78</v>
      </c>
      <c r="Z9" s="15">
        <v>0.19</v>
      </c>
      <c r="AA9" s="2">
        <f t="shared" si="2"/>
        <v>1</v>
      </c>
      <c r="AB9" s="15">
        <v>0</v>
      </c>
      <c r="AC9" s="15">
        <f t="shared" si="13"/>
        <v>0</v>
      </c>
      <c r="AD9" s="15">
        <v>120</v>
      </c>
      <c r="AE9" s="15">
        <v>70</v>
      </c>
      <c r="AF9" s="15">
        <v>72.22</v>
      </c>
      <c r="AG9" s="85">
        <f t="shared" si="3"/>
        <v>3.5</v>
      </c>
      <c r="AH9" s="15">
        <f t="shared" si="4"/>
        <v>6.5</v>
      </c>
      <c r="AI9" s="15">
        <v>11</v>
      </c>
      <c r="AJ9" s="15">
        <f t="shared" si="5"/>
        <v>1</v>
      </c>
      <c r="AK9" s="15">
        <f t="shared" si="6"/>
        <v>10.7</v>
      </c>
      <c r="AL9" s="14" t="str">
        <f t="shared" si="7"/>
        <v>Pos</v>
      </c>
      <c r="AM9" s="64" t="str">
        <f t="shared" si="8"/>
        <v>Manas Polymers and Energies Limited</v>
      </c>
      <c r="AN9" s="16"/>
      <c r="AO9" s="16">
        <f t="shared" si="9"/>
        <v>1</v>
      </c>
      <c r="AP9" s="16">
        <f t="shared" si="10"/>
        <v>0</v>
      </c>
      <c r="AQ9" s="15">
        <v>1</v>
      </c>
      <c r="AR9" s="15">
        <f t="shared" si="11"/>
        <v>0</v>
      </c>
      <c r="AS9" s="15"/>
      <c r="AT9" s="15">
        <f t="shared" si="12"/>
        <v>969.99999999999989</v>
      </c>
      <c r="AU9" s="16">
        <v>1052.6315789473681</v>
      </c>
      <c r="AV9" s="16">
        <v>5263.1578947368416</v>
      </c>
      <c r="AW9" s="14">
        <v>5</v>
      </c>
      <c r="AX9" s="14"/>
      <c r="AY9" s="14">
        <v>81</v>
      </c>
      <c r="AZ9" s="16"/>
      <c r="BA9" s="14">
        <v>154</v>
      </c>
      <c r="BB9" s="15"/>
      <c r="BC9" s="15"/>
      <c r="BD9" s="15"/>
      <c r="BE9" s="15"/>
      <c r="BF9" s="15">
        <v>113</v>
      </c>
      <c r="BG9" s="15">
        <v>39.506172839506171</v>
      </c>
      <c r="BH9" s="15">
        <v>-26.623376623376618</v>
      </c>
    </row>
    <row r="10" spans="1:60">
      <c r="B10" s="13" t="s">
        <v>67</v>
      </c>
      <c r="C10" s="14">
        <v>2025</v>
      </c>
      <c r="D10" s="14" t="s">
        <v>59</v>
      </c>
      <c r="E10" s="15">
        <v>0.22</v>
      </c>
      <c r="F10" s="15">
        <v>22.14</v>
      </c>
      <c r="G10" s="15">
        <f t="shared" si="0"/>
        <v>99.006323396567296</v>
      </c>
      <c r="H10" s="15">
        <v>29.08</v>
      </c>
      <c r="I10" s="15">
        <v>8.4</v>
      </c>
      <c r="J10" s="15"/>
      <c r="K10" s="15">
        <v>11.23</v>
      </c>
      <c r="L10" s="15"/>
      <c r="M10" s="15">
        <v>12.33</v>
      </c>
      <c r="N10" s="15"/>
      <c r="O10" s="15">
        <v>29.79</v>
      </c>
      <c r="P10" s="15">
        <f t="shared" si="1"/>
        <v>3.5464285714285713</v>
      </c>
      <c r="Q10" s="15">
        <v>32.81</v>
      </c>
      <c r="R10" s="15">
        <v>16.850000000000001</v>
      </c>
      <c r="S10" s="85">
        <v>0</v>
      </c>
      <c r="T10" s="16"/>
      <c r="U10" s="16"/>
      <c r="V10" s="16">
        <v>1</v>
      </c>
      <c r="W10" s="15"/>
      <c r="X10" s="15">
        <v>284.17</v>
      </c>
      <c r="Y10" s="15">
        <v>1279.03</v>
      </c>
      <c r="Z10" s="15">
        <v>726.06</v>
      </c>
      <c r="AA10" s="2">
        <f t="shared" si="2"/>
        <v>1</v>
      </c>
      <c r="AB10" s="15">
        <v>108</v>
      </c>
      <c r="AC10" s="15">
        <f t="shared" si="13"/>
        <v>10</v>
      </c>
      <c r="AD10" s="15">
        <v>159.26</v>
      </c>
      <c r="AE10" s="15">
        <v>97.68</v>
      </c>
      <c r="AF10" s="15">
        <v>361.25</v>
      </c>
      <c r="AG10" s="85">
        <f t="shared" si="3"/>
        <v>6.6</v>
      </c>
      <c r="AH10" s="15">
        <f t="shared" si="4"/>
        <v>19.600000000000001</v>
      </c>
      <c r="AI10" s="15">
        <v>11</v>
      </c>
      <c r="AJ10" s="15">
        <f t="shared" si="5"/>
        <v>1</v>
      </c>
      <c r="AK10" s="15">
        <f t="shared" si="6"/>
        <v>27.52</v>
      </c>
      <c r="AL10" s="14" t="str">
        <f t="shared" si="7"/>
        <v>Pos</v>
      </c>
      <c r="AM10" s="64" t="str">
        <f t="shared" si="8"/>
        <v>TechD Cybersecurity Limited</v>
      </c>
      <c r="AN10" s="16"/>
      <c r="AO10" s="16">
        <f t="shared" si="9"/>
        <v>1</v>
      </c>
      <c r="AP10" s="16">
        <f t="shared" si="10"/>
        <v>0</v>
      </c>
      <c r="AQ10" s="15">
        <v>1</v>
      </c>
      <c r="AR10" s="15">
        <f t="shared" si="11"/>
        <v>0</v>
      </c>
      <c r="AS10" s="15"/>
      <c r="AT10" s="15">
        <f t="shared" si="12"/>
        <v>2652</v>
      </c>
      <c r="AU10" s="16">
        <v>0.2754593284301573</v>
      </c>
      <c r="AV10" s="16">
        <v>1.3772966421507871</v>
      </c>
      <c r="AW10" s="14">
        <v>5</v>
      </c>
      <c r="AX10" s="14"/>
      <c r="AY10" s="14">
        <v>193</v>
      </c>
      <c r="AZ10" s="16"/>
      <c r="BA10" s="14">
        <v>366</v>
      </c>
      <c r="BB10" s="15"/>
      <c r="BC10" s="15"/>
      <c r="BD10" s="15"/>
      <c r="BE10" s="15"/>
      <c r="BF10" s="15">
        <v>765</v>
      </c>
      <c r="BG10" s="15">
        <v>296.37305699481863</v>
      </c>
      <c r="BH10" s="15">
        <v>109.016393442623</v>
      </c>
    </row>
    <row r="11" spans="1:60">
      <c r="B11" s="18" t="s">
        <v>68</v>
      </c>
      <c r="C11" s="14">
        <v>2024</v>
      </c>
      <c r="D11" s="14" t="s">
        <v>59</v>
      </c>
      <c r="E11" s="15">
        <v>0.19</v>
      </c>
      <c r="F11" s="15">
        <v>12.04</v>
      </c>
      <c r="G11" s="15">
        <f t="shared" si="0"/>
        <v>98.421926910299007</v>
      </c>
      <c r="H11" s="15">
        <v>17.02</v>
      </c>
      <c r="I11" s="15">
        <v>5.35</v>
      </c>
      <c r="J11" s="15"/>
      <c r="K11" s="15">
        <v>5.18</v>
      </c>
      <c r="L11" s="15"/>
      <c r="M11" s="15">
        <v>7.62</v>
      </c>
      <c r="N11" s="15"/>
      <c r="O11" s="15">
        <v>20.260000000000002</v>
      </c>
      <c r="P11" s="15">
        <f t="shared" si="1"/>
        <v>3.7869158878504678</v>
      </c>
      <c r="Q11" s="15">
        <v>10.44</v>
      </c>
      <c r="R11" s="15">
        <v>10.44</v>
      </c>
      <c r="S11" s="85">
        <v>0</v>
      </c>
      <c r="T11" s="16"/>
      <c r="U11" s="16"/>
      <c r="V11" s="16">
        <v>1</v>
      </c>
      <c r="W11" s="15"/>
      <c r="X11" s="15">
        <v>187.36</v>
      </c>
      <c r="Y11" s="15">
        <v>1020.2</v>
      </c>
      <c r="Z11" s="15">
        <v>544.28</v>
      </c>
      <c r="AA11" s="2">
        <f t="shared" si="2"/>
        <v>1</v>
      </c>
      <c r="AB11" s="15">
        <v>75</v>
      </c>
      <c r="AC11" s="15">
        <f t="shared" si="13"/>
        <v>7.25</v>
      </c>
      <c r="AD11" s="15">
        <v>231.5</v>
      </c>
      <c r="AE11" s="15">
        <v>151.94999999999999</v>
      </c>
      <c r="AF11" s="15">
        <v>317.18</v>
      </c>
      <c r="AG11" s="85">
        <f t="shared" si="3"/>
        <v>6.6</v>
      </c>
      <c r="AH11" s="15">
        <f t="shared" si="4"/>
        <v>16.850000000000001</v>
      </c>
      <c r="AI11" s="15">
        <v>11</v>
      </c>
      <c r="AJ11" s="15">
        <f t="shared" si="5"/>
        <v>1</v>
      </c>
      <c r="AK11" s="15">
        <f t="shared" si="6"/>
        <v>24.77</v>
      </c>
      <c r="AL11" s="14" t="str">
        <f t="shared" si="7"/>
        <v>Pos</v>
      </c>
      <c r="AM11" s="64" t="str">
        <f t="shared" si="8"/>
        <v>Identical Brains Studios</v>
      </c>
      <c r="AN11" s="16"/>
      <c r="AO11" s="16">
        <f t="shared" si="9"/>
        <v>1</v>
      </c>
      <c r="AP11" s="16">
        <f t="shared" si="10"/>
        <v>0</v>
      </c>
      <c r="AQ11" s="15">
        <v>1</v>
      </c>
      <c r="AR11" s="15">
        <f t="shared" si="11"/>
        <v>0</v>
      </c>
      <c r="AS11" s="15"/>
      <c r="AT11" s="15">
        <f t="shared" si="12"/>
        <v>2377</v>
      </c>
      <c r="AU11" s="16">
        <v>0.3674579260674653</v>
      </c>
      <c r="AV11" s="16">
        <v>1.837289630337327</v>
      </c>
      <c r="AW11" s="14">
        <v>5</v>
      </c>
      <c r="AX11" s="14"/>
      <c r="AY11" s="14">
        <v>54</v>
      </c>
      <c r="AZ11" s="16"/>
      <c r="BA11" s="14">
        <v>95</v>
      </c>
      <c r="BB11" s="15"/>
      <c r="BC11" s="15"/>
      <c r="BD11" s="15"/>
      <c r="BE11" s="15"/>
      <c r="BF11" s="15">
        <v>39</v>
      </c>
      <c r="BG11" s="15">
        <v>-27.777777777777779</v>
      </c>
      <c r="BH11" s="15">
        <v>-58.94736842105263</v>
      </c>
    </row>
    <row r="12" spans="1:60">
      <c r="B12" s="17" t="s">
        <v>69</v>
      </c>
      <c r="C12" s="14">
        <v>2024</v>
      </c>
      <c r="D12" s="14" t="s">
        <v>59</v>
      </c>
      <c r="E12" s="15">
        <v>6.43</v>
      </c>
      <c r="F12" s="15">
        <v>12.01</v>
      </c>
      <c r="G12" s="15">
        <f t="shared" si="0"/>
        <v>46.461282264779349</v>
      </c>
      <c r="H12" s="14">
        <v>24.6</v>
      </c>
      <c r="I12" s="15">
        <v>3.17</v>
      </c>
      <c r="J12" s="15"/>
      <c r="K12" s="15">
        <v>4.1399999999999997</v>
      </c>
      <c r="L12" s="15"/>
      <c r="M12" s="15">
        <v>3.42</v>
      </c>
      <c r="N12" s="15"/>
      <c r="O12" s="15">
        <v>36.33</v>
      </c>
      <c r="P12" s="15">
        <f t="shared" si="1"/>
        <v>11.460567823343847</v>
      </c>
      <c r="Q12" s="15">
        <v>8.4499999999999993</v>
      </c>
      <c r="R12" s="15">
        <v>8.4499999999999993</v>
      </c>
      <c r="S12" s="85">
        <v>0</v>
      </c>
      <c r="T12" s="16"/>
      <c r="U12" s="16"/>
      <c r="V12" s="16">
        <v>1</v>
      </c>
      <c r="W12" s="15"/>
      <c r="X12" s="15">
        <v>236.39</v>
      </c>
      <c r="Y12" s="15">
        <v>4084.36</v>
      </c>
      <c r="Z12" s="15">
        <v>2503.6799999999998</v>
      </c>
      <c r="AA12" s="2">
        <f t="shared" si="2"/>
        <v>1</v>
      </c>
      <c r="AB12" s="15">
        <v>90</v>
      </c>
      <c r="AC12" s="15">
        <f t="shared" si="13"/>
        <v>8.5</v>
      </c>
      <c r="AD12" s="15">
        <v>466</v>
      </c>
      <c r="AE12" s="15">
        <v>209</v>
      </c>
      <c r="AF12" s="15">
        <v>73</v>
      </c>
      <c r="AG12" s="85">
        <f t="shared" si="3"/>
        <v>6.4</v>
      </c>
      <c r="AH12" s="15">
        <f t="shared" si="4"/>
        <v>17.899999999999999</v>
      </c>
      <c r="AI12" s="15">
        <v>11</v>
      </c>
      <c r="AJ12" s="15">
        <f t="shared" si="5"/>
        <v>1</v>
      </c>
      <c r="AK12" s="15">
        <f t="shared" si="6"/>
        <v>25.58</v>
      </c>
      <c r="AL12" s="14" t="str">
        <f t="shared" si="7"/>
        <v>Pos</v>
      </c>
      <c r="AM12" s="64" t="str">
        <f t="shared" si="8"/>
        <v>NACDAC Infrastructure</v>
      </c>
      <c r="AN12" s="16"/>
      <c r="AO12" s="16">
        <f t="shared" si="9"/>
        <v>1</v>
      </c>
      <c r="AP12" s="16">
        <f t="shared" si="10"/>
        <v>0</v>
      </c>
      <c r="AQ12" s="15">
        <v>1</v>
      </c>
      <c r="AR12" s="15">
        <f t="shared" si="11"/>
        <v>0</v>
      </c>
      <c r="AS12" s="15"/>
      <c r="AT12" s="15">
        <f t="shared" si="12"/>
        <v>2458</v>
      </c>
      <c r="AU12" s="16">
        <v>7.9882413087934562E-2</v>
      </c>
      <c r="AV12" s="16">
        <v>0.39941206543967278</v>
      </c>
      <c r="AW12" s="14">
        <v>5</v>
      </c>
      <c r="AX12" s="14"/>
      <c r="AY12" s="68">
        <v>35</v>
      </c>
      <c r="AZ12" s="16"/>
      <c r="BA12" s="68">
        <v>67</v>
      </c>
      <c r="BB12" s="15"/>
      <c r="BC12" s="15"/>
      <c r="BD12" s="15"/>
      <c r="BE12" s="15"/>
      <c r="BF12" s="15">
        <v>36</v>
      </c>
      <c r="BG12" s="15">
        <v>2.8571428571428572</v>
      </c>
      <c r="BH12" s="15">
        <v>-46.268656716417908</v>
      </c>
    </row>
    <row r="13" spans="1:60">
      <c r="B13" s="17" t="s">
        <v>70</v>
      </c>
      <c r="C13" s="14">
        <v>2024</v>
      </c>
      <c r="D13" s="14" t="s">
        <v>59</v>
      </c>
      <c r="E13" s="15">
        <v>1.05</v>
      </c>
      <c r="F13" s="15">
        <v>3.37</v>
      </c>
      <c r="G13" s="15">
        <f t="shared" si="0"/>
        <v>68.842729970326417</v>
      </c>
      <c r="H13" s="14">
        <v>5.15</v>
      </c>
      <c r="I13" s="15">
        <v>0.5</v>
      </c>
      <c r="J13" s="15"/>
      <c r="K13" s="15">
        <v>1.76</v>
      </c>
      <c r="L13" s="15"/>
      <c r="M13" s="15">
        <v>1.18</v>
      </c>
      <c r="N13" s="15"/>
      <c r="O13" s="15">
        <v>6.47</v>
      </c>
      <c r="P13" s="15">
        <f t="shared" si="1"/>
        <v>12.94</v>
      </c>
      <c r="Q13" s="15">
        <v>29</v>
      </c>
      <c r="R13" s="15">
        <v>29</v>
      </c>
      <c r="S13" s="85">
        <v>0</v>
      </c>
      <c r="T13" s="16"/>
      <c r="U13" s="16"/>
      <c r="V13" s="16">
        <v>0</v>
      </c>
      <c r="W13" s="15"/>
      <c r="X13" s="15">
        <v>0</v>
      </c>
      <c r="Y13" s="15">
        <v>758</v>
      </c>
      <c r="Z13" s="15">
        <v>1342</v>
      </c>
      <c r="AA13" s="2">
        <f t="shared" si="2"/>
        <v>-1.7</v>
      </c>
      <c r="AB13" s="15">
        <v>117</v>
      </c>
      <c r="AC13" s="15">
        <f t="shared" si="13"/>
        <v>10.75</v>
      </c>
      <c r="AD13" s="15">
        <v>39</v>
      </c>
      <c r="AE13" s="15">
        <v>16</v>
      </c>
      <c r="AF13" s="15">
        <v>148</v>
      </c>
      <c r="AG13" s="85">
        <f t="shared" si="3"/>
        <v>5.6</v>
      </c>
      <c r="AH13" s="15">
        <f t="shared" si="4"/>
        <v>15.650000000000002</v>
      </c>
      <c r="AI13" s="15">
        <v>11</v>
      </c>
      <c r="AJ13" s="15">
        <f t="shared" si="5"/>
        <v>1</v>
      </c>
      <c r="AK13" s="15">
        <f t="shared" si="6"/>
        <v>22.37</v>
      </c>
      <c r="AL13" s="14" t="str">
        <f t="shared" si="7"/>
        <v>Pos</v>
      </c>
      <c r="AM13" s="64" t="str">
        <f t="shared" si="8"/>
        <v>Hamps Bio</v>
      </c>
      <c r="AN13" s="16"/>
      <c r="AO13" s="16">
        <f t="shared" si="9"/>
        <v>1</v>
      </c>
      <c r="AP13" s="16">
        <f t="shared" si="10"/>
        <v>0</v>
      </c>
      <c r="AQ13" s="15">
        <v>1</v>
      </c>
      <c r="AR13" s="15">
        <f t="shared" si="11"/>
        <v>0</v>
      </c>
      <c r="AS13" s="15"/>
      <c r="AT13" s="15">
        <f t="shared" si="12"/>
        <v>2137</v>
      </c>
      <c r="AU13" s="16">
        <v>0.1490312965722802</v>
      </c>
      <c r="AV13" s="16">
        <v>0.7451564828614009</v>
      </c>
      <c r="AW13" s="14">
        <v>5</v>
      </c>
      <c r="AX13" s="14"/>
      <c r="AY13" s="14">
        <v>51</v>
      </c>
      <c r="AZ13" s="16"/>
      <c r="BA13" s="14">
        <v>97</v>
      </c>
      <c r="BB13" s="15">
        <v>50.82</v>
      </c>
      <c r="BC13" s="15">
        <v>53.44</v>
      </c>
      <c r="BD13" s="15">
        <v>50.71</v>
      </c>
      <c r="BE13" s="15">
        <v>50.9</v>
      </c>
      <c r="BF13" s="15">
        <v>26</v>
      </c>
      <c r="BG13" s="15">
        <v>-49.019607843137258</v>
      </c>
      <c r="BH13" s="15">
        <v>-73.19587628865979</v>
      </c>
    </row>
    <row r="14" spans="1:60">
      <c r="B14" s="17" t="s">
        <v>71</v>
      </c>
      <c r="C14" s="14">
        <v>2024</v>
      </c>
      <c r="D14" s="14" t="s">
        <v>59</v>
      </c>
      <c r="E14" s="15">
        <v>7.08</v>
      </c>
      <c r="F14" s="15">
        <v>42.13</v>
      </c>
      <c r="G14" s="15">
        <f t="shared" si="0"/>
        <v>83.19487301210539</v>
      </c>
      <c r="H14" s="14">
        <v>70.39</v>
      </c>
      <c r="I14" s="15">
        <v>12.06</v>
      </c>
      <c r="J14" s="15"/>
      <c r="K14" s="15">
        <v>5.45</v>
      </c>
      <c r="L14" s="15"/>
      <c r="M14" s="15">
        <v>20.149999999999999</v>
      </c>
      <c r="N14" s="15"/>
      <c r="O14" s="15">
        <v>108.48</v>
      </c>
      <c r="P14" s="15">
        <f t="shared" si="1"/>
        <v>8.9950248756218905</v>
      </c>
      <c r="Q14" s="15">
        <v>26.79</v>
      </c>
      <c r="R14" s="15">
        <v>26.79</v>
      </c>
      <c r="S14" s="85">
        <v>0</v>
      </c>
      <c r="T14" s="16"/>
      <c r="U14" s="16"/>
      <c r="V14" s="16">
        <v>1</v>
      </c>
      <c r="W14" s="15"/>
      <c r="X14" s="15">
        <v>123.7</v>
      </c>
      <c r="Y14" s="15">
        <v>330.03</v>
      </c>
      <c r="Z14" s="15">
        <v>151.52000000000001</v>
      </c>
      <c r="AA14" s="2">
        <f t="shared" si="2"/>
        <v>1</v>
      </c>
      <c r="AB14" s="15">
        <v>104</v>
      </c>
      <c r="AC14" s="15">
        <f t="shared" si="13"/>
        <v>9.6666666666666661</v>
      </c>
      <c r="AD14" s="15">
        <v>5.61</v>
      </c>
      <c r="AE14" s="15">
        <v>20.07</v>
      </c>
      <c r="AF14" s="15">
        <v>31.37</v>
      </c>
      <c r="AG14" s="85">
        <f t="shared" si="3"/>
        <v>6.6</v>
      </c>
      <c r="AH14" s="15">
        <f t="shared" si="4"/>
        <v>19.266666666666666</v>
      </c>
      <c r="AI14" s="15">
        <v>11</v>
      </c>
      <c r="AJ14" s="15">
        <f t="shared" si="5"/>
        <v>1</v>
      </c>
      <c r="AK14" s="15">
        <f t="shared" si="6"/>
        <v>27.186666666666664</v>
      </c>
      <c r="AL14" s="14" t="str">
        <f t="shared" si="7"/>
        <v>Pos</v>
      </c>
      <c r="AM14" s="64" t="str">
        <f t="shared" si="8"/>
        <v>Yash Highvoltage</v>
      </c>
      <c r="AN14" s="16"/>
      <c r="AO14" s="16">
        <f t="shared" si="9"/>
        <v>1</v>
      </c>
      <c r="AP14" s="16">
        <f t="shared" si="10"/>
        <v>0</v>
      </c>
      <c r="AQ14" s="15">
        <v>1</v>
      </c>
      <c r="AR14" s="15">
        <f t="shared" si="11"/>
        <v>0</v>
      </c>
      <c r="AS14" s="15"/>
      <c r="AT14" s="15">
        <f t="shared" si="12"/>
        <v>2618.6666666666665</v>
      </c>
      <c r="AU14" s="16">
        <v>1.3199577613516369</v>
      </c>
      <c r="AV14" s="16">
        <v>6.5997888067581831</v>
      </c>
      <c r="AW14" s="14">
        <v>5</v>
      </c>
      <c r="AX14" s="14"/>
      <c r="AY14" s="14">
        <v>146</v>
      </c>
      <c r="AZ14" s="16"/>
      <c r="BA14" s="14">
        <v>277</v>
      </c>
      <c r="BB14" s="15"/>
      <c r="BC14" s="15"/>
      <c r="BD14" s="15"/>
      <c r="BE14" s="15"/>
      <c r="BF14" s="15">
        <v>509</v>
      </c>
      <c r="BG14" s="15">
        <v>248.63013698630141</v>
      </c>
      <c r="BH14" s="15">
        <v>83.754512635379058</v>
      </c>
    </row>
    <row r="15" spans="1:60">
      <c r="B15" s="17" t="s">
        <v>72</v>
      </c>
      <c r="C15" s="14">
        <v>2024</v>
      </c>
      <c r="D15" s="14" t="s">
        <v>59</v>
      </c>
      <c r="E15" s="15">
        <v>25.62</v>
      </c>
      <c r="F15" s="15">
        <v>17.329999999999998</v>
      </c>
      <c r="G15" s="15">
        <f t="shared" si="0"/>
        <v>-47.83612233121756</v>
      </c>
      <c r="H15" s="14">
        <v>49.13</v>
      </c>
      <c r="I15" s="15">
        <v>4.8099999999999996</v>
      </c>
      <c r="J15" s="15"/>
      <c r="K15" s="15">
        <v>6.87</v>
      </c>
      <c r="L15" s="15"/>
      <c r="M15" s="15">
        <v>9.8699999999999992</v>
      </c>
      <c r="N15" s="15"/>
      <c r="O15" s="15">
        <v>42.77</v>
      </c>
      <c r="P15" s="15">
        <f t="shared" si="1"/>
        <v>8.891891891891893</v>
      </c>
      <c r="Q15" s="15">
        <v>18.39</v>
      </c>
      <c r="R15" s="15">
        <v>18.39</v>
      </c>
      <c r="S15" s="85">
        <v>0</v>
      </c>
      <c r="T15" s="16"/>
      <c r="U15" s="16"/>
      <c r="V15" s="16">
        <v>1</v>
      </c>
      <c r="W15" s="15"/>
      <c r="X15" s="15">
        <v>86.3</v>
      </c>
      <c r="Y15" s="15">
        <v>269.7</v>
      </c>
      <c r="Z15" s="15">
        <v>155.29</v>
      </c>
      <c r="AA15" s="2">
        <f t="shared" si="2"/>
        <v>1</v>
      </c>
      <c r="AB15" s="15">
        <v>63</v>
      </c>
      <c r="AC15" s="15">
        <f t="shared" si="13"/>
        <v>6.25</v>
      </c>
      <c r="AD15" s="15">
        <v>223</v>
      </c>
      <c r="AE15" s="15">
        <v>66</v>
      </c>
      <c r="AF15" s="15">
        <v>67</v>
      </c>
      <c r="AG15" s="85">
        <f t="shared" si="3"/>
        <v>4.5</v>
      </c>
      <c r="AH15" s="15">
        <f t="shared" si="4"/>
        <v>13.75</v>
      </c>
      <c r="AI15" s="15">
        <v>11</v>
      </c>
      <c r="AJ15" s="15">
        <f t="shared" si="5"/>
        <v>1</v>
      </c>
      <c r="AK15" s="15">
        <f t="shared" si="6"/>
        <v>19.149999999999999</v>
      </c>
      <c r="AL15" s="14" t="str">
        <f t="shared" si="7"/>
        <v>Pos</v>
      </c>
      <c r="AM15" s="64" t="str">
        <f t="shared" si="8"/>
        <v>Purple United Sales</v>
      </c>
      <c r="AN15" s="16"/>
      <c r="AO15" s="16">
        <f t="shared" si="9"/>
        <v>1</v>
      </c>
      <c r="AP15" s="16">
        <f t="shared" si="10"/>
        <v>0</v>
      </c>
      <c r="AQ15" s="15">
        <v>1</v>
      </c>
      <c r="AR15" s="15">
        <f t="shared" si="11"/>
        <v>0</v>
      </c>
      <c r="AS15" s="15"/>
      <c r="AT15" s="15">
        <f t="shared" si="12"/>
        <v>1814.9999999999998</v>
      </c>
      <c r="AU15" s="16">
        <v>1.287912937085453</v>
      </c>
      <c r="AV15" s="16">
        <v>6.4395646854272659</v>
      </c>
      <c r="AW15" s="14">
        <v>5</v>
      </c>
      <c r="AX15" s="14"/>
      <c r="AY15" s="14">
        <v>126</v>
      </c>
      <c r="AZ15" s="16"/>
      <c r="BA15" s="14">
        <v>199</v>
      </c>
      <c r="BB15" s="15">
        <v>208</v>
      </c>
      <c r="BC15" s="15">
        <v>220</v>
      </c>
      <c r="BD15" s="15">
        <v>230</v>
      </c>
      <c r="BE15" s="15">
        <v>588</v>
      </c>
      <c r="BF15" s="15">
        <v>576</v>
      </c>
      <c r="BG15" s="15">
        <v>357.14285714285722</v>
      </c>
      <c r="BH15" s="15">
        <v>189.4472361809045</v>
      </c>
    </row>
    <row r="16" spans="1:60">
      <c r="B16" s="17" t="s">
        <v>73</v>
      </c>
      <c r="C16" s="14">
        <v>2024</v>
      </c>
      <c r="D16" s="14" t="s">
        <v>59</v>
      </c>
      <c r="E16" s="15">
        <v>0</v>
      </c>
      <c r="F16" s="15">
        <v>4.99</v>
      </c>
      <c r="G16" s="15">
        <f t="shared" si="0"/>
        <v>100</v>
      </c>
      <c r="H16" s="14">
        <v>5.15</v>
      </c>
      <c r="I16" s="15">
        <v>1.1000000000000001</v>
      </c>
      <c r="J16" s="15"/>
      <c r="K16" s="15">
        <v>7.93</v>
      </c>
      <c r="L16" s="15"/>
      <c r="M16" s="15">
        <v>1.48</v>
      </c>
      <c r="N16" s="15"/>
      <c r="O16" s="15">
        <v>4.96</v>
      </c>
      <c r="P16" s="15">
        <f t="shared" si="1"/>
        <v>4.5090909090909088</v>
      </c>
      <c r="Q16" s="15">
        <v>22.95</v>
      </c>
      <c r="R16" s="15">
        <v>22.95</v>
      </c>
      <c r="S16" s="85">
        <v>0</v>
      </c>
      <c r="T16" s="16"/>
      <c r="U16" s="16"/>
      <c r="V16" s="16">
        <v>1</v>
      </c>
      <c r="W16" s="15"/>
      <c r="X16" s="15">
        <v>147.69</v>
      </c>
      <c r="Y16" s="15">
        <v>964.18</v>
      </c>
      <c r="Z16" s="15">
        <v>1550.76</v>
      </c>
      <c r="AA16" s="2">
        <f t="shared" si="2"/>
        <v>-0.7</v>
      </c>
      <c r="AB16" s="15">
        <v>117</v>
      </c>
      <c r="AC16" s="15">
        <f t="shared" si="13"/>
        <v>10.75</v>
      </c>
      <c r="AD16" s="15">
        <v>-38.200000000000003</v>
      </c>
      <c r="AE16" s="15">
        <v>2.69</v>
      </c>
      <c r="AF16" s="15">
        <v>11.88</v>
      </c>
      <c r="AG16" s="85">
        <f t="shared" si="3"/>
        <v>4.5999999999999996</v>
      </c>
      <c r="AH16" s="15">
        <f t="shared" si="4"/>
        <v>16.650000000000002</v>
      </c>
      <c r="AI16" s="15">
        <v>11</v>
      </c>
      <c r="AJ16" s="15">
        <f t="shared" si="5"/>
        <v>1</v>
      </c>
      <c r="AK16" s="15">
        <f t="shared" si="6"/>
        <v>22.17</v>
      </c>
      <c r="AL16" s="14" t="str">
        <f t="shared" si="7"/>
        <v>Pos</v>
      </c>
      <c r="AM16" s="64" t="str">
        <f t="shared" si="8"/>
        <v>Toss The Coin</v>
      </c>
      <c r="AN16" s="16"/>
      <c r="AO16" s="16">
        <f t="shared" si="9"/>
        <v>1</v>
      </c>
      <c r="AP16" s="16">
        <f t="shared" si="10"/>
        <v>0</v>
      </c>
      <c r="AQ16" s="15">
        <v>1</v>
      </c>
      <c r="AR16" s="15">
        <f t="shared" si="11"/>
        <v>0</v>
      </c>
      <c r="AS16" s="15"/>
      <c r="AT16" s="15">
        <f t="shared" si="12"/>
        <v>2117</v>
      </c>
      <c r="AU16" s="16">
        <v>0.1289690216410018</v>
      </c>
      <c r="AV16" s="16">
        <v>0.64484510820500907</v>
      </c>
      <c r="AW16" s="14">
        <v>5</v>
      </c>
      <c r="AX16" s="14"/>
      <c r="AY16" s="14">
        <v>182</v>
      </c>
      <c r="AZ16" s="16"/>
      <c r="BA16" s="14">
        <v>346</v>
      </c>
      <c r="BB16" s="15"/>
      <c r="BC16" s="15"/>
      <c r="BD16" s="15"/>
      <c r="BE16" s="15"/>
      <c r="BF16" s="15">
        <v>308</v>
      </c>
      <c r="BG16" s="15">
        <v>69.230769230769226</v>
      </c>
      <c r="BH16" s="15">
        <v>-10.98265895953757</v>
      </c>
    </row>
    <row r="17" spans="2:110">
      <c r="B17" s="17" t="s">
        <v>74</v>
      </c>
      <c r="C17" s="14">
        <v>2024</v>
      </c>
      <c r="D17" s="14" t="s">
        <v>59</v>
      </c>
      <c r="E17" s="15">
        <v>0.42</v>
      </c>
      <c r="F17" s="15">
        <v>14.74</v>
      </c>
      <c r="G17" s="15">
        <f t="shared" si="0"/>
        <v>97.150610583446408</v>
      </c>
      <c r="H17" s="14">
        <v>25.56</v>
      </c>
      <c r="I17" s="15">
        <v>6.63</v>
      </c>
      <c r="J17" s="15"/>
      <c r="K17" s="15">
        <v>7.25</v>
      </c>
      <c r="L17" s="15"/>
      <c r="M17" s="15">
        <v>9.0399999999999991</v>
      </c>
      <c r="N17" s="15"/>
      <c r="O17" s="15">
        <v>53.08</v>
      </c>
      <c r="P17" s="15">
        <f t="shared" si="1"/>
        <v>8.0060331825037707</v>
      </c>
      <c r="Q17" s="15">
        <v>10.07</v>
      </c>
      <c r="R17" s="15">
        <v>10.07</v>
      </c>
      <c r="S17" s="85">
        <v>0</v>
      </c>
      <c r="T17" s="16"/>
      <c r="U17" s="16"/>
      <c r="V17" s="16">
        <v>1</v>
      </c>
      <c r="W17" s="15"/>
      <c r="X17" s="15">
        <v>136.69</v>
      </c>
      <c r="Y17" s="15">
        <v>1179.6199999999999</v>
      </c>
      <c r="Z17" s="15">
        <v>329.65</v>
      </c>
      <c r="AA17" s="2">
        <f t="shared" si="2"/>
        <v>1</v>
      </c>
      <c r="AB17" s="15">
        <v>61</v>
      </c>
      <c r="AC17" s="15">
        <f t="shared" si="13"/>
        <v>6.083333333333333</v>
      </c>
      <c r="AD17" s="15">
        <v>88</v>
      </c>
      <c r="AE17" s="15">
        <v>53</v>
      </c>
      <c r="AF17" s="15">
        <v>104</v>
      </c>
      <c r="AG17" s="85">
        <f t="shared" si="3"/>
        <v>6.6</v>
      </c>
      <c r="AH17" s="15">
        <f t="shared" si="4"/>
        <v>15.683333333333334</v>
      </c>
      <c r="AI17" s="15">
        <v>11</v>
      </c>
      <c r="AJ17" s="15">
        <f t="shared" si="5"/>
        <v>1</v>
      </c>
      <c r="AK17" s="15">
        <f t="shared" si="6"/>
        <v>23.603333333333332</v>
      </c>
      <c r="AL17" s="14" t="str">
        <f t="shared" si="7"/>
        <v>Pos</v>
      </c>
      <c r="AM17" s="64" t="str">
        <f t="shared" si="8"/>
        <v>Ape Ecotech</v>
      </c>
      <c r="AN17" s="16"/>
      <c r="AO17" s="16">
        <f t="shared" si="9"/>
        <v>1</v>
      </c>
      <c r="AP17" s="16">
        <f t="shared" si="10"/>
        <v>0</v>
      </c>
      <c r="AQ17" s="15">
        <v>1</v>
      </c>
      <c r="AR17" s="15">
        <f t="shared" si="11"/>
        <v>0</v>
      </c>
      <c r="AS17" s="15"/>
      <c r="AT17" s="15">
        <f t="shared" si="12"/>
        <v>2260.333333333333</v>
      </c>
      <c r="AU17" s="16">
        <v>0.60670408008493859</v>
      </c>
      <c r="AV17" s="16">
        <v>3.0335204004246932</v>
      </c>
      <c r="AW17" s="14">
        <v>5</v>
      </c>
      <c r="AX17" s="14"/>
      <c r="AY17" s="14">
        <v>73</v>
      </c>
      <c r="AZ17" s="16"/>
      <c r="BA17" s="14">
        <v>139</v>
      </c>
      <c r="BB17" s="15"/>
      <c r="BC17" s="15"/>
      <c r="BD17" s="15"/>
      <c r="BE17" s="15"/>
      <c r="BF17" s="15">
        <v>124</v>
      </c>
      <c r="BG17" s="15">
        <v>69.863013698630141</v>
      </c>
      <c r="BH17" s="15">
        <v>-10.791366906474821</v>
      </c>
    </row>
    <row r="18" spans="2:110">
      <c r="B18" s="17" t="s">
        <v>75</v>
      </c>
      <c r="C18" s="14">
        <v>2024</v>
      </c>
      <c r="D18" s="14" t="s">
        <v>59</v>
      </c>
      <c r="E18" s="15">
        <v>29</v>
      </c>
      <c r="F18" s="15">
        <v>31.73</v>
      </c>
      <c r="G18" s="15">
        <f t="shared" si="0"/>
        <v>8.6038449416955576</v>
      </c>
      <c r="H18" s="14">
        <v>82.46</v>
      </c>
      <c r="I18" s="15">
        <v>14.95</v>
      </c>
      <c r="J18" s="15"/>
      <c r="K18" s="15">
        <v>21.75</v>
      </c>
      <c r="L18" s="15"/>
      <c r="M18" s="15">
        <v>23.27</v>
      </c>
      <c r="N18" s="15"/>
      <c r="O18" s="15">
        <v>148.13</v>
      </c>
      <c r="P18" s="15">
        <f t="shared" si="1"/>
        <v>9.9083612040133779</v>
      </c>
      <c r="Q18" s="15">
        <v>8.2799999999999994</v>
      </c>
      <c r="R18" s="15">
        <v>8.2799999999999994</v>
      </c>
      <c r="S18" s="85">
        <v>0</v>
      </c>
      <c r="T18" s="16"/>
      <c r="U18" s="16"/>
      <c r="V18" s="16">
        <v>1</v>
      </c>
      <c r="W18" s="15"/>
      <c r="X18" s="15">
        <v>212.18</v>
      </c>
      <c r="Y18" s="15">
        <v>1117.75</v>
      </c>
      <c r="Z18" s="15">
        <v>590.26</v>
      </c>
      <c r="AA18" s="2">
        <f t="shared" si="2"/>
        <v>1</v>
      </c>
      <c r="AB18" s="15">
        <v>94</v>
      </c>
      <c r="AC18" s="15">
        <f t="shared" si="13"/>
        <v>8.8333333333333321</v>
      </c>
      <c r="AD18" s="15">
        <v>452</v>
      </c>
      <c r="AE18" s="15">
        <v>181</v>
      </c>
      <c r="AF18" s="15">
        <v>381</v>
      </c>
      <c r="AG18" s="85">
        <f t="shared" si="3"/>
        <v>5.7</v>
      </c>
      <c r="AH18" s="15">
        <f t="shared" si="4"/>
        <v>17.533333333333331</v>
      </c>
      <c r="AI18" s="15">
        <v>11</v>
      </c>
      <c r="AJ18" s="15">
        <f t="shared" si="5"/>
        <v>1</v>
      </c>
      <c r="AK18" s="15">
        <f t="shared" si="6"/>
        <v>24.373333333333331</v>
      </c>
      <c r="AL18" s="14" t="str">
        <f t="shared" si="7"/>
        <v>Pos</v>
      </c>
      <c r="AM18" s="64" t="str">
        <f t="shared" si="8"/>
        <v>Lakshya Powertech</v>
      </c>
      <c r="AN18" s="16"/>
      <c r="AO18" s="16">
        <f t="shared" si="9"/>
        <v>1</v>
      </c>
      <c r="AP18" s="16">
        <f t="shared" si="10"/>
        <v>0</v>
      </c>
      <c r="AQ18" s="15">
        <v>1</v>
      </c>
      <c r="AR18" s="15">
        <f t="shared" si="11"/>
        <v>0</v>
      </c>
      <c r="AS18" s="15"/>
      <c r="AT18" s="15">
        <f t="shared" si="12"/>
        <v>2337.333333333333</v>
      </c>
      <c r="AU18" s="16">
        <v>0.33883373428658559</v>
      </c>
      <c r="AV18" s="16">
        <v>1.694168671432928</v>
      </c>
      <c r="AW18" s="14">
        <v>5</v>
      </c>
      <c r="AX18" s="14"/>
      <c r="AY18" s="14">
        <v>180</v>
      </c>
      <c r="AZ18" s="16"/>
      <c r="BA18" s="14">
        <v>342</v>
      </c>
      <c r="BB18" s="15">
        <v>358</v>
      </c>
      <c r="BC18" s="15">
        <v>340</v>
      </c>
      <c r="BD18" s="15">
        <v>322</v>
      </c>
      <c r="BE18" s="15"/>
      <c r="BF18" s="15">
        <v>129</v>
      </c>
      <c r="BG18" s="15">
        <v>-28.333333333333329</v>
      </c>
      <c r="BH18" s="15">
        <v>-62.280701754385973</v>
      </c>
    </row>
    <row r="19" spans="2:110">
      <c r="B19" s="17" t="s">
        <v>76</v>
      </c>
      <c r="C19" s="14">
        <v>2024</v>
      </c>
      <c r="D19" s="14" t="s">
        <v>59</v>
      </c>
      <c r="E19" s="15">
        <v>6.89</v>
      </c>
      <c r="F19" s="15">
        <v>16.04</v>
      </c>
      <c r="G19" s="15">
        <f t="shared" si="0"/>
        <v>57.044887780548628</v>
      </c>
      <c r="H19" s="14">
        <v>37.28</v>
      </c>
      <c r="I19" s="15">
        <v>4.82</v>
      </c>
      <c r="J19" s="15"/>
      <c r="K19" s="15">
        <v>4.1399999999999997</v>
      </c>
      <c r="L19" s="15"/>
      <c r="M19" s="15">
        <v>9.09</v>
      </c>
      <c r="N19" s="15"/>
      <c r="O19" s="15">
        <v>39.08</v>
      </c>
      <c r="P19" s="15">
        <f t="shared" si="1"/>
        <v>8.1078838174273855</v>
      </c>
      <c r="Q19" s="15">
        <v>19.8</v>
      </c>
      <c r="R19" s="15">
        <v>19.8</v>
      </c>
      <c r="S19" s="85">
        <v>0</v>
      </c>
      <c r="T19" s="16"/>
      <c r="U19" s="16"/>
      <c r="V19" s="16">
        <v>1</v>
      </c>
      <c r="W19" s="15"/>
      <c r="X19" s="15">
        <v>31.22</v>
      </c>
      <c r="Y19" s="15">
        <v>128.88</v>
      </c>
      <c r="Z19" s="15">
        <v>66.52</v>
      </c>
      <c r="AA19" s="2">
        <f t="shared" si="2"/>
        <v>0</v>
      </c>
      <c r="AB19" s="15">
        <v>21.9</v>
      </c>
      <c r="AC19" s="15">
        <f t="shared" si="13"/>
        <v>2.8250000000000002</v>
      </c>
      <c r="AD19" s="15">
        <v>269</v>
      </c>
      <c r="AE19" s="15">
        <v>47</v>
      </c>
      <c r="AF19" s="15">
        <v>1760</v>
      </c>
      <c r="AG19" s="85">
        <f t="shared" si="3"/>
        <v>6.6</v>
      </c>
      <c r="AH19" s="15">
        <f t="shared" si="4"/>
        <v>11.425000000000001</v>
      </c>
      <c r="AI19" s="15">
        <v>11</v>
      </c>
      <c r="AJ19" s="15">
        <f t="shared" si="5"/>
        <v>1</v>
      </c>
      <c r="AK19" s="15">
        <f t="shared" si="6"/>
        <v>19.344999999999999</v>
      </c>
      <c r="AL19" s="14" t="str">
        <f t="shared" si="7"/>
        <v>Pos</v>
      </c>
      <c r="AM19" s="64" t="str">
        <f t="shared" si="8"/>
        <v>TechEra Engineering</v>
      </c>
      <c r="AN19" s="16"/>
      <c r="AO19" s="16">
        <f t="shared" si="9"/>
        <v>1</v>
      </c>
      <c r="AP19" s="16">
        <f t="shared" si="10"/>
        <v>1</v>
      </c>
      <c r="AQ19" s="15">
        <v>1</v>
      </c>
      <c r="AR19" s="15">
        <f t="shared" si="11"/>
        <v>0.3292242934455803</v>
      </c>
      <c r="AS19" s="15"/>
      <c r="AT19" s="15">
        <f t="shared" si="12"/>
        <v>1834.5</v>
      </c>
      <c r="AU19" s="16">
        <v>3.0066145520144318</v>
      </c>
      <c r="AV19" s="16">
        <v>15.033072760072161</v>
      </c>
      <c r="AW19" s="14">
        <v>5</v>
      </c>
      <c r="AX19" s="14"/>
      <c r="AY19" s="14">
        <v>82</v>
      </c>
      <c r="AZ19" s="16"/>
      <c r="BA19" s="14">
        <v>125</v>
      </c>
      <c r="BB19" s="15"/>
      <c r="BC19" s="15"/>
      <c r="BD19" s="15"/>
      <c r="BE19" s="15"/>
      <c r="BF19" s="15">
        <v>295</v>
      </c>
      <c r="BG19" s="15">
        <v>259.7560975609756</v>
      </c>
      <c r="BH19" s="15">
        <v>136</v>
      </c>
    </row>
    <row r="20" spans="2:110">
      <c r="B20" s="18" t="s">
        <v>77</v>
      </c>
      <c r="C20" s="14">
        <v>2023</v>
      </c>
      <c r="D20" s="14" t="s">
        <v>59</v>
      </c>
      <c r="E20" s="14">
        <v>22.99</v>
      </c>
      <c r="F20" s="14">
        <v>16.54</v>
      </c>
      <c r="G20" s="15">
        <f t="shared" si="0"/>
        <v>-38.996372430471581</v>
      </c>
      <c r="H20" s="14">
        <v>49.81</v>
      </c>
      <c r="I20" s="14">
        <v>5.55</v>
      </c>
      <c r="J20" s="14"/>
      <c r="K20" s="14">
        <v>4.72</v>
      </c>
      <c r="L20" s="14"/>
      <c r="M20" s="14">
        <v>10.07</v>
      </c>
      <c r="N20" s="14"/>
      <c r="O20" s="14">
        <v>67.349999999999994</v>
      </c>
      <c r="P20" s="15">
        <f t="shared" si="1"/>
        <v>12.135135135135135</v>
      </c>
      <c r="Q20" s="14">
        <v>13.62</v>
      </c>
      <c r="R20" s="15">
        <v>13.62</v>
      </c>
      <c r="S20" s="85">
        <v>0</v>
      </c>
      <c r="T20" s="16"/>
      <c r="U20" s="16"/>
      <c r="V20" s="16">
        <v>1</v>
      </c>
      <c r="W20" s="14"/>
      <c r="X20" s="14">
        <v>117.91</v>
      </c>
      <c r="Y20" s="14">
        <v>854.37</v>
      </c>
      <c r="Z20" s="14">
        <v>1059.43</v>
      </c>
      <c r="AA20" s="2">
        <f t="shared" si="2"/>
        <v>-0.7</v>
      </c>
      <c r="AB20" s="15">
        <v>114.5</v>
      </c>
      <c r="AC20" s="15">
        <f t="shared" si="13"/>
        <v>10.541666666666666</v>
      </c>
      <c r="AD20" s="14">
        <v>767</v>
      </c>
      <c r="AE20" s="14">
        <v>126</v>
      </c>
      <c r="AF20" s="14">
        <v>19.5</v>
      </c>
      <c r="AG20" s="85">
        <f t="shared" si="3"/>
        <v>4.5</v>
      </c>
      <c r="AH20" s="15">
        <f t="shared" si="4"/>
        <v>16.341666666666665</v>
      </c>
      <c r="AI20" s="15">
        <v>11</v>
      </c>
      <c r="AJ20" s="15">
        <f t="shared" si="5"/>
        <v>1</v>
      </c>
      <c r="AK20" s="15">
        <f t="shared" si="6"/>
        <v>21.741666666666664</v>
      </c>
      <c r="AL20" s="14" t="str">
        <f t="shared" si="7"/>
        <v>Pos</v>
      </c>
      <c r="AM20" s="64" t="str">
        <f t="shared" si="8"/>
        <v>Trident Techlabs SME</v>
      </c>
      <c r="AN20" s="16"/>
      <c r="AO20" s="16">
        <f t="shared" si="9"/>
        <v>1</v>
      </c>
      <c r="AP20" s="16">
        <f t="shared" si="10"/>
        <v>0</v>
      </c>
      <c r="AQ20" s="15">
        <v>1</v>
      </c>
      <c r="AR20" s="15">
        <f t="shared" si="11"/>
        <v>0</v>
      </c>
      <c r="AS20" s="15"/>
      <c r="AT20" s="15">
        <f t="shared" si="12"/>
        <v>2074.1666666666665</v>
      </c>
      <c r="AU20" s="16"/>
      <c r="AV20" s="16"/>
      <c r="AW20" s="14"/>
      <c r="AX20" s="14"/>
      <c r="AY20" s="14"/>
      <c r="AZ20" s="16"/>
      <c r="BA20" s="14"/>
      <c r="BB20" s="15"/>
      <c r="BC20" s="15"/>
      <c r="BD20" s="15"/>
      <c r="BE20" s="15"/>
      <c r="BF20" s="15"/>
      <c r="BG20" s="15"/>
      <c r="BH20" s="15"/>
    </row>
    <row r="21" spans="2:110">
      <c r="B21" s="18" t="s">
        <v>78</v>
      </c>
      <c r="C21" s="14">
        <v>2023</v>
      </c>
      <c r="D21" s="14" t="s">
        <v>59</v>
      </c>
      <c r="E21" s="14">
        <v>41.78</v>
      </c>
      <c r="F21" s="14">
        <v>56.04</v>
      </c>
      <c r="G21" s="15">
        <f t="shared" si="0"/>
        <v>25.446109921484648</v>
      </c>
      <c r="H21" s="14">
        <v>177.06</v>
      </c>
      <c r="I21" s="14">
        <v>10.130000000000001</v>
      </c>
      <c r="J21" s="14"/>
      <c r="K21" s="14">
        <v>7.13</v>
      </c>
      <c r="L21" s="14"/>
      <c r="M21" s="14" t="s">
        <v>79</v>
      </c>
      <c r="N21" s="14"/>
      <c r="O21" s="14">
        <v>370.71</v>
      </c>
      <c r="P21" s="15">
        <f t="shared" si="1"/>
        <v>36.595261599210261</v>
      </c>
      <c r="Q21" s="14">
        <v>9.82</v>
      </c>
      <c r="R21" s="15">
        <v>9.82</v>
      </c>
      <c r="S21" s="85">
        <v>0</v>
      </c>
      <c r="T21" s="16"/>
      <c r="U21" s="16"/>
      <c r="V21" s="16">
        <v>1</v>
      </c>
      <c r="W21" s="14"/>
      <c r="X21" s="14">
        <v>4.2699999999999996</v>
      </c>
      <c r="Y21" s="14">
        <v>2.86</v>
      </c>
      <c r="Z21" s="14">
        <v>2.81</v>
      </c>
      <c r="AA21" s="2">
        <f t="shared" si="2"/>
        <v>1</v>
      </c>
      <c r="AB21" s="15">
        <v>21</v>
      </c>
      <c r="AC21" s="15">
        <f t="shared" si="13"/>
        <v>2.75</v>
      </c>
      <c r="AD21" s="14">
        <v>108</v>
      </c>
      <c r="AE21" s="14">
        <v>46</v>
      </c>
      <c r="AF21" s="14">
        <v>21</v>
      </c>
      <c r="AG21" s="85">
        <f t="shared" si="3"/>
        <v>4.2</v>
      </c>
      <c r="AH21" s="15">
        <f t="shared" si="4"/>
        <v>9.9499999999999993</v>
      </c>
      <c r="AI21" s="15">
        <v>11</v>
      </c>
      <c r="AJ21" s="15">
        <f t="shared" si="5"/>
        <v>1</v>
      </c>
      <c r="AK21" s="15">
        <f t="shared" si="6"/>
        <v>14.989999999999998</v>
      </c>
      <c r="AL21" s="14" t="str">
        <f t="shared" si="7"/>
        <v>Pos</v>
      </c>
      <c r="AM21" s="64" t="str">
        <f t="shared" si="8"/>
        <v>Shanti Spinte SME</v>
      </c>
      <c r="AN21" s="16"/>
      <c r="AO21" s="16">
        <f t="shared" si="9"/>
        <v>1</v>
      </c>
      <c r="AP21" s="16">
        <f t="shared" si="10"/>
        <v>3</v>
      </c>
      <c r="AQ21" s="15">
        <v>1</v>
      </c>
      <c r="AR21" s="15">
        <f t="shared" si="11"/>
        <v>7.4733096085409247</v>
      </c>
      <c r="AS21" s="15"/>
      <c r="AT21" s="15">
        <f t="shared" si="12"/>
        <v>1398.9999999999998</v>
      </c>
      <c r="AU21" s="16"/>
      <c r="AV21" s="16"/>
      <c r="AW21" s="14"/>
      <c r="AX21" s="14"/>
      <c r="AY21" s="14"/>
      <c r="AZ21" s="16"/>
      <c r="BA21" s="14"/>
      <c r="BB21" s="15"/>
      <c r="BC21" s="15"/>
      <c r="BD21" s="15"/>
      <c r="BE21" s="15"/>
      <c r="BF21" s="15"/>
      <c r="BG21" s="15"/>
      <c r="BH21" s="15"/>
    </row>
    <row r="22" spans="2:110">
      <c r="B22" s="13" t="s">
        <v>80</v>
      </c>
      <c r="C22" s="14">
        <v>2023</v>
      </c>
      <c r="D22" s="14" t="s">
        <v>59</v>
      </c>
      <c r="E22" s="14">
        <v>40.83</v>
      </c>
      <c r="F22" s="14">
        <v>36.79</v>
      </c>
      <c r="G22" s="15">
        <f t="shared" si="0"/>
        <v>-10.981244903506385</v>
      </c>
      <c r="H22" s="14">
        <v>92.74</v>
      </c>
      <c r="I22" s="14">
        <v>2.59</v>
      </c>
      <c r="J22" s="14"/>
      <c r="K22" s="14">
        <v>2.56</v>
      </c>
      <c r="L22" s="14"/>
      <c r="M22" s="14">
        <v>6.95</v>
      </c>
      <c r="N22" s="14"/>
      <c r="O22" s="14">
        <v>50.9</v>
      </c>
      <c r="P22" s="15">
        <f t="shared" si="1"/>
        <v>19.652509652509654</v>
      </c>
      <c r="Q22" s="14">
        <v>57.03</v>
      </c>
      <c r="R22" s="15">
        <v>57.03</v>
      </c>
      <c r="S22" s="85">
        <v>0</v>
      </c>
      <c r="T22" s="16"/>
      <c r="U22" s="16"/>
      <c r="V22" s="16">
        <v>0</v>
      </c>
      <c r="W22" s="14"/>
      <c r="X22" s="14">
        <v>0</v>
      </c>
      <c r="Y22" s="14">
        <v>1.39</v>
      </c>
      <c r="Z22" s="14">
        <v>1.1499999999999999</v>
      </c>
      <c r="AA22" s="2">
        <f t="shared" si="2"/>
        <v>0</v>
      </c>
      <c r="AB22" s="15">
        <v>-3</v>
      </c>
      <c r="AC22" s="15">
        <f t="shared" si="13"/>
        <v>-0.25</v>
      </c>
      <c r="AD22" s="14">
        <v>140</v>
      </c>
      <c r="AE22" s="14">
        <v>104</v>
      </c>
      <c r="AF22" s="14">
        <v>7</v>
      </c>
      <c r="AG22" s="85">
        <f t="shared" si="3"/>
        <v>1.5</v>
      </c>
      <c r="AH22" s="15">
        <f t="shared" si="4"/>
        <v>2.25</v>
      </c>
      <c r="AI22" s="15">
        <v>11</v>
      </c>
      <c r="AJ22" s="15">
        <f t="shared" si="5"/>
        <v>1</v>
      </c>
      <c r="AK22" s="15">
        <f t="shared" si="6"/>
        <v>4.05</v>
      </c>
      <c r="AL22" s="14" t="str">
        <f t="shared" si="7"/>
        <v>Pos</v>
      </c>
      <c r="AM22" s="64" t="str">
        <f t="shared" si="8"/>
        <v>Bright Outdoor Media</v>
      </c>
      <c r="AN22" s="16"/>
      <c r="AO22" s="16">
        <f t="shared" si="9"/>
        <v>1</v>
      </c>
      <c r="AP22" s="16">
        <f t="shared" si="10"/>
        <v>0</v>
      </c>
      <c r="AQ22" s="15">
        <v>1</v>
      </c>
      <c r="AR22" s="15">
        <f t="shared" si="11"/>
        <v>0</v>
      </c>
      <c r="AS22" s="15"/>
      <c r="AT22" s="15">
        <f t="shared" si="12"/>
        <v>305</v>
      </c>
      <c r="AU22" s="16"/>
      <c r="AV22" s="16"/>
      <c r="AW22" s="14"/>
      <c r="AX22" s="14"/>
      <c r="AY22" s="14"/>
      <c r="AZ22" s="16"/>
      <c r="BA22" s="14"/>
      <c r="BB22" s="15"/>
      <c r="BC22" s="15"/>
      <c r="BD22" s="15"/>
      <c r="BE22" s="15"/>
      <c r="BF22" s="15"/>
      <c r="BG22" s="15"/>
      <c r="BH22" s="15"/>
    </row>
    <row r="23" spans="2:110">
      <c r="B23" s="19" t="s">
        <v>81</v>
      </c>
      <c r="C23" s="14">
        <v>2025</v>
      </c>
      <c r="D23" s="14" t="s">
        <v>82</v>
      </c>
      <c r="E23" s="15">
        <v>12.99</v>
      </c>
      <c r="F23" s="15">
        <v>9.14</v>
      </c>
      <c r="G23" s="15">
        <f t="shared" si="0"/>
        <v>-42.122538293216621</v>
      </c>
      <c r="H23" s="15">
        <v>45.42</v>
      </c>
      <c r="I23" s="15">
        <v>3.61</v>
      </c>
      <c r="J23" s="15"/>
      <c r="K23" s="15">
        <v>2.41</v>
      </c>
      <c r="L23" s="15"/>
      <c r="M23" s="15">
        <v>7.79</v>
      </c>
      <c r="N23" s="15"/>
      <c r="O23" s="15">
        <v>136.86000000000001</v>
      </c>
      <c r="P23" s="15">
        <f t="shared" si="1"/>
        <v>37.91135734072023</v>
      </c>
      <c r="Q23" s="15">
        <v>59.42</v>
      </c>
      <c r="R23" s="15">
        <v>18.79</v>
      </c>
      <c r="S23" s="85">
        <v>0</v>
      </c>
      <c r="T23" s="16"/>
      <c r="U23" s="16"/>
      <c r="V23" s="16">
        <v>0</v>
      </c>
      <c r="W23" s="15"/>
      <c r="X23" s="15">
        <v>1.1299999999999999</v>
      </c>
      <c r="Y23" s="15">
        <v>0.55000000000000004</v>
      </c>
      <c r="Z23" s="15">
        <v>4.08</v>
      </c>
      <c r="AA23" s="2">
        <f t="shared" si="2"/>
        <v>-0.7</v>
      </c>
      <c r="AB23" s="15">
        <v>0</v>
      </c>
      <c r="AC23" s="15">
        <f t="shared" si="13"/>
        <v>0</v>
      </c>
      <c r="AD23" s="15">
        <v>91</v>
      </c>
      <c r="AE23" s="15">
        <v>-15</v>
      </c>
      <c r="AF23" s="15">
        <v>35.81</v>
      </c>
      <c r="AG23" s="85">
        <f t="shared" si="3"/>
        <v>-0.5</v>
      </c>
      <c r="AH23" s="15">
        <f t="shared" si="4"/>
        <v>-1.2</v>
      </c>
      <c r="AI23" s="15">
        <v>11</v>
      </c>
      <c r="AJ23" s="15">
        <f t="shared" si="5"/>
        <v>1</v>
      </c>
      <c r="AK23" s="15">
        <f t="shared" si="6"/>
        <v>-1.7999999999999998</v>
      </c>
      <c r="AL23" s="14" t="str">
        <f t="shared" si="7"/>
        <v>Neg</v>
      </c>
      <c r="AM23" s="64" t="str">
        <f t="shared" si="8"/>
        <v>Mittal Sections</v>
      </c>
      <c r="AN23" s="16"/>
      <c r="AO23" s="16">
        <f t="shared" si="9"/>
        <v>1</v>
      </c>
      <c r="AP23" s="16">
        <f t="shared" si="10"/>
        <v>0</v>
      </c>
      <c r="AQ23" s="15">
        <v>1</v>
      </c>
      <c r="AR23" s="15">
        <f t="shared" si="11"/>
        <v>0</v>
      </c>
      <c r="AS23" s="15"/>
      <c r="AT23" s="15">
        <f t="shared" si="12"/>
        <v>-280</v>
      </c>
      <c r="AU23" s="16">
        <v>49.019607843137251</v>
      </c>
      <c r="AV23" s="16">
        <v>245.09803921568621</v>
      </c>
      <c r="AW23" s="14">
        <v>5</v>
      </c>
      <c r="AX23" s="14"/>
      <c r="AY23" s="14">
        <v>143</v>
      </c>
      <c r="AZ23" s="16"/>
      <c r="BA23" s="14">
        <v>114</v>
      </c>
      <c r="BB23" s="15"/>
      <c r="BC23" s="15"/>
      <c r="BD23" s="15"/>
      <c r="BE23" s="15"/>
      <c r="BF23" s="15">
        <v>52</v>
      </c>
      <c r="BG23" s="15">
        <v>-63.636363636363633</v>
      </c>
      <c r="BH23" s="15">
        <v>-54.385964912280699</v>
      </c>
    </row>
    <row r="24" spans="2:110">
      <c r="B24" s="19" t="s">
        <v>83</v>
      </c>
      <c r="C24" s="14">
        <v>2025</v>
      </c>
      <c r="D24" s="14" t="s">
        <v>82</v>
      </c>
      <c r="E24" s="15">
        <v>20.22</v>
      </c>
      <c r="F24" s="15">
        <v>9.57</v>
      </c>
      <c r="G24" s="15">
        <f t="shared" si="0"/>
        <v>-111.28526645768022</v>
      </c>
      <c r="H24" s="15">
        <v>40.58</v>
      </c>
      <c r="I24" s="15">
        <v>6.02</v>
      </c>
      <c r="J24" s="15"/>
      <c r="K24" s="15">
        <v>1.51</v>
      </c>
      <c r="L24" s="15"/>
      <c r="M24" s="15">
        <v>9.76</v>
      </c>
      <c r="N24" s="15"/>
      <c r="O24" s="15">
        <v>59.8</v>
      </c>
      <c r="P24" s="15">
        <f t="shared" si="1"/>
        <v>9.9335548172757484</v>
      </c>
      <c r="Q24" s="15">
        <v>13.95</v>
      </c>
      <c r="R24" s="15">
        <v>19.11</v>
      </c>
      <c r="S24" s="85">
        <v>0</v>
      </c>
      <c r="T24" s="16"/>
      <c r="U24" s="16"/>
      <c r="V24" s="16">
        <v>0</v>
      </c>
      <c r="W24" s="15"/>
      <c r="X24" s="15">
        <v>0</v>
      </c>
      <c r="Y24" s="15">
        <v>0.73</v>
      </c>
      <c r="Z24" s="15">
        <v>3.03</v>
      </c>
      <c r="AA24" s="2">
        <f t="shared" si="2"/>
        <v>-1.7</v>
      </c>
      <c r="AB24" s="15">
        <v>0</v>
      </c>
      <c r="AC24" s="15">
        <f t="shared" si="13"/>
        <v>0</v>
      </c>
      <c r="AD24" s="15">
        <v>903.33</v>
      </c>
      <c r="AE24" s="15">
        <v>95.63</v>
      </c>
      <c r="AF24" s="15">
        <v>189.12</v>
      </c>
      <c r="AG24" s="85">
        <f t="shared" si="3"/>
        <v>3.5</v>
      </c>
      <c r="AH24" s="15">
        <f t="shared" si="4"/>
        <v>1.8</v>
      </c>
      <c r="AI24" s="15">
        <v>11</v>
      </c>
      <c r="AJ24" s="15">
        <f t="shared" si="5"/>
        <v>1</v>
      </c>
      <c r="AK24" s="15">
        <f t="shared" si="6"/>
        <v>6</v>
      </c>
      <c r="AL24" s="14" t="str">
        <f t="shared" si="7"/>
        <v>Neg</v>
      </c>
      <c r="AM24" s="64" t="str">
        <f t="shared" si="8"/>
        <v>Chiraharit Limited</v>
      </c>
      <c r="AN24" s="16"/>
      <c r="AO24" s="16">
        <f t="shared" si="9"/>
        <v>1</v>
      </c>
      <c r="AP24" s="16">
        <f t="shared" si="10"/>
        <v>0</v>
      </c>
      <c r="AQ24" s="15">
        <v>1</v>
      </c>
      <c r="AR24" s="15">
        <f t="shared" si="11"/>
        <v>0</v>
      </c>
      <c r="AS24" s="15"/>
      <c r="AT24" s="15">
        <f t="shared" si="12"/>
        <v>500</v>
      </c>
      <c r="AU24" s="16">
        <v>66.006600660066013</v>
      </c>
      <c r="AV24" s="16">
        <v>330.03300330033011</v>
      </c>
      <c r="AW24" s="14">
        <v>5</v>
      </c>
      <c r="AX24" s="14"/>
      <c r="AY24" s="14">
        <v>21</v>
      </c>
      <c r="AZ24" s="16"/>
      <c r="BA24" s="14">
        <v>17</v>
      </c>
      <c r="BB24" s="15"/>
      <c r="BC24" s="15"/>
      <c r="BD24" s="15"/>
      <c r="BE24" s="15"/>
      <c r="BF24" s="15">
        <v>13</v>
      </c>
      <c r="BG24" s="15">
        <v>-38.095238095238088</v>
      </c>
      <c r="BH24" s="15">
        <v>-23.52941176470588</v>
      </c>
    </row>
    <row r="25" spans="2:110">
      <c r="B25" s="20" t="s">
        <v>84</v>
      </c>
      <c r="C25" s="14">
        <v>2025</v>
      </c>
      <c r="D25" s="14" t="s">
        <v>82</v>
      </c>
      <c r="E25" s="15">
        <v>3.34</v>
      </c>
      <c r="F25" s="15">
        <v>5.23</v>
      </c>
      <c r="G25" s="15">
        <f t="shared" si="0"/>
        <v>36.137667304015302</v>
      </c>
      <c r="H25" s="15">
        <v>9.7100000000000009</v>
      </c>
      <c r="I25" s="15">
        <v>1.73</v>
      </c>
      <c r="J25" s="15"/>
      <c r="K25" s="15">
        <v>6.86</v>
      </c>
      <c r="L25" s="15"/>
      <c r="M25" s="15">
        <v>3.67</v>
      </c>
      <c r="N25" s="15"/>
      <c r="O25" s="15">
        <v>25.22</v>
      </c>
      <c r="P25" s="15">
        <f t="shared" si="1"/>
        <v>14.578034682080924</v>
      </c>
      <c r="Q25" s="15">
        <v>10.49</v>
      </c>
      <c r="R25" s="15">
        <v>16.32</v>
      </c>
      <c r="S25" s="85">
        <v>0</v>
      </c>
      <c r="T25" s="16"/>
      <c r="U25" s="16"/>
      <c r="V25" s="16">
        <v>0</v>
      </c>
      <c r="W25" s="15"/>
      <c r="X25" s="15">
        <v>0</v>
      </c>
      <c r="Y25" s="15">
        <v>0.96</v>
      </c>
      <c r="Z25" s="15">
        <v>4.87</v>
      </c>
      <c r="AA25" s="2">
        <f t="shared" si="2"/>
        <v>-1.7</v>
      </c>
      <c r="AB25" s="15">
        <v>0</v>
      </c>
      <c r="AC25" s="15">
        <f t="shared" si="13"/>
        <v>0</v>
      </c>
      <c r="AD25" s="15">
        <v>58.72</v>
      </c>
      <c r="AE25" s="15">
        <v>1.98</v>
      </c>
      <c r="AF25" s="15">
        <v>49.45</v>
      </c>
      <c r="AG25" s="85">
        <f t="shared" si="3"/>
        <v>1.9</v>
      </c>
      <c r="AH25" s="15">
        <f t="shared" si="4"/>
        <v>0.19999999999999996</v>
      </c>
      <c r="AI25" s="15">
        <v>11</v>
      </c>
      <c r="AJ25" s="15">
        <f t="shared" si="5"/>
        <v>1</v>
      </c>
      <c r="AK25" s="15">
        <f t="shared" si="6"/>
        <v>2.4799999999999995</v>
      </c>
      <c r="AL25" s="14" t="str">
        <f t="shared" si="7"/>
        <v>Neg</v>
      </c>
      <c r="AM25" s="64" t="str">
        <f t="shared" si="8"/>
        <v>Dhillon Freight Carrier</v>
      </c>
      <c r="AN25" s="16"/>
      <c r="AO25" s="16">
        <f t="shared" si="9"/>
        <v>1</v>
      </c>
      <c r="AP25" s="16">
        <f t="shared" si="10"/>
        <v>0</v>
      </c>
      <c r="AQ25" s="15">
        <v>1</v>
      </c>
      <c r="AR25" s="15">
        <f t="shared" si="11"/>
        <v>0</v>
      </c>
      <c r="AS25" s="15"/>
      <c r="AT25" s="15">
        <f t="shared" si="12"/>
        <v>147.99999999999994</v>
      </c>
      <c r="AU25" s="16">
        <v>41.067761806981522</v>
      </c>
      <c r="AV25" s="16">
        <v>205.3388090349076</v>
      </c>
      <c r="AW25" s="14">
        <v>5</v>
      </c>
      <c r="AX25" s="14"/>
      <c r="AY25" s="14">
        <v>72</v>
      </c>
      <c r="AZ25" s="16"/>
      <c r="BA25" s="14">
        <v>58</v>
      </c>
      <c r="BB25" s="15"/>
      <c r="BC25" s="15"/>
      <c r="BD25" s="15"/>
      <c r="BE25" s="15"/>
      <c r="BF25" s="15">
        <v>42</v>
      </c>
      <c r="BG25" s="15">
        <v>-41.666666666666657</v>
      </c>
      <c r="BH25" s="15">
        <v>-27.586206896551719</v>
      </c>
    </row>
    <row r="26" spans="2:110">
      <c r="B26" s="20" t="s">
        <v>85</v>
      </c>
      <c r="C26" s="14">
        <v>2025</v>
      </c>
      <c r="D26" s="14" t="s">
        <v>82</v>
      </c>
      <c r="E26" s="15">
        <v>49.21</v>
      </c>
      <c r="F26" s="15">
        <v>32.43</v>
      </c>
      <c r="G26" s="15">
        <f t="shared" si="0"/>
        <v>-51.742213999383289</v>
      </c>
      <c r="H26" s="15">
        <v>110.81</v>
      </c>
      <c r="I26" s="15">
        <v>7.57</v>
      </c>
      <c r="J26" s="15"/>
      <c r="K26" s="15">
        <v>11.65</v>
      </c>
      <c r="L26" s="15"/>
      <c r="M26" s="15">
        <v>12.64</v>
      </c>
      <c r="N26" s="15"/>
      <c r="O26" s="15">
        <v>327.32</v>
      </c>
      <c r="P26" s="15">
        <f t="shared" si="1"/>
        <v>43.239101717305147</v>
      </c>
      <c r="Q26" s="15">
        <v>8.5</v>
      </c>
      <c r="R26" s="15">
        <v>8.5</v>
      </c>
      <c r="S26" s="85">
        <v>0</v>
      </c>
      <c r="T26" s="16"/>
      <c r="U26" s="16"/>
      <c r="V26" s="16">
        <v>0</v>
      </c>
      <c r="W26" s="15"/>
      <c r="X26" s="15">
        <v>8.24</v>
      </c>
      <c r="Y26" s="15">
        <v>77.12</v>
      </c>
      <c r="Z26" s="15">
        <v>39.729999999999997</v>
      </c>
      <c r="AA26" s="2">
        <f t="shared" si="2"/>
        <v>0</v>
      </c>
      <c r="AB26" s="15">
        <v>36</v>
      </c>
      <c r="AC26" s="15">
        <f t="shared" si="13"/>
        <v>4</v>
      </c>
      <c r="AD26" s="15">
        <v>50.8</v>
      </c>
      <c r="AE26" s="15">
        <v>33.590000000000003</v>
      </c>
      <c r="AF26" s="15">
        <v>30.45</v>
      </c>
      <c r="AG26" s="85">
        <f t="shared" si="3"/>
        <v>3</v>
      </c>
      <c r="AH26" s="15">
        <f t="shared" si="4"/>
        <v>9</v>
      </c>
      <c r="AI26" s="15">
        <v>11</v>
      </c>
      <c r="AJ26" s="15">
        <f t="shared" si="5"/>
        <v>1</v>
      </c>
      <c r="AK26" s="15">
        <f t="shared" si="6"/>
        <v>12.6</v>
      </c>
      <c r="AL26" s="14" t="str">
        <f t="shared" si="7"/>
        <v>Neg</v>
      </c>
      <c r="AM26" s="64" t="str">
        <f t="shared" si="8"/>
        <v>Rukmani Devi Garg Agro Impe</v>
      </c>
      <c r="AN26" s="16"/>
      <c r="AO26" s="16">
        <f t="shared" si="9"/>
        <v>1</v>
      </c>
      <c r="AP26" s="16">
        <f t="shared" si="10"/>
        <v>0</v>
      </c>
      <c r="AQ26" s="15">
        <v>1</v>
      </c>
      <c r="AR26" s="15">
        <f t="shared" si="11"/>
        <v>0</v>
      </c>
      <c r="AS26" s="15"/>
      <c r="AT26" s="15">
        <f t="shared" si="12"/>
        <v>1160</v>
      </c>
      <c r="AU26" s="16">
        <v>5.0339793606846213</v>
      </c>
      <c r="AV26" s="16">
        <v>25.169896803423111</v>
      </c>
      <c r="AW26" s="14">
        <v>5</v>
      </c>
      <c r="AX26" s="14"/>
      <c r="AY26" s="14">
        <v>99</v>
      </c>
      <c r="AZ26" s="16"/>
      <c r="BA26" s="14">
        <v>79</v>
      </c>
      <c r="BB26" s="15">
        <v>73</v>
      </c>
      <c r="BC26" s="15">
        <v>73</v>
      </c>
      <c r="BD26" s="15">
        <v>72</v>
      </c>
      <c r="BE26" s="15"/>
      <c r="BF26" s="15">
        <v>59</v>
      </c>
      <c r="BG26" s="15">
        <v>-40.404040404040401</v>
      </c>
      <c r="BH26" s="15">
        <v>-25.316455696202532</v>
      </c>
    </row>
    <row r="27" spans="2:110">
      <c r="B27" s="21" t="s">
        <v>86</v>
      </c>
      <c r="C27" s="14">
        <v>2025</v>
      </c>
      <c r="D27" s="14" t="s">
        <v>82</v>
      </c>
      <c r="E27" s="15">
        <v>3.67</v>
      </c>
      <c r="F27" s="15">
        <v>12.27</v>
      </c>
      <c r="G27" s="15">
        <f t="shared" si="0"/>
        <v>70.089649551752245</v>
      </c>
      <c r="H27" s="15">
        <v>20.149999999999999</v>
      </c>
      <c r="I27" s="15">
        <v>6.05</v>
      </c>
      <c r="J27" s="15"/>
      <c r="K27" s="15">
        <v>7.42</v>
      </c>
      <c r="L27" s="15"/>
      <c r="M27" s="15">
        <v>9.93</v>
      </c>
      <c r="N27" s="15"/>
      <c r="O27" s="15">
        <v>43.85</v>
      </c>
      <c r="P27" s="15">
        <f t="shared" si="1"/>
        <v>7.2479338842975212</v>
      </c>
      <c r="Q27" s="15">
        <v>14.86</v>
      </c>
      <c r="R27" s="15">
        <v>14.86</v>
      </c>
      <c r="S27" s="85">
        <v>0</v>
      </c>
      <c r="T27" s="16"/>
      <c r="U27" s="16"/>
      <c r="V27" s="16">
        <v>0</v>
      </c>
      <c r="W27" s="15"/>
      <c r="X27" s="15">
        <v>0</v>
      </c>
      <c r="Y27" s="15">
        <v>0.33</v>
      </c>
      <c r="Z27" s="15">
        <v>3.15</v>
      </c>
      <c r="AA27" s="2">
        <f t="shared" si="2"/>
        <v>-1.7</v>
      </c>
      <c r="AB27" s="15">
        <v>0</v>
      </c>
      <c r="AC27" s="15">
        <f t="shared" si="13"/>
        <v>0</v>
      </c>
      <c r="AD27" s="15">
        <v>147</v>
      </c>
      <c r="AE27" s="15">
        <v>-0.36</v>
      </c>
      <c r="AF27" s="15">
        <v>98</v>
      </c>
      <c r="AG27" s="85">
        <f t="shared" si="3"/>
        <v>2.5999999999999996</v>
      </c>
      <c r="AH27" s="15">
        <f t="shared" si="4"/>
        <v>0.89999999999999969</v>
      </c>
      <c r="AI27" s="15">
        <v>11</v>
      </c>
      <c r="AJ27" s="15">
        <f t="shared" si="5"/>
        <v>1</v>
      </c>
      <c r="AK27" s="15">
        <f t="shared" si="6"/>
        <v>4.0199999999999996</v>
      </c>
      <c r="AL27" s="14" t="str">
        <f t="shared" si="7"/>
        <v>Neg</v>
      </c>
      <c r="AM27" s="64" t="str">
        <f t="shared" si="8"/>
        <v>Gurunanak Agriculture</v>
      </c>
      <c r="AN27" s="16"/>
      <c r="AO27" s="16">
        <f t="shared" si="9"/>
        <v>1</v>
      </c>
      <c r="AP27" s="16">
        <f t="shared" si="10"/>
        <v>0</v>
      </c>
      <c r="AQ27" s="15">
        <v>1</v>
      </c>
      <c r="AR27" s="15">
        <f t="shared" si="11"/>
        <v>0</v>
      </c>
      <c r="AS27" s="15"/>
      <c r="AT27" s="15">
        <f t="shared" si="12"/>
        <v>301.99999999999994</v>
      </c>
      <c r="AU27" s="16">
        <v>63.492063492063487</v>
      </c>
      <c r="AV27" s="16">
        <v>317.46031746031753</v>
      </c>
      <c r="AW27" s="14">
        <v>5</v>
      </c>
      <c r="AX27" s="14"/>
      <c r="AY27" s="14">
        <v>75</v>
      </c>
      <c r="AZ27" s="16"/>
      <c r="BA27" s="14">
        <v>60</v>
      </c>
      <c r="BB27" s="15"/>
      <c r="BC27" s="15"/>
      <c r="BD27" s="15"/>
      <c r="BE27" s="15"/>
      <c r="BF27" s="15">
        <v>34</v>
      </c>
      <c r="BG27" s="15">
        <v>-54.666666666666657</v>
      </c>
      <c r="BH27" s="15">
        <v>-43.333333333333343</v>
      </c>
    </row>
    <row r="28" spans="2:110">
      <c r="B28" s="21" t="s">
        <v>87</v>
      </c>
      <c r="C28" s="14">
        <v>2025</v>
      </c>
      <c r="D28" s="14" t="s">
        <v>82</v>
      </c>
      <c r="E28" s="15">
        <v>67.11</v>
      </c>
      <c r="F28" s="15">
        <v>79.44</v>
      </c>
      <c r="G28" s="15">
        <f t="shared" si="0"/>
        <v>15.521148036253773</v>
      </c>
      <c r="H28" s="15">
        <v>182.83</v>
      </c>
      <c r="I28" s="15">
        <v>13.08</v>
      </c>
      <c r="J28" s="15"/>
      <c r="K28" s="15">
        <v>6.62</v>
      </c>
      <c r="L28" s="15"/>
      <c r="M28" s="15">
        <v>32.869999999999997</v>
      </c>
      <c r="N28" s="15"/>
      <c r="O28" s="15">
        <v>724.66</v>
      </c>
      <c r="P28" s="15">
        <f t="shared" si="1"/>
        <v>55.40214067278287</v>
      </c>
      <c r="Q28" s="15">
        <v>16.3</v>
      </c>
      <c r="R28" s="15">
        <v>16.3</v>
      </c>
      <c r="S28" s="85">
        <v>0</v>
      </c>
      <c r="T28" s="16"/>
      <c r="U28" s="16"/>
      <c r="V28" s="16">
        <v>0</v>
      </c>
      <c r="W28" s="15"/>
      <c r="X28" s="15">
        <v>17.53</v>
      </c>
      <c r="Y28" s="15">
        <v>5.94</v>
      </c>
      <c r="Z28" s="15">
        <v>1.5</v>
      </c>
      <c r="AA28" s="2">
        <f t="shared" si="2"/>
        <v>1</v>
      </c>
      <c r="AB28" s="15">
        <v>0</v>
      </c>
      <c r="AC28" s="15">
        <f t="shared" si="13"/>
        <v>0</v>
      </c>
      <c r="AD28" s="15">
        <v>7.39</v>
      </c>
      <c r="AE28" s="15">
        <v>25</v>
      </c>
      <c r="AF28" s="15">
        <v>19.7</v>
      </c>
      <c r="AG28" s="85">
        <f t="shared" si="3"/>
        <v>3.2</v>
      </c>
      <c r="AH28" s="15">
        <f t="shared" si="4"/>
        <v>6.2</v>
      </c>
      <c r="AI28" s="15">
        <v>11</v>
      </c>
      <c r="AJ28" s="15">
        <f t="shared" si="5"/>
        <v>1</v>
      </c>
      <c r="AK28" s="15">
        <f t="shared" si="6"/>
        <v>10.039999999999999</v>
      </c>
      <c r="AL28" s="14" t="str">
        <f t="shared" si="7"/>
        <v>Neg</v>
      </c>
      <c r="AM28" s="64" t="str">
        <f t="shared" si="8"/>
        <v>Siddhi Cotspin</v>
      </c>
      <c r="AN28" s="16"/>
      <c r="AO28" s="16">
        <f t="shared" si="9"/>
        <v>1</v>
      </c>
      <c r="AP28" s="16">
        <f t="shared" si="10"/>
        <v>0</v>
      </c>
      <c r="AQ28" s="15">
        <v>1</v>
      </c>
      <c r="AR28" s="15">
        <f t="shared" si="11"/>
        <v>0</v>
      </c>
      <c r="AS28" s="15"/>
      <c r="AT28" s="15">
        <f t="shared" si="12"/>
        <v>903.99999999999989</v>
      </c>
      <c r="AU28" s="16">
        <v>133.33333333333329</v>
      </c>
      <c r="AV28" s="16">
        <v>666.66666666666674</v>
      </c>
      <c r="AW28" s="14">
        <v>5</v>
      </c>
      <c r="AX28" s="14"/>
      <c r="AY28" s="14">
        <v>108</v>
      </c>
      <c r="AZ28" s="16"/>
      <c r="BA28" s="14">
        <v>86</v>
      </c>
      <c r="BB28" s="15"/>
      <c r="BC28" s="15"/>
      <c r="BD28" s="15"/>
      <c r="BE28" s="15"/>
      <c r="BF28" s="15">
        <v>34</v>
      </c>
      <c r="BG28" s="15">
        <v>-68.518518518518519</v>
      </c>
      <c r="BH28" s="15">
        <v>-60.465116279069768</v>
      </c>
    </row>
    <row r="29" spans="2:110">
      <c r="B29" s="21" t="s">
        <v>88</v>
      </c>
      <c r="C29" s="14">
        <v>2025</v>
      </c>
      <c r="D29" s="14" t="s">
        <v>82</v>
      </c>
      <c r="E29" s="15">
        <v>8.3699999999999992</v>
      </c>
      <c r="F29" s="15">
        <v>6.12</v>
      </c>
      <c r="G29" s="15">
        <f t="shared" si="0"/>
        <v>-36.764705882352928</v>
      </c>
      <c r="H29" s="14">
        <v>20.03</v>
      </c>
      <c r="I29" s="15">
        <v>2.15</v>
      </c>
      <c r="J29" s="15"/>
      <c r="K29" s="15">
        <v>5.38</v>
      </c>
      <c r="L29" s="15"/>
      <c r="M29" s="15">
        <v>3.7</v>
      </c>
      <c r="N29" s="15"/>
      <c r="O29" s="15">
        <v>48.5</v>
      </c>
      <c r="P29" s="15">
        <f t="shared" si="1"/>
        <v>22.558139534883722</v>
      </c>
      <c r="Q29" s="15">
        <v>13.39</v>
      </c>
      <c r="R29" s="15">
        <v>13.39</v>
      </c>
      <c r="S29" s="85">
        <v>0</v>
      </c>
      <c r="T29" s="16"/>
      <c r="U29" s="16"/>
      <c r="V29" s="16">
        <v>0</v>
      </c>
      <c r="W29" s="15"/>
      <c r="X29" s="15">
        <v>0</v>
      </c>
      <c r="Y29" s="15">
        <v>6.45</v>
      </c>
      <c r="Z29" s="15">
        <v>1.85</v>
      </c>
      <c r="AA29" s="2">
        <f t="shared" si="2"/>
        <v>0</v>
      </c>
      <c r="AB29" s="15">
        <v>0</v>
      </c>
      <c r="AC29" s="15">
        <f t="shared" si="13"/>
        <v>0</v>
      </c>
      <c r="AD29" s="15">
        <v>39</v>
      </c>
      <c r="AE29" s="15">
        <v>31</v>
      </c>
      <c r="AF29" s="15">
        <v>51</v>
      </c>
      <c r="AG29" s="85">
        <f t="shared" si="3"/>
        <v>2.5</v>
      </c>
      <c r="AH29" s="15">
        <f t="shared" si="4"/>
        <v>3.5</v>
      </c>
      <c r="AI29" s="15">
        <v>11</v>
      </c>
      <c r="AJ29" s="15">
        <f t="shared" si="5"/>
        <v>1</v>
      </c>
      <c r="AK29" s="15">
        <f t="shared" si="6"/>
        <v>6.5</v>
      </c>
      <c r="AL29" s="14" t="str">
        <f t="shared" si="7"/>
        <v>Neg</v>
      </c>
      <c r="AM29" s="64" t="str">
        <f t="shared" si="8"/>
        <v>Krupalu Metals</v>
      </c>
      <c r="AN29" s="16"/>
      <c r="AO29" s="16">
        <f t="shared" si="9"/>
        <v>1</v>
      </c>
      <c r="AP29" s="16">
        <f t="shared" si="10"/>
        <v>0</v>
      </c>
      <c r="AQ29" s="15">
        <v>1</v>
      </c>
      <c r="AR29" s="15">
        <f t="shared" si="11"/>
        <v>0</v>
      </c>
      <c r="AS29" s="15"/>
      <c r="AT29" s="15">
        <f t="shared" si="12"/>
        <v>550</v>
      </c>
      <c r="AU29" s="16">
        <v>108.1081081081081</v>
      </c>
      <c r="AV29" s="16">
        <v>540.54054054054052</v>
      </c>
      <c r="AW29" s="14">
        <v>5</v>
      </c>
      <c r="AX29" s="14"/>
      <c r="AY29" s="14">
        <v>72</v>
      </c>
      <c r="AZ29" s="16"/>
      <c r="BA29" s="14">
        <v>58</v>
      </c>
      <c r="BB29" s="15"/>
      <c r="BC29" s="15"/>
      <c r="BD29" s="15"/>
      <c r="BE29" s="15"/>
      <c r="BF29" s="15">
        <v>52</v>
      </c>
      <c r="BG29" s="15">
        <v>-27.777777777777779</v>
      </c>
      <c r="BH29" s="15">
        <v>-10.3448275862069</v>
      </c>
      <c r="DF29" t="s">
        <v>89</v>
      </c>
    </row>
    <row r="30" spans="2:110">
      <c r="B30" s="21" t="s">
        <v>90</v>
      </c>
      <c r="C30" s="14">
        <v>2025</v>
      </c>
      <c r="D30" s="14" t="s">
        <v>82</v>
      </c>
      <c r="E30" s="15">
        <v>1.07</v>
      </c>
      <c r="F30" s="15">
        <v>10.52</v>
      </c>
      <c r="G30" s="15">
        <f t="shared" si="0"/>
        <v>89.828897338403038</v>
      </c>
      <c r="H30" s="14">
        <v>12.97</v>
      </c>
      <c r="I30" s="15">
        <v>1.41</v>
      </c>
      <c r="J30" s="15"/>
      <c r="K30" s="15">
        <v>1.77</v>
      </c>
      <c r="L30" s="15"/>
      <c r="M30" s="15">
        <v>2.0099999999999998</v>
      </c>
      <c r="N30" s="15"/>
      <c r="O30" s="15">
        <v>60.91</v>
      </c>
      <c r="P30" s="15">
        <f t="shared" si="1"/>
        <v>43.198581560283685</v>
      </c>
      <c r="Q30" s="15">
        <v>24.96</v>
      </c>
      <c r="R30" s="15">
        <v>24.96</v>
      </c>
      <c r="S30" s="85">
        <v>0</v>
      </c>
      <c r="T30" s="16"/>
      <c r="U30" s="16"/>
      <c r="V30" s="16">
        <v>0</v>
      </c>
      <c r="W30" s="15"/>
      <c r="X30" s="15">
        <v>0</v>
      </c>
      <c r="Y30" s="15">
        <v>5.17</v>
      </c>
      <c r="Z30" s="15">
        <v>16.79</v>
      </c>
      <c r="AA30" s="2">
        <f t="shared" si="2"/>
        <v>-1.7</v>
      </c>
      <c r="AB30" s="15">
        <v>5</v>
      </c>
      <c r="AC30" s="15">
        <f t="shared" si="13"/>
        <v>1.4166666666666667</v>
      </c>
      <c r="AD30" s="15">
        <v>55</v>
      </c>
      <c r="AE30" s="15">
        <v>142</v>
      </c>
      <c r="AF30" s="15">
        <v>87</v>
      </c>
      <c r="AG30" s="85">
        <f t="shared" si="3"/>
        <v>4.5999999999999996</v>
      </c>
      <c r="AH30" s="15">
        <f t="shared" si="4"/>
        <v>5.3166666666666664</v>
      </c>
      <c r="AI30" s="15">
        <v>11</v>
      </c>
      <c r="AJ30" s="15">
        <f t="shared" si="5"/>
        <v>1</v>
      </c>
      <c r="AK30" s="15">
        <f t="shared" si="6"/>
        <v>10.836666666666666</v>
      </c>
      <c r="AL30" s="14" t="str">
        <f t="shared" si="7"/>
        <v>Neg</v>
      </c>
      <c r="AM30" s="64" t="str">
        <f t="shared" si="8"/>
        <v>Abril Paper Tech</v>
      </c>
      <c r="AN30" s="16"/>
      <c r="AO30" s="16">
        <f t="shared" si="9"/>
        <v>1</v>
      </c>
      <c r="AP30" s="16">
        <f t="shared" si="10"/>
        <v>0</v>
      </c>
      <c r="AQ30" s="15">
        <v>1</v>
      </c>
      <c r="AR30" s="15">
        <f t="shared" si="11"/>
        <v>0</v>
      </c>
      <c r="AS30" s="15"/>
      <c r="AT30" s="15">
        <f t="shared" si="12"/>
        <v>983.66666666666663</v>
      </c>
      <c r="AU30" s="16">
        <v>11.91185229303157</v>
      </c>
      <c r="AV30" s="16">
        <v>59.559261465157832</v>
      </c>
      <c r="AW30" s="14">
        <v>5</v>
      </c>
      <c r="AX30" s="14"/>
      <c r="AY30" s="14">
        <v>61</v>
      </c>
      <c r="AZ30" s="16"/>
      <c r="BA30" s="14">
        <v>49</v>
      </c>
      <c r="BB30" s="15"/>
      <c r="BC30" s="15"/>
      <c r="BD30" s="15"/>
      <c r="BE30" s="15"/>
      <c r="BF30" s="15">
        <v>42</v>
      </c>
      <c r="BG30" s="15">
        <v>-31.147540983606561</v>
      </c>
      <c r="BH30" s="15">
        <v>-14.28571428571429</v>
      </c>
    </row>
    <row r="31" spans="2:110">
      <c r="B31" s="21" t="s">
        <v>91</v>
      </c>
      <c r="C31" s="14">
        <v>2025</v>
      </c>
      <c r="D31" s="14" t="s">
        <v>82</v>
      </c>
      <c r="E31" s="15">
        <v>12.21</v>
      </c>
      <c r="F31" s="15">
        <v>20.32</v>
      </c>
      <c r="G31" s="15">
        <f t="shared" si="0"/>
        <v>39.911417322834644</v>
      </c>
      <c r="H31" s="14"/>
      <c r="I31" s="15">
        <v>5.5</v>
      </c>
      <c r="J31" s="15"/>
      <c r="K31" s="15">
        <v>4.8600000000000003</v>
      </c>
      <c r="L31" s="15"/>
      <c r="M31" s="15">
        <v>11.77</v>
      </c>
      <c r="N31" s="15"/>
      <c r="O31" s="15">
        <v>94.81</v>
      </c>
      <c r="P31" s="15">
        <f t="shared" si="1"/>
        <v>17.238181818181818</v>
      </c>
      <c r="Q31" s="15">
        <v>14.82</v>
      </c>
      <c r="R31" s="15">
        <v>14.82</v>
      </c>
      <c r="S31" s="85">
        <v>0</v>
      </c>
      <c r="T31" s="16"/>
      <c r="U31" s="16"/>
      <c r="V31" s="16">
        <v>0</v>
      </c>
      <c r="W31" s="15"/>
      <c r="X31" s="15">
        <v>0.63</v>
      </c>
      <c r="Y31" s="15">
        <v>2.04</v>
      </c>
      <c r="Z31" s="15">
        <v>1.34</v>
      </c>
      <c r="AA31" s="2">
        <f t="shared" si="2"/>
        <v>0</v>
      </c>
      <c r="AB31" s="15">
        <v>0</v>
      </c>
      <c r="AC31" s="15">
        <f t="shared" si="13"/>
        <v>0</v>
      </c>
      <c r="AD31" s="15">
        <v>47</v>
      </c>
      <c r="AE31" s="15">
        <v>7</v>
      </c>
      <c r="AF31" s="15">
        <v>42</v>
      </c>
      <c r="AG31" s="85">
        <f t="shared" si="3"/>
        <v>2.9</v>
      </c>
      <c r="AH31" s="15">
        <f t="shared" si="4"/>
        <v>3.9</v>
      </c>
      <c r="AI31" s="15">
        <v>11</v>
      </c>
      <c r="AJ31" s="15">
        <f t="shared" si="5"/>
        <v>1</v>
      </c>
      <c r="AK31" s="15">
        <f t="shared" si="6"/>
        <v>7.38</v>
      </c>
      <c r="AL31" s="14" t="str">
        <f t="shared" si="7"/>
        <v>Neg</v>
      </c>
      <c r="AM31" s="64" t="str">
        <f t="shared" si="8"/>
        <v>Globtier Infotech</v>
      </c>
      <c r="AN31" s="16"/>
      <c r="AO31" s="16">
        <f t="shared" si="9"/>
        <v>1</v>
      </c>
      <c r="AP31" s="16">
        <f t="shared" si="10"/>
        <v>0</v>
      </c>
      <c r="AQ31" s="15">
        <v>1</v>
      </c>
      <c r="AR31" s="15">
        <f t="shared" si="11"/>
        <v>0</v>
      </c>
      <c r="AS31" s="15"/>
      <c r="AT31" s="15">
        <f t="shared" si="12"/>
        <v>638</v>
      </c>
      <c r="AU31" s="16">
        <v>149.25373134328359</v>
      </c>
      <c r="AV31" s="16">
        <v>746.26865671641781</v>
      </c>
      <c r="AW31" s="14">
        <v>5</v>
      </c>
      <c r="AX31" s="14"/>
      <c r="AY31" s="14">
        <v>72</v>
      </c>
      <c r="AZ31" s="16"/>
      <c r="BA31" s="14">
        <v>58</v>
      </c>
      <c r="BB31" s="15"/>
      <c r="BC31" s="15"/>
      <c r="BD31" s="15"/>
      <c r="BE31" s="15"/>
      <c r="BF31" s="15">
        <v>30</v>
      </c>
      <c r="BG31" s="15">
        <v>-58.333333333333343</v>
      </c>
      <c r="BH31" s="15">
        <v>-48.275862068965523</v>
      </c>
    </row>
    <row r="32" spans="2:110">
      <c r="B32" s="21" t="s">
        <v>92</v>
      </c>
      <c r="C32" s="14">
        <v>2024</v>
      </c>
      <c r="D32" s="14" t="s">
        <v>82</v>
      </c>
      <c r="E32" s="15">
        <v>17.25</v>
      </c>
      <c r="F32" s="15">
        <v>15.26</v>
      </c>
      <c r="G32" s="15">
        <f t="shared" si="0"/>
        <v>-13.040629095674969</v>
      </c>
      <c r="H32" s="15">
        <v>51.27</v>
      </c>
      <c r="I32" s="15">
        <v>8.23</v>
      </c>
      <c r="J32" s="15"/>
      <c r="K32" s="15">
        <v>11.31</v>
      </c>
      <c r="L32" s="15"/>
      <c r="M32" s="15">
        <v>14.17</v>
      </c>
      <c r="N32" s="15"/>
      <c r="O32" s="15">
        <v>55.65</v>
      </c>
      <c r="P32" s="15">
        <f t="shared" si="1"/>
        <v>6.7618469015795863</v>
      </c>
      <c r="Q32" s="15">
        <v>17.68</v>
      </c>
      <c r="R32" s="15">
        <v>17.68</v>
      </c>
      <c r="S32" s="85">
        <v>0</v>
      </c>
      <c r="T32" s="16"/>
      <c r="U32" s="16"/>
      <c r="V32" s="16">
        <v>0</v>
      </c>
      <c r="W32" s="15"/>
      <c r="X32" s="15">
        <v>0</v>
      </c>
      <c r="Y32" s="15">
        <v>0.88</v>
      </c>
      <c r="Z32" s="15">
        <v>2.66</v>
      </c>
      <c r="AA32" s="2">
        <f t="shared" si="2"/>
        <v>-1.7</v>
      </c>
      <c r="AB32" s="15">
        <v>0</v>
      </c>
      <c r="AC32" s="15">
        <f t="shared" si="13"/>
        <v>0</v>
      </c>
      <c r="AD32" s="15">
        <v>102</v>
      </c>
      <c r="AE32" s="15">
        <v>76</v>
      </c>
      <c r="AF32" s="15">
        <v>34</v>
      </c>
      <c r="AG32" s="85">
        <f t="shared" si="3"/>
        <v>3.5</v>
      </c>
      <c r="AH32" s="15">
        <f t="shared" si="4"/>
        <v>1.8</v>
      </c>
      <c r="AI32" s="15">
        <v>11</v>
      </c>
      <c r="AJ32" s="15">
        <f t="shared" si="5"/>
        <v>1</v>
      </c>
      <c r="AK32" s="15">
        <f t="shared" si="6"/>
        <v>6</v>
      </c>
      <c r="AL32" s="14" t="str">
        <f t="shared" si="7"/>
        <v>Neg</v>
      </c>
      <c r="AM32" s="64" t="str">
        <f t="shared" si="8"/>
        <v>Lamosaic India</v>
      </c>
      <c r="AN32" s="16"/>
      <c r="AO32" s="16">
        <f t="shared" si="9"/>
        <v>1</v>
      </c>
      <c r="AP32" s="16">
        <f t="shared" si="10"/>
        <v>0</v>
      </c>
      <c r="AQ32" s="15">
        <v>1</v>
      </c>
      <c r="AR32" s="15">
        <f t="shared" si="11"/>
        <v>0</v>
      </c>
      <c r="AS32" s="15"/>
      <c r="AT32" s="15">
        <f t="shared" si="12"/>
        <v>500</v>
      </c>
      <c r="AU32" s="16">
        <v>75.187969924812023</v>
      </c>
      <c r="AV32" s="16">
        <v>375.93984962406012</v>
      </c>
      <c r="AW32" s="14">
        <v>5</v>
      </c>
      <c r="AX32" s="14"/>
      <c r="AY32" s="14">
        <v>200</v>
      </c>
      <c r="AZ32" s="16"/>
      <c r="BA32" s="14">
        <v>164</v>
      </c>
      <c r="BB32" s="15"/>
      <c r="BC32" s="15"/>
      <c r="BD32" s="15"/>
      <c r="BE32" s="15"/>
      <c r="BF32" s="15">
        <v>40</v>
      </c>
      <c r="BG32" s="15">
        <v>-80</v>
      </c>
      <c r="BH32" s="15">
        <v>-75.609756097560975</v>
      </c>
    </row>
    <row r="33" spans="2:111">
      <c r="B33" s="20" t="s">
        <v>93</v>
      </c>
      <c r="C33" s="14">
        <v>2024</v>
      </c>
      <c r="D33" s="14" t="s">
        <v>82</v>
      </c>
      <c r="E33" s="15">
        <v>14.19</v>
      </c>
      <c r="F33" s="15">
        <v>16.77</v>
      </c>
      <c r="G33" s="15">
        <f t="shared" si="0"/>
        <v>15.384615384615385</v>
      </c>
      <c r="H33" s="15">
        <v>31.51</v>
      </c>
      <c r="I33" s="15">
        <v>1.67</v>
      </c>
      <c r="J33" s="15"/>
      <c r="K33" s="15">
        <v>2.5</v>
      </c>
      <c r="L33" s="15"/>
      <c r="M33" s="15">
        <v>2.82</v>
      </c>
      <c r="N33" s="15"/>
      <c r="O33" s="15">
        <v>25.14</v>
      </c>
      <c r="P33" s="15">
        <f t="shared" si="1"/>
        <v>15.053892215568863</v>
      </c>
      <c r="Q33" s="15">
        <v>34</v>
      </c>
      <c r="R33" s="15">
        <v>34</v>
      </c>
      <c r="S33" s="85">
        <v>0</v>
      </c>
      <c r="T33" s="16"/>
      <c r="U33" s="16"/>
      <c r="V33" s="16">
        <v>0</v>
      </c>
      <c r="W33" s="15"/>
      <c r="X33" s="15">
        <v>43</v>
      </c>
      <c r="Y33" s="15">
        <v>22.5</v>
      </c>
      <c r="Z33" s="15">
        <v>61</v>
      </c>
      <c r="AA33" s="2">
        <f t="shared" si="2"/>
        <v>-0.7</v>
      </c>
      <c r="AB33" s="15">
        <v>11</v>
      </c>
      <c r="AC33" s="15">
        <f t="shared" si="13"/>
        <v>1.9166666666666665</v>
      </c>
      <c r="AD33" s="15">
        <v>1606.2</v>
      </c>
      <c r="AE33" s="15">
        <v>22</v>
      </c>
      <c r="AF33" s="15">
        <v>132.1</v>
      </c>
      <c r="AG33" s="85">
        <f t="shared" si="3"/>
        <v>2.7</v>
      </c>
      <c r="AH33" s="15">
        <f t="shared" si="4"/>
        <v>5.916666666666667</v>
      </c>
      <c r="AI33" s="15">
        <v>11</v>
      </c>
      <c r="AJ33" s="15">
        <f t="shared" si="5"/>
        <v>1</v>
      </c>
      <c r="AK33" s="15">
        <f t="shared" si="6"/>
        <v>9.1566666666666663</v>
      </c>
      <c r="AL33" s="14" t="str">
        <f t="shared" si="7"/>
        <v>Neg</v>
      </c>
      <c r="AM33" s="64" t="str">
        <f t="shared" si="8"/>
        <v>BikeWo GreenTech</v>
      </c>
      <c r="AN33" s="16"/>
      <c r="AO33" s="16">
        <f t="shared" si="9"/>
        <v>1</v>
      </c>
      <c r="AP33" s="16">
        <f t="shared" si="10"/>
        <v>0</v>
      </c>
      <c r="AQ33" s="15">
        <v>1</v>
      </c>
      <c r="AR33" s="15">
        <f t="shared" si="11"/>
        <v>0</v>
      </c>
      <c r="AS33" s="15"/>
      <c r="AT33" s="15">
        <f t="shared" si="12"/>
        <v>815.66666666666663</v>
      </c>
      <c r="AU33" s="16">
        <v>3.278688524590164</v>
      </c>
      <c r="AV33" s="16">
        <v>16.393442622950818</v>
      </c>
      <c r="AW33" s="14">
        <v>5</v>
      </c>
      <c r="AX33" s="14"/>
      <c r="AY33" s="14">
        <v>62</v>
      </c>
      <c r="AZ33" s="16"/>
      <c r="BA33" s="14">
        <v>45</v>
      </c>
      <c r="BB33" s="15"/>
      <c r="BC33" s="15"/>
      <c r="BD33" s="15"/>
      <c r="BE33" s="15"/>
      <c r="BF33" s="15">
        <v>16</v>
      </c>
      <c r="BG33" s="15">
        <v>-74.193548387096769</v>
      </c>
      <c r="BH33" s="15">
        <v>-64.444444444444443</v>
      </c>
      <c r="DG33" t="s">
        <v>94</v>
      </c>
    </row>
    <row r="34" spans="2:111">
      <c r="B34" s="21" t="s">
        <v>95</v>
      </c>
      <c r="C34" s="14">
        <v>2024</v>
      </c>
      <c r="D34" s="14" t="s">
        <v>82</v>
      </c>
      <c r="E34" s="15">
        <v>4.6100000000000003</v>
      </c>
      <c r="F34" s="15">
        <v>10.82</v>
      </c>
      <c r="G34" s="15">
        <f t="shared" ref="G34:G65" si="14">100*(F34-E34)/F34</f>
        <v>57.393715341959336</v>
      </c>
      <c r="H34" s="14">
        <v>18.86</v>
      </c>
      <c r="I34" s="15">
        <v>2.37</v>
      </c>
      <c r="J34" s="15"/>
      <c r="K34" s="15">
        <v>2.92</v>
      </c>
      <c r="L34" s="15"/>
      <c r="M34" s="15" t="s">
        <v>79</v>
      </c>
      <c r="N34" s="15"/>
      <c r="O34" s="15">
        <v>73.95</v>
      </c>
      <c r="P34" s="15">
        <f t="shared" ref="P34:P65" si="15">O34/I34</f>
        <v>31.202531645569621</v>
      </c>
      <c r="Q34" s="15">
        <v>22.6</v>
      </c>
      <c r="R34" s="15">
        <v>22.6</v>
      </c>
      <c r="S34" s="85">
        <v>0</v>
      </c>
      <c r="T34" s="16"/>
      <c r="U34" s="16"/>
      <c r="V34" s="16">
        <v>0</v>
      </c>
      <c r="W34" s="15"/>
      <c r="X34" s="15">
        <v>0</v>
      </c>
      <c r="Y34" s="15">
        <v>40.69</v>
      </c>
      <c r="Z34" s="15">
        <v>74.540000000000006</v>
      </c>
      <c r="AA34" s="2">
        <f t="shared" si="2"/>
        <v>-1.7</v>
      </c>
      <c r="AB34" s="15">
        <v>0</v>
      </c>
      <c r="AC34" s="15">
        <f t="shared" si="13"/>
        <v>0</v>
      </c>
      <c r="AD34" s="15">
        <v>373</v>
      </c>
      <c r="AE34" s="15">
        <v>-11</v>
      </c>
      <c r="AF34" s="15" t="s">
        <v>79</v>
      </c>
      <c r="AG34" s="85">
        <f t="shared" si="3"/>
        <v>1.5999999999999996</v>
      </c>
      <c r="AH34" s="15">
        <f t="shared" si="4"/>
        <v>0.89999999999999969</v>
      </c>
      <c r="AI34" s="15">
        <v>11</v>
      </c>
      <c r="AJ34" s="15">
        <f t="shared" si="5"/>
        <v>1</v>
      </c>
      <c r="AK34" s="15">
        <f t="shared" si="6"/>
        <v>2.8199999999999994</v>
      </c>
      <c r="AL34" s="14" t="str">
        <f t="shared" si="7"/>
        <v>Neg</v>
      </c>
      <c r="AM34" s="64" t="str">
        <f t="shared" ref="AM34:AM65" si="16">B34</f>
        <v>Kalana Ispat</v>
      </c>
      <c r="AN34" s="16"/>
      <c r="AO34" s="16">
        <f t="shared" ref="AO34:AO65" si="17">AN34+1</f>
        <v>1</v>
      </c>
      <c r="AP34" s="16">
        <f t="shared" si="10"/>
        <v>0</v>
      </c>
      <c r="AQ34" s="15">
        <v>1</v>
      </c>
      <c r="AR34" s="15">
        <f t="shared" si="11"/>
        <v>0</v>
      </c>
      <c r="AS34" s="15"/>
      <c r="AT34" s="15">
        <f t="shared" si="12"/>
        <v>181.99999999999994</v>
      </c>
      <c r="AU34" s="16">
        <v>2.6831231553528299</v>
      </c>
      <c r="AV34" s="16">
        <v>13.415615776764151</v>
      </c>
      <c r="AW34" s="14">
        <v>5</v>
      </c>
      <c r="AX34" s="14"/>
      <c r="AY34" s="14">
        <v>66</v>
      </c>
      <c r="AZ34" s="16"/>
      <c r="BA34" s="14">
        <v>45</v>
      </c>
      <c r="BB34" s="15"/>
      <c r="BC34" s="15"/>
      <c r="BD34" s="15"/>
      <c r="BE34" s="15"/>
      <c r="BF34" s="15">
        <v>30</v>
      </c>
      <c r="BG34" s="15">
        <v>-54.545454545454547</v>
      </c>
      <c r="BH34" s="15">
        <v>-33.333333333333343</v>
      </c>
    </row>
    <row r="35" spans="2:111">
      <c r="B35" s="21" t="s">
        <v>96</v>
      </c>
      <c r="C35" s="14">
        <v>2024</v>
      </c>
      <c r="D35" s="14" t="s">
        <v>82</v>
      </c>
      <c r="E35" s="15">
        <v>0</v>
      </c>
      <c r="F35" s="15">
        <v>4.5999999999999996</v>
      </c>
      <c r="G35" s="15">
        <f t="shared" si="14"/>
        <v>100</v>
      </c>
      <c r="H35" s="14">
        <v>12.5</v>
      </c>
      <c r="I35" s="15">
        <v>0.67</v>
      </c>
      <c r="J35" s="15"/>
      <c r="K35" s="15">
        <v>0.47</v>
      </c>
      <c r="L35" s="15"/>
      <c r="M35" s="15">
        <v>3.39</v>
      </c>
      <c r="N35" s="15"/>
      <c r="O35" s="15">
        <v>30.91</v>
      </c>
      <c r="P35" s="15">
        <f t="shared" si="15"/>
        <v>46.134328358208954</v>
      </c>
      <c r="Q35" s="15">
        <v>5.86</v>
      </c>
      <c r="R35" s="15">
        <v>46.47</v>
      </c>
      <c r="S35" s="85">
        <v>0</v>
      </c>
      <c r="T35" s="16"/>
      <c r="U35" s="16"/>
      <c r="V35" s="16">
        <v>0</v>
      </c>
      <c r="W35" s="15"/>
      <c r="X35" s="15">
        <v>0</v>
      </c>
      <c r="Y35" s="15">
        <v>10.63</v>
      </c>
      <c r="Z35" s="15">
        <v>29.79</v>
      </c>
      <c r="AA35" s="2">
        <f t="shared" si="2"/>
        <v>-1.7</v>
      </c>
      <c r="AB35" s="15">
        <v>0</v>
      </c>
      <c r="AC35" s="15">
        <f t="shared" si="13"/>
        <v>0</v>
      </c>
      <c r="AD35" s="15">
        <v>3</v>
      </c>
      <c r="AE35" s="15">
        <v>-6</v>
      </c>
      <c r="AF35" s="15" t="s">
        <v>79</v>
      </c>
      <c r="AG35" s="85">
        <f t="shared" si="3"/>
        <v>1.0999999999999996</v>
      </c>
      <c r="AH35" s="15">
        <f t="shared" si="4"/>
        <v>0.39999999999999969</v>
      </c>
      <c r="AI35" s="15">
        <v>11</v>
      </c>
      <c r="AJ35" s="15">
        <f t="shared" si="5"/>
        <v>1</v>
      </c>
      <c r="AK35" s="15">
        <f t="shared" si="6"/>
        <v>1.7199999999999993</v>
      </c>
      <c r="AL35" s="14" t="str">
        <f t="shared" si="7"/>
        <v>Neg</v>
      </c>
      <c r="AM35" s="64" t="str">
        <f t="shared" si="16"/>
        <v>3C IT</v>
      </c>
      <c r="AN35" s="16"/>
      <c r="AO35" s="16">
        <f t="shared" si="17"/>
        <v>1</v>
      </c>
      <c r="AP35" s="16">
        <f t="shared" si="10"/>
        <v>0</v>
      </c>
      <c r="AQ35" s="15">
        <v>1</v>
      </c>
      <c r="AR35" s="15">
        <f t="shared" si="11"/>
        <v>0</v>
      </c>
      <c r="AS35" s="15"/>
      <c r="AT35" s="15">
        <f t="shared" si="12"/>
        <v>71.999999999999929</v>
      </c>
      <c r="AU35" s="16">
        <v>6.7136623027861697</v>
      </c>
      <c r="AV35" s="16">
        <v>33.568311513930851</v>
      </c>
      <c r="AW35" s="14">
        <v>5</v>
      </c>
      <c r="AX35" s="14"/>
      <c r="AY35" s="14">
        <v>52</v>
      </c>
      <c r="AZ35" s="16"/>
      <c r="BA35" s="14">
        <v>43</v>
      </c>
      <c r="BB35" s="15"/>
      <c r="BC35" s="15"/>
      <c r="BD35" s="15"/>
      <c r="BE35" s="15"/>
      <c r="BF35" s="15">
        <v>18</v>
      </c>
      <c r="BG35" s="15">
        <v>-65.384615384615387</v>
      </c>
      <c r="BH35" s="15">
        <v>-58.139534883720927</v>
      </c>
    </row>
    <row r="36" spans="2:111">
      <c r="B36" s="21" t="s">
        <v>97</v>
      </c>
      <c r="C36" s="14">
        <v>2024</v>
      </c>
      <c r="D36" s="14" t="s">
        <v>82</v>
      </c>
      <c r="E36" s="15">
        <v>91.56</v>
      </c>
      <c r="F36" s="15">
        <v>13.38</v>
      </c>
      <c r="G36" s="15">
        <f t="shared" si="14"/>
        <v>-584.30493273542606</v>
      </c>
      <c r="H36" s="14">
        <v>154.19999999999999</v>
      </c>
      <c r="I36" s="15">
        <v>3.77</v>
      </c>
      <c r="J36" s="15"/>
      <c r="K36" s="15">
        <v>3.77</v>
      </c>
      <c r="L36" s="15"/>
      <c r="M36" s="15">
        <v>16.61</v>
      </c>
      <c r="N36" s="15"/>
      <c r="O36" s="15">
        <v>93.94</v>
      </c>
      <c r="P36" s="15">
        <f t="shared" si="15"/>
        <v>24.917771883289124</v>
      </c>
      <c r="Q36" s="15">
        <v>31.8</v>
      </c>
      <c r="R36" s="15">
        <v>31.8</v>
      </c>
      <c r="S36" s="85">
        <v>0</v>
      </c>
      <c r="T36" s="16"/>
      <c r="U36" s="16"/>
      <c r="V36" s="16">
        <v>0</v>
      </c>
      <c r="W36" s="15"/>
      <c r="X36" s="15" t="s">
        <v>79</v>
      </c>
      <c r="Y36" s="15">
        <v>3.9</v>
      </c>
      <c r="Z36" s="15">
        <v>13.01</v>
      </c>
      <c r="AA36" s="2">
        <f t="shared" si="2"/>
        <v>-0.7</v>
      </c>
      <c r="AB36" s="15">
        <v>0</v>
      </c>
      <c r="AC36" s="15">
        <f t="shared" si="13"/>
        <v>0</v>
      </c>
      <c r="AD36" s="15">
        <v>18</v>
      </c>
      <c r="AE36" s="15">
        <v>-29</v>
      </c>
      <c r="AF36" s="15" t="s">
        <v>79</v>
      </c>
      <c r="AG36" s="85">
        <f t="shared" si="3"/>
        <v>-0.5</v>
      </c>
      <c r="AH36" s="15">
        <f t="shared" si="4"/>
        <v>0.8</v>
      </c>
      <c r="AI36" s="15">
        <v>11</v>
      </c>
      <c r="AJ36" s="15">
        <f t="shared" si="5"/>
        <v>1</v>
      </c>
      <c r="AK36" s="15">
        <f t="shared" si="6"/>
        <v>0.20000000000000007</v>
      </c>
      <c r="AL36" s="14" t="str">
        <f t="shared" si="7"/>
        <v>Neg</v>
      </c>
      <c r="AM36" s="64" t="str">
        <f t="shared" si="16"/>
        <v>M.V.K. Agro Food</v>
      </c>
      <c r="AN36" s="16"/>
      <c r="AO36" s="16">
        <f t="shared" si="17"/>
        <v>1</v>
      </c>
      <c r="AP36" s="16">
        <f t="shared" si="10"/>
        <v>0</v>
      </c>
      <c r="AQ36" s="15">
        <v>1</v>
      </c>
      <c r="AR36" s="15">
        <f t="shared" si="11"/>
        <v>0</v>
      </c>
      <c r="AS36" s="15"/>
      <c r="AT36" s="15">
        <f t="shared" si="12"/>
        <v>-80</v>
      </c>
      <c r="AU36" s="16">
        <v>15.372790161414301</v>
      </c>
      <c r="AV36" s="16">
        <v>76.86395080707149</v>
      </c>
      <c r="AW36" s="14">
        <v>5</v>
      </c>
      <c r="AX36" s="14"/>
      <c r="AY36" s="14">
        <v>120</v>
      </c>
      <c r="AZ36" s="16"/>
      <c r="BA36" s="14">
        <v>79</v>
      </c>
      <c r="BB36" s="15"/>
      <c r="BC36" s="15"/>
      <c r="BD36" s="15"/>
      <c r="BE36" s="15"/>
      <c r="BF36" s="15">
        <v>525</v>
      </c>
      <c r="BG36" s="15">
        <v>337.5</v>
      </c>
      <c r="BH36" s="15">
        <v>564.55696202531647</v>
      </c>
    </row>
    <row r="37" spans="2:111">
      <c r="B37" s="21" t="s">
        <v>98</v>
      </c>
      <c r="C37" s="14">
        <v>2024</v>
      </c>
      <c r="D37" s="64" t="s">
        <v>99</v>
      </c>
      <c r="E37" s="15">
        <v>2.5299999999999998</v>
      </c>
      <c r="F37" s="15">
        <v>11.32</v>
      </c>
      <c r="G37" s="15">
        <f t="shared" si="14"/>
        <v>77.650176678445234</v>
      </c>
      <c r="H37" s="14">
        <v>28.58</v>
      </c>
      <c r="I37" s="15">
        <v>7.68</v>
      </c>
      <c r="J37" s="15"/>
      <c r="K37" s="15">
        <v>7.61</v>
      </c>
      <c r="L37" s="15"/>
      <c r="M37" s="15">
        <v>11.96</v>
      </c>
      <c r="N37" s="15"/>
      <c r="O37" s="15">
        <v>80.97</v>
      </c>
      <c r="P37" s="15">
        <f t="shared" si="15"/>
        <v>10.54296875</v>
      </c>
      <c r="Q37" s="15">
        <v>18.79</v>
      </c>
      <c r="R37" s="15">
        <v>18.79</v>
      </c>
      <c r="S37" s="85">
        <v>0</v>
      </c>
      <c r="T37" s="16"/>
      <c r="U37" s="16"/>
      <c r="V37" s="16">
        <v>1</v>
      </c>
      <c r="W37" s="15"/>
      <c r="X37" s="15">
        <v>129.72</v>
      </c>
      <c r="Y37" s="15">
        <v>554.41999999999996</v>
      </c>
      <c r="Z37" s="15">
        <v>235.06</v>
      </c>
      <c r="AA37" s="2">
        <f t="shared" si="2"/>
        <v>1</v>
      </c>
      <c r="AB37" s="15">
        <v>21</v>
      </c>
      <c r="AC37" s="15">
        <f t="shared" si="13"/>
        <v>2.75</v>
      </c>
      <c r="AD37" s="15">
        <v>135</v>
      </c>
      <c r="AE37" s="15">
        <v>82</v>
      </c>
      <c r="AF37" s="15">
        <v>211</v>
      </c>
      <c r="AG37" s="85">
        <f t="shared" si="3"/>
        <v>6.6</v>
      </c>
      <c r="AH37" s="15">
        <f t="shared" si="4"/>
        <v>12.35</v>
      </c>
      <c r="AI37" s="15">
        <v>11</v>
      </c>
      <c r="AJ37" s="15">
        <f t="shared" si="5"/>
        <v>1</v>
      </c>
      <c r="AK37" s="15">
        <f t="shared" si="6"/>
        <v>20.27</v>
      </c>
      <c r="AL37" s="14" t="str">
        <f t="shared" si="7"/>
        <v>Rec</v>
      </c>
      <c r="AM37" s="64" t="str">
        <f t="shared" si="16"/>
        <v>Sona Machinery</v>
      </c>
      <c r="AN37" s="16"/>
      <c r="AO37" s="16">
        <f t="shared" si="17"/>
        <v>1</v>
      </c>
      <c r="AP37" s="16">
        <f t="shared" si="10"/>
        <v>0</v>
      </c>
      <c r="AQ37" s="15">
        <v>1</v>
      </c>
      <c r="AR37" s="15">
        <f t="shared" si="11"/>
        <v>0</v>
      </c>
      <c r="AS37" s="15"/>
      <c r="AT37" s="15">
        <f t="shared" si="12"/>
        <v>1927</v>
      </c>
      <c r="AU37" s="16">
        <v>0.85084659235939764</v>
      </c>
      <c r="AV37" s="16">
        <v>4.2542329617969878</v>
      </c>
      <c r="AW37" s="14">
        <v>5</v>
      </c>
      <c r="AX37" s="14"/>
      <c r="AY37" s="14">
        <v>143</v>
      </c>
      <c r="AZ37" s="16"/>
      <c r="BA37" s="14">
        <v>125</v>
      </c>
      <c r="BB37" s="15">
        <v>126.3</v>
      </c>
      <c r="BC37" s="15">
        <v>143</v>
      </c>
      <c r="BD37" s="15">
        <v>142</v>
      </c>
      <c r="BE37" s="15"/>
      <c r="BF37" s="15">
        <v>73</v>
      </c>
      <c r="BG37" s="15">
        <v>-48.951048951048953</v>
      </c>
      <c r="BH37" s="15">
        <v>-41.6</v>
      </c>
    </row>
    <row r="38" spans="2:111">
      <c r="B38" s="21" t="s">
        <v>100</v>
      </c>
      <c r="C38" s="14">
        <v>2024</v>
      </c>
      <c r="D38" s="14" t="s">
        <v>82</v>
      </c>
      <c r="E38" s="15">
        <v>20.57</v>
      </c>
      <c r="F38" s="15">
        <v>40.840000000000003</v>
      </c>
      <c r="G38" s="15">
        <f t="shared" si="14"/>
        <v>49.632713026444662</v>
      </c>
      <c r="H38" s="14">
        <v>70.400000000000006</v>
      </c>
      <c r="I38" s="15">
        <v>5.04</v>
      </c>
      <c r="J38" s="15"/>
      <c r="K38" s="15">
        <v>4.6399999999999997</v>
      </c>
      <c r="L38" s="15"/>
      <c r="M38" s="15">
        <v>7.07</v>
      </c>
      <c r="N38" s="15"/>
      <c r="O38" s="15">
        <v>73.25</v>
      </c>
      <c r="P38" s="15">
        <f t="shared" si="15"/>
        <v>14.533730158730158</v>
      </c>
      <c r="Q38" s="15">
        <v>19.97</v>
      </c>
      <c r="R38" s="15">
        <v>19.97</v>
      </c>
      <c r="S38" s="85">
        <v>0</v>
      </c>
      <c r="T38" s="16"/>
      <c r="U38" s="16"/>
      <c r="V38" s="16">
        <v>0</v>
      </c>
      <c r="W38" s="15"/>
      <c r="X38" s="15">
        <v>0</v>
      </c>
      <c r="Y38" s="15">
        <v>177.37</v>
      </c>
      <c r="Z38" s="15">
        <v>120.62</v>
      </c>
      <c r="AA38" s="2">
        <f t="shared" si="2"/>
        <v>0</v>
      </c>
      <c r="AB38" s="15">
        <v>17</v>
      </c>
      <c r="AC38" s="15">
        <f t="shared" si="13"/>
        <v>2.416666666666667</v>
      </c>
      <c r="AD38" s="15">
        <v>229</v>
      </c>
      <c r="AE38" s="15">
        <v>-16</v>
      </c>
      <c r="AF38" s="15">
        <v>279</v>
      </c>
      <c r="AG38" s="85">
        <f t="shared" si="3"/>
        <v>1.9</v>
      </c>
      <c r="AH38" s="15">
        <f t="shared" si="4"/>
        <v>5.3166666666666664</v>
      </c>
      <c r="AI38" s="15">
        <v>11</v>
      </c>
      <c r="AJ38" s="15">
        <f t="shared" si="5"/>
        <v>1</v>
      </c>
      <c r="AK38" s="15">
        <f t="shared" si="6"/>
        <v>7.5966666666666658</v>
      </c>
      <c r="AL38" s="14" t="str">
        <f t="shared" si="7"/>
        <v>Neg</v>
      </c>
      <c r="AM38" s="64" t="str">
        <f t="shared" si="16"/>
        <v>Italian Edibles</v>
      </c>
      <c r="AN38" s="16"/>
      <c r="AO38" s="16">
        <f t="shared" si="17"/>
        <v>1</v>
      </c>
      <c r="AP38" s="16">
        <f t="shared" si="10"/>
        <v>0</v>
      </c>
      <c r="AQ38" s="15">
        <v>1</v>
      </c>
      <c r="AR38" s="15">
        <f t="shared" si="11"/>
        <v>0</v>
      </c>
      <c r="AS38" s="15"/>
      <c r="AT38" s="15">
        <f t="shared" si="12"/>
        <v>659.66666666666663</v>
      </c>
      <c r="AU38" s="16">
        <v>1.65809981760902</v>
      </c>
      <c r="AV38" s="16">
        <v>8.2904990880451006</v>
      </c>
      <c r="AW38" s="14">
        <v>5</v>
      </c>
      <c r="AX38" s="14"/>
      <c r="AY38" s="14">
        <v>68</v>
      </c>
      <c r="AZ38" s="16"/>
      <c r="BA38" s="14">
        <v>55</v>
      </c>
      <c r="BB38" s="15"/>
      <c r="BC38" s="15"/>
      <c r="BD38" s="15"/>
      <c r="BE38" s="15"/>
      <c r="BF38" s="15">
        <v>34</v>
      </c>
      <c r="BG38" s="15">
        <v>-50</v>
      </c>
      <c r="BH38" s="15">
        <v>-38.18181818181818</v>
      </c>
    </row>
    <row r="39" spans="2:111">
      <c r="B39" s="21" t="s">
        <v>101</v>
      </c>
      <c r="C39" s="14">
        <v>2024</v>
      </c>
      <c r="D39" s="14" t="s">
        <v>82</v>
      </c>
      <c r="E39" s="15">
        <v>10.29</v>
      </c>
      <c r="F39" s="15">
        <v>11.32</v>
      </c>
      <c r="G39" s="15">
        <f t="shared" si="14"/>
        <v>9.0989399293286315</v>
      </c>
      <c r="H39" s="14">
        <v>39.75</v>
      </c>
      <c r="I39" s="15">
        <v>2.77</v>
      </c>
      <c r="J39" s="15"/>
      <c r="K39" s="15">
        <v>2.68</v>
      </c>
      <c r="L39" s="15"/>
      <c r="M39" s="15">
        <v>4.7300000000000004</v>
      </c>
      <c r="N39" s="15"/>
      <c r="O39" s="15">
        <v>29.79</v>
      </c>
      <c r="P39" s="15">
        <f t="shared" si="15"/>
        <v>10.754512635379061</v>
      </c>
      <c r="Q39" s="15">
        <v>25</v>
      </c>
      <c r="R39" s="15">
        <v>25</v>
      </c>
      <c r="S39" s="85">
        <v>0</v>
      </c>
      <c r="T39" s="16"/>
      <c r="U39" s="16"/>
      <c r="V39" s="16">
        <v>0</v>
      </c>
      <c r="W39" s="15"/>
      <c r="X39" s="15">
        <v>0</v>
      </c>
      <c r="Y39" s="15">
        <v>61.54</v>
      </c>
      <c r="Z39" s="15">
        <v>90.57</v>
      </c>
      <c r="AA39" s="2">
        <f t="shared" si="2"/>
        <v>-1.7</v>
      </c>
      <c r="AB39" s="15">
        <v>6</v>
      </c>
      <c r="AC39" s="15">
        <f t="shared" si="13"/>
        <v>1.5</v>
      </c>
      <c r="AD39" s="15">
        <v>86</v>
      </c>
      <c r="AE39" s="15">
        <v>31</v>
      </c>
      <c r="AF39" s="15">
        <v>81</v>
      </c>
      <c r="AG39" s="85">
        <f t="shared" si="3"/>
        <v>4.2</v>
      </c>
      <c r="AH39" s="15">
        <f t="shared" si="4"/>
        <v>5</v>
      </c>
      <c r="AI39" s="15">
        <v>11</v>
      </c>
      <c r="AJ39" s="15">
        <f t="shared" si="5"/>
        <v>1</v>
      </c>
      <c r="AK39" s="15">
        <f t="shared" si="6"/>
        <v>10.039999999999999</v>
      </c>
      <c r="AL39" s="14" t="str">
        <f t="shared" si="7"/>
        <v>Neg</v>
      </c>
      <c r="AM39" s="64" t="str">
        <f t="shared" si="16"/>
        <v>Mandeep Auto Industries</v>
      </c>
      <c r="AN39" s="16"/>
      <c r="AO39" s="16">
        <f t="shared" si="17"/>
        <v>1</v>
      </c>
      <c r="AP39" s="16">
        <f t="shared" si="10"/>
        <v>0</v>
      </c>
      <c r="AQ39" s="15">
        <v>1</v>
      </c>
      <c r="AR39" s="15">
        <f t="shared" si="11"/>
        <v>0</v>
      </c>
      <c r="AS39" s="15"/>
      <c r="AT39" s="15">
        <f t="shared" si="12"/>
        <v>903.99999999999989</v>
      </c>
      <c r="AU39" s="16">
        <v>2.2082367229767028</v>
      </c>
      <c r="AV39" s="16">
        <v>11.04118361488352</v>
      </c>
      <c r="AW39" s="14">
        <v>5</v>
      </c>
      <c r="AX39" s="14"/>
      <c r="AY39" s="14">
        <v>67</v>
      </c>
      <c r="AZ39" s="16"/>
      <c r="BA39" s="14">
        <v>62</v>
      </c>
      <c r="BB39" s="15"/>
      <c r="BC39" s="15"/>
      <c r="BD39" s="15"/>
      <c r="BE39" s="15"/>
      <c r="BF39" s="15">
        <v>26</v>
      </c>
      <c r="BG39" s="15">
        <v>-61.194029850746269</v>
      </c>
      <c r="BH39" s="15">
        <v>-58.064516129032263</v>
      </c>
    </row>
    <row r="40" spans="2:111">
      <c r="B40" s="21" t="s">
        <v>102</v>
      </c>
      <c r="C40" s="14">
        <v>2024</v>
      </c>
      <c r="D40" s="14" t="s">
        <v>82</v>
      </c>
      <c r="E40" s="15">
        <v>7.7</v>
      </c>
      <c r="F40" s="15">
        <v>9.01</v>
      </c>
      <c r="G40" s="15">
        <f t="shared" si="14"/>
        <v>14.539400665926745</v>
      </c>
      <c r="H40" s="14">
        <v>21.05</v>
      </c>
      <c r="I40" s="15">
        <v>0.87</v>
      </c>
      <c r="J40" s="15"/>
      <c r="K40" s="15">
        <v>1.94</v>
      </c>
      <c r="L40" s="15"/>
      <c r="M40" s="15">
        <v>2</v>
      </c>
      <c r="N40" s="15"/>
      <c r="O40" s="15">
        <v>11.44</v>
      </c>
      <c r="P40" s="15">
        <f t="shared" si="15"/>
        <v>13.149425287356321</v>
      </c>
      <c r="Q40" s="15">
        <v>47.21</v>
      </c>
      <c r="R40" s="15">
        <v>47.21</v>
      </c>
      <c r="S40" s="85">
        <v>0</v>
      </c>
      <c r="T40" s="16"/>
      <c r="U40" s="16"/>
      <c r="V40" s="16">
        <v>0</v>
      </c>
      <c r="W40" s="15"/>
      <c r="X40" s="15">
        <v>0</v>
      </c>
      <c r="Y40" s="15">
        <v>45.02</v>
      </c>
      <c r="Z40" s="15">
        <v>82.72</v>
      </c>
      <c r="AA40" s="2">
        <f t="shared" si="2"/>
        <v>-1.7</v>
      </c>
      <c r="AB40" s="15">
        <v>0</v>
      </c>
      <c r="AC40" s="15">
        <f t="shared" si="13"/>
        <v>0</v>
      </c>
      <c r="AD40" s="15">
        <v>-16</v>
      </c>
      <c r="AE40" s="15">
        <v>-31</v>
      </c>
      <c r="AF40" s="15">
        <v>170</v>
      </c>
      <c r="AG40" s="85">
        <f t="shared" si="3"/>
        <v>0.70000000000000018</v>
      </c>
      <c r="AH40" s="15">
        <f t="shared" si="4"/>
        <v>0</v>
      </c>
      <c r="AI40" s="15">
        <v>11</v>
      </c>
      <c r="AJ40" s="15">
        <f t="shared" si="5"/>
        <v>1</v>
      </c>
      <c r="AK40" s="15">
        <f t="shared" si="6"/>
        <v>0.84000000000000019</v>
      </c>
      <c r="AL40" s="14" t="str">
        <f t="shared" si="7"/>
        <v>Neg</v>
      </c>
      <c r="AM40" s="64" t="str">
        <f t="shared" si="16"/>
        <v>Falcon Technoprojects India</v>
      </c>
      <c r="AN40" s="16"/>
      <c r="AO40" s="16">
        <f t="shared" si="17"/>
        <v>1</v>
      </c>
      <c r="AP40" s="16">
        <f t="shared" si="10"/>
        <v>0</v>
      </c>
      <c r="AQ40" s="15">
        <v>1</v>
      </c>
      <c r="AR40" s="15">
        <f t="shared" si="11"/>
        <v>0</v>
      </c>
      <c r="AS40" s="15"/>
      <c r="AT40" s="15">
        <f t="shared" si="12"/>
        <v>-15.99999999999998</v>
      </c>
      <c r="AU40" s="16">
        <v>2.4177949709864599</v>
      </c>
      <c r="AV40" s="16">
        <v>12.0889748549323</v>
      </c>
      <c r="AW40" s="14">
        <v>5</v>
      </c>
      <c r="AX40" s="14"/>
      <c r="AY40" s="14">
        <v>92</v>
      </c>
      <c r="AZ40" s="16"/>
      <c r="BA40" s="14">
        <v>84</v>
      </c>
      <c r="BB40" s="15"/>
      <c r="BC40" s="15"/>
      <c r="BD40" s="15"/>
      <c r="BE40" s="15"/>
      <c r="BF40" s="15">
        <v>18</v>
      </c>
      <c r="BG40" s="15">
        <v>-80.434782608695656</v>
      </c>
      <c r="BH40" s="15">
        <v>-78.571428571428569</v>
      </c>
    </row>
    <row r="41" spans="2:111">
      <c r="B41" s="21" t="s">
        <v>103</v>
      </c>
      <c r="C41" s="14">
        <v>2023</v>
      </c>
      <c r="D41" s="14" t="s">
        <v>82</v>
      </c>
      <c r="E41" s="14">
        <v>8.94</v>
      </c>
      <c r="F41" s="14">
        <v>11.02</v>
      </c>
      <c r="G41" s="15">
        <f t="shared" si="14"/>
        <v>18.874773139745916</v>
      </c>
      <c r="H41" s="14">
        <v>23.23</v>
      </c>
      <c r="I41" s="14">
        <v>6.85</v>
      </c>
      <c r="J41" s="14"/>
      <c r="K41" s="14">
        <v>9.11</v>
      </c>
      <c r="L41" s="14"/>
      <c r="M41" s="14">
        <v>7.52</v>
      </c>
      <c r="N41" s="14"/>
      <c r="O41" s="14">
        <v>21.81</v>
      </c>
      <c r="P41" s="15">
        <f t="shared" si="15"/>
        <v>3.1839416058394159</v>
      </c>
      <c r="Q41" s="14">
        <v>17.600000000000001</v>
      </c>
      <c r="R41" s="15">
        <v>17.600000000000001</v>
      </c>
      <c r="S41" s="85">
        <v>0</v>
      </c>
      <c r="T41" s="16"/>
      <c r="U41" s="16"/>
      <c r="V41" s="16">
        <v>0</v>
      </c>
      <c r="W41" s="14"/>
      <c r="X41" s="14">
        <v>0</v>
      </c>
      <c r="Y41" s="14">
        <v>36.78</v>
      </c>
      <c r="Z41" s="14">
        <v>30.27</v>
      </c>
      <c r="AA41" s="2">
        <f t="shared" si="2"/>
        <v>0</v>
      </c>
      <c r="AB41" s="15">
        <v>5</v>
      </c>
      <c r="AC41" s="15">
        <f t="shared" si="13"/>
        <v>1.4166666666666667</v>
      </c>
      <c r="AD41" s="14">
        <v>66</v>
      </c>
      <c r="AE41" s="14">
        <v>26</v>
      </c>
      <c r="AF41" s="14">
        <v>213</v>
      </c>
      <c r="AG41" s="85">
        <f t="shared" si="3"/>
        <v>4.2</v>
      </c>
      <c r="AH41" s="15">
        <f t="shared" si="4"/>
        <v>6.6166666666666671</v>
      </c>
      <c r="AI41" s="15">
        <v>11</v>
      </c>
      <c r="AJ41" s="15">
        <f t="shared" si="5"/>
        <v>1</v>
      </c>
      <c r="AK41" s="15">
        <f t="shared" si="6"/>
        <v>11.656666666666666</v>
      </c>
      <c r="AL41" s="14" t="str">
        <f t="shared" si="7"/>
        <v>Neg</v>
      </c>
      <c r="AM41" s="64" t="str">
        <f t="shared" si="16"/>
        <v>Aatmaj Healthcare</v>
      </c>
      <c r="AN41" s="16"/>
      <c r="AO41" s="16">
        <f t="shared" si="17"/>
        <v>1</v>
      </c>
      <c r="AP41" s="16">
        <f t="shared" si="10"/>
        <v>0</v>
      </c>
      <c r="AQ41" s="15">
        <v>1</v>
      </c>
      <c r="AR41" s="15">
        <f t="shared" si="11"/>
        <v>0</v>
      </c>
      <c r="AS41" s="15"/>
      <c r="AT41" s="15">
        <f t="shared" si="12"/>
        <v>1065.6666666666665</v>
      </c>
      <c r="AU41" s="16"/>
      <c r="AV41" s="16"/>
      <c r="AW41" s="14"/>
      <c r="AX41" s="14"/>
      <c r="AY41" s="14"/>
      <c r="AZ41" s="16"/>
      <c r="BA41" s="14"/>
      <c r="BB41" s="15"/>
      <c r="BC41" s="15"/>
      <c r="BD41" s="15"/>
      <c r="BE41" s="15"/>
      <c r="BF41" s="15"/>
      <c r="BG41" s="15"/>
      <c r="BH41" s="15"/>
    </row>
    <row r="42" spans="2:111">
      <c r="B42" s="21" t="s">
        <v>104</v>
      </c>
      <c r="C42" s="14">
        <v>2023</v>
      </c>
      <c r="D42" s="14" t="s">
        <v>82</v>
      </c>
      <c r="E42" s="14">
        <v>3.98</v>
      </c>
      <c r="F42" s="14">
        <v>16.48</v>
      </c>
      <c r="G42" s="15">
        <f t="shared" si="14"/>
        <v>75.849514563106794</v>
      </c>
      <c r="H42" s="14">
        <v>25.6</v>
      </c>
      <c r="I42" s="14">
        <v>5.92</v>
      </c>
      <c r="J42" s="14"/>
      <c r="K42" s="14">
        <v>5.78</v>
      </c>
      <c r="L42" s="14"/>
      <c r="M42" s="14">
        <v>8.92</v>
      </c>
      <c r="N42" s="14"/>
      <c r="O42" s="14">
        <v>22.06</v>
      </c>
      <c r="P42" s="15">
        <f t="shared" si="15"/>
        <v>3.7263513513513513</v>
      </c>
      <c r="Q42" s="14">
        <v>14.01</v>
      </c>
      <c r="R42" s="15">
        <v>14.01</v>
      </c>
      <c r="S42" s="85">
        <v>0</v>
      </c>
      <c r="T42" s="16"/>
      <c r="U42" s="16"/>
      <c r="V42" s="16">
        <v>0</v>
      </c>
      <c r="W42" s="14"/>
      <c r="X42" s="14">
        <v>0</v>
      </c>
      <c r="Y42" s="14">
        <v>22.6</v>
      </c>
      <c r="Z42" s="14">
        <v>49.08</v>
      </c>
      <c r="AA42" s="2">
        <f t="shared" si="2"/>
        <v>-1.7</v>
      </c>
      <c r="AB42" s="15">
        <v>5</v>
      </c>
      <c r="AC42" s="15">
        <f t="shared" si="13"/>
        <v>1.4166666666666667</v>
      </c>
      <c r="AD42" s="14">
        <v>121.8</v>
      </c>
      <c r="AE42" s="14">
        <v>26.5</v>
      </c>
      <c r="AF42" s="14">
        <v>56.35</v>
      </c>
      <c r="AG42" s="85">
        <f t="shared" si="3"/>
        <v>5.6</v>
      </c>
      <c r="AH42" s="15">
        <f t="shared" si="4"/>
        <v>6.3166666666666655</v>
      </c>
      <c r="AI42" s="15">
        <v>11</v>
      </c>
      <c r="AJ42" s="15">
        <f t="shared" si="5"/>
        <v>1</v>
      </c>
      <c r="AK42" s="15">
        <f t="shared" si="6"/>
        <v>13.036666666666665</v>
      </c>
      <c r="AL42" s="14" t="str">
        <f t="shared" si="7"/>
        <v>Neg</v>
      </c>
      <c r="AM42" s="64" t="str">
        <f t="shared" si="16"/>
        <v>Micropro Software Solutions</v>
      </c>
      <c r="AN42" s="16"/>
      <c r="AO42" s="16">
        <f t="shared" si="17"/>
        <v>1</v>
      </c>
      <c r="AP42" s="16">
        <f t="shared" si="10"/>
        <v>0</v>
      </c>
      <c r="AQ42" s="15">
        <v>1</v>
      </c>
      <c r="AR42" s="15">
        <f t="shared" si="11"/>
        <v>0</v>
      </c>
      <c r="AS42" s="15"/>
      <c r="AT42" s="15">
        <f t="shared" si="12"/>
        <v>1203.6666666666665</v>
      </c>
      <c r="AU42" s="16"/>
      <c r="AV42" s="16"/>
      <c r="AW42" s="14"/>
      <c r="AX42" s="14"/>
      <c r="AY42" s="14"/>
      <c r="AZ42" s="16"/>
      <c r="BA42" s="14"/>
      <c r="BB42" s="15"/>
      <c r="BC42" s="15"/>
      <c r="BD42" s="15"/>
      <c r="BE42" s="15"/>
      <c r="BF42" s="15"/>
      <c r="BG42" s="15"/>
      <c r="BH42" s="15"/>
    </row>
    <row r="43" spans="2:111">
      <c r="B43" s="21" t="s">
        <v>105</v>
      </c>
      <c r="C43" s="14">
        <v>2023</v>
      </c>
      <c r="D43" s="14" t="s">
        <v>82</v>
      </c>
      <c r="E43" s="14">
        <v>1.96</v>
      </c>
      <c r="F43" s="14">
        <v>4.1399999999999997</v>
      </c>
      <c r="G43" s="15">
        <f t="shared" si="14"/>
        <v>52.65700483091787</v>
      </c>
      <c r="H43" s="14">
        <v>23.22</v>
      </c>
      <c r="I43" s="14">
        <v>0.17</v>
      </c>
      <c r="J43" s="14"/>
      <c r="K43" s="14">
        <v>0.52</v>
      </c>
      <c r="L43" s="14"/>
      <c r="M43" s="14">
        <v>0.28999999999999998</v>
      </c>
      <c r="N43" s="14"/>
      <c r="O43" s="14">
        <v>1.81</v>
      </c>
      <c r="P43" s="15">
        <f t="shared" si="15"/>
        <v>10.647058823529411</v>
      </c>
      <c r="Q43" s="14">
        <v>34.619999999999997</v>
      </c>
      <c r="R43" s="15">
        <v>34.619999999999997</v>
      </c>
      <c r="S43" s="85">
        <v>0</v>
      </c>
      <c r="T43" s="16"/>
      <c r="U43" s="16"/>
      <c r="V43" s="16">
        <v>0</v>
      </c>
      <c r="W43" s="14"/>
      <c r="X43" s="14">
        <v>0</v>
      </c>
      <c r="Y43" s="14">
        <v>12</v>
      </c>
      <c r="Z43" s="14">
        <v>26</v>
      </c>
      <c r="AA43" s="2">
        <f t="shared" si="2"/>
        <v>-1.7</v>
      </c>
      <c r="AB43" s="15">
        <v>0</v>
      </c>
      <c r="AC43" s="15">
        <f t="shared" si="13"/>
        <v>0</v>
      </c>
      <c r="AD43" s="14">
        <v>-50.29</v>
      </c>
      <c r="AE43" s="14">
        <v>-85.23</v>
      </c>
      <c r="AF43" s="14">
        <v>285.14</v>
      </c>
      <c r="AG43" s="85">
        <f t="shared" si="3"/>
        <v>2.0999999999999996</v>
      </c>
      <c r="AH43" s="15">
        <f t="shared" si="4"/>
        <v>1.3999999999999997</v>
      </c>
      <c r="AI43" s="15">
        <v>11</v>
      </c>
      <c r="AJ43" s="15">
        <f t="shared" si="5"/>
        <v>1</v>
      </c>
      <c r="AK43" s="15">
        <f t="shared" si="6"/>
        <v>3.919999999999999</v>
      </c>
      <c r="AL43" s="14" t="str">
        <f t="shared" si="7"/>
        <v>Neg</v>
      </c>
      <c r="AM43" s="64" t="str">
        <f t="shared" si="16"/>
        <v>Vrundavan Plantation</v>
      </c>
      <c r="AN43" s="16"/>
      <c r="AO43" s="16">
        <f t="shared" si="17"/>
        <v>1</v>
      </c>
      <c r="AP43" s="16">
        <f t="shared" si="10"/>
        <v>0</v>
      </c>
      <c r="AQ43" s="15">
        <v>1</v>
      </c>
      <c r="AR43" s="15">
        <f t="shared" si="11"/>
        <v>0</v>
      </c>
      <c r="AS43" s="15"/>
      <c r="AT43" s="15">
        <f t="shared" si="12"/>
        <v>291.99999999999989</v>
      </c>
      <c r="AU43" s="16"/>
      <c r="AV43" s="16"/>
      <c r="AW43" s="14"/>
      <c r="AX43" s="14"/>
      <c r="AY43" s="14"/>
      <c r="AZ43" s="16"/>
      <c r="BA43" s="14"/>
      <c r="BB43" s="15"/>
      <c r="BC43" s="15"/>
      <c r="BD43" s="15"/>
      <c r="BE43" s="15"/>
      <c r="BF43" s="15"/>
      <c r="BG43" s="15"/>
      <c r="BH43" s="15"/>
    </row>
    <row r="44" spans="2:111" ht="28.2" customHeight="1">
      <c r="B44" s="68" t="s">
        <v>106</v>
      </c>
      <c r="C44" s="14">
        <v>2025</v>
      </c>
      <c r="D44" s="68" t="s">
        <v>59</v>
      </c>
      <c r="E44" s="15">
        <v>9.74</v>
      </c>
      <c r="F44" s="15">
        <v>21.01</v>
      </c>
      <c r="G44" s="15">
        <f t="shared" si="14"/>
        <v>53.641123274631134</v>
      </c>
      <c r="H44" s="15">
        <v>30.84</v>
      </c>
      <c r="I44" s="15">
        <v>12.07</v>
      </c>
      <c r="J44" s="15"/>
      <c r="K44" s="15">
        <v>9.6300000000000008</v>
      </c>
      <c r="L44" s="15"/>
      <c r="M44" s="15">
        <v>18.59</v>
      </c>
      <c r="N44" s="15"/>
      <c r="O44" s="15">
        <v>115.59</v>
      </c>
      <c r="P44" s="15">
        <f t="shared" si="15"/>
        <v>9.5766362883181451</v>
      </c>
      <c r="Q44" s="15">
        <v>10.59</v>
      </c>
      <c r="R44" s="15"/>
      <c r="S44" s="85">
        <v>1</v>
      </c>
      <c r="T44" s="16"/>
      <c r="U44" s="16"/>
      <c r="V44" s="16">
        <v>1</v>
      </c>
      <c r="W44" s="15"/>
      <c r="X44" s="15">
        <v>1.01</v>
      </c>
      <c r="Y44" s="15">
        <v>1.48</v>
      </c>
      <c r="Z44" s="15">
        <v>1.18</v>
      </c>
      <c r="AA44" s="2">
        <f t="shared" si="2"/>
        <v>1</v>
      </c>
      <c r="AB44" s="15">
        <v>0</v>
      </c>
      <c r="AC44" s="15">
        <f t="shared" si="13"/>
        <v>0</v>
      </c>
      <c r="AD44" s="15">
        <v>183</v>
      </c>
      <c r="AE44" s="15">
        <v>18</v>
      </c>
      <c r="AF44" s="15">
        <v>135</v>
      </c>
      <c r="AG44" s="85">
        <f t="shared" si="3"/>
        <v>8.1</v>
      </c>
      <c r="AH44" s="15">
        <f t="shared" si="4"/>
        <v>10.1</v>
      </c>
      <c r="AI44" s="15">
        <v>11</v>
      </c>
      <c r="AJ44" s="15">
        <f t="shared" si="5"/>
        <v>1</v>
      </c>
      <c r="AK44" s="15">
        <f t="shared" si="6"/>
        <v>19.82</v>
      </c>
      <c r="AL44" s="14" t="str">
        <f t="shared" si="7"/>
        <v>Pos</v>
      </c>
      <c r="AM44" s="64" t="str">
        <f t="shared" si="16"/>
        <v>Game Changers Tefab</v>
      </c>
      <c r="AN44" s="99"/>
      <c r="AO44" s="16">
        <f t="shared" si="17"/>
        <v>1</v>
      </c>
      <c r="AP44" s="99">
        <f t="shared" si="10"/>
        <v>3</v>
      </c>
      <c r="AQ44" s="15">
        <v>1</v>
      </c>
      <c r="AR44" s="15">
        <f t="shared" si="11"/>
        <v>8.4745762711864412</v>
      </c>
      <c r="AS44" s="15"/>
      <c r="AT44" s="15">
        <f t="shared" si="12"/>
        <v>1882</v>
      </c>
      <c r="AU44" s="16">
        <v>169.4915254237288</v>
      </c>
      <c r="AV44" s="16">
        <v>847.45762711864415</v>
      </c>
      <c r="AW44" s="14">
        <v>5</v>
      </c>
      <c r="AX44" s="14"/>
      <c r="AY44" s="102">
        <v>102</v>
      </c>
      <c r="AZ44" s="99"/>
      <c r="BA44" s="102">
        <v>104.15</v>
      </c>
      <c r="BB44" s="100">
        <v>109.32</v>
      </c>
      <c r="BC44" s="100">
        <v>114.89</v>
      </c>
      <c r="BD44" s="100">
        <v>112</v>
      </c>
      <c r="BE44" s="100">
        <v>162</v>
      </c>
      <c r="BF44" s="15"/>
      <c r="BG44" s="15" t="e">
        <v>#DIV/0!</v>
      </c>
      <c r="BH44" s="15" t="e">
        <v>#DIV/0!</v>
      </c>
    </row>
    <row r="45" spans="2:111" ht="11.4" customHeight="1">
      <c r="B45" s="22" t="s">
        <v>107</v>
      </c>
      <c r="C45" s="14">
        <v>2025</v>
      </c>
      <c r="D45" s="14" t="s">
        <v>82</v>
      </c>
      <c r="E45" s="15">
        <v>27.99</v>
      </c>
      <c r="F45" s="15">
        <v>17.329999999999998</v>
      </c>
      <c r="G45" s="15">
        <f t="shared" si="14"/>
        <v>-61.511829197922687</v>
      </c>
      <c r="H45" s="15">
        <v>58.88</v>
      </c>
      <c r="I45" s="15">
        <v>7.2</v>
      </c>
      <c r="J45" s="15"/>
      <c r="K45" s="15">
        <v>11.34</v>
      </c>
      <c r="L45" s="15"/>
      <c r="M45" s="15">
        <v>16.93</v>
      </c>
      <c r="N45" s="15"/>
      <c r="O45" s="15">
        <v>112.03</v>
      </c>
      <c r="P45" s="15">
        <f t="shared" si="15"/>
        <v>15.559722222222222</v>
      </c>
      <c r="Q45" s="15">
        <v>10.75</v>
      </c>
      <c r="R45" s="15"/>
      <c r="S45" s="85">
        <v>0</v>
      </c>
      <c r="T45" s="16"/>
      <c r="U45" s="16"/>
      <c r="V45" s="16">
        <v>1</v>
      </c>
      <c r="W45" s="15"/>
      <c r="X45" s="15">
        <v>40.86</v>
      </c>
      <c r="Y45" s="15">
        <v>138</v>
      </c>
      <c r="Z45" s="15">
        <v>52</v>
      </c>
      <c r="AA45" s="2">
        <f t="shared" si="2"/>
        <v>0</v>
      </c>
      <c r="AB45" s="15">
        <v>7</v>
      </c>
      <c r="AC45" s="15">
        <f t="shared" si="13"/>
        <v>1.5833333333333335</v>
      </c>
      <c r="AD45" s="15">
        <v>127.85</v>
      </c>
      <c r="AE45" s="15">
        <v>26.89</v>
      </c>
      <c r="AF45" s="15">
        <v>116.08</v>
      </c>
      <c r="AG45" s="85">
        <f t="shared" si="3"/>
        <v>4</v>
      </c>
      <c r="AH45" s="15">
        <f t="shared" si="4"/>
        <v>7.5833333333333339</v>
      </c>
      <c r="AI45" s="15">
        <v>11</v>
      </c>
      <c r="AJ45" s="15">
        <f t="shared" si="5"/>
        <v>1</v>
      </c>
      <c r="AK45" s="15">
        <f t="shared" si="6"/>
        <v>12.383333333333333</v>
      </c>
      <c r="AL45" s="14" t="str">
        <f t="shared" si="7"/>
        <v>Neg</v>
      </c>
      <c r="AM45" s="64" t="str">
        <f t="shared" si="16"/>
        <v>Jayesh Logistics</v>
      </c>
      <c r="AN45" s="16"/>
      <c r="AO45" s="16">
        <f t="shared" si="17"/>
        <v>1</v>
      </c>
      <c r="AP45" s="16">
        <f t="shared" si="10"/>
        <v>0</v>
      </c>
      <c r="AQ45" s="15">
        <v>1</v>
      </c>
      <c r="AR45" s="15">
        <f t="shared" si="11"/>
        <v>0</v>
      </c>
      <c r="AS45" s="15"/>
      <c r="AT45" s="15">
        <f t="shared" si="12"/>
        <v>1138.3333333333333</v>
      </c>
      <c r="AU45" s="16">
        <v>3.8461538461538458</v>
      </c>
      <c r="AV45" s="16">
        <v>19.23076923076923</v>
      </c>
      <c r="AW45" s="14">
        <v>5</v>
      </c>
      <c r="AX45" s="14"/>
      <c r="AY45" s="14"/>
      <c r="AZ45" s="16"/>
      <c r="BA45" s="14"/>
      <c r="BB45" s="15"/>
      <c r="BC45" s="15"/>
      <c r="BD45" s="15"/>
      <c r="BE45" s="15"/>
      <c r="BF45" s="15"/>
      <c r="BG45" s="15" t="e">
        <v>#DIV/0!</v>
      </c>
      <c r="BH45" s="15" t="e">
        <v>#DIV/0!</v>
      </c>
    </row>
    <row r="46" spans="2:111">
      <c r="B46" s="68" t="s">
        <v>108</v>
      </c>
      <c r="C46" s="14">
        <v>2025</v>
      </c>
      <c r="D46" s="14" t="s">
        <v>82</v>
      </c>
      <c r="E46" s="15">
        <v>20.55</v>
      </c>
      <c r="F46" s="15">
        <v>20.93</v>
      </c>
      <c r="G46" s="15">
        <f t="shared" si="14"/>
        <v>1.8155757286192022</v>
      </c>
      <c r="H46" s="14">
        <v>53.07</v>
      </c>
      <c r="I46" s="15">
        <v>6.16</v>
      </c>
      <c r="J46" s="15"/>
      <c r="K46" s="15">
        <v>8.75</v>
      </c>
      <c r="L46" s="15"/>
      <c r="M46" s="15">
        <v>12.43</v>
      </c>
      <c r="N46" s="15"/>
      <c r="O46" s="15">
        <v>73.27</v>
      </c>
      <c r="P46" s="15">
        <f t="shared" si="15"/>
        <v>11.894480519480519</v>
      </c>
      <c r="Q46" s="15">
        <v>11.66</v>
      </c>
      <c r="R46" s="15"/>
      <c r="S46" s="85">
        <v>0</v>
      </c>
      <c r="T46" s="16"/>
      <c r="U46" s="16"/>
      <c r="V46" s="16">
        <v>0</v>
      </c>
      <c r="W46" s="15"/>
      <c r="X46" s="15">
        <v>0.32</v>
      </c>
      <c r="Y46" s="15">
        <v>0.32</v>
      </c>
      <c r="Z46" s="15">
        <v>3.31</v>
      </c>
      <c r="AA46" s="2">
        <f t="shared" si="2"/>
        <v>-0.7</v>
      </c>
      <c r="AB46" s="15">
        <v>0</v>
      </c>
      <c r="AC46" s="15">
        <f t="shared" si="13"/>
        <v>0</v>
      </c>
      <c r="AD46" s="15">
        <v>8</v>
      </c>
      <c r="AE46" s="15">
        <v>16</v>
      </c>
      <c r="AF46" s="15">
        <v>39.53</v>
      </c>
      <c r="AG46" s="85">
        <f t="shared" si="3"/>
        <v>4.7</v>
      </c>
      <c r="AH46" s="15">
        <f t="shared" si="4"/>
        <v>4</v>
      </c>
      <c r="AI46" s="15">
        <v>11</v>
      </c>
      <c r="AJ46" s="15">
        <f t="shared" si="5"/>
        <v>1</v>
      </c>
      <c r="AK46" s="15">
        <f t="shared" si="6"/>
        <v>9.64</v>
      </c>
      <c r="AL46" s="14" t="str">
        <f t="shared" si="7"/>
        <v>Neg</v>
      </c>
      <c r="AM46" s="64" t="str">
        <f t="shared" si="16"/>
        <v>Safecure Services</v>
      </c>
      <c r="AN46" s="16"/>
      <c r="AO46" s="16">
        <f t="shared" si="17"/>
        <v>1</v>
      </c>
      <c r="AP46" s="16">
        <f t="shared" si="10"/>
        <v>0</v>
      </c>
      <c r="AQ46" s="15">
        <v>1</v>
      </c>
      <c r="AR46" s="15">
        <f t="shared" si="11"/>
        <v>0</v>
      </c>
      <c r="AS46" s="15"/>
      <c r="AT46" s="15">
        <f t="shared" si="12"/>
        <v>864</v>
      </c>
      <c r="AU46" s="16">
        <v>60.422960725075527</v>
      </c>
      <c r="AV46" s="16">
        <v>302.11480362537759</v>
      </c>
      <c r="AW46" s="14">
        <v>5</v>
      </c>
      <c r="AX46" s="14"/>
      <c r="AY46" s="14"/>
      <c r="AZ46" s="16"/>
      <c r="BA46" s="14"/>
      <c r="BB46" s="15"/>
      <c r="BC46" s="15"/>
      <c r="BD46" s="15"/>
      <c r="BE46" s="15"/>
      <c r="BF46" s="15"/>
      <c r="BG46" s="15" t="e">
        <v>#DIV/0!</v>
      </c>
      <c r="BH46" s="15" t="e">
        <v>#DIV/0!</v>
      </c>
    </row>
    <row r="47" spans="2:111">
      <c r="B47" s="68" t="s">
        <v>109</v>
      </c>
      <c r="C47" s="14">
        <v>2025</v>
      </c>
      <c r="D47" s="14" t="s">
        <v>82</v>
      </c>
      <c r="E47" s="15">
        <v>30.45</v>
      </c>
      <c r="F47" s="15">
        <v>29.56</v>
      </c>
      <c r="G47" s="15">
        <f t="shared" si="14"/>
        <v>-3.0108254397834933</v>
      </c>
      <c r="H47" s="14">
        <v>117.06</v>
      </c>
      <c r="I47" s="15">
        <v>12.15</v>
      </c>
      <c r="J47" s="15"/>
      <c r="K47" s="15">
        <v>7.61</v>
      </c>
      <c r="L47" s="15"/>
      <c r="M47" s="15">
        <v>20.37</v>
      </c>
      <c r="N47" s="15"/>
      <c r="O47" s="15">
        <v>650.85</v>
      </c>
      <c r="P47" s="15">
        <f t="shared" si="15"/>
        <v>53.567901234567898</v>
      </c>
      <c r="Q47" s="15">
        <v>16.420000000000002</v>
      </c>
      <c r="R47" s="15"/>
      <c r="S47" s="85">
        <v>0</v>
      </c>
      <c r="T47" s="16"/>
      <c r="U47" s="16"/>
      <c r="V47" s="16">
        <v>1</v>
      </c>
      <c r="W47" s="15"/>
      <c r="X47" s="15">
        <v>1.64</v>
      </c>
      <c r="Y47" s="15">
        <v>1</v>
      </c>
      <c r="Z47" s="15">
        <v>1</v>
      </c>
      <c r="AA47" s="2">
        <f t="shared" si="2"/>
        <v>1</v>
      </c>
      <c r="AB47" s="15">
        <v>0</v>
      </c>
      <c r="AC47" s="15">
        <f t="shared" si="13"/>
        <v>0</v>
      </c>
      <c r="AD47" s="15">
        <v>122</v>
      </c>
      <c r="AE47" s="15">
        <v>10.55</v>
      </c>
      <c r="AF47" s="15">
        <v>71.66</v>
      </c>
      <c r="AG47" s="85">
        <f t="shared" si="3"/>
        <v>3</v>
      </c>
      <c r="AH47" s="15">
        <f t="shared" si="4"/>
        <v>5</v>
      </c>
      <c r="AI47" s="15">
        <v>11</v>
      </c>
      <c r="AJ47" s="15">
        <f t="shared" si="5"/>
        <v>1</v>
      </c>
      <c r="AK47" s="15">
        <f t="shared" si="6"/>
        <v>8.6</v>
      </c>
      <c r="AL47" s="14" t="str">
        <f t="shared" si="7"/>
        <v>Neg</v>
      </c>
      <c r="AM47" s="64" t="str">
        <f t="shared" si="16"/>
        <v>Shreeji Global FMCG</v>
      </c>
      <c r="AN47" s="16"/>
      <c r="AO47" s="16">
        <f t="shared" si="17"/>
        <v>1</v>
      </c>
      <c r="AP47" s="16">
        <f t="shared" si="10"/>
        <v>0</v>
      </c>
      <c r="AQ47" s="15">
        <v>1</v>
      </c>
      <c r="AR47" s="15">
        <f t="shared" si="11"/>
        <v>0</v>
      </c>
      <c r="AS47" s="15"/>
      <c r="AT47" s="15">
        <f t="shared" si="12"/>
        <v>760</v>
      </c>
      <c r="AU47" s="16">
        <v>200</v>
      </c>
      <c r="AV47" s="16">
        <v>1000</v>
      </c>
      <c r="AW47" s="14">
        <v>5</v>
      </c>
      <c r="AX47" s="14"/>
      <c r="AY47" s="14"/>
      <c r="AZ47" s="16"/>
      <c r="BA47" s="14"/>
      <c r="BB47" s="15"/>
      <c r="BC47" s="15"/>
      <c r="BD47" s="15"/>
      <c r="BE47" s="15"/>
      <c r="BF47" s="15"/>
      <c r="BG47" s="15" t="e">
        <v>#DIV/0!</v>
      </c>
      <c r="BH47" s="15" t="e">
        <v>#DIV/0!</v>
      </c>
    </row>
    <row r="48" spans="2:111">
      <c r="B48" s="68" t="s">
        <v>110</v>
      </c>
      <c r="C48" s="68">
        <v>2025</v>
      </c>
      <c r="D48" s="14" t="s">
        <v>82</v>
      </c>
      <c r="E48" s="68">
        <v>27.92</v>
      </c>
      <c r="F48" s="68">
        <v>27.19</v>
      </c>
      <c r="G48" s="15">
        <f t="shared" si="14"/>
        <v>-2.6848105921294607</v>
      </c>
      <c r="H48" s="68">
        <v>91.58</v>
      </c>
      <c r="I48" s="68">
        <v>10.01</v>
      </c>
      <c r="J48" s="68"/>
      <c r="K48" s="68">
        <v>6.65</v>
      </c>
      <c r="L48" s="68"/>
      <c r="M48" s="68">
        <v>18.68</v>
      </c>
      <c r="N48" s="68"/>
      <c r="O48" s="68">
        <v>103.45</v>
      </c>
      <c r="P48" s="15">
        <f t="shared" si="15"/>
        <v>10.334665334665335</v>
      </c>
      <c r="Q48" s="68">
        <v>15.04</v>
      </c>
      <c r="R48" s="76"/>
      <c r="S48" s="85">
        <v>0</v>
      </c>
      <c r="T48" s="23"/>
      <c r="U48" s="23"/>
      <c r="V48" s="23">
        <v>0</v>
      </c>
      <c r="W48" s="68"/>
      <c r="X48" s="68">
        <v>1.02</v>
      </c>
      <c r="Y48" s="68">
        <v>2.2400000000000002</v>
      </c>
      <c r="Z48" s="68">
        <v>0.65</v>
      </c>
      <c r="AA48" s="2">
        <f t="shared" si="2"/>
        <v>1</v>
      </c>
      <c r="AB48" s="68">
        <v>0</v>
      </c>
      <c r="AC48" s="15">
        <f t="shared" si="13"/>
        <v>0</v>
      </c>
      <c r="AD48" s="68">
        <v>104</v>
      </c>
      <c r="AE48" s="68">
        <v>68</v>
      </c>
      <c r="AF48" s="68">
        <v>55</v>
      </c>
      <c r="AG48" s="85">
        <f t="shared" si="3"/>
        <v>4</v>
      </c>
      <c r="AH48" s="15">
        <f t="shared" si="4"/>
        <v>6</v>
      </c>
      <c r="AI48" s="15">
        <v>11</v>
      </c>
      <c r="AJ48" s="15">
        <f t="shared" si="5"/>
        <v>1</v>
      </c>
      <c r="AK48" s="15">
        <f t="shared" si="6"/>
        <v>10.8</v>
      </c>
      <c r="AL48" s="14" t="str">
        <f t="shared" si="7"/>
        <v>Neg</v>
      </c>
      <c r="AM48" s="64" t="str">
        <f t="shared" si="16"/>
        <v>Shlokka Dyes</v>
      </c>
      <c r="AN48" s="16"/>
      <c r="AO48" s="16">
        <f t="shared" si="17"/>
        <v>1</v>
      </c>
      <c r="AP48" s="16">
        <f t="shared" si="10"/>
        <v>0</v>
      </c>
      <c r="AQ48" s="15">
        <v>1</v>
      </c>
      <c r="AR48" s="15">
        <f t="shared" si="11"/>
        <v>0</v>
      </c>
      <c r="AS48" s="15"/>
      <c r="AT48" s="15">
        <f t="shared" si="12"/>
        <v>980.00000000000011</v>
      </c>
      <c r="AU48" s="16">
        <v>307.69230769230768</v>
      </c>
      <c r="AV48" s="16">
        <v>1538.4615384615381</v>
      </c>
      <c r="AW48" s="14">
        <v>5</v>
      </c>
      <c r="AX48" s="14"/>
      <c r="AY48" s="14"/>
      <c r="AZ48" s="16"/>
      <c r="BA48" s="14"/>
      <c r="BB48" s="15"/>
      <c r="BC48" s="15"/>
      <c r="BD48" s="15"/>
      <c r="BE48" s="15"/>
      <c r="BF48" s="15"/>
      <c r="BG48" s="15" t="e">
        <v>#DIV/0!</v>
      </c>
      <c r="BH48" s="15" t="e">
        <v>#DIV/0!</v>
      </c>
    </row>
    <row r="49" spans="2:60" ht="15.6" customHeight="1">
      <c r="B49" s="22" t="s">
        <v>111</v>
      </c>
      <c r="C49" s="68">
        <v>2025</v>
      </c>
      <c r="D49" s="68" t="s">
        <v>59</v>
      </c>
      <c r="E49" s="68">
        <v>18.5</v>
      </c>
      <c r="F49" s="68">
        <v>35.979999999999997</v>
      </c>
      <c r="G49" s="15">
        <f t="shared" si="14"/>
        <v>48.582545858810448</v>
      </c>
      <c r="H49" s="68">
        <v>68.930000000000007</v>
      </c>
      <c r="I49" s="68">
        <v>8.49</v>
      </c>
      <c r="J49" s="68"/>
      <c r="K49" s="68">
        <v>6.07</v>
      </c>
      <c r="L49" s="68"/>
      <c r="M49" s="68">
        <v>14.87</v>
      </c>
      <c r="N49" s="68"/>
      <c r="O49" s="68">
        <v>223.28</v>
      </c>
      <c r="P49" s="15">
        <f t="shared" si="15"/>
        <v>26.299175500588927</v>
      </c>
      <c r="Q49" s="68">
        <v>27.08</v>
      </c>
      <c r="R49" s="76"/>
      <c r="S49" s="85">
        <v>0</v>
      </c>
      <c r="T49" s="23"/>
      <c r="U49" s="23"/>
      <c r="V49" s="23">
        <v>1</v>
      </c>
      <c r="W49" s="68"/>
      <c r="X49" s="68">
        <v>4.3</v>
      </c>
      <c r="Y49" s="68">
        <v>8.3000000000000007</v>
      </c>
      <c r="Z49" s="68">
        <v>2.8</v>
      </c>
      <c r="AA49" s="2">
        <f t="shared" si="2"/>
        <v>1</v>
      </c>
      <c r="AB49" s="68">
        <v>8</v>
      </c>
      <c r="AC49" s="15">
        <f t="shared" si="13"/>
        <v>1.6666666666666665</v>
      </c>
      <c r="AD49" s="68">
        <v>43.16</v>
      </c>
      <c r="AE49" s="68">
        <v>17.350000000000001</v>
      </c>
      <c r="AF49" s="68">
        <v>198.18</v>
      </c>
      <c r="AG49" s="85">
        <f t="shared" si="3"/>
        <v>5.4</v>
      </c>
      <c r="AH49" s="15">
        <f t="shared" si="4"/>
        <v>10.066666666666666</v>
      </c>
      <c r="AI49" s="15">
        <v>11</v>
      </c>
      <c r="AJ49" s="15">
        <f t="shared" si="5"/>
        <v>1</v>
      </c>
      <c r="AK49" s="15">
        <f t="shared" si="6"/>
        <v>16.546666666666667</v>
      </c>
      <c r="AL49" s="14" t="str">
        <f t="shared" si="7"/>
        <v>Pos</v>
      </c>
      <c r="AM49" s="64" t="str">
        <f t="shared" si="16"/>
        <v>Finbud Financial Services</v>
      </c>
      <c r="AN49" s="16"/>
      <c r="AO49" s="16">
        <f t="shared" si="17"/>
        <v>1</v>
      </c>
      <c r="AP49" s="16">
        <f t="shared" si="10"/>
        <v>3</v>
      </c>
      <c r="AQ49" s="15">
        <v>1</v>
      </c>
      <c r="AR49" s="15">
        <f t="shared" si="11"/>
        <v>3.5714285714285716</v>
      </c>
      <c r="AS49" s="15"/>
      <c r="AT49" s="15">
        <f t="shared" si="12"/>
        <v>1554.6666666666667</v>
      </c>
      <c r="AU49" s="16">
        <v>71.428571428571431</v>
      </c>
      <c r="AV49" s="16">
        <v>357.14285714285722</v>
      </c>
      <c r="AW49" s="14">
        <v>5</v>
      </c>
      <c r="AX49" s="14"/>
      <c r="AY49" s="14">
        <v>142</v>
      </c>
      <c r="AZ49" s="16"/>
      <c r="BA49" s="14">
        <v>157</v>
      </c>
      <c r="BB49" s="15">
        <v>164</v>
      </c>
      <c r="BC49" s="15">
        <v>156</v>
      </c>
      <c r="BD49" s="15">
        <v>156</v>
      </c>
      <c r="BE49" s="15">
        <v>164.8</v>
      </c>
      <c r="BF49" s="15"/>
      <c r="BG49" s="15" t="e">
        <v>#DIV/0!</v>
      </c>
      <c r="BH49" s="15" t="e">
        <v>#DIV/0!</v>
      </c>
    </row>
    <row r="50" spans="2:60" ht="12.6" customHeight="1">
      <c r="B50" s="68" t="s">
        <v>112</v>
      </c>
      <c r="C50" s="68">
        <v>2025</v>
      </c>
      <c r="D50" s="68" t="s">
        <v>59</v>
      </c>
      <c r="E50" s="68">
        <v>15.6</v>
      </c>
      <c r="F50" s="68">
        <v>16.22</v>
      </c>
      <c r="G50" s="15">
        <f t="shared" si="14"/>
        <v>3.8224414303329177</v>
      </c>
      <c r="H50" s="68">
        <v>42.53</v>
      </c>
      <c r="I50" s="68">
        <v>6.1</v>
      </c>
      <c r="J50" s="68"/>
      <c r="K50" s="68">
        <v>10.29</v>
      </c>
      <c r="L50" s="68"/>
      <c r="M50" s="68">
        <v>10.029999999999999</v>
      </c>
      <c r="N50" s="68"/>
      <c r="O50" s="68">
        <v>49.13</v>
      </c>
      <c r="P50" s="15">
        <f t="shared" si="15"/>
        <v>8.0540983606557379</v>
      </c>
      <c r="Q50" s="68">
        <v>12.01</v>
      </c>
      <c r="R50" s="76"/>
      <c r="S50" s="85">
        <v>0</v>
      </c>
      <c r="T50" s="23"/>
      <c r="U50" s="23"/>
      <c r="V50" s="23">
        <v>1</v>
      </c>
      <c r="W50" s="68"/>
      <c r="X50" s="68">
        <v>96</v>
      </c>
      <c r="Y50" s="68">
        <v>115</v>
      </c>
      <c r="Z50" s="68">
        <v>44</v>
      </c>
      <c r="AA50" s="2">
        <f t="shared" si="2"/>
        <v>1</v>
      </c>
      <c r="AB50" s="68">
        <v>7</v>
      </c>
      <c r="AC50" s="15">
        <f t="shared" si="13"/>
        <v>1.5833333333333335</v>
      </c>
      <c r="AD50" s="68">
        <v>14.02</v>
      </c>
      <c r="AE50" s="68">
        <v>38.130000000000003</v>
      </c>
      <c r="AF50" s="68">
        <v>186.05</v>
      </c>
      <c r="AG50" s="85">
        <f t="shared" si="3"/>
        <v>5.7</v>
      </c>
      <c r="AH50" s="15">
        <f t="shared" si="4"/>
        <v>10.283333333333333</v>
      </c>
      <c r="AI50" s="15">
        <v>11</v>
      </c>
      <c r="AJ50" s="15">
        <f t="shared" si="5"/>
        <v>1</v>
      </c>
      <c r="AK50" s="15">
        <f t="shared" si="6"/>
        <v>17.123333333333335</v>
      </c>
      <c r="AL50" s="14" t="str">
        <f t="shared" si="7"/>
        <v>Pos</v>
      </c>
      <c r="AM50" s="120" t="str">
        <f t="shared" si="16"/>
        <v>Curis Lifesciences</v>
      </c>
      <c r="AN50" s="16"/>
      <c r="AO50" s="16">
        <f t="shared" si="17"/>
        <v>1</v>
      </c>
      <c r="AP50" s="16">
        <f t="shared" si="10"/>
        <v>1</v>
      </c>
      <c r="AQ50" s="15">
        <v>1</v>
      </c>
      <c r="AR50" s="15">
        <f t="shared" si="11"/>
        <v>0.22727272727272727</v>
      </c>
      <c r="AS50" s="15"/>
      <c r="AT50" s="15">
        <f t="shared" si="12"/>
        <v>1612.3333333333335</v>
      </c>
      <c r="AU50" s="16">
        <v>4.5454545454545459</v>
      </c>
      <c r="AV50" s="16">
        <v>22.72727272727273</v>
      </c>
      <c r="AW50" s="14">
        <v>5</v>
      </c>
      <c r="AX50" s="14"/>
      <c r="AY50" s="14"/>
      <c r="AZ50" s="16"/>
      <c r="BA50" s="14"/>
      <c r="BB50" s="15"/>
      <c r="BC50" s="15"/>
      <c r="BD50" s="15"/>
      <c r="BE50" s="15"/>
      <c r="BF50" s="15"/>
      <c r="BG50" s="15" t="e">
        <v>#DIV/0!</v>
      </c>
      <c r="BH50" s="15" t="e">
        <v>#DIV/0!</v>
      </c>
    </row>
    <row r="51" spans="2:60">
      <c r="B51" s="68" t="s">
        <v>113</v>
      </c>
      <c r="C51" s="68">
        <v>2025</v>
      </c>
      <c r="D51" s="14" t="s">
        <v>82</v>
      </c>
      <c r="E51" s="68">
        <v>8.18</v>
      </c>
      <c r="F51" s="68">
        <v>8.01</v>
      </c>
      <c r="G51" s="15">
        <f t="shared" si="14"/>
        <v>-2.1223470661672899</v>
      </c>
      <c r="H51" s="68">
        <v>19.64</v>
      </c>
      <c r="I51" s="68">
        <v>2.93</v>
      </c>
      <c r="J51" s="68"/>
      <c r="K51" s="68">
        <v>7.05</v>
      </c>
      <c r="L51" s="68"/>
      <c r="M51" s="68">
        <v>6.23</v>
      </c>
      <c r="N51" s="68"/>
      <c r="O51" s="68">
        <v>14.77</v>
      </c>
      <c r="P51" s="15">
        <f t="shared" si="15"/>
        <v>5.0409556313993171</v>
      </c>
      <c r="Q51" s="68">
        <v>16.18</v>
      </c>
      <c r="R51" s="76"/>
      <c r="S51" s="85">
        <v>0</v>
      </c>
      <c r="T51" s="23"/>
      <c r="U51" s="23"/>
      <c r="V51" s="23">
        <v>0</v>
      </c>
      <c r="W51" s="68"/>
      <c r="X51" s="68">
        <v>0</v>
      </c>
      <c r="Y51" s="68">
        <v>0.43</v>
      </c>
      <c r="Z51" s="68">
        <v>1.87</v>
      </c>
      <c r="AA51" s="2">
        <f t="shared" si="2"/>
        <v>-1.7</v>
      </c>
      <c r="AB51" s="68">
        <v>0</v>
      </c>
      <c r="AC51" s="15">
        <f t="shared" si="13"/>
        <v>0</v>
      </c>
      <c r="AD51" s="68">
        <v>86</v>
      </c>
      <c r="AE51" s="68">
        <v>39</v>
      </c>
      <c r="AF51" s="68">
        <v>123</v>
      </c>
      <c r="AG51" s="85">
        <f t="shared" si="3"/>
        <v>4</v>
      </c>
      <c r="AH51" s="15">
        <f t="shared" si="4"/>
        <v>2.2999999999999998</v>
      </c>
      <c r="AI51" s="15">
        <v>11</v>
      </c>
      <c r="AJ51" s="15">
        <f t="shared" si="5"/>
        <v>1</v>
      </c>
      <c r="AK51" s="15">
        <f t="shared" si="6"/>
        <v>7.1</v>
      </c>
      <c r="AL51" s="14" t="str">
        <f t="shared" si="7"/>
        <v>Neg</v>
      </c>
      <c r="AM51" s="64" t="str">
        <f t="shared" si="16"/>
        <v>Shining Tools</v>
      </c>
      <c r="AN51" s="16"/>
      <c r="AO51" s="16">
        <f t="shared" si="17"/>
        <v>1</v>
      </c>
      <c r="AP51" s="16">
        <f t="shared" si="10"/>
        <v>0</v>
      </c>
      <c r="AQ51" s="15">
        <v>1</v>
      </c>
      <c r="AR51" s="15">
        <f t="shared" si="11"/>
        <v>0</v>
      </c>
      <c r="AS51" s="15"/>
      <c r="AT51" s="15">
        <f t="shared" si="12"/>
        <v>610</v>
      </c>
      <c r="AU51" s="16">
        <v>106.951871657754</v>
      </c>
      <c r="AV51" s="16">
        <v>534.75935828877004</v>
      </c>
      <c r="AW51" s="14">
        <v>5</v>
      </c>
      <c r="AX51" s="14"/>
      <c r="AY51" s="14"/>
      <c r="AZ51" s="16"/>
      <c r="BA51" s="14"/>
      <c r="BB51" s="15"/>
      <c r="BC51" s="15"/>
      <c r="BD51" s="15"/>
      <c r="BE51" s="15"/>
      <c r="BF51" s="15"/>
      <c r="BG51" s="15" t="e">
        <v>#DIV/0!</v>
      </c>
      <c r="BH51" s="15" t="e">
        <v>#DIV/0!</v>
      </c>
    </row>
    <row r="52" spans="2:60" ht="24" customHeight="1">
      <c r="B52" s="68" t="s">
        <v>114</v>
      </c>
      <c r="C52" s="68">
        <v>2025</v>
      </c>
      <c r="D52" s="68" t="s">
        <v>59</v>
      </c>
      <c r="E52" s="68">
        <v>58.11</v>
      </c>
      <c r="F52" s="68">
        <v>49.42</v>
      </c>
      <c r="G52" s="15">
        <f t="shared" si="14"/>
        <v>-17.58397409955483</v>
      </c>
      <c r="H52" s="68">
        <v>188.35</v>
      </c>
      <c r="I52" s="68">
        <v>12.94</v>
      </c>
      <c r="J52" s="68"/>
      <c r="K52" s="68">
        <v>7.01</v>
      </c>
      <c r="L52" s="68"/>
      <c r="M52" s="68">
        <v>24.64</v>
      </c>
      <c r="N52" s="68"/>
      <c r="O52" s="68">
        <v>267.17</v>
      </c>
      <c r="P52" s="15">
        <f t="shared" si="15"/>
        <v>20.646831530139107</v>
      </c>
      <c r="Q52" s="68">
        <v>20.62</v>
      </c>
      <c r="R52" s="76"/>
      <c r="S52" s="85">
        <v>-1</v>
      </c>
      <c r="T52" s="23"/>
      <c r="U52" s="23"/>
      <c r="V52" s="23">
        <v>1</v>
      </c>
      <c r="W52" s="68">
        <v>1</v>
      </c>
      <c r="X52" s="68">
        <v>0.65</v>
      </c>
      <c r="Y52" s="68">
        <v>0.27</v>
      </c>
      <c r="Z52" s="68">
        <v>0.21</v>
      </c>
      <c r="AA52" s="2">
        <f t="shared" si="2"/>
        <v>1</v>
      </c>
      <c r="AB52" s="68">
        <v>0</v>
      </c>
      <c r="AC52" s="15">
        <f t="shared" si="13"/>
        <v>0</v>
      </c>
      <c r="AD52" s="68">
        <v>148</v>
      </c>
      <c r="AE52" s="68">
        <v>64</v>
      </c>
      <c r="AF52" s="68">
        <v>100</v>
      </c>
      <c r="AG52" s="85">
        <f t="shared" si="3"/>
        <v>3</v>
      </c>
      <c r="AH52" s="15">
        <f t="shared" si="4"/>
        <v>4</v>
      </c>
      <c r="AI52" s="15">
        <v>11</v>
      </c>
      <c r="AJ52" s="15">
        <f t="shared" si="5"/>
        <v>1</v>
      </c>
      <c r="AK52" s="15">
        <f t="shared" si="6"/>
        <v>7.6</v>
      </c>
      <c r="AL52" s="14" t="str">
        <f t="shared" si="7"/>
        <v>Pos</v>
      </c>
      <c r="AM52" s="64" t="str">
        <f t="shared" si="16"/>
        <v>Mahamaya Lifesciences</v>
      </c>
      <c r="AN52" s="16"/>
      <c r="AO52" s="16">
        <f t="shared" si="17"/>
        <v>1</v>
      </c>
      <c r="AP52" s="16">
        <f t="shared" si="10"/>
        <v>0</v>
      </c>
      <c r="AQ52" s="15">
        <v>1</v>
      </c>
      <c r="AR52" s="15">
        <f t="shared" si="11"/>
        <v>0</v>
      </c>
      <c r="AS52" s="15"/>
      <c r="AT52" s="15">
        <f t="shared" si="12"/>
        <v>660</v>
      </c>
      <c r="AU52" s="16">
        <v>952.38095238095241</v>
      </c>
      <c r="AV52" s="16">
        <v>4761.9047619047624</v>
      </c>
      <c r="AW52" s="14">
        <v>5</v>
      </c>
      <c r="AX52" s="14"/>
      <c r="AY52" s="14"/>
      <c r="AZ52" s="16"/>
      <c r="BA52" s="14"/>
      <c r="BB52" s="15"/>
      <c r="BC52" s="15"/>
      <c r="BD52" s="15"/>
      <c r="BE52" s="15"/>
      <c r="BF52" s="15"/>
      <c r="BG52" s="15" t="e">
        <v>#DIV/0!</v>
      </c>
      <c r="BH52" s="15" t="e">
        <v>#DIV/0!</v>
      </c>
    </row>
    <row r="53" spans="2:60" ht="12" customHeight="1">
      <c r="B53" s="22" t="s">
        <v>115</v>
      </c>
      <c r="C53" s="68">
        <v>2025</v>
      </c>
      <c r="D53" s="68" t="s">
        <v>59</v>
      </c>
      <c r="E53" s="68">
        <v>0</v>
      </c>
      <c r="F53" s="68">
        <v>20.65</v>
      </c>
      <c r="G53" s="15">
        <f t="shared" si="14"/>
        <v>100</v>
      </c>
      <c r="H53" s="68" t="s">
        <v>79</v>
      </c>
      <c r="I53" s="68">
        <v>13.93</v>
      </c>
      <c r="J53" s="68"/>
      <c r="K53" s="68">
        <v>13.91</v>
      </c>
      <c r="L53" s="68"/>
      <c r="M53" s="68" t="s">
        <v>79</v>
      </c>
      <c r="N53" s="68"/>
      <c r="O53" s="68">
        <v>108.39</v>
      </c>
      <c r="P53" s="15">
        <f t="shared" si="15"/>
        <v>7.7810480976310128</v>
      </c>
      <c r="Q53" s="68">
        <v>14.6</v>
      </c>
      <c r="R53" s="76"/>
      <c r="S53" s="85">
        <v>0</v>
      </c>
      <c r="T53" s="23"/>
      <c r="U53" s="23"/>
      <c r="V53" s="23">
        <v>1</v>
      </c>
      <c r="W53" s="68"/>
      <c r="X53" s="68">
        <v>140</v>
      </c>
      <c r="Y53" s="68">
        <v>37</v>
      </c>
      <c r="Z53" s="68">
        <v>110</v>
      </c>
      <c r="AA53" s="2">
        <f t="shared" si="2"/>
        <v>-0.7</v>
      </c>
      <c r="AB53" s="68">
        <v>43</v>
      </c>
      <c r="AC53" s="15">
        <f t="shared" si="13"/>
        <v>4.5833333333333339</v>
      </c>
      <c r="AD53" s="68">
        <v>160</v>
      </c>
      <c r="AE53" s="68">
        <v>102</v>
      </c>
      <c r="AF53" s="68">
        <v>126</v>
      </c>
      <c r="AG53" s="85">
        <f t="shared" si="3"/>
        <v>7.1</v>
      </c>
      <c r="AH53" s="15">
        <f t="shared" si="4"/>
        <v>12.983333333333334</v>
      </c>
      <c r="AI53" s="15">
        <v>11</v>
      </c>
      <c r="AJ53" s="15">
        <f t="shared" si="5"/>
        <v>1</v>
      </c>
      <c r="AK53" s="15">
        <f t="shared" si="6"/>
        <v>21.503333333333334</v>
      </c>
      <c r="AL53" s="14" t="str">
        <f t="shared" si="7"/>
        <v>Pos</v>
      </c>
      <c r="AM53" s="120" t="str">
        <f t="shared" si="16"/>
        <v>Workmates Core2Cloud</v>
      </c>
      <c r="AN53" s="16"/>
      <c r="AO53" s="16">
        <f t="shared" si="17"/>
        <v>1</v>
      </c>
      <c r="AP53" s="16">
        <f t="shared" si="10"/>
        <v>0</v>
      </c>
      <c r="AQ53" s="15">
        <v>1</v>
      </c>
      <c r="AR53" s="15">
        <f t="shared" si="11"/>
        <v>0</v>
      </c>
      <c r="AS53" s="15"/>
      <c r="AT53" s="15">
        <f t="shared" si="12"/>
        <v>2050.3333333333335</v>
      </c>
      <c r="AU53" s="16">
        <v>1.8181818181818179</v>
      </c>
      <c r="AV53" s="16">
        <v>9.0909090909090899</v>
      </c>
      <c r="AW53" s="14">
        <v>5</v>
      </c>
      <c r="AX53" s="14"/>
      <c r="AY53" s="14"/>
      <c r="AZ53" s="16"/>
      <c r="BA53" s="14"/>
      <c r="BB53" s="15"/>
      <c r="BC53" s="15"/>
      <c r="BD53" s="15"/>
      <c r="BE53" s="15"/>
      <c r="BF53" s="15"/>
      <c r="BG53" s="15" t="e">
        <v>#DIV/0!</v>
      </c>
      <c r="BH53" s="15" t="e">
        <v>#DIV/0!</v>
      </c>
    </row>
    <row r="54" spans="2:60" ht="24.6" customHeight="1">
      <c r="B54" s="14" t="s">
        <v>116</v>
      </c>
      <c r="C54" s="14">
        <v>2025</v>
      </c>
      <c r="D54" s="68" t="s">
        <v>59</v>
      </c>
      <c r="E54" s="14">
        <v>20.38</v>
      </c>
      <c r="F54" s="14">
        <v>17.079999999999998</v>
      </c>
      <c r="G54" s="15">
        <f t="shared" si="14"/>
        <v>-19.320843091334901</v>
      </c>
      <c r="H54" s="14">
        <v>48.77</v>
      </c>
      <c r="I54" s="14">
        <v>6.07</v>
      </c>
      <c r="J54" s="14"/>
      <c r="K54" s="14">
        <v>8.67</v>
      </c>
      <c r="L54" s="14"/>
      <c r="M54" s="14">
        <v>12.47</v>
      </c>
      <c r="N54" s="14"/>
      <c r="O54" s="14">
        <v>53.52</v>
      </c>
      <c r="P54" s="15">
        <f t="shared" si="15"/>
        <v>8.8171334431630974</v>
      </c>
      <c r="Q54" s="14">
        <v>17.309999999999999</v>
      </c>
      <c r="R54" s="15"/>
      <c r="S54" s="85">
        <v>0</v>
      </c>
      <c r="T54" s="16"/>
      <c r="U54" s="16"/>
      <c r="V54" s="16">
        <v>1</v>
      </c>
      <c r="W54" s="14"/>
      <c r="X54" s="14">
        <v>228</v>
      </c>
      <c r="Y54" s="14">
        <v>584</v>
      </c>
      <c r="Z54" s="14">
        <v>305</v>
      </c>
      <c r="AA54" s="2">
        <f t="shared" si="2"/>
        <v>1</v>
      </c>
      <c r="AB54" s="14">
        <v>47</v>
      </c>
      <c r="AC54" s="15">
        <f t="shared" si="13"/>
        <v>4.9166666666666661</v>
      </c>
      <c r="AD54" s="14">
        <v>90</v>
      </c>
      <c r="AE54" s="14">
        <v>92</v>
      </c>
      <c r="AF54" s="14">
        <v>55</v>
      </c>
      <c r="AG54" s="85">
        <f t="shared" si="3"/>
        <v>5</v>
      </c>
      <c r="AH54" s="15">
        <f t="shared" si="4"/>
        <v>12.916666666666666</v>
      </c>
      <c r="AI54" s="15">
        <v>11</v>
      </c>
      <c r="AJ54" s="15">
        <f t="shared" si="5"/>
        <v>1</v>
      </c>
      <c r="AK54" s="15">
        <f t="shared" si="6"/>
        <v>18.916666666666664</v>
      </c>
      <c r="AL54" s="14" t="str">
        <f t="shared" si="7"/>
        <v>Pos</v>
      </c>
      <c r="AM54" s="64" t="str">
        <f t="shared" si="16"/>
        <v>Gallard Steel</v>
      </c>
      <c r="AN54" s="16">
        <v>24</v>
      </c>
      <c r="AO54" s="16">
        <f t="shared" si="17"/>
        <v>25</v>
      </c>
      <c r="AP54" s="16">
        <f t="shared" si="10"/>
        <v>0</v>
      </c>
      <c r="AQ54" s="15">
        <v>1</v>
      </c>
      <c r="AR54" s="15">
        <f t="shared" si="11"/>
        <v>0</v>
      </c>
      <c r="AS54" s="15"/>
      <c r="AT54" s="15">
        <f t="shared" si="12"/>
        <v>1791.6666666666665</v>
      </c>
      <c r="AU54" s="16">
        <v>0.65573770491803274</v>
      </c>
      <c r="AV54" s="16">
        <v>3.278688524590164</v>
      </c>
      <c r="AW54" s="14">
        <v>5</v>
      </c>
      <c r="AX54" s="14"/>
      <c r="AY54" s="14"/>
      <c r="AZ54" s="16"/>
      <c r="BA54" s="14"/>
      <c r="BB54" s="15"/>
      <c r="BC54" s="15"/>
      <c r="BD54" s="15"/>
      <c r="BE54" s="15"/>
      <c r="BF54" s="15"/>
      <c r="BG54" s="15" t="e">
        <v>#DIV/0!</v>
      </c>
      <c r="BH54" s="15" t="e">
        <v>#DIV/0!</v>
      </c>
    </row>
    <row r="55" spans="2:60">
      <c r="B55" s="14" t="s">
        <v>117</v>
      </c>
      <c r="C55" s="14">
        <v>2025</v>
      </c>
      <c r="D55" s="14" t="s">
        <v>82</v>
      </c>
      <c r="E55" s="14">
        <v>6.07</v>
      </c>
      <c r="F55" s="14">
        <v>6.92</v>
      </c>
      <c r="G55" s="15">
        <f t="shared" si="14"/>
        <v>12.283236994219649</v>
      </c>
      <c r="H55" s="68">
        <v>18.16</v>
      </c>
      <c r="I55" s="68">
        <v>5.38</v>
      </c>
      <c r="J55" s="68"/>
      <c r="K55" s="68">
        <v>9.74</v>
      </c>
      <c r="L55" s="68"/>
      <c r="M55" s="68">
        <v>8.4700000000000006</v>
      </c>
      <c r="N55" s="68"/>
      <c r="O55" s="68">
        <v>99.18</v>
      </c>
      <c r="P55" s="15">
        <f t="shared" si="15"/>
        <v>18.434944237918216</v>
      </c>
      <c r="Q55" s="68">
        <v>12.32</v>
      </c>
      <c r="R55" s="76"/>
      <c r="S55" s="85">
        <v>0</v>
      </c>
      <c r="T55" s="16"/>
      <c r="U55" s="16"/>
      <c r="V55" s="16">
        <v>0</v>
      </c>
      <c r="W55" s="14"/>
      <c r="X55" s="14">
        <v>2</v>
      </c>
      <c r="Y55" s="14">
        <v>2</v>
      </c>
      <c r="Z55" s="14">
        <v>2</v>
      </c>
      <c r="AA55" s="2">
        <f t="shared" si="2"/>
        <v>1</v>
      </c>
      <c r="AB55" s="68">
        <v>0</v>
      </c>
      <c r="AC55" s="15">
        <f t="shared" si="13"/>
        <v>0</v>
      </c>
      <c r="AD55" s="68">
        <v>389</v>
      </c>
      <c r="AE55" s="68">
        <v>35</v>
      </c>
      <c r="AF55" s="68">
        <v>420</v>
      </c>
      <c r="AG55" s="85">
        <f t="shared" si="3"/>
        <v>3.7</v>
      </c>
      <c r="AH55" s="15">
        <f t="shared" si="4"/>
        <v>6.7</v>
      </c>
      <c r="AI55" s="15">
        <v>11</v>
      </c>
      <c r="AJ55" s="15">
        <f t="shared" si="5"/>
        <v>1</v>
      </c>
      <c r="AK55" s="15">
        <f t="shared" si="6"/>
        <v>11.14</v>
      </c>
      <c r="AL55" s="14" t="str">
        <f t="shared" si="7"/>
        <v>Neg</v>
      </c>
      <c r="AM55" s="64" t="str">
        <f t="shared" si="16"/>
        <v>SSMD Agrotech India</v>
      </c>
      <c r="AN55" s="16">
        <v>27</v>
      </c>
      <c r="AO55" s="16">
        <f t="shared" si="17"/>
        <v>28</v>
      </c>
      <c r="AP55" s="16">
        <f t="shared" si="10"/>
        <v>0</v>
      </c>
      <c r="AQ55" s="15">
        <v>1</v>
      </c>
      <c r="AR55" s="15">
        <f t="shared" si="11"/>
        <v>0</v>
      </c>
      <c r="AS55" s="15"/>
      <c r="AT55" s="15">
        <f t="shared" si="12"/>
        <v>1014</v>
      </c>
      <c r="AU55" s="16"/>
      <c r="AV55" s="16"/>
      <c r="AW55" s="14"/>
      <c r="AX55" s="14"/>
      <c r="AY55" s="14"/>
      <c r="AZ55" s="16"/>
      <c r="BA55" s="14"/>
      <c r="BB55" s="15"/>
      <c r="BC55" s="15"/>
      <c r="BD55" s="15"/>
      <c r="BE55" s="15"/>
      <c r="BF55" s="15"/>
      <c r="BG55" s="15"/>
      <c r="BH55" s="15"/>
    </row>
    <row r="56" spans="2:60">
      <c r="B56" s="68" t="s">
        <v>118</v>
      </c>
      <c r="C56" s="68">
        <v>2025</v>
      </c>
      <c r="D56" s="68" t="s">
        <v>59</v>
      </c>
      <c r="E56" s="68">
        <v>59.61</v>
      </c>
      <c r="F56" s="68">
        <v>24.89</v>
      </c>
      <c r="G56" s="15">
        <f t="shared" si="14"/>
        <v>-139.49377259943753</v>
      </c>
      <c r="H56" s="68">
        <v>70.86</v>
      </c>
      <c r="I56" s="68">
        <v>6.47</v>
      </c>
      <c r="J56" s="68"/>
      <c r="K56" s="68">
        <v>6.58</v>
      </c>
      <c r="L56" s="68"/>
      <c r="M56" s="68">
        <v>10.220000000000001</v>
      </c>
      <c r="N56" s="68"/>
      <c r="O56" s="68">
        <v>90.48</v>
      </c>
      <c r="P56" s="15">
        <f t="shared" si="15"/>
        <v>13.984544049459043</v>
      </c>
      <c r="Q56" s="68">
        <v>17.77</v>
      </c>
      <c r="R56" s="76"/>
      <c r="S56" s="85">
        <v>1</v>
      </c>
      <c r="T56" s="16"/>
      <c r="U56" s="16"/>
      <c r="V56" s="16">
        <v>1</v>
      </c>
      <c r="W56" s="14"/>
      <c r="X56" s="14">
        <v>1.3</v>
      </c>
      <c r="Y56" s="14">
        <v>2.9</v>
      </c>
      <c r="Z56" s="14">
        <v>1.9</v>
      </c>
      <c r="AA56" s="2">
        <f t="shared" si="2"/>
        <v>1</v>
      </c>
      <c r="AB56" s="68">
        <v>0</v>
      </c>
      <c r="AC56" s="15">
        <f t="shared" si="13"/>
        <v>0</v>
      </c>
      <c r="AD56" s="68">
        <v>35</v>
      </c>
      <c r="AE56" s="68">
        <v>12</v>
      </c>
      <c r="AF56" s="68">
        <v>138</v>
      </c>
      <c r="AG56" s="85">
        <f t="shared" si="3"/>
        <v>6</v>
      </c>
      <c r="AH56" s="15">
        <f t="shared" si="4"/>
        <v>8</v>
      </c>
      <c r="AI56" s="15">
        <v>11</v>
      </c>
      <c r="AJ56" s="15">
        <f t="shared" si="5"/>
        <v>1</v>
      </c>
      <c r="AK56" s="15">
        <f t="shared" si="6"/>
        <v>15.2</v>
      </c>
      <c r="AL56" s="14" t="str">
        <f t="shared" si="7"/>
        <v>Pos</v>
      </c>
      <c r="AM56" s="64" t="str">
        <f t="shared" si="16"/>
        <v>Mother Nutri Foods</v>
      </c>
      <c r="AN56" s="16">
        <v>28</v>
      </c>
      <c r="AO56" s="16">
        <f t="shared" si="17"/>
        <v>29</v>
      </c>
      <c r="AP56" s="16">
        <f t="shared" si="10"/>
        <v>3</v>
      </c>
      <c r="AQ56" s="15">
        <v>1</v>
      </c>
      <c r="AR56" s="15">
        <f t="shared" si="11"/>
        <v>5.2631578947368425</v>
      </c>
      <c r="AS56" s="15"/>
      <c r="AT56" s="15">
        <f t="shared" si="12"/>
        <v>1420</v>
      </c>
      <c r="AU56" s="16"/>
      <c r="AV56" s="16"/>
      <c r="AW56" s="14"/>
      <c r="AX56" s="14"/>
      <c r="AY56" s="14"/>
      <c r="AZ56" s="16"/>
      <c r="BA56" s="14"/>
      <c r="BB56" s="15"/>
      <c r="BC56" s="15"/>
      <c r="BD56" s="15"/>
      <c r="BE56" s="15"/>
      <c r="BF56" s="15"/>
      <c r="BG56" s="15"/>
      <c r="BH56" s="15"/>
    </row>
    <row r="57" spans="2:60">
      <c r="B57" s="68" t="s">
        <v>119</v>
      </c>
      <c r="C57" s="68">
        <v>2025</v>
      </c>
      <c r="D57" s="14" t="s">
        <v>82</v>
      </c>
      <c r="E57" s="68">
        <v>59.31</v>
      </c>
      <c r="F57" s="68">
        <v>39.72</v>
      </c>
      <c r="G57" s="15">
        <f t="shared" si="14"/>
        <v>-49.320241691842917</v>
      </c>
      <c r="H57" s="68">
        <v>143.25</v>
      </c>
      <c r="I57" s="68">
        <v>4.68</v>
      </c>
      <c r="J57" s="68"/>
      <c r="K57" s="68">
        <v>3.13</v>
      </c>
      <c r="L57" s="68"/>
      <c r="M57" s="68">
        <v>13.99</v>
      </c>
      <c r="N57" s="68"/>
      <c r="O57" s="68">
        <v>220.78</v>
      </c>
      <c r="P57" s="15">
        <f t="shared" si="15"/>
        <v>47.175213675213676</v>
      </c>
      <c r="Q57" s="68">
        <v>15.87</v>
      </c>
      <c r="R57" s="76"/>
      <c r="S57" s="85">
        <v>0</v>
      </c>
      <c r="T57" s="16"/>
      <c r="U57" s="16"/>
      <c r="V57" s="16">
        <v>0</v>
      </c>
      <c r="W57" s="14"/>
      <c r="X57" s="14">
        <v>1.33</v>
      </c>
      <c r="Y57" s="14">
        <v>0.77</v>
      </c>
      <c r="Z57" s="14">
        <v>5.55</v>
      </c>
      <c r="AA57" s="2">
        <f t="shared" si="2"/>
        <v>-0.7</v>
      </c>
      <c r="AB57" s="68">
        <v>0</v>
      </c>
      <c r="AC57" s="15">
        <f t="shared" si="13"/>
        <v>0</v>
      </c>
      <c r="AD57" s="68">
        <v>107</v>
      </c>
      <c r="AE57" s="68">
        <v>15.88</v>
      </c>
      <c r="AF57" s="68">
        <v>13.35</v>
      </c>
      <c r="AG57" s="85">
        <f t="shared" si="3"/>
        <v>3</v>
      </c>
      <c r="AH57" s="15">
        <f t="shared" si="4"/>
        <v>2.2999999999999998</v>
      </c>
      <c r="AI57" s="15">
        <v>11</v>
      </c>
      <c r="AJ57" s="15">
        <f t="shared" si="5"/>
        <v>1</v>
      </c>
      <c r="AK57" s="15">
        <f t="shared" si="6"/>
        <v>5.8999999999999995</v>
      </c>
      <c r="AL57" s="14" t="str">
        <f t="shared" si="7"/>
        <v>Neg</v>
      </c>
      <c r="AM57" s="64" t="str">
        <f t="shared" si="16"/>
        <v>K K Silk Mills</v>
      </c>
      <c r="AN57" s="16">
        <v>28</v>
      </c>
      <c r="AO57" s="16">
        <f t="shared" si="17"/>
        <v>29</v>
      </c>
      <c r="AP57" s="16">
        <f t="shared" si="10"/>
        <v>0</v>
      </c>
      <c r="AQ57" s="15">
        <v>1</v>
      </c>
      <c r="AR57" s="15">
        <f t="shared" si="11"/>
        <v>0</v>
      </c>
      <c r="AS57" s="15"/>
      <c r="AT57" s="15">
        <f t="shared" si="12"/>
        <v>489.99999999999994</v>
      </c>
      <c r="AU57" s="16"/>
      <c r="AV57" s="16"/>
      <c r="AW57" s="14"/>
      <c r="AX57" s="14"/>
      <c r="AY57" s="14"/>
      <c r="AZ57" s="16"/>
      <c r="BA57" s="14"/>
      <c r="BB57" s="15"/>
      <c r="BC57" s="15"/>
      <c r="BD57" s="15"/>
      <c r="BE57" s="15"/>
      <c r="BF57" s="15"/>
      <c r="BG57" s="15"/>
      <c r="BH57" s="15"/>
    </row>
    <row r="58" spans="2:60">
      <c r="B58" s="68" t="s">
        <v>120</v>
      </c>
      <c r="C58" s="68">
        <v>2025</v>
      </c>
      <c r="D58" s="68" t="s">
        <v>59</v>
      </c>
      <c r="E58" s="68">
        <v>14.66</v>
      </c>
      <c r="F58" s="68">
        <v>14.75</v>
      </c>
      <c r="G58" s="15">
        <f t="shared" si="14"/>
        <v>0.61016949152542277</v>
      </c>
      <c r="H58" s="68">
        <v>75.8</v>
      </c>
      <c r="I58" s="68">
        <v>6.57</v>
      </c>
      <c r="J58" s="68"/>
      <c r="K58" s="68">
        <v>9.73</v>
      </c>
      <c r="L58" s="68"/>
      <c r="M58" s="68">
        <v>10.130000000000001</v>
      </c>
      <c r="N58" s="68"/>
      <c r="O58" s="68">
        <v>89.42</v>
      </c>
      <c r="P58" s="15">
        <f t="shared" si="15"/>
        <v>13.610350076103501</v>
      </c>
      <c r="Q58" s="68">
        <v>9.33</v>
      </c>
      <c r="R58" s="76"/>
      <c r="S58" s="85">
        <v>0</v>
      </c>
      <c r="T58" s="16"/>
      <c r="U58" s="16"/>
      <c r="V58" s="16">
        <v>1</v>
      </c>
      <c r="W58" s="14"/>
      <c r="X58" s="14">
        <v>10</v>
      </c>
      <c r="Y58" s="14">
        <v>6</v>
      </c>
      <c r="Z58" s="14">
        <v>3.8</v>
      </c>
      <c r="AA58" s="2">
        <f t="shared" si="2"/>
        <v>1</v>
      </c>
      <c r="AB58" s="68">
        <v>0</v>
      </c>
      <c r="AC58" s="15">
        <f t="shared" si="13"/>
        <v>0</v>
      </c>
      <c r="AD58" s="68">
        <v>725</v>
      </c>
      <c r="AE58" s="68">
        <v>28</v>
      </c>
      <c r="AF58" s="68">
        <v>80</v>
      </c>
      <c r="AG58" s="85">
        <f t="shared" si="3"/>
        <v>5</v>
      </c>
      <c r="AH58" s="15">
        <f t="shared" si="4"/>
        <v>8</v>
      </c>
      <c r="AI58" s="15">
        <v>11</v>
      </c>
      <c r="AJ58" s="15">
        <f t="shared" si="5"/>
        <v>1</v>
      </c>
      <c r="AK58" s="15">
        <f t="shared" si="6"/>
        <v>14</v>
      </c>
      <c r="AL58" s="14" t="str">
        <f t="shared" si="7"/>
        <v>Pos</v>
      </c>
      <c r="AM58" s="120" t="str">
        <f t="shared" si="16"/>
        <v>Purple Wave Infocom</v>
      </c>
      <c r="AN58" s="94">
        <v>2</v>
      </c>
      <c r="AO58" s="16">
        <f t="shared" si="17"/>
        <v>3</v>
      </c>
      <c r="AP58" s="94">
        <f t="shared" si="10"/>
        <v>3</v>
      </c>
      <c r="AQ58" s="15">
        <v>1</v>
      </c>
      <c r="AR58" s="15">
        <f t="shared" si="11"/>
        <v>2.6315789473684212</v>
      </c>
      <c r="AS58" s="15"/>
      <c r="AT58" s="15">
        <f t="shared" si="12"/>
        <v>1300</v>
      </c>
      <c r="AU58" s="16"/>
      <c r="AV58" s="16"/>
      <c r="AW58" s="14"/>
      <c r="AX58" s="14"/>
      <c r="AY58" s="96"/>
      <c r="AZ58" s="94"/>
      <c r="BA58" s="96"/>
      <c r="BB58" s="95"/>
      <c r="BC58" s="95"/>
      <c r="BD58" s="95"/>
      <c r="BE58" s="95"/>
      <c r="BF58" s="15"/>
      <c r="BG58" s="15"/>
      <c r="BH58" s="15"/>
    </row>
    <row r="59" spans="2:60" ht="12" customHeight="1">
      <c r="B59" s="68" t="s">
        <v>121</v>
      </c>
      <c r="C59" s="68">
        <v>2025</v>
      </c>
      <c r="D59" s="68" t="s">
        <v>59</v>
      </c>
      <c r="E59" s="68">
        <v>31.63</v>
      </c>
      <c r="F59" s="68">
        <v>42.29</v>
      </c>
      <c r="G59" s="15">
        <f t="shared" si="14"/>
        <v>25.206904705604163</v>
      </c>
      <c r="H59" s="68">
        <v>95.16</v>
      </c>
      <c r="I59" s="68">
        <v>9.75</v>
      </c>
      <c r="J59" s="68"/>
      <c r="K59" s="68" t="s">
        <v>79</v>
      </c>
      <c r="L59" s="68"/>
      <c r="M59" s="68">
        <v>15.95</v>
      </c>
      <c r="N59" s="68"/>
      <c r="O59" s="68">
        <v>126.16</v>
      </c>
      <c r="P59" s="15">
        <f t="shared" si="15"/>
        <v>12.939487179487179</v>
      </c>
      <c r="Q59" s="68">
        <v>11.19</v>
      </c>
      <c r="R59" s="76"/>
      <c r="S59" s="85">
        <v>0</v>
      </c>
      <c r="T59" s="16"/>
      <c r="U59" s="16"/>
      <c r="V59" s="16">
        <v>1</v>
      </c>
      <c r="W59" s="14"/>
      <c r="X59" s="14">
        <v>300</v>
      </c>
      <c r="Y59" s="14">
        <v>1400</v>
      </c>
      <c r="Z59" s="14">
        <v>1000</v>
      </c>
      <c r="AA59" s="2">
        <f t="shared" si="2"/>
        <v>1</v>
      </c>
      <c r="AB59" s="68">
        <v>107</v>
      </c>
      <c r="AC59" s="15">
        <f t="shared" si="13"/>
        <v>9.9166666666666661</v>
      </c>
      <c r="AD59" s="68">
        <v>83.6</v>
      </c>
      <c r="AE59" s="68">
        <v>9.8000000000000007</v>
      </c>
      <c r="AF59" s="68">
        <v>56.7</v>
      </c>
      <c r="AG59" s="85">
        <f t="shared" si="3"/>
        <v>4.7</v>
      </c>
      <c r="AH59" s="15">
        <f t="shared" si="4"/>
        <v>17.616666666666667</v>
      </c>
      <c r="AI59" s="15">
        <v>11</v>
      </c>
      <c r="AJ59" s="15">
        <f t="shared" si="5"/>
        <v>1</v>
      </c>
      <c r="AK59" s="15">
        <f t="shared" si="6"/>
        <v>23.256666666666668</v>
      </c>
      <c r="AL59" s="14" t="str">
        <f t="shared" si="7"/>
        <v>Pos</v>
      </c>
      <c r="AM59" s="64" t="str">
        <f t="shared" si="16"/>
        <v>Eato Technologies</v>
      </c>
      <c r="AN59" s="16">
        <v>2</v>
      </c>
      <c r="AO59" s="16">
        <f t="shared" si="17"/>
        <v>3</v>
      </c>
      <c r="AP59" s="16">
        <f t="shared" si="10"/>
        <v>0</v>
      </c>
      <c r="AQ59" s="15">
        <v>1</v>
      </c>
      <c r="AR59" s="15">
        <f t="shared" si="11"/>
        <v>0</v>
      </c>
      <c r="AS59" s="15"/>
      <c r="AT59" s="15">
        <f t="shared" si="12"/>
        <v>2225.666666666667</v>
      </c>
      <c r="AU59" s="16"/>
      <c r="AV59" s="16"/>
      <c r="AW59" s="14"/>
      <c r="AX59" s="14"/>
      <c r="AY59" s="14"/>
      <c r="AZ59" s="16"/>
      <c r="BA59" s="14"/>
      <c r="BB59" s="15"/>
      <c r="BC59" s="15"/>
      <c r="BD59" s="15"/>
      <c r="BE59" s="15"/>
      <c r="BF59" s="15"/>
      <c r="BG59" s="15"/>
      <c r="BH59" s="15"/>
    </row>
    <row r="60" spans="2:60">
      <c r="B60" s="68" t="s">
        <v>122</v>
      </c>
      <c r="C60" s="68">
        <v>2025</v>
      </c>
      <c r="D60" s="14" t="s">
        <v>82</v>
      </c>
      <c r="E60" s="68">
        <v>0.02</v>
      </c>
      <c r="F60" s="68">
        <v>23.72</v>
      </c>
      <c r="G60" s="15">
        <f t="shared" si="14"/>
        <v>99.915682967959526</v>
      </c>
      <c r="H60" s="68">
        <v>30.49</v>
      </c>
      <c r="I60" s="68">
        <v>5.47</v>
      </c>
      <c r="J60" s="68"/>
      <c r="K60" s="68">
        <v>9.48</v>
      </c>
      <c r="L60" s="68"/>
      <c r="M60" s="68">
        <v>8.14</v>
      </c>
      <c r="N60" s="68"/>
      <c r="O60" s="68">
        <v>21.2</v>
      </c>
      <c r="P60" s="15">
        <f t="shared" si="15"/>
        <v>3.8756855575868374</v>
      </c>
      <c r="Q60" s="68">
        <v>20.350000000000001</v>
      </c>
      <c r="R60" s="76"/>
      <c r="S60" s="85">
        <v>0</v>
      </c>
      <c r="T60" s="16"/>
      <c r="U60" s="16"/>
      <c r="V60" s="16">
        <v>0</v>
      </c>
      <c r="W60" s="14"/>
      <c r="X60" s="14">
        <v>1.32</v>
      </c>
      <c r="Y60" s="14">
        <v>0.7</v>
      </c>
      <c r="Z60" s="14">
        <v>3.43</v>
      </c>
      <c r="AA60" s="2">
        <f t="shared" si="2"/>
        <v>-0.7</v>
      </c>
      <c r="AB60" s="68">
        <v>0</v>
      </c>
      <c r="AC60" s="15">
        <f t="shared" si="13"/>
        <v>0</v>
      </c>
      <c r="AD60" s="68">
        <v>53.65</v>
      </c>
      <c r="AE60" s="68">
        <v>65.239999999999995</v>
      </c>
      <c r="AF60" s="68">
        <v>145.55000000000001</v>
      </c>
      <c r="AG60" s="85">
        <f t="shared" si="3"/>
        <v>6.1</v>
      </c>
      <c r="AH60" s="15">
        <f t="shared" si="4"/>
        <v>5.3999999999999995</v>
      </c>
      <c r="AI60" s="15">
        <v>11</v>
      </c>
      <c r="AJ60" s="15">
        <f t="shared" si="5"/>
        <v>1</v>
      </c>
      <c r="AK60" s="15">
        <f t="shared" si="6"/>
        <v>12.719999999999999</v>
      </c>
      <c r="AL60" s="14" t="str">
        <f t="shared" si="7"/>
        <v>Neg</v>
      </c>
      <c r="AM60" s="64" t="str">
        <f t="shared" si="16"/>
        <v>Logiciel Solutions</v>
      </c>
      <c r="AN60" s="16">
        <v>2</v>
      </c>
      <c r="AO60" s="16">
        <f t="shared" si="17"/>
        <v>3</v>
      </c>
      <c r="AP60" s="16">
        <f t="shared" si="10"/>
        <v>0</v>
      </c>
      <c r="AQ60" s="15">
        <v>1</v>
      </c>
      <c r="AR60" s="15">
        <f t="shared" si="11"/>
        <v>0</v>
      </c>
      <c r="AS60" s="15"/>
      <c r="AT60" s="15">
        <f t="shared" si="12"/>
        <v>1172</v>
      </c>
      <c r="AU60" s="16"/>
      <c r="AV60" s="16"/>
      <c r="AW60" s="14"/>
      <c r="AX60" s="14"/>
      <c r="AY60" s="14"/>
      <c r="AZ60" s="16"/>
      <c r="BA60" s="14"/>
      <c r="BB60" s="15"/>
      <c r="BC60" s="15"/>
      <c r="BD60" s="15"/>
      <c r="BE60" s="15"/>
      <c r="BF60" s="15"/>
      <c r="BG60" s="15"/>
      <c r="BH60" s="15"/>
    </row>
    <row r="61" spans="2:60" ht="14.4" customHeight="1">
      <c r="B61" s="14" t="s">
        <v>123</v>
      </c>
      <c r="C61" s="14">
        <v>2025</v>
      </c>
      <c r="D61" s="68" t="s">
        <v>59</v>
      </c>
      <c r="E61" s="14">
        <v>0</v>
      </c>
      <c r="F61" s="14">
        <v>5.34</v>
      </c>
      <c r="G61" s="15">
        <f t="shared" si="14"/>
        <v>100</v>
      </c>
      <c r="H61" s="14">
        <v>12.9</v>
      </c>
      <c r="I61" s="14">
        <v>5.25</v>
      </c>
      <c r="J61" s="14"/>
      <c r="K61" s="14">
        <v>10.48</v>
      </c>
      <c r="L61" s="14"/>
      <c r="M61" s="14">
        <v>6.86</v>
      </c>
      <c r="N61" s="14"/>
      <c r="O61" s="14">
        <v>24.98</v>
      </c>
      <c r="P61" s="15">
        <f t="shared" si="15"/>
        <v>4.7580952380952386</v>
      </c>
      <c r="Q61" s="14">
        <v>12.9</v>
      </c>
      <c r="R61" s="15">
        <v>10.59</v>
      </c>
      <c r="S61" s="85">
        <v>-0.5</v>
      </c>
      <c r="T61" s="16"/>
      <c r="U61" s="16"/>
      <c r="V61" s="16">
        <v>1</v>
      </c>
      <c r="W61" s="14"/>
      <c r="X61" s="14">
        <v>6.8</v>
      </c>
      <c r="Y61" s="14">
        <v>115</v>
      </c>
      <c r="Z61" s="14">
        <v>78</v>
      </c>
      <c r="AA61" s="2">
        <f t="shared" si="2"/>
        <v>0</v>
      </c>
      <c r="AB61" s="68">
        <v>61</v>
      </c>
      <c r="AC61" s="15">
        <f t="shared" si="13"/>
        <v>6.083333333333333</v>
      </c>
      <c r="AD61" s="14">
        <v>4.45</v>
      </c>
      <c r="AE61" s="14">
        <v>13.09</v>
      </c>
      <c r="AF61" s="14">
        <v>4.91</v>
      </c>
      <c r="AG61" s="85">
        <f t="shared" si="3"/>
        <v>6.1</v>
      </c>
      <c r="AH61" s="15">
        <f t="shared" si="4"/>
        <v>14.183333333333334</v>
      </c>
      <c r="AI61" s="15">
        <v>11</v>
      </c>
      <c r="AJ61" s="15">
        <f t="shared" si="5"/>
        <v>1</v>
      </c>
      <c r="AK61" s="15">
        <f t="shared" si="6"/>
        <v>21.503333333333334</v>
      </c>
      <c r="AL61" s="14" t="str">
        <f t="shared" si="7"/>
        <v>Pos</v>
      </c>
      <c r="AM61" s="120" t="str">
        <f t="shared" si="16"/>
        <v>Ravelcare</v>
      </c>
      <c r="AN61" s="16">
        <v>3</v>
      </c>
      <c r="AO61" s="16">
        <f t="shared" si="17"/>
        <v>4</v>
      </c>
      <c r="AP61" s="16">
        <f t="shared" si="10"/>
        <v>1</v>
      </c>
      <c r="AQ61" s="15">
        <v>1</v>
      </c>
      <c r="AR61" s="15">
        <f t="shared" si="11"/>
        <v>0.78205128205128205</v>
      </c>
      <c r="AS61" s="15"/>
      <c r="AT61" s="15">
        <f t="shared" si="12"/>
        <v>2050.3333333333335</v>
      </c>
      <c r="AU61" s="16"/>
      <c r="AV61" s="16"/>
      <c r="AW61" s="14"/>
      <c r="AX61" s="14"/>
      <c r="AY61" s="14"/>
      <c r="AZ61" s="16"/>
      <c r="BA61" s="14"/>
      <c r="BB61" s="15"/>
      <c r="BC61" s="15"/>
      <c r="BD61" s="15"/>
      <c r="BE61" s="15"/>
      <c r="BF61" s="15"/>
      <c r="BG61" s="15"/>
      <c r="BH61" s="15"/>
    </row>
    <row r="62" spans="2:60" ht="22.2" customHeight="1">
      <c r="B62" s="14" t="s">
        <v>124</v>
      </c>
      <c r="C62" s="14">
        <v>2025</v>
      </c>
      <c r="D62" s="69" t="s">
        <v>99</v>
      </c>
      <c r="E62" s="14">
        <v>85.59</v>
      </c>
      <c r="F62" s="14">
        <v>89.7</v>
      </c>
      <c r="G62" s="15">
        <f t="shared" si="14"/>
        <v>4.5819397993311028</v>
      </c>
      <c r="H62" s="14">
        <v>164.37</v>
      </c>
      <c r="I62" s="14">
        <v>11.74</v>
      </c>
      <c r="J62" s="14"/>
      <c r="K62" s="14">
        <v>7.34</v>
      </c>
      <c r="L62" s="14"/>
      <c r="M62" s="14">
        <v>23.42</v>
      </c>
      <c r="N62" s="14"/>
      <c r="O62" s="14">
        <v>281.89999999999998</v>
      </c>
      <c r="P62" s="15">
        <f t="shared" si="15"/>
        <v>24.011925042589436</v>
      </c>
      <c r="Q62" s="14" t="s">
        <v>79</v>
      </c>
      <c r="R62" s="15">
        <v>10.75</v>
      </c>
      <c r="S62" s="85">
        <v>0</v>
      </c>
      <c r="T62" s="16"/>
      <c r="U62" s="16"/>
      <c r="V62" s="16">
        <v>1</v>
      </c>
      <c r="W62" s="14"/>
      <c r="X62" s="14">
        <v>3.5</v>
      </c>
      <c r="Y62" s="14">
        <v>2</v>
      </c>
      <c r="Z62" s="14">
        <v>0.93</v>
      </c>
      <c r="AA62" s="2">
        <f t="shared" si="2"/>
        <v>1</v>
      </c>
      <c r="AB62" s="68">
        <v>6</v>
      </c>
      <c r="AC62" s="15">
        <f t="shared" si="13"/>
        <v>1.5</v>
      </c>
      <c r="AD62" s="14">
        <v>68.400000000000006</v>
      </c>
      <c r="AE62" s="14">
        <v>13</v>
      </c>
      <c r="AF62" s="14">
        <v>15</v>
      </c>
      <c r="AG62" s="85">
        <f t="shared" si="3"/>
        <v>4.2</v>
      </c>
      <c r="AH62" s="15">
        <f t="shared" si="4"/>
        <v>8.6999999999999993</v>
      </c>
      <c r="AI62" s="15">
        <v>11</v>
      </c>
      <c r="AJ62" s="15">
        <f t="shared" si="5"/>
        <v>1</v>
      </c>
      <c r="AK62" s="15">
        <f t="shared" si="6"/>
        <v>13.739999999999998</v>
      </c>
      <c r="AL62" s="14" t="str">
        <f t="shared" si="7"/>
        <v>Rec</v>
      </c>
      <c r="AM62" s="64" t="str">
        <f t="shared" si="16"/>
        <v>Clear Secured Services</v>
      </c>
      <c r="AN62" s="16">
        <v>3</v>
      </c>
      <c r="AO62" s="16">
        <f t="shared" si="17"/>
        <v>4</v>
      </c>
      <c r="AP62" s="16">
        <f t="shared" si="10"/>
        <v>3</v>
      </c>
      <c r="AQ62" s="15">
        <v>1</v>
      </c>
      <c r="AR62" s="15">
        <f t="shared" si="11"/>
        <v>10.75268817204301</v>
      </c>
      <c r="AS62" s="15"/>
      <c r="AT62" s="15">
        <f t="shared" si="12"/>
        <v>1273.9999999999998</v>
      </c>
      <c r="AU62" s="16"/>
      <c r="AV62" s="16"/>
      <c r="AW62" s="14"/>
      <c r="AX62" s="14"/>
      <c r="AY62" s="14"/>
      <c r="AZ62" s="16"/>
      <c r="BA62" s="14"/>
      <c r="BB62" s="15"/>
      <c r="BC62" s="15"/>
      <c r="BD62" s="15"/>
      <c r="BE62" s="15"/>
      <c r="BF62" s="15"/>
      <c r="BG62" s="15"/>
      <c r="BH62" s="15"/>
    </row>
    <row r="63" spans="2:60">
      <c r="B63" s="14" t="s">
        <v>125</v>
      </c>
      <c r="C63" s="14">
        <v>2025</v>
      </c>
      <c r="D63" s="68" t="s">
        <v>59</v>
      </c>
      <c r="E63" s="68">
        <v>3.54</v>
      </c>
      <c r="F63" s="68">
        <v>13.6</v>
      </c>
      <c r="G63" s="15">
        <f t="shared" si="14"/>
        <v>73.970588235294116</v>
      </c>
      <c r="H63" s="68">
        <v>21.22</v>
      </c>
      <c r="I63" s="68">
        <v>4.93</v>
      </c>
      <c r="J63" s="68"/>
      <c r="K63" s="68">
        <v>5.86</v>
      </c>
      <c r="L63" s="68"/>
      <c r="M63" s="68">
        <v>9.23</v>
      </c>
      <c r="N63" s="68"/>
      <c r="O63" s="68">
        <v>30.18</v>
      </c>
      <c r="P63" s="15">
        <f t="shared" si="15"/>
        <v>6.1217038539553759</v>
      </c>
      <c r="Q63" s="14">
        <v>14.16</v>
      </c>
      <c r="R63" s="15">
        <v>11.66</v>
      </c>
      <c r="S63" s="85">
        <v>1</v>
      </c>
      <c r="T63" s="16"/>
      <c r="U63" s="16"/>
      <c r="V63" s="16">
        <v>1</v>
      </c>
      <c r="W63" s="14"/>
      <c r="X63" s="14">
        <v>1.55</v>
      </c>
      <c r="Y63" s="14">
        <v>2.88</v>
      </c>
      <c r="Z63" s="14">
        <v>1.66</v>
      </c>
      <c r="AA63" s="2">
        <f t="shared" si="2"/>
        <v>1</v>
      </c>
      <c r="AB63" s="68">
        <v>4</v>
      </c>
      <c r="AC63" s="15">
        <f t="shared" si="13"/>
        <v>0.33333333333333331</v>
      </c>
      <c r="AD63" s="14">
        <v>29.33</v>
      </c>
      <c r="AE63" s="14">
        <v>89.69</v>
      </c>
      <c r="AF63" s="14">
        <v>57</v>
      </c>
      <c r="AG63" s="85">
        <f t="shared" si="3"/>
        <v>7.6</v>
      </c>
      <c r="AH63" s="15">
        <f t="shared" si="4"/>
        <v>10.933333333333334</v>
      </c>
      <c r="AI63" s="15">
        <v>11</v>
      </c>
      <c r="AJ63" s="15">
        <f t="shared" si="5"/>
        <v>1</v>
      </c>
      <c r="AK63" s="15">
        <f t="shared" si="6"/>
        <v>20.053333333333335</v>
      </c>
      <c r="AL63" s="14" t="str">
        <f t="shared" si="7"/>
        <v>Pos</v>
      </c>
      <c r="AM63" s="120" t="str">
        <f t="shared" si="16"/>
        <v>Invicta Diagnostic</v>
      </c>
      <c r="AN63" s="94">
        <v>3</v>
      </c>
      <c r="AO63" s="16">
        <f t="shared" si="17"/>
        <v>4</v>
      </c>
      <c r="AP63" s="94">
        <f t="shared" si="10"/>
        <v>3</v>
      </c>
      <c r="AQ63" s="15">
        <v>1</v>
      </c>
      <c r="AR63" s="15">
        <f t="shared" si="11"/>
        <v>6.024096385542169</v>
      </c>
      <c r="AS63" s="15"/>
      <c r="AT63" s="15">
        <f t="shared" si="12"/>
        <v>1905.3333333333335</v>
      </c>
      <c r="AU63" s="16"/>
      <c r="AV63" s="16"/>
      <c r="AW63" s="14"/>
      <c r="AX63" s="14"/>
      <c r="AY63" s="96">
        <v>85</v>
      </c>
      <c r="AZ63" s="94"/>
      <c r="BA63" s="96">
        <v>99</v>
      </c>
      <c r="BB63" s="95">
        <v>100</v>
      </c>
      <c r="BC63" s="95">
        <v>91</v>
      </c>
      <c r="BD63" s="95">
        <v>87</v>
      </c>
      <c r="BE63" s="95"/>
      <c r="BF63" s="15"/>
      <c r="BG63" s="15"/>
      <c r="BH63" s="15"/>
    </row>
    <row r="64" spans="2:60">
      <c r="B64" s="14" t="s">
        <v>126</v>
      </c>
      <c r="C64" s="68">
        <v>2025</v>
      </c>
      <c r="D64" s="14" t="s">
        <v>82</v>
      </c>
      <c r="E64" s="68">
        <v>6.75</v>
      </c>
      <c r="F64" s="68">
        <v>3.92</v>
      </c>
      <c r="G64" s="15">
        <f t="shared" si="14"/>
        <v>-72.193877551020407</v>
      </c>
      <c r="H64" s="68">
        <v>14.83</v>
      </c>
      <c r="I64" s="68">
        <v>1.39</v>
      </c>
      <c r="J64" s="68"/>
      <c r="K64" s="68">
        <v>5.23</v>
      </c>
      <c r="L64" s="68"/>
      <c r="M64" s="68">
        <v>2.62</v>
      </c>
      <c r="N64" s="68"/>
      <c r="O64" s="68">
        <v>19.489999999999998</v>
      </c>
      <c r="P64" s="15">
        <f t="shared" si="15"/>
        <v>14.021582733812949</v>
      </c>
      <c r="Q64" s="14">
        <v>9.94</v>
      </c>
      <c r="R64" s="15">
        <v>16.420000000000002</v>
      </c>
      <c r="S64" s="85">
        <v>0</v>
      </c>
      <c r="T64" s="16"/>
      <c r="U64" s="16"/>
      <c r="V64" s="16">
        <v>0</v>
      </c>
      <c r="W64" s="14"/>
      <c r="X64" s="14">
        <v>0.3</v>
      </c>
      <c r="Y64" s="14">
        <v>0.3</v>
      </c>
      <c r="Z64" s="14">
        <v>1.45</v>
      </c>
      <c r="AA64" s="2">
        <f t="shared" si="2"/>
        <v>-0.7</v>
      </c>
      <c r="AB64" s="68">
        <v>0</v>
      </c>
      <c r="AC64" s="15">
        <f t="shared" si="13"/>
        <v>0</v>
      </c>
      <c r="AD64" s="14">
        <v>1290</v>
      </c>
      <c r="AE64" s="14">
        <v>58</v>
      </c>
      <c r="AF64" s="14">
        <v>55</v>
      </c>
      <c r="AG64" s="85">
        <f t="shared" si="3"/>
        <v>3.5</v>
      </c>
      <c r="AH64" s="15">
        <f t="shared" si="4"/>
        <v>2.8</v>
      </c>
      <c r="AI64" s="15">
        <v>11</v>
      </c>
      <c r="AJ64" s="15">
        <f t="shared" si="5"/>
        <v>1</v>
      </c>
      <c r="AK64" s="15">
        <f t="shared" si="6"/>
        <v>7</v>
      </c>
      <c r="AL64" s="14" t="str">
        <f t="shared" si="7"/>
        <v>Neg</v>
      </c>
      <c r="AM64" s="64" t="str">
        <f t="shared" si="16"/>
        <v>Astron Multigrain</v>
      </c>
      <c r="AN64" s="16">
        <v>3</v>
      </c>
      <c r="AO64" s="16">
        <f t="shared" si="17"/>
        <v>4</v>
      </c>
      <c r="AP64" s="16">
        <f t="shared" si="10"/>
        <v>0</v>
      </c>
      <c r="AQ64" s="15">
        <v>1</v>
      </c>
      <c r="AR64" s="15">
        <f t="shared" si="11"/>
        <v>0</v>
      </c>
      <c r="AS64" s="15"/>
      <c r="AT64" s="15">
        <f t="shared" si="12"/>
        <v>600</v>
      </c>
      <c r="AU64" s="16"/>
      <c r="AV64" s="16"/>
      <c r="AW64" s="14"/>
      <c r="AX64" s="14"/>
      <c r="AY64" s="14"/>
      <c r="AZ64" s="16"/>
      <c r="BA64" s="14"/>
      <c r="BB64" s="15"/>
      <c r="BC64" s="15"/>
      <c r="BD64" s="15"/>
      <c r="BE64" s="15"/>
      <c r="BF64" s="15"/>
      <c r="BG64" s="15"/>
      <c r="BH64" s="15"/>
    </row>
    <row r="65" spans="2:60">
      <c r="B65" s="68" t="s">
        <v>127</v>
      </c>
      <c r="C65" s="68">
        <v>2025</v>
      </c>
      <c r="D65" s="68" t="s">
        <v>59</v>
      </c>
      <c r="E65" s="68">
        <v>0</v>
      </c>
      <c r="F65" s="68">
        <v>25.36</v>
      </c>
      <c r="G65" s="15">
        <f t="shared" si="14"/>
        <v>100</v>
      </c>
      <c r="H65" s="68">
        <v>27.3</v>
      </c>
      <c r="I65" s="68">
        <v>4.8899999999999997</v>
      </c>
      <c r="J65" s="68"/>
      <c r="K65" s="68">
        <v>2.5499999999999998</v>
      </c>
      <c r="L65" s="68"/>
      <c r="M65" s="68">
        <v>6.5</v>
      </c>
      <c r="N65" s="68"/>
      <c r="O65" s="68">
        <v>42.62</v>
      </c>
      <c r="P65" s="15">
        <f t="shared" si="15"/>
        <v>8.7157464212678946</v>
      </c>
      <c r="Q65" s="14">
        <v>17.22</v>
      </c>
      <c r="R65" s="15">
        <v>15.04</v>
      </c>
      <c r="S65" s="85">
        <v>-1</v>
      </c>
      <c r="T65" s="16"/>
      <c r="U65" s="16"/>
      <c r="V65" s="16">
        <v>1</v>
      </c>
      <c r="W65" s="14"/>
      <c r="X65" s="14">
        <v>1.8</v>
      </c>
      <c r="Y65" s="14">
        <v>1.9</v>
      </c>
      <c r="Z65" s="14">
        <v>0.8</v>
      </c>
      <c r="AA65" s="2">
        <f t="shared" si="2"/>
        <v>1</v>
      </c>
      <c r="AB65" s="68">
        <v>0</v>
      </c>
      <c r="AC65" s="15">
        <f t="shared" si="13"/>
        <v>0</v>
      </c>
      <c r="AD65" s="14">
        <v>22.49</v>
      </c>
      <c r="AE65" s="14">
        <v>19.45</v>
      </c>
      <c r="AF65" s="14">
        <v>20.07</v>
      </c>
      <c r="AG65" s="85">
        <f t="shared" si="3"/>
        <v>5.6</v>
      </c>
      <c r="AH65" s="15">
        <f t="shared" si="4"/>
        <v>8.6</v>
      </c>
      <c r="AI65" s="15">
        <v>11</v>
      </c>
      <c r="AJ65" s="15">
        <f t="shared" si="5"/>
        <v>1</v>
      </c>
      <c r="AK65" s="15">
        <f t="shared" si="6"/>
        <v>15.32</v>
      </c>
      <c r="AL65" s="14" t="str">
        <f t="shared" si="7"/>
        <v>Pos</v>
      </c>
      <c r="AM65" s="120" t="str">
        <f t="shared" si="16"/>
        <v>Speb Adhesives</v>
      </c>
      <c r="AN65" s="94">
        <v>3</v>
      </c>
      <c r="AO65" s="16">
        <f t="shared" si="17"/>
        <v>4</v>
      </c>
      <c r="AP65" s="94">
        <f t="shared" si="10"/>
        <v>3</v>
      </c>
      <c r="AQ65" s="15">
        <v>1</v>
      </c>
      <c r="AR65" s="15">
        <f t="shared" si="11"/>
        <v>12.5</v>
      </c>
      <c r="AS65" s="15"/>
      <c r="AT65" s="15">
        <f t="shared" si="12"/>
        <v>1432</v>
      </c>
      <c r="AU65" s="16"/>
      <c r="AV65" s="16"/>
      <c r="AW65" s="14"/>
      <c r="AX65" s="14"/>
      <c r="AY65" s="96">
        <v>56</v>
      </c>
      <c r="AZ65" s="94">
        <v>56</v>
      </c>
      <c r="BA65" s="96">
        <v>60</v>
      </c>
      <c r="BB65" s="95">
        <v>60</v>
      </c>
      <c r="BC65" s="95">
        <v>56</v>
      </c>
      <c r="BD65" s="95">
        <v>56</v>
      </c>
      <c r="BE65" s="95">
        <v>60</v>
      </c>
      <c r="BF65" s="15"/>
      <c r="BG65" s="15"/>
      <c r="BH65" s="15"/>
    </row>
    <row r="66" spans="2:60" ht="14.4" customHeight="1">
      <c r="B66" s="68" t="s">
        <v>128</v>
      </c>
      <c r="C66" s="68">
        <v>2025</v>
      </c>
      <c r="D66" s="68" t="s">
        <v>59</v>
      </c>
      <c r="E66" s="68">
        <v>35.619999999999997</v>
      </c>
      <c r="F66" s="68">
        <v>19.75</v>
      </c>
      <c r="G66" s="15">
        <f t="shared" ref="G66:G97" si="18">100*(F66-E66)/F66</f>
        <v>-80.35443037974683</v>
      </c>
      <c r="H66" s="68">
        <v>78.89</v>
      </c>
      <c r="I66" s="68">
        <v>7.75</v>
      </c>
      <c r="J66" s="68"/>
      <c r="K66" s="68">
        <v>6.64</v>
      </c>
      <c r="L66" s="68"/>
      <c r="M66" s="68">
        <v>13.11</v>
      </c>
      <c r="N66" s="68"/>
      <c r="O66" s="68">
        <v>84.17</v>
      </c>
      <c r="P66" s="15">
        <f t="shared" ref="P66:P97" si="19">O66/I66</f>
        <v>10.860645161290323</v>
      </c>
      <c r="Q66" s="14">
        <v>6.47</v>
      </c>
      <c r="R66" s="15">
        <v>27.08</v>
      </c>
      <c r="S66" s="85">
        <v>0</v>
      </c>
      <c r="T66" s="16"/>
      <c r="U66" s="16"/>
      <c r="V66" s="16">
        <v>1</v>
      </c>
      <c r="W66" s="14"/>
      <c r="X66" s="14">
        <v>16.8</v>
      </c>
      <c r="Y66" s="14">
        <v>18</v>
      </c>
      <c r="Z66" s="14">
        <v>8</v>
      </c>
      <c r="AA66" s="2">
        <f t="shared" ref="AA66:AA129" si="20">IF(X66&lt;50,IF(Y66&gt;(2.3*X66),0,1),1)-IF(Z66&gt;Y66,1.7,0)</f>
        <v>1</v>
      </c>
      <c r="AB66" s="68">
        <v>9</v>
      </c>
      <c r="AC66" s="15">
        <f t="shared" si="13"/>
        <v>1.75</v>
      </c>
      <c r="AD66" s="14">
        <v>50</v>
      </c>
      <c r="AE66" s="14">
        <v>17.98</v>
      </c>
      <c r="AF66" s="14">
        <v>33.33</v>
      </c>
      <c r="AG66" s="85">
        <f t="shared" ref="AG66:AG129" si="21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5">
        <f t="shared" ref="AH66:AH129" si="22">AG66+IF(X66&lt;1.35,0,1)+IF(Y66&lt;1.35,0,1)+AC66+AA66</f>
        <v>9.25</v>
      </c>
      <c r="AI66" s="15">
        <v>11</v>
      </c>
      <c r="AJ66" s="15">
        <f t="shared" ref="AJ66:AJ129" si="23">IF(AI66&gt;12.7,IF(AI66&gt;15.8,0.93,0.98),1)</f>
        <v>1</v>
      </c>
      <c r="AK66" s="15">
        <f t="shared" ref="AK66:AK129" si="24">(1.2*AG66+AH66)*AJ66*AQ66</f>
        <v>14.649999999999999</v>
      </c>
      <c r="AL66" s="14" t="str">
        <f t="shared" ref="AL66:AL129" si="25">D66</f>
        <v>Pos</v>
      </c>
      <c r="AM66" s="64" t="str">
        <f t="shared" ref="AM66:AM97" si="26">B66</f>
        <v>Neochem Bio Solutions</v>
      </c>
      <c r="AN66" s="16">
        <v>4</v>
      </c>
      <c r="AO66" s="16">
        <f t="shared" ref="AO66:AO97" si="27">AN66+1</f>
        <v>5</v>
      </c>
      <c r="AP66" s="16">
        <f t="shared" ref="AP66:AP129" si="28">IF(AK66&gt;13.1,IF(Z66&lt;101,IF(Z66&lt;35,IF(Z66&lt;6,3,2),1),0),0)</f>
        <v>2</v>
      </c>
      <c r="AQ66" s="15">
        <v>1</v>
      </c>
      <c r="AR66" s="15">
        <f t="shared" ref="AR66:AR129" si="29">IF(AP66&gt;0,IF(AB66&gt;10,(AB66/Z66),10/Z66),0)</f>
        <v>1.25</v>
      </c>
      <c r="AS66" s="15"/>
      <c r="AT66" s="15">
        <f t="shared" ref="AT66:AT129" si="30">100*(AK66-AQ66)/AQ66</f>
        <v>1364.9999999999998</v>
      </c>
      <c r="AU66" s="16"/>
      <c r="AV66" s="16"/>
      <c r="AW66" s="14"/>
      <c r="AX66" s="14"/>
      <c r="AY66" s="14">
        <v>98</v>
      </c>
      <c r="AZ66" s="16"/>
      <c r="BA66" s="14">
        <v>108</v>
      </c>
      <c r="BB66" s="15">
        <v>112</v>
      </c>
      <c r="BC66" s="15">
        <v>110.8</v>
      </c>
      <c r="BD66" s="15">
        <v>109</v>
      </c>
      <c r="BE66" s="15">
        <v>113.4</v>
      </c>
      <c r="BF66" s="15"/>
      <c r="BG66" s="15"/>
      <c r="BH66" s="15"/>
    </row>
    <row r="67" spans="2:60" ht="19.2" customHeight="1">
      <c r="B67" s="14" t="s">
        <v>129</v>
      </c>
      <c r="C67" s="68">
        <v>2025</v>
      </c>
      <c r="D67" s="68" t="s">
        <v>59</v>
      </c>
      <c r="E67" s="14">
        <v>0.04</v>
      </c>
      <c r="F67" s="14">
        <v>6.26</v>
      </c>
      <c r="G67" s="15">
        <f t="shared" si="18"/>
        <v>99.361022364217263</v>
      </c>
      <c r="H67" s="14">
        <v>8.24</v>
      </c>
      <c r="I67" s="14">
        <v>2.1</v>
      </c>
      <c r="J67" s="14"/>
      <c r="K67" s="14">
        <v>8.6</v>
      </c>
      <c r="L67" s="14"/>
      <c r="M67" s="14">
        <v>2.83</v>
      </c>
      <c r="N67" s="14"/>
      <c r="O67" s="14">
        <v>28.12</v>
      </c>
      <c r="P67" s="15">
        <f t="shared" si="19"/>
        <v>13.390476190476191</v>
      </c>
      <c r="Q67" s="14">
        <v>22.31</v>
      </c>
      <c r="R67" s="15">
        <v>12.01</v>
      </c>
      <c r="S67" s="85">
        <v>0</v>
      </c>
      <c r="T67" s="16"/>
      <c r="U67" s="16"/>
      <c r="V67" s="16">
        <v>1</v>
      </c>
      <c r="W67" s="14"/>
      <c r="X67" s="14">
        <v>23</v>
      </c>
      <c r="Y67" s="14">
        <v>32</v>
      </c>
      <c r="Z67" s="14">
        <v>17</v>
      </c>
      <c r="AA67" s="2">
        <f t="shared" si="20"/>
        <v>1</v>
      </c>
      <c r="AB67" s="68">
        <v>9</v>
      </c>
      <c r="AC67" s="15">
        <f t="shared" ref="AC67:AC130" si="31">IF(AB67&gt;4,1,0)+AB67/12</f>
        <v>1.75</v>
      </c>
      <c r="AD67" s="68">
        <v>16.16</v>
      </c>
      <c r="AE67" s="14">
        <v>8.26</v>
      </c>
      <c r="AF67" s="14">
        <v>212.82</v>
      </c>
      <c r="AG67" s="85">
        <f t="shared" si="21"/>
        <v>5.6</v>
      </c>
      <c r="AH67" s="15">
        <f t="shared" si="22"/>
        <v>10.35</v>
      </c>
      <c r="AI67" s="15">
        <v>11</v>
      </c>
      <c r="AJ67" s="15">
        <f t="shared" si="23"/>
        <v>1</v>
      </c>
      <c r="AK67" s="15">
        <f t="shared" si="24"/>
        <v>17.07</v>
      </c>
      <c r="AL67" s="14" t="str">
        <f t="shared" si="25"/>
        <v>Pos</v>
      </c>
      <c r="AM67" s="64" t="str">
        <f t="shared" si="26"/>
        <v>Helloji Holidays</v>
      </c>
      <c r="AN67" s="16">
        <v>4</v>
      </c>
      <c r="AO67" s="16">
        <f t="shared" si="27"/>
        <v>5</v>
      </c>
      <c r="AP67" s="16">
        <f t="shared" si="28"/>
        <v>2</v>
      </c>
      <c r="AQ67" s="15">
        <v>1</v>
      </c>
      <c r="AR67" s="15">
        <f t="shared" si="29"/>
        <v>0.58823529411764708</v>
      </c>
      <c r="AS67" s="15"/>
      <c r="AT67" s="15">
        <f t="shared" si="30"/>
        <v>1607</v>
      </c>
      <c r="AU67" s="16"/>
      <c r="AV67" s="16"/>
      <c r="AW67" s="14"/>
      <c r="AX67" s="14"/>
      <c r="AY67" s="14">
        <v>118</v>
      </c>
      <c r="AZ67" s="16"/>
      <c r="BA67" s="14">
        <v>118</v>
      </c>
      <c r="BB67" s="15">
        <v>124</v>
      </c>
      <c r="BC67" s="15">
        <v>130</v>
      </c>
      <c r="BD67" s="15">
        <v>136</v>
      </c>
      <c r="BE67" s="15"/>
      <c r="BF67" s="15"/>
      <c r="BG67" s="15"/>
      <c r="BH67" s="15"/>
    </row>
    <row r="68" spans="2:60">
      <c r="B68" s="68" t="s">
        <v>130</v>
      </c>
      <c r="C68" s="68">
        <v>2025</v>
      </c>
      <c r="D68" s="14" t="s">
        <v>82</v>
      </c>
      <c r="E68" s="68">
        <v>50.98</v>
      </c>
      <c r="F68" s="68">
        <v>12.16</v>
      </c>
      <c r="G68" s="15">
        <f t="shared" si="18"/>
        <v>-319.2434210526315</v>
      </c>
      <c r="H68" s="68">
        <v>106.13</v>
      </c>
      <c r="I68" s="68">
        <v>5.79</v>
      </c>
      <c r="J68" s="68"/>
      <c r="K68" s="68">
        <v>5.55</v>
      </c>
      <c r="L68" s="68"/>
      <c r="M68" s="68">
        <v>9.2100000000000009</v>
      </c>
      <c r="N68" s="68"/>
      <c r="O68" s="68">
        <v>145.79</v>
      </c>
      <c r="P68" s="15">
        <f t="shared" si="19"/>
        <v>25.179620034542314</v>
      </c>
      <c r="Q68" s="68">
        <v>16.22</v>
      </c>
      <c r="R68" s="76">
        <v>16.18</v>
      </c>
      <c r="S68" s="85">
        <v>0</v>
      </c>
      <c r="T68" s="16"/>
      <c r="U68" s="16"/>
      <c r="V68" s="16">
        <v>0</v>
      </c>
      <c r="W68" s="14"/>
      <c r="X68" s="14">
        <v>0.6</v>
      </c>
      <c r="Y68" s="14">
        <v>0.6</v>
      </c>
      <c r="Z68" s="14">
        <v>4.91</v>
      </c>
      <c r="AA68" s="2">
        <f t="shared" si="20"/>
        <v>-0.7</v>
      </c>
      <c r="AB68" s="68">
        <v>0</v>
      </c>
      <c r="AC68" s="15">
        <f t="shared" si="31"/>
        <v>0</v>
      </c>
      <c r="AD68" s="68">
        <v>122</v>
      </c>
      <c r="AE68" s="14">
        <v>12</v>
      </c>
      <c r="AF68" s="14">
        <v>91</v>
      </c>
      <c r="AG68" s="85">
        <f t="shared" si="21"/>
        <v>2.5</v>
      </c>
      <c r="AH68" s="15">
        <f t="shared" si="22"/>
        <v>1.8</v>
      </c>
      <c r="AI68" s="15">
        <v>11</v>
      </c>
      <c r="AJ68" s="15">
        <f t="shared" si="23"/>
        <v>1</v>
      </c>
      <c r="AK68" s="15">
        <f t="shared" si="24"/>
        <v>4.8</v>
      </c>
      <c r="AL68" s="14" t="str">
        <f t="shared" si="25"/>
        <v>Neg</v>
      </c>
      <c r="AM68" s="64" t="str">
        <f t="shared" si="26"/>
        <v>Shri Kanha Stainless</v>
      </c>
      <c r="AN68" s="16">
        <v>5</v>
      </c>
      <c r="AO68" s="16">
        <f t="shared" si="27"/>
        <v>6</v>
      </c>
      <c r="AP68" s="16">
        <f t="shared" si="28"/>
        <v>0</v>
      </c>
      <c r="AQ68" s="15">
        <v>1</v>
      </c>
      <c r="AR68" s="15">
        <f t="shared" si="29"/>
        <v>0</v>
      </c>
      <c r="AS68" s="15"/>
      <c r="AT68" s="15">
        <f t="shared" si="30"/>
        <v>380</v>
      </c>
      <c r="AU68" s="16"/>
      <c r="AV68" s="16"/>
      <c r="AW68" s="14"/>
      <c r="AX68" s="14"/>
      <c r="AY68" s="14"/>
      <c r="AZ68" s="16"/>
      <c r="BA68" s="14"/>
      <c r="BB68" s="15"/>
      <c r="BC68" s="15"/>
      <c r="BD68" s="15"/>
      <c r="BE68" s="15"/>
      <c r="BF68" s="15"/>
      <c r="BG68" s="15"/>
      <c r="BH68" s="15"/>
    </row>
    <row r="69" spans="2:60" ht="12" customHeight="1">
      <c r="B69" s="14" t="s">
        <v>131</v>
      </c>
      <c r="C69" s="68">
        <v>2025</v>
      </c>
      <c r="D69" s="68" t="s">
        <v>59</v>
      </c>
      <c r="E69" s="68">
        <v>1.49</v>
      </c>
      <c r="F69" s="68">
        <v>18.63</v>
      </c>
      <c r="G69" s="15">
        <f t="shared" si="18"/>
        <v>92.002147074610846</v>
      </c>
      <c r="H69" s="14">
        <v>29.83</v>
      </c>
      <c r="I69" s="14">
        <v>4.1900000000000004</v>
      </c>
      <c r="J69" s="14"/>
      <c r="K69" s="14">
        <v>6.52</v>
      </c>
      <c r="L69" s="14"/>
      <c r="M69" s="14">
        <v>6.16</v>
      </c>
      <c r="N69" s="14"/>
      <c r="O69" s="14">
        <v>60.78</v>
      </c>
      <c r="P69" s="15">
        <f t="shared" si="19"/>
        <v>14.505966587112171</v>
      </c>
      <c r="Q69" s="14">
        <v>12.58</v>
      </c>
      <c r="R69" s="15">
        <v>20.62</v>
      </c>
      <c r="S69" s="85">
        <v>0</v>
      </c>
      <c r="T69" s="16"/>
      <c r="U69" s="16"/>
      <c r="V69" s="16">
        <v>1</v>
      </c>
      <c r="W69" s="14"/>
      <c r="X69" s="14">
        <v>0.62</v>
      </c>
      <c r="Y69" s="14">
        <v>172</v>
      </c>
      <c r="Z69" s="14">
        <v>248</v>
      </c>
      <c r="AA69" s="2">
        <f t="shared" si="20"/>
        <v>-1.7</v>
      </c>
      <c r="AB69" s="68">
        <v>109.6</v>
      </c>
      <c r="AC69" s="15">
        <f t="shared" si="31"/>
        <v>10.133333333333333</v>
      </c>
      <c r="AD69" s="14">
        <v>121</v>
      </c>
      <c r="AE69" s="14">
        <v>20</v>
      </c>
      <c r="AF69" s="14">
        <v>42</v>
      </c>
      <c r="AG69" s="85">
        <f t="shared" si="21"/>
        <v>6.6</v>
      </c>
      <c r="AH69" s="15">
        <f t="shared" si="22"/>
        <v>16.033333333333335</v>
      </c>
      <c r="AI69" s="15">
        <v>11</v>
      </c>
      <c r="AJ69" s="15">
        <f t="shared" si="23"/>
        <v>1</v>
      </c>
      <c r="AK69" s="15">
        <f t="shared" si="24"/>
        <v>23.953333333333333</v>
      </c>
      <c r="AL69" s="14" t="str">
        <f t="shared" si="25"/>
        <v>Pos</v>
      </c>
      <c r="AM69" s="120" t="str">
        <f t="shared" si="26"/>
        <v>Luxury Time</v>
      </c>
      <c r="AN69" s="16">
        <v>8</v>
      </c>
      <c r="AO69" s="16">
        <f t="shared" si="27"/>
        <v>9</v>
      </c>
      <c r="AP69" s="16">
        <f t="shared" si="28"/>
        <v>0</v>
      </c>
      <c r="AQ69" s="15">
        <v>1</v>
      </c>
      <c r="AR69" s="15">
        <f t="shared" si="29"/>
        <v>0</v>
      </c>
      <c r="AS69" s="15"/>
      <c r="AT69" s="15">
        <f t="shared" si="30"/>
        <v>2295.3333333333335</v>
      </c>
      <c r="AU69" s="16"/>
      <c r="AV69" s="16"/>
      <c r="AW69" s="14"/>
      <c r="AX69" s="14"/>
      <c r="AY69" s="14">
        <v>82</v>
      </c>
      <c r="AZ69" s="16"/>
      <c r="BA69" s="14">
        <v>155</v>
      </c>
      <c r="BB69" s="15">
        <v>163</v>
      </c>
      <c r="BC69" s="93">
        <v>155</v>
      </c>
      <c r="BD69" s="93">
        <v>147</v>
      </c>
      <c r="BE69" s="15">
        <v>163</v>
      </c>
      <c r="BF69" s="15"/>
      <c r="BG69" s="15"/>
      <c r="BH69" s="15"/>
    </row>
    <row r="70" spans="2:60">
      <c r="B70" s="14" t="s">
        <v>132</v>
      </c>
      <c r="C70" s="68">
        <v>2025</v>
      </c>
      <c r="D70" s="14" t="s">
        <v>82</v>
      </c>
      <c r="E70" s="14">
        <v>4.09</v>
      </c>
      <c r="F70" s="14">
        <v>6.53</v>
      </c>
      <c r="G70" s="15">
        <f t="shared" si="18"/>
        <v>37.366003062787136</v>
      </c>
      <c r="H70" s="14">
        <v>12.69</v>
      </c>
      <c r="I70" s="14">
        <v>2.21</v>
      </c>
      <c r="J70" s="14"/>
      <c r="K70" s="14">
        <v>5.25</v>
      </c>
      <c r="L70" s="14"/>
      <c r="M70" s="14">
        <v>3.7</v>
      </c>
      <c r="N70" s="14"/>
      <c r="O70" s="14">
        <v>22.73</v>
      </c>
      <c r="P70" s="15">
        <f t="shared" si="19"/>
        <v>10.285067873303168</v>
      </c>
      <c r="Q70" s="14">
        <v>10.67</v>
      </c>
      <c r="R70" s="15">
        <v>14.6</v>
      </c>
      <c r="S70" s="85">
        <v>0</v>
      </c>
      <c r="T70" s="16"/>
      <c r="U70" s="16"/>
      <c r="V70" s="16">
        <v>0</v>
      </c>
      <c r="W70" s="14"/>
      <c r="X70" s="14">
        <v>0.34</v>
      </c>
      <c r="Y70" s="14">
        <v>0.34</v>
      </c>
      <c r="Z70" s="14">
        <v>1.86</v>
      </c>
      <c r="AA70" s="2">
        <f t="shared" si="20"/>
        <v>-0.7</v>
      </c>
      <c r="AB70" s="68">
        <v>0</v>
      </c>
      <c r="AC70" s="15">
        <f t="shared" si="31"/>
        <v>0</v>
      </c>
      <c r="AD70" s="14">
        <v>86</v>
      </c>
      <c r="AE70" s="14">
        <v>12</v>
      </c>
      <c r="AF70" s="14">
        <v>46</v>
      </c>
      <c r="AG70" s="85">
        <f t="shared" si="21"/>
        <v>4.9000000000000004</v>
      </c>
      <c r="AH70" s="15">
        <f t="shared" si="22"/>
        <v>4.2</v>
      </c>
      <c r="AI70" s="15">
        <v>11</v>
      </c>
      <c r="AJ70" s="15">
        <f t="shared" si="23"/>
        <v>1</v>
      </c>
      <c r="AK70" s="15">
        <f t="shared" si="24"/>
        <v>10.08</v>
      </c>
      <c r="AL70" s="14" t="str">
        <f t="shared" si="25"/>
        <v>Neg</v>
      </c>
      <c r="AM70" s="64" t="str">
        <f t="shared" si="26"/>
        <v>Western Overseas Study Abroad</v>
      </c>
      <c r="AN70" s="14">
        <v>8</v>
      </c>
      <c r="AO70" s="16">
        <f t="shared" si="27"/>
        <v>9</v>
      </c>
      <c r="AP70" s="16">
        <f t="shared" si="28"/>
        <v>0</v>
      </c>
      <c r="AQ70" s="15">
        <v>1</v>
      </c>
      <c r="AR70" s="15">
        <f t="shared" si="29"/>
        <v>0</v>
      </c>
      <c r="AS70" s="15"/>
      <c r="AT70" s="15">
        <f t="shared" si="30"/>
        <v>908</v>
      </c>
      <c r="AU70" s="16"/>
      <c r="AV70" s="16"/>
      <c r="AW70" s="14"/>
      <c r="AX70" s="14"/>
      <c r="AY70" s="14"/>
      <c r="AZ70" s="16"/>
      <c r="BA70" s="14"/>
      <c r="BB70" s="15"/>
      <c r="BC70" s="15"/>
      <c r="BD70" s="15"/>
      <c r="BE70" s="15"/>
      <c r="BF70" s="15"/>
      <c r="BG70" s="15"/>
      <c r="BH70" s="15"/>
    </row>
    <row r="71" spans="2:60" ht="17.399999999999999" customHeight="1">
      <c r="B71" s="68" t="s">
        <v>133</v>
      </c>
      <c r="C71" s="68">
        <v>2025</v>
      </c>
      <c r="D71" s="14" t="s">
        <v>82</v>
      </c>
      <c r="E71" s="68">
        <v>32.159999999999997</v>
      </c>
      <c r="F71" s="68">
        <v>42.72</v>
      </c>
      <c r="G71" s="15">
        <f t="shared" si="18"/>
        <v>24.719101123595511</v>
      </c>
      <c r="H71" s="14">
        <v>93.55</v>
      </c>
      <c r="I71" s="14">
        <v>11.5</v>
      </c>
      <c r="J71" s="14"/>
      <c r="K71" s="14">
        <v>8.86</v>
      </c>
      <c r="L71" s="14"/>
      <c r="M71" s="14">
        <v>17.149999999999999</v>
      </c>
      <c r="N71" s="14"/>
      <c r="O71" s="14">
        <v>136.01</v>
      </c>
      <c r="P71" s="15">
        <f t="shared" si="19"/>
        <v>11.826956521739129</v>
      </c>
      <c r="Q71" s="14">
        <v>24.7</v>
      </c>
      <c r="R71" s="15">
        <v>17.309999999999999</v>
      </c>
      <c r="S71" s="85">
        <v>0</v>
      </c>
      <c r="T71" s="16"/>
      <c r="U71" s="16"/>
      <c r="V71" s="16">
        <v>1</v>
      </c>
      <c r="W71" s="14"/>
      <c r="X71" s="14">
        <v>11</v>
      </c>
      <c r="Y71" s="14">
        <v>14</v>
      </c>
      <c r="Z71" s="14">
        <v>5.39</v>
      </c>
      <c r="AA71" s="2">
        <f t="shared" si="20"/>
        <v>1</v>
      </c>
      <c r="AB71" s="68">
        <v>10</v>
      </c>
      <c r="AC71" s="15">
        <f t="shared" si="31"/>
        <v>1.8333333333333335</v>
      </c>
      <c r="AD71" s="14">
        <v>113</v>
      </c>
      <c r="AE71" s="14">
        <v>136</v>
      </c>
      <c r="AF71" s="14">
        <v>35</v>
      </c>
      <c r="AG71" s="85">
        <f t="shared" si="21"/>
        <v>5.2</v>
      </c>
      <c r="AH71" s="15">
        <f t="shared" si="22"/>
        <v>10.033333333333333</v>
      </c>
      <c r="AI71" s="15">
        <v>11</v>
      </c>
      <c r="AJ71" s="15">
        <f t="shared" si="23"/>
        <v>1</v>
      </c>
      <c r="AK71" s="15">
        <f t="shared" si="24"/>
        <v>10.577666666666667</v>
      </c>
      <c r="AL71" s="14" t="str">
        <f t="shared" si="25"/>
        <v>Neg</v>
      </c>
      <c r="AM71" s="64" t="str">
        <f t="shared" si="26"/>
        <v>Methodhub Software</v>
      </c>
      <c r="AN71" s="16">
        <v>9</v>
      </c>
      <c r="AO71" s="16">
        <f t="shared" si="27"/>
        <v>10</v>
      </c>
      <c r="AP71" s="16">
        <f t="shared" si="28"/>
        <v>0</v>
      </c>
      <c r="AQ71" s="15">
        <v>0.65</v>
      </c>
      <c r="AR71" s="15">
        <f t="shared" si="29"/>
        <v>0</v>
      </c>
      <c r="AS71" s="15"/>
      <c r="AT71" s="15">
        <f t="shared" si="30"/>
        <v>1527.3333333333333</v>
      </c>
      <c r="AU71" s="16"/>
      <c r="AV71" s="16"/>
      <c r="AW71" s="14"/>
      <c r="AX71" s="14"/>
      <c r="AY71" s="14">
        <v>194</v>
      </c>
      <c r="AZ71" s="16"/>
      <c r="BA71" s="14">
        <v>163</v>
      </c>
      <c r="BB71" s="15">
        <v>163</v>
      </c>
      <c r="BC71" s="15">
        <v>156</v>
      </c>
      <c r="BD71" s="15">
        <v>153</v>
      </c>
      <c r="BE71" s="15"/>
      <c r="BF71" s="15"/>
      <c r="BG71" s="15"/>
      <c r="BH71" s="15"/>
    </row>
    <row r="72" spans="2:60">
      <c r="B72" s="68" t="s">
        <v>134</v>
      </c>
      <c r="C72" s="68">
        <v>2025</v>
      </c>
      <c r="D72" s="68" t="s">
        <v>59</v>
      </c>
      <c r="E72" s="68">
        <v>0</v>
      </c>
      <c r="F72" s="68">
        <v>32.58</v>
      </c>
      <c r="G72" s="15">
        <f t="shared" si="18"/>
        <v>100</v>
      </c>
      <c r="H72" s="68">
        <v>53.45</v>
      </c>
      <c r="I72" s="68">
        <v>10.79</v>
      </c>
      <c r="J72" s="68"/>
      <c r="K72" s="68">
        <v>10.34</v>
      </c>
      <c r="L72" s="68"/>
      <c r="M72" s="68">
        <v>16.86</v>
      </c>
      <c r="N72" s="68"/>
      <c r="O72" s="68">
        <v>55.01</v>
      </c>
      <c r="P72" s="15">
        <f t="shared" si="19"/>
        <v>5.0982391102873033</v>
      </c>
      <c r="Q72" s="68">
        <v>10.33</v>
      </c>
      <c r="R72" s="76">
        <v>12.32</v>
      </c>
      <c r="S72" s="85">
        <v>-0.9</v>
      </c>
      <c r="T72" s="16"/>
      <c r="U72" s="16"/>
      <c r="V72" s="16">
        <v>1</v>
      </c>
      <c r="W72" s="14"/>
      <c r="X72" s="14">
        <v>1.05</v>
      </c>
      <c r="Y72" s="14">
        <v>3.49</v>
      </c>
      <c r="Z72" s="14">
        <v>1.48</v>
      </c>
      <c r="AA72" s="2">
        <f t="shared" si="20"/>
        <v>0</v>
      </c>
      <c r="AB72" s="68">
        <v>2.5</v>
      </c>
      <c r="AC72" s="15">
        <f t="shared" si="31"/>
        <v>0.20833333333333334</v>
      </c>
      <c r="AD72" s="14">
        <v>57</v>
      </c>
      <c r="AE72" s="14">
        <v>37</v>
      </c>
      <c r="AF72" s="14">
        <v>214</v>
      </c>
      <c r="AG72" s="85">
        <f t="shared" si="21"/>
        <v>5.6999999999999993</v>
      </c>
      <c r="AH72" s="15">
        <f t="shared" si="22"/>
        <v>6.9083333333333323</v>
      </c>
      <c r="AI72" s="15">
        <v>11</v>
      </c>
      <c r="AJ72" s="15">
        <f t="shared" si="23"/>
        <v>1</v>
      </c>
      <c r="AK72" s="15">
        <f t="shared" si="24"/>
        <v>13.748333333333331</v>
      </c>
      <c r="AL72" s="14" t="str">
        <f t="shared" si="25"/>
        <v>Pos</v>
      </c>
      <c r="AM72" s="64" t="str">
        <f t="shared" si="26"/>
        <v>ScaleSauce</v>
      </c>
      <c r="AN72" s="94">
        <v>9</v>
      </c>
      <c r="AO72" s="16">
        <f t="shared" si="27"/>
        <v>10</v>
      </c>
      <c r="AP72" s="94">
        <f t="shared" si="28"/>
        <v>3</v>
      </c>
      <c r="AQ72" s="15">
        <v>1</v>
      </c>
      <c r="AR72" s="15">
        <f t="shared" si="29"/>
        <v>6.756756756756757</v>
      </c>
      <c r="AS72" s="15"/>
      <c r="AT72" s="15">
        <f t="shared" si="30"/>
        <v>1274.833333333333</v>
      </c>
      <c r="AU72" s="16"/>
      <c r="AV72" s="16"/>
      <c r="AW72" s="14"/>
      <c r="AX72" s="14"/>
      <c r="AY72" s="96">
        <v>107</v>
      </c>
      <c r="AZ72" s="94">
        <v>187</v>
      </c>
      <c r="BA72" s="96">
        <v>203</v>
      </c>
      <c r="BB72" s="97">
        <v>192</v>
      </c>
      <c r="BC72" s="97">
        <v>183</v>
      </c>
      <c r="BD72" s="95">
        <v>175</v>
      </c>
      <c r="BE72" s="95">
        <v>295</v>
      </c>
      <c r="BF72" s="15"/>
      <c r="BG72" s="15"/>
      <c r="BH72" s="15"/>
    </row>
    <row r="73" spans="2:60">
      <c r="B73" s="24" t="s">
        <v>135</v>
      </c>
      <c r="C73" s="68">
        <v>2025</v>
      </c>
      <c r="D73" s="68" t="s">
        <v>59</v>
      </c>
      <c r="E73" s="68">
        <v>18.09</v>
      </c>
      <c r="F73" s="68">
        <v>39</v>
      </c>
      <c r="G73" s="15">
        <f t="shared" si="18"/>
        <v>53.615384615384613</v>
      </c>
      <c r="H73" s="68">
        <v>64.650000000000006</v>
      </c>
      <c r="I73" s="68">
        <v>4.16</v>
      </c>
      <c r="J73" s="68"/>
      <c r="K73" s="68">
        <v>14.24</v>
      </c>
      <c r="L73" s="68"/>
      <c r="M73" s="68">
        <v>13.51</v>
      </c>
      <c r="N73" s="68"/>
      <c r="O73" s="68">
        <v>23.64</v>
      </c>
      <c r="P73" s="15">
        <f t="shared" si="19"/>
        <v>5.6826923076923075</v>
      </c>
      <c r="Q73" s="68">
        <v>13.51</v>
      </c>
      <c r="R73" s="76">
        <v>17.77</v>
      </c>
      <c r="S73" s="85">
        <v>-0.9</v>
      </c>
      <c r="T73" s="16"/>
      <c r="U73" s="16"/>
      <c r="V73" s="16">
        <v>1</v>
      </c>
      <c r="W73" s="14"/>
      <c r="X73" s="14">
        <v>1.5</v>
      </c>
      <c r="Y73" s="14">
        <v>3.2</v>
      </c>
      <c r="Z73" s="14">
        <v>0.97</v>
      </c>
      <c r="AA73" s="2">
        <f t="shared" si="20"/>
        <v>1</v>
      </c>
      <c r="AB73" s="68">
        <v>0</v>
      </c>
      <c r="AC73" s="15">
        <f t="shared" si="31"/>
        <v>0</v>
      </c>
      <c r="AD73" s="68">
        <v>3</v>
      </c>
      <c r="AE73" s="14">
        <v>5</v>
      </c>
      <c r="AF73" s="14">
        <v>70</v>
      </c>
      <c r="AG73" s="85">
        <f t="shared" si="21"/>
        <v>4.6999999999999993</v>
      </c>
      <c r="AH73" s="15">
        <f t="shared" si="22"/>
        <v>7.6999999999999993</v>
      </c>
      <c r="AI73" s="15">
        <v>11</v>
      </c>
      <c r="AJ73" s="15">
        <f t="shared" si="23"/>
        <v>1</v>
      </c>
      <c r="AK73" s="15">
        <f t="shared" si="24"/>
        <v>13.339999999999998</v>
      </c>
      <c r="AL73" s="14" t="str">
        <f t="shared" si="25"/>
        <v>Pos</v>
      </c>
      <c r="AM73" s="64" t="str">
        <f t="shared" si="26"/>
        <v>Flywings Simulator Training</v>
      </c>
      <c r="AN73" s="99">
        <v>9</v>
      </c>
      <c r="AO73" s="16">
        <f t="shared" si="27"/>
        <v>10</v>
      </c>
      <c r="AP73" s="99">
        <f t="shared" si="28"/>
        <v>3</v>
      </c>
      <c r="AQ73" s="15">
        <v>1</v>
      </c>
      <c r="AR73" s="15">
        <f t="shared" si="29"/>
        <v>10.309278350515465</v>
      </c>
      <c r="AS73" s="15"/>
      <c r="AT73" s="15">
        <f t="shared" si="30"/>
        <v>1233.9999999999998</v>
      </c>
      <c r="AU73" s="16"/>
      <c r="AV73" s="16"/>
      <c r="AW73" s="14"/>
      <c r="AX73" s="14"/>
      <c r="AY73" s="102">
        <v>191</v>
      </c>
      <c r="AZ73" s="99"/>
      <c r="BA73" s="102">
        <v>205</v>
      </c>
      <c r="BB73" s="100">
        <v>215</v>
      </c>
      <c r="BC73" s="100">
        <v>225</v>
      </c>
      <c r="BD73" s="100">
        <v>237</v>
      </c>
      <c r="BE73" s="100"/>
      <c r="BF73" s="15"/>
      <c r="BG73" s="15"/>
      <c r="BH73" s="15"/>
    </row>
    <row r="74" spans="2:60" ht="15" customHeight="1">
      <c r="B74" s="68" t="s">
        <v>136</v>
      </c>
      <c r="C74" s="68">
        <v>2025</v>
      </c>
      <c r="D74" s="68" t="s">
        <v>59</v>
      </c>
      <c r="E74" s="25">
        <v>44.03</v>
      </c>
      <c r="F74" s="25">
        <v>9.09</v>
      </c>
      <c r="G74" s="15">
        <f t="shared" si="18"/>
        <v>-384.37843784378441</v>
      </c>
      <c r="H74" s="25">
        <v>48.53</v>
      </c>
      <c r="I74" s="25">
        <v>4.59</v>
      </c>
      <c r="J74" s="25"/>
      <c r="K74" s="25">
        <v>9.98</v>
      </c>
      <c r="L74" s="25"/>
      <c r="M74" s="25">
        <v>6.37</v>
      </c>
      <c r="N74" s="25"/>
      <c r="O74" s="25">
        <v>85.6</v>
      </c>
      <c r="P74" s="15">
        <f t="shared" si="19"/>
        <v>18.649237472766885</v>
      </c>
      <c r="Q74" s="25">
        <v>24</v>
      </c>
      <c r="R74" s="77">
        <v>15.87</v>
      </c>
      <c r="S74" s="85">
        <v>0</v>
      </c>
      <c r="T74" s="16"/>
      <c r="U74" s="16"/>
      <c r="V74" s="16">
        <v>1</v>
      </c>
      <c r="W74" s="14"/>
      <c r="X74" s="14">
        <v>193</v>
      </c>
      <c r="Y74" s="14">
        <v>505</v>
      </c>
      <c r="Z74" s="14">
        <v>376</v>
      </c>
      <c r="AA74" s="2">
        <f t="shared" si="20"/>
        <v>1</v>
      </c>
      <c r="AB74" s="68">
        <v>50</v>
      </c>
      <c r="AC74" s="15">
        <f t="shared" si="31"/>
        <v>5.166666666666667</v>
      </c>
      <c r="AD74">
        <v>191</v>
      </c>
      <c r="AE74">
        <v>50</v>
      </c>
      <c r="AF74">
        <v>17</v>
      </c>
      <c r="AG74" s="85">
        <f t="shared" si="21"/>
        <v>3.5</v>
      </c>
      <c r="AH74" s="15">
        <f t="shared" si="22"/>
        <v>11.666666666666668</v>
      </c>
      <c r="AI74" s="15">
        <v>11</v>
      </c>
      <c r="AJ74" s="15">
        <f t="shared" si="23"/>
        <v>1</v>
      </c>
      <c r="AK74" s="15">
        <f t="shared" si="24"/>
        <v>15.866666666666667</v>
      </c>
      <c r="AL74" s="14" t="str">
        <f t="shared" si="25"/>
        <v>Pos</v>
      </c>
      <c r="AM74" s="64" t="str">
        <f t="shared" si="26"/>
        <v>K. V. Toys India</v>
      </c>
      <c r="AN74" s="16">
        <v>10</v>
      </c>
      <c r="AO74" s="16">
        <f t="shared" si="27"/>
        <v>11</v>
      </c>
      <c r="AP74" s="16">
        <f t="shared" si="28"/>
        <v>0</v>
      </c>
      <c r="AQ74" s="15">
        <v>1</v>
      </c>
      <c r="AR74" s="15">
        <f t="shared" si="29"/>
        <v>0</v>
      </c>
      <c r="AS74" s="15"/>
      <c r="AT74" s="15">
        <f t="shared" si="30"/>
        <v>1486.6666666666667</v>
      </c>
      <c r="AU74" s="16"/>
      <c r="AV74" s="16"/>
      <c r="AW74" s="14"/>
      <c r="AX74" s="14"/>
      <c r="AY74" s="14">
        <v>239</v>
      </c>
      <c r="AZ74" s="16">
        <v>368</v>
      </c>
      <c r="BA74" s="14">
        <v>320</v>
      </c>
      <c r="BB74" s="15">
        <v>336</v>
      </c>
      <c r="BC74" s="15">
        <v>327</v>
      </c>
      <c r="BD74" s="15">
        <v>311</v>
      </c>
      <c r="BE74" s="15">
        <v>364</v>
      </c>
      <c r="BF74" s="15"/>
      <c r="BG74" s="15"/>
      <c r="BH74" s="15"/>
    </row>
    <row r="75" spans="2:60">
      <c r="B75" s="14" t="s">
        <v>137</v>
      </c>
      <c r="C75" s="68">
        <v>2025</v>
      </c>
      <c r="D75" s="14" t="s">
        <v>82</v>
      </c>
      <c r="E75" s="14">
        <v>10.79</v>
      </c>
      <c r="F75" s="14">
        <v>10.36</v>
      </c>
      <c r="G75" s="15">
        <f t="shared" si="18"/>
        <v>-4.1505791505791478</v>
      </c>
      <c r="H75" s="25">
        <v>32.340000000000003</v>
      </c>
      <c r="I75" s="25">
        <v>4.1399999999999997</v>
      </c>
      <c r="J75" s="25"/>
      <c r="K75" s="25">
        <v>3.24</v>
      </c>
      <c r="L75" s="25"/>
      <c r="M75" s="25">
        <v>6.93</v>
      </c>
      <c r="N75" s="25"/>
      <c r="O75" s="25">
        <v>25.09</v>
      </c>
      <c r="P75" s="15">
        <f t="shared" si="19"/>
        <v>6.0603864734299524</v>
      </c>
      <c r="Q75" s="25">
        <v>14.91</v>
      </c>
      <c r="R75" s="77">
        <v>9.33</v>
      </c>
      <c r="S75" s="85">
        <v>0</v>
      </c>
      <c r="T75" s="16"/>
      <c r="U75" s="16"/>
      <c r="V75" s="16">
        <v>0</v>
      </c>
      <c r="W75" s="14"/>
      <c r="X75" s="14">
        <v>1</v>
      </c>
      <c r="Y75" s="14">
        <v>1.5</v>
      </c>
      <c r="Z75" s="14">
        <v>6.5</v>
      </c>
      <c r="AA75" s="2">
        <f t="shared" si="20"/>
        <v>-0.7</v>
      </c>
      <c r="AB75" s="68">
        <v>0</v>
      </c>
      <c r="AC75" s="15">
        <f t="shared" si="31"/>
        <v>0</v>
      </c>
      <c r="AD75" s="25">
        <v>100</v>
      </c>
      <c r="AE75" s="25">
        <v>25</v>
      </c>
      <c r="AF75" s="25">
        <v>190</v>
      </c>
      <c r="AG75" s="85">
        <f t="shared" si="21"/>
        <v>3.5</v>
      </c>
      <c r="AH75" s="15">
        <f t="shared" si="22"/>
        <v>3.8</v>
      </c>
      <c r="AI75" s="15">
        <v>11</v>
      </c>
      <c r="AJ75" s="15">
        <f t="shared" si="23"/>
        <v>1</v>
      </c>
      <c r="AK75" s="15">
        <f t="shared" si="24"/>
        <v>8</v>
      </c>
      <c r="AL75" s="14" t="str">
        <f t="shared" si="25"/>
        <v>Neg</v>
      </c>
      <c r="AM75" s="64" t="str">
        <f t="shared" si="26"/>
        <v>Riddhi Display Equipments</v>
      </c>
      <c r="AN75" s="16">
        <v>10</v>
      </c>
      <c r="AO75" s="16">
        <f t="shared" si="27"/>
        <v>11</v>
      </c>
      <c r="AP75" s="16">
        <f t="shared" si="28"/>
        <v>0</v>
      </c>
      <c r="AQ75" s="15">
        <v>1</v>
      </c>
      <c r="AR75" s="15">
        <f t="shared" si="29"/>
        <v>0</v>
      </c>
      <c r="AS75" s="15"/>
      <c r="AT75" s="15">
        <f t="shared" si="30"/>
        <v>700</v>
      </c>
      <c r="AU75" s="16"/>
      <c r="AV75" s="16"/>
      <c r="AW75" s="14"/>
      <c r="AX75" s="14"/>
      <c r="AY75" s="14"/>
      <c r="AZ75" s="16"/>
      <c r="BA75" s="14"/>
      <c r="BB75" s="15"/>
      <c r="BC75" s="15"/>
      <c r="BD75" s="15"/>
      <c r="BE75" s="15"/>
      <c r="BF75" s="15"/>
      <c r="BG75" s="15"/>
      <c r="BH75" s="15"/>
    </row>
    <row r="76" spans="2:60">
      <c r="B76" t="s">
        <v>138</v>
      </c>
      <c r="C76" s="68">
        <v>2025</v>
      </c>
      <c r="D76" s="68" t="s">
        <v>59</v>
      </c>
      <c r="E76">
        <v>7.99</v>
      </c>
      <c r="F76">
        <v>19.190000000000001</v>
      </c>
      <c r="G76" s="15">
        <f t="shared" si="18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5">
        <f t="shared" si="19"/>
        <v>8.3718199608610568</v>
      </c>
      <c r="Q76">
        <v>12.85</v>
      </c>
      <c r="R76" s="78">
        <v>11.19</v>
      </c>
      <c r="S76" s="85">
        <v>0</v>
      </c>
      <c r="T76" s="16"/>
      <c r="U76" s="16"/>
      <c r="V76" s="16">
        <v>1</v>
      </c>
      <c r="W76" s="14"/>
      <c r="X76" s="14">
        <v>0.6</v>
      </c>
      <c r="Y76" s="14">
        <v>3.46</v>
      </c>
      <c r="Z76" s="14">
        <v>1.7</v>
      </c>
      <c r="AA76" s="2">
        <f t="shared" si="20"/>
        <v>0</v>
      </c>
      <c r="AB76" s="68">
        <v>0</v>
      </c>
      <c r="AC76" s="15">
        <f t="shared" si="31"/>
        <v>0</v>
      </c>
      <c r="AD76" s="25">
        <v>70</v>
      </c>
      <c r="AE76" s="25">
        <v>-20</v>
      </c>
      <c r="AF76" s="25">
        <v>190</v>
      </c>
      <c r="AG76" s="85">
        <f t="shared" si="21"/>
        <v>3.5999999999999996</v>
      </c>
      <c r="AH76" s="15">
        <f t="shared" si="22"/>
        <v>4.5999999999999996</v>
      </c>
      <c r="AI76" s="15">
        <v>11</v>
      </c>
      <c r="AJ76" s="15">
        <f t="shared" si="23"/>
        <v>1</v>
      </c>
      <c r="AK76" s="15">
        <f t="shared" si="24"/>
        <v>8.9199999999999982</v>
      </c>
      <c r="AL76" s="14" t="str">
        <f t="shared" si="25"/>
        <v>Pos</v>
      </c>
      <c r="AM76" s="64" t="str">
        <f t="shared" si="26"/>
        <v>Prodocs Solutions</v>
      </c>
      <c r="AN76" s="16">
        <v>10</v>
      </c>
      <c r="AO76" s="16">
        <f t="shared" si="27"/>
        <v>11</v>
      </c>
      <c r="AP76" s="16">
        <f t="shared" si="28"/>
        <v>0</v>
      </c>
      <c r="AQ76" s="15">
        <v>1</v>
      </c>
      <c r="AR76" s="15">
        <f t="shared" si="29"/>
        <v>0</v>
      </c>
      <c r="AS76" s="15"/>
      <c r="AT76" s="15">
        <f t="shared" si="30"/>
        <v>791.99999999999977</v>
      </c>
      <c r="AU76" s="26"/>
      <c r="AV76" s="26"/>
      <c r="AW76" s="27"/>
      <c r="AX76" s="27"/>
      <c r="AY76" s="25">
        <v>138</v>
      </c>
      <c r="AZ76" s="16"/>
      <c r="BA76" s="25">
        <v>144</v>
      </c>
      <c r="BB76" s="15">
        <v>151</v>
      </c>
      <c r="BC76" s="15">
        <v>158</v>
      </c>
      <c r="BD76" s="15">
        <v>168</v>
      </c>
      <c r="BE76" s="15"/>
      <c r="BF76" s="15"/>
      <c r="BG76" s="15"/>
      <c r="BH76" s="15"/>
    </row>
    <row r="77" spans="2:60">
      <c r="B77" t="s">
        <v>139</v>
      </c>
      <c r="C77" s="68">
        <v>2025</v>
      </c>
      <c r="D77" s="68" t="s">
        <v>82</v>
      </c>
      <c r="E77">
        <v>11.9</v>
      </c>
      <c r="F77">
        <v>9.6</v>
      </c>
      <c r="G77" s="15">
        <f t="shared" si="18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5">
        <f t="shared" si="19"/>
        <v>16.177985948477755</v>
      </c>
      <c r="Q77">
        <v>14.62</v>
      </c>
      <c r="R77" s="78">
        <v>20.350000000000001</v>
      </c>
      <c r="S77" s="85">
        <v>0</v>
      </c>
      <c r="T77" s="16"/>
      <c r="U77" s="16"/>
      <c r="V77" s="16">
        <v>1</v>
      </c>
      <c r="W77" s="14"/>
      <c r="X77" s="14">
        <v>1.7</v>
      </c>
      <c r="Y77" s="14">
        <v>1.7</v>
      </c>
      <c r="Z77" s="14">
        <v>2.2799999999999998</v>
      </c>
      <c r="AA77" s="2">
        <f t="shared" si="20"/>
        <v>-0.7</v>
      </c>
      <c r="AB77" s="68">
        <v>0</v>
      </c>
      <c r="AC77" s="15">
        <f t="shared" si="31"/>
        <v>0</v>
      </c>
      <c r="AD77" s="25">
        <v>98</v>
      </c>
      <c r="AE77" s="25">
        <v>13</v>
      </c>
      <c r="AF77" s="25">
        <v>45.89</v>
      </c>
      <c r="AG77" s="85">
        <f t="shared" si="21"/>
        <v>3.5</v>
      </c>
      <c r="AH77" s="15">
        <f t="shared" si="22"/>
        <v>4.8</v>
      </c>
      <c r="AI77" s="15">
        <v>11</v>
      </c>
      <c r="AJ77" s="15">
        <f t="shared" si="23"/>
        <v>1</v>
      </c>
      <c r="AK77" s="15">
        <f t="shared" si="24"/>
        <v>9</v>
      </c>
      <c r="AL77" s="14" t="str">
        <f t="shared" si="25"/>
        <v>Neg</v>
      </c>
      <c r="AM77" s="64" t="str">
        <f t="shared" si="26"/>
        <v>Unisem Agritech</v>
      </c>
      <c r="AN77" s="26">
        <v>12</v>
      </c>
      <c r="AO77" s="16">
        <f t="shared" si="27"/>
        <v>13</v>
      </c>
      <c r="AP77" s="16">
        <f t="shared" si="28"/>
        <v>0</v>
      </c>
      <c r="AQ77" s="15">
        <v>1</v>
      </c>
      <c r="AR77" s="15">
        <f t="shared" si="29"/>
        <v>0</v>
      </c>
      <c r="AS77" s="15"/>
      <c r="AT77" s="15">
        <f t="shared" si="30"/>
        <v>800</v>
      </c>
      <c r="AU77" s="26"/>
      <c r="AV77" s="26"/>
      <c r="AW77" s="27"/>
      <c r="AX77" s="27"/>
      <c r="AY77" s="25"/>
      <c r="AZ77" s="16"/>
      <c r="BA77" s="25"/>
      <c r="BB77" s="15"/>
      <c r="BC77" s="15"/>
      <c r="BD77" s="15"/>
      <c r="BE77" s="15"/>
      <c r="BF77" s="15"/>
      <c r="BG77" s="15"/>
      <c r="BH77" s="15"/>
    </row>
    <row r="78" spans="2:60">
      <c r="B78" t="s">
        <v>140</v>
      </c>
      <c r="C78" s="68">
        <v>2025</v>
      </c>
      <c r="D78" s="68" t="s">
        <v>82</v>
      </c>
      <c r="G78" s="15" t="e">
        <f t="shared" si="18"/>
        <v>#DIV/0!</v>
      </c>
      <c r="H78" s="25"/>
      <c r="I78" s="25"/>
      <c r="J78" s="25"/>
      <c r="K78" s="25"/>
      <c r="L78" s="25"/>
      <c r="M78" s="25"/>
      <c r="N78" s="25"/>
      <c r="O78" s="25"/>
      <c r="P78" s="15" t="e">
        <f t="shared" si="19"/>
        <v>#DIV/0!</v>
      </c>
      <c r="Q78" s="25"/>
      <c r="R78" s="77">
        <v>12.9</v>
      </c>
      <c r="S78" s="85">
        <v>0</v>
      </c>
      <c r="T78" s="16"/>
      <c r="U78" s="16"/>
      <c r="V78" s="16">
        <v>0</v>
      </c>
      <c r="W78" s="14"/>
      <c r="X78" s="14">
        <v>2</v>
      </c>
      <c r="Y78" s="14">
        <v>2</v>
      </c>
      <c r="Z78" s="14">
        <v>1</v>
      </c>
      <c r="AA78" s="2">
        <f t="shared" si="20"/>
        <v>1</v>
      </c>
      <c r="AB78" s="68">
        <v>0</v>
      </c>
      <c r="AC78" s="15">
        <f t="shared" si="31"/>
        <v>0</v>
      </c>
      <c r="AD78" s="25"/>
      <c r="AE78" s="25"/>
      <c r="AF78" s="25"/>
      <c r="AG78" s="85" t="e">
        <f t="shared" si="21"/>
        <v>#DIV/0!</v>
      </c>
      <c r="AH78" s="15" t="e">
        <f t="shared" si="22"/>
        <v>#DIV/0!</v>
      </c>
      <c r="AI78" s="15">
        <v>11</v>
      </c>
      <c r="AJ78" s="15">
        <f t="shared" si="23"/>
        <v>1</v>
      </c>
      <c r="AK78" s="15" t="e">
        <f t="shared" si="24"/>
        <v>#DIV/0!</v>
      </c>
      <c r="AL78" s="14" t="str">
        <f t="shared" si="25"/>
        <v>Neg</v>
      </c>
      <c r="AM78" s="64" t="str">
        <f t="shared" si="26"/>
        <v>Shipwaves Online</v>
      </c>
      <c r="AN78" s="26">
        <v>12</v>
      </c>
      <c r="AO78" s="16">
        <f t="shared" si="27"/>
        <v>13</v>
      </c>
      <c r="AP78" s="16" t="e">
        <f t="shared" si="28"/>
        <v>#DIV/0!</v>
      </c>
      <c r="AQ78" s="15">
        <v>1</v>
      </c>
      <c r="AR78" s="15" t="e">
        <f t="shared" si="29"/>
        <v>#DIV/0!</v>
      </c>
      <c r="AS78" s="15"/>
      <c r="AT78" s="15" t="e">
        <f t="shared" si="30"/>
        <v>#DIV/0!</v>
      </c>
      <c r="AU78" s="26"/>
      <c r="AV78" s="26"/>
      <c r="AW78" s="27"/>
      <c r="AX78" s="27"/>
      <c r="AY78" s="25"/>
      <c r="AZ78" s="16"/>
      <c r="BA78" s="25"/>
      <c r="BB78" s="15"/>
      <c r="BC78" s="15"/>
      <c r="BD78" s="15"/>
      <c r="BE78" s="15"/>
      <c r="BF78" s="15"/>
      <c r="BG78" s="15"/>
      <c r="BH78" s="15"/>
    </row>
    <row r="79" spans="2:60" ht="17.399999999999999" customHeight="1">
      <c r="B79" t="s">
        <v>141</v>
      </c>
      <c r="C79" s="68">
        <v>2025</v>
      </c>
      <c r="D79" s="68" t="s">
        <v>59</v>
      </c>
      <c r="E79">
        <v>38.659999999999997</v>
      </c>
      <c r="F79">
        <v>20.11</v>
      </c>
      <c r="G79" s="15">
        <f t="shared" si="18"/>
        <v>-92.242665340626544</v>
      </c>
      <c r="H79" s="25">
        <v>80.599999999999994</v>
      </c>
      <c r="I79" s="25">
        <v>5.15</v>
      </c>
      <c r="J79" s="25"/>
      <c r="K79" s="25">
        <v>3.68</v>
      </c>
      <c r="L79" s="25"/>
      <c r="M79" s="25">
        <v>10.7</v>
      </c>
      <c r="N79" s="7"/>
      <c r="O79" s="7">
        <v>42.14</v>
      </c>
      <c r="P79" s="15">
        <f t="shared" si="19"/>
        <v>8.1825242718446596</v>
      </c>
      <c r="Q79" s="25">
        <v>26.07</v>
      </c>
      <c r="R79" s="77" t="s">
        <v>79</v>
      </c>
      <c r="S79" s="85">
        <v>0</v>
      </c>
      <c r="T79" s="16"/>
      <c r="U79" s="16"/>
      <c r="V79" s="16">
        <v>1</v>
      </c>
      <c r="W79" s="14"/>
      <c r="X79" s="14">
        <v>2.6</v>
      </c>
      <c r="Y79" s="14">
        <v>17.8</v>
      </c>
      <c r="Z79" s="14">
        <v>16.45</v>
      </c>
      <c r="AA79" s="2">
        <f t="shared" si="20"/>
        <v>0</v>
      </c>
      <c r="AB79" s="68">
        <v>20</v>
      </c>
      <c r="AC79" s="15">
        <f t="shared" si="31"/>
        <v>2.666666666666667</v>
      </c>
      <c r="AD79" s="25">
        <v>188</v>
      </c>
      <c r="AE79" s="25">
        <v>56</v>
      </c>
      <c r="AF79" s="25">
        <v>101.71</v>
      </c>
      <c r="AG79" s="85">
        <f t="shared" si="21"/>
        <v>3</v>
      </c>
      <c r="AH79" s="15">
        <f t="shared" si="22"/>
        <v>7.666666666666667</v>
      </c>
      <c r="AI79" s="15">
        <v>11</v>
      </c>
      <c r="AJ79" s="15">
        <f t="shared" si="23"/>
        <v>1</v>
      </c>
      <c r="AK79" s="15">
        <f t="shared" si="24"/>
        <v>11.266666666666666</v>
      </c>
      <c r="AL79" s="14" t="str">
        <f t="shared" si="25"/>
        <v>Pos</v>
      </c>
      <c r="AM79" s="64" t="str">
        <f t="shared" si="26"/>
        <v>HRS Aluglaze</v>
      </c>
      <c r="AN79" s="28">
        <v>15</v>
      </c>
      <c r="AO79" s="16">
        <f t="shared" si="27"/>
        <v>16</v>
      </c>
      <c r="AP79" s="16">
        <f t="shared" si="28"/>
        <v>0</v>
      </c>
      <c r="AQ79" s="15">
        <v>1</v>
      </c>
      <c r="AR79" s="15">
        <f t="shared" si="29"/>
        <v>0</v>
      </c>
      <c r="AS79" s="15"/>
      <c r="AT79" s="15">
        <f t="shared" si="30"/>
        <v>1026.6666666666665</v>
      </c>
      <c r="AU79" s="26"/>
      <c r="AV79" s="26"/>
      <c r="AW79" s="27"/>
      <c r="AX79" s="27"/>
      <c r="AY79" s="25">
        <v>96</v>
      </c>
      <c r="AZ79" s="16"/>
      <c r="BA79" s="25">
        <v>126</v>
      </c>
      <c r="BB79" s="15">
        <v>132</v>
      </c>
      <c r="BC79" s="15">
        <v>139</v>
      </c>
      <c r="BD79" s="15">
        <v>146</v>
      </c>
      <c r="BE79" s="15">
        <v>174</v>
      </c>
      <c r="BF79" s="15"/>
      <c r="BG79" s="15"/>
      <c r="BH79" s="15"/>
    </row>
    <row r="80" spans="2:60" ht="15" customHeight="1">
      <c r="B80" t="s">
        <v>142</v>
      </c>
      <c r="C80" s="68">
        <v>2025</v>
      </c>
      <c r="D80" s="68" t="s">
        <v>59</v>
      </c>
      <c r="E80">
        <v>14.57</v>
      </c>
      <c r="F80">
        <v>44.21</v>
      </c>
      <c r="G80" s="15">
        <f t="shared" si="18"/>
        <v>67.043655281610498</v>
      </c>
      <c r="H80" s="25">
        <v>65.73</v>
      </c>
      <c r="I80" s="25">
        <v>20.420000000000002</v>
      </c>
      <c r="J80" s="25"/>
      <c r="K80" s="25">
        <v>11.67</v>
      </c>
      <c r="L80" s="25"/>
      <c r="M80" s="25">
        <v>30.27</v>
      </c>
      <c r="N80" s="25"/>
      <c r="O80" s="25">
        <v>187.28</v>
      </c>
      <c r="P80" s="15">
        <f t="shared" si="19"/>
        <v>9.1714005876591571</v>
      </c>
      <c r="Q80" s="25">
        <v>10.11</v>
      </c>
      <c r="R80" s="77">
        <v>14.16</v>
      </c>
      <c r="S80" s="85">
        <v>0.9</v>
      </c>
      <c r="T80" s="16"/>
      <c r="U80" s="16"/>
      <c r="V80" s="16">
        <v>1</v>
      </c>
      <c r="W80" s="14"/>
      <c r="X80" s="14">
        <v>2</v>
      </c>
      <c r="Y80" s="14">
        <v>2</v>
      </c>
      <c r="Z80" s="14">
        <v>1</v>
      </c>
      <c r="AA80" s="2">
        <f t="shared" si="20"/>
        <v>1</v>
      </c>
      <c r="AB80" s="68">
        <v>4.26</v>
      </c>
      <c r="AC80" s="15">
        <f t="shared" si="31"/>
        <v>1.355</v>
      </c>
      <c r="AD80" s="25">
        <v>509</v>
      </c>
      <c r="AE80" s="25">
        <v>95</v>
      </c>
      <c r="AF80" s="25">
        <v>86</v>
      </c>
      <c r="AG80" s="85">
        <f t="shared" si="21"/>
        <v>7.5</v>
      </c>
      <c r="AH80" s="15">
        <f t="shared" si="22"/>
        <v>11.855</v>
      </c>
      <c r="AI80" s="15">
        <v>11</v>
      </c>
      <c r="AJ80" s="15">
        <f t="shared" si="23"/>
        <v>1</v>
      </c>
      <c r="AK80" s="15">
        <f t="shared" si="24"/>
        <v>20.855</v>
      </c>
      <c r="AL80" s="14" t="str">
        <f t="shared" si="25"/>
        <v>Pos</v>
      </c>
      <c r="AM80" s="64" t="str">
        <f t="shared" si="26"/>
        <v>Pajson Agro India</v>
      </c>
      <c r="AN80" s="98">
        <v>15</v>
      </c>
      <c r="AO80" s="16">
        <f t="shared" si="27"/>
        <v>16</v>
      </c>
      <c r="AP80" s="99">
        <f t="shared" si="28"/>
        <v>3</v>
      </c>
      <c r="AQ80" s="15">
        <v>1</v>
      </c>
      <c r="AR80" s="15">
        <f t="shared" si="29"/>
        <v>10</v>
      </c>
      <c r="AS80" s="15"/>
      <c r="AT80" s="15">
        <f t="shared" si="30"/>
        <v>1985.5</v>
      </c>
      <c r="AU80" s="26"/>
      <c r="AV80" s="26"/>
      <c r="AW80" s="27"/>
      <c r="AX80" s="27"/>
      <c r="AY80" s="101">
        <v>118</v>
      </c>
      <c r="AZ80" s="99">
        <v>124</v>
      </c>
      <c r="BA80" s="101">
        <v>124</v>
      </c>
      <c r="BB80" s="100">
        <v>130</v>
      </c>
      <c r="BC80" s="100">
        <v>136</v>
      </c>
      <c r="BD80" s="100">
        <v>143.4</v>
      </c>
      <c r="BE80" s="15"/>
      <c r="BF80" s="15"/>
      <c r="BG80" s="15"/>
      <c r="BH80" s="15"/>
    </row>
    <row r="81" spans="2:60">
      <c r="B81" t="s">
        <v>143</v>
      </c>
      <c r="C81" s="68">
        <v>2025</v>
      </c>
      <c r="D81" s="68" t="s">
        <v>59</v>
      </c>
      <c r="E81">
        <v>62.57</v>
      </c>
      <c r="F81">
        <v>20.420000000000002</v>
      </c>
      <c r="G81" s="15">
        <f t="shared" si="18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5">
        <f t="shared" si="19"/>
        <v>8.3895196506550231</v>
      </c>
      <c r="Q81">
        <v>12.4</v>
      </c>
      <c r="R81" s="78">
        <v>9.94</v>
      </c>
      <c r="S81" s="85">
        <v>0</v>
      </c>
      <c r="T81" s="16"/>
      <c r="U81" s="16"/>
      <c r="V81" s="16">
        <v>1</v>
      </c>
      <c r="W81" s="14"/>
      <c r="X81" s="14">
        <v>1.31</v>
      </c>
      <c r="Y81" s="14">
        <v>3.27</v>
      </c>
      <c r="Z81" s="14">
        <v>1.08</v>
      </c>
      <c r="AA81" s="2">
        <f t="shared" si="20"/>
        <v>0</v>
      </c>
      <c r="AB81" s="68">
        <v>2.11</v>
      </c>
      <c r="AC81" s="15">
        <f t="shared" si="31"/>
        <v>0.17583333333333331</v>
      </c>
      <c r="AD81" s="25">
        <v>731</v>
      </c>
      <c r="AE81" s="25">
        <v>21</v>
      </c>
      <c r="AF81" s="25">
        <v>117.45</v>
      </c>
      <c r="AG81" s="85">
        <f t="shared" si="21"/>
        <v>4.5</v>
      </c>
      <c r="AH81" s="15">
        <f t="shared" si="22"/>
        <v>5.6758333333333333</v>
      </c>
      <c r="AI81" s="15">
        <v>11</v>
      </c>
      <c r="AJ81" s="15">
        <f t="shared" si="23"/>
        <v>1</v>
      </c>
      <c r="AK81" s="15">
        <f t="shared" si="24"/>
        <v>11.075833333333332</v>
      </c>
      <c r="AL81" s="14" t="str">
        <f t="shared" si="25"/>
        <v>Pos</v>
      </c>
      <c r="AM81" s="64" t="str">
        <f t="shared" si="26"/>
        <v>Ashwini Container Movers</v>
      </c>
      <c r="AN81" s="29">
        <v>16</v>
      </c>
      <c r="AO81" s="16">
        <f t="shared" si="27"/>
        <v>17</v>
      </c>
      <c r="AP81" s="16">
        <f t="shared" si="28"/>
        <v>0</v>
      </c>
      <c r="AQ81" s="15">
        <v>1</v>
      </c>
      <c r="AR81" s="15">
        <f t="shared" si="29"/>
        <v>0</v>
      </c>
      <c r="AS81" s="15"/>
      <c r="AT81" s="15">
        <f t="shared" si="30"/>
        <v>1007.5833333333331</v>
      </c>
      <c r="AU81" s="26"/>
      <c r="AV81" s="26"/>
      <c r="AW81" s="27"/>
      <c r="AX81" s="27"/>
      <c r="AY81" s="25"/>
      <c r="AZ81" s="16"/>
      <c r="BA81" s="25"/>
      <c r="BB81" s="15"/>
      <c r="BC81" s="15"/>
      <c r="BD81" s="15"/>
      <c r="BE81" s="15"/>
      <c r="BF81" s="15"/>
      <c r="BG81" s="15"/>
      <c r="BH81" s="15"/>
    </row>
    <row r="82" spans="2:60">
      <c r="B82" t="s">
        <v>144</v>
      </c>
      <c r="C82" s="68">
        <v>2025</v>
      </c>
      <c r="D82" s="68" t="s">
        <v>59</v>
      </c>
      <c r="E82">
        <v>2.75</v>
      </c>
      <c r="F82">
        <v>15.6</v>
      </c>
      <c r="G82" s="15">
        <f t="shared" si="18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5">
        <f t="shared" si="19"/>
        <v>16.003968253968253</v>
      </c>
      <c r="Q82">
        <v>16.04</v>
      </c>
      <c r="R82" s="78">
        <v>17.22</v>
      </c>
      <c r="S82" s="85">
        <v>-1</v>
      </c>
      <c r="T82" s="16"/>
      <c r="U82" s="16"/>
      <c r="V82" s="16">
        <v>1</v>
      </c>
      <c r="W82" s="14"/>
      <c r="X82" s="14">
        <v>9.2899999999999991</v>
      </c>
      <c r="Y82" s="14">
        <v>17.55</v>
      </c>
      <c r="Z82" s="14">
        <v>6.69</v>
      </c>
      <c r="AA82" s="2">
        <f t="shared" si="20"/>
        <v>1</v>
      </c>
      <c r="AB82" s="68">
        <v>4</v>
      </c>
      <c r="AC82" s="15">
        <f t="shared" si="31"/>
        <v>0.33333333333333331</v>
      </c>
      <c r="AD82" s="25">
        <v>72.17</v>
      </c>
      <c r="AE82" s="25">
        <v>73.34</v>
      </c>
      <c r="AF82" s="25">
        <v>40.57</v>
      </c>
      <c r="AG82" s="85">
        <f t="shared" si="21"/>
        <v>4.5999999999999996</v>
      </c>
      <c r="AH82" s="15">
        <f t="shared" si="22"/>
        <v>7.9333333333333327</v>
      </c>
      <c r="AI82" s="15">
        <v>11</v>
      </c>
      <c r="AJ82" s="15">
        <f t="shared" si="23"/>
        <v>1</v>
      </c>
      <c r="AK82" s="15">
        <f t="shared" si="24"/>
        <v>13.453333333333333</v>
      </c>
      <c r="AL82" s="102" t="str">
        <f t="shared" si="25"/>
        <v>Pos</v>
      </c>
      <c r="AM82" s="64" t="str">
        <f t="shared" si="26"/>
        <v>Exim Routes</v>
      </c>
      <c r="AN82" s="103">
        <v>16</v>
      </c>
      <c r="AO82" s="16">
        <f t="shared" si="27"/>
        <v>17</v>
      </c>
      <c r="AP82" s="99">
        <f t="shared" si="28"/>
        <v>2</v>
      </c>
      <c r="AQ82" s="15">
        <v>1</v>
      </c>
      <c r="AR82" s="15">
        <f t="shared" si="29"/>
        <v>1.4947683109118086</v>
      </c>
      <c r="AS82" s="15"/>
      <c r="AT82" s="15">
        <f t="shared" si="30"/>
        <v>1245.3333333333333</v>
      </c>
      <c r="AU82" s="26"/>
      <c r="AV82" s="26"/>
      <c r="AW82" s="27"/>
      <c r="AX82" s="27"/>
      <c r="AY82" s="101">
        <v>88</v>
      </c>
      <c r="AZ82" s="99">
        <v>120</v>
      </c>
      <c r="BA82" s="101">
        <v>110</v>
      </c>
      <c r="BB82" s="100">
        <v>115.7</v>
      </c>
      <c r="BC82" s="100">
        <v>120</v>
      </c>
      <c r="BD82" s="100">
        <v>125.51</v>
      </c>
      <c r="BE82" s="100"/>
      <c r="BF82" s="15"/>
      <c r="BG82" s="15"/>
      <c r="BH82" s="15"/>
    </row>
    <row r="83" spans="2:60">
      <c r="B83" s="30" t="s">
        <v>145</v>
      </c>
      <c r="C83" s="68">
        <v>2025</v>
      </c>
      <c r="D83" s="68" t="s">
        <v>59</v>
      </c>
      <c r="E83">
        <v>0.09</v>
      </c>
      <c r="F83">
        <v>16.739999999999998</v>
      </c>
      <c r="G83" s="15">
        <f t="shared" si="18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5">
        <f t="shared" si="19"/>
        <v>14.03475935828877</v>
      </c>
      <c r="Q83">
        <v>5.9</v>
      </c>
      <c r="R83" s="78">
        <v>6.47</v>
      </c>
      <c r="S83" s="85">
        <v>-1</v>
      </c>
      <c r="T83" s="16"/>
      <c r="U83" s="16"/>
      <c r="V83" s="16">
        <v>0</v>
      </c>
      <c r="W83" s="14"/>
      <c r="X83" s="14">
        <v>1.21</v>
      </c>
      <c r="Y83" s="14">
        <v>1.41</v>
      </c>
      <c r="Z83" s="14">
        <v>1.23</v>
      </c>
      <c r="AA83" s="2">
        <f t="shared" si="20"/>
        <v>1</v>
      </c>
      <c r="AB83" s="68">
        <v>0</v>
      </c>
      <c r="AC83" s="15">
        <f t="shared" si="31"/>
        <v>0</v>
      </c>
      <c r="AD83" s="25">
        <v>102</v>
      </c>
      <c r="AE83" s="25">
        <v>98</v>
      </c>
      <c r="AF83" s="25">
        <v>481.25</v>
      </c>
      <c r="AG83" s="85">
        <f t="shared" si="21"/>
        <v>5.0999999999999996</v>
      </c>
      <c r="AH83" s="15">
        <f t="shared" si="22"/>
        <v>7.1</v>
      </c>
      <c r="AI83" s="15">
        <v>11</v>
      </c>
      <c r="AJ83" s="15">
        <f t="shared" si="23"/>
        <v>1</v>
      </c>
      <c r="AK83" s="15">
        <f t="shared" si="24"/>
        <v>13.219999999999999</v>
      </c>
      <c r="AL83" s="102" t="str">
        <f t="shared" si="25"/>
        <v>Pos</v>
      </c>
      <c r="AM83" s="64" t="str">
        <f t="shared" si="26"/>
        <v>Stanbik Agro</v>
      </c>
      <c r="AN83" s="103">
        <v>16</v>
      </c>
      <c r="AO83" s="16">
        <f t="shared" si="27"/>
        <v>17</v>
      </c>
      <c r="AP83" s="99">
        <f t="shared" si="28"/>
        <v>3</v>
      </c>
      <c r="AQ83" s="15">
        <v>1</v>
      </c>
      <c r="AR83" s="15">
        <f t="shared" si="29"/>
        <v>8.1300813008130088</v>
      </c>
      <c r="AS83" s="15"/>
      <c r="AT83" s="15">
        <f t="shared" si="30"/>
        <v>1222</v>
      </c>
      <c r="AU83" s="26"/>
      <c r="AV83" s="26"/>
      <c r="AW83" s="27"/>
      <c r="AX83" s="27"/>
      <c r="AY83" s="101">
        <v>30</v>
      </c>
      <c r="AZ83" s="99">
        <v>30</v>
      </c>
      <c r="BA83" s="101">
        <v>31.75</v>
      </c>
      <c r="BB83" s="100">
        <v>33.33</v>
      </c>
      <c r="BC83" s="100">
        <v>34</v>
      </c>
      <c r="BD83" s="100">
        <v>33.5</v>
      </c>
      <c r="BE83" s="100">
        <v>35</v>
      </c>
      <c r="BF83" s="15"/>
      <c r="BG83" s="15"/>
      <c r="BH83" s="15"/>
    </row>
    <row r="84" spans="2:60">
      <c r="B84" t="s">
        <v>146</v>
      </c>
      <c r="C84" s="68">
        <v>2025</v>
      </c>
      <c r="D84" s="14" t="s">
        <v>82</v>
      </c>
      <c r="E84">
        <v>57.99</v>
      </c>
      <c r="F84">
        <v>19.95</v>
      </c>
      <c r="G84" s="15">
        <f t="shared" si="18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5">
        <f t="shared" si="19"/>
        <v>28.084061135371179</v>
      </c>
      <c r="Q84">
        <v>17.899999999999999</v>
      </c>
      <c r="R84" s="78">
        <v>22.31</v>
      </c>
      <c r="S84" s="85">
        <v>0</v>
      </c>
      <c r="T84" s="16"/>
      <c r="U84" s="16"/>
      <c r="V84" s="16">
        <v>0</v>
      </c>
      <c r="W84" s="14"/>
      <c r="X84" s="14">
        <v>0.32</v>
      </c>
      <c r="Y84" s="14">
        <v>0.32</v>
      </c>
      <c r="Z84" s="14">
        <v>2.83</v>
      </c>
      <c r="AA84" s="2">
        <f t="shared" si="20"/>
        <v>-0.7</v>
      </c>
      <c r="AB84" s="68">
        <v>0</v>
      </c>
      <c r="AC84" s="15">
        <f t="shared" si="31"/>
        <v>0</v>
      </c>
      <c r="AD84" s="25">
        <v>32.700000000000003</v>
      </c>
      <c r="AE84" s="25">
        <v>47</v>
      </c>
      <c r="AF84" s="25">
        <v>85</v>
      </c>
      <c r="AG84" s="85">
        <f t="shared" si="21"/>
        <v>2.5</v>
      </c>
      <c r="AH84" s="15">
        <f t="shared" si="22"/>
        <v>1.8</v>
      </c>
      <c r="AI84" s="15">
        <v>11</v>
      </c>
      <c r="AJ84" s="15">
        <f t="shared" si="23"/>
        <v>1</v>
      </c>
      <c r="AK84" s="15">
        <f t="shared" si="24"/>
        <v>4.8</v>
      </c>
      <c r="AL84" s="14" t="str">
        <f t="shared" si="25"/>
        <v>Neg</v>
      </c>
      <c r="AM84" s="64" t="str">
        <f t="shared" si="26"/>
        <v>Neptune Logitek</v>
      </c>
      <c r="AN84" s="31">
        <v>17</v>
      </c>
      <c r="AO84" s="16">
        <f t="shared" si="27"/>
        <v>18</v>
      </c>
      <c r="AP84" s="16">
        <f t="shared" si="28"/>
        <v>0</v>
      </c>
      <c r="AQ84" s="15">
        <v>1</v>
      </c>
      <c r="AR84" s="15">
        <f t="shared" si="29"/>
        <v>0</v>
      </c>
      <c r="AS84" s="15"/>
      <c r="AT84" s="15">
        <f t="shared" si="30"/>
        <v>380</v>
      </c>
      <c r="AU84" s="26"/>
      <c r="AV84" s="26"/>
      <c r="AW84" s="27"/>
      <c r="AX84" s="27"/>
      <c r="AY84" s="25"/>
      <c r="AZ84" s="16"/>
      <c r="BA84" s="25"/>
      <c r="BB84" s="15"/>
      <c r="BC84" s="15"/>
      <c r="BD84" s="15"/>
      <c r="BE84" s="15"/>
      <c r="BF84" s="15"/>
      <c r="BG84" s="15"/>
      <c r="BH84" s="15"/>
    </row>
    <row r="85" spans="2:60">
      <c r="B85" t="s">
        <v>147</v>
      </c>
      <c r="C85" s="68">
        <v>2025</v>
      </c>
      <c r="D85" s="68" t="s">
        <v>59</v>
      </c>
      <c r="E85">
        <v>1.1499999999999999</v>
      </c>
      <c r="F85">
        <v>17.39</v>
      </c>
      <c r="G85" s="15">
        <f t="shared" si="18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5">
        <f t="shared" si="19"/>
        <v>28.093841642228735</v>
      </c>
      <c r="Q85">
        <v>16.53</v>
      </c>
      <c r="R85" s="78">
        <v>16.22</v>
      </c>
      <c r="S85" s="85">
        <v>0</v>
      </c>
      <c r="T85" s="16"/>
      <c r="U85" s="16"/>
      <c r="V85" s="16">
        <v>1</v>
      </c>
      <c r="W85" s="14"/>
      <c r="X85" s="14">
        <v>4.7699999999999996</v>
      </c>
      <c r="Y85" s="14">
        <v>29.47</v>
      </c>
      <c r="Z85" s="14">
        <v>11.9</v>
      </c>
      <c r="AA85" s="2">
        <f t="shared" si="20"/>
        <v>0</v>
      </c>
      <c r="AB85" s="68">
        <v>0</v>
      </c>
      <c r="AC85" s="15">
        <f t="shared" si="31"/>
        <v>0</v>
      </c>
      <c r="AD85" s="25">
        <v>159</v>
      </c>
      <c r="AE85" s="25">
        <v>85</v>
      </c>
      <c r="AF85" s="25">
        <v>103</v>
      </c>
      <c r="AG85" s="85">
        <f t="shared" si="21"/>
        <v>5.6</v>
      </c>
      <c r="AH85" s="15">
        <f t="shared" si="22"/>
        <v>7.6</v>
      </c>
      <c r="AI85" s="15">
        <v>11</v>
      </c>
      <c r="AJ85" s="15">
        <f t="shared" si="23"/>
        <v>1</v>
      </c>
      <c r="AK85" s="15">
        <f t="shared" si="24"/>
        <v>14.32</v>
      </c>
      <c r="AL85" s="14" t="str">
        <f t="shared" si="25"/>
        <v>Pos</v>
      </c>
      <c r="AM85" s="64" t="str">
        <f t="shared" si="26"/>
        <v>Global Ocean Logistics</v>
      </c>
      <c r="AN85" s="32">
        <v>19</v>
      </c>
      <c r="AO85" s="16">
        <f t="shared" si="27"/>
        <v>20</v>
      </c>
      <c r="AP85" s="16">
        <f t="shared" si="28"/>
        <v>2</v>
      </c>
      <c r="AQ85" s="15">
        <v>1</v>
      </c>
      <c r="AR85" s="15">
        <f t="shared" si="29"/>
        <v>0.84033613445378152</v>
      </c>
      <c r="AS85" s="15"/>
      <c r="AT85" s="15">
        <f t="shared" si="30"/>
        <v>1332</v>
      </c>
      <c r="AU85" s="26"/>
      <c r="AV85" s="26"/>
      <c r="AW85" s="27"/>
      <c r="AX85" s="27"/>
      <c r="AY85" s="25"/>
      <c r="AZ85" s="16"/>
      <c r="BA85" s="25"/>
      <c r="BB85" s="15"/>
      <c r="BC85" s="15"/>
      <c r="BD85" s="15"/>
      <c r="BE85" s="15"/>
      <c r="BF85" s="15"/>
      <c r="BG85" s="15"/>
      <c r="BH85" s="15"/>
    </row>
    <row r="86" spans="2:60">
      <c r="B86" t="s">
        <v>148</v>
      </c>
      <c r="C86" s="68">
        <v>2025</v>
      </c>
      <c r="D86" s="14" t="s">
        <v>82</v>
      </c>
      <c r="E86">
        <v>0.94</v>
      </c>
      <c r="F86">
        <v>27.85</v>
      </c>
      <c r="G86" s="15">
        <f t="shared" si="18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5">
        <f t="shared" si="19"/>
        <v>6.4919786096256686</v>
      </c>
      <c r="Q86">
        <v>16.97</v>
      </c>
      <c r="R86" s="78">
        <v>12.58</v>
      </c>
      <c r="S86" s="85">
        <v>0</v>
      </c>
      <c r="T86" s="16"/>
      <c r="U86" s="16"/>
      <c r="V86" s="16">
        <v>0</v>
      </c>
      <c r="W86" s="14"/>
      <c r="X86" s="14">
        <v>9.5</v>
      </c>
      <c r="Y86" s="14">
        <v>8.99</v>
      </c>
      <c r="Z86" s="14">
        <v>10.75</v>
      </c>
      <c r="AA86" s="2">
        <f t="shared" si="20"/>
        <v>-0.7</v>
      </c>
      <c r="AB86" s="68">
        <v>2.15</v>
      </c>
      <c r="AC86" s="15">
        <f t="shared" si="31"/>
        <v>0.17916666666666667</v>
      </c>
      <c r="AD86" s="25">
        <v>117</v>
      </c>
      <c r="AE86" s="25">
        <v>80</v>
      </c>
      <c r="AF86" s="25">
        <v>37</v>
      </c>
      <c r="AG86" s="85">
        <f t="shared" si="21"/>
        <v>5.6</v>
      </c>
      <c r="AH86" s="15">
        <f t="shared" si="22"/>
        <v>7.0791666666666657</v>
      </c>
      <c r="AI86" s="15">
        <v>11</v>
      </c>
      <c r="AJ86" s="15">
        <f t="shared" si="23"/>
        <v>1</v>
      </c>
      <c r="AK86" s="15">
        <f t="shared" si="24"/>
        <v>13.799166666666665</v>
      </c>
      <c r="AL86" s="14" t="str">
        <f t="shared" si="25"/>
        <v>Neg</v>
      </c>
      <c r="AM86" s="64" t="str">
        <f t="shared" si="26"/>
        <v>MARC Technocrats</v>
      </c>
      <c r="AN86" s="32">
        <v>19</v>
      </c>
      <c r="AO86" s="16">
        <f t="shared" si="27"/>
        <v>20</v>
      </c>
      <c r="AP86" s="16">
        <f t="shared" si="28"/>
        <v>2</v>
      </c>
      <c r="AQ86" s="15">
        <v>1</v>
      </c>
      <c r="AR86" s="15">
        <f t="shared" si="29"/>
        <v>0.93023255813953487</v>
      </c>
      <c r="AS86" s="15"/>
      <c r="AT86" s="15">
        <f t="shared" si="30"/>
        <v>1279.9166666666665</v>
      </c>
      <c r="AU86" s="26"/>
      <c r="AV86" s="26"/>
      <c r="AW86" s="27"/>
      <c r="AX86" s="27"/>
      <c r="AY86" s="25">
        <v>93</v>
      </c>
      <c r="AZ86" s="16"/>
      <c r="BA86" s="25">
        <v>74</v>
      </c>
      <c r="BB86">
        <v>70</v>
      </c>
      <c r="BC86" s="15">
        <v>67</v>
      </c>
      <c r="BD86" s="15">
        <v>63</v>
      </c>
      <c r="BE86" s="15"/>
      <c r="BF86" s="15"/>
      <c r="BG86" s="15"/>
      <c r="BH86" s="15"/>
    </row>
    <row r="87" spans="2:60" ht="13.95" customHeight="1">
      <c r="B87" t="s">
        <v>149</v>
      </c>
      <c r="C87" s="68">
        <v>2025</v>
      </c>
      <c r="D87" s="68" t="s">
        <v>82</v>
      </c>
      <c r="E87">
        <v>18.690000000000001</v>
      </c>
      <c r="F87">
        <v>13.14</v>
      </c>
      <c r="G87" s="15">
        <f t="shared" si="18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5">
        <f t="shared" si="19"/>
        <v>8.2165178571428577</v>
      </c>
      <c r="Q87">
        <v>28</v>
      </c>
      <c r="R87" s="78">
        <v>10.67</v>
      </c>
      <c r="S87" s="85">
        <v>0</v>
      </c>
      <c r="T87" s="16"/>
      <c r="U87" s="16"/>
      <c r="V87" s="16">
        <v>0</v>
      </c>
      <c r="W87" s="14"/>
      <c r="X87" s="14">
        <v>0.26</v>
      </c>
      <c r="Y87" s="14">
        <v>0.47</v>
      </c>
      <c r="Z87" s="14">
        <v>1</v>
      </c>
      <c r="AA87" s="2">
        <f t="shared" si="20"/>
        <v>-0.7</v>
      </c>
      <c r="AB87" s="68"/>
      <c r="AC87" s="15">
        <f t="shared" si="31"/>
        <v>0</v>
      </c>
      <c r="AD87" s="25">
        <v>94</v>
      </c>
      <c r="AE87" s="25">
        <v>12</v>
      </c>
      <c r="AF87" s="25">
        <v>50.23</v>
      </c>
      <c r="AG87" s="85">
        <f t="shared" si="21"/>
        <v>3.5</v>
      </c>
      <c r="AH87" s="15">
        <f t="shared" si="22"/>
        <v>2.8</v>
      </c>
      <c r="AI87" s="15">
        <v>11</v>
      </c>
      <c r="AJ87" s="15">
        <f t="shared" si="23"/>
        <v>1</v>
      </c>
      <c r="AK87" s="15">
        <f t="shared" si="24"/>
        <v>7</v>
      </c>
      <c r="AL87" s="14" t="str">
        <f t="shared" si="25"/>
        <v>Neg</v>
      </c>
      <c r="AM87" s="64" t="str">
        <f t="shared" si="26"/>
        <v>Phytochem Remedies</v>
      </c>
      <c r="AN87" s="26">
        <v>22</v>
      </c>
      <c r="AO87" s="16">
        <f t="shared" si="27"/>
        <v>23</v>
      </c>
      <c r="AP87" s="16">
        <f t="shared" si="28"/>
        <v>0</v>
      </c>
      <c r="AQ87" s="15">
        <v>1</v>
      </c>
      <c r="AR87" s="15">
        <f t="shared" si="29"/>
        <v>0</v>
      </c>
      <c r="AS87" s="15"/>
      <c r="AT87" s="15">
        <f t="shared" si="30"/>
        <v>600</v>
      </c>
      <c r="AU87" s="26" t="s">
        <v>150</v>
      </c>
      <c r="AV87" s="26"/>
      <c r="AW87" s="27"/>
      <c r="AX87" s="27"/>
      <c r="AY87" s="25"/>
      <c r="AZ87" s="16"/>
      <c r="BA87" s="25"/>
      <c r="BB87" s="15"/>
      <c r="BC87" s="15"/>
      <c r="BD87" s="15"/>
      <c r="BE87" s="15"/>
      <c r="BF87" s="15"/>
      <c r="BG87" s="15"/>
      <c r="BH87" s="15"/>
    </row>
    <row r="88" spans="2:60" ht="19.95" customHeight="1">
      <c r="B88" t="s">
        <v>151</v>
      </c>
      <c r="C88" s="68">
        <v>2025</v>
      </c>
      <c r="D88" s="68" t="s">
        <v>59</v>
      </c>
      <c r="E88" s="7">
        <v>47.24</v>
      </c>
      <c r="F88" s="7">
        <v>23.61</v>
      </c>
      <c r="G88" s="15">
        <f t="shared" si="18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5">
        <f t="shared" si="19"/>
        <v>15.516169154228857</v>
      </c>
      <c r="Q88">
        <v>13.19</v>
      </c>
      <c r="R88" s="78">
        <v>24.7</v>
      </c>
      <c r="S88" s="85">
        <v>0</v>
      </c>
      <c r="T88" s="16"/>
      <c r="U88" s="16"/>
      <c r="V88" s="16">
        <v>1</v>
      </c>
      <c r="W88" s="14"/>
      <c r="X88" s="14">
        <v>242</v>
      </c>
      <c r="Y88" s="14">
        <v>1570</v>
      </c>
      <c r="Z88" s="14">
        <v>1068</v>
      </c>
      <c r="AA88" s="2">
        <f t="shared" si="20"/>
        <v>1</v>
      </c>
      <c r="AB88" s="68">
        <v>100</v>
      </c>
      <c r="AC88" s="15">
        <f t="shared" si="31"/>
        <v>9.3333333333333339</v>
      </c>
      <c r="AD88" s="25">
        <v>28</v>
      </c>
      <c r="AE88" s="25">
        <v>16</v>
      </c>
      <c r="AF88" s="25">
        <v>51.67</v>
      </c>
      <c r="AG88" s="85">
        <f t="shared" si="21"/>
        <v>3.5</v>
      </c>
      <c r="AH88" s="15">
        <f t="shared" si="22"/>
        <v>15.833333333333334</v>
      </c>
      <c r="AI88" s="15">
        <v>11</v>
      </c>
      <c r="AJ88" s="15">
        <f t="shared" si="23"/>
        <v>1</v>
      </c>
      <c r="AK88" s="15">
        <f t="shared" si="24"/>
        <v>20.033333333333335</v>
      </c>
      <c r="AL88" s="14" t="str">
        <f t="shared" si="25"/>
        <v>Pos</v>
      </c>
      <c r="AM88" s="64" t="str">
        <f t="shared" si="26"/>
        <v>Shyam Dhani Industries</v>
      </c>
      <c r="AN88" s="31">
        <v>24</v>
      </c>
      <c r="AO88" s="16">
        <f t="shared" si="27"/>
        <v>25</v>
      </c>
      <c r="AP88" s="16">
        <f t="shared" si="28"/>
        <v>0</v>
      </c>
      <c r="AQ88" s="15">
        <v>1</v>
      </c>
      <c r="AR88" s="15">
        <f t="shared" si="29"/>
        <v>0</v>
      </c>
      <c r="AS88" s="15"/>
      <c r="AT88" s="15">
        <f t="shared" si="30"/>
        <v>1903.3333333333335</v>
      </c>
      <c r="AU88" s="26"/>
      <c r="AV88" s="26"/>
      <c r="AW88" s="27"/>
      <c r="AX88" s="27"/>
      <c r="AY88" s="25">
        <v>70</v>
      </c>
      <c r="AZ88" s="16">
        <v>138</v>
      </c>
      <c r="BA88" s="25">
        <v>133</v>
      </c>
      <c r="BB88" s="15">
        <v>139.65</v>
      </c>
      <c r="BC88" s="15">
        <v>132.6</v>
      </c>
      <c r="BD88" s="15">
        <v>130</v>
      </c>
      <c r="BE88" s="15">
        <v>139</v>
      </c>
      <c r="BF88" s="15"/>
      <c r="BG88" s="15"/>
      <c r="BH88" s="15"/>
    </row>
    <row r="89" spans="2:60">
      <c r="B89" s="25" t="s">
        <v>152</v>
      </c>
      <c r="C89" s="68">
        <v>2025</v>
      </c>
      <c r="D89" s="68" t="s">
        <v>82</v>
      </c>
      <c r="E89" s="25">
        <v>44.11</v>
      </c>
      <c r="F89" s="25">
        <v>27.32</v>
      </c>
      <c r="G89" s="15">
        <f t="shared" si="18"/>
        <v>-61.456808199121525</v>
      </c>
      <c r="H89" s="25">
        <v>104.34</v>
      </c>
      <c r="I89" s="25">
        <v>7.56</v>
      </c>
      <c r="J89" s="25"/>
      <c r="K89" s="25">
        <v>6.86</v>
      </c>
      <c r="L89" s="25"/>
      <c r="M89" s="25">
        <v>12.83</v>
      </c>
      <c r="N89" s="25"/>
      <c r="O89" s="25">
        <v>64.25</v>
      </c>
      <c r="P89" s="15">
        <f t="shared" si="19"/>
        <v>8.4986772486772484</v>
      </c>
      <c r="Q89" s="25">
        <v>14.86</v>
      </c>
      <c r="R89" s="77">
        <v>10.33</v>
      </c>
      <c r="S89" s="85">
        <v>0</v>
      </c>
      <c r="T89" s="16"/>
      <c r="U89" s="16"/>
      <c r="V89" s="16">
        <v>1</v>
      </c>
      <c r="W89" s="14"/>
      <c r="X89" s="14">
        <v>1.3</v>
      </c>
      <c r="Y89" s="14">
        <v>2.6</v>
      </c>
      <c r="Z89" s="14">
        <v>1.6</v>
      </c>
      <c r="AA89" s="2">
        <f t="shared" si="20"/>
        <v>1</v>
      </c>
      <c r="AB89" s="68">
        <v>3.92</v>
      </c>
      <c r="AC89" s="15">
        <f t="shared" si="31"/>
        <v>0.32666666666666666</v>
      </c>
      <c r="AD89" s="25">
        <v>128</v>
      </c>
      <c r="AE89" s="25">
        <v>26</v>
      </c>
      <c r="AF89" s="25">
        <v>31</v>
      </c>
      <c r="AG89" s="85">
        <f t="shared" si="21"/>
        <v>4.5</v>
      </c>
      <c r="AH89" s="15">
        <f t="shared" si="22"/>
        <v>6.8266666666666662</v>
      </c>
      <c r="AI89" s="15">
        <v>11</v>
      </c>
      <c r="AJ89" s="15">
        <f t="shared" si="23"/>
        <v>1</v>
      </c>
      <c r="AK89" s="15">
        <f t="shared" si="24"/>
        <v>12.226666666666667</v>
      </c>
      <c r="AL89" s="14" t="str">
        <f t="shared" si="25"/>
        <v>Neg</v>
      </c>
      <c r="AM89" s="64" t="str">
        <f t="shared" si="26"/>
        <v>Dachepalli Publishers</v>
      </c>
      <c r="AN89" s="31">
        <v>24</v>
      </c>
      <c r="AO89" s="16">
        <f t="shared" si="27"/>
        <v>25</v>
      </c>
      <c r="AP89" s="16">
        <f t="shared" si="28"/>
        <v>0</v>
      </c>
      <c r="AQ89" s="15">
        <v>1</v>
      </c>
      <c r="AR89" s="15">
        <f t="shared" si="29"/>
        <v>0</v>
      </c>
      <c r="AS89" s="15"/>
      <c r="AT89" s="15">
        <f t="shared" si="30"/>
        <v>1122.6666666666667</v>
      </c>
      <c r="AU89" s="26"/>
      <c r="AV89" s="26"/>
      <c r="AW89" s="27"/>
      <c r="AX89" s="27"/>
      <c r="AY89" s="25"/>
      <c r="AZ89" s="16"/>
      <c r="BA89" s="25"/>
      <c r="BB89" s="15"/>
      <c r="BC89" s="15"/>
      <c r="BD89" s="15"/>
      <c r="BE89" s="15"/>
      <c r="BF89" s="15"/>
      <c r="BG89" s="15"/>
      <c r="BH89" s="15"/>
    </row>
    <row r="90" spans="2:60">
      <c r="B90" t="s">
        <v>153</v>
      </c>
      <c r="C90" s="68">
        <v>2025</v>
      </c>
      <c r="D90" s="68" t="s">
        <v>59</v>
      </c>
      <c r="E90">
        <v>12.25</v>
      </c>
      <c r="F90">
        <v>5.28</v>
      </c>
      <c r="G90" s="15">
        <f t="shared" si="18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5">
        <f t="shared" si="19"/>
        <v>12.318706697459584</v>
      </c>
      <c r="Q90" s="1">
        <v>18.36</v>
      </c>
      <c r="R90" s="79">
        <v>13.51</v>
      </c>
      <c r="S90" s="85">
        <v>1</v>
      </c>
      <c r="T90" s="16"/>
      <c r="U90" s="16"/>
      <c r="V90" s="16">
        <v>1</v>
      </c>
      <c r="W90" s="14"/>
      <c r="X90" s="14">
        <v>1.2</v>
      </c>
      <c r="Y90" s="14">
        <v>1.5</v>
      </c>
      <c r="Z90" s="14">
        <v>1.31</v>
      </c>
      <c r="AA90" s="2">
        <f t="shared" si="20"/>
        <v>1</v>
      </c>
      <c r="AB90" s="1">
        <v>0</v>
      </c>
      <c r="AC90" s="15">
        <f t="shared" si="31"/>
        <v>0</v>
      </c>
      <c r="AD90" s="1">
        <v>485</v>
      </c>
      <c r="AE90" s="1">
        <v>188</v>
      </c>
      <c r="AF90" s="1">
        <v>456</v>
      </c>
      <c r="AG90" s="85">
        <f t="shared" si="21"/>
        <v>5.5</v>
      </c>
      <c r="AH90" s="15">
        <f t="shared" si="22"/>
        <v>7.5</v>
      </c>
      <c r="AI90" s="15">
        <v>11</v>
      </c>
      <c r="AJ90" s="15">
        <f t="shared" si="23"/>
        <v>1</v>
      </c>
      <c r="AK90" s="15">
        <f t="shared" si="24"/>
        <v>14.1</v>
      </c>
      <c r="AL90" s="14" t="str">
        <f t="shared" si="25"/>
        <v>Pos</v>
      </c>
      <c r="AM90" s="64" t="str">
        <f t="shared" si="26"/>
        <v>EPW India</v>
      </c>
      <c r="AN90" s="104">
        <v>24</v>
      </c>
      <c r="AO90" s="16">
        <f t="shared" si="27"/>
        <v>25</v>
      </c>
      <c r="AP90" s="99">
        <f t="shared" si="28"/>
        <v>3</v>
      </c>
      <c r="AQ90" s="15">
        <v>1</v>
      </c>
      <c r="AR90" s="15">
        <f t="shared" si="29"/>
        <v>7.6335877862595414</v>
      </c>
      <c r="AS90" s="15"/>
      <c r="AT90" s="15">
        <f t="shared" si="30"/>
        <v>1310</v>
      </c>
      <c r="AU90" s="26"/>
      <c r="AV90" s="26"/>
      <c r="AW90" s="27"/>
      <c r="AX90" s="27"/>
      <c r="AY90" s="101">
        <v>97</v>
      </c>
      <c r="AZ90" s="99">
        <v>99.5</v>
      </c>
      <c r="BA90" s="101">
        <v>111</v>
      </c>
      <c r="BB90" s="100">
        <v>116</v>
      </c>
      <c r="BC90" s="100">
        <v>122</v>
      </c>
      <c r="BD90" s="100">
        <v>117</v>
      </c>
      <c r="BE90" s="100">
        <v>130</v>
      </c>
      <c r="BF90" s="15"/>
      <c r="BG90" s="15"/>
      <c r="BH90" s="15"/>
    </row>
    <row r="91" spans="2:60">
      <c r="B91" s="1" t="s">
        <v>154</v>
      </c>
      <c r="C91" s="68">
        <v>2025</v>
      </c>
      <c r="D91" s="68" t="s">
        <v>82</v>
      </c>
      <c r="E91" s="1">
        <v>17.38</v>
      </c>
      <c r="F91" s="1">
        <v>15.28</v>
      </c>
      <c r="G91" s="15">
        <f t="shared" si="18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5">
        <f t="shared" si="19"/>
        <v>12.705882352941176</v>
      </c>
      <c r="Q91" s="7">
        <v>10.69</v>
      </c>
      <c r="R91" s="79">
        <v>24</v>
      </c>
      <c r="S91" s="85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20"/>
        <v>-0.7</v>
      </c>
      <c r="AB91" s="1">
        <v>0</v>
      </c>
      <c r="AC91" s="15">
        <f t="shared" si="31"/>
        <v>0</v>
      </c>
      <c r="AD91" s="7">
        <v>112</v>
      </c>
      <c r="AE91" s="7">
        <v>41</v>
      </c>
      <c r="AF91" s="7">
        <v>286</v>
      </c>
      <c r="AG91" s="85">
        <f t="shared" si="21"/>
        <v>3.5</v>
      </c>
      <c r="AH91" s="15">
        <f t="shared" si="22"/>
        <v>2.8</v>
      </c>
      <c r="AI91" s="15">
        <v>11</v>
      </c>
      <c r="AJ91" s="15">
        <f t="shared" si="23"/>
        <v>1</v>
      </c>
      <c r="AK91" s="15">
        <f t="shared" si="24"/>
        <v>7</v>
      </c>
      <c r="AL91" s="14" t="str">
        <f t="shared" si="25"/>
        <v>Neg</v>
      </c>
      <c r="AM91" s="64" t="str">
        <f t="shared" si="26"/>
        <v>Sundrex Oil</v>
      </c>
      <c r="AN91" s="33">
        <v>24</v>
      </c>
      <c r="AO91" s="16">
        <f t="shared" si="27"/>
        <v>25</v>
      </c>
      <c r="AP91" s="16">
        <f t="shared" si="28"/>
        <v>0</v>
      </c>
      <c r="AQ91" s="15">
        <v>1</v>
      </c>
      <c r="AR91" s="15">
        <f t="shared" si="29"/>
        <v>0</v>
      </c>
      <c r="AS91" s="15"/>
      <c r="AT91" s="15">
        <f t="shared" si="30"/>
        <v>600</v>
      </c>
      <c r="AU91" s="4"/>
      <c r="AV91" s="4"/>
      <c r="AW91" s="5"/>
      <c r="AX91" s="5"/>
      <c r="AY91" s="1"/>
      <c r="AZ91" s="16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155</v>
      </c>
      <c r="C92" s="68">
        <v>2025</v>
      </c>
      <c r="D92" s="68" t="s">
        <v>99</v>
      </c>
      <c r="E92" s="6">
        <v>10.66</v>
      </c>
      <c r="F92" s="6">
        <v>22.03</v>
      </c>
      <c r="G92" s="15">
        <f t="shared" si="18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5">
        <f t="shared" si="19"/>
        <v>8.7737704918032797</v>
      </c>
      <c r="Q92" s="7">
        <v>19.559999999999999</v>
      </c>
      <c r="R92" s="80">
        <v>14.91</v>
      </c>
      <c r="S92" s="85">
        <v>-1</v>
      </c>
      <c r="T92" s="34"/>
      <c r="U92" s="34"/>
      <c r="V92" s="34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20"/>
        <v>0</v>
      </c>
      <c r="AB92" s="11">
        <v>2.09</v>
      </c>
      <c r="AC92" s="15">
        <f t="shared" si="31"/>
        <v>0.17416666666666666</v>
      </c>
      <c r="AD92" s="1">
        <v>82</v>
      </c>
      <c r="AE92" s="1">
        <v>170</v>
      </c>
      <c r="AF92" s="1">
        <v>284</v>
      </c>
      <c r="AG92" s="85">
        <f t="shared" si="21"/>
        <v>4.9000000000000004</v>
      </c>
      <c r="AH92" s="15">
        <f t="shared" si="22"/>
        <v>7.0741666666666667</v>
      </c>
      <c r="AI92" s="15">
        <v>11</v>
      </c>
      <c r="AJ92" s="15">
        <f t="shared" si="23"/>
        <v>1</v>
      </c>
      <c r="AK92" s="15">
        <f t="shared" si="24"/>
        <v>12.954166666666666</v>
      </c>
      <c r="AL92" s="14" t="str">
        <f t="shared" si="25"/>
        <v>Rec</v>
      </c>
      <c r="AM92" s="64" t="str">
        <f t="shared" si="26"/>
        <v>Admach Systems</v>
      </c>
      <c r="AN92" s="35">
        <v>26</v>
      </c>
      <c r="AO92" s="16">
        <f t="shared" si="27"/>
        <v>27</v>
      </c>
      <c r="AP92" s="16">
        <f t="shared" si="28"/>
        <v>0</v>
      </c>
      <c r="AQ92" s="15">
        <v>1</v>
      </c>
      <c r="AR92" s="15">
        <f t="shared" si="29"/>
        <v>0</v>
      </c>
      <c r="AS92" s="15"/>
      <c r="AT92" s="15">
        <f t="shared" si="30"/>
        <v>1195.4166666666665</v>
      </c>
      <c r="AU92" s="4"/>
      <c r="AV92" s="4"/>
      <c r="AW92" s="5"/>
      <c r="AX92" s="5"/>
      <c r="AY92" s="1">
        <v>239</v>
      </c>
      <c r="AZ92" s="16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156</v>
      </c>
      <c r="C93" s="68">
        <v>2025</v>
      </c>
      <c r="D93" s="68" t="s">
        <v>59</v>
      </c>
      <c r="E93" s="6">
        <v>0.5</v>
      </c>
      <c r="F93" s="6">
        <v>14.14</v>
      </c>
      <c r="G93" s="15">
        <f t="shared" si="18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5">
        <f t="shared" si="19"/>
        <v>10.764705882352942</v>
      </c>
      <c r="Q93" s="11">
        <v>17.03</v>
      </c>
      <c r="R93" s="81">
        <v>12.85</v>
      </c>
      <c r="S93" s="85">
        <v>-1</v>
      </c>
      <c r="T93" s="34"/>
      <c r="U93" s="34"/>
      <c r="V93" s="34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20"/>
        <v>1</v>
      </c>
      <c r="AB93" s="11">
        <v>0</v>
      </c>
      <c r="AC93" s="15">
        <f t="shared" si="31"/>
        <v>0</v>
      </c>
      <c r="AD93" s="1">
        <v>84</v>
      </c>
      <c r="AE93" s="1">
        <v>93</v>
      </c>
      <c r="AF93" s="1">
        <v>133</v>
      </c>
      <c r="AG93" s="85">
        <f t="shared" si="21"/>
        <v>5.6</v>
      </c>
      <c r="AH93" s="15">
        <f t="shared" si="22"/>
        <v>8.6</v>
      </c>
      <c r="AI93" s="15">
        <v>11</v>
      </c>
      <c r="AJ93" s="15">
        <f t="shared" si="23"/>
        <v>1</v>
      </c>
      <c r="AK93" s="15">
        <f t="shared" si="24"/>
        <v>15.32</v>
      </c>
      <c r="AL93" s="14" t="str">
        <f t="shared" si="25"/>
        <v>Pos</v>
      </c>
      <c r="AM93" s="64" t="str">
        <f t="shared" si="26"/>
        <v>Nanta Tech</v>
      </c>
      <c r="AN93" s="105">
        <v>26</v>
      </c>
      <c r="AO93" s="16">
        <f t="shared" si="27"/>
        <v>27</v>
      </c>
      <c r="AP93" s="99">
        <f t="shared" si="28"/>
        <v>3</v>
      </c>
      <c r="AQ93" s="15">
        <v>1</v>
      </c>
      <c r="AR93" s="15">
        <f t="shared" si="29"/>
        <v>5.8479532163742691</v>
      </c>
      <c r="AS93" s="15"/>
      <c r="AT93" s="15">
        <f t="shared" si="30"/>
        <v>1432</v>
      </c>
      <c r="AU93" s="4"/>
      <c r="AV93" s="4"/>
      <c r="AW93" s="5"/>
      <c r="AX93" s="5"/>
      <c r="AY93" s="106">
        <v>220</v>
      </c>
      <c r="AZ93" s="99">
        <v>240</v>
      </c>
      <c r="BA93" s="106">
        <v>234</v>
      </c>
      <c r="BB93" s="107">
        <v>245</v>
      </c>
      <c r="BC93" s="107">
        <v>258</v>
      </c>
      <c r="BD93" s="107">
        <v>265</v>
      </c>
      <c r="BE93" s="107"/>
      <c r="BF93" s="2"/>
      <c r="BG93" s="2"/>
      <c r="BH93" s="2"/>
    </row>
    <row r="94" spans="2:60">
      <c r="B94" s="7" t="s">
        <v>157</v>
      </c>
      <c r="C94" s="68">
        <v>2025</v>
      </c>
      <c r="D94" s="68" t="s">
        <v>59</v>
      </c>
      <c r="E94" s="36">
        <v>31.75</v>
      </c>
      <c r="F94" s="7">
        <v>25.32</v>
      </c>
      <c r="G94" s="15">
        <f t="shared" si="18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5">
        <f t="shared" si="19"/>
        <v>7.226976069615664</v>
      </c>
      <c r="Q94" s="7">
        <v>9.43</v>
      </c>
      <c r="R94" s="80">
        <v>14.62</v>
      </c>
      <c r="S94" s="85">
        <v>0</v>
      </c>
      <c r="T94" s="37"/>
      <c r="U94" s="37"/>
      <c r="V94" s="37">
        <v>1</v>
      </c>
      <c r="W94" s="36">
        <v>1</v>
      </c>
      <c r="X94" s="36">
        <v>18.3</v>
      </c>
      <c r="Y94" s="36">
        <v>77</v>
      </c>
      <c r="Z94" s="36">
        <v>33.4</v>
      </c>
      <c r="AA94" s="2">
        <f t="shared" si="20"/>
        <v>0</v>
      </c>
      <c r="AB94" s="36">
        <v>4.62</v>
      </c>
      <c r="AC94" s="15">
        <f t="shared" si="31"/>
        <v>1.385</v>
      </c>
      <c r="AD94" s="1">
        <v>327</v>
      </c>
      <c r="AE94" s="1">
        <v>44</v>
      </c>
      <c r="AF94" s="1">
        <v>118</v>
      </c>
      <c r="AG94" s="85">
        <f t="shared" si="21"/>
        <v>4.5</v>
      </c>
      <c r="AH94" s="15">
        <f t="shared" si="22"/>
        <v>7.8849999999999998</v>
      </c>
      <c r="AI94" s="15">
        <v>11</v>
      </c>
      <c r="AJ94" s="15">
        <f t="shared" si="23"/>
        <v>1</v>
      </c>
      <c r="AK94" s="15">
        <f t="shared" si="24"/>
        <v>13.285</v>
      </c>
      <c r="AL94" s="14" t="str">
        <f t="shared" si="25"/>
        <v>Pos</v>
      </c>
      <c r="AM94" s="64" t="str">
        <f t="shared" si="26"/>
        <v>Apollo Techno Industries</v>
      </c>
      <c r="AN94" s="35">
        <v>26</v>
      </c>
      <c r="AO94" s="16">
        <f t="shared" si="27"/>
        <v>27</v>
      </c>
      <c r="AP94" s="16">
        <f t="shared" si="28"/>
        <v>2</v>
      </c>
      <c r="AQ94" s="15">
        <v>1</v>
      </c>
      <c r="AR94" s="15">
        <f t="shared" si="29"/>
        <v>0.29940119760479045</v>
      </c>
      <c r="AS94" s="15"/>
      <c r="AT94" s="15">
        <f t="shared" si="30"/>
        <v>1228.5</v>
      </c>
      <c r="AU94" s="4"/>
      <c r="AV94" s="4"/>
      <c r="AW94" s="5"/>
      <c r="AX94" s="5"/>
      <c r="AY94" s="1"/>
      <c r="AZ94" s="16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158</v>
      </c>
      <c r="C95" s="68">
        <v>2025</v>
      </c>
      <c r="D95" s="68" t="s">
        <v>59</v>
      </c>
      <c r="E95" s="9">
        <v>109</v>
      </c>
      <c r="F95" s="9">
        <v>53.7</v>
      </c>
      <c r="G95" s="15">
        <f t="shared" si="18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5">
        <f t="shared" si="19"/>
        <v>18.148633879781421</v>
      </c>
      <c r="Q95" s="9">
        <v>16</v>
      </c>
      <c r="R95" s="82"/>
      <c r="S95" s="85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20"/>
        <v>1</v>
      </c>
      <c r="AB95" s="9">
        <v>4.84</v>
      </c>
      <c r="AC95" s="15">
        <f t="shared" si="31"/>
        <v>1.4033333333333333</v>
      </c>
      <c r="AD95" s="1">
        <v>100</v>
      </c>
      <c r="AE95" s="1">
        <v>12.16</v>
      </c>
      <c r="AF95" s="1">
        <v>55</v>
      </c>
      <c r="AG95" s="85">
        <f t="shared" si="21"/>
        <v>4</v>
      </c>
      <c r="AH95" s="15">
        <f t="shared" si="22"/>
        <v>8.4033333333333324</v>
      </c>
      <c r="AI95" s="15">
        <v>11</v>
      </c>
      <c r="AJ95" s="15">
        <f t="shared" si="23"/>
        <v>1</v>
      </c>
      <c r="AK95" s="15">
        <f t="shared" si="24"/>
        <v>13.203333333333333</v>
      </c>
      <c r="AL95" s="14" t="str">
        <f t="shared" si="25"/>
        <v>Pos</v>
      </c>
      <c r="AM95" s="64" t="str">
        <f t="shared" si="26"/>
        <v>Bai Kakaji Polymers</v>
      </c>
      <c r="AN95" s="35">
        <v>26</v>
      </c>
      <c r="AO95" s="16">
        <f t="shared" si="27"/>
        <v>27</v>
      </c>
      <c r="AP95" s="16">
        <f t="shared" si="28"/>
        <v>3</v>
      </c>
      <c r="AQ95" s="15">
        <v>1</v>
      </c>
      <c r="AR95" s="15">
        <f t="shared" si="29"/>
        <v>4.1841004184100417</v>
      </c>
      <c r="AS95" s="15"/>
      <c r="AT95" s="15">
        <f t="shared" si="30"/>
        <v>1220.3333333333333</v>
      </c>
      <c r="AU95" s="4"/>
      <c r="AV95" s="4"/>
      <c r="AW95" s="5"/>
      <c r="AX95" s="5"/>
      <c r="AY95" s="1"/>
      <c r="AZ95" s="16"/>
      <c r="BA95" s="1"/>
      <c r="BB95" s="2"/>
      <c r="BC95" s="2"/>
      <c r="BD95" s="2"/>
      <c r="BE95" s="2"/>
      <c r="BF95" s="2"/>
      <c r="BG95" s="2"/>
      <c r="BH95" s="2"/>
    </row>
    <row r="96" spans="2:60" ht="11.4" customHeight="1">
      <c r="B96" s="7" t="s">
        <v>159</v>
      </c>
      <c r="C96" s="68">
        <v>2025</v>
      </c>
      <c r="D96" s="68" t="s">
        <v>59</v>
      </c>
      <c r="E96" s="36">
        <v>21.29</v>
      </c>
      <c r="F96" s="36">
        <v>12.9</v>
      </c>
      <c r="G96" s="15">
        <f t="shared" si="18"/>
        <v>-65.038759689922472</v>
      </c>
      <c r="H96" s="36">
        <v>46.24</v>
      </c>
      <c r="I96" s="36">
        <v>6.53</v>
      </c>
      <c r="J96" s="36"/>
      <c r="K96" s="36">
        <v>5.88</v>
      </c>
      <c r="L96" s="7"/>
      <c r="M96" s="36">
        <v>5.28</v>
      </c>
      <c r="N96" s="36"/>
      <c r="O96" s="36">
        <v>48</v>
      </c>
      <c r="P96" s="15">
        <f t="shared" si="19"/>
        <v>7.3506891271056656</v>
      </c>
      <c r="Q96" s="9">
        <v>21.43</v>
      </c>
      <c r="R96" s="82">
        <v>26.07</v>
      </c>
      <c r="S96" s="85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6">
        <v>71.5</v>
      </c>
      <c r="AA96" s="2">
        <f t="shared" si="20"/>
        <v>0</v>
      </c>
      <c r="AB96" s="36">
        <v>11</v>
      </c>
      <c r="AC96" s="15">
        <f t="shared" si="31"/>
        <v>1.9166666666666665</v>
      </c>
      <c r="AD96" s="1">
        <v>110</v>
      </c>
      <c r="AE96" s="1">
        <v>35</v>
      </c>
      <c r="AF96" s="1">
        <v>90</v>
      </c>
      <c r="AG96" s="85">
        <f t="shared" si="21"/>
        <v>4</v>
      </c>
      <c r="AH96" s="15">
        <f t="shared" si="22"/>
        <v>7.9166666666666661</v>
      </c>
      <c r="AI96" s="15">
        <v>11</v>
      </c>
      <c r="AJ96" s="15">
        <f t="shared" si="23"/>
        <v>1</v>
      </c>
      <c r="AK96" s="15">
        <f t="shared" si="24"/>
        <v>12.716666666666665</v>
      </c>
      <c r="AL96" s="14" t="str">
        <f t="shared" si="25"/>
        <v>Pos</v>
      </c>
      <c r="AM96" s="64" t="str">
        <f t="shared" si="26"/>
        <v>Dhara Rail Projects</v>
      </c>
      <c r="AN96" s="35">
        <v>26</v>
      </c>
      <c r="AO96" s="16">
        <f t="shared" si="27"/>
        <v>27</v>
      </c>
      <c r="AP96" s="16">
        <f t="shared" si="28"/>
        <v>0</v>
      </c>
      <c r="AQ96" s="15">
        <v>1</v>
      </c>
      <c r="AR96" s="15">
        <f t="shared" si="29"/>
        <v>0</v>
      </c>
      <c r="AS96" s="15"/>
      <c r="AT96" s="15">
        <f t="shared" si="30"/>
        <v>1171.6666666666665</v>
      </c>
      <c r="AU96" s="4"/>
      <c r="AV96" s="4"/>
      <c r="AW96" s="5"/>
      <c r="AX96" s="5"/>
      <c r="AY96" s="1"/>
      <c r="AZ96" s="16"/>
      <c r="BA96" s="1"/>
      <c r="BB96" s="2"/>
      <c r="BC96" s="2"/>
      <c r="BD96" s="2"/>
      <c r="BE96" s="2"/>
      <c r="BF96" s="2"/>
      <c r="BG96" s="2"/>
      <c r="BH96" s="2"/>
    </row>
    <row r="97" spans="1:60" ht="17.399999999999999" customHeight="1">
      <c r="B97" s="6" t="s">
        <v>160</v>
      </c>
      <c r="C97" s="68">
        <v>2025</v>
      </c>
      <c r="D97" s="68" t="s">
        <v>59</v>
      </c>
      <c r="E97" s="6">
        <v>66.180000000000007</v>
      </c>
      <c r="F97" s="6">
        <v>116.05</v>
      </c>
      <c r="G97" s="15">
        <f t="shared" si="18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5">
        <f t="shared" si="19"/>
        <v>17.453723034098818</v>
      </c>
      <c r="Q97" s="11">
        <v>27.64</v>
      </c>
      <c r="R97" s="83">
        <v>10.11</v>
      </c>
      <c r="S97" s="85">
        <v>0</v>
      </c>
      <c r="T97" s="34"/>
      <c r="U97" s="34"/>
      <c r="V97" s="34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20"/>
        <v>1</v>
      </c>
      <c r="AB97" s="11">
        <v>95</v>
      </c>
      <c r="AC97" s="15">
        <f t="shared" si="31"/>
        <v>8.9166666666666679</v>
      </c>
      <c r="AD97" s="1">
        <v>48</v>
      </c>
      <c r="AE97" s="1">
        <v>47.37</v>
      </c>
      <c r="AF97" s="1">
        <v>73.53</v>
      </c>
      <c r="AG97" s="85">
        <f t="shared" si="21"/>
        <v>4.9000000000000004</v>
      </c>
      <c r="AH97" s="15">
        <f t="shared" si="22"/>
        <v>16.81666666666667</v>
      </c>
      <c r="AI97" s="15">
        <v>11</v>
      </c>
      <c r="AJ97" s="15">
        <f t="shared" si="23"/>
        <v>1</v>
      </c>
      <c r="AK97" s="15">
        <f t="shared" si="24"/>
        <v>22.696666666666669</v>
      </c>
      <c r="AL97" s="14" t="str">
        <f t="shared" si="25"/>
        <v>Pos</v>
      </c>
      <c r="AM97" s="64" t="str">
        <f t="shared" si="26"/>
        <v>E to E Transportation Infrastructure</v>
      </c>
      <c r="AN97" s="4">
        <v>30</v>
      </c>
      <c r="AO97" s="16">
        <f t="shared" si="27"/>
        <v>31</v>
      </c>
      <c r="AP97" s="16">
        <f t="shared" si="28"/>
        <v>1</v>
      </c>
      <c r="AQ97" s="15">
        <v>1</v>
      </c>
      <c r="AR97" s="15">
        <f t="shared" si="29"/>
        <v>0.95</v>
      </c>
      <c r="AS97" s="15"/>
      <c r="AT97" s="15">
        <f t="shared" si="30"/>
        <v>2169.666666666667</v>
      </c>
      <c r="AU97" s="4"/>
      <c r="AV97" s="4"/>
      <c r="AW97" s="5"/>
      <c r="AX97" s="5"/>
      <c r="AY97" s="1">
        <v>174</v>
      </c>
      <c r="AZ97" s="16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" customHeight="1">
      <c r="B98" s="7" t="s">
        <v>161</v>
      </c>
      <c r="C98" s="68">
        <v>2025</v>
      </c>
      <c r="D98" s="7" t="s">
        <v>59</v>
      </c>
      <c r="E98" s="36">
        <v>22.09</v>
      </c>
      <c r="F98" s="36">
        <v>20.73</v>
      </c>
      <c r="G98" s="15">
        <f t="shared" ref="G98:G117" si="32">100*(F98-E98)/F98</f>
        <v>-6.5605402797877446</v>
      </c>
      <c r="H98" s="36">
        <v>64.56</v>
      </c>
      <c r="I98" s="36">
        <v>8.9700000000000006</v>
      </c>
      <c r="J98" s="7"/>
      <c r="K98" s="36">
        <v>8.15</v>
      </c>
      <c r="L98" s="7"/>
      <c r="M98" s="36">
        <v>17.96</v>
      </c>
      <c r="N98" s="7"/>
      <c r="O98" s="36">
        <v>78.900000000000006</v>
      </c>
      <c r="P98" s="15">
        <f t="shared" ref="P98:P117" si="33">O98/I98</f>
        <v>8.7959866220735794</v>
      </c>
      <c r="Q98" s="9">
        <v>11.04</v>
      </c>
      <c r="R98" s="84">
        <v>12.4</v>
      </c>
      <c r="S98" s="85">
        <v>0</v>
      </c>
      <c r="T98" s="8"/>
      <c r="U98" s="8"/>
      <c r="V98" s="37">
        <v>1</v>
      </c>
      <c r="X98" s="36">
        <v>9</v>
      </c>
      <c r="Y98" s="36">
        <v>154</v>
      </c>
      <c r="Z98" s="36">
        <v>77</v>
      </c>
      <c r="AA98" s="2">
        <f t="shared" si="20"/>
        <v>0</v>
      </c>
      <c r="AB98" s="36">
        <v>15</v>
      </c>
      <c r="AC98" s="15">
        <f t="shared" si="31"/>
        <v>2.25</v>
      </c>
      <c r="AD98" s="1">
        <v>60</v>
      </c>
      <c r="AE98" s="1">
        <v>14</v>
      </c>
      <c r="AF98" s="1">
        <v>90</v>
      </c>
      <c r="AG98" s="85">
        <f t="shared" si="21"/>
        <v>4.5</v>
      </c>
      <c r="AH98" s="15">
        <f t="shared" si="22"/>
        <v>8.75</v>
      </c>
      <c r="AI98" s="15">
        <v>11</v>
      </c>
      <c r="AJ98" s="15">
        <f t="shared" si="23"/>
        <v>1</v>
      </c>
      <c r="AK98" s="15">
        <f t="shared" si="24"/>
        <v>14.149999999999999</v>
      </c>
      <c r="AL98" s="14" t="str">
        <f t="shared" si="25"/>
        <v>Pos</v>
      </c>
      <c r="AM98" s="64" t="str">
        <f t="shared" ref="AM98:AM117" si="34">B98</f>
        <v>Modern Diagnostic</v>
      </c>
      <c r="AN98" s="89">
        <v>2</v>
      </c>
      <c r="AO98" s="16">
        <f t="shared" ref="AO98:AO123" si="35">AN98+1</f>
        <v>3</v>
      </c>
      <c r="AP98" s="16">
        <f t="shared" si="28"/>
        <v>1</v>
      </c>
      <c r="AQ98" s="15">
        <v>1</v>
      </c>
      <c r="AR98" s="15">
        <f t="shared" si="29"/>
        <v>0.19480519480519481</v>
      </c>
      <c r="AS98" s="63" t="s">
        <v>162</v>
      </c>
      <c r="AT98" s="15">
        <f t="shared" si="30"/>
        <v>1314.9999999999998</v>
      </c>
      <c r="AU98" s="1"/>
      <c r="AY98" s="1">
        <v>90</v>
      </c>
      <c r="AZ98" s="16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399999999999999" customHeight="1">
      <c r="A99" t="s">
        <v>163</v>
      </c>
      <c r="B99" t="s">
        <v>164</v>
      </c>
      <c r="C99" t="s">
        <v>165</v>
      </c>
      <c r="D99" s="68" t="s">
        <v>59</v>
      </c>
      <c r="E99">
        <v>46.71</v>
      </c>
      <c r="F99">
        <v>22.03</v>
      </c>
      <c r="G99" s="15">
        <f t="shared" si="32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5">
        <f t="shared" si="33"/>
        <v>15.259426847662143</v>
      </c>
      <c r="Q99">
        <v>12.18</v>
      </c>
      <c r="R99" s="78">
        <v>17.04</v>
      </c>
      <c r="S99" s="85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20"/>
        <v>1</v>
      </c>
      <c r="AB99">
        <v>38</v>
      </c>
      <c r="AC99" s="15">
        <f t="shared" si="31"/>
        <v>4.1666666666666661</v>
      </c>
      <c r="AD99">
        <v>13.92</v>
      </c>
      <c r="AE99">
        <v>-3.62</v>
      </c>
      <c r="AF99">
        <v>42.96</v>
      </c>
      <c r="AG99" s="85">
        <f t="shared" si="21"/>
        <v>-0.5</v>
      </c>
      <c r="AH99" s="15">
        <f t="shared" si="22"/>
        <v>6.6666666666666661</v>
      </c>
      <c r="AI99" s="15">
        <v>11</v>
      </c>
      <c r="AJ99" s="15">
        <f t="shared" si="23"/>
        <v>1</v>
      </c>
      <c r="AK99" s="15">
        <f t="shared" si="24"/>
        <v>6.0666666666666664</v>
      </c>
      <c r="AL99" s="14" t="str">
        <f t="shared" si="25"/>
        <v>Pos</v>
      </c>
      <c r="AM99" s="64" t="str">
        <f t="shared" si="34"/>
        <v xml:space="preserve">Gabion Technologies </v>
      </c>
      <c r="AN99" s="87">
        <v>8</v>
      </c>
      <c r="AO99" s="16">
        <f t="shared" si="35"/>
        <v>9</v>
      </c>
      <c r="AP99" s="16">
        <f t="shared" si="28"/>
        <v>0</v>
      </c>
      <c r="AQ99" s="15">
        <v>1</v>
      </c>
      <c r="AR99" s="15">
        <f t="shared" si="29"/>
        <v>0</v>
      </c>
      <c r="AS99" s="15"/>
      <c r="AT99" s="15">
        <f t="shared" si="30"/>
        <v>506.66666666666663</v>
      </c>
      <c r="AZ99" s="16"/>
    </row>
    <row r="100" spans="1:60">
      <c r="A100" t="s">
        <v>166</v>
      </c>
      <c r="B100" t="s">
        <v>167</v>
      </c>
      <c r="C100" t="s">
        <v>165</v>
      </c>
      <c r="D100" s="68" t="s">
        <v>82</v>
      </c>
      <c r="E100">
        <v>9.2899999999999991</v>
      </c>
      <c r="F100">
        <v>14.87</v>
      </c>
      <c r="G100" s="15">
        <f t="shared" si="32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5">
        <f t="shared" si="33"/>
        <v>9.876208897485494</v>
      </c>
      <c r="Q100">
        <v>12.41</v>
      </c>
      <c r="R100" s="78">
        <v>5.9</v>
      </c>
      <c r="S100" s="85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20"/>
        <v>-0.7</v>
      </c>
      <c r="AB100">
        <v>0</v>
      </c>
      <c r="AC100" s="15">
        <f t="shared" si="31"/>
        <v>0</v>
      </c>
      <c r="AD100">
        <v>5.73</v>
      </c>
      <c r="AE100">
        <v>4.72</v>
      </c>
      <c r="AF100">
        <v>53.3</v>
      </c>
      <c r="AG100" s="85">
        <f t="shared" si="21"/>
        <v>3.4000000000000004</v>
      </c>
      <c r="AH100" s="15">
        <f t="shared" si="22"/>
        <v>2.7</v>
      </c>
      <c r="AI100" s="15">
        <v>11</v>
      </c>
      <c r="AJ100" s="15">
        <f t="shared" si="23"/>
        <v>1</v>
      </c>
      <c r="AK100" s="15">
        <f t="shared" si="24"/>
        <v>6.78</v>
      </c>
      <c r="AL100" s="14" t="str">
        <f t="shared" si="25"/>
        <v>Neg</v>
      </c>
      <c r="AM100" s="64" t="str">
        <f t="shared" si="34"/>
        <v>Victory Electric Veh</v>
      </c>
      <c r="AN100" s="87">
        <v>9</v>
      </c>
      <c r="AO100" s="16">
        <f t="shared" si="35"/>
        <v>10</v>
      </c>
      <c r="AP100" s="16">
        <f t="shared" si="28"/>
        <v>0</v>
      </c>
      <c r="AQ100" s="15">
        <v>1</v>
      </c>
      <c r="AR100" s="15">
        <f t="shared" si="29"/>
        <v>0</v>
      </c>
      <c r="AS100" s="15"/>
      <c r="AT100" s="15">
        <f t="shared" si="30"/>
        <v>578</v>
      </c>
      <c r="AZ100" s="16"/>
    </row>
    <row r="101" spans="1:60">
      <c r="A101" t="s">
        <v>168</v>
      </c>
      <c r="B101" t="s">
        <v>169</v>
      </c>
      <c r="C101" t="s">
        <v>165</v>
      </c>
      <c r="D101" s="68" t="s">
        <v>82</v>
      </c>
      <c r="E101">
        <v>66.180000000000007</v>
      </c>
      <c r="F101">
        <v>42.32</v>
      </c>
      <c r="G101" s="15">
        <f t="shared" si="32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5">
        <f t="shared" si="33"/>
        <v>12.156678082191782</v>
      </c>
      <c r="Q101">
        <v>23.49</v>
      </c>
      <c r="R101" s="78">
        <v>17.899999999999999</v>
      </c>
      <c r="S101" s="85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20"/>
        <v>-0.7</v>
      </c>
      <c r="AB101">
        <v>0</v>
      </c>
      <c r="AC101" s="15">
        <f t="shared" si="31"/>
        <v>0</v>
      </c>
      <c r="AD101">
        <v>173.54</v>
      </c>
      <c r="AE101">
        <v>67.34</v>
      </c>
      <c r="AF101">
        <v>37.99</v>
      </c>
      <c r="AG101" s="85">
        <f t="shared" si="21"/>
        <v>2.5</v>
      </c>
      <c r="AH101" s="15">
        <f t="shared" si="22"/>
        <v>1.8</v>
      </c>
      <c r="AI101" s="15">
        <v>11</v>
      </c>
      <c r="AJ101" s="15">
        <f t="shared" si="23"/>
        <v>1</v>
      </c>
      <c r="AK101" s="15">
        <f t="shared" si="24"/>
        <v>4.8</v>
      </c>
      <c r="AL101" s="14" t="str">
        <f t="shared" si="25"/>
        <v>Neg</v>
      </c>
      <c r="AM101" s="64" t="str">
        <f t="shared" si="34"/>
        <v>Yajur Fibres Date, P</v>
      </c>
      <c r="AN101" s="87">
        <v>9</v>
      </c>
      <c r="AO101" s="16">
        <f t="shared" si="35"/>
        <v>10</v>
      </c>
      <c r="AP101" s="16">
        <f t="shared" si="28"/>
        <v>0</v>
      </c>
      <c r="AQ101" s="15">
        <v>1</v>
      </c>
      <c r="AR101" s="15">
        <f t="shared" si="29"/>
        <v>0</v>
      </c>
      <c r="AS101" s="15"/>
      <c r="AT101" s="15">
        <f t="shared" si="30"/>
        <v>380</v>
      </c>
      <c r="AZ101" s="16"/>
    </row>
    <row r="102" spans="1:60" ht="11.4" customHeight="1">
      <c r="A102" t="s">
        <v>170</v>
      </c>
      <c r="B102" t="s">
        <v>171</v>
      </c>
      <c r="C102">
        <v>2026</v>
      </c>
      <c r="D102" s="68" t="s">
        <v>59</v>
      </c>
      <c r="E102">
        <v>11.56</v>
      </c>
      <c r="F102">
        <v>9.1199999999999992</v>
      </c>
      <c r="G102" s="15">
        <f t="shared" si="32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5">
        <f t="shared" si="33"/>
        <v>18.192982456140349</v>
      </c>
      <c r="Q102">
        <v>11.18</v>
      </c>
      <c r="R102" s="78">
        <v>16.53</v>
      </c>
      <c r="S102" s="85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20"/>
        <v>1</v>
      </c>
      <c r="AB102">
        <v>10.81</v>
      </c>
      <c r="AC102" s="15">
        <f t="shared" si="31"/>
        <v>1.9008333333333334</v>
      </c>
      <c r="AD102">
        <v>3009.09</v>
      </c>
      <c r="AE102">
        <v>8541.67</v>
      </c>
      <c r="AF102">
        <v>5600</v>
      </c>
      <c r="AG102" s="85">
        <f t="shared" si="21"/>
        <v>2.5</v>
      </c>
      <c r="AH102" s="15">
        <f t="shared" si="22"/>
        <v>7.4008333333333329</v>
      </c>
      <c r="AI102" s="15">
        <v>11</v>
      </c>
      <c r="AJ102" s="15">
        <f t="shared" si="23"/>
        <v>1</v>
      </c>
      <c r="AK102" s="15">
        <f t="shared" si="24"/>
        <v>10.400833333333333</v>
      </c>
      <c r="AL102" s="14" t="str">
        <f t="shared" si="25"/>
        <v>Pos</v>
      </c>
      <c r="AM102" s="64" t="str">
        <f t="shared" si="34"/>
        <v>Defrail Technologies</v>
      </c>
      <c r="AN102" s="87">
        <v>13</v>
      </c>
      <c r="AO102" s="16">
        <f t="shared" si="35"/>
        <v>14</v>
      </c>
      <c r="AP102" s="16">
        <f t="shared" si="28"/>
        <v>0</v>
      </c>
      <c r="AQ102" s="15">
        <v>1</v>
      </c>
      <c r="AR102" s="15">
        <f t="shared" si="29"/>
        <v>0</v>
      </c>
      <c r="AS102" s="15"/>
      <c r="AT102" s="15">
        <f t="shared" si="30"/>
        <v>940.08333333333326</v>
      </c>
      <c r="AZ102" s="16"/>
    </row>
    <row r="103" spans="1:60" ht="15" customHeight="1">
      <c r="A103" t="s">
        <v>172</v>
      </c>
      <c r="B103" t="s">
        <v>173</v>
      </c>
      <c r="C103" t="s">
        <v>165</v>
      </c>
      <c r="D103" s="68" t="s">
        <v>59</v>
      </c>
      <c r="E103">
        <v>5.69</v>
      </c>
      <c r="F103">
        <v>21.8</v>
      </c>
      <c r="G103" s="15">
        <f t="shared" si="32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5">
        <f t="shared" si="33"/>
        <v>7.57280385078219</v>
      </c>
      <c r="Q103">
        <v>12.4</v>
      </c>
      <c r="R103" s="78">
        <v>16.97</v>
      </c>
      <c r="S103" s="85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20"/>
        <v>1</v>
      </c>
      <c r="AB103">
        <v>18.64</v>
      </c>
      <c r="AC103" s="15">
        <f t="shared" si="31"/>
        <v>2.5533333333333337</v>
      </c>
      <c r="AD103">
        <v>106.72</v>
      </c>
      <c r="AE103">
        <v>18.16</v>
      </c>
      <c r="AF103">
        <v>61.6</v>
      </c>
      <c r="AG103" s="85">
        <f t="shared" si="21"/>
        <v>7.6</v>
      </c>
      <c r="AH103" s="15">
        <f t="shared" si="22"/>
        <v>13.153333333333332</v>
      </c>
      <c r="AI103" s="15">
        <v>11</v>
      </c>
      <c r="AJ103" s="15">
        <f t="shared" si="23"/>
        <v>1</v>
      </c>
      <c r="AK103" s="15">
        <f t="shared" si="24"/>
        <v>22.273333333333333</v>
      </c>
      <c r="AL103" s="14" t="str">
        <f t="shared" si="25"/>
        <v>Pos</v>
      </c>
      <c r="AM103" s="64" t="str">
        <f t="shared" si="34"/>
        <v>Avana Electrosystems</v>
      </c>
      <c r="AN103" s="87">
        <v>14</v>
      </c>
      <c r="AO103" s="16">
        <f t="shared" si="35"/>
        <v>15</v>
      </c>
      <c r="AP103" s="16">
        <f t="shared" si="28"/>
        <v>0</v>
      </c>
      <c r="AQ103" s="15">
        <v>1</v>
      </c>
      <c r="AR103" s="15">
        <f t="shared" si="29"/>
        <v>0</v>
      </c>
      <c r="AS103" s="15"/>
      <c r="AT103" s="15">
        <f t="shared" si="30"/>
        <v>2127.3333333333335</v>
      </c>
      <c r="AZ103" s="16"/>
    </row>
    <row r="104" spans="1:60">
      <c r="A104" t="s">
        <v>174</v>
      </c>
      <c r="B104" t="s">
        <v>175</v>
      </c>
      <c r="C104" t="s">
        <v>165</v>
      </c>
      <c r="D104" s="68" t="s">
        <v>176</v>
      </c>
      <c r="E104">
        <v>24.73</v>
      </c>
      <c r="F104">
        <v>11.45</v>
      </c>
      <c r="G104" s="15">
        <f t="shared" si="32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5">
        <f t="shared" si="33"/>
        <v>15.393356643356643</v>
      </c>
      <c r="Q104">
        <v>19.63</v>
      </c>
      <c r="R104" s="78">
        <v>28</v>
      </c>
      <c r="S104" s="85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20"/>
        <v>1</v>
      </c>
      <c r="AB104">
        <v>0</v>
      </c>
      <c r="AC104" s="15">
        <f t="shared" si="31"/>
        <v>0</v>
      </c>
      <c r="AD104">
        <v>-19.440000000000001</v>
      </c>
      <c r="AE104">
        <v>11.37</v>
      </c>
      <c r="AF104">
        <v>99.83</v>
      </c>
      <c r="AG104" s="85">
        <f t="shared" si="21"/>
        <v>1.5</v>
      </c>
      <c r="AH104" s="15">
        <f t="shared" si="22"/>
        <v>4.5</v>
      </c>
      <c r="AI104" s="15">
        <v>11</v>
      </c>
      <c r="AJ104" s="15">
        <f t="shared" si="23"/>
        <v>1</v>
      </c>
      <c r="AK104" s="15">
        <f t="shared" si="24"/>
        <v>6.3</v>
      </c>
      <c r="AL104" s="14" t="str">
        <f t="shared" si="25"/>
        <v>NEg</v>
      </c>
      <c r="AM104" s="64" t="str">
        <f t="shared" si="34"/>
        <v>Narmadesh Brass Indu</v>
      </c>
      <c r="AN104" s="87">
        <v>16</v>
      </c>
      <c r="AO104" s="16">
        <f t="shared" si="35"/>
        <v>17</v>
      </c>
      <c r="AP104" s="16">
        <f t="shared" si="28"/>
        <v>0</v>
      </c>
      <c r="AQ104" s="15">
        <v>1</v>
      </c>
      <c r="AR104" s="15">
        <f t="shared" si="29"/>
        <v>0</v>
      </c>
      <c r="AS104" s="15"/>
      <c r="AT104" s="15">
        <f t="shared" si="30"/>
        <v>530</v>
      </c>
      <c r="AZ104" s="16"/>
    </row>
    <row r="105" spans="1:60" ht="14.4" customHeight="1">
      <c r="A105" t="s">
        <v>177</v>
      </c>
      <c r="B105" t="s">
        <v>178</v>
      </c>
      <c r="C105" t="s">
        <v>165</v>
      </c>
      <c r="D105" s="68" t="s">
        <v>59</v>
      </c>
      <c r="E105">
        <v>35.76</v>
      </c>
      <c r="F105">
        <v>35.69</v>
      </c>
      <c r="G105" s="15">
        <f t="shared" si="32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5">
        <f t="shared" si="33"/>
        <v>8.9883419689119179</v>
      </c>
      <c r="Q105">
        <v>16.100000000000001</v>
      </c>
      <c r="R105" s="78">
        <v>13.19</v>
      </c>
      <c r="S105" s="85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20"/>
        <v>1</v>
      </c>
      <c r="AB105">
        <v>21</v>
      </c>
      <c r="AC105" s="15">
        <f t="shared" si="31"/>
        <v>2.75</v>
      </c>
      <c r="AD105">
        <v>414.67</v>
      </c>
      <c r="AE105">
        <v>394.58</v>
      </c>
      <c r="AF105">
        <v>516.41</v>
      </c>
      <c r="AG105" s="85">
        <f t="shared" si="21"/>
        <v>3.5</v>
      </c>
      <c r="AH105" s="15">
        <f t="shared" si="22"/>
        <v>9.25</v>
      </c>
      <c r="AI105" s="15">
        <v>11</v>
      </c>
      <c r="AJ105" s="15">
        <f t="shared" si="23"/>
        <v>1</v>
      </c>
      <c r="AK105" s="15">
        <f t="shared" si="24"/>
        <v>13.45</v>
      </c>
      <c r="AL105" s="14" t="str">
        <f t="shared" si="25"/>
        <v>Pos</v>
      </c>
      <c r="AM105" s="64" t="str">
        <f t="shared" si="34"/>
        <v>INDO SMC Date, Price</v>
      </c>
      <c r="AN105" s="87">
        <v>16</v>
      </c>
      <c r="AO105" s="16">
        <f t="shared" si="35"/>
        <v>17</v>
      </c>
      <c r="AP105" s="16">
        <f t="shared" si="28"/>
        <v>1</v>
      </c>
      <c r="AQ105" s="15">
        <v>1</v>
      </c>
      <c r="AR105" s="15">
        <f t="shared" si="29"/>
        <v>0.21845417663580569</v>
      </c>
      <c r="AS105" s="15"/>
      <c r="AT105" s="15">
        <f t="shared" si="30"/>
        <v>1245</v>
      </c>
      <c r="AY105">
        <v>149</v>
      </c>
      <c r="AZ105" s="16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179</v>
      </c>
      <c r="B106" t="s">
        <v>180</v>
      </c>
      <c r="C106" t="s">
        <v>165</v>
      </c>
      <c r="D106" s="68" t="s">
        <v>99</v>
      </c>
      <c r="E106">
        <v>1.59</v>
      </c>
      <c r="F106">
        <v>31.23</v>
      </c>
      <c r="G106" s="15">
        <f t="shared" si="32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5">
        <f t="shared" si="33"/>
        <v>12.001422475106686</v>
      </c>
      <c r="Q106">
        <v>15.72</v>
      </c>
      <c r="R106" s="78">
        <v>14.86</v>
      </c>
      <c r="S106" s="85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20"/>
        <v>1</v>
      </c>
      <c r="AB106">
        <v>0</v>
      </c>
      <c r="AC106" s="15">
        <f t="shared" si="31"/>
        <v>0</v>
      </c>
      <c r="AD106">
        <v>-29.06</v>
      </c>
      <c r="AE106">
        <v>-8.44</v>
      </c>
      <c r="AF106">
        <v>48.5</v>
      </c>
      <c r="AG106" s="85">
        <f t="shared" si="21"/>
        <v>2.5999999999999996</v>
      </c>
      <c r="AH106" s="15">
        <f t="shared" si="22"/>
        <v>5.6</v>
      </c>
      <c r="AI106" s="15">
        <v>11</v>
      </c>
      <c r="AJ106" s="15">
        <f t="shared" si="23"/>
        <v>1</v>
      </c>
      <c r="AK106" s="15">
        <f t="shared" si="24"/>
        <v>8.7199999999999989</v>
      </c>
      <c r="AL106" s="14" t="str">
        <f t="shared" si="25"/>
        <v>Rec</v>
      </c>
      <c r="AM106" s="64" t="str">
        <f t="shared" si="34"/>
        <v>GRE Renew Enertech D</v>
      </c>
      <c r="AN106" s="87">
        <v>16</v>
      </c>
      <c r="AO106" s="16">
        <f t="shared" si="35"/>
        <v>17</v>
      </c>
      <c r="AP106" s="16">
        <f t="shared" si="28"/>
        <v>0</v>
      </c>
      <c r="AQ106" s="15">
        <v>1</v>
      </c>
      <c r="AR106" s="15">
        <f t="shared" si="29"/>
        <v>0</v>
      </c>
      <c r="AS106" s="15"/>
      <c r="AT106" s="15">
        <f t="shared" si="30"/>
        <v>771.99999999999989</v>
      </c>
      <c r="AX106">
        <v>21</v>
      </c>
      <c r="AZ106" s="16"/>
    </row>
    <row r="107" spans="1:60">
      <c r="A107" t="s">
        <v>181</v>
      </c>
      <c r="B107" t="s">
        <v>182</v>
      </c>
      <c r="C107" t="s">
        <v>165</v>
      </c>
      <c r="D107" s="68" t="s">
        <v>82</v>
      </c>
      <c r="E107">
        <v>4.6900000000000004</v>
      </c>
      <c r="F107">
        <v>18.43</v>
      </c>
      <c r="G107" s="15">
        <f t="shared" si="32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5">
        <f t="shared" si="33"/>
        <v>9.2090680100755673</v>
      </c>
      <c r="Q107">
        <v>17.53</v>
      </c>
      <c r="R107" s="78">
        <v>18.36</v>
      </c>
      <c r="S107" s="85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20"/>
        <v>-0.7</v>
      </c>
      <c r="AB107">
        <v>0</v>
      </c>
      <c r="AC107" s="15">
        <f t="shared" si="31"/>
        <v>0</v>
      </c>
      <c r="AD107">
        <v>51.53</v>
      </c>
      <c r="AE107">
        <v>10.45</v>
      </c>
      <c r="AF107">
        <v>27.46</v>
      </c>
      <c r="AG107" s="85">
        <f t="shared" si="21"/>
        <v>5.6</v>
      </c>
      <c r="AH107" s="15">
        <f t="shared" si="22"/>
        <v>4.8999999999999995</v>
      </c>
      <c r="AI107" s="15">
        <v>11</v>
      </c>
      <c r="AJ107" s="15">
        <f t="shared" si="23"/>
        <v>1</v>
      </c>
      <c r="AK107" s="15">
        <f t="shared" si="24"/>
        <v>11.62</v>
      </c>
      <c r="AL107" s="14" t="str">
        <f t="shared" si="25"/>
        <v>Neg</v>
      </c>
      <c r="AM107" s="64" t="str">
        <f t="shared" si="34"/>
        <v>Armour Security Date</v>
      </c>
      <c r="AN107" s="87">
        <v>19</v>
      </c>
      <c r="AO107" s="16">
        <f t="shared" si="35"/>
        <v>20</v>
      </c>
      <c r="AP107" s="16">
        <f t="shared" si="28"/>
        <v>0</v>
      </c>
      <c r="AQ107" s="15">
        <v>1</v>
      </c>
      <c r="AR107" s="15">
        <f t="shared" si="29"/>
        <v>0</v>
      </c>
      <c r="AS107" s="15">
        <v>2</v>
      </c>
      <c r="AT107" s="15">
        <f t="shared" si="30"/>
        <v>1062</v>
      </c>
      <c r="AZ107" s="16"/>
    </row>
    <row r="108" spans="1:60">
      <c r="A108" t="s">
        <v>183</v>
      </c>
      <c r="B108" t="s">
        <v>184</v>
      </c>
      <c r="C108" t="s">
        <v>165</v>
      </c>
      <c r="D108" s="68" t="s">
        <v>82</v>
      </c>
      <c r="E108">
        <v>36.82</v>
      </c>
      <c r="F108">
        <v>20.27</v>
      </c>
      <c r="G108" s="15">
        <f t="shared" si="32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5">
        <f t="shared" si="33"/>
        <v>23.73365617433414</v>
      </c>
      <c r="Q108">
        <v>14.43</v>
      </c>
      <c r="R108" s="78">
        <v>10.69</v>
      </c>
      <c r="S108" s="85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20"/>
        <v>-0.7</v>
      </c>
      <c r="AB108">
        <v>0</v>
      </c>
      <c r="AC108" s="15">
        <f t="shared" si="31"/>
        <v>0</v>
      </c>
      <c r="AD108">
        <v>147.31</v>
      </c>
      <c r="AE108">
        <v>41.55</v>
      </c>
      <c r="AF108">
        <v>238.4</v>
      </c>
      <c r="AG108" s="85">
        <f t="shared" si="21"/>
        <v>3.5</v>
      </c>
      <c r="AH108" s="15">
        <f t="shared" si="22"/>
        <v>2.8</v>
      </c>
      <c r="AI108" s="15">
        <v>11</v>
      </c>
      <c r="AJ108" s="15">
        <f t="shared" si="23"/>
        <v>1</v>
      </c>
      <c r="AK108" s="15">
        <f t="shared" si="24"/>
        <v>7</v>
      </c>
      <c r="AL108" s="14" t="str">
        <f t="shared" si="25"/>
        <v>Neg</v>
      </c>
      <c r="AM108" s="64" t="str">
        <f t="shared" si="34"/>
        <v>Aritas Vinyl Date, P</v>
      </c>
      <c r="AN108" s="87">
        <v>20</v>
      </c>
      <c r="AO108" s="16">
        <f t="shared" si="35"/>
        <v>21</v>
      </c>
      <c r="AP108" s="16">
        <f t="shared" si="28"/>
        <v>0</v>
      </c>
      <c r="AQ108" s="15">
        <v>1</v>
      </c>
      <c r="AR108" s="15">
        <f t="shared" si="29"/>
        <v>0</v>
      </c>
      <c r="AS108" s="15"/>
      <c r="AT108" s="15">
        <f t="shared" si="30"/>
        <v>600</v>
      </c>
      <c r="AZ108" s="16"/>
    </row>
    <row r="109" spans="1:60">
      <c r="A109" t="s">
        <v>185</v>
      </c>
      <c r="B109" t="s">
        <v>186</v>
      </c>
      <c r="C109" t="s">
        <v>165</v>
      </c>
      <c r="D109" s="68" t="s">
        <v>99</v>
      </c>
      <c r="E109">
        <v>13.34</v>
      </c>
      <c r="F109">
        <v>33.46</v>
      </c>
      <c r="G109" s="15">
        <f t="shared" si="32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5">
        <f t="shared" si="33"/>
        <v>8.9013563501849564</v>
      </c>
      <c r="Q109">
        <v>28.52</v>
      </c>
      <c r="R109" s="78">
        <v>93</v>
      </c>
      <c r="S109" s="85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20"/>
        <v>-0.7</v>
      </c>
      <c r="AB109">
        <v>0</v>
      </c>
      <c r="AC109" s="15">
        <f t="shared" si="31"/>
        <v>0</v>
      </c>
      <c r="AD109">
        <v>237.92</v>
      </c>
      <c r="AE109">
        <v>39.61</v>
      </c>
      <c r="AF109">
        <v>148.22</v>
      </c>
      <c r="AG109" s="85">
        <f t="shared" si="21"/>
        <v>4.0999999999999996</v>
      </c>
      <c r="AH109" s="15">
        <f t="shared" si="22"/>
        <v>4.3999999999999995</v>
      </c>
      <c r="AI109" s="15">
        <v>13</v>
      </c>
      <c r="AJ109" s="15">
        <f t="shared" si="23"/>
        <v>0.98</v>
      </c>
      <c r="AK109" s="15">
        <f t="shared" si="24"/>
        <v>9.1335999999999977</v>
      </c>
      <c r="AL109" s="14" t="str">
        <f t="shared" si="25"/>
        <v>Rec</v>
      </c>
      <c r="AM109" s="64" t="str">
        <f t="shared" si="34"/>
        <v>Digilogic Systems Da</v>
      </c>
      <c r="AN109" s="87">
        <v>22</v>
      </c>
      <c r="AO109" s="16">
        <f t="shared" si="35"/>
        <v>23</v>
      </c>
      <c r="AP109" s="16">
        <f t="shared" si="28"/>
        <v>0</v>
      </c>
      <c r="AQ109" s="15">
        <v>1</v>
      </c>
      <c r="AR109" s="15">
        <f t="shared" si="29"/>
        <v>0</v>
      </c>
      <c r="AS109" s="15"/>
      <c r="AT109" s="15">
        <f t="shared" si="30"/>
        <v>813.35999999999979</v>
      </c>
      <c r="AZ109" s="16"/>
    </row>
    <row r="110" spans="1:60" ht="17.399999999999999" customHeight="1">
      <c r="A110" t="s">
        <v>187</v>
      </c>
      <c r="B110" t="s">
        <v>188</v>
      </c>
      <c r="C110" t="s">
        <v>165</v>
      </c>
      <c r="D110" s="68" t="s">
        <v>59</v>
      </c>
      <c r="E110">
        <v>31.2</v>
      </c>
      <c r="F110">
        <v>23.88</v>
      </c>
      <c r="G110" s="15">
        <f t="shared" si="32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5">
        <f t="shared" si="33"/>
        <v>6.3595041322314056</v>
      </c>
      <c r="Q110">
        <v>17.32</v>
      </c>
      <c r="R110" s="78">
        <v>17.03</v>
      </c>
      <c r="S110" s="85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20"/>
        <v>0</v>
      </c>
      <c r="AB110">
        <v>11.85</v>
      </c>
      <c r="AC110" s="15">
        <f t="shared" si="31"/>
        <v>1.9874999999999998</v>
      </c>
      <c r="AD110">
        <v>254.84</v>
      </c>
      <c r="AE110">
        <v>13.88</v>
      </c>
      <c r="AF110">
        <v>102.72</v>
      </c>
      <c r="AG110" s="85">
        <f t="shared" si="21"/>
        <v>3.5</v>
      </c>
      <c r="AH110" s="15">
        <f t="shared" si="22"/>
        <v>7.4874999999999998</v>
      </c>
      <c r="AI110" s="15">
        <v>13</v>
      </c>
      <c r="AJ110" s="15">
        <f t="shared" si="23"/>
        <v>0.98</v>
      </c>
      <c r="AK110" s="15">
        <f t="shared" si="24"/>
        <v>11.453749999999999</v>
      </c>
      <c r="AL110" s="14" t="str">
        <f t="shared" si="25"/>
        <v>Pos</v>
      </c>
      <c r="AM110" s="64" t="str">
        <f t="shared" si="34"/>
        <v>KRM Ayurveda Date, P</v>
      </c>
      <c r="AN110" s="87">
        <v>23</v>
      </c>
      <c r="AO110" s="16">
        <f t="shared" si="35"/>
        <v>24</v>
      </c>
      <c r="AP110" s="16">
        <f t="shared" si="28"/>
        <v>0</v>
      </c>
      <c r="AQ110" s="15">
        <v>1</v>
      </c>
      <c r="AR110" s="15">
        <f t="shared" si="29"/>
        <v>0</v>
      </c>
      <c r="AS110" s="15"/>
      <c r="AT110" s="15">
        <f t="shared" si="30"/>
        <v>1045.375</v>
      </c>
      <c r="AZ110" s="16"/>
    </row>
    <row r="111" spans="1:60">
      <c r="A111" t="s">
        <v>189</v>
      </c>
      <c r="B111" t="s">
        <v>190</v>
      </c>
      <c r="C111" t="s">
        <v>165</v>
      </c>
      <c r="D111" s="68" t="s">
        <v>99</v>
      </c>
      <c r="E111">
        <v>33.58</v>
      </c>
      <c r="F111">
        <v>48.93</v>
      </c>
      <c r="G111" s="15">
        <f t="shared" si="32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5">
        <f t="shared" si="33"/>
        <v>10.804438280166437</v>
      </c>
      <c r="Q111">
        <v>16.21</v>
      </c>
      <c r="R111" s="78">
        <v>15.52</v>
      </c>
      <c r="S111" s="85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20"/>
        <v>1</v>
      </c>
      <c r="AB111">
        <v>2.85</v>
      </c>
      <c r="AC111" s="15">
        <f t="shared" si="31"/>
        <v>0.23750000000000002</v>
      </c>
      <c r="AD111">
        <v>77.150000000000006</v>
      </c>
      <c r="AE111">
        <v>22.43</v>
      </c>
      <c r="AF111">
        <v>11.38</v>
      </c>
      <c r="AG111" s="85">
        <f t="shared" si="21"/>
        <v>6.2</v>
      </c>
      <c r="AH111" s="15">
        <f t="shared" si="22"/>
        <v>8.4375</v>
      </c>
      <c r="AI111" s="15">
        <v>13</v>
      </c>
      <c r="AJ111" s="15">
        <f t="shared" si="23"/>
        <v>0.98</v>
      </c>
      <c r="AK111" s="15">
        <f t="shared" si="24"/>
        <v>15.559949999999999</v>
      </c>
      <c r="AL111" s="14" t="str">
        <f t="shared" si="25"/>
        <v>Rec</v>
      </c>
      <c r="AM111" s="64" t="str">
        <f t="shared" si="34"/>
        <v>Hannah Joseph Hospit</v>
      </c>
      <c r="AN111" s="87">
        <v>27</v>
      </c>
      <c r="AO111" s="16">
        <f t="shared" si="35"/>
        <v>28</v>
      </c>
      <c r="AP111" s="16">
        <f t="shared" si="28"/>
        <v>3</v>
      </c>
      <c r="AQ111" s="15">
        <v>1</v>
      </c>
      <c r="AR111" s="15">
        <f t="shared" si="29"/>
        <v>8.064516129032258</v>
      </c>
      <c r="AS111" s="15"/>
      <c r="AT111" s="15">
        <f t="shared" si="30"/>
        <v>1455.9949999999999</v>
      </c>
      <c r="AZ111" s="16"/>
    </row>
    <row r="112" spans="1:60">
      <c r="A112" t="s">
        <v>191</v>
      </c>
      <c r="B112" t="s">
        <v>192</v>
      </c>
      <c r="C112" t="s">
        <v>165</v>
      </c>
      <c r="D112" s="68" t="s">
        <v>59</v>
      </c>
      <c r="E112">
        <v>13.92</v>
      </c>
      <c r="F112">
        <v>9.91</v>
      </c>
      <c r="G112" s="15">
        <f t="shared" si="32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5">
        <f t="shared" si="33"/>
        <v>9.5785123966942152</v>
      </c>
      <c r="Q112">
        <v>17.03</v>
      </c>
      <c r="R112" s="78">
        <v>15.25</v>
      </c>
      <c r="S112" s="85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20"/>
        <v>0</v>
      </c>
      <c r="AB112">
        <v>0</v>
      </c>
      <c r="AC112" s="15">
        <f t="shared" si="31"/>
        <v>0</v>
      </c>
      <c r="AD112">
        <v>41.52</v>
      </c>
      <c r="AE112">
        <v>51.7</v>
      </c>
      <c r="AF112">
        <v>148.37</v>
      </c>
      <c r="AG112" s="85">
        <f t="shared" si="21"/>
        <v>4.5</v>
      </c>
      <c r="AH112" s="15">
        <f t="shared" si="22"/>
        <v>6.5</v>
      </c>
      <c r="AI112" s="15">
        <v>13</v>
      </c>
      <c r="AJ112" s="15">
        <f t="shared" si="23"/>
        <v>0.98</v>
      </c>
      <c r="AK112" s="15">
        <f t="shared" si="24"/>
        <v>11.661999999999999</v>
      </c>
      <c r="AL112" s="14" t="str">
        <f t="shared" si="25"/>
        <v>Pos</v>
      </c>
      <c r="AM112" s="64" t="str">
        <f t="shared" si="34"/>
        <v xml:space="preserve">Shayona Engineering </v>
      </c>
      <c r="AN112" s="87">
        <v>27</v>
      </c>
      <c r="AO112" s="16">
        <f t="shared" si="35"/>
        <v>28</v>
      </c>
      <c r="AP112" s="16">
        <f t="shared" si="28"/>
        <v>0</v>
      </c>
      <c r="AQ112" s="15">
        <v>1</v>
      </c>
      <c r="AR112" s="15">
        <f t="shared" si="29"/>
        <v>0</v>
      </c>
      <c r="AS112" s="15"/>
      <c r="AT112" s="15">
        <f t="shared" si="30"/>
        <v>1066.1999999999998</v>
      </c>
      <c r="AZ112" s="16"/>
    </row>
    <row r="113" spans="1:56">
      <c r="A113" t="s">
        <v>193</v>
      </c>
      <c r="B113" t="s">
        <v>194</v>
      </c>
      <c r="C113" t="s">
        <v>165</v>
      </c>
      <c r="D113" s="68" t="s">
        <v>59</v>
      </c>
      <c r="E113">
        <v>13.15</v>
      </c>
      <c r="F113">
        <v>17.760000000000002</v>
      </c>
      <c r="G113" s="15">
        <f t="shared" si="32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5">
        <f t="shared" si="33"/>
        <v>27.642512077294686</v>
      </c>
      <c r="Q113">
        <v>23.59</v>
      </c>
      <c r="R113" s="78">
        <v>13.47</v>
      </c>
      <c r="S113" s="85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20"/>
        <v>1</v>
      </c>
      <c r="AB113">
        <v>0</v>
      </c>
      <c r="AC113" s="15">
        <f t="shared" si="31"/>
        <v>0</v>
      </c>
      <c r="AD113">
        <v>-11.91</v>
      </c>
      <c r="AE113">
        <v>13.98</v>
      </c>
      <c r="AF113">
        <v>44.51</v>
      </c>
      <c r="AG113" s="85">
        <f t="shared" si="21"/>
        <v>3.7</v>
      </c>
      <c r="AH113" s="15">
        <f t="shared" si="22"/>
        <v>6.7</v>
      </c>
      <c r="AI113" s="15">
        <v>13</v>
      </c>
      <c r="AJ113" s="15">
        <f t="shared" si="23"/>
        <v>0.98</v>
      </c>
      <c r="AK113" s="15">
        <f t="shared" si="24"/>
        <v>10.917200000000001</v>
      </c>
      <c r="AL113" s="14" t="str">
        <f t="shared" si="25"/>
        <v>Pos</v>
      </c>
      <c r="AM113" s="64" t="str">
        <f t="shared" si="34"/>
        <v>Kasturi Metal Compos</v>
      </c>
      <c r="AN113" s="87">
        <v>29</v>
      </c>
      <c r="AO113" s="16">
        <f t="shared" si="35"/>
        <v>30</v>
      </c>
      <c r="AP113" s="16">
        <f t="shared" si="28"/>
        <v>0</v>
      </c>
      <c r="AQ113" s="15">
        <v>1</v>
      </c>
      <c r="AR113" s="15">
        <f t="shared" si="29"/>
        <v>0</v>
      </c>
      <c r="AS113" s="15"/>
      <c r="AT113" s="15">
        <f t="shared" si="30"/>
        <v>991.72000000000014</v>
      </c>
      <c r="AZ113" s="16"/>
    </row>
    <row r="114" spans="1:56" ht="14.4" customHeight="1">
      <c r="A114" t="s">
        <v>195</v>
      </c>
      <c r="B114" t="s">
        <v>196</v>
      </c>
      <c r="C114" t="s">
        <v>165</v>
      </c>
      <c r="D114" s="68" t="s">
        <v>82</v>
      </c>
      <c r="E114">
        <v>22.74</v>
      </c>
      <c r="F114">
        <v>16.57</v>
      </c>
      <c r="G114" s="15">
        <f t="shared" si="32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5">
        <f t="shared" si="33"/>
        <v>19.779605263157894</v>
      </c>
      <c r="Q114">
        <v>22.66</v>
      </c>
      <c r="R114" s="78">
        <v>19.03</v>
      </c>
      <c r="S114" s="85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20"/>
        <v>-1.7</v>
      </c>
      <c r="AB114">
        <v>9.59</v>
      </c>
      <c r="AC114" s="15">
        <f t="shared" si="31"/>
        <v>1.7991666666666668</v>
      </c>
      <c r="AD114">
        <v>100</v>
      </c>
      <c r="AE114">
        <v>0.99</v>
      </c>
      <c r="AF114">
        <v>22.47</v>
      </c>
      <c r="AG114" s="85">
        <f t="shared" si="21"/>
        <v>0.5</v>
      </c>
      <c r="AH114" s="15">
        <f t="shared" si="22"/>
        <v>0.59916666666666685</v>
      </c>
      <c r="AI114" s="15">
        <v>13</v>
      </c>
      <c r="AJ114" s="15">
        <f t="shared" si="23"/>
        <v>0.98</v>
      </c>
      <c r="AK114" s="15">
        <f t="shared" si="24"/>
        <v>1.1751833333333335</v>
      </c>
      <c r="AL114" s="14" t="str">
        <f t="shared" si="25"/>
        <v>Neg</v>
      </c>
      <c r="AM114" s="64" t="str">
        <f t="shared" si="34"/>
        <v>Kanishk Aluminium In</v>
      </c>
      <c r="AN114" s="87">
        <v>30</v>
      </c>
      <c r="AO114" s="16">
        <f t="shared" si="35"/>
        <v>31</v>
      </c>
      <c r="AP114" s="16">
        <f t="shared" si="28"/>
        <v>0</v>
      </c>
      <c r="AQ114" s="15">
        <v>1</v>
      </c>
      <c r="AR114" s="15">
        <f t="shared" si="29"/>
        <v>0</v>
      </c>
      <c r="AS114" s="15"/>
      <c r="AT114" s="15">
        <f t="shared" si="30"/>
        <v>17.518333333333345</v>
      </c>
      <c r="AZ114" s="16"/>
    </row>
    <row r="115" spans="1:56" ht="12" customHeight="1">
      <c r="A115" t="s">
        <v>197</v>
      </c>
      <c r="B115" t="s">
        <v>198</v>
      </c>
      <c r="C115" t="s">
        <v>165</v>
      </c>
      <c r="D115" s="68" t="s">
        <v>59</v>
      </c>
      <c r="E115">
        <v>32.56</v>
      </c>
      <c r="F115">
        <v>25.65</v>
      </c>
      <c r="G115" s="15">
        <f t="shared" si="32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5">
        <f t="shared" si="33"/>
        <v>5.5049961568024601</v>
      </c>
      <c r="Q115">
        <v>15.12</v>
      </c>
      <c r="R115" s="78">
        <v>11.95</v>
      </c>
      <c r="S115" s="85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20"/>
        <v>1</v>
      </c>
      <c r="AB115">
        <v>20.329999999999998</v>
      </c>
      <c r="AC115" s="15">
        <f t="shared" si="31"/>
        <v>2.6941666666666668</v>
      </c>
      <c r="AD115">
        <v>98.63</v>
      </c>
      <c r="AE115">
        <v>48.16</v>
      </c>
      <c r="AF115">
        <v>102.93</v>
      </c>
      <c r="AG115" s="85">
        <f t="shared" si="21"/>
        <v>4.5</v>
      </c>
      <c r="AH115" s="15">
        <f t="shared" si="22"/>
        <v>10.194166666666668</v>
      </c>
      <c r="AI115" s="15">
        <v>13</v>
      </c>
      <c r="AJ115" s="15">
        <f t="shared" si="23"/>
        <v>0.98</v>
      </c>
      <c r="AK115" s="15">
        <f t="shared" si="24"/>
        <v>15.282283333333332</v>
      </c>
      <c r="AL115" s="14" t="str">
        <f t="shared" si="25"/>
        <v>Pos</v>
      </c>
      <c r="AM115" s="64" t="str">
        <f t="shared" si="34"/>
        <v>Msafe Equipments Dat</v>
      </c>
      <c r="AN115" s="87">
        <v>30</v>
      </c>
      <c r="AO115" s="16">
        <f t="shared" si="35"/>
        <v>31</v>
      </c>
      <c r="AP115" s="16">
        <f t="shared" si="28"/>
        <v>1</v>
      </c>
      <c r="AQ115" s="15">
        <v>1</v>
      </c>
      <c r="AR115" s="15">
        <f t="shared" si="29"/>
        <v>0.25251521550117995</v>
      </c>
      <c r="AS115" s="15"/>
      <c r="AT115" s="15">
        <f t="shared" si="30"/>
        <v>1428.2283333333332</v>
      </c>
      <c r="AZ115" s="16"/>
    </row>
    <row r="116" spans="1:56">
      <c r="A116" t="s">
        <v>199</v>
      </c>
      <c r="B116" t="s">
        <v>200</v>
      </c>
      <c r="C116" t="s">
        <v>165</v>
      </c>
      <c r="D116" s="68" t="s">
        <v>59</v>
      </c>
      <c r="E116">
        <v>3.86</v>
      </c>
      <c r="F116">
        <v>5.35</v>
      </c>
      <c r="G116" s="15">
        <f t="shared" si="32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5">
        <f t="shared" si="33"/>
        <v>6.1532567049808424</v>
      </c>
      <c r="Q116">
        <v>26.27</v>
      </c>
      <c r="R116" s="78">
        <v>20.02</v>
      </c>
      <c r="S116" s="85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20"/>
        <v>1</v>
      </c>
      <c r="AB116">
        <v>0</v>
      </c>
      <c r="AC116" s="15">
        <f t="shared" si="31"/>
        <v>0</v>
      </c>
      <c r="AD116">
        <v>218.29</v>
      </c>
      <c r="AE116">
        <v>208.85</v>
      </c>
      <c r="AF116">
        <v>395.37</v>
      </c>
      <c r="AG116" s="85">
        <f t="shared" si="21"/>
        <v>6.2</v>
      </c>
      <c r="AH116" s="15">
        <f t="shared" si="22"/>
        <v>8.1999999999999993</v>
      </c>
      <c r="AI116" s="15">
        <v>13</v>
      </c>
      <c r="AJ116" s="15">
        <f t="shared" si="23"/>
        <v>0.98</v>
      </c>
      <c r="AK116" s="15">
        <f t="shared" si="24"/>
        <v>15.327199999999998</v>
      </c>
      <c r="AL116" s="14" t="str">
        <f t="shared" si="25"/>
        <v>Pos</v>
      </c>
      <c r="AM116" s="64" t="str">
        <f t="shared" si="34"/>
        <v xml:space="preserve">Accretion Nutraveda </v>
      </c>
      <c r="AN116" s="87">
        <v>30</v>
      </c>
      <c r="AO116" s="16">
        <f t="shared" si="35"/>
        <v>31</v>
      </c>
      <c r="AP116" s="16">
        <f t="shared" si="28"/>
        <v>3</v>
      </c>
      <c r="AQ116" s="15">
        <v>1</v>
      </c>
      <c r="AR116" s="15">
        <f t="shared" si="29"/>
        <v>5.882352941176471</v>
      </c>
      <c r="AS116" s="15"/>
      <c r="AT116" s="15">
        <f t="shared" si="30"/>
        <v>1432.7199999999998</v>
      </c>
      <c r="AZ116" s="16"/>
    </row>
    <row r="117" spans="1:56">
      <c r="A117" t="s">
        <v>201</v>
      </c>
      <c r="B117" t="s">
        <v>202</v>
      </c>
      <c r="C117" t="s">
        <v>165</v>
      </c>
      <c r="D117" s="68" t="s">
        <v>59</v>
      </c>
      <c r="E117">
        <v>0</v>
      </c>
      <c r="F117">
        <v>42.53</v>
      </c>
      <c r="G117" s="15">
        <f t="shared" si="32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5">
        <f t="shared" si="33"/>
        <v>18.450488997555013</v>
      </c>
      <c r="Q117">
        <v>14.9</v>
      </c>
      <c r="R117" s="78">
        <v>18.38</v>
      </c>
      <c r="S117" s="85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20"/>
        <v>-0.7</v>
      </c>
      <c r="AB117">
        <v>0</v>
      </c>
      <c r="AC117" s="15">
        <f t="shared" si="31"/>
        <v>0</v>
      </c>
      <c r="AD117">
        <v>29.12</v>
      </c>
      <c r="AE117">
        <v>29.36</v>
      </c>
      <c r="AF117">
        <v>62.51</v>
      </c>
      <c r="AG117" s="85">
        <f t="shared" si="21"/>
        <v>3.5999999999999996</v>
      </c>
      <c r="AH117" s="15">
        <f t="shared" si="22"/>
        <v>3.8999999999999995</v>
      </c>
      <c r="AI117" s="15">
        <v>12</v>
      </c>
      <c r="AJ117" s="15">
        <f t="shared" si="23"/>
        <v>1</v>
      </c>
      <c r="AK117" s="15">
        <f t="shared" si="24"/>
        <v>8.2199999999999989</v>
      </c>
      <c r="AL117" s="14" t="str">
        <f t="shared" si="25"/>
        <v>Pos</v>
      </c>
      <c r="AM117" s="64" t="str">
        <f t="shared" si="34"/>
        <v>CKK Retail Mart Date</v>
      </c>
      <c r="AN117" s="88">
        <v>3</v>
      </c>
      <c r="AO117" s="16">
        <f t="shared" si="35"/>
        <v>4</v>
      </c>
      <c r="AP117" s="16">
        <f t="shared" si="28"/>
        <v>0</v>
      </c>
      <c r="AQ117" s="15">
        <v>1</v>
      </c>
      <c r="AR117" s="15">
        <f t="shared" si="29"/>
        <v>0</v>
      </c>
      <c r="AS117" s="63" t="s">
        <v>203</v>
      </c>
      <c r="AT117" s="15">
        <f t="shared" si="30"/>
        <v>721.99999999999989</v>
      </c>
      <c r="AZ117" s="99"/>
      <c r="BA117" s="109"/>
      <c r="BB117" s="109"/>
      <c r="BC117" s="109"/>
      <c r="BD117" s="109"/>
    </row>
    <row r="118" spans="1:56" ht="17.399999999999999" customHeight="1">
      <c r="A118" t="s">
        <v>204</v>
      </c>
      <c r="B118" t="s">
        <v>205</v>
      </c>
      <c r="C118" t="s">
        <v>165</v>
      </c>
      <c r="D118" s="68" t="s">
        <v>59</v>
      </c>
      <c r="E118">
        <v>11.87</v>
      </c>
      <c r="F118">
        <v>29.79</v>
      </c>
      <c r="G118" s="15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5">
        <v>6.51</v>
      </c>
      <c r="Q118">
        <v>11.39</v>
      </c>
      <c r="R118" s="78">
        <v>12.38</v>
      </c>
      <c r="S118" s="85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20"/>
        <v>1</v>
      </c>
      <c r="AB118">
        <v>15.91</v>
      </c>
      <c r="AC118" s="15">
        <f t="shared" si="31"/>
        <v>2.3258333333333336</v>
      </c>
      <c r="AD118">
        <v>153.33000000000001</v>
      </c>
      <c r="AE118">
        <v>10.37</v>
      </c>
      <c r="AF118">
        <v>236.99</v>
      </c>
      <c r="AG118" s="85">
        <f t="shared" si="21"/>
        <v>6.6</v>
      </c>
      <c r="AH118" s="15">
        <f t="shared" si="22"/>
        <v>11.925833333333333</v>
      </c>
      <c r="AI118" s="15">
        <v>12</v>
      </c>
      <c r="AJ118" s="15">
        <f t="shared" si="23"/>
        <v>1</v>
      </c>
      <c r="AK118" s="15">
        <f t="shared" si="24"/>
        <v>19.845833333333331</v>
      </c>
      <c r="AL118" s="14" t="str">
        <f t="shared" si="25"/>
        <v>Pos</v>
      </c>
      <c r="AM118" s="64" t="s">
        <v>205</v>
      </c>
      <c r="AN118" s="88">
        <v>6</v>
      </c>
      <c r="AO118" s="16">
        <f t="shared" si="35"/>
        <v>7</v>
      </c>
      <c r="AP118" s="16">
        <f t="shared" si="28"/>
        <v>1</v>
      </c>
      <c r="AQ118" s="15">
        <v>1</v>
      </c>
      <c r="AR118" s="15">
        <f t="shared" si="29"/>
        <v>0.17087316077757492</v>
      </c>
      <c r="AS118" s="15"/>
      <c r="AT118" s="15">
        <f t="shared" si="30"/>
        <v>1884.583333333333</v>
      </c>
      <c r="AZ118" s="16"/>
    </row>
    <row r="119" spans="1:56">
      <c r="A119" t="s">
        <v>206</v>
      </c>
      <c r="B119" t="s">
        <v>207</v>
      </c>
      <c r="C119" t="s">
        <v>165</v>
      </c>
      <c r="D119" s="68" t="s">
        <v>59</v>
      </c>
      <c r="E119">
        <v>9.34</v>
      </c>
      <c r="F119">
        <v>16.690000000000001</v>
      </c>
      <c r="G119" s="15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5">
        <v>60.49</v>
      </c>
      <c r="Q119">
        <v>12.31</v>
      </c>
      <c r="R119" s="78">
        <v>7.12</v>
      </c>
      <c r="S119" s="85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20"/>
        <v>0</v>
      </c>
      <c r="AB119">
        <v>3.4</v>
      </c>
      <c r="AC119" s="15">
        <f t="shared" si="31"/>
        <v>0.28333333333333333</v>
      </c>
      <c r="AD119">
        <v>174.1</v>
      </c>
      <c r="AE119">
        <v>78.66</v>
      </c>
      <c r="AF119">
        <v>84.01</v>
      </c>
      <c r="AG119" s="85">
        <f t="shared" si="21"/>
        <v>6.4</v>
      </c>
      <c r="AH119" s="15">
        <f t="shared" si="22"/>
        <v>8.6833333333333336</v>
      </c>
      <c r="AI119" s="15">
        <v>12</v>
      </c>
      <c r="AJ119" s="15">
        <f t="shared" si="23"/>
        <v>1</v>
      </c>
      <c r="AK119" s="15">
        <f t="shared" si="24"/>
        <v>16.363333333333333</v>
      </c>
      <c r="AL119" s="14" t="str">
        <f t="shared" si="25"/>
        <v>Pos</v>
      </c>
      <c r="AM119" s="64" t="s">
        <v>207</v>
      </c>
      <c r="AN119" s="108">
        <v>6</v>
      </c>
      <c r="AO119" s="16">
        <f t="shared" si="35"/>
        <v>7</v>
      </c>
      <c r="AP119" s="99">
        <f t="shared" si="28"/>
        <v>2</v>
      </c>
      <c r="AQ119" s="15">
        <v>1</v>
      </c>
      <c r="AR119" s="15">
        <f t="shared" si="29"/>
        <v>0.66666666666666663</v>
      </c>
      <c r="AS119" s="15">
        <v>1</v>
      </c>
      <c r="AT119" s="15">
        <f t="shared" si="30"/>
        <v>1536.3333333333333</v>
      </c>
      <c r="AZ119" s="99"/>
      <c r="BA119" s="109"/>
      <c r="BB119" s="109"/>
      <c r="BC119" s="109"/>
      <c r="BD119" s="109"/>
    </row>
    <row r="120" spans="1:56">
      <c r="A120" t="s">
        <v>208</v>
      </c>
      <c r="B120" t="s">
        <v>209</v>
      </c>
      <c r="C120" t="s">
        <v>165</v>
      </c>
      <c r="D120" s="68" t="s">
        <v>82</v>
      </c>
      <c r="E120">
        <v>0</v>
      </c>
      <c r="F120">
        <v>18.260000000000002</v>
      </c>
      <c r="G120" s="15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5">
        <v>56.51</v>
      </c>
      <c r="Q120">
        <v>8.41</v>
      </c>
      <c r="R120" s="78">
        <v>7.31</v>
      </c>
      <c r="S120" s="85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20"/>
        <v>1</v>
      </c>
      <c r="AB120">
        <v>0</v>
      </c>
      <c r="AC120" s="15">
        <f t="shared" si="31"/>
        <v>0</v>
      </c>
      <c r="AD120">
        <v>19.52</v>
      </c>
      <c r="AE120">
        <v>0.63</v>
      </c>
      <c r="AF120">
        <v>30.06</v>
      </c>
      <c r="AG120" s="85">
        <f t="shared" si="21"/>
        <v>4.0999999999999996</v>
      </c>
      <c r="AH120" s="15">
        <f t="shared" si="22"/>
        <v>7.1</v>
      </c>
      <c r="AI120" s="15">
        <v>12</v>
      </c>
      <c r="AJ120" s="15">
        <f t="shared" si="23"/>
        <v>1</v>
      </c>
      <c r="AK120" s="15">
        <f t="shared" si="24"/>
        <v>12.02</v>
      </c>
      <c r="AL120" s="14" t="str">
        <f t="shared" si="25"/>
        <v>Neg</v>
      </c>
      <c r="AM120" s="64" t="s">
        <v>209</v>
      </c>
      <c r="AN120" s="88">
        <v>10</v>
      </c>
      <c r="AO120" s="16">
        <f t="shared" si="35"/>
        <v>11</v>
      </c>
      <c r="AP120" s="16">
        <f t="shared" si="28"/>
        <v>0</v>
      </c>
      <c r="AQ120" s="15">
        <v>1</v>
      </c>
      <c r="AR120" s="15">
        <f t="shared" si="29"/>
        <v>0</v>
      </c>
      <c r="AS120" s="15"/>
      <c r="AT120" s="15">
        <f t="shared" si="30"/>
        <v>1102</v>
      </c>
      <c r="AZ120" s="16"/>
    </row>
    <row r="121" spans="1:56">
      <c r="A121" t="s">
        <v>210</v>
      </c>
      <c r="B121" t="s">
        <v>211</v>
      </c>
      <c r="C121" t="s">
        <v>165</v>
      </c>
      <c r="D121" s="68" t="s">
        <v>82</v>
      </c>
      <c r="E121">
        <v>7.69</v>
      </c>
      <c r="F121">
        <v>13.53</v>
      </c>
      <c r="G121" s="15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5">
        <v>11.35</v>
      </c>
      <c r="Q121">
        <v>19.73</v>
      </c>
      <c r="R121" s="78">
        <v>14.58</v>
      </c>
      <c r="S121" s="85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20"/>
        <v>1</v>
      </c>
      <c r="AB121">
        <v>2.78</v>
      </c>
      <c r="AC121" s="15">
        <f t="shared" si="31"/>
        <v>0.23166666666666666</v>
      </c>
      <c r="AD121">
        <v>46.28</v>
      </c>
      <c r="AE121">
        <v>181.99</v>
      </c>
      <c r="AF121">
        <v>47.07</v>
      </c>
      <c r="AG121" s="85">
        <f t="shared" si="21"/>
        <v>3.9</v>
      </c>
      <c r="AH121" s="15">
        <f t="shared" si="22"/>
        <v>7.1316666666666668</v>
      </c>
      <c r="AI121" s="15">
        <v>12</v>
      </c>
      <c r="AJ121" s="15">
        <f t="shared" si="23"/>
        <v>1</v>
      </c>
      <c r="AK121" s="15">
        <f t="shared" si="24"/>
        <v>11.811666666666667</v>
      </c>
      <c r="AL121" s="14" t="str">
        <f t="shared" si="25"/>
        <v>Neg</v>
      </c>
      <c r="AM121" s="64" t="s">
        <v>211</v>
      </c>
      <c r="AN121" s="88">
        <v>10</v>
      </c>
      <c r="AO121" s="16">
        <f t="shared" si="35"/>
        <v>11</v>
      </c>
      <c r="AP121" s="16">
        <f t="shared" si="28"/>
        <v>0</v>
      </c>
      <c r="AQ121" s="15">
        <v>1</v>
      </c>
      <c r="AR121" s="15">
        <f t="shared" si="29"/>
        <v>0</v>
      </c>
      <c r="AS121" s="15"/>
      <c r="AT121" s="15">
        <f t="shared" si="30"/>
        <v>1081.1666666666667</v>
      </c>
      <c r="AZ121" s="16"/>
    </row>
    <row r="122" spans="1:56">
      <c r="A122" t="s">
        <v>212</v>
      </c>
      <c r="B122" t="s">
        <v>213</v>
      </c>
      <c r="C122" t="s">
        <v>165</v>
      </c>
      <c r="D122" s="68" t="s">
        <v>59</v>
      </c>
      <c r="E122">
        <v>21.37</v>
      </c>
      <c r="F122">
        <v>15.37</v>
      </c>
      <c r="G122" s="15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5">
        <v>13.61</v>
      </c>
      <c r="Q122">
        <v>11.6</v>
      </c>
      <c r="R122" s="78">
        <v>15.91</v>
      </c>
      <c r="S122" s="85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20"/>
        <v>0</v>
      </c>
      <c r="AB122">
        <v>0</v>
      </c>
      <c r="AC122" s="15">
        <f t="shared" si="31"/>
        <v>0</v>
      </c>
      <c r="AD122">
        <v>100.32</v>
      </c>
      <c r="AE122">
        <v>40.770000000000003</v>
      </c>
      <c r="AF122">
        <v>81.89</v>
      </c>
      <c r="AG122" s="85">
        <f t="shared" si="21"/>
        <v>3.5</v>
      </c>
      <c r="AH122" s="15">
        <f t="shared" si="22"/>
        <v>4.5</v>
      </c>
      <c r="AI122" s="15">
        <v>13</v>
      </c>
      <c r="AJ122" s="15">
        <f t="shared" si="23"/>
        <v>0.98</v>
      </c>
      <c r="AK122" s="15">
        <f t="shared" si="24"/>
        <v>8.5259999999999998</v>
      </c>
      <c r="AL122" s="14" t="str">
        <f t="shared" si="25"/>
        <v>Pos</v>
      </c>
      <c r="AM122" s="64" t="s">
        <v>213</v>
      </c>
      <c r="AN122" s="88">
        <v>16</v>
      </c>
      <c r="AO122" s="16">
        <f t="shared" si="35"/>
        <v>17</v>
      </c>
      <c r="AP122" s="16">
        <f t="shared" si="28"/>
        <v>0</v>
      </c>
      <c r="AQ122" s="15">
        <v>1</v>
      </c>
      <c r="AR122" s="15">
        <f t="shared" si="29"/>
        <v>0</v>
      </c>
      <c r="AS122" s="15"/>
      <c r="AT122" s="15">
        <f t="shared" si="30"/>
        <v>752.6</v>
      </c>
      <c r="AZ122" s="16"/>
    </row>
    <row r="123" spans="1:56">
      <c r="A123" t="s">
        <v>214</v>
      </c>
      <c r="B123" t="s">
        <v>215</v>
      </c>
      <c r="C123" t="s">
        <v>165</v>
      </c>
      <c r="D123" s="68" t="s">
        <v>59</v>
      </c>
      <c r="E123">
        <v>27.61</v>
      </c>
      <c r="F123">
        <v>15.7</v>
      </c>
      <c r="G123" s="15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5">
        <v>11.34</v>
      </c>
      <c r="Q123">
        <v>15.99</v>
      </c>
      <c r="R123" s="78">
        <v>12.5</v>
      </c>
      <c r="S123" s="85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20"/>
        <v>1</v>
      </c>
      <c r="AB123">
        <v>0</v>
      </c>
      <c r="AC123" s="15">
        <f t="shared" si="31"/>
        <v>0</v>
      </c>
      <c r="AD123">
        <v>232.16</v>
      </c>
      <c r="AE123">
        <v>70.989999999999995</v>
      </c>
      <c r="AF123">
        <v>92.4</v>
      </c>
      <c r="AG123" s="85">
        <f t="shared" si="21"/>
        <v>5.4</v>
      </c>
      <c r="AH123" s="15">
        <f t="shared" si="22"/>
        <v>8.4</v>
      </c>
      <c r="AI123" s="15">
        <v>13</v>
      </c>
      <c r="AJ123" s="15">
        <f t="shared" si="23"/>
        <v>0.98</v>
      </c>
      <c r="AK123" s="15">
        <f t="shared" si="24"/>
        <v>14.5824</v>
      </c>
      <c r="AL123" s="14" t="str">
        <f t="shared" si="25"/>
        <v>Pos</v>
      </c>
      <c r="AM123" s="64" t="s">
        <v>215</v>
      </c>
      <c r="AN123" s="88">
        <v>18</v>
      </c>
      <c r="AO123" s="16">
        <f t="shared" si="35"/>
        <v>19</v>
      </c>
      <c r="AP123" s="16">
        <f t="shared" si="28"/>
        <v>3</v>
      </c>
      <c r="AQ123" s="15">
        <v>1</v>
      </c>
      <c r="AR123" s="16">
        <f t="shared" si="29"/>
        <v>2.4449877750611249</v>
      </c>
      <c r="AS123" s="16"/>
      <c r="AT123" s="15">
        <f t="shared" si="30"/>
        <v>1358.24</v>
      </c>
      <c r="AZ123" s="16"/>
    </row>
    <row r="124" spans="1:56">
      <c r="A124" t="s">
        <v>216</v>
      </c>
      <c r="B124" t="s">
        <v>217</v>
      </c>
      <c r="C124" t="s">
        <v>165</v>
      </c>
      <c r="D124" s="68" t="s">
        <v>82</v>
      </c>
      <c r="E124">
        <v>43.85</v>
      </c>
      <c r="F124">
        <v>19.62</v>
      </c>
      <c r="G124" s="15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5">
        <v>28.09</v>
      </c>
      <c r="Q124">
        <v>14.26</v>
      </c>
      <c r="R124" s="78">
        <v>17.510000000000002</v>
      </c>
      <c r="S124" s="85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20"/>
        <v>1</v>
      </c>
      <c r="AB124">
        <v>0</v>
      </c>
      <c r="AC124" s="15">
        <f t="shared" si="31"/>
        <v>0</v>
      </c>
      <c r="AD124">
        <v>923.89</v>
      </c>
      <c r="AE124">
        <v>448.46</v>
      </c>
      <c r="AF124">
        <v>143.72999999999999</v>
      </c>
      <c r="AG124" s="85">
        <f t="shared" si="21"/>
        <v>1.5</v>
      </c>
      <c r="AH124" s="15">
        <f t="shared" si="22"/>
        <v>2.5</v>
      </c>
      <c r="AI124" s="15">
        <v>14</v>
      </c>
      <c r="AJ124" s="15">
        <f t="shared" si="23"/>
        <v>0.98</v>
      </c>
      <c r="AK124" s="15">
        <f t="shared" si="24"/>
        <v>4.2139999999999995</v>
      </c>
      <c r="AL124" s="14" t="str">
        <f t="shared" si="25"/>
        <v>Neg</v>
      </c>
      <c r="AM124" s="64" t="s">
        <v>217</v>
      </c>
      <c r="AN124" s="88">
        <v>20</v>
      </c>
      <c r="AO124" s="16">
        <v>23</v>
      </c>
      <c r="AP124" s="16">
        <f t="shared" si="28"/>
        <v>0</v>
      </c>
      <c r="AQ124" s="15">
        <v>1</v>
      </c>
      <c r="AR124" s="16">
        <f t="shared" si="29"/>
        <v>0</v>
      </c>
      <c r="AS124" s="16"/>
      <c r="AT124" s="15">
        <f t="shared" si="30"/>
        <v>321.39999999999998</v>
      </c>
      <c r="AZ124" s="16"/>
    </row>
    <row r="125" spans="1:56">
      <c r="A125" t="s">
        <v>218</v>
      </c>
      <c r="B125" t="s">
        <v>219</v>
      </c>
      <c r="C125" t="s">
        <v>165</v>
      </c>
      <c r="D125" s="68" t="s">
        <v>82</v>
      </c>
      <c r="E125">
        <v>62.44</v>
      </c>
      <c r="F125">
        <v>33.869999999999997</v>
      </c>
      <c r="G125" s="15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5">
        <v>19.260000000000002</v>
      </c>
      <c r="Q125">
        <v>16.04</v>
      </c>
      <c r="R125" s="78">
        <v>23.85</v>
      </c>
      <c r="S125" s="85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20"/>
        <v>0</v>
      </c>
      <c r="AB125">
        <v>0</v>
      </c>
      <c r="AC125" s="15">
        <f t="shared" si="31"/>
        <v>0</v>
      </c>
      <c r="AD125">
        <v>138.06</v>
      </c>
      <c r="AE125">
        <v>2.98</v>
      </c>
      <c r="AF125">
        <v>28.39</v>
      </c>
      <c r="AG125" s="85">
        <f t="shared" si="21"/>
        <v>0.5</v>
      </c>
      <c r="AH125" s="15">
        <f t="shared" si="22"/>
        <v>1.5</v>
      </c>
      <c r="AI125" s="15">
        <v>14</v>
      </c>
      <c r="AJ125" s="15">
        <f t="shared" si="23"/>
        <v>0.98</v>
      </c>
      <c r="AK125" s="15">
        <f t="shared" si="24"/>
        <v>2.0579999999999998</v>
      </c>
      <c r="AL125" s="14" t="str">
        <f t="shared" si="25"/>
        <v>Neg</v>
      </c>
      <c r="AM125" s="64" t="s">
        <v>219</v>
      </c>
      <c r="AN125" s="88">
        <v>24</v>
      </c>
      <c r="AO125" s="16">
        <v>25</v>
      </c>
      <c r="AP125" s="16">
        <f t="shared" si="28"/>
        <v>0</v>
      </c>
      <c r="AQ125" s="15">
        <v>1</v>
      </c>
      <c r="AR125" s="16">
        <f t="shared" si="29"/>
        <v>0</v>
      </c>
      <c r="AS125" s="16"/>
      <c r="AT125" s="15">
        <f t="shared" si="30"/>
        <v>105.79999999999998</v>
      </c>
      <c r="AZ125" s="16"/>
    </row>
    <row r="126" spans="1:56" ht="15" customHeight="1">
      <c r="A126" t="s">
        <v>220</v>
      </c>
      <c r="B126" t="s">
        <v>221</v>
      </c>
      <c r="C126" t="s">
        <v>165</v>
      </c>
      <c r="D126" s="68" t="s">
        <v>82</v>
      </c>
      <c r="E126">
        <v>28.67</v>
      </c>
      <c r="F126">
        <v>40.67</v>
      </c>
      <c r="G126" s="15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5">
        <v>14.4</v>
      </c>
      <c r="Q126">
        <v>19.309999999999999</v>
      </c>
      <c r="R126" s="78">
        <v>17.440000000000001</v>
      </c>
      <c r="S126" s="85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20"/>
        <v>-0.7</v>
      </c>
      <c r="AB126">
        <v>6</v>
      </c>
      <c r="AC126" s="15">
        <f t="shared" si="31"/>
        <v>1.5</v>
      </c>
      <c r="AD126">
        <v>45.99</v>
      </c>
      <c r="AE126">
        <v>41.68</v>
      </c>
      <c r="AF126">
        <v>219.98</v>
      </c>
      <c r="AG126" s="85">
        <f t="shared" si="21"/>
        <v>3.3000000000000003</v>
      </c>
      <c r="AH126" s="15">
        <f t="shared" si="22"/>
        <v>6.1000000000000005</v>
      </c>
      <c r="AI126" s="15">
        <v>13</v>
      </c>
      <c r="AJ126" s="15">
        <f t="shared" si="23"/>
        <v>0.98</v>
      </c>
      <c r="AK126" s="15">
        <f t="shared" si="24"/>
        <v>9.8588000000000005</v>
      </c>
      <c r="AL126" s="14" t="str">
        <f t="shared" si="25"/>
        <v>Neg</v>
      </c>
      <c r="AM126" s="64" t="s">
        <v>221</v>
      </c>
      <c r="AN126" s="88">
        <v>25</v>
      </c>
      <c r="AO126" s="16">
        <v>26</v>
      </c>
      <c r="AP126" s="16">
        <f t="shared" si="28"/>
        <v>0</v>
      </c>
      <c r="AQ126" s="15">
        <v>1</v>
      </c>
      <c r="AR126" s="16">
        <f t="shared" si="29"/>
        <v>0</v>
      </c>
      <c r="AS126" s="16"/>
      <c r="AT126" s="15">
        <f t="shared" si="30"/>
        <v>885.88</v>
      </c>
      <c r="AZ126" s="16"/>
    </row>
    <row r="127" spans="1:56" ht="15" customHeight="1">
      <c r="A127" t="s">
        <v>222</v>
      </c>
      <c r="B127" t="s">
        <v>223</v>
      </c>
      <c r="C127" t="s">
        <v>165</v>
      </c>
      <c r="D127" s="68" t="s">
        <v>82</v>
      </c>
      <c r="E127">
        <v>0.11</v>
      </c>
      <c r="F127">
        <v>8.26</v>
      </c>
      <c r="G127" s="15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5">
        <v>3.45</v>
      </c>
      <c r="Q127">
        <v>11.88</v>
      </c>
      <c r="R127" s="78">
        <v>14.22</v>
      </c>
      <c r="S127" s="85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20"/>
        <v>0</v>
      </c>
      <c r="AB127">
        <v>8.75</v>
      </c>
      <c r="AC127" s="15">
        <f t="shared" si="31"/>
        <v>1.7291666666666665</v>
      </c>
      <c r="AD127">
        <v>51.94</v>
      </c>
      <c r="AE127">
        <v>33.880000000000003</v>
      </c>
      <c r="AF127">
        <v>130.72999999999999</v>
      </c>
      <c r="AG127" s="85">
        <f t="shared" si="21"/>
        <v>7.6</v>
      </c>
      <c r="AH127" s="15">
        <f t="shared" si="22"/>
        <v>11.329166666666666</v>
      </c>
      <c r="AI127" s="15">
        <v>13</v>
      </c>
      <c r="AJ127" s="15">
        <f t="shared" si="23"/>
        <v>0.98</v>
      </c>
      <c r="AK127" s="15">
        <f t="shared" si="24"/>
        <v>13.026119166666664</v>
      </c>
      <c r="AL127" s="14" t="str">
        <f t="shared" si="25"/>
        <v>Neg</v>
      </c>
      <c r="AM127" s="64" t="s">
        <v>223</v>
      </c>
      <c r="AN127" s="88">
        <v>25</v>
      </c>
      <c r="AO127" s="16">
        <v>26</v>
      </c>
      <c r="AP127" s="16">
        <f t="shared" si="28"/>
        <v>0</v>
      </c>
      <c r="AQ127" s="15">
        <v>0.65</v>
      </c>
      <c r="AR127" s="16">
        <f t="shared" si="29"/>
        <v>0</v>
      </c>
      <c r="AS127" s="16"/>
      <c r="AT127" s="15">
        <f t="shared" si="30"/>
        <v>1904.0183333333327</v>
      </c>
      <c r="AZ127" s="16"/>
    </row>
    <row r="128" spans="1:56" ht="15.6" customHeight="1">
      <c r="A128" t="s">
        <v>224</v>
      </c>
      <c r="B128" t="s">
        <v>225</v>
      </c>
      <c r="C128" t="s">
        <v>165</v>
      </c>
      <c r="D128" s="68" t="s">
        <v>59</v>
      </c>
      <c r="E128">
        <v>11.81</v>
      </c>
      <c r="F128">
        <v>21.54</v>
      </c>
      <c r="G128" s="15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5">
        <v>13.09</v>
      </c>
      <c r="Q128">
        <v>11.41</v>
      </c>
      <c r="R128" s="78">
        <v>15.63</v>
      </c>
      <c r="S128" s="85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20"/>
        <v>1</v>
      </c>
      <c r="AB128">
        <v>26.09</v>
      </c>
      <c r="AC128" s="15">
        <f t="shared" si="31"/>
        <v>3.1741666666666668</v>
      </c>
      <c r="AD128">
        <v>275.77999999999997</v>
      </c>
      <c r="AE128">
        <v>62.96</v>
      </c>
      <c r="AF128">
        <v>256.62</v>
      </c>
      <c r="AG128" s="85">
        <f t="shared" si="21"/>
        <v>4.9000000000000004</v>
      </c>
      <c r="AH128" s="15">
        <f t="shared" si="22"/>
        <v>11.074166666666667</v>
      </c>
      <c r="AI128" s="15">
        <v>13</v>
      </c>
      <c r="AJ128" s="15">
        <f t="shared" si="23"/>
        <v>0.98</v>
      </c>
      <c r="AK128" s="15">
        <f t="shared" si="24"/>
        <v>16.615083333333331</v>
      </c>
      <c r="AL128" s="14" t="str">
        <f t="shared" si="25"/>
        <v>Pos</v>
      </c>
      <c r="AM128" s="64" t="s">
        <v>225</v>
      </c>
      <c r="AN128" s="88">
        <v>25</v>
      </c>
      <c r="AO128" s="16">
        <v>26</v>
      </c>
      <c r="AP128" s="16">
        <f t="shared" si="28"/>
        <v>0</v>
      </c>
      <c r="AQ128" s="15">
        <v>1</v>
      </c>
      <c r="AR128" s="16">
        <f t="shared" si="29"/>
        <v>0</v>
      </c>
      <c r="AS128" s="16"/>
      <c r="AT128" s="15">
        <f t="shared" si="30"/>
        <v>1561.5083333333332</v>
      </c>
      <c r="AV128" s="68"/>
      <c r="AZ128" s="16"/>
    </row>
    <row r="129" spans="1:55">
      <c r="A129" t="s">
        <v>226</v>
      </c>
      <c r="B129" t="s">
        <v>227</v>
      </c>
      <c r="C129" t="s">
        <v>165</v>
      </c>
      <c r="D129" s="68" t="s">
        <v>82</v>
      </c>
      <c r="E129">
        <v>22.8</v>
      </c>
      <c r="F129">
        <v>22.25</v>
      </c>
      <c r="G129" s="15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5">
        <v>12.94</v>
      </c>
      <c r="Q129">
        <v>18.72</v>
      </c>
      <c r="R129" s="78">
        <v>24.73</v>
      </c>
      <c r="S129" s="85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20"/>
        <v>1</v>
      </c>
      <c r="AB129">
        <v>1</v>
      </c>
      <c r="AC129" s="15">
        <f t="shared" si="31"/>
        <v>8.3333333333333329E-2</v>
      </c>
      <c r="AD129">
        <v>375.3</v>
      </c>
      <c r="AE129">
        <v>36.56</v>
      </c>
      <c r="AF129">
        <v>123.62</v>
      </c>
      <c r="AG129" s="85">
        <f t="shared" si="21"/>
        <v>3.6</v>
      </c>
      <c r="AH129" s="15">
        <f t="shared" si="22"/>
        <v>6.6833333333333327</v>
      </c>
      <c r="AI129" s="15">
        <v>13</v>
      </c>
      <c r="AJ129" s="15">
        <f t="shared" si="23"/>
        <v>0.98</v>
      </c>
      <c r="AK129" s="15">
        <f t="shared" si="24"/>
        <v>10.783266666666666</v>
      </c>
      <c r="AL129" s="14" t="str">
        <f t="shared" si="25"/>
        <v>Neg</v>
      </c>
      <c r="AM129" s="64" t="s">
        <v>227</v>
      </c>
      <c r="AN129" s="88">
        <v>27</v>
      </c>
      <c r="AO129" s="16">
        <v>30</v>
      </c>
      <c r="AP129" s="16">
        <f t="shared" si="28"/>
        <v>0</v>
      </c>
      <c r="AQ129" s="15">
        <v>1</v>
      </c>
      <c r="AR129" s="16">
        <f t="shared" si="29"/>
        <v>0</v>
      </c>
      <c r="AS129" s="16"/>
      <c r="AT129" s="15">
        <f t="shared" si="30"/>
        <v>978.3266666666666</v>
      </c>
      <c r="AZ129" s="16"/>
    </row>
    <row r="130" spans="1:55">
      <c r="A130" t="s">
        <v>228</v>
      </c>
      <c r="B130" t="s">
        <v>229</v>
      </c>
      <c r="C130" t="s">
        <v>165</v>
      </c>
      <c r="D130" s="68" t="s">
        <v>82</v>
      </c>
      <c r="E130">
        <v>20.55</v>
      </c>
      <c r="F130">
        <v>14.88</v>
      </c>
      <c r="G130" s="15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5">
        <v>7.37</v>
      </c>
      <c r="Q130">
        <v>12.06</v>
      </c>
      <c r="R130" s="78">
        <v>25.07</v>
      </c>
      <c r="S130" s="85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2" si="36">IF(X130&lt;50,IF(Y130&gt;(2.3*X130),0,1),1)-IF(Z130&gt;Y130,1.7,0)</f>
        <v>1</v>
      </c>
      <c r="AB130">
        <v>0</v>
      </c>
      <c r="AC130" s="15">
        <f t="shared" si="31"/>
        <v>0</v>
      </c>
      <c r="AD130">
        <v>91.57</v>
      </c>
      <c r="AE130">
        <v>48.31</v>
      </c>
      <c r="AF130">
        <v>129.97999999999999</v>
      </c>
      <c r="AG130" s="85">
        <f t="shared" ref="AG130:AG192" si="37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5">
        <f t="shared" ref="AH130:AH192" si="38">AG130+IF(X130&lt;1.35,0,1)+IF(Y130&lt;1.35,0,1)+AC130+AA130</f>
        <v>5.5</v>
      </c>
      <c r="AI130" s="15">
        <v>18</v>
      </c>
      <c r="AJ130" s="15">
        <f t="shared" ref="AJ130:AJ192" si="39">IF(AI130&gt;12.7,IF(AI130&gt;15.8,0.93,0.98),1)</f>
        <v>0.93</v>
      </c>
      <c r="AK130" s="15">
        <f t="shared" ref="AK130:AK192" si="40">(1.2*AG130+AH130)*AJ130*AQ130</f>
        <v>7.9050000000000002</v>
      </c>
      <c r="AL130" s="14" t="str">
        <f t="shared" ref="AL130:AL192" si="41">D130</f>
        <v>Neg</v>
      </c>
      <c r="AM130" s="64" t="s">
        <v>229</v>
      </c>
      <c r="AN130" s="87">
        <v>2</v>
      </c>
      <c r="AO130" s="16">
        <v>3</v>
      </c>
      <c r="AP130" s="16">
        <f t="shared" ref="AP130:AP192" si="42">IF(AK130&gt;13.1,IF(Z130&lt;101,IF(Z130&lt;35,IF(Z130&lt;6,3,2),1),0),0)</f>
        <v>0</v>
      </c>
      <c r="AQ130" s="15">
        <v>1</v>
      </c>
      <c r="AR130" s="16">
        <f t="shared" ref="AR130:AR192" si="43">IF(AP130&gt;0,IF(AB130&gt;10,(AB130/Z130),10/Z130),0)</f>
        <v>0</v>
      </c>
      <c r="AS130" s="67" t="s">
        <v>230</v>
      </c>
      <c r="AT130" s="15">
        <f t="shared" ref="AT130:AT192" si="44">100*(AK130-AQ130)/AQ130</f>
        <v>690.5</v>
      </c>
      <c r="AZ130" s="16"/>
    </row>
    <row r="131" spans="1:55">
      <c r="A131" t="s">
        <v>231</v>
      </c>
      <c r="B131" t="s">
        <v>232</v>
      </c>
      <c r="C131" t="s">
        <v>165</v>
      </c>
      <c r="D131" s="68" t="s">
        <v>59</v>
      </c>
      <c r="E131">
        <v>0.49</v>
      </c>
      <c r="F131">
        <v>12.77</v>
      </c>
      <c r="G131" s="15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5">
        <v>10.23</v>
      </c>
      <c r="Q131">
        <v>19.559999999999999</v>
      </c>
      <c r="R131" s="78">
        <v>16</v>
      </c>
      <c r="S131" s="85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36"/>
        <v>1</v>
      </c>
      <c r="AB131">
        <v>0</v>
      </c>
      <c r="AC131" s="15">
        <f t="shared" ref="AC131:AC193" si="45">IF(AB131&gt;4,1,0)+AB131/12</f>
        <v>0</v>
      </c>
      <c r="AD131">
        <v>71.14</v>
      </c>
      <c r="AE131">
        <v>16.8</v>
      </c>
      <c r="AF131">
        <v>116.81</v>
      </c>
      <c r="AG131" s="85">
        <f t="shared" si="37"/>
        <v>6.6</v>
      </c>
      <c r="AH131" s="15">
        <f t="shared" si="38"/>
        <v>8.6</v>
      </c>
      <c r="AI131" s="15">
        <v>18</v>
      </c>
      <c r="AJ131" s="15">
        <f t="shared" si="39"/>
        <v>0.93</v>
      </c>
      <c r="AK131" s="15">
        <f t="shared" si="40"/>
        <v>15.3636</v>
      </c>
      <c r="AL131" s="14" t="str">
        <f t="shared" si="41"/>
        <v>Pos</v>
      </c>
      <c r="AM131" s="64" t="s">
        <v>232</v>
      </c>
      <c r="AN131" s="87">
        <v>4</v>
      </c>
      <c r="AO131" s="16">
        <v>5</v>
      </c>
      <c r="AP131" s="16">
        <f t="shared" si="42"/>
        <v>3</v>
      </c>
      <c r="AQ131" s="15">
        <v>1</v>
      </c>
      <c r="AR131" s="16">
        <f t="shared" si="43"/>
        <v>8.6206896551724146</v>
      </c>
      <c r="AS131" s="16"/>
      <c r="AT131" s="15">
        <f t="shared" si="44"/>
        <v>1436.36</v>
      </c>
      <c r="AZ131" s="16"/>
    </row>
    <row r="132" spans="1:55">
      <c r="A132" t="s">
        <v>233</v>
      </c>
      <c r="B132" t="s">
        <v>234</v>
      </c>
      <c r="C132" t="s">
        <v>165</v>
      </c>
      <c r="D132" s="68" t="s">
        <v>59</v>
      </c>
      <c r="E132">
        <v>12.19</v>
      </c>
      <c r="F132">
        <v>13.78</v>
      </c>
      <c r="G132" s="15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5">
        <v>28.83</v>
      </c>
      <c r="Q132">
        <v>13.05</v>
      </c>
      <c r="R132" s="78">
        <v>17.2</v>
      </c>
      <c r="S132" s="85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36"/>
        <v>1</v>
      </c>
      <c r="AB132">
        <v>0</v>
      </c>
      <c r="AC132" s="15">
        <f t="shared" si="45"/>
        <v>0</v>
      </c>
      <c r="AD132">
        <v>38.04</v>
      </c>
      <c r="AE132">
        <v>17.420000000000002</v>
      </c>
      <c r="AF132">
        <v>58.39</v>
      </c>
      <c r="AG132" s="85">
        <f t="shared" si="37"/>
        <v>2.2000000000000002</v>
      </c>
      <c r="AH132" s="15">
        <f t="shared" si="38"/>
        <v>5.2</v>
      </c>
      <c r="AI132" s="15">
        <v>18</v>
      </c>
      <c r="AJ132" s="15">
        <f t="shared" si="39"/>
        <v>0.93</v>
      </c>
      <c r="AK132" s="15">
        <f t="shared" si="40"/>
        <v>7.2911999999999999</v>
      </c>
      <c r="AL132" s="14" t="str">
        <f t="shared" si="41"/>
        <v>Pos</v>
      </c>
      <c r="AM132" s="64" t="s">
        <v>234</v>
      </c>
      <c r="AN132" s="87">
        <v>9</v>
      </c>
      <c r="AO132" s="16">
        <v>10</v>
      </c>
      <c r="AP132" s="16">
        <f t="shared" si="42"/>
        <v>0</v>
      </c>
      <c r="AQ132" s="15">
        <v>1</v>
      </c>
      <c r="AR132" s="16">
        <f t="shared" si="43"/>
        <v>0</v>
      </c>
      <c r="AS132" s="16">
        <v>3</v>
      </c>
      <c r="AT132" s="15">
        <f t="shared" si="44"/>
        <v>629.12</v>
      </c>
      <c r="AZ132" s="16"/>
    </row>
    <row r="133" spans="1:55" ht="15.6" customHeight="1">
      <c r="A133" t="s">
        <v>235</v>
      </c>
      <c r="B133" t="s">
        <v>236</v>
      </c>
      <c r="C133" t="s">
        <v>165</v>
      </c>
      <c r="D133" s="68" t="s">
        <v>59</v>
      </c>
      <c r="E133">
        <v>17.25</v>
      </c>
      <c r="F133">
        <v>15.91</v>
      </c>
      <c r="G133" s="15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5">
        <v>13.62</v>
      </c>
      <c r="Q133">
        <v>9.15</v>
      </c>
      <c r="R133" s="78">
        <v>9.3699999999999992</v>
      </c>
      <c r="S133" s="85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36"/>
        <v>1</v>
      </c>
      <c r="AB133">
        <v>0</v>
      </c>
      <c r="AC133" s="15">
        <f t="shared" si="45"/>
        <v>0</v>
      </c>
      <c r="AD133">
        <v>85.63</v>
      </c>
      <c r="AE133">
        <v>154.41</v>
      </c>
      <c r="AF133">
        <v>106.09</v>
      </c>
      <c r="AG133" s="85">
        <f t="shared" si="37"/>
        <v>4.4000000000000004</v>
      </c>
      <c r="AH133" s="15">
        <f t="shared" si="38"/>
        <v>6.4</v>
      </c>
      <c r="AI133" s="15">
        <v>18</v>
      </c>
      <c r="AJ133" s="15">
        <f t="shared" si="39"/>
        <v>0.93</v>
      </c>
      <c r="AK133" s="15">
        <f t="shared" si="40"/>
        <v>10.862400000000001</v>
      </c>
      <c r="AL133" s="14" t="str">
        <f t="shared" si="41"/>
        <v>Pos</v>
      </c>
      <c r="AM133" s="64" t="s">
        <v>236</v>
      </c>
      <c r="AN133" s="87">
        <v>10</v>
      </c>
      <c r="AO133" s="16">
        <v>11</v>
      </c>
      <c r="AP133" s="16">
        <f t="shared" si="42"/>
        <v>0</v>
      </c>
      <c r="AQ133" s="15">
        <v>1</v>
      </c>
      <c r="AR133" s="16">
        <f t="shared" si="43"/>
        <v>0</v>
      </c>
      <c r="AS133" s="16"/>
      <c r="AT133" s="15">
        <f t="shared" si="44"/>
        <v>986.24000000000012</v>
      </c>
      <c r="AZ133" s="16"/>
    </row>
    <row r="134" spans="1:55" ht="15.6" customHeight="1">
      <c r="A134" t="s">
        <v>237</v>
      </c>
      <c r="B134" t="s">
        <v>238</v>
      </c>
      <c r="C134" t="s">
        <v>165</v>
      </c>
      <c r="D134" s="68" t="s">
        <v>59</v>
      </c>
      <c r="E134">
        <v>2.84</v>
      </c>
      <c r="F134">
        <v>10.57</v>
      </c>
      <c r="G134" s="15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5">
        <v>3.1</v>
      </c>
      <c r="Q134">
        <v>14.58</v>
      </c>
      <c r="R134" s="78">
        <v>19.97</v>
      </c>
      <c r="S134" s="85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36"/>
        <v>1</v>
      </c>
      <c r="AB134">
        <v>16</v>
      </c>
      <c r="AC134" s="15">
        <f t="shared" si="45"/>
        <v>2.333333333333333</v>
      </c>
      <c r="AD134">
        <v>160.38999999999999</v>
      </c>
      <c r="AE134">
        <v>21.86</v>
      </c>
      <c r="AF134">
        <v>168.96</v>
      </c>
      <c r="AG134" s="85">
        <f t="shared" si="37"/>
        <v>6.1</v>
      </c>
      <c r="AH134" s="15">
        <f t="shared" si="38"/>
        <v>11.433333333333334</v>
      </c>
      <c r="AI134" s="15">
        <v>18</v>
      </c>
      <c r="AJ134" s="15">
        <f t="shared" si="39"/>
        <v>0.93</v>
      </c>
      <c r="AK134" s="15">
        <f t="shared" si="40"/>
        <v>17.4406</v>
      </c>
      <c r="AL134" s="14" t="str">
        <f t="shared" si="41"/>
        <v>Pos</v>
      </c>
      <c r="AM134" s="64" t="s">
        <v>238</v>
      </c>
      <c r="AN134" s="87">
        <v>13</v>
      </c>
      <c r="AO134" s="16">
        <v>16</v>
      </c>
      <c r="AP134" s="16">
        <f t="shared" si="42"/>
        <v>1</v>
      </c>
      <c r="AQ134" s="15">
        <v>1</v>
      </c>
      <c r="AR134" s="16">
        <f t="shared" si="43"/>
        <v>0.16</v>
      </c>
      <c r="AS134" s="16"/>
      <c r="AT134" s="15">
        <f t="shared" si="44"/>
        <v>1644.06</v>
      </c>
      <c r="AZ134" s="16"/>
    </row>
    <row r="135" spans="1:55">
      <c r="A135" t="s">
        <v>239</v>
      </c>
      <c r="B135" t="s">
        <v>240</v>
      </c>
      <c r="C135" t="s">
        <v>165</v>
      </c>
      <c r="D135" s="68" t="s">
        <v>59</v>
      </c>
      <c r="E135">
        <v>0</v>
      </c>
      <c r="F135">
        <v>13.09</v>
      </c>
      <c r="G135" s="15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5">
        <v>29.23</v>
      </c>
      <c r="Q135">
        <v>49.89</v>
      </c>
      <c r="R135" s="78">
        <v>19.559999999999999</v>
      </c>
      <c r="S135" s="85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2">
        <f t="shared" si="36"/>
        <v>-0.7</v>
      </c>
      <c r="AB135">
        <v>0.23499999999999999</v>
      </c>
      <c r="AC135" s="15">
        <f t="shared" si="45"/>
        <v>1.9583333333333331E-2</v>
      </c>
      <c r="AD135">
        <v>20.95</v>
      </c>
      <c r="AE135">
        <v>42.14</v>
      </c>
      <c r="AF135">
        <v>37.79</v>
      </c>
      <c r="AG135" s="85">
        <f t="shared" si="37"/>
        <v>6.5</v>
      </c>
      <c r="AH135" s="15">
        <f t="shared" si="38"/>
        <v>5.8195833333333331</v>
      </c>
      <c r="AI135" s="15">
        <v>17.204999999999998</v>
      </c>
      <c r="AJ135" s="15">
        <f t="shared" si="39"/>
        <v>0.93</v>
      </c>
      <c r="AK135" s="15">
        <f t="shared" si="40"/>
        <v>12.6662125</v>
      </c>
      <c r="AL135" s="14" t="str">
        <f t="shared" si="41"/>
        <v>Pos</v>
      </c>
      <c r="AM135" s="64" t="s">
        <v>240</v>
      </c>
      <c r="AN135" s="87">
        <v>20</v>
      </c>
      <c r="AO135" s="16">
        <v>23</v>
      </c>
      <c r="AP135" s="16">
        <f t="shared" si="42"/>
        <v>0</v>
      </c>
      <c r="AQ135" s="15">
        <v>1</v>
      </c>
      <c r="AR135" s="16">
        <f t="shared" si="43"/>
        <v>0</v>
      </c>
      <c r="AS135" s="16"/>
      <c r="AT135" s="15">
        <f t="shared" si="44"/>
        <v>1166.6212500000001</v>
      </c>
      <c r="AY135">
        <v>146</v>
      </c>
      <c r="AZ135" s="16"/>
      <c r="BA135">
        <v>146</v>
      </c>
      <c r="BB135">
        <v>149.5</v>
      </c>
      <c r="BC135">
        <v>149.5</v>
      </c>
    </row>
    <row r="136" spans="1:55">
      <c r="A136" t="s">
        <v>241</v>
      </c>
      <c r="B136" t="s">
        <v>242</v>
      </c>
      <c r="C136" t="s">
        <v>165</v>
      </c>
      <c r="D136" s="68" t="s">
        <v>59</v>
      </c>
      <c r="E136">
        <v>5.05</v>
      </c>
      <c r="F136">
        <v>30.42</v>
      </c>
      <c r="G136" s="15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5">
        <v>6.8</v>
      </c>
      <c r="Q136">
        <v>9.27</v>
      </c>
      <c r="R136" s="78">
        <v>10.49</v>
      </c>
      <c r="S136" s="85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2">
        <f t="shared" si="36"/>
        <v>-0.7</v>
      </c>
      <c r="AB136">
        <v>0.23499999999999999</v>
      </c>
      <c r="AC136" s="15">
        <f t="shared" si="45"/>
        <v>1.9583333333333331E-2</v>
      </c>
      <c r="AD136">
        <v>193.86</v>
      </c>
      <c r="AE136">
        <v>111.64</v>
      </c>
      <c r="AF136">
        <v>101.99</v>
      </c>
      <c r="AG136" s="85">
        <f t="shared" si="37"/>
        <v>4.6999999999999993</v>
      </c>
      <c r="AH136" s="15">
        <f t="shared" si="38"/>
        <v>4.0195833333333324</v>
      </c>
      <c r="AI136" s="15">
        <v>17.204999999999998</v>
      </c>
      <c r="AJ136" s="15">
        <f t="shared" si="39"/>
        <v>0.93</v>
      </c>
      <c r="AK136" s="15">
        <f t="shared" si="40"/>
        <v>8.9834124999999982</v>
      </c>
      <c r="AL136" s="14" t="str">
        <f t="shared" si="41"/>
        <v>Pos</v>
      </c>
      <c r="AM136" s="64" t="s">
        <v>242</v>
      </c>
      <c r="AN136" s="87">
        <v>20</v>
      </c>
      <c r="AO136" s="16">
        <v>23</v>
      </c>
      <c r="AP136" s="16">
        <f t="shared" si="42"/>
        <v>0</v>
      </c>
      <c r="AQ136" s="15">
        <v>1</v>
      </c>
      <c r="AR136" s="16">
        <f t="shared" si="43"/>
        <v>0</v>
      </c>
      <c r="AS136" s="16"/>
      <c r="AT136" s="15">
        <f t="shared" si="44"/>
        <v>798.34124999999983</v>
      </c>
      <c r="AZ136" s="16"/>
    </row>
    <row r="137" spans="1:55">
      <c r="A137" t="s">
        <v>243</v>
      </c>
      <c r="B137" t="s">
        <v>244</v>
      </c>
      <c r="C137" t="s">
        <v>165</v>
      </c>
      <c r="D137" s="68" t="s">
        <v>59</v>
      </c>
      <c r="E137">
        <v>37.229999999999997</v>
      </c>
      <c r="F137">
        <v>33.229999999999997</v>
      </c>
      <c r="G137" s="15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5">
        <v>8.5399999999999991</v>
      </c>
      <c r="Q137">
        <v>8.73</v>
      </c>
      <c r="R137" s="78">
        <v>10.51</v>
      </c>
      <c r="S137" s="85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36"/>
        <v>1</v>
      </c>
      <c r="AB137">
        <v>0</v>
      </c>
      <c r="AC137" s="15">
        <f t="shared" si="45"/>
        <v>0</v>
      </c>
      <c r="AD137">
        <v>84.73</v>
      </c>
      <c r="AE137">
        <v>31.58</v>
      </c>
      <c r="AF137">
        <v>165.63</v>
      </c>
      <c r="AG137" s="85">
        <f t="shared" si="37"/>
        <v>4</v>
      </c>
      <c r="AH137" s="15">
        <f t="shared" si="38"/>
        <v>7</v>
      </c>
      <c r="AI137" s="15">
        <v>24</v>
      </c>
      <c r="AJ137" s="15">
        <f t="shared" si="39"/>
        <v>0.93</v>
      </c>
      <c r="AK137" s="15">
        <f t="shared" si="40"/>
        <v>10.974000000000002</v>
      </c>
      <c r="AL137" s="14" t="str">
        <f t="shared" si="41"/>
        <v>Pos</v>
      </c>
      <c r="AM137" s="64" t="s">
        <v>244</v>
      </c>
      <c r="AN137" s="87">
        <v>25</v>
      </c>
      <c r="AO137" s="16">
        <v>26</v>
      </c>
      <c r="AP137" s="16">
        <f t="shared" si="42"/>
        <v>0</v>
      </c>
      <c r="AQ137" s="15">
        <v>1</v>
      </c>
      <c r="AR137" s="16">
        <f t="shared" si="43"/>
        <v>0</v>
      </c>
      <c r="AS137" s="16"/>
      <c r="AT137" s="15">
        <f t="shared" si="44"/>
        <v>997.4000000000002</v>
      </c>
      <c r="AZ137" s="16"/>
    </row>
    <row r="138" spans="1:55">
      <c r="A138" t="s">
        <v>245</v>
      </c>
      <c r="B138" t="s">
        <v>246</v>
      </c>
      <c r="C138" t="s">
        <v>165</v>
      </c>
      <c r="D138" s="68" t="s">
        <v>59</v>
      </c>
      <c r="E138">
        <v>4.93</v>
      </c>
      <c r="F138">
        <v>6.62</v>
      </c>
      <c r="G138" s="15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5">
        <v>5.62</v>
      </c>
      <c r="Q138">
        <v>16.7</v>
      </c>
      <c r="R138" s="78">
        <v>13.63</v>
      </c>
      <c r="S138" s="85">
        <v>-0.5</v>
      </c>
      <c r="T138">
        <v>21.67</v>
      </c>
      <c r="U138">
        <v>1.8300000000000021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2">
        <f t="shared" si="36"/>
        <v>1</v>
      </c>
      <c r="AB138">
        <v>0.23499999999999999</v>
      </c>
      <c r="AC138" s="15">
        <f t="shared" si="45"/>
        <v>1.9583333333333331E-2</v>
      </c>
      <c r="AD138">
        <v>5.44</v>
      </c>
      <c r="AE138">
        <v>28.94</v>
      </c>
      <c r="AF138">
        <v>61.46</v>
      </c>
      <c r="AG138" s="85">
        <f t="shared" si="37"/>
        <v>4.7</v>
      </c>
      <c r="AH138" s="15">
        <f t="shared" si="38"/>
        <v>7.7195833333333335</v>
      </c>
      <c r="AI138" s="15">
        <v>17.204999999999998</v>
      </c>
      <c r="AJ138" s="15">
        <f t="shared" si="39"/>
        <v>0.93</v>
      </c>
      <c r="AK138" s="15">
        <f t="shared" si="40"/>
        <v>12.424412500000001</v>
      </c>
      <c r="AL138" s="14" t="str">
        <f t="shared" si="41"/>
        <v>Pos</v>
      </c>
      <c r="AM138" s="14" t="s">
        <v>246</v>
      </c>
      <c r="AN138">
        <v>27</v>
      </c>
      <c r="AO138" s="16">
        <v>30</v>
      </c>
      <c r="AP138" s="16">
        <f t="shared" si="42"/>
        <v>0</v>
      </c>
      <c r="AQ138" s="15">
        <v>1</v>
      </c>
      <c r="AR138" s="16">
        <f t="shared" si="43"/>
        <v>0</v>
      </c>
      <c r="AS138" s="16"/>
      <c r="AT138" s="15">
        <f t="shared" si="44"/>
        <v>1142.4412500000001</v>
      </c>
      <c r="AZ138" s="16"/>
    </row>
    <row r="139" spans="1:55">
      <c r="A139" t="s">
        <v>247</v>
      </c>
      <c r="B139" t="s">
        <v>248</v>
      </c>
      <c r="C139" t="s">
        <v>165</v>
      </c>
      <c r="D139" s="68" t="s">
        <v>59</v>
      </c>
      <c r="E139">
        <v>4.2300000000000004</v>
      </c>
      <c r="F139">
        <v>27.45</v>
      </c>
      <c r="G139" s="15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5">
        <v>7.7</v>
      </c>
      <c r="Q139">
        <v>19.2</v>
      </c>
      <c r="R139" s="78">
        <v>24.37</v>
      </c>
      <c r="S139" s="85">
        <v>-0.5</v>
      </c>
      <c r="T139">
        <v>130.54</v>
      </c>
      <c r="U139">
        <v>25.97999999999999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2">
        <f t="shared" si="36"/>
        <v>1</v>
      </c>
      <c r="AB139">
        <v>0.23499999999999999</v>
      </c>
      <c r="AC139" s="15">
        <f t="shared" si="45"/>
        <v>1.9583333333333331E-2</v>
      </c>
      <c r="AD139">
        <v>372.9</v>
      </c>
      <c r="AE139">
        <v>73.95</v>
      </c>
      <c r="AF139">
        <v>293.27</v>
      </c>
      <c r="AG139" s="85">
        <f t="shared" si="37"/>
        <v>6.1</v>
      </c>
      <c r="AH139" s="15">
        <f t="shared" si="38"/>
        <v>9.1195833333333329</v>
      </c>
      <c r="AI139" s="15">
        <v>17.204999999999998</v>
      </c>
      <c r="AJ139" s="15">
        <f t="shared" si="39"/>
        <v>0.93</v>
      </c>
      <c r="AK139" s="15">
        <f t="shared" si="40"/>
        <v>15.288812499999999</v>
      </c>
      <c r="AL139" s="14" t="str">
        <f t="shared" si="41"/>
        <v>Pos</v>
      </c>
      <c r="AM139" s="14" t="s">
        <v>248</v>
      </c>
      <c r="AN139">
        <v>30</v>
      </c>
      <c r="AO139" s="16">
        <v>31</v>
      </c>
      <c r="AP139" s="16">
        <f t="shared" si="42"/>
        <v>3</v>
      </c>
      <c r="AQ139" s="15">
        <v>1</v>
      </c>
      <c r="AR139" s="16">
        <f t="shared" si="43"/>
        <v>27.442371020856204</v>
      </c>
      <c r="AS139" s="16"/>
      <c r="AT139" s="15">
        <f t="shared" si="44"/>
        <v>1428.8812499999999</v>
      </c>
      <c r="AZ139" s="16"/>
    </row>
    <row r="140" spans="1:55">
      <c r="A140" t="s">
        <v>249</v>
      </c>
      <c r="B140" t="s">
        <v>250</v>
      </c>
      <c r="C140" t="s">
        <v>165</v>
      </c>
      <c r="D140" s="68" t="s">
        <v>59</v>
      </c>
      <c r="E140">
        <v>33.840000000000003</v>
      </c>
      <c r="F140">
        <v>42.17</v>
      </c>
      <c r="G140" s="15">
        <v>19.75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5">
        <v>11.51</v>
      </c>
      <c r="Q140">
        <v>12.3</v>
      </c>
      <c r="R140" s="78">
        <v>15.51</v>
      </c>
      <c r="S140" s="85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2">
        <f t="shared" si="36"/>
        <v>1</v>
      </c>
      <c r="AB140">
        <v>0.23499999999999999</v>
      </c>
      <c r="AC140" s="15">
        <f t="shared" si="45"/>
        <v>1.9583333333333331E-2</v>
      </c>
      <c r="AD140">
        <v>124.19</v>
      </c>
      <c r="AE140">
        <v>126.48</v>
      </c>
      <c r="AF140">
        <v>141.25</v>
      </c>
      <c r="AG140" s="85">
        <f t="shared" si="37"/>
        <v>4.7</v>
      </c>
      <c r="AH140" s="15">
        <f t="shared" si="38"/>
        <v>6.7195833333333335</v>
      </c>
      <c r="AI140" s="15">
        <v>17.204999999999998</v>
      </c>
      <c r="AJ140" s="15">
        <f t="shared" si="39"/>
        <v>0.93</v>
      </c>
      <c r="AK140" s="15">
        <f t="shared" si="40"/>
        <v>11.494412500000001</v>
      </c>
      <c r="AL140" s="14" t="str">
        <f t="shared" si="41"/>
        <v>Pos</v>
      </c>
      <c r="AM140" s="14" t="s">
        <v>250</v>
      </c>
      <c r="AN140">
        <v>8</v>
      </c>
      <c r="AO140" s="16">
        <v>9</v>
      </c>
      <c r="AP140" s="16">
        <f t="shared" si="42"/>
        <v>0</v>
      </c>
      <c r="AQ140" s="15">
        <v>1</v>
      </c>
      <c r="AR140" s="16">
        <f t="shared" si="43"/>
        <v>0</v>
      </c>
      <c r="AS140" s="16"/>
      <c r="AT140" s="15">
        <f t="shared" si="44"/>
        <v>1049.4412500000001</v>
      </c>
      <c r="AZ140" s="16"/>
    </row>
    <row r="141" spans="1:55">
      <c r="A141" t="s">
        <v>251</v>
      </c>
      <c r="B141" t="s">
        <v>252</v>
      </c>
      <c r="C141" t="s">
        <v>165</v>
      </c>
      <c r="E141">
        <v>7.0000000000000007E-2</v>
      </c>
      <c r="F141">
        <v>17.100000000000001</v>
      </c>
      <c r="G141" s="15">
        <v>99.59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5">
        <v>0</v>
      </c>
      <c r="Q141">
        <v>13.02</v>
      </c>
      <c r="R141" s="78">
        <v>10.86</v>
      </c>
      <c r="S141" s="85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2">
        <f t="shared" si="36"/>
        <v>1</v>
      </c>
      <c r="AB141">
        <v>0</v>
      </c>
      <c r="AC141" s="15">
        <f t="shared" si="45"/>
        <v>0</v>
      </c>
      <c r="AD141">
        <v>-57500</v>
      </c>
      <c r="AE141">
        <v>14</v>
      </c>
      <c r="AF141">
        <v>18900</v>
      </c>
      <c r="AG141" s="85">
        <f t="shared" si="37"/>
        <v>7.6</v>
      </c>
      <c r="AH141" s="15">
        <f t="shared" si="38"/>
        <v>8.6</v>
      </c>
      <c r="AI141" s="15">
        <v>17.204999999999998</v>
      </c>
      <c r="AJ141" s="15">
        <f t="shared" si="39"/>
        <v>0.93</v>
      </c>
      <c r="AK141" s="15">
        <f t="shared" si="40"/>
        <v>16.479600000000001</v>
      </c>
      <c r="AL141" s="14">
        <f t="shared" si="41"/>
        <v>0</v>
      </c>
      <c r="AM141" s="14" t="s">
        <v>252</v>
      </c>
      <c r="AN141">
        <v>21</v>
      </c>
      <c r="AO141" s="16">
        <v>22</v>
      </c>
      <c r="AP141" s="16">
        <f t="shared" si="42"/>
        <v>3</v>
      </c>
      <c r="AQ141" s="15">
        <v>1</v>
      </c>
      <c r="AR141" s="16" t="e">
        <f t="shared" si="43"/>
        <v>#DIV/0!</v>
      </c>
      <c r="AS141" s="16"/>
      <c r="AT141" s="15">
        <f t="shared" si="44"/>
        <v>1547.96</v>
      </c>
      <c r="AZ141" s="16"/>
    </row>
    <row r="142" spans="1:55">
      <c r="A142" t="s">
        <v>253</v>
      </c>
      <c r="B142" t="s">
        <v>254</v>
      </c>
      <c r="C142" t="s">
        <v>165</v>
      </c>
      <c r="E142">
        <v>0.01</v>
      </c>
      <c r="F142">
        <v>9.0299999999999994</v>
      </c>
      <c r="G142" s="15">
        <v>99.89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5">
        <v>4.75</v>
      </c>
      <c r="Q142">
        <v>20.91</v>
      </c>
      <c r="R142" s="78">
        <v>13.19</v>
      </c>
      <c r="S142" s="85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2">
        <f t="shared" si="36"/>
        <v>0</v>
      </c>
      <c r="AB142">
        <v>0</v>
      </c>
      <c r="AC142" s="15">
        <f t="shared" si="45"/>
        <v>0</v>
      </c>
      <c r="AD142">
        <v>402.38</v>
      </c>
      <c r="AE142">
        <v>272.86</v>
      </c>
      <c r="AF142">
        <v>589.30999999999995</v>
      </c>
      <c r="AG142" s="85">
        <f t="shared" si="37"/>
        <v>6.1</v>
      </c>
      <c r="AH142" s="15">
        <f t="shared" si="38"/>
        <v>7.1</v>
      </c>
      <c r="AI142" s="15">
        <v>18.59</v>
      </c>
      <c r="AJ142" s="15">
        <f t="shared" si="39"/>
        <v>0.93</v>
      </c>
      <c r="AK142" s="15">
        <f t="shared" si="40"/>
        <v>8.7168899999999994</v>
      </c>
      <c r="AL142" s="14">
        <f t="shared" si="41"/>
        <v>0</v>
      </c>
      <c r="AM142" s="14" t="s">
        <v>254</v>
      </c>
      <c r="AN142">
        <v>8</v>
      </c>
      <c r="AO142" s="16">
        <v>9</v>
      </c>
      <c r="AP142" s="16">
        <f t="shared" si="42"/>
        <v>0</v>
      </c>
      <c r="AQ142" s="15">
        <v>0.65</v>
      </c>
      <c r="AR142" s="16">
        <f t="shared" si="43"/>
        <v>0</v>
      </c>
      <c r="AS142" s="16"/>
      <c r="AT142" s="15">
        <f t="shared" si="44"/>
        <v>1241.0599999999997</v>
      </c>
      <c r="AZ142" s="16"/>
    </row>
    <row r="143" spans="1:55">
      <c r="A143" t="s">
        <v>255</v>
      </c>
      <c r="B143" t="s">
        <v>256</v>
      </c>
      <c r="C143" t="s">
        <v>165</v>
      </c>
      <c r="E143">
        <v>28.42</v>
      </c>
      <c r="F143">
        <v>49.25</v>
      </c>
      <c r="G143" s="15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5">
        <v>8.26</v>
      </c>
      <c r="Q143">
        <v>12.82</v>
      </c>
      <c r="R143" s="78">
        <v>43.8</v>
      </c>
      <c r="S143" s="85">
        <v>-0.5</v>
      </c>
      <c r="T143">
        <v>74.099999999999994</v>
      </c>
      <c r="U143">
        <v>0</v>
      </c>
      <c r="V143">
        <v>1</v>
      </c>
      <c r="W143">
        <v>1</v>
      </c>
      <c r="X143">
        <v>3.65</v>
      </c>
      <c r="Y143">
        <v>1.81</v>
      </c>
      <c r="Z143">
        <v>1.5</v>
      </c>
      <c r="AA143" s="2">
        <f t="shared" si="36"/>
        <v>1</v>
      </c>
      <c r="AB143">
        <v>5.81</v>
      </c>
      <c r="AC143" s="15">
        <f t="shared" si="45"/>
        <v>1.4841666666666666</v>
      </c>
      <c r="AD143">
        <v>36.99</v>
      </c>
      <c r="AE143">
        <v>27.73</v>
      </c>
      <c r="AF143">
        <v>48.61</v>
      </c>
      <c r="AG143" s="85">
        <f t="shared" si="37"/>
        <v>4.9000000000000004</v>
      </c>
      <c r="AH143" s="15">
        <f t="shared" si="38"/>
        <v>9.3841666666666672</v>
      </c>
      <c r="AI143" s="15">
        <v>18.59</v>
      </c>
      <c r="AJ143" s="15">
        <f t="shared" si="39"/>
        <v>0.93</v>
      </c>
      <c r="AK143" s="15">
        <f t="shared" si="40"/>
        <v>9.2271887500000016</v>
      </c>
      <c r="AL143" s="14">
        <f t="shared" si="41"/>
        <v>0</v>
      </c>
      <c r="AM143" s="14" t="s">
        <v>256</v>
      </c>
      <c r="AN143">
        <v>27</v>
      </c>
      <c r="AO143" s="16">
        <v>28</v>
      </c>
      <c r="AP143" s="16">
        <f t="shared" si="42"/>
        <v>0</v>
      </c>
      <c r="AQ143" s="15">
        <v>0.65</v>
      </c>
      <c r="AR143" s="16">
        <f t="shared" si="43"/>
        <v>0</v>
      </c>
      <c r="AS143" s="16"/>
      <c r="AT143" s="15">
        <f t="shared" si="44"/>
        <v>1319.5675000000001</v>
      </c>
      <c r="AZ143" s="16"/>
    </row>
    <row r="144" spans="1:55">
      <c r="A144" t="s">
        <v>257</v>
      </c>
      <c r="B144" t="s">
        <v>258</v>
      </c>
      <c r="C144" t="s">
        <v>165</v>
      </c>
      <c r="E144">
        <v>55.22</v>
      </c>
      <c r="F144">
        <v>15.14</v>
      </c>
      <c r="G144" s="15">
        <v>-264.73</v>
      </c>
      <c r="H144">
        <v>91.12</v>
      </c>
      <c r="I144">
        <v>7.78</v>
      </c>
      <c r="J144">
        <v>0</v>
      </c>
      <c r="K144">
        <v>0</v>
      </c>
      <c r="L144">
        <v>57.61</v>
      </c>
      <c r="M144">
        <v>17.48</v>
      </c>
      <c r="N144">
        <v>0</v>
      </c>
      <c r="O144">
        <v>242.46</v>
      </c>
      <c r="P144" s="15">
        <v>31.16</v>
      </c>
      <c r="Q144">
        <v>0</v>
      </c>
      <c r="R144" s="78">
        <v>0</v>
      </c>
      <c r="S144" s="85">
        <v>-0.5</v>
      </c>
      <c r="T144">
        <v>65.12</v>
      </c>
      <c r="U144">
        <v>0</v>
      </c>
      <c r="V144">
        <v>0</v>
      </c>
      <c r="W144">
        <v>1</v>
      </c>
      <c r="X144">
        <v>2</v>
      </c>
      <c r="Y144">
        <v>5</v>
      </c>
      <c r="Z144">
        <v>1</v>
      </c>
      <c r="AA144" s="2">
        <f t="shared" si="36"/>
        <v>0</v>
      </c>
      <c r="AB144">
        <v>0</v>
      </c>
      <c r="AC144" s="15">
        <f t="shared" si="45"/>
        <v>0</v>
      </c>
      <c r="AD144">
        <v>169.2</v>
      </c>
      <c r="AE144">
        <v>14.73</v>
      </c>
      <c r="AF144">
        <v>105.43</v>
      </c>
      <c r="AG144" s="85">
        <f t="shared" si="37"/>
        <v>2.5</v>
      </c>
      <c r="AH144" s="15">
        <f t="shared" si="38"/>
        <v>4.5</v>
      </c>
      <c r="AI144" s="15">
        <v>18.59</v>
      </c>
      <c r="AJ144" s="15">
        <f t="shared" si="39"/>
        <v>0.93</v>
      </c>
      <c r="AK144" s="15">
        <f t="shared" si="40"/>
        <v>6.9750000000000005</v>
      </c>
      <c r="AL144" s="14">
        <f t="shared" si="41"/>
        <v>0</v>
      </c>
      <c r="AM144" s="14" t="s">
        <v>258</v>
      </c>
      <c r="AN144">
        <v>29</v>
      </c>
      <c r="AO144" s="16">
        <v>30</v>
      </c>
      <c r="AP144" s="16">
        <f t="shared" si="42"/>
        <v>0</v>
      </c>
      <c r="AQ144" s="15">
        <v>1</v>
      </c>
      <c r="AR144" s="16">
        <f t="shared" si="43"/>
        <v>0</v>
      </c>
      <c r="AS144" s="16"/>
      <c r="AT144" s="15">
        <f t="shared" si="44"/>
        <v>597.5</v>
      </c>
      <c r="AZ144" s="16"/>
    </row>
    <row r="145" spans="1:52">
      <c r="A145" t="s">
        <v>259</v>
      </c>
      <c r="B145" t="s">
        <v>260</v>
      </c>
      <c r="C145" t="s">
        <v>165</v>
      </c>
      <c r="E145">
        <v>20.11</v>
      </c>
      <c r="F145">
        <v>53.26</v>
      </c>
      <c r="G145" s="15">
        <v>62.24</v>
      </c>
      <c r="H145">
        <v>149.16999999999999</v>
      </c>
      <c r="I145">
        <v>16.22</v>
      </c>
      <c r="J145">
        <v>14.04</v>
      </c>
      <c r="K145">
        <v>0</v>
      </c>
      <c r="L145">
        <v>21.03</v>
      </c>
      <c r="M145">
        <v>0</v>
      </c>
      <c r="N145">
        <v>19.98</v>
      </c>
      <c r="O145">
        <v>137.37</v>
      </c>
      <c r="P145" s="15">
        <v>8.4700000000000006</v>
      </c>
      <c r="Q145">
        <v>0</v>
      </c>
      <c r="R145" s="78">
        <v>0</v>
      </c>
      <c r="S145" s="85">
        <v>-0.5</v>
      </c>
      <c r="T145">
        <v>88.51</v>
      </c>
      <c r="U145">
        <v>8.9100000000000108</v>
      </c>
      <c r="V145">
        <v>0</v>
      </c>
      <c r="W145">
        <v>1</v>
      </c>
      <c r="X145">
        <v>2</v>
      </c>
      <c r="Y145">
        <v>5</v>
      </c>
      <c r="Z145">
        <v>1</v>
      </c>
      <c r="AA145" s="2">
        <f t="shared" si="36"/>
        <v>0</v>
      </c>
      <c r="AB145">
        <v>0.23499999999999999</v>
      </c>
      <c r="AC145" s="15">
        <f t="shared" si="45"/>
        <v>1.9583333333333331E-2</v>
      </c>
      <c r="AD145">
        <v>-1.04</v>
      </c>
      <c r="AE145">
        <v>-15.66</v>
      </c>
      <c r="AF145">
        <v>145.32</v>
      </c>
      <c r="AG145" s="85">
        <f t="shared" si="37"/>
        <v>2.5999999999999996</v>
      </c>
      <c r="AH145" s="15">
        <f t="shared" si="38"/>
        <v>4.6195833333333329</v>
      </c>
      <c r="AI145" s="15">
        <v>18.59</v>
      </c>
      <c r="AJ145" s="15">
        <f t="shared" si="39"/>
        <v>0.93</v>
      </c>
      <c r="AK145" s="15">
        <f t="shared" si="40"/>
        <v>7.1978124999999995</v>
      </c>
      <c r="AL145" s="14">
        <f t="shared" si="41"/>
        <v>0</v>
      </c>
      <c r="AM145" s="14" t="s">
        <v>260</v>
      </c>
      <c r="AN145">
        <v>28</v>
      </c>
      <c r="AO145" s="16">
        <v>29</v>
      </c>
      <c r="AP145" s="16">
        <f t="shared" si="42"/>
        <v>0</v>
      </c>
      <c r="AQ145" s="15">
        <v>1</v>
      </c>
      <c r="AR145" s="16">
        <f t="shared" si="43"/>
        <v>0</v>
      </c>
      <c r="AS145" s="16"/>
      <c r="AT145" s="15">
        <f t="shared" si="44"/>
        <v>619.78125</v>
      </c>
      <c r="AZ145" s="16"/>
    </row>
    <row r="146" spans="1:52">
      <c r="G146" s="15" t="e">
        <f t="shared" ref="G146:G209" si="46">100*(F146-E146)/F146</f>
        <v>#DIV/0!</v>
      </c>
      <c r="P146" s="15" t="e">
        <f t="shared" ref="P146:P209" si="47">O146/I146</f>
        <v>#DIV/0!</v>
      </c>
      <c r="R146" s="78"/>
      <c r="S146" s="85">
        <v>5</v>
      </c>
      <c r="AA146" s="2">
        <f t="shared" si="36"/>
        <v>1</v>
      </c>
      <c r="AC146" s="15">
        <f t="shared" si="45"/>
        <v>0</v>
      </c>
      <c r="AG146" s="85" t="e">
        <f t="shared" si="37"/>
        <v>#DIV/0!</v>
      </c>
      <c r="AH146" s="15" t="e">
        <f t="shared" si="38"/>
        <v>#DIV/0!</v>
      </c>
      <c r="AI146" s="15"/>
      <c r="AJ146" s="15">
        <f t="shared" si="39"/>
        <v>1</v>
      </c>
      <c r="AK146" s="15" t="e">
        <f t="shared" si="40"/>
        <v>#DIV/0!</v>
      </c>
      <c r="AL146" s="14">
        <f t="shared" si="41"/>
        <v>0</v>
      </c>
      <c r="AM146" s="14">
        <f t="shared" ref="AM146:AM209" si="48">B146</f>
        <v>0</v>
      </c>
      <c r="AO146" s="16">
        <f t="shared" ref="AO146:AO177" si="49">AN146+1</f>
        <v>1</v>
      </c>
      <c r="AP146" s="16" t="e">
        <f t="shared" si="42"/>
        <v>#DIV/0!</v>
      </c>
      <c r="AQ146" s="15">
        <v>1</v>
      </c>
      <c r="AR146" s="16" t="e">
        <f t="shared" si="43"/>
        <v>#DIV/0!</v>
      </c>
      <c r="AS146" s="16"/>
      <c r="AT146" s="15" t="e">
        <f t="shared" si="44"/>
        <v>#DIV/0!</v>
      </c>
      <c r="AZ146" s="16"/>
    </row>
    <row r="147" spans="1:52">
      <c r="G147" s="15" t="e">
        <f t="shared" si="46"/>
        <v>#DIV/0!</v>
      </c>
      <c r="P147" s="15" t="e">
        <f t="shared" si="47"/>
        <v>#DIV/0!</v>
      </c>
      <c r="R147" s="78"/>
      <c r="S147" s="85">
        <v>5</v>
      </c>
      <c r="AA147" s="2">
        <f t="shared" si="36"/>
        <v>1</v>
      </c>
      <c r="AC147" s="15">
        <f t="shared" si="45"/>
        <v>0</v>
      </c>
      <c r="AG147" s="85" t="e">
        <f t="shared" si="37"/>
        <v>#DIV/0!</v>
      </c>
      <c r="AH147" s="15" t="e">
        <f t="shared" si="38"/>
        <v>#DIV/0!</v>
      </c>
      <c r="AI147" s="15"/>
      <c r="AJ147" s="15">
        <f t="shared" si="39"/>
        <v>1</v>
      </c>
      <c r="AK147" s="15" t="e">
        <f t="shared" si="40"/>
        <v>#DIV/0!</v>
      </c>
      <c r="AL147" s="14">
        <f t="shared" si="41"/>
        <v>0</v>
      </c>
      <c r="AM147" s="14">
        <f t="shared" si="48"/>
        <v>0</v>
      </c>
      <c r="AO147" s="16">
        <f t="shared" si="49"/>
        <v>1</v>
      </c>
      <c r="AP147" s="16" t="e">
        <f t="shared" si="42"/>
        <v>#DIV/0!</v>
      </c>
      <c r="AQ147" s="15">
        <v>1</v>
      </c>
      <c r="AR147" s="16" t="e">
        <f t="shared" si="43"/>
        <v>#DIV/0!</v>
      </c>
      <c r="AS147" s="16"/>
      <c r="AT147" s="15" t="e">
        <f t="shared" si="44"/>
        <v>#DIV/0!</v>
      </c>
      <c r="AZ147" s="16"/>
    </row>
    <row r="148" spans="1:52">
      <c r="G148" s="15" t="e">
        <f t="shared" si="46"/>
        <v>#DIV/0!</v>
      </c>
      <c r="P148" s="15" t="e">
        <f t="shared" si="47"/>
        <v>#DIV/0!</v>
      </c>
      <c r="R148" s="78"/>
      <c r="S148" s="85">
        <v>5</v>
      </c>
      <c r="AA148" s="2">
        <f t="shared" si="36"/>
        <v>1</v>
      </c>
      <c r="AC148" s="15">
        <f t="shared" si="45"/>
        <v>0</v>
      </c>
      <c r="AG148" s="85" t="e">
        <f t="shared" si="37"/>
        <v>#DIV/0!</v>
      </c>
      <c r="AH148" s="15" t="e">
        <f t="shared" si="38"/>
        <v>#DIV/0!</v>
      </c>
      <c r="AI148" s="15"/>
      <c r="AJ148" s="15">
        <f t="shared" si="39"/>
        <v>1</v>
      </c>
      <c r="AK148" s="15" t="e">
        <f t="shared" si="40"/>
        <v>#DIV/0!</v>
      </c>
      <c r="AL148" s="14">
        <f t="shared" si="41"/>
        <v>0</v>
      </c>
      <c r="AM148" s="14">
        <f t="shared" si="48"/>
        <v>0</v>
      </c>
      <c r="AO148" s="16">
        <f t="shared" si="49"/>
        <v>1</v>
      </c>
      <c r="AP148" s="16" t="e">
        <f t="shared" si="42"/>
        <v>#DIV/0!</v>
      </c>
      <c r="AQ148" s="15">
        <v>1</v>
      </c>
      <c r="AR148" s="16" t="e">
        <f t="shared" si="43"/>
        <v>#DIV/0!</v>
      </c>
      <c r="AS148" s="16"/>
      <c r="AT148" s="15" t="e">
        <f t="shared" si="44"/>
        <v>#DIV/0!</v>
      </c>
      <c r="AZ148" s="16"/>
    </row>
    <row r="149" spans="1:52">
      <c r="G149" s="15" t="e">
        <f t="shared" si="46"/>
        <v>#DIV/0!</v>
      </c>
      <c r="P149" s="15" t="e">
        <f t="shared" si="47"/>
        <v>#DIV/0!</v>
      </c>
      <c r="R149" s="78"/>
      <c r="S149" s="85">
        <v>5</v>
      </c>
      <c r="AA149" s="2">
        <f t="shared" si="36"/>
        <v>1</v>
      </c>
      <c r="AC149" s="15">
        <f t="shared" si="45"/>
        <v>0</v>
      </c>
      <c r="AG149" s="85" t="e">
        <f t="shared" si="37"/>
        <v>#DIV/0!</v>
      </c>
      <c r="AH149" s="15" t="e">
        <f t="shared" si="38"/>
        <v>#DIV/0!</v>
      </c>
      <c r="AI149" s="15"/>
      <c r="AJ149" s="15">
        <f t="shared" si="39"/>
        <v>1</v>
      </c>
      <c r="AK149" s="15" t="e">
        <f t="shared" si="40"/>
        <v>#DIV/0!</v>
      </c>
      <c r="AL149" s="14">
        <f t="shared" si="41"/>
        <v>0</v>
      </c>
      <c r="AM149" s="14">
        <f t="shared" si="48"/>
        <v>0</v>
      </c>
      <c r="AO149" s="16">
        <f t="shared" si="49"/>
        <v>1</v>
      </c>
      <c r="AP149" s="16" t="e">
        <f t="shared" si="42"/>
        <v>#DIV/0!</v>
      </c>
      <c r="AQ149" s="15">
        <v>1</v>
      </c>
      <c r="AR149" s="16" t="e">
        <f t="shared" si="43"/>
        <v>#DIV/0!</v>
      </c>
      <c r="AS149" s="16"/>
      <c r="AT149" s="15" t="e">
        <f t="shared" si="44"/>
        <v>#DIV/0!</v>
      </c>
      <c r="AZ149" s="16"/>
    </row>
    <row r="150" spans="1:52">
      <c r="G150" s="15" t="e">
        <f t="shared" si="46"/>
        <v>#DIV/0!</v>
      </c>
      <c r="P150" s="15" t="e">
        <f t="shared" si="47"/>
        <v>#DIV/0!</v>
      </c>
      <c r="R150" s="78"/>
      <c r="S150" s="85">
        <v>5</v>
      </c>
      <c r="AA150" s="2">
        <f t="shared" si="36"/>
        <v>1</v>
      </c>
      <c r="AC150" s="15">
        <f t="shared" si="45"/>
        <v>0</v>
      </c>
      <c r="AG150" s="85" t="e">
        <f t="shared" si="37"/>
        <v>#DIV/0!</v>
      </c>
      <c r="AH150" s="15" t="e">
        <f t="shared" si="38"/>
        <v>#DIV/0!</v>
      </c>
      <c r="AI150" s="15"/>
      <c r="AJ150" s="15">
        <f t="shared" si="39"/>
        <v>1</v>
      </c>
      <c r="AK150" s="15" t="e">
        <f t="shared" si="40"/>
        <v>#DIV/0!</v>
      </c>
      <c r="AL150" s="14">
        <f t="shared" si="41"/>
        <v>0</v>
      </c>
      <c r="AM150" s="14">
        <f t="shared" si="48"/>
        <v>0</v>
      </c>
      <c r="AO150" s="16">
        <f t="shared" si="49"/>
        <v>1</v>
      </c>
      <c r="AP150" s="16" t="e">
        <f t="shared" si="42"/>
        <v>#DIV/0!</v>
      </c>
      <c r="AQ150" s="15">
        <v>1</v>
      </c>
      <c r="AR150" s="16" t="e">
        <f t="shared" si="43"/>
        <v>#DIV/0!</v>
      </c>
      <c r="AS150" s="16"/>
      <c r="AT150" s="15" t="e">
        <f t="shared" si="44"/>
        <v>#DIV/0!</v>
      </c>
      <c r="AZ150" s="16"/>
    </row>
    <row r="151" spans="1:52">
      <c r="G151" s="15" t="e">
        <f t="shared" si="46"/>
        <v>#DIV/0!</v>
      </c>
      <c r="P151" s="15" t="e">
        <f t="shared" si="47"/>
        <v>#DIV/0!</v>
      </c>
      <c r="R151" s="78"/>
      <c r="S151" s="85">
        <v>5</v>
      </c>
      <c r="AA151" s="2">
        <f t="shared" si="36"/>
        <v>1</v>
      </c>
      <c r="AC151" s="15">
        <f t="shared" si="45"/>
        <v>0</v>
      </c>
      <c r="AG151" s="85" t="e">
        <f t="shared" si="37"/>
        <v>#DIV/0!</v>
      </c>
      <c r="AH151" s="15" t="e">
        <f t="shared" si="38"/>
        <v>#DIV/0!</v>
      </c>
      <c r="AI151" s="15"/>
      <c r="AJ151" s="15">
        <f t="shared" si="39"/>
        <v>1</v>
      </c>
      <c r="AK151" s="15" t="e">
        <f t="shared" si="40"/>
        <v>#DIV/0!</v>
      </c>
      <c r="AL151" s="14">
        <f t="shared" si="41"/>
        <v>0</v>
      </c>
      <c r="AM151" s="14">
        <f t="shared" si="48"/>
        <v>0</v>
      </c>
      <c r="AO151" s="16">
        <f t="shared" si="49"/>
        <v>1</v>
      </c>
      <c r="AP151" s="16" t="e">
        <f t="shared" si="42"/>
        <v>#DIV/0!</v>
      </c>
      <c r="AQ151" s="15">
        <v>1</v>
      </c>
      <c r="AR151" s="16" t="e">
        <f t="shared" si="43"/>
        <v>#DIV/0!</v>
      </c>
      <c r="AS151" s="16"/>
      <c r="AT151" s="15" t="e">
        <f t="shared" si="44"/>
        <v>#DIV/0!</v>
      </c>
      <c r="AZ151" s="16"/>
    </row>
    <row r="152" spans="1:52">
      <c r="G152" s="15" t="e">
        <f t="shared" si="46"/>
        <v>#DIV/0!</v>
      </c>
      <c r="P152" s="15" t="e">
        <f t="shared" si="47"/>
        <v>#DIV/0!</v>
      </c>
      <c r="R152" s="78"/>
      <c r="S152" s="85">
        <v>5</v>
      </c>
      <c r="AA152" s="2">
        <f t="shared" si="36"/>
        <v>1</v>
      </c>
      <c r="AC152" s="15">
        <f t="shared" si="45"/>
        <v>0</v>
      </c>
      <c r="AG152" s="85" t="e">
        <f t="shared" si="37"/>
        <v>#DIV/0!</v>
      </c>
      <c r="AH152" s="15" t="e">
        <f t="shared" si="38"/>
        <v>#DIV/0!</v>
      </c>
      <c r="AI152" s="15"/>
      <c r="AJ152" s="15">
        <f t="shared" si="39"/>
        <v>1</v>
      </c>
      <c r="AK152" s="15" t="e">
        <f t="shared" si="40"/>
        <v>#DIV/0!</v>
      </c>
      <c r="AL152" s="14">
        <f t="shared" si="41"/>
        <v>0</v>
      </c>
      <c r="AM152" s="14">
        <f t="shared" si="48"/>
        <v>0</v>
      </c>
      <c r="AO152" s="16">
        <f t="shared" si="49"/>
        <v>1</v>
      </c>
      <c r="AP152" s="16" t="e">
        <f t="shared" si="42"/>
        <v>#DIV/0!</v>
      </c>
      <c r="AQ152" s="15">
        <v>1</v>
      </c>
      <c r="AR152" s="16" t="e">
        <f t="shared" si="43"/>
        <v>#DIV/0!</v>
      </c>
      <c r="AS152" s="16"/>
      <c r="AT152" s="15" t="e">
        <f t="shared" si="44"/>
        <v>#DIV/0!</v>
      </c>
      <c r="AZ152" s="16"/>
    </row>
    <row r="153" spans="1:52">
      <c r="G153" s="15" t="e">
        <f t="shared" si="46"/>
        <v>#DIV/0!</v>
      </c>
      <c r="P153" s="15" t="e">
        <f t="shared" si="47"/>
        <v>#DIV/0!</v>
      </c>
      <c r="R153" s="78"/>
      <c r="S153" s="85">
        <v>5</v>
      </c>
      <c r="AA153" s="2">
        <f t="shared" si="36"/>
        <v>1</v>
      </c>
      <c r="AC153" s="15">
        <f t="shared" si="45"/>
        <v>0</v>
      </c>
      <c r="AG153" s="85" t="e">
        <f t="shared" si="37"/>
        <v>#DIV/0!</v>
      </c>
      <c r="AH153" s="15" t="e">
        <f t="shared" si="38"/>
        <v>#DIV/0!</v>
      </c>
      <c r="AI153" s="15"/>
      <c r="AJ153" s="15">
        <f t="shared" si="39"/>
        <v>1</v>
      </c>
      <c r="AK153" s="15" t="e">
        <f t="shared" si="40"/>
        <v>#DIV/0!</v>
      </c>
      <c r="AL153" s="14">
        <f t="shared" si="41"/>
        <v>0</v>
      </c>
      <c r="AM153" s="14">
        <f t="shared" si="48"/>
        <v>0</v>
      </c>
      <c r="AO153" s="16">
        <f t="shared" si="49"/>
        <v>1</v>
      </c>
      <c r="AP153" s="16" t="e">
        <f t="shared" si="42"/>
        <v>#DIV/0!</v>
      </c>
      <c r="AQ153" s="15">
        <v>1</v>
      </c>
      <c r="AR153" s="16" t="e">
        <f t="shared" si="43"/>
        <v>#DIV/0!</v>
      </c>
      <c r="AS153" s="16"/>
      <c r="AT153" s="15" t="e">
        <f t="shared" si="44"/>
        <v>#DIV/0!</v>
      </c>
      <c r="AZ153" s="16"/>
    </row>
    <row r="154" spans="1:52">
      <c r="G154" s="15" t="e">
        <f t="shared" si="46"/>
        <v>#DIV/0!</v>
      </c>
      <c r="P154" s="15" t="e">
        <f t="shared" si="47"/>
        <v>#DIV/0!</v>
      </c>
      <c r="R154" s="78"/>
      <c r="S154" s="85">
        <v>5</v>
      </c>
      <c r="AA154" s="2">
        <f t="shared" si="36"/>
        <v>1</v>
      </c>
      <c r="AC154" s="15">
        <f t="shared" si="45"/>
        <v>0</v>
      </c>
      <c r="AG154" s="85" t="e">
        <f t="shared" si="37"/>
        <v>#DIV/0!</v>
      </c>
      <c r="AH154" s="15" t="e">
        <f t="shared" si="38"/>
        <v>#DIV/0!</v>
      </c>
      <c r="AI154" s="15"/>
      <c r="AJ154" s="15">
        <f t="shared" si="39"/>
        <v>1</v>
      </c>
      <c r="AK154" s="15" t="e">
        <f t="shared" si="40"/>
        <v>#DIV/0!</v>
      </c>
      <c r="AL154" s="14">
        <f t="shared" si="41"/>
        <v>0</v>
      </c>
      <c r="AM154" s="14">
        <f t="shared" si="48"/>
        <v>0</v>
      </c>
      <c r="AO154" s="16">
        <f t="shared" si="49"/>
        <v>1</v>
      </c>
      <c r="AP154" s="16" t="e">
        <f t="shared" si="42"/>
        <v>#DIV/0!</v>
      </c>
      <c r="AQ154" s="15">
        <v>1</v>
      </c>
      <c r="AR154" s="16" t="e">
        <f t="shared" si="43"/>
        <v>#DIV/0!</v>
      </c>
      <c r="AS154" s="16"/>
      <c r="AT154" s="15" t="e">
        <f t="shared" si="44"/>
        <v>#DIV/0!</v>
      </c>
      <c r="AZ154" s="16"/>
    </row>
    <row r="155" spans="1:52">
      <c r="G155" s="15" t="e">
        <f t="shared" si="46"/>
        <v>#DIV/0!</v>
      </c>
      <c r="P155" s="15" t="e">
        <f t="shared" si="47"/>
        <v>#DIV/0!</v>
      </c>
      <c r="R155" s="78"/>
      <c r="S155" s="85">
        <v>5</v>
      </c>
      <c r="AA155" s="2">
        <f t="shared" si="36"/>
        <v>1</v>
      </c>
      <c r="AC155" s="15">
        <f t="shared" si="45"/>
        <v>0</v>
      </c>
      <c r="AG155" s="85" t="e">
        <f t="shared" si="37"/>
        <v>#DIV/0!</v>
      </c>
      <c r="AH155" s="15" t="e">
        <f t="shared" si="38"/>
        <v>#DIV/0!</v>
      </c>
      <c r="AI155" s="15"/>
      <c r="AJ155" s="15">
        <f t="shared" si="39"/>
        <v>1</v>
      </c>
      <c r="AK155" s="15" t="e">
        <f t="shared" si="40"/>
        <v>#DIV/0!</v>
      </c>
      <c r="AL155" s="14">
        <f t="shared" si="41"/>
        <v>0</v>
      </c>
      <c r="AM155" s="14">
        <f t="shared" si="48"/>
        <v>0</v>
      </c>
      <c r="AO155" s="16">
        <f t="shared" si="49"/>
        <v>1</v>
      </c>
      <c r="AP155" s="16" t="e">
        <f t="shared" si="42"/>
        <v>#DIV/0!</v>
      </c>
      <c r="AQ155" s="15">
        <v>1</v>
      </c>
      <c r="AR155" s="16" t="e">
        <f t="shared" si="43"/>
        <v>#DIV/0!</v>
      </c>
      <c r="AS155" s="16"/>
      <c r="AT155" s="15" t="e">
        <f t="shared" si="44"/>
        <v>#DIV/0!</v>
      </c>
      <c r="AZ155" s="16"/>
    </row>
    <row r="156" spans="1:52">
      <c r="G156" s="15" t="e">
        <f t="shared" si="46"/>
        <v>#DIV/0!</v>
      </c>
      <c r="P156" s="15" t="e">
        <f t="shared" si="47"/>
        <v>#DIV/0!</v>
      </c>
      <c r="R156" s="78"/>
      <c r="S156" s="85">
        <v>5</v>
      </c>
      <c r="AA156" s="2">
        <f t="shared" si="36"/>
        <v>1</v>
      </c>
      <c r="AC156" s="15">
        <f t="shared" si="45"/>
        <v>0</v>
      </c>
      <c r="AG156" s="85" t="e">
        <f t="shared" si="37"/>
        <v>#DIV/0!</v>
      </c>
      <c r="AH156" s="15" t="e">
        <f t="shared" si="38"/>
        <v>#DIV/0!</v>
      </c>
      <c r="AI156" s="15"/>
      <c r="AJ156" s="15">
        <f t="shared" si="39"/>
        <v>1</v>
      </c>
      <c r="AK156" s="15" t="e">
        <f t="shared" si="40"/>
        <v>#DIV/0!</v>
      </c>
      <c r="AL156" s="14">
        <f t="shared" si="41"/>
        <v>0</v>
      </c>
      <c r="AM156" s="14">
        <f t="shared" si="48"/>
        <v>0</v>
      </c>
      <c r="AO156" s="16">
        <f t="shared" si="49"/>
        <v>1</v>
      </c>
      <c r="AP156" s="16" t="e">
        <f t="shared" si="42"/>
        <v>#DIV/0!</v>
      </c>
      <c r="AQ156" s="15">
        <v>1</v>
      </c>
      <c r="AR156" s="16" t="e">
        <f t="shared" si="43"/>
        <v>#DIV/0!</v>
      </c>
      <c r="AS156" s="16"/>
      <c r="AT156" s="15" t="e">
        <f t="shared" si="44"/>
        <v>#DIV/0!</v>
      </c>
      <c r="AZ156" s="16"/>
    </row>
    <row r="157" spans="1:52">
      <c r="G157" s="15" t="e">
        <f t="shared" si="46"/>
        <v>#DIV/0!</v>
      </c>
      <c r="P157" s="15" t="e">
        <f t="shared" si="47"/>
        <v>#DIV/0!</v>
      </c>
      <c r="R157" s="78"/>
      <c r="S157" s="85">
        <v>5</v>
      </c>
      <c r="AA157" s="2">
        <f t="shared" si="36"/>
        <v>1</v>
      </c>
      <c r="AC157" s="15">
        <f t="shared" si="45"/>
        <v>0</v>
      </c>
      <c r="AG157" s="85" t="e">
        <f t="shared" si="37"/>
        <v>#DIV/0!</v>
      </c>
      <c r="AH157" s="15" t="e">
        <f t="shared" si="38"/>
        <v>#DIV/0!</v>
      </c>
      <c r="AI157" s="15"/>
      <c r="AJ157" s="15">
        <f t="shared" si="39"/>
        <v>1</v>
      </c>
      <c r="AK157" s="15" t="e">
        <f t="shared" si="40"/>
        <v>#DIV/0!</v>
      </c>
      <c r="AL157" s="14">
        <f t="shared" si="41"/>
        <v>0</v>
      </c>
      <c r="AM157" s="14">
        <f t="shared" si="48"/>
        <v>0</v>
      </c>
      <c r="AO157" s="16">
        <f t="shared" si="49"/>
        <v>1</v>
      </c>
      <c r="AP157" s="16" t="e">
        <f t="shared" si="42"/>
        <v>#DIV/0!</v>
      </c>
      <c r="AQ157" s="15">
        <v>1</v>
      </c>
      <c r="AR157" s="16" t="e">
        <f t="shared" si="43"/>
        <v>#DIV/0!</v>
      </c>
      <c r="AS157" s="16"/>
      <c r="AT157" s="15" t="e">
        <f t="shared" si="44"/>
        <v>#DIV/0!</v>
      </c>
      <c r="AZ157" s="16"/>
    </row>
    <row r="158" spans="1:52">
      <c r="G158" s="15" t="e">
        <f t="shared" si="46"/>
        <v>#DIV/0!</v>
      </c>
      <c r="P158" s="15" t="e">
        <f t="shared" si="47"/>
        <v>#DIV/0!</v>
      </c>
      <c r="R158" s="78"/>
      <c r="S158" s="85">
        <v>5</v>
      </c>
      <c r="AA158" s="2">
        <f t="shared" si="36"/>
        <v>1</v>
      </c>
      <c r="AC158" s="15">
        <f t="shared" si="45"/>
        <v>0</v>
      </c>
      <c r="AG158" s="85" t="e">
        <f t="shared" si="37"/>
        <v>#DIV/0!</v>
      </c>
      <c r="AH158" s="15" t="e">
        <f t="shared" si="38"/>
        <v>#DIV/0!</v>
      </c>
      <c r="AI158" s="15"/>
      <c r="AJ158" s="15">
        <f t="shared" si="39"/>
        <v>1</v>
      </c>
      <c r="AK158" s="15" t="e">
        <f t="shared" si="40"/>
        <v>#DIV/0!</v>
      </c>
      <c r="AL158" s="14">
        <f t="shared" si="41"/>
        <v>0</v>
      </c>
      <c r="AM158" s="14">
        <f t="shared" si="48"/>
        <v>0</v>
      </c>
      <c r="AO158" s="16">
        <f t="shared" si="49"/>
        <v>1</v>
      </c>
      <c r="AP158" s="16" t="e">
        <f t="shared" si="42"/>
        <v>#DIV/0!</v>
      </c>
      <c r="AQ158" s="15">
        <v>1</v>
      </c>
      <c r="AR158" s="16" t="e">
        <f t="shared" si="43"/>
        <v>#DIV/0!</v>
      </c>
      <c r="AS158" s="16"/>
      <c r="AT158" s="15" t="e">
        <f t="shared" si="44"/>
        <v>#DIV/0!</v>
      </c>
      <c r="AZ158" s="16"/>
    </row>
    <row r="159" spans="1:52">
      <c r="G159" s="15" t="e">
        <f t="shared" si="46"/>
        <v>#DIV/0!</v>
      </c>
      <c r="P159" s="15" t="e">
        <f t="shared" si="47"/>
        <v>#DIV/0!</v>
      </c>
      <c r="R159" s="78"/>
      <c r="S159" s="85">
        <v>5</v>
      </c>
      <c r="AA159" s="2">
        <f t="shared" si="36"/>
        <v>1</v>
      </c>
      <c r="AC159" s="15">
        <f t="shared" si="45"/>
        <v>0</v>
      </c>
      <c r="AG159" s="85" t="e">
        <f t="shared" si="37"/>
        <v>#DIV/0!</v>
      </c>
      <c r="AH159" s="15" t="e">
        <f t="shared" si="38"/>
        <v>#DIV/0!</v>
      </c>
      <c r="AI159" s="15"/>
      <c r="AJ159" s="15">
        <f t="shared" si="39"/>
        <v>1</v>
      </c>
      <c r="AK159" s="15" t="e">
        <f t="shared" si="40"/>
        <v>#DIV/0!</v>
      </c>
      <c r="AL159" s="14">
        <f t="shared" si="41"/>
        <v>0</v>
      </c>
      <c r="AM159" s="14">
        <f t="shared" si="48"/>
        <v>0</v>
      </c>
      <c r="AO159" s="16">
        <f t="shared" si="49"/>
        <v>1</v>
      </c>
      <c r="AP159" s="16" t="e">
        <f t="shared" si="42"/>
        <v>#DIV/0!</v>
      </c>
      <c r="AQ159" s="15">
        <v>1</v>
      </c>
      <c r="AR159" s="16" t="e">
        <f t="shared" si="43"/>
        <v>#DIV/0!</v>
      </c>
      <c r="AS159" s="16"/>
      <c r="AT159" s="15" t="e">
        <f t="shared" si="44"/>
        <v>#DIV/0!</v>
      </c>
      <c r="AZ159" s="16"/>
    </row>
    <row r="160" spans="1:52">
      <c r="G160" s="15" t="e">
        <f t="shared" si="46"/>
        <v>#DIV/0!</v>
      </c>
      <c r="P160" s="15" t="e">
        <f t="shared" si="47"/>
        <v>#DIV/0!</v>
      </c>
      <c r="R160" s="78"/>
      <c r="S160" s="85">
        <v>5</v>
      </c>
      <c r="AA160" s="2">
        <f t="shared" si="36"/>
        <v>1</v>
      </c>
      <c r="AC160" s="15">
        <f t="shared" si="45"/>
        <v>0</v>
      </c>
      <c r="AG160" s="85" t="e">
        <f t="shared" si="37"/>
        <v>#DIV/0!</v>
      </c>
      <c r="AH160" s="15" t="e">
        <f t="shared" si="38"/>
        <v>#DIV/0!</v>
      </c>
      <c r="AI160" s="15"/>
      <c r="AJ160" s="15">
        <f t="shared" si="39"/>
        <v>1</v>
      </c>
      <c r="AK160" s="15" t="e">
        <f t="shared" si="40"/>
        <v>#DIV/0!</v>
      </c>
      <c r="AL160" s="14">
        <f t="shared" si="41"/>
        <v>0</v>
      </c>
      <c r="AM160" s="14">
        <f t="shared" si="48"/>
        <v>0</v>
      </c>
      <c r="AO160" s="16">
        <f t="shared" si="49"/>
        <v>1</v>
      </c>
      <c r="AP160" s="16" t="e">
        <f t="shared" si="42"/>
        <v>#DIV/0!</v>
      </c>
      <c r="AQ160" s="15">
        <v>1</v>
      </c>
      <c r="AR160" s="16" t="e">
        <f t="shared" si="43"/>
        <v>#DIV/0!</v>
      </c>
      <c r="AS160" s="16"/>
      <c r="AT160" s="15" t="e">
        <f t="shared" si="44"/>
        <v>#DIV/0!</v>
      </c>
      <c r="AZ160" s="16"/>
    </row>
    <row r="161" spans="7:52">
      <c r="G161" s="15" t="e">
        <f t="shared" si="46"/>
        <v>#DIV/0!</v>
      </c>
      <c r="P161" s="15" t="e">
        <f t="shared" si="47"/>
        <v>#DIV/0!</v>
      </c>
      <c r="R161" s="78"/>
      <c r="S161" s="85">
        <v>5</v>
      </c>
      <c r="AA161" s="2">
        <f t="shared" si="36"/>
        <v>1</v>
      </c>
      <c r="AC161" s="15">
        <f t="shared" si="45"/>
        <v>0</v>
      </c>
      <c r="AG161" s="85" t="e">
        <f t="shared" si="37"/>
        <v>#DIV/0!</v>
      </c>
      <c r="AH161" s="15" t="e">
        <f t="shared" si="38"/>
        <v>#DIV/0!</v>
      </c>
      <c r="AI161" s="15"/>
      <c r="AJ161" s="15">
        <f t="shared" si="39"/>
        <v>1</v>
      </c>
      <c r="AK161" s="15" t="e">
        <f t="shared" si="40"/>
        <v>#DIV/0!</v>
      </c>
      <c r="AL161" s="14">
        <f t="shared" si="41"/>
        <v>0</v>
      </c>
      <c r="AM161" s="14">
        <f t="shared" si="48"/>
        <v>0</v>
      </c>
      <c r="AO161" s="16">
        <f t="shared" si="49"/>
        <v>1</v>
      </c>
      <c r="AP161" s="16" t="e">
        <f t="shared" si="42"/>
        <v>#DIV/0!</v>
      </c>
      <c r="AQ161" s="15">
        <v>1</v>
      </c>
      <c r="AR161" s="16" t="e">
        <f t="shared" si="43"/>
        <v>#DIV/0!</v>
      </c>
      <c r="AS161" s="16"/>
      <c r="AT161" s="15" t="e">
        <f t="shared" si="44"/>
        <v>#DIV/0!</v>
      </c>
      <c r="AZ161" s="16"/>
    </row>
    <row r="162" spans="7:52">
      <c r="G162" s="15" t="e">
        <f t="shared" si="46"/>
        <v>#DIV/0!</v>
      </c>
      <c r="P162" s="15" t="e">
        <f t="shared" si="47"/>
        <v>#DIV/0!</v>
      </c>
      <c r="R162" s="78"/>
      <c r="S162" s="85">
        <v>5</v>
      </c>
      <c r="AA162" s="2">
        <f t="shared" si="36"/>
        <v>1</v>
      </c>
      <c r="AC162" s="15">
        <f t="shared" si="45"/>
        <v>0</v>
      </c>
      <c r="AG162" s="85" t="e">
        <f t="shared" si="37"/>
        <v>#DIV/0!</v>
      </c>
      <c r="AH162" s="15" t="e">
        <f t="shared" si="38"/>
        <v>#DIV/0!</v>
      </c>
      <c r="AI162" s="15"/>
      <c r="AJ162" s="15">
        <f t="shared" si="39"/>
        <v>1</v>
      </c>
      <c r="AK162" s="15" t="e">
        <f t="shared" si="40"/>
        <v>#DIV/0!</v>
      </c>
      <c r="AL162" s="14">
        <f t="shared" si="41"/>
        <v>0</v>
      </c>
      <c r="AM162" s="14">
        <f t="shared" si="48"/>
        <v>0</v>
      </c>
      <c r="AO162" s="16">
        <f t="shared" si="49"/>
        <v>1</v>
      </c>
      <c r="AP162" s="16" t="e">
        <f t="shared" si="42"/>
        <v>#DIV/0!</v>
      </c>
      <c r="AQ162" s="15">
        <v>1</v>
      </c>
      <c r="AR162" s="16" t="e">
        <f t="shared" si="43"/>
        <v>#DIV/0!</v>
      </c>
      <c r="AS162" s="16"/>
      <c r="AT162" s="15" t="e">
        <f t="shared" si="44"/>
        <v>#DIV/0!</v>
      </c>
      <c r="AZ162" s="16"/>
    </row>
    <row r="163" spans="7:52">
      <c r="G163" s="15" t="e">
        <f t="shared" si="46"/>
        <v>#DIV/0!</v>
      </c>
      <c r="P163" s="15" t="e">
        <f t="shared" si="47"/>
        <v>#DIV/0!</v>
      </c>
      <c r="R163" s="78"/>
      <c r="S163" s="85">
        <v>5</v>
      </c>
      <c r="AA163" s="2">
        <f t="shared" si="36"/>
        <v>1</v>
      </c>
      <c r="AC163" s="15">
        <f t="shared" si="45"/>
        <v>0</v>
      </c>
      <c r="AG163" s="85" t="e">
        <f t="shared" si="37"/>
        <v>#DIV/0!</v>
      </c>
      <c r="AH163" s="15" t="e">
        <f t="shared" si="38"/>
        <v>#DIV/0!</v>
      </c>
      <c r="AI163" s="15"/>
      <c r="AJ163" s="15">
        <f t="shared" si="39"/>
        <v>1</v>
      </c>
      <c r="AK163" s="15" t="e">
        <f t="shared" si="40"/>
        <v>#DIV/0!</v>
      </c>
      <c r="AL163" s="14">
        <f t="shared" si="41"/>
        <v>0</v>
      </c>
      <c r="AM163" s="14">
        <f t="shared" si="48"/>
        <v>0</v>
      </c>
      <c r="AO163" s="16">
        <f t="shared" si="49"/>
        <v>1</v>
      </c>
      <c r="AP163" s="16" t="e">
        <f t="shared" si="42"/>
        <v>#DIV/0!</v>
      </c>
      <c r="AQ163" s="15">
        <v>1</v>
      </c>
      <c r="AR163" s="16" t="e">
        <f t="shared" si="43"/>
        <v>#DIV/0!</v>
      </c>
      <c r="AS163" s="16"/>
      <c r="AT163" s="15" t="e">
        <f t="shared" si="44"/>
        <v>#DIV/0!</v>
      </c>
      <c r="AZ163" s="16"/>
    </row>
    <row r="164" spans="7:52">
      <c r="G164" s="15" t="e">
        <f t="shared" si="46"/>
        <v>#DIV/0!</v>
      </c>
      <c r="P164" s="15" t="e">
        <f t="shared" si="47"/>
        <v>#DIV/0!</v>
      </c>
      <c r="R164" s="78"/>
      <c r="S164" s="85">
        <v>5</v>
      </c>
      <c r="AA164" s="2">
        <f t="shared" si="36"/>
        <v>1</v>
      </c>
      <c r="AC164" s="15">
        <f t="shared" si="45"/>
        <v>0</v>
      </c>
      <c r="AG164" s="85" t="e">
        <f t="shared" si="37"/>
        <v>#DIV/0!</v>
      </c>
      <c r="AH164" s="15" t="e">
        <f t="shared" si="38"/>
        <v>#DIV/0!</v>
      </c>
      <c r="AI164" s="15"/>
      <c r="AJ164" s="15">
        <f t="shared" si="39"/>
        <v>1</v>
      </c>
      <c r="AK164" s="15" t="e">
        <f t="shared" si="40"/>
        <v>#DIV/0!</v>
      </c>
      <c r="AL164" s="14">
        <f t="shared" si="41"/>
        <v>0</v>
      </c>
      <c r="AM164" s="14">
        <f t="shared" si="48"/>
        <v>0</v>
      </c>
      <c r="AO164" s="16">
        <f t="shared" si="49"/>
        <v>1</v>
      </c>
      <c r="AP164" s="16" t="e">
        <f t="shared" si="42"/>
        <v>#DIV/0!</v>
      </c>
      <c r="AQ164" s="15">
        <v>1</v>
      </c>
      <c r="AR164" s="16" t="e">
        <f t="shared" si="43"/>
        <v>#DIV/0!</v>
      </c>
      <c r="AS164" s="16"/>
      <c r="AT164" s="15" t="e">
        <f t="shared" si="44"/>
        <v>#DIV/0!</v>
      </c>
      <c r="AZ164" s="16"/>
    </row>
    <row r="165" spans="7:52">
      <c r="G165" s="15" t="e">
        <f t="shared" si="46"/>
        <v>#DIV/0!</v>
      </c>
      <c r="P165" s="15" t="e">
        <f t="shared" si="47"/>
        <v>#DIV/0!</v>
      </c>
      <c r="R165" s="78"/>
      <c r="S165" s="85">
        <v>5</v>
      </c>
      <c r="AA165" s="2">
        <f t="shared" si="36"/>
        <v>1</v>
      </c>
      <c r="AC165" s="15">
        <f t="shared" si="45"/>
        <v>0</v>
      </c>
      <c r="AG165" s="85" t="e">
        <f t="shared" si="37"/>
        <v>#DIV/0!</v>
      </c>
      <c r="AH165" s="15" t="e">
        <f t="shared" si="38"/>
        <v>#DIV/0!</v>
      </c>
      <c r="AI165" s="15"/>
      <c r="AJ165" s="15">
        <f t="shared" si="39"/>
        <v>1</v>
      </c>
      <c r="AK165" s="15" t="e">
        <f t="shared" si="40"/>
        <v>#DIV/0!</v>
      </c>
      <c r="AL165" s="14">
        <f t="shared" si="41"/>
        <v>0</v>
      </c>
      <c r="AM165" s="14">
        <f t="shared" si="48"/>
        <v>0</v>
      </c>
      <c r="AO165" s="16">
        <f t="shared" si="49"/>
        <v>1</v>
      </c>
      <c r="AP165" s="16" t="e">
        <f t="shared" si="42"/>
        <v>#DIV/0!</v>
      </c>
      <c r="AQ165" s="15">
        <v>1</v>
      </c>
      <c r="AR165" s="16" t="e">
        <f t="shared" si="43"/>
        <v>#DIV/0!</v>
      </c>
      <c r="AS165" s="16"/>
      <c r="AT165" s="15" t="e">
        <f t="shared" si="44"/>
        <v>#DIV/0!</v>
      </c>
      <c r="AZ165" s="16"/>
    </row>
    <row r="166" spans="7:52">
      <c r="G166" s="15" t="e">
        <f t="shared" si="46"/>
        <v>#DIV/0!</v>
      </c>
      <c r="P166" s="15" t="e">
        <f t="shared" si="47"/>
        <v>#DIV/0!</v>
      </c>
      <c r="R166" s="78"/>
      <c r="S166" s="85">
        <v>5</v>
      </c>
      <c r="AA166" s="2">
        <f t="shared" si="36"/>
        <v>1</v>
      </c>
      <c r="AC166" s="15">
        <f t="shared" si="45"/>
        <v>0</v>
      </c>
      <c r="AG166" s="85" t="e">
        <f t="shared" si="37"/>
        <v>#DIV/0!</v>
      </c>
      <c r="AH166" s="15" t="e">
        <f t="shared" si="38"/>
        <v>#DIV/0!</v>
      </c>
      <c r="AI166" s="15"/>
      <c r="AJ166" s="15">
        <f t="shared" si="39"/>
        <v>1</v>
      </c>
      <c r="AK166" s="15" t="e">
        <f t="shared" si="40"/>
        <v>#DIV/0!</v>
      </c>
      <c r="AL166" s="14">
        <f t="shared" si="41"/>
        <v>0</v>
      </c>
      <c r="AM166" s="14">
        <f t="shared" si="48"/>
        <v>0</v>
      </c>
      <c r="AO166" s="16">
        <f t="shared" si="49"/>
        <v>1</v>
      </c>
      <c r="AP166" s="16" t="e">
        <f t="shared" si="42"/>
        <v>#DIV/0!</v>
      </c>
      <c r="AQ166" s="15">
        <v>1</v>
      </c>
      <c r="AR166" s="16" t="e">
        <f t="shared" si="43"/>
        <v>#DIV/0!</v>
      </c>
      <c r="AS166" s="16"/>
      <c r="AT166" s="15" t="e">
        <f t="shared" si="44"/>
        <v>#DIV/0!</v>
      </c>
      <c r="AZ166" s="16"/>
    </row>
    <row r="167" spans="7:52">
      <c r="G167" s="15" t="e">
        <f t="shared" si="46"/>
        <v>#DIV/0!</v>
      </c>
      <c r="P167" s="15" t="e">
        <f t="shared" si="47"/>
        <v>#DIV/0!</v>
      </c>
      <c r="R167" s="78"/>
      <c r="S167" s="85">
        <v>5</v>
      </c>
      <c r="AA167" s="2">
        <f t="shared" si="36"/>
        <v>1</v>
      </c>
      <c r="AC167" s="15">
        <f t="shared" si="45"/>
        <v>0</v>
      </c>
      <c r="AG167" s="85" t="e">
        <f t="shared" si="37"/>
        <v>#DIV/0!</v>
      </c>
      <c r="AH167" s="15" t="e">
        <f t="shared" si="38"/>
        <v>#DIV/0!</v>
      </c>
      <c r="AI167" s="15"/>
      <c r="AJ167" s="15">
        <f t="shared" si="39"/>
        <v>1</v>
      </c>
      <c r="AK167" s="15" t="e">
        <f t="shared" si="40"/>
        <v>#DIV/0!</v>
      </c>
      <c r="AL167" s="14">
        <f t="shared" si="41"/>
        <v>0</v>
      </c>
      <c r="AM167" s="14">
        <f t="shared" si="48"/>
        <v>0</v>
      </c>
      <c r="AO167" s="16">
        <f t="shared" si="49"/>
        <v>1</v>
      </c>
      <c r="AP167" s="16" t="e">
        <f t="shared" si="42"/>
        <v>#DIV/0!</v>
      </c>
      <c r="AQ167" s="15">
        <v>1</v>
      </c>
      <c r="AR167" s="16" t="e">
        <f t="shared" si="43"/>
        <v>#DIV/0!</v>
      </c>
      <c r="AS167" s="16"/>
      <c r="AT167" s="15" t="e">
        <f t="shared" si="44"/>
        <v>#DIV/0!</v>
      </c>
      <c r="AZ167" s="16"/>
    </row>
    <row r="168" spans="7:52">
      <c r="G168" s="15" t="e">
        <f t="shared" si="46"/>
        <v>#DIV/0!</v>
      </c>
      <c r="P168" s="15" t="e">
        <f t="shared" si="47"/>
        <v>#DIV/0!</v>
      </c>
      <c r="R168" s="78"/>
      <c r="S168" s="85">
        <v>5</v>
      </c>
      <c r="AA168" s="2">
        <f t="shared" si="36"/>
        <v>1</v>
      </c>
      <c r="AC168" s="15">
        <f t="shared" si="45"/>
        <v>0</v>
      </c>
      <c r="AG168" s="85" t="e">
        <f t="shared" si="37"/>
        <v>#DIV/0!</v>
      </c>
      <c r="AH168" s="15" t="e">
        <f t="shared" si="38"/>
        <v>#DIV/0!</v>
      </c>
      <c r="AI168" s="15"/>
      <c r="AJ168" s="15">
        <f t="shared" si="39"/>
        <v>1</v>
      </c>
      <c r="AK168" s="15" t="e">
        <f t="shared" si="40"/>
        <v>#DIV/0!</v>
      </c>
      <c r="AL168" s="14">
        <f t="shared" si="41"/>
        <v>0</v>
      </c>
      <c r="AM168" s="14">
        <f t="shared" si="48"/>
        <v>0</v>
      </c>
      <c r="AO168" s="16">
        <f t="shared" si="49"/>
        <v>1</v>
      </c>
      <c r="AP168" s="16" t="e">
        <f t="shared" si="42"/>
        <v>#DIV/0!</v>
      </c>
      <c r="AQ168" s="15">
        <v>1</v>
      </c>
      <c r="AR168" s="16" t="e">
        <f t="shared" si="43"/>
        <v>#DIV/0!</v>
      </c>
      <c r="AS168" s="16"/>
      <c r="AT168" s="15" t="e">
        <f t="shared" si="44"/>
        <v>#DIV/0!</v>
      </c>
      <c r="AZ168" s="16"/>
    </row>
    <row r="169" spans="7:52">
      <c r="G169" s="15" t="e">
        <f t="shared" si="46"/>
        <v>#DIV/0!</v>
      </c>
      <c r="P169" s="15" t="e">
        <f t="shared" si="47"/>
        <v>#DIV/0!</v>
      </c>
      <c r="R169" s="78"/>
      <c r="S169" s="85">
        <v>5</v>
      </c>
      <c r="AA169" s="2">
        <f t="shared" si="36"/>
        <v>1</v>
      </c>
      <c r="AC169" s="15">
        <f t="shared" si="45"/>
        <v>0</v>
      </c>
      <c r="AG169" s="85" t="e">
        <f t="shared" si="37"/>
        <v>#DIV/0!</v>
      </c>
      <c r="AH169" s="15" t="e">
        <f t="shared" si="38"/>
        <v>#DIV/0!</v>
      </c>
      <c r="AI169" s="15"/>
      <c r="AJ169" s="15">
        <f t="shared" si="39"/>
        <v>1</v>
      </c>
      <c r="AK169" s="15" t="e">
        <f t="shared" si="40"/>
        <v>#DIV/0!</v>
      </c>
      <c r="AL169" s="14">
        <f t="shared" si="41"/>
        <v>0</v>
      </c>
      <c r="AM169" s="14">
        <f t="shared" si="48"/>
        <v>0</v>
      </c>
      <c r="AO169" s="16">
        <f t="shared" si="49"/>
        <v>1</v>
      </c>
      <c r="AP169" s="16" t="e">
        <f t="shared" si="42"/>
        <v>#DIV/0!</v>
      </c>
      <c r="AQ169" s="15">
        <v>1</v>
      </c>
      <c r="AR169" s="16" t="e">
        <f t="shared" si="43"/>
        <v>#DIV/0!</v>
      </c>
      <c r="AS169" s="16"/>
      <c r="AT169" s="15" t="e">
        <f t="shared" si="44"/>
        <v>#DIV/0!</v>
      </c>
      <c r="AZ169" s="16"/>
    </row>
    <row r="170" spans="7:52">
      <c r="G170" s="15" t="e">
        <f t="shared" si="46"/>
        <v>#DIV/0!</v>
      </c>
      <c r="P170" s="15" t="e">
        <f t="shared" si="47"/>
        <v>#DIV/0!</v>
      </c>
      <c r="R170" s="78"/>
      <c r="S170" s="85">
        <v>5</v>
      </c>
      <c r="AA170" s="2">
        <f t="shared" si="36"/>
        <v>1</v>
      </c>
      <c r="AC170" s="15">
        <f t="shared" si="45"/>
        <v>0</v>
      </c>
      <c r="AG170" s="85" t="e">
        <f t="shared" si="37"/>
        <v>#DIV/0!</v>
      </c>
      <c r="AH170" s="15" t="e">
        <f t="shared" si="38"/>
        <v>#DIV/0!</v>
      </c>
      <c r="AI170" s="15"/>
      <c r="AJ170" s="15">
        <f t="shared" si="39"/>
        <v>1</v>
      </c>
      <c r="AK170" s="15" t="e">
        <f t="shared" si="40"/>
        <v>#DIV/0!</v>
      </c>
      <c r="AL170" s="14">
        <f t="shared" si="41"/>
        <v>0</v>
      </c>
      <c r="AM170" s="14">
        <f t="shared" si="48"/>
        <v>0</v>
      </c>
      <c r="AO170" s="16">
        <f t="shared" si="49"/>
        <v>1</v>
      </c>
      <c r="AP170" s="16" t="e">
        <f t="shared" si="42"/>
        <v>#DIV/0!</v>
      </c>
      <c r="AQ170" s="15">
        <v>1</v>
      </c>
      <c r="AR170" s="16" t="e">
        <f t="shared" si="43"/>
        <v>#DIV/0!</v>
      </c>
      <c r="AS170" s="16"/>
      <c r="AT170" s="15" t="e">
        <f t="shared" si="44"/>
        <v>#DIV/0!</v>
      </c>
      <c r="AZ170" s="16"/>
    </row>
    <row r="171" spans="7:52">
      <c r="G171" s="15" t="e">
        <f t="shared" si="46"/>
        <v>#DIV/0!</v>
      </c>
      <c r="P171" s="15" t="e">
        <f t="shared" si="47"/>
        <v>#DIV/0!</v>
      </c>
      <c r="R171" s="78"/>
      <c r="S171" s="85">
        <v>5</v>
      </c>
      <c r="AA171" s="2">
        <f t="shared" si="36"/>
        <v>1</v>
      </c>
      <c r="AC171" s="15">
        <f t="shared" si="45"/>
        <v>0</v>
      </c>
      <c r="AG171" s="85" t="e">
        <f t="shared" si="37"/>
        <v>#DIV/0!</v>
      </c>
      <c r="AH171" s="15" t="e">
        <f t="shared" si="38"/>
        <v>#DIV/0!</v>
      </c>
      <c r="AI171" s="15"/>
      <c r="AJ171" s="15">
        <f t="shared" si="39"/>
        <v>1</v>
      </c>
      <c r="AK171" s="15" t="e">
        <f t="shared" si="40"/>
        <v>#DIV/0!</v>
      </c>
      <c r="AL171" s="14">
        <f t="shared" si="41"/>
        <v>0</v>
      </c>
      <c r="AM171" s="14">
        <f t="shared" si="48"/>
        <v>0</v>
      </c>
      <c r="AO171" s="16">
        <f t="shared" si="49"/>
        <v>1</v>
      </c>
      <c r="AP171" s="16" t="e">
        <f t="shared" si="42"/>
        <v>#DIV/0!</v>
      </c>
      <c r="AQ171" s="15">
        <v>1</v>
      </c>
      <c r="AR171" s="16" t="e">
        <f t="shared" si="43"/>
        <v>#DIV/0!</v>
      </c>
      <c r="AS171" s="16"/>
      <c r="AT171" s="15" t="e">
        <f t="shared" si="44"/>
        <v>#DIV/0!</v>
      </c>
      <c r="AZ171" s="16"/>
    </row>
    <row r="172" spans="7:52">
      <c r="G172" s="15" t="e">
        <f t="shared" si="46"/>
        <v>#DIV/0!</v>
      </c>
      <c r="P172" s="15" t="e">
        <f t="shared" si="47"/>
        <v>#DIV/0!</v>
      </c>
      <c r="R172" s="78"/>
      <c r="S172" s="85">
        <v>5</v>
      </c>
      <c r="AA172" s="2">
        <f t="shared" si="36"/>
        <v>1</v>
      </c>
      <c r="AC172" s="15">
        <f t="shared" si="45"/>
        <v>0</v>
      </c>
      <c r="AG172" s="85" t="e">
        <f t="shared" si="37"/>
        <v>#DIV/0!</v>
      </c>
      <c r="AH172" s="15" t="e">
        <f t="shared" si="38"/>
        <v>#DIV/0!</v>
      </c>
      <c r="AI172" s="15"/>
      <c r="AJ172" s="15">
        <f t="shared" si="39"/>
        <v>1</v>
      </c>
      <c r="AK172" s="15" t="e">
        <f t="shared" si="40"/>
        <v>#DIV/0!</v>
      </c>
      <c r="AL172" s="14">
        <f t="shared" si="41"/>
        <v>0</v>
      </c>
      <c r="AM172" s="14">
        <f t="shared" si="48"/>
        <v>0</v>
      </c>
      <c r="AO172" s="16">
        <f t="shared" si="49"/>
        <v>1</v>
      </c>
      <c r="AP172" s="16" t="e">
        <f t="shared" si="42"/>
        <v>#DIV/0!</v>
      </c>
      <c r="AQ172" s="15">
        <v>1</v>
      </c>
      <c r="AR172" s="16" t="e">
        <f t="shared" si="43"/>
        <v>#DIV/0!</v>
      </c>
      <c r="AS172" s="16"/>
      <c r="AT172" s="15" t="e">
        <f t="shared" si="44"/>
        <v>#DIV/0!</v>
      </c>
      <c r="AZ172" s="16"/>
    </row>
    <row r="173" spans="7:52">
      <c r="G173" s="15" t="e">
        <f t="shared" si="46"/>
        <v>#DIV/0!</v>
      </c>
      <c r="P173" s="15" t="e">
        <f t="shared" si="47"/>
        <v>#DIV/0!</v>
      </c>
      <c r="R173" s="78"/>
      <c r="S173" s="85">
        <v>5</v>
      </c>
      <c r="AA173" s="2">
        <f t="shared" si="36"/>
        <v>1</v>
      </c>
      <c r="AC173" s="15">
        <f t="shared" si="45"/>
        <v>0</v>
      </c>
      <c r="AG173" s="85" t="e">
        <f t="shared" si="37"/>
        <v>#DIV/0!</v>
      </c>
      <c r="AH173" s="15" t="e">
        <f t="shared" si="38"/>
        <v>#DIV/0!</v>
      </c>
      <c r="AI173" s="15"/>
      <c r="AJ173" s="15">
        <f t="shared" si="39"/>
        <v>1</v>
      </c>
      <c r="AK173" s="15" t="e">
        <f t="shared" si="40"/>
        <v>#DIV/0!</v>
      </c>
      <c r="AL173" s="14">
        <f t="shared" si="41"/>
        <v>0</v>
      </c>
      <c r="AM173" s="14">
        <f t="shared" si="48"/>
        <v>0</v>
      </c>
      <c r="AO173" s="16">
        <f t="shared" si="49"/>
        <v>1</v>
      </c>
      <c r="AP173" s="16" t="e">
        <f t="shared" si="42"/>
        <v>#DIV/0!</v>
      </c>
      <c r="AQ173" s="15">
        <v>1</v>
      </c>
      <c r="AR173" s="16" t="e">
        <f t="shared" si="43"/>
        <v>#DIV/0!</v>
      </c>
      <c r="AS173" s="16"/>
      <c r="AT173" s="15" t="e">
        <f t="shared" si="44"/>
        <v>#DIV/0!</v>
      </c>
      <c r="AZ173" s="16"/>
    </row>
    <row r="174" spans="7:52">
      <c r="G174" s="15" t="e">
        <f t="shared" si="46"/>
        <v>#DIV/0!</v>
      </c>
      <c r="P174" s="15" t="e">
        <f t="shared" si="47"/>
        <v>#DIV/0!</v>
      </c>
      <c r="R174" s="78"/>
      <c r="S174" s="85">
        <v>5</v>
      </c>
      <c r="AA174" s="2">
        <f t="shared" si="36"/>
        <v>1</v>
      </c>
      <c r="AC174" s="15">
        <f t="shared" si="45"/>
        <v>0</v>
      </c>
      <c r="AG174" s="85" t="e">
        <f t="shared" si="37"/>
        <v>#DIV/0!</v>
      </c>
      <c r="AH174" s="15" t="e">
        <f t="shared" si="38"/>
        <v>#DIV/0!</v>
      </c>
      <c r="AI174" s="15"/>
      <c r="AJ174" s="15">
        <f t="shared" si="39"/>
        <v>1</v>
      </c>
      <c r="AK174" s="15" t="e">
        <f t="shared" si="40"/>
        <v>#DIV/0!</v>
      </c>
      <c r="AL174" s="14">
        <f t="shared" si="41"/>
        <v>0</v>
      </c>
      <c r="AM174" s="14">
        <f t="shared" si="48"/>
        <v>0</v>
      </c>
      <c r="AO174" s="16">
        <f t="shared" si="49"/>
        <v>1</v>
      </c>
      <c r="AP174" s="16" t="e">
        <f t="shared" si="42"/>
        <v>#DIV/0!</v>
      </c>
      <c r="AQ174" s="15">
        <v>1</v>
      </c>
      <c r="AR174" s="16" t="e">
        <f t="shared" si="43"/>
        <v>#DIV/0!</v>
      </c>
      <c r="AS174" s="16"/>
      <c r="AT174" s="15" t="e">
        <f t="shared" si="44"/>
        <v>#DIV/0!</v>
      </c>
      <c r="AZ174" s="16"/>
    </row>
    <row r="175" spans="7:52">
      <c r="G175" s="15" t="e">
        <f t="shared" si="46"/>
        <v>#DIV/0!</v>
      </c>
      <c r="P175" s="15" t="e">
        <f t="shared" si="47"/>
        <v>#DIV/0!</v>
      </c>
      <c r="R175" s="78"/>
      <c r="S175" s="85">
        <v>5</v>
      </c>
      <c r="AA175" s="2">
        <f t="shared" si="36"/>
        <v>1</v>
      </c>
      <c r="AC175" s="15">
        <f t="shared" si="45"/>
        <v>0</v>
      </c>
      <c r="AG175" s="85" t="e">
        <f t="shared" si="37"/>
        <v>#DIV/0!</v>
      </c>
      <c r="AH175" s="15" t="e">
        <f t="shared" si="38"/>
        <v>#DIV/0!</v>
      </c>
      <c r="AI175" s="15"/>
      <c r="AJ175" s="15">
        <f t="shared" si="39"/>
        <v>1</v>
      </c>
      <c r="AK175" s="15" t="e">
        <f t="shared" si="40"/>
        <v>#DIV/0!</v>
      </c>
      <c r="AL175" s="14">
        <f t="shared" si="41"/>
        <v>0</v>
      </c>
      <c r="AM175" s="14">
        <f t="shared" si="48"/>
        <v>0</v>
      </c>
      <c r="AO175" s="16">
        <f t="shared" si="49"/>
        <v>1</v>
      </c>
      <c r="AP175" s="16" t="e">
        <f t="shared" si="42"/>
        <v>#DIV/0!</v>
      </c>
      <c r="AQ175" s="15">
        <v>1</v>
      </c>
      <c r="AR175" s="16" t="e">
        <f t="shared" si="43"/>
        <v>#DIV/0!</v>
      </c>
      <c r="AS175" s="16"/>
      <c r="AT175" s="15" t="e">
        <f t="shared" si="44"/>
        <v>#DIV/0!</v>
      </c>
      <c r="AZ175" s="16"/>
    </row>
    <row r="176" spans="7:52">
      <c r="G176" s="15" t="e">
        <f t="shared" si="46"/>
        <v>#DIV/0!</v>
      </c>
      <c r="P176" s="15" t="e">
        <f t="shared" si="47"/>
        <v>#DIV/0!</v>
      </c>
      <c r="R176" s="78"/>
      <c r="S176" s="85">
        <v>5</v>
      </c>
      <c r="AA176" s="2">
        <f t="shared" si="36"/>
        <v>1</v>
      </c>
      <c r="AC176" s="15">
        <f t="shared" si="45"/>
        <v>0</v>
      </c>
      <c r="AG176" s="85" t="e">
        <f t="shared" si="37"/>
        <v>#DIV/0!</v>
      </c>
      <c r="AH176" s="15" t="e">
        <f t="shared" si="38"/>
        <v>#DIV/0!</v>
      </c>
      <c r="AI176" s="15"/>
      <c r="AJ176" s="15">
        <f t="shared" si="39"/>
        <v>1</v>
      </c>
      <c r="AK176" s="15" t="e">
        <f t="shared" si="40"/>
        <v>#DIV/0!</v>
      </c>
      <c r="AL176" s="14">
        <f t="shared" si="41"/>
        <v>0</v>
      </c>
      <c r="AM176" s="14">
        <f t="shared" si="48"/>
        <v>0</v>
      </c>
      <c r="AO176" s="16">
        <f t="shared" si="49"/>
        <v>1</v>
      </c>
      <c r="AP176" s="16" t="e">
        <f t="shared" si="42"/>
        <v>#DIV/0!</v>
      </c>
      <c r="AQ176" s="15">
        <v>1</v>
      </c>
      <c r="AR176" s="16" t="e">
        <f t="shared" si="43"/>
        <v>#DIV/0!</v>
      </c>
      <c r="AS176" s="16"/>
      <c r="AT176" s="15" t="e">
        <f t="shared" si="44"/>
        <v>#DIV/0!</v>
      </c>
      <c r="AZ176" s="16"/>
    </row>
    <row r="177" spans="7:52">
      <c r="G177" s="15" t="e">
        <f t="shared" si="46"/>
        <v>#DIV/0!</v>
      </c>
      <c r="P177" s="15" t="e">
        <f t="shared" si="47"/>
        <v>#DIV/0!</v>
      </c>
      <c r="R177" s="78"/>
      <c r="S177" s="85">
        <v>5</v>
      </c>
      <c r="AA177" s="2">
        <f t="shared" si="36"/>
        <v>1</v>
      </c>
      <c r="AC177" s="15">
        <f t="shared" si="45"/>
        <v>0</v>
      </c>
      <c r="AG177" s="85" t="e">
        <f t="shared" si="37"/>
        <v>#DIV/0!</v>
      </c>
      <c r="AH177" s="15" t="e">
        <f t="shared" si="38"/>
        <v>#DIV/0!</v>
      </c>
      <c r="AI177" s="15"/>
      <c r="AJ177" s="15">
        <f t="shared" si="39"/>
        <v>1</v>
      </c>
      <c r="AK177" s="15" t="e">
        <f t="shared" si="40"/>
        <v>#DIV/0!</v>
      </c>
      <c r="AL177" s="14">
        <f t="shared" si="41"/>
        <v>0</v>
      </c>
      <c r="AM177" s="14">
        <f t="shared" si="48"/>
        <v>0</v>
      </c>
      <c r="AO177" s="16">
        <f t="shared" si="49"/>
        <v>1</v>
      </c>
      <c r="AP177" s="16" t="e">
        <f t="shared" si="42"/>
        <v>#DIV/0!</v>
      </c>
      <c r="AQ177" s="15">
        <v>1</v>
      </c>
      <c r="AR177" s="16" t="e">
        <f t="shared" si="43"/>
        <v>#DIV/0!</v>
      </c>
      <c r="AS177" s="16"/>
      <c r="AT177" s="15" t="e">
        <f t="shared" si="44"/>
        <v>#DIV/0!</v>
      </c>
      <c r="AZ177" s="16"/>
    </row>
    <row r="178" spans="7:52">
      <c r="G178" s="15" t="e">
        <f t="shared" si="46"/>
        <v>#DIV/0!</v>
      </c>
      <c r="P178" s="15" t="e">
        <f t="shared" si="47"/>
        <v>#DIV/0!</v>
      </c>
      <c r="R178" s="78"/>
      <c r="S178" s="85">
        <v>5</v>
      </c>
      <c r="AA178" s="2">
        <f t="shared" si="36"/>
        <v>1</v>
      </c>
      <c r="AC178" s="15">
        <f t="shared" si="45"/>
        <v>0</v>
      </c>
      <c r="AG178" s="85" t="e">
        <f t="shared" si="37"/>
        <v>#DIV/0!</v>
      </c>
      <c r="AH178" s="15" t="e">
        <f t="shared" si="38"/>
        <v>#DIV/0!</v>
      </c>
      <c r="AI178" s="15"/>
      <c r="AJ178" s="15">
        <f t="shared" si="39"/>
        <v>1</v>
      </c>
      <c r="AK178" s="15" t="e">
        <f t="shared" si="40"/>
        <v>#DIV/0!</v>
      </c>
      <c r="AL178" s="14">
        <f t="shared" si="41"/>
        <v>0</v>
      </c>
      <c r="AM178" s="14">
        <f t="shared" si="48"/>
        <v>0</v>
      </c>
      <c r="AO178" s="16">
        <f t="shared" ref="AO178:AO209" si="50">AN178+1</f>
        <v>1</v>
      </c>
      <c r="AP178" s="16" t="e">
        <f t="shared" si="42"/>
        <v>#DIV/0!</v>
      </c>
      <c r="AQ178" s="15">
        <v>1</v>
      </c>
      <c r="AR178" s="16" t="e">
        <f t="shared" si="43"/>
        <v>#DIV/0!</v>
      </c>
      <c r="AS178" s="16"/>
      <c r="AT178" s="15" t="e">
        <f t="shared" si="44"/>
        <v>#DIV/0!</v>
      </c>
      <c r="AZ178" s="16"/>
    </row>
    <row r="179" spans="7:52">
      <c r="G179" s="15" t="e">
        <f t="shared" si="46"/>
        <v>#DIV/0!</v>
      </c>
      <c r="P179" s="15" t="e">
        <f t="shared" si="47"/>
        <v>#DIV/0!</v>
      </c>
      <c r="R179" s="78"/>
      <c r="S179" s="85">
        <v>5</v>
      </c>
      <c r="AA179" s="2">
        <f t="shared" si="36"/>
        <v>1</v>
      </c>
      <c r="AC179" s="15">
        <f t="shared" si="45"/>
        <v>0</v>
      </c>
      <c r="AG179" s="85" t="e">
        <f t="shared" si="37"/>
        <v>#DIV/0!</v>
      </c>
      <c r="AH179" s="15" t="e">
        <f t="shared" si="38"/>
        <v>#DIV/0!</v>
      </c>
      <c r="AI179" s="15"/>
      <c r="AJ179" s="15">
        <f t="shared" si="39"/>
        <v>1</v>
      </c>
      <c r="AK179" s="15" t="e">
        <f t="shared" si="40"/>
        <v>#DIV/0!</v>
      </c>
      <c r="AL179" s="14">
        <f t="shared" si="41"/>
        <v>0</v>
      </c>
      <c r="AM179" s="14">
        <f t="shared" si="48"/>
        <v>0</v>
      </c>
      <c r="AO179" s="16">
        <f t="shared" si="50"/>
        <v>1</v>
      </c>
      <c r="AP179" s="16" t="e">
        <f t="shared" si="42"/>
        <v>#DIV/0!</v>
      </c>
      <c r="AQ179" s="15">
        <v>1</v>
      </c>
      <c r="AR179" s="16" t="e">
        <f t="shared" si="43"/>
        <v>#DIV/0!</v>
      </c>
      <c r="AS179" s="16"/>
      <c r="AT179" s="15" t="e">
        <f t="shared" si="44"/>
        <v>#DIV/0!</v>
      </c>
      <c r="AZ179" s="16"/>
    </row>
    <row r="180" spans="7:52">
      <c r="G180" s="15" t="e">
        <f t="shared" si="46"/>
        <v>#DIV/0!</v>
      </c>
      <c r="P180" s="15" t="e">
        <f t="shared" si="47"/>
        <v>#DIV/0!</v>
      </c>
      <c r="R180" s="78"/>
      <c r="S180" s="85">
        <v>5</v>
      </c>
      <c r="AA180" s="2">
        <f t="shared" si="36"/>
        <v>1</v>
      </c>
      <c r="AC180" s="15">
        <f t="shared" si="45"/>
        <v>0</v>
      </c>
      <c r="AG180" s="85" t="e">
        <f t="shared" si="37"/>
        <v>#DIV/0!</v>
      </c>
      <c r="AH180" s="15" t="e">
        <f t="shared" si="38"/>
        <v>#DIV/0!</v>
      </c>
      <c r="AI180" s="15"/>
      <c r="AJ180" s="15">
        <f t="shared" si="39"/>
        <v>1</v>
      </c>
      <c r="AK180" s="15" t="e">
        <f t="shared" si="40"/>
        <v>#DIV/0!</v>
      </c>
      <c r="AL180" s="14">
        <f t="shared" si="41"/>
        <v>0</v>
      </c>
      <c r="AM180" s="14">
        <f t="shared" si="48"/>
        <v>0</v>
      </c>
      <c r="AO180" s="16">
        <f t="shared" si="50"/>
        <v>1</v>
      </c>
      <c r="AP180" s="16" t="e">
        <f t="shared" si="42"/>
        <v>#DIV/0!</v>
      </c>
      <c r="AQ180" s="15">
        <v>1</v>
      </c>
      <c r="AR180" s="16" t="e">
        <f t="shared" si="43"/>
        <v>#DIV/0!</v>
      </c>
      <c r="AS180" s="16"/>
      <c r="AT180" s="15" t="e">
        <f t="shared" si="44"/>
        <v>#DIV/0!</v>
      </c>
      <c r="AZ180" s="16"/>
    </row>
    <row r="181" spans="7:52">
      <c r="G181" s="15" t="e">
        <f t="shared" si="46"/>
        <v>#DIV/0!</v>
      </c>
      <c r="P181" s="15" t="e">
        <f t="shared" si="47"/>
        <v>#DIV/0!</v>
      </c>
      <c r="R181" s="78"/>
      <c r="S181" s="85">
        <v>5</v>
      </c>
      <c r="AA181" s="2">
        <f t="shared" si="36"/>
        <v>1</v>
      </c>
      <c r="AC181" s="15">
        <f t="shared" si="45"/>
        <v>0</v>
      </c>
      <c r="AG181" s="85" t="e">
        <f t="shared" si="37"/>
        <v>#DIV/0!</v>
      </c>
      <c r="AH181" s="15" t="e">
        <f t="shared" si="38"/>
        <v>#DIV/0!</v>
      </c>
      <c r="AI181" s="15"/>
      <c r="AJ181" s="15">
        <f t="shared" si="39"/>
        <v>1</v>
      </c>
      <c r="AK181" s="15" t="e">
        <f t="shared" si="40"/>
        <v>#DIV/0!</v>
      </c>
      <c r="AL181" s="14">
        <f t="shared" si="41"/>
        <v>0</v>
      </c>
      <c r="AM181" s="14">
        <f t="shared" si="48"/>
        <v>0</v>
      </c>
      <c r="AO181" s="16">
        <f t="shared" si="50"/>
        <v>1</v>
      </c>
      <c r="AP181" s="16" t="e">
        <f t="shared" si="42"/>
        <v>#DIV/0!</v>
      </c>
      <c r="AQ181" s="15">
        <v>1</v>
      </c>
      <c r="AR181" s="16" t="e">
        <f t="shared" si="43"/>
        <v>#DIV/0!</v>
      </c>
      <c r="AS181" s="16"/>
      <c r="AT181" s="15" t="e">
        <f t="shared" si="44"/>
        <v>#DIV/0!</v>
      </c>
      <c r="AZ181" s="16"/>
    </row>
    <row r="182" spans="7:52">
      <c r="G182" s="15" t="e">
        <f t="shared" si="46"/>
        <v>#DIV/0!</v>
      </c>
      <c r="P182" s="15" t="e">
        <f t="shared" si="47"/>
        <v>#DIV/0!</v>
      </c>
      <c r="R182" s="78"/>
      <c r="S182" s="85">
        <v>5</v>
      </c>
      <c r="AA182" s="2">
        <f t="shared" si="36"/>
        <v>1</v>
      </c>
      <c r="AC182" s="15">
        <f t="shared" si="45"/>
        <v>0</v>
      </c>
      <c r="AG182" s="85" t="e">
        <f t="shared" si="37"/>
        <v>#DIV/0!</v>
      </c>
      <c r="AH182" s="15" t="e">
        <f t="shared" si="38"/>
        <v>#DIV/0!</v>
      </c>
      <c r="AI182" s="15"/>
      <c r="AJ182" s="15">
        <f t="shared" si="39"/>
        <v>1</v>
      </c>
      <c r="AK182" s="15" t="e">
        <f t="shared" si="40"/>
        <v>#DIV/0!</v>
      </c>
      <c r="AL182" s="14">
        <f t="shared" si="41"/>
        <v>0</v>
      </c>
      <c r="AM182" s="14">
        <f t="shared" si="48"/>
        <v>0</v>
      </c>
      <c r="AO182" s="16">
        <f t="shared" si="50"/>
        <v>1</v>
      </c>
      <c r="AP182" s="16" t="e">
        <f t="shared" si="42"/>
        <v>#DIV/0!</v>
      </c>
      <c r="AQ182" s="15">
        <v>1</v>
      </c>
      <c r="AR182" s="16" t="e">
        <f t="shared" si="43"/>
        <v>#DIV/0!</v>
      </c>
      <c r="AS182" s="16"/>
      <c r="AT182" s="15" t="e">
        <f t="shared" si="44"/>
        <v>#DIV/0!</v>
      </c>
      <c r="AZ182" s="16"/>
    </row>
    <row r="183" spans="7:52">
      <c r="G183" s="15" t="e">
        <f t="shared" si="46"/>
        <v>#DIV/0!</v>
      </c>
      <c r="P183" s="15" t="e">
        <f t="shared" si="47"/>
        <v>#DIV/0!</v>
      </c>
      <c r="R183" s="78"/>
      <c r="S183" s="85">
        <v>5</v>
      </c>
      <c r="AA183" s="2">
        <f t="shared" si="36"/>
        <v>1</v>
      </c>
      <c r="AC183" s="15">
        <f t="shared" si="45"/>
        <v>0</v>
      </c>
      <c r="AG183" s="85" t="e">
        <f t="shared" si="37"/>
        <v>#DIV/0!</v>
      </c>
      <c r="AH183" s="15" t="e">
        <f t="shared" si="38"/>
        <v>#DIV/0!</v>
      </c>
      <c r="AI183" s="15"/>
      <c r="AJ183" s="15">
        <f t="shared" si="39"/>
        <v>1</v>
      </c>
      <c r="AK183" s="15" t="e">
        <f t="shared" si="40"/>
        <v>#DIV/0!</v>
      </c>
      <c r="AL183" s="14">
        <f t="shared" si="41"/>
        <v>0</v>
      </c>
      <c r="AM183" s="14">
        <f t="shared" si="48"/>
        <v>0</v>
      </c>
      <c r="AO183" s="16">
        <f t="shared" si="50"/>
        <v>1</v>
      </c>
      <c r="AP183" s="16" t="e">
        <f t="shared" si="42"/>
        <v>#DIV/0!</v>
      </c>
      <c r="AQ183" s="15">
        <v>1</v>
      </c>
      <c r="AR183" s="16" t="e">
        <f t="shared" si="43"/>
        <v>#DIV/0!</v>
      </c>
      <c r="AS183" s="16"/>
      <c r="AT183" s="15" t="e">
        <f t="shared" si="44"/>
        <v>#DIV/0!</v>
      </c>
      <c r="AZ183" s="16"/>
    </row>
    <row r="184" spans="7:52">
      <c r="G184" s="15" t="e">
        <f t="shared" si="46"/>
        <v>#DIV/0!</v>
      </c>
      <c r="P184" s="15" t="e">
        <f t="shared" si="47"/>
        <v>#DIV/0!</v>
      </c>
      <c r="R184" s="78"/>
      <c r="S184" s="85">
        <v>5</v>
      </c>
      <c r="AA184" s="2">
        <f t="shared" si="36"/>
        <v>1</v>
      </c>
      <c r="AC184" s="15">
        <f t="shared" si="45"/>
        <v>0</v>
      </c>
      <c r="AG184" s="85" t="e">
        <f t="shared" si="37"/>
        <v>#DIV/0!</v>
      </c>
      <c r="AH184" s="15" t="e">
        <f t="shared" si="38"/>
        <v>#DIV/0!</v>
      </c>
      <c r="AI184" s="15"/>
      <c r="AJ184" s="15">
        <f t="shared" si="39"/>
        <v>1</v>
      </c>
      <c r="AK184" s="15" t="e">
        <f t="shared" si="40"/>
        <v>#DIV/0!</v>
      </c>
      <c r="AL184" s="14">
        <f t="shared" si="41"/>
        <v>0</v>
      </c>
      <c r="AM184" s="14">
        <f t="shared" si="48"/>
        <v>0</v>
      </c>
      <c r="AO184" s="16">
        <f t="shared" si="50"/>
        <v>1</v>
      </c>
      <c r="AP184" s="16" t="e">
        <f t="shared" si="42"/>
        <v>#DIV/0!</v>
      </c>
      <c r="AQ184" s="15">
        <v>1</v>
      </c>
      <c r="AR184" s="16" t="e">
        <f t="shared" si="43"/>
        <v>#DIV/0!</v>
      </c>
      <c r="AS184" s="16"/>
      <c r="AT184" s="15" t="e">
        <f t="shared" si="44"/>
        <v>#DIV/0!</v>
      </c>
      <c r="AZ184" s="16"/>
    </row>
    <row r="185" spans="7:52">
      <c r="G185" s="15" t="e">
        <f t="shared" si="46"/>
        <v>#DIV/0!</v>
      </c>
      <c r="P185" s="15" t="e">
        <f t="shared" si="47"/>
        <v>#DIV/0!</v>
      </c>
      <c r="R185" s="78"/>
      <c r="S185" s="85">
        <v>5</v>
      </c>
      <c r="AA185" s="2">
        <f t="shared" si="36"/>
        <v>1</v>
      </c>
      <c r="AC185" s="15">
        <f t="shared" si="45"/>
        <v>0</v>
      </c>
      <c r="AG185" s="85" t="e">
        <f t="shared" si="37"/>
        <v>#DIV/0!</v>
      </c>
      <c r="AH185" s="15" t="e">
        <f t="shared" si="38"/>
        <v>#DIV/0!</v>
      </c>
      <c r="AI185" s="15"/>
      <c r="AJ185" s="15">
        <f t="shared" si="39"/>
        <v>1</v>
      </c>
      <c r="AK185" s="15" t="e">
        <f t="shared" si="40"/>
        <v>#DIV/0!</v>
      </c>
      <c r="AL185" s="14">
        <f t="shared" si="41"/>
        <v>0</v>
      </c>
      <c r="AM185" s="14">
        <f t="shared" si="48"/>
        <v>0</v>
      </c>
      <c r="AO185" s="16">
        <f t="shared" si="50"/>
        <v>1</v>
      </c>
      <c r="AP185" s="16" t="e">
        <f t="shared" si="42"/>
        <v>#DIV/0!</v>
      </c>
      <c r="AQ185" s="15">
        <v>1</v>
      </c>
      <c r="AR185" s="16" t="e">
        <f t="shared" si="43"/>
        <v>#DIV/0!</v>
      </c>
      <c r="AS185" s="16"/>
      <c r="AT185" s="15" t="e">
        <f t="shared" si="44"/>
        <v>#DIV/0!</v>
      </c>
      <c r="AZ185" s="16"/>
    </row>
    <row r="186" spans="7:52">
      <c r="G186" s="15" t="e">
        <f t="shared" si="46"/>
        <v>#DIV/0!</v>
      </c>
      <c r="P186" s="15" t="e">
        <f t="shared" si="47"/>
        <v>#DIV/0!</v>
      </c>
      <c r="R186" s="78"/>
      <c r="S186" s="85">
        <v>5</v>
      </c>
      <c r="AA186" s="2">
        <f t="shared" si="36"/>
        <v>1</v>
      </c>
      <c r="AC186" s="15">
        <f t="shared" si="45"/>
        <v>0</v>
      </c>
      <c r="AG186" s="85" t="e">
        <f t="shared" si="37"/>
        <v>#DIV/0!</v>
      </c>
      <c r="AH186" s="15" t="e">
        <f t="shared" si="38"/>
        <v>#DIV/0!</v>
      </c>
      <c r="AI186" s="15"/>
      <c r="AJ186" s="15">
        <f t="shared" si="39"/>
        <v>1</v>
      </c>
      <c r="AK186" s="15" t="e">
        <f t="shared" si="40"/>
        <v>#DIV/0!</v>
      </c>
      <c r="AL186" s="14">
        <f t="shared" si="41"/>
        <v>0</v>
      </c>
      <c r="AM186" s="14">
        <f t="shared" si="48"/>
        <v>0</v>
      </c>
      <c r="AO186" s="16">
        <f t="shared" si="50"/>
        <v>1</v>
      </c>
      <c r="AP186" s="16" t="e">
        <f t="shared" si="42"/>
        <v>#DIV/0!</v>
      </c>
      <c r="AQ186" s="15">
        <v>1</v>
      </c>
      <c r="AR186" s="16" t="e">
        <f t="shared" si="43"/>
        <v>#DIV/0!</v>
      </c>
      <c r="AS186" s="16"/>
      <c r="AT186" s="15" t="e">
        <f t="shared" si="44"/>
        <v>#DIV/0!</v>
      </c>
      <c r="AZ186" s="16"/>
    </row>
    <row r="187" spans="7:52">
      <c r="G187" s="15" t="e">
        <f t="shared" si="46"/>
        <v>#DIV/0!</v>
      </c>
      <c r="P187" s="15" t="e">
        <f t="shared" si="47"/>
        <v>#DIV/0!</v>
      </c>
      <c r="R187" s="78"/>
      <c r="S187" s="85">
        <v>5</v>
      </c>
      <c r="AA187" s="2">
        <f t="shared" si="36"/>
        <v>1</v>
      </c>
      <c r="AC187" s="15">
        <f t="shared" si="45"/>
        <v>0</v>
      </c>
      <c r="AG187" s="85" t="e">
        <f t="shared" si="37"/>
        <v>#DIV/0!</v>
      </c>
      <c r="AH187" s="15" t="e">
        <f t="shared" si="38"/>
        <v>#DIV/0!</v>
      </c>
      <c r="AI187" s="15"/>
      <c r="AJ187" s="15">
        <f t="shared" si="39"/>
        <v>1</v>
      </c>
      <c r="AK187" s="15" t="e">
        <f t="shared" si="40"/>
        <v>#DIV/0!</v>
      </c>
      <c r="AL187" s="14">
        <f t="shared" si="41"/>
        <v>0</v>
      </c>
      <c r="AM187" s="14">
        <f t="shared" si="48"/>
        <v>0</v>
      </c>
      <c r="AO187" s="16">
        <f t="shared" si="50"/>
        <v>1</v>
      </c>
      <c r="AP187" s="16" t="e">
        <f t="shared" si="42"/>
        <v>#DIV/0!</v>
      </c>
      <c r="AQ187" s="15">
        <v>1</v>
      </c>
      <c r="AR187" s="16" t="e">
        <f t="shared" si="43"/>
        <v>#DIV/0!</v>
      </c>
      <c r="AS187" s="16"/>
      <c r="AT187" s="15" t="e">
        <f t="shared" si="44"/>
        <v>#DIV/0!</v>
      </c>
      <c r="AZ187" s="16"/>
    </row>
    <row r="188" spans="7:52">
      <c r="G188" s="15" t="e">
        <f t="shared" si="46"/>
        <v>#DIV/0!</v>
      </c>
      <c r="P188" s="15" t="e">
        <f t="shared" si="47"/>
        <v>#DIV/0!</v>
      </c>
      <c r="R188" s="78"/>
      <c r="S188" s="85">
        <v>5</v>
      </c>
      <c r="AA188" s="2">
        <f t="shared" si="36"/>
        <v>1</v>
      </c>
      <c r="AC188" s="15">
        <f t="shared" si="45"/>
        <v>0</v>
      </c>
      <c r="AG188" s="85" t="e">
        <f t="shared" si="37"/>
        <v>#DIV/0!</v>
      </c>
      <c r="AH188" s="15" t="e">
        <f t="shared" si="38"/>
        <v>#DIV/0!</v>
      </c>
      <c r="AI188" s="15"/>
      <c r="AJ188" s="15">
        <f t="shared" si="39"/>
        <v>1</v>
      </c>
      <c r="AK188" s="15" t="e">
        <f t="shared" si="40"/>
        <v>#DIV/0!</v>
      </c>
      <c r="AL188" s="14">
        <f t="shared" si="41"/>
        <v>0</v>
      </c>
      <c r="AM188" s="14">
        <f t="shared" si="48"/>
        <v>0</v>
      </c>
      <c r="AO188" s="16">
        <f t="shared" si="50"/>
        <v>1</v>
      </c>
      <c r="AP188" s="16" t="e">
        <f t="shared" si="42"/>
        <v>#DIV/0!</v>
      </c>
      <c r="AQ188" s="15">
        <v>1</v>
      </c>
      <c r="AR188" s="16" t="e">
        <f t="shared" si="43"/>
        <v>#DIV/0!</v>
      </c>
      <c r="AS188" s="16"/>
      <c r="AT188" s="15" t="e">
        <f t="shared" si="44"/>
        <v>#DIV/0!</v>
      </c>
      <c r="AZ188" s="16"/>
    </row>
    <row r="189" spans="7:52">
      <c r="G189" s="15" t="e">
        <f t="shared" si="46"/>
        <v>#DIV/0!</v>
      </c>
      <c r="P189" s="15" t="e">
        <f t="shared" si="47"/>
        <v>#DIV/0!</v>
      </c>
      <c r="R189" s="78"/>
      <c r="S189" s="85">
        <v>5</v>
      </c>
      <c r="AA189" s="2">
        <f t="shared" si="36"/>
        <v>1</v>
      </c>
      <c r="AC189" s="15">
        <f t="shared" si="45"/>
        <v>0</v>
      </c>
      <c r="AG189" s="85" t="e">
        <f t="shared" si="37"/>
        <v>#DIV/0!</v>
      </c>
      <c r="AH189" s="15" t="e">
        <f t="shared" si="38"/>
        <v>#DIV/0!</v>
      </c>
      <c r="AI189" s="15"/>
      <c r="AJ189" s="15">
        <f t="shared" si="39"/>
        <v>1</v>
      </c>
      <c r="AK189" s="15" t="e">
        <f t="shared" si="40"/>
        <v>#DIV/0!</v>
      </c>
      <c r="AL189" s="14">
        <f t="shared" si="41"/>
        <v>0</v>
      </c>
      <c r="AM189" s="14">
        <f t="shared" si="48"/>
        <v>0</v>
      </c>
      <c r="AO189" s="16">
        <f t="shared" si="50"/>
        <v>1</v>
      </c>
      <c r="AP189" s="16" t="e">
        <f t="shared" si="42"/>
        <v>#DIV/0!</v>
      </c>
      <c r="AQ189" s="15">
        <v>1</v>
      </c>
      <c r="AR189" s="16" t="e">
        <f t="shared" si="43"/>
        <v>#DIV/0!</v>
      </c>
      <c r="AS189" s="16"/>
      <c r="AT189" s="15" t="e">
        <f t="shared" si="44"/>
        <v>#DIV/0!</v>
      </c>
      <c r="AZ189" s="16"/>
    </row>
    <row r="190" spans="7:52">
      <c r="G190" s="15" t="e">
        <f t="shared" si="46"/>
        <v>#DIV/0!</v>
      </c>
      <c r="P190" s="15" t="e">
        <f t="shared" si="47"/>
        <v>#DIV/0!</v>
      </c>
      <c r="R190" s="78"/>
      <c r="S190" s="85">
        <v>5</v>
      </c>
      <c r="AA190" s="2">
        <f t="shared" si="36"/>
        <v>1</v>
      </c>
      <c r="AC190" s="15">
        <f t="shared" si="45"/>
        <v>0</v>
      </c>
      <c r="AG190" s="85" t="e">
        <f t="shared" si="37"/>
        <v>#DIV/0!</v>
      </c>
      <c r="AH190" s="15" t="e">
        <f t="shared" si="38"/>
        <v>#DIV/0!</v>
      </c>
      <c r="AI190" s="15"/>
      <c r="AJ190" s="15">
        <f t="shared" si="39"/>
        <v>1</v>
      </c>
      <c r="AK190" s="15" t="e">
        <f t="shared" si="40"/>
        <v>#DIV/0!</v>
      </c>
      <c r="AL190" s="14">
        <f t="shared" si="41"/>
        <v>0</v>
      </c>
      <c r="AM190" s="14">
        <f t="shared" si="48"/>
        <v>0</v>
      </c>
      <c r="AO190" s="16">
        <f t="shared" si="50"/>
        <v>1</v>
      </c>
      <c r="AP190" s="16" t="e">
        <f t="shared" si="42"/>
        <v>#DIV/0!</v>
      </c>
      <c r="AQ190" s="15">
        <v>1</v>
      </c>
      <c r="AR190" s="16" t="e">
        <f t="shared" si="43"/>
        <v>#DIV/0!</v>
      </c>
      <c r="AS190" s="16"/>
      <c r="AT190" s="15" t="e">
        <f t="shared" si="44"/>
        <v>#DIV/0!</v>
      </c>
      <c r="AZ190" s="16"/>
    </row>
    <row r="191" spans="7:52">
      <c r="G191" s="15" t="e">
        <f t="shared" si="46"/>
        <v>#DIV/0!</v>
      </c>
      <c r="P191" s="15" t="e">
        <f t="shared" si="47"/>
        <v>#DIV/0!</v>
      </c>
      <c r="R191" s="78"/>
      <c r="S191" s="85">
        <v>5</v>
      </c>
      <c r="AA191" s="2">
        <f t="shared" si="36"/>
        <v>1</v>
      </c>
      <c r="AC191" s="15">
        <f t="shared" si="45"/>
        <v>0</v>
      </c>
      <c r="AG191" s="85" t="e">
        <f t="shared" si="37"/>
        <v>#DIV/0!</v>
      </c>
      <c r="AH191" s="15" t="e">
        <f t="shared" si="38"/>
        <v>#DIV/0!</v>
      </c>
      <c r="AI191" s="15"/>
      <c r="AJ191" s="15">
        <f t="shared" si="39"/>
        <v>1</v>
      </c>
      <c r="AK191" s="15" t="e">
        <f t="shared" si="40"/>
        <v>#DIV/0!</v>
      </c>
      <c r="AL191" s="14">
        <f t="shared" si="41"/>
        <v>0</v>
      </c>
      <c r="AM191" s="14">
        <f t="shared" si="48"/>
        <v>0</v>
      </c>
      <c r="AO191" s="16">
        <f t="shared" si="50"/>
        <v>1</v>
      </c>
      <c r="AP191" s="16" t="e">
        <f t="shared" si="42"/>
        <v>#DIV/0!</v>
      </c>
      <c r="AQ191" s="15">
        <v>1</v>
      </c>
      <c r="AR191" s="16" t="e">
        <f t="shared" si="43"/>
        <v>#DIV/0!</v>
      </c>
      <c r="AS191" s="16"/>
      <c r="AT191" s="15" t="e">
        <f t="shared" si="44"/>
        <v>#DIV/0!</v>
      </c>
      <c r="AZ191" s="16"/>
    </row>
    <row r="192" spans="7:52">
      <c r="G192" s="15" t="e">
        <f t="shared" si="46"/>
        <v>#DIV/0!</v>
      </c>
      <c r="P192" s="15" t="e">
        <f t="shared" si="47"/>
        <v>#DIV/0!</v>
      </c>
      <c r="R192" s="78"/>
      <c r="S192" s="85">
        <v>5</v>
      </c>
      <c r="AA192" s="2">
        <f t="shared" si="36"/>
        <v>1</v>
      </c>
      <c r="AC192" s="15">
        <f t="shared" si="45"/>
        <v>0</v>
      </c>
      <c r="AG192" s="85" t="e">
        <f t="shared" si="37"/>
        <v>#DIV/0!</v>
      </c>
      <c r="AH192" s="15" t="e">
        <f t="shared" si="38"/>
        <v>#DIV/0!</v>
      </c>
      <c r="AI192" s="15"/>
      <c r="AJ192" s="15">
        <f t="shared" si="39"/>
        <v>1</v>
      </c>
      <c r="AK192" s="15" t="e">
        <f t="shared" si="40"/>
        <v>#DIV/0!</v>
      </c>
      <c r="AL192" s="14">
        <f t="shared" si="41"/>
        <v>0</v>
      </c>
      <c r="AM192" s="14">
        <f t="shared" si="48"/>
        <v>0</v>
      </c>
      <c r="AO192" s="16">
        <f t="shared" si="50"/>
        <v>1</v>
      </c>
      <c r="AP192" s="16" t="e">
        <f t="shared" si="42"/>
        <v>#DIV/0!</v>
      </c>
      <c r="AQ192" s="15">
        <v>1</v>
      </c>
      <c r="AR192" s="16" t="e">
        <f t="shared" si="43"/>
        <v>#DIV/0!</v>
      </c>
      <c r="AS192" s="16"/>
      <c r="AT192" s="15" t="e">
        <f t="shared" si="44"/>
        <v>#DIV/0!</v>
      </c>
      <c r="AZ192" s="16"/>
    </row>
    <row r="193" spans="7:52">
      <c r="G193" s="15" t="e">
        <f t="shared" si="46"/>
        <v>#DIV/0!</v>
      </c>
      <c r="P193" s="15" t="e">
        <f t="shared" si="47"/>
        <v>#DIV/0!</v>
      </c>
      <c r="R193" s="78"/>
      <c r="S193" s="85">
        <v>5</v>
      </c>
      <c r="AA193" s="2">
        <f t="shared" ref="AA193:AA256" si="51">IF(X193&lt;50,IF(Y193&gt;(2.3*X193),0,1),1)-IF(Z193&gt;Y193,1.7,0)</f>
        <v>1</v>
      </c>
      <c r="AC193" s="15">
        <f t="shared" si="45"/>
        <v>0</v>
      </c>
      <c r="AG193" s="85" t="e">
        <f t="shared" ref="AG193:AG256" si="52"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>#DIV/0!</v>
      </c>
      <c r="AH193" s="15" t="e">
        <f t="shared" ref="AH193:AH256" si="53">AG193+IF(X193&lt;1.35,0,1)+IF(Y193&lt;1.35,0,1)+AC193+AA193</f>
        <v>#DIV/0!</v>
      </c>
      <c r="AI193" s="15"/>
      <c r="AJ193" s="15">
        <f t="shared" ref="AJ193:AJ256" si="54">IF(AI193&gt;12.7,IF(AI193&gt;15.8,0.93,0.98),1)</f>
        <v>1</v>
      </c>
      <c r="AK193" s="15" t="e">
        <f t="shared" ref="AK193:AK256" si="55">(1.2*AG193+AH193)*AJ193*AQ193</f>
        <v>#DIV/0!</v>
      </c>
      <c r="AL193" s="14">
        <f t="shared" ref="AL193:AL256" si="56">D193</f>
        <v>0</v>
      </c>
      <c r="AM193" s="14">
        <f t="shared" si="48"/>
        <v>0</v>
      </c>
      <c r="AO193" s="16">
        <f t="shared" si="50"/>
        <v>1</v>
      </c>
      <c r="AP193" s="16" t="e">
        <f t="shared" ref="AP193:AP204" si="57">IF(AK193&gt;13.1,IF(Z193&lt;101,IF(Z193&lt;35,IF(Z193&lt;6,3,2),1),0),0)</f>
        <v>#DIV/0!</v>
      </c>
      <c r="AQ193" s="15">
        <v>1</v>
      </c>
      <c r="AR193" s="16" t="e">
        <f t="shared" ref="AR193:AR257" si="58">IF(AP193&gt;0,IF(AB193&gt;10,(AB193/Z193),10/Z193),0)</f>
        <v>#DIV/0!</v>
      </c>
      <c r="AS193" s="16"/>
      <c r="AT193" s="15" t="e">
        <f t="shared" ref="AT193:AT256" si="59">100*(AK193-AQ193)/AQ193</f>
        <v>#DIV/0!</v>
      </c>
      <c r="AZ193" s="16"/>
    </row>
    <row r="194" spans="7:52">
      <c r="G194" s="15" t="e">
        <f t="shared" si="46"/>
        <v>#DIV/0!</v>
      </c>
      <c r="P194" s="15" t="e">
        <f t="shared" si="47"/>
        <v>#DIV/0!</v>
      </c>
      <c r="R194" s="78"/>
      <c r="S194" s="85">
        <v>5</v>
      </c>
      <c r="AA194" s="2">
        <f t="shared" si="51"/>
        <v>1</v>
      </c>
      <c r="AC194" s="15">
        <f t="shared" ref="AC194:AC257" si="60">IF(AB194&gt;4,1,0)+AB194/12</f>
        <v>0</v>
      </c>
      <c r="AG194" s="85" t="e">
        <f t="shared" si="52"/>
        <v>#DIV/0!</v>
      </c>
      <c r="AH194" s="15" t="e">
        <f t="shared" si="53"/>
        <v>#DIV/0!</v>
      </c>
      <c r="AI194" s="15"/>
      <c r="AJ194" s="15">
        <f t="shared" si="54"/>
        <v>1</v>
      </c>
      <c r="AK194" s="15" t="e">
        <f t="shared" si="55"/>
        <v>#DIV/0!</v>
      </c>
      <c r="AL194" s="14">
        <f t="shared" si="56"/>
        <v>0</v>
      </c>
      <c r="AM194" s="14">
        <f t="shared" si="48"/>
        <v>0</v>
      </c>
      <c r="AO194" s="16">
        <f t="shared" si="50"/>
        <v>1</v>
      </c>
      <c r="AP194" s="16" t="e">
        <f t="shared" si="57"/>
        <v>#DIV/0!</v>
      </c>
      <c r="AQ194" s="15">
        <v>1</v>
      </c>
      <c r="AR194" s="16" t="e">
        <f t="shared" si="58"/>
        <v>#DIV/0!</v>
      </c>
      <c r="AS194" s="16"/>
      <c r="AT194" s="15" t="e">
        <f t="shared" si="59"/>
        <v>#DIV/0!</v>
      </c>
      <c r="AZ194" s="16"/>
    </row>
    <row r="195" spans="7:52">
      <c r="G195" s="15" t="e">
        <f t="shared" si="46"/>
        <v>#DIV/0!</v>
      </c>
      <c r="P195" s="15" t="e">
        <f t="shared" si="47"/>
        <v>#DIV/0!</v>
      </c>
      <c r="R195" s="78"/>
      <c r="S195" s="85">
        <v>5</v>
      </c>
      <c r="AA195" s="2">
        <f t="shared" si="51"/>
        <v>1</v>
      </c>
      <c r="AC195" s="15">
        <f t="shared" si="60"/>
        <v>0</v>
      </c>
      <c r="AG195" s="85" t="e">
        <f t="shared" si="52"/>
        <v>#DIV/0!</v>
      </c>
      <c r="AH195" s="15" t="e">
        <f t="shared" si="53"/>
        <v>#DIV/0!</v>
      </c>
      <c r="AI195" s="15"/>
      <c r="AJ195" s="15">
        <f t="shared" si="54"/>
        <v>1</v>
      </c>
      <c r="AK195" s="15" t="e">
        <f t="shared" si="55"/>
        <v>#DIV/0!</v>
      </c>
      <c r="AL195" s="14">
        <f t="shared" si="56"/>
        <v>0</v>
      </c>
      <c r="AM195" s="14">
        <f t="shared" si="48"/>
        <v>0</v>
      </c>
      <c r="AO195" s="16">
        <f t="shared" si="50"/>
        <v>1</v>
      </c>
      <c r="AP195" s="16" t="e">
        <f t="shared" si="57"/>
        <v>#DIV/0!</v>
      </c>
      <c r="AQ195" s="15">
        <v>1</v>
      </c>
      <c r="AR195" s="16" t="e">
        <f t="shared" si="58"/>
        <v>#DIV/0!</v>
      </c>
      <c r="AS195" s="16"/>
      <c r="AT195" s="15" t="e">
        <f t="shared" si="59"/>
        <v>#DIV/0!</v>
      </c>
      <c r="AZ195" s="16"/>
    </row>
    <row r="196" spans="7:52">
      <c r="G196" s="15" t="e">
        <f t="shared" si="46"/>
        <v>#DIV/0!</v>
      </c>
      <c r="P196" s="15" t="e">
        <f t="shared" si="47"/>
        <v>#DIV/0!</v>
      </c>
      <c r="R196" s="78"/>
      <c r="S196" s="85">
        <v>5</v>
      </c>
      <c r="AA196" s="2">
        <f t="shared" si="51"/>
        <v>1</v>
      </c>
      <c r="AC196" s="15">
        <f t="shared" si="60"/>
        <v>0</v>
      </c>
      <c r="AG196" s="85" t="e">
        <f t="shared" si="52"/>
        <v>#DIV/0!</v>
      </c>
      <c r="AH196" s="15" t="e">
        <f t="shared" si="53"/>
        <v>#DIV/0!</v>
      </c>
      <c r="AI196" s="15"/>
      <c r="AJ196" s="15">
        <f t="shared" si="54"/>
        <v>1</v>
      </c>
      <c r="AK196" s="15" t="e">
        <f t="shared" si="55"/>
        <v>#DIV/0!</v>
      </c>
      <c r="AL196" s="14">
        <f t="shared" si="56"/>
        <v>0</v>
      </c>
      <c r="AM196" s="14">
        <f t="shared" si="48"/>
        <v>0</v>
      </c>
      <c r="AO196" s="16">
        <f t="shared" si="50"/>
        <v>1</v>
      </c>
      <c r="AP196" s="16" t="e">
        <f t="shared" si="57"/>
        <v>#DIV/0!</v>
      </c>
      <c r="AQ196" s="15">
        <v>1</v>
      </c>
      <c r="AR196" s="16" t="e">
        <f t="shared" si="58"/>
        <v>#DIV/0!</v>
      </c>
      <c r="AS196" s="16"/>
      <c r="AT196" s="15" t="e">
        <f t="shared" si="59"/>
        <v>#DIV/0!</v>
      </c>
      <c r="AZ196" s="16"/>
    </row>
    <row r="197" spans="7:52">
      <c r="G197" s="15" t="e">
        <f t="shared" si="46"/>
        <v>#DIV/0!</v>
      </c>
      <c r="P197" s="15" t="e">
        <f t="shared" si="47"/>
        <v>#DIV/0!</v>
      </c>
      <c r="R197" s="78"/>
      <c r="S197" s="85">
        <v>5</v>
      </c>
      <c r="AA197" s="2">
        <f t="shared" si="51"/>
        <v>1</v>
      </c>
      <c r="AC197" s="15">
        <f t="shared" si="60"/>
        <v>0</v>
      </c>
      <c r="AG197" s="85" t="e">
        <f t="shared" si="52"/>
        <v>#DIV/0!</v>
      </c>
      <c r="AH197" s="15" t="e">
        <f t="shared" si="53"/>
        <v>#DIV/0!</v>
      </c>
      <c r="AI197" s="15"/>
      <c r="AJ197" s="15">
        <f t="shared" si="54"/>
        <v>1</v>
      </c>
      <c r="AK197" s="15" t="e">
        <f t="shared" si="55"/>
        <v>#DIV/0!</v>
      </c>
      <c r="AL197" s="14">
        <f t="shared" si="56"/>
        <v>0</v>
      </c>
      <c r="AM197" s="14">
        <f t="shared" si="48"/>
        <v>0</v>
      </c>
      <c r="AO197" s="16">
        <f t="shared" si="50"/>
        <v>1</v>
      </c>
      <c r="AP197" s="16" t="e">
        <f t="shared" si="57"/>
        <v>#DIV/0!</v>
      </c>
      <c r="AQ197" s="15">
        <v>1</v>
      </c>
      <c r="AR197" s="16" t="e">
        <f t="shared" si="58"/>
        <v>#DIV/0!</v>
      </c>
      <c r="AS197" s="16"/>
      <c r="AT197" s="15" t="e">
        <f t="shared" si="59"/>
        <v>#DIV/0!</v>
      </c>
      <c r="AZ197" s="16"/>
    </row>
    <row r="198" spans="7:52">
      <c r="G198" s="15" t="e">
        <f t="shared" si="46"/>
        <v>#DIV/0!</v>
      </c>
      <c r="P198" s="15" t="e">
        <f t="shared" si="47"/>
        <v>#DIV/0!</v>
      </c>
      <c r="R198" s="78"/>
      <c r="S198" s="85">
        <v>5</v>
      </c>
      <c r="AA198" s="2">
        <f t="shared" si="51"/>
        <v>1</v>
      </c>
      <c r="AC198" s="15">
        <f t="shared" si="60"/>
        <v>0</v>
      </c>
      <c r="AG198" s="85" t="e">
        <f t="shared" si="52"/>
        <v>#DIV/0!</v>
      </c>
      <c r="AH198" s="15" t="e">
        <f t="shared" si="53"/>
        <v>#DIV/0!</v>
      </c>
      <c r="AI198" s="15"/>
      <c r="AJ198" s="15">
        <f t="shared" si="54"/>
        <v>1</v>
      </c>
      <c r="AK198" s="15" t="e">
        <f t="shared" si="55"/>
        <v>#DIV/0!</v>
      </c>
      <c r="AL198" s="14">
        <f t="shared" si="56"/>
        <v>0</v>
      </c>
      <c r="AM198" s="14">
        <f t="shared" si="48"/>
        <v>0</v>
      </c>
      <c r="AO198" s="16">
        <f t="shared" si="50"/>
        <v>1</v>
      </c>
      <c r="AP198" s="16" t="e">
        <f t="shared" si="57"/>
        <v>#DIV/0!</v>
      </c>
      <c r="AQ198" s="15">
        <v>1</v>
      </c>
      <c r="AR198" s="16" t="e">
        <f t="shared" si="58"/>
        <v>#DIV/0!</v>
      </c>
      <c r="AS198" s="16"/>
      <c r="AT198" s="15" t="e">
        <f t="shared" si="59"/>
        <v>#DIV/0!</v>
      </c>
      <c r="AZ198" s="16"/>
    </row>
    <row r="199" spans="7:52">
      <c r="G199" s="15" t="e">
        <f t="shared" si="46"/>
        <v>#DIV/0!</v>
      </c>
      <c r="P199" s="15" t="e">
        <f t="shared" si="47"/>
        <v>#DIV/0!</v>
      </c>
      <c r="R199" s="78"/>
      <c r="S199" s="85">
        <v>5</v>
      </c>
      <c r="AA199" s="2">
        <f t="shared" si="51"/>
        <v>1</v>
      </c>
      <c r="AC199" s="15">
        <f t="shared" si="60"/>
        <v>0</v>
      </c>
      <c r="AG199" s="85" t="e">
        <f t="shared" si="52"/>
        <v>#DIV/0!</v>
      </c>
      <c r="AH199" s="15" t="e">
        <f t="shared" si="53"/>
        <v>#DIV/0!</v>
      </c>
      <c r="AI199" s="15"/>
      <c r="AJ199" s="15">
        <f t="shared" si="54"/>
        <v>1</v>
      </c>
      <c r="AK199" s="15" t="e">
        <f t="shared" si="55"/>
        <v>#DIV/0!</v>
      </c>
      <c r="AL199" s="14">
        <f t="shared" si="56"/>
        <v>0</v>
      </c>
      <c r="AM199" s="14">
        <f t="shared" si="48"/>
        <v>0</v>
      </c>
      <c r="AO199" s="16">
        <f t="shared" si="50"/>
        <v>1</v>
      </c>
      <c r="AP199" s="16" t="e">
        <f t="shared" si="57"/>
        <v>#DIV/0!</v>
      </c>
      <c r="AQ199" s="15">
        <v>1</v>
      </c>
      <c r="AR199" s="16" t="e">
        <f t="shared" si="58"/>
        <v>#DIV/0!</v>
      </c>
      <c r="AS199" s="16"/>
      <c r="AT199" s="15" t="e">
        <f t="shared" si="59"/>
        <v>#DIV/0!</v>
      </c>
      <c r="AZ199" s="16"/>
    </row>
    <row r="200" spans="7:52">
      <c r="G200" s="15" t="e">
        <f t="shared" si="46"/>
        <v>#DIV/0!</v>
      </c>
      <c r="P200" s="15" t="e">
        <f t="shared" si="47"/>
        <v>#DIV/0!</v>
      </c>
      <c r="R200" s="78"/>
      <c r="S200" s="85">
        <v>5</v>
      </c>
      <c r="AA200" s="2">
        <f t="shared" si="51"/>
        <v>1</v>
      </c>
      <c r="AC200" s="15">
        <f t="shared" si="60"/>
        <v>0</v>
      </c>
      <c r="AG200" s="85" t="e">
        <f t="shared" si="52"/>
        <v>#DIV/0!</v>
      </c>
      <c r="AH200" s="15" t="e">
        <f t="shared" si="53"/>
        <v>#DIV/0!</v>
      </c>
      <c r="AI200" s="15"/>
      <c r="AJ200" s="15">
        <f t="shared" si="54"/>
        <v>1</v>
      </c>
      <c r="AK200" s="15" t="e">
        <f t="shared" si="55"/>
        <v>#DIV/0!</v>
      </c>
      <c r="AL200" s="14">
        <f t="shared" si="56"/>
        <v>0</v>
      </c>
      <c r="AM200" s="14">
        <f t="shared" si="48"/>
        <v>0</v>
      </c>
      <c r="AO200" s="16">
        <f t="shared" si="50"/>
        <v>1</v>
      </c>
      <c r="AP200" s="16" t="e">
        <f t="shared" si="57"/>
        <v>#DIV/0!</v>
      </c>
      <c r="AQ200" s="15">
        <v>1</v>
      </c>
      <c r="AR200" s="16" t="e">
        <f t="shared" si="58"/>
        <v>#DIV/0!</v>
      </c>
      <c r="AS200" s="16"/>
      <c r="AT200" s="15" t="e">
        <f t="shared" si="59"/>
        <v>#DIV/0!</v>
      </c>
      <c r="AZ200" s="16"/>
    </row>
    <row r="201" spans="7:52">
      <c r="G201" s="15" t="e">
        <f t="shared" si="46"/>
        <v>#DIV/0!</v>
      </c>
      <c r="P201" s="15" t="e">
        <f t="shared" si="47"/>
        <v>#DIV/0!</v>
      </c>
      <c r="R201" s="78"/>
      <c r="S201" s="85">
        <v>5</v>
      </c>
      <c r="AA201" s="2">
        <f t="shared" si="51"/>
        <v>1</v>
      </c>
      <c r="AC201" s="15">
        <f t="shared" si="60"/>
        <v>0</v>
      </c>
      <c r="AG201" s="85" t="e">
        <f t="shared" si="52"/>
        <v>#DIV/0!</v>
      </c>
      <c r="AH201" s="15" t="e">
        <f t="shared" si="53"/>
        <v>#DIV/0!</v>
      </c>
      <c r="AI201" s="15"/>
      <c r="AJ201" s="15">
        <f t="shared" si="54"/>
        <v>1</v>
      </c>
      <c r="AK201" s="15" t="e">
        <f t="shared" si="55"/>
        <v>#DIV/0!</v>
      </c>
      <c r="AL201" s="14">
        <f t="shared" si="56"/>
        <v>0</v>
      </c>
      <c r="AM201" s="14">
        <f t="shared" si="48"/>
        <v>0</v>
      </c>
      <c r="AO201" s="16">
        <f t="shared" si="50"/>
        <v>1</v>
      </c>
      <c r="AP201" s="16" t="e">
        <f t="shared" si="57"/>
        <v>#DIV/0!</v>
      </c>
      <c r="AQ201" s="15">
        <v>1</v>
      </c>
      <c r="AR201" s="16" t="e">
        <f t="shared" si="58"/>
        <v>#DIV/0!</v>
      </c>
      <c r="AS201" s="16"/>
      <c r="AT201" s="15" t="e">
        <f t="shared" si="59"/>
        <v>#DIV/0!</v>
      </c>
      <c r="AZ201" s="16"/>
    </row>
    <row r="202" spans="7:52">
      <c r="G202" s="15" t="e">
        <f t="shared" si="46"/>
        <v>#DIV/0!</v>
      </c>
      <c r="P202" s="15" t="e">
        <f t="shared" si="47"/>
        <v>#DIV/0!</v>
      </c>
      <c r="R202" s="78"/>
      <c r="S202" s="85">
        <v>5</v>
      </c>
      <c r="AA202" s="2">
        <f t="shared" si="51"/>
        <v>1</v>
      </c>
      <c r="AC202" s="15">
        <f t="shared" si="60"/>
        <v>0</v>
      </c>
      <c r="AG202" s="85" t="e">
        <f t="shared" si="52"/>
        <v>#DIV/0!</v>
      </c>
      <c r="AH202" s="15" t="e">
        <f t="shared" si="53"/>
        <v>#DIV/0!</v>
      </c>
      <c r="AI202" s="15"/>
      <c r="AJ202" s="15">
        <f t="shared" si="54"/>
        <v>1</v>
      </c>
      <c r="AK202" s="15" t="e">
        <f t="shared" si="55"/>
        <v>#DIV/0!</v>
      </c>
      <c r="AL202" s="14">
        <f t="shared" si="56"/>
        <v>0</v>
      </c>
      <c r="AM202" s="14">
        <f t="shared" si="48"/>
        <v>0</v>
      </c>
      <c r="AO202" s="16">
        <f t="shared" si="50"/>
        <v>1</v>
      </c>
      <c r="AP202" s="16" t="e">
        <f t="shared" si="57"/>
        <v>#DIV/0!</v>
      </c>
      <c r="AQ202" s="15">
        <v>1</v>
      </c>
      <c r="AR202" s="16" t="e">
        <f t="shared" si="58"/>
        <v>#DIV/0!</v>
      </c>
      <c r="AS202" s="16"/>
      <c r="AT202" s="15" t="e">
        <f t="shared" si="59"/>
        <v>#DIV/0!</v>
      </c>
      <c r="AZ202" s="16"/>
    </row>
    <row r="203" spans="7:52">
      <c r="G203" s="15" t="e">
        <f t="shared" si="46"/>
        <v>#DIV/0!</v>
      </c>
      <c r="P203" s="15" t="e">
        <f t="shared" si="47"/>
        <v>#DIV/0!</v>
      </c>
      <c r="R203" s="78"/>
      <c r="S203" s="85">
        <v>5</v>
      </c>
      <c r="AA203" s="2">
        <f t="shared" si="51"/>
        <v>1</v>
      </c>
      <c r="AC203" s="15">
        <f t="shared" si="60"/>
        <v>0</v>
      </c>
      <c r="AG203" s="85" t="e">
        <f t="shared" si="52"/>
        <v>#DIV/0!</v>
      </c>
      <c r="AH203" s="15" t="e">
        <f t="shared" si="53"/>
        <v>#DIV/0!</v>
      </c>
      <c r="AI203" s="15"/>
      <c r="AJ203" s="15">
        <f t="shared" si="54"/>
        <v>1</v>
      </c>
      <c r="AK203" s="15" t="e">
        <f t="shared" si="55"/>
        <v>#DIV/0!</v>
      </c>
      <c r="AL203" s="14">
        <f t="shared" si="56"/>
        <v>0</v>
      </c>
      <c r="AM203" s="14">
        <f t="shared" si="48"/>
        <v>0</v>
      </c>
      <c r="AO203" s="16">
        <f t="shared" si="50"/>
        <v>1</v>
      </c>
      <c r="AP203" s="16" t="e">
        <f t="shared" si="57"/>
        <v>#DIV/0!</v>
      </c>
      <c r="AQ203" s="15">
        <v>1</v>
      </c>
      <c r="AR203" s="16" t="e">
        <f t="shared" si="58"/>
        <v>#DIV/0!</v>
      </c>
      <c r="AS203" s="16"/>
      <c r="AT203" s="15" t="e">
        <f t="shared" si="59"/>
        <v>#DIV/0!</v>
      </c>
      <c r="AZ203" s="16"/>
    </row>
    <row r="204" spans="7:52">
      <c r="G204" s="15" t="e">
        <f t="shared" si="46"/>
        <v>#DIV/0!</v>
      </c>
      <c r="P204" s="15" t="e">
        <f t="shared" si="47"/>
        <v>#DIV/0!</v>
      </c>
      <c r="R204" s="78"/>
      <c r="S204" s="85">
        <v>5</v>
      </c>
      <c r="AA204" s="2">
        <f t="shared" si="51"/>
        <v>1</v>
      </c>
      <c r="AC204" s="15">
        <f t="shared" si="60"/>
        <v>0</v>
      </c>
      <c r="AG204" s="85" t="e">
        <f t="shared" si="52"/>
        <v>#DIV/0!</v>
      </c>
      <c r="AH204" s="15" t="e">
        <f t="shared" si="53"/>
        <v>#DIV/0!</v>
      </c>
      <c r="AI204" s="15"/>
      <c r="AJ204" s="15">
        <f t="shared" si="54"/>
        <v>1</v>
      </c>
      <c r="AK204" s="15" t="e">
        <f t="shared" si="55"/>
        <v>#DIV/0!</v>
      </c>
      <c r="AL204" s="14">
        <f t="shared" si="56"/>
        <v>0</v>
      </c>
      <c r="AM204" s="14">
        <f t="shared" si="48"/>
        <v>0</v>
      </c>
      <c r="AO204" s="16">
        <f t="shared" si="50"/>
        <v>1</v>
      </c>
      <c r="AP204" s="16" t="e">
        <f t="shared" si="57"/>
        <v>#DIV/0!</v>
      </c>
      <c r="AQ204" s="15">
        <v>1</v>
      </c>
      <c r="AR204" s="16" t="e">
        <f t="shared" si="58"/>
        <v>#DIV/0!</v>
      </c>
      <c r="AS204" s="16"/>
      <c r="AT204" s="15" t="e">
        <f t="shared" si="59"/>
        <v>#DIV/0!</v>
      </c>
      <c r="AZ204" s="16"/>
    </row>
    <row r="205" spans="7:52">
      <c r="G205" s="15" t="e">
        <f t="shared" si="46"/>
        <v>#DIV/0!</v>
      </c>
      <c r="P205" s="15" t="e">
        <f t="shared" si="47"/>
        <v>#DIV/0!</v>
      </c>
      <c r="R205" s="78"/>
      <c r="S205" s="85">
        <v>5</v>
      </c>
      <c r="AA205" s="2">
        <f t="shared" si="51"/>
        <v>1</v>
      </c>
      <c r="AC205" s="15">
        <f t="shared" si="60"/>
        <v>0</v>
      </c>
      <c r="AG205" s="85" t="e">
        <f t="shared" si="52"/>
        <v>#DIV/0!</v>
      </c>
      <c r="AH205" s="15" t="e">
        <f t="shared" si="53"/>
        <v>#DIV/0!</v>
      </c>
      <c r="AI205" s="15"/>
      <c r="AJ205" s="15">
        <f t="shared" si="54"/>
        <v>1</v>
      </c>
      <c r="AK205" s="15" t="e">
        <f t="shared" si="55"/>
        <v>#DIV/0!</v>
      </c>
      <c r="AL205" s="14">
        <f t="shared" si="56"/>
        <v>0</v>
      </c>
      <c r="AM205" s="14">
        <f t="shared" si="48"/>
        <v>0</v>
      </c>
      <c r="AO205" s="16">
        <f t="shared" si="50"/>
        <v>1</v>
      </c>
      <c r="AP205" s="16" t="e">
        <f t="shared" ref="AP205:AP268" si="61">IF(AK205&gt;13.1,IF(Z205&lt;101,IF(Z205&lt;35,IF(Z205&lt;8,3,2),1),0),0)</f>
        <v>#DIV/0!</v>
      </c>
      <c r="AQ205" s="15">
        <v>1</v>
      </c>
      <c r="AR205" s="16" t="e">
        <f t="shared" si="58"/>
        <v>#DIV/0!</v>
      </c>
      <c r="AS205" s="16"/>
      <c r="AT205" s="15" t="e">
        <f t="shared" si="59"/>
        <v>#DIV/0!</v>
      </c>
      <c r="AZ205" s="16"/>
    </row>
    <row r="206" spans="7:52">
      <c r="G206" s="15" t="e">
        <f t="shared" si="46"/>
        <v>#DIV/0!</v>
      </c>
      <c r="P206" s="15" t="e">
        <f t="shared" si="47"/>
        <v>#DIV/0!</v>
      </c>
      <c r="R206" s="78"/>
      <c r="S206" s="85">
        <v>5</v>
      </c>
      <c r="AA206" s="2">
        <f t="shared" si="51"/>
        <v>1</v>
      </c>
      <c r="AC206" s="15">
        <f t="shared" si="60"/>
        <v>0</v>
      </c>
      <c r="AG206" s="85" t="e">
        <f t="shared" si="52"/>
        <v>#DIV/0!</v>
      </c>
      <c r="AH206" s="15" t="e">
        <f t="shared" si="53"/>
        <v>#DIV/0!</v>
      </c>
      <c r="AI206" s="15"/>
      <c r="AJ206" s="15">
        <f t="shared" si="54"/>
        <v>1</v>
      </c>
      <c r="AK206" s="15" t="e">
        <f t="shared" si="55"/>
        <v>#DIV/0!</v>
      </c>
      <c r="AL206" s="14">
        <f t="shared" si="56"/>
        <v>0</v>
      </c>
      <c r="AM206" s="14">
        <f t="shared" si="48"/>
        <v>0</v>
      </c>
      <c r="AO206" s="16">
        <f t="shared" si="50"/>
        <v>1</v>
      </c>
      <c r="AP206" s="16" t="e">
        <f t="shared" si="61"/>
        <v>#DIV/0!</v>
      </c>
      <c r="AQ206" s="15">
        <v>1</v>
      </c>
      <c r="AR206" s="16" t="e">
        <f t="shared" si="58"/>
        <v>#DIV/0!</v>
      </c>
      <c r="AS206" s="16"/>
      <c r="AT206" s="15" t="e">
        <f t="shared" si="59"/>
        <v>#DIV/0!</v>
      </c>
      <c r="AZ206" s="16"/>
    </row>
    <row r="207" spans="7:52">
      <c r="G207" s="15" t="e">
        <f t="shared" si="46"/>
        <v>#DIV/0!</v>
      </c>
      <c r="P207" s="15" t="e">
        <f t="shared" si="47"/>
        <v>#DIV/0!</v>
      </c>
      <c r="R207" s="78"/>
      <c r="S207" s="85">
        <v>5</v>
      </c>
      <c r="AA207" s="2">
        <f t="shared" si="51"/>
        <v>1</v>
      </c>
      <c r="AC207" s="15">
        <f t="shared" si="60"/>
        <v>0</v>
      </c>
      <c r="AG207" s="85" t="e">
        <f t="shared" si="52"/>
        <v>#DIV/0!</v>
      </c>
      <c r="AH207" s="15" t="e">
        <f t="shared" si="53"/>
        <v>#DIV/0!</v>
      </c>
      <c r="AI207" s="15"/>
      <c r="AJ207" s="15">
        <f t="shared" si="54"/>
        <v>1</v>
      </c>
      <c r="AK207" s="15" t="e">
        <f t="shared" si="55"/>
        <v>#DIV/0!</v>
      </c>
      <c r="AL207" s="14">
        <f t="shared" si="56"/>
        <v>0</v>
      </c>
      <c r="AM207" s="14">
        <f t="shared" si="48"/>
        <v>0</v>
      </c>
      <c r="AO207" s="16">
        <f t="shared" si="50"/>
        <v>1</v>
      </c>
      <c r="AP207" s="16" t="e">
        <f t="shared" si="61"/>
        <v>#DIV/0!</v>
      </c>
      <c r="AQ207" s="15">
        <v>1</v>
      </c>
      <c r="AR207" s="16" t="e">
        <f t="shared" si="58"/>
        <v>#DIV/0!</v>
      </c>
      <c r="AS207" s="16"/>
      <c r="AT207" s="15" t="e">
        <f t="shared" si="59"/>
        <v>#DIV/0!</v>
      </c>
      <c r="AZ207" s="16"/>
    </row>
    <row r="208" spans="7:52">
      <c r="G208" s="15" t="e">
        <f t="shared" si="46"/>
        <v>#DIV/0!</v>
      </c>
      <c r="P208" s="15" t="e">
        <f t="shared" si="47"/>
        <v>#DIV/0!</v>
      </c>
      <c r="R208" s="78"/>
      <c r="S208" s="85">
        <v>5</v>
      </c>
      <c r="AA208" s="2">
        <f t="shared" si="51"/>
        <v>1</v>
      </c>
      <c r="AC208" s="15">
        <f t="shared" si="60"/>
        <v>0</v>
      </c>
      <c r="AG208" s="85" t="e">
        <f t="shared" si="52"/>
        <v>#DIV/0!</v>
      </c>
      <c r="AH208" s="15" t="e">
        <f t="shared" si="53"/>
        <v>#DIV/0!</v>
      </c>
      <c r="AI208" s="15"/>
      <c r="AJ208" s="15">
        <f t="shared" si="54"/>
        <v>1</v>
      </c>
      <c r="AK208" s="15" t="e">
        <f t="shared" si="55"/>
        <v>#DIV/0!</v>
      </c>
      <c r="AL208" s="14">
        <f t="shared" si="56"/>
        <v>0</v>
      </c>
      <c r="AM208" s="14">
        <f t="shared" si="48"/>
        <v>0</v>
      </c>
      <c r="AO208" s="16">
        <f t="shared" si="50"/>
        <v>1</v>
      </c>
      <c r="AP208" s="16" t="e">
        <f t="shared" si="61"/>
        <v>#DIV/0!</v>
      </c>
      <c r="AQ208" s="15">
        <v>1</v>
      </c>
      <c r="AR208" s="16" t="e">
        <f t="shared" si="58"/>
        <v>#DIV/0!</v>
      </c>
      <c r="AS208" s="16"/>
      <c r="AT208" s="15" t="e">
        <f t="shared" si="59"/>
        <v>#DIV/0!</v>
      </c>
      <c r="AZ208" s="16"/>
    </row>
    <row r="209" spans="7:52">
      <c r="G209" s="15" t="e">
        <f t="shared" si="46"/>
        <v>#DIV/0!</v>
      </c>
      <c r="P209" s="15" t="e">
        <f t="shared" si="47"/>
        <v>#DIV/0!</v>
      </c>
      <c r="R209" s="78"/>
      <c r="S209" s="85">
        <v>5</v>
      </c>
      <c r="AA209" s="2">
        <f t="shared" si="51"/>
        <v>1</v>
      </c>
      <c r="AC209" s="15">
        <f t="shared" si="60"/>
        <v>0</v>
      </c>
      <c r="AG209" s="85" t="e">
        <f t="shared" si="52"/>
        <v>#DIV/0!</v>
      </c>
      <c r="AH209" s="15" t="e">
        <f t="shared" si="53"/>
        <v>#DIV/0!</v>
      </c>
      <c r="AI209" s="15"/>
      <c r="AJ209" s="15">
        <f t="shared" si="54"/>
        <v>1</v>
      </c>
      <c r="AK209" s="15" t="e">
        <f t="shared" si="55"/>
        <v>#DIV/0!</v>
      </c>
      <c r="AL209" s="14">
        <f t="shared" si="56"/>
        <v>0</v>
      </c>
      <c r="AM209" s="14">
        <f t="shared" si="48"/>
        <v>0</v>
      </c>
      <c r="AO209" s="16">
        <f t="shared" si="50"/>
        <v>1</v>
      </c>
      <c r="AP209" s="16" t="e">
        <f t="shared" si="61"/>
        <v>#DIV/0!</v>
      </c>
      <c r="AQ209" s="15">
        <v>1</v>
      </c>
      <c r="AR209" s="16" t="e">
        <f t="shared" si="58"/>
        <v>#DIV/0!</v>
      </c>
      <c r="AS209" s="16"/>
      <c r="AT209" s="15" t="e">
        <f t="shared" si="59"/>
        <v>#DIV/0!</v>
      </c>
      <c r="AZ209" s="16"/>
    </row>
    <row r="210" spans="7:52">
      <c r="G210" s="15" t="e">
        <f t="shared" ref="G210:G273" si="62">100*(F210-E210)/F210</f>
        <v>#DIV/0!</v>
      </c>
      <c r="P210" s="15" t="e">
        <f t="shared" ref="P210:P273" si="63">O210/I210</f>
        <v>#DIV/0!</v>
      </c>
      <c r="R210" s="78"/>
      <c r="S210" s="85">
        <v>5</v>
      </c>
      <c r="AA210" s="2">
        <f t="shared" si="51"/>
        <v>1</v>
      </c>
      <c r="AC210" s="15">
        <f t="shared" si="60"/>
        <v>0</v>
      </c>
      <c r="AG210" s="85" t="e">
        <f t="shared" si="52"/>
        <v>#DIV/0!</v>
      </c>
      <c r="AH210" s="15" t="e">
        <f t="shared" si="53"/>
        <v>#DIV/0!</v>
      </c>
      <c r="AI210" s="15"/>
      <c r="AJ210" s="15">
        <f t="shared" si="54"/>
        <v>1</v>
      </c>
      <c r="AK210" s="15" t="e">
        <f t="shared" si="55"/>
        <v>#DIV/0!</v>
      </c>
      <c r="AL210" s="14">
        <f t="shared" si="56"/>
        <v>0</v>
      </c>
      <c r="AM210" s="14">
        <f t="shared" ref="AM210:AM273" si="64">B210</f>
        <v>0</v>
      </c>
      <c r="AO210" s="16">
        <f t="shared" ref="AO210:AO241" si="65">AN210+1</f>
        <v>1</v>
      </c>
      <c r="AP210" s="16" t="e">
        <f t="shared" si="61"/>
        <v>#DIV/0!</v>
      </c>
      <c r="AQ210" s="15">
        <v>1</v>
      </c>
      <c r="AR210" s="16" t="e">
        <f t="shared" si="58"/>
        <v>#DIV/0!</v>
      </c>
      <c r="AS210" s="16"/>
      <c r="AT210" s="15" t="e">
        <f t="shared" si="59"/>
        <v>#DIV/0!</v>
      </c>
      <c r="AZ210" s="16"/>
    </row>
    <row r="211" spans="7:52">
      <c r="G211" s="15" t="e">
        <f t="shared" si="62"/>
        <v>#DIV/0!</v>
      </c>
      <c r="P211" s="15" t="e">
        <f t="shared" si="63"/>
        <v>#DIV/0!</v>
      </c>
      <c r="R211" s="78"/>
      <c r="S211" s="85">
        <v>5</v>
      </c>
      <c r="AA211" s="2">
        <f t="shared" si="51"/>
        <v>1</v>
      </c>
      <c r="AC211" s="15">
        <f t="shared" si="60"/>
        <v>0</v>
      </c>
      <c r="AG211" s="85" t="e">
        <f t="shared" si="52"/>
        <v>#DIV/0!</v>
      </c>
      <c r="AH211" s="15" t="e">
        <f t="shared" si="53"/>
        <v>#DIV/0!</v>
      </c>
      <c r="AI211" s="15"/>
      <c r="AJ211" s="15">
        <f t="shared" si="54"/>
        <v>1</v>
      </c>
      <c r="AK211" s="15" t="e">
        <f t="shared" si="55"/>
        <v>#DIV/0!</v>
      </c>
      <c r="AL211" s="14">
        <f t="shared" si="56"/>
        <v>0</v>
      </c>
      <c r="AM211" s="14">
        <f t="shared" si="64"/>
        <v>0</v>
      </c>
      <c r="AO211" s="16">
        <f t="shared" si="65"/>
        <v>1</v>
      </c>
      <c r="AP211" s="16" t="e">
        <f t="shared" si="61"/>
        <v>#DIV/0!</v>
      </c>
      <c r="AQ211" s="15">
        <v>1</v>
      </c>
      <c r="AR211" s="16" t="e">
        <f t="shared" si="58"/>
        <v>#DIV/0!</v>
      </c>
      <c r="AS211" s="16"/>
      <c r="AT211" s="15" t="e">
        <f t="shared" si="59"/>
        <v>#DIV/0!</v>
      </c>
      <c r="AZ211" s="16"/>
    </row>
    <row r="212" spans="7:52">
      <c r="G212" s="15" t="e">
        <f t="shared" si="62"/>
        <v>#DIV/0!</v>
      </c>
      <c r="P212" s="15" t="e">
        <f t="shared" si="63"/>
        <v>#DIV/0!</v>
      </c>
      <c r="R212" s="78"/>
      <c r="S212" s="85">
        <v>5</v>
      </c>
      <c r="AA212" s="2">
        <f t="shared" si="51"/>
        <v>1</v>
      </c>
      <c r="AC212" s="15">
        <f t="shared" si="60"/>
        <v>0</v>
      </c>
      <c r="AG212" s="85" t="e">
        <f t="shared" si="52"/>
        <v>#DIV/0!</v>
      </c>
      <c r="AH212" s="15" t="e">
        <f t="shared" si="53"/>
        <v>#DIV/0!</v>
      </c>
      <c r="AI212" s="15"/>
      <c r="AJ212" s="15">
        <f t="shared" si="54"/>
        <v>1</v>
      </c>
      <c r="AK212" s="15" t="e">
        <f t="shared" si="55"/>
        <v>#DIV/0!</v>
      </c>
      <c r="AL212" s="14">
        <f t="shared" si="56"/>
        <v>0</v>
      </c>
      <c r="AM212" s="14">
        <f t="shared" si="64"/>
        <v>0</v>
      </c>
      <c r="AO212" s="16">
        <f t="shared" si="65"/>
        <v>1</v>
      </c>
      <c r="AP212" s="16" t="e">
        <f t="shared" si="61"/>
        <v>#DIV/0!</v>
      </c>
      <c r="AQ212" s="15">
        <v>1</v>
      </c>
      <c r="AR212" s="16" t="e">
        <f t="shared" si="58"/>
        <v>#DIV/0!</v>
      </c>
      <c r="AS212" s="16"/>
      <c r="AT212" s="15" t="e">
        <f t="shared" si="59"/>
        <v>#DIV/0!</v>
      </c>
      <c r="AZ212" s="16"/>
    </row>
    <row r="213" spans="7:52">
      <c r="G213" s="15" t="e">
        <f t="shared" si="62"/>
        <v>#DIV/0!</v>
      </c>
      <c r="P213" s="15" t="e">
        <f t="shared" si="63"/>
        <v>#DIV/0!</v>
      </c>
      <c r="R213" s="78"/>
      <c r="S213" s="85">
        <v>5</v>
      </c>
      <c r="AA213" s="2">
        <f t="shared" si="51"/>
        <v>1</v>
      </c>
      <c r="AC213" s="15">
        <f t="shared" si="60"/>
        <v>0</v>
      </c>
      <c r="AG213" s="85" t="e">
        <f t="shared" si="52"/>
        <v>#DIV/0!</v>
      </c>
      <c r="AH213" s="15" t="e">
        <f t="shared" si="53"/>
        <v>#DIV/0!</v>
      </c>
      <c r="AI213" s="15"/>
      <c r="AJ213" s="15">
        <f t="shared" si="54"/>
        <v>1</v>
      </c>
      <c r="AK213" s="15" t="e">
        <f t="shared" si="55"/>
        <v>#DIV/0!</v>
      </c>
      <c r="AL213" s="14">
        <f t="shared" si="56"/>
        <v>0</v>
      </c>
      <c r="AM213" s="14">
        <f t="shared" si="64"/>
        <v>0</v>
      </c>
      <c r="AO213" s="16">
        <f t="shared" si="65"/>
        <v>1</v>
      </c>
      <c r="AP213" s="16" t="e">
        <f t="shared" si="61"/>
        <v>#DIV/0!</v>
      </c>
      <c r="AQ213" s="15">
        <v>1</v>
      </c>
      <c r="AR213" s="16" t="e">
        <f t="shared" si="58"/>
        <v>#DIV/0!</v>
      </c>
      <c r="AS213" s="16"/>
      <c r="AT213" s="15" t="e">
        <f t="shared" si="59"/>
        <v>#DIV/0!</v>
      </c>
      <c r="AZ213" s="16"/>
    </row>
    <row r="214" spans="7:52">
      <c r="G214" s="15" t="e">
        <f t="shared" si="62"/>
        <v>#DIV/0!</v>
      </c>
      <c r="P214" s="15" t="e">
        <f t="shared" si="63"/>
        <v>#DIV/0!</v>
      </c>
      <c r="R214" s="78"/>
      <c r="S214" s="85">
        <v>5</v>
      </c>
      <c r="AA214" s="2">
        <f t="shared" si="51"/>
        <v>1</v>
      </c>
      <c r="AC214" s="15">
        <f t="shared" si="60"/>
        <v>0</v>
      </c>
      <c r="AG214" s="85" t="e">
        <f t="shared" si="52"/>
        <v>#DIV/0!</v>
      </c>
      <c r="AH214" s="15" t="e">
        <f t="shared" si="53"/>
        <v>#DIV/0!</v>
      </c>
      <c r="AI214" s="15"/>
      <c r="AJ214" s="15">
        <f t="shared" si="54"/>
        <v>1</v>
      </c>
      <c r="AK214" s="15" t="e">
        <f t="shared" si="55"/>
        <v>#DIV/0!</v>
      </c>
      <c r="AL214" s="14">
        <f t="shared" si="56"/>
        <v>0</v>
      </c>
      <c r="AM214" s="14">
        <f t="shared" si="64"/>
        <v>0</v>
      </c>
      <c r="AO214" s="16">
        <f t="shared" si="65"/>
        <v>1</v>
      </c>
      <c r="AP214" s="16" t="e">
        <f t="shared" si="61"/>
        <v>#DIV/0!</v>
      </c>
      <c r="AQ214" s="15">
        <v>1</v>
      </c>
      <c r="AR214" s="16" t="e">
        <f t="shared" si="58"/>
        <v>#DIV/0!</v>
      </c>
      <c r="AS214" s="16"/>
      <c r="AT214" s="15" t="e">
        <f t="shared" si="59"/>
        <v>#DIV/0!</v>
      </c>
      <c r="AZ214" s="16"/>
    </row>
    <row r="215" spans="7:52">
      <c r="G215" s="15" t="e">
        <f t="shared" si="62"/>
        <v>#DIV/0!</v>
      </c>
      <c r="P215" s="15" t="e">
        <f t="shared" si="63"/>
        <v>#DIV/0!</v>
      </c>
      <c r="R215" s="78"/>
      <c r="S215" s="85">
        <v>5</v>
      </c>
      <c r="AA215" s="2">
        <f t="shared" si="51"/>
        <v>1</v>
      </c>
      <c r="AC215" s="15">
        <f t="shared" si="60"/>
        <v>0</v>
      </c>
      <c r="AG215" s="85" t="e">
        <f t="shared" si="52"/>
        <v>#DIV/0!</v>
      </c>
      <c r="AH215" s="15" t="e">
        <f t="shared" si="53"/>
        <v>#DIV/0!</v>
      </c>
      <c r="AI215" s="15"/>
      <c r="AJ215" s="15">
        <f t="shared" si="54"/>
        <v>1</v>
      </c>
      <c r="AK215" s="15" t="e">
        <f t="shared" si="55"/>
        <v>#DIV/0!</v>
      </c>
      <c r="AL215" s="14">
        <f t="shared" si="56"/>
        <v>0</v>
      </c>
      <c r="AM215" s="14">
        <f t="shared" si="64"/>
        <v>0</v>
      </c>
      <c r="AO215" s="16">
        <f t="shared" si="65"/>
        <v>1</v>
      </c>
      <c r="AP215" s="16" t="e">
        <f t="shared" si="61"/>
        <v>#DIV/0!</v>
      </c>
      <c r="AQ215" s="15">
        <v>1</v>
      </c>
      <c r="AR215" s="16" t="e">
        <f t="shared" si="58"/>
        <v>#DIV/0!</v>
      </c>
      <c r="AS215" s="16"/>
      <c r="AT215" s="15" t="e">
        <f t="shared" si="59"/>
        <v>#DIV/0!</v>
      </c>
      <c r="AZ215" s="16"/>
    </row>
    <row r="216" spans="7:52">
      <c r="G216" s="15" t="e">
        <f t="shared" si="62"/>
        <v>#DIV/0!</v>
      </c>
      <c r="P216" s="15" t="e">
        <f t="shared" si="63"/>
        <v>#DIV/0!</v>
      </c>
      <c r="R216" s="78"/>
      <c r="S216" s="85">
        <v>5</v>
      </c>
      <c r="AA216" s="2">
        <f t="shared" si="51"/>
        <v>1</v>
      </c>
      <c r="AC216" s="15">
        <f t="shared" si="60"/>
        <v>0</v>
      </c>
      <c r="AG216" s="85" t="e">
        <f t="shared" si="52"/>
        <v>#DIV/0!</v>
      </c>
      <c r="AH216" s="15" t="e">
        <f t="shared" si="53"/>
        <v>#DIV/0!</v>
      </c>
      <c r="AI216" s="15"/>
      <c r="AJ216" s="15">
        <f t="shared" si="54"/>
        <v>1</v>
      </c>
      <c r="AK216" s="15" t="e">
        <f t="shared" si="55"/>
        <v>#DIV/0!</v>
      </c>
      <c r="AL216" s="14">
        <f t="shared" si="56"/>
        <v>0</v>
      </c>
      <c r="AM216" s="14">
        <f t="shared" si="64"/>
        <v>0</v>
      </c>
      <c r="AO216" s="16">
        <f t="shared" si="65"/>
        <v>1</v>
      </c>
      <c r="AP216" s="16" t="e">
        <f t="shared" si="61"/>
        <v>#DIV/0!</v>
      </c>
      <c r="AQ216" s="15">
        <v>1</v>
      </c>
      <c r="AR216" s="16" t="e">
        <f t="shared" si="58"/>
        <v>#DIV/0!</v>
      </c>
      <c r="AS216" s="16"/>
      <c r="AT216" s="15" t="e">
        <f t="shared" si="59"/>
        <v>#DIV/0!</v>
      </c>
      <c r="AZ216" s="16"/>
    </row>
    <row r="217" spans="7:52">
      <c r="G217" s="15" t="e">
        <f t="shared" si="62"/>
        <v>#DIV/0!</v>
      </c>
      <c r="P217" s="15" t="e">
        <f t="shared" si="63"/>
        <v>#DIV/0!</v>
      </c>
      <c r="R217" s="78"/>
      <c r="S217" s="85">
        <v>5</v>
      </c>
      <c r="AA217" s="2">
        <f t="shared" si="51"/>
        <v>1</v>
      </c>
      <c r="AC217" s="15">
        <f t="shared" si="60"/>
        <v>0</v>
      </c>
      <c r="AG217" s="85" t="e">
        <f t="shared" si="52"/>
        <v>#DIV/0!</v>
      </c>
      <c r="AH217" s="15" t="e">
        <f t="shared" si="53"/>
        <v>#DIV/0!</v>
      </c>
      <c r="AI217" s="15"/>
      <c r="AJ217" s="15">
        <f t="shared" si="54"/>
        <v>1</v>
      </c>
      <c r="AK217" s="15" t="e">
        <f t="shared" si="55"/>
        <v>#DIV/0!</v>
      </c>
      <c r="AL217" s="14">
        <f t="shared" si="56"/>
        <v>0</v>
      </c>
      <c r="AM217" s="14">
        <f t="shared" si="64"/>
        <v>0</v>
      </c>
      <c r="AO217" s="16">
        <f t="shared" si="65"/>
        <v>1</v>
      </c>
      <c r="AP217" s="16" t="e">
        <f t="shared" si="61"/>
        <v>#DIV/0!</v>
      </c>
      <c r="AQ217" s="15">
        <v>1</v>
      </c>
      <c r="AR217" s="16" t="e">
        <f t="shared" si="58"/>
        <v>#DIV/0!</v>
      </c>
      <c r="AS217" s="16"/>
      <c r="AT217" s="15" t="e">
        <f t="shared" si="59"/>
        <v>#DIV/0!</v>
      </c>
      <c r="AZ217" s="16"/>
    </row>
    <row r="218" spans="7:52">
      <c r="G218" s="15" t="e">
        <f t="shared" si="62"/>
        <v>#DIV/0!</v>
      </c>
      <c r="P218" s="15" t="e">
        <f t="shared" si="63"/>
        <v>#DIV/0!</v>
      </c>
      <c r="R218" s="78"/>
      <c r="S218" s="85">
        <v>5</v>
      </c>
      <c r="AA218" s="2">
        <f t="shared" si="51"/>
        <v>1</v>
      </c>
      <c r="AC218" s="15">
        <f t="shared" si="60"/>
        <v>0</v>
      </c>
      <c r="AG218" s="85" t="e">
        <f t="shared" si="52"/>
        <v>#DIV/0!</v>
      </c>
      <c r="AH218" s="15" t="e">
        <f t="shared" si="53"/>
        <v>#DIV/0!</v>
      </c>
      <c r="AI218" s="15"/>
      <c r="AJ218" s="15">
        <f t="shared" si="54"/>
        <v>1</v>
      </c>
      <c r="AK218" s="15" t="e">
        <f t="shared" si="55"/>
        <v>#DIV/0!</v>
      </c>
      <c r="AL218" s="14">
        <f t="shared" si="56"/>
        <v>0</v>
      </c>
      <c r="AM218" s="14">
        <f t="shared" si="64"/>
        <v>0</v>
      </c>
      <c r="AO218" s="16">
        <f t="shared" si="65"/>
        <v>1</v>
      </c>
      <c r="AP218" s="16" t="e">
        <f t="shared" si="61"/>
        <v>#DIV/0!</v>
      </c>
      <c r="AQ218" s="15">
        <v>1</v>
      </c>
      <c r="AR218" s="16" t="e">
        <f t="shared" si="58"/>
        <v>#DIV/0!</v>
      </c>
      <c r="AS218" s="16"/>
      <c r="AT218" s="15" t="e">
        <f t="shared" si="59"/>
        <v>#DIV/0!</v>
      </c>
      <c r="AZ218" s="16"/>
    </row>
    <row r="219" spans="7:52">
      <c r="G219" s="15" t="e">
        <f t="shared" si="62"/>
        <v>#DIV/0!</v>
      </c>
      <c r="P219" s="15" t="e">
        <f t="shared" si="63"/>
        <v>#DIV/0!</v>
      </c>
      <c r="R219" s="78"/>
      <c r="S219" s="85">
        <v>5</v>
      </c>
      <c r="AA219" s="2">
        <f t="shared" si="51"/>
        <v>1</v>
      </c>
      <c r="AC219" s="15">
        <f t="shared" si="60"/>
        <v>0</v>
      </c>
      <c r="AG219" s="85" t="e">
        <f t="shared" si="52"/>
        <v>#DIV/0!</v>
      </c>
      <c r="AH219" s="15" t="e">
        <f t="shared" si="53"/>
        <v>#DIV/0!</v>
      </c>
      <c r="AI219" s="15"/>
      <c r="AJ219" s="15">
        <f t="shared" si="54"/>
        <v>1</v>
      </c>
      <c r="AK219" s="15" t="e">
        <f t="shared" si="55"/>
        <v>#DIV/0!</v>
      </c>
      <c r="AL219" s="14">
        <f t="shared" si="56"/>
        <v>0</v>
      </c>
      <c r="AM219" s="14">
        <f t="shared" si="64"/>
        <v>0</v>
      </c>
      <c r="AO219" s="16">
        <f t="shared" si="65"/>
        <v>1</v>
      </c>
      <c r="AP219" s="16" t="e">
        <f t="shared" si="61"/>
        <v>#DIV/0!</v>
      </c>
      <c r="AQ219" s="15">
        <v>1</v>
      </c>
      <c r="AR219" s="16" t="e">
        <f t="shared" si="58"/>
        <v>#DIV/0!</v>
      </c>
      <c r="AS219" s="16"/>
      <c r="AT219" s="15" t="e">
        <f t="shared" si="59"/>
        <v>#DIV/0!</v>
      </c>
      <c r="AZ219" s="16"/>
    </row>
    <row r="220" spans="7:52">
      <c r="G220" s="15" t="e">
        <f t="shared" si="62"/>
        <v>#DIV/0!</v>
      </c>
      <c r="P220" s="15" t="e">
        <f t="shared" si="63"/>
        <v>#DIV/0!</v>
      </c>
      <c r="R220" s="78"/>
      <c r="S220" s="85">
        <v>5</v>
      </c>
      <c r="AA220" s="2">
        <f t="shared" si="51"/>
        <v>1</v>
      </c>
      <c r="AC220" s="15">
        <f t="shared" si="60"/>
        <v>0</v>
      </c>
      <c r="AG220" s="85" t="e">
        <f t="shared" si="52"/>
        <v>#DIV/0!</v>
      </c>
      <c r="AH220" s="15" t="e">
        <f t="shared" si="53"/>
        <v>#DIV/0!</v>
      </c>
      <c r="AI220" s="15"/>
      <c r="AJ220" s="15">
        <f t="shared" si="54"/>
        <v>1</v>
      </c>
      <c r="AK220" s="15" t="e">
        <f t="shared" si="55"/>
        <v>#DIV/0!</v>
      </c>
      <c r="AL220" s="14">
        <f t="shared" si="56"/>
        <v>0</v>
      </c>
      <c r="AM220" s="14">
        <f t="shared" si="64"/>
        <v>0</v>
      </c>
      <c r="AO220" s="16">
        <f t="shared" si="65"/>
        <v>1</v>
      </c>
      <c r="AP220" s="16" t="e">
        <f t="shared" si="61"/>
        <v>#DIV/0!</v>
      </c>
      <c r="AQ220" s="15">
        <v>1</v>
      </c>
      <c r="AR220" s="16" t="e">
        <f t="shared" si="58"/>
        <v>#DIV/0!</v>
      </c>
      <c r="AS220" s="16"/>
      <c r="AT220" s="15" t="e">
        <f t="shared" si="59"/>
        <v>#DIV/0!</v>
      </c>
      <c r="AZ220" s="16"/>
    </row>
    <row r="221" spans="7:52">
      <c r="G221" s="15" t="e">
        <f t="shared" si="62"/>
        <v>#DIV/0!</v>
      </c>
      <c r="P221" s="15" t="e">
        <f t="shared" si="63"/>
        <v>#DIV/0!</v>
      </c>
      <c r="R221" s="78"/>
      <c r="S221" s="85">
        <v>5</v>
      </c>
      <c r="AA221" s="2">
        <f t="shared" si="51"/>
        <v>1</v>
      </c>
      <c r="AC221" s="15">
        <f t="shared" si="60"/>
        <v>0</v>
      </c>
      <c r="AG221" s="85" t="e">
        <f t="shared" si="52"/>
        <v>#DIV/0!</v>
      </c>
      <c r="AH221" s="15" t="e">
        <f t="shared" si="53"/>
        <v>#DIV/0!</v>
      </c>
      <c r="AI221" s="15"/>
      <c r="AJ221" s="15">
        <f t="shared" si="54"/>
        <v>1</v>
      </c>
      <c r="AK221" s="15" t="e">
        <f t="shared" si="55"/>
        <v>#DIV/0!</v>
      </c>
      <c r="AL221" s="14">
        <f t="shared" si="56"/>
        <v>0</v>
      </c>
      <c r="AM221" s="14">
        <f t="shared" si="64"/>
        <v>0</v>
      </c>
      <c r="AO221" s="16">
        <f t="shared" si="65"/>
        <v>1</v>
      </c>
      <c r="AP221" s="16" t="e">
        <f t="shared" si="61"/>
        <v>#DIV/0!</v>
      </c>
      <c r="AQ221" s="15">
        <v>1</v>
      </c>
      <c r="AR221" s="16" t="e">
        <f t="shared" si="58"/>
        <v>#DIV/0!</v>
      </c>
      <c r="AS221" s="16"/>
      <c r="AT221" s="15" t="e">
        <f t="shared" si="59"/>
        <v>#DIV/0!</v>
      </c>
      <c r="AZ221" s="16"/>
    </row>
    <row r="222" spans="7:52">
      <c r="G222" s="15" t="e">
        <f t="shared" si="62"/>
        <v>#DIV/0!</v>
      </c>
      <c r="P222" s="15" t="e">
        <f t="shared" si="63"/>
        <v>#DIV/0!</v>
      </c>
      <c r="R222" s="78"/>
      <c r="S222" s="85">
        <v>5</v>
      </c>
      <c r="AA222" s="2">
        <f t="shared" si="51"/>
        <v>1</v>
      </c>
      <c r="AC222" s="15">
        <f t="shared" si="60"/>
        <v>0</v>
      </c>
      <c r="AG222" s="85" t="e">
        <f t="shared" si="52"/>
        <v>#DIV/0!</v>
      </c>
      <c r="AH222" s="15" t="e">
        <f t="shared" si="53"/>
        <v>#DIV/0!</v>
      </c>
      <c r="AI222" s="15"/>
      <c r="AJ222" s="15">
        <f t="shared" si="54"/>
        <v>1</v>
      </c>
      <c r="AK222" s="15" t="e">
        <f t="shared" si="55"/>
        <v>#DIV/0!</v>
      </c>
      <c r="AL222" s="14">
        <f t="shared" si="56"/>
        <v>0</v>
      </c>
      <c r="AM222" s="14">
        <f t="shared" si="64"/>
        <v>0</v>
      </c>
      <c r="AO222" s="16">
        <f t="shared" si="65"/>
        <v>1</v>
      </c>
      <c r="AP222" s="16" t="e">
        <f t="shared" si="61"/>
        <v>#DIV/0!</v>
      </c>
      <c r="AQ222" s="15">
        <v>1</v>
      </c>
      <c r="AR222" s="16" t="e">
        <f t="shared" si="58"/>
        <v>#DIV/0!</v>
      </c>
      <c r="AS222" s="16"/>
      <c r="AT222" s="15" t="e">
        <f t="shared" si="59"/>
        <v>#DIV/0!</v>
      </c>
      <c r="AZ222" s="16"/>
    </row>
    <row r="223" spans="7:52">
      <c r="G223" s="15" t="e">
        <f t="shared" si="62"/>
        <v>#DIV/0!</v>
      </c>
      <c r="P223" s="15" t="e">
        <f t="shared" si="63"/>
        <v>#DIV/0!</v>
      </c>
      <c r="R223" s="78"/>
      <c r="S223" s="85">
        <v>5</v>
      </c>
      <c r="AA223" s="2">
        <f t="shared" si="51"/>
        <v>1</v>
      </c>
      <c r="AC223" s="15">
        <f t="shared" si="60"/>
        <v>0</v>
      </c>
      <c r="AG223" s="85" t="e">
        <f t="shared" si="52"/>
        <v>#DIV/0!</v>
      </c>
      <c r="AH223" s="15" t="e">
        <f t="shared" si="53"/>
        <v>#DIV/0!</v>
      </c>
      <c r="AI223" s="15"/>
      <c r="AJ223" s="15">
        <f t="shared" si="54"/>
        <v>1</v>
      </c>
      <c r="AK223" s="15" t="e">
        <f t="shared" si="55"/>
        <v>#DIV/0!</v>
      </c>
      <c r="AL223" s="14">
        <f t="shared" si="56"/>
        <v>0</v>
      </c>
      <c r="AM223" s="14">
        <f t="shared" si="64"/>
        <v>0</v>
      </c>
      <c r="AO223" s="16">
        <f t="shared" si="65"/>
        <v>1</v>
      </c>
      <c r="AP223" s="16" t="e">
        <f t="shared" si="61"/>
        <v>#DIV/0!</v>
      </c>
      <c r="AQ223" s="15">
        <v>1</v>
      </c>
      <c r="AR223" s="16" t="e">
        <f t="shared" si="58"/>
        <v>#DIV/0!</v>
      </c>
      <c r="AS223" s="16"/>
      <c r="AT223" s="15" t="e">
        <f t="shared" si="59"/>
        <v>#DIV/0!</v>
      </c>
      <c r="AZ223" s="16"/>
    </row>
    <row r="224" spans="7:52">
      <c r="G224" s="15" t="e">
        <f t="shared" si="62"/>
        <v>#DIV/0!</v>
      </c>
      <c r="P224" s="15" t="e">
        <f t="shared" si="63"/>
        <v>#DIV/0!</v>
      </c>
      <c r="R224" s="78"/>
      <c r="S224" s="85">
        <v>5</v>
      </c>
      <c r="AA224" s="2">
        <f t="shared" si="51"/>
        <v>1</v>
      </c>
      <c r="AC224" s="15">
        <f t="shared" si="60"/>
        <v>0</v>
      </c>
      <c r="AG224" s="85" t="e">
        <f t="shared" si="52"/>
        <v>#DIV/0!</v>
      </c>
      <c r="AH224" s="15" t="e">
        <f t="shared" si="53"/>
        <v>#DIV/0!</v>
      </c>
      <c r="AI224" s="15"/>
      <c r="AJ224" s="15">
        <f t="shared" si="54"/>
        <v>1</v>
      </c>
      <c r="AK224" s="15" t="e">
        <f t="shared" si="55"/>
        <v>#DIV/0!</v>
      </c>
      <c r="AL224" s="14">
        <f t="shared" si="56"/>
        <v>0</v>
      </c>
      <c r="AM224" s="14">
        <f t="shared" si="64"/>
        <v>0</v>
      </c>
      <c r="AO224" s="16">
        <f t="shared" si="65"/>
        <v>1</v>
      </c>
      <c r="AP224" s="16" t="e">
        <f t="shared" si="61"/>
        <v>#DIV/0!</v>
      </c>
      <c r="AQ224" s="15">
        <v>1</v>
      </c>
      <c r="AR224" s="16" t="e">
        <f t="shared" si="58"/>
        <v>#DIV/0!</v>
      </c>
      <c r="AS224" s="16"/>
      <c r="AT224" s="15" t="e">
        <f t="shared" si="59"/>
        <v>#DIV/0!</v>
      </c>
      <c r="AZ224" s="16"/>
    </row>
    <row r="225" spans="7:52">
      <c r="G225" s="15" t="e">
        <f t="shared" si="62"/>
        <v>#DIV/0!</v>
      </c>
      <c r="P225" s="15" t="e">
        <f t="shared" si="63"/>
        <v>#DIV/0!</v>
      </c>
      <c r="R225" s="78"/>
      <c r="S225" s="85">
        <v>5</v>
      </c>
      <c r="AA225" s="2">
        <f t="shared" si="51"/>
        <v>1</v>
      </c>
      <c r="AC225" s="15">
        <f t="shared" si="60"/>
        <v>0</v>
      </c>
      <c r="AG225" s="85" t="e">
        <f t="shared" si="52"/>
        <v>#DIV/0!</v>
      </c>
      <c r="AH225" s="15" t="e">
        <f t="shared" si="53"/>
        <v>#DIV/0!</v>
      </c>
      <c r="AI225" s="15"/>
      <c r="AJ225" s="15">
        <f t="shared" si="54"/>
        <v>1</v>
      </c>
      <c r="AK225" s="15" t="e">
        <f t="shared" si="55"/>
        <v>#DIV/0!</v>
      </c>
      <c r="AL225" s="14">
        <f t="shared" si="56"/>
        <v>0</v>
      </c>
      <c r="AM225" s="14">
        <f t="shared" si="64"/>
        <v>0</v>
      </c>
      <c r="AO225" s="16">
        <f t="shared" si="65"/>
        <v>1</v>
      </c>
      <c r="AP225" s="16" t="e">
        <f t="shared" si="61"/>
        <v>#DIV/0!</v>
      </c>
      <c r="AQ225" s="15">
        <v>1</v>
      </c>
      <c r="AR225" s="16" t="e">
        <f t="shared" si="58"/>
        <v>#DIV/0!</v>
      </c>
      <c r="AS225" s="16"/>
      <c r="AT225" s="15" t="e">
        <f t="shared" si="59"/>
        <v>#DIV/0!</v>
      </c>
      <c r="AZ225" s="16"/>
    </row>
    <row r="226" spans="7:52">
      <c r="G226" s="15" t="e">
        <f t="shared" si="62"/>
        <v>#DIV/0!</v>
      </c>
      <c r="P226" s="15" t="e">
        <f t="shared" si="63"/>
        <v>#DIV/0!</v>
      </c>
      <c r="R226" s="78"/>
      <c r="S226" s="85">
        <v>5</v>
      </c>
      <c r="AA226" s="2">
        <f t="shared" si="51"/>
        <v>1</v>
      </c>
      <c r="AC226" s="15">
        <f t="shared" si="60"/>
        <v>0</v>
      </c>
      <c r="AG226" s="85" t="e">
        <f t="shared" si="52"/>
        <v>#DIV/0!</v>
      </c>
      <c r="AH226" s="15" t="e">
        <f t="shared" si="53"/>
        <v>#DIV/0!</v>
      </c>
      <c r="AI226" s="15"/>
      <c r="AJ226" s="15">
        <f t="shared" si="54"/>
        <v>1</v>
      </c>
      <c r="AK226" s="15" t="e">
        <f t="shared" si="55"/>
        <v>#DIV/0!</v>
      </c>
      <c r="AL226" s="14">
        <f t="shared" si="56"/>
        <v>0</v>
      </c>
      <c r="AM226" s="14">
        <f t="shared" si="64"/>
        <v>0</v>
      </c>
      <c r="AO226" s="16">
        <f t="shared" si="65"/>
        <v>1</v>
      </c>
      <c r="AP226" s="16" t="e">
        <f t="shared" si="61"/>
        <v>#DIV/0!</v>
      </c>
      <c r="AQ226" s="15">
        <v>1</v>
      </c>
      <c r="AR226" s="16" t="e">
        <f t="shared" si="58"/>
        <v>#DIV/0!</v>
      </c>
      <c r="AS226" s="16"/>
      <c r="AT226" s="15" t="e">
        <f t="shared" si="59"/>
        <v>#DIV/0!</v>
      </c>
      <c r="AZ226" s="16"/>
    </row>
    <row r="227" spans="7:52">
      <c r="G227" s="15" t="e">
        <f t="shared" si="62"/>
        <v>#DIV/0!</v>
      </c>
      <c r="P227" s="15" t="e">
        <f t="shared" si="63"/>
        <v>#DIV/0!</v>
      </c>
      <c r="R227" s="78"/>
      <c r="S227" s="85">
        <v>5</v>
      </c>
      <c r="AA227" s="2">
        <f t="shared" si="51"/>
        <v>1</v>
      </c>
      <c r="AC227" s="15">
        <f t="shared" si="60"/>
        <v>0</v>
      </c>
      <c r="AG227" s="85" t="e">
        <f t="shared" si="52"/>
        <v>#DIV/0!</v>
      </c>
      <c r="AH227" s="15" t="e">
        <f t="shared" si="53"/>
        <v>#DIV/0!</v>
      </c>
      <c r="AI227" s="15"/>
      <c r="AJ227" s="15">
        <f t="shared" si="54"/>
        <v>1</v>
      </c>
      <c r="AK227" s="15" t="e">
        <f t="shared" si="55"/>
        <v>#DIV/0!</v>
      </c>
      <c r="AL227" s="14">
        <f t="shared" si="56"/>
        <v>0</v>
      </c>
      <c r="AM227" s="14">
        <f t="shared" si="64"/>
        <v>0</v>
      </c>
      <c r="AO227" s="16">
        <f t="shared" si="65"/>
        <v>1</v>
      </c>
      <c r="AP227" s="16" t="e">
        <f t="shared" si="61"/>
        <v>#DIV/0!</v>
      </c>
      <c r="AQ227" s="15">
        <v>1</v>
      </c>
      <c r="AR227" s="16" t="e">
        <f t="shared" si="58"/>
        <v>#DIV/0!</v>
      </c>
      <c r="AS227" s="16"/>
      <c r="AT227" s="15" t="e">
        <f t="shared" si="59"/>
        <v>#DIV/0!</v>
      </c>
      <c r="AZ227" s="16"/>
    </row>
    <row r="228" spans="7:52">
      <c r="G228" s="15" t="e">
        <f t="shared" si="62"/>
        <v>#DIV/0!</v>
      </c>
      <c r="P228" s="15" t="e">
        <f t="shared" si="63"/>
        <v>#DIV/0!</v>
      </c>
      <c r="R228" s="78"/>
      <c r="S228" s="85">
        <v>5</v>
      </c>
      <c r="AA228" s="2">
        <f t="shared" si="51"/>
        <v>1</v>
      </c>
      <c r="AC228" s="15">
        <f t="shared" si="60"/>
        <v>0</v>
      </c>
      <c r="AG228" s="85" t="e">
        <f t="shared" si="52"/>
        <v>#DIV/0!</v>
      </c>
      <c r="AH228" s="15" t="e">
        <f t="shared" si="53"/>
        <v>#DIV/0!</v>
      </c>
      <c r="AI228" s="15"/>
      <c r="AJ228" s="15">
        <f t="shared" si="54"/>
        <v>1</v>
      </c>
      <c r="AK228" s="15" t="e">
        <f t="shared" si="55"/>
        <v>#DIV/0!</v>
      </c>
      <c r="AL228" s="14">
        <f t="shared" si="56"/>
        <v>0</v>
      </c>
      <c r="AM228" s="14">
        <f t="shared" si="64"/>
        <v>0</v>
      </c>
      <c r="AO228" s="16">
        <f t="shared" si="65"/>
        <v>1</v>
      </c>
      <c r="AP228" s="16" t="e">
        <f t="shared" si="61"/>
        <v>#DIV/0!</v>
      </c>
      <c r="AQ228" s="15">
        <v>1</v>
      </c>
      <c r="AR228" s="16" t="e">
        <f t="shared" si="58"/>
        <v>#DIV/0!</v>
      </c>
      <c r="AS228" s="16"/>
      <c r="AT228" s="15" t="e">
        <f t="shared" si="59"/>
        <v>#DIV/0!</v>
      </c>
      <c r="AZ228" s="16"/>
    </row>
    <row r="229" spans="7:52">
      <c r="G229" s="15" t="e">
        <f t="shared" si="62"/>
        <v>#DIV/0!</v>
      </c>
      <c r="P229" s="15" t="e">
        <f t="shared" si="63"/>
        <v>#DIV/0!</v>
      </c>
      <c r="R229" s="78"/>
      <c r="S229" s="85">
        <v>5</v>
      </c>
      <c r="AA229" s="2">
        <f t="shared" si="51"/>
        <v>1</v>
      </c>
      <c r="AC229" s="15">
        <f t="shared" si="60"/>
        <v>0</v>
      </c>
      <c r="AG229" s="85" t="e">
        <f t="shared" si="52"/>
        <v>#DIV/0!</v>
      </c>
      <c r="AH229" s="15" t="e">
        <f t="shared" si="53"/>
        <v>#DIV/0!</v>
      </c>
      <c r="AI229" s="15"/>
      <c r="AJ229" s="15">
        <f t="shared" si="54"/>
        <v>1</v>
      </c>
      <c r="AK229" s="15" t="e">
        <f t="shared" si="55"/>
        <v>#DIV/0!</v>
      </c>
      <c r="AL229" s="14">
        <f t="shared" si="56"/>
        <v>0</v>
      </c>
      <c r="AM229" s="14">
        <f t="shared" si="64"/>
        <v>0</v>
      </c>
      <c r="AO229" s="16">
        <f t="shared" si="65"/>
        <v>1</v>
      </c>
      <c r="AP229" s="16" t="e">
        <f t="shared" si="61"/>
        <v>#DIV/0!</v>
      </c>
      <c r="AQ229" s="15">
        <v>1</v>
      </c>
      <c r="AR229" s="16" t="e">
        <f t="shared" si="58"/>
        <v>#DIV/0!</v>
      </c>
      <c r="AS229" s="16"/>
      <c r="AT229" s="15" t="e">
        <f t="shared" si="59"/>
        <v>#DIV/0!</v>
      </c>
      <c r="AZ229" s="16"/>
    </row>
    <row r="230" spans="7:52">
      <c r="G230" s="15" t="e">
        <f t="shared" si="62"/>
        <v>#DIV/0!</v>
      </c>
      <c r="P230" s="15" t="e">
        <f t="shared" si="63"/>
        <v>#DIV/0!</v>
      </c>
      <c r="R230" s="78"/>
      <c r="S230" s="85">
        <v>5</v>
      </c>
      <c r="AA230" s="2">
        <f t="shared" si="51"/>
        <v>1</v>
      </c>
      <c r="AC230" s="15">
        <f t="shared" si="60"/>
        <v>0</v>
      </c>
      <c r="AG230" s="85" t="e">
        <f t="shared" si="52"/>
        <v>#DIV/0!</v>
      </c>
      <c r="AH230" s="15" t="e">
        <f t="shared" si="53"/>
        <v>#DIV/0!</v>
      </c>
      <c r="AI230" s="15"/>
      <c r="AJ230" s="15">
        <f t="shared" si="54"/>
        <v>1</v>
      </c>
      <c r="AK230" s="15" t="e">
        <f t="shared" si="55"/>
        <v>#DIV/0!</v>
      </c>
      <c r="AL230" s="14">
        <f t="shared" si="56"/>
        <v>0</v>
      </c>
      <c r="AM230" s="14">
        <f t="shared" si="64"/>
        <v>0</v>
      </c>
      <c r="AO230" s="16">
        <f t="shared" si="65"/>
        <v>1</v>
      </c>
      <c r="AP230" s="16" t="e">
        <f t="shared" si="61"/>
        <v>#DIV/0!</v>
      </c>
      <c r="AQ230" s="15">
        <v>1</v>
      </c>
      <c r="AR230" s="16" t="e">
        <f t="shared" si="58"/>
        <v>#DIV/0!</v>
      </c>
      <c r="AS230" s="16"/>
      <c r="AT230" s="15" t="e">
        <f t="shared" si="59"/>
        <v>#DIV/0!</v>
      </c>
      <c r="AZ230" s="16"/>
    </row>
    <row r="231" spans="7:52">
      <c r="G231" s="15" t="e">
        <f t="shared" si="62"/>
        <v>#DIV/0!</v>
      </c>
      <c r="P231" s="15" t="e">
        <f t="shared" si="63"/>
        <v>#DIV/0!</v>
      </c>
      <c r="R231" s="78"/>
      <c r="S231" s="85">
        <v>5</v>
      </c>
      <c r="AA231" s="2">
        <f t="shared" si="51"/>
        <v>1</v>
      </c>
      <c r="AC231" s="15">
        <f t="shared" si="60"/>
        <v>0</v>
      </c>
      <c r="AG231" s="85" t="e">
        <f t="shared" si="52"/>
        <v>#DIV/0!</v>
      </c>
      <c r="AH231" s="15" t="e">
        <f t="shared" si="53"/>
        <v>#DIV/0!</v>
      </c>
      <c r="AI231" s="15"/>
      <c r="AJ231" s="15">
        <f t="shared" si="54"/>
        <v>1</v>
      </c>
      <c r="AK231" s="15" t="e">
        <f t="shared" si="55"/>
        <v>#DIV/0!</v>
      </c>
      <c r="AL231" s="14">
        <f t="shared" si="56"/>
        <v>0</v>
      </c>
      <c r="AM231" s="14">
        <f t="shared" si="64"/>
        <v>0</v>
      </c>
      <c r="AO231" s="16">
        <f t="shared" si="65"/>
        <v>1</v>
      </c>
      <c r="AP231" s="16" t="e">
        <f t="shared" si="61"/>
        <v>#DIV/0!</v>
      </c>
      <c r="AQ231" s="15">
        <v>1</v>
      </c>
      <c r="AR231" s="16" t="e">
        <f t="shared" si="58"/>
        <v>#DIV/0!</v>
      </c>
      <c r="AS231" s="16"/>
      <c r="AT231" s="15" t="e">
        <f t="shared" si="59"/>
        <v>#DIV/0!</v>
      </c>
      <c r="AZ231" s="16"/>
    </row>
    <row r="232" spans="7:52">
      <c r="G232" s="15" t="e">
        <f t="shared" si="62"/>
        <v>#DIV/0!</v>
      </c>
      <c r="P232" s="15" t="e">
        <f t="shared" si="63"/>
        <v>#DIV/0!</v>
      </c>
      <c r="R232" s="78"/>
      <c r="S232" s="85">
        <v>5</v>
      </c>
      <c r="AA232" s="2">
        <f t="shared" si="51"/>
        <v>1</v>
      </c>
      <c r="AC232" s="15">
        <f t="shared" si="60"/>
        <v>0</v>
      </c>
      <c r="AG232" s="85" t="e">
        <f t="shared" si="52"/>
        <v>#DIV/0!</v>
      </c>
      <c r="AH232" s="15" t="e">
        <f t="shared" si="53"/>
        <v>#DIV/0!</v>
      </c>
      <c r="AI232" s="15"/>
      <c r="AJ232" s="15">
        <f t="shared" si="54"/>
        <v>1</v>
      </c>
      <c r="AK232" s="15" t="e">
        <f t="shared" si="55"/>
        <v>#DIV/0!</v>
      </c>
      <c r="AL232" s="14">
        <f t="shared" si="56"/>
        <v>0</v>
      </c>
      <c r="AM232" s="14">
        <f t="shared" si="64"/>
        <v>0</v>
      </c>
      <c r="AO232" s="16">
        <f t="shared" si="65"/>
        <v>1</v>
      </c>
      <c r="AP232" s="16" t="e">
        <f t="shared" si="61"/>
        <v>#DIV/0!</v>
      </c>
      <c r="AQ232" s="15">
        <v>1</v>
      </c>
      <c r="AR232" s="16" t="e">
        <f t="shared" si="58"/>
        <v>#DIV/0!</v>
      </c>
      <c r="AS232" s="16"/>
      <c r="AT232" s="15" t="e">
        <f t="shared" si="59"/>
        <v>#DIV/0!</v>
      </c>
      <c r="AZ232" s="16"/>
    </row>
    <row r="233" spans="7:52">
      <c r="G233" s="15" t="e">
        <f t="shared" si="62"/>
        <v>#DIV/0!</v>
      </c>
      <c r="P233" s="15" t="e">
        <f t="shared" si="63"/>
        <v>#DIV/0!</v>
      </c>
      <c r="R233" s="78"/>
      <c r="S233" s="85">
        <v>5</v>
      </c>
      <c r="AA233" s="2">
        <f t="shared" si="51"/>
        <v>1</v>
      </c>
      <c r="AC233" s="15">
        <f t="shared" si="60"/>
        <v>0</v>
      </c>
      <c r="AG233" s="85" t="e">
        <f t="shared" si="52"/>
        <v>#DIV/0!</v>
      </c>
      <c r="AH233" s="15" t="e">
        <f t="shared" si="53"/>
        <v>#DIV/0!</v>
      </c>
      <c r="AI233" s="15"/>
      <c r="AJ233" s="15">
        <f t="shared" si="54"/>
        <v>1</v>
      </c>
      <c r="AK233" s="15" t="e">
        <f t="shared" si="55"/>
        <v>#DIV/0!</v>
      </c>
      <c r="AL233" s="14">
        <f t="shared" si="56"/>
        <v>0</v>
      </c>
      <c r="AM233" s="14">
        <f t="shared" si="64"/>
        <v>0</v>
      </c>
      <c r="AO233" s="16">
        <f t="shared" si="65"/>
        <v>1</v>
      </c>
      <c r="AP233" s="16" t="e">
        <f t="shared" si="61"/>
        <v>#DIV/0!</v>
      </c>
      <c r="AQ233" s="15">
        <v>1</v>
      </c>
      <c r="AR233" s="16" t="e">
        <f t="shared" si="58"/>
        <v>#DIV/0!</v>
      </c>
      <c r="AS233" s="16"/>
      <c r="AT233" s="15" t="e">
        <f t="shared" si="59"/>
        <v>#DIV/0!</v>
      </c>
      <c r="AZ233" s="16"/>
    </row>
    <row r="234" spans="7:52">
      <c r="G234" s="15" t="e">
        <f t="shared" si="62"/>
        <v>#DIV/0!</v>
      </c>
      <c r="P234" s="15" t="e">
        <f t="shared" si="63"/>
        <v>#DIV/0!</v>
      </c>
      <c r="R234" s="78"/>
      <c r="S234" s="85">
        <v>5</v>
      </c>
      <c r="AA234" s="2">
        <f t="shared" si="51"/>
        <v>1</v>
      </c>
      <c r="AC234" s="15">
        <f t="shared" si="60"/>
        <v>0</v>
      </c>
      <c r="AG234" s="85" t="e">
        <f t="shared" si="52"/>
        <v>#DIV/0!</v>
      </c>
      <c r="AH234" s="15" t="e">
        <f t="shared" si="53"/>
        <v>#DIV/0!</v>
      </c>
      <c r="AI234" s="15"/>
      <c r="AJ234" s="15">
        <f t="shared" si="54"/>
        <v>1</v>
      </c>
      <c r="AK234" s="15" t="e">
        <f t="shared" si="55"/>
        <v>#DIV/0!</v>
      </c>
      <c r="AL234" s="14">
        <f t="shared" si="56"/>
        <v>0</v>
      </c>
      <c r="AM234" s="14">
        <f t="shared" si="64"/>
        <v>0</v>
      </c>
      <c r="AO234" s="16">
        <f t="shared" si="65"/>
        <v>1</v>
      </c>
      <c r="AP234" s="16" t="e">
        <f t="shared" si="61"/>
        <v>#DIV/0!</v>
      </c>
      <c r="AQ234" s="15">
        <v>1</v>
      </c>
      <c r="AR234" s="16" t="e">
        <f t="shared" si="58"/>
        <v>#DIV/0!</v>
      </c>
      <c r="AS234" s="16"/>
      <c r="AT234" s="15" t="e">
        <f t="shared" si="59"/>
        <v>#DIV/0!</v>
      </c>
      <c r="AZ234" s="16"/>
    </row>
    <row r="235" spans="7:52">
      <c r="G235" s="15" t="e">
        <f t="shared" si="62"/>
        <v>#DIV/0!</v>
      </c>
      <c r="P235" s="15" t="e">
        <f t="shared" si="63"/>
        <v>#DIV/0!</v>
      </c>
      <c r="R235" s="78"/>
      <c r="S235" s="85">
        <v>5</v>
      </c>
      <c r="AA235" s="2">
        <f t="shared" si="51"/>
        <v>1</v>
      </c>
      <c r="AC235" s="15">
        <f t="shared" si="60"/>
        <v>0</v>
      </c>
      <c r="AG235" s="85" t="e">
        <f t="shared" si="52"/>
        <v>#DIV/0!</v>
      </c>
      <c r="AH235" s="15" t="e">
        <f t="shared" si="53"/>
        <v>#DIV/0!</v>
      </c>
      <c r="AI235" s="15"/>
      <c r="AJ235" s="15">
        <f t="shared" si="54"/>
        <v>1</v>
      </c>
      <c r="AK235" s="15" t="e">
        <f t="shared" si="55"/>
        <v>#DIV/0!</v>
      </c>
      <c r="AL235" s="14">
        <f t="shared" si="56"/>
        <v>0</v>
      </c>
      <c r="AM235" s="14">
        <f t="shared" si="64"/>
        <v>0</v>
      </c>
      <c r="AO235" s="16">
        <f t="shared" si="65"/>
        <v>1</v>
      </c>
      <c r="AP235" s="16" t="e">
        <f t="shared" si="61"/>
        <v>#DIV/0!</v>
      </c>
      <c r="AQ235" s="15">
        <v>1</v>
      </c>
      <c r="AR235" s="16" t="e">
        <f t="shared" si="58"/>
        <v>#DIV/0!</v>
      </c>
      <c r="AS235" s="16"/>
      <c r="AT235" s="15" t="e">
        <f t="shared" si="59"/>
        <v>#DIV/0!</v>
      </c>
      <c r="AZ235" s="16"/>
    </row>
    <row r="236" spans="7:52">
      <c r="G236" s="15" t="e">
        <f t="shared" si="62"/>
        <v>#DIV/0!</v>
      </c>
      <c r="P236" s="15" t="e">
        <f t="shared" si="63"/>
        <v>#DIV/0!</v>
      </c>
      <c r="R236" s="78"/>
      <c r="S236" s="85">
        <v>5</v>
      </c>
      <c r="AA236" s="2">
        <f t="shared" si="51"/>
        <v>1</v>
      </c>
      <c r="AC236" s="15">
        <f t="shared" si="60"/>
        <v>0</v>
      </c>
      <c r="AG236" s="85" t="e">
        <f t="shared" si="52"/>
        <v>#DIV/0!</v>
      </c>
      <c r="AH236" s="15" t="e">
        <f t="shared" si="53"/>
        <v>#DIV/0!</v>
      </c>
      <c r="AI236" s="15"/>
      <c r="AJ236" s="15">
        <f t="shared" si="54"/>
        <v>1</v>
      </c>
      <c r="AK236" s="15" t="e">
        <f t="shared" si="55"/>
        <v>#DIV/0!</v>
      </c>
      <c r="AL236" s="14">
        <f t="shared" si="56"/>
        <v>0</v>
      </c>
      <c r="AM236" s="14">
        <f t="shared" si="64"/>
        <v>0</v>
      </c>
      <c r="AO236" s="16">
        <f t="shared" si="65"/>
        <v>1</v>
      </c>
      <c r="AP236" s="16" t="e">
        <f t="shared" si="61"/>
        <v>#DIV/0!</v>
      </c>
      <c r="AQ236" s="15">
        <v>1</v>
      </c>
      <c r="AR236" s="16" t="e">
        <f t="shared" si="58"/>
        <v>#DIV/0!</v>
      </c>
      <c r="AS236" s="16"/>
      <c r="AT236" s="15" t="e">
        <f t="shared" si="59"/>
        <v>#DIV/0!</v>
      </c>
      <c r="AZ236" s="16"/>
    </row>
    <row r="237" spans="7:52">
      <c r="G237" s="15" t="e">
        <f t="shared" si="62"/>
        <v>#DIV/0!</v>
      </c>
      <c r="P237" s="15" t="e">
        <f t="shared" si="63"/>
        <v>#DIV/0!</v>
      </c>
      <c r="R237" s="78"/>
      <c r="S237" s="85">
        <v>5</v>
      </c>
      <c r="AA237" s="2">
        <f t="shared" si="51"/>
        <v>1</v>
      </c>
      <c r="AC237" s="15">
        <f t="shared" si="60"/>
        <v>0</v>
      </c>
      <c r="AG237" s="85" t="e">
        <f t="shared" si="52"/>
        <v>#DIV/0!</v>
      </c>
      <c r="AH237" s="15" t="e">
        <f t="shared" si="53"/>
        <v>#DIV/0!</v>
      </c>
      <c r="AI237" s="15"/>
      <c r="AJ237" s="15">
        <f t="shared" si="54"/>
        <v>1</v>
      </c>
      <c r="AK237" s="15" t="e">
        <f t="shared" si="55"/>
        <v>#DIV/0!</v>
      </c>
      <c r="AL237" s="14">
        <f t="shared" si="56"/>
        <v>0</v>
      </c>
      <c r="AM237" s="14">
        <f t="shared" si="64"/>
        <v>0</v>
      </c>
      <c r="AO237" s="16">
        <f t="shared" si="65"/>
        <v>1</v>
      </c>
      <c r="AP237" s="16" t="e">
        <f t="shared" si="61"/>
        <v>#DIV/0!</v>
      </c>
      <c r="AQ237" s="15">
        <v>1</v>
      </c>
      <c r="AR237" s="16" t="e">
        <f t="shared" si="58"/>
        <v>#DIV/0!</v>
      </c>
      <c r="AS237" s="16"/>
      <c r="AT237" s="15" t="e">
        <f t="shared" si="59"/>
        <v>#DIV/0!</v>
      </c>
      <c r="AZ237" s="16"/>
    </row>
    <row r="238" spans="7:52">
      <c r="G238" s="15" t="e">
        <f t="shared" si="62"/>
        <v>#DIV/0!</v>
      </c>
      <c r="P238" s="15" t="e">
        <f t="shared" si="63"/>
        <v>#DIV/0!</v>
      </c>
      <c r="R238" s="78"/>
      <c r="S238" s="85">
        <v>5</v>
      </c>
      <c r="AA238" s="2">
        <f t="shared" si="51"/>
        <v>1</v>
      </c>
      <c r="AC238" s="15">
        <f t="shared" si="60"/>
        <v>0</v>
      </c>
      <c r="AG238" s="85" t="e">
        <f t="shared" si="52"/>
        <v>#DIV/0!</v>
      </c>
      <c r="AH238" s="15" t="e">
        <f t="shared" si="53"/>
        <v>#DIV/0!</v>
      </c>
      <c r="AI238" s="15"/>
      <c r="AJ238" s="15">
        <f t="shared" si="54"/>
        <v>1</v>
      </c>
      <c r="AK238" s="15" t="e">
        <f t="shared" si="55"/>
        <v>#DIV/0!</v>
      </c>
      <c r="AL238" s="14">
        <f t="shared" si="56"/>
        <v>0</v>
      </c>
      <c r="AM238" s="14">
        <f t="shared" si="64"/>
        <v>0</v>
      </c>
      <c r="AO238" s="16">
        <f t="shared" si="65"/>
        <v>1</v>
      </c>
      <c r="AP238" s="16" t="e">
        <f t="shared" si="61"/>
        <v>#DIV/0!</v>
      </c>
      <c r="AQ238" s="15">
        <v>1</v>
      </c>
      <c r="AR238" s="16" t="e">
        <f t="shared" si="58"/>
        <v>#DIV/0!</v>
      </c>
      <c r="AS238" s="16"/>
      <c r="AT238" s="15" t="e">
        <f t="shared" si="59"/>
        <v>#DIV/0!</v>
      </c>
      <c r="AZ238" s="16"/>
    </row>
    <row r="239" spans="7:52">
      <c r="G239" s="15" t="e">
        <f t="shared" si="62"/>
        <v>#DIV/0!</v>
      </c>
      <c r="P239" s="15" t="e">
        <f t="shared" si="63"/>
        <v>#DIV/0!</v>
      </c>
      <c r="R239" s="78"/>
      <c r="S239" s="85">
        <v>5</v>
      </c>
      <c r="AA239" s="2">
        <f t="shared" si="51"/>
        <v>1</v>
      </c>
      <c r="AC239" s="15">
        <f t="shared" si="60"/>
        <v>0</v>
      </c>
      <c r="AG239" s="85" t="e">
        <f t="shared" si="52"/>
        <v>#DIV/0!</v>
      </c>
      <c r="AH239" s="15" t="e">
        <f t="shared" si="53"/>
        <v>#DIV/0!</v>
      </c>
      <c r="AI239" s="15"/>
      <c r="AJ239" s="15">
        <f t="shared" si="54"/>
        <v>1</v>
      </c>
      <c r="AK239" s="15" t="e">
        <f t="shared" si="55"/>
        <v>#DIV/0!</v>
      </c>
      <c r="AL239" s="14">
        <f t="shared" si="56"/>
        <v>0</v>
      </c>
      <c r="AM239" s="14">
        <f t="shared" si="64"/>
        <v>0</v>
      </c>
      <c r="AO239" s="16">
        <f t="shared" si="65"/>
        <v>1</v>
      </c>
      <c r="AP239" s="16" t="e">
        <f t="shared" si="61"/>
        <v>#DIV/0!</v>
      </c>
      <c r="AQ239" s="15">
        <v>1</v>
      </c>
      <c r="AR239" s="16" t="e">
        <f t="shared" si="58"/>
        <v>#DIV/0!</v>
      </c>
      <c r="AS239" s="16"/>
      <c r="AT239" s="15" t="e">
        <f t="shared" si="59"/>
        <v>#DIV/0!</v>
      </c>
      <c r="AZ239" s="16"/>
    </row>
    <row r="240" spans="7:52">
      <c r="G240" s="15" t="e">
        <f t="shared" si="62"/>
        <v>#DIV/0!</v>
      </c>
      <c r="P240" s="15" t="e">
        <f t="shared" si="63"/>
        <v>#DIV/0!</v>
      </c>
      <c r="R240" s="78"/>
      <c r="S240" s="85">
        <v>5</v>
      </c>
      <c r="AA240" s="2">
        <f t="shared" si="51"/>
        <v>1</v>
      </c>
      <c r="AC240" s="15">
        <f t="shared" si="60"/>
        <v>0</v>
      </c>
      <c r="AG240" s="85" t="e">
        <f t="shared" si="52"/>
        <v>#DIV/0!</v>
      </c>
      <c r="AH240" s="15" t="e">
        <f t="shared" si="53"/>
        <v>#DIV/0!</v>
      </c>
      <c r="AI240" s="15"/>
      <c r="AJ240" s="15">
        <f t="shared" si="54"/>
        <v>1</v>
      </c>
      <c r="AK240" s="15" t="e">
        <f t="shared" si="55"/>
        <v>#DIV/0!</v>
      </c>
      <c r="AL240" s="14">
        <f t="shared" si="56"/>
        <v>0</v>
      </c>
      <c r="AM240" s="14">
        <f t="shared" si="64"/>
        <v>0</v>
      </c>
      <c r="AO240" s="16">
        <f t="shared" si="65"/>
        <v>1</v>
      </c>
      <c r="AP240" s="16" t="e">
        <f t="shared" si="61"/>
        <v>#DIV/0!</v>
      </c>
      <c r="AQ240" s="15">
        <v>1</v>
      </c>
      <c r="AR240" s="16" t="e">
        <f t="shared" si="58"/>
        <v>#DIV/0!</v>
      </c>
      <c r="AS240" s="16"/>
      <c r="AT240" s="15" t="e">
        <f t="shared" si="59"/>
        <v>#DIV/0!</v>
      </c>
      <c r="AZ240" s="16"/>
    </row>
    <row r="241" spans="7:52">
      <c r="G241" s="15" t="e">
        <f t="shared" si="62"/>
        <v>#DIV/0!</v>
      </c>
      <c r="P241" s="15" t="e">
        <f t="shared" si="63"/>
        <v>#DIV/0!</v>
      </c>
      <c r="R241" s="78"/>
      <c r="S241" s="85">
        <v>5</v>
      </c>
      <c r="AA241" s="2">
        <f t="shared" si="51"/>
        <v>1</v>
      </c>
      <c r="AC241" s="15">
        <f t="shared" si="60"/>
        <v>0</v>
      </c>
      <c r="AG241" s="85" t="e">
        <f t="shared" si="52"/>
        <v>#DIV/0!</v>
      </c>
      <c r="AH241" s="15" t="e">
        <f t="shared" si="53"/>
        <v>#DIV/0!</v>
      </c>
      <c r="AI241" s="15"/>
      <c r="AJ241" s="15">
        <f t="shared" si="54"/>
        <v>1</v>
      </c>
      <c r="AK241" s="15" t="e">
        <f t="shared" si="55"/>
        <v>#DIV/0!</v>
      </c>
      <c r="AL241" s="14">
        <f t="shared" si="56"/>
        <v>0</v>
      </c>
      <c r="AM241" s="14">
        <f t="shared" si="64"/>
        <v>0</v>
      </c>
      <c r="AO241" s="16">
        <f t="shared" si="65"/>
        <v>1</v>
      </c>
      <c r="AP241" s="16" t="e">
        <f t="shared" si="61"/>
        <v>#DIV/0!</v>
      </c>
      <c r="AQ241" s="15">
        <v>1</v>
      </c>
      <c r="AR241" s="16" t="e">
        <f t="shared" si="58"/>
        <v>#DIV/0!</v>
      </c>
      <c r="AS241" s="16"/>
      <c r="AT241" s="15" t="e">
        <f t="shared" si="59"/>
        <v>#DIV/0!</v>
      </c>
      <c r="AZ241" s="16"/>
    </row>
    <row r="242" spans="7:52">
      <c r="G242" s="15" t="e">
        <f t="shared" si="62"/>
        <v>#DIV/0!</v>
      </c>
      <c r="P242" s="15" t="e">
        <f t="shared" si="63"/>
        <v>#DIV/0!</v>
      </c>
      <c r="R242" s="78"/>
      <c r="S242" s="85">
        <v>5</v>
      </c>
      <c r="AA242" s="2">
        <f t="shared" si="51"/>
        <v>1</v>
      </c>
      <c r="AC242" s="15">
        <f t="shared" si="60"/>
        <v>0</v>
      </c>
      <c r="AG242" s="85" t="e">
        <f t="shared" si="52"/>
        <v>#DIV/0!</v>
      </c>
      <c r="AH242" s="15" t="e">
        <f t="shared" si="53"/>
        <v>#DIV/0!</v>
      </c>
      <c r="AI242" s="15"/>
      <c r="AJ242" s="15">
        <f t="shared" si="54"/>
        <v>1</v>
      </c>
      <c r="AK242" s="15" t="e">
        <f t="shared" si="55"/>
        <v>#DIV/0!</v>
      </c>
      <c r="AL242" s="14">
        <f t="shared" si="56"/>
        <v>0</v>
      </c>
      <c r="AM242" s="14">
        <f t="shared" si="64"/>
        <v>0</v>
      </c>
      <c r="AO242" s="16">
        <f t="shared" ref="AO242:AO273" si="66">AN242+1</f>
        <v>1</v>
      </c>
      <c r="AP242" s="16" t="e">
        <f t="shared" si="61"/>
        <v>#DIV/0!</v>
      </c>
      <c r="AQ242" s="15">
        <v>1</v>
      </c>
      <c r="AR242" s="16" t="e">
        <f t="shared" si="58"/>
        <v>#DIV/0!</v>
      </c>
      <c r="AS242" s="16"/>
      <c r="AT242" s="15" t="e">
        <f t="shared" si="59"/>
        <v>#DIV/0!</v>
      </c>
      <c r="AZ242" s="16"/>
    </row>
    <row r="243" spans="7:52">
      <c r="G243" s="15" t="e">
        <f t="shared" si="62"/>
        <v>#DIV/0!</v>
      </c>
      <c r="P243" s="15" t="e">
        <f t="shared" si="63"/>
        <v>#DIV/0!</v>
      </c>
      <c r="R243" s="78"/>
      <c r="S243" s="85">
        <v>5</v>
      </c>
      <c r="AA243" s="2">
        <f t="shared" si="51"/>
        <v>1</v>
      </c>
      <c r="AC243" s="15">
        <f t="shared" si="60"/>
        <v>0</v>
      </c>
      <c r="AG243" s="85" t="e">
        <f t="shared" si="52"/>
        <v>#DIV/0!</v>
      </c>
      <c r="AH243" s="15" t="e">
        <f t="shared" si="53"/>
        <v>#DIV/0!</v>
      </c>
      <c r="AI243" s="15"/>
      <c r="AJ243" s="15">
        <f t="shared" si="54"/>
        <v>1</v>
      </c>
      <c r="AK243" s="15" t="e">
        <f t="shared" si="55"/>
        <v>#DIV/0!</v>
      </c>
      <c r="AL243" s="14">
        <f t="shared" si="56"/>
        <v>0</v>
      </c>
      <c r="AM243" s="14">
        <f t="shared" si="64"/>
        <v>0</v>
      </c>
      <c r="AO243" s="16">
        <f t="shared" si="66"/>
        <v>1</v>
      </c>
      <c r="AP243" s="16" t="e">
        <f t="shared" si="61"/>
        <v>#DIV/0!</v>
      </c>
      <c r="AQ243" s="15">
        <v>1</v>
      </c>
      <c r="AR243" s="16" t="e">
        <f t="shared" si="58"/>
        <v>#DIV/0!</v>
      </c>
      <c r="AS243" s="16"/>
      <c r="AT243" s="15" t="e">
        <f t="shared" si="59"/>
        <v>#DIV/0!</v>
      </c>
      <c r="AZ243" s="16"/>
    </row>
    <row r="244" spans="7:52">
      <c r="G244" s="15" t="e">
        <f t="shared" si="62"/>
        <v>#DIV/0!</v>
      </c>
      <c r="P244" s="15" t="e">
        <f t="shared" si="63"/>
        <v>#DIV/0!</v>
      </c>
      <c r="R244" s="78"/>
      <c r="S244" s="85">
        <v>5</v>
      </c>
      <c r="AA244" s="2">
        <f t="shared" si="51"/>
        <v>1</v>
      </c>
      <c r="AC244" s="15">
        <f t="shared" si="60"/>
        <v>0</v>
      </c>
      <c r="AG244" s="85" t="e">
        <f t="shared" si="52"/>
        <v>#DIV/0!</v>
      </c>
      <c r="AH244" s="15" t="e">
        <f t="shared" si="53"/>
        <v>#DIV/0!</v>
      </c>
      <c r="AI244" s="15"/>
      <c r="AJ244" s="15">
        <f t="shared" si="54"/>
        <v>1</v>
      </c>
      <c r="AK244" s="15" t="e">
        <f t="shared" si="55"/>
        <v>#DIV/0!</v>
      </c>
      <c r="AL244" s="14">
        <f t="shared" si="56"/>
        <v>0</v>
      </c>
      <c r="AM244" s="14">
        <f t="shared" si="64"/>
        <v>0</v>
      </c>
      <c r="AO244" s="16">
        <f t="shared" si="66"/>
        <v>1</v>
      </c>
      <c r="AP244" s="16" t="e">
        <f t="shared" si="61"/>
        <v>#DIV/0!</v>
      </c>
      <c r="AQ244" s="15">
        <v>1</v>
      </c>
      <c r="AR244" s="16" t="e">
        <f t="shared" si="58"/>
        <v>#DIV/0!</v>
      </c>
      <c r="AS244" s="16"/>
      <c r="AT244" s="15" t="e">
        <f t="shared" si="59"/>
        <v>#DIV/0!</v>
      </c>
      <c r="AZ244" s="16"/>
    </row>
    <row r="245" spans="7:52">
      <c r="G245" s="15" t="e">
        <f t="shared" si="62"/>
        <v>#DIV/0!</v>
      </c>
      <c r="P245" s="15" t="e">
        <f t="shared" si="63"/>
        <v>#DIV/0!</v>
      </c>
      <c r="R245" s="78"/>
      <c r="S245" s="85">
        <v>5</v>
      </c>
      <c r="AA245" s="2">
        <f t="shared" si="51"/>
        <v>1</v>
      </c>
      <c r="AC245" s="15">
        <f t="shared" si="60"/>
        <v>0</v>
      </c>
      <c r="AG245" s="85" t="e">
        <f t="shared" si="52"/>
        <v>#DIV/0!</v>
      </c>
      <c r="AH245" s="15" t="e">
        <f t="shared" si="53"/>
        <v>#DIV/0!</v>
      </c>
      <c r="AI245" s="15"/>
      <c r="AJ245" s="15">
        <f t="shared" si="54"/>
        <v>1</v>
      </c>
      <c r="AK245" s="15" t="e">
        <f t="shared" si="55"/>
        <v>#DIV/0!</v>
      </c>
      <c r="AL245" s="14">
        <f t="shared" si="56"/>
        <v>0</v>
      </c>
      <c r="AM245" s="14">
        <f t="shared" si="64"/>
        <v>0</v>
      </c>
      <c r="AO245" s="16">
        <f t="shared" si="66"/>
        <v>1</v>
      </c>
      <c r="AP245" s="16" t="e">
        <f t="shared" si="61"/>
        <v>#DIV/0!</v>
      </c>
      <c r="AQ245" s="15">
        <v>1</v>
      </c>
      <c r="AR245" s="16" t="e">
        <f t="shared" si="58"/>
        <v>#DIV/0!</v>
      </c>
      <c r="AS245" s="16"/>
      <c r="AT245" s="15" t="e">
        <f t="shared" si="59"/>
        <v>#DIV/0!</v>
      </c>
      <c r="AZ245" s="16"/>
    </row>
    <row r="246" spans="7:52">
      <c r="G246" s="15" t="e">
        <f t="shared" si="62"/>
        <v>#DIV/0!</v>
      </c>
      <c r="P246" s="15" t="e">
        <f t="shared" si="63"/>
        <v>#DIV/0!</v>
      </c>
      <c r="R246" s="78"/>
      <c r="S246" s="85">
        <v>5</v>
      </c>
      <c r="AA246" s="2">
        <f t="shared" si="51"/>
        <v>1</v>
      </c>
      <c r="AC246" s="15">
        <f t="shared" si="60"/>
        <v>0</v>
      </c>
      <c r="AG246" s="85" t="e">
        <f t="shared" si="52"/>
        <v>#DIV/0!</v>
      </c>
      <c r="AH246" s="15" t="e">
        <f t="shared" si="53"/>
        <v>#DIV/0!</v>
      </c>
      <c r="AI246" s="15"/>
      <c r="AJ246" s="15">
        <f t="shared" si="54"/>
        <v>1</v>
      </c>
      <c r="AK246" s="15" t="e">
        <f t="shared" si="55"/>
        <v>#DIV/0!</v>
      </c>
      <c r="AL246" s="14">
        <f t="shared" si="56"/>
        <v>0</v>
      </c>
      <c r="AM246" s="14">
        <f t="shared" si="64"/>
        <v>0</v>
      </c>
      <c r="AO246" s="16">
        <f t="shared" si="66"/>
        <v>1</v>
      </c>
      <c r="AP246" s="16" t="e">
        <f t="shared" si="61"/>
        <v>#DIV/0!</v>
      </c>
      <c r="AQ246" s="15">
        <v>1</v>
      </c>
      <c r="AR246" s="16" t="e">
        <f t="shared" si="58"/>
        <v>#DIV/0!</v>
      </c>
      <c r="AS246" s="16"/>
      <c r="AT246" s="15" t="e">
        <f t="shared" si="59"/>
        <v>#DIV/0!</v>
      </c>
      <c r="AZ246" s="16"/>
    </row>
    <row r="247" spans="7:52">
      <c r="G247" s="15" t="e">
        <f t="shared" si="62"/>
        <v>#DIV/0!</v>
      </c>
      <c r="P247" s="15" t="e">
        <f t="shared" si="63"/>
        <v>#DIV/0!</v>
      </c>
      <c r="R247" s="78"/>
      <c r="S247" s="85">
        <v>5</v>
      </c>
      <c r="AA247" s="2">
        <f t="shared" si="51"/>
        <v>1</v>
      </c>
      <c r="AC247" s="15">
        <f t="shared" si="60"/>
        <v>0</v>
      </c>
      <c r="AG247" s="85" t="e">
        <f t="shared" si="52"/>
        <v>#DIV/0!</v>
      </c>
      <c r="AH247" s="15" t="e">
        <f t="shared" si="53"/>
        <v>#DIV/0!</v>
      </c>
      <c r="AI247" s="15"/>
      <c r="AJ247" s="15">
        <f t="shared" si="54"/>
        <v>1</v>
      </c>
      <c r="AK247" s="15" t="e">
        <f t="shared" si="55"/>
        <v>#DIV/0!</v>
      </c>
      <c r="AL247" s="14">
        <f t="shared" si="56"/>
        <v>0</v>
      </c>
      <c r="AM247" s="14">
        <f t="shared" si="64"/>
        <v>0</v>
      </c>
      <c r="AO247" s="16">
        <f t="shared" si="66"/>
        <v>1</v>
      </c>
      <c r="AP247" s="16" t="e">
        <f t="shared" si="61"/>
        <v>#DIV/0!</v>
      </c>
      <c r="AQ247" s="15">
        <v>1</v>
      </c>
      <c r="AR247" s="16" t="e">
        <f t="shared" si="58"/>
        <v>#DIV/0!</v>
      </c>
      <c r="AS247" s="16"/>
      <c r="AT247" s="15" t="e">
        <f t="shared" si="59"/>
        <v>#DIV/0!</v>
      </c>
      <c r="AZ247" s="16"/>
    </row>
    <row r="248" spans="7:52">
      <c r="G248" s="15" t="e">
        <f t="shared" si="62"/>
        <v>#DIV/0!</v>
      </c>
      <c r="P248" s="15" t="e">
        <f t="shared" si="63"/>
        <v>#DIV/0!</v>
      </c>
      <c r="R248" s="78"/>
      <c r="S248" s="85">
        <v>5</v>
      </c>
      <c r="AA248" s="2">
        <f t="shared" si="51"/>
        <v>1</v>
      </c>
      <c r="AC248" s="15">
        <f t="shared" si="60"/>
        <v>0</v>
      </c>
      <c r="AG248" s="85" t="e">
        <f t="shared" si="52"/>
        <v>#DIV/0!</v>
      </c>
      <c r="AH248" s="15" t="e">
        <f t="shared" si="53"/>
        <v>#DIV/0!</v>
      </c>
      <c r="AI248" s="15"/>
      <c r="AJ248" s="15">
        <f t="shared" si="54"/>
        <v>1</v>
      </c>
      <c r="AK248" s="15" t="e">
        <f t="shared" si="55"/>
        <v>#DIV/0!</v>
      </c>
      <c r="AL248" s="14">
        <f t="shared" si="56"/>
        <v>0</v>
      </c>
      <c r="AM248" s="14">
        <f t="shared" si="64"/>
        <v>0</v>
      </c>
      <c r="AO248" s="16">
        <f t="shared" si="66"/>
        <v>1</v>
      </c>
      <c r="AP248" s="16" t="e">
        <f t="shared" si="61"/>
        <v>#DIV/0!</v>
      </c>
      <c r="AQ248" s="15">
        <v>1</v>
      </c>
      <c r="AR248" s="16" t="e">
        <f t="shared" si="58"/>
        <v>#DIV/0!</v>
      </c>
      <c r="AS248" s="16"/>
      <c r="AT248" s="15" t="e">
        <f t="shared" si="59"/>
        <v>#DIV/0!</v>
      </c>
      <c r="AZ248" s="16"/>
    </row>
    <row r="249" spans="7:52">
      <c r="G249" s="15" t="e">
        <f t="shared" si="62"/>
        <v>#DIV/0!</v>
      </c>
      <c r="P249" s="15" t="e">
        <f t="shared" si="63"/>
        <v>#DIV/0!</v>
      </c>
      <c r="R249" s="78"/>
      <c r="S249" s="85">
        <v>5</v>
      </c>
      <c r="AA249" s="2">
        <f t="shared" si="51"/>
        <v>1</v>
      </c>
      <c r="AC249" s="15">
        <f t="shared" si="60"/>
        <v>0</v>
      </c>
      <c r="AG249" s="85" t="e">
        <f t="shared" si="52"/>
        <v>#DIV/0!</v>
      </c>
      <c r="AH249" s="15" t="e">
        <f t="shared" si="53"/>
        <v>#DIV/0!</v>
      </c>
      <c r="AI249" s="15"/>
      <c r="AJ249" s="15">
        <f t="shared" si="54"/>
        <v>1</v>
      </c>
      <c r="AK249" s="15" t="e">
        <f t="shared" si="55"/>
        <v>#DIV/0!</v>
      </c>
      <c r="AL249" s="14">
        <f t="shared" si="56"/>
        <v>0</v>
      </c>
      <c r="AM249" s="14">
        <f t="shared" si="64"/>
        <v>0</v>
      </c>
      <c r="AO249" s="16">
        <f t="shared" si="66"/>
        <v>1</v>
      </c>
      <c r="AP249" s="16" t="e">
        <f t="shared" si="61"/>
        <v>#DIV/0!</v>
      </c>
      <c r="AQ249" s="15">
        <v>1</v>
      </c>
      <c r="AR249" s="16" t="e">
        <f t="shared" si="58"/>
        <v>#DIV/0!</v>
      </c>
      <c r="AS249" s="16"/>
      <c r="AT249" s="15" t="e">
        <f t="shared" si="59"/>
        <v>#DIV/0!</v>
      </c>
      <c r="AZ249" s="16"/>
    </row>
    <row r="250" spans="7:52">
      <c r="G250" s="15" t="e">
        <f t="shared" si="62"/>
        <v>#DIV/0!</v>
      </c>
      <c r="P250" s="15" t="e">
        <f t="shared" si="63"/>
        <v>#DIV/0!</v>
      </c>
      <c r="R250" s="78"/>
      <c r="S250" s="85">
        <v>5</v>
      </c>
      <c r="AA250" s="2">
        <f t="shared" si="51"/>
        <v>1</v>
      </c>
      <c r="AC250" s="15">
        <f t="shared" si="60"/>
        <v>0</v>
      </c>
      <c r="AG250" s="85" t="e">
        <f t="shared" si="52"/>
        <v>#DIV/0!</v>
      </c>
      <c r="AH250" s="15" t="e">
        <f t="shared" si="53"/>
        <v>#DIV/0!</v>
      </c>
      <c r="AI250" s="15"/>
      <c r="AJ250" s="15">
        <f t="shared" si="54"/>
        <v>1</v>
      </c>
      <c r="AK250" s="15" t="e">
        <f t="shared" si="55"/>
        <v>#DIV/0!</v>
      </c>
      <c r="AL250" s="14">
        <f t="shared" si="56"/>
        <v>0</v>
      </c>
      <c r="AM250" s="14">
        <f t="shared" si="64"/>
        <v>0</v>
      </c>
      <c r="AO250" s="16">
        <f t="shared" si="66"/>
        <v>1</v>
      </c>
      <c r="AP250" s="16" t="e">
        <f t="shared" si="61"/>
        <v>#DIV/0!</v>
      </c>
      <c r="AQ250" s="15">
        <v>1</v>
      </c>
      <c r="AR250" s="16" t="e">
        <f t="shared" si="58"/>
        <v>#DIV/0!</v>
      </c>
      <c r="AS250" s="16"/>
      <c r="AT250" s="15" t="e">
        <f t="shared" si="59"/>
        <v>#DIV/0!</v>
      </c>
      <c r="AZ250" s="16"/>
    </row>
    <row r="251" spans="7:52">
      <c r="G251" s="15" t="e">
        <f t="shared" si="62"/>
        <v>#DIV/0!</v>
      </c>
      <c r="P251" s="15" t="e">
        <f t="shared" si="63"/>
        <v>#DIV/0!</v>
      </c>
      <c r="R251" s="78"/>
      <c r="S251" s="85">
        <v>5</v>
      </c>
      <c r="AA251" s="2">
        <f t="shared" si="51"/>
        <v>1</v>
      </c>
      <c r="AC251" s="15">
        <f t="shared" si="60"/>
        <v>0</v>
      </c>
      <c r="AG251" s="85" t="e">
        <f t="shared" si="52"/>
        <v>#DIV/0!</v>
      </c>
      <c r="AH251" s="15" t="e">
        <f t="shared" si="53"/>
        <v>#DIV/0!</v>
      </c>
      <c r="AI251" s="15"/>
      <c r="AJ251" s="15">
        <f t="shared" si="54"/>
        <v>1</v>
      </c>
      <c r="AK251" s="15" t="e">
        <f t="shared" si="55"/>
        <v>#DIV/0!</v>
      </c>
      <c r="AL251" s="14">
        <f t="shared" si="56"/>
        <v>0</v>
      </c>
      <c r="AM251" s="14">
        <f t="shared" si="64"/>
        <v>0</v>
      </c>
      <c r="AO251" s="16">
        <f t="shared" si="66"/>
        <v>1</v>
      </c>
      <c r="AP251" s="16" t="e">
        <f t="shared" si="61"/>
        <v>#DIV/0!</v>
      </c>
      <c r="AQ251" s="15">
        <v>1</v>
      </c>
      <c r="AR251" s="16" t="e">
        <f t="shared" si="58"/>
        <v>#DIV/0!</v>
      </c>
      <c r="AS251" s="16"/>
      <c r="AT251" s="15" t="e">
        <f t="shared" si="59"/>
        <v>#DIV/0!</v>
      </c>
      <c r="AZ251" s="16"/>
    </row>
    <row r="252" spans="7:52">
      <c r="G252" s="15" t="e">
        <f t="shared" si="62"/>
        <v>#DIV/0!</v>
      </c>
      <c r="P252" s="15" t="e">
        <f t="shared" si="63"/>
        <v>#DIV/0!</v>
      </c>
      <c r="R252" s="78"/>
      <c r="S252" s="85">
        <v>5</v>
      </c>
      <c r="AA252" s="2">
        <f t="shared" si="51"/>
        <v>1</v>
      </c>
      <c r="AC252" s="15">
        <f t="shared" si="60"/>
        <v>0</v>
      </c>
      <c r="AG252" s="85" t="e">
        <f t="shared" si="52"/>
        <v>#DIV/0!</v>
      </c>
      <c r="AH252" s="15" t="e">
        <f t="shared" si="53"/>
        <v>#DIV/0!</v>
      </c>
      <c r="AI252" s="15"/>
      <c r="AJ252" s="15">
        <f t="shared" si="54"/>
        <v>1</v>
      </c>
      <c r="AK252" s="15" t="e">
        <f t="shared" si="55"/>
        <v>#DIV/0!</v>
      </c>
      <c r="AL252" s="14">
        <f t="shared" si="56"/>
        <v>0</v>
      </c>
      <c r="AM252" s="14">
        <f t="shared" si="64"/>
        <v>0</v>
      </c>
      <c r="AO252" s="16">
        <f t="shared" si="66"/>
        <v>1</v>
      </c>
      <c r="AP252" s="16" t="e">
        <f t="shared" si="61"/>
        <v>#DIV/0!</v>
      </c>
      <c r="AQ252" s="15">
        <v>1</v>
      </c>
      <c r="AR252" s="16" t="e">
        <f t="shared" si="58"/>
        <v>#DIV/0!</v>
      </c>
      <c r="AS252" s="16"/>
      <c r="AT252" s="15" t="e">
        <f t="shared" si="59"/>
        <v>#DIV/0!</v>
      </c>
      <c r="AZ252" s="16"/>
    </row>
    <row r="253" spans="7:52">
      <c r="G253" s="15" t="e">
        <f t="shared" si="62"/>
        <v>#DIV/0!</v>
      </c>
      <c r="P253" s="15" t="e">
        <f t="shared" si="63"/>
        <v>#DIV/0!</v>
      </c>
      <c r="R253" s="78"/>
      <c r="S253" s="85">
        <v>5</v>
      </c>
      <c r="AA253" s="2">
        <f t="shared" si="51"/>
        <v>1</v>
      </c>
      <c r="AC253" s="15">
        <f t="shared" si="60"/>
        <v>0</v>
      </c>
      <c r="AG253" s="85" t="e">
        <f t="shared" si="52"/>
        <v>#DIV/0!</v>
      </c>
      <c r="AH253" s="15" t="e">
        <f t="shared" si="53"/>
        <v>#DIV/0!</v>
      </c>
      <c r="AI253" s="15"/>
      <c r="AJ253" s="15">
        <f t="shared" si="54"/>
        <v>1</v>
      </c>
      <c r="AK253" s="15" t="e">
        <f t="shared" si="55"/>
        <v>#DIV/0!</v>
      </c>
      <c r="AL253" s="14">
        <f t="shared" si="56"/>
        <v>0</v>
      </c>
      <c r="AM253" s="14">
        <f t="shared" si="64"/>
        <v>0</v>
      </c>
      <c r="AO253" s="16">
        <f t="shared" si="66"/>
        <v>1</v>
      </c>
      <c r="AP253" s="16" t="e">
        <f t="shared" si="61"/>
        <v>#DIV/0!</v>
      </c>
      <c r="AQ253" s="15">
        <v>1</v>
      </c>
      <c r="AR253" s="16" t="e">
        <f t="shared" si="58"/>
        <v>#DIV/0!</v>
      </c>
      <c r="AS253" s="16"/>
      <c r="AT253" s="15" t="e">
        <f t="shared" si="59"/>
        <v>#DIV/0!</v>
      </c>
      <c r="AZ253" s="16"/>
    </row>
    <row r="254" spans="7:52">
      <c r="G254" s="15" t="e">
        <f t="shared" si="62"/>
        <v>#DIV/0!</v>
      </c>
      <c r="P254" s="15" t="e">
        <f t="shared" si="63"/>
        <v>#DIV/0!</v>
      </c>
      <c r="R254" s="78"/>
      <c r="S254" s="85">
        <v>5</v>
      </c>
      <c r="AA254" s="2">
        <f t="shared" si="51"/>
        <v>1</v>
      </c>
      <c r="AC254" s="15">
        <f t="shared" si="60"/>
        <v>0</v>
      </c>
      <c r="AG254" s="85" t="e">
        <f t="shared" si="52"/>
        <v>#DIV/0!</v>
      </c>
      <c r="AH254" s="15" t="e">
        <f t="shared" si="53"/>
        <v>#DIV/0!</v>
      </c>
      <c r="AI254" s="15"/>
      <c r="AJ254" s="15">
        <f t="shared" si="54"/>
        <v>1</v>
      </c>
      <c r="AK254" s="15" t="e">
        <f t="shared" si="55"/>
        <v>#DIV/0!</v>
      </c>
      <c r="AL254" s="14">
        <f t="shared" si="56"/>
        <v>0</v>
      </c>
      <c r="AM254" s="14">
        <f t="shared" si="64"/>
        <v>0</v>
      </c>
      <c r="AO254" s="16">
        <f t="shared" si="66"/>
        <v>1</v>
      </c>
      <c r="AP254" s="16" t="e">
        <f t="shared" si="61"/>
        <v>#DIV/0!</v>
      </c>
      <c r="AQ254" s="15">
        <v>1</v>
      </c>
      <c r="AR254" s="16" t="e">
        <f t="shared" si="58"/>
        <v>#DIV/0!</v>
      </c>
      <c r="AS254" s="16"/>
      <c r="AT254" s="15" t="e">
        <f t="shared" si="59"/>
        <v>#DIV/0!</v>
      </c>
      <c r="AZ254" s="16"/>
    </row>
    <row r="255" spans="7:52">
      <c r="G255" s="15" t="e">
        <f t="shared" si="62"/>
        <v>#DIV/0!</v>
      </c>
      <c r="P255" s="15" t="e">
        <f t="shared" si="63"/>
        <v>#DIV/0!</v>
      </c>
      <c r="R255" s="78"/>
      <c r="S255" s="85">
        <v>5</v>
      </c>
      <c r="AA255" s="2">
        <f t="shared" si="51"/>
        <v>1</v>
      </c>
      <c r="AC255" s="15">
        <f t="shared" si="60"/>
        <v>0</v>
      </c>
      <c r="AG255" s="85" t="e">
        <f t="shared" si="52"/>
        <v>#DIV/0!</v>
      </c>
      <c r="AH255" s="15" t="e">
        <f t="shared" si="53"/>
        <v>#DIV/0!</v>
      </c>
      <c r="AI255" s="15"/>
      <c r="AJ255" s="15">
        <f t="shared" si="54"/>
        <v>1</v>
      </c>
      <c r="AK255" s="15" t="e">
        <f t="shared" si="55"/>
        <v>#DIV/0!</v>
      </c>
      <c r="AL255" s="14">
        <f t="shared" si="56"/>
        <v>0</v>
      </c>
      <c r="AM255" s="14">
        <f t="shared" si="64"/>
        <v>0</v>
      </c>
      <c r="AO255" s="16">
        <f t="shared" si="66"/>
        <v>1</v>
      </c>
      <c r="AP255" s="16" t="e">
        <f t="shared" si="61"/>
        <v>#DIV/0!</v>
      </c>
      <c r="AQ255" s="15">
        <v>1</v>
      </c>
      <c r="AR255" s="16" t="e">
        <f t="shared" si="58"/>
        <v>#DIV/0!</v>
      </c>
      <c r="AS255" s="16"/>
      <c r="AT255" s="15" t="e">
        <f t="shared" si="59"/>
        <v>#DIV/0!</v>
      </c>
      <c r="AZ255" s="16"/>
    </row>
    <row r="256" spans="7:52">
      <c r="G256" s="15" t="e">
        <f t="shared" si="62"/>
        <v>#DIV/0!</v>
      </c>
      <c r="P256" s="15" t="e">
        <f t="shared" si="63"/>
        <v>#DIV/0!</v>
      </c>
      <c r="R256" s="78"/>
      <c r="S256" s="85">
        <v>5</v>
      </c>
      <c r="AA256" s="2">
        <f t="shared" si="51"/>
        <v>1</v>
      </c>
      <c r="AC256" s="15">
        <f t="shared" si="60"/>
        <v>0</v>
      </c>
      <c r="AG256" s="85" t="e">
        <f t="shared" si="52"/>
        <v>#DIV/0!</v>
      </c>
      <c r="AH256" s="15" t="e">
        <f t="shared" si="53"/>
        <v>#DIV/0!</v>
      </c>
      <c r="AI256" s="15"/>
      <c r="AJ256" s="15">
        <f t="shared" si="54"/>
        <v>1</v>
      </c>
      <c r="AK256" s="15" t="e">
        <f t="shared" si="55"/>
        <v>#DIV/0!</v>
      </c>
      <c r="AL256" s="14">
        <f t="shared" si="56"/>
        <v>0</v>
      </c>
      <c r="AM256" s="14">
        <f t="shared" si="64"/>
        <v>0</v>
      </c>
      <c r="AO256" s="16">
        <f t="shared" si="66"/>
        <v>1</v>
      </c>
      <c r="AP256" s="16" t="e">
        <f t="shared" si="61"/>
        <v>#DIV/0!</v>
      </c>
      <c r="AQ256" s="15">
        <v>1</v>
      </c>
      <c r="AR256" s="16" t="e">
        <f t="shared" si="58"/>
        <v>#DIV/0!</v>
      </c>
      <c r="AS256" s="16"/>
      <c r="AT256" s="15" t="e">
        <f t="shared" si="59"/>
        <v>#DIV/0!</v>
      </c>
      <c r="AZ256" s="16"/>
    </row>
    <row r="257" spans="7:52">
      <c r="G257" s="15" t="e">
        <f t="shared" si="62"/>
        <v>#DIV/0!</v>
      </c>
      <c r="P257" s="15" t="e">
        <f t="shared" si="63"/>
        <v>#DIV/0!</v>
      </c>
      <c r="R257" s="78"/>
      <c r="S257" s="85">
        <v>5</v>
      </c>
      <c r="AA257" s="2">
        <f t="shared" ref="AA257:AA320" si="67">IF(X257&lt;50,IF(Y257&gt;(2.3*X257),0,1),1)-IF(Z257&gt;Y257,1.7,0)</f>
        <v>1</v>
      </c>
      <c r="AC257" s="15">
        <f t="shared" si="60"/>
        <v>0</v>
      </c>
      <c r="AG257" s="85" t="e">
        <f t="shared" ref="AG257:AG320" si="68"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>#DIV/0!</v>
      </c>
      <c r="AH257" s="15" t="e">
        <f t="shared" ref="AH257:AH320" si="69">AG257+IF(X257&lt;1.35,0,1)+IF(Y257&lt;1.35,0,1)+AC257+AA257</f>
        <v>#DIV/0!</v>
      </c>
      <c r="AI257" s="15"/>
      <c r="AJ257" s="15">
        <f t="shared" ref="AJ257:AJ320" si="70">IF(AI257&gt;12.7,IF(AI257&gt;15.8,0.93,0.98),1)</f>
        <v>1</v>
      </c>
      <c r="AK257" s="15" t="e">
        <f t="shared" ref="AK257:AK320" si="71">(1.2*AG257+AH257)*AJ257*AQ257</f>
        <v>#DIV/0!</v>
      </c>
      <c r="AL257" s="14">
        <f t="shared" ref="AL257:AL320" si="72">D257</f>
        <v>0</v>
      </c>
      <c r="AM257" s="14">
        <f t="shared" si="64"/>
        <v>0</v>
      </c>
      <c r="AO257" s="16">
        <f t="shared" si="66"/>
        <v>1</v>
      </c>
      <c r="AP257" s="16" t="e">
        <f t="shared" si="61"/>
        <v>#DIV/0!</v>
      </c>
      <c r="AQ257" s="15">
        <v>1</v>
      </c>
      <c r="AR257" s="16" t="e">
        <f t="shared" si="58"/>
        <v>#DIV/0!</v>
      </c>
      <c r="AS257" s="16"/>
      <c r="AT257" s="15" t="e">
        <f t="shared" ref="AT257:AT320" si="73">100*(AK257-AQ257)/AQ257</f>
        <v>#DIV/0!</v>
      </c>
      <c r="AZ257" s="16"/>
    </row>
    <row r="258" spans="7:52">
      <c r="G258" s="15" t="e">
        <f t="shared" si="62"/>
        <v>#DIV/0!</v>
      </c>
      <c r="P258" s="15" t="e">
        <f t="shared" si="63"/>
        <v>#DIV/0!</v>
      </c>
      <c r="R258" s="78"/>
      <c r="S258" s="85">
        <v>5</v>
      </c>
      <c r="AA258" s="2">
        <f t="shared" si="67"/>
        <v>1</v>
      </c>
      <c r="AC258" s="15">
        <f t="shared" ref="AC258:AC321" si="74">IF(AB258&gt;4,1,0)+AB258/12</f>
        <v>0</v>
      </c>
      <c r="AG258" s="85" t="e">
        <f t="shared" si="68"/>
        <v>#DIV/0!</v>
      </c>
      <c r="AH258" s="15" t="e">
        <f t="shared" si="69"/>
        <v>#DIV/0!</v>
      </c>
      <c r="AI258" s="15"/>
      <c r="AJ258" s="15">
        <f t="shared" si="70"/>
        <v>1</v>
      </c>
      <c r="AK258" s="15" t="e">
        <f t="shared" si="71"/>
        <v>#DIV/0!</v>
      </c>
      <c r="AL258" s="14">
        <f t="shared" si="72"/>
        <v>0</v>
      </c>
      <c r="AM258" s="14">
        <f t="shared" si="64"/>
        <v>0</v>
      </c>
      <c r="AO258" s="16">
        <f t="shared" si="66"/>
        <v>1</v>
      </c>
      <c r="AP258" s="16" t="e">
        <f t="shared" si="61"/>
        <v>#DIV/0!</v>
      </c>
      <c r="AQ258" s="15">
        <v>1</v>
      </c>
      <c r="AT258" s="15" t="e">
        <f t="shared" si="73"/>
        <v>#DIV/0!</v>
      </c>
      <c r="AZ258" s="16"/>
    </row>
    <row r="259" spans="7:52">
      <c r="G259" s="15" t="e">
        <f t="shared" si="62"/>
        <v>#DIV/0!</v>
      </c>
      <c r="P259" s="15" t="e">
        <f t="shared" si="63"/>
        <v>#DIV/0!</v>
      </c>
      <c r="R259" s="78"/>
      <c r="S259" s="85">
        <v>5</v>
      </c>
      <c r="AA259" s="2">
        <f t="shared" si="67"/>
        <v>1</v>
      </c>
      <c r="AC259" s="15">
        <f t="shared" si="74"/>
        <v>0</v>
      </c>
      <c r="AG259" s="85" t="e">
        <f t="shared" si="68"/>
        <v>#DIV/0!</v>
      </c>
      <c r="AH259" s="15" t="e">
        <f t="shared" si="69"/>
        <v>#DIV/0!</v>
      </c>
      <c r="AI259" s="15"/>
      <c r="AJ259" s="15">
        <f t="shared" si="70"/>
        <v>1</v>
      </c>
      <c r="AK259" s="15" t="e">
        <f t="shared" si="71"/>
        <v>#DIV/0!</v>
      </c>
      <c r="AL259" s="14">
        <f t="shared" si="72"/>
        <v>0</v>
      </c>
      <c r="AM259" s="14">
        <f t="shared" si="64"/>
        <v>0</v>
      </c>
      <c r="AO259" s="16">
        <f t="shared" si="66"/>
        <v>1</v>
      </c>
      <c r="AP259" s="16" t="e">
        <f t="shared" si="61"/>
        <v>#DIV/0!</v>
      </c>
      <c r="AQ259" s="15">
        <v>1</v>
      </c>
      <c r="AT259" s="15" t="e">
        <f t="shared" si="73"/>
        <v>#DIV/0!</v>
      </c>
      <c r="AZ259" s="16"/>
    </row>
    <row r="260" spans="7:52">
      <c r="G260" s="15" t="e">
        <f t="shared" si="62"/>
        <v>#DIV/0!</v>
      </c>
      <c r="P260" s="15" t="e">
        <f t="shared" si="63"/>
        <v>#DIV/0!</v>
      </c>
      <c r="R260" s="78"/>
      <c r="S260" s="85">
        <v>5</v>
      </c>
      <c r="AA260" s="2">
        <f t="shared" si="67"/>
        <v>1</v>
      </c>
      <c r="AC260" s="15">
        <f t="shared" si="74"/>
        <v>0</v>
      </c>
      <c r="AG260" s="85" t="e">
        <f t="shared" si="68"/>
        <v>#DIV/0!</v>
      </c>
      <c r="AH260" s="15" t="e">
        <f t="shared" si="69"/>
        <v>#DIV/0!</v>
      </c>
      <c r="AI260" s="15"/>
      <c r="AJ260" s="15">
        <f t="shared" si="70"/>
        <v>1</v>
      </c>
      <c r="AK260" s="15" t="e">
        <f t="shared" si="71"/>
        <v>#DIV/0!</v>
      </c>
      <c r="AL260" s="14">
        <f t="shared" si="72"/>
        <v>0</v>
      </c>
      <c r="AM260" s="14">
        <f t="shared" si="64"/>
        <v>0</v>
      </c>
      <c r="AO260" s="16">
        <f t="shared" si="66"/>
        <v>1</v>
      </c>
      <c r="AP260" s="16" t="e">
        <f t="shared" si="61"/>
        <v>#DIV/0!</v>
      </c>
      <c r="AQ260" s="15">
        <v>1</v>
      </c>
      <c r="AT260" s="15" t="e">
        <f t="shared" si="73"/>
        <v>#DIV/0!</v>
      </c>
      <c r="AZ260" s="16"/>
    </row>
    <row r="261" spans="7:52">
      <c r="G261" s="15" t="e">
        <f t="shared" si="62"/>
        <v>#DIV/0!</v>
      </c>
      <c r="P261" s="15" t="e">
        <f t="shared" si="63"/>
        <v>#DIV/0!</v>
      </c>
      <c r="R261" s="78"/>
      <c r="S261" s="85">
        <v>5</v>
      </c>
      <c r="AA261" s="2">
        <f t="shared" si="67"/>
        <v>1</v>
      </c>
      <c r="AC261" s="15">
        <f t="shared" si="74"/>
        <v>0</v>
      </c>
      <c r="AG261" s="85" t="e">
        <f t="shared" si="68"/>
        <v>#DIV/0!</v>
      </c>
      <c r="AH261" s="15" t="e">
        <f t="shared" si="69"/>
        <v>#DIV/0!</v>
      </c>
      <c r="AI261" s="15"/>
      <c r="AJ261" s="15">
        <f t="shared" si="70"/>
        <v>1</v>
      </c>
      <c r="AK261" s="15" t="e">
        <f t="shared" si="71"/>
        <v>#DIV/0!</v>
      </c>
      <c r="AL261" s="14">
        <f t="shared" si="72"/>
        <v>0</v>
      </c>
      <c r="AM261" s="14">
        <f t="shared" si="64"/>
        <v>0</v>
      </c>
      <c r="AO261" s="16">
        <f t="shared" si="66"/>
        <v>1</v>
      </c>
      <c r="AP261" s="16" t="e">
        <f t="shared" si="61"/>
        <v>#DIV/0!</v>
      </c>
      <c r="AQ261" s="15">
        <v>1</v>
      </c>
      <c r="AT261" s="15" t="e">
        <f t="shared" si="73"/>
        <v>#DIV/0!</v>
      </c>
      <c r="AZ261" s="16"/>
    </row>
    <row r="262" spans="7:52">
      <c r="G262" s="15" t="e">
        <f t="shared" si="62"/>
        <v>#DIV/0!</v>
      </c>
      <c r="P262" s="15" t="e">
        <f t="shared" si="63"/>
        <v>#DIV/0!</v>
      </c>
      <c r="R262" s="78"/>
      <c r="S262" s="85">
        <v>5</v>
      </c>
      <c r="AA262" s="2">
        <f t="shared" si="67"/>
        <v>1</v>
      </c>
      <c r="AC262" s="15">
        <f t="shared" si="74"/>
        <v>0</v>
      </c>
      <c r="AG262" s="85" t="e">
        <f t="shared" si="68"/>
        <v>#DIV/0!</v>
      </c>
      <c r="AH262" s="15" t="e">
        <f t="shared" si="69"/>
        <v>#DIV/0!</v>
      </c>
      <c r="AI262" s="15"/>
      <c r="AJ262" s="15">
        <f t="shared" si="70"/>
        <v>1</v>
      </c>
      <c r="AK262" s="15" t="e">
        <f t="shared" si="71"/>
        <v>#DIV/0!</v>
      </c>
      <c r="AL262" s="14">
        <f t="shared" si="72"/>
        <v>0</v>
      </c>
      <c r="AM262" s="14">
        <f t="shared" si="64"/>
        <v>0</v>
      </c>
      <c r="AO262" s="16">
        <f t="shared" si="66"/>
        <v>1</v>
      </c>
      <c r="AP262" s="16" t="e">
        <f t="shared" si="61"/>
        <v>#DIV/0!</v>
      </c>
      <c r="AQ262" s="15">
        <v>1</v>
      </c>
      <c r="AT262" s="15" t="e">
        <f t="shared" si="73"/>
        <v>#DIV/0!</v>
      </c>
      <c r="AZ262" s="16"/>
    </row>
    <row r="263" spans="7:52">
      <c r="G263" s="15" t="e">
        <f t="shared" si="62"/>
        <v>#DIV/0!</v>
      </c>
      <c r="P263" s="15" t="e">
        <f t="shared" si="63"/>
        <v>#DIV/0!</v>
      </c>
      <c r="R263" s="78"/>
      <c r="S263" s="85">
        <v>5</v>
      </c>
      <c r="AA263" s="2">
        <f t="shared" si="67"/>
        <v>1</v>
      </c>
      <c r="AC263" s="15">
        <f t="shared" si="74"/>
        <v>0</v>
      </c>
      <c r="AG263" s="85" t="e">
        <f t="shared" si="68"/>
        <v>#DIV/0!</v>
      </c>
      <c r="AH263" s="15" t="e">
        <f t="shared" si="69"/>
        <v>#DIV/0!</v>
      </c>
      <c r="AI263" s="15"/>
      <c r="AJ263" s="15">
        <f t="shared" si="70"/>
        <v>1</v>
      </c>
      <c r="AK263" s="15" t="e">
        <f t="shared" si="71"/>
        <v>#DIV/0!</v>
      </c>
      <c r="AL263" s="14">
        <f t="shared" si="72"/>
        <v>0</v>
      </c>
      <c r="AM263" s="14">
        <f t="shared" si="64"/>
        <v>0</v>
      </c>
      <c r="AO263" s="16">
        <f t="shared" si="66"/>
        <v>1</v>
      </c>
      <c r="AP263" s="16" t="e">
        <f t="shared" si="61"/>
        <v>#DIV/0!</v>
      </c>
      <c r="AQ263" s="15">
        <v>1</v>
      </c>
      <c r="AT263" s="15" t="e">
        <f t="shared" si="73"/>
        <v>#DIV/0!</v>
      </c>
      <c r="AZ263" s="16"/>
    </row>
    <row r="264" spans="7:52">
      <c r="G264" s="15" t="e">
        <f t="shared" si="62"/>
        <v>#DIV/0!</v>
      </c>
      <c r="P264" s="15" t="e">
        <f t="shared" si="63"/>
        <v>#DIV/0!</v>
      </c>
      <c r="R264" s="78"/>
      <c r="S264" s="85">
        <v>5</v>
      </c>
      <c r="AA264" s="2">
        <f t="shared" si="67"/>
        <v>1</v>
      </c>
      <c r="AC264" s="15">
        <f t="shared" si="74"/>
        <v>0</v>
      </c>
      <c r="AG264" s="85" t="e">
        <f t="shared" si="68"/>
        <v>#DIV/0!</v>
      </c>
      <c r="AH264" s="15" t="e">
        <f t="shared" si="69"/>
        <v>#DIV/0!</v>
      </c>
      <c r="AI264" s="15"/>
      <c r="AJ264" s="15">
        <f t="shared" si="70"/>
        <v>1</v>
      </c>
      <c r="AK264" s="15" t="e">
        <f t="shared" si="71"/>
        <v>#DIV/0!</v>
      </c>
      <c r="AL264" s="14">
        <f t="shared" si="72"/>
        <v>0</v>
      </c>
      <c r="AM264" s="14">
        <f t="shared" si="64"/>
        <v>0</v>
      </c>
      <c r="AO264" s="16">
        <f t="shared" si="66"/>
        <v>1</v>
      </c>
      <c r="AP264" s="16" t="e">
        <f t="shared" si="61"/>
        <v>#DIV/0!</v>
      </c>
      <c r="AQ264" s="15">
        <v>1</v>
      </c>
      <c r="AT264" s="15" t="e">
        <f t="shared" si="73"/>
        <v>#DIV/0!</v>
      </c>
      <c r="AZ264" s="16"/>
    </row>
    <row r="265" spans="7:52">
      <c r="G265" s="15" t="e">
        <f t="shared" si="62"/>
        <v>#DIV/0!</v>
      </c>
      <c r="P265" s="15" t="e">
        <f t="shared" si="63"/>
        <v>#DIV/0!</v>
      </c>
      <c r="R265" s="78"/>
      <c r="S265" s="85">
        <v>5</v>
      </c>
      <c r="AA265" s="2">
        <f t="shared" si="67"/>
        <v>1</v>
      </c>
      <c r="AC265" s="15">
        <f t="shared" si="74"/>
        <v>0</v>
      </c>
      <c r="AG265" s="85" t="e">
        <f t="shared" si="68"/>
        <v>#DIV/0!</v>
      </c>
      <c r="AH265" s="15" t="e">
        <f t="shared" si="69"/>
        <v>#DIV/0!</v>
      </c>
      <c r="AI265" s="15"/>
      <c r="AJ265" s="15">
        <f t="shared" si="70"/>
        <v>1</v>
      </c>
      <c r="AK265" s="15" t="e">
        <f t="shared" si="71"/>
        <v>#DIV/0!</v>
      </c>
      <c r="AL265" s="14">
        <f t="shared" si="72"/>
        <v>0</v>
      </c>
      <c r="AM265" s="14">
        <f t="shared" si="64"/>
        <v>0</v>
      </c>
      <c r="AO265" s="16">
        <f t="shared" si="66"/>
        <v>1</v>
      </c>
      <c r="AP265" s="16" t="e">
        <f t="shared" si="61"/>
        <v>#DIV/0!</v>
      </c>
      <c r="AQ265" s="15">
        <v>1</v>
      </c>
      <c r="AT265" s="15" t="e">
        <f t="shared" si="73"/>
        <v>#DIV/0!</v>
      </c>
      <c r="AZ265" s="16"/>
    </row>
    <row r="266" spans="7:52">
      <c r="G266" s="15" t="e">
        <f t="shared" si="62"/>
        <v>#DIV/0!</v>
      </c>
      <c r="P266" s="15" t="e">
        <f t="shared" si="63"/>
        <v>#DIV/0!</v>
      </c>
      <c r="R266" s="78"/>
      <c r="S266" s="85">
        <v>5</v>
      </c>
      <c r="AA266" s="2">
        <f t="shared" si="67"/>
        <v>1</v>
      </c>
      <c r="AC266" s="15">
        <f t="shared" si="74"/>
        <v>0</v>
      </c>
      <c r="AG266" s="85" t="e">
        <f t="shared" si="68"/>
        <v>#DIV/0!</v>
      </c>
      <c r="AH266" s="15" t="e">
        <f t="shared" si="69"/>
        <v>#DIV/0!</v>
      </c>
      <c r="AI266" s="15"/>
      <c r="AJ266" s="15">
        <f t="shared" si="70"/>
        <v>1</v>
      </c>
      <c r="AK266" s="15" t="e">
        <f t="shared" si="71"/>
        <v>#DIV/0!</v>
      </c>
      <c r="AL266" s="14">
        <f t="shared" si="72"/>
        <v>0</v>
      </c>
      <c r="AM266" s="14">
        <f t="shared" si="64"/>
        <v>0</v>
      </c>
      <c r="AO266" s="16">
        <f t="shared" si="66"/>
        <v>1</v>
      </c>
      <c r="AP266" s="16" t="e">
        <f t="shared" si="61"/>
        <v>#DIV/0!</v>
      </c>
      <c r="AQ266" s="15">
        <v>1</v>
      </c>
      <c r="AT266" s="15" t="e">
        <f t="shared" si="73"/>
        <v>#DIV/0!</v>
      </c>
      <c r="AZ266" s="16"/>
    </row>
    <row r="267" spans="7:52">
      <c r="G267" s="15" t="e">
        <f t="shared" si="62"/>
        <v>#DIV/0!</v>
      </c>
      <c r="P267" s="15" t="e">
        <f t="shared" si="63"/>
        <v>#DIV/0!</v>
      </c>
      <c r="R267" s="78"/>
      <c r="S267" s="85">
        <v>5</v>
      </c>
      <c r="AA267" s="2">
        <f t="shared" si="67"/>
        <v>1</v>
      </c>
      <c r="AC267" s="15">
        <f t="shared" si="74"/>
        <v>0</v>
      </c>
      <c r="AG267" s="85" t="e">
        <f t="shared" si="68"/>
        <v>#DIV/0!</v>
      </c>
      <c r="AH267" s="15" t="e">
        <f t="shared" si="69"/>
        <v>#DIV/0!</v>
      </c>
      <c r="AI267" s="15"/>
      <c r="AJ267" s="15">
        <f t="shared" si="70"/>
        <v>1</v>
      </c>
      <c r="AK267" s="15" t="e">
        <f t="shared" si="71"/>
        <v>#DIV/0!</v>
      </c>
      <c r="AL267" s="14">
        <f t="shared" si="72"/>
        <v>0</v>
      </c>
      <c r="AM267" s="14">
        <f t="shared" si="64"/>
        <v>0</v>
      </c>
      <c r="AO267" s="16">
        <f t="shared" si="66"/>
        <v>1</v>
      </c>
      <c r="AP267" s="16" t="e">
        <f t="shared" si="61"/>
        <v>#DIV/0!</v>
      </c>
      <c r="AQ267" s="15">
        <v>1</v>
      </c>
      <c r="AT267" s="15" t="e">
        <f t="shared" si="73"/>
        <v>#DIV/0!</v>
      </c>
      <c r="AZ267" s="16"/>
    </row>
    <row r="268" spans="7:52">
      <c r="G268" s="15" t="e">
        <f t="shared" si="62"/>
        <v>#DIV/0!</v>
      </c>
      <c r="P268" s="15" t="e">
        <f t="shared" si="63"/>
        <v>#DIV/0!</v>
      </c>
      <c r="R268" s="78"/>
      <c r="S268" s="85">
        <v>5</v>
      </c>
      <c r="AA268" s="2">
        <f t="shared" si="67"/>
        <v>1</v>
      </c>
      <c r="AC268" s="15">
        <f t="shared" si="74"/>
        <v>0</v>
      </c>
      <c r="AG268" s="85" t="e">
        <f t="shared" si="68"/>
        <v>#DIV/0!</v>
      </c>
      <c r="AH268" s="15" t="e">
        <f t="shared" si="69"/>
        <v>#DIV/0!</v>
      </c>
      <c r="AI268" s="15"/>
      <c r="AJ268" s="15">
        <f t="shared" si="70"/>
        <v>1</v>
      </c>
      <c r="AK268" s="15" t="e">
        <f t="shared" si="71"/>
        <v>#DIV/0!</v>
      </c>
      <c r="AL268" s="14">
        <f t="shared" si="72"/>
        <v>0</v>
      </c>
      <c r="AM268" s="14">
        <f t="shared" si="64"/>
        <v>0</v>
      </c>
      <c r="AO268" s="16">
        <f t="shared" si="66"/>
        <v>1</v>
      </c>
      <c r="AP268" s="16" t="e">
        <f t="shared" si="61"/>
        <v>#DIV/0!</v>
      </c>
      <c r="AQ268" s="15">
        <v>1</v>
      </c>
      <c r="AT268" s="15" t="e">
        <f t="shared" si="73"/>
        <v>#DIV/0!</v>
      </c>
      <c r="AZ268" s="16"/>
    </row>
    <row r="269" spans="7:52">
      <c r="G269" s="15" t="e">
        <f t="shared" si="62"/>
        <v>#DIV/0!</v>
      </c>
      <c r="P269" s="15" t="e">
        <f t="shared" si="63"/>
        <v>#DIV/0!</v>
      </c>
      <c r="R269" s="78"/>
      <c r="S269" s="85">
        <v>5</v>
      </c>
      <c r="AA269" s="2">
        <f t="shared" si="67"/>
        <v>1</v>
      </c>
      <c r="AC269" s="15">
        <f t="shared" si="74"/>
        <v>0</v>
      </c>
      <c r="AG269" s="85" t="e">
        <f t="shared" si="68"/>
        <v>#DIV/0!</v>
      </c>
      <c r="AH269" s="15" t="e">
        <f t="shared" si="69"/>
        <v>#DIV/0!</v>
      </c>
      <c r="AI269" s="15"/>
      <c r="AJ269" s="15">
        <f t="shared" si="70"/>
        <v>1</v>
      </c>
      <c r="AK269" s="15" t="e">
        <f t="shared" si="71"/>
        <v>#DIV/0!</v>
      </c>
      <c r="AL269" s="14">
        <f t="shared" si="72"/>
        <v>0</v>
      </c>
      <c r="AM269" s="14">
        <f t="shared" si="64"/>
        <v>0</v>
      </c>
      <c r="AO269" s="16">
        <f t="shared" si="66"/>
        <v>1</v>
      </c>
      <c r="AP269" s="16" t="e">
        <f t="shared" ref="AP269:AP332" si="75">IF(AK269&gt;13.1,IF(Z269&lt;101,IF(Z269&lt;35,IF(Z269&lt;8,3,2),1),0),0)</f>
        <v>#DIV/0!</v>
      </c>
      <c r="AQ269" s="15">
        <v>1</v>
      </c>
      <c r="AT269" s="15" t="e">
        <f t="shared" si="73"/>
        <v>#DIV/0!</v>
      </c>
      <c r="AZ269" s="16"/>
    </row>
    <row r="270" spans="7:52">
      <c r="G270" s="15" t="e">
        <f t="shared" si="62"/>
        <v>#DIV/0!</v>
      </c>
      <c r="P270" s="15" t="e">
        <f t="shared" si="63"/>
        <v>#DIV/0!</v>
      </c>
      <c r="R270" s="78"/>
      <c r="S270" s="85">
        <v>5</v>
      </c>
      <c r="AA270" s="2">
        <f t="shared" si="67"/>
        <v>1</v>
      </c>
      <c r="AC270" s="15">
        <f t="shared" si="74"/>
        <v>0</v>
      </c>
      <c r="AG270" s="85" t="e">
        <f t="shared" si="68"/>
        <v>#DIV/0!</v>
      </c>
      <c r="AH270" s="15" t="e">
        <f t="shared" si="69"/>
        <v>#DIV/0!</v>
      </c>
      <c r="AI270" s="15"/>
      <c r="AJ270" s="15">
        <f t="shared" si="70"/>
        <v>1</v>
      </c>
      <c r="AK270" s="15" t="e">
        <f t="shared" si="71"/>
        <v>#DIV/0!</v>
      </c>
      <c r="AL270" s="14">
        <f t="shared" si="72"/>
        <v>0</v>
      </c>
      <c r="AM270" s="14">
        <f t="shared" si="64"/>
        <v>0</v>
      </c>
      <c r="AO270" s="16">
        <f t="shared" si="66"/>
        <v>1</v>
      </c>
      <c r="AP270" s="16" t="e">
        <f t="shared" si="75"/>
        <v>#DIV/0!</v>
      </c>
      <c r="AQ270" s="15">
        <v>1</v>
      </c>
      <c r="AT270" s="15" t="e">
        <f t="shared" si="73"/>
        <v>#DIV/0!</v>
      </c>
      <c r="AZ270" s="16"/>
    </row>
    <row r="271" spans="7:52">
      <c r="G271" s="15" t="e">
        <f t="shared" si="62"/>
        <v>#DIV/0!</v>
      </c>
      <c r="P271" s="15" t="e">
        <f t="shared" si="63"/>
        <v>#DIV/0!</v>
      </c>
      <c r="R271" s="78"/>
      <c r="S271" s="85">
        <v>5</v>
      </c>
      <c r="AA271" s="2">
        <f t="shared" si="67"/>
        <v>1</v>
      </c>
      <c r="AC271" s="15">
        <f t="shared" si="74"/>
        <v>0</v>
      </c>
      <c r="AG271" s="85" t="e">
        <f t="shared" si="68"/>
        <v>#DIV/0!</v>
      </c>
      <c r="AH271" s="15" t="e">
        <f t="shared" si="69"/>
        <v>#DIV/0!</v>
      </c>
      <c r="AI271" s="15"/>
      <c r="AJ271" s="15">
        <f t="shared" si="70"/>
        <v>1</v>
      </c>
      <c r="AK271" s="15" t="e">
        <f t="shared" si="71"/>
        <v>#DIV/0!</v>
      </c>
      <c r="AL271" s="14">
        <f t="shared" si="72"/>
        <v>0</v>
      </c>
      <c r="AM271" s="14">
        <f t="shared" si="64"/>
        <v>0</v>
      </c>
      <c r="AO271" s="16">
        <f t="shared" si="66"/>
        <v>1</v>
      </c>
      <c r="AP271" s="16" t="e">
        <f t="shared" si="75"/>
        <v>#DIV/0!</v>
      </c>
      <c r="AQ271" s="15">
        <v>1</v>
      </c>
      <c r="AT271" s="15" t="e">
        <f t="shared" si="73"/>
        <v>#DIV/0!</v>
      </c>
      <c r="AZ271" s="16"/>
    </row>
    <row r="272" spans="7:52">
      <c r="G272" s="15" t="e">
        <f t="shared" si="62"/>
        <v>#DIV/0!</v>
      </c>
      <c r="P272" s="15" t="e">
        <f t="shared" si="63"/>
        <v>#DIV/0!</v>
      </c>
      <c r="R272" s="78"/>
      <c r="S272" s="85">
        <v>5</v>
      </c>
      <c r="AA272" s="2">
        <f t="shared" si="67"/>
        <v>1</v>
      </c>
      <c r="AC272" s="15">
        <f t="shared" si="74"/>
        <v>0</v>
      </c>
      <c r="AG272" s="85" t="e">
        <f t="shared" si="68"/>
        <v>#DIV/0!</v>
      </c>
      <c r="AH272" s="15" t="e">
        <f t="shared" si="69"/>
        <v>#DIV/0!</v>
      </c>
      <c r="AI272" s="15"/>
      <c r="AJ272" s="15">
        <f t="shared" si="70"/>
        <v>1</v>
      </c>
      <c r="AK272" s="15" t="e">
        <f t="shared" si="71"/>
        <v>#DIV/0!</v>
      </c>
      <c r="AL272" s="14">
        <f t="shared" si="72"/>
        <v>0</v>
      </c>
      <c r="AM272" s="14">
        <f t="shared" si="64"/>
        <v>0</v>
      </c>
      <c r="AO272" s="16">
        <f t="shared" si="66"/>
        <v>1</v>
      </c>
      <c r="AP272" s="16" t="e">
        <f t="shared" si="75"/>
        <v>#DIV/0!</v>
      </c>
      <c r="AQ272" s="15">
        <v>1</v>
      </c>
      <c r="AT272" s="15" t="e">
        <f t="shared" si="73"/>
        <v>#DIV/0!</v>
      </c>
      <c r="AZ272" s="16"/>
    </row>
    <row r="273" spans="7:52">
      <c r="G273" s="15" t="e">
        <f t="shared" si="62"/>
        <v>#DIV/0!</v>
      </c>
      <c r="P273" s="15" t="e">
        <f t="shared" si="63"/>
        <v>#DIV/0!</v>
      </c>
      <c r="R273" s="78"/>
      <c r="S273" s="85">
        <v>5</v>
      </c>
      <c r="AA273" s="2">
        <f t="shared" si="67"/>
        <v>1</v>
      </c>
      <c r="AC273" s="15">
        <f t="shared" si="74"/>
        <v>0</v>
      </c>
      <c r="AG273" s="85" t="e">
        <f t="shared" si="68"/>
        <v>#DIV/0!</v>
      </c>
      <c r="AH273" s="15" t="e">
        <f t="shared" si="69"/>
        <v>#DIV/0!</v>
      </c>
      <c r="AI273" s="15"/>
      <c r="AJ273" s="15">
        <f t="shared" si="70"/>
        <v>1</v>
      </c>
      <c r="AK273" s="15" t="e">
        <f t="shared" si="71"/>
        <v>#DIV/0!</v>
      </c>
      <c r="AL273" s="14">
        <f t="shared" si="72"/>
        <v>0</v>
      </c>
      <c r="AM273" s="14">
        <f t="shared" si="64"/>
        <v>0</v>
      </c>
      <c r="AO273" s="16">
        <f t="shared" si="66"/>
        <v>1</v>
      </c>
      <c r="AP273" s="16" t="e">
        <f t="shared" si="75"/>
        <v>#DIV/0!</v>
      </c>
      <c r="AQ273" s="15">
        <v>1</v>
      </c>
      <c r="AT273" s="15" t="e">
        <f t="shared" si="73"/>
        <v>#DIV/0!</v>
      </c>
      <c r="AZ273" s="16"/>
    </row>
    <row r="274" spans="7:52">
      <c r="G274" s="15" t="e">
        <f t="shared" ref="G274:G337" si="76">100*(F274-E274)/F274</f>
        <v>#DIV/0!</v>
      </c>
      <c r="P274" s="15" t="e">
        <f t="shared" ref="P274:P337" si="77">O274/I274</f>
        <v>#DIV/0!</v>
      </c>
      <c r="R274" s="78"/>
      <c r="S274" s="85">
        <v>5</v>
      </c>
      <c r="AA274" s="2">
        <f t="shared" si="67"/>
        <v>1</v>
      </c>
      <c r="AC274" s="15">
        <f t="shared" si="74"/>
        <v>0</v>
      </c>
      <c r="AG274" s="85" t="e">
        <f t="shared" si="68"/>
        <v>#DIV/0!</v>
      </c>
      <c r="AH274" s="15" t="e">
        <f t="shared" si="69"/>
        <v>#DIV/0!</v>
      </c>
      <c r="AI274" s="15"/>
      <c r="AJ274" s="15">
        <f t="shared" si="70"/>
        <v>1</v>
      </c>
      <c r="AK274" s="15" t="e">
        <f t="shared" si="71"/>
        <v>#DIV/0!</v>
      </c>
      <c r="AL274" s="14">
        <f t="shared" si="72"/>
        <v>0</v>
      </c>
      <c r="AM274" s="14">
        <f t="shared" ref="AM274:AM337" si="78">B274</f>
        <v>0</v>
      </c>
      <c r="AO274" s="16">
        <f t="shared" ref="AO274:AO305" si="79">AN274+1</f>
        <v>1</v>
      </c>
      <c r="AP274" s="16" t="e">
        <f t="shared" si="75"/>
        <v>#DIV/0!</v>
      </c>
      <c r="AQ274" s="15">
        <v>1</v>
      </c>
      <c r="AT274" s="15" t="e">
        <f t="shared" si="73"/>
        <v>#DIV/0!</v>
      </c>
      <c r="AZ274" s="16"/>
    </row>
    <row r="275" spans="7:52">
      <c r="G275" s="15" t="e">
        <f t="shared" si="76"/>
        <v>#DIV/0!</v>
      </c>
      <c r="P275" s="15" t="e">
        <f t="shared" si="77"/>
        <v>#DIV/0!</v>
      </c>
      <c r="R275" s="78"/>
      <c r="S275" s="85">
        <v>5</v>
      </c>
      <c r="AA275" s="2">
        <f t="shared" si="67"/>
        <v>1</v>
      </c>
      <c r="AC275" s="15">
        <f t="shared" si="74"/>
        <v>0</v>
      </c>
      <c r="AG275" s="85" t="e">
        <f t="shared" si="68"/>
        <v>#DIV/0!</v>
      </c>
      <c r="AH275" s="15" t="e">
        <f t="shared" si="69"/>
        <v>#DIV/0!</v>
      </c>
      <c r="AI275" s="15"/>
      <c r="AJ275" s="15">
        <f t="shared" si="70"/>
        <v>1</v>
      </c>
      <c r="AK275" s="15" t="e">
        <f t="shared" si="71"/>
        <v>#DIV/0!</v>
      </c>
      <c r="AL275" s="14">
        <f t="shared" si="72"/>
        <v>0</v>
      </c>
      <c r="AM275" s="14">
        <f t="shared" si="78"/>
        <v>0</v>
      </c>
      <c r="AO275" s="16">
        <f t="shared" si="79"/>
        <v>1</v>
      </c>
      <c r="AP275" s="16" t="e">
        <f t="shared" si="75"/>
        <v>#DIV/0!</v>
      </c>
      <c r="AQ275" s="15">
        <v>1</v>
      </c>
      <c r="AT275" s="15" t="e">
        <f t="shared" si="73"/>
        <v>#DIV/0!</v>
      </c>
      <c r="AZ275" s="16"/>
    </row>
    <row r="276" spans="7:52">
      <c r="G276" s="15" t="e">
        <f t="shared" si="76"/>
        <v>#DIV/0!</v>
      </c>
      <c r="P276" s="15" t="e">
        <f t="shared" si="77"/>
        <v>#DIV/0!</v>
      </c>
      <c r="R276" s="78"/>
      <c r="S276" s="85">
        <v>5</v>
      </c>
      <c r="AA276" s="2">
        <f t="shared" si="67"/>
        <v>1</v>
      </c>
      <c r="AC276" s="15">
        <f t="shared" si="74"/>
        <v>0</v>
      </c>
      <c r="AG276" s="85" t="e">
        <f t="shared" si="68"/>
        <v>#DIV/0!</v>
      </c>
      <c r="AH276" s="15" t="e">
        <f t="shared" si="69"/>
        <v>#DIV/0!</v>
      </c>
      <c r="AI276" s="15"/>
      <c r="AJ276" s="15">
        <f t="shared" si="70"/>
        <v>1</v>
      </c>
      <c r="AK276" s="15" t="e">
        <f t="shared" si="71"/>
        <v>#DIV/0!</v>
      </c>
      <c r="AL276" s="14">
        <f t="shared" si="72"/>
        <v>0</v>
      </c>
      <c r="AM276" s="14">
        <f t="shared" si="78"/>
        <v>0</v>
      </c>
      <c r="AO276" s="16">
        <f t="shared" si="79"/>
        <v>1</v>
      </c>
      <c r="AP276" s="16" t="e">
        <f t="shared" si="75"/>
        <v>#DIV/0!</v>
      </c>
      <c r="AQ276" s="15">
        <v>1</v>
      </c>
      <c r="AT276" s="15" t="e">
        <f t="shared" si="73"/>
        <v>#DIV/0!</v>
      </c>
      <c r="AZ276" s="16"/>
    </row>
    <row r="277" spans="7:52">
      <c r="G277" s="15" t="e">
        <f t="shared" si="76"/>
        <v>#DIV/0!</v>
      </c>
      <c r="P277" s="15" t="e">
        <f t="shared" si="77"/>
        <v>#DIV/0!</v>
      </c>
      <c r="R277" s="78"/>
      <c r="S277" s="85">
        <v>5</v>
      </c>
      <c r="AA277" s="2">
        <f t="shared" si="67"/>
        <v>1</v>
      </c>
      <c r="AC277" s="15">
        <f t="shared" si="74"/>
        <v>0</v>
      </c>
      <c r="AG277" s="85" t="e">
        <f t="shared" si="68"/>
        <v>#DIV/0!</v>
      </c>
      <c r="AH277" s="15" t="e">
        <f t="shared" si="69"/>
        <v>#DIV/0!</v>
      </c>
      <c r="AI277" s="15"/>
      <c r="AJ277" s="15">
        <f t="shared" si="70"/>
        <v>1</v>
      </c>
      <c r="AK277" s="15" t="e">
        <f t="shared" si="71"/>
        <v>#DIV/0!</v>
      </c>
      <c r="AL277" s="14">
        <f t="shared" si="72"/>
        <v>0</v>
      </c>
      <c r="AM277" s="14">
        <f t="shared" si="78"/>
        <v>0</v>
      </c>
      <c r="AO277" s="16">
        <f t="shared" si="79"/>
        <v>1</v>
      </c>
      <c r="AP277" s="16" t="e">
        <f t="shared" si="75"/>
        <v>#DIV/0!</v>
      </c>
      <c r="AQ277" s="15">
        <v>1</v>
      </c>
      <c r="AT277" s="15" t="e">
        <f t="shared" si="73"/>
        <v>#DIV/0!</v>
      </c>
      <c r="AZ277" s="16"/>
    </row>
    <row r="278" spans="7:52">
      <c r="G278" s="15" t="e">
        <f t="shared" si="76"/>
        <v>#DIV/0!</v>
      </c>
      <c r="P278" s="15" t="e">
        <f t="shared" si="77"/>
        <v>#DIV/0!</v>
      </c>
      <c r="R278" s="78"/>
      <c r="S278" s="85">
        <v>5</v>
      </c>
      <c r="AA278" s="2">
        <f t="shared" si="67"/>
        <v>1</v>
      </c>
      <c r="AC278" s="15">
        <f t="shared" si="74"/>
        <v>0</v>
      </c>
      <c r="AG278" s="85" t="e">
        <f t="shared" si="68"/>
        <v>#DIV/0!</v>
      </c>
      <c r="AH278" s="15" t="e">
        <f t="shared" si="69"/>
        <v>#DIV/0!</v>
      </c>
      <c r="AI278" s="15"/>
      <c r="AJ278" s="15">
        <f t="shared" si="70"/>
        <v>1</v>
      </c>
      <c r="AK278" s="15" t="e">
        <f t="shared" si="71"/>
        <v>#DIV/0!</v>
      </c>
      <c r="AL278" s="14">
        <f t="shared" si="72"/>
        <v>0</v>
      </c>
      <c r="AM278" s="14">
        <f t="shared" si="78"/>
        <v>0</v>
      </c>
      <c r="AO278" s="16">
        <f t="shared" si="79"/>
        <v>1</v>
      </c>
      <c r="AP278" s="16" t="e">
        <f t="shared" si="75"/>
        <v>#DIV/0!</v>
      </c>
      <c r="AQ278" s="15">
        <v>1</v>
      </c>
      <c r="AT278" s="15" t="e">
        <f t="shared" si="73"/>
        <v>#DIV/0!</v>
      </c>
      <c r="AZ278" s="16"/>
    </row>
    <row r="279" spans="7:52">
      <c r="G279" s="15" t="e">
        <f t="shared" si="76"/>
        <v>#DIV/0!</v>
      </c>
      <c r="P279" s="15" t="e">
        <f t="shared" si="77"/>
        <v>#DIV/0!</v>
      </c>
      <c r="R279" s="78"/>
      <c r="S279" s="85">
        <v>5</v>
      </c>
      <c r="AA279" s="2">
        <f t="shared" si="67"/>
        <v>1</v>
      </c>
      <c r="AC279" s="15">
        <f t="shared" si="74"/>
        <v>0</v>
      </c>
      <c r="AG279" s="85" t="e">
        <f t="shared" si="68"/>
        <v>#DIV/0!</v>
      </c>
      <c r="AH279" s="15" t="e">
        <f t="shared" si="69"/>
        <v>#DIV/0!</v>
      </c>
      <c r="AI279" s="15"/>
      <c r="AJ279" s="15">
        <f t="shared" si="70"/>
        <v>1</v>
      </c>
      <c r="AK279" s="15" t="e">
        <f t="shared" si="71"/>
        <v>#DIV/0!</v>
      </c>
      <c r="AL279" s="14">
        <f t="shared" si="72"/>
        <v>0</v>
      </c>
      <c r="AM279" s="14">
        <f t="shared" si="78"/>
        <v>0</v>
      </c>
      <c r="AO279" s="16">
        <f t="shared" si="79"/>
        <v>1</v>
      </c>
      <c r="AP279" s="16" t="e">
        <f t="shared" si="75"/>
        <v>#DIV/0!</v>
      </c>
      <c r="AQ279" s="15">
        <v>1</v>
      </c>
      <c r="AT279" s="15" t="e">
        <f t="shared" si="73"/>
        <v>#DIV/0!</v>
      </c>
      <c r="AZ279" s="16"/>
    </row>
    <row r="280" spans="7:52">
      <c r="G280" s="15" t="e">
        <f t="shared" si="76"/>
        <v>#DIV/0!</v>
      </c>
      <c r="P280" s="15" t="e">
        <f t="shared" si="77"/>
        <v>#DIV/0!</v>
      </c>
      <c r="R280" s="78"/>
      <c r="S280" s="85">
        <v>5</v>
      </c>
      <c r="AA280" s="2">
        <f t="shared" si="67"/>
        <v>1</v>
      </c>
      <c r="AC280" s="15">
        <f t="shared" si="74"/>
        <v>0</v>
      </c>
      <c r="AG280" s="85" t="e">
        <f t="shared" si="68"/>
        <v>#DIV/0!</v>
      </c>
      <c r="AH280" s="15" t="e">
        <f t="shared" si="69"/>
        <v>#DIV/0!</v>
      </c>
      <c r="AI280" s="15"/>
      <c r="AJ280" s="15">
        <f t="shared" si="70"/>
        <v>1</v>
      </c>
      <c r="AK280" s="15" t="e">
        <f t="shared" si="71"/>
        <v>#DIV/0!</v>
      </c>
      <c r="AL280" s="14">
        <f t="shared" si="72"/>
        <v>0</v>
      </c>
      <c r="AM280" s="14">
        <f t="shared" si="78"/>
        <v>0</v>
      </c>
      <c r="AO280" s="16">
        <f t="shared" si="79"/>
        <v>1</v>
      </c>
      <c r="AP280" s="16" t="e">
        <f t="shared" si="75"/>
        <v>#DIV/0!</v>
      </c>
      <c r="AQ280" s="15">
        <v>1</v>
      </c>
      <c r="AT280" s="15" t="e">
        <f t="shared" si="73"/>
        <v>#DIV/0!</v>
      </c>
      <c r="AZ280" s="16"/>
    </row>
    <row r="281" spans="7:52">
      <c r="G281" s="15" t="e">
        <f t="shared" si="76"/>
        <v>#DIV/0!</v>
      </c>
      <c r="P281" s="15" t="e">
        <f t="shared" si="77"/>
        <v>#DIV/0!</v>
      </c>
      <c r="R281" s="78"/>
      <c r="S281" s="85">
        <v>5</v>
      </c>
      <c r="AA281" s="2">
        <f t="shared" si="67"/>
        <v>1</v>
      </c>
      <c r="AC281" s="15">
        <f t="shared" si="74"/>
        <v>0</v>
      </c>
      <c r="AG281" s="85" t="e">
        <f t="shared" si="68"/>
        <v>#DIV/0!</v>
      </c>
      <c r="AH281" s="15" t="e">
        <f t="shared" si="69"/>
        <v>#DIV/0!</v>
      </c>
      <c r="AI281" s="15"/>
      <c r="AJ281" s="15">
        <f t="shared" si="70"/>
        <v>1</v>
      </c>
      <c r="AK281" s="15" t="e">
        <f t="shared" si="71"/>
        <v>#DIV/0!</v>
      </c>
      <c r="AL281" s="14">
        <f t="shared" si="72"/>
        <v>0</v>
      </c>
      <c r="AM281" s="14">
        <f t="shared" si="78"/>
        <v>0</v>
      </c>
      <c r="AO281" s="16">
        <f t="shared" si="79"/>
        <v>1</v>
      </c>
      <c r="AP281" s="16" t="e">
        <f t="shared" si="75"/>
        <v>#DIV/0!</v>
      </c>
      <c r="AQ281" s="15">
        <v>1</v>
      </c>
      <c r="AT281" s="15" t="e">
        <f t="shared" si="73"/>
        <v>#DIV/0!</v>
      </c>
      <c r="AZ281" s="16"/>
    </row>
    <row r="282" spans="7:52">
      <c r="G282" s="15" t="e">
        <f t="shared" si="76"/>
        <v>#DIV/0!</v>
      </c>
      <c r="P282" s="15" t="e">
        <f t="shared" si="77"/>
        <v>#DIV/0!</v>
      </c>
      <c r="R282" s="78"/>
      <c r="S282" s="85">
        <v>5</v>
      </c>
      <c r="AA282" s="2">
        <f t="shared" si="67"/>
        <v>1</v>
      </c>
      <c r="AC282" s="15">
        <f t="shared" si="74"/>
        <v>0</v>
      </c>
      <c r="AG282" s="85" t="e">
        <f t="shared" si="68"/>
        <v>#DIV/0!</v>
      </c>
      <c r="AH282" s="15" t="e">
        <f t="shared" si="69"/>
        <v>#DIV/0!</v>
      </c>
      <c r="AI282" s="15"/>
      <c r="AJ282" s="15">
        <f t="shared" si="70"/>
        <v>1</v>
      </c>
      <c r="AK282" s="15" t="e">
        <f t="shared" si="71"/>
        <v>#DIV/0!</v>
      </c>
      <c r="AL282" s="14">
        <f t="shared" si="72"/>
        <v>0</v>
      </c>
      <c r="AM282" s="14">
        <f t="shared" si="78"/>
        <v>0</v>
      </c>
      <c r="AO282" s="16">
        <f t="shared" si="79"/>
        <v>1</v>
      </c>
      <c r="AP282" s="16" t="e">
        <f t="shared" si="75"/>
        <v>#DIV/0!</v>
      </c>
      <c r="AQ282" s="15">
        <v>1</v>
      </c>
      <c r="AT282" s="15" t="e">
        <f t="shared" si="73"/>
        <v>#DIV/0!</v>
      </c>
      <c r="AZ282" s="16"/>
    </row>
    <row r="283" spans="7:52">
      <c r="G283" s="15" t="e">
        <f t="shared" si="76"/>
        <v>#DIV/0!</v>
      </c>
      <c r="P283" s="15" t="e">
        <f t="shared" si="77"/>
        <v>#DIV/0!</v>
      </c>
      <c r="R283" s="78"/>
      <c r="S283" s="85">
        <v>5</v>
      </c>
      <c r="AA283" s="2">
        <f t="shared" si="67"/>
        <v>1</v>
      </c>
      <c r="AC283" s="15">
        <f t="shared" si="74"/>
        <v>0</v>
      </c>
      <c r="AG283" s="85" t="e">
        <f t="shared" si="68"/>
        <v>#DIV/0!</v>
      </c>
      <c r="AH283" s="15" t="e">
        <f t="shared" si="69"/>
        <v>#DIV/0!</v>
      </c>
      <c r="AI283" s="15"/>
      <c r="AJ283" s="15">
        <f t="shared" si="70"/>
        <v>1</v>
      </c>
      <c r="AK283" s="15" t="e">
        <f t="shared" si="71"/>
        <v>#DIV/0!</v>
      </c>
      <c r="AL283" s="14">
        <f t="shared" si="72"/>
        <v>0</v>
      </c>
      <c r="AM283" s="14">
        <f t="shared" si="78"/>
        <v>0</v>
      </c>
      <c r="AO283" s="16">
        <f t="shared" si="79"/>
        <v>1</v>
      </c>
      <c r="AP283" s="16" t="e">
        <f t="shared" si="75"/>
        <v>#DIV/0!</v>
      </c>
      <c r="AQ283" s="15">
        <v>1</v>
      </c>
      <c r="AT283" s="15" t="e">
        <f t="shared" si="73"/>
        <v>#DIV/0!</v>
      </c>
      <c r="AZ283" s="16"/>
    </row>
    <row r="284" spans="7:52">
      <c r="G284" s="15" t="e">
        <f t="shared" si="76"/>
        <v>#DIV/0!</v>
      </c>
      <c r="P284" s="15" t="e">
        <f t="shared" si="77"/>
        <v>#DIV/0!</v>
      </c>
      <c r="R284" s="78"/>
      <c r="S284" s="85">
        <v>5</v>
      </c>
      <c r="AA284" s="2">
        <f t="shared" si="67"/>
        <v>1</v>
      </c>
      <c r="AC284" s="15">
        <f t="shared" si="74"/>
        <v>0</v>
      </c>
      <c r="AG284" s="85" t="e">
        <f t="shared" si="68"/>
        <v>#DIV/0!</v>
      </c>
      <c r="AH284" s="15" t="e">
        <f t="shared" si="69"/>
        <v>#DIV/0!</v>
      </c>
      <c r="AI284" s="15"/>
      <c r="AJ284" s="15">
        <f t="shared" si="70"/>
        <v>1</v>
      </c>
      <c r="AK284" s="15" t="e">
        <f t="shared" si="71"/>
        <v>#DIV/0!</v>
      </c>
      <c r="AL284" s="14">
        <f t="shared" si="72"/>
        <v>0</v>
      </c>
      <c r="AM284" s="14">
        <f t="shared" si="78"/>
        <v>0</v>
      </c>
      <c r="AO284" s="16">
        <f t="shared" si="79"/>
        <v>1</v>
      </c>
      <c r="AP284" s="16" t="e">
        <f t="shared" si="75"/>
        <v>#DIV/0!</v>
      </c>
      <c r="AQ284" s="15">
        <v>1</v>
      </c>
      <c r="AT284" s="15" t="e">
        <f t="shared" si="73"/>
        <v>#DIV/0!</v>
      </c>
      <c r="AZ284" s="16"/>
    </row>
    <row r="285" spans="7:52">
      <c r="G285" s="15" t="e">
        <f t="shared" si="76"/>
        <v>#DIV/0!</v>
      </c>
      <c r="P285" s="15" t="e">
        <f t="shared" si="77"/>
        <v>#DIV/0!</v>
      </c>
      <c r="R285" s="78"/>
      <c r="S285" s="85">
        <v>5</v>
      </c>
      <c r="AA285" s="2">
        <f t="shared" si="67"/>
        <v>1</v>
      </c>
      <c r="AC285" s="15">
        <f t="shared" si="74"/>
        <v>0</v>
      </c>
      <c r="AG285" s="85" t="e">
        <f t="shared" si="68"/>
        <v>#DIV/0!</v>
      </c>
      <c r="AH285" s="15" t="e">
        <f t="shared" si="69"/>
        <v>#DIV/0!</v>
      </c>
      <c r="AI285" s="15"/>
      <c r="AJ285" s="15">
        <f t="shared" si="70"/>
        <v>1</v>
      </c>
      <c r="AK285" s="15" t="e">
        <f t="shared" si="71"/>
        <v>#DIV/0!</v>
      </c>
      <c r="AL285" s="14">
        <f t="shared" si="72"/>
        <v>0</v>
      </c>
      <c r="AM285" s="14">
        <f t="shared" si="78"/>
        <v>0</v>
      </c>
      <c r="AO285" s="16">
        <f t="shared" si="79"/>
        <v>1</v>
      </c>
      <c r="AP285" s="16" t="e">
        <f t="shared" si="75"/>
        <v>#DIV/0!</v>
      </c>
      <c r="AQ285" s="15">
        <v>1</v>
      </c>
      <c r="AT285" s="15" t="e">
        <f t="shared" si="73"/>
        <v>#DIV/0!</v>
      </c>
      <c r="AZ285" s="16"/>
    </row>
    <row r="286" spans="7:52">
      <c r="G286" s="15" t="e">
        <f t="shared" si="76"/>
        <v>#DIV/0!</v>
      </c>
      <c r="P286" s="15" t="e">
        <f t="shared" si="77"/>
        <v>#DIV/0!</v>
      </c>
      <c r="R286" s="78"/>
      <c r="S286" s="85">
        <v>5</v>
      </c>
      <c r="AA286" s="2">
        <f t="shared" si="67"/>
        <v>1</v>
      </c>
      <c r="AC286" s="15">
        <f t="shared" si="74"/>
        <v>0</v>
      </c>
      <c r="AG286" s="85" t="e">
        <f t="shared" si="68"/>
        <v>#DIV/0!</v>
      </c>
      <c r="AH286" s="15" t="e">
        <f t="shared" si="69"/>
        <v>#DIV/0!</v>
      </c>
      <c r="AI286" s="15"/>
      <c r="AJ286" s="15">
        <f t="shared" si="70"/>
        <v>1</v>
      </c>
      <c r="AK286" s="15" t="e">
        <f t="shared" si="71"/>
        <v>#DIV/0!</v>
      </c>
      <c r="AL286" s="14">
        <f t="shared" si="72"/>
        <v>0</v>
      </c>
      <c r="AM286" s="14">
        <f t="shared" si="78"/>
        <v>0</v>
      </c>
      <c r="AO286" s="16">
        <f t="shared" si="79"/>
        <v>1</v>
      </c>
      <c r="AP286" s="16" t="e">
        <f t="shared" si="75"/>
        <v>#DIV/0!</v>
      </c>
      <c r="AQ286" s="15">
        <v>1</v>
      </c>
      <c r="AT286" s="15" t="e">
        <f t="shared" si="73"/>
        <v>#DIV/0!</v>
      </c>
      <c r="AZ286" s="16"/>
    </row>
    <row r="287" spans="7:52">
      <c r="G287" s="15" t="e">
        <f t="shared" si="76"/>
        <v>#DIV/0!</v>
      </c>
      <c r="P287" s="15" t="e">
        <f t="shared" si="77"/>
        <v>#DIV/0!</v>
      </c>
      <c r="R287" s="78"/>
      <c r="S287" s="85">
        <v>5</v>
      </c>
      <c r="AA287" s="2">
        <f t="shared" si="67"/>
        <v>1</v>
      </c>
      <c r="AC287" s="15">
        <f t="shared" si="74"/>
        <v>0</v>
      </c>
      <c r="AG287" s="85" t="e">
        <f t="shared" si="68"/>
        <v>#DIV/0!</v>
      </c>
      <c r="AH287" s="15" t="e">
        <f t="shared" si="69"/>
        <v>#DIV/0!</v>
      </c>
      <c r="AI287" s="15"/>
      <c r="AJ287" s="15">
        <f t="shared" si="70"/>
        <v>1</v>
      </c>
      <c r="AK287" s="15" t="e">
        <f t="shared" si="71"/>
        <v>#DIV/0!</v>
      </c>
      <c r="AL287" s="14">
        <f t="shared" si="72"/>
        <v>0</v>
      </c>
      <c r="AM287" s="14">
        <f t="shared" si="78"/>
        <v>0</v>
      </c>
      <c r="AO287" s="16">
        <f t="shared" si="79"/>
        <v>1</v>
      </c>
      <c r="AP287" s="16" t="e">
        <f t="shared" si="75"/>
        <v>#DIV/0!</v>
      </c>
      <c r="AQ287" s="15">
        <v>1</v>
      </c>
      <c r="AT287" s="15" t="e">
        <f t="shared" si="73"/>
        <v>#DIV/0!</v>
      </c>
      <c r="AZ287" s="16"/>
    </row>
    <row r="288" spans="7:52">
      <c r="G288" s="15" t="e">
        <f t="shared" si="76"/>
        <v>#DIV/0!</v>
      </c>
      <c r="P288" s="15" t="e">
        <f t="shared" si="77"/>
        <v>#DIV/0!</v>
      </c>
      <c r="R288" s="78"/>
      <c r="S288" s="85">
        <v>5</v>
      </c>
      <c r="AA288" s="2">
        <f t="shared" si="67"/>
        <v>1</v>
      </c>
      <c r="AC288" s="15">
        <f t="shared" si="74"/>
        <v>0</v>
      </c>
      <c r="AG288" s="85" t="e">
        <f t="shared" si="68"/>
        <v>#DIV/0!</v>
      </c>
      <c r="AH288" s="15" t="e">
        <f t="shared" si="69"/>
        <v>#DIV/0!</v>
      </c>
      <c r="AI288" s="15"/>
      <c r="AJ288" s="15">
        <f t="shared" si="70"/>
        <v>1</v>
      </c>
      <c r="AK288" s="15" t="e">
        <f t="shared" si="71"/>
        <v>#DIV/0!</v>
      </c>
      <c r="AL288" s="14">
        <f t="shared" si="72"/>
        <v>0</v>
      </c>
      <c r="AM288" s="14">
        <f t="shared" si="78"/>
        <v>0</v>
      </c>
      <c r="AO288" s="16">
        <f t="shared" si="79"/>
        <v>1</v>
      </c>
      <c r="AP288" s="16" t="e">
        <f t="shared" si="75"/>
        <v>#DIV/0!</v>
      </c>
      <c r="AQ288" s="15">
        <v>1</v>
      </c>
      <c r="AT288" s="15" t="e">
        <f t="shared" si="73"/>
        <v>#DIV/0!</v>
      </c>
      <c r="AZ288" s="16"/>
    </row>
    <row r="289" spans="7:52">
      <c r="G289" s="15" t="e">
        <f t="shared" si="76"/>
        <v>#DIV/0!</v>
      </c>
      <c r="P289" s="15" t="e">
        <f t="shared" si="77"/>
        <v>#DIV/0!</v>
      </c>
      <c r="R289" s="78"/>
      <c r="S289" s="85">
        <v>5</v>
      </c>
      <c r="AA289" s="2">
        <f t="shared" si="67"/>
        <v>1</v>
      </c>
      <c r="AC289" s="15">
        <f t="shared" si="74"/>
        <v>0</v>
      </c>
      <c r="AG289" s="85" t="e">
        <f t="shared" si="68"/>
        <v>#DIV/0!</v>
      </c>
      <c r="AH289" s="15" t="e">
        <f t="shared" si="69"/>
        <v>#DIV/0!</v>
      </c>
      <c r="AI289" s="15"/>
      <c r="AJ289" s="15">
        <f t="shared" si="70"/>
        <v>1</v>
      </c>
      <c r="AK289" s="15" t="e">
        <f t="shared" si="71"/>
        <v>#DIV/0!</v>
      </c>
      <c r="AL289" s="14">
        <f t="shared" si="72"/>
        <v>0</v>
      </c>
      <c r="AM289" s="14">
        <f t="shared" si="78"/>
        <v>0</v>
      </c>
      <c r="AO289" s="16">
        <f t="shared" si="79"/>
        <v>1</v>
      </c>
      <c r="AP289" s="16" t="e">
        <f t="shared" si="75"/>
        <v>#DIV/0!</v>
      </c>
      <c r="AQ289" s="15">
        <v>1</v>
      </c>
      <c r="AT289" s="15" t="e">
        <f t="shared" si="73"/>
        <v>#DIV/0!</v>
      </c>
      <c r="AZ289" s="16"/>
    </row>
    <row r="290" spans="7:52">
      <c r="G290" s="15" t="e">
        <f t="shared" si="76"/>
        <v>#DIV/0!</v>
      </c>
      <c r="P290" s="15" t="e">
        <f t="shared" si="77"/>
        <v>#DIV/0!</v>
      </c>
      <c r="R290" s="78"/>
      <c r="S290" s="85">
        <v>5</v>
      </c>
      <c r="AA290" s="2">
        <f t="shared" si="67"/>
        <v>1</v>
      </c>
      <c r="AC290" s="15">
        <f t="shared" si="74"/>
        <v>0</v>
      </c>
      <c r="AG290" s="85" t="e">
        <f t="shared" si="68"/>
        <v>#DIV/0!</v>
      </c>
      <c r="AH290" s="15" t="e">
        <f t="shared" si="69"/>
        <v>#DIV/0!</v>
      </c>
      <c r="AI290" s="15"/>
      <c r="AJ290" s="15">
        <f t="shared" si="70"/>
        <v>1</v>
      </c>
      <c r="AK290" s="15" t="e">
        <f t="shared" si="71"/>
        <v>#DIV/0!</v>
      </c>
      <c r="AL290" s="14">
        <f t="shared" si="72"/>
        <v>0</v>
      </c>
      <c r="AM290" s="14">
        <f t="shared" si="78"/>
        <v>0</v>
      </c>
      <c r="AO290" s="16">
        <f t="shared" si="79"/>
        <v>1</v>
      </c>
      <c r="AP290" s="16" t="e">
        <f t="shared" si="75"/>
        <v>#DIV/0!</v>
      </c>
      <c r="AQ290" s="15">
        <v>1</v>
      </c>
      <c r="AT290" s="15" t="e">
        <f t="shared" si="73"/>
        <v>#DIV/0!</v>
      </c>
      <c r="AZ290" s="16"/>
    </row>
    <row r="291" spans="7:52">
      <c r="G291" s="15" t="e">
        <f t="shared" si="76"/>
        <v>#DIV/0!</v>
      </c>
      <c r="P291" s="15" t="e">
        <f t="shared" si="77"/>
        <v>#DIV/0!</v>
      </c>
      <c r="R291" s="78"/>
      <c r="S291" s="85">
        <v>5</v>
      </c>
      <c r="AA291" s="2">
        <f t="shared" si="67"/>
        <v>1</v>
      </c>
      <c r="AC291" s="15">
        <f t="shared" si="74"/>
        <v>0</v>
      </c>
      <c r="AG291" s="85" t="e">
        <f t="shared" si="68"/>
        <v>#DIV/0!</v>
      </c>
      <c r="AH291" s="15" t="e">
        <f t="shared" si="69"/>
        <v>#DIV/0!</v>
      </c>
      <c r="AI291" s="15"/>
      <c r="AJ291" s="15">
        <f t="shared" si="70"/>
        <v>1</v>
      </c>
      <c r="AK291" s="15" t="e">
        <f t="shared" si="71"/>
        <v>#DIV/0!</v>
      </c>
      <c r="AL291" s="14">
        <f t="shared" si="72"/>
        <v>0</v>
      </c>
      <c r="AM291" s="14">
        <f t="shared" si="78"/>
        <v>0</v>
      </c>
      <c r="AO291" s="16">
        <f t="shared" si="79"/>
        <v>1</v>
      </c>
      <c r="AP291" s="16" t="e">
        <f t="shared" si="75"/>
        <v>#DIV/0!</v>
      </c>
      <c r="AQ291" s="15">
        <v>1</v>
      </c>
      <c r="AT291" s="15" t="e">
        <f t="shared" si="73"/>
        <v>#DIV/0!</v>
      </c>
      <c r="AZ291" s="16"/>
    </row>
    <row r="292" spans="7:52">
      <c r="G292" s="15" t="e">
        <f t="shared" si="76"/>
        <v>#DIV/0!</v>
      </c>
      <c r="P292" s="15" t="e">
        <f t="shared" si="77"/>
        <v>#DIV/0!</v>
      </c>
      <c r="R292" s="78"/>
      <c r="S292" s="85">
        <v>5</v>
      </c>
      <c r="AA292" s="2">
        <f t="shared" si="67"/>
        <v>1</v>
      </c>
      <c r="AC292" s="15">
        <f t="shared" si="74"/>
        <v>0</v>
      </c>
      <c r="AG292" s="85" t="e">
        <f t="shared" si="68"/>
        <v>#DIV/0!</v>
      </c>
      <c r="AH292" s="15" t="e">
        <f t="shared" si="69"/>
        <v>#DIV/0!</v>
      </c>
      <c r="AI292" s="15"/>
      <c r="AJ292" s="15">
        <f t="shared" si="70"/>
        <v>1</v>
      </c>
      <c r="AK292" s="15" t="e">
        <f t="shared" si="71"/>
        <v>#DIV/0!</v>
      </c>
      <c r="AL292" s="14">
        <f t="shared" si="72"/>
        <v>0</v>
      </c>
      <c r="AM292" s="14">
        <f t="shared" si="78"/>
        <v>0</v>
      </c>
      <c r="AO292" s="16">
        <f t="shared" si="79"/>
        <v>1</v>
      </c>
      <c r="AP292" s="16" t="e">
        <f t="shared" si="75"/>
        <v>#DIV/0!</v>
      </c>
      <c r="AQ292" s="15">
        <v>1</v>
      </c>
      <c r="AT292" s="15" t="e">
        <f t="shared" si="73"/>
        <v>#DIV/0!</v>
      </c>
      <c r="AZ292" s="16"/>
    </row>
    <row r="293" spans="7:52">
      <c r="G293" s="15" t="e">
        <f t="shared" si="76"/>
        <v>#DIV/0!</v>
      </c>
      <c r="P293" s="15" t="e">
        <f t="shared" si="77"/>
        <v>#DIV/0!</v>
      </c>
      <c r="R293" s="78"/>
      <c r="S293" s="85">
        <v>5</v>
      </c>
      <c r="AA293" s="2">
        <f t="shared" si="67"/>
        <v>1</v>
      </c>
      <c r="AC293" s="15">
        <f t="shared" si="74"/>
        <v>0</v>
      </c>
      <c r="AG293" s="85" t="e">
        <f t="shared" si="68"/>
        <v>#DIV/0!</v>
      </c>
      <c r="AH293" s="15" t="e">
        <f t="shared" si="69"/>
        <v>#DIV/0!</v>
      </c>
      <c r="AI293" s="15"/>
      <c r="AJ293" s="15">
        <f t="shared" si="70"/>
        <v>1</v>
      </c>
      <c r="AK293" s="15" t="e">
        <f t="shared" si="71"/>
        <v>#DIV/0!</v>
      </c>
      <c r="AL293" s="14">
        <f t="shared" si="72"/>
        <v>0</v>
      </c>
      <c r="AM293" s="14">
        <f t="shared" si="78"/>
        <v>0</v>
      </c>
      <c r="AO293" s="16">
        <f t="shared" si="79"/>
        <v>1</v>
      </c>
      <c r="AP293" s="16" t="e">
        <f t="shared" si="75"/>
        <v>#DIV/0!</v>
      </c>
      <c r="AQ293" s="15">
        <v>1</v>
      </c>
      <c r="AT293" s="15" t="e">
        <f t="shared" si="73"/>
        <v>#DIV/0!</v>
      </c>
      <c r="AZ293" s="16"/>
    </row>
    <row r="294" spans="7:52">
      <c r="G294" s="15" t="e">
        <f t="shared" si="76"/>
        <v>#DIV/0!</v>
      </c>
      <c r="P294" s="15" t="e">
        <f t="shared" si="77"/>
        <v>#DIV/0!</v>
      </c>
      <c r="R294" s="78"/>
      <c r="S294" s="85">
        <v>5</v>
      </c>
      <c r="AA294" s="2">
        <f t="shared" si="67"/>
        <v>1</v>
      </c>
      <c r="AC294" s="15">
        <f t="shared" si="74"/>
        <v>0</v>
      </c>
      <c r="AG294" s="85" t="e">
        <f t="shared" si="68"/>
        <v>#DIV/0!</v>
      </c>
      <c r="AH294" s="15" t="e">
        <f t="shared" si="69"/>
        <v>#DIV/0!</v>
      </c>
      <c r="AI294" s="15"/>
      <c r="AJ294" s="15">
        <f t="shared" si="70"/>
        <v>1</v>
      </c>
      <c r="AK294" s="15" t="e">
        <f t="shared" si="71"/>
        <v>#DIV/0!</v>
      </c>
      <c r="AL294" s="14">
        <f t="shared" si="72"/>
        <v>0</v>
      </c>
      <c r="AM294" s="14">
        <f t="shared" si="78"/>
        <v>0</v>
      </c>
      <c r="AO294" s="16">
        <f t="shared" si="79"/>
        <v>1</v>
      </c>
      <c r="AP294" s="16" t="e">
        <f t="shared" si="75"/>
        <v>#DIV/0!</v>
      </c>
      <c r="AQ294" s="15">
        <v>1</v>
      </c>
      <c r="AT294" s="15" t="e">
        <f t="shared" si="73"/>
        <v>#DIV/0!</v>
      </c>
      <c r="AZ294" s="16"/>
    </row>
    <row r="295" spans="7:52">
      <c r="G295" s="15" t="e">
        <f t="shared" si="76"/>
        <v>#DIV/0!</v>
      </c>
      <c r="P295" s="15" t="e">
        <f t="shared" si="77"/>
        <v>#DIV/0!</v>
      </c>
      <c r="R295" s="78"/>
      <c r="S295" s="85">
        <v>5</v>
      </c>
      <c r="AA295" s="2">
        <f t="shared" si="67"/>
        <v>1</v>
      </c>
      <c r="AC295" s="15">
        <f t="shared" si="74"/>
        <v>0</v>
      </c>
      <c r="AG295" s="85" t="e">
        <f t="shared" si="68"/>
        <v>#DIV/0!</v>
      </c>
      <c r="AH295" s="15" t="e">
        <f t="shared" si="69"/>
        <v>#DIV/0!</v>
      </c>
      <c r="AI295" s="15"/>
      <c r="AJ295" s="15">
        <f t="shared" si="70"/>
        <v>1</v>
      </c>
      <c r="AK295" s="15" t="e">
        <f t="shared" si="71"/>
        <v>#DIV/0!</v>
      </c>
      <c r="AL295" s="14">
        <f t="shared" si="72"/>
        <v>0</v>
      </c>
      <c r="AM295" s="14">
        <f t="shared" si="78"/>
        <v>0</v>
      </c>
      <c r="AO295" s="16">
        <f t="shared" si="79"/>
        <v>1</v>
      </c>
      <c r="AP295" s="16" t="e">
        <f t="shared" si="75"/>
        <v>#DIV/0!</v>
      </c>
      <c r="AQ295" s="15">
        <v>1</v>
      </c>
      <c r="AT295" s="15" t="e">
        <f t="shared" si="73"/>
        <v>#DIV/0!</v>
      </c>
      <c r="AZ295" s="16"/>
    </row>
    <row r="296" spans="7:52">
      <c r="G296" s="15" t="e">
        <f t="shared" si="76"/>
        <v>#DIV/0!</v>
      </c>
      <c r="P296" s="15" t="e">
        <f t="shared" si="77"/>
        <v>#DIV/0!</v>
      </c>
      <c r="R296" s="78"/>
      <c r="S296" s="85">
        <v>5</v>
      </c>
      <c r="AA296" s="2">
        <f t="shared" si="67"/>
        <v>1</v>
      </c>
      <c r="AC296" s="15">
        <f t="shared" si="74"/>
        <v>0</v>
      </c>
      <c r="AG296" s="85" t="e">
        <f t="shared" si="68"/>
        <v>#DIV/0!</v>
      </c>
      <c r="AH296" s="15" t="e">
        <f t="shared" si="69"/>
        <v>#DIV/0!</v>
      </c>
      <c r="AI296" s="15"/>
      <c r="AJ296" s="15">
        <f t="shared" si="70"/>
        <v>1</v>
      </c>
      <c r="AK296" s="15" t="e">
        <f t="shared" si="71"/>
        <v>#DIV/0!</v>
      </c>
      <c r="AL296" s="14">
        <f t="shared" si="72"/>
        <v>0</v>
      </c>
      <c r="AM296" s="14">
        <f t="shared" si="78"/>
        <v>0</v>
      </c>
      <c r="AO296" s="16">
        <f t="shared" si="79"/>
        <v>1</v>
      </c>
      <c r="AP296" s="16" t="e">
        <f t="shared" si="75"/>
        <v>#DIV/0!</v>
      </c>
      <c r="AQ296" s="15">
        <v>1</v>
      </c>
      <c r="AT296" s="15" t="e">
        <f t="shared" si="73"/>
        <v>#DIV/0!</v>
      </c>
      <c r="AZ296" s="16"/>
    </row>
    <row r="297" spans="7:52">
      <c r="G297" s="15" t="e">
        <f t="shared" si="76"/>
        <v>#DIV/0!</v>
      </c>
      <c r="P297" s="15" t="e">
        <f t="shared" si="77"/>
        <v>#DIV/0!</v>
      </c>
      <c r="R297" s="78"/>
      <c r="S297" s="85">
        <v>5</v>
      </c>
      <c r="AA297" s="2">
        <f t="shared" si="67"/>
        <v>1</v>
      </c>
      <c r="AC297" s="15">
        <f t="shared" si="74"/>
        <v>0</v>
      </c>
      <c r="AG297" s="85" t="e">
        <f t="shared" si="68"/>
        <v>#DIV/0!</v>
      </c>
      <c r="AH297" s="15" t="e">
        <f t="shared" si="69"/>
        <v>#DIV/0!</v>
      </c>
      <c r="AI297" s="15"/>
      <c r="AJ297" s="15">
        <f t="shared" si="70"/>
        <v>1</v>
      </c>
      <c r="AK297" s="15" t="e">
        <f t="shared" si="71"/>
        <v>#DIV/0!</v>
      </c>
      <c r="AL297" s="14">
        <f t="shared" si="72"/>
        <v>0</v>
      </c>
      <c r="AM297" s="14">
        <f t="shared" si="78"/>
        <v>0</v>
      </c>
      <c r="AO297" s="16">
        <f t="shared" si="79"/>
        <v>1</v>
      </c>
      <c r="AP297" s="16" t="e">
        <f t="shared" si="75"/>
        <v>#DIV/0!</v>
      </c>
      <c r="AQ297" s="15">
        <v>1</v>
      </c>
      <c r="AT297" s="15" t="e">
        <f t="shared" si="73"/>
        <v>#DIV/0!</v>
      </c>
      <c r="AZ297" s="16"/>
    </row>
    <row r="298" spans="7:52">
      <c r="G298" s="15" t="e">
        <f t="shared" si="76"/>
        <v>#DIV/0!</v>
      </c>
      <c r="P298" s="15" t="e">
        <f t="shared" si="77"/>
        <v>#DIV/0!</v>
      </c>
      <c r="R298" s="78"/>
      <c r="S298" s="85">
        <v>5</v>
      </c>
      <c r="AA298" s="2">
        <f t="shared" si="67"/>
        <v>1</v>
      </c>
      <c r="AC298" s="15">
        <f t="shared" si="74"/>
        <v>0</v>
      </c>
      <c r="AG298" s="85" t="e">
        <f t="shared" si="68"/>
        <v>#DIV/0!</v>
      </c>
      <c r="AH298" s="15" t="e">
        <f t="shared" si="69"/>
        <v>#DIV/0!</v>
      </c>
      <c r="AI298" s="15"/>
      <c r="AJ298" s="15">
        <f t="shared" si="70"/>
        <v>1</v>
      </c>
      <c r="AK298" s="15" t="e">
        <f t="shared" si="71"/>
        <v>#DIV/0!</v>
      </c>
      <c r="AL298" s="14">
        <f t="shared" si="72"/>
        <v>0</v>
      </c>
      <c r="AM298" s="14">
        <f t="shared" si="78"/>
        <v>0</v>
      </c>
      <c r="AO298" s="16">
        <f t="shared" si="79"/>
        <v>1</v>
      </c>
      <c r="AP298" s="16" t="e">
        <f t="shared" si="75"/>
        <v>#DIV/0!</v>
      </c>
      <c r="AQ298" s="15">
        <v>1</v>
      </c>
      <c r="AT298" s="15" t="e">
        <f t="shared" si="73"/>
        <v>#DIV/0!</v>
      </c>
      <c r="AZ298" s="16"/>
    </row>
    <row r="299" spans="7:52">
      <c r="G299" s="15" t="e">
        <f t="shared" si="76"/>
        <v>#DIV/0!</v>
      </c>
      <c r="P299" s="15" t="e">
        <f t="shared" si="77"/>
        <v>#DIV/0!</v>
      </c>
      <c r="R299" s="78"/>
      <c r="S299" s="85">
        <v>5</v>
      </c>
      <c r="AA299" s="2">
        <f t="shared" si="67"/>
        <v>1</v>
      </c>
      <c r="AC299" s="15">
        <f t="shared" si="74"/>
        <v>0</v>
      </c>
      <c r="AG299" s="85" t="e">
        <f t="shared" si="68"/>
        <v>#DIV/0!</v>
      </c>
      <c r="AH299" s="15" t="e">
        <f t="shared" si="69"/>
        <v>#DIV/0!</v>
      </c>
      <c r="AI299" s="15"/>
      <c r="AJ299" s="15">
        <f t="shared" si="70"/>
        <v>1</v>
      </c>
      <c r="AK299" s="15" t="e">
        <f t="shared" si="71"/>
        <v>#DIV/0!</v>
      </c>
      <c r="AL299" s="14">
        <f t="shared" si="72"/>
        <v>0</v>
      </c>
      <c r="AM299" s="14">
        <f t="shared" si="78"/>
        <v>0</v>
      </c>
      <c r="AO299" s="16">
        <f t="shared" si="79"/>
        <v>1</v>
      </c>
      <c r="AP299" s="16" t="e">
        <f t="shared" si="75"/>
        <v>#DIV/0!</v>
      </c>
      <c r="AQ299" s="15">
        <v>1</v>
      </c>
      <c r="AT299" s="15" t="e">
        <f t="shared" si="73"/>
        <v>#DIV/0!</v>
      </c>
      <c r="AZ299" s="16"/>
    </row>
    <row r="300" spans="7:52">
      <c r="G300" s="15" t="e">
        <f t="shared" si="76"/>
        <v>#DIV/0!</v>
      </c>
      <c r="P300" s="15" t="e">
        <f t="shared" si="77"/>
        <v>#DIV/0!</v>
      </c>
      <c r="R300" s="78"/>
      <c r="S300" s="85">
        <v>5</v>
      </c>
      <c r="AA300" s="2">
        <f t="shared" si="67"/>
        <v>1</v>
      </c>
      <c r="AC300" s="15">
        <f t="shared" si="74"/>
        <v>0</v>
      </c>
      <c r="AG300" s="85" t="e">
        <f t="shared" si="68"/>
        <v>#DIV/0!</v>
      </c>
      <c r="AH300" s="15" t="e">
        <f t="shared" si="69"/>
        <v>#DIV/0!</v>
      </c>
      <c r="AI300" s="15"/>
      <c r="AJ300" s="15">
        <f t="shared" si="70"/>
        <v>1</v>
      </c>
      <c r="AK300" s="15" t="e">
        <f t="shared" si="71"/>
        <v>#DIV/0!</v>
      </c>
      <c r="AL300" s="14">
        <f t="shared" si="72"/>
        <v>0</v>
      </c>
      <c r="AM300" s="14">
        <f t="shared" si="78"/>
        <v>0</v>
      </c>
      <c r="AO300" s="16">
        <f t="shared" si="79"/>
        <v>1</v>
      </c>
      <c r="AP300" s="16" t="e">
        <f t="shared" si="75"/>
        <v>#DIV/0!</v>
      </c>
      <c r="AQ300" s="15">
        <v>1</v>
      </c>
      <c r="AT300" s="15" t="e">
        <f t="shared" si="73"/>
        <v>#DIV/0!</v>
      </c>
      <c r="AZ300" s="16"/>
    </row>
    <row r="301" spans="7:52">
      <c r="G301" s="15" t="e">
        <f t="shared" si="76"/>
        <v>#DIV/0!</v>
      </c>
      <c r="P301" s="15" t="e">
        <f t="shared" si="77"/>
        <v>#DIV/0!</v>
      </c>
      <c r="R301" s="78"/>
      <c r="S301" s="85">
        <v>5</v>
      </c>
      <c r="AA301" s="2">
        <f t="shared" si="67"/>
        <v>1</v>
      </c>
      <c r="AC301" s="15">
        <f t="shared" si="74"/>
        <v>0</v>
      </c>
      <c r="AG301" s="85" t="e">
        <f t="shared" si="68"/>
        <v>#DIV/0!</v>
      </c>
      <c r="AH301" s="15" t="e">
        <f t="shared" si="69"/>
        <v>#DIV/0!</v>
      </c>
      <c r="AI301" s="15"/>
      <c r="AJ301" s="15">
        <f t="shared" si="70"/>
        <v>1</v>
      </c>
      <c r="AK301" s="15" t="e">
        <f t="shared" si="71"/>
        <v>#DIV/0!</v>
      </c>
      <c r="AL301" s="14">
        <f t="shared" si="72"/>
        <v>0</v>
      </c>
      <c r="AM301" s="14">
        <f t="shared" si="78"/>
        <v>0</v>
      </c>
      <c r="AO301" s="16">
        <f t="shared" si="79"/>
        <v>1</v>
      </c>
      <c r="AP301" s="16" t="e">
        <f t="shared" si="75"/>
        <v>#DIV/0!</v>
      </c>
      <c r="AQ301" s="15">
        <v>1</v>
      </c>
      <c r="AT301" s="15" t="e">
        <f t="shared" si="73"/>
        <v>#DIV/0!</v>
      </c>
      <c r="AZ301" s="16"/>
    </row>
    <row r="302" spans="7:52">
      <c r="G302" s="15" t="e">
        <f t="shared" si="76"/>
        <v>#DIV/0!</v>
      </c>
      <c r="P302" s="15" t="e">
        <f t="shared" si="77"/>
        <v>#DIV/0!</v>
      </c>
      <c r="R302" s="78"/>
      <c r="S302" s="85">
        <v>5</v>
      </c>
      <c r="AA302" s="2">
        <f t="shared" si="67"/>
        <v>1</v>
      </c>
      <c r="AC302" s="15">
        <f t="shared" si="74"/>
        <v>0</v>
      </c>
      <c r="AG302" s="85" t="e">
        <f t="shared" si="68"/>
        <v>#DIV/0!</v>
      </c>
      <c r="AH302" s="15" t="e">
        <f t="shared" si="69"/>
        <v>#DIV/0!</v>
      </c>
      <c r="AI302" s="15"/>
      <c r="AJ302" s="15">
        <f t="shared" si="70"/>
        <v>1</v>
      </c>
      <c r="AK302" s="15" t="e">
        <f t="shared" si="71"/>
        <v>#DIV/0!</v>
      </c>
      <c r="AL302" s="14">
        <f t="shared" si="72"/>
        <v>0</v>
      </c>
      <c r="AM302" s="14">
        <f t="shared" si="78"/>
        <v>0</v>
      </c>
      <c r="AO302" s="16">
        <f t="shared" si="79"/>
        <v>1</v>
      </c>
      <c r="AP302" s="16" t="e">
        <f t="shared" si="75"/>
        <v>#DIV/0!</v>
      </c>
      <c r="AQ302" s="15">
        <v>1</v>
      </c>
      <c r="AT302" s="15" t="e">
        <f t="shared" si="73"/>
        <v>#DIV/0!</v>
      </c>
      <c r="AZ302" s="16"/>
    </row>
    <row r="303" spans="7:52">
      <c r="G303" s="15" t="e">
        <f t="shared" si="76"/>
        <v>#DIV/0!</v>
      </c>
      <c r="P303" s="15" t="e">
        <f t="shared" si="77"/>
        <v>#DIV/0!</v>
      </c>
      <c r="R303" s="78"/>
      <c r="S303" s="85">
        <v>5</v>
      </c>
      <c r="AA303" s="2">
        <f t="shared" si="67"/>
        <v>1</v>
      </c>
      <c r="AC303" s="15">
        <f t="shared" si="74"/>
        <v>0</v>
      </c>
      <c r="AG303" s="85" t="e">
        <f t="shared" si="68"/>
        <v>#DIV/0!</v>
      </c>
      <c r="AH303" s="15" t="e">
        <f t="shared" si="69"/>
        <v>#DIV/0!</v>
      </c>
      <c r="AI303" s="15"/>
      <c r="AJ303" s="15">
        <f t="shared" si="70"/>
        <v>1</v>
      </c>
      <c r="AK303" s="15" t="e">
        <f t="shared" si="71"/>
        <v>#DIV/0!</v>
      </c>
      <c r="AL303" s="14">
        <f t="shared" si="72"/>
        <v>0</v>
      </c>
      <c r="AM303" s="14">
        <f t="shared" si="78"/>
        <v>0</v>
      </c>
      <c r="AO303" s="16">
        <f t="shared" si="79"/>
        <v>1</v>
      </c>
      <c r="AP303" s="16" t="e">
        <f t="shared" si="75"/>
        <v>#DIV/0!</v>
      </c>
      <c r="AQ303" s="15">
        <v>1</v>
      </c>
      <c r="AT303" s="15" t="e">
        <f t="shared" si="73"/>
        <v>#DIV/0!</v>
      </c>
      <c r="AZ303" s="16"/>
    </row>
    <row r="304" spans="7:52">
      <c r="G304" s="15" t="e">
        <f t="shared" si="76"/>
        <v>#DIV/0!</v>
      </c>
      <c r="P304" s="15" t="e">
        <f t="shared" si="77"/>
        <v>#DIV/0!</v>
      </c>
      <c r="R304" s="78"/>
      <c r="S304" s="85">
        <v>5</v>
      </c>
      <c r="AA304" s="2">
        <f t="shared" si="67"/>
        <v>1</v>
      </c>
      <c r="AC304" s="15">
        <f t="shared" si="74"/>
        <v>0</v>
      </c>
      <c r="AG304" s="85" t="e">
        <f t="shared" si="68"/>
        <v>#DIV/0!</v>
      </c>
      <c r="AH304" s="15" t="e">
        <f t="shared" si="69"/>
        <v>#DIV/0!</v>
      </c>
      <c r="AI304" s="15"/>
      <c r="AJ304" s="15">
        <f t="shared" si="70"/>
        <v>1</v>
      </c>
      <c r="AK304" s="15" t="e">
        <f t="shared" si="71"/>
        <v>#DIV/0!</v>
      </c>
      <c r="AL304" s="14">
        <f t="shared" si="72"/>
        <v>0</v>
      </c>
      <c r="AM304" s="14">
        <f t="shared" si="78"/>
        <v>0</v>
      </c>
      <c r="AO304" s="16">
        <f t="shared" si="79"/>
        <v>1</v>
      </c>
      <c r="AP304" s="16" t="e">
        <f t="shared" si="75"/>
        <v>#DIV/0!</v>
      </c>
      <c r="AQ304" s="15">
        <v>1</v>
      </c>
      <c r="AT304" s="15" t="e">
        <f t="shared" si="73"/>
        <v>#DIV/0!</v>
      </c>
      <c r="AZ304" s="16"/>
    </row>
    <row r="305" spans="7:52">
      <c r="G305" s="15" t="e">
        <f t="shared" si="76"/>
        <v>#DIV/0!</v>
      </c>
      <c r="P305" s="15" t="e">
        <f t="shared" si="77"/>
        <v>#DIV/0!</v>
      </c>
      <c r="R305" s="78"/>
      <c r="S305" s="85">
        <v>5</v>
      </c>
      <c r="AA305" s="2">
        <f t="shared" si="67"/>
        <v>1</v>
      </c>
      <c r="AC305" s="15">
        <f t="shared" si="74"/>
        <v>0</v>
      </c>
      <c r="AG305" s="85" t="e">
        <f t="shared" si="68"/>
        <v>#DIV/0!</v>
      </c>
      <c r="AH305" s="15" t="e">
        <f t="shared" si="69"/>
        <v>#DIV/0!</v>
      </c>
      <c r="AI305" s="15"/>
      <c r="AJ305" s="15">
        <f t="shared" si="70"/>
        <v>1</v>
      </c>
      <c r="AK305" s="15" t="e">
        <f t="shared" si="71"/>
        <v>#DIV/0!</v>
      </c>
      <c r="AL305" s="14">
        <f t="shared" si="72"/>
        <v>0</v>
      </c>
      <c r="AM305" s="14">
        <f t="shared" si="78"/>
        <v>0</v>
      </c>
      <c r="AO305" s="16">
        <f t="shared" si="79"/>
        <v>1</v>
      </c>
      <c r="AP305" s="16" t="e">
        <f t="shared" si="75"/>
        <v>#DIV/0!</v>
      </c>
      <c r="AQ305" s="15">
        <v>1</v>
      </c>
      <c r="AT305" s="15" t="e">
        <f t="shared" si="73"/>
        <v>#DIV/0!</v>
      </c>
      <c r="AZ305" s="16"/>
    </row>
    <row r="306" spans="7:52">
      <c r="G306" s="15" t="e">
        <f t="shared" si="76"/>
        <v>#DIV/0!</v>
      </c>
      <c r="P306" s="15" t="e">
        <f t="shared" si="77"/>
        <v>#DIV/0!</v>
      </c>
      <c r="R306" s="78"/>
      <c r="S306" s="85">
        <v>5</v>
      </c>
      <c r="AA306" s="2">
        <f t="shared" si="67"/>
        <v>1</v>
      </c>
      <c r="AC306" s="15">
        <f t="shared" si="74"/>
        <v>0</v>
      </c>
      <c r="AG306" s="85" t="e">
        <f t="shared" si="68"/>
        <v>#DIV/0!</v>
      </c>
      <c r="AH306" s="15" t="e">
        <f t="shared" si="69"/>
        <v>#DIV/0!</v>
      </c>
      <c r="AI306" s="15"/>
      <c r="AJ306" s="15">
        <f t="shared" si="70"/>
        <v>1</v>
      </c>
      <c r="AK306" s="15" t="e">
        <f t="shared" si="71"/>
        <v>#DIV/0!</v>
      </c>
      <c r="AL306" s="14">
        <f t="shared" si="72"/>
        <v>0</v>
      </c>
      <c r="AM306" s="14">
        <f t="shared" si="78"/>
        <v>0</v>
      </c>
      <c r="AO306" s="16">
        <f t="shared" ref="AO306:AO337" si="80">AN306+1</f>
        <v>1</v>
      </c>
      <c r="AP306" s="16" t="e">
        <f t="shared" si="75"/>
        <v>#DIV/0!</v>
      </c>
      <c r="AQ306" s="15">
        <v>1</v>
      </c>
      <c r="AT306" s="15" t="e">
        <f t="shared" si="73"/>
        <v>#DIV/0!</v>
      </c>
      <c r="AZ306" s="16"/>
    </row>
    <row r="307" spans="7:52">
      <c r="G307" s="15" t="e">
        <f t="shared" si="76"/>
        <v>#DIV/0!</v>
      </c>
      <c r="P307" s="15" t="e">
        <f t="shared" si="77"/>
        <v>#DIV/0!</v>
      </c>
      <c r="R307" s="78"/>
      <c r="S307" s="85">
        <v>5</v>
      </c>
      <c r="AA307" s="2">
        <f t="shared" si="67"/>
        <v>1</v>
      </c>
      <c r="AC307" s="15">
        <f t="shared" si="74"/>
        <v>0</v>
      </c>
      <c r="AG307" s="85" t="e">
        <f t="shared" si="68"/>
        <v>#DIV/0!</v>
      </c>
      <c r="AH307" s="15" t="e">
        <f t="shared" si="69"/>
        <v>#DIV/0!</v>
      </c>
      <c r="AI307" s="15"/>
      <c r="AJ307" s="15">
        <f t="shared" si="70"/>
        <v>1</v>
      </c>
      <c r="AK307" s="15" t="e">
        <f t="shared" si="71"/>
        <v>#DIV/0!</v>
      </c>
      <c r="AL307" s="14">
        <f t="shared" si="72"/>
        <v>0</v>
      </c>
      <c r="AM307" s="14">
        <f t="shared" si="78"/>
        <v>0</v>
      </c>
      <c r="AO307" s="16">
        <f t="shared" si="80"/>
        <v>1</v>
      </c>
      <c r="AP307" s="16" t="e">
        <f t="shared" si="75"/>
        <v>#DIV/0!</v>
      </c>
      <c r="AQ307" s="15">
        <v>1</v>
      </c>
      <c r="AT307" s="15" t="e">
        <f t="shared" si="73"/>
        <v>#DIV/0!</v>
      </c>
      <c r="AZ307" s="16"/>
    </row>
    <row r="308" spans="7:52">
      <c r="G308" s="15" t="e">
        <f t="shared" si="76"/>
        <v>#DIV/0!</v>
      </c>
      <c r="P308" s="15" t="e">
        <f t="shared" si="77"/>
        <v>#DIV/0!</v>
      </c>
      <c r="R308" s="78"/>
      <c r="S308" s="85">
        <v>5</v>
      </c>
      <c r="AA308" s="2">
        <f t="shared" si="67"/>
        <v>1</v>
      </c>
      <c r="AC308" s="15">
        <f t="shared" si="74"/>
        <v>0</v>
      </c>
      <c r="AG308" s="85" t="e">
        <f t="shared" si="68"/>
        <v>#DIV/0!</v>
      </c>
      <c r="AH308" s="15" t="e">
        <f t="shared" si="69"/>
        <v>#DIV/0!</v>
      </c>
      <c r="AI308" s="15"/>
      <c r="AJ308" s="15">
        <f t="shared" si="70"/>
        <v>1</v>
      </c>
      <c r="AK308" s="15" t="e">
        <f t="shared" si="71"/>
        <v>#DIV/0!</v>
      </c>
      <c r="AL308" s="14">
        <f t="shared" si="72"/>
        <v>0</v>
      </c>
      <c r="AM308" s="14">
        <f t="shared" si="78"/>
        <v>0</v>
      </c>
      <c r="AO308" s="16">
        <f t="shared" si="80"/>
        <v>1</v>
      </c>
      <c r="AP308" s="16" t="e">
        <f t="shared" si="75"/>
        <v>#DIV/0!</v>
      </c>
      <c r="AQ308" s="15">
        <v>1</v>
      </c>
      <c r="AT308" s="15" t="e">
        <f t="shared" si="73"/>
        <v>#DIV/0!</v>
      </c>
      <c r="AZ308" s="16"/>
    </row>
    <row r="309" spans="7:52">
      <c r="G309" s="15" t="e">
        <f t="shared" si="76"/>
        <v>#DIV/0!</v>
      </c>
      <c r="P309" s="15" t="e">
        <f t="shared" si="77"/>
        <v>#DIV/0!</v>
      </c>
      <c r="R309" s="78"/>
      <c r="S309" s="85">
        <v>5</v>
      </c>
      <c r="AA309" s="2">
        <f t="shared" si="67"/>
        <v>1</v>
      </c>
      <c r="AC309" s="15">
        <f t="shared" si="74"/>
        <v>0</v>
      </c>
      <c r="AG309" s="85" t="e">
        <f t="shared" si="68"/>
        <v>#DIV/0!</v>
      </c>
      <c r="AH309" s="15" t="e">
        <f t="shared" si="69"/>
        <v>#DIV/0!</v>
      </c>
      <c r="AI309" s="15"/>
      <c r="AJ309" s="15">
        <f t="shared" si="70"/>
        <v>1</v>
      </c>
      <c r="AK309" s="15" t="e">
        <f t="shared" si="71"/>
        <v>#DIV/0!</v>
      </c>
      <c r="AL309" s="14">
        <f t="shared" si="72"/>
        <v>0</v>
      </c>
      <c r="AM309" s="14">
        <f t="shared" si="78"/>
        <v>0</v>
      </c>
      <c r="AO309" s="16">
        <f t="shared" si="80"/>
        <v>1</v>
      </c>
      <c r="AP309" s="16" t="e">
        <f t="shared" si="75"/>
        <v>#DIV/0!</v>
      </c>
      <c r="AQ309" s="15">
        <v>1</v>
      </c>
      <c r="AT309" s="15" t="e">
        <f t="shared" si="73"/>
        <v>#DIV/0!</v>
      </c>
      <c r="AZ309" s="16"/>
    </row>
    <row r="310" spans="7:52">
      <c r="G310" s="15" t="e">
        <f t="shared" si="76"/>
        <v>#DIV/0!</v>
      </c>
      <c r="P310" s="15" t="e">
        <f t="shared" si="77"/>
        <v>#DIV/0!</v>
      </c>
      <c r="R310" s="78"/>
      <c r="S310" s="85">
        <v>5</v>
      </c>
      <c r="AA310" s="2">
        <f t="shared" si="67"/>
        <v>1</v>
      </c>
      <c r="AC310" s="15">
        <f t="shared" si="74"/>
        <v>0</v>
      </c>
      <c r="AG310" s="85" t="e">
        <f t="shared" si="68"/>
        <v>#DIV/0!</v>
      </c>
      <c r="AH310" s="15" t="e">
        <f t="shared" si="69"/>
        <v>#DIV/0!</v>
      </c>
      <c r="AI310" s="15"/>
      <c r="AJ310" s="15">
        <f t="shared" si="70"/>
        <v>1</v>
      </c>
      <c r="AK310" s="15" t="e">
        <f t="shared" si="71"/>
        <v>#DIV/0!</v>
      </c>
      <c r="AL310" s="14">
        <f t="shared" si="72"/>
        <v>0</v>
      </c>
      <c r="AM310" s="14">
        <f t="shared" si="78"/>
        <v>0</v>
      </c>
      <c r="AO310" s="16">
        <f t="shared" si="80"/>
        <v>1</v>
      </c>
      <c r="AP310" s="16" t="e">
        <f t="shared" si="75"/>
        <v>#DIV/0!</v>
      </c>
      <c r="AQ310" s="15">
        <v>1</v>
      </c>
      <c r="AT310" s="15" t="e">
        <f t="shared" si="73"/>
        <v>#DIV/0!</v>
      </c>
      <c r="AZ310" s="16"/>
    </row>
    <row r="311" spans="7:52">
      <c r="G311" s="15" t="e">
        <f t="shared" si="76"/>
        <v>#DIV/0!</v>
      </c>
      <c r="P311" s="15" t="e">
        <f t="shared" si="77"/>
        <v>#DIV/0!</v>
      </c>
      <c r="R311" s="78"/>
      <c r="S311" s="85">
        <v>5</v>
      </c>
      <c r="AA311" s="2">
        <f t="shared" si="67"/>
        <v>1</v>
      </c>
      <c r="AC311" s="15">
        <f t="shared" si="74"/>
        <v>0</v>
      </c>
      <c r="AG311" s="85" t="e">
        <f t="shared" si="68"/>
        <v>#DIV/0!</v>
      </c>
      <c r="AH311" s="15" t="e">
        <f t="shared" si="69"/>
        <v>#DIV/0!</v>
      </c>
      <c r="AI311" s="15"/>
      <c r="AJ311" s="15">
        <f t="shared" si="70"/>
        <v>1</v>
      </c>
      <c r="AK311" s="15" t="e">
        <f t="shared" si="71"/>
        <v>#DIV/0!</v>
      </c>
      <c r="AL311" s="14">
        <f t="shared" si="72"/>
        <v>0</v>
      </c>
      <c r="AM311" s="14">
        <f t="shared" si="78"/>
        <v>0</v>
      </c>
      <c r="AO311" s="16">
        <f t="shared" si="80"/>
        <v>1</v>
      </c>
      <c r="AP311" s="16" t="e">
        <f t="shared" si="75"/>
        <v>#DIV/0!</v>
      </c>
      <c r="AQ311" s="15">
        <v>1</v>
      </c>
      <c r="AT311" s="15" t="e">
        <f t="shared" si="73"/>
        <v>#DIV/0!</v>
      </c>
      <c r="AZ311" s="16"/>
    </row>
    <row r="312" spans="7:52">
      <c r="G312" s="15" t="e">
        <f t="shared" si="76"/>
        <v>#DIV/0!</v>
      </c>
      <c r="P312" s="15" t="e">
        <f t="shared" si="77"/>
        <v>#DIV/0!</v>
      </c>
      <c r="R312" s="78"/>
      <c r="S312" s="85">
        <v>5</v>
      </c>
      <c r="AA312" s="2">
        <f t="shared" si="67"/>
        <v>1</v>
      </c>
      <c r="AC312" s="15">
        <f t="shared" si="74"/>
        <v>0</v>
      </c>
      <c r="AG312" s="85" t="e">
        <f t="shared" si="68"/>
        <v>#DIV/0!</v>
      </c>
      <c r="AH312" s="15" t="e">
        <f t="shared" si="69"/>
        <v>#DIV/0!</v>
      </c>
      <c r="AI312" s="15"/>
      <c r="AJ312" s="15">
        <f t="shared" si="70"/>
        <v>1</v>
      </c>
      <c r="AK312" s="15" t="e">
        <f t="shared" si="71"/>
        <v>#DIV/0!</v>
      </c>
      <c r="AL312" s="14">
        <f t="shared" si="72"/>
        <v>0</v>
      </c>
      <c r="AM312" s="14">
        <f t="shared" si="78"/>
        <v>0</v>
      </c>
      <c r="AO312" s="16">
        <f t="shared" si="80"/>
        <v>1</v>
      </c>
      <c r="AP312" s="16" t="e">
        <f t="shared" si="75"/>
        <v>#DIV/0!</v>
      </c>
      <c r="AQ312" s="15">
        <v>1</v>
      </c>
      <c r="AT312" s="15" t="e">
        <f t="shared" si="73"/>
        <v>#DIV/0!</v>
      </c>
      <c r="AZ312" s="16"/>
    </row>
    <row r="313" spans="7:52">
      <c r="G313" s="15" t="e">
        <f t="shared" si="76"/>
        <v>#DIV/0!</v>
      </c>
      <c r="P313" s="15" t="e">
        <f t="shared" si="77"/>
        <v>#DIV/0!</v>
      </c>
      <c r="R313" s="78"/>
      <c r="S313" s="85">
        <v>5</v>
      </c>
      <c r="AA313" s="2">
        <f t="shared" si="67"/>
        <v>1</v>
      </c>
      <c r="AC313" s="15">
        <f t="shared" si="74"/>
        <v>0</v>
      </c>
      <c r="AG313" s="85" t="e">
        <f t="shared" si="68"/>
        <v>#DIV/0!</v>
      </c>
      <c r="AH313" s="15" t="e">
        <f t="shared" si="69"/>
        <v>#DIV/0!</v>
      </c>
      <c r="AI313" s="15"/>
      <c r="AJ313" s="15">
        <f t="shared" si="70"/>
        <v>1</v>
      </c>
      <c r="AK313" s="15" t="e">
        <f t="shared" si="71"/>
        <v>#DIV/0!</v>
      </c>
      <c r="AL313" s="14">
        <f t="shared" si="72"/>
        <v>0</v>
      </c>
      <c r="AM313" s="14">
        <f t="shared" si="78"/>
        <v>0</v>
      </c>
      <c r="AO313" s="16">
        <f t="shared" si="80"/>
        <v>1</v>
      </c>
      <c r="AP313" s="16" t="e">
        <f t="shared" si="75"/>
        <v>#DIV/0!</v>
      </c>
      <c r="AQ313" s="15">
        <v>1</v>
      </c>
      <c r="AT313" s="15" t="e">
        <f t="shared" si="73"/>
        <v>#DIV/0!</v>
      </c>
      <c r="AZ313" s="16"/>
    </row>
    <row r="314" spans="7:52">
      <c r="G314" s="15" t="e">
        <f t="shared" si="76"/>
        <v>#DIV/0!</v>
      </c>
      <c r="P314" s="15" t="e">
        <f t="shared" si="77"/>
        <v>#DIV/0!</v>
      </c>
      <c r="R314" s="78"/>
      <c r="S314" s="85">
        <v>5</v>
      </c>
      <c r="AA314" s="2">
        <f t="shared" si="67"/>
        <v>1</v>
      </c>
      <c r="AC314" s="15">
        <f t="shared" si="74"/>
        <v>0</v>
      </c>
      <c r="AG314" s="85" t="e">
        <f t="shared" si="68"/>
        <v>#DIV/0!</v>
      </c>
      <c r="AH314" s="15" t="e">
        <f t="shared" si="69"/>
        <v>#DIV/0!</v>
      </c>
      <c r="AI314" s="15"/>
      <c r="AJ314" s="15">
        <f t="shared" si="70"/>
        <v>1</v>
      </c>
      <c r="AK314" s="15" t="e">
        <f t="shared" si="71"/>
        <v>#DIV/0!</v>
      </c>
      <c r="AL314" s="14">
        <f t="shared" si="72"/>
        <v>0</v>
      </c>
      <c r="AM314" s="14">
        <f t="shared" si="78"/>
        <v>0</v>
      </c>
      <c r="AO314" s="16">
        <f t="shared" si="80"/>
        <v>1</v>
      </c>
      <c r="AP314" s="16" t="e">
        <f t="shared" si="75"/>
        <v>#DIV/0!</v>
      </c>
      <c r="AQ314" s="15">
        <v>1</v>
      </c>
      <c r="AT314" s="15" t="e">
        <f t="shared" si="73"/>
        <v>#DIV/0!</v>
      </c>
      <c r="AZ314" s="16"/>
    </row>
    <row r="315" spans="7:52">
      <c r="G315" s="15" t="e">
        <f t="shared" si="76"/>
        <v>#DIV/0!</v>
      </c>
      <c r="P315" s="15" t="e">
        <f t="shared" si="77"/>
        <v>#DIV/0!</v>
      </c>
      <c r="R315" s="78"/>
      <c r="S315" s="85">
        <v>5</v>
      </c>
      <c r="AA315" s="2">
        <f t="shared" si="67"/>
        <v>1</v>
      </c>
      <c r="AC315" s="15">
        <f t="shared" ref="AC315:AC339" si="81">IF(AB315&gt;9,1,0)+AB315/3</f>
        <v>0</v>
      </c>
      <c r="AG315" s="85" t="e">
        <f t="shared" si="68"/>
        <v>#DIV/0!</v>
      </c>
      <c r="AH315" s="15" t="e">
        <f t="shared" si="69"/>
        <v>#DIV/0!</v>
      </c>
      <c r="AI315" s="15"/>
      <c r="AJ315" s="15">
        <f t="shared" si="70"/>
        <v>1</v>
      </c>
      <c r="AK315" s="15" t="e">
        <f t="shared" si="71"/>
        <v>#DIV/0!</v>
      </c>
      <c r="AL315" s="14">
        <f t="shared" si="72"/>
        <v>0</v>
      </c>
      <c r="AM315" s="14">
        <f t="shared" si="78"/>
        <v>0</v>
      </c>
      <c r="AO315" s="16">
        <f t="shared" si="80"/>
        <v>1</v>
      </c>
      <c r="AP315" s="16" t="e">
        <f t="shared" si="75"/>
        <v>#DIV/0!</v>
      </c>
      <c r="AQ315" s="15">
        <v>1</v>
      </c>
      <c r="AT315" s="15" t="e">
        <f t="shared" si="73"/>
        <v>#DIV/0!</v>
      </c>
      <c r="AZ315" s="16"/>
    </row>
    <row r="316" spans="7:52">
      <c r="G316" s="15" t="e">
        <f t="shared" si="76"/>
        <v>#DIV/0!</v>
      </c>
      <c r="P316" s="15" t="e">
        <f t="shared" si="77"/>
        <v>#DIV/0!</v>
      </c>
      <c r="R316" s="78"/>
      <c r="S316" s="85">
        <v>5</v>
      </c>
      <c r="AA316" s="2">
        <f t="shared" si="67"/>
        <v>1</v>
      </c>
      <c r="AC316" s="15">
        <f t="shared" si="81"/>
        <v>0</v>
      </c>
      <c r="AG316" s="85" t="e">
        <f t="shared" si="68"/>
        <v>#DIV/0!</v>
      </c>
      <c r="AH316" s="15" t="e">
        <f t="shared" si="69"/>
        <v>#DIV/0!</v>
      </c>
      <c r="AI316" s="15"/>
      <c r="AJ316" s="15">
        <f t="shared" si="70"/>
        <v>1</v>
      </c>
      <c r="AK316" s="15" t="e">
        <f t="shared" si="71"/>
        <v>#DIV/0!</v>
      </c>
      <c r="AL316" s="14">
        <f t="shared" si="72"/>
        <v>0</v>
      </c>
      <c r="AM316" s="14">
        <f t="shared" si="78"/>
        <v>0</v>
      </c>
      <c r="AO316" s="16">
        <f t="shared" si="80"/>
        <v>1</v>
      </c>
      <c r="AP316" s="16" t="e">
        <f t="shared" si="75"/>
        <v>#DIV/0!</v>
      </c>
      <c r="AQ316" s="15">
        <v>1</v>
      </c>
      <c r="AT316" s="15" t="e">
        <f t="shared" si="73"/>
        <v>#DIV/0!</v>
      </c>
      <c r="AZ316" s="16"/>
    </row>
    <row r="317" spans="7:52">
      <c r="G317" s="15" t="e">
        <f t="shared" si="76"/>
        <v>#DIV/0!</v>
      </c>
      <c r="P317" s="15" t="e">
        <f t="shared" si="77"/>
        <v>#DIV/0!</v>
      </c>
      <c r="R317" s="78"/>
      <c r="S317" s="85">
        <v>5</v>
      </c>
      <c r="AA317" s="2">
        <f t="shared" si="67"/>
        <v>1</v>
      </c>
      <c r="AC317" s="15">
        <f t="shared" si="81"/>
        <v>0</v>
      </c>
      <c r="AG317" s="85" t="e">
        <f t="shared" si="68"/>
        <v>#DIV/0!</v>
      </c>
      <c r="AH317" s="15" t="e">
        <f t="shared" si="69"/>
        <v>#DIV/0!</v>
      </c>
      <c r="AI317" s="15"/>
      <c r="AJ317" s="15">
        <f t="shared" si="70"/>
        <v>1</v>
      </c>
      <c r="AK317" s="15" t="e">
        <f t="shared" si="71"/>
        <v>#DIV/0!</v>
      </c>
      <c r="AL317" s="14">
        <f t="shared" si="72"/>
        <v>0</v>
      </c>
      <c r="AM317" s="14">
        <f t="shared" si="78"/>
        <v>0</v>
      </c>
      <c r="AO317" s="16">
        <f t="shared" si="80"/>
        <v>1</v>
      </c>
      <c r="AP317" s="16" t="e">
        <f t="shared" si="75"/>
        <v>#DIV/0!</v>
      </c>
      <c r="AQ317" s="15">
        <v>1</v>
      </c>
      <c r="AT317" s="15" t="e">
        <f t="shared" si="73"/>
        <v>#DIV/0!</v>
      </c>
      <c r="AZ317" s="16"/>
    </row>
    <row r="318" spans="7:52">
      <c r="G318" s="15" t="e">
        <f t="shared" si="76"/>
        <v>#DIV/0!</v>
      </c>
      <c r="P318" s="15" t="e">
        <f t="shared" si="77"/>
        <v>#DIV/0!</v>
      </c>
      <c r="R318" s="78"/>
      <c r="S318" s="85">
        <v>5</v>
      </c>
      <c r="AA318" s="2">
        <f t="shared" si="67"/>
        <v>1</v>
      </c>
      <c r="AC318" s="15">
        <f t="shared" si="81"/>
        <v>0</v>
      </c>
      <c r="AG318" s="85" t="e">
        <f t="shared" si="68"/>
        <v>#DIV/0!</v>
      </c>
      <c r="AH318" s="15" t="e">
        <f t="shared" si="69"/>
        <v>#DIV/0!</v>
      </c>
      <c r="AI318" s="15"/>
      <c r="AJ318" s="15">
        <f t="shared" si="70"/>
        <v>1</v>
      </c>
      <c r="AK318" s="15" t="e">
        <f t="shared" si="71"/>
        <v>#DIV/0!</v>
      </c>
      <c r="AL318" s="14">
        <f t="shared" si="72"/>
        <v>0</v>
      </c>
      <c r="AM318" s="14">
        <f t="shared" si="78"/>
        <v>0</v>
      </c>
      <c r="AO318" s="16">
        <f t="shared" si="80"/>
        <v>1</v>
      </c>
      <c r="AP318" s="16" t="e">
        <f t="shared" si="75"/>
        <v>#DIV/0!</v>
      </c>
      <c r="AQ318" s="15">
        <v>1</v>
      </c>
      <c r="AT318" s="15" t="e">
        <f t="shared" si="73"/>
        <v>#DIV/0!</v>
      </c>
      <c r="AZ318" s="16"/>
    </row>
    <row r="319" spans="7:52">
      <c r="G319" s="15" t="e">
        <f t="shared" si="76"/>
        <v>#DIV/0!</v>
      </c>
      <c r="P319" s="15" t="e">
        <f t="shared" si="77"/>
        <v>#DIV/0!</v>
      </c>
      <c r="R319" s="78"/>
      <c r="S319" s="85">
        <v>5</v>
      </c>
      <c r="AA319" s="2">
        <f t="shared" si="67"/>
        <v>1</v>
      </c>
      <c r="AC319" s="15">
        <f t="shared" si="81"/>
        <v>0</v>
      </c>
      <c r="AG319" s="85" t="e">
        <f t="shared" si="68"/>
        <v>#DIV/0!</v>
      </c>
      <c r="AH319" s="15" t="e">
        <f t="shared" si="69"/>
        <v>#DIV/0!</v>
      </c>
      <c r="AI319" s="15"/>
      <c r="AJ319" s="15">
        <f t="shared" si="70"/>
        <v>1</v>
      </c>
      <c r="AK319" s="15" t="e">
        <f t="shared" si="71"/>
        <v>#DIV/0!</v>
      </c>
      <c r="AL319" s="14">
        <f t="shared" si="72"/>
        <v>0</v>
      </c>
      <c r="AM319" s="14">
        <f t="shared" si="78"/>
        <v>0</v>
      </c>
      <c r="AO319" s="16">
        <f t="shared" si="80"/>
        <v>1</v>
      </c>
      <c r="AP319" s="16" t="e">
        <f t="shared" si="75"/>
        <v>#DIV/0!</v>
      </c>
      <c r="AQ319" s="15">
        <v>1</v>
      </c>
      <c r="AT319" s="15" t="e">
        <f t="shared" si="73"/>
        <v>#DIV/0!</v>
      </c>
      <c r="AZ319" s="16"/>
    </row>
    <row r="320" spans="7:52">
      <c r="G320" s="15" t="e">
        <f t="shared" si="76"/>
        <v>#DIV/0!</v>
      </c>
      <c r="P320" s="15" t="e">
        <f t="shared" si="77"/>
        <v>#DIV/0!</v>
      </c>
      <c r="R320" s="78"/>
      <c r="S320" s="85">
        <v>5</v>
      </c>
      <c r="AA320" s="2">
        <f t="shared" si="67"/>
        <v>1</v>
      </c>
      <c r="AC320" s="15">
        <f t="shared" si="81"/>
        <v>0</v>
      </c>
      <c r="AG320" s="85" t="e">
        <f t="shared" si="68"/>
        <v>#DIV/0!</v>
      </c>
      <c r="AH320" s="15" t="e">
        <f t="shared" si="69"/>
        <v>#DIV/0!</v>
      </c>
      <c r="AI320" s="15"/>
      <c r="AJ320" s="15">
        <f t="shared" si="70"/>
        <v>1</v>
      </c>
      <c r="AK320" s="15" t="e">
        <f t="shared" si="71"/>
        <v>#DIV/0!</v>
      </c>
      <c r="AL320" s="14">
        <f t="shared" si="72"/>
        <v>0</v>
      </c>
      <c r="AM320" s="14">
        <f t="shared" si="78"/>
        <v>0</v>
      </c>
      <c r="AO320" s="16">
        <f t="shared" si="80"/>
        <v>1</v>
      </c>
      <c r="AP320" s="16" t="e">
        <f t="shared" si="75"/>
        <v>#DIV/0!</v>
      </c>
      <c r="AQ320" s="15">
        <v>1</v>
      </c>
      <c r="AT320" s="15" t="e">
        <f t="shared" si="73"/>
        <v>#DIV/0!</v>
      </c>
      <c r="AZ320" s="16"/>
    </row>
    <row r="321" spans="7:52">
      <c r="G321" s="15" t="e">
        <f t="shared" si="76"/>
        <v>#DIV/0!</v>
      </c>
      <c r="P321" s="15" t="e">
        <f t="shared" si="77"/>
        <v>#DIV/0!</v>
      </c>
      <c r="R321" s="78"/>
      <c r="S321" s="85">
        <v>5</v>
      </c>
      <c r="AA321" s="2">
        <f t="shared" ref="AA321:AA384" si="82">IF(X321&lt;50,IF(Y321&gt;(2.3*X321),0,1),1)-IF(Z321&gt;Y321,1.7,0)</f>
        <v>1</v>
      </c>
      <c r="AC321" s="15">
        <f t="shared" si="81"/>
        <v>0</v>
      </c>
      <c r="AG321" s="85" t="e">
        <f t="shared" ref="AG321:AG384" si="83"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>#DIV/0!</v>
      </c>
      <c r="AH321" s="15" t="e">
        <f t="shared" ref="AH321:AH384" si="84">AG321+IF(X321&lt;1.35,0,1)+IF(Y321&lt;1.35,0,1)+AC321+AA321</f>
        <v>#DIV/0!</v>
      </c>
      <c r="AI321" s="15"/>
      <c r="AJ321" s="15">
        <f t="shared" ref="AJ321:AJ384" si="85">IF(AI321&gt;12.7,IF(AI321&gt;15.8,0.93,0.98),1)</f>
        <v>1</v>
      </c>
      <c r="AK321" s="15" t="e">
        <f t="shared" ref="AK321:AK384" si="86">(1.2*AG321+AH321)*AJ321*AQ321</f>
        <v>#DIV/0!</v>
      </c>
      <c r="AL321" s="14">
        <f t="shared" ref="AL321:AL384" si="87">D321</f>
        <v>0</v>
      </c>
      <c r="AM321" s="14">
        <f t="shared" si="78"/>
        <v>0</v>
      </c>
      <c r="AO321" s="16">
        <f t="shared" si="80"/>
        <v>1</v>
      </c>
      <c r="AP321" s="16" t="e">
        <f t="shared" si="75"/>
        <v>#DIV/0!</v>
      </c>
      <c r="AQ321" s="15">
        <v>1</v>
      </c>
      <c r="AT321" s="15" t="e">
        <f t="shared" ref="AT321:AT376" si="88">100*(AK321-AQ321)/AQ321</f>
        <v>#DIV/0!</v>
      </c>
      <c r="AZ321" s="16"/>
    </row>
    <row r="322" spans="7:52">
      <c r="G322" s="15" t="e">
        <f t="shared" si="76"/>
        <v>#DIV/0!</v>
      </c>
      <c r="P322" s="15" t="e">
        <f t="shared" si="77"/>
        <v>#DIV/0!</v>
      </c>
      <c r="R322" s="78"/>
      <c r="S322" s="85">
        <v>5</v>
      </c>
      <c r="AA322" s="2">
        <f t="shared" si="82"/>
        <v>1</v>
      </c>
      <c r="AC322" s="15">
        <f t="shared" si="81"/>
        <v>0</v>
      </c>
      <c r="AG322" s="85" t="e">
        <f t="shared" si="83"/>
        <v>#DIV/0!</v>
      </c>
      <c r="AH322" s="15" t="e">
        <f t="shared" si="84"/>
        <v>#DIV/0!</v>
      </c>
      <c r="AI322" s="15"/>
      <c r="AJ322" s="15">
        <f t="shared" si="85"/>
        <v>1</v>
      </c>
      <c r="AK322" s="15" t="e">
        <f t="shared" si="86"/>
        <v>#DIV/0!</v>
      </c>
      <c r="AL322" s="14">
        <f t="shared" si="87"/>
        <v>0</v>
      </c>
      <c r="AM322" s="14">
        <f t="shared" si="78"/>
        <v>0</v>
      </c>
      <c r="AO322" s="16">
        <f t="shared" si="80"/>
        <v>1</v>
      </c>
      <c r="AP322" s="16" t="e">
        <f t="shared" si="75"/>
        <v>#DIV/0!</v>
      </c>
      <c r="AQ322" s="15">
        <v>1</v>
      </c>
      <c r="AT322" s="15" t="e">
        <f t="shared" si="88"/>
        <v>#DIV/0!</v>
      </c>
      <c r="AZ322" s="16"/>
    </row>
    <row r="323" spans="7:52">
      <c r="G323" s="15" t="e">
        <f t="shared" si="76"/>
        <v>#DIV/0!</v>
      </c>
      <c r="P323" s="15" t="e">
        <f t="shared" si="77"/>
        <v>#DIV/0!</v>
      </c>
      <c r="R323" s="78"/>
      <c r="S323" s="85">
        <v>5</v>
      </c>
      <c r="AA323" s="2">
        <f t="shared" si="82"/>
        <v>1</v>
      </c>
      <c r="AC323" s="15">
        <f t="shared" si="81"/>
        <v>0</v>
      </c>
      <c r="AG323" s="85" t="e">
        <f t="shared" si="83"/>
        <v>#DIV/0!</v>
      </c>
      <c r="AH323" s="15" t="e">
        <f t="shared" si="84"/>
        <v>#DIV/0!</v>
      </c>
      <c r="AI323" s="15"/>
      <c r="AJ323" s="15">
        <f t="shared" si="85"/>
        <v>1</v>
      </c>
      <c r="AK323" s="15" t="e">
        <f t="shared" si="86"/>
        <v>#DIV/0!</v>
      </c>
      <c r="AL323" s="14">
        <f t="shared" si="87"/>
        <v>0</v>
      </c>
      <c r="AM323" s="14">
        <f t="shared" si="78"/>
        <v>0</v>
      </c>
      <c r="AO323" s="16">
        <f t="shared" si="80"/>
        <v>1</v>
      </c>
      <c r="AP323" s="16" t="e">
        <f t="shared" si="75"/>
        <v>#DIV/0!</v>
      </c>
      <c r="AQ323" s="15">
        <v>1</v>
      </c>
      <c r="AT323" s="15" t="e">
        <f t="shared" si="88"/>
        <v>#DIV/0!</v>
      </c>
      <c r="AZ323" s="16"/>
    </row>
    <row r="324" spans="7:52">
      <c r="G324" s="15" t="e">
        <f t="shared" si="76"/>
        <v>#DIV/0!</v>
      </c>
      <c r="P324" s="15" t="e">
        <f t="shared" si="77"/>
        <v>#DIV/0!</v>
      </c>
      <c r="R324" s="78"/>
      <c r="S324" s="85">
        <v>5</v>
      </c>
      <c r="AA324" s="2">
        <f t="shared" si="82"/>
        <v>1</v>
      </c>
      <c r="AC324" s="15">
        <f t="shared" si="81"/>
        <v>0</v>
      </c>
      <c r="AG324" s="85" t="e">
        <f t="shared" si="83"/>
        <v>#DIV/0!</v>
      </c>
      <c r="AH324" s="15" t="e">
        <f t="shared" si="84"/>
        <v>#DIV/0!</v>
      </c>
      <c r="AI324" s="15"/>
      <c r="AJ324" s="15">
        <f t="shared" si="85"/>
        <v>1</v>
      </c>
      <c r="AK324" s="15" t="e">
        <f t="shared" si="86"/>
        <v>#DIV/0!</v>
      </c>
      <c r="AL324" s="14">
        <f t="shared" si="87"/>
        <v>0</v>
      </c>
      <c r="AM324" s="14">
        <f t="shared" si="78"/>
        <v>0</v>
      </c>
      <c r="AO324" s="16">
        <f t="shared" si="80"/>
        <v>1</v>
      </c>
      <c r="AP324" s="16" t="e">
        <f t="shared" si="75"/>
        <v>#DIV/0!</v>
      </c>
      <c r="AQ324" s="15">
        <v>1</v>
      </c>
      <c r="AT324" s="15" t="e">
        <f t="shared" si="88"/>
        <v>#DIV/0!</v>
      </c>
      <c r="AZ324" s="16"/>
    </row>
    <row r="325" spans="7:52">
      <c r="G325" s="15" t="e">
        <f t="shared" si="76"/>
        <v>#DIV/0!</v>
      </c>
      <c r="P325" s="15" t="e">
        <f t="shared" si="77"/>
        <v>#DIV/0!</v>
      </c>
      <c r="R325" s="78"/>
      <c r="S325" s="85">
        <v>5</v>
      </c>
      <c r="AA325" s="2">
        <f t="shared" si="82"/>
        <v>1</v>
      </c>
      <c r="AC325" s="15">
        <f t="shared" si="81"/>
        <v>0</v>
      </c>
      <c r="AG325" s="85" t="e">
        <f t="shared" si="83"/>
        <v>#DIV/0!</v>
      </c>
      <c r="AH325" s="15" t="e">
        <f t="shared" si="84"/>
        <v>#DIV/0!</v>
      </c>
      <c r="AI325" s="15"/>
      <c r="AJ325" s="15">
        <f t="shared" si="85"/>
        <v>1</v>
      </c>
      <c r="AK325" s="15" t="e">
        <f t="shared" si="86"/>
        <v>#DIV/0!</v>
      </c>
      <c r="AL325" s="14">
        <f t="shared" si="87"/>
        <v>0</v>
      </c>
      <c r="AM325" s="14">
        <f t="shared" si="78"/>
        <v>0</v>
      </c>
      <c r="AO325" s="16">
        <f t="shared" si="80"/>
        <v>1</v>
      </c>
      <c r="AP325" s="16" t="e">
        <f t="shared" si="75"/>
        <v>#DIV/0!</v>
      </c>
      <c r="AQ325" s="15">
        <v>1</v>
      </c>
      <c r="AT325" s="15" t="e">
        <f t="shared" si="88"/>
        <v>#DIV/0!</v>
      </c>
      <c r="AZ325" s="16"/>
    </row>
    <row r="326" spans="7:52">
      <c r="G326" s="15" t="e">
        <f t="shared" si="76"/>
        <v>#DIV/0!</v>
      </c>
      <c r="P326" s="15" t="e">
        <f t="shared" si="77"/>
        <v>#DIV/0!</v>
      </c>
      <c r="R326" s="78"/>
      <c r="S326" s="85">
        <v>5</v>
      </c>
      <c r="AA326" s="2">
        <f t="shared" si="82"/>
        <v>1</v>
      </c>
      <c r="AC326" s="15">
        <f t="shared" si="81"/>
        <v>0</v>
      </c>
      <c r="AG326" s="85" t="e">
        <f t="shared" si="83"/>
        <v>#DIV/0!</v>
      </c>
      <c r="AH326" s="15" t="e">
        <f t="shared" si="84"/>
        <v>#DIV/0!</v>
      </c>
      <c r="AI326" s="15"/>
      <c r="AJ326" s="15">
        <f t="shared" si="85"/>
        <v>1</v>
      </c>
      <c r="AK326" s="15" t="e">
        <f t="shared" si="86"/>
        <v>#DIV/0!</v>
      </c>
      <c r="AL326" s="14">
        <f t="shared" si="87"/>
        <v>0</v>
      </c>
      <c r="AM326" s="14">
        <f t="shared" si="78"/>
        <v>0</v>
      </c>
      <c r="AO326" s="16">
        <f t="shared" si="80"/>
        <v>1</v>
      </c>
      <c r="AP326" s="16" t="e">
        <f t="shared" si="75"/>
        <v>#DIV/0!</v>
      </c>
      <c r="AQ326" s="15">
        <v>1</v>
      </c>
      <c r="AT326" s="15" t="e">
        <f t="shared" si="88"/>
        <v>#DIV/0!</v>
      </c>
      <c r="AZ326" s="16"/>
    </row>
    <row r="327" spans="7:52">
      <c r="G327" s="15" t="e">
        <f t="shared" si="76"/>
        <v>#DIV/0!</v>
      </c>
      <c r="P327" s="15" t="e">
        <f t="shared" si="77"/>
        <v>#DIV/0!</v>
      </c>
      <c r="R327" s="78"/>
      <c r="S327" s="85">
        <v>5</v>
      </c>
      <c r="AA327" s="2">
        <f t="shared" si="82"/>
        <v>1</v>
      </c>
      <c r="AC327" s="15">
        <f t="shared" si="81"/>
        <v>0</v>
      </c>
      <c r="AG327" s="85" t="e">
        <f t="shared" si="83"/>
        <v>#DIV/0!</v>
      </c>
      <c r="AH327" s="15" t="e">
        <f t="shared" si="84"/>
        <v>#DIV/0!</v>
      </c>
      <c r="AI327" s="15"/>
      <c r="AJ327" s="15">
        <f t="shared" si="85"/>
        <v>1</v>
      </c>
      <c r="AK327" s="15" t="e">
        <f t="shared" si="86"/>
        <v>#DIV/0!</v>
      </c>
      <c r="AL327" s="14">
        <f t="shared" si="87"/>
        <v>0</v>
      </c>
      <c r="AM327" s="14">
        <f t="shared" si="78"/>
        <v>0</v>
      </c>
      <c r="AP327" s="16" t="e">
        <f t="shared" si="75"/>
        <v>#DIV/0!</v>
      </c>
      <c r="AQ327" s="15">
        <v>1</v>
      </c>
      <c r="AT327" s="15" t="e">
        <f t="shared" si="88"/>
        <v>#DIV/0!</v>
      </c>
      <c r="AZ327" s="16"/>
    </row>
    <row r="328" spans="7:52">
      <c r="G328" s="15" t="e">
        <f t="shared" si="76"/>
        <v>#DIV/0!</v>
      </c>
      <c r="P328" s="15" t="e">
        <f t="shared" si="77"/>
        <v>#DIV/0!</v>
      </c>
      <c r="R328" s="78"/>
      <c r="S328" s="85">
        <v>5</v>
      </c>
      <c r="AA328" s="2">
        <f t="shared" si="82"/>
        <v>1</v>
      </c>
      <c r="AC328" s="15">
        <f t="shared" si="81"/>
        <v>0</v>
      </c>
      <c r="AG328" s="85" t="e">
        <f t="shared" si="83"/>
        <v>#DIV/0!</v>
      </c>
      <c r="AH328" s="15" t="e">
        <f t="shared" si="84"/>
        <v>#DIV/0!</v>
      </c>
      <c r="AI328" s="15"/>
      <c r="AJ328" s="15">
        <f t="shared" si="85"/>
        <v>1</v>
      </c>
      <c r="AK328" s="15" t="e">
        <f t="shared" si="86"/>
        <v>#DIV/0!</v>
      </c>
      <c r="AL328" s="14">
        <f t="shared" si="87"/>
        <v>0</v>
      </c>
      <c r="AM328" s="14">
        <f t="shared" si="78"/>
        <v>0</v>
      </c>
      <c r="AP328" s="16" t="e">
        <f t="shared" si="75"/>
        <v>#DIV/0!</v>
      </c>
      <c r="AQ328" s="15">
        <v>1</v>
      </c>
      <c r="AT328" s="15" t="e">
        <f t="shared" si="88"/>
        <v>#DIV/0!</v>
      </c>
      <c r="AZ328" s="16"/>
    </row>
    <row r="329" spans="7:52">
      <c r="G329" s="15" t="e">
        <f t="shared" si="76"/>
        <v>#DIV/0!</v>
      </c>
      <c r="P329" s="15" t="e">
        <f t="shared" si="77"/>
        <v>#DIV/0!</v>
      </c>
      <c r="R329" s="78"/>
      <c r="S329" s="85">
        <v>5</v>
      </c>
      <c r="AA329" s="2">
        <f t="shared" si="82"/>
        <v>1</v>
      </c>
      <c r="AC329" s="15">
        <f t="shared" si="81"/>
        <v>0</v>
      </c>
      <c r="AG329" s="85" t="e">
        <f t="shared" si="83"/>
        <v>#DIV/0!</v>
      </c>
      <c r="AH329" s="15" t="e">
        <f t="shared" si="84"/>
        <v>#DIV/0!</v>
      </c>
      <c r="AI329" s="15"/>
      <c r="AJ329" s="15">
        <f t="shared" si="85"/>
        <v>1</v>
      </c>
      <c r="AK329" s="15" t="e">
        <f t="shared" si="86"/>
        <v>#DIV/0!</v>
      </c>
      <c r="AL329" s="14">
        <f t="shared" si="87"/>
        <v>0</v>
      </c>
      <c r="AM329" s="14">
        <f t="shared" si="78"/>
        <v>0</v>
      </c>
      <c r="AP329" s="16" t="e">
        <f t="shared" si="75"/>
        <v>#DIV/0!</v>
      </c>
      <c r="AQ329" s="15">
        <v>1</v>
      </c>
      <c r="AT329" s="15" t="e">
        <f t="shared" si="88"/>
        <v>#DIV/0!</v>
      </c>
      <c r="AZ329" s="16"/>
    </row>
    <row r="330" spans="7:52">
      <c r="G330" s="15" t="e">
        <f t="shared" si="76"/>
        <v>#DIV/0!</v>
      </c>
      <c r="P330" s="15" t="e">
        <f t="shared" si="77"/>
        <v>#DIV/0!</v>
      </c>
      <c r="R330" s="78"/>
      <c r="S330" s="85">
        <v>5</v>
      </c>
      <c r="AA330" s="2">
        <f t="shared" si="82"/>
        <v>1</v>
      </c>
      <c r="AC330" s="15">
        <f t="shared" si="81"/>
        <v>0</v>
      </c>
      <c r="AG330" s="85" t="e">
        <f t="shared" si="83"/>
        <v>#DIV/0!</v>
      </c>
      <c r="AH330" s="15" t="e">
        <f t="shared" si="84"/>
        <v>#DIV/0!</v>
      </c>
      <c r="AI330" s="15"/>
      <c r="AJ330" s="15">
        <f t="shared" si="85"/>
        <v>1</v>
      </c>
      <c r="AK330" s="15" t="e">
        <f t="shared" si="86"/>
        <v>#DIV/0!</v>
      </c>
      <c r="AL330" s="14">
        <f t="shared" si="87"/>
        <v>0</v>
      </c>
      <c r="AM330" s="14">
        <f t="shared" si="78"/>
        <v>0</v>
      </c>
      <c r="AP330" s="16" t="e">
        <f t="shared" si="75"/>
        <v>#DIV/0!</v>
      </c>
      <c r="AQ330" s="15">
        <v>1</v>
      </c>
      <c r="AT330" s="15" t="e">
        <f t="shared" si="88"/>
        <v>#DIV/0!</v>
      </c>
      <c r="AZ330" s="16"/>
    </row>
    <row r="331" spans="7:52">
      <c r="G331" s="15" t="e">
        <f t="shared" si="76"/>
        <v>#DIV/0!</v>
      </c>
      <c r="P331" s="15" t="e">
        <f t="shared" si="77"/>
        <v>#DIV/0!</v>
      </c>
      <c r="R331" s="78"/>
      <c r="S331" s="85">
        <v>5</v>
      </c>
      <c r="AA331" s="2">
        <f t="shared" si="82"/>
        <v>1</v>
      </c>
      <c r="AC331" s="15">
        <f t="shared" si="81"/>
        <v>0</v>
      </c>
      <c r="AG331" s="85" t="e">
        <f t="shared" si="83"/>
        <v>#DIV/0!</v>
      </c>
      <c r="AH331" s="15" t="e">
        <f t="shared" si="84"/>
        <v>#DIV/0!</v>
      </c>
      <c r="AI331" s="15"/>
      <c r="AJ331" s="15">
        <f t="shared" si="85"/>
        <v>1</v>
      </c>
      <c r="AK331" s="15" t="e">
        <f t="shared" si="86"/>
        <v>#DIV/0!</v>
      </c>
      <c r="AL331" s="14">
        <f t="shared" si="87"/>
        <v>0</v>
      </c>
      <c r="AM331" s="14">
        <f t="shared" si="78"/>
        <v>0</v>
      </c>
      <c r="AP331" s="16" t="e">
        <f t="shared" si="75"/>
        <v>#DIV/0!</v>
      </c>
      <c r="AQ331" s="15">
        <v>1</v>
      </c>
      <c r="AT331" s="15" t="e">
        <f t="shared" si="88"/>
        <v>#DIV/0!</v>
      </c>
      <c r="AZ331" s="16"/>
    </row>
    <row r="332" spans="7:52">
      <c r="G332" s="15" t="e">
        <f t="shared" si="76"/>
        <v>#DIV/0!</v>
      </c>
      <c r="P332" s="15" t="e">
        <f t="shared" si="77"/>
        <v>#DIV/0!</v>
      </c>
      <c r="R332" s="78"/>
      <c r="S332" s="85">
        <v>5</v>
      </c>
      <c r="AA332" s="2">
        <f t="shared" si="82"/>
        <v>1</v>
      </c>
      <c r="AC332" s="15">
        <f t="shared" si="81"/>
        <v>0</v>
      </c>
      <c r="AG332" s="85" t="e">
        <f t="shared" si="83"/>
        <v>#DIV/0!</v>
      </c>
      <c r="AH332" s="15" t="e">
        <f t="shared" si="84"/>
        <v>#DIV/0!</v>
      </c>
      <c r="AI332" s="15"/>
      <c r="AJ332" s="15">
        <f t="shared" si="85"/>
        <v>1</v>
      </c>
      <c r="AK332" s="15" t="e">
        <f t="shared" si="86"/>
        <v>#DIV/0!</v>
      </c>
      <c r="AL332" s="14">
        <f t="shared" si="87"/>
        <v>0</v>
      </c>
      <c r="AM332" s="14">
        <f t="shared" si="78"/>
        <v>0</v>
      </c>
      <c r="AP332" s="16" t="e">
        <f t="shared" si="75"/>
        <v>#DIV/0!</v>
      </c>
      <c r="AQ332" s="15">
        <v>1</v>
      </c>
      <c r="AT332" s="15" t="e">
        <f t="shared" si="88"/>
        <v>#DIV/0!</v>
      </c>
      <c r="AZ332" s="16"/>
    </row>
    <row r="333" spans="7:52">
      <c r="G333" s="15" t="e">
        <f t="shared" si="76"/>
        <v>#DIV/0!</v>
      </c>
      <c r="P333" s="15" t="e">
        <f t="shared" si="77"/>
        <v>#DIV/0!</v>
      </c>
      <c r="R333" s="78"/>
      <c r="S333" s="85">
        <v>5</v>
      </c>
      <c r="AA333" s="2">
        <f t="shared" si="82"/>
        <v>1</v>
      </c>
      <c r="AC333" s="15">
        <f t="shared" si="81"/>
        <v>0</v>
      </c>
      <c r="AG333" s="85" t="e">
        <f t="shared" si="83"/>
        <v>#DIV/0!</v>
      </c>
      <c r="AH333" s="15" t="e">
        <f t="shared" si="84"/>
        <v>#DIV/0!</v>
      </c>
      <c r="AI333" s="15"/>
      <c r="AJ333" s="15">
        <f t="shared" si="85"/>
        <v>1</v>
      </c>
      <c r="AK333" s="15" t="e">
        <f t="shared" si="86"/>
        <v>#DIV/0!</v>
      </c>
      <c r="AL333" s="14">
        <f t="shared" si="87"/>
        <v>0</v>
      </c>
      <c r="AM333" s="14">
        <f t="shared" si="78"/>
        <v>0</v>
      </c>
      <c r="AP333" s="16" t="e">
        <f t="shared" ref="AP333:AP396" si="89">IF(AK333&gt;13.1,IF(Z333&lt;101,IF(Z333&lt;35,IF(Z333&lt;8,3,2),1),0),0)</f>
        <v>#DIV/0!</v>
      </c>
      <c r="AQ333" s="15">
        <v>1</v>
      </c>
      <c r="AT333" s="15" t="e">
        <f t="shared" si="88"/>
        <v>#DIV/0!</v>
      </c>
      <c r="AZ333" s="16"/>
    </row>
    <row r="334" spans="7:52">
      <c r="G334" s="15" t="e">
        <f t="shared" si="76"/>
        <v>#DIV/0!</v>
      </c>
      <c r="P334" s="15" t="e">
        <f t="shared" si="77"/>
        <v>#DIV/0!</v>
      </c>
      <c r="R334" s="78"/>
      <c r="S334" s="85">
        <v>5</v>
      </c>
      <c r="AA334" s="2">
        <f t="shared" si="82"/>
        <v>1</v>
      </c>
      <c r="AC334" s="15">
        <f t="shared" si="81"/>
        <v>0</v>
      </c>
      <c r="AG334" s="85" t="e">
        <f t="shared" si="83"/>
        <v>#DIV/0!</v>
      </c>
      <c r="AH334" s="15" t="e">
        <f t="shared" si="84"/>
        <v>#DIV/0!</v>
      </c>
      <c r="AI334" s="15"/>
      <c r="AJ334" s="15">
        <f t="shared" si="85"/>
        <v>1</v>
      </c>
      <c r="AK334" s="15" t="e">
        <f t="shared" si="86"/>
        <v>#DIV/0!</v>
      </c>
      <c r="AL334" s="14">
        <f t="shared" si="87"/>
        <v>0</v>
      </c>
      <c r="AM334" s="14">
        <f t="shared" si="78"/>
        <v>0</v>
      </c>
      <c r="AP334" s="16" t="e">
        <f t="shared" si="89"/>
        <v>#DIV/0!</v>
      </c>
      <c r="AQ334" s="15">
        <v>1</v>
      </c>
      <c r="AT334" s="15" t="e">
        <f t="shared" si="88"/>
        <v>#DIV/0!</v>
      </c>
      <c r="AZ334" s="16"/>
    </row>
    <row r="335" spans="7:52">
      <c r="G335" s="15" t="e">
        <f t="shared" si="76"/>
        <v>#DIV/0!</v>
      </c>
      <c r="P335" s="15" t="e">
        <f t="shared" si="77"/>
        <v>#DIV/0!</v>
      </c>
      <c r="R335" s="78"/>
      <c r="S335" s="85">
        <v>5</v>
      </c>
      <c r="AA335" s="2">
        <f t="shared" si="82"/>
        <v>1</v>
      </c>
      <c r="AC335" s="15">
        <f t="shared" si="81"/>
        <v>0</v>
      </c>
      <c r="AG335" s="85" t="e">
        <f t="shared" si="83"/>
        <v>#DIV/0!</v>
      </c>
      <c r="AH335" s="15" t="e">
        <f t="shared" si="84"/>
        <v>#DIV/0!</v>
      </c>
      <c r="AI335" s="15"/>
      <c r="AJ335" s="15">
        <f t="shared" si="85"/>
        <v>1</v>
      </c>
      <c r="AK335" s="15" t="e">
        <f t="shared" si="86"/>
        <v>#DIV/0!</v>
      </c>
      <c r="AL335" s="14">
        <f t="shared" si="87"/>
        <v>0</v>
      </c>
      <c r="AM335" s="14">
        <f t="shared" si="78"/>
        <v>0</v>
      </c>
      <c r="AP335" s="16" t="e">
        <f t="shared" si="89"/>
        <v>#DIV/0!</v>
      </c>
      <c r="AQ335" s="15">
        <v>1</v>
      </c>
      <c r="AT335" s="15" t="e">
        <f t="shared" si="88"/>
        <v>#DIV/0!</v>
      </c>
      <c r="AZ335" s="16"/>
    </row>
    <row r="336" spans="7:52">
      <c r="G336" s="15" t="e">
        <f t="shared" si="76"/>
        <v>#DIV/0!</v>
      </c>
      <c r="P336" s="15" t="e">
        <f t="shared" si="77"/>
        <v>#DIV/0!</v>
      </c>
      <c r="R336" s="78"/>
      <c r="S336" s="85">
        <v>5</v>
      </c>
      <c r="AA336" s="2">
        <f t="shared" si="82"/>
        <v>1</v>
      </c>
      <c r="AC336" s="15">
        <f t="shared" si="81"/>
        <v>0</v>
      </c>
      <c r="AG336" s="85" t="e">
        <f t="shared" si="83"/>
        <v>#DIV/0!</v>
      </c>
      <c r="AH336" s="15" t="e">
        <f t="shared" si="84"/>
        <v>#DIV/0!</v>
      </c>
      <c r="AI336" s="15"/>
      <c r="AJ336" s="15">
        <f t="shared" si="85"/>
        <v>1</v>
      </c>
      <c r="AK336" s="15" t="e">
        <f t="shared" si="86"/>
        <v>#DIV/0!</v>
      </c>
      <c r="AL336" s="14">
        <f t="shared" si="87"/>
        <v>0</v>
      </c>
      <c r="AM336" s="14">
        <f t="shared" si="78"/>
        <v>0</v>
      </c>
      <c r="AP336" s="16" t="e">
        <f t="shared" si="89"/>
        <v>#DIV/0!</v>
      </c>
      <c r="AQ336" s="15">
        <v>1</v>
      </c>
      <c r="AT336" s="15" t="e">
        <f t="shared" si="88"/>
        <v>#DIV/0!</v>
      </c>
      <c r="AZ336" s="16"/>
    </row>
    <row r="337" spans="7:52">
      <c r="G337" s="15" t="e">
        <f t="shared" si="76"/>
        <v>#DIV/0!</v>
      </c>
      <c r="P337" s="15" t="e">
        <f t="shared" si="77"/>
        <v>#DIV/0!</v>
      </c>
      <c r="R337" s="78"/>
      <c r="S337" s="85">
        <v>5</v>
      </c>
      <c r="AA337" s="2">
        <f t="shared" si="82"/>
        <v>1</v>
      </c>
      <c r="AC337" s="15">
        <f t="shared" si="81"/>
        <v>0</v>
      </c>
      <c r="AG337" s="85" t="e">
        <f t="shared" si="83"/>
        <v>#DIV/0!</v>
      </c>
      <c r="AH337" s="15" t="e">
        <f t="shared" si="84"/>
        <v>#DIV/0!</v>
      </c>
      <c r="AI337" s="15"/>
      <c r="AJ337" s="15">
        <f t="shared" si="85"/>
        <v>1</v>
      </c>
      <c r="AK337" s="15" t="e">
        <f t="shared" si="86"/>
        <v>#DIV/0!</v>
      </c>
      <c r="AL337" s="14">
        <f t="shared" si="87"/>
        <v>0</v>
      </c>
      <c r="AM337" s="14">
        <f t="shared" si="78"/>
        <v>0</v>
      </c>
      <c r="AP337" s="16" t="e">
        <f t="shared" si="89"/>
        <v>#DIV/0!</v>
      </c>
      <c r="AQ337" s="15">
        <v>1</v>
      </c>
      <c r="AT337" s="15" t="e">
        <f t="shared" si="88"/>
        <v>#DIV/0!</v>
      </c>
      <c r="AZ337" s="16"/>
    </row>
    <row r="338" spans="7:52">
      <c r="G338" s="15" t="e">
        <f t="shared" ref="G338:G401" si="90">100*(F338-E338)/F338</f>
        <v>#DIV/0!</v>
      </c>
      <c r="P338" s="15" t="e">
        <f t="shared" ref="P338:P401" si="91">O338/I338</f>
        <v>#DIV/0!</v>
      </c>
      <c r="R338" s="78"/>
      <c r="S338" s="85">
        <v>5</v>
      </c>
      <c r="AA338" s="2">
        <f t="shared" si="82"/>
        <v>1</v>
      </c>
      <c r="AC338" s="15">
        <f t="shared" si="81"/>
        <v>0</v>
      </c>
      <c r="AG338" s="85" t="e">
        <f t="shared" si="83"/>
        <v>#DIV/0!</v>
      </c>
      <c r="AH338" s="15" t="e">
        <f t="shared" si="84"/>
        <v>#DIV/0!</v>
      </c>
      <c r="AI338" s="15"/>
      <c r="AJ338" s="15">
        <f t="shared" si="85"/>
        <v>1</v>
      </c>
      <c r="AK338" s="15" t="e">
        <f t="shared" si="86"/>
        <v>#DIV/0!</v>
      </c>
      <c r="AL338" s="14">
        <f t="shared" si="87"/>
        <v>0</v>
      </c>
      <c r="AM338" s="14">
        <f t="shared" ref="AM338:AM401" si="92">B338</f>
        <v>0</v>
      </c>
      <c r="AP338" s="16" t="e">
        <f t="shared" si="89"/>
        <v>#DIV/0!</v>
      </c>
      <c r="AQ338" s="15">
        <v>1</v>
      </c>
      <c r="AT338" s="15" t="e">
        <f t="shared" si="88"/>
        <v>#DIV/0!</v>
      </c>
      <c r="AZ338" s="16"/>
    </row>
    <row r="339" spans="7:52">
      <c r="G339" s="15" t="e">
        <f t="shared" si="90"/>
        <v>#DIV/0!</v>
      </c>
      <c r="P339" s="15" t="e">
        <f t="shared" si="91"/>
        <v>#DIV/0!</v>
      </c>
      <c r="R339" s="78"/>
      <c r="S339" s="85">
        <v>5</v>
      </c>
      <c r="AA339" s="2">
        <f t="shared" si="82"/>
        <v>1</v>
      </c>
      <c r="AC339" s="15">
        <f t="shared" si="81"/>
        <v>0</v>
      </c>
      <c r="AG339" s="85" t="e">
        <f t="shared" si="83"/>
        <v>#DIV/0!</v>
      </c>
      <c r="AH339" s="15" t="e">
        <f t="shared" si="84"/>
        <v>#DIV/0!</v>
      </c>
      <c r="AI339" s="15"/>
      <c r="AJ339" s="15">
        <f t="shared" si="85"/>
        <v>1</v>
      </c>
      <c r="AK339" s="15" t="e">
        <f t="shared" si="86"/>
        <v>#DIV/0!</v>
      </c>
      <c r="AL339" s="14">
        <f t="shared" si="87"/>
        <v>0</v>
      </c>
      <c r="AM339" s="14">
        <f t="shared" si="92"/>
        <v>0</v>
      </c>
      <c r="AP339" s="16" t="e">
        <f t="shared" si="89"/>
        <v>#DIV/0!</v>
      </c>
      <c r="AQ339" s="15">
        <v>1</v>
      </c>
      <c r="AT339" s="15" t="e">
        <f t="shared" si="88"/>
        <v>#DIV/0!</v>
      </c>
      <c r="AZ339" s="16"/>
    </row>
    <row r="340" spans="7:52">
      <c r="G340" s="15" t="e">
        <f t="shared" si="90"/>
        <v>#DIV/0!</v>
      </c>
      <c r="P340" s="15" t="e">
        <f t="shared" si="91"/>
        <v>#DIV/0!</v>
      </c>
      <c r="R340" s="78"/>
      <c r="S340" s="85">
        <v>5</v>
      </c>
      <c r="AA340" s="2">
        <f t="shared" si="82"/>
        <v>1</v>
      </c>
      <c r="AC340" s="15">
        <f t="shared" ref="AC340:AC371" si="93">IF(U341&gt;9,1,0)+U341/3</f>
        <v>0</v>
      </c>
      <c r="AG340" s="85" t="e">
        <f t="shared" si="83"/>
        <v>#DIV/0!</v>
      </c>
      <c r="AH340" s="15" t="e">
        <f t="shared" si="84"/>
        <v>#DIV/0!</v>
      </c>
      <c r="AI340" s="15"/>
      <c r="AJ340" s="15">
        <f t="shared" si="85"/>
        <v>1</v>
      </c>
      <c r="AK340" s="15" t="e">
        <f t="shared" si="86"/>
        <v>#DIV/0!</v>
      </c>
      <c r="AL340" s="14">
        <f t="shared" si="87"/>
        <v>0</v>
      </c>
      <c r="AM340" s="14">
        <f t="shared" si="92"/>
        <v>0</v>
      </c>
      <c r="AP340" s="16" t="e">
        <f t="shared" si="89"/>
        <v>#DIV/0!</v>
      </c>
      <c r="AQ340" s="15">
        <v>1</v>
      </c>
      <c r="AT340" s="15" t="e">
        <f t="shared" si="88"/>
        <v>#DIV/0!</v>
      </c>
      <c r="AZ340" s="16"/>
    </row>
    <row r="341" spans="7:52">
      <c r="G341" s="15" t="e">
        <f t="shared" si="90"/>
        <v>#DIV/0!</v>
      </c>
      <c r="P341" s="15" t="e">
        <f t="shared" si="91"/>
        <v>#DIV/0!</v>
      </c>
      <c r="R341" s="78"/>
      <c r="S341" s="85">
        <v>5</v>
      </c>
      <c r="AA341" s="2">
        <f t="shared" si="82"/>
        <v>1</v>
      </c>
      <c r="AC341" s="15">
        <f t="shared" si="93"/>
        <v>0</v>
      </c>
      <c r="AG341" s="85" t="e">
        <f t="shared" si="83"/>
        <v>#DIV/0!</v>
      </c>
      <c r="AH341" s="15" t="e">
        <f t="shared" si="84"/>
        <v>#DIV/0!</v>
      </c>
      <c r="AI341" s="15"/>
      <c r="AJ341" s="15">
        <f t="shared" si="85"/>
        <v>1</v>
      </c>
      <c r="AK341" s="15" t="e">
        <f t="shared" si="86"/>
        <v>#DIV/0!</v>
      </c>
      <c r="AL341" s="14">
        <f t="shared" si="87"/>
        <v>0</v>
      </c>
      <c r="AM341" s="14">
        <f t="shared" si="92"/>
        <v>0</v>
      </c>
      <c r="AP341" s="16" t="e">
        <f t="shared" si="89"/>
        <v>#DIV/0!</v>
      </c>
      <c r="AQ341" s="15">
        <v>1</v>
      </c>
      <c r="AT341" s="15" t="e">
        <f t="shared" si="88"/>
        <v>#DIV/0!</v>
      </c>
      <c r="AZ341" s="16"/>
    </row>
    <row r="342" spans="7:52">
      <c r="G342" s="15" t="e">
        <f t="shared" si="90"/>
        <v>#DIV/0!</v>
      </c>
      <c r="P342" s="15" t="e">
        <f t="shared" si="91"/>
        <v>#DIV/0!</v>
      </c>
      <c r="R342" s="78"/>
      <c r="S342" s="85">
        <v>5</v>
      </c>
      <c r="AA342" s="2">
        <f t="shared" si="82"/>
        <v>1</v>
      </c>
      <c r="AC342" s="15">
        <f t="shared" si="93"/>
        <v>0</v>
      </c>
      <c r="AG342" s="85" t="e">
        <f t="shared" si="83"/>
        <v>#DIV/0!</v>
      </c>
      <c r="AH342" s="15" t="e">
        <f t="shared" si="84"/>
        <v>#DIV/0!</v>
      </c>
      <c r="AI342" s="15"/>
      <c r="AJ342" s="15">
        <f t="shared" si="85"/>
        <v>1</v>
      </c>
      <c r="AK342" s="15" t="e">
        <f t="shared" si="86"/>
        <v>#DIV/0!</v>
      </c>
      <c r="AL342" s="14">
        <f t="shared" si="87"/>
        <v>0</v>
      </c>
      <c r="AM342" s="14">
        <f t="shared" si="92"/>
        <v>0</v>
      </c>
      <c r="AP342" s="16" t="e">
        <f t="shared" si="89"/>
        <v>#DIV/0!</v>
      </c>
      <c r="AQ342" s="15">
        <v>1</v>
      </c>
      <c r="AT342" s="15" t="e">
        <f t="shared" si="88"/>
        <v>#DIV/0!</v>
      </c>
      <c r="AZ342" s="16"/>
    </row>
    <row r="343" spans="7:52">
      <c r="G343" s="15" t="e">
        <f t="shared" si="90"/>
        <v>#DIV/0!</v>
      </c>
      <c r="P343" s="15" t="e">
        <f t="shared" si="91"/>
        <v>#DIV/0!</v>
      </c>
      <c r="R343" s="78"/>
      <c r="S343" s="85">
        <v>5</v>
      </c>
      <c r="AA343" s="2">
        <f t="shared" si="82"/>
        <v>1</v>
      </c>
      <c r="AC343" s="15">
        <f t="shared" si="93"/>
        <v>0</v>
      </c>
      <c r="AG343" s="85" t="e">
        <f t="shared" si="83"/>
        <v>#DIV/0!</v>
      </c>
      <c r="AH343" s="15" t="e">
        <f t="shared" si="84"/>
        <v>#DIV/0!</v>
      </c>
      <c r="AI343" s="15"/>
      <c r="AJ343" s="15">
        <f t="shared" si="85"/>
        <v>1</v>
      </c>
      <c r="AK343" s="15" t="e">
        <f t="shared" si="86"/>
        <v>#DIV/0!</v>
      </c>
      <c r="AL343" s="14">
        <f t="shared" si="87"/>
        <v>0</v>
      </c>
      <c r="AM343" s="14">
        <f t="shared" si="92"/>
        <v>0</v>
      </c>
      <c r="AP343" s="16" t="e">
        <f t="shared" si="89"/>
        <v>#DIV/0!</v>
      </c>
      <c r="AQ343" s="15">
        <v>1</v>
      </c>
      <c r="AT343" s="15" t="e">
        <f t="shared" si="88"/>
        <v>#DIV/0!</v>
      </c>
      <c r="AZ343" s="16"/>
    </row>
    <row r="344" spans="7:52">
      <c r="G344" s="15" t="e">
        <f t="shared" si="90"/>
        <v>#DIV/0!</v>
      </c>
      <c r="P344" s="15" t="e">
        <f t="shared" si="91"/>
        <v>#DIV/0!</v>
      </c>
      <c r="R344" s="78"/>
      <c r="S344" s="85">
        <v>5</v>
      </c>
      <c r="AA344" s="2">
        <f t="shared" si="82"/>
        <v>1</v>
      </c>
      <c r="AC344" s="15">
        <f t="shared" si="93"/>
        <v>0</v>
      </c>
      <c r="AG344" s="85" t="e">
        <f t="shared" si="83"/>
        <v>#DIV/0!</v>
      </c>
      <c r="AH344" s="15" t="e">
        <f t="shared" si="84"/>
        <v>#DIV/0!</v>
      </c>
      <c r="AI344" s="15"/>
      <c r="AJ344" s="15">
        <f t="shared" si="85"/>
        <v>1</v>
      </c>
      <c r="AK344" s="15" t="e">
        <f t="shared" si="86"/>
        <v>#DIV/0!</v>
      </c>
      <c r="AL344" s="14">
        <f t="shared" si="87"/>
        <v>0</v>
      </c>
      <c r="AM344" s="14">
        <f t="shared" si="92"/>
        <v>0</v>
      </c>
      <c r="AP344" s="16" t="e">
        <f t="shared" si="89"/>
        <v>#DIV/0!</v>
      </c>
      <c r="AQ344" s="15">
        <v>1</v>
      </c>
      <c r="AT344" s="15" t="e">
        <f t="shared" si="88"/>
        <v>#DIV/0!</v>
      </c>
      <c r="AZ344" s="16"/>
    </row>
    <row r="345" spans="7:52">
      <c r="G345" s="15" t="e">
        <f t="shared" si="90"/>
        <v>#DIV/0!</v>
      </c>
      <c r="P345" s="15" t="e">
        <f t="shared" si="91"/>
        <v>#DIV/0!</v>
      </c>
      <c r="R345" s="78"/>
      <c r="S345" s="85">
        <v>5</v>
      </c>
      <c r="AA345" s="2">
        <f t="shared" si="82"/>
        <v>1</v>
      </c>
      <c r="AC345" s="15">
        <f t="shared" si="93"/>
        <v>0</v>
      </c>
      <c r="AG345" s="85" t="e">
        <f t="shared" si="83"/>
        <v>#DIV/0!</v>
      </c>
      <c r="AH345" s="15" t="e">
        <f t="shared" si="84"/>
        <v>#DIV/0!</v>
      </c>
      <c r="AI345" s="15"/>
      <c r="AJ345" s="15">
        <f t="shared" si="85"/>
        <v>1</v>
      </c>
      <c r="AK345" s="15" t="e">
        <f t="shared" si="86"/>
        <v>#DIV/0!</v>
      </c>
      <c r="AL345" s="14">
        <f t="shared" si="87"/>
        <v>0</v>
      </c>
      <c r="AM345" s="14">
        <f t="shared" si="92"/>
        <v>0</v>
      </c>
      <c r="AP345" s="16" t="e">
        <f t="shared" si="89"/>
        <v>#DIV/0!</v>
      </c>
      <c r="AQ345" s="15">
        <v>1</v>
      </c>
      <c r="AT345" s="15" t="e">
        <f t="shared" si="88"/>
        <v>#DIV/0!</v>
      </c>
      <c r="AZ345" s="16"/>
    </row>
    <row r="346" spans="7:52">
      <c r="G346" s="15" t="e">
        <f t="shared" si="90"/>
        <v>#DIV/0!</v>
      </c>
      <c r="P346" s="15" t="e">
        <f t="shared" si="91"/>
        <v>#DIV/0!</v>
      </c>
      <c r="R346" s="78"/>
      <c r="S346" s="85">
        <v>5</v>
      </c>
      <c r="AA346" s="2">
        <f t="shared" si="82"/>
        <v>1</v>
      </c>
      <c r="AC346" s="15">
        <f t="shared" si="93"/>
        <v>0</v>
      </c>
      <c r="AG346" s="85" t="e">
        <f t="shared" si="83"/>
        <v>#DIV/0!</v>
      </c>
      <c r="AH346" s="15" t="e">
        <f t="shared" si="84"/>
        <v>#DIV/0!</v>
      </c>
      <c r="AI346" s="15"/>
      <c r="AJ346" s="15">
        <f t="shared" si="85"/>
        <v>1</v>
      </c>
      <c r="AK346" s="15" t="e">
        <f t="shared" si="86"/>
        <v>#DIV/0!</v>
      </c>
      <c r="AL346" s="14">
        <f t="shared" si="87"/>
        <v>0</v>
      </c>
      <c r="AM346" s="14">
        <f t="shared" si="92"/>
        <v>0</v>
      </c>
      <c r="AP346" s="16" t="e">
        <f t="shared" si="89"/>
        <v>#DIV/0!</v>
      </c>
      <c r="AQ346" s="15">
        <v>1</v>
      </c>
      <c r="AT346" s="15" t="e">
        <f t="shared" si="88"/>
        <v>#DIV/0!</v>
      </c>
      <c r="AZ346" s="16"/>
    </row>
    <row r="347" spans="7:52">
      <c r="G347" s="15" t="e">
        <f t="shared" si="90"/>
        <v>#DIV/0!</v>
      </c>
      <c r="P347" s="15" t="e">
        <f t="shared" si="91"/>
        <v>#DIV/0!</v>
      </c>
      <c r="R347" s="78"/>
      <c r="S347" s="85">
        <v>5</v>
      </c>
      <c r="AA347" s="2">
        <f t="shared" si="82"/>
        <v>1</v>
      </c>
      <c r="AC347" s="15">
        <f t="shared" si="93"/>
        <v>0</v>
      </c>
      <c r="AG347" s="85" t="e">
        <f t="shared" si="83"/>
        <v>#DIV/0!</v>
      </c>
      <c r="AH347" s="15" t="e">
        <f t="shared" si="84"/>
        <v>#DIV/0!</v>
      </c>
      <c r="AI347" s="15"/>
      <c r="AJ347" s="15">
        <f t="shared" si="85"/>
        <v>1</v>
      </c>
      <c r="AK347" s="15" t="e">
        <f t="shared" si="86"/>
        <v>#DIV/0!</v>
      </c>
      <c r="AL347" s="14">
        <f t="shared" si="87"/>
        <v>0</v>
      </c>
      <c r="AM347" s="14">
        <f t="shared" si="92"/>
        <v>0</v>
      </c>
      <c r="AP347" s="16" t="e">
        <f t="shared" si="89"/>
        <v>#DIV/0!</v>
      </c>
      <c r="AQ347" s="15">
        <v>1</v>
      </c>
      <c r="AT347" s="15" t="e">
        <f t="shared" si="88"/>
        <v>#DIV/0!</v>
      </c>
      <c r="AZ347" s="16"/>
    </row>
    <row r="348" spans="7:52">
      <c r="G348" s="15" t="e">
        <f t="shared" si="90"/>
        <v>#DIV/0!</v>
      </c>
      <c r="P348" s="15" t="e">
        <f t="shared" si="91"/>
        <v>#DIV/0!</v>
      </c>
      <c r="R348" s="78"/>
      <c r="S348" s="85">
        <v>5</v>
      </c>
      <c r="AA348" s="2">
        <f t="shared" si="82"/>
        <v>1</v>
      </c>
      <c r="AC348" s="15">
        <f t="shared" si="93"/>
        <v>0</v>
      </c>
      <c r="AG348" s="85" t="e">
        <f t="shared" si="83"/>
        <v>#DIV/0!</v>
      </c>
      <c r="AH348" s="15" t="e">
        <f t="shared" si="84"/>
        <v>#DIV/0!</v>
      </c>
      <c r="AI348" s="15"/>
      <c r="AJ348" s="15">
        <f t="shared" si="85"/>
        <v>1</v>
      </c>
      <c r="AK348" s="15" t="e">
        <f t="shared" si="86"/>
        <v>#DIV/0!</v>
      </c>
      <c r="AL348" s="14">
        <f t="shared" si="87"/>
        <v>0</v>
      </c>
      <c r="AM348" s="14">
        <f t="shared" si="92"/>
        <v>0</v>
      </c>
      <c r="AP348" s="16" t="e">
        <f t="shared" si="89"/>
        <v>#DIV/0!</v>
      </c>
      <c r="AQ348" s="15">
        <v>1</v>
      </c>
      <c r="AT348" s="15" t="e">
        <f t="shared" si="88"/>
        <v>#DIV/0!</v>
      </c>
      <c r="AZ348" s="16"/>
    </row>
    <row r="349" spans="7:52">
      <c r="G349" s="15" t="e">
        <f t="shared" si="90"/>
        <v>#DIV/0!</v>
      </c>
      <c r="P349" s="15" t="e">
        <f t="shared" si="91"/>
        <v>#DIV/0!</v>
      </c>
      <c r="R349" s="78"/>
      <c r="S349" s="85">
        <v>5</v>
      </c>
      <c r="AA349" s="2">
        <f t="shared" si="82"/>
        <v>1</v>
      </c>
      <c r="AC349" s="15">
        <f t="shared" si="93"/>
        <v>0</v>
      </c>
      <c r="AG349" s="85" t="e">
        <f t="shared" si="83"/>
        <v>#DIV/0!</v>
      </c>
      <c r="AH349" s="15" t="e">
        <f t="shared" si="84"/>
        <v>#DIV/0!</v>
      </c>
      <c r="AI349" s="15"/>
      <c r="AJ349" s="15">
        <f t="shared" si="85"/>
        <v>1</v>
      </c>
      <c r="AK349" s="15" t="e">
        <f t="shared" si="86"/>
        <v>#DIV/0!</v>
      </c>
      <c r="AL349" s="14">
        <f t="shared" si="87"/>
        <v>0</v>
      </c>
      <c r="AM349" s="14">
        <f t="shared" si="92"/>
        <v>0</v>
      </c>
      <c r="AP349" s="16" t="e">
        <f t="shared" si="89"/>
        <v>#DIV/0!</v>
      </c>
      <c r="AQ349" s="15">
        <v>1</v>
      </c>
      <c r="AT349" s="15" t="e">
        <f t="shared" si="88"/>
        <v>#DIV/0!</v>
      </c>
      <c r="AZ349" s="16"/>
    </row>
    <row r="350" spans="7:52">
      <c r="G350" s="15" t="e">
        <f t="shared" si="90"/>
        <v>#DIV/0!</v>
      </c>
      <c r="P350" s="15" t="e">
        <f t="shared" si="91"/>
        <v>#DIV/0!</v>
      </c>
      <c r="R350" s="78"/>
      <c r="S350" s="85">
        <v>5</v>
      </c>
      <c r="AA350" s="2">
        <f t="shared" si="82"/>
        <v>1</v>
      </c>
      <c r="AC350" s="15">
        <f t="shared" si="93"/>
        <v>0</v>
      </c>
      <c r="AG350" s="85" t="e">
        <f t="shared" si="83"/>
        <v>#DIV/0!</v>
      </c>
      <c r="AH350" s="15" t="e">
        <f t="shared" si="84"/>
        <v>#DIV/0!</v>
      </c>
      <c r="AI350" s="15"/>
      <c r="AJ350" s="15">
        <f t="shared" si="85"/>
        <v>1</v>
      </c>
      <c r="AK350" s="15" t="e">
        <f t="shared" si="86"/>
        <v>#DIV/0!</v>
      </c>
      <c r="AL350" s="14">
        <f t="shared" si="87"/>
        <v>0</v>
      </c>
      <c r="AM350" s="14">
        <f t="shared" si="92"/>
        <v>0</v>
      </c>
      <c r="AP350" s="16" t="e">
        <f t="shared" si="89"/>
        <v>#DIV/0!</v>
      </c>
      <c r="AQ350" s="15">
        <v>1</v>
      </c>
      <c r="AT350" s="15" t="e">
        <f t="shared" si="88"/>
        <v>#DIV/0!</v>
      </c>
      <c r="AZ350" s="16"/>
    </row>
    <row r="351" spans="7:52">
      <c r="G351" s="15" t="e">
        <f t="shared" si="90"/>
        <v>#DIV/0!</v>
      </c>
      <c r="P351" s="15" t="e">
        <f t="shared" si="91"/>
        <v>#DIV/0!</v>
      </c>
      <c r="R351" s="78"/>
      <c r="S351" s="85">
        <v>5</v>
      </c>
      <c r="AA351" s="2">
        <f t="shared" si="82"/>
        <v>1</v>
      </c>
      <c r="AC351" s="15">
        <f t="shared" si="93"/>
        <v>0</v>
      </c>
      <c r="AG351" s="85" t="e">
        <f t="shared" si="83"/>
        <v>#DIV/0!</v>
      </c>
      <c r="AH351" s="15" t="e">
        <f t="shared" si="84"/>
        <v>#DIV/0!</v>
      </c>
      <c r="AI351" s="15"/>
      <c r="AJ351" s="15">
        <f t="shared" si="85"/>
        <v>1</v>
      </c>
      <c r="AK351" s="15" t="e">
        <f t="shared" si="86"/>
        <v>#DIV/0!</v>
      </c>
      <c r="AL351" s="14">
        <f t="shared" si="87"/>
        <v>0</v>
      </c>
      <c r="AM351" s="14">
        <f t="shared" si="92"/>
        <v>0</v>
      </c>
      <c r="AP351" s="16" t="e">
        <f t="shared" si="89"/>
        <v>#DIV/0!</v>
      </c>
      <c r="AQ351" s="15">
        <v>1</v>
      </c>
      <c r="AT351" s="15" t="e">
        <f t="shared" si="88"/>
        <v>#DIV/0!</v>
      </c>
      <c r="AZ351" s="16"/>
    </row>
    <row r="352" spans="7:52">
      <c r="G352" s="15" t="e">
        <f t="shared" si="90"/>
        <v>#DIV/0!</v>
      </c>
      <c r="P352" s="15" t="e">
        <f t="shared" si="91"/>
        <v>#DIV/0!</v>
      </c>
      <c r="R352" s="78"/>
      <c r="S352" s="85">
        <v>5</v>
      </c>
      <c r="AA352" s="2">
        <f t="shared" si="82"/>
        <v>1</v>
      </c>
      <c r="AC352" s="15">
        <f t="shared" si="93"/>
        <v>0</v>
      </c>
      <c r="AG352" s="85" t="e">
        <f t="shared" si="83"/>
        <v>#DIV/0!</v>
      </c>
      <c r="AH352" s="15" t="e">
        <f t="shared" si="84"/>
        <v>#DIV/0!</v>
      </c>
      <c r="AI352" s="15"/>
      <c r="AJ352" s="15">
        <f t="shared" si="85"/>
        <v>1</v>
      </c>
      <c r="AK352" s="15" t="e">
        <f t="shared" si="86"/>
        <v>#DIV/0!</v>
      </c>
      <c r="AL352" s="14">
        <f t="shared" si="87"/>
        <v>0</v>
      </c>
      <c r="AM352" s="14">
        <f t="shared" si="92"/>
        <v>0</v>
      </c>
      <c r="AP352" s="16" t="e">
        <f t="shared" si="89"/>
        <v>#DIV/0!</v>
      </c>
      <c r="AQ352" s="15">
        <v>1</v>
      </c>
      <c r="AT352" s="15" t="e">
        <f t="shared" si="88"/>
        <v>#DIV/0!</v>
      </c>
      <c r="AZ352" s="16"/>
    </row>
    <row r="353" spans="7:52">
      <c r="G353" s="15" t="e">
        <f t="shared" si="90"/>
        <v>#DIV/0!</v>
      </c>
      <c r="P353" s="15" t="e">
        <f t="shared" si="91"/>
        <v>#DIV/0!</v>
      </c>
      <c r="R353" s="78"/>
      <c r="S353" s="85">
        <v>5</v>
      </c>
      <c r="AA353" s="2">
        <f t="shared" si="82"/>
        <v>1</v>
      </c>
      <c r="AC353" s="15">
        <f t="shared" si="93"/>
        <v>0</v>
      </c>
      <c r="AG353" s="85" t="e">
        <f t="shared" si="83"/>
        <v>#DIV/0!</v>
      </c>
      <c r="AH353" s="15" t="e">
        <f t="shared" si="84"/>
        <v>#DIV/0!</v>
      </c>
      <c r="AI353" s="15"/>
      <c r="AJ353" s="15">
        <f t="shared" si="85"/>
        <v>1</v>
      </c>
      <c r="AK353" s="15" t="e">
        <f t="shared" si="86"/>
        <v>#DIV/0!</v>
      </c>
      <c r="AL353" s="14">
        <f t="shared" si="87"/>
        <v>0</v>
      </c>
      <c r="AM353" s="14">
        <f t="shared" si="92"/>
        <v>0</v>
      </c>
      <c r="AP353" s="16" t="e">
        <f t="shared" si="89"/>
        <v>#DIV/0!</v>
      </c>
      <c r="AQ353" s="15">
        <v>1</v>
      </c>
      <c r="AT353" s="15" t="e">
        <f t="shared" si="88"/>
        <v>#DIV/0!</v>
      </c>
      <c r="AZ353" s="16"/>
    </row>
    <row r="354" spans="7:52">
      <c r="G354" s="15" t="e">
        <f t="shared" si="90"/>
        <v>#DIV/0!</v>
      </c>
      <c r="P354" s="15" t="e">
        <f t="shared" si="91"/>
        <v>#DIV/0!</v>
      </c>
      <c r="R354" s="78"/>
      <c r="S354" s="85">
        <v>5</v>
      </c>
      <c r="AA354" s="2">
        <f t="shared" si="82"/>
        <v>1</v>
      </c>
      <c r="AC354" s="15">
        <f t="shared" si="93"/>
        <v>0</v>
      </c>
      <c r="AG354" s="85" t="e">
        <f t="shared" si="83"/>
        <v>#DIV/0!</v>
      </c>
      <c r="AH354" s="15" t="e">
        <f t="shared" si="84"/>
        <v>#DIV/0!</v>
      </c>
      <c r="AI354" s="15"/>
      <c r="AJ354" s="15">
        <f t="shared" si="85"/>
        <v>1</v>
      </c>
      <c r="AK354" s="15" t="e">
        <f t="shared" si="86"/>
        <v>#DIV/0!</v>
      </c>
      <c r="AL354" s="14">
        <f t="shared" si="87"/>
        <v>0</v>
      </c>
      <c r="AM354" s="14">
        <f t="shared" si="92"/>
        <v>0</v>
      </c>
      <c r="AP354" s="16" t="e">
        <f t="shared" si="89"/>
        <v>#DIV/0!</v>
      </c>
      <c r="AQ354" s="15">
        <v>1</v>
      </c>
      <c r="AT354" s="15" t="e">
        <f t="shared" si="88"/>
        <v>#DIV/0!</v>
      </c>
      <c r="AZ354" s="16"/>
    </row>
    <row r="355" spans="7:52">
      <c r="G355" s="15" t="e">
        <f t="shared" si="90"/>
        <v>#DIV/0!</v>
      </c>
      <c r="P355" s="15" t="e">
        <f t="shared" si="91"/>
        <v>#DIV/0!</v>
      </c>
      <c r="R355" s="78"/>
      <c r="S355" s="85">
        <v>5</v>
      </c>
      <c r="AA355" s="2">
        <f t="shared" si="82"/>
        <v>1</v>
      </c>
      <c r="AC355" s="15">
        <f t="shared" si="93"/>
        <v>0</v>
      </c>
      <c r="AG355" s="85" t="e">
        <f t="shared" si="83"/>
        <v>#DIV/0!</v>
      </c>
      <c r="AH355" s="15" t="e">
        <f t="shared" si="84"/>
        <v>#DIV/0!</v>
      </c>
      <c r="AI355" s="15"/>
      <c r="AJ355" s="15">
        <f t="shared" si="85"/>
        <v>1</v>
      </c>
      <c r="AK355" s="15" t="e">
        <f t="shared" si="86"/>
        <v>#DIV/0!</v>
      </c>
      <c r="AL355" s="14">
        <f t="shared" si="87"/>
        <v>0</v>
      </c>
      <c r="AM355" s="14">
        <f t="shared" si="92"/>
        <v>0</v>
      </c>
      <c r="AP355" s="16" t="e">
        <f t="shared" si="89"/>
        <v>#DIV/0!</v>
      </c>
      <c r="AQ355" s="15">
        <v>1</v>
      </c>
      <c r="AT355" s="15" t="e">
        <f t="shared" si="88"/>
        <v>#DIV/0!</v>
      </c>
      <c r="AZ355" s="16"/>
    </row>
    <row r="356" spans="7:52">
      <c r="G356" s="15" t="e">
        <f t="shared" si="90"/>
        <v>#DIV/0!</v>
      </c>
      <c r="P356" s="15" t="e">
        <f t="shared" si="91"/>
        <v>#DIV/0!</v>
      </c>
      <c r="R356" s="78"/>
      <c r="S356" s="85">
        <v>5</v>
      </c>
      <c r="AA356" s="2">
        <f t="shared" si="82"/>
        <v>1</v>
      </c>
      <c r="AC356" s="15">
        <f t="shared" si="93"/>
        <v>0</v>
      </c>
      <c r="AG356" s="85" t="e">
        <f t="shared" si="83"/>
        <v>#DIV/0!</v>
      </c>
      <c r="AH356" s="15" t="e">
        <f t="shared" si="84"/>
        <v>#DIV/0!</v>
      </c>
      <c r="AI356" s="15"/>
      <c r="AJ356" s="15">
        <f t="shared" si="85"/>
        <v>1</v>
      </c>
      <c r="AK356" s="15" t="e">
        <f t="shared" si="86"/>
        <v>#DIV/0!</v>
      </c>
      <c r="AL356" s="14">
        <f t="shared" si="87"/>
        <v>0</v>
      </c>
      <c r="AM356" s="14">
        <f t="shared" si="92"/>
        <v>0</v>
      </c>
      <c r="AP356" s="16" t="e">
        <f t="shared" si="89"/>
        <v>#DIV/0!</v>
      </c>
      <c r="AQ356" s="15">
        <v>1</v>
      </c>
      <c r="AT356" s="15" t="e">
        <f t="shared" si="88"/>
        <v>#DIV/0!</v>
      </c>
      <c r="AZ356" s="16"/>
    </row>
    <row r="357" spans="7:52">
      <c r="G357" s="15" t="e">
        <f t="shared" si="90"/>
        <v>#DIV/0!</v>
      </c>
      <c r="P357" s="15" t="e">
        <f t="shared" si="91"/>
        <v>#DIV/0!</v>
      </c>
      <c r="R357" s="78"/>
      <c r="S357" s="85">
        <v>5</v>
      </c>
      <c r="AA357" s="2">
        <f t="shared" si="82"/>
        <v>1</v>
      </c>
      <c r="AC357" s="15">
        <f t="shared" si="93"/>
        <v>0</v>
      </c>
      <c r="AG357" s="85" t="e">
        <f t="shared" si="83"/>
        <v>#DIV/0!</v>
      </c>
      <c r="AH357" s="15" t="e">
        <f t="shared" si="84"/>
        <v>#DIV/0!</v>
      </c>
      <c r="AI357" s="15"/>
      <c r="AJ357" s="15">
        <f t="shared" si="85"/>
        <v>1</v>
      </c>
      <c r="AK357" s="15" t="e">
        <f t="shared" si="86"/>
        <v>#DIV/0!</v>
      </c>
      <c r="AL357" s="14">
        <f t="shared" si="87"/>
        <v>0</v>
      </c>
      <c r="AM357" s="14">
        <f t="shared" si="92"/>
        <v>0</v>
      </c>
      <c r="AP357" s="16" t="e">
        <f t="shared" si="89"/>
        <v>#DIV/0!</v>
      </c>
      <c r="AQ357" s="15">
        <v>1</v>
      </c>
      <c r="AT357" s="15" t="e">
        <f t="shared" si="88"/>
        <v>#DIV/0!</v>
      </c>
      <c r="AZ357" s="16"/>
    </row>
    <row r="358" spans="7:52">
      <c r="G358" s="15" t="e">
        <f t="shared" si="90"/>
        <v>#DIV/0!</v>
      </c>
      <c r="P358" s="15" t="e">
        <f t="shared" si="91"/>
        <v>#DIV/0!</v>
      </c>
      <c r="R358" s="78"/>
      <c r="S358" s="85">
        <v>5</v>
      </c>
      <c r="AA358" s="2">
        <f t="shared" si="82"/>
        <v>1</v>
      </c>
      <c r="AC358" s="15">
        <f t="shared" si="93"/>
        <v>0</v>
      </c>
      <c r="AG358" s="85" t="e">
        <f t="shared" si="83"/>
        <v>#DIV/0!</v>
      </c>
      <c r="AH358" s="15" t="e">
        <f t="shared" si="84"/>
        <v>#DIV/0!</v>
      </c>
      <c r="AI358" s="15"/>
      <c r="AJ358" s="15">
        <f t="shared" si="85"/>
        <v>1</v>
      </c>
      <c r="AK358" s="15" t="e">
        <f t="shared" si="86"/>
        <v>#DIV/0!</v>
      </c>
      <c r="AL358" s="14">
        <f t="shared" si="87"/>
        <v>0</v>
      </c>
      <c r="AM358" s="14">
        <f t="shared" si="92"/>
        <v>0</v>
      </c>
      <c r="AP358" s="16" t="e">
        <f t="shared" si="89"/>
        <v>#DIV/0!</v>
      </c>
      <c r="AQ358" s="15">
        <v>1</v>
      </c>
      <c r="AT358" s="15" t="e">
        <f t="shared" si="88"/>
        <v>#DIV/0!</v>
      </c>
      <c r="AZ358" s="16"/>
    </row>
    <row r="359" spans="7:52">
      <c r="G359" s="15" t="e">
        <f t="shared" si="90"/>
        <v>#DIV/0!</v>
      </c>
      <c r="P359" s="15" t="e">
        <f t="shared" si="91"/>
        <v>#DIV/0!</v>
      </c>
      <c r="R359" s="78"/>
      <c r="S359" s="85">
        <v>5</v>
      </c>
      <c r="AA359" s="2">
        <f t="shared" si="82"/>
        <v>1</v>
      </c>
      <c r="AC359" s="15">
        <f t="shared" si="93"/>
        <v>0</v>
      </c>
      <c r="AG359" s="85" t="e">
        <f t="shared" si="83"/>
        <v>#DIV/0!</v>
      </c>
      <c r="AH359" s="15" t="e">
        <f t="shared" si="84"/>
        <v>#DIV/0!</v>
      </c>
      <c r="AI359" s="15"/>
      <c r="AJ359" s="15">
        <f t="shared" si="85"/>
        <v>1</v>
      </c>
      <c r="AK359" s="15" t="e">
        <f t="shared" si="86"/>
        <v>#DIV/0!</v>
      </c>
      <c r="AL359" s="14">
        <f t="shared" si="87"/>
        <v>0</v>
      </c>
      <c r="AM359" s="14">
        <f t="shared" si="92"/>
        <v>0</v>
      </c>
      <c r="AP359" s="16" t="e">
        <f t="shared" si="89"/>
        <v>#DIV/0!</v>
      </c>
      <c r="AQ359" s="15">
        <v>1</v>
      </c>
      <c r="AT359" s="15" t="e">
        <f t="shared" si="88"/>
        <v>#DIV/0!</v>
      </c>
      <c r="AZ359" s="16"/>
    </row>
    <row r="360" spans="7:52">
      <c r="G360" s="15" t="e">
        <f t="shared" si="90"/>
        <v>#DIV/0!</v>
      </c>
      <c r="P360" s="15" t="e">
        <f t="shared" si="91"/>
        <v>#DIV/0!</v>
      </c>
      <c r="R360" s="78"/>
      <c r="S360" s="85">
        <v>5</v>
      </c>
      <c r="AA360" s="2">
        <f t="shared" si="82"/>
        <v>1</v>
      </c>
      <c r="AC360" s="15">
        <f t="shared" si="93"/>
        <v>0</v>
      </c>
      <c r="AG360" s="85" t="e">
        <f t="shared" si="83"/>
        <v>#DIV/0!</v>
      </c>
      <c r="AH360" s="15" t="e">
        <f t="shared" si="84"/>
        <v>#DIV/0!</v>
      </c>
      <c r="AI360" s="15"/>
      <c r="AJ360" s="15">
        <f t="shared" si="85"/>
        <v>1</v>
      </c>
      <c r="AK360" s="15" t="e">
        <f t="shared" si="86"/>
        <v>#DIV/0!</v>
      </c>
      <c r="AL360" s="14">
        <f t="shared" si="87"/>
        <v>0</v>
      </c>
      <c r="AM360" s="14">
        <f t="shared" si="92"/>
        <v>0</v>
      </c>
      <c r="AP360" s="16" t="e">
        <f t="shared" si="89"/>
        <v>#DIV/0!</v>
      </c>
      <c r="AQ360" s="15">
        <v>1</v>
      </c>
      <c r="AT360" s="15" t="e">
        <f t="shared" si="88"/>
        <v>#DIV/0!</v>
      </c>
      <c r="AZ360" s="16"/>
    </row>
    <row r="361" spans="7:52">
      <c r="G361" s="15" t="e">
        <f t="shared" si="90"/>
        <v>#DIV/0!</v>
      </c>
      <c r="P361" s="15" t="e">
        <f t="shared" si="91"/>
        <v>#DIV/0!</v>
      </c>
      <c r="R361" s="78"/>
      <c r="S361" s="85">
        <v>5</v>
      </c>
      <c r="AA361" s="2">
        <f t="shared" si="82"/>
        <v>1</v>
      </c>
      <c r="AC361" s="15">
        <f t="shared" si="93"/>
        <v>0</v>
      </c>
      <c r="AG361" s="85" t="e">
        <f t="shared" si="83"/>
        <v>#DIV/0!</v>
      </c>
      <c r="AH361" s="15" t="e">
        <f t="shared" si="84"/>
        <v>#DIV/0!</v>
      </c>
      <c r="AI361" s="15"/>
      <c r="AJ361" s="15">
        <f t="shared" si="85"/>
        <v>1</v>
      </c>
      <c r="AK361" s="15" t="e">
        <f t="shared" si="86"/>
        <v>#DIV/0!</v>
      </c>
      <c r="AL361" s="14">
        <f t="shared" si="87"/>
        <v>0</v>
      </c>
      <c r="AM361" s="14">
        <f t="shared" si="92"/>
        <v>0</v>
      </c>
      <c r="AP361" s="16" t="e">
        <f t="shared" si="89"/>
        <v>#DIV/0!</v>
      </c>
      <c r="AQ361" s="15">
        <v>1</v>
      </c>
      <c r="AT361" s="15" t="e">
        <f t="shared" si="88"/>
        <v>#DIV/0!</v>
      </c>
      <c r="AZ361" s="16"/>
    </row>
    <row r="362" spans="7:52">
      <c r="G362" s="15" t="e">
        <f t="shared" si="90"/>
        <v>#DIV/0!</v>
      </c>
      <c r="P362" s="15" t="e">
        <f t="shared" si="91"/>
        <v>#DIV/0!</v>
      </c>
      <c r="R362" s="78"/>
      <c r="S362" s="85">
        <v>5</v>
      </c>
      <c r="AA362" s="2">
        <f t="shared" si="82"/>
        <v>1</v>
      </c>
      <c r="AC362" s="15">
        <f t="shared" si="93"/>
        <v>0</v>
      </c>
      <c r="AG362" s="85" t="e">
        <f t="shared" si="83"/>
        <v>#DIV/0!</v>
      </c>
      <c r="AH362" s="15" t="e">
        <f t="shared" si="84"/>
        <v>#DIV/0!</v>
      </c>
      <c r="AI362" s="15"/>
      <c r="AJ362" s="15">
        <f t="shared" si="85"/>
        <v>1</v>
      </c>
      <c r="AK362" s="15" t="e">
        <f t="shared" si="86"/>
        <v>#DIV/0!</v>
      </c>
      <c r="AL362" s="14">
        <f t="shared" si="87"/>
        <v>0</v>
      </c>
      <c r="AM362" s="14">
        <f t="shared" si="92"/>
        <v>0</v>
      </c>
      <c r="AP362" s="16" t="e">
        <f t="shared" si="89"/>
        <v>#DIV/0!</v>
      </c>
      <c r="AQ362" s="15">
        <v>1</v>
      </c>
      <c r="AT362" s="15" t="e">
        <f t="shared" si="88"/>
        <v>#DIV/0!</v>
      </c>
      <c r="AZ362" s="16"/>
    </row>
    <row r="363" spans="7:52">
      <c r="G363" s="15" t="e">
        <f t="shared" si="90"/>
        <v>#DIV/0!</v>
      </c>
      <c r="P363" s="15" t="e">
        <f t="shared" si="91"/>
        <v>#DIV/0!</v>
      </c>
      <c r="R363" s="78"/>
      <c r="S363" s="85">
        <v>5</v>
      </c>
      <c r="AA363" s="2">
        <f t="shared" si="82"/>
        <v>1</v>
      </c>
      <c r="AC363" s="15">
        <f t="shared" si="93"/>
        <v>0</v>
      </c>
      <c r="AG363" s="85" t="e">
        <f t="shared" si="83"/>
        <v>#DIV/0!</v>
      </c>
      <c r="AH363" s="15" t="e">
        <f t="shared" si="84"/>
        <v>#DIV/0!</v>
      </c>
      <c r="AI363" s="15"/>
      <c r="AJ363" s="15">
        <f t="shared" si="85"/>
        <v>1</v>
      </c>
      <c r="AK363" s="15" t="e">
        <f t="shared" si="86"/>
        <v>#DIV/0!</v>
      </c>
      <c r="AL363" s="14">
        <f t="shared" si="87"/>
        <v>0</v>
      </c>
      <c r="AM363" s="14">
        <f t="shared" si="92"/>
        <v>0</v>
      </c>
      <c r="AP363" s="16" t="e">
        <f t="shared" si="89"/>
        <v>#DIV/0!</v>
      </c>
      <c r="AQ363" s="15">
        <v>1</v>
      </c>
      <c r="AT363" s="15" t="e">
        <f t="shared" si="88"/>
        <v>#DIV/0!</v>
      </c>
      <c r="AZ363" s="16"/>
    </row>
    <row r="364" spans="7:52">
      <c r="G364" s="15" t="e">
        <f t="shared" si="90"/>
        <v>#DIV/0!</v>
      </c>
      <c r="P364" s="15" t="e">
        <f t="shared" si="91"/>
        <v>#DIV/0!</v>
      </c>
      <c r="R364" s="78"/>
      <c r="S364" s="85">
        <v>5</v>
      </c>
      <c r="AA364" s="2">
        <f t="shared" si="82"/>
        <v>1</v>
      </c>
      <c r="AC364" s="15">
        <f t="shared" si="93"/>
        <v>0</v>
      </c>
      <c r="AG364" s="85" t="e">
        <f t="shared" si="83"/>
        <v>#DIV/0!</v>
      </c>
      <c r="AH364" s="15" t="e">
        <f t="shared" si="84"/>
        <v>#DIV/0!</v>
      </c>
      <c r="AI364" s="15"/>
      <c r="AJ364" s="15">
        <f t="shared" si="85"/>
        <v>1</v>
      </c>
      <c r="AK364" s="15" t="e">
        <f t="shared" si="86"/>
        <v>#DIV/0!</v>
      </c>
      <c r="AL364" s="14">
        <f t="shared" si="87"/>
        <v>0</v>
      </c>
      <c r="AM364" s="14">
        <f t="shared" si="92"/>
        <v>0</v>
      </c>
      <c r="AP364" s="16" t="e">
        <f t="shared" si="89"/>
        <v>#DIV/0!</v>
      </c>
      <c r="AQ364" s="15">
        <v>1</v>
      </c>
      <c r="AT364" s="15" t="e">
        <f t="shared" si="88"/>
        <v>#DIV/0!</v>
      </c>
      <c r="AZ364" s="16"/>
    </row>
    <row r="365" spans="7:52">
      <c r="G365" s="15" t="e">
        <f t="shared" si="90"/>
        <v>#DIV/0!</v>
      </c>
      <c r="P365" s="15" t="e">
        <f t="shared" si="91"/>
        <v>#DIV/0!</v>
      </c>
      <c r="R365" s="78"/>
      <c r="S365" s="85">
        <v>5</v>
      </c>
      <c r="AA365" s="2">
        <f t="shared" si="82"/>
        <v>1</v>
      </c>
      <c r="AC365" s="15">
        <f t="shared" si="93"/>
        <v>0</v>
      </c>
      <c r="AG365" s="85" t="e">
        <f t="shared" si="83"/>
        <v>#DIV/0!</v>
      </c>
      <c r="AH365" s="15" t="e">
        <f t="shared" si="84"/>
        <v>#DIV/0!</v>
      </c>
      <c r="AI365" s="15"/>
      <c r="AJ365" s="15">
        <f t="shared" si="85"/>
        <v>1</v>
      </c>
      <c r="AK365" s="15" t="e">
        <f t="shared" si="86"/>
        <v>#DIV/0!</v>
      </c>
      <c r="AL365" s="14">
        <f t="shared" si="87"/>
        <v>0</v>
      </c>
      <c r="AM365" s="14">
        <f t="shared" si="92"/>
        <v>0</v>
      </c>
      <c r="AP365" s="16" t="e">
        <f t="shared" si="89"/>
        <v>#DIV/0!</v>
      </c>
      <c r="AQ365" s="15">
        <v>1</v>
      </c>
      <c r="AT365" s="15" t="e">
        <f t="shared" si="88"/>
        <v>#DIV/0!</v>
      </c>
      <c r="AZ365" s="16"/>
    </row>
    <row r="366" spans="7:52">
      <c r="G366" s="15" t="e">
        <f t="shared" si="90"/>
        <v>#DIV/0!</v>
      </c>
      <c r="P366" s="15" t="e">
        <f t="shared" si="91"/>
        <v>#DIV/0!</v>
      </c>
      <c r="R366" s="78"/>
      <c r="S366" s="85">
        <v>5</v>
      </c>
      <c r="AA366" s="2">
        <f t="shared" si="82"/>
        <v>1</v>
      </c>
      <c r="AC366" s="15">
        <f t="shared" si="93"/>
        <v>0</v>
      </c>
      <c r="AG366" s="85" t="e">
        <f t="shared" si="83"/>
        <v>#DIV/0!</v>
      </c>
      <c r="AH366" s="15" t="e">
        <f t="shared" si="84"/>
        <v>#DIV/0!</v>
      </c>
      <c r="AI366" s="15"/>
      <c r="AJ366" s="15">
        <f t="shared" si="85"/>
        <v>1</v>
      </c>
      <c r="AK366" s="15" t="e">
        <f t="shared" si="86"/>
        <v>#DIV/0!</v>
      </c>
      <c r="AL366" s="14">
        <f t="shared" si="87"/>
        <v>0</v>
      </c>
      <c r="AM366" s="14">
        <f t="shared" si="92"/>
        <v>0</v>
      </c>
      <c r="AP366" s="16" t="e">
        <f t="shared" si="89"/>
        <v>#DIV/0!</v>
      </c>
      <c r="AQ366" s="15">
        <v>1</v>
      </c>
      <c r="AT366" s="15" t="e">
        <f t="shared" si="88"/>
        <v>#DIV/0!</v>
      </c>
      <c r="AZ366" s="16"/>
    </row>
    <row r="367" spans="7:52">
      <c r="G367" s="15" t="e">
        <f t="shared" si="90"/>
        <v>#DIV/0!</v>
      </c>
      <c r="P367" s="15" t="e">
        <f t="shared" si="91"/>
        <v>#DIV/0!</v>
      </c>
      <c r="R367" s="78"/>
      <c r="S367" s="85">
        <v>5</v>
      </c>
      <c r="AA367" s="2">
        <f t="shared" si="82"/>
        <v>1</v>
      </c>
      <c r="AC367" s="15">
        <f t="shared" si="93"/>
        <v>0</v>
      </c>
      <c r="AG367" s="85" t="e">
        <f t="shared" si="83"/>
        <v>#DIV/0!</v>
      </c>
      <c r="AH367" s="15" t="e">
        <f t="shared" si="84"/>
        <v>#DIV/0!</v>
      </c>
      <c r="AI367" s="15"/>
      <c r="AJ367" s="15">
        <f t="shared" si="85"/>
        <v>1</v>
      </c>
      <c r="AK367" s="15" t="e">
        <f t="shared" si="86"/>
        <v>#DIV/0!</v>
      </c>
      <c r="AL367" s="14">
        <f t="shared" si="87"/>
        <v>0</v>
      </c>
      <c r="AM367" s="14">
        <f t="shared" si="92"/>
        <v>0</v>
      </c>
      <c r="AP367" s="16" t="e">
        <f t="shared" si="89"/>
        <v>#DIV/0!</v>
      </c>
      <c r="AQ367" s="15">
        <v>1</v>
      </c>
      <c r="AT367" s="15" t="e">
        <f t="shared" si="88"/>
        <v>#DIV/0!</v>
      </c>
      <c r="AZ367" s="16"/>
    </row>
    <row r="368" spans="7:52">
      <c r="G368" s="15" t="e">
        <f t="shared" si="90"/>
        <v>#DIV/0!</v>
      </c>
      <c r="P368" s="15" t="e">
        <f t="shared" si="91"/>
        <v>#DIV/0!</v>
      </c>
      <c r="R368" s="78"/>
      <c r="S368" s="85">
        <v>5</v>
      </c>
      <c r="AA368" s="2">
        <f t="shared" si="82"/>
        <v>1</v>
      </c>
      <c r="AC368" s="15">
        <f t="shared" si="93"/>
        <v>0</v>
      </c>
      <c r="AG368" s="85" t="e">
        <f t="shared" si="83"/>
        <v>#DIV/0!</v>
      </c>
      <c r="AH368" s="15" t="e">
        <f t="shared" si="84"/>
        <v>#DIV/0!</v>
      </c>
      <c r="AI368" s="15"/>
      <c r="AJ368" s="15">
        <f t="shared" si="85"/>
        <v>1</v>
      </c>
      <c r="AK368" s="15" t="e">
        <f t="shared" si="86"/>
        <v>#DIV/0!</v>
      </c>
      <c r="AL368" s="14">
        <f t="shared" si="87"/>
        <v>0</v>
      </c>
      <c r="AM368" s="14">
        <f t="shared" si="92"/>
        <v>0</v>
      </c>
      <c r="AP368" s="16" t="e">
        <f t="shared" si="89"/>
        <v>#DIV/0!</v>
      </c>
      <c r="AQ368" s="15">
        <v>1</v>
      </c>
      <c r="AT368" s="15" t="e">
        <f t="shared" si="88"/>
        <v>#DIV/0!</v>
      </c>
      <c r="AZ368" s="16"/>
    </row>
    <row r="369" spans="7:52">
      <c r="G369" s="15" t="e">
        <f t="shared" si="90"/>
        <v>#DIV/0!</v>
      </c>
      <c r="P369" s="15" t="e">
        <f t="shared" si="91"/>
        <v>#DIV/0!</v>
      </c>
      <c r="R369" s="78"/>
      <c r="S369" s="85">
        <v>5</v>
      </c>
      <c r="AA369" s="2">
        <f t="shared" si="82"/>
        <v>1</v>
      </c>
      <c r="AC369" s="15">
        <f t="shared" si="93"/>
        <v>0</v>
      </c>
      <c r="AG369" s="85" t="e">
        <f t="shared" si="83"/>
        <v>#DIV/0!</v>
      </c>
      <c r="AH369" s="15" t="e">
        <f t="shared" si="84"/>
        <v>#DIV/0!</v>
      </c>
      <c r="AI369" s="15"/>
      <c r="AJ369" s="15">
        <f t="shared" si="85"/>
        <v>1</v>
      </c>
      <c r="AK369" s="15" t="e">
        <f t="shared" si="86"/>
        <v>#DIV/0!</v>
      </c>
      <c r="AL369" s="14">
        <f t="shared" si="87"/>
        <v>0</v>
      </c>
      <c r="AM369" s="14">
        <f t="shared" si="92"/>
        <v>0</v>
      </c>
      <c r="AP369" s="16" t="e">
        <f t="shared" si="89"/>
        <v>#DIV/0!</v>
      </c>
      <c r="AQ369" s="15">
        <v>1</v>
      </c>
      <c r="AT369" s="15" t="e">
        <f t="shared" si="88"/>
        <v>#DIV/0!</v>
      </c>
      <c r="AZ369" s="16"/>
    </row>
    <row r="370" spans="7:52">
      <c r="G370" s="15" t="e">
        <f t="shared" si="90"/>
        <v>#DIV/0!</v>
      </c>
      <c r="P370" s="15" t="e">
        <f t="shared" si="91"/>
        <v>#DIV/0!</v>
      </c>
      <c r="R370" s="78"/>
      <c r="S370" s="85">
        <v>5</v>
      </c>
      <c r="AA370" s="2">
        <f t="shared" si="82"/>
        <v>1</v>
      </c>
      <c r="AC370" s="15">
        <f t="shared" si="93"/>
        <v>0</v>
      </c>
      <c r="AG370" s="85" t="e">
        <f t="shared" si="83"/>
        <v>#DIV/0!</v>
      </c>
      <c r="AH370" s="15" t="e">
        <f t="shared" si="84"/>
        <v>#DIV/0!</v>
      </c>
      <c r="AI370" s="15"/>
      <c r="AJ370" s="15">
        <f t="shared" si="85"/>
        <v>1</v>
      </c>
      <c r="AK370" s="15" t="e">
        <f t="shared" si="86"/>
        <v>#DIV/0!</v>
      </c>
      <c r="AL370" s="14">
        <f t="shared" si="87"/>
        <v>0</v>
      </c>
      <c r="AM370" s="14">
        <f t="shared" si="92"/>
        <v>0</v>
      </c>
      <c r="AP370" s="16" t="e">
        <f t="shared" si="89"/>
        <v>#DIV/0!</v>
      </c>
      <c r="AQ370" s="15">
        <v>1</v>
      </c>
      <c r="AT370" s="15" t="e">
        <f t="shared" si="88"/>
        <v>#DIV/0!</v>
      </c>
      <c r="AZ370" s="16"/>
    </row>
    <row r="371" spans="7:52">
      <c r="G371" s="15" t="e">
        <f t="shared" si="90"/>
        <v>#DIV/0!</v>
      </c>
      <c r="P371" s="15" t="e">
        <f t="shared" si="91"/>
        <v>#DIV/0!</v>
      </c>
      <c r="R371" s="78"/>
      <c r="S371" s="85">
        <v>5</v>
      </c>
      <c r="AA371" s="2">
        <f t="shared" si="82"/>
        <v>1</v>
      </c>
      <c r="AC371" s="15">
        <f t="shared" si="93"/>
        <v>0</v>
      </c>
      <c r="AG371" s="85" t="e">
        <f t="shared" si="83"/>
        <v>#DIV/0!</v>
      </c>
      <c r="AH371" s="15" t="e">
        <f t="shared" si="84"/>
        <v>#DIV/0!</v>
      </c>
      <c r="AI371" s="15"/>
      <c r="AJ371" s="15">
        <f t="shared" si="85"/>
        <v>1</v>
      </c>
      <c r="AK371" s="15" t="e">
        <f t="shared" si="86"/>
        <v>#DIV/0!</v>
      </c>
      <c r="AL371" s="14">
        <f t="shared" si="87"/>
        <v>0</v>
      </c>
      <c r="AM371" s="14">
        <f t="shared" si="92"/>
        <v>0</v>
      </c>
      <c r="AP371" s="16" t="e">
        <f t="shared" si="89"/>
        <v>#DIV/0!</v>
      </c>
      <c r="AQ371" s="15">
        <v>1</v>
      </c>
      <c r="AT371" s="15" t="e">
        <f t="shared" si="88"/>
        <v>#DIV/0!</v>
      </c>
      <c r="AZ371" s="16"/>
    </row>
    <row r="372" spans="7:52">
      <c r="G372" s="15" t="e">
        <f t="shared" si="90"/>
        <v>#DIV/0!</v>
      </c>
      <c r="P372" s="15" t="e">
        <f t="shared" si="91"/>
        <v>#DIV/0!</v>
      </c>
      <c r="R372" s="78"/>
      <c r="S372" s="85">
        <v>5</v>
      </c>
      <c r="AA372" s="2">
        <f t="shared" si="82"/>
        <v>1</v>
      </c>
      <c r="AC372" s="15">
        <f t="shared" ref="AC372:AC403" si="94">IF(U373&gt;9,1,0)+U373/3</f>
        <v>0</v>
      </c>
      <c r="AG372" s="85" t="e">
        <f t="shared" si="83"/>
        <v>#DIV/0!</v>
      </c>
      <c r="AH372" s="15" t="e">
        <f t="shared" si="84"/>
        <v>#DIV/0!</v>
      </c>
      <c r="AI372" s="15"/>
      <c r="AJ372" s="15">
        <f t="shared" si="85"/>
        <v>1</v>
      </c>
      <c r="AK372" s="15" t="e">
        <f t="shared" si="86"/>
        <v>#DIV/0!</v>
      </c>
      <c r="AL372" s="14">
        <f t="shared" si="87"/>
        <v>0</v>
      </c>
      <c r="AM372" s="14">
        <f t="shared" si="92"/>
        <v>0</v>
      </c>
      <c r="AP372" s="16" t="e">
        <f t="shared" si="89"/>
        <v>#DIV/0!</v>
      </c>
      <c r="AQ372" s="15">
        <v>1</v>
      </c>
      <c r="AT372" s="15" t="e">
        <f t="shared" si="88"/>
        <v>#DIV/0!</v>
      </c>
      <c r="AZ372" s="16"/>
    </row>
    <row r="373" spans="7:52">
      <c r="G373" s="15" t="e">
        <f t="shared" si="90"/>
        <v>#DIV/0!</v>
      </c>
      <c r="P373" s="15" t="e">
        <f t="shared" si="91"/>
        <v>#DIV/0!</v>
      </c>
      <c r="R373" s="78"/>
      <c r="S373" s="85">
        <v>5</v>
      </c>
      <c r="AA373" s="2">
        <f t="shared" si="82"/>
        <v>1</v>
      </c>
      <c r="AC373" s="15">
        <f t="shared" si="94"/>
        <v>0</v>
      </c>
      <c r="AG373" s="85" t="e">
        <f t="shared" si="83"/>
        <v>#DIV/0!</v>
      </c>
      <c r="AH373" s="15" t="e">
        <f t="shared" si="84"/>
        <v>#DIV/0!</v>
      </c>
      <c r="AI373" s="15"/>
      <c r="AJ373" s="15">
        <f t="shared" si="85"/>
        <v>1</v>
      </c>
      <c r="AK373" s="15" t="e">
        <f t="shared" si="86"/>
        <v>#DIV/0!</v>
      </c>
      <c r="AL373" s="14">
        <f t="shared" si="87"/>
        <v>0</v>
      </c>
      <c r="AM373" s="14">
        <f t="shared" si="92"/>
        <v>0</v>
      </c>
      <c r="AP373" s="16" t="e">
        <f t="shared" si="89"/>
        <v>#DIV/0!</v>
      </c>
      <c r="AQ373" s="15">
        <v>1</v>
      </c>
      <c r="AT373" s="15" t="e">
        <f t="shared" si="88"/>
        <v>#DIV/0!</v>
      </c>
      <c r="AZ373" s="16"/>
    </row>
    <row r="374" spans="7:52">
      <c r="G374" s="15" t="e">
        <f t="shared" si="90"/>
        <v>#DIV/0!</v>
      </c>
      <c r="P374" s="15" t="e">
        <f t="shared" si="91"/>
        <v>#DIV/0!</v>
      </c>
      <c r="R374" s="78"/>
      <c r="S374" s="85">
        <v>5</v>
      </c>
      <c r="AA374" s="2">
        <f t="shared" si="82"/>
        <v>1</v>
      </c>
      <c r="AC374" s="15">
        <f t="shared" si="94"/>
        <v>0</v>
      </c>
      <c r="AG374" s="85" t="e">
        <f t="shared" si="83"/>
        <v>#DIV/0!</v>
      </c>
      <c r="AH374" s="15" t="e">
        <f t="shared" si="84"/>
        <v>#DIV/0!</v>
      </c>
      <c r="AI374" s="15"/>
      <c r="AJ374" s="15">
        <f t="shared" si="85"/>
        <v>1</v>
      </c>
      <c r="AK374" s="15" t="e">
        <f t="shared" si="86"/>
        <v>#DIV/0!</v>
      </c>
      <c r="AL374" s="14">
        <f t="shared" si="87"/>
        <v>0</v>
      </c>
      <c r="AM374" s="14">
        <f t="shared" si="92"/>
        <v>0</v>
      </c>
      <c r="AP374" s="16" t="e">
        <f t="shared" si="89"/>
        <v>#DIV/0!</v>
      </c>
      <c r="AQ374" s="15">
        <v>1</v>
      </c>
      <c r="AT374" s="15" t="e">
        <f t="shared" si="88"/>
        <v>#DIV/0!</v>
      </c>
      <c r="AZ374" s="16"/>
    </row>
    <row r="375" spans="7:52">
      <c r="G375" s="15" t="e">
        <f t="shared" si="90"/>
        <v>#DIV/0!</v>
      </c>
      <c r="P375" s="15" t="e">
        <f t="shared" si="91"/>
        <v>#DIV/0!</v>
      </c>
      <c r="R375" s="78"/>
      <c r="S375" s="85">
        <v>5</v>
      </c>
      <c r="AA375" s="2">
        <f t="shared" si="82"/>
        <v>1</v>
      </c>
      <c r="AC375" s="15">
        <f t="shared" si="94"/>
        <v>0</v>
      </c>
      <c r="AG375" s="85" t="e">
        <f t="shared" si="83"/>
        <v>#DIV/0!</v>
      </c>
      <c r="AH375" s="15" t="e">
        <f t="shared" si="84"/>
        <v>#DIV/0!</v>
      </c>
      <c r="AI375" s="15"/>
      <c r="AJ375" s="15">
        <f t="shared" si="85"/>
        <v>1</v>
      </c>
      <c r="AK375" s="15" t="e">
        <f t="shared" si="86"/>
        <v>#DIV/0!</v>
      </c>
      <c r="AL375" s="14">
        <f t="shared" si="87"/>
        <v>0</v>
      </c>
      <c r="AM375" s="14">
        <f t="shared" si="92"/>
        <v>0</v>
      </c>
      <c r="AP375" s="16" t="e">
        <f t="shared" si="89"/>
        <v>#DIV/0!</v>
      </c>
      <c r="AQ375" s="15">
        <v>1</v>
      </c>
      <c r="AT375" s="15" t="e">
        <f t="shared" si="88"/>
        <v>#DIV/0!</v>
      </c>
      <c r="AZ375" s="16"/>
    </row>
    <row r="376" spans="7:52">
      <c r="G376" s="15" t="e">
        <f t="shared" si="90"/>
        <v>#DIV/0!</v>
      </c>
      <c r="P376" s="15" t="e">
        <f t="shared" si="91"/>
        <v>#DIV/0!</v>
      </c>
      <c r="R376" s="78"/>
      <c r="S376" s="85">
        <v>5</v>
      </c>
      <c r="AA376" s="2">
        <f t="shared" si="82"/>
        <v>1</v>
      </c>
      <c r="AC376" s="15">
        <f t="shared" si="94"/>
        <v>0</v>
      </c>
      <c r="AG376" s="85" t="e">
        <f t="shared" si="83"/>
        <v>#DIV/0!</v>
      </c>
      <c r="AH376" s="15" t="e">
        <f t="shared" si="84"/>
        <v>#DIV/0!</v>
      </c>
      <c r="AI376" s="15"/>
      <c r="AJ376" s="15">
        <f t="shared" si="85"/>
        <v>1</v>
      </c>
      <c r="AK376" s="15" t="e">
        <f t="shared" si="86"/>
        <v>#DIV/0!</v>
      </c>
      <c r="AL376" s="14">
        <f t="shared" si="87"/>
        <v>0</v>
      </c>
      <c r="AM376" s="14">
        <f t="shared" si="92"/>
        <v>0</v>
      </c>
      <c r="AP376" s="16" t="e">
        <f t="shared" si="89"/>
        <v>#DIV/0!</v>
      </c>
      <c r="AQ376" s="15">
        <v>1</v>
      </c>
      <c r="AT376" s="15" t="e">
        <f t="shared" si="88"/>
        <v>#DIV/0!</v>
      </c>
      <c r="AZ376" s="16"/>
    </row>
    <row r="377" spans="7:52">
      <c r="G377" s="15" t="e">
        <f t="shared" si="90"/>
        <v>#DIV/0!</v>
      </c>
      <c r="P377" s="15" t="e">
        <f t="shared" si="91"/>
        <v>#DIV/0!</v>
      </c>
      <c r="R377" s="78"/>
      <c r="S377" s="85">
        <v>5</v>
      </c>
      <c r="AA377" s="2">
        <f t="shared" si="82"/>
        <v>1</v>
      </c>
      <c r="AC377" s="15">
        <f t="shared" si="94"/>
        <v>0</v>
      </c>
      <c r="AG377" s="85" t="e">
        <f t="shared" si="83"/>
        <v>#DIV/0!</v>
      </c>
      <c r="AH377" s="15" t="e">
        <f t="shared" si="84"/>
        <v>#DIV/0!</v>
      </c>
      <c r="AI377" s="15"/>
      <c r="AJ377" s="15">
        <f t="shared" si="85"/>
        <v>1</v>
      </c>
      <c r="AK377" s="15" t="e">
        <f t="shared" si="86"/>
        <v>#DIV/0!</v>
      </c>
      <c r="AL377" s="14">
        <f t="shared" si="87"/>
        <v>0</v>
      </c>
      <c r="AM377" s="14">
        <f t="shared" si="92"/>
        <v>0</v>
      </c>
      <c r="AP377" s="16" t="e">
        <f t="shared" si="89"/>
        <v>#DIV/0!</v>
      </c>
      <c r="AQ377" s="15">
        <v>0.95</v>
      </c>
      <c r="AZ377" s="16"/>
    </row>
    <row r="378" spans="7:52">
      <c r="G378" s="15" t="e">
        <f t="shared" si="90"/>
        <v>#DIV/0!</v>
      </c>
      <c r="P378" s="15" t="e">
        <f t="shared" si="91"/>
        <v>#DIV/0!</v>
      </c>
      <c r="R378" s="78"/>
      <c r="S378" s="85">
        <v>5</v>
      </c>
      <c r="AA378" s="2">
        <f t="shared" si="82"/>
        <v>1</v>
      </c>
      <c r="AC378" s="15">
        <f t="shared" si="94"/>
        <v>0</v>
      </c>
      <c r="AG378" s="85" t="e">
        <f t="shared" si="83"/>
        <v>#DIV/0!</v>
      </c>
      <c r="AH378" s="15" t="e">
        <f t="shared" si="84"/>
        <v>#DIV/0!</v>
      </c>
      <c r="AI378" s="15"/>
      <c r="AJ378" s="15">
        <f t="shared" si="85"/>
        <v>1</v>
      </c>
      <c r="AK378" s="15" t="e">
        <f t="shared" si="86"/>
        <v>#DIV/0!</v>
      </c>
      <c r="AL378" s="14">
        <f t="shared" si="87"/>
        <v>0</v>
      </c>
      <c r="AM378" s="14">
        <f t="shared" si="92"/>
        <v>0</v>
      </c>
      <c r="AP378" s="16" t="e">
        <f t="shared" si="89"/>
        <v>#DIV/0!</v>
      </c>
      <c r="AQ378" s="15">
        <v>0.95</v>
      </c>
      <c r="AZ378" s="16"/>
    </row>
    <row r="379" spans="7:52">
      <c r="G379" s="15" t="e">
        <f t="shared" si="90"/>
        <v>#DIV/0!</v>
      </c>
      <c r="P379" s="15" t="e">
        <f t="shared" si="91"/>
        <v>#DIV/0!</v>
      </c>
      <c r="R379" s="78"/>
      <c r="S379" s="85">
        <v>5</v>
      </c>
      <c r="AA379" s="2">
        <f t="shared" si="82"/>
        <v>1</v>
      </c>
      <c r="AC379" s="15">
        <f t="shared" si="94"/>
        <v>0</v>
      </c>
      <c r="AG379" s="85" t="e">
        <f t="shared" si="83"/>
        <v>#DIV/0!</v>
      </c>
      <c r="AH379" s="15" t="e">
        <f t="shared" si="84"/>
        <v>#DIV/0!</v>
      </c>
      <c r="AI379" s="15"/>
      <c r="AJ379" s="15">
        <f t="shared" si="85"/>
        <v>1</v>
      </c>
      <c r="AK379" s="15" t="e">
        <f t="shared" si="86"/>
        <v>#DIV/0!</v>
      </c>
      <c r="AL379" s="14">
        <f t="shared" si="87"/>
        <v>0</v>
      </c>
      <c r="AM379" s="14">
        <f t="shared" si="92"/>
        <v>0</v>
      </c>
      <c r="AP379" s="16" t="e">
        <f t="shared" si="89"/>
        <v>#DIV/0!</v>
      </c>
      <c r="AQ379" s="15">
        <v>0.95</v>
      </c>
      <c r="AZ379" s="16"/>
    </row>
    <row r="380" spans="7:52">
      <c r="G380" s="15" t="e">
        <f t="shared" si="90"/>
        <v>#DIV/0!</v>
      </c>
      <c r="P380" s="15" t="e">
        <f t="shared" si="91"/>
        <v>#DIV/0!</v>
      </c>
      <c r="R380" s="78"/>
      <c r="S380" s="85">
        <v>5</v>
      </c>
      <c r="AA380" s="2">
        <f t="shared" si="82"/>
        <v>1</v>
      </c>
      <c r="AC380" s="15">
        <f t="shared" si="94"/>
        <v>0</v>
      </c>
      <c r="AG380" s="85" t="e">
        <f t="shared" si="83"/>
        <v>#DIV/0!</v>
      </c>
      <c r="AH380" s="15" t="e">
        <f t="shared" si="84"/>
        <v>#DIV/0!</v>
      </c>
      <c r="AI380" s="15"/>
      <c r="AJ380" s="15">
        <f t="shared" si="85"/>
        <v>1</v>
      </c>
      <c r="AK380" s="15" t="e">
        <f t="shared" si="86"/>
        <v>#DIV/0!</v>
      </c>
      <c r="AL380" s="14">
        <f t="shared" si="87"/>
        <v>0</v>
      </c>
      <c r="AM380" s="14">
        <f t="shared" si="92"/>
        <v>0</v>
      </c>
      <c r="AP380" s="16" t="e">
        <f t="shared" si="89"/>
        <v>#DIV/0!</v>
      </c>
      <c r="AQ380" s="15">
        <v>0.95</v>
      </c>
      <c r="AZ380" s="16"/>
    </row>
    <row r="381" spans="7:52">
      <c r="G381" s="15" t="e">
        <f t="shared" si="90"/>
        <v>#DIV/0!</v>
      </c>
      <c r="P381" s="15" t="e">
        <f t="shared" si="91"/>
        <v>#DIV/0!</v>
      </c>
      <c r="R381" s="78"/>
      <c r="S381" s="85">
        <v>5</v>
      </c>
      <c r="AA381" s="2">
        <f t="shared" si="82"/>
        <v>1</v>
      </c>
      <c r="AC381" s="15">
        <f t="shared" si="94"/>
        <v>0</v>
      </c>
      <c r="AG381" s="85" t="e">
        <f t="shared" si="83"/>
        <v>#DIV/0!</v>
      </c>
      <c r="AH381" s="15" t="e">
        <f t="shared" si="84"/>
        <v>#DIV/0!</v>
      </c>
      <c r="AI381" s="15"/>
      <c r="AJ381" s="15">
        <f t="shared" si="85"/>
        <v>1</v>
      </c>
      <c r="AK381" s="15" t="e">
        <f t="shared" si="86"/>
        <v>#DIV/0!</v>
      </c>
      <c r="AL381" s="14">
        <f t="shared" si="87"/>
        <v>0</v>
      </c>
      <c r="AM381" s="14">
        <f t="shared" si="92"/>
        <v>0</v>
      </c>
      <c r="AP381" s="16" t="e">
        <f t="shared" si="89"/>
        <v>#DIV/0!</v>
      </c>
      <c r="AQ381" s="15">
        <v>0.95</v>
      </c>
      <c r="AZ381" s="16"/>
    </row>
    <row r="382" spans="7:52">
      <c r="G382" s="15" t="e">
        <f t="shared" si="90"/>
        <v>#DIV/0!</v>
      </c>
      <c r="P382" s="15" t="e">
        <f t="shared" si="91"/>
        <v>#DIV/0!</v>
      </c>
      <c r="R382" s="78"/>
      <c r="S382" s="85">
        <v>5</v>
      </c>
      <c r="AA382" s="2">
        <f t="shared" si="82"/>
        <v>1</v>
      </c>
      <c r="AC382" s="15">
        <f t="shared" si="94"/>
        <v>0</v>
      </c>
      <c r="AG382" s="85" t="e">
        <f t="shared" si="83"/>
        <v>#DIV/0!</v>
      </c>
      <c r="AH382" s="15" t="e">
        <f t="shared" si="84"/>
        <v>#DIV/0!</v>
      </c>
      <c r="AI382" s="15"/>
      <c r="AJ382" s="15">
        <f t="shared" si="85"/>
        <v>1</v>
      </c>
      <c r="AK382" s="15" t="e">
        <f t="shared" si="86"/>
        <v>#DIV/0!</v>
      </c>
      <c r="AL382" s="14">
        <f t="shared" si="87"/>
        <v>0</v>
      </c>
      <c r="AM382" s="14">
        <f t="shared" si="92"/>
        <v>0</v>
      </c>
      <c r="AP382" s="16" t="e">
        <f t="shared" si="89"/>
        <v>#DIV/0!</v>
      </c>
      <c r="AQ382" s="15">
        <v>0.95</v>
      </c>
      <c r="AZ382" s="16"/>
    </row>
    <row r="383" spans="7:52">
      <c r="G383" s="15" t="e">
        <f t="shared" si="90"/>
        <v>#DIV/0!</v>
      </c>
      <c r="P383" s="15" t="e">
        <f t="shared" si="91"/>
        <v>#DIV/0!</v>
      </c>
      <c r="R383" s="78"/>
      <c r="S383" s="85">
        <v>5</v>
      </c>
      <c r="AA383" s="2">
        <f t="shared" si="82"/>
        <v>1</v>
      </c>
      <c r="AC383" s="15">
        <f t="shared" si="94"/>
        <v>0</v>
      </c>
      <c r="AG383" s="85" t="e">
        <f t="shared" si="83"/>
        <v>#DIV/0!</v>
      </c>
      <c r="AH383" s="15" t="e">
        <f t="shared" si="84"/>
        <v>#DIV/0!</v>
      </c>
      <c r="AI383" s="15"/>
      <c r="AJ383" s="15">
        <f t="shared" si="85"/>
        <v>1</v>
      </c>
      <c r="AK383" s="15" t="e">
        <f t="shared" si="86"/>
        <v>#DIV/0!</v>
      </c>
      <c r="AL383" s="14">
        <f t="shared" si="87"/>
        <v>0</v>
      </c>
      <c r="AM383" s="14">
        <f t="shared" si="92"/>
        <v>0</v>
      </c>
      <c r="AP383" s="16" t="e">
        <f t="shared" si="89"/>
        <v>#DIV/0!</v>
      </c>
      <c r="AQ383" s="15">
        <v>0.95</v>
      </c>
      <c r="AZ383" s="16"/>
    </row>
    <row r="384" spans="7:52">
      <c r="G384" s="15" t="e">
        <f t="shared" si="90"/>
        <v>#DIV/0!</v>
      </c>
      <c r="P384" s="15" t="e">
        <f t="shared" si="91"/>
        <v>#DIV/0!</v>
      </c>
      <c r="R384" s="78"/>
      <c r="S384" s="85">
        <v>5</v>
      </c>
      <c r="AA384" s="2">
        <f t="shared" si="82"/>
        <v>1</v>
      </c>
      <c r="AC384" s="15">
        <f t="shared" si="94"/>
        <v>0</v>
      </c>
      <c r="AG384" s="85" t="e">
        <f t="shared" si="83"/>
        <v>#DIV/0!</v>
      </c>
      <c r="AH384" s="15" t="e">
        <f t="shared" si="84"/>
        <v>#DIV/0!</v>
      </c>
      <c r="AI384" s="15"/>
      <c r="AJ384" s="15">
        <f t="shared" si="85"/>
        <v>1</v>
      </c>
      <c r="AK384" s="15" t="e">
        <f t="shared" si="86"/>
        <v>#DIV/0!</v>
      </c>
      <c r="AL384" s="14">
        <f t="shared" si="87"/>
        <v>0</v>
      </c>
      <c r="AM384" s="14">
        <f t="shared" si="92"/>
        <v>0</v>
      </c>
      <c r="AP384" s="16" t="e">
        <f t="shared" si="89"/>
        <v>#DIV/0!</v>
      </c>
      <c r="AQ384" s="15">
        <v>0.95</v>
      </c>
      <c r="AZ384" s="16"/>
    </row>
    <row r="385" spans="7:52">
      <c r="G385" s="15" t="e">
        <f t="shared" si="90"/>
        <v>#DIV/0!</v>
      </c>
      <c r="P385" s="15" t="e">
        <f t="shared" si="91"/>
        <v>#DIV/0!</v>
      </c>
      <c r="R385" s="78"/>
      <c r="S385" s="85">
        <v>5</v>
      </c>
      <c r="AA385" s="2">
        <f t="shared" ref="AA385:AA448" si="95">IF(X385&lt;50,IF(Y385&gt;(2.3*X385),0,1),1)-IF(Z385&gt;Y385,1.7,0)</f>
        <v>1</v>
      </c>
      <c r="AC385" s="15">
        <f t="shared" si="94"/>
        <v>0</v>
      </c>
      <c r="AG385" s="85" t="e">
        <f t="shared" ref="AG385:AG427" si="96">IF(G385&lt;52,0,0.7)+IF(G385&lt;34,0,0.7)+IF(G385&lt;1,0,0.7)+IF(P385&gt;14.56,0,1)+IF(R385&lt;9,0.5,0)+IF(R385&lt;33.8,0.5,0)+IF(R385&lt;50,0.5,0)+IF(R385&lt;80,0.5,0)+IF(S385=5,0,S385)+IF(V385&gt;0,1,0)+IF(AE385&lt;10.56,0,1)-IF(AE385&lt;3,1,0)-IF(AE385&lt;1,1,0)</f>
        <v>#DIV/0!</v>
      </c>
      <c r="AH385" s="15" t="e">
        <f t="shared" ref="AH385:AH448" si="97">AG385+IF(X385&lt;1.35,0,1)+IF(Y385&lt;1.35,0,1)+AC385+AA385</f>
        <v>#DIV/0!</v>
      </c>
      <c r="AI385" s="15"/>
      <c r="AJ385" s="15">
        <f t="shared" ref="AJ385:AJ448" si="98">IF(AI385&gt;12.7,IF(AI385&gt;15.8,0.93,0.98),1)</f>
        <v>1</v>
      </c>
      <c r="AK385" s="15" t="e">
        <f t="shared" ref="AK385:AK448" si="99">(1.2*AG385+AH385)*AJ385*AQ385</f>
        <v>#DIV/0!</v>
      </c>
      <c r="AL385" s="14">
        <f t="shared" ref="AL385:AL435" si="100">D385</f>
        <v>0</v>
      </c>
      <c r="AM385" s="14">
        <f t="shared" si="92"/>
        <v>0</v>
      </c>
      <c r="AP385" s="16" t="e">
        <f t="shared" si="89"/>
        <v>#DIV/0!</v>
      </c>
      <c r="AQ385" s="15">
        <v>0.95</v>
      </c>
      <c r="AZ385" s="16"/>
    </row>
    <row r="386" spans="7:52">
      <c r="G386" s="15" t="e">
        <f t="shared" si="90"/>
        <v>#DIV/0!</v>
      </c>
      <c r="P386" s="15" t="e">
        <f t="shared" si="91"/>
        <v>#DIV/0!</v>
      </c>
      <c r="R386" s="78"/>
      <c r="S386" s="85">
        <v>5</v>
      </c>
      <c r="AA386" s="2">
        <f t="shared" si="95"/>
        <v>1</v>
      </c>
      <c r="AC386" s="15">
        <f t="shared" si="94"/>
        <v>0</v>
      </c>
      <c r="AG386" s="85" t="e">
        <f t="shared" si="96"/>
        <v>#DIV/0!</v>
      </c>
      <c r="AH386" s="15" t="e">
        <f t="shared" si="97"/>
        <v>#DIV/0!</v>
      </c>
      <c r="AI386" s="15"/>
      <c r="AJ386" s="15">
        <f t="shared" si="98"/>
        <v>1</v>
      </c>
      <c r="AK386" s="15" t="e">
        <f t="shared" si="99"/>
        <v>#DIV/0!</v>
      </c>
      <c r="AL386" s="14">
        <f t="shared" si="100"/>
        <v>0</v>
      </c>
      <c r="AM386" s="14">
        <f t="shared" si="92"/>
        <v>0</v>
      </c>
      <c r="AP386" s="16" t="e">
        <f t="shared" si="89"/>
        <v>#DIV/0!</v>
      </c>
      <c r="AQ386" s="15">
        <v>0.95</v>
      </c>
      <c r="AZ386" s="16"/>
    </row>
    <row r="387" spans="7:52">
      <c r="G387" s="15" t="e">
        <f t="shared" si="90"/>
        <v>#DIV/0!</v>
      </c>
      <c r="P387" s="15" t="e">
        <f t="shared" si="91"/>
        <v>#DIV/0!</v>
      </c>
      <c r="R387" s="78"/>
      <c r="S387" s="85">
        <v>5</v>
      </c>
      <c r="AA387" s="2">
        <f t="shared" si="95"/>
        <v>1</v>
      </c>
      <c r="AC387" s="15">
        <f t="shared" si="94"/>
        <v>0</v>
      </c>
      <c r="AG387" s="85" t="e">
        <f t="shared" si="96"/>
        <v>#DIV/0!</v>
      </c>
      <c r="AH387" s="15" t="e">
        <f t="shared" si="97"/>
        <v>#DIV/0!</v>
      </c>
      <c r="AI387" s="15"/>
      <c r="AJ387" s="15">
        <f t="shared" si="98"/>
        <v>1</v>
      </c>
      <c r="AK387" s="15" t="e">
        <f t="shared" si="99"/>
        <v>#DIV/0!</v>
      </c>
      <c r="AL387" s="14">
        <f t="shared" si="100"/>
        <v>0</v>
      </c>
      <c r="AM387" s="14">
        <f t="shared" si="92"/>
        <v>0</v>
      </c>
      <c r="AP387" s="16" t="e">
        <f t="shared" si="89"/>
        <v>#DIV/0!</v>
      </c>
      <c r="AQ387" s="15">
        <v>0.95</v>
      </c>
      <c r="AZ387" s="16"/>
    </row>
    <row r="388" spans="7:52">
      <c r="G388" s="15" t="e">
        <f t="shared" si="90"/>
        <v>#DIV/0!</v>
      </c>
      <c r="P388" s="15" t="e">
        <f t="shared" si="91"/>
        <v>#DIV/0!</v>
      </c>
      <c r="R388" s="78"/>
      <c r="S388" s="85">
        <v>5</v>
      </c>
      <c r="AA388" s="2">
        <f t="shared" si="95"/>
        <v>1</v>
      </c>
      <c r="AC388" s="15">
        <f t="shared" si="94"/>
        <v>0</v>
      </c>
      <c r="AG388" s="85" t="e">
        <f t="shared" si="96"/>
        <v>#DIV/0!</v>
      </c>
      <c r="AH388" s="15" t="e">
        <f t="shared" si="97"/>
        <v>#DIV/0!</v>
      </c>
      <c r="AI388" s="15"/>
      <c r="AJ388" s="15">
        <f t="shared" si="98"/>
        <v>1</v>
      </c>
      <c r="AK388" s="15" t="e">
        <f t="shared" si="99"/>
        <v>#DIV/0!</v>
      </c>
      <c r="AL388" s="14">
        <f t="shared" si="100"/>
        <v>0</v>
      </c>
      <c r="AM388" s="14">
        <f t="shared" si="92"/>
        <v>0</v>
      </c>
      <c r="AP388" s="16" t="e">
        <f t="shared" si="89"/>
        <v>#DIV/0!</v>
      </c>
      <c r="AQ388" s="15">
        <v>0.95</v>
      </c>
      <c r="AZ388" s="16"/>
    </row>
    <row r="389" spans="7:52">
      <c r="G389" s="15" t="e">
        <f t="shared" si="90"/>
        <v>#DIV/0!</v>
      </c>
      <c r="P389" s="15" t="e">
        <f t="shared" si="91"/>
        <v>#DIV/0!</v>
      </c>
      <c r="R389" s="78"/>
      <c r="S389" s="85">
        <v>5</v>
      </c>
      <c r="AA389" s="2">
        <f t="shared" si="95"/>
        <v>1</v>
      </c>
      <c r="AC389" s="15">
        <f t="shared" si="94"/>
        <v>0</v>
      </c>
      <c r="AG389" s="85" t="e">
        <f t="shared" si="96"/>
        <v>#DIV/0!</v>
      </c>
      <c r="AH389" s="15" t="e">
        <f t="shared" si="97"/>
        <v>#DIV/0!</v>
      </c>
      <c r="AI389" s="15"/>
      <c r="AJ389" s="15">
        <f t="shared" si="98"/>
        <v>1</v>
      </c>
      <c r="AK389" s="15" t="e">
        <f t="shared" si="99"/>
        <v>#DIV/0!</v>
      </c>
      <c r="AL389" s="14">
        <f t="shared" si="100"/>
        <v>0</v>
      </c>
      <c r="AM389" s="14">
        <f t="shared" si="92"/>
        <v>0</v>
      </c>
      <c r="AP389" s="16" t="e">
        <f t="shared" si="89"/>
        <v>#DIV/0!</v>
      </c>
      <c r="AQ389" s="15">
        <v>0.95</v>
      </c>
      <c r="AZ389" s="16"/>
    </row>
    <row r="390" spans="7:52">
      <c r="G390" s="15" t="e">
        <f t="shared" si="90"/>
        <v>#DIV/0!</v>
      </c>
      <c r="P390" s="15" t="e">
        <f t="shared" si="91"/>
        <v>#DIV/0!</v>
      </c>
      <c r="R390" s="78"/>
      <c r="S390" s="85">
        <v>5</v>
      </c>
      <c r="AA390" s="2">
        <f t="shared" si="95"/>
        <v>1</v>
      </c>
      <c r="AC390" s="15">
        <f t="shared" si="94"/>
        <v>0</v>
      </c>
      <c r="AG390" s="85" t="e">
        <f t="shared" si="96"/>
        <v>#DIV/0!</v>
      </c>
      <c r="AH390" s="15" t="e">
        <f t="shared" si="97"/>
        <v>#DIV/0!</v>
      </c>
      <c r="AI390" s="15"/>
      <c r="AJ390" s="15">
        <f t="shared" si="98"/>
        <v>1</v>
      </c>
      <c r="AK390" s="15" t="e">
        <f t="shared" si="99"/>
        <v>#DIV/0!</v>
      </c>
      <c r="AL390" s="14">
        <f t="shared" si="100"/>
        <v>0</v>
      </c>
      <c r="AM390" s="14">
        <f t="shared" si="92"/>
        <v>0</v>
      </c>
      <c r="AP390" s="16" t="e">
        <f t="shared" si="89"/>
        <v>#DIV/0!</v>
      </c>
      <c r="AQ390" s="15">
        <v>0.95</v>
      </c>
      <c r="AZ390" s="16"/>
    </row>
    <row r="391" spans="7:52">
      <c r="G391" s="15" t="e">
        <f t="shared" si="90"/>
        <v>#DIV/0!</v>
      </c>
      <c r="P391" s="15" t="e">
        <f t="shared" si="91"/>
        <v>#DIV/0!</v>
      </c>
      <c r="R391" s="78"/>
      <c r="S391" s="85">
        <v>5</v>
      </c>
      <c r="AA391" s="2">
        <f t="shared" si="95"/>
        <v>1</v>
      </c>
      <c r="AC391" s="15">
        <f t="shared" si="94"/>
        <v>0</v>
      </c>
      <c r="AG391" s="85" t="e">
        <f t="shared" si="96"/>
        <v>#DIV/0!</v>
      </c>
      <c r="AH391" s="15" t="e">
        <f t="shared" si="97"/>
        <v>#DIV/0!</v>
      </c>
      <c r="AI391" s="15"/>
      <c r="AJ391" s="15">
        <f t="shared" si="98"/>
        <v>1</v>
      </c>
      <c r="AK391" s="15" t="e">
        <f t="shared" si="99"/>
        <v>#DIV/0!</v>
      </c>
      <c r="AL391" s="14">
        <f t="shared" si="100"/>
        <v>0</v>
      </c>
      <c r="AM391" s="14">
        <f t="shared" si="92"/>
        <v>0</v>
      </c>
      <c r="AP391" s="16" t="e">
        <f t="shared" si="89"/>
        <v>#DIV/0!</v>
      </c>
      <c r="AQ391" s="15">
        <v>0.95</v>
      </c>
      <c r="AZ391" s="16"/>
    </row>
    <row r="392" spans="7:52">
      <c r="G392" s="15" t="e">
        <f t="shared" si="90"/>
        <v>#DIV/0!</v>
      </c>
      <c r="P392" s="15" t="e">
        <f t="shared" si="91"/>
        <v>#DIV/0!</v>
      </c>
      <c r="R392" s="78"/>
      <c r="S392" s="85">
        <v>5</v>
      </c>
      <c r="AA392" s="2">
        <f t="shared" si="95"/>
        <v>1</v>
      </c>
      <c r="AC392" s="15">
        <f t="shared" si="94"/>
        <v>0</v>
      </c>
      <c r="AG392" s="85" t="e">
        <f t="shared" si="96"/>
        <v>#DIV/0!</v>
      </c>
      <c r="AH392" s="15" t="e">
        <f t="shared" si="97"/>
        <v>#DIV/0!</v>
      </c>
      <c r="AI392" s="15"/>
      <c r="AJ392" s="15">
        <f t="shared" si="98"/>
        <v>1</v>
      </c>
      <c r="AK392" s="15" t="e">
        <f t="shared" si="99"/>
        <v>#DIV/0!</v>
      </c>
      <c r="AL392" s="14">
        <f t="shared" si="100"/>
        <v>0</v>
      </c>
      <c r="AM392" s="14">
        <f t="shared" si="92"/>
        <v>0</v>
      </c>
      <c r="AP392" s="16" t="e">
        <f t="shared" si="89"/>
        <v>#DIV/0!</v>
      </c>
      <c r="AQ392" s="15">
        <v>0.95</v>
      </c>
      <c r="AZ392" s="16"/>
    </row>
    <row r="393" spans="7:52">
      <c r="G393" s="15" t="e">
        <f t="shared" si="90"/>
        <v>#DIV/0!</v>
      </c>
      <c r="P393" s="15" t="e">
        <f t="shared" si="91"/>
        <v>#DIV/0!</v>
      </c>
      <c r="R393" s="78"/>
      <c r="S393" s="85">
        <v>5</v>
      </c>
      <c r="AA393" s="2">
        <f t="shared" si="95"/>
        <v>1</v>
      </c>
      <c r="AC393" s="15">
        <f t="shared" si="94"/>
        <v>0</v>
      </c>
      <c r="AG393" s="85" t="e">
        <f t="shared" si="96"/>
        <v>#DIV/0!</v>
      </c>
      <c r="AH393" s="15" t="e">
        <f t="shared" si="97"/>
        <v>#DIV/0!</v>
      </c>
      <c r="AI393" s="15"/>
      <c r="AJ393" s="15">
        <f t="shared" si="98"/>
        <v>1</v>
      </c>
      <c r="AK393" s="15" t="e">
        <f t="shared" si="99"/>
        <v>#DIV/0!</v>
      </c>
      <c r="AL393" s="14">
        <f t="shared" si="100"/>
        <v>0</v>
      </c>
      <c r="AM393" s="14">
        <f t="shared" si="92"/>
        <v>0</v>
      </c>
      <c r="AP393" s="16" t="e">
        <f t="shared" si="89"/>
        <v>#DIV/0!</v>
      </c>
      <c r="AQ393" s="15">
        <v>0.95</v>
      </c>
      <c r="AZ393" s="16"/>
    </row>
    <row r="394" spans="7:52">
      <c r="G394" s="15" t="e">
        <f t="shared" si="90"/>
        <v>#DIV/0!</v>
      </c>
      <c r="P394" s="15" t="e">
        <f t="shared" si="91"/>
        <v>#DIV/0!</v>
      </c>
      <c r="R394" s="78"/>
      <c r="S394" s="85">
        <v>5</v>
      </c>
      <c r="AA394" s="2">
        <f t="shared" si="95"/>
        <v>1</v>
      </c>
      <c r="AC394" s="15">
        <f t="shared" si="94"/>
        <v>0</v>
      </c>
      <c r="AG394" s="85" t="e">
        <f t="shared" si="96"/>
        <v>#DIV/0!</v>
      </c>
      <c r="AH394" s="15" t="e">
        <f t="shared" si="97"/>
        <v>#DIV/0!</v>
      </c>
      <c r="AI394" s="15"/>
      <c r="AJ394" s="15">
        <f t="shared" si="98"/>
        <v>1</v>
      </c>
      <c r="AK394" s="15" t="e">
        <f t="shared" si="99"/>
        <v>#DIV/0!</v>
      </c>
      <c r="AL394" s="14">
        <f t="shared" si="100"/>
        <v>0</v>
      </c>
      <c r="AM394" s="14">
        <f t="shared" si="92"/>
        <v>0</v>
      </c>
      <c r="AP394" s="16" t="e">
        <f t="shared" si="89"/>
        <v>#DIV/0!</v>
      </c>
      <c r="AQ394" s="15">
        <v>0.95</v>
      </c>
      <c r="AZ394" s="16"/>
    </row>
    <row r="395" spans="7:52">
      <c r="G395" s="15" t="e">
        <f t="shared" si="90"/>
        <v>#DIV/0!</v>
      </c>
      <c r="P395" s="15" t="e">
        <f t="shared" si="91"/>
        <v>#DIV/0!</v>
      </c>
      <c r="R395" s="78"/>
      <c r="S395" s="85">
        <v>5</v>
      </c>
      <c r="AA395" s="2">
        <f t="shared" si="95"/>
        <v>1</v>
      </c>
      <c r="AC395" s="15">
        <f t="shared" si="94"/>
        <v>0</v>
      </c>
      <c r="AG395" s="85" t="e">
        <f t="shared" si="96"/>
        <v>#DIV/0!</v>
      </c>
      <c r="AH395" s="15" t="e">
        <f t="shared" si="97"/>
        <v>#DIV/0!</v>
      </c>
      <c r="AI395" s="15"/>
      <c r="AJ395" s="15">
        <f t="shared" si="98"/>
        <v>1</v>
      </c>
      <c r="AK395" s="15" t="e">
        <f t="shared" si="99"/>
        <v>#DIV/0!</v>
      </c>
      <c r="AL395" s="14">
        <f t="shared" si="100"/>
        <v>0</v>
      </c>
      <c r="AM395" s="14">
        <f t="shared" si="92"/>
        <v>0</v>
      </c>
      <c r="AP395" s="16" t="e">
        <f t="shared" si="89"/>
        <v>#DIV/0!</v>
      </c>
      <c r="AQ395" s="15">
        <v>0.95</v>
      </c>
      <c r="AZ395" s="16"/>
    </row>
    <row r="396" spans="7:52">
      <c r="G396" s="15" t="e">
        <f t="shared" si="90"/>
        <v>#DIV/0!</v>
      </c>
      <c r="P396" s="15" t="e">
        <f t="shared" si="91"/>
        <v>#DIV/0!</v>
      </c>
      <c r="R396" s="78"/>
      <c r="S396" s="85">
        <v>5</v>
      </c>
      <c r="AA396" s="2">
        <f t="shared" si="95"/>
        <v>1</v>
      </c>
      <c r="AC396" s="15">
        <f t="shared" si="94"/>
        <v>0</v>
      </c>
      <c r="AG396" s="85" t="e">
        <f t="shared" si="96"/>
        <v>#DIV/0!</v>
      </c>
      <c r="AH396" s="15" t="e">
        <f t="shared" si="97"/>
        <v>#DIV/0!</v>
      </c>
      <c r="AI396" s="15"/>
      <c r="AJ396" s="15">
        <f t="shared" si="98"/>
        <v>1</v>
      </c>
      <c r="AK396" s="15" t="e">
        <f t="shared" si="99"/>
        <v>#DIV/0!</v>
      </c>
      <c r="AL396" s="14">
        <f t="shared" si="100"/>
        <v>0</v>
      </c>
      <c r="AM396" s="14">
        <f t="shared" si="92"/>
        <v>0</v>
      </c>
      <c r="AP396" s="16" t="e">
        <f t="shared" si="89"/>
        <v>#DIV/0!</v>
      </c>
      <c r="AQ396" s="15">
        <v>0.95</v>
      </c>
      <c r="AZ396" s="16"/>
    </row>
    <row r="397" spans="7:52">
      <c r="G397" s="15" t="e">
        <f t="shared" si="90"/>
        <v>#DIV/0!</v>
      </c>
      <c r="P397" s="15" t="e">
        <f t="shared" si="91"/>
        <v>#DIV/0!</v>
      </c>
      <c r="R397" s="78"/>
      <c r="S397" s="85">
        <v>5</v>
      </c>
      <c r="AA397" s="2">
        <f t="shared" si="95"/>
        <v>1</v>
      </c>
      <c r="AC397" s="15">
        <f t="shared" si="94"/>
        <v>0</v>
      </c>
      <c r="AG397" s="85" t="e">
        <f t="shared" si="96"/>
        <v>#DIV/0!</v>
      </c>
      <c r="AH397" s="15" t="e">
        <f t="shared" si="97"/>
        <v>#DIV/0!</v>
      </c>
      <c r="AI397" s="15"/>
      <c r="AJ397" s="15">
        <f t="shared" si="98"/>
        <v>1</v>
      </c>
      <c r="AK397" s="15" t="e">
        <f t="shared" si="99"/>
        <v>#DIV/0!</v>
      </c>
      <c r="AL397" s="14">
        <f t="shared" si="100"/>
        <v>0</v>
      </c>
      <c r="AM397" s="14">
        <f t="shared" si="92"/>
        <v>0</v>
      </c>
      <c r="AP397" s="16" t="e">
        <f t="shared" ref="AP397:AP431" si="101">IF(AK397&gt;13.1,IF(Z397&lt;101,IF(Z397&lt;35,IF(Z397&lt;8,3,2),1),0),0)</f>
        <v>#DIV/0!</v>
      </c>
      <c r="AQ397" s="15">
        <v>0.95</v>
      </c>
      <c r="AZ397" s="16"/>
    </row>
    <row r="398" spans="7:52">
      <c r="G398" s="15" t="e">
        <f t="shared" si="90"/>
        <v>#DIV/0!</v>
      </c>
      <c r="P398" s="15" t="e">
        <f t="shared" si="91"/>
        <v>#DIV/0!</v>
      </c>
      <c r="R398" s="78"/>
      <c r="S398" s="85">
        <v>5</v>
      </c>
      <c r="AA398" s="2">
        <f t="shared" si="95"/>
        <v>1</v>
      </c>
      <c r="AC398" s="15">
        <f t="shared" si="94"/>
        <v>0</v>
      </c>
      <c r="AG398" s="85" t="e">
        <f t="shared" si="96"/>
        <v>#DIV/0!</v>
      </c>
      <c r="AH398" s="15" t="e">
        <f t="shared" si="97"/>
        <v>#DIV/0!</v>
      </c>
      <c r="AI398" s="15"/>
      <c r="AJ398" s="15">
        <f t="shared" si="98"/>
        <v>1</v>
      </c>
      <c r="AK398" s="15" t="e">
        <f t="shared" si="99"/>
        <v>#DIV/0!</v>
      </c>
      <c r="AL398" s="14">
        <f t="shared" si="100"/>
        <v>0</v>
      </c>
      <c r="AM398" s="14">
        <f t="shared" si="92"/>
        <v>0</v>
      </c>
      <c r="AP398" s="16" t="e">
        <f t="shared" si="101"/>
        <v>#DIV/0!</v>
      </c>
      <c r="AQ398" s="15">
        <v>0.95</v>
      </c>
      <c r="AZ398" s="16"/>
    </row>
    <row r="399" spans="7:52">
      <c r="G399" s="15" t="e">
        <f t="shared" si="90"/>
        <v>#DIV/0!</v>
      </c>
      <c r="P399" s="15" t="e">
        <f t="shared" si="91"/>
        <v>#DIV/0!</v>
      </c>
      <c r="R399" s="78"/>
      <c r="S399" s="85">
        <v>5</v>
      </c>
      <c r="AA399" s="2">
        <f t="shared" si="95"/>
        <v>1</v>
      </c>
      <c r="AC399" s="15">
        <f t="shared" si="94"/>
        <v>0</v>
      </c>
      <c r="AG399" s="85" t="e">
        <f t="shared" si="96"/>
        <v>#DIV/0!</v>
      </c>
      <c r="AH399" s="15" t="e">
        <f t="shared" si="97"/>
        <v>#DIV/0!</v>
      </c>
      <c r="AI399" s="15"/>
      <c r="AJ399" s="15">
        <f t="shared" si="98"/>
        <v>1</v>
      </c>
      <c r="AK399" s="15" t="e">
        <f t="shared" si="99"/>
        <v>#DIV/0!</v>
      </c>
      <c r="AL399" s="14">
        <f t="shared" si="100"/>
        <v>0</v>
      </c>
      <c r="AM399" s="14">
        <f t="shared" si="92"/>
        <v>0</v>
      </c>
      <c r="AP399" s="16" t="e">
        <f t="shared" si="101"/>
        <v>#DIV/0!</v>
      </c>
      <c r="AQ399" s="15">
        <v>0.95</v>
      </c>
      <c r="AZ399" s="16"/>
    </row>
    <row r="400" spans="7:52">
      <c r="G400" s="15" t="e">
        <f t="shared" si="90"/>
        <v>#DIV/0!</v>
      </c>
      <c r="P400" s="15" t="e">
        <f t="shared" si="91"/>
        <v>#DIV/0!</v>
      </c>
      <c r="R400" s="78"/>
      <c r="S400" s="85">
        <v>5</v>
      </c>
      <c r="AA400" s="2">
        <f t="shared" si="95"/>
        <v>1</v>
      </c>
      <c r="AC400" s="15">
        <f t="shared" si="94"/>
        <v>0</v>
      </c>
      <c r="AG400" s="85" t="e">
        <f t="shared" si="96"/>
        <v>#DIV/0!</v>
      </c>
      <c r="AH400" s="15" t="e">
        <f t="shared" si="97"/>
        <v>#DIV/0!</v>
      </c>
      <c r="AI400" s="15"/>
      <c r="AJ400" s="15">
        <f t="shared" si="98"/>
        <v>1</v>
      </c>
      <c r="AK400" s="15" t="e">
        <f t="shared" si="99"/>
        <v>#DIV/0!</v>
      </c>
      <c r="AL400" s="14">
        <f t="shared" si="100"/>
        <v>0</v>
      </c>
      <c r="AM400" s="14">
        <f t="shared" si="92"/>
        <v>0</v>
      </c>
      <c r="AP400" s="16" t="e">
        <f t="shared" si="101"/>
        <v>#DIV/0!</v>
      </c>
      <c r="AQ400" s="15">
        <v>0.95</v>
      </c>
      <c r="AZ400" s="16"/>
    </row>
    <row r="401" spans="7:52">
      <c r="G401" s="15" t="e">
        <f t="shared" si="90"/>
        <v>#DIV/0!</v>
      </c>
      <c r="P401" s="15" t="e">
        <f t="shared" si="91"/>
        <v>#DIV/0!</v>
      </c>
      <c r="R401" s="78"/>
      <c r="S401" s="85">
        <v>5</v>
      </c>
      <c r="AA401" s="2">
        <f t="shared" si="95"/>
        <v>1</v>
      </c>
      <c r="AC401" s="15">
        <f t="shared" si="94"/>
        <v>0</v>
      </c>
      <c r="AG401" s="85" t="e">
        <f t="shared" si="96"/>
        <v>#DIV/0!</v>
      </c>
      <c r="AH401" s="15" t="e">
        <f t="shared" si="97"/>
        <v>#DIV/0!</v>
      </c>
      <c r="AI401" s="15"/>
      <c r="AJ401" s="15">
        <f t="shared" si="98"/>
        <v>1</v>
      </c>
      <c r="AK401" s="15" t="e">
        <f t="shared" si="99"/>
        <v>#DIV/0!</v>
      </c>
      <c r="AL401" s="14">
        <f t="shared" si="100"/>
        <v>0</v>
      </c>
      <c r="AM401" s="14">
        <f t="shared" si="92"/>
        <v>0</v>
      </c>
      <c r="AP401" s="16" t="e">
        <f t="shared" si="101"/>
        <v>#DIV/0!</v>
      </c>
      <c r="AQ401" s="15">
        <v>0.95</v>
      </c>
      <c r="AZ401" s="16"/>
    </row>
    <row r="402" spans="7:52">
      <c r="G402" s="15" t="e">
        <f t="shared" ref="G402:G465" si="102">100*(F402-E402)/F402</f>
        <v>#DIV/0!</v>
      </c>
      <c r="P402" s="15" t="e">
        <f t="shared" ref="P402:P465" si="103">O402/I402</f>
        <v>#DIV/0!</v>
      </c>
      <c r="R402" s="78"/>
      <c r="S402" s="85">
        <v>5</v>
      </c>
      <c r="AA402" s="2">
        <f t="shared" si="95"/>
        <v>1</v>
      </c>
      <c r="AC402" s="15">
        <f t="shared" si="94"/>
        <v>0</v>
      </c>
      <c r="AG402" s="85" t="e">
        <f t="shared" si="96"/>
        <v>#DIV/0!</v>
      </c>
      <c r="AH402" s="15" t="e">
        <f t="shared" si="97"/>
        <v>#DIV/0!</v>
      </c>
      <c r="AI402" s="15"/>
      <c r="AJ402" s="15">
        <f t="shared" si="98"/>
        <v>1</v>
      </c>
      <c r="AK402" s="15" t="e">
        <f t="shared" si="99"/>
        <v>#DIV/0!</v>
      </c>
      <c r="AL402" s="14">
        <f t="shared" si="100"/>
        <v>0</v>
      </c>
      <c r="AM402" s="14">
        <f t="shared" ref="AM402:AM435" si="104">B402</f>
        <v>0</v>
      </c>
      <c r="AP402" s="16" t="e">
        <f t="shared" si="101"/>
        <v>#DIV/0!</v>
      </c>
      <c r="AQ402" s="15">
        <v>0.95</v>
      </c>
      <c r="AZ402" s="16"/>
    </row>
    <row r="403" spans="7:52">
      <c r="G403" s="15" t="e">
        <f t="shared" si="102"/>
        <v>#DIV/0!</v>
      </c>
      <c r="P403" s="15" t="e">
        <f t="shared" si="103"/>
        <v>#DIV/0!</v>
      </c>
      <c r="R403" s="78"/>
      <c r="S403" s="85">
        <v>5</v>
      </c>
      <c r="AA403" s="2">
        <f t="shared" si="95"/>
        <v>1</v>
      </c>
      <c r="AC403" s="15">
        <f t="shared" si="94"/>
        <v>0</v>
      </c>
      <c r="AG403" s="85" t="e">
        <f t="shared" si="96"/>
        <v>#DIV/0!</v>
      </c>
      <c r="AH403" s="15" t="e">
        <f t="shared" si="97"/>
        <v>#DIV/0!</v>
      </c>
      <c r="AI403" s="15"/>
      <c r="AJ403" s="15">
        <f t="shared" si="98"/>
        <v>1</v>
      </c>
      <c r="AK403" s="15" t="e">
        <f t="shared" si="99"/>
        <v>#DIV/0!</v>
      </c>
      <c r="AL403" s="14">
        <f t="shared" si="100"/>
        <v>0</v>
      </c>
      <c r="AM403" s="14">
        <f t="shared" si="104"/>
        <v>0</v>
      </c>
      <c r="AP403" s="16" t="e">
        <f t="shared" si="101"/>
        <v>#DIV/0!</v>
      </c>
      <c r="AQ403" s="15">
        <v>0.95</v>
      </c>
      <c r="AZ403" s="16"/>
    </row>
    <row r="404" spans="7:52">
      <c r="G404" s="15" t="e">
        <f t="shared" si="102"/>
        <v>#DIV/0!</v>
      </c>
      <c r="P404" s="15" t="e">
        <f t="shared" si="103"/>
        <v>#DIV/0!</v>
      </c>
      <c r="R404" s="78"/>
      <c r="S404" s="85">
        <v>5</v>
      </c>
      <c r="AA404" s="2">
        <f t="shared" si="95"/>
        <v>1</v>
      </c>
      <c r="AC404" s="15">
        <f t="shared" ref="AC404:AC429" si="105">IF(U405&gt;9,1,0)+U405/3</f>
        <v>0</v>
      </c>
      <c r="AG404" s="85" t="e">
        <f t="shared" si="96"/>
        <v>#DIV/0!</v>
      </c>
      <c r="AH404" s="15" t="e">
        <f t="shared" si="97"/>
        <v>#DIV/0!</v>
      </c>
      <c r="AI404" s="15"/>
      <c r="AJ404" s="15">
        <f t="shared" si="98"/>
        <v>1</v>
      </c>
      <c r="AK404" s="15" t="e">
        <f t="shared" si="99"/>
        <v>#DIV/0!</v>
      </c>
      <c r="AL404" s="14">
        <f t="shared" si="100"/>
        <v>0</v>
      </c>
      <c r="AM404" s="14">
        <f t="shared" si="104"/>
        <v>0</v>
      </c>
      <c r="AP404" s="16" t="e">
        <f t="shared" si="101"/>
        <v>#DIV/0!</v>
      </c>
      <c r="AQ404" s="15">
        <v>0.95</v>
      </c>
      <c r="AZ404" s="16"/>
    </row>
    <row r="405" spans="7:52">
      <c r="G405" s="15" t="e">
        <f t="shared" si="102"/>
        <v>#DIV/0!</v>
      </c>
      <c r="P405" s="15" t="e">
        <f t="shared" si="103"/>
        <v>#DIV/0!</v>
      </c>
      <c r="R405" s="78"/>
      <c r="S405" s="85">
        <v>5</v>
      </c>
      <c r="AA405" s="2">
        <f t="shared" si="95"/>
        <v>1</v>
      </c>
      <c r="AC405" s="15">
        <f t="shared" si="105"/>
        <v>0</v>
      </c>
      <c r="AG405" s="85" t="e">
        <f t="shared" si="96"/>
        <v>#DIV/0!</v>
      </c>
      <c r="AH405" s="15" t="e">
        <f t="shared" si="97"/>
        <v>#DIV/0!</v>
      </c>
      <c r="AI405" s="15"/>
      <c r="AJ405" s="15">
        <f t="shared" si="98"/>
        <v>1</v>
      </c>
      <c r="AK405" s="15" t="e">
        <f t="shared" si="99"/>
        <v>#DIV/0!</v>
      </c>
      <c r="AL405" s="14">
        <f t="shared" si="100"/>
        <v>0</v>
      </c>
      <c r="AM405" s="14">
        <f t="shared" si="104"/>
        <v>0</v>
      </c>
      <c r="AP405" s="16" t="e">
        <f t="shared" si="101"/>
        <v>#DIV/0!</v>
      </c>
      <c r="AQ405" s="15">
        <v>0.95</v>
      </c>
      <c r="AZ405" s="16">
        <f t="shared" ref="AZ405:AZ442" si="106">AY405+(AY405*AB405)/100</f>
        <v>0</v>
      </c>
    </row>
    <row r="406" spans="7:52">
      <c r="G406" s="15" t="e">
        <f t="shared" si="102"/>
        <v>#DIV/0!</v>
      </c>
      <c r="P406" s="15" t="e">
        <f t="shared" si="103"/>
        <v>#DIV/0!</v>
      </c>
      <c r="R406" s="78"/>
      <c r="S406" s="85">
        <v>5</v>
      </c>
      <c r="AA406" s="2">
        <f t="shared" si="95"/>
        <v>1</v>
      </c>
      <c r="AC406" s="15">
        <f t="shared" si="105"/>
        <v>0</v>
      </c>
      <c r="AG406" s="85" t="e">
        <f t="shared" si="96"/>
        <v>#DIV/0!</v>
      </c>
      <c r="AH406" s="15" t="e">
        <f t="shared" si="97"/>
        <v>#DIV/0!</v>
      </c>
      <c r="AI406" s="15"/>
      <c r="AJ406" s="15">
        <f t="shared" si="98"/>
        <v>1</v>
      </c>
      <c r="AK406" s="15" t="e">
        <f t="shared" si="99"/>
        <v>#DIV/0!</v>
      </c>
      <c r="AL406" s="14">
        <f t="shared" si="100"/>
        <v>0</v>
      </c>
      <c r="AM406" s="14">
        <f t="shared" si="104"/>
        <v>0</v>
      </c>
      <c r="AP406" s="16" t="e">
        <f t="shared" si="101"/>
        <v>#DIV/0!</v>
      </c>
      <c r="AQ406" s="15">
        <v>0.95</v>
      </c>
      <c r="AZ406" s="16">
        <f t="shared" si="106"/>
        <v>0</v>
      </c>
    </row>
    <row r="407" spans="7:52">
      <c r="G407" s="15" t="e">
        <f t="shared" si="102"/>
        <v>#DIV/0!</v>
      </c>
      <c r="P407" s="15" t="e">
        <f t="shared" si="103"/>
        <v>#DIV/0!</v>
      </c>
      <c r="R407" s="78"/>
      <c r="S407" s="85">
        <v>5</v>
      </c>
      <c r="AA407" s="2">
        <f t="shared" si="95"/>
        <v>1</v>
      </c>
      <c r="AC407" s="15">
        <f t="shared" si="105"/>
        <v>0</v>
      </c>
      <c r="AG407" s="85" t="e">
        <f t="shared" si="96"/>
        <v>#DIV/0!</v>
      </c>
      <c r="AH407" s="15" t="e">
        <f t="shared" si="97"/>
        <v>#DIV/0!</v>
      </c>
      <c r="AI407" s="15"/>
      <c r="AJ407" s="15">
        <f t="shared" si="98"/>
        <v>1</v>
      </c>
      <c r="AK407" s="15" t="e">
        <f t="shared" si="99"/>
        <v>#DIV/0!</v>
      </c>
      <c r="AL407" s="14">
        <f t="shared" si="100"/>
        <v>0</v>
      </c>
      <c r="AM407" s="14">
        <f t="shared" si="104"/>
        <v>0</v>
      </c>
      <c r="AP407" s="16" t="e">
        <f t="shared" si="101"/>
        <v>#DIV/0!</v>
      </c>
      <c r="AQ407" s="15">
        <v>0.95</v>
      </c>
      <c r="AZ407" s="16">
        <f t="shared" si="106"/>
        <v>0</v>
      </c>
    </row>
    <row r="408" spans="7:52">
      <c r="G408" s="15" t="e">
        <f t="shared" si="102"/>
        <v>#DIV/0!</v>
      </c>
      <c r="P408" s="15" t="e">
        <f t="shared" si="103"/>
        <v>#DIV/0!</v>
      </c>
      <c r="R408" s="78"/>
      <c r="S408" s="85">
        <v>5</v>
      </c>
      <c r="AA408" s="2">
        <f t="shared" si="95"/>
        <v>1</v>
      </c>
      <c r="AC408" s="15">
        <f t="shared" si="105"/>
        <v>0</v>
      </c>
      <c r="AG408" s="85" t="e">
        <f t="shared" si="96"/>
        <v>#DIV/0!</v>
      </c>
      <c r="AH408" s="15" t="e">
        <f t="shared" si="97"/>
        <v>#DIV/0!</v>
      </c>
      <c r="AI408" s="15"/>
      <c r="AJ408" s="15">
        <f t="shared" si="98"/>
        <v>1</v>
      </c>
      <c r="AK408" s="15" t="e">
        <f t="shared" si="99"/>
        <v>#DIV/0!</v>
      </c>
      <c r="AL408" s="14">
        <f t="shared" si="100"/>
        <v>0</v>
      </c>
      <c r="AM408" s="14">
        <f t="shared" si="104"/>
        <v>0</v>
      </c>
      <c r="AP408" s="16" t="e">
        <f t="shared" si="101"/>
        <v>#DIV/0!</v>
      </c>
      <c r="AQ408" s="15">
        <v>0.95</v>
      </c>
      <c r="AZ408" s="16">
        <f t="shared" si="106"/>
        <v>0</v>
      </c>
    </row>
    <row r="409" spans="7:52">
      <c r="G409" s="15" t="e">
        <f t="shared" si="102"/>
        <v>#DIV/0!</v>
      </c>
      <c r="P409" s="15" t="e">
        <f t="shared" si="103"/>
        <v>#DIV/0!</v>
      </c>
      <c r="R409" s="78"/>
      <c r="S409" s="85">
        <v>5</v>
      </c>
      <c r="AA409" s="2">
        <f t="shared" si="95"/>
        <v>1</v>
      </c>
      <c r="AC409" s="15">
        <f t="shared" si="105"/>
        <v>0</v>
      </c>
      <c r="AG409" s="85" t="e">
        <f t="shared" si="96"/>
        <v>#DIV/0!</v>
      </c>
      <c r="AH409" s="15" t="e">
        <f t="shared" si="97"/>
        <v>#DIV/0!</v>
      </c>
      <c r="AI409" s="15"/>
      <c r="AJ409" s="15">
        <f t="shared" si="98"/>
        <v>1</v>
      </c>
      <c r="AK409" s="15" t="e">
        <f t="shared" si="99"/>
        <v>#DIV/0!</v>
      </c>
      <c r="AL409" s="14">
        <f t="shared" si="100"/>
        <v>0</v>
      </c>
      <c r="AM409" s="14">
        <f t="shared" si="104"/>
        <v>0</v>
      </c>
      <c r="AP409" s="16" t="e">
        <f t="shared" si="101"/>
        <v>#DIV/0!</v>
      </c>
      <c r="AQ409" s="15">
        <v>0.95</v>
      </c>
      <c r="AZ409" s="16">
        <f t="shared" si="106"/>
        <v>0</v>
      </c>
    </row>
    <row r="410" spans="7:52">
      <c r="G410" s="15" t="e">
        <f t="shared" si="102"/>
        <v>#DIV/0!</v>
      </c>
      <c r="P410" s="15" t="e">
        <f t="shared" si="103"/>
        <v>#DIV/0!</v>
      </c>
      <c r="R410" s="78"/>
      <c r="S410" s="85">
        <v>5</v>
      </c>
      <c r="AA410" s="2">
        <f t="shared" si="95"/>
        <v>1</v>
      </c>
      <c r="AC410" s="15">
        <f t="shared" si="105"/>
        <v>0</v>
      </c>
      <c r="AG410" s="85" t="e">
        <f t="shared" si="96"/>
        <v>#DIV/0!</v>
      </c>
      <c r="AH410" s="15" t="e">
        <f t="shared" si="97"/>
        <v>#DIV/0!</v>
      </c>
      <c r="AI410" s="15"/>
      <c r="AJ410" s="15">
        <f t="shared" si="98"/>
        <v>1</v>
      </c>
      <c r="AK410" s="15" t="e">
        <f t="shared" si="99"/>
        <v>#DIV/0!</v>
      </c>
      <c r="AL410" s="14">
        <f t="shared" si="100"/>
        <v>0</v>
      </c>
      <c r="AM410" s="14">
        <f t="shared" si="104"/>
        <v>0</v>
      </c>
      <c r="AP410" s="16" t="e">
        <f t="shared" si="101"/>
        <v>#DIV/0!</v>
      </c>
      <c r="AQ410" s="15">
        <v>0.95</v>
      </c>
      <c r="AZ410" s="16">
        <f t="shared" si="106"/>
        <v>0</v>
      </c>
    </row>
    <row r="411" spans="7:52">
      <c r="G411" s="15" t="e">
        <f t="shared" si="102"/>
        <v>#DIV/0!</v>
      </c>
      <c r="P411" s="15" t="e">
        <f t="shared" si="103"/>
        <v>#DIV/0!</v>
      </c>
      <c r="R411" s="78"/>
      <c r="S411" s="85">
        <v>5</v>
      </c>
      <c r="AA411" s="2">
        <f t="shared" si="95"/>
        <v>1</v>
      </c>
      <c r="AC411" s="15">
        <f t="shared" si="105"/>
        <v>0</v>
      </c>
      <c r="AG411" s="85" t="e">
        <f t="shared" si="96"/>
        <v>#DIV/0!</v>
      </c>
      <c r="AH411" s="15" t="e">
        <f t="shared" si="97"/>
        <v>#DIV/0!</v>
      </c>
      <c r="AI411" s="15"/>
      <c r="AJ411" s="15">
        <f t="shared" si="98"/>
        <v>1</v>
      </c>
      <c r="AK411" s="15" t="e">
        <f t="shared" si="99"/>
        <v>#DIV/0!</v>
      </c>
      <c r="AL411" s="14">
        <f t="shared" si="100"/>
        <v>0</v>
      </c>
      <c r="AM411" s="14">
        <f t="shared" si="104"/>
        <v>0</v>
      </c>
      <c r="AP411" s="16" t="e">
        <f t="shared" si="101"/>
        <v>#DIV/0!</v>
      </c>
      <c r="AQ411" s="15">
        <v>0.95</v>
      </c>
      <c r="AZ411" s="16">
        <f t="shared" si="106"/>
        <v>0</v>
      </c>
    </row>
    <row r="412" spans="7:52">
      <c r="G412" s="15" t="e">
        <f t="shared" si="102"/>
        <v>#DIV/0!</v>
      </c>
      <c r="P412" s="15" t="e">
        <f t="shared" si="103"/>
        <v>#DIV/0!</v>
      </c>
      <c r="R412" s="78"/>
      <c r="S412" s="85">
        <v>5</v>
      </c>
      <c r="AA412" s="2">
        <f t="shared" si="95"/>
        <v>1</v>
      </c>
      <c r="AC412" s="15">
        <f t="shared" si="105"/>
        <v>0</v>
      </c>
      <c r="AG412" s="85" t="e">
        <f t="shared" si="96"/>
        <v>#DIV/0!</v>
      </c>
      <c r="AH412" s="15" t="e">
        <f t="shared" si="97"/>
        <v>#DIV/0!</v>
      </c>
      <c r="AI412" s="15"/>
      <c r="AJ412" s="15">
        <f t="shared" si="98"/>
        <v>1</v>
      </c>
      <c r="AK412" s="15" t="e">
        <f t="shared" si="99"/>
        <v>#DIV/0!</v>
      </c>
      <c r="AL412" s="14">
        <f t="shared" si="100"/>
        <v>0</v>
      </c>
      <c r="AM412" s="14">
        <f t="shared" si="104"/>
        <v>0</v>
      </c>
      <c r="AP412" s="16" t="e">
        <f t="shared" si="101"/>
        <v>#DIV/0!</v>
      </c>
      <c r="AQ412" s="15">
        <v>0.95</v>
      </c>
      <c r="AZ412" s="16">
        <f t="shared" si="106"/>
        <v>0</v>
      </c>
    </row>
    <row r="413" spans="7:52">
      <c r="G413" s="15" t="e">
        <f t="shared" si="102"/>
        <v>#DIV/0!</v>
      </c>
      <c r="P413" s="15" t="e">
        <f t="shared" si="103"/>
        <v>#DIV/0!</v>
      </c>
      <c r="R413" s="78"/>
      <c r="S413" s="85">
        <v>5</v>
      </c>
      <c r="AA413" s="2">
        <f t="shared" si="95"/>
        <v>1</v>
      </c>
      <c r="AC413" s="15">
        <f t="shared" si="105"/>
        <v>0</v>
      </c>
      <c r="AG413" s="85" t="e">
        <f t="shared" si="96"/>
        <v>#DIV/0!</v>
      </c>
      <c r="AH413" s="15" t="e">
        <f t="shared" si="97"/>
        <v>#DIV/0!</v>
      </c>
      <c r="AI413" s="15"/>
      <c r="AJ413" s="15">
        <f t="shared" si="98"/>
        <v>1</v>
      </c>
      <c r="AK413" s="15" t="e">
        <f t="shared" si="99"/>
        <v>#DIV/0!</v>
      </c>
      <c r="AL413" s="14">
        <f t="shared" si="100"/>
        <v>0</v>
      </c>
      <c r="AM413" s="14">
        <f t="shared" si="104"/>
        <v>0</v>
      </c>
      <c r="AP413" s="16" t="e">
        <f t="shared" si="101"/>
        <v>#DIV/0!</v>
      </c>
      <c r="AQ413" s="15">
        <v>0.95</v>
      </c>
      <c r="AZ413" s="16">
        <f t="shared" si="106"/>
        <v>0</v>
      </c>
    </row>
    <row r="414" spans="7:52">
      <c r="G414" s="15" t="e">
        <f t="shared" si="102"/>
        <v>#DIV/0!</v>
      </c>
      <c r="P414" s="15" t="e">
        <f t="shared" si="103"/>
        <v>#DIV/0!</v>
      </c>
      <c r="R414" s="78"/>
      <c r="S414" s="85">
        <v>5</v>
      </c>
      <c r="AA414" s="2">
        <f t="shared" si="95"/>
        <v>1</v>
      </c>
      <c r="AC414" s="15">
        <f t="shared" si="105"/>
        <v>0</v>
      </c>
      <c r="AG414" s="85" t="e">
        <f t="shared" si="96"/>
        <v>#DIV/0!</v>
      </c>
      <c r="AH414" s="15" t="e">
        <f t="shared" si="97"/>
        <v>#DIV/0!</v>
      </c>
      <c r="AI414" s="15"/>
      <c r="AJ414" s="15">
        <f t="shared" si="98"/>
        <v>1</v>
      </c>
      <c r="AK414" s="15" t="e">
        <f t="shared" si="99"/>
        <v>#DIV/0!</v>
      </c>
      <c r="AL414" s="14">
        <f t="shared" si="100"/>
        <v>0</v>
      </c>
      <c r="AM414" s="14">
        <f t="shared" si="104"/>
        <v>0</v>
      </c>
      <c r="AP414" s="16" t="e">
        <f t="shared" si="101"/>
        <v>#DIV/0!</v>
      </c>
      <c r="AQ414" s="15">
        <v>0.95</v>
      </c>
      <c r="AZ414" s="16">
        <f t="shared" si="106"/>
        <v>0</v>
      </c>
    </row>
    <row r="415" spans="7:52">
      <c r="G415" s="15" t="e">
        <f t="shared" si="102"/>
        <v>#DIV/0!</v>
      </c>
      <c r="P415" s="15" t="e">
        <f t="shared" si="103"/>
        <v>#DIV/0!</v>
      </c>
      <c r="R415" s="78"/>
      <c r="S415" s="85">
        <v>5</v>
      </c>
      <c r="AA415" s="2">
        <f t="shared" si="95"/>
        <v>1</v>
      </c>
      <c r="AC415" s="15">
        <f t="shared" si="105"/>
        <v>0</v>
      </c>
      <c r="AG415" s="85" t="e">
        <f t="shared" si="96"/>
        <v>#DIV/0!</v>
      </c>
      <c r="AH415" s="15" t="e">
        <f t="shared" si="97"/>
        <v>#DIV/0!</v>
      </c>
      <c r="AI415" s="15"/>
      <c r="AJ415" s="15">
        <f t="shared" si="98"/>
        <v>1</v>
      </c>
      <c r="AK415" s="15" t="e">
        <f t="shared" si="99"/>
        <v>#DIV/0!</v>
      </c>
      <c r="AL415" s="14">
        <f t="shared" si="100"/>
        <v>0</v>
      </c>
      <c r="AM415" s="14">
        <f t="shared" si="104"/>
        <v>0</v>
      </c>
      <c r="AP415" s="16" t="e">
        <f t="shared" si="101"/>
        <v>#DIV/0!</v>
      </c>
      <c r="AQ415" s="15">
        <v>0.95</v>
      </c>
      <c r="AZ415" s="16">
        <f t="shared" si="106"/>
        <v>0</v>
      </c>
    </row>
    <row r="416" spans="7:52">
      <c r="G416" s="15" t="e">
        <f t="shared" si="102"/>
        <v>#DIV/0!</v>
      </c>
      <c r="P416" s="15" t="e">
        <f t="shared" si="103"/>
        <v>#DIV/0!</v>
      </c>
      <c r="R416" s="78"/>
      <c r="S416" s="85">
        <v>5</v>
      </c>
      <c r="AA416" s="2">
        <f t="shared" si="95"/>
        <v>1</v>
      </c>
      <c r="AC416" s="15">
        <f t="shared" si="105"/>
        <v>0</v>
      </c>
      <c r="AG416" s="85" t="e">
        <f t="shared" si="96"/>
        <v>#DIV/0!</v>
      </c>
      <c r="AH416" s="15" t="e">
        <f t="shared" si="97"/>
        <v>#DIV/0!</v>
      </c>
      <c r="AI416" s="15"/>
      <c r="AJ416" s="15">
        <f t="shared" si="98"/>
        <v>1</v>
      </c>
      <c r="AK416" s="15" t="e">
        <f t="shared" si="99"/>
        <v>#DIV/0!</v>
      </c>
      <c r="AL416" s="14">
        <f t="shared" si="100"/>
        <v>0</v>
      </c>
      <c r="AM416" s="14">
        <f t="shared" si="104"/>
        <v>0</v>
      </c>
      <c r="AP416" s="16" t="e">
        <f t="shared" si="101"/>
        <v>#DIV/0!</v>
      </c>
      <c r="AQ416" s="15">
        <v>0.95</v>
      </c>
      <c r="AZ416" s="16">
        <f t="shared" si="106"/>
        <v>0</v>
      </c>
    </row>
    <row r="417" spans="7:52">
      <c r="G417" s="15" t="e">
        <f t="shared" si="102"/>
        <v>#DIV/0!</v>
      </c>
      <c r="P417" s="15" t="e">
        <f t="shared" si="103"/>
        <v>#DIV/0!</v>
      </c>
      <c r="R417" s="78"/>
      <c r="S417" s="85">
        <v>5</v>
      </c>
      <c r="AA417" s="2">
        <f t="shared" si="95"/>
        <v>1</v>
      </c>
      <c r="AC417" s="15">
        <f t="shared" si="105"/>
        <v>0</v>
      </c>
      <c r="AG417" s="85" t="e">
        <f t="shared" si="96"/>
        <v>#DIV/0!</v>
      </c>
      <c r="AH417" s="15" t="e">
        <f t="shared" si="97"/>
        <v>#DIV/0!</v>
      </c>
      <c r="AI417" s="15"/>
      <c r="AJ417" s="15">
        <f t="shared" si="98"/>
        <v>1</v>
      </c>
      <c r="AK417" s="15" t="e">
        <f t="shared" si="99"/>
        <v>#DIV/0!</v>
      </c>
      <c r="AL417" s="14">
        <f t="shared" si="100"/>
        <v>0</v>
      </c>
      <c r="AM417" s="14">
        <f t="shared" si="104"/>
        <v>0</v>
      </c>
      <c r="AP417" s="16" t="e">
        <f t="shared" si="101"/>
        <v>#DIV/0!</v>
      </c>
      <c r="AQ417" s="15">
        <v>0.95</v>
      </c>
      <c r="AZ417" s="16">
        <f t="shared" si="106"/>
        <v>0</v>
      </c>
    </row>
    <row r="418" spans="7:52">
      <c r="G418" s="15" t="e">
        <f t="shared" si="102"/>
        <v>#DIV/0!</v>
      </c>
      <c r="P418" s="15" t="e">
        <f t="shared" si="103"/>
        <v>#DIV/0!</v>
      </c>
      <c r="R418" s="78"/>
      <c r="S418" s="85">
        <v>5</v>
      </c>
      <c r="AA418" s="2">
        <f t="shared" si="95"/>
        <v>1</v>
      </c>
      <c r="AC418" s="15">
        <f t="shared" si="105"/>
        <v>0</v>
      </c>
      <c r="AG418" s="85" t="e">
        <f t="shared" si="96"/>
        <v>#DIV/0!</v>
      </c>
      <c r="AH418" s="15" t="e">
        <f t="shared" si="97"/>
        <v>#DIV/0!</v>
      </c>
      <c r="AI418" s="15"/>
      <c r="AJ418" s="15">
        <f t="shared" si="98"/>
        <v>1</v>
      </c>
      <c r="AK418" s="15" t="e">
        <f t="shared" si="99"/>
        <v>#DIV/0!</v>
      </c>
      <c r="AL418" s="14">
        <f t="shared" si="100"/>
        <v>0</v>
      </c>
      <c r="AM418" s="14">
        <f t="shared" si="104"/>
        <v>0</v>
      </c>
      <c r="AP418" s="16" t="e">
        <f t="shared" si="101"/>
        <v>#DIV/0!</v>
      </c>
      <c r="AQ418" s="15">
        <v>0.95</v>
      </c>
      <c r="AZ418" s="16">
        <f t="shared" si="106"/>
        <v>0</v>
      </c>
    </row>
    <row r="419" spans="7:52">
      <c r="G419" s="15" t="e">
        <f t="shared" si="102"/>
        <v>#DIV/0!</v>
      </c>
      <c r="P419" s="15" t="e">
        <f t="shared" si="103"/>
        <v>#DIV/0!</v>
      </c>
      <c r="R419" s="78"/>
      <c r="S419" s="85">
        <v>5</v>
      </c>
      <c r="AA419" s="2">
        <f t="shared" si="95"/>
        <v>1</v>
      </c>
      <c r="AC419" s="15">
        <f t="shared" si="105"/>
        <v>0</v>
      </c>
      <c r="AG419" s="85" t="e">
        <f t="shared" si="96"/>
        <v>#DIV/0!</v>
      </c>
      <c r="AH419" s="15" t="e">
        <f t="shared" si="97"/>
        <v>#DIV/0!</v>
      </c>
      <c r="AI419" s="15"/>
      <c r="AJ419" s="15">
        <f t="shared" si="98"/>
        <v>1</v>
      </c>
      <c r="AK419" s="15" t="e">
        <f t="shared" si="99"/>
        <v>#DIV/0!</v>
      </c>
      <c r="AL419" s="14">
        <f t="shared" si="100"/>
        <v>0</v>
      </c>
      <c r="AM419" s="14">
        <f t="shared" si="104"/>
        <v>0</v>
      </c>
      <c r="AP419" s="16" t="e">
        <f t="shared" si="101"/>
        <v>#DIV/0!</v>
      </c>
      <c r="AQ419" s="15">
        <v>0.95</v>
      </c>
      <c r="AZ419" s="16">
        <f t="shared" si="106"/>
        <v>0</v>
      </c>
    </row>
    <row r="420" spans="7:52">
      <c r="G420" s="15" t="e">
        <f t="shared" si="102"/>
        <v>#DIV/0!</v>
      </c>
      <c r="P420" s="15" t="e">
        <f t="shared" si="103"/>
        <v>#DIV/0!</v>
      </c>
      <c r="R420" s="78"/>
      <c r="S420" s="85">
        <v>5</v>
      </c>
      <c r="AA420" s="2">
        <f t="shared" si="95"/>
        <v>1</v>
      </c>
      <c r="AC420" s="15">
        <f t="shared" si="105"/>
        <v>0</v>
      </c>
      <c r="AG420" s="85" t="e">
        <f t="shared" si="96"/>
        <v>#DIV/0!</v>
      </c>
      <c r="AH420" s="15" t="e">
        <f t="shared" si="97"/>
        <v>#DIV/0!</v>
      </c>
      <c r="AI420" s="15"/>
      <c r="AJ420" s="15">
        <f t="shared" si="98"/>
        <v>1</v>
      </c>
      <c r="AK420" s="15" t="e">
        <f t="shared" si="99"/>
        <v>#DIV/0!</v>
      </c>
      <c r="AL420" s="14">
        <f t="shared" si="100"/>
        <v>0</v>
      </c>
      <c r="AM420" s="14">
        <f t="shared" si="104"/>
        <v>0</v>
      </c>
      <c r="AP420" s="16" t="e">
        <f t="shared" si="101"/>
        <v>#DIV/0!</v>
      </c>
      <c r="AQ420" s="15">
        <v>0.95</v>
      </c>
      <c r="AZ420" s="16">
        <f t="shared" si="106"/>
        <v>0</v>
      </c>
    </row>
    <row r="421" spans="7:52">
      <c r="G421" s="15" t="e">
        <f t="shared" si="102"/>
        <v>#DIV/0!</v>
      </c>
      <c r="P421" s="15" t="e">
        <f t="shared" si="103"/>
        <v>#DIV/0!</v>
      </c>
      <c r="R421" s="78"/>
      <c r="S421" s="85">
        <v>5</v>
      </c>
      <c r="AA421" s="2">
        <f t="shared" si="95"/>
        <v>1</v>
      </c>
      <c r="AC421" s="15">
        <f t="shared" si="105"/>
        <v>0</v>
      </c>
      <c r="AG421" s="85" t="e">
        <f t="shared" si="96"/>
        <v>#DIV/0!</v>
      </c>
      <c r="AH421" s="15" t="e">
        <f t="shared" si="97"/>
        <v>#DIV/0!</v>
      </c>
      <c r="AI421" s="15"/>
      <c r="AJ421" s="15">
        <f t="shared" si="98"/>
        <v>1</v>
      </c>
      <c r="AK421" s="15" t="e">
        <f t="shared" si="99"/>
        <v>#DIV/0!</v>
      </c>
      <c r="AL421" s="14">
        <f t="shared" si="100"/>
        <v>0</v>
      </c>
      <c r="AM421" s="14">
        <f t="shared" si="104"/>
        <v>0</v>
      </c>
      <c r="AP421" s="16" t="e">
        <f t="shared" si="101"/>
        <v>#DIV/0!</v>
      </c>
      <c r="AQ421" s="15">
        <v>0.95</v>
      </c>
      <c r="AZ421" s="16">
        <f t="shared" si="106"/>
        <v>0</v>
      </c>
    </row>
    <row r="422" spans="7:52">
      <c r="G422" s="15" t="e">
        <f t="shared" si="102"/>
        <v>#DIV/0!</v>
      </c>
      <c r="P422" s="15" t="e">
        <f t="shared" si="103"/>
        <v>#DIV/0!</v>
      </c>
      <c r="R422" s="78"/>
      <c r="S422" s="85">
        <v>5</v>
      </c>
      <c r="AA422" s="2">
        <f t="shared" si="95"/>
        <v>1</v>
      </c>
      <c r="AC422" s="15">
        <f t="shared" si="105"/>
        <v>0</v>
      </c>
      <c r="AG422" s="85" t="e">
        <f t="shared" si="96"/>
        <v>#DIV/0!</v>
      </c>
      <c r="AH422" s="15" t="e">
        <f t="shared" si="97"/>
        <v>#DIV/0!</v>
      </c>
      <c r="AI422" s="15"/>
      <c r="AJ422" s="15">
        <f t="shared" si="98"/>
        <v>1</v>
      </c>
      <c r="AK422" s="15" t="e">
        <f t="shared" si="99"/>
        <v>#DIV/0!</v>
      </c>
      <c r="AL422" s="14">
        <f t="shared" si="100"/>
        <v>0</v>
      </c>
      <c r="AM422" s="14">
        <f t="shared" si="104"/>
        <v>0</v>
      </c>
      <c r="AP422" s="16" t="e">
        <f t="shared" si="101"/>
        <v>#DIV/0!</v>
      </c>
      <c r="AQ422" s="15">
        <v>0.95</v>
      </c>
      <c r="AZ422" s="16">
        <f t="shared" si="106"/>
        <v>0</v>
      </c>
    </row>
    <row r="423" spans="7:52">
      <c r="G423" s="15" t="e">
        <f t="shared" si="102"/>
        <v>#DIV/0!</v>
      </c>
      <c r="P423" s="15" t="e">
        <f t="shared" si="103"/>
        <v>#DIV/0!</v>
      </c>
      <c r="R423" s="78"/>
      <c r="S423" s="85">
        <v>5</v>
      </c>
      <c r="AA423" s="2">
        <f t="shared" si="95"/>
        <v>1</v>
      </c>
      <c r="AC423" s="15">
        <f t="shared" si="105"/>
        <v>0</v>
      </c>
      <c r="AG423" s="85" t="e">
        <f t="shared" si="96"/>
        <v>#DIV/0!</v>
      </c>
      <c r="AH423" s="15" t="e">
        <f t="shared" si="97"/>
        <v>#DIV/0!</v>
      </c>
      <c r="AI423" s="15"/>
      <c r="AJ423" s="15">
        <f t="shared" si="98"/>
        <v>1</v>
      </c>
      <c r="AK423" s="15" t="e">
        <f t="shared" si="99"/>
        <v>#DIV/0!</v>
      </c>
      <c r="AL423" s="14">
        <f t="shared" si="100"/>
        <v>0</v>
      </c>
      <c r="AM423" s="14">
        <f t="shared" si="104"/>
        <v>0</v>
      </c>
      <c r="AP423" s="16" t="e">
        <f t="shared" si="101"/>
        <v>#DIV/0!</v>
      </c>
      <c r="AQ423" s="15">
        <v>0.95</v>
      </c>
      <c r="AZ423" s="16">
        <f t="shared" si="106"/>
        <v>0</v>
      </c>
    </row>
    <row r="424" spans="7:52">
      <c r="G424" s="15" t="e">
        <f t="shared" si="102"/>
        <v>#DIV/0!</v>
      </c>
      <c r="P424" s="15" t="e">
        <f t="shared" si="103"/>
        <v>#DIV/0!</v>
      </c>
      <c r="R424" s="78"/>
      <c r="S424" s="85">
        <v>5</v>
      </c>
      <c r="AA424" s="2">
        <f t="shared" si="95"/>
        <v>1</v>
      </c>
      <c r="AC424" s="15">
        <f t="shared" si="105"/>
        <v>0</v>
      </c>
      <c r="AG424" s="85" t="e">
        <f t="shared" si="96"/>
        <v>#DIV/0!</v>
      </c>
      <c r="AH424" s="15" t="e">
        <f t="shared" si="97"/>
        <v>#DIV/0!</v>
      </c>
      <c r="AI424" s="15"/>
      <c r="AJ424" s="15">
        <f t="shared" si="98"/>
        <v>1</v>
      </c>
      <c r="AK424" s="15" t="e">
        <f t="shared" si="99"/>
        <v>#DIV/0!</v>
      </c>
      <c r="AL424" s="14">
        <f t="shared" si="100"/>
        <v>0</v>
      </c>
      <c r="AM424" s="14">
        <f t="shared" si="104"/>
        <v>0</v>
      </c>
      <c r="AP424" s="16" t="e">
        <f t="shared" si="101"/>
        <v>#DIV/0!</v>
      </c>
      <c r="AQ424" s="15">
        <v>0.95</v>
      </c>
      <c r="AZ424" s="16">
        <f t="shared" si="106"/>
        <v>0</v>
      </c>
    </row>
    <row r="425" spans="7:52">
      <c r="G425" s="15" t="e">
        <f t="shared" si="102"/>
        <v>#DIV/0!</v>
      </c>
      <c r="P425" s="15" t="e">
        <f t="shared" si="103"/>
        <v>#DIV/0!</v>
      </c>
      <c r="R425" s="78"/>
      <c r="S425" s="85">
        <v>5</v>
      </c>
      <c r="AA425" s="2">
        <f t="shared" si="95"/>
        <v>1</v>
      </c>
      <c r="AC425" s="15">
        <f t="shared" si="105"/>
        <v>0</v>
      </c>
      <c r="AG425" s="85" t="e">
        <f t="shared" si="96"/>
        <v>#DIV/0!</v>
      </c>
      <c r="AH425" s="15" t="e">
        <f t="shared" si="97"/>
        <v>#DIV/0!</v>
      </c>
      <c r="AI425" s="15"/>
      <c r="AJ425" s="15">
        <f t="shared" si="98"/>
        <v>1</v>
      </c>
      <c r="AK425" s="15" t="e">
        <f t="shared" si="99"/>
        <v>#DIV/0!</v>
      </c>
      <c r="AL425" s="14">
        <f t="shared" si="100"/>
        <v>0</v>
      </c>
      <c r="AM425" s="14">
        <f t="shared" si="104"/>
        <v>0</v>
      </c>
      <c r="AP425" s="16" t="e">
        <f t="shared" si="101"/>
        <v>#DIV/0!</v>
      </c>
      <c r="AQ425" s="15">
        <v>0.95</v>
      </c>
      <c r="AZ425" s="16">
        <f t="shared" si="106"/>
        <v>0</v>
      </c>
    </row>
    <row r="426" spans="7:52">
      <c r="G426" s="15" t="e">
        <f t="shared" si="102"/>
        <v>#DIV/0!</v>
      </c>
      <c r="P426" s="15" t="e">
        <f t="shared" si="103"/>
        <v>#DIV/0!</v>
      </c>
      <c r="R426" s="78"/>
      <c r="S426" s="85">
        <v>5</v>
      </c>
      <c r="AA426" s="2">
        <f t="shared" si="95"/>
        <v>1</v>
      </c>
      <c r="AC426" s="15">
        <f t="shared" si="105"/>
        <v>0</v>
      </c>
      <c r="AG426" s="85" t="e">
        <f t="shared" si="96"/>
        <v>#DIV/0!</v>
      </c>
      <c r="AH426" s="15" t="e">
        <f t="shared" si="97"/>
        <v>#DIV/0!</v>
      </c>
      <c r="AI426" s="15"/>
      <c r="AJ426" s="15">
        <f t="shared" si="98"/>
        <v>1</v>
      </c>
      <c r="AK426" s="15" t="e">
        <f t="shared" si="99"/>
        <v>#DIV/0!</v>
      </c>
      <c r="AL426" s="14">
        <f t="shared" si="100"/>
        <v>0</v>
      </c>
      <c r="AM426" s="14">
        <f t="shared" si="104"/>
        <v>0</v>
      </c>
      <c r="AP426" s="16" t="e">
        <f t="shared" si="101"/>
        <v>#DIV/0!</v>
      </c>
      <c r="AQ426" s="15">
        <v>0.95</v>
      </c>
      <c r="AZ426" s="16">
        <f t="shared" si="106"/>
        <v>0</v>
      </c>
    </row>
    <row r="427" spans="7:52">
      <c r="G427" s="15" t="e">
        <f t="shared" si="102"/>
        <v>#DIV/0!</v>
      </c>
      <c r="P427" s="15" t="e">
        <f t="shared" si="103"/>
        <v>#DIV/0!</v>
      </c>
      <c r="R427" s="78"/>
      <c r="S427" s="85">
        <v>5</v>
      </c>
      <c r="AA427" s="2">
        <f t="shared" si="95"/>
        <v>1</v>
      </c>
      <c r="AC427" s="15">
        <f t="shared" si="105"/>
        <v>0</v>
      </c>
      <c r="AG427" s="85" t="e">
        <f t="shared" si="96"/>
        <v>#DIV/0!</v>
      </c>
      <c r="AH427" s="15" t="e">
        <f t="shared" si="97"/>
        <v>#DIV/0!</v>
      </c>
      <c r="AI427" s="15"/>
      <c r="AJ427" s="15">
        <f t="shared" si="98"/>
        <v>1</v>
      </c>
      <c r="AK427" s="15" t="e">
        <f t="shared" si="99"/>
        <v>#DIV/0!</v>
      </c>
      <c r="AL427" s="14">
        <f t="shared" si="100"/>
        <v>0</v>
      </c>
      <c r="AM427" s="14">
        <f t="shared" si="104"/>
        <v>0</v>
      </c>
      <c r="AP427" s="16" t="e">
        <f t="shared" si="101"/>
        <v>#DIV/0!</v>
      </c>
      <c r="AQ427" s="15">
        <v>0.95</v>
      </c>
      <c r="AZ427" s="16">
        <f t="shared" si="106"/>
        <v>0</v>
      </c>
    </row>
    <row r="428" spans="7:52">
      <c r="G428" s="15" t="e">
        <f t="shared" si="102"/>
        <v>#DIV/0!</v>
      </c>
      <c r="P428" s="15" t="e">
        <f t="shared" si="103"/>
        <v>#DIV/0!</v>
      </c>
      <c r="R428" s="78"/>
      <c r="S428" s="85">
        <v>0</v>
      </c>
      <c r="AA428" s="2">
        <f>IF(X428&lt;50,IF(Y428&gt;(2.3*X428),0,1),1)-IF(Z428&gt;Y428,1.5,0)</f>
        <v>1</v>
      </c>
      <c r="AC428" s="15">
        <f t="shared" si="105"/>
        <v>0</v>
      </c>
      <c r="AG428" s="14" t="e">
        <f>IF(G428&lt;52,0,0.7)+IF(G428&lt;34,0,0.7)+IF(G428&lt;1,0,0.7)+IF(P428&gt;14.56,0,1)+IF(R428&lt;9,0.5,0)+IF(R428&lt;33.8,0.5,0)+IF(R428&lt;50,0.5,0)+IF(R428&lt;80,0.5,0)+IF(V428&gt;0,1,0)+IF(AE428&lt;10.56,0,1)</f>
        <v>#DIV/0!</v>
      </c>
      <c r="AH428" s="15" t="e">
        <f t="shared" si="97"/>
        <v>#DIV/0!</v>
      </c>
      <c r="AI428" s="15"/>
      <c r="AJ428" s="15">
        <f t="shared" si="98"/>
        <v>1</v>
      </c>
      <c r="AK428" s="15" t="e">
        <f t="shared" si="99"/>
        <v>#DIV/0!</v>
      </c>
      <c r="AL428" s="14">
        <f t="shared" si="100"/>
        <v>0</v>
      </c>
      <c r="AM428" s="14">
        <f t="shared" si="104"/>
        <v>0</v>
      </c>
      <c r="AP428" s="16" t="e">
        <f t="shared" si="101"/>
        <v>#DIV/0!</v>
      </c>
      <c r="AQ428" s="15">
        <v>0.95</v>
      </c>
      <c r="AZ428" s="16">
        <f t="shared" si="106"/>
        <v>0</v>
      </c>
    </row>
    <row r="429" spans="7:52">
      <c r="G429" s="15" t="e">
        <f t="shared" si="102"/>
        <v>#DIV/0!</v>
      </c>
      <c r="P429" s="15" t="e">
        <f t="shared" si="103"/>
        <v>#DIV/0!</v>
      </c>
      <c r="R429" s="78"/>
      <c r="S429" s="85">
        <v>0</v>
      </c>
      <c r="AA429" s="2">
        <f>IF(X429&lt;50,IF(Y429&gt;(2.3*X429),0,1),1)-IF(Z429&gt;Y429,1.5,0)</f>
        <v>1</v>
      </c>
      <c r="AC429" s="15">
        <f t="shared" si="105"/>
        <v>0</v>
      </c>
      <c r="AG429" s="14" t="e">
        <f>IF(G429&lt;52,0,0.7)+IF(G429&lt;34,0,0.7)+IF(G429&lt;1,0,0.7)+IF(P429&gt;14.56,0,1)+IF(R429&lt;9,0.5,0)+IF(R429&lt;33.8,0.5,0)+IF(R429&lt;50,0.5,0)+IF(R429&lt;80,0.5,0)+IF(V429&gt;0,1,0)+IF(AE429&lt;10.56,0,1)</f>
        <v>#DIV/0!</v>
      </c>
      <c r="AH429" s="15" t="e">
        <f t="shared" si="97"/>
        <v>#DIV/0!</v>
      </c>
      <c r="AI429" s="15"/>
      <c r="AJ429" s="15">
        <f t="shared" si="98"/>
        <v>1</v>
      </c>
      <c r="AK429" s="15" t="e">
        <f t="shared" si="99"/>
        <v>#DIV/0!</v>
      </c>
      <c r="AL429" s="14">
        <f t="shared" si="100"/>
        <v>0</v>
      </c>
      <c r="AM429" s="14">
        <f t="shared" si="104"/>
        <v>0</v>
      </c>
      <c r="AP429" s="16" t="e">
        <f t="shared" si="101"/>
        <v>#DIV/0!</v>
      </c>
      <c r="AQ429" s="15">
        <v>0.95</v>
      </c>
      <c r="AZ429" s="16">
        <f t="shared" si="106"/>
        <v>0</v>
      </c>
    </row>
    <row r="430" spans="7:52">
      <c r="G430" s="15" t="e">
        <f t="shared" si="102"/>
        <v>#DIV/0!</v>
      </c>
      <c r="P430" s="15" t="e">
        <f t="shared" si="103"/>
        <v>#DIV/0!</v>
      </c>
      <c r="R430" s="78"/>
      <c r="AA430" s="2">
        <f t="shared" ref="AA430:AA435" si="107">IF(X430&lt;50,IF(Y430&gt;(2.3*X430),0,1),1)</f>
        <v>1</v>
      </c>
      <c r="AC430" s="15">
        <f>IF(AB430&gt;6.2,1,0)+AB430/5</f>
        <v>0</v>
      </c>
      <c r="AG430" s="14" t="e">
        <f>IF(G430&lt;52,0,0.7)+IF(G430&lt;34,0,0.7)+IF(G430&lt;1,0,0.7)+IF(P430&gt;14.56,0,1)+IF(R430&lt;9,0.5,0)+IF(R430&lt;33.8,0.5,0)+IF(R430&lt;50,0.5,0)+IF(R430&lt;80,0.5,0)+IF(V430&gt;0,1,0)+IF(AE430&lt;10.56,0,1)</f>
        <v>#DIV/0!</v>
      </c>
      <c r="AH430" s="15" t="e">
        <f t="shared" si="97"/>
        <v>#DIV/0!</v>
      </c>
      <c r="AI430" s="15"/>
      <c r="AJ430" s="15">
        <f t="shared" si="98"/>
        <v>1</v>
      </c>
      <c r="AK430" s="15" t="e">
        <f t="shared" si="99"/>
        <v>#DIV/0!</v>
      </c>
      <c r="AL430" s="14">
        <f t="shared" si="100"/>
        <v>0</v>
      </c>
      <c r="AM430" s="14">
        <f t="shared" si="104"/>
        <v>0</v>
      </c>
      <c r="AP430" s="16" t="e">
        <f t="shared" si="101"/>
        <v>#DIV/0!</v>
      </c>
      <c r="AQ430" s="15">
        <v>0.95</v>
      </c>
      <c r="AZ430" s="16">
        <f t="shared" si="106"/>
        <v>0</v>
      </c>
    </row>
    <row r="431" spans="7:52">
      <c r="G431" s="15" t="e">
        <f t="shared" si="102"/>
        <v>#DIV/0!</v>
      </c>
      <c r="P431" s="15" t="e">
        <f t="shared" si="103"/>
        <v>#DIV/0!</v>
      </c>
      <c r="R431" s="78"/>
      <c r="AA431" s="2">
        <f t="shared" si="107"/>
        <v>1</v>
      </c>
      <c r="AC431" s="15">
        <f>IF(AB431&gt;6.2,1,0)+AB431/5</f>
        <v>0</v>
      </c>
      <c r="AG431" s="14" t="e">
        <f>IF(G431&lt;52,0,0.7)+IF(G431&lt;34,0,0.7)+IF(G431&lt;1,0,0.7)+IF(P431&gt;14.56,0,1)+IF(R431&lt;9,0.5,0)+IF(R431&lt;33.8,0.5,0)+IF(R431&lt;50,0.5,0)+IF(R431&lt;80,0.5,0)+IF(V431&gt;0,1,0)+IF(AE431&lt;10.56,0,1)</f>
        <v>#DIV/0!</v>
      </c>
      <c r="AH431" s="15" t="e">
        <f t="shared" si="97"/>
        <v>#DIV/0!</v>
      </c>
      <c r="AI431" s="15"/>
      <c r="AJ431" s="15">
        <f t="shared" si="98"/>
        <v>1</v>
      </c>
      <c r="AK431" s="15" t="e">
        <f t="shared" si="99"/>
        <v>#DIV/0!</v>
      </c>
      <c r="AL431" s="14">
        <f t="shared" si="100"/>
        <v>0</v>
      </c>
      <c r="AM431" s="14">
        <f t="shared" si="104"/>
        <v>0</v>
      </c>
      <c r="AP431" s="16" t="e">
        <f t="shared" si="101"/>
        <v>#DIV/0!</v>
      </c>
      <c r="AQ431" s="15">
        <v>0.95</v>
      </c>
      <c r="AZ431" s="16">
        <f t="shared" si="106"/>
        <v>0</v>
      </c>
    </row>
    <row r="432" spans="7:52">
      <c r="G432" s="15" t="e">
        <f t="shared" si="102"/>
        <v>#DIV/0!</v>
      </c>
      <c r="P432" s="15" t="e">
        <f t="shared" si="103"/>
        <v>#DIV/0!</v>
      </c>
      <c r="R432" s="78"/>
      <c r="AA432" s="2">
        <f t="shared" si="107"/>
        <v>1</v>
      </c>
      <c r="AC432" s="15">
        <f>IF(AB432&gt;6.2,1,0)+AB432/5</f>
        <v>0</v>
      </c>
      <c r="AG432" s="14" t="e">
        <f>IF(G432&lt;52,0,0.7)+IF(G432&lt;34,0,0.7)+IF(G432&lt;1,0,0.7)+IF(P432&gt;14.56,0,1)+IF(Q432&gt;33.8,0,1)+IF(V432&gt;0,1,0)+IF(AE432&lt;10.56,0,1)</f>
        <v>#DIV/0!</v>
      </c>
      <c r="AH432" s="15" t="e">
        <f t="shared" si="97"/>
        <v>#DIV/0!</v>
      </c>
      <c r="AI432" s="15"/>
      <c r="AJ432" s="15">
        <f t="shared" si="98"/>
        <v>1</v>
      </c>
      <c r="AK432" s="15" t="e">
        <f t="shared" si="99"/>
        <v>#DIV/0!</v>
      </c>
      <c r="AL432" s="14">
        <f t="shared" si="100"/>
        <v>0</v>
      </c>
      <c r="AM432" s="14">
        <f t="shared" si="104"/>
        <v>0</v>
      </c>
      <c r="AP432" s="16" t="e">
        <f>IF(AK432&gt;13.8,IF(Z432&lt;101,IF(Z432&lt;35,IF(Z432&lt;8,3,2),1),0),0)</f>
        <v>#DIV/0!</v>
      </c>
      <c r="AQ432" s="15">
        <v>0.95</v>
      </c>
      <c r="AZ432" s="16">
        <f t="shared" si="106"/>
        <v>0</v>
      </c>
    </row>
    <row r="433" spans="7:52">
      <c r="G433" s="15" t="e">
        <f t="shared" si="102"/>
        <v>#DIV/0!</v>
      </c>
      <c r="P433" s="15" t="e">
        <f t="shared" si="103"/>
        <v>#DIV/0!</v>
      </c>
      <c r="R433" s="78"/>
      <c r="AA433" s="2">
        <f t="shared" si="107"/>
        <v>1</v>
      </c>
      <c r="AC433" s="15">
        <f>IF(AB433&gt;6.2,1,0)+AB433/5</f>
        <v>0</v>
      </c>
      <c r="AG433" s="14" t="e">
        <f>IF(G433&lt;52,0,0.7)+IF(G433&lt;34,0,0.7)+IF(G433&lt;1,0,0.7)+IF(P433&gt;14.56,0,1)+IF(Q433&gt;33.8,0,1)+IF(V433&gt;0,1,0)+IF(AE433&lt;10.56,0,1)</f>
        <v>#DIV/0!</v>
      </c>
      <c r="AH433" s="15" t="e">
        <f t="shared" si="97"/>
        <v>#DIV/0!</v>
      </c>
      <c r="AI433" s="15"/>
      <c r="AJ433" s="15">
        <f t="shared" si="98"/>
        <v>1</v>
      </c>
      <c r="AK433" s="15" t="e">
        <f t="shared" si="99"/>
        <v>#DIV/0!</v>
      </c>
      <c r="AL433" s="14">
        <f t="shared" si="100"/>
        <v>0</v>
      </c>
      <c r="AM433" s="14">
        <f t="shared" si="104"/>
        <v>0</v>
      </c>
      <c r="AP433" s="16" t="e">
        <f>IF(AK433&gt;13.8,IF(Z433&lt;101,IF(Z433&lt;35,IF(Z433&lt;8,3,2),1),0),0)</f>
        <v>#DIV/0!</v>
      </c>
      <c r="AQ433" s="15">
        <v>0.95</v>
      </c>
      <c r="AZ433" s="16">
        <f t="shared" si="106"/>
        <v>0</v>
      </c>
    </row>
    <row r="434" spans="7:52">
      <c r="G434" s="15" t="e">
        <f t="shared" si="102"/>
        <v>#DIV/0!</v>
      </c>
      <c r="P434" s="15" t="e">
        <f t="shared" si="103"/>
        <v>#DIV/0!</v>
      </c>
      <c r="R434" s="78"/>
      <c r="AA434" s="2">
        <f t="shared" si="107"/>
        <v>1</v>
      </c>
      <c r="AC434" s="15">
        <f>IF(AB434&gt;6.2,1,0)+AB434/5</f>
        <v>0</v>
      </c>
      <c r="AG434" s="14" t="e">
        <f>IF(G434&lt;52,0,0.7)+IF(G434&lt;34,0,0.7)+IF(G434&lt;1,0,0.7)+IF(P434&gt;14.56,0,1)+IF(Q434&gt;33.8,0,1)+IF(V434&gt;0,1,0)+IF(AE434&lt;10.56,0,1)</f>
        <v>#DIV/0!</v>
      </c>
      <c r="AH434" s="15" t="e">
        <f t="shared" si="97"/>
        <v>#DIV/0!</v>
      </c>
      <c r="AI434" s="15"/>
      <c r="AJ434" s="15">
        <f t="shared" si="98"/>
        <v>1</v>
      </c>
      <c r="AK434" s="15" t="e">
        <f t="shared" si="99"/>
        <v>#DIV/0!</v>
      </c>
      <c r="AL434" s="14">
        <f t="shared" si="100"/>
        <v>0</v>
      </c>
      <c r="AM434" s="14">
        <f t="shared" si="104"/>
        <v>0</v>
      </c>
      <c r="AP434" s="16" t="e">
        <f>IF(AK434&gt;13.8,IF(Z434&lt;101,IF(Z434&lt;35,IF(Z434&lt;8,3,2),1),0),0)</f>
        <v>#DIV/0!</v>
      </c>
      <c r="AQ434" s="15">
        <v>0.95</v>
      </c>
      <c r="AZ434" s="16">
        <f t="shared" si="106"/>
        <v>0</v>
      </c>
    </row>
    <row r="435" spans="7:52">
      <c r="G435" s="15" t="e">
        <f t="shared" si="102"/>
        <v>#DIV/0!</v>
      </c>
      <c r="P435" s="15" t="e">
        <f t="shared" si="103"/>
        <v>#DIV/0!</v>
      </c>
      <c r="R435" s="78"/>
      <c r="AA435" s="2">
        <f t="shared" si="107"/>
        <v>1</v>
      </c>
      <c r="AG435" s="14" t="e">
        <f>IF(G435&lt;52,0,0.7)+IF(G435&lt;34,0,0.7)+IF(G435&lt;1,0,0.7)+IF(P435&gt;14.56,0,1)+IF(Q435&gt;33.8,0,1)+IF(V435&gt;0,1,0)+IF(AE435&lt;10.56,0,1)</f>
        <v>#DIV/0!</v>
      </c>
      <c r="AH435" s="15" t="e">
        <f t="shared" si="97"/>
        <v>#DIV/0!</v>
      </c>
      <c r="AI435" s="15"/>
      <c r="AJ435" s="15">
        <f t="shared" si="98"/>
        <v>1</v>
      </c>
      <c r="AK435" s="15" t="e">
        <f t="shared" si="99"/>
        <v>#DIV/0!</v>
      </c>
      <c r="AL435" s="14">
        <f t="shared" si="100"/>
        <v>0</v>
      </c>
      <c r="AM435" s="14">
        <f t="shared" si="104"/>
        <v>0</v>
      </c>
      <c r="AQ435" s="15">
        <v>0.95</v>
      </c>
      <c r="AZ435" s="16">
        <f t="shared" si="106"/>
        <v>0</v>
      </c>
    </row>
    <row r="436" spans="7:52">
      <c r="R436" s="78"/>
      <c r="AJ436" s="15">
        <f t="shared" si="98"/>
        <v>1</v>
      </c>
      <c r="AK436" s="15">
        <f t="shared" si="99"/>
        <v>0</v>
      </c>
      <c r="AQ436" s="15">
        <v>0.95</v>
      </c>
      <c r="AZ436" s="16">
        <f t="shared" si="106"/>
        <v>0</v>
      </c>
    </row>
    <row r="437" spans="7:52">
      <c r="R437" s="78"/>
      <c r="AJ437" s="15">
        <f t="shared" si="98"/>
        <v>1</v>
      </c>
      <c r="AK437" s="15">
        <f t="shared" si="99"/>
        <v>0</v>
      </c>
      <c r="AZ437" s="16">
        <f t="shared" si="106"/>
        <v>0</v>
      </c>
    </row>
    <row r="438" spans="7:52" ht="15.6" customHeight="1">
      <c r="R438" s="78"/>
      <c r="AJ438" s="15">
        <f t="shared" si="98"/>
        <v>1</v>
      </c>
      <c r="AK438" s="15">
        <f t="shared" si="99"/>
        <v>0</v>
      </c>
      <c r="AZ438" s="16">
        <f t="shared" si="106"/>
        <v>0</v>
      </c>
    </row>
    <row r="439" spans="7:52" ht="15.6" customHeight="1">
      <c r="R439" s="78"/>
      <c r="AJ439" s="15">
        <f t="shared" si="98"/>
        <v>1</v>
      </c>
      <c r="AK439" s="15">
        <f t="shared" si="99"/>
        <v>0</v>
      </c>
      <c r="AZ439" s="16">
        <f t="shared" si="106"/>
        <v>0</v>
      </c>
    </row>
    <row r="440" spans="7:52" ht="15.6" customHeight="1">
      <c r="R440" s="78"/>
      <c r="AJ440" s="15">
        <f t="shared" si="98"/>
        <v>1</v>
      </c>
      <c r="AK440" s="15">
        <f t="shared" si="99"/>
        <v>0</v>
      </c>
      <c r="AZ440" s="16">
        <f t="shared" si="106"/>
        <v>0</v>
      </c>
    </row>
    <row r="441" spans="7:52" ht="15.6" customHeight="1">
      <c r="R441" s="78"/>
      <c r="AJ441" s="15">
        <f t="shared" si="98"/>
        <v>1</v>
      </c>
      <c r="AZ441" s="16">
        <f t="shared" si="106"/>
        <v>0</v>
      </c>
    </row>
    <row r="442" spans="7:52" ht="14.4" customHeight="1">
      <c r="R442" s="78"/>
      <c r="AZ442" s="16">
        <f t="shared" si="106"/>
        <v>0</v>
      </c>
    </row>
    <row r="443" spans="7:52" ht="14.4" customHeight="1">
      <c r="R443" s="78"/>
    </row>
    <row r="444" spans="7:52" ht="17.399999999999999" customHeight="1">
      <c r="R444" s="78"/>
    </row>
    <row r="445" spans="7:52" ht="15.6" customHeight="1">
      <c r="R445" s="78"/>
    </row>
    <row r="446" spans="7:52" ht="21" customHeight="1">
      <c r="R446" s="78"/>
    </row>
  </sheetData>
  <autoFilter ref="AB1:AB446" xr:uid="{00000000-0009-0000-0000-000000000000}"/>
  <conditionalFormatting sqref="D2:D140">
    <cfRule type="containsText" dxfId="53" priority="37" operator="containsText" text="neg">
      <formula>NOT(ISERROR(SEARCH(("neg"),(D2))))</formula>
    </cfRule>
  </conditionalFormatting>
  <conditionalFormatting sqref="G2:G435">
    <cfRule type="cellIs" dxfId="52" priority="30" operator="lessThan">
      <formula>16</formula>
    </cfRule>
  </conditionalFormatting>
  <conditionalFormatting sqref="P2:P435">
    <cfRule type="cellIs" dxfId="51" priority="31" operator="greaterThan">
      <formula>14.56</formula>
    </cfRule>
  </conditionalFormatting>
  <conditionalFormatting sqref="Q2:Q137">
    <cfRule type="cellIs" dxfId="50" priority="34" operator="greaterThan">
      <formula>33.8</formula>
    </cfRule>
  </conditionalFormatting>
  <conditionalFormatting sqref="R1:R137">
    <cfRule type="cellIs" dxfId="49" priority="26" operator="greaterThan">
      <formula>33.8</formula>
    </cfRule>
  </conditionalFormatting>
  <conditionalFormatting sqref="X2">
    <cfRule type="notContainsBlanks" dxfId="48" priority="38">
      <formula>LEN(TRIM(X2))&gt;0</formula>
    </cfRule>
  </conditionalFormatting>
  <conditionalFormatting sqref="AE2:AE137">
    <cfRule type="cellIs" dxfId="47" priority="29" operator="lessThan">
      <formula>10.56</formula>
    </cfRule>
  </conditionalFormatting>
  <conditionalFormatting sqref="AG2:AG435">
    <cfRule type="cellIs" dxfId="27" priority="35" operator="greaterThan">
      <formula>6.1</formula>
    </cfRule>
  </conditionalFormatting>
  <conditionalFormatting sqref="AH2:AH435">
    <cfRule type="cellIs" dxfId="46" priority="33" operator="greaterThan">
      <formula>8.7</formula>
    </cfRule>
  </conditionalFormatting>
  <conditionalFormatting sqref="AK2:AK440">
    <cfRule type="cellIs" dxfId="45" priority="36" operator="greaterThan">
      <formula>13.1</formula>
    </cfRule>
  </conditionalFormatting>
  <conditionalFormatting sqref="AL2:AL435">
    <cfRule type="containsText" dxfId="44" priority="8" operator="containsText" text="Rec">
      <formula>NOT(ISERROR(SEARCH("Rec",AL2)))</formula>
    </cfRule>
    <cfRule type="containsText" dxfId="43" priority="11" operator="containsText" text="neg">
      <formula>NOT(ISERROR(SEARCH(("neg"),(AL2))))</formula>
    </cfRule>
    <cfRule type="containsText" dxfId="42" priority="27" operator="containsText" text="Pos">
      <formula>NOT(ISERROR(SEARCH("Pos",AL2)))</formula>
    </cfRule>
  </conditionalFormatting>
  <conditionalFormatting sqref="AN2:AN144">
    <cfRule type="endsWith" dxfId="41" priority="13" operator="endsWith" text="4">
      <formula>RIGHT(AN2,LEN("4"))="4"</formula>
    </cfRule>
    <cfRule type="endsWith" dxfId="40" priority="14" operator="endsWith" text="2">
      <formula>RIGHT(AN2,LEN("2"))="2"</formula>
    </cfRule>
    <cfRule type="endsWith" dxfId="39" priority="15" operator="endsWith" text="7">
      <formula>RIGHT(AN2,LEN("7"))="7"</formula>
    </cfRule>
    <cfRule type="endsWith" dxfId="38" priority="16" operator="endsWith" text="0">
      <formula>RIGHT(AN2,LEN("0"))="0"</formula>
    </cfRule>
    <cfRule type="endsWith" dxfId="37" priority="17" operator="endsWith" text="8">
      <formula>RIGHT(AN2,LEN("8"))="8"</formula>
    </cfRule>
    <cfRule type="endsWith" dxfId="36" priority="19" operator="endsWith" text="9">
      <formula>RIGHT(AN2,LEN("9"))="9"</formula>
    </cfRule>
    <cfRule type="endsWith" dxfId="35" priority="20" operator="endsWith" text="6">
      <formula>RIGHT(AN2,LEN("6"))="6"</formula>
    </cfRule>
    <cfRule type="endsWith" dxfId="34" priority="21" operator="endsWith" text="1">
      <formula>RIGHT(AN2,LEN("1"))="1"</formula>
    </cfRule>
    <cfRule type="endsWith" dxfId="33" priority="22" operator="endsWith" text="3">
      <formula>RIGHT(AN2,LEN("3"))="3"</formula>
    </cfRule>
    <cfRule type="endsWith" dxfId="32" priority="23" operator="endsWith" text="5">
      <formula>RIGHT(AN2,LEN("5"))="5"</formula>
    </cfRule>
  </conditionalFormatting>
  <conditionalFormatting sqref="AP2:AP438">
    <cfRule type="containsText" dxfId="31" priority="1" operator="containsText" text="2">
      <formula>NOT(ISERROR(SEARCH("2",AP2)))</formula>
    </cfRule>
    <cfRule type="cellIs" dxfId="30" priority="3" operator="equal">
      <formula>1</formula>
    </cfRule>
    <cfRule type="cellIs" dxfId="29" priority="4" operator="equal">
      <formula>3</formula>
    </cfRule>
  </conditionalFormatting>
  <conditionalFormatting sqref="BB2:BH85 BC86:BH86 BB87:BH97">
    <cfRule type="cellIs" dxfId="28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56"/>
  <sheetViews>
    <sheetView topLeftCell="K1" zoomScale="85" zoomScaleNormal="85" workbookViewId="0">
      <pane ySplit="1" topLeftCell="A59" activePane="bottomLeft" state="frozen"/>
      <selection pane="bottomLeft" activeCell="AK83" sqref="AK83"/>
    </sheetView>
  </sheetViews>
  <sheetFormatPr defaultRowHeight="13.2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4" customHeight="1">
      <c r="A1" s="68" t="s">
        <v>0</v>
      </c>
      <c r="B1" s="39" t="s">
        <v>1</v>
      </c>
      <c r="C1" s="39" t="s">
        <v>2</v>
      </c>
      <c r="D1" s="39" t="s">
        <v>261</v>
      </c>
      <c r="E1" s="39" t="s">
        <v>4</v>
      </c>
      <c r="F1" s="39" t="s">
        <v>5</v>
      </c>
      <c r="G1" s="115" t="s">
        <v>262</v>
      </c>
      <c r="H1" s="39" t="s">
        <v>7</v>
      </c>
      <c r="I1" s="40" t="s">
        <v>263</v>
      </c>
      <c r="J1" s="40" t="s">
        <v>9</v>
      </c>
      <c r="K1" s="39" t="s">
        <v>10</v>
      </c>
      <c r="L1" s="39" t="s">
        <v>11</v>
      </c>
      <c r="M1" s="39" t="s">
        <v>12</v>
      </c>
      <c r="N1" s="39" t="s">
        <v>264</v>
      </c>
      <c r="O1" s="40" t="s">
        <v>14</v>
      </c>
      <c r="P1" s="116" t="s">
        <v>265</v>
      </c>
      <c r="Q1" s="39" t="s">
        <v>266</v>
      </c>
      <c r="R1" s="39" t="s">
        <v>267</v>
      </c>
      <c r="S1" s="39" t="s">
        <v>18</v>
      </c>
      <c r="T1" s="39" t="s">
        <v>19</v>
      </c>
      <c r="U1" s="39" t="s">
        <v>20</v>
      </c>
      <c r="V1" s="39" t="s">
        <v>21</v>
      </c>
      <c r="W1" s="60" t="s">
        <v>22</v>
      </c>
      <c r="X1" s="61" t="s">
        <v>268</v>
      </c>
      <c r="Y1" s="60" t="s">
        <v>269</v>
      </c>
      <c r="Z1" s="60" t="s">
        <v>270</v>
      </c>
      <c r="AA1" s="117" t="s">
        <v>26</v>
      </c>
      <c r="AB1" s="62" t="s">
        <v>27</v>
      </c>
      <c r="AC1" s="118" t="s">
        <v>28</v>
      </c>
      <c r="AD1" s="39" t="s">
        <v>271</v>
      </c>
      <c r="AE1" s="39" t="s">
        <v>272</v>
      </c>
      <c r="AF1" s="39" t="s">
        <v>273</v>
      </c>
      <c r="AG1" s="114" t="s">
        <v>274</v>
      </c>
      <c r="AH1" s="114" t="s">
        <v>275</v>
      </c>
      <c r="AI1" s="110" t="s">
        <v>34</v>
      </c>
      <c r="AJ1" s="114" t="s">
        <v>35</v>
      </c>
      <c r="AK1" s="114" t="s">
        <v>276</v>
      </c>
      <c r="AL1" s="119" t="s">
        <v>261</v>
      </c>
      <c r="AM1" s="116" t="s">
        <v>1</v>
      </c>
      <c r="AN1" s="38" t="s">
        <v>277</v>
      </c>
      <c r="AO1" s="38" t="s">
        <v>278</v>
      </c>
      <c r="AP1" s="111" t="s">
        <v>41</v>
      </c>
      <c r="AQ1" s="38" t="s">
        <v>42</v>
      </c>
      <c r="AR1" s="111" t="s">
        <v>43</v>
      </c>
      <c r="AS1" s="38" t="s">
        <v>44</v>
      </c>
      <c r="AT1" s="41" t="s">
        <v>45</v>
      </c>
      <c r="AU1" s="41" t="s">
        <v>46</v>
      </c>
      <c r="AV1" s="41" t="s">
        <v>47</v>
      </c>
      <c r="AW1" s="41" t="s">
        <v>48</v>
      </c>
      <c r="AX1" s="41" t="s">
        <v>50</v>
      </c>
      <c r="AY1" s="41" t="s">
        <v>279</v>
      </c>
      <c r="AZ1" s="41" t="s">
        <v>280</v>
      </c>
      <c r="BA1" s="41" t="s">
        <v>55</v>
      </c>
      <c r="BB1" s="41" t="s">
        <v>56</v>
      </c>
      <c r="BC1" s="41" t="s">
        <v>57</v>
      </c>
    </row>
    <row r="2" spans="1:55">
      <c r="A2" s="68"/>
      <c r="B2" s="42" t="s">
        <v>281</v>
      </c>
      <c r="C2" s="43">
        <v>2025</v>
      </c>
      <c r="D2" s="44" t="s">
        <v>59</v>
      </c>
      <c r="E2" s="43">
        <v>495.77</v>
      </c>
      <c r="F2" s="43">
        <v>593.6</v>
      </c>
      <c r="G2" s="43">
        <f t="shared" ref="G2:G33" si="0">100*(F2-E2)/F2</f>
        <v>16.480795148247985</v>
      </c>
      <c r="H2" s="43">
        <v>1647.59</v>
      </c>
      <c r="I2" s="43">
        <v>134.36000000000001</v>
      </c>
      <c r="J2" s="43"/>
      <c r="K2" s="45">
        <v>8.1999999999999993</v>
      </c>
      <c r="L2" s="45"/>
      <c r="M2" s="43">
        <v>267.89999999999998</v>
      </c>
      <c r="N2" s="43"/>
      <c r="O2" s="43">
        <v>1296</v>
      </c>
      <c r="P2" s="43">
        <f t="shared" ref="P2:P33" si="1">O2/I2</f>
        <v>9.645727895206905</v>
      </c>
      <c r="Q2" s="43">
        <v>59.15</v>
      </c>
      <c r="R2" s="43">
        <v>59.15</v>
      </c>
      <c r="S2" s="43">
        <v>5</v>
      </c>
      <c r="T2" s="43"/>
      <c r="U2" s="43"/>
      <c r="V2" s="43">
        <v>1</v>
      </c>
      <c r="W2" s="43">
        <v>1</v>
      </c>
      <c r="X2" s="46">
        <v>130.26</v>
      </c>
      <c r="Y2" s="45">
        <v>117.77</v>
      </c>
      <c r="Z2" s="45">
        <v>37.33</v>
      </c>
      <c r="AA2" s="47">
        <f t="shared" ref="AA2:AA33" si="2">IF(X2&lt;33,IF(Y2&gt;(1.1*X2),0,1),1)+IF(Y2&gt;(4*X2),-1,0)</f>
        <v>1</v>
      </c>
      <c r="AB2" s="43">
        <v>25</v>
      </c>
      <c r="AC2" s="48">
        <f t="shared" ref="AC2:AC33" si="3">IF(AB2&gt;9,1,0)+AB2/3</f>
        <v>9.3333333333333339</v>
      </c>
      <c r="AD2" s="45">
        <v>47.57</v>
      </c>
      <c r="AE2" s="45">
        <v>48.67</v>
      </c>
      <c r="AF2" s="45">
        <v>43.82</v>
      </c>
      <c r="AG2" s="45">
        <f t="shared" ref="AG2:AG33" si="4">IF(G2&lt;0,0,1.2)+IF(G2&lt;14,0,0.9)+IF(P2&lt;0,0.7,0)+IF(P2&lt;6.5,1,0)+IF(P2&lt;23,1,0)+IF(R2&gt;88,0,1)+S2+IF(AD2&lt;20,0,1)+IF(AE2&lt;14,0,1)+IF(AF2&lt;26,0,1)</f>
        <v>12.1</v>
      </c>
      <c r="AH2" s="45">
        <f t="shared" ref="AH2:AH33" si="5">AG2+IF(AG2&gt;6,1,0)+IF(X2&lt;17,0,1)+IF(Y2&lt;11,0,1)+IF(Z2&lt;1.35,0,1)+AC2+AA2</f>
        <v>26.433333333333337</v>
      </c>
      <c r="AI2" s="45">
        <v>11</v>
      </c>
      <c r="AJ2" s="2">
        <f t="shared" ref="AJ2:AJ33" si="6">IF(AI2&gt;12.8,IF(AI2&gt;15.8,0.9,0.97),1)</f>
        <v>1</v>
      </c>
      <c r="AK2" s="45">
        <f t="shared" ref="AK2:AK33" si="7">(AG2*2.6+AH2)*AJ2*AQ2</f>
        <v>57.893333333333338</v>
      </c>
      <c r="AL2" s="2" t="str">
        <f t="shared" ref="AL2:AL33" si="8">D2</f>
        <v>Pos</v>
      </c>
      <c r="AM2" s="2" t="str">
        <f t="shared" ref="AM2:AM33" si="9">B2</f>
        <v>Rubicon Research</v>
      </c>
      <c r="AN2" s="43"/>
      <c r="AO2" s="43"/>
      <c r="AP2" s="16">
        <f t="shared" ref="AP2:AP33" si="10">IF(AK2&gt;23.73,IF(Z2&lt;101,IF(Z2&lt;30,IF(Z2&lt;6,3,2),1),0),0)</f>
        <v>1</v>
      </c>
      <c r="AQ2" s="16">
        <v>1</v>
      </c>
      <c r="AR2" s="15">
        <f t="shared" ref="AR2:AR33" si="11">IF(AP2&gt;0,IF(AB2&gt;10,(AB2/Z2),10/Z2),0)</f>
        <v>0.66970265202250201</v>
      </c>
      <c r="AS2" s="43"/>
      <c r="AT2" s="45">
        <v>0.84911267725227135</v>
      </c>
      <c r="AU2" s="45">
        <v>4.2455633862613569</v>
      </c>
      <c r="AV2" s="45">
        <v>5</v>
      </c>
      <c r="AW2" s="45"/>
      <c r="AX2" s="45"/>
      <c r="AY2" s="45">
        <v>28</v>
      </c>
      <c r="AZ2" s="45">
        <v>30</v>
      </c>
      <c r="BA2" s="45"/>
      <c r="BB2" s="45">
        <v>47</v>
      </c>
      <c r="BC2" s="45"/>
    </row>
    <row r="3" spans="1:55">
      <c r="A3" s="68"/>
      <c r="B3" s="42" t="s">
        <v>282</v>
      </c>
      <c r="C3" s="43">
        <v>2025</v>
      </c>
      <c r="D3" s="44" t="s">
        <v>59</v>
      </c>
      <c r="E3" s="43">
        <v>427.8</v>
      </c>
      <c r="F3" s="43">
        <v>5970.2</v>
      </c>
      <c r="G3" s="43">
        <f t="shared" si="0"/>
        <v>92.834410907507291</v>
      </c>
      <c r="H3" s="43">
        <v>11517.1</v>
      </c>
      <c r="I3" s="43">
        <v>2203</v>
      </c>
      <c r="J3" s="43"/>
      <c r="K3" s="45">
        <v>32.5</v>
      </c>
      <c r="L3" s="45"/>
      <c r="M3" s="43">
        <v>3110</v>
      </c>
      <c r="N3" s="43"/>
      <c r="O3" s="43">
        <v>24367</v>
      </c>
      <c r="P3" s="43">
        <f t="shared" si="1"/>
        <v>11.060826146164322</v>
      </c>
      <c r="Q3" s="43">
        <v>35</v>
      </c>
      <c r="R3" s="43">
        <v>35</v>
      </c>
      <c r="S3" s="43">
        <v>5</v>
      </c>
      <c r="T3" s="43"/>
      <c r="U3" s="43"/>
      <c r="V3" s="43">
        <v>1</v>
      </c>
      <c r="W3" s="43">
        <v>1</v>
      </c>
      <c r="X3" s="46">
        <v>166.51</v>
      </c>
      <c r="Y3" s="45">
        <v>24.68</v>
      </c>
      <c r="Z3" s="45">
        <v>3.55</v>
      </c>
      <c r="AA3" s="47">
        <f t="shared" si="2"/>
        <v>1</v>
      </c>
      <c r="AB3" s="43">
        <v>40</v>
      </c>
      <c r="AC3" s="48">
        <f t="shared" si="3"/>
        <v>14.333333333333334</v>
      </c>
      <c r="AD3" s="45">
        <v>45.8</v>
      </c>
      <c r="AE3" s="45">
        <v>14.1</v>
      </c>
      <c r="AF3" s="45">
        <v>58.3</v>
      </c>
      <c r="AG3" s="45">
        <f t="shared" si="4"/>
        <v>12.1</v>
      </c>
      <c r="AH3" s="45">
        <f t="shared" si="5"/>
        <v>31.433333333333337</v>
      </c>
      <c r="AI3" s="45">
        <v>11</v>
      </c>
      <c r="AJ3" s="2">
        <f t="shared" si="6"/>
        <v>1</v>
      </c>
      <c r="AK3" s="45">
        <f t="shared" si="7"/>
        <v>62.893333333333338</v>
      </c>
      <c r="AL3" s="2" t="str">
        <f t="shared" si="8"/>
        <v>Pos</v>
      </c>
      <c r="AM3" s="2" t="str">
        <f t="shared" si="9"/>
        <v>LG Electronics</v>
      </c>
      <c r="AN3" s="43"/>
      <c r="AO3" s="43"/>
      <c r="AP3" s="16">
        <f t="shared" si="10"/>
        <v>3</v>
      </c>
      <c r="AQ3" s="16">
        <v>1</v>
      </c>
      <c r="AR3" s="15">
        <f t="shared" si="11"/>
        <v>11.267605633802818</v>
      </c>
      <c r="AS3" s="43"/>
      <c r="AT3" s="45">
        <v>4.0518638573743919</v>
      </c>
      <c r="AU3" s="45">
        <v>20.25931928687196</v>
      </c>
      <c r="AV3" s="45">
        <v>5</v>
      </c>
      <c r="AW3" s="45"/>
      <c r="AX3" s="45"/>
      <c r="AY3" s="45">
        <v>50</v>
      </c>
      <c r="AZ3" s="45">
        <v>48</v>
      </c>
      <c r="BA3" s="45"/>
      <c r="BB3" s="45">
        <v>42</v>
      </c>
      <c r="BC3" s="45"/>
    </row>
    <row r="4" spans="1:55">
      <c r="A4" s="68"/>
      <c r="B4" s="42" t="s">
        <v>283</v>
      </c>
      <c r="C4" s="43">
        <v>2025</v>
      </c>
      <c r="D4" s="44" t="s">
        <v>59</v>
      </c>
      <c r="E4" s="43">
        <v>119.91</v>
      </c>
      <c r="F4" s="43">
        <v>1795.82</v>
      </c>
      <c r="G4" s="43">
        <f t="shared" si="0"/>
        <v>93.322827454867422</v>
      </c>
      <c r="H4" s="43">
        <v>2200.64</v>
      </c>
      <c r="I4" s="43">
        <v>240</v>
      </c>
      <c r="J4" s="43"/>
      <c r="K4" s="45">
        <v>1.67</v>
      </c>
      <c r="L4" s="45"/>
      <c r="M4" s="43">
        <v>-32</v>
      </c>
      <c r="N4" s="43"/>
      <c r="O4" s="43">
        <v>1144</v>
      </c>
      <c r="P4" s="43">
        <f t="shared" si="1"/>
        <v>4.7666666666666666</v>
      </c>
      <c r="Q4" s="43">
        <v>61.68</v>
      </c>
      <c r="R4" s="43">
        <v>61.68</v>
      </c>
      <c r="S4" s="43">
        <v>5</v>
      </c>
      <c r="T4" s="43"/>
      <c r="U4" s="43"/>
      <c r="V4" s="43">
        <v>1</v>
      </c>
      <c r="W4" s="43">
        <v>1</v>
      </c>
      <c r="X4" s="46">
        <v>147.35</v>
      </c>
      <c r="Y4" s="45">
        <v>77.819999999999993</v>
      </c>
      <c r="Z4" s="45">
        <v>41.49</v>
      </c>
      <c r="AA4" s="47">
        <f t="shared" si="2"/>
        <v>1</v>
      </c>
      <c r="AB4" s="43">
        <v>52</v>
      </c>
      <c r="AC4" s="48">
        <f t="shared" si="3"/>
        <v>18.333333333333332</v>
      </c>
      <c r="AD4" s="45">
        <v>358</v>
      </c>
      <c r="AE4" s="45">
        <v>38</v>
      </c>
      <c r="AF4" s="45">
        <v>39</v>
      </c>
      <c r="AG4" s="45">
        <f t="shared" si="4"/>
        <v>13.1</v>
      </c>
      <c r="AH4" s="45">
        <f t="shared" si="5"/>
        <v>36.433333333333337</v>
      </c>
      <c r="AI4" s="45">
        <v>11</v>
      </c>
      <c r="AJ4" s="2">
        <f t="shared" si="6"/>
        <v>1</v>
      </c>
      <c r="AK4" s="45">
        <f t="shared" si="7"/>
        <v>70.493333333333339</v>
      </c>
      <c r="AL4" s="2" t="str">
        <f t="shared" si="8"/>
        <v>Pos</v>
      </c>
      <c r="AM4" s="2" t="str">
        <f t="shared" si="9"/>
        <v>Urban Co.</v>
      </c>
      <c r="AN4" s="43"/>
      <c r="AO4" s="43"/>
      <c r="AP4" s="16">
        <f t="shared" si="10"/>
        <v>1</v>
      </c>
      <c r="AQ4" s="16">
        <v>1</v>
      </c>
      <c r="AR4" s="15">
        <f t="shared" si="11"/>
        <v>1.2533140515786936</v>
      </c>
      <c r="AS4" s="43"/>
      <c r="AT4" s="45">
        <v>1.2850167052171679</v>
      </c>
      <c r="AU4" s="45">
        <v>6.4250835260858397</v>
      </c>
      <c r="AV4" s="45">
        <v>5</v>
      </c>
      <c r="AW4" s="45"/>
      <c r="AX4" s="45"/>
      <c r="AY4" s="45">
        <v>58</v>
      </c>
      <c r="AZ4" s="45">
        <v>62</v>
      </c>
      <c r="BA4" s="45"/>
      <c r="BB4" s="45">
        <v>37</v>
      </c>
      <c r="BC4" s="45"/>
    </row>
    <row r="5" spans="1:55">
      <c r="A5" s="68"/>
      <c r="B5" s="49" t="s">
        <v>284</v>
      </c>
      <c r="C5" s="50">
        <v>2025</v>
      </c>
      <c r="D5" s="44" t="s">
        <v>59</v>
      </c>
      <c r="E5" s="50">
        <v>507.05</v>
      </c>
      <c r="F5" s="50">
        <v>235.41</v>
      </c>
      <c r="G5" s="43">
        <f t="shared" si="0"/>
        <v>-115.39017034110701</v>
      </c>
      <c r="H5" s="50">
        <v>860</v>
      </c>
      <c r="I5" s="50">
        <v>47.67</v>
      </c>
      <c r="J5" s="50"/>
      <c r="K5" s="48">
        <v>6.05</v>
      </c>
      <c r="L5" s="48"/>
      <c r="M5" s="50">
        <v>112.79</v>
      </c>
      <c r="N5" s="50"/>
      <c r="O5" s="50">
        <v>915.16</v>
      </c>
      <c r="P5" s="43">
        <f t="shared" si="1"/>
        <v>19.197818334382209</v>
      </c>
      <c r="Q5" s="50">
        <v>17</v>
      </c>
      <c r="R5" s="50">
        <v>17</v>
      </c>
      <c r="S5" s="43">
        <v>5</v>
      </c>
      <c r="T5" s="50"/>
      <c r="U5" s="50"/>
      <c r="V5" s="50">
        <v>1</v>
      </c>
      <c r="W5" s="43">
        <v>1</v>
      </c>
      <c r="X5" s="51">
        <v>190.96</v>
      </c>
      <c r="Y5" s="48">
        <v>356.72</v>
      </c>
      <c r="Z5" s="48">
        <v>57.75</v>
      </c>
      <c r="AA5" s="47">
        <f t="shared" si="2"/>
        <v>1</v>
      </c>
      <c r="AB5" s="43">
        <v>30</v>
      </c>
      <c r="AC5" s="48">
        <f t="shared" si="3"/>
        <v>11</v>
      </c>
      <c r="AD5" s="48">
        <v>115</v>
      </c>
      <c r="AE5" s="48">
        <v>52</v>
      </c>
      <c r="AF5" s="48">
        <v>86</v>
      </c>
      <c r="AG5" s="45">
        <f t="shared" si="4"/>
        <v>10</v>
      </c>
      <c r="AH5" s="45">
        <f t="shared" si="5"/>
        <v>26</v>
      </c>
      <c r="AI5" s="45">
        <v>11</v>
      </c>
      <c r="AJ5" s="2">
        <f t="shared" si="6"/>
        <v>1</v>
      </c>
      <c r="AK5" s="45">
        <f t="shared" si="7"/>
        <v>52</v>
      </c>
      <c r="AL5" s="2" t="str">
        <f t="shared" si="8"/>
        <v>Pos</v>
      </c>
      <c r="AM5" s="2" t="str">
        <f t="shared" si="9"/>
        <v>Regaal Resources</v>
      </c>
      <c r="AN5" s="43"/>
      <c r="AO5" s="43"/>
      <c r="AP5" s="16">
        <f t="shared" si="10"/>
        <v>1</v>
      </c>
      <c r="AQ5" s="16">
        <v>1</v>
      </c>
      <c r="AR5" s="15">
        <f t="shared" si="11"/>
        <v>0.51948051948051943</v>
      </c>
      <c r="AS5" s="43"/>
      <c r="AT5" s="45">
        <v>0.28033191298497417</v>
      </c>
      <c r="AU5" s="45">
        <v>1.4016595649248711</v>
      </c>
      <c r="AV5" s="45">
        <v>5</v>
      </c>
      <c r="AW5" s="45"/>
      <c r="AX5" s="45"/>
      <c r="AY5" s="45">
        <v>38</v>
      </c>
      <c r="AZ5" s="45">
        <v>29</v>
      </c>
      <c r="BA5" s="45"/>
      <c r="BB5" s="45">
        <v>-11</v>
      </c>
      <c r="BC5" s="45"/>
    </row>
    <row r="6" spans="1:55">
      <c r="A6" s="68"/>
      <c r="B6" s="49" t="s">
        <v>285</v>
      </c>
      <c r="C6" s="50">
        <v>2025</v>
      </c>
      <c r="D6" s="44" t="s">
        <v>59</v>
      </c>
      <c r="E6" s="50">
        <v>71.8</v>
      </c>
      <c r="F6" s="50">
        <v>117.72</v>
      </c>
      <c r="G6" s="43">
        <f t="shared" si="0"/>
        <v>39.007815154604145</v>
      </c>
      <c r="H6" s="50">
        <v>231.56</v>
      </c>
      <c r="I6" s="50">
        <v>22.39</v>
      </c>
      <c r="J6" s="50"/>
      <c r="K6" s="48">
        <v>3.4</v>
      </c>
      <c r="L6" s="48"/>
      <c r="M6" s="50">
        <v>40.07</v>
      </c>
      <c r="N6" s="50"/>
      <c r="O6" s="50">
        <v>495.71</v>
      </c>
      <c r="P6" s="43">
        <f t="shared" si="1"/>
        <v>22.139794551138898</v>
      </c>
      <c r="Q6" s="50">
        <v>22.41</v>
      </c>
      <c r="R6" s="50">
        <v>22.41</v>
      </c>
      <c r="S6" s="43">
        <v>0</v>
      </c>
      <c r="T6" s="50"/>
      <c r="U6" s="50"/>
      <c r="V6" s="50">
        <v>1</v>
      </c>
      <c r="W6" s="43">
        <v>1</v>
      </c>
      <c r="X6" s="51">
        <v>6.46</v>
      </c>
      <c r="Y6" s="48">
        <v>89.1</v>
      </c>
      <c r="Z6" s="48">
        <v>70.45</v>
      </c>
      <c r="AA6" s="47">
        <f t="shared" si="2"/>
        <v>-1</v>
      </c>
      <c r="AB6" s="43">
        <v>34</v>
      </c>
      <c r="AC6" s="48">
        <f t="shared" si="3"/>
        <v>12.333333333333334</v>
      </c>
      <c r="AD6" s="48">
        <v>4.57</v>
      </c>
      <c r="AE6" s="48">
        <v>-13.56</v>
      </c>
      <c r="AF6" s="48">
        <v>26.37</v>
      </c>
      <c r="AG6" s="45">
        <f t="shared" si="4"/>
        <v>5.0999999999999996</v>
      </c>
      <c r="AH6" s="45">
        <f t="shared" si="5"/>
        <v>18.433333333333334</v>
      </c>
      <c r="AI6" s="45">
        <v>11</v>
      </c>
      <c r="AJ6" s="2">
        <f t="shared" si="6"/>
        <v>1</v>
      </c>
      <c r="AK6" s="45">
        <f t="shared" si="7"/>
        <v>31.693333333333335</v>
      </c>
      <c r="AL6" s="2" t="str">
        <f t="shared" si="8"/>
        <v>Pos</v>
      </c>
      <c r="AM6" s="2" t="str">
        <f t="shared" si="9"/>
        <v>Highway Infrastructure</v>
      </c>
      <c r="AN6" s="43"/>
      <c r="AO6" s="43"/>
      <c r="AP6" s="16">
        <f t="shared" si="10"/>
        <v>1</v>
      </c>
      <c r="AQ6" s="16">
        <v>1</v>
      </c>
      <c r="AR6" s="15">
        <f t="shared" si="11"/>
        <v>0.48261178140525191</v>
      </c>
      <c r="AS6" s="43"/>
      <c r="AT6" s="45">
        <v>1.122334455667789</v>
      </c>
      <c r="AU6" s="45">
        <v>5.6116722783389452</v>
      </c>
      <c r="AV6" s="45">
        <v>5</v>
      </c>
      <c r="AW6" s="45"/>
      <c r="AX6" s="45"/>
      <c r="AY6" s="45">
        <v>64</v>
      </c>
      <c r="AZ6" s="45">
        <v>75</v>
      </c>
      <c r="BA6" s="45"/>
      <c r="BB6" s="45">
        <v>-1</v>
      </c>
      <c r="BC6" s="45"/>
    </row>
    <row r="7" spans="1:55">
      <c r="A7" s="68"/>
      <c r="B7" s="49" t="s">
        <v>286</v>
      </c>
      <c r="C7" s="50">
        <v>2025</v>
      </c>
      <c r="D7" s="44" t="s">
        <v>59</v>
      </c>
      <c r="E7" s="50">
        <v>412.84</v>
      </c>
      <c r="F7" s="50">
        <v>1017.67</v>
      </c>
      <c r="G7" s="43">
        <f t="shared" si="0"/>
        <v>59.432822034647771</v>
      </c>
      <c r="H7" s="50">
        <v>3174.54</v>
      </c>
      <c r="I7" s="50">
        <v>351.37</v>
      </c>
      <c r="J7" s="50"/>
      <c r="K7" s="48">
        <v>33.020000000000003</v>
      </c>
      <c r="L7" s="48"/>
      <c r="M7" s="50">
        <v>258.39</v>
      </c>
      <c r="N7" s="50"/>
      <c r="O7" s="50">
        <v>3111.87</v>
      </c>
      <c r="P7" s="43">
        <f t="shared" si="1"/>
        <v>8.8563906992628851</v>
      </c>
      <c r="Q7" s="50">
        <v>20.440000000000001</v>
      </c>
      <c r="R7" s="50">
        <v>20.440000000000001</v>
      </c>
      <c r="S7" s="43">
        <v>0</v>
      </c>
      <c r="T7" s="50"/>
      <c r="U7" s="50"/>
      <c r="V7" s="50">
        <v>1</v>
      </c>
      <c r="W7" s="43">
        <v>1</v>
      </c>
      <c r="X7" s="51">
        <v>140.5</v>
      </c>
      <c r="Y7" s="48">
        <v>75.930000000000007</v>
      </c>
      <c r="Z7" s="48">
        <v>53.81</v>
      </c>
      <c r="AA7" s="47">
        <f t="shared" si="2"/>
        <v>1</v>
      </c>
      <c r="AB7" s="43">
        <v>45</v>
      </c>
      <c r="AC7" s="48">
        <f t="shared" si="3"/>
        <v>16</v>
      </c>
      <c r="AD7" s="48">
        <v>205</v>
      </c>
      <c r="AE7" s="48">
        <v>12</v>
      </c>
      <c r="AF7" s="48">
        <v>140</v>
      </c>
      <c r="AG7" s="45">
        <f t="shared" si="4"/>
        <v>6.1</v>
      </c>
      <c r="AH7" s="45">
        <f t="shared" si="5"/>
        <v>27.1</v>
      </c>
      <c r="AI7" s="45">
        <v>11</v>
      </c>
      <c r="AJ7" s="2">
        <f t="shared" si="6"/>
        <v>1</v>
      </c>
      <c r="AK7" s="45">
        <f t="shared" si="7"/>
        <v>42.96</v>
      </c>
      <c r="AL7" s="2" t="str">
        <f t="shared" si="8"/>
        <v>Pos</v>
      </c>
      <c r="AM7" s="2" t="str">
        <f t="shared" si="9"/>
        <v>Aditya Infotech</v>
      </c>
      <c r="AN7" s="43"/>
      <c r="AO7" s="43"/>
      <c r="AP7" s="16">
        <f t="shared" si="10"/>
        <v>1</v>
      </c>
      <c r="AQ7" s="16">
        <v>1</v>
      </c>
      <c r="AR7" s="15">
        <f t="shared" si="11"/>
        <v>0.83627578517004275</v>
      </c>
      <c r="AS7" s="43"/>
      <c r="AT7" s="45">
        <v>1.317002502304754</v>
      </c>
      <c r="AU7" s="45">
        <v>6.5850125115237716</v>
      </c>
      <c r="AV7" s="45">
        <v>5</v>
      </c>
      <c r="AW7" s="45"/>
      <c r="AX7" s="45"/>
      <c r="AY7" s="45">
        <v>50</v>
      </c>
      <c r="AZ7" s="45">
        <v>61</v>
      </c>
      <c r="BA7" s="45"/>
      <c r="BB7" s="45">
        <v>140</v>
      </c>
      <c r="BC7" s="45"/>
    </row>
    <row r="8" spans="1:55">
      <c r="A8" s="68"/>
      <c r="B8" s="49" t="s">
        <v>287</v>
      </c>
      <c r="C8" s="50">
        <v>2025</v>
      </c>
      <c r="D8" s="44" t="s">
        <v>59</v>
      </c>
      <c r="E8" s="50">
        <v>39</v>
      </c>
      <c r="F8" s="50">
        <v>226</v>
      </c>
      <c r="G8" s="43">
        <f t="shared" si="0"/>
        <v>82.743362831858406</v>
      </c>
      <c r="H8" s="50">
        <v>719</v>
      </c>
      <c r="I8" s="50">
        <v>69</v>
      </c>
      <c r="J8" s="50"/>
      <c r="K8" s="48">
        <v>7.09</v>
      </c>
      <c r="L8" s="48"/>
      <c r="M8" s="50">
        <v>126</v>
      </c>
      <c r="N8" s="50"/>
      <c r="O8" s="50">
        <v>1411</v>
      </c>
      <c r="P8" s="43">
        <f t="shared" si="1"/>
        <v>20.44927536231884</v>
      </c>
      <c r="Q8" s="50">
        <v>33.43</v>
      </c>
      <c r="R8" s="50">
        <v>33.43</v>
      </c>
      <c r="S8" s="43">
        <v>0</v>
      </c>
      <c r="T8" s="50"/>
      <c r="U8" s="50"/>
      <c r="V8" s="43">
        <v>1</v>
      </c>
      <c r="W8" s="43">
        <v>1</v>
      </c>
      <c r="X8" s="51">
        <v>275.75</v>
      </c>
      <c r="Y8" s="48">
        <v>264.14</v>
      </c>
      <c r="Z8" s="48">
        <v>49.01</v>
      </c>
      <c r="AA8" s="47">
        <f t="shared" si="2"/>
        <v>1</v>
      </c>
      <c r="AB8" s="43">
        <v>35</v>
      </c>
      <c r="AC8" s="48">
        <f t="shared" si="3"/>
        <v>12.666666666666666</v>
      </c>
      <c r="AD8" s="48">
        <v>33</v>
      </c>
      <c r="AE8" s="48">
        <v>24</v>
      </c>
      <c r="AF8" s="48">
        <v>39</v>
      </c>
      <c r="AG8" s="45">
        <f t="shared" si="4"/>
        <v>7.1</v>
      </c>
      <c r="AH8" s="45">
        <f t="shared" si="5"/>
        <v>24.766666666666666</v>
      </c>
      <c r="AI8" s="45">
        <v>11</v>
      </c>
      <c r="AJ8" s="2">
        <f t="shared" si="6"/>
        <v>1</v>
      </c>
      <c r="AK8" s="45">
        <f t="shared" si="7"/>
        <v>43.226666666666667</v>
      </c>
      <c r="AL8" s="2" t="str">
        <f t="shared" si="8"/>
        <v>Pos</v>
      </c>
      <c r="AM8" s="2" t="str">
        <f t="shared" si="9"/>
        <v>GNG Electronics</v>
      </c>
      <c r="AN8" s="43"/>
      <c r="AO8" s="43"/>
      <c r="AP8" s="16">
        <f t="shared" si="10"/>
        <v>1</v>
      </c>
      <c r="AQ8" s="16">
        <v>1</v>
      </c>
      <c r="AR8" s="15">
        <f t="shared" si="11"/>
        <v>0.71413997143440122</v>
      </c>
      <c r="AS8" s="43"/>
      <c r="AT8" s="45">
        <v>0.37858711289467711</v>
      </c>
      <c r="AU8" s="45">
        <v>1.892935564473385</v>
      </c>
      <c r="AV8" s="45">
        <v>5</v>
      </c>
      <c r="AW8" s="45"/>
      <c r="AX8" s="45"/>
      <c r="AY8" s="45">
        <v>50</v>
      </c>
      <c r="AZ8" s="45">
        <v>41</v>
      </c>
      <c r="BA8" s="45"/>
      <c r="BB8" s="45">
        <v>40</v>
      </c>
      <c r="BC8" s="45"/>
    </row>
    <row r="9" spans="1:55">
      <c r="A9" s="68"/>
      <c r="B9" s="49" t="s">
        <v>288</v>
      </c>
      <c r="C9" s="50">
        <v>2025</v>
      </c>
      <c r="D9" s="44" t="s">
        <v>59</v>
      </c>
      <c r="E9" s="50">
        <v>181.43</v>
      </c>
      <c r="F9" s="50">
        <v>438.28</v>
      </c>
      <c r="G9" s="43">
        <f t="shared" si="0"/>
        <v>58.604088710413428</v>
      </c>
      <c r="H9" s="50">
        <v>957.58</v>
      </c>
      <c r="I9" s="50">
        <v>82.44</v>
      </c>
      <c r="J9" s="50"/>
      <c r="K9" s="48">
        <v>3.79</v>
      </c>
      <c r="L9" s="48"/>
      <c r="M9" s="50">
        <v>159.87</v>
      </c>
      <c r="N9" s="50"/>
      <c r="O9" s="50">
        <v>1285.76</v>
      </c>
      <c r="P9" s="43">
        <f t="shared" si="1"/>
        <v>15.596312469674915</v>
      </c>
      <c r="Q9" s="50">
        <v>21.63</v>
      </c>
      <c r="R9" s="50">
        <v>21.63</v>
      </c>
      <c r="S9" s="43">
        <v>0</v>
      </c>
      <c r="T9" s="50"/>
      <c r="U9" s="50"/>
      <c r="V9" s="43">
        <v>1</v>
      </c>
      <c r="W9" s="43">
        <v>1</v>
      </c>
      <c r="X9" s="51">
        <v>66.36</v>
      </c>
      <c r="Y9" s="48">
        <v>33.880000000000003</v>
      </c>
      <c r="Z9" s="48">
        <v>8.56</v>
      </c>
      <c r="AA9" s="47">
        <f t="shared" si="2"/>
        <v>1</v>
      </c>
      <c r="AB9" s="43">
        <v>17</v>
      </c>
      <c r="AC9" s="48">
        <f t="shared" si="3"/>
        <v>6.666666666666667</v>
      </c>
      <c r="AD9" s="48">
        <v>36.49</v>
      </c>
      <c r="AE9" s="48">
        <v>37.17</v>
      </c>
      <c r="AF9" s="48">
        <v>108.27</v>
      </c>
      <c r="AG9" s="45">
        <f t="shared" si="4"/>
        <v>7.1</v>
      </c>
      <c r="AH9" s="45">
        <f t="shared" si="5"/>
        <v>18.766666666666666</v>
      </c>
      <c r="AI9" s="45">
        <v>11</v>
      </c>
      <c r="AJ9" s="2">
        <f t="shared" si="6"/>
        <v>1</v>
      </c>
      <c r="AK9" s="45">
        <f t="shared" si="7"/>
        <v>37.226666666666667</v>
      </c>
      <c r="AL9" s="2" t="str">
        <f t="shared" si="8"/>
        <v>Pos</v>
      </c>
      <c r="AM9" s="2" t="str">
        <f t="shared" si="9"/>
        <v>Sambhv Steel Tubes</v>
      </c>
      <c r="AN9" s="43"/>
      <c r="AO9" s="43"/>
      <c r="AP9" s="16">
        <f t="shared" si="10"/>
        <v>2</v>
      </c>
      <c r="AQ9" s="16">
        <v>1</v>
      </c>
      <c r="AR9" s="15">
        <f t="shared" si="11"/>
        <v>1.9859813084112148</v>
      </c>
      <c r="AS9" s="43"/>
      <c r="AT9" s="45">
        <v>2.95159386068477</v>
      </c>
      <c r="AU9" s="45">
        <v>14.757969303423851</v>
      </c>
      <c r="AV9" s="45">
        <v>5</v>
      </c>
      <c r="AW9" s="45"/>
      <c r="AX9" s="45"/>
      <c r="AY9" s="45">
        <v>34</v>
      </c>
      <c r="AZ9" s="45">
        <v>19</v>
      </c>
      <c r="BA9" s="45"/>
      <c r="BB9" s="45">
        <v>34</v>
      </c>
      <c r="BC9" s="45"/>
    </row>
    <row r="10" spans="1:55">
      <c r="A10" s="68"/>
      <c r="B10" s="49" t="s">
        <v>289</v>
      </c>
      <c r="C10" s="50">
        <v>2025</v>
      </c>
      <c r="D10" s="44" t="s">
        <v>59</v>
      </c>
      <c r="E10" s="50">
        <v>42</v>
      </c>
      <c r="F10" s="50">
        <v>42</v>
      </c>
      <c r="G10" s="43">
        <f t="shared" si="0"/>
        <v>0</v>
      </c>
      <c r="H10" s="50">
        <v>99</v>
      </c>
      <c r="I10" s="50">
        <v>26.5</v>
      </c>
      <c r="J10" s="50"/>
      <c r="K10" s="48">
        <v>9.5</v>
      </c>
      <c r="L10" s="48"/>
      <c r="M10" s="50">
        <v>23.8</v>
      </c>
      <c r="N10" s="50"/>
      <c r="O10" s="50">
        <v>193.6</v>
      </c>
      <c r="P10" s="43">
        <f t="shared" si="1"/>
        <v>7.3056603773584907</v>
      </c>
      <c r="Q10" s="50">
        <v>45</v>
      </c>
      <c r="R10" s="50">
        <v>45</v>
      </c>
      <c r="S10" s="43">
        <v>0</v>
      </c>
      <c r="T10" s="50"/>
      <c r="U10" s="50"/>
      <c r="V10" s="43">
        <v>1</v>
      </c>
      <c r="W10" s="43">
        <v>1</v>
      </c>
      <c r="X10" s="51">
        <v>110.38</v>
      </c>
      <c r="Y10" s="48">
        <v>147.69</v>
      </c>
      <c r="Z10" s="48">
        <v>75.099999999999994</v>
      </c>
      <c r="AA10" s="47">
        <f t="shared" si="2"/>
        <v>1</v>
      </c>
      <c r="AB10" s="43">
        <v>33</v>
      </c>
      <c r="AC10" s="48">
        <f t="shared" si="3"/>
        <v>12</v>
      </c>
      <c r="AD10" s="48">
        <v>741</v>
      </c>
      <c r="AE10" s="48">
        <v>19.8</v>
      </c>
      <c r="AF10" s="48">
        <v>133</v>
      </c>
      <c r="AG10" s="45">
        <f t="shared" si="4"/>
        <v>6.2</v>
      </c>
      <c r="AH10" s="45">
        <f t="shared" si="5"/>
        <v>23.2</v>
      </c>
      <c r="AI10" s="45">
        <v>11</v>
      </c>
      <c r="AJ10" s="2">
        <f t="shared" si="6"/>
        <v>1</v>
      </c>
      <c r="AK10" s="45">
        <f t="shared" si="7"/>
        <v>39.32</v>
      </c>
      <c r="AL10" s="2" t="str">
        <f t="shared" si="8"/>
        <v>Pos</v>
      </c>
      <c r="AM10" s="2" t="str">
        <f t="shared" si="9"/>
        <v>Lami Dental</v>
      </c>
      <c r="AN10" s="43"/>
      <c r="AO10" s="43"/>
      <c r="AP10" s="16">
        <f t="shared" si="10"/>
        <v>1</v>
      </c>
      <c r="AQ10" s="16">
        <v>1</v>
      </c>
      <c r="AR10" s="15">
        <f t="shared" si="11"/>
        <v>0.43941411451398138</v>
      </c>
      <c r="AS10" s="43"/>
      <c r="AT10" s="45">
        <v>0.67709391292572285</v>
      </c>
      <c r="AU10" s="45">
        <v>3.3854695646286141</v>
      </c>
      <c r="AV10" s="45">
        <v>5</v>
      </c>
      <c r="AW10" s="45"/>
      <c r="AX10" s="45"/>
      <c r="AY10" s="45">
        <v>27</v>
      </c>
      <c r="AZ10" s="45">
        <v>29</v>
      </c>
      <c r="BA10" s="45"/>
      <c r="BB10" s="45">
        <v>-27</v>
      </c>
      <c r="BC10" s="45"/>
    </row>
    <row r="11" spans="1:55">
      <c r="A11" s="68"/>
      <c r="B11" s="49" t="s">
        <v>290</v>
      </c>
      <c r="C11" s="43">
        <v>2024</v>
      </c>
      <c r="D11" s="44" t="s">
        <v>59</v>
      </c>
      <c r="E11" s="50">
        <v>75.03</v>
      </c>
      <c r="F11" s="50">
        <v>108.6</v>
      </c>
      <c r="G11" s="43">
        <f t="shared" si="0"/>
        <v>30.911602209944746</v>
      </c>
      <c r="H11" s="50">
        <v>175.63</v>
      </c>
      <c r="I11" s="50">
        <v>58.13</v>
      </c>
      <c r="J11" s="50"/>
      <c r="K11" s="48">
        <v>13.23</v>
      </c>
      <c r="L11" s="48"/>
      <c r="M11" s="50">
        <v>79.13</v>
      </c>
      <c r="N11" s="50"/>
      <c r="O11" s="50">
        <v>208.77</v>
      </c>
      <c r="P11" s="43">
        <f t="shared" si="1"/>
        <v>3.5914329950111821</v>
      </c>
      <c r="Q11" s="50">
        <v>59.33</v>
      </c>
      <c r="R11" s="50">
        <v>59.33</v>
      </c>
      <c r="S11" s="43">
        <v>0</v>
      </c>
      <c r="T11" s="50"/>
      <c r="U11" s="50"/>
      <c r="V11" s="50">
        <v>1</v>
      </c>
      <c r="W11" s="43">
        <v>1</v>
      </c>
      <c r="X11" s="51">
        <v>116.01</v>
      </c>
      <c r="Y11" s="48">
        <v>196.78</v>
      </c>
      <c r="Z11" s="48">
        <v>44.11</v>
      </c>
      <c r="AA11" s="47">
        <f t="shared" si="2"/>
        <v>1</v>
      </c>
      <c r="AB11" s="43">
        <v>79</v>
      </c>
      <c r="AC11" s="48">
        <f t="shared" si="3"/>
        <v>27.333333333333332</v>
      </c>
      <c r="AD11" s="48">
        <v>155</v>
      </c>
      <c r="AE11" s="48">
        <v>122</v>
      </c>
      <c r="AF11" s="48">
        <v>122</v>
      </c>
      <c r="AG11" s="45">
        <f t="shared" si="4"/>
        <v>8.1</v>
      </c>
      <c r="AH11" s="45">
        <f t="shared" si="5"/>
        <v>40.43333333333333</v>
      </c>
      <c r="AI11" s="45">
        <v>11</v>
      </c>
      <c r="AJ11" s="2">
        <f t="shared" si="6"/>
        <v>1</v>
      </c>
      <c r="AK11" s="45">
        <f t="shared" si="7"/>
        <v>61.493333333333325</v>
      </c>
      <c r="AL11" s="2" t="str">
        <f t="shared" si="8"/>
        <v>Pos</v>
      </c>
      <c r="AM11" s="2" t="str">
        <f t="shared" si="9"/>
        <v>Unimech Aerospace</v>
      </c>
      <c r="AN11" s="43"/>
      <c r="AO11" s="43"/>
      <c r="AP11" s="16">
        <f t="shared" si="10"/>
        <v>1</v>
      </c>
      <c r="AQ11" s="16">
        <v>1</v>
      </c>
      <c r="AR11" s="15">
        <f t="shared" si="11"/>
        <v>1.790977102697801</v>
      </c>
      <c r="AS11" s="43"/>
      <c r="AT11" s="45">
        <v>0.50818172578514076</v>
      </c>
      <c r="AU11" s="45">
        <v>2.5409086289257039</v>
      </c>
      <c r="AV11" s="45">
        <v>5</v>
      </c>
      <c r="AW11" s="45"/>
      <c r="AX11" s="45"/>
      <c r="AY11" s="45">
        <v>86</v>
      </c>
      <c r="AZ11" s="45">
        <v>75</v>
      </c>
      <c r="BA11" s="45"/>
      <c r="BB11" s="45">
        <v>28</v>
      </c>
      <c r="BC11" s="45"/>
    </row>
    <row r="12" spans="1:55">
      <c r="A12" s="68"/>
      <c r="B12" s="49" t="s">
        <v>291</v>
      </c>
      <c r="C12" s="43">
        <v>2024</v>
      </c>
      <c r="D12" s="44" t="s">
        <v>59</v>
      </c>
      <c r="E12" s="50">
        <v>200.8</v>
      </c>
      <c r="F12" s="50">
        <v>811.9</v>
      </c>
      <c r="G12" s="43">
        <f t="shared" si="0"/>
        <v>75.26789013425298</v>
      </c>
      <c r="H12" s="50">
        <v>1091.2</v>
      </c>
      <c r="I12" s="50">
        <v>58.3</v>
      </c>
      <c r="J12" s="50"/>
      <c r="K12" s="48">
        <v>12.7</v>
      </c>
      <c r="L12" s="48"/>
      <c r="M12" s="50">
        <v>89.7</v>
      </c>
      <c r="N12" s="50"/>
      <c r="O12" s="50">
        <v>398.3</v>
      </c>
      <c r="P12" s="43">
        <f t="shared" si="1"/>
        <v>6.8319039451114927</v>
      </c>
      <c r="Q12" s="50">
        <v>55.1</v>
      </c>
      <c r="R12" s="50">
        <v>55.1</v>
      </c>
      <c r="S12" s="43">
        <v>0</v>
      </c>
      <c r="T12" s="50"/>
      <c r="U12" s="50"/>
      <c r="V12" s="50">
        <v>1</v>
      </c>
      <c r="W12" s="43">
        <v>1</v>
      </c>
      <c r="X12" s="51">
        <v>97.84</v>
      </c>
      <c r="Y12" s="48">
        <v>100.35</v>
      </c>
      <c r="Z12" s="48">
        <v>93.16</v>
      </c>
      <c r="AA12" s="47">
        <f t="shared" si="2"/>
        <v>1</v>
      </c>
      <c r="AB12" s="43">
        <v>0</v>
      </c>
      <c r="AC12" s="48">
        <f t="shared" si="3"/>
        <v>0</v>
      </c>
      <c r="AD12" s="48">
        <v>85.7</v>
      </c>
      <c r="AE12" s="48">
        <v>85.6</v>
      </c>
      <c r="AF12" s="48">
        <v>250.5</v>
      </c>
      <c r="AG12" s="45">
        <f t="shared" si="4"/>
        <v>7.1</v>
      </c>
      <c r="AH12" s="45">
        <f t="shared" si="5"/>
        <v>12.1</v>
      </c>
      <c r="AI12" s="45">
        <v>11</v>
      </c>
      <c r="AJ12" s="2">
        <f t="shared" si="6"/>
        <v>1</v>
      </c>
      <c r="AK12" s="45">
        <f t="shared" si="7"/>
        <v>30.560000000000002</v>
      </c>
      <c r="AL12" s="2" t="str">
        <f t="shared" si="8"/>
        <v>Pos</v>
      </c>
      <c r="AM12" s="2" t="str">
        <f t="shared" si="9"/>
        <v>Senores Pharmaceuticals</v>
      </c>
      <c r="AN12" s="43"/>
      <c r="AO12" s="43"/>
      <c r="AP12" s="16">
        <f t="shared" si="10"/>
        <v>1</v>
      </c>
      <c r="AQ12" s="16">
        <v>1</v>
      </c>
      <c r="AR12" s="15">
        <f t="shared" si="11"/>
        <v>0.10734220695577501</v>
      </c>
      <c r="AS12" s="43"/>
      <c r="AT12" s="45">
        <v>0.99651220727453915</v>
      </c>
      <c r="AU12" s="45">
        <v>4.9825610363726964</v>
      </c>
      <c r="AV12" s="45">
        <v>5</v>
      </c>
      <c r="AW12" s="45"/>
      <c r="AX12" s="45"/>
      <c r="AY12" s="45">
        <v>53</v>
      </c>
      <c r="AZ12" s="45">
        <v>43</v>
      </c>
      <c r="BA12" s="45"/>
      <c r="BB12" s="45">
        <v>100</v>
      </c>
      <c r="BC12" s="45"/>
    </row>
    <row r="13" spans="1:55">
      <c r="A13" s="68"/>
      <c r="B13" s="49" t="s">
        <v>292</v>
      </c>
      <c r="C13" s="43">
        <v>2024</v>
      </c>
      <c r="D13" s="44" t="s">
        <v>59</v>
      </c>
      <c r="E13" s="50">
        <v>11.5</v>
      </c>
      <c r="F13" s="50">
        <v>132.30000000000001</v>
      </c>
      <c r="G13" s="43">
        <f t="shared" si="0"/>
        <v>91.307634164777028</v>
      </c>
      <c r="H13" s="50">
        <v>237.4</v>
      </c>
      <c r="I13" s="50">
        <v>36.1</v>
      </c>
      <c r="J13" s="50"/>
      <c r="K13" s="48">
        <v>14.65</v>
      </c>
      <c r="L13" s="48"/>
      <c r="M13" s="50">
        <v>47.1</v>
      </c>
      <c r="N13" s="50"/>
      <c r="O13" s="50">
        <v>236.6</v>
      </c>
      <c r="P13" s="43">
        <f t="shared" si="1"/>
        <v>6.5540166204986141</v>
      </c>
      <c r="Q13" s="50">
        <v>16.59</v>
      </c>
      <c r="R13" s="50">
        <v>16.59</v>
      </c>
      <c r="S13" s="43">
        <v>0</v>
      </c>
      <c r="T13" s="50"/>
      <c r="U13" s="50"/>
      <c r="V13" s="50">
        <v>1</v>
      </c>
      <c r="W13" s="43">
        <v>1</v>
      </c>
      <c r="X13" s="51">
        <v>235.88</v>
      </c>
      <c r="Y13" s="48">
        <v>274.38</v>
      </c>
      <c r="Z13" s="48">
        <v>138.08000000000001</v>
      </c>
      <c r="AA13" s="47">
        <f t="shared" si="2"/>
        <v>1</v>
      </c>
      <c r="AB13" s="43">
        <v>107</v>
      </c>
      <c r="AC13" s="48">
        <f t="shared" si="3"/>
        <v>36.666666666666664</v>
      </c>
      <c r="AD13" s="48">
        <v>60</v>
      </c>
      <c r="AE13" s="48">
        <v>18</v>
      </c>
      <c r="AF13" s="48">
        <v>4</v>
      </c>
      <c r="AG13" s="45">
        <f t="shared" si="4"/>
        <v>6.1</v>
      </c>
      <c r="AH13" s="45">
        <f t="shared" si="5"/>
        <v>47.766666666666666</v>
      </c>
      <c r="AI13" s="45">
        <v>11</v>
      </c>
      <c r="AJ13" s="2">
        <f t="shared" si="6"/>
        <v>1</v>
      </c>
      <c r="AK13" s="45">
        <f t="shared" si="7"/>
        <v>63.626666666666665</v>
      </c>
      <c r="AL13" s="2" t="str">
        <f t="shared" si="8"/>
        <v>Pos</v>
      </c>
      <c r="AM13" s="2" t="str">
        <f t="shared" si="9"/>
        <v>Mamata Machinery</v>
      </c>
      <c r="AN13" s="43"/>
      <c r="AO13" s="43"/>
      <c r="AP13" s="16">
        <f t="shared" si="10"/>
        <v>0</v>
      </c>
      <c r="AQ13" s="16">
        <v>1</v>
      </c>
      <c r="AR13" s="15">
        <f t="shared" si="11"/>
        <v>0</v>
      </c>
      <c r="AS13" s="43"/>
      <c r="AT13" s="45">
        <v>0.36445805087834388</v>
      </c>
      <c r="AU13" s="45">
        <v>1.8222902543917201</v>
      </c>
      <c r="AV13" s="45">
        <v>5</v>
      </c>
      <c r="AW13" s="45"/>
      <c r="AX13" s="45"/>
      <c r="AY13" s="45">
        <v>147</v>
      </c>
      <c r="AZ13" s="45">
        <v>159</v>
      </c>
      <c r="BA13" s="45"/>
      <c r="BB13" s="45">
        <v>73</v>
      </c>
      <c r="BC13" s="45"/>
    </row>
    <row r="14" spans="1:55">
      <c r="A14" s="68"/>
      <c r="B14" s="49" t="s">
        <v>293</v>
      </c>
      <c r="C14" s="43">
        <v>2024</v>
      </c>
      <c r="D14" s="44" t="s">
        <v>59</v>
      </c>
      <c r="E14" s="50">
        <v>211.7</v>
      </c>
      <c r="F14" s="50">
        <v>162.59</v>
      </c>
      <c r="G14" s="43">
        <f t="shared" si="0"/>
        <v>-30.204809643889526</v>
      </c>
      <c r="H14" s="50">
        <v>854.65</v>
      </c>
      <c r="I14" s="50">
        <v>14.08</v>
      </c>
      <c r="J14" s="50"/>
      <c r="K14" s="48">
        <v>2.46</v>
      </c>
      <c r="L14" s="48"/>
      <c r="M14" s="50">
        <v>37.22</v>
      </c>
      <c r="N14" s="50"/>
      <c r="O14" s="50">
        <v>875</v>
      </c>
      <c r="P14" s="43">
        <f t="shared" si="1"/>
        <v>62.144886363636367</v>
      </c>
      <c r="Q14" s="50">
        <v>113.32</v>
      </c>
      <c r="R14" s="50">
        <v>113.32</v>
      </c>
      <c r="S14" s="43">
        <v>0</v>
      </c>
      <c r="T14" s="50"/>
      <c r="U14" s="50"/>
      <c r="V14" s="43">
        <v>1</v>
      </c>
      <c r="W14" s="43">
        <v>1</v>
      </c>
      <c r="X14" s="52">
        <v>125</v>
      </c>
      <c r="Y14" s="48">
        <v>114.7</v>
      </c>
      <c r="Z14" s="48">
        <v>141.78</v>
      </c>
      <c r="AA14" s="47">
        <f t="shared" si="2"/>
        <v>1</v>
      </c>
      <c r="AB14" s="43">
        <v>59</v>
      </c>
      <c r="AC14" s="48">
        <f t="shared" si="3"/>
        <v>20.666666666666668</v>
      </c>
      <c r="AD14" s="48">
        <v>117</v>
      </c>
      <c r="AE14" s="48">
        <v>62</v>
      </c>
      <c r="AF14" s="48">
        <v>14</v>
      </c>
      <c r="AG14" s="45">
        <f t="shared" si="4"/>
        <v>2</v>
      </c>
      <c r="AH14" s="45">
        <f t="shared" si="5"/>
        <v>26.666666666666668</v>
      </c>
      <c r="AI14" s="45">
        <v>11</v>
      </c>
      <c r="AJ14" s="2">
        <f t="shared" si="6"/>
        <v>1</v>
      </c>
      <c r="AK14" s="45">
        <f t="shared" si="7"/>
        <v>31.866666666666667</v>
      </c>
      <c r="AL14" s="2" t="str">
        <f t="shared" si="8"/>
        <v>Pos</v>
      </c>
      <c r="AM14" s="2" t="str">
        <f t="shared" si="9"/>
        <v>Mobikwik</v>
      </c>
      <c r="AN14" s="43"/>
      <c r="AO14" s="43"/>
      <c r="AP14" s="16">
        <f t="shared" si="10"/>
        <v>0</v>
      </c>
      <c r="AQ14" s="16">
        <v>1</v>
      </c>
      <c r="AR14" s="15">
        <f t="shared" si="11"/>
        <v>0</v>
      </c>
      <c r="AS14" s="43"/>
      <c r="AT14" s="45">
        <v>0.87183958151700081</v>
      </c>
      <c r="AU14" s="45">
        <v>4.3591979075850036</v>
      </c>
      <c r="AV14" s="45">
        <v>5</v>
      </c>
      <c r="AW14" s="45"/>
      <c r="AX14" s="45"/>
      <c r="AY14" s="45">
        <v>58</v>
      </c>
      <c r="AZ14" s="45">
        <v>90</v>
      </c>
      <c r="BA14" s="45"/>
      <c r="BB14" s="45">
        <v>-9</v>
      </c>
      <c r="BC14" s="45"/>
    </row>
    <row r="15" spans="1:55">
      <c r="A15" s="68"/>
      <c r="B15" s="49" t="s">
        <v>294</v>
      </c>
      <c r="C15" s="43">
        <v>2024</v>
      </c>
      <c r="D15" s="44" t="s">
        <v>59</v>
      </c>
      <c r="E15" s="50">
        <v>305.58</v>
      </c>
      <c r="F15" s="50">
        <v>323</v>
      </c>
      <c r="G15" s="43">
        <f t="shared" si="0"/>
        <v>5.3931888544891686</v>
      </c>
      <c r="H15" s="50">
        <v>812.87</v>
      </c>
      <c r="I15" s="50">
        <v>110.54</v>
      </c>
      <c r="J15" s="50"/>
      <c r="K15" s="48">
        <v>5.95</v>
      </c>
      <c r="L15" s="48"/>
      <c r="M15" s="50">
        <v>169.32</v>
      </c>
      <c r="N15" s="50"/>
      <c r="O15" s="50">
        <v>728.92</v>
      </c>
      <c r="P15" s="43">
        <f t="shared" si="1"/>
        <v>6.5941740546408534</v>
      </c>
      <c r="Q15" s="50">
        <v>23.9</v>
      </c>
      <c r="R15" s="50">
        <v>23.9</v>
      </c>
      <c r="S15" s="43">
        <v>0</v>
      </c>
      <c r="T15" s="50"/>
      <c r="U15" s="50"/>
      <c r="V15" s="43">
        <v>1</v>
      </c>
      <c r="W15" s="43">
        <v>1</v>
      </c>
      <c r="X15" s="51">
        <v>157.05000000000001</v>
      </c>
      <c r="Y15" s="48">
        <v>153.80000000000001</v>
      </c>
      <c r="Z15" s="48">
        <v>24.48</v>
      </c>
      <c r="AA15" s="47">
        <f t="shared" si="2"/>
        <v>1</v>
      </c>
      <c r="AB15" s="43">
        <v>39</v>
      </c>
      <c r="AC15" s="48">
        <f t="shared" si="3"/>
        <v>14</v>
      </c>
      <c r="AD15" s="48">
        <v>101</v>
      </c>
      <c r="AE15" s="48">
        <v>115.6</v>
      </c>
      <c r="AF15" s="48">
        <v>10.5</v>
      </c>
      <c r="AG15" s="45">
        <f t="shared" si="4"/>
        <v>5.2</v>
      </c>
      <c r="AH15" s="45">
        <f t="shared" si="5"/>
        <v>23.2</v>
      </c>
      <c r="AI15" s="45">
        <v>11</v>
      </c>
      <c r="AJ15" s="2">
        <f t="shared" si="6"/>
        <v>1</v>
      </c>
      <c r="AK15" s="45">
        <f t="shared" si="7"/>
        <v>36.72</v>
      </c>
      <c r="AL15" s="2" t="str">
        <f t="shared" si="8"/>
        <v>Pos</v>
      </c>
      <c r="AM15" s="2" t="str">
        <f t="shared" si="9"/>
        <v>Enviro Infra Engineers</v>
      </c>
      <c r="AN15" s="43"/>
      <c r="AO15" s="43"/>
      <c r="AP15" s="16">
        <f t="shared" si="10"/>
        <v>2</v>
      </c>
      <c r="AQ15" s="16">
        <v>1</v>
      </c>
      <c r="AR15" s="15">
        <f t="shared" si="11"/>
        <v>1.5931372549019607</v>
      </c>
      <c r="AS15" s="43"/>
      <c r="AT15" s="45">
        <v>0.65019505851755521</v>
      </c>
      <c r="AU15" s="45">
        <v>3.2509752925877762</v>
      </c>
      <c r="AV15" s="45">
        <v>5</v>
      </c>
      <c r="AW15" s="45"/>
      <c r="AX15" s="45"/>
      <c r="AY15" s="45">
        <v>49</v>
      </c>
      <c r="AZ15" s="45">
        <v>40</v>
      </c>
      <c r="BA15" s="45"/>
      <c r="BB15" s="45">
        <v>53</v>
      </c>
      <c r="BC15" s="45"/>
    </row>
    <row r="16" spans="1:55">
      <c r="A16" s="68"/>
      <c r="B16" s="49" t="s">
        <v>295</v>
      </c>
      <c r="C16" s="50">
        <v>2024</v>
      </c>
      <c r="D16" s="44" t="s">
        <v>59</v>
      </c>
      <c r="E16" s="50">
        <v>63.04</v>
      </c>
      <c r="F16" s="50">
        <v>130.28</v>
      </c>
      <c r="G16" s="43">
        <f t="shared" si="0"/>
        <v>51.611912803193128</v>
      </c>
      <c r="H16" s="50">
        <v>257.42</v>
      </c>
      <c r="I16" s="50">
        <v>39.880000000000003</v>
      </c>
      <c r="J16" s="50"/>
      <c r="K16" s="48">
        <v>8.8699999999999992</v>
      </c>
      <c r="L16" s="48"/>
      <c r="M16" s="50">
        <v>59.58</v>
      </c>
      <c r="N16" s="50"/>
      <c r="O16" s="50">
        <v>313.60000000000002</v>
      </c>
      <c r="P16" s="43">
        <f t="shared" si="1"/>
        <v>7.8635907723169511</v>
      </c>
      <c r="Q16" s="50">
        <v>23</v>
      </c>
      <c r="R16" s="50">
        <v>23</v>
      </c>
      <c r="S16" s="43">
        <v>0</v>
      </c>
      <c r="T16" s="50"/>
      <c r="U16" s="50"/>
      <c r="V16" s="43">
        <v>1</v>
      </c>
      <c r="W16" s="43">
        <v>1</v>
      </c>
      <c r="X16" s="51">
        <v>223.48</v>
      </c>
      <c r="Y16" s="48">
        <v>410.11</v>
      </c>
      <c r="Z16" s="48">
        <v>88.29</v>
      </c>
      <c r="AA16" s="47">
        <f t="shared" si="2"/>
        <v>1</v>
      </c>
      <c r="AB16" s="43">
        <v>106</v>
      </c>
      <c r="AC16" s="48">
        <f t="shared" si="3"/>
        <v>36.333333333333336</v>
      </c>
      <c r="AD16" s="48">
        <v>23</v>
      </c>
      <c r="AE16" s="48">
        <v>27</v>
      </c>
      <c r="AF16" s="48">
        <v>125</v>
      </c>
      <c r="AG16" s="45">
        <f t="shared" si="4"/>
        <v>7.1</v>
      </c>
      <c r="AH16" s="45">
        <f t="shared" si="5"/>
        <v>48.433333333333337</v>
      </c>
      <c r="AI16" s="45">
        <v>11</v>
      </c>
      <c r="AJ16" s="2">
        <f t="shared" si="6"/>
        <v>1</v>
      </c>
      <c r="AK16" s="45">
        <f t="shared" si="7"/>
        <v>66.893333333333345</v>
      </c>
      <c r="AL16" s="2" t="str">
        <f t="shared" si="8"/>
        <v>Pos</v>
      </c>
      <c r="AM16" s="2" t="str">
        <f t="shared" si="9"/>
        <v>KRN Heat Echanger</v>
      </c>
      <c r="AN16" s="43"/>
      <c r="AO16" s="43"/>
      <c r="AP16" s="16">
        <f t="shared" si="10"/>
        <v>1</v>
      </c>
      <c r="AQ16" s="16">
        <v>1</v>
      </c>
      <c r="AR16" s="15">
        <f t="shared" si="11"/>
        <v>1.2005889681730659</v>
      </c>
      <c r="AS16" s="43"/>
      <c r="AT16" s="45">
        <v>0.24383701933627561</v>
      </c>
      <c r="AU16" s="45">
        <v>1.219185096681378</v>
      </c>
      <c r="AV16" s="45">
        <v>5</v>
      </c>
      <c r="AW16" s="45"/>
      <c r="AX16" s="45"/>
      <c r="AY16" s="45">
        <v>118</v>
      </c>
      <c r="AZ16" s="45">
        <v>118</v>
      </c>
      <c r="BA16" s="45"/>
      <c r="BB16" s="45">
        <v>275</v>
      </c>
      <c r="BC16" s="45"/>
    </row>
    <row r="17" spans="1:55">
      <c r="A17" s="68"/>
      <c r="B17" s="49" t="s">
        <v>296</v>
      </c>
      <c r="C17" s="50">
        <v>2024</v>
      </c>
      <c r="D17" s="44" t="s">
        <v>59</v>
      </c>
      <c r="E17" s="50">
        <v>396.5</v>
      </c>
      <c r="F17" s="50">
        <v>534.38</v>
      </c>
      <c r="G17" s="43">
        <f t="shared" si="0"/>
        <v>25.801863842209663</v>
      </c>
      <c r="H17" s="50">
        <v>1464.98</v>
      </c>
      <c r="I17" s="50">
        <v>154.34</v>
      </c>
      <c r="J17" s="50"/>
      <c r="K17" s="48">
        <v>21.59</v>
      </c>
      <c r="L17" s="48"/>
      <c r="M17" s="50">
        <v>277.43</v>
      </c>
      <c r="N17" s="50"/>
      <c r="O17" s="50">
        <v>6110.95</v>
      </c>
      <c r="P17" s="43">
        <f t="shared" si="1"/>
        <v>39.594078009589218</v>
      </c>
      <c r="Q17" s="50">
        <v>22.23</v>
      </c>
      <c r="R17" s="50">
        <v>22.23</v>
      </c>
      <c r="S17" s="43">
        <v>0</v>
      </c>
      <c r="T17" s="50"/>
      <c r="U17" s="50"/>
      <c r="V17" s="50">
        <v>1</v>
      </c>
      <c r="W17" s="43">
        <v>1</v>
      </c>
      <c r="X17" s="51">
        <v>136.85</v>
      </c>
      <c r="Y17" s="48">
        <v>56.08</v>
      </c>
      <c r="Z17" s="48">
        <v>16.579999999999998</v>
      </c>
      <c r="AA17" s="47">
        <f t="shared" si="2"/>
        <v>1</v>
      </c>
      <c r="AB17" s="43">
        <v>63</v>
      </c>
      <c r="AC17" s="48">
        <f t="shared" si="3"/>
        <v>22</v>
      </c>
      <c r="AD17" s="48">
        <v>64.72</v>
      </c>
      <c r="AE17" s="48">
        <v>35.700000000000003</v>
      </c>
      <c r="AF17" s="48">
        <v>46.07</v>
      </c>
      <c r="AG17" s="45">
        <f t="shared" si="4"/>
        <v>6.1</v>
      </c>
      <c r="AH17" s="45">
        <f t="shared" si="5"/>
        <v>33.1</v>
      </c>
      <c r="AI17" s="45">
        <v>11</v>
      </c>
      <c r="AJ17" s="2">
        <f t="shared" si="6"/>
        <v>1</v>
      </c>
      <c r="AK17" s="45">
        <f t="shared" si="7"/>
        <v>48.96</v>
      </c>
      <c r="AL17" s="2" t="str">
        <f t="shared" si="8"/>
        <v>Pos</v>
      </c>
      <c r="AM17" s="2" t="str">
        <f t="shared" si="9"/>
        <v>P N Gadgil Jewellers</v>
      </c>
      <c r="AN17" s="43"/>
      <c r="AO17" s="43"/>
      <c r="AP17" s="16">
        <f t="shared" si="10"/>
        <v>2</v>
      </c>
      <c r="AQ17" s="16">
        <v>1</v>
      </c>
      <c r="AR17" s="15">
        <f t="shared" si="11"/>
        <v>3.7997587454764781</v>
      </c>
      <c r="AS17" s="43"/>
      <c r="AT17" s="45">
        <v>1.783166904422254</v>
      </c>
      <c r="AU17" s="45">
        <v>8.91583452211127</v>
      </c>
      <c r="AV17" s="45">
        <v>5</v>
      </c>
      <c r="AW17" s="45"/>
      <c r="AX17" s="45"/>
      <c r="AY17" s="45">
        <v>73</v>
      </c>
      <c r="AZ17" s="45">
        <v>65</v>
      </c>
      <c r="BA17" s="45"/>
      <c r="BB17" s="45">
        <v>34</v>
      </c>
      <c r="BC17" s="45"/>
    </row>
    <row r="18" spans="1:55">
      <c r="A18" s="68"/>
      <c r="B18" s="49" t="s">
        <v>297</v>
      </c>
      <c r="C18" s="50">
        <v>2024</v>
      </c>
      <c r="D18" s="44" t="s">
        <v>59</v>
      </c>
      <c r="E18" s="50">
        <v>1392.24</v>
      </c>
      <c r="F18" s="50">
        <v>528</v>
      </c>
      <c r="G18" s="43">
        <f t="shared" si="0"/>
        <v>-163.68181818181819</v>
      </c>
      <c r="H18" s="50">
        <v>3554.13</v>
      </c>
      <c r="I18" s="50">
        <v>231.36</v>
      </c>
      <c r="J18" s="50"/>
      <c r="K18" s="48">
        <v>5.13</v>
      </c>
      <c r="L18" s="48"/>
      <c r="M18" s="50">
        <v>505</v>
      </c>
      <c r="N18" s="50"/>
      <c r="O18" s="50">
        <v>3143.79</v>
      </c>
      <c r="P18" s="43">
        <f t="shared" si="1"/>
        <v>13.588303941908713</v>
      </c>
      <c r="Q18" s="50">
        <v>87.7</v>
      </c>
      <c r="R18" s="50">
        <v>87.7</v>
      </c>
      <c r="S18" s="43">
        <v>0</v>
      </c>
      <c r="T18" s="50"/>
      <c r="U18" s="50"/>
      <c r="V18" s="50">
        <v>1</v>
      </c>
      <c r="W18" s="43">
        <v>1</v>
      </c>
      <c r="X18" s="51">
        <v>212.42</v>
      </c>
      <c r="Y18" s="48">
        <v>50.98</v>
      </c>
      <c r="Z18" s="48">
        <v>7.44</v>
      </c>
      <c r="AA18" s="47">
        <f t="shared" si="2"/>
        <v>1</v>
      </c>
      <c r="AB18" s="43">
        <v>108</v>
      </c>
      <c r="AC18" s="48">
        <f t="shared" si="3"/>
        <v>37</v>
      </c>
      <c r="AD18" s="48">
        <v>1838</v>
      </c>
      <c r="AE18" s="48">
        <v>120</v>
      </c>
      <c r="AF18" s="48">
        <v>29</v>
      </c>
      <c r="AG18" s="45">
        <f t="shared" si="4"/>
        <v>5</v>
      </c>
      <c r="AH18" s="45">
        <f t="shared" si="5"/>
        <v>46</v>
      </c>
      <c r="AI18" s="45">
        <v>11</v>
      </c>
      <c r="AJ18" s="2">
        <f t="shared" si="6"/>
        <v>1</v>
      </c>
      <c r="AK18" s="45">
        <f t="shared" si="7"/>
        <v>59</v>
      </c>
      <c r="AL18" s="2" t="str">
        <f t="shared" si="8"/>
        <v>Pos</v>
      </c>
      <c r="AM18" s="2" t="str">
        <f t="shared" si="9"/>
        <v>Premier Energies</v>
      </c>
      <c r="AN18" s="43"/>
      <c r="AO18" s="43"/>
      <c r="AP18" s="16">
        <f t="shared" si="10"/>
        <v>2</v>
      </c>
      <c r="AQ18" s="16">
        <v>1</v>
      </c>
      <c r="AR18" s="15">
        <f t="shared" si="11"/>
        <v>14.516129032258064</v>
      </c>
      <c r="AS18" s="43"/>
      <c r="AT18" s="45">
        <v>1.9615535504119259</v>
      </c>
      <c r="AU18" s="45">
        <v>9.8077677520596325</v>
      </c>
      <c r="AV18" s="45">
        <v>5</v>
      </c>
      <c r="AW18" s="45"/>
      <c r="AX18" s="45"/>
      <c r="AY18" s="45">
        <v>120</v>
      </c>
      <c r="AZ18" s="45">
        <v>87</v>
      </c>
      <c r="BA18" s="45"/>
      <c r="BB18" s="45">
        <v>122</v>
      </c>
      <c r="BC18" s="45"/>
    </row>
    <row r="19" spans="1:55">
      <c r="A19" s="68"/>
      <c r="B19" s="49" t="s">
        <v>298</v>
      </c>
      <c r="C19" s="50">
        <v>2024</v>
      </c>
      <c r="D19" s="44" t="s">
        <v>59</v>
      </c>
      <c r="E19" s="50">
        <v>68.010000000000005</v>
      </c>
      <c r="F19" s="50">
        <v>67</v>
      </c>
      <c r="G19" s="43">
        <f t="shared" si="0"/>
        <v>-1.5074626865671719</v>
      </c>
      <c r="H19" s="50">
        <v>179.47</v>
      </c>
      <c r="I19" s="50">
        <v>18.88</v>
      </c>
      <c r="J19" s="50"/>
      <c r="K19" s="48">
        <v>2.08</v>
      </c>
      <c r="L19" s="48"/>
      <c r="M19" s="50">
        <v>33.58</v>
      </c>
      <c r="N19" s="50"/>
      <c r="O19" s="50">
        <v>243.06</v>
      </c>
      <c r="P19" s="43">
        <f t="shared" si="1"/>
        <v>12.873940677966102</v>
      </c>
      <c r="Q19" s="50">
        <v>64.900000000000006</v>
      </c>
      <c r="R19" s="50">
        <v>64.900000000000006</v>
      </c>
      <c r="S19" s="43">
        <v>0</v>
      </c>
      <c r="T19" s="50"/>
      <c r="U19" s="50"/>
      <c r="V19" s="50">
        <v>1</v>
      </c>
      <c r="W19" s="43">
        <v>1</v>
      </c>
      <c r="X19" s="51">
        <v>123.3</v>
      </c>
      <c r="Y19" s="48">
        <v>300.05</v>
      </c>
      <c r="Z19" s="48">
        <v>236.53</v>
      </c>
      <c r="AA19" s="47">
        <f t="shared" si="2"/>
        <v>1</v>
      </c>
      <c r="AB19" s="43">
        <v>114</v>
      </c>
      <c r="AC19" s="48">
        <f t="shared" si="3"/>
        <v>39</v>
      </c>
      <c r="AD19" s="48">
        <v>251</v>
      </c>
      <c r="AE19" s="48">
        <v>183</v>
      </c>
      <c r="AF19" s="48">
        <v>235</v>
      </c>
      <c r="AG19" s="45">
        <f t="shared" si="4"/>
        <v>5</v>
      </c>
      <c r="AH19" s="45">
        <f t="shared" si="5"/>
        <v>48</v>
      </c>
      <c r="AI19" s="45">
        <v>11</v>
      </c>
      <c r="AJ19" s="2">
        <f t="shared" si="6"/>
        <v>1</v>
      </c>
      <c r="AK19" s="45">
        <f t="shared" si="7"/>
        <v>61</v>
      </c>
      <c r="AL19" s="2" t="str">
        <f t="shared" si="8"/>
        <v>Pos</v>
      </c>
      <c r="AM19" s="2" t="str">
        <f t="shared" si="9"/>
        <v>BLS E-Services</v>
      </c>
      <c r="AN19" s="43"/>
      <c r="AO19" s="43"/>
      <c r="AP19" s="16">
        <f t="shared" si="10"/>
        <v>0</v>
      </c>
      <c r="AQ19" s="16">
        <v>1</v>
      </c>
      <c r="AR19" s="15">
        <f t="shared" si="11"/>
        <v>0</v>
      </c>
      <c r="AS19" s="43"/>
      <c r="AT19" s="45">
        <v>0.33327778703549399</v>
      </c>
      <c r="AU19" s="45">
        <v>1.6663889351774701</v>
      </c>
      <c r="AV19" s="45">
        <v>5</v>
      </c>
      <c r="AW19" s="45"/>
      <c r="AX19" s="45"/>
      <c r="AY19" s="45">
        <v>126</v>
      </c>
      <c r="AZ19" s="45">
        <v>175</v>
      </c>
      <c r="BA19" s="45"/>
      <c r="BB19" s="45">
        <v>56</v>
      </c>
      <c r="BC19" s="45"/>
    </row>
    <row r="20" spans="1:55">
      <c r="A20" s="68"/>
      <c r="B20" s="53" t="s">
        <v>299</v>
      </c>
      <c r="C20" s="50">
        <v>2025</v>
      </c>
      <c r="D20" s="44" t="s">
        <v>59</v>
      </c>
      <c r="E20" s="50">
        <v>6166.54</v>
      </c>
      <c r="F20" s="50">
        <v>2372.35</v>
      </c>
      <c r="G20" s="43">
        <f t="shared" si="0"/>
        <v>-159.93382089489324</v>
      </c>
      <c r="H20" s="43">
        <v>12003.94</v>
      </c>
      <c r="I20" s="50">
        <v>-163.76</v>
      </c>
      <c r="J20" s="50"/>
      <c r="K20" s="48">
        <v>-1.1599999999999999</v>
      </c>
      <c r="L20" s="48"/>
      <c r="M20" s="50">
        <v>716.84</v>
      </c>
      <c r="N20" s="50"/>
      <c r="O20" s="50">
        <v>5813.07</v>
      </c>
      <c r="P20" s="43">
        <f t="shared" si="1"/>
        <v>-35.497496336101612</v>
      </c>
      <c r="Q20" s="43">
        <v>-122.38</v>
      </c>
      <c r="R20" s="43">
        <v>-122.38</v>
      </c>
      <c r="S20" s="43">
        <v>0</v>
      </c>
      <c r="T20" s="50"/>
      <c r="U20" s="50"/>
      <c r="V20" s="43">
        <v>1</v>
      </c>
      <c r="W20" s="43">
        <v>1</v>
      </c>
      <c r="X20" s="51">
        <v>16.71</v>
      </c>
      <c r="Y20" s="48">
        <v>11.6</v>
      </c>
      <c r="Z20" s="48">
        <v>1.91</v>
      </c>
      <c r="AA20" s="47">
        <f t="shared" si="2"/>
        <v>1</v>
      </c>
      <c r="AB20" s="43">
        <v>3.7</v>
      </c>
      <c r="AC20" s="48">
        <f t="shared" si="3"/>
        <v>1.2333333333333334</v>
      </c>
      <c r="AD20" s="48">
        <v>-364</v>
      </c>
      <c r="AE20" s="48">
        <v>-3.56</v>
      </c>
      <c r="AF20" s="48">
        <v>-3.74</v>
      </c>
      <c r="AG20" s="45">
        <f t="shared" si="4"/>
        <v>3.7</v>
      </c>
      <c r="AH20" s="45">
        <f t="shared" si="5"/>
        <v>7.9333333333333336</v>
      </c>
      <c r="AI20" s="45">
        <v>11</v>
      </c>
      <c r="AJ20" s="2">
        <f t="shared" si="6"/>
        <v>1</v>
      </c>
      <c r="AK20" s="45">
        <f t="shared" si="7"/>
        <v>17.553333333333335</v>
      </c>
      <c r="AL20" s="2" t="str">
        <f t="shared" si="8"/>
        <v>Pos</v>
      </c>
      <c r="AM20" s="2" t="str">
        <f t="shared" si="9"/>
        <v>JSW Cement</v>
      </c>
      <c r="AN20" s="43"/>
      <c r="AO20" s="43"/>
      <c r="AP20" s="16">
        <f t="shared" si="10"/>
        <v>0</v>
      </c>
      <c r="AQ20" s="16">
        <v>1</v>
      </c>
      <c r="AR20" s="15">
        <f t="shared" si="11"/>
        <v>0</v>
      </c>
      <c r="AS20" s="43"/>
      <c r="AT20" s="45">
        <v>8.6206896551724146</v>
      </c>
      <c r="AU20" s="45">
        <v>43.103448275862071</v>
      </c>
      <c r="AV20" s="45">
        <v>5</v>
      </c>
      <c r="AW20" s="45"/>
      <c r="AX20" s="45"/>
      <c r="AY20" s="45">
        <v>4</v>
      </c>
      <c r="AZ20" s="45">
        <v>-1</v>
      </c>
      <c r="BA20" s="45"/>
      <c r="BB20" s="45">
        <v>-14</v>
      </c>
      <c r="BC20" s="45"/>
    </row>
    <row r="21" spans="1:55">
      <c r="A21" s="68"/>
      <c r="B21" s="53" t="s">
        <v>300</v>
      </c>
      <c r="C21" s="50">
        <v>2025</v>
      </c>
      <c r="D21" s="44" t="s">
        <v>59</v>
      </c>
      <c r="E21" s="50">
        <v>397.77</v>
      </c>
      <c r="F21" s="50">
        <v>107.88</v>
      </c>
      <c r="G21" s="43">
        <f t="shared" si="0"/>
        <v>-268.71523915461626</v>
      </c>
      <c r="H21" s="50">
        <v>4650.8500000000004</v>
      </c>
      <c r="I21" s="50">
        <v>-63.18</v>
      </c>
      <c r="J21" s="50"/>
      <c r="K21" s="48">
        <v>-6.18</v>
      </c>
      <c r="L21" s="48"/>
      <c r="M21" s="50">
        <v>857.26</v>
      </c>
      <c r="N21" s="50"/>
      <c r="O21" s="50">
        <v>1374.06</v>
      </c>
      <c r="P21" s="43">
        <f t="shared" si="1"/>
        <v>-21.748338081671413</v>
      </c>
      <c r="Q21" s="54">
        <v>1</v>
      </c>
      <c r="R21" s="54">
        <v>1</v>
      </c>
      <c r="S21" s="43">
        <v>0</v>
      </c>
      <c r="T21" s="54"/>
      <c r="U21" s="54"/>
      <c r="V21" s="43">
        <v>1</v>
      </c>
      <c r="W21" s="43">
        <v>1</v>
      </c>
      <c r="X21" s="51">
        <v>24.92</v>
      </c>
      <c r="Y21" s="48">
        <v>23.68</v>
      </c>
      <c r="Z21" s="48">
        <v>3.69</v>
      </c>
      <c r="AA21" s="47">
        <f t="shared" si="2"/>
        <v>1</v>
      </c>
      <c r="AB21" s="43">
        <v>4</v>
      </c>
      <c r="AC21" s="48">
        <f t="shared" si="3"/>
        <v>1.3333333333333333</v>
      </c>
      <c r="AD21" s="48">
        <v>-27.5</v>
      </c>
      <c r="AE21" s="48">
        <v>32.200000000000003</v>
      </c>
      <c r="AF21" s="48">
        <v>115.76</v>
      </c>
      <c r="AG21" s="45">
        <f t="shared" si="4"/>
        <v>5.7</v>
      </c>
      <c r="AH21" s="45">
        <f t="shared" si="5"/>
        <v>11.033333333333333</v>
      </c>
      <c r="AI21" s="45">
        <v>11</v>
      </c>
      <c r="AJ21" s="2">
        <f t="shared" si="6"/>
        <v>1</v>
      </c>
      <c r="AK21" s="45">
        <f t="shared" si="7"/>
        <v>25.853333333333332</v>
      </c>
      <c r="AL21" s="2" t="str">
        <f t="shared" si="8"/>
        <v>Pos</v>
      </c>
      <c r="AM21" s="2" t="str">
        <f t="shared" si="9"/>
        <v>Smartworks Coworking</v>
      </c>
      <c r="AN21" s="43"/>
      <c r="AO21" s="43"/>
      <c r="AP21" s="16">
        <f t="shared" si="10"/>
        <v>3</v>
      </c>
      <c r="AQ21" s="16">
        <v>1</v>
      </c>
      <c r="AR21" s="15">
        <f t="shared" si="11"/>
        <v>2.7100271002710028</v>
      </c>
      <c r="AS21" s="43"/>
      <c r="AT21" s="45">
        <v>4.2229729729729728</v>
      </c>
      <c r="AU21" s="45">
        <v>21.11486486486486</v>
      </c>
      <c r="AV21" s="45">
        <v>5</v>
      </c>
      <c r="AW21" s="45"/>
      <c r="AX21" s="45"/>
      <c r="AY21" s="45">
        <v>7</v>
      </c>
      <c r="AZ21" s="45">
        <v>9</v>
      </c>
      <c r="BA21" s="45"/>
      <c r="BB21" s="45">
        <v>42</v>
      </c>
      <c r="BC21" s="45"/>
    </row>
    <row r="22" spans="1:55">
      <c r="A22" s="68"/>
      <c r="B22" s="55" t="s">
        <v>301</v>
      </c>
      <c r="C22" s="50">
        <v>2024</v>
      </c>
      <c r="D22" s="2" t="s">
        <v>82</v>
      </c>
      <c r="E22" s="50">
        <v>213</v>
      </c>
      <c r="F22" s="50">
        <v>370</v>
      </c>
      <c r="G22" s="43">
        <f t="shared" si="0"/>
        <v>42.432432432432435</v>
      </c>
      <c r="H22" s="50">
        <v>632</v>
      </c>
      <c r="I22" s="50">
        <v>63</v>
      </c>
      <c r="J22" s="50"/>
      <c r="K22" s="48">
        <v>11</v>
      </c>
      <c r="L22" s="48"/>
      <c r="M22" s="50">
        <v>132</v>
      </c>
      <c r="N22" s="50"/>
      <c r="O22" s="50">
        <v>1789</v>
      </c>
      <c r="P22" s="43">
        <f t="shared" si="1"/>
        <v>28.396825396825395</v>
      </c>
      <c r="Q22" s="50">
        <v>64</v>
      </c>
      <c r="R22" s="50">
        <v>64</v>
      </c>
      <c r="S22" s="43">
        <v>0</v>
      </c>
      <c r="T22" s="50"/>
      <c r="U22" s="50"/>
      <c r="V22" s="43">
        <v>1</v>
      </c>
      <c r="W22" s="43">
        <v>1</v>
      </c>
      <c r="X22" s="51">
        <v>2.33</v>
      </c>
      <c r="Y22" s="48">
        <v>0.63</v>
      </c>
      <c r="Z22" s="48">
        <v>0.75</v>
      </c>
      <c r="AA22" s="47">
        <f t="shared" si="2"/>
        <v>1</v>
      </c>
      <c r="AB22" s="43">
        <v>0</v>
      </c>
      <c r="AC22" s="48">
        <f t="shared" si="3"/>
        <v>0</v>
      </c>
      <c r="AD22" s="48">
        <v>31</v>
      </c>
      <c r="AE22" s="48">
        <v>4</v>
      </c>
      <c r="AF22" s="48">
        <v>10</v>
      </c>
      <c r="AG22" s="45">
        <f t="shared" si="4"/>
        <v>4.0999999999999996</v>
      </c>
      <c r="AH22" s="45">
        <f t="shared" si="5"/>
        <v>5.0999999999999996</v>
      </c>
      <c r="AI22" s="45">
        <v>11</v>
      </c>
      <c r="AJ22" s="2">
        <f t="shared" si="6"/>
        <v>1</v>
      </c>
      <c r="AK22" s="45">
        <f t="shared" si="7"/>
        <v>15.76</v>
      </c>
      <c r="AL22" s="2" t="str">
        <f t="shared" si="8"/>
        <v>Neg</v>
      </c>
      <c r="AM22" s="2" t="str">
        <f t="shared" si="9"/>
        <v>Carraro India</v>
      </c>
      <c r="AN22" s="43"/>
      <c r="AO22" s="43"/>
      <c r="AP22" s="16">
        <f t="shared" si="10"/>
        <v>0</v>
      </c>
      <c r="AQ22" s="16">
        <v>1</v>
      </c>
      <c r="AR22" s="15">
        <f t="shared" si="11"/>
        <v>0</v>
      </c>
      <c r="AS22" s="43"/>
      <c r="AT22" s="45">
        <v>158.73015873015871</v>
      </c>
      <c r="AU22" s="45">
        <v>793.65079365079373</v>
      </c>
      <c r="AV22" s="45">
        <v>5</v>
      </c>
      <c r="AW22" s="45"/>
      <c r="AX22" s="45"/>
      <c r="AY22" s="45"/>
      <c r="AZ22" s="45"/>
      <c r="BA22" s="45"/>
      <c r="BB22" s="45"/>
      <c r="BC22" s="45"/>
    </row>
    <row r="23" spans="1:55">
      <c r="A23" s="68"/>
      <c r="B23" s="55" t="s">
        <v>302</v>
      </c>
      <c r="C23" s="50">
        <v>2024</v>
      </c>
      <c r="D23" s="2" t="s">
        <v>82</v>
      </c>
      <c r="E23" s="50">
        <v>8536.35</v>
      </c>
      <c r="F23" s="50">
        <v>2590.87</v>
      </c>
      <c r="G23" s="43">
        <f t="shared" si="0"/>
        <v>-229.47812896826164</v>
      </c>
      <c r="H23" s="50">
        <v>13399.8</v>
      </c>
      <c r="I23" s="50">
        <v>698</v>
      </c>
      <c r="J23" s="50"/>
      <c r="K23" s="48">
        <v>66.81</v>
      </c>
      <c r="L23" s="48"/>
      <c r="M23" s="50">
        <v>1089</v>
      </c>
      <c r="N23" s="50"/>
      <c r="O23" s="50">
        <v>1319</v>
      </c>
      <c r="P23" s="43">
        <f t="shared" si="1"/>
        <v>1.8896848137535818</v>
      </c>
      <c r="Q23" s="50">
        <v>24</v>
      </c>
      <c r="R23" s="50">
        <v>24</v>
      </c>
      <c r="S23" s="43">
        <v>0</v>
      </c>
      <c r="T23" s="50"/>
      <c r="U23" s="50"/>
      <c r="V23" s="50">
        <v>1</v>
      </c>
      <c r="W23" s="43">
        <v>1</v>
      </c>
      <c r="X23" s="51">
        <v>3.72</v>
      </c>
      <c r="Y23" s="48">
        <v>1.02</v>
      </c>
      <c r="Z23" s="48">
        <v>3.25</v>
      </c>
      <c r="AA23" s="47">
        <f t="shared" si="2"/>
        <v>1</v>
      </c>
      <c r="AB23" s="43">
        <v>0</v>
      </c>
      <c r="AC23" s="48">
        <f t="shared" si="3"/>
        <v>0</v>
      </c>
      <c r="AD23" s="56">
        <v>0</v>
      </c>
      <c r="AE23" s="48">
        <v>1.88</v>
      </c>
      <c r="AF23" s="48">
        <v>36.4</v>
      </c>
      <c r="AG23" s="45">
        <f t="shared" si="4"/>
        <v>4</v>
      </c>
      <c r="AH23" s="45">
        <f t="shared" si="5"/>
        <v>6</v>
      </c>
      <c r="AI23" s="45">
        <v>11</v>
      </c>
      <c r="AJ23" s="2">
        <f t="shared" si="6"/>
        <v>1</v>
      </c>
      <c r="AK23" s="45">
        <f t="shared" si="7"/>
        <v>16.399999999999999</v>
      </c>
      <c r="AL23" s="2" t="str">
        <f t="shared" si="8"/>
        <v>Neg</v>
      </c>
      <c r="AM23" s="2" t="str">
        <f t="shared" si="9"/>
        <v>ACME Solar Holdings</v>
      </c>
      <c r="AN23" s="43"/>
      <c r="AO23" s="43"/>
      <c r="AP23" s="16">
        <f t="shared" si="10"/>
        <v>0</v>
      </c>
      <c r="AQ23" s="16">
        <v>1</v>
      </c>
      <c r="AR23" s="15">
        <f t="shared" si="11"/>
        <v>0</v>
      </c>
      <c r="AS23" s="43"/>
      <c r="AT23" s="45">
        <v>98.039215686274503</v>
      </c>
      <c r="AU23" s="45">
        <v>490.19607843137248</v>
      </c>
      <c r="AV23" s="45">
        <v>5</v>
      </c>
      <c r="AW23" s="45"/>
      <c r="AX23" s="45"/>
      <c r="AY23" s="45"/>
      <c r="AZ23" s="45"/>
      <c r="BA23" s="45"/>
      <c r="BB23" s="45"/>
      <c r="BC23" s="45"/>
    </row>
    <row r="24" spans="1:55">
      <c r="A24" s="68"/>
      <c r="B24" s="55" t="s">
        <v>303</v>
      </c>
      <c r="C24" s="50">
        <v>2024</v>
      </c>
      <c r="D24" s="2" t="s">
        <v>82</v>
      </c>
      <c r="E24" s="50">
        <v>2253.44</v>
      </c>
      <c r="F24" s="50">
        <v>3075.29</v>
      </c>
      <c r="G24" s="43">
        <f t="shared" si="0"/>
        <v>26.72430892696298</v>
      </c>
      <c r="H24" s="50">
        <v>15611.2</v>
      </c>
      <c r="I24" s="50">
        <v>449.76</v>
      </c>
      <c r="J24" s="50"/>
      <c r="K24" s="48">
        <v>13.2</v>
      </c>
      <c r="L24" s="48"/>
      <c r="M24" s="50">
        <v>1583.12</v>
      </c>
      <c r="N24" s="50"/>
      <c r="O24" s="50">
        <v>13646.88</v>
      </c>
      <c r="P24" s="43">
        <f t="shared" si="1"/>
        <v>30.34258271077908</v>
      </c>
      <c r="Q24" s="50">
        <v>35.08</v>
      </c>
      <c r="R24" s="50">
        <v>35.08</v>
      </c>
      <c r="S24" s="43">
        <v>0</v>
      </c>
      <c r="T24" s="50"/>
      <c r="U24" s="50"/>
      <c r="V24" s="50">
        <v>1</v>
      </c>
      <c r="W24" s="43">
        <v>1</v>
      </c>
      <c r="X24" s="51">
        <v>3.99</v>
      </c>
      <c r="Y24" s="48">
        <v>5.31</v>
      </c>
      <c r="Z24" s="48">
        <v>0.99</v>
      </c>
      <c r="AA24" s="47">
        <f t="shared" si="2"/>
        <v>0</v>
      </c>
      <c r="AB24" s="43">
        <v>0</v>
      </c>
      <c r="AC24" s="48">
        <f t="shared" si="3"/>
        <v>0</v>
      </c>
      <c r="AD24" s="48">
        <v>9.5</v>
      </c>
      <c r="AE24" s="48">
        <v>6.3</v>
      </c>
      <c r="AF24" s="48">
        <v>15.3</v>
      </c>
      <c r="AG24" s="45">
        <f t="shared" si="4"/>
        <v>3.1</v>
      </c>
      <c r="AH24" s="45">
        <f t="shared" si="5"/>
        <v>3.1</v>
      </c>
      <c r="AI24" s="45">
        <v>11</v>
      </c>
      <c r="AJ24" s="2">
        <f t="shared" si="6"/>
        <v>1</v>
      </c>
      <c r="AK24" s="45">
        <f t="shared" si="7"/>
        <v>11.16</v>
      </c>
      <c r="AL24" s="2" t="str">
        <f t="shared" si="8"/>
        <v>Neg</v>
      </c>
      <c r="AM24" s="2" t="str">
        <f t="shared" si="9"/>
        <v>Afcons Infrastructure</v>
      </c>
      <c r="AN24" s="43"/>
      <c r="AO24" s="43"/>
      <c r="AP24" s="16">
        <f t="shared" si="10"/>
        <v>0</v>
      </c>
      <c r="AQ24" s="16">
        <v>1</v>
      </c>
      <c r="AR24" s="15">
        <f t="shared" si="11"/>
        <v>0</v>
      </c>
      <c r="AS24" s="43"/>
      <c r="AT24" s="45">
        <v>18.832391713747651</v>
      </c>
      <c r="AU24" s="45">
        <v>94.161958568738243</v>
      </c>
      <c r="AV24" s="45">
        <v>5</v>
      </c>
      <c r="AW24" s="45"/>
      <c r="AX24" s="45"/>
      <c r="AY24" s="45"/>
      <c r="AZ24" s="45"/>
      <c r="BA24" s="45"/>
      <c r="BB24" s="45"/>
      <c r="BC24" s="45"/>
    </row>
    <row r="25" spans="1:55">
      <c r="A25" s="68"/>
      <c r="B25" s="55" t="s">
        <v>304</v>
      </c>
      <c r="C25" s="50">
        <v>2024</v>
      </c>
      <c r="D25" s="2" t="s">
        <v>82</v>
      </c>
      <c r="E25" s="50">
        <v>652</v>
      </c>
      <c r="F25" s="50">
        <v>260.25</v>
      </c>
      <c r="G25" s="43">
        <f t="shared" si="0"/>
        <v>-150.52833813640731</v>
      </c>
      <c r="H25" s="50">
        <v>1554.62</v>
      </c>
      <c r="I25" s="50">
        <v>12.3</v>
      </c>
      <c r="J25" s="50"/>
      <c r="K25" s="48">
        <v>2.9</v>
      </c>
      <c r="L25" s="48"/>
      <c r="M25" s="50">
        <v>133.53</v>
      </c>
      <c r="N25" s="50"/>
      <c r="O25" s="50">
        <v>1701.06</v>
      </c>
      <c r="P25" s="43">
        <f t="shared" si="1"/>
        <v>138.29756097560974</v>
      </c>
      <c r="Q25" s="50">
        <v>146.66999999999999</v>
      </c>
      <c r="R25" s="50">
        <v>146.66999999999999</v>
      </c>
      <c r="S25" s="43">
        <v>0</v>
      </c>
      <c r="T25" s="50"/>
      <c r="U25" s="50"/>
      <c r="V25" s="50">
        <v>1</v>
      </c>
      <c r="W25" s="43">
        <v>1</v>
      </c>
      <c r="X25" s="51">
        <v>2.76</v>
      </c>
      <c r="Y25" s="48">
        <v>0.93</v>
      </c>
      <c r="Z25" s="48">
        <v>1.76</v>
      </c>
      <c r="AA25" s="47">
        <f t="shared" si="2"/>
        <v>1</v>
      </c>
      <c r="AB25" s="43">
        <v>0</v>
      </c>
      <c r="AC25" s="48">
        <f t="shared" si="3"/>
        <v>0</v>
      </c>
      <c r="AD25" s="48">
        <v>-37.369999999999997</v>
      </c>
      <c r="AE25" s="48">
        <v>-15.89</v>
      </c>
      <c r="AF25" s="48">
        <v>4.51</v>
      </c>
      <c r="AG25" s="45">
        <f t="shared" si="4"/>
        <v>0</v>
      </c>
      <c r="AH25" s="45">
        <f t="shared" si="5"/>
        <v>2</v>
      </c>
      <c r="AI25" s="45">
        <v>11</v>
      </c>
      <c r="AJ25" s="2">
        <f t="shared" si="6"/>
        <v>1</v>
      </c>
      <c r="AK25" s="45">
        <f t="shared" si="7"/>
        <v>2</v>
      </c>
      <c r="AL25" s="2" t="str">
        <f t="shared" si="8"/>
        <v>Neg</v>
      </c>
      <c r="AM25" s="2" t="str">
        <f t="shared" si="9"/>
        <v>Godavari Biorefineries</v>
      </c>
      <c r="AN25" s="43"/>
      <c r="AO25" s="43"/>
      <c r="AP25" s="16">
        <f t="shared" si="10"/>
        <v>0</v>
      </c>
      <c r="AQ25" s="16">
        <v>1</v>
      </c>
      <c r="AR25" s="15">
        <f t="shared" si="11"/>
        <v>0</v>
      </c>
      <c r="AS25" s="43"/>
      <c r="AT25" s="45">
        <v>107.5268817204301</v>
      </c>
      <c r="AU25" s="45">
        <v>537.63440860215053</v>
      </c>
      <c r="AV25" s="45">
        <v>5</v>
      </c>
      <c r="AW25" s="45"/>
      <c r="AX25" s="45"/>
      <c r="AY25" s="45"/>
      <c r="AZ25" s="45"/>
      <c r="BA25" s="45"/>
      <c r="BB25" s="45"/>
      <c r="BC25" s="45"/>
    </row>
    <row r="26" spans="1:55">
      <c r="A26" s="68"/>
      <c r="B26" s="55" t="s">
        <v>305</v>
      </c>
      <c r="C26" s="50">
        <v>2024</v>
      </c>
      <c r="D26" s="2" t="s">
        <v>82</v>
      </c>
      <c r="E26" s="50">
        <v>100</v>
      </c>
      <c r="F26" s="50">
        <v>180</v>
      </c>
      <c r="G26" s="43">
        <f t="shared" si="0"/>
        <v>44.444444444444443</v>
      </c>
      <c r="H26" s="50">
        <v>400</v>
      </c>
      <c r="I26" s="50">
        <v>40.5</v>
      </c>
      <c r="J26" s="50"/>
      <c r="K26" s="48">
        <v>12.61</v>
      </c>
      <c r="L26" s="48"/>
      <c r="M26" s="50">
        <v>80</v>
      </c>
      <c r="N26" s="50"/>
      <c r="O26" s="50">
        <v>795</v>
      </c>
      <c r="P26" s="43">
        <f t="shared" si="1"/>
        <v>19.62962962962963</v>
      </c>
      <c r="Q26" s="50">
        <v>20.079999999999998</v>
      </c>
      <c r="R26" s="50">
        <v>20.079999999999998</v>
      </c>
      <c r="S26" s="43">
        <v>0</v>
      </c>
      <c r="T26" s="50"/>
      <c r="U26" s="50"/>
      <c r="V26" s="43">
        <v>1</v>
      </c>
      <c r="W26" s="43">
        <v>1</v>
      </c>
      <c r="X26" s="51">
        <v>32.33</v>
      </c>
      <c r="Y26" s="48">
        <v>47.92</v>
      </c>
      <c r="Z26" s="48">
        <v>18.03</v>
      </c>
      <c r="AA26" s="47">
        <f t="shared" si="2"/>
        <v>0</v>
      </c>
      <c r="AB26" s="43">
        <v>0</v>
      </c>
      <c r="AC26" s="48">
        <f t="shared" si="3"/>
        <v>0</v>
      </c>
      <c r="AD26" s="48">
        <v>-6</v>
      </c>
      <c r="AE26" s="48">
        <v>30</v>
      </c>
      <c r="AF26" s="48">
        <v>25</v>
      </c>
      <c r="AG26" s="45">
        <f t="shared" si="4"/>
        <v>5.0999999999999996</v>
      </c>
      <c r="AH26" s="45">
        <f t="shared" si="5"/>
        <v>8.1</v>
      </c>
      <c r="AI26" s="45">
        <v>11</v>
      </c>
      <c r="AJ26" s="2">
        <f t="shared" si="6"/>
        <v>1</v>
      </c>
      <c r="AK26" s="45">
        <f t="shared" si="7"/>
        <v>21.36</v>
      </c>
      <c r="AL26" s="2" t="str">
        <f t="shared" si="8"/>
        <v>Neg</v>
      </c>
      <c r="AM26" s="2" t="str">
        <f t="shared" si="9"/>
        <v>JG Chemicals</v>
      </c>
      <c r="AN26" s="43"/>
      <c r="AO26" s="43"/>
      <c r="AP26" s="16">
        <f t="shared" si="10"/>
        <v>0</v>
      </c>
      <c r="AQ26" s="16">
        <v>1</v>
      </c>
      <c r="AR26" s="15">
        <f t="shared" si="11"/>
        <v>0</v>
      </c>
      <c r="AS26" s="43"/>
      <c r="AT26" s="45">
        <v>2.0868113522537559</v>
      </c>
      <c r="AU26" s="45">
        <v>10.43405676126878</v>
      </c>
      <c r="AV26" s="45">
        <v>5</v>
      </c>
      <c r="AW26" s="45"/>
      <c r="AX26" s="45"/>
      <c r="AY26" s="45"/>
      <c r="AZ26" s="45"/>
      <c r="BA26" s="45"/>
      <c r="BB26" s="45"/>
      <c r="BC26" s="45"/>
    </row>
    <row r="27" spans="1:55">
      <c r="A27" s="68"/>
      <c r="B27" s="55" t="s">
        <v>306</v>
      </c>
      <c r="C27" s="50">
        <v>2024</v>
      </c>
      <c r="D27" s="2" t="s">
        <v>82</v>
      </c>
      <c r="E27" s="50">
        <v>108</v>
      </c>
      <c r="F27" s="50">
        <v>346</v>
      </c>
      <c r="G27" s="43">
        <f t="shared" si="0"/>
        <v>68.786127167630056</v>
      </c>
      <c r="H27" s="50">
        <v>461</v>
      </c>
      <c r="I27" s="50">
        <v>112</v>
      </c>
      <c r="J27" s="50"/>
      <c r="K27" s="48">
        <v>9.02</v>
      </c>
      <c r="L27" s="48"/>
      <c r="M27" s="50">
        <v>196</v>
      </c>
      <c r="N27" s="50"/>
      <c r="O27" s="50">
        <v>1394</v>
      </c>
      <c r="P27" s="43">
        <f t="shared" si="1"/>
        <v>12.446428571428571</v>
      </c>
      <c r="Q27" s="50">
        <v>44.5</v>
      </c>
      <c r="R27" s="50">
        <v>44.5</v>
      </c>
      <c r="S27" s="43">
        <v>0</v>
      </c>
      <c r="T27" s="50"/>
      <c r="U27" s="50"/>
      <c r="V27" s="43">
        <v>1</v>
      </c>
      <c r="W27" s="43">
        <v>1</v>
      </c>
      <c r="X27" s="51">
        <v>18.420000000000002</v>
      </c>
      <c r="Y27" s="48">
        <v>10</v>
      </c>
      <c r="Z27" s="48">
        <v>4.22</v>
      </c>
      <c r="AA27" s="47">
        <f t="shared" si="2"/>
        <v>1</v>
      </c>
      <c r="AB27" s="43">
        <v>0</v>
      </c>
      <c r="AC27" s="48">
        <f t="shared" si="3"/>
        <v>0</v>
      </c>
      <c r="AD27" s="48">
        <v>170</v>
      </c>
      <c r="AE27" s="48">
        <v>3</v>
      </c>
      <c r="AF27" s="48">
        <v>19</v>
      </c>
      <c r="AG27" s="45">
        <f t="shared" si="4"/>
        <v>5.0999999999999996</v>
      </c>
      <c r="AH27" s="45">
        <f t="shared" si="5"/>
        <v>8.1</v>
      </c>
      <c r="AI27" s="45">
        <v>11</v>
      </c>
      <c r="AJ27" s="2">
        <f t="shared" si="6"/>
        <v>1</v>
      </c>
      <c r="AK27" s="45">
        <f t="shared" si="7"/>
        <v>21.36</v>
      </c>
      <c r="AL27" s="2" t="str">
        <f t="shared" si="8"/>
        <v>Neg</v>
      </c>
      <c r="AM27" s="2" t="str">
        <f t="shared" si="9"/>
        <v>Gopal Snacks</v>
      </c>
      <c r="AN27" s="43"/>
      <c r="AO27" s="43"/>
      <c r="AP27" s="16">
        <f t="shared" si="10"/>
        <v>0</v>
      </c>
      <c r="AQ27" s="16">
        <v>1</v>
      </c>
      <c r="AR27" s="15">
        <f t="shared" si="11"/>
        <v>0</v>
      </c>
      <c r="AS27" s="43"/>
      <c r="AT27" s="45">
        <v>10</v>
      </c>
      <c r="AU27" s="45">
        <v>50</v>
      </c>
      <c r="AV27" s="45">
        <v>5</v>
      </c>
      <c r="AW27" s="45"/>
      <c r="AX27" s="45"/>
      <c r="AY27" s="45"/>
      <c r="AZ27" s="45"/>
      <c r="BA27" s="45"/>
      <c r="BB27" s="45"/>
      <c r="BC27" s="45"/>
    </row>
    <row r="28" spans="1:55">
      <c r="A28" s="68"/>
      <c r="B28" s="55" t="s">
        <v>307</v>
      </c>
      <c r="C28" s="50">
        <v>2024</v>
      </c>
      <c r="D28" s="2" t="s">
        <v>82</v>
      </c>
      <c r="E28" s="50">
        <v>4.51</v>
      </c>
      <c r="F28" s="50">
        <v>140.81</v>
      </c>
      <c r="G28" s="43">
        <f t="shared" si="0"/>
        <v>96.797102478517161</v>
      </c>
      <c r="H28" s="50">
        <v>313.64999999999998</v>
      </c>
      <c r="I28" s="50">
        <v>31.26</v>
      </c>
      <c r="J28" s="50"/>
      <c r="K28" s="48">
        <v>7.03</v>
      </c>
      <c r="L28" s="48"/>
      <c r="M28" s="50">
        <v>62.91</v>
      </c>
      <c r="N28" s="50"/>
      <c r="O28" s="50">
        <v>292.61</v>
      </c>
      <c r="P28" s="43">
        <f t="shared" si="1"/>
        <v>9.3605246321177216</v>
      </c>
      <c r="Q28" s="50">
        <v>46.5</v>
      </c>
      <c r="R28" s="50">
        <v>46.5</v>
      </c>
      <c r="S28" s="43">
        <v>-0.9</v>
      </c>
      <c r="T28" s="50"/>
      <c r="U28" s="50"/>
      <c r="V28" s="43">
        <v>1</v>
      </c>
      <c r="W28" s="43">
        <v>1</v>
      </c>
      <c r="X28" s="51">
        <v>20.58</v>
      </c>
      <c r="Y28" s="48">
        <v>34.24</v>
      </c>
      <c r="Z28" s="48">
        <v>33.31</v>
      </c>
      <c r="AA28" s="47">
        <f t="shared" si="2"/>
        <v>0</v>
      </c>
      <c r="AB28" s="43">
        <v>6</v>
      </c>
      <c r="AC28" s="48">
        <f t="shared" si="3"/>
        <v>2</v>
      </c>
      <c r="AD28" s="48">
        <v>62.29</v>
      </c>
      <c r="AE28" s="48">
        <v>24.85</v>
      </c>
      <c r="AF28" s="48">
        <v>25.58</v>
      </c>
      <c r="AG28" s="45">
        <f t="shared" si="4"/>
        <v>5.1999999999999993</v>
      </c>
      <c r="AH28" s="45">
        <f t="shared" si="5"/>
        <v>10.199999999999999</v>
      </c>
      <c r="AI28" s="45">
        <v>11</v>
      </c>
      <c r="AJ28" s="2">
        <f t="shared" si="6"/>
        <v>1</v>
      </c>
      <c r="AK28" s="45">
        <f t="shared" si="7"/>
        <v>23.72</v>
      </c>
      <c r="AL28" s="2" t="str">
        <f t="shared" si="8"/>
        <v>Neg</v>
      </c>
      <c r="AM28" s="2" t="str">
        <f t="shared" si="9"/>
        <v>R K SWAMY</v>
      </c>
      <c r="AN28" s="43"/>
      <c r="AO28" s="43"/>
      <c r="AP28" s="16">
        <f t="shared" si="10"/>
        <v>0</v>
      </c>
      <c r="AQ28" s="16">
        <v>1</v>
      </c>
      <c r="AR28" s="15">
        <f t="shared" si="11"/>
        <v>0</v>
      </c>
      <c r="AS28" s="43"/>
      <c r="AT28" s="45">
        <v>2.9205607476635511</v>
      </c>
      <c r="AU28" s="45">
        <v>14.60280373831776</v>
      </c>
      <c r="AV28" s="45">
        <v>5</v>
      </c>
      <c r="AW28" s="45"/>
      <c r="AX28" s="45"/>
      <c r="AY28" s="45">
        <v>-13.5</v>
      </c>
      <c r="AZ28" s="45"/>
      <c r="BA28" s="45"/>
      <c r="BB28" s="45"/>
      <c r="BC28" s="45"/>
    </row>
    <row r="29" spans="1:55">
      <c r="A29" s="68"/>
      <c r="B29" s="55" t="s">
        <v>308</v>
      </c>
      <c r="C29" s="50">
        <v>2024</v>
      </c>
      <c r="D29" s="2" t="s">
        <v>82</v>
      </c>
      <c r="E29" s="50">
        <v>472.25</v>
      </c>
      <c r="F29" s="50">
        <v>2430</v>
      </c>
      <c r="G29" s="43">
        <f t="shared" si="0"/>
        <v>80.565843621399182</v>
      </c>
      <c r="H29" s="50">
        <v>9295</v>
      </c>
      <c r="I29" s="50">
        <v>93.6</v>
      </c>
      <c r="J29" s="50"/>
      <c r="K29" s="48">
        <v>26.48</v>
      </c>
      <c r="L29" s="48"/>
      <c r="M29" s="50">
        <v>310.79000000000002</v>
      </c>
      <c r="N29" s="50"/>
      <c r="O29" s="50">
        <v>908.5</v>
      </c>
      <c r="P29" s="43">
        <f t="shared" si="1"/>
        <v>9.7061965811965809</v>
      </c>
      <c r="Q29" s="50">
        <v>17.68</v>
      </c>
      <c r="R29" s="50">
        <v>17.68</v>
      </c>
      <c r="S29" s="43">
        <v>-0.9</v>
      </c>
      <c r="T29" s="50"/>
      <c r="U29" s="50"/>
      <c r="V29" s="50">
        <v>1</v>
      </c>
      <c r="W29" s="43">
        <v>1</v>
      </c>
      <c r="X29" s="51">
        <v>1.21</v>
      </c>
      <c r="Y29" s="48">
        <v>2.25</v>
      </c>
      <c r="Z29" s="48">
        <v>1.97</v>
      </c>
      <c r="AA29" s="47">
        <f t="shared" si="2"/>
        <v>0</v>
      </c>
      <c r="AB29" s="43">
        <v>0</v>
      </c>
      <c r="AC29" s="48">
        <f t="shared" si="3"/>
        <v>0</v>
      </c>
      <c r="AD29" s="48">
        <v>49.6</v>
      </c>
      <c r="AE29" s="48">
        <v>43.7</v>
      </c>
      <c r="AF29" s="48">
        <v>8.1999999999999993</v>
      </c>
      <c r="AG29" s="45">
        <f t="shared" si="4"/>
        <v>5.1999999999999993</v>
      </c>
      <c r="AH29" s="45">
        <f t="shared" si="5"/>
        <v>6.1999999999999993</v>
      </c>
      <c r="AI29" s="45">
        <v>11</v>
      </c>
      <c r="AJ29" s="2">
        <f t="shared" si="6"/>
        <v>1</v>
      </c>
      <c r="AK29" s="45">
        <f t="shared" si="7"/>
        <v>19.72</v>
      </c>
      <c r="AL29" s="2" t="str">
        <f t="shared" si="8"/>
        <v>Neg</v>
      </c>
      <c r="AM29" s="2" t="str">
        <f t="shared" si="9"/>
        <v>Capital Small Finance</v>
      </c>
      <c r="AN29" s="43"/>
      <c r="AO29" s="43"/>
      <c r="AP29" s="16">
        <f t="shared" si="10"/>
        <v>0</v>
      </c>
      <c r="AQ29" s="16">
        <v>1</v>
      </c>
      <c r="AR29" s="15">
        <f t="shared" si="11"/>
        <v>0</v>
      </c>
      <c r="AS29" s="43"/>
      <c r="AT29" s="45">
        <v>44.444444444444443</v>
      </c>
      <c r="AU29" s="45">
        <v>222.2222222222222</v>
      </c>
      <c r="AV29" s="45">
        <v>5</v>
      </c>
      <c r="AW29" s="45"/>
      <c r="AX29" s="45"/>
      <c r="AY29" s="45">
        <v>-8</v>
      </c>
      <c r="AZ29" s="45"/>
      <c r="BA29" s="45"/>
      <c r="BB29" s="45"/>
      <c r="BC29" s="45"/>
    </row>
    <row r="30" spans="1:55">
      <c r="A30" s="68"/>
      <c r="B30" s="55" t="s">
        <v>309</v>
      </c>
      <c r="C30" s="50">
        <v>2024</v>
      </c>
      <c r="D30" s="2" t="s">
        <v>82</v>
      </c>
      <c r="E30" s="50">
        <v>492.45</v>
      </c>
      <c r="F30" s="50">
        <v>313.62</v>
      </c>
      <c r="G30" s="43">
        <f t="shared" si="0"/>
        <v>-57.0212358905682</v>
      </c>
      <c r="H30" s="50">
        <v>1464.16</v>
      </c>
      <c r="I30" s="50">
        <v>31.97</v>
      </c>
      <c r="J30" s="50"/>
      <c r="K30" s="48">
        <v>4.6399999999999997</v>
      </c>
      <c r="L30" s="48"/>
      <c r="M30" s="50">
        <v>102.52</v>
      </c>
      <c r="N30" s="50"/>
      <c r="O30" s="50">
        <v>1539</v>
      </c>
      <c r="P30" s="43">
        <f t="shared" si="1"/>
        <v>48.138880200187678</v>
      </c>
      <c r="Q30" s="50">
        <v>49.56</v>
      </c>
      <c r="R30" s="50">
        <v>49.56</v>
      </c>
      <c r="S30" s="43">
        <v>0</v>
      </c>
      <c r="T30" s="50"/>
      <c r="U30" s="50"/>
      <c r="V30" s="50">
        <v>1</v>
      </c>
      <c r="W30" s="43">
        <v>1</v>
      </c>
      <c r="X30" s="51">
        <v>25.59</v>
      </c>
      <c r="Y30" s="48">
        <v>29.07</v>
      </c>
      <c r="Z30" s="48">
        <v>6.5</v>
      </c>
      <c r="AA30" s="47">
        <f t="shared" si="2"/>
        <v>0</v>
      </c>
      <c r="AB30" s="43">
        <v>0</v>
      </c>
      <c r="AC30" s="48">
        <f t="shared" si="3"/>
        <v>0</v>
      </c>
      <c r="AD30" s="48">
        <v>83.39</v>
      </c>
      <c r="AE30" s="48">
        <v>66.09</v>
      </c>
      <c r="AF30" s="48">
        <v>157.30000000000001</v>
      </c>
      <c r="AG30" s="45">
        <f t="shared" si="4"/>
        <v>4</v>
      </c>
      <c r="AH30" s="45">
        <f t="shared" si="5"/>
        <v>7</v>
      </c>
      <c r="AI30" s="45">
        <v>11</v>
      </c>
      <c r="AJ30" s="2">
        <f t="shared" si="6"/>
        <v>1</v>
      </c>
      <c r="AK30" s="45">
        <f t="shared" si="7"/>
        <v>17.399999999999999</v>
      </c>
      <c r="AL30" s="2" t="str">
        <f t="shared" si="8"/>
        <v>Neg</v>
      </c>
      <c r="AM30" s="2" t="str">
        <f t="shared" si="9"/>
        <v>EPACK Durable</v>
      </c>
      <c r="AN30" s="43"/>
      <c r="AO30" s="43"/>
      <c r="AP30" s="16">
        <f t="shared" si="10"/>
        <v>0</v>
      </c>
      <c r="AQ30" s="16">
        <v>1</v>
      </c>
      <c r="AR30" s="15">
        <f t="shared" si="11"/>
        <v>0</v>
      </c>
      <c r="AS30" s="43"/>
      <c r="AT30" s="45">
        <v>3.4399724802201579</v>
      </c>
      <c r="AU30" s="45">
        <v>17.199862401100791</v>
      </c>
      <c r="AV30" s="45">
        <v>5</v>
      </c>
      <c r="AW30" s="45"/>
      <c r="AX30" s="45"/>
      <c r="AY30" s="45"/>
      <c r="AZ30" s="45"/>
      <c r="BA30" s="45"/>
      <c r="BB30" s="45"/>
      <c r="BC30" s="45"/>
    </row>
    <row r="31" spans="1:55">
      <c r="A31" s="68"/>
      <c r="B31" s="57" t="s">
        <v>310</v>
      </c>
      <c r="C31" s="43">
        <v>2025</v>
      </c>
      <c r="D31" s="2" t="s">
        <v>82</v>
      </c>
      <c r="E31" s="43">
        <v>26.95</v>
      </c>
      <c r="F31" s="43">
        <v>173.47</v>
      </c>
      <c r="G31" s="43">
        <f t="shared" si="0"/>
        <v>84.464172479391266</v>
      </c>
      <c r="H31" s="43">
        <v>312.02</v>
      </c>
      <c r="I31" s="43">
        <v>21.99</v>
      </c>
      <c r="J31" s="43"/>
      <c r="K31" s="45">
        <v>6.9</v>
      </c>
      <c r="L31" s="45"/>
      <c r="M31" s="43">
        <v>37.71</v>
      </c>
      <c r="N31" s="43"/>
      <c r="O31" s="43">
        <v>490.14</v>
      </c>
      <c r="P31" s="43">
        <f t="shared" si="1"/>
        <v>22.289222373806275</v>
      </c>
      <c r="Q31" s="43">
        <v>19.559999999999999</v>
      </c>
      <c r="R31" s="43">
        <v>19.559999999999999</v>
      </c>
      <c r="S31" s="43">
        <v>0</v>
      </c>
      <c r="T31" s="43"/>
      <c r="U31" s="43"/>
      <c r="V31" s="50">
        <v>1</v>
      </c>
      <c r="W31" s="43">
        <v>1</v>
      </c>
      <c r="X31" s="46">
        <v>3.97</v>
      </c>
      <c r="Y31" s="45">
        <v>7.39</v>
      </c>
      <c r="Z31" s="45">
        <v>2.75</v>
      </c>
      <c r="AA31" s="47">
        <f t="shared" si="2"/>
        <v>0</v>
      </c>
      <c r="AB31" s="43">
        <v>-2.5</v>
      </c>
      <c r="AC31" s="48">
        <f t="shared" si="3"/>
        <v>-0.83333333333333337</v>
      </c>
      <c r="AD31" s="45">
        <v>112.51</v>
      </c>
      <c r="AE31" s="45">
        <v>19.420000000000002</v>
      </c>
      <c r="AF31" s="45">
        <v>14.42</v>
      </c>
      <c r="AG31" s="45">
        <f t="shared" si="4"/>
        <v>6.1</v>
      </c>
      <c r="AH31" s="45">
        <f t="shared" si="5"/>
        <v>7.2666666666666666</v>
      </c>
      <c r="AI31" s="45">
        <v>11</v>
      </c>
      <c r="AJ31" s="2">
        <f t="shared" si="6"/>
        <v>1</v>
      </c>
      <c r="AK31" s="45">
        <f t="shared" si="7"/>
        <v>23.126666666666665</v>
      </c>
      <c r="AL31" s="2" t="str">
        <f t="shared" si="8"/>
        <v>Neg</v>
      </c>
      <c r="AM31" s="2" t="str">
        <f t="shared" si="9"/>
        <v>Om Freight Forwarders</v>
      </c>
      <c r="AN31" s="43"/>
      <c r="AO31" s="43"/>
      <c r="AP31" s="16">
        <f t="shared" si="10"/>
        <v>0</v>
      </c>
      <c r="AQ31" s="16">
        <v>1</v>
      </c>
      <c r="AR31" s="15">
        <f t="shared" si="11"/>
        <v>0</v>
      </c>
      <c r="AS31" s="43"/>
      <c r="AT31" s="45">
        <v>13.53179972936401</v>
      </c>
      <c r="AU31" s="45">
        <v>67.658998646820038</v>
      </c>
      <c r="AV31" s="45">
        <v>5</v>
      </c>
      <c r="AW31" s="45"/>
      <c r="AX31" s="45"/>
      <c r="AY31" s="45"/>
      <c r="AZ31" s="45"/>
      <c r="BA31" s="45"/>
      <c r="BB31" s="45"/>
      <c r="BC31" s="45"/>
    </row>
    <row r="32" spans="1:55">
      <c r="A32" s="68"/>
      <c r="B32" s="55" t="s">
        <v>311</v>
      </c>
      <c r="C32" s="50">
        <v>2025</v>
      </c>
      <c r="D32" s="2" t="s">
        <v>82</v>
      </c>
      <c r="E32" s="50">
        <v>21.67</v>
      </c>
      <c r="F32" s="50">
        <v>98.5</v>
      </c>
      <c r="G32" s="43">
        <f t="shared" si="0"/>
        <v>78</v>
      </c>
      <c r="H32" s="50">
        <v>120.17</v>
      </c>
      <c r="I32" s="50">
        <v>56.14</v>
      </c>
      <c r="J32" s="50"/>
      <c r="K32" s="48">
        <v>7.02</v>
      </c>
      <c r="L32" s="48"/>
      <c r="M32" s="50">
        <v>78.599999999999994</v>
      </c>
      <c r="N32" s="50"/>
      <c r="O32" s="50">
        <v>942.55</v>
      </c>
      <c r="P32" s="43">
        <f t="shared" si="1"/>
        <v>16.789276807980048</v>
      </c>
      <c r="Q32" s="50">
        <v>18.37</v>
      </c>
      <c r="R32" s="50">
        <v>18.37</v>
      </c>
      <c r="S32" s="43">
        <v>-0.9</v>
      </c>
      <c r="T32" s="50"/>
      <c r="U32" s="50"/>
      <c r="V32" s="43">
        <v>1</v>
      </c>
      <c r="W32" s="43">
        <v>1</v>
      </c>
      <c r="X32" s="51">
        <v>1.84</v>
      </c>
      <c r="Y32" s="48">
        <v>3.08</v>
      </c>
      <c r="Z32" s="48">
        <v>1.47</v>
      </c>
      <c r="AA32" s="47">
        <f t="shared" si="2"/>
        <v>0</v>
      </c>
      <c r="AB32" s="43">
        <v>1</v>
      </c>
      <c r="AC32" s="48">
        <f t="shared" si="3"/>
        <v>0.33333333333333331</v>
      </c>
      <c r="AD32" s="48">
        <v>81.3</v>
      </c>
      <c r="AE32" s="48">
        <v>89.3</v>
      </c>
      <c r="AF32" s="56">
        <v>80</v>
      </c>
      <c r="AG32" s="45">
        <f t="shared" si="4"/>
        <v>6.1999999999999993</v>
      </c>
      <c r="AH32" s="45">
        <f t="shared" si="5"/>
        <v>8.5333333333333332</v>
      </c>
      <c r="AI32" s="45">
        <v>11</v>
      </c>
      <c r="AJ32" s="2">
        <f t="shared" si="6"/>
        <v>1</v>
      </c>
      <c r="AK32" s="45">
        <f t="shared" si="7"/>
        <v>24.653333333333329</v>
      </c>
      <c r="AL32" s="2" t="str">
        <f t="shared" si="8"/>
        <v>Neg</v>
      </c>
      <c r="AM32" s="2" t="str">
        <f t="shared" si="9"/>
        <v>Glottis</v>
      </c>
      <c r="AN32" s="43"/>
      <c r="AO32" s="43"/>
      <c r="AP32" s="16">
        <f t="shared" si="10"/>
        <v>3</v>
      </c>
      <c r="AQ32" s="16">
        <v>1</v>
      </c>
      <c r="AR32" s="15">
        <f t="shared" si="11"/>
        <v>6.8027210884353746</v>
      </c>
      <c r="AS32" s="43"/>
      <c r="AT32" s="45">
        <v>32.467532467532457</v>
      </c>
      <c r="AU32" s="45">
        <v>162.33766233766229</v>
      </c>
      <c r="AV32" s="45">
        <v>5</v>
      </c>
      <c r="AW32" s="45"/>
      <c r="AX32" s="45"/>
      <c r="AY32" s="45">
        <v>-34</v>
      </c>
      <c r="AZ32" s="45"/>
      <c r="BA32" s="45"/>
      <c r="BB32" s="45"/>
      <c r="BC32" s="45"/>
    </row>
    <row r="33" spans="1:55">
      <c r="A33" s="68"/>
      <c r="B33" s="55" t="s">
        <v>312</v>
      </c>
      <c r="C33" s="50">
        <v>2025</v>
      </c>
      <c r="D33" s="2" t="s">
        <v>82</v>
      </c>
      <c r="E33" s="50">
        <v>318.52999999999997</v>
      </c>
      <c r="F33" s="50">
        <v>353.92</v>
      </c>
      <c r="G33" s="43">
        <f t="shared" si="0"/>
        <v>9.9994349005425072</v>
      </c>
      <c r="H33" s="50">
        <v>931.02</v>
      </c>
      <c r="I33" s="50">
        <v>59.3</v>
      </c>
      <c r="J33" s="50"/>
      <c r="K33" s="48">
        <v>7.65</v>
      </c>
      <c r="L33" s="48"/>
      <c r="M33" s="50">
        <v>117.79</v>
      </c>
      <c r="N33" s="50"/>
      <c r="O33" s="50">
        <v>1134</v>
      </c>
      <c r="P33" s="43">
        <f t="shared" si="1"/>
        <v>19.123102866779089</v>
      </c>
      <c r="Q33" s="50">
        <v>26.67</v>
      </c>
      <c r="R33" s="50">
        <v>26.67</v>
      </c>
      <c r="S33" s="43">
        <v>-0.9</v>
      </c>
      <c r="T33" s="50"/>
      <c r="U33" s="50"/>
      <c r="V33" s="43">
        <v>1</v>
      </c>
      <c r="W33" s="43">
        <v>1</v>
      </c>
      <c r="X33" s="51">
        <v>5.09</v>
      </c>
      <c r="Y33" s="48">
        <v>3.79</v>
      </c>
      <c r="Z33" s="48">
        <v>1.74</v>
      </c>
      <c r="AA33" s="47">
        <f t="shared" si="2"/>
        <v>1</v>
      </c>
      <c r="AB33" s="43">
        <v>1</v>
      </c>
      <c r="AC33" s="48">
        <f t="shared" si="3"/>
        <v>0.33333333333333331</v>
      </c>
      <c r="AD33" s="48">
        <v>38</v>
      </c>
      <c r="AE33" s="48">
        <v>26</v>
      </c>
      <c r="AF33" s="48">
        <v>109</v>
      </c>
      <c r="AG33" s="45">
        <f t="shared" si="4"/>
        <v>5.3000000000000007</v>
      </c>
      <c r="AH33" s="45">
        <f t="shared" si="5"/>
        <v>7.6333333333333337</v>
      </c>
      <c r="AI33" s="45">
        <v>11</v>
      </c>
      <c r="AJ33" s="2">
        <f t="shared" si="6"/>
        <v>1</v>
      </c>
      <c r="AK33" s="45">
        <f t="shared" si="7"/>
        <v>21.413333333333338</v>
      </c>
      <c r="AL33" s="2" t="str">
        <f t="shared" si="8"/>
        <v>Neg</v>
      </c>
      <c r="AM33" s="2" t="str">
        <f t="shared" si="9"/>
        <v>Epack Prefab Technologies</v>
      </c>
      <c r="AN33" s="43"/>
      <c r="AO33" s="43"/>
      <c r="AP33" s="16">
        <f t="shared" si="10"/>
        <v>0</v>
      </c>
      <c r="AQ33" s="16">
        <v>1</v>
      </c>
      <c r="AR33" s="15">
        <f t="shared" si="11"/>
        <v>0</v>
      </c>
      <c r="AS33" s="43"/>
      <c r="AT33" s="45">
        <v>26.38522427440633</v>
      </c>
      <c r="AU33" s="45">
        <v>131.9261213720317</v>
      </c>
      <c r="AV33" s="45">
        <v>5</v>
      </c>
      <c r="AW33" s="45"/>
      <c r="AX33" s="45"/>
      <c r="AY33" s="45">
        <v>-9</v>
      </c>
      <c r="AZ33" s="45"/>
      <c r="BA33" s="45"/>
      <c r="BB33" s="45">
        <v>60</v>
      </c>
      <c r="BC33" s="45"/>
    </row>
    <row r="34" spans="1:55">
      <c r="A34" s="68"/>
      <c r="B34" s="55" t="s">
        <v>313</v>
      </c>
      <c r="C34" s="50">
        <v>2025</v>
      </c>
      <c r="D34" s="2" t="s">
        <v>82</v>
      </c>
      <c r="E34" s="50">
        <v>428.39</v>
      </c>
      <c r="F34" s="50">
        <v>210.12</v>
      </c>
      <c r="G34" s="43">
        <f t="shared" ref="G34:G65" si="12">100*(F34-E34)/F34</f>
        <v>-103.87873596040357</v>
      </c>
      <c r="H34" s="50">
        <v>676.09</v>
      </c>
      <c r="I34" s="50">
        <v>32.82</v>
      </c>
      <c r="J34" s="50"/>
      <c r="K34" s="48">
        <v>5.18</v>
      </c>
      <c r="L34" s="48"/>
      <c r="M34" s="50">
        <v>82</v>
      </c>
      <c r="N34" s="50"/>
      <c r="O34" s="50">
        <v>2062</v>
      </c>
      <c r="P34" s="43">
        <f t="shared" ref="P34:P65" si="13">O34/I34</f>
        <v>62.827544180377821</v>
      </c>
      <c r="Q34" s="50">
        <v>26.2</v>
      </c>
      <c r="R34" s="50">
        <v>26.2</v>
      </c>
      <c r="S34" s="43">
        <v>0</v>
      </c>
      <c r="T34" s="50"/>
      <c r="U34" s="50"/>
      <c r="V34" s="43">
        <v>1</v>
      </c>
      <c r="W34" s="43">
        <v>1</v>
      </c>
      <c r="X34" s="51">
        <v>0.23</v>
      </c>
      <c r="Y34" s="48">
        <v>5.62</v>
      </c>
      <c r="Z34" s="48">
        <v>17.55</v>
      </c>
      <c r="AA34" s="47">
        <f t="shared" ref="AA34:AA65" si="14">IF(X34&lt;33,IF(Y34&gt;(1.1*X34),0,1),1)+IF(Y34&gt;(4*X34),-1,0)</f>
        <v>-1</v>
      </c>
      <c r="AB34" s="43">
        <v>0</v>
      </c>
      <c r="AC34" s="48">
        <f t="shared" ref="AC34:AC65" si="15">IF(AB34&gt;9,1,0)+AB34/3</f>
        <v>0</v>
      </c>
      <c r="AD34" s="48">
        <v>10</v>
      </c>
      <c r="AE34" s="48">
        <v>6</v>
      </c>
      <c r="AF34" s="48">
        <v>12.5</v>
      </c>
      <c r="AG34" s="45">
        <f t="shared" ref="AG34:AG65" si="16">IF(G34&lt;0,0,1.2)+IF(G34&lt;14,0,0.9)+IF(P34&lt;0,0.7,0)+IF(P34&lt;6.5,1,0)+IF(P34&lt;23,1,0)+IF(R34&gt;88,0,1)+S34+IF(AD34&lt;20,0,1)+IF(AE34&lt;14,0,1)+IF(AF34&lt;26,0,1)</f>
        <v>1</v>
      </c>
      <c r="AH34" s="45">
        <f t="shared" ref="AH34:AH65" si="17">AG34+IF(AG34&gt;6,1,0)+IF(X34&lt;17,0,1)+IF(Y34&lt;11,0,1)+IF(Z34&lt;1.35,0,1)+AC34+AA34</f>
        <v>1</v>
      </c>
      <c r="AI34" s="45">
        <v>11</v>
      </c>
      <c r="AJ34" s="2">
        <f t="shared" ref="AJ34:AJ65" si="18">IF(AI34&gt;12.8,IF(AI34&gt;15.8,0.9,0.97),1)</f>
        <v>1</v>
      </c>
      <c r="AK34" s="45">
        <f t="shared" ref="AK34:AK65" si="19">(AG34*2.6+AH34)*AJ34*AQ34</f>
        <v>3.6</v>
      </c>
      <c r="AL34" s="2" t="str">
        <f t="shared" ref="AL34:AL65" si="20">D34</f>
        <v>Neg</v>
      </c>
      <c r="AM34" s="2" t="str">
        <f t="shared" ref="AM34:AM68" si="21">B34</f>
        <v>BMW Ventures</v>
      </c>
      <c r="AN34" s="43"/>
      <c r="AO34" s="43"/>
      <c r="AP34" s="16">
        <f t="shared" ref="AP34:AP65" si="22">IF(AK34&gt;23.73,IF(Z34&lt;101,IF(Z34&lt;30,IF(Z34&lt;6,3,2),1),0),0)</f>
        <v>0</v>
      </c>
      <c r="AQ34" s="16">
        <v>1</v>
      </c>
      <c r="AR34" s="15">
        <f t="shared" ref="AR34:AR65" si="23">IF(AP34&gt;0,IF(AB34&gt;10,(AB34/Z34),10/Z34),0)</f>
        <v>0</v>
      </c>
      <c r="AS34" s="43"/>
      <c r="AT34" s="45">
        <v>17.793594306049819</v>
      </c>
      <c r="AU34" s="45">
        <v>88.967971530249116</v>
      </c>
      <c r="AV34" s="45">
        <v>5</v>
      </c>
      <c r="AW34" s="45"/>
      <c r="AX34" s="45"/>
      <c r="AY34" s="45"/>
      <c r="AZ34" s="45"/>
      <c r="BA34" s="45"/>
      <c r="BB34" s="45"/>
      <c r="BC34" s="45"/>
    </row>
    <row r="35" spans="1:55">
      <c r="A35" s="68"/>
      <c r="B35" s="55" t="s">
        <v>314</v>
      </c>
      <c r="C35" s="50">
        <v>2025</v>
      </c>
      <c r="D35" s="2" t="s">
        <v>82</v>
      </c>
      <c r="E35" s="50">
        <v>50</v>
      </c>
      <c r="F35" s="50">
        <v>224.13</v>
      </c>
      <c r="G35" s="43">
        <f t="shared" si="12"/>
        <v>77.691518315263465</v>
      </c>
      <c r="H35" s="50">
        <v>341.74</v>
      </c>
      <c r="I35" s="50">
        <v>35.4</v>
      </c>
      <c r="J35" s="50"/>
      <c r="K35" s="48">
        <v>8.8000000000000007</v>
      </c>
      <c r="L35" s="48"/>
      <c r="M35" s="50">
        <v>73.2</v>
      </c>
      <c r="N35" s="50"/>
      <c r="O35" s="50">
        <v>850.5</v>
      </c>
      <c r="P35" s="43">
        <f t="shared" si="13"/>
        <v>24.025423728813561</v>
      </c>
      <c r="Q35" s="50">
        <v>36.700000000000003</v>
      </c>
      <c r="R35" s="50">
        <v>36.700000000000003</v>
      </c>
      <c r="S35" s="43">
        <v>0</v>
      </c>
      <c r="T35" s="50"/>
      <c r="U35" s="50"/>
      <c r="V35" s="50">
        <v>1</v>
      </c>
      <c r="W35" s="43">
        <v>1</v>
      </c>
      <c r="X35" s="51">
        <v>4.03</v>
      </c>
      <c r="Y35" s="48">
        <v>4.41</v>
      </c>
      <c r="Z35" s="48">
        <v>1.17</v>
      </c>
      <c r="AA35" s="47">
        <f t="shared" si="14"/>
        <v>1</v>
      </c>
      <c r="AB35" s="43">
        <v>0</v>
      </c>
      <c r="AC35" s="48">
        <f t="shared" si="15"/>
        <v>0</v>
      </c>
      <c r="AD35" s="48">
        <v>31.1</v>
      </c>
      <c r="AE35" s="48">
        <v>12</v>
      </c>
      <c r="AF35" s="48">
        <v>2.5</v>
      </c>
      <c r="AG35" s="45">
        <f t="shared" si="16"/>
        <v>4.0999999999999996</v>
      </c>
      <c r="AH35" s="45">
        <f t="shared" si="17"/>
        <v>5.0999999999999996</v>
      </c>
      <c r="AI35" s="45">
        <v>11</v>
      </c>
      <c r="AJ35" s="2">
        <f t="shared" si="18"/>
        <v>1</v>
      </c>
      <c r="AK35" s="45">
        <f t="shared" si="19"/>
        <v>15.76</v>
      </c>
      <c r="AL35" s="2" t="str">
        <f t="shared" si="20"/>
        <v>Neg</v>
      </c>
      <c r="AM35" s="2" t="str">
        <f t="shared" si="21"/>
        <v>Ganesh Consumer Products</v>
      </c>
      <c r="AN35" s="43"/>
      <c r="AO35" s="43"/>
      <c r="AP35" s="16">
        <f t="shared" si="22"/>
        <v>0</v>
      </c>
      <c r="AQ35" s="16">
        <v>1</v>
      </c>
      <c r="AR35" s="15">
        <f t="shared" si="23"/>
        <v>0</v>
      </c>
      <c r="AS35" s="43"/>
      <c r="AT35" s="45">
        <v>22.67573696145125</v>
      </c>
      <c r="AU35" s="45">
        <v>113.37868480725621</v>
      </c>
      <c r="AV35" s="45">
        <v>5</v>
      </c>
      <c r="AW35" s="45"/>
      <c r="AX35" s="45"/>
      <c r="AY35" s="45"/>
      <c r="AZ35" s="45"/>
      <c r="BA35" s="45"/>
      <c r="BB35" s="45"/>
      <c r="BC35" s="45"/>
    </row>
    <row r="36" spans="1:55">
      <c r="A36" s="68"/>
      <c r="B36" s="55" t="s">
        <v>315</v>
      </c>
      <c r="C36" s="50">
        <v>2025</v>
      </c>
      <c r="D36" s="2" t="s">
        <v>82</v>
      </c>
      <c r="E36" s="50">
        <v>1137.06</v>
      </c>
      <c r="F36" s="50">
        <v>257.47000000000003</v>
      </c>
      <c r="G36" s="43">
        <f t="shared" si="12"/>
        <v>-341.6281508525264</v>
      </c>
      <c r="H36" s="50">
        <v>1413</v>
      </c>
      <c r="I36" s="50">
        <v>35.909999999999997</v>
      </c>
      <c r="J36" s="50"/>
      <c r="K36" s="48">
        <v>8.7799999999999994</v>
      </c>
      <c r="L36" s="48"/>
      <c r="M36" s="50">
        <v>163.88</v>
      </c>
      <c r="N36" s="50"/>
      <c r="O36" s="50">
        <v>245.71</v>
      </c>
      <c r="P36" s="43">
        <f t="shared" si="13"/>
        <v>6.8423837371205805</v>
      </c>
      <c r="Q36" s="50">
        <v>18</v>
      </c>
      <c r="R36" s="50">
        <v>18</v>
      </c>
      <c r="S36" s="43">
        <v>0</v>
      </c>
      <c r="T36" s="50"/>
      <c r="U36" s="50"/>
      <c r="V36" s="50">
        <v>1</v>
      </c>
      <c r="W36" s="43">
        <v>1</v>
      </c>
      <c r="X36" s="52">
        <v>1.2</v>
      </c>
      <c r="Y36" s="48">
        <v>1.83</v>
      </c>
      <c r="Z36" s="48">
        <v>2.2000000000000002</v>
      </c>
      <c r="AA36" s="47">
        <f t="shared" si="14"/>
        <v>0</v>
      </c>
      <c r="AB36" s="43">
        <v>0</v>
      </c>
      <c r="AC36" s="48">
        <f t="shared" si="15"/>
        <v>0</v>
      </c>
      <c r="AD36" s="48">
        <v>58.75</v>
      </c>
      <c r="AE36" s="48">
        <v>41.95</v>
      </c>
      <c r="AF36" s="48">
        <v>27.95</v>
      </c>
      <c r="AG36" s="45">
        <f t="shared" si="16"/>
        <v>5</v>
      </c>
      <c r="AH36" s="45">
        <f t="shared" si="17"/>
        <v>6</v>
      </c>
      <c r="AI36" s="45">
        <v>11</v>
      </c>
      <c r="AJ36" s="2">
        <f t="shared" si="18"/>
        <v>1</v>
      </c>
      <c r="AK36" s="45">
        <f t="shared" si="19"/>
        <v>19</v>
      </c>
      <c r="AL36" s="2" t="str">
        <f t="shared" si="20"/>
        <v>Neg</v>
      </c>
      <c r="AM36" s="2" t="str">
        <f t="shared" si="21"/>
        <v>Lami India Finance</v>
      </c>
      <c r="AN36" s="43"/>
      <c r="AO36" s="43"/>
      <c r="AP36" s="16">
        <f t="shared" si="22"/>
        <v>0</v>
      </c>
      <c r="AQ36" s="16">
        <v>1</v>
      </c>
      <c r="AR36" s="15">
        <f t="shared" si="23"/>
        <v>0</v>
      </c>
      <c r="AS36" s="43"/>
      <c r="AT36" s="45">
        <v>54.644808743169399</v>
      </c>
      <c r="AU36" s="45">
        <v>273.22404371584702</v>
      </c>
      <c r="AV36" s="45">
        <v>5</v>
      </c>
      <c r="AW36" s="45"/>
      <c r="AX36" s="45"/>
      <c r="AY36" s="45"/>
      <c r="AZ36" s="45"/>
      <c r="BA36" s="45"/>
      <c r="BB36" s="45"/>
      <c r="BC36" s="45"/>
    </row>
    <row r="37" spans="1:55">
      <c r="A37" s="68"/>
      <c r="B37" s="55" t="s">
        <v>316</v>
      </c>
      <c r="C37" s="50">
        <v>2025</v>
      </c>
      <c r="D37" s="2" t="s">
        <v>82</v>
      </c>
      <c r="E37" s="50">
        <v>781.2</v>
      </c>
      <c r="F37" s="50">
        <v>86.9</v>
      </c>
      <c r="G37" s="43">
        <f t="shared" si="12"/>
        <v>-798.964326812428</v>
      </c>
      <c r="H37" s="50">
        <v>893.7</v>
      </c>
      <c r="I37" s="50">
        <v>23.7</v>
      </c>
      <c r="J37" s="50"/>
      <c r="K37" s="48">
        <v>0.7</v>
      </c>
      <c r="L37" s="48"/>
      <c r="M37" s="50">
        <v>164.4</v>
      </c>
      <c r="N37" s="50"/>
      <c r="O37" s="50">
        <v>468.3</v>
      </c>
      <c r="P37" s="43">
        <f t="shared" si="13"/>
        <v>19.759493670886076</v>
      </c>
      <c r="Q37" s="50">
        <v>125</v>
      </c>
      <c r="R37" s="50">
        <v>125</v>
      </c>
      <c r="S37" s="43">
        <v>0</v>
      </c>
      <c r="T37" s="50"/>
      <c r="U37" s="50"/>
      <c r="V37" s="50">
        <v>1</v>
      </c>
      <c r="W37" s="43">
        <v>1</v>
      </c>
      <c r="X37" s="51">
        <v>5.74</v>
      </c>
      <c r="Y37" s="48">
        <v>2.0299999999999998</v>
      </c>
      <c r="Z37" s="48">
        <v>6.83</v>
      </c>
      <c r="AA37" s="47">
        <f t="shared" si="14"/>
        <v>1</v>
      </c>
      <c r="AB37" s="43">
        <v>0</v>
      </c>
      <c r="AC37" s="48">
        <f t="shared" si="15"/>
        <v>0</v>
      </c>
      <c r="AD37" s="48">
        <v>-23.8</v>
      </c>
      <c r="AE37" s="48">
        <v>16.600000000000001</v>
      </c>
      <c r="AF37" s="48">
        <v>29.6</v>
      </c>
      <c r="AG37" s="45">
        <f t="shared" si="16"/>
        <v>3</v>
      </c>
      <c r="AH37" s="45">
        <f t="shared" si="17"/>
        <v>5</v>
      </c>
      <c r="AI37" s="45">
        <v>11</v>
      </c>
      <c r="AJ37" s="2">
        <f t="shared" si="18"/>
        <v>1</v>
      </c>
      <c r="AK37" s="45">
        <f t="shared" si="19"/>
        <v>12.8</v>
      </c>
      <c r="AL37" s="2" t="str">
        <f t="shared" si="20"/>
        <v>Neg</v>
      </c>
      <c r="AM37" s="2" t="str">
        <f t="shared" si="21"/>
        <v>Brigade Hotel Ventures</v>
      </c>
      <c r="AN37" s="43"/>
      <c r="AO37" s="43"/>
      <c r="AP37" s="16">
        <f t="shared" si="22"/>
        <v>0</v>
      </c>
      <c r="AQ37" s="16">
        <v>1</v>
      </c>
      <c r="AR37" s="15">
        <f t="shared" si="23"/>
        <v>0</v>
      </c>
      <c r="AS37" s="43"/>
      <c r="AT37" s="45">
        <v>49.26108374384237</v>
      </c>
      <c r="AU37" s="45">
        <v>246.30541871921179</v>
      </c>
      <c r="AV37" s="45">
        <v>5</v>
      </c>
      <c r="AW37" s="45"/>
      <c r="AX37" s="45"/>
      <c r="AY37" s="45"/>
      <c r="AZ37" s="45"/>
      <c r="BA37" s="45"/>
      <c r="BB37" s="45"/>
      <c r="BC37" s="45"/>
    </row>
    <row r="38" spans="1:55">
      <c r="A38" s="68"/>
      <c r="B38" s="55" t="s">
        <v>317</v>
      </c>
      <c r="C38" s="50">
        <v>2025</v>
      </c>
      <c r="D38" s="2" t="s">
        <v>82</v>
      </c>
      <c r="E38" s="50">
        <v>343.96</v>
      </c>
      <c r="F38" s="54">
        <v>1</v>
      </c>
      <c r="G38" s="43">
        <f t="shared" si="12"/>
        <v>-34296</v>
      </c>
      <c r="H38" s="50">
        <v>4685.12</v>
      </c>
      <c r="I38" s="50">
        <v>-139.62</v>
      </c>
      <c r="J38" s="50"/>
      <c r="K38" s="48">
        <v>-7.65</v>
      </c>
      <c r="L38" s="48"/>
      <c r="M38" s="50">
        <v>660.19</v>
      </c>
      <c r="N38" s="50"/>
      <c r="O38" s="50">
        <v>1102.93</v>
      </c>
      <c r="P38" s="43">
        <f t="shared" si="13"/>
        <v>-7.8995129637587738</v>
      </c>
      <c r="Q38" s="50">
        <v>0</v>
      </c>
      <c r="R38" s="50">
        <v>0</v>
      </c>
      <c r="S38" s="43">
        <v>0</v>
      </c>
      <c r="T38" s="50"/>
      <c r="U38" s="50"/>
      <c r="V38" s="43">
        <v>1</v>
      </c>
      <c r="W38" s="43">
        <v>1</v>
      </c>
      <c r="X38" s="51">
        <v>1.49</v>
      </c>
      <c r="Y38" s="48">
        <v>1.95</v>
      </c>
      <c r="Z38" s="48">
        <v>7.53</v>
      </c>
      <c r="AA38" s="47">
        <f t="shared" si="14"/>
        <v>0</v>
      </c>
      <c r="AB38" s="43">
        <v>0</v>
      </c>
      <c r="AC38" s="48">
        <f t="shared" si="15"/>
        <v>0</v>
      </c>
      <c r="AD38" s="48">
        <v>59</v>
      </c>
      <c r="AE38" s="48">
        <v>27</v>
      </c>
      <c r="AF38" s="48">
        <v>-102</v>
      </c>
      <c r="AG38" s="45">
        <f t="shared" si="16"/>
        <v>5.7</v>
      </c>
      <c r="AH38" s="45">
        <f t="shared" si="17"/>
        <v>6.7</v>
      </c>
      <c r="AI38" s="45">
        <v>11</v>
      </c>
      <c r="AJ38" s="2">
        <f t="shared" si="18"/>
        <v>1</v>
      </c>
      <c r="AK38" s="45">
        <f t="shared" si="19"/>
        <v>21.52</v>
      </c>
      <c r="AL38" s="2" t="str">
        <f t="shared" si="20"/>
        <v>Neg</v>
      </c>
      <c r="AM38" s="2" t="str">
        <f t="shared" si="21"/>
        <v>Indiqube Spaces</v>
      </c>
      <c r="AN38" s="43"/>
      <c r="AO38" s="43"/>
      <c r="AP38" s="16">
        <f t="shared" si="22"/>
        <v>0</v>
      </c>
      <c r="AQ38" s="16">
        <v>1</v>
      </c>
      <c r="AR38" s="15">
        <f t="shared" si="23"/>
        <v>0</v>
      </c>
      <c r="AS38" s="43"/>
      <c r="AT38" s="45">
        <v>51.282051282051277</v>
      </c>
      <c r="AU38" s="45">
        <v>256.41025641025641</v>
      </c>
      <c r="AV38" s="45">
        <v>5</v>
      </c>
      <c r="AW38" s="45"/>
      <c r="AX38" s="45"/>
      <c r="AY38" s="45"/>
      <c r="AZ38" s="45"/>
      <c r="BA38" s="45"/>
      <c r="BB38" s="45"/>
      <c r="BC38" s="45"/>
    </row>
    <row r="39" spans="1:55">
      <c r="A39" s="68"/>
      <c r="B39" s="55" t="s">
        <v>318</v>
      </c>
      <c r="C39" s="50">
        <v>2025</v>
      </c>
      <c r="D39" s="2" t="s">
        <v>82</v>
      </c>
      <c r="E39" s="50">
        <v>273.98</v>
      </c>
      <c r="F39" s="50">
        <v>141.6</v>
      </c>
      <c r="G39" s="43">
        <f t="shared" si="12"/>
        <v>-93.488700564971765</v>
      </c>
      <c r="H39" s="50">
        <v>492.83</v>
      </c>
      <c r="I39" s="50">
        <v>-17.29</v>
      </c>
      <c r="J39" s="50"/>
      <c r="K39" s="48">
        <v>-5.3</v>
      </c>
      <c r="L39" s="48"/>
      <c r="M39" s="50">
        <v>38.72</v>
      </c>
      <c r="N39" s="50"/>
      <c r="O39" s="50">
        <v>702.35</v>
      </c>
      <c r="P39" s="43">
        <f t="shared" si="13"/>
        <v>-40.621746674378258</v>
      </c>
      <c r="Q39" s="50">
        <v>-41.89</v>
      </c>
      <c r="R39" s="50">
        <v>-41.89</v>
      </c>
      <c r="S39" s="43">
        <v>0</v>
      </c>
      <c r="T39" s="50"/>
      <c r="U39" s="50"/>
      <c r="V39" s="43">
        <v>1</v>
      </c>
      <c r="W39" s="43">
        <v>1</v>
      </c>
      <c r="X39" s="51">
        <v>1.5</v>
      </c>
      <c r="Y39" s="48">
        <v>3.32</v>
      </c>
      <c r="Z39" s="48">
        <v>5.9</v>
      </c>
      <c r="AA39" s="47">
        <f t="shared" si="14"/>
        <v>0</v>
      </c>
      <c r="AB39" s="43">
        <v>0</v>
      </c>
      <c r="AC39" s="48">
        <f t="shared" si="15"/>
        <v>0</v>
      </c>
      <c r="AD39" s="48">
        <v>-12</v>
      </c>
      <c r="AE39" s="48">
        <v>-7</v>
      </c>
      <c r="AF39" s="48">
        <v>35</v>
      </c>
      <c r="AG39" s="45">
        <f t="shared" si="16"/>
        <v>4.7</v>
      </c>
      <c r="AH39" s="45">
        <f t="shared" si="17"/>
        <v>5.7</v>
      </c>
      <c r="AI39" s="45">
        <v>11</v>
      </c>
      <c r="AJ39" s="2">
        <f t="shared" si="18"/>
        <v>1</v>
      </c>
      <c r="AK39" s="45">
        <f t="shared" si="19"/>
        <v>17.920000000000002</v>
      </c>
      <c r="AL39" s="2" t="str">
        <f t="shared" si="20"/>
        <v>Neg</v>
      </c>
      <c r="AM39" s="2" t="str">
        <f t="shared" si="21"/>
        <v>Arisinfra Solutions</v>
      </c>
      <c r="AN39" s="43"/>
      <c r="AO39" s="43"/>
      <c r="AP39" s="16">
        <f t="shared" si="22"/>
        <v>0</v>
      </c>
      <c r="AQ39" s="16">
        <v>1</v>
      </c>
      <c r="AR39" s="15">
        <f t="shared" si="23"/>
        <v>0</v>
      </c>
      <c r="AS39" s="43"/>
      <c r="AT39" s="45">
        <v>30.120481927710841</v>
      </c>
      <c r="AU39" s="45">
        <v>150.60240963855421</v>
      </c>
      <c r="AV39" s="45">
        <v>5</v>
      </c>
      <c r="AW39" s="45"/>
      <c r="AX39" s="45"/>
      <c r="AY39" s="45"/>
      <c r="AZ39" s="45"/>
      <c r="BA39" s="45"/>
      <c r="BB39" s="45"/>
      <c r="BC39" s="45"/>
    </row>
    <row r="40" spans="1:55">
      <c r="A40" s="68"/>
      <c r="B40" s="58" t="s">
        <v>319</v>
      </c>
      <c r="C40" s="54">
        <v>2024</v>
      </c>
      <c r="D40" s="2" t="s">
        <v>82</v>
      </c>
      <c r="E40" s="50">
        <v>0</v>
      </c>
      <c r="F40" s="50">
        <v>1626.41</v>
      </c>
      <c r="G40" s="43">
        <f t="shared" si="12"/>
        <v>100</v>
      </c>
      <c r="H40" s="50">
        <v>1768.58</v>
      </c>
      <c r="I40" s="50">
        <v>39.799999999999997</v>
      </c>
      <c r="J40" s="50"/>
      <c r="K40" s="48">
        <v>9.6999999999999993</v>
      </c>
      <c r="L40" s="48"/>
      <c r="M40" s="50">
        <v>111.78</v>
      </c>
      <c r="N40" s="50"/>
      <c r="O40" s="50">
        <v>3922.31</v>
      </c>
      <c r="P40" s="43">
        <f t="shared" si="13"/>
        <v>98.550502512562815</v>
      </c>
      <c r="Q40" s="50">
        <v>129.75</v>
      </c>
      <c r="R40" s="50">
        <v>129.75</v>
      </c>
      <c r="S40" s="43">
        <v>0</v>
      </c>
      <c r="T40" s="50"/>
      <c r="U40" s="50"/>
      <c r="V40" s="43">
        <v>1</v>
      </c>
      <c r="W40" s="43">
        <v>1</v>
      </c>
      <c r="X40" s="51">
        <v>2.2799999999999998</v>
      </c>
      <c r="Y40" s="48">
        <v>0.22</v>
      </c>
      <c r="Z40" s="48">
        <v>1.33</v>
      </c>
      <c r="AA40" s="47">
        <f t="shared" si="14"/>
        <v>1</v>
      </c>
      <c r="AB40" s="43">
        <v>0</v>
      </c>
      <c r="AC40" s="48">
        <f t="shared" si="15"/>
        <v>0</v>
      </c>
      <c r="AD40" s="48">
        <v>62</v>
      </c>
      <c r="AE40" s="48">
        <v>19</v>
      </c>
      <c r="AF40" s="48">
        <v>0</v>
      </c>
      <c r="AG40" s="45">
        <f t="shared" si="16"/>
        <v>4.0999999999999996</v>
      </c>
      <c r="AH40" s="45">
        <f t="shared" si="17"/>
        <v>5.0999999999999996</v>
      </c>
      <c r="AI40" s="45">
        <v>11</v>
      </c>
      <c r="AJ40" s="2">
        <f t="shared" si="18"/>
        <v>1</v>
      </c>
      <c r="AK40" s="45">
        <f t="shared" si="19"/>
        <v>15.76</v>
      </c>
      <c r="AL40" s="2" t="str">
        <f t="shared" si="20"/>
        <v>Neg</v>
      </c>
      <c r="AM40" s="2" t="str">
        <f t="shared" si="21"/>
        <v>Entero Healthcare Solutions</v>
      </c>
      <c r="AN40" s="43"/>
      <c r="AO40" s="43"/>
      <c r="AP40" s="16">
        <f t="shared" si="22"/>
        <v>0</v>
      </c>
      <c r="AQ40" s="16">
        <v>1</v>
      </c>
      <c r="AR40" s="15">
        <f t="shared" si="23"/>
        <v>0</v>
      </c>
      <c r="AS40" s="43"/>
      <c r="AT40" s="45">
        <v>454.54545454545462</v>
      </c>
      <c r="AU40" s="45">
        <v>2272.727272727273</v>
      </c>
      <c r="AV40" s="45">
        <v>5</v>
      </c>
      <c r="AW40" s="45"/>
      <c r="AX40" s="45"/>
      <c r="AY40" s="45"/>
      <c r="AZ40" s="45"/>
      <c r="BA40" s="45"/>
      <c r="BB40" s="45"/>
      <c r="BC40" s="45"/>
    </row>
    <row r="41" spans="1:55">
      <c r="A41" s="68"/>
      <c r="B41" s="58" t="s">
        <v>320</v>
      </c>
      <c r="C41" s="50">
        <v>2024</v>
      </c>
      <c r="D41" s="2" t="s">
        <v>82</v>
      </c>
      <c r="E41" s="50">
        <v>1530</v>
      </c>
      <c r="F41" s="50">
        <v>1601</v>
      </c>
      <c r="G41" s="43">
        <f t="shared" si="12"/>
        <v>4.4347282948157405</v>
      </c>
      <c r="H41" s="50">
        <v>5587</v>
      </c>
      <c r="I41" s="50">
        <v>60.41</v>
      </c>
      <c r="J41" s="50"/>
      <c r="K41" s="48">
        <v>16.84</v>
      </c>
      <c r="L41" s="48"/>
      <c r="M41" s="50">
        <v>117.5</v>
      </c>
      <c r="N41" s="50"/>
      <c r="O41" s="50">
        <v>511.4</v>
      </c>
      <c r="P41" s="43">
        <f t="shared" si="13"/>
        <v>8.4654858467141203</v>
      </c>
      <c r="Q41" s="50">
        <v>12.05</v>
      </c>
      <c r="R41" s="50">
        <v>12.05</v>
      </c>
      <c r="S41" s="43">
        <v>-0.9</v>
      </c>
      <c r="T41" s="50"/>
      <c r="U41" s="50"/>
      <c r="V41" s="50">
        <v>1</v>
      </c>
      <c r="W41" s="43">
        <v>1</v>
      </c>
      <c r="X41" s="51">
        <v>13.91</v>
      </c>
      <c r="Y41" s="48">
        <v>82.47</v>
      </c>
      <c r="Z41" s="48">
        <v>39.79</v>
      </c>
      <c r="AA41" s="47">
        <f t="shared" si="14"/>
        <v>-1</v>
      </c>
      <c r="AB41" s="43">
        <v>24</v>
      </c>
      <c r="AC41" s="48">
        <f t="shared" si="15"/>
        <v>9</v>
      </c>
      <c r="AD41" s="48">
        <v>182</v>
      </c>
      <c r="AE41" s="48">
        <v>18</v>
      </c>
      <c r="AF41" s="48">
        <v>59</v>
      </c>
      <c r="AG41" s="45">
        <f t="shared" si="16"/>
        <v>5.3000000000000007</v>
      </c>
      <c r="AH41" s="45">
        <f t="shared" si="17"/>
        <v>15.3</v>
      </c>
      <c r="AI41" s="45">
        <v>11</v>
      </c>
      <c r="AJ41" s="2">
        <f t="shared" si="18"/>
        <v>1</v>
      </c>
      <c r="AK41" s="45">
        <f t="shared" si="19"/>
        <v>29.080000000000005</v>
      </c>
      <c r="AL41" s="2" t="str">
        <f t="shared" si="20"/>
        <v>Neg</v>
      </c>
      <c r="AM41" s="2" t="str">
        <f t="shared" si="21"/>
        <v>Deepak Builders Engineers</v>
      </c>
      <c r="AN41" s="43"/>
      <c r="AO41" s="43"/>
      <c r="AP41" s="16">
        <f t="shared" si="22"/>
        <v>1</v>
      </c>
      <c r="AQ41" s="16">
        <v>1</v>
      </c>
      <c r="AR41" s="15">
        <f t="shared" si="23"/>
        <v>0.60316662478009553</v>
      </c>
      <c r="AS41" s="43"/>
      <c r="AT41" s="45">
        <v>1.2125621438098699</v>
      </c>
      <c r="AU41" s="45">
        <v>6.0628107190493523</v>
      </c>
      <c r="AV41" s="45">
        <v>5</v>
      </c>
      <c r="AW41" s="45"/>
      <c r="AX41" s="45"/>
      <c r="AY41" s="45">
        <v>-2</v>
      </c>
      <c r="AZ41" s="45">
        <v>-20</v>
      </c>
      <c r="BA41" s="45"/>
      <c r="BB41" s="45">
        <v>-31</v>
      </c>
      <c r="BC41" s="45"/>
    </row>
    <row r="42" spans="1:55">
      <c r="A42" s="68"/>
      <c r="B42" s="58" t="s">
        <v>321</v>
      </c>
      <c r="C42" s="50">
        <v>2025</v>
      </c>
      <c r="D42" s="2" t="s">
        <v>82</v>
      </c>
      <c r="E42" s="50">
        <v>92.12</v>
      </c>
      <c r="F42" s="50">
        <v>114.99</v>
      </c>
      <c r="G42" s="43">
        <f t="shared" si="12"/>
        <v>19.888685972693271</v>
      </c>
      <c r="H42" s="50">
        <v>246.54</v>
      </c>
      <c r="I42" s="50">
        <v>20.95</v>
      </c>
      <c r="J42" s="50"/>
      <c r="K42" s="48">
        <v>10.220000000000001</v>
      </c>
      <c r="L42" s="48"/>
      <c r="M42" s="50">
        <v>42.63</v>
      </c>
      <c r="N42" s="50"/>
      <c r="O42" s="50">
        <v>449.48</v>
      </c>
      <c r="P42" s="43">
        <f t="shared" si="13"/>
        <v>21.454892601431983</v>
      </c>
      <c r="Q42" s="50">
        <v>54.89</v>
      </c>
      <c r="R42" s="50">
        <v>54.89</v>
      </c>
      <c r="S42" s="43">
        <v>0</v>
      </c>
      <c r="T42" s="50"/>
      <c r="U42" s="50"/>
      <c r="V42" s="50">
        <v>1</v>
      </c>
      <c r="W42" s="43">
        <v>1</v>
      </c>
      <c r="X42" s="51">
        <v>11.09</v>
      </c>
      <c r="Y42" s="48">
        <v>19.78</v>
      </c>
      <c r="Z42" s="48">
        <v>5.09</v>
      </c>
      <c r="AA42" s="47">
        <f t="shared" si="14"/>
        <v>0</v>
      </c>
      <c r="AB42" s="43">
        <v>0</v>
      </c>
      <c r="AC42" s="48">
        <f t="shared" si="15"/>
        <v>0</v>
      </c>
      <c r="AD42" s="48">
        <v>-15.33</v>
      </c>
      <c r="AE42" s="48">
        <v>26.88</v>
      </c>
      <c r="AF42" s="48">
        <v>22.4</v>
      </c>
      <c r="AG42" s="45">
        <f t="shared" si="16"/>
        <v>5.0999999999999996</v>
      </c>
      <c r="AH42" s="45">
        <f t="shared" si="17"/>
        <v>7.1</v>
      </c>
      <c r="AI42" s="45">
        <v>11</v>
      </c>
      <c r="AJ42" s="2">
        <f t="shared" si="18"/>
        <v>1</v>
      </c>
      <c r="AK42" s="45">
        <f t="shared" si="19"/>
        <v>20.36</v>
      </c>
      <c r="AL42" s="2" t="str">
        <f t="shared" si="20"/>
        <v>Neg</v>
      </c>
      <c r="AM42" s="2" t="str">
        <f t="shared" si="21"/>
        <v>Mangal Electrical Industries</v>
      </c>
      <c r="AN42" s="43"/>
      <c r="AO42" s="43"/>
      <c r="AP42" s="16">
        <f t="shared" si="22"/>
        <v>0</v>
      </c>
      <c r="AQ42" s="16">
        <v>1</v>
      </c>
      <c r="AR42" s="15">
        <f t="shared" si="23"/>
        <v>0</v>
      </c>
      <c r="AS42" s="43"/>
      <c r="AT42" s="45">
        <v>5.0556117290192111</v>
      </c>
      <c r="AU42" s="45">
        <v>25.27805864509606</v>
      </c>
      <c r="AV42" s="45">
        <v>5</v>
      </c>
      <c r="AW42" s="45"/>
      <c r="AX42" s="45"/>
      <c r="AY42" s="45">
        <v>-0.8</v>
      </c>
      <c r="AZ42" s="45"/>
      <c r="BA42" s="45"/>
      <c r="BB42" s="45"/>
      <c r="BC42" s="45"/>
    </row>
    <row r="43" spans="1:55">
      <c r="A43" s="68"/>
      <c r="B43" s="59" t="s">
        <v>322</v>
      </c>
      <c r="C43" s="50">
        <v>2025</v>
      </c>
      <c r="D43" s="59" t="s">
        <v>59</v>
      </c>
      <c r="E43" s="50">
        <v>0</v>
      </c>
      <c r="F43" s="50">
        <v>600.05999999999995</v>
      </c>
      <c r="G43" s="43">
        <f t="shared" si="12"/>
        <v>100</v>
      </c>
      <c r="H43" s="50">
        <v>0</v>
      </c>
      <c r="I43" s="50">
        <v>190.7</v>
      </c>
      <c r="J43" s="50"/>
      <c r="K43" s="48">
        <v>9.56</v>
      </c>
      <c r="L43" s="48"/>
      <c r="M43" s="50">
        <v>264.08</v>
      </c>
      <c r="N43" s="50"/>
      <c r="O43" s="50">
        <v>404</v>
      </c>
      <c r="P43" s="43">
        <f t="shared" si="13"/>
        <v>2.118510749868904</v>
      </c>
      <c r="Q43" s="50">
        <v>27.82</v>
      </c>
      <c r="R43" s="50">
        <v>27.82</v>
      </c>
      <c r="S43" s="43">
        <v>0.7</v>
      </c>
      <c r="T43" s="50"/>
      <c r="U43" s="50"/>
      <c r="V43" s="50">
        <v>1</v>
      </c>
      <c r="W43" s="43">
        <v>1</v>
      </c>
      <c r="X43" s="51">
        <v>25.92</v>
      </c>
      <c r="Y43" s="48">
        <v>6.45</v>
      </c>
      <c r="Z43" s="48">
        <v>1.91</v>
      </c>
      <c r="AA43" s="47">
        <f t="shared" si="14"/>
        <v>1</v>
      </c>
      <c r="AB43" s="54">
        <v>7.5</v>
      </c>
      <c r="AC43" s="48">
        <f t="shared" si="15"/>
        <v>2.5</v>
      </c>
      <c r="AD43" s="48">
        <v>26.35</v>
      </c>
      <c r="AE43" s="48">
        <v>26.94</v>
      </c>
      <c r="AF43" s="48">
        <v>32.07</v>
      </c>
      <c r="AG43" s="45">
        <f t="shared" si="16"/>
        <v>8.8000000000000007</v>
      </c>
      <c r="AH43" s="45">
        <f t="shared" si="17"/>
        <v>15.3</v>
      </c>
      <c r="AI43" s="45">
        <v>11</v>
      </c>
      <c r="AJ43" s="2">
        <f t="shared" si="18"/>
        <v>1</v>
      </c>
      <c r="AK43" s="45">
        <f t="shared" si="19"/>
        <v>38.180000000000007</v>
      </c>
      <c r="AL43" s="2" t="str">
        <f t="shared" si="20"/>
        <v>Pos</v>
      </c>
      <c r="AM43" s="2" t="str">
        <f t="shared" si="21"/>
        <v>Canara Robeco Asset Management</v>
      </c>
      <c r="AN43" s="43"/>
      <c r="AO43" s="43"/>
      <c r="AP43" s="16">
        <f t="shared" si="22"/>
        <v>3</v>
      </c>
      <c r="AQ43" s="16">
        <v>1</v>
      </c>
      <c r="AR43" s="15">
        <f t="shared" si="23"/>
        <v>5.2356020942408383</v>
      </c>
      <c r="AS43" s="43"/>
      <c r="AT43" s="45">
        <v>15.503875968992251</v>
      </c>
      <c r="AU43" s="45">
        <v>77.519379844961236</v>
      </c>
      <c r="AV43" s="45">
        <v>5</v>
      </c>
      <c r="AW43" s="45"/>
      <c r="AX43" s="45"/>
      <c r="AY43" s="45">
        <v>5</v>
      </c>
      <c r="AZ43" s="45">
        <v>13</v>
      </c>
      <c r="BA43" s="45"/>
      <c r="BB43" s="45">
        <v>10</v>
      </c>
      <c r="BC43" s="45"/>
    </row>
    <row r="44" spans="1:55">
      <c r="A44" s="68"/>
      <c r="B44" s="59" t="s">
        <v>323</v>
      </c>
      <c r="C44" s="50">
        <v>2025</v>
      </c>
      <c r="D44" s="59" t="s">
        <v>59</v>
      </c>
      <c r="E44" s="50">
        <v>0</v>
      </c>
      <c r="F44" s="50">
        <v>1516.86</v>
      </c>
      <c r="G44" s="43">
        <f t="shared" si="12"/>
        <v>100</v>
      </c>
      <c r="H44" s="50">
        <v>42914</v>
      </c>
      <c r="I44" s="50">
        <v>116.98</v>
      </c>
      <c r="J44" s="50"/>
      <c r="K44" s="48">
        <v>1.23</v>
      </c>
      <c r="L44" s="48"/>
      <c r="M44" s="50">
        <v>149.91</v>
      </c>
      <c r="N44" s="50"/>
      <c r="O44" s="50">
        <v>10710</v>
      </c>
      <c r="P44" s="43">
        <f t="shared" si="13"/>
        <v>91.554111813985287</v>
      </c>
      <c r="Q44" s="50">
        <v>86.18</v>
      </c>
      <c r="R44" s="50">
        <v>86.18</v>
      </c>
      <c r="S44" s="43">
        <v>-3</v>
      </c>
      <c r="T44" s="50"/>
      <c r="U44" s="50"/>
      <c r="V44" s="43">
        <v>1</v>
      </c>
      <c r="W44" s="43">
        <v>1</v>
      </c>
      <c r="X44" s="51">
        <v>7.05</v>
      </c>
      <c r="Y44" s="48">
        <v>0.33</v>
      </c>
      <c r="Z44" s="48">
        <v>0.42</v>
      </c>
      <c r="AA44" s="47">
        <f t="shared" si="14"/>
        <v>1</v>
      </c>
      <c r="AB44" s="54">
        <v>0</v>
      </c>
      <c r="AC44" s="48">
        <f t="shared" si="15"/>
        <v>0</v>
      </c>
      <c r="AD44" s="48">
        <v>39</v>
      </c>
      <c r="AE44" s="48">
        <v>7</v>
      </c>
      <c r="AF44" s="48">
        <v>7</v>
      </c>
      <c r="AG44" s="45">
        <f t="shared" si="16"/>
        <v>1.1000000000000001</v>
      </c>
      <c r="AH44" s="45">
        <f t="shared" si="17"/>
        <v>2.1</v>
      </c>
      <c r="AI44" s="45">
        <v>11</v>
      </c>
      <c r="AJ44" s="2">
        <f t="shared" si="18"/>
        <v>1</v>
      </c>
      <c r="AK44" s="45">
        <f t="shared" si="19"/>
        <v>4.9600000000000009</v>
      </c>
      <c r="AL44" s="2" t="str">
        <f t="shared" si="20"/>
        <v>Pos</v>
      </c>
      <c r="AM44" s="2" t="str">
        <f t="shared" si="21"/>
        <v>Canara HSBC Life Insurance</v>
      </c>
      <c r="AN44" s="43"/>
      <c r="AO44" s="43"/>
      <c r="AP44" s="16">
        <f t="shared" si="22"/>
        <v>0</v>
      </c>
      <c r="AQ44" s="16">
        <v>1</v>
      </c>
      <c r="AR44" s="15">
        <f t="shared" si="23"/>
        <v>0</v>
      </c>
      <c r="AS44" s="43"/>
      <c r="AT44" s="45">
        <v>303.030303030303</v>
      </c>
      <c r="AU44" s="45">
        <v>1515.151515151515</v>
      </c>
      <c r="AV44" s="45">
        <v>5</v>
      </c>
      <c r="AW44" s="45"/>
      <c r="AX44" s="45"/>
      <c r="AY44" s="45"/>
      <c r="AZ44" s="45"/>
      <c r="BA44" s="45"/>
      <c r="BB44" s="45"/>
      <c r="BC44" s="45"/>
    </row>
    <row r="45" spans="1:55">
      <c r="A45" s="68"/>
      <c r="B45" s="59" t="s">
        <v>324</v>
      </c>
      <c r="C45" s="50">
        <v>2025</v>
      </c>
      <c r="D45" s="2" t="s">
        <v>82</v>
      </c>
      <c r="E45" s="50">
        <v>0</v>
      </c>
      <c r="F45" s="50">
        <v>1853.47</v>
      </c>
      <c r="G45" s="43">
        <f t="shared" si="12"/>
        <v>100</v>
      </c>
      <c r="H45" s="50">
        <v>3171.3</v>
      </c>
      <c r="I45" s="50">
        <v>255.69</v>
      </c>
      <c r="J45" s="50"/>
      <c r="K45" s="48">
        <v>18.7</v>
      </c>
      <c r="L45" s="48"/>
      <c r="M45" s="50">
        <v>396.44</v>
      </c>
      <c r="N45" s="50"/>
      <c r="O45" s="50">
        <v>2394.71</v>
      </c>
      <c r="P45" s="43">
        <f t="shared" si="13"/>
        <v>9.365677187218898</v>
      </c>
      <c r="Q45" s="50">
        <v>39.03</v>
      </c>
      <c r="R45" s="50">
        <v>39.03</v>
      </c>
      <c r="S45" s="43">
        <v>-0.5</v>
      </c>
      <c r="T45" s="50"/>
      <c r="U45" s="50"/>
      <c r="V45" s="43">
        <v>1</v>
      </c>
      <c r="W45" s="43">
        <v>1</v>
      </c>
      <c r="X45" s="51">
        <v>118</v>
      </c>
      <c r="Y45" s="48">
        <v>54.42</v>
      </c>
      <c r="Z45" s="48">
        <v>7</v>
      </c>
      <c r="AA45" s="47">
        <f t="shared" si="14"/>
        <v>1</v>
      </c>
      <c r="AB45" s="54">
        <v>2.7</v>
      </c>
      <c r="AC45" s="48">
        <f t="shared" si="15"/>
        <v>0.9</v>
      </c>
      <c r="AD45" s="48">
        <v>13</v>
      </c>
      <c r="AE45" s="48">
        <v>1.6</v>
      </c>
      <c r="AF45" s="48">
        <v>-4</v>
      </c>
      <c r="AG45" s="45">
        <f t="shared" si="16"/>
        <v>3.5999999999999996</v>
      </c>
      <c r="AH45" s="45">
        <f t="shared" si="17"/>
        <v>8.5</v>
      </c>
      <c r="AI45" s="45">
        <v>11</v>
      </c>
      <c r="AJ45" s="2">
        <f t="shared" si="18"/>
        <v>1</v>
      </c>
      <c r="AK45" s="45">
        <f t="shared" si="19"/>
        <v>17.86</v>
      </c>
      <c r="AL45" s="2" t="str">
        <f t="shared" si="20"/>
        <v>Neg</v>
      </c>
      <c r="AM45" s="2" t="str">
        <f t="shared" si="21"/>
        <v>Orkla India</v>
      </c>
      <c r="AN45" s="43"/>
      <c r="AO45" s="43"/>
      <c r="AP45" s="16">
        <f t="shared" si="22"/>
        <v>0</v>
      </c>
      <c r="AQ45" s="16">
        <v>1</v>
      </c>
      <c r="AR45" s="15">
        <f t="shared" si="23"/>
        <v>0</v>
      </c>
      <c r="AS45" s="43"/>
      <c r="AT45" s="45">
        <v>1.837559720690922</v>
      </c>
      <c r="AU45" s="45">
        <v>9.1877986034546115</v>
      </c>
      <c r="AV45" s="45">
        <v>5</v>
      </c>
      <c r="AW45" s="45"/>
      <c r="AX45" s="45"/>
      <c r="AY45" s="45"/>
      <c r="AZ45" s="45"/>
      <c r="BA45" s="45"/>
      <c r="BB45" s="45"/>
      <c r="BC45" s="45"/>
    </row>
    <row r="46" spans="1:55">
      <c r="A46" s="68"/>
      <c r="B46" s="59" t="s">
        <v>325</v>
      </c>
      <c r="C46" s="50">
        <v>2025</v>
      </c>
      <c r="D46" s="2" t="s">
        <v>82</v>
      </c>
      <c r="E46" s="50">
        <v>346</v>
      </c>
      <c r="F46" s="50">
        <v>6099</v>
      </c>
      <c r="G46" s="43">
        <f t="shared" si="12"/>
        <v>94.326938842433179</v>
      </c>
      <c r="H46" s="50">
        <v>9263</v>
      </c>
      <c r="I46" s="50">
        <v>295.60000000000002</v>
      </c>
      <c r="J46" s="50"/>
      <c r="K46" s="48">
        <v>0.8</v>
      </c>
      <c r="L46" s="48"/>
      <c r="M46" s="50">
        <v>975.5</v>
      </c>
      <c r="N46" s="50"/>
      <c r="O46" s="50">
        <v>6652.5</v>
      </c>
      <c r="P46" s="43">
        <f t="shared" si="13"/>
        <v>22.50507442489851</v>
      </c>
      <c r="Q46" s="50">
        <v>526.4</v>
      </c>
      <c r="R46" s="50">
        <v>526.4</v>
      </c>
      <c r="S46" s="43">
        <v>-0.5</v>
      </c>
      <c r="T46" s="50"/>
      <c r="U46" s="50"/>
      <c r="V46" s="43">
        <v>1</v>
      </c>
      <c r="W46" s="43">
        <v>1</v>
      </c>
      <c r="X46" s="52">
        <v>40.36</v>
      </c>
      <c r="Y46" s="56">
        <v>20</v>
      </c>
      <c r="Z46" s="56">
        <v>7.56</v>
      </c>
      <c r="AA46" s="47">
        <f t="shared" si="14"/>
        <v>1</v>
      </c>
      <c r="AB46" s="54">
        <v>2.5</v>
      </c>
      <c r="AC46" s="48">
        <f t="shared" si="15"/>
        <v>0.83333333333333337</v>
      </c>
      <c r="AD46" s="48">
        <v>3031</v>
      </c>
      <c r="AE46" s="48">
        <v>22.6</v>
      </c>
      <c r="AF46" s="48">
        <v>7.9</v>
      </c>
      <c r="AG46" s="45">
        <f t="shared" si="16"/>
        <v>4.5999999999999996</v>
      </c>
      <c r="AH46" s="45">
        <f t="shared" si="17"/>
        <v>9.4333333333333336</v>
      </c>
      <c r="AI46" s="45">
        <v>11</v>
      </c>
      <c r="AJ46" s="2">
        <f t="shared" si="18"/>
        <v>1</v>
      </c>
      <c r="AK46" s="45">
        <f t="shared" si="19"/>
        <v>21.393333333333331</v>
      </c>
      <c r="AL46" s="2" t="str">
        <f t="shared" si="20"/>
        <v>Neg</v>
      </c>
      <c r="AM46" s="2" t="str">
        <f t="shared" si="21"/>
        <v>Lenskart Solutions</v>
      </c>
      <c r="AN46" s="43"/>
      <c r="AO46" s="43"/>
      <c r="AP46" s="16">
        <f t="shared" si="22"/>
        <v>0</v>
      </c>
      <c r="AQ46" s="16">
        <v>1</v>
      </c>
      <c r="AR46" s="15">
        <f t="shared" si="23"/>
        <v>0</v>
      </c>
      <c r="AS46" s="43"/>
      <c r="AT46" s="45">
        <v>5</v>
      </c>
      <c r="AU46" s="45">
        <v>25</v>
      </c>
      <c r="AV46" s="45">
        <v>5</v>
      </c>
      <c r="AW46" s="45"/>
      <c r="AX46" s="45"/>
      <c r="AY46" s="45">
        <v>-1.75</v>
      </c>
      <c r="AZ46" s="45"/>
      <c r="BA46" s="45"/>
      <c r="BB46" s="45"/>
      <c r="BC46" s="45"/>
    </row>
    <row r="47" spans="1:55">
      <c r="A47" s="68"/>
      <c r="B47" s="59" t="s">
        <v>326</v>
      </c>
      <c r="C47" s="50">
        <v>2025</v>
      </c>
      <c r="D47" s="44" t="s">
        <v>59</v>
      </c>
      <c r="E47" s="50">
        <v>351.99</v>
      </c>
      <c r="F47" s="50">
        <v>4855.3500000000004</v>
      </c>
      <c r="G47" s="43">
        <f t="shared" si="12"/>
        <v>92.750471129784671</v>
      </c>
      <c r="H47" s="50">
        <v>10077.31</v>
      </c>
      <c r="I47" s="50">
        <v>1824.37</v>
      </c>
      <c r="J47" s="50"/>
      <c r="K47" s="48">
        <v>3.01</v>
      </c>
      <c r="L47" s="48"/>
      <c r="M47" s="50">
        <v>2371.0100000000002</v>
      </c>
      <c r="N47" s="50"/>
      <c r="O47" s="50">
        <v>4061.65</v>
      </c>
      <c r="P47" s="43">
        <f t="shared" si="13"/>
        <v>2.2263301852146222</v>
      </c>
      <c r="Q47" s="50">
        <v>33.26</v>
      </c>
      <c r="R47" s="50">
        <v>33.26</v>
      </c>
      <c r="S47" s="43">
        <v>-1</v>
      </c>
      <c r="T47" s="50" t="s">
        <v>327</v>
      </c>
      <c r="U47" s="50"/>
      <c r="V47" s="50">
        <v>1</v>
      </c>
      <c r="W47" s="43">
        <v>1</v>
      </c>
      <c r="X47" s="52">
        <v>22.3</v>
      </c>
      <c r="Y47" s="56">
        <v>14</v>
      </c>
      <c r="Z47" s="56">
        <v>9</v>
      </c>
      <c r="AA47" s="47">
        <f t="shared" si="14"/>
        <v>1</v>
      </c>
      <c r="AB47" s="54">
        <v>5</v>
      </c>
      <c r="AC47" s="48">
        <f t="shared" si="15"/>
        <v>1.6666666666666667</v>
      </c>
      <c r="AD47" s="48">
        <v>0</v>
      </c>
      <c r="AE47" s="48">
        <v>45.2</v>
      </c>
      <c r="AF47" s="48">
        <v>91</v>
      </c>
      <c r="AG47" s="45">
        <f t="shared" si="16"/>
        <v>6.1</v>
      </c>
      <c r="AH47" s="45">
        <f t="shared" si="17"/>
        <v>12.766666666666666</v>
      </c>
      <c r="AI47" s="45">
        <v>11</v>
      </c>
      <c r="AJ47" s="2">
        <f t="shared" si="18"/>
        <v>1</v>
      </c>
      <c r="AK47" s="45">
        <f t="shared" si="19"/>
        <v>28.626666666666665</v>
      </c>
      <c r="AL47" s="2" t="str">
        <f t="shared" si="20"/>
        <v>Pos</v>
      </c>
      <c r="AM47" s="2" t="str">
        <f t="shared" si="21"/>
        <v>Groww</v>
      </c>
      <c r="AN47" s="43"/>
      <c r="AO47" s="43"/>
      <c r="AP47" s="16">
        <f t="shared" si="22"/>
        <v>2</v>
      </c>
      <c r="AQ47" s="16">
        <v>1</v>
      </c>
      <c r="AR47" s="15">
        <f t="shared" si="23"/>
        <v>1.1111111111111112</v>
      </c>
      <c r="AS47" s="43"/>
      <c r="AT47" s="45">
        <v>7.1428571428571432</v>
      </c>
      <c r="AU47" s="45">
        <v>35.714285714285722</v>
      </c>
      <c r="AV47" s="45">
        <v>5</v>
      </c>
      <c r="AW47" s="45"/>
      <c r="AX47" s="45"/>
      <c r="AY47" s="45">
        <v>12</v>
      </c>
      <c r="AZ47" s="45">
        <v>31</v>
      </c>
      <c r="BA47" s="45"/>
      <c r="BB47" s="45">
        <v>49</v>
      </c>
      <c r="BC47" s="45"/>
    </row>
    <row r="48" spans="1:55">
      <c r="A48" s="68"/>
      <c r="B48" s="59" t="s">
        <v>328</v>
      </c>
      <c r="C48" s="50">
        <v>2025</v>
      </c>
      <c r="D48" s="44" t="s">
        <v>59</v>
      </c>
      <c r="E48" s="50">
        <v>829.48</v>
      </c>
      <c r="F48" s="50">
        <v>3506.15</v>
      </c>
      <c r="G48" s="43">
        <f t="shared" si="12"/>
        <v>76.342141665359435</v>
      </c>
      <c r="H48" s="50">
        <v>10715.73</v>
      </c>
      <c r="I48" s="50">
        <v>-145.47999999999999</v>
      </c>
      <c r="J48" s="50"/>
      <c r="K48" s="48">
        <v>0</v>
      </c>
      <c r="L48" s="48"/>
      <c r="M48" s="50">
        <v>234.51</v>
      </c>
      <c r="N48" s="50"/>
      <c r="O48" s="50">
        <v>2274.27</v>
      </c>
      <c r="P48" s="43">
        <f t="shared" si="13"/>
        <v>-15.63287049766291</v>
      </c>
      <c r="Q48" s="50">
        <v>0</v>
      </c>
      <c r="R48" s="50">
        <v>0</v>
      </c>
      <c r="S48" s="43">
        <v>0</v>
      </c>
      <c r="T48" s="50"/>
      <c r="U48" s="50"/>
      <c r="V48" s="50">
        <v>1</v>
      </c>
      <c r="W48" s="43">
        <v>1</v>
      </c>
      <c r="X48" s="52">
        <v>3.97</v>
      </c>
      <c r="Y48" s="56">
        <v>0.3</v>
      </c>
      <c r="Z48" s="56">
        <v>1.27</v>
      </c>
      <c r="AA48" s="47">
        <f t="shared" si="14"/>
        <v>1</v>
      </c>
      <c r="AB48" s="54">
        <v>2.5</v>
      </c>
      <c r="AC48" s="48">
        <f t="shared" si="15"/>
        <v>0.83333333333333337</v>
      </c>
      <c r="AD48" s="48">
        <v>57.47</v>
      </c>
      <c r="AE48" s="48">
        <v>28.5</v>
      </c>
      <c r="AF48" s="48">
        <v>-1</v>
      </c>
      <c r="AG48" s="45">
        <f t="shared" si="16"/>
        <v>7.8</v>
      </c>
      <c r="AH48" s="45">
        <f t="shared" si="17"/>
        <v>10.633333333333335</v>
      </c>
      <c r="AI48" s="45">
        <v>11</v>
      </c>
      <c r="AJ48" s="2">
        <f t="shared" si="18"/>
        <v>1</v>
      </c>
      <c r="AK48" s="45">
        <f t="shared" si="19"/>
        <v>30.913333333333334</v>
      </c>
      <c r="AL48" s="2" t="str">
        <f t="shared" si="20"/>
        <v>Pos</v>
      </c>
      <c r="AM48" s="2" t="str">
        <f t="shared" si="21"/>
        <v>Pine Labs</v>
      </c>
      <c r="AN48" s="43"/>
      <c r="AO48" s="43"/>
      <c r="AP48" s="16">
        <f t="shared" si="22"/>
        <v>3</v>
      </c>
      <c r="AQ48" s="16">
        <v>1</v>
      </c>
      <c r="AR48" s="15">
        <f t="shared" si="23"/>
        <v>7.8740157480314963</v>
      </c>
      <c r="AS48" s="43"/>
      <c r="AT48" s="45">
        <v>333.33333333333343</v>
      </c>
      <c r="AU48" s="45">
        <v>1666.666666666667</v>
      </c>
      <c r="AV48" s="45">
        <v>5</v>
      </c>
      <c r="AW48" s="45"/>
      <c r="AX48" s="45"/>
      <c r="AY48" s="45"/>
      <c r="AZ48" s="45"/>
      <c r="BA48" s="45"/>
      <c r="BB48" s="45"/>
      <c r="BC48" s="45"/>
    </row>
    <row r="49" spans="1:55">
      <c r="A49" s="68"/>
      <c r="B49" s="59" t="s">
        <v>329</v>
      </c>
      <c r="C49" s="50">
        <v>2025</v>
      </c>
      <c r="D49" s="44" t="s">
        <v>59</v>
      </c>
      <c r="E49" s="50">
        <v>1949.69</v>
      </c>
      <c r="F49" s="50">
        <v>531.41</v>
      </c>
      <c r="G49" s="43">
        <f t="shared" si="12"/>
        <v>-266.88997196138581</v>
      </c>
      <c r="H49" s="50">
        <v>2629.95</v>
      </c>
      <c r="I49" s="50">
        <v>369.01</v>
      </c>
      <c r="J49" s="50"/>
      <c r="K49" s="48">
        <v>6.22</v>
      </c>
      <c r="L49" s="48"/>
      <c r="M49" s="50">
        <v>721.94</v>
      </c>
      <c r="N49" s="50"/>
      <c r="O49" s="50">
        <v>2335.61</v>
      </c>
      <c r="P49" s="43">
        <f t="shared" si="13"/>
        <v>6.3293948673477685</v>
      </c>
      <c r="Q49" s="54">
        <v>40</v>
      </c>
      <c r="R49" s="54">
        <v>40</v>
      </c>
      <c r="S49" s="43">
        <v>0.7</v>
      </c>
      <c r="T49" s="50"/>
      <c r="U49" s="50"/>
      <c r="V49" s="50">
        <v>1</v>
      </c>
      <c r="W49" s="43">
        <v>1</v>
      </c>
      <c r="X49" s="52">
        <v>1.2</v>
      </c>
      <c r="Y49" s="56">
        <v>1</v>
      </c>
      <c r="Z49" s="56">
        <v>1.1000000000000001</v>
      </c>
      <c r="AA49" s="47">
        <f t="shared" si="14"/>
        <v>1</v>
      </c>
      <c r="AB49" s="54">
        <v>0</v>
      </c>
      <c r="AC49" s="48">
        <f t="shared" si="15"/>
        <v>0</v>
      </c>
      <c r="AD49" s="48">
        <v>1177</v>
      </c>
      <c r="AE49" s="48">
        <v>145</v>
      </c>
      <c r="AF49" s="48">
        <v>218</v>
      </c>
      <c r="AG49" s="45">
        <f t="shared" si="16"/>
        <v>6.7</v>
      </c>
      <c r="AH49" s="45">
        <f t="shared" si="17"/>
        <v>8.6999999999999993</v>
      </c>
      <c r="AI49" s="45">
        <v>11</v>
      </c>
      <c r="AJ49" s="2">
        <f t="shared" si="18"/>
        <v>1</v>
      </c>
      <c r="AK49" s="45">
        <f t="shared" si="19"/>
        <v>26.12</v>
      </c>
      <c r="AL49" s="2" t="str">
        <f t="shared" si="20"/>
        <v>Pos</v>
      </c>
      <c r="AM49" s="2" t="str">
        <f t="shared" si="21"/>
        <v>Emmvee Photovoltaic</v>
      </c>
      <c r="AN49" s="43"/>
      <c r="AO49" s="43"/>
      <c r="AP49" s="16">
        <f t="shared" si="22"/>
        <v>3</v>
      </c>
      <c r="AQ49" s="16">
        <v>1</v>
      </c>
      <c r="AR49" s="15">
        <f t="shared" si="23"/>
        <v>9.0909090909090899</v>
      </c>
      <c r="AS49" s="43"/>
      <c r="AT49" s="45">
        <v>100</v>
      </c>
      <c r="AU49" s="45">
        <v>500</v>
      </c>
      <c r="AV49" s="45">
        <v>5</v>
      </c>
      <c r="AW49" s="45"/>
      <c r="AX49" s="45"/>
      <c r="AY49" s="45"/>
      <c r="AZ49" s="45"/>
      <c r="BA49" s="45"/>
      <c r="BB49" s="45"/>
      <c r="BC49" s="45"/>
    </row>
    <row r="50" spans="1:55">
      <c r="A50" s="68"/>
      <c r="B50" s="59" t="s">
        <v>330</v>
      </c>
      <c r="C50" s="50">
        <v>2025</v>
      </c>
      <c r="D50" s="44" t="s">
        <v>59</v>
      </c>
      <c r="E50" s="50">
        <v>0.33</v>
      </c>
      <c r="F50" s="50">
        <v>1524.55</v>
      </c>
      <c r="G50" s="43">
        <f t="shared" si="12"/>
        <v>99.978354268472671</v>
      </c>
      <c r="H50" s="50">
        <v>4156.38</v>
      </c>
      <c r="I50" s="50">
        <v>-243.26</v>
      </c>
      <c r="J50" s="50"/>
      <c r="K50" s="48">
        <v>-0.86</v>
      </c>
      <c r="L50" s="48"/>
      <c r="M50" s="50">
        <v>193.19</v>
      </c>
      <c r="N50" s="50"/>
      <c r="O50" s="50">
        <v>2886.64</v>
      </c>
      <c r="P50" s="43">
        <f t="shared" si="13"/>
        <v>-11.866480309134259</v>
      </c>
      <c r="Q50" s="50">
        <v>-62.06</v>
      </c>
      <c r="R50" s="50">
        <v>-62.06</v>
      </c>
      <c r="S50" s="43">
        <v>-0.5</v>
      </c>
      <c r="T50" s="50"/>
      <c r="U50" s="50"/>
      <c r="V50" s="43">
        <v>1</v>
      </c>
      <c r="W50" s="43">
        <v>1</v>
      </c>
      <c r="X50" s="52">
        <v>3</v>
      </c>
      <c r="Y50" s="56">
        <v>0.5</v>
      </c>
      <c r="Z50" s="56">
        <v>1.1399999999999999</v>
      </c>
      <c r="AA50" s="47">
        <f t="shared" si="14"/>
        <v>1</v>
      </c>
      <c r="AB50" s="54">
        <v>0</v>
      </c>
      <c r="AC50" s="48">
        <f t="shared" si="15"/>
        <v>0</v>
      </c>
      <c r="AD50" s="48">
        <v>78.489999999999995</v>
      </c>
      <c r="AE50" s="48">
        <v>48.76</v>
      </c>
      <c r="AF50" s="48">
        <v>222.37</v>
      </c>
      <c r="AG50" s="45">
        <f t="shared" si="16"/>
        <v>8.3000000000000007</v>
      </c>
      <c r="AH50" s="45">
        <f t="shared" si="17"/>
        <v>10.3</v>
      </c>
      <c r="AI50" s="45">
        <v>11</v>
      </c>
      <c r="AJ50" s="2">
        <f t="shared" si="18"/>
        <v>1</v>
      </c>
      <c r="AK50" s="45">
        <f t="shared" si="19"/>
        <v>31.880000000000003</v>
      </c>
      <c r="AL50" s="2" t="str">
        <f t="shared" si="20"/>
        <v>Pos</v>
      </c>
      <c r="AM50" s="2" t="str">
        <f t="shared" si="21"/>
        <v>PhysicsWallah</v>
      </c>
      <c r="AN50" s="43"/>
      <c r="AO50" s="43"/>
      <c r="AP50" s="16">
        <f t="shared" si="22"/>
        <v>3</v>
      </c>
      <c r="AQ50" s="16">
        <v>1</v>
      </c>
      <c r="AR50" s="15">
        <f t="shared" si="23"/>
        <v>8.7719298245614041</v>
      </c>
      <c r="AS50" s="43"/>
      <c r="AT50" s="45">
        <v>200</v>
      </c>
      <c r="AU50" s="45">
        <v>1000</v>
      </c>
      <c r="AV50" s="45">
        <v>5</v>
      </c>
      <c r="AW50" s="45"/>
      <c r="AX50" s="45"/>
      <c r="AY50" s="45"/>
      <c r="AZ50" s="45"/>
      <c r="BA50" s="45"/>
      <c r="BB50" s="45"/>
      <c r="BC50" s="45"/>
    </row>
    <row r="51" spans="1:55">
      <c r="A51" s="68"/>
      <c r="B51" s="59" t="s">
        <v>331</v>
      </c>
      <c r="C51" s="50">
        <v>2025</v>
      </c>
      <c r="D51" s="2" t="s">
        <v>82</v>
      </c>
      <c r="E51" s="50">
        <v>2.9</v>
      </c>
      <c r="F51" s="50">
        <v>449.5</v>
      </c>
      <c r="G51" s="43">
        <f t="shared" si="12"/>
        <v>99.354838709677423</v>
      </c>
      <c r="H51" s="50">
        <v>556.70000000000005</v>
      </c>
      <c r="I51" s="50">
        <v>69.599999999999994</v>
      </c>
      <c r="J51" s="50"/>
      <c r="K51" s="48">
        <v>17.7</v>
      </c>
      <c r="L51" s="48"/>
      <c r="M51" s="50">
        <v>104.8</v>
      </c>
      <c r="N51" s="50"/>
      <c r="O51" s="50">
        <v>583.79999999999995</v>
      </c>
      <c r="P51" s="43">
        <f t="shared" si="13"/>
        <v>8.387931034482758</v>
      </c>
      <c r="Q51" s="50">
        <v>33.1</v>
      </c>
      <c r="R51" s="50">
        <v>33.1</v>
      </c>
      <c r="S51" s="43">
        <v>-0.6</v>
      </c>
      <c r="T51" s="50"/>
      <c r="U51" s="50"/>
      <c r="V51" s="43">
        <v>1</v>
      </c>
      <c r="W51" s="43">
        <v>1</v>
      </c>
      <c r="X51" s="51">
        <v>159.99</v>
      </c>
      <c r="Y51" s="48">
        <v>76.989999999999995</v>
      </c>
      <c r="Z51" s="48">
        <v>22.09</v>
      </c>
      <c r="AA51" s="47">
        <f t="shared" si="14"/>
        <v>1</v>
      </c>
      <c r="AB51" s="54">
        <v>3.4</v>
      </c>
      <c r="AC51" s="48">
        <f t="shared" si="15"/>
        <v>1.1333333333333333</v>
      </c>
      <c r="AD51" s="48">
        <v>21.7</v>
      </c>
      <c r="AE51" s="48">
        <v>10.4</v>
      </c>
      <c r="AF51" s="48">
        <v>16</v>
      </c>
      <c r="AG51" s="45">
        <f t="shared" si="16"/>
        <v>4.5</v>
      </c>
      <c r="AH51" s="45">
        <f t="shared" si="17"/>
        <v>9.6333333333333329</v>
      </c>
      <c r="AI51" s="45">
        <v>11</v>
      </c>
      <c r="AJ51" s="2">
        <f t="shared" si="18"/>
        <v>1</v>
      </c>
      <c r="AK51" s="45">
        <f t="shared" si="19"/>
        <v>21.333333333333336</v>
      </c>
      <c r="AL51" s="2" t="str">
        <f t="shared" si="20"/>
        <v>Neg</v>
      </c>
      <c r="AM51" s="2" t="str">
        <f t="shared" si="21"/>
        <v>Studds Accessories</v>
      </c>
      <c r="AN51" s="43"/>
      <c r="AO51" s="43"/>
      <c r="AP51" s="16">
        <f t="shared" si="22"/>
        <v>0</v>
      </c>
      <c r="AQ51" s="16">
        <v>1</v>
      </c>
      <c r="AR51" s="15">
        <f t="shared" si="23"/>
        <v>0</v>
      </c>
      <c r="AS51" s="43"/>
      <c r="AT51" s="45">
        <v>1.2988699831146899</v>
      </c>
      <c r="AU51" s="45">
        <v>6.4943499155734514</v>
      </c>
      <c r="AV51" s="45">
        <v>5</v>
      </c>
      <c r="AW51" s="45"/>
      <c r="AX51" s="45"/>
      <c r="AY51" s="45"/>
      <c r="AZ51" s="45"/>
      <c r="BA51" s="45"/>
      <c r="BB51" s="45"/>
      <c r="BC51" s="45"/>
    </row>
    <row r="52" spans="1:55">
      <c r="A52" s="68"/>
      <c r="B52" s="59" t="s">
        <v>332</v>
      </c>
      <c r="C52" s="50">
        <v>2025</v>
      </c>
      <c r="D52" s="44" t="s">
        <v>59</v>
      </c>
      <c r="E52" s="50">
        <v>0</v>
      </c>
      <c r="F52" s="50">
        <v>12550.93</v>
      </c>
      <c r="G52" s="43">
        <f t="shared" si="12"/>
        <v>100</v>
      </c>
      <c r="H52" s="50">
        <v>28315.84</v>
      </c>
      <c r="I52" s="50">
        <v>5531.43</v>
      </c>
      <c r="J52" s="50"/>
      <c r="K52" s="48">
        <v>13.68</v>
      </c>
      <c r="L52" s="48"/>
      <c r="M52" s="50">
        <v>8152.39</v>
      </c>
      <c r="N52" s="50"/>
      <c r="O52" s="50">
        <v>48904.3</v>
      </c>
      <c r="P52" s="43">
        <f t="shared" si="13"/>
        <v>8.8411676546571147</v>
      </c>
      <c r="Q52" s="50">
        <v>14.73</v>
      </c>
      <c r="R52" s="50">
        <v>14.73</v>
      </c>
      <c r="S52" s="43">
        <v>-0.9</v>
      </c>
      <c r="T52" s="50"/>
      <c r="U52" s="50"/>
      <c r="V52" s="43">
        <v>1</v>
      </c>
      <c r="W52" s="43">
        <v>1</v>
      </c>
      <c r="X52" s="52">
        <v>175</v>
      </c>
      <c r="Y52" s="56">
        <v>43</v>
      </c>
      <c r="Z52" s="56">
        <v>5</v>
      </c>
      <c r="AA52" s="47">
        <f t="shared" si="14"/>
        <v>1</v>
      </c>
      <c r="AB52" s="54">
        <v>26</v>
      </c>
      <c r="AC52" s="48">
        <f t="shared" si="15"/>
        <v>9.6666666666666661</v>
      </c>
      <c r="AD52" s="48">
        <v>32.72</v>
      </c>
      <c r="AE52" s="48">
        <v>-10.56</v>
      </c>
      <c r="AF52" s="48">
        <v>12.39</v>
      </c>
      <c r="AG52" s="45">
        <f t="shared" si="16"/>
        <v>4.1999999999999993</v>
      </c>
      <c r="AH52" s="45">
        <f t="shared" si="17"/>
        <v>17.866666666666667</v>
      </c>
      <c r="AI52" s="45">
        <v>11</v>
      </c>
      <c r="AJ52" s="2">
        <f t="shared" si="18"/>
        <v>1</v>
      </c>
      <c r="AK52" s="45">
        <f t="shared" si="19"/>
        <v>28.786666666666665</v>
      </c>
      <c r="AL52" s="2" t="str">
        <f t="shared" si="20"/>
        <v>Pos</v>
      </c>
      <c r="AM52" s="2" t="str">
        <f t="shared" si="21"/>
        <v>Tenneco Clean Air</v>
      </c>
      <c r="AN52" s="43"/>
      <c r="AO52" s="43"/>
      <c r="AP52" s="16">
        <f t="shared" si="22"/>
        <v>3</v>
      </c>
      <c r="AQ52" s="16">
        <v>1</v>
      </c>
      <c r="AR52" s="15">
        <f t="shared" si="23"/>
        <v>5.2</v>
      </c>
      <c r="AS52" s="43"/>
      <c r="AT52" s="45">
        <v>2.3255813953488369</v>
      </c>
      <c r="AU52" s="45">
        <v>11.627906976744191</v>
      </c>
      <c r="AV52" s="45">
        <v>5</v>
      </c>
      <c r="AW52" s="45"/>
      <c r="AX52" s="45"/>
      <c r="AY52" s="45"/>
      <c r="AZ52" s="45"/>
      <c r="BA52" s="45"/>
      <c r="BB52" s="45"/>
      <c r="BC52" s="45"/>
    </row>
    <row r="53" spans="1:55">
      <c r="A53" s="68"/>
      <c r="B53" s="59" t="s">
        <v>333</v>
      </c>
      <c r="C53" s="50">
        <v>2025</v>
      </c>
      <c r="D53" s="2" t="s">
        <v>99</v>
      </c>
      <c r="E53" s="50">
        <v>346.22</v>
      </c>
      <c r="F53" s="50">
        <v>396.82</v>
      </c>
      <c r="G53" s="43">
        <f t="shared" si="12"/>
        <v>12.751373418678485</v>
      </c>
      <c r="H53" s="50">
        <v>1013.96</v>
      </c>
      <c r="I53" s="50">
        <v>156.34</v>
      </c>
      <c r="J53" s="50"/>
      <c r="K53" s="48">
        <v>5.58</v>
      </c>
      <c r="L53" s="48"/>
      <c r="M53" s="50">
        <v>248.52</v>
      </c>
      <c r="N53" s="50"/>
      <c r="O53" s="50">
        <v>1550.09</v>
      </c>
      <c r="P53" s="43">
        <f t="shared" si="13"/>
        <v>9.9148650377382612</v>
      </c>
      <c r="Q53" s="50">
        <v>40.85</v>
      </c>
      <c r="R53" s="50">
        <v>40.85</v>
      </c>
      <c r="S53" s="43">
        <v>0.7</v>
      </c>
      <c r="T53" s="50"/>
      <c r="U53" s="50"/>
      <c r="V53" s="50">
        <v>1</v>
      </c>
      <c r="W53" s="43">
        <v>1</v>
      </c>
      <c r="X53" s="52">
        <v>5.24</v>
      </c>
      <c r="Y53" s="56">
        <v>0.87</v>
      </c>
      <c r="Z53" s="56">
        <v>0.88</v>
      </c>
      <c r="AA53" s="47">
        <f t="shared" si="14"/>
        <v>1</v>
      </c>
      <c r="AB53" s="54">
        <v>1.3</v>
      </c>
      <c r="AC53" s="48">
        <f t="shared" si="15"/>
        <v>0.43333333333333335</v>
      </c>
      <c r="AD53" s="48">
        <v>245</v>
      </c>
      <c r="AE53" s="48">
        <v>67</v>
      </c>
      <c r="AF53" s="48">
        <v>66</v>
      </c>
      <c r="AG53" s="45">
        <f t="shared" si="16"/>
        <v>6.9</v>
      </c>
      <c r="AH53" s="45">
        <f t="shared" si="17"/>
        <v>9.3333333333333339</v>
      </c>
      <c r="AI53" s="45">
        <v>11</v>
      </c>
      <c r="AJ53" s="2">
        <f t="shared" si="18"/>
        <v>1</v>
      </c>
      <c r="AK53" s="45">
        <f t="shared" si="19"/>
        <v>27.273333333333333</v>
      </c>
      <c r="AL53" s="2" t="str">
        <f t="shared" si="20"/>
        <v>Rec</v>
      </c>
      <c r="AM53" s="86" t="str">
        <f t="shared" si="21"/>
        <v>Fujiyama Power Systems</v>
      </c>
      <c r="AN53" s="43"/>
      <c r="AO53" s="43"/>
      <c r="AP53" s="16">
        <f t="shared" si="22"/>
        <v>3</v>
      </c>
      <c r="AQ53" s="16">
        <v>1</v>
      </c>
      <c r="AR53" s="15">
        <f t="shared" si="23"/>
        <v>11.363636363636363</v>
      </c>
      <c r="AS53" s="43"/>
      <c r="AT53" s="45">
        <v>114.94252873563219</v>
      </c>
      <c r="AU53" s="45">
        <v>574.71264367816093</v>
      </c>
      <c r="AV53" s="45">
        <v>5</v>
      </c>
      <c r="AW53" s="45"/>
      <c r="AX53" s="45"/>
      <c r="AY53" s="45"/>
      <c r="AZ53" s="45"/>
      <c r="BA53" s="45"/>
      <c r="BB53" s="45"/>
      <c r="BC53" s="45"/>
    </row>
    <row r="54" spans="1:55">
      <c r="A54" s="68"/>
      <c r="B54" s="59" t="s">
        <v>334</v>
      </c>
      <c r="C54" s="50">
        <v>2025</v>
      </c>
      <c r="D54" s="44" t="s">
        <v>59</v>
      </c>
      <c r="E54" s="50">
        <v>100.09</v>
      </c>
      <c r="F54" s="50">
        <v>481.42</v>
      </c>
      <c r="G54" s="43">
        <f t="shared" si="12"/>
        <v>79.209422126209972</v>
      </c>
      <c r="H54" s="50">
        <v>838.65</v>
      </c>
      <c r="I54" s="50">
        <v>13.28</v>
      </c>
      <c r="J54" s="50"/>
      <c r="K54" s="48">
        <v>1.81</v>
      </c>
      <c r="L54" s="48"/>
      <c r="M54" s="50">
        <v>78.569999999999993</v>
      </c>
      <c r="N54" s="50"/>
      <c r="O54" s="50">
        <v>598.26</v>
      </c>
      <c r="P54" s="43">
        <f t="shared" si="13"/>
        <v>45.049698795180724</v>
      </c>
      <c r="Q54" s="54">
        <v>10</v>
      </c>
      <c r="R54" s="54">
        <v>10</v>
      </c>
      <c r="S54" s="43">
        <v>-1</v>
      </c>
      <c r="T54" s="54"/>
      <c r="U54" s="54"/>
      <c r="V54" s="50">
        <v>1</v>
      </c>
      <c r="W54" s="43">
        <v>1</v>
      </c>
      <c r="X54" s="52">
        <v>45</v>
      </c>
      <c r="Y54" s="56">
        <v>70</v>
      </c>
      <c r="Z54" s="56">
        <v>16</v>
      </c>
      <c r="AA54" s="47">
        <f t="shared" si="14"/>
        <v>1</v>
      </c>
      <c r="AB54" s="54">
        <v>14</v>
      </c>
      <c r="AC54" s="48">
        <f t="shared" si="15"/>
        <v>5.666666666666667</v>
      </c>
      <c r="AD54" s="56">
        <v>20</v>
      </c>
      <c r="AE54" s="56">
        <v>20</v>
      </c>
      <c r="AF54" s="48">
        <v>6.48</v>
      </c>
      <c r="AG54" s="45">
        <f t="shared" si="16"/>
        <v>4.0999999999999996</v>
      </c>
      <c r="AH54" s="45">
        <f t="shared" si="17"/>
        <v>13.766666666666666</v>
      </c>
      <c r="AI54" s="45">
        <v>11</v>
      </c>
      <c r="AJ54" s="2">
        <f t="shared" si="18"/>
        <v>1</v>
      </c>
      <c r="AK54" s="45">
        <f t="shared" si="19"/>
        <v>24.426666666666666</v>
      </c>
      <c r="AL54" s="2" t="str">
        <f t="shared" si="20"/>
        <v>Pos</v>
      </c>
      <c r="AM54" s="2" t="str">
        <f t="shared" si="21"/>
        <v>Capillary Technologies</v>
      </c>
      <c r="AN54" s="43"/>
      <c r="AO54" s="43"/>
      <c r="AP54" s="16">
        <f t="shared" si="22"/>
        <v>2</v>
      </c>
      <c r="AQ54" s="16">
        <v>1</v>
      </c>
      <c r="AR54" s="15">
        <f t="shared" si="23"/>
        <v>0.875</v>
      </c>
      <c r="AS54" s="43"/>
      <c r="AT54" s="45">
        <v>1.428571428571429</v>
      </c>
      <c r="AU54" s="45">
        <v>7.1428571428571432</v>
      </c>
      <c r="AV54" s="45">
        <v>5</v>
      </c>
      <c r="AW54" s="45"/>
      <c r="AX54" s="45"/>
      <c r="AY54" s="45"/>
      <c r="AZ54" s="45"/>
      <c r="BA54" s="45"/>
      <c r="BB54" s="45"/>
      <c r="BC54" s="45"/>
    </row>
    <row r="55" spans="1:55">
      <c r="A55" s="68"/>
      <c r="B55" s="2" t="s">
        <v>335</v>
      </c>
      <c r="C55" s="43">
        <v>2025</v>
      </c>
      <c r="D55" s="44" t="s">
        <v>59</v>
      </c>
      <c r="E55" s="43">
        <v>76.73</v>
      </c>
      <c r="F55" s="43">
        <v>297.3</v>
      </c>
      <c r="G55" s="43">
        <f t="shared" si="12"/>
        <v>74.191052808610834</v>
      </c>
      <c r="H55" s="43">
        <v>421.03</v>
      </c>
      <c r="I55" s="43">
        <v>12.75</v>
      </c>
      <c r="J55" s="43"/>
      <c r="K55" s="45">
        <v>3.45</v>
      </c>
      <c r="L55" s="45"/>
      <c r="M55" s="43">
        <v>54.97</v>
      </c>
      <c r="N55" s="43"/>
      <c r="O55" s="43">
        <v>198.3</v>
      </c>
      <c r="P55" s="43">
        <f t="shared" si="13"/>
        <v>15.55294117647059</v>
      </c>
      <c r="Q55" s="43">
        <v>34</v>
      </c>
      <c r="R55" s="43">
        <v>34</v>
      </c>
      <c r="S55" s="43">
        <v>-1</v>
      </c>
      <c r="T55" s="43"/>
      <c r="U55" s="43"/>
      <c r="V55" s="50">
        <v>1</v>
      </c>
      <c r="W55" s="43">
        <v>1</v>
      </c>
      <c r="X55" s="52">
        <v>50</v>
      </c>
      <c r="Y55" s="56">
        <v>106</v>
      </c>
      <c r="Z55" s="56">
        <v>16</v>
      </c>
      <c r="AA55" s="47">
        <f t="shared" si="14"/>
        <v>1</v>
      </c>
      <c r="AB55" s="43">
        <v>6</v>
      </c>
      <c r="AC55" s="48">
        <f t="shared" si="15"/>
        <v>2</v>
      </c>
      <c r="AD55" s="45">
        <v>200</v>
      </c>
      <c r="AE55" s="45">
        <v>24</v>
      </c>
      <c r="AF55" s="45">
        <v>27</v>
      </c>
      <c r="AG55" s="45">
        <f t="shared" si="16"/>
        <v>6.1</v>
      </c>
      <c r="AH55" s="45">
        <f t="shared" si="17"/>
        <v>13.1</v>
      </c>
      <c r="AI55" s="45">
        <v>11</v>
      </c>
      <c r="AJ55" s="2">
        <f t="shared" si="18"/>
        <v>1</v>
      </c>
      <c r="AK55" s="45">
        <f t="shared" si="19"/>
        <v>28.96</v>
      </c>
      <c r="AL55" s="2" t="str">
        <f t="shared" si="20"/>
        <v>Pos</v>
      </c>
      <c r="AM55" s="2" t="str">
        <f t="shared" si="21"/>
        <v>Ecelsoft Technologies</v>
      </c>
      <c r="AN55" s="43"/>
      <c r="AO55" s="43"/>
      <c r="AP55" s="16">
        <f t="shared" si="22"/>
        <v>2</v>
      </c>
      <c r="AQ55" s="16">
        <v>1</v>
      </c>
      <c r="AR55" s="15">
        <f t="shared" si="23"/>
        <v>0.625</v>
      </c>
      <c r="AS55" s="43"/>
      <c r="AT55" s="45">
        <v>0.94339622641509435</v>
      </c>
      <c r="AU55" s="45">
        <v>4.716981132075472</v>
      </c>
      <c r="AV55" s="45">
        <v>5</v>
      </c>
      <c r="AW55" s="45"/>
      <c r="AX55" s="45"/>
      <c r="AY55" s="45"/>
      <c r="AZ55" s="45"/>
      <c r="BA55" s="45"/>
      <c r="BB55" s="45"/>
      <c r="BC55" s="45"/>
    </row>
    <row r="56" spans="1:55">
      <c r="A56" s="68"/>
      <c r="B56" s="2" t="s">
        <v>336</v>
      </c>
      <c r="C56" s="43">
        <v>2025</v>
      </c>
      <c r="D56" s="44" t="s">
        <v>59</v>
      </c>
      <c r="E56" s="50">
        <v>135.25</v>
      </c>
      <c r="F56" s="50">
        <v>497.53</v>
      </c>
      <c r="G56" s="43">
        <f t="shared" si="12"/>
        <v>72.815709605450934</v>
      </c>
      <c r="H56" s="50">
        <v>717.17</v>
      </c>
      <c r="I56" s="50">
        <v>138.69</v>
      </c>
      <c r="J56" s="50"/>
      <c r="K56" s="48">
        <v>12.46</v>
      </c>
      <c r="L56" s="48"/>
      <c r="M56" s="50">
        <v>190</v>
      </c>
      <c r="N56" s="50"/>
      <c r="O56" s="50">
        <v>502</v>
      </c>
      <c r="P56" s="43">
        <f t="shared" si="13"/>
        <v>3.6195832432042687</v>
      </c>
      <c r="Q56" s="43">
        <v>47.61</v>
      </c>
      <c r="R56" s="43">
        <v>47.61</v>
      </c>
      <c r="S56" s="43">
        <v>-0.5</v>
      </c>
      <c r="T56" s="43"/>
      <c r="U56" s="43"/>
      <c r="V56" s="43">
        <v>1</v>
      </c>
      <c r="W56" s="43">
        <v>1</v>
      </c>
      <c r="X56" s="52">
        <v>213</v>
      </c>
      <c r="Y56" s="56">
        <v>116</v>
      </c>
      <c r="Z56" s="56">
        <v>15</v>
      </c>
      <c r="AA56" s="47">
        <f t="shared" si="14"/>
        <v>1</v>
      </c>
      <c r="AB56" s="43">
        <v>19</v>
      </c>
      <c r="AC56" s="48">
        <f t="shared" si="15"/>
        <v>7.333333333333333</v>
      </c>
      <c r="AD56" s="45">
        <v>4</v>
      </c>
      <c r="AE56" s="45">
        <v>10</v>
      </c>
      <c r="AF56" s="45">
        <v>39</v>
      </c>
      <c r="AG56" s="45">
        <f t="shared" si="16"/>
        <v>5.6</v>
      </c>
      <c r="AH56" s="45">
        <f t="shared" si="17"/>
        <v>16.933333333333334</v>
      </c>
      <c r="AI56" s="45">
        <v>11</v>
      </c>
      <c r="AJ56" s="2">
        <f t="shared" si="18"/>
        <v>1</v>
      </c>
      <c r="AK56" s="45">
        <f t="shared" si="19"/>
        <v>31.493333333333332</v>
      </c>
      <c r="AL56" s="2" t="str">
        <f t="shared" si="20"/>
        <v>Pos</v>
      </c>
      <c r="AM56" s="2" t="str">
        <f t="shared" si="21"/>
        <v>Sudeep Pharma</v>
      </c>
      <c r="AN56" s="43">
        <v>25</v>
      </c>
      <c r="AO56" s="43">
        <v>26</v>
      </c>
      <c r="AP56" s="16">
        <f t="shared" si="22"/>
        <v>2</v>
      </c>
      <c r="AQ56" s="16">
        <v>1</v>
      </c>
      <c r="AR56" s="15">
        <f t="shared" si="23"/>
        <v>1.2666666666666666</v>
      </c>
      <c r="AS56" s="43"/>
      <c r="AT56" s="45">
        <v>1.25</v>
      </c>
      <c r="AU56" s="45"/>
      <c r="AV56" s="45"/>
      <c r="AW56" s="45"/>
      <c r="AX56" s="45"/>
      <c r="AY56" s="45"/>
      <c r="AZ56" s="45"/>
      <c r="BA56" s="45"/>
      <c r="BB56" s="45"/>
      <c r="BC56" s="45"/>
    </row>
    <row r="57" spans="1:55">
      <c r="A57" s="68"/>
      <c r="B57" s="69" t="s">
        <v>337</v>
      </c>
      <c r="C57" s="43">
        <v>2025</v>
      </c>
      <c r="D57" s="44" t="s">
        <v>59</v>
      </c>
      <c r="E57" s="43">
        <v>437.04</v>
      </c>
      <c r="F57" s="43">
        <v>716.92</v>
      </c>
      <c r="G57" s="43">
        <f t="shared" si="12"/>
        <v>39.039223344306194</v>
      </c>
      <c r="H57" s="43">
        <v>1859.84</v>
      </c>
      <c r="I57" s="43">
        <v>-102.35</v>
      </c>
      <c r="J57" s="43"/>
      <c r="K57" s="43">
        <v>-1.8</v>
      </c>
      <c r="L57" s="43"/>
      <c r="M57" s="69">
        <v>107.97</v>
      </c>
      <c r="N57" s="69"/>
      <c r="O57" s="43">
        <v>924.61</v>
      </c>
      <c r="P57" s="43">
        <f t="shared" si="13"/>
        <v>-9.0338055691255494</v>
      </c>
      <c r="Q57" s="43">
        <v>46</v>
      </c>
      <c r="R57" s="43">
        <v>46</v>
      </c>
      <c r="S57" s="43">
        <v>-0.5</v>
      </c>
      <c r="T57" s="43"/>
      <c r="U57" s="43"/>
      <c r="V57" s="43">
        <v>1</v>
      </c>
      <c r="W57" s="43">
        <v>1</v>
      </c>
      <c r="X57" s="70">
        <v>20</v>
      </c>
      <c r="Y57" s="69">
        <v>20</v>
      </c>
      <c r="Z57" s="69">
        <v>20</v>
      </c>
      <c r="AA57" s="47">
        <f t="shared" si="14"/>
        <v>1</v>
      </c>
      <c r="AB57" s="43">
        <v>35</v>
      </c>
      <c r="AC57" s="48">
        <f t="shared" si="15"/>
        <v>12.666666666666666</v>
      </c>
      <c r="AD57" s="69">
        <v>-620</v>
      </c>
      <c r="AE57" s="69">
        <v>-4</v>
      </c>
      <c r="AF57" s="69">
        <v>-12</v>
      </c>
      <c r="AG57" s="45">
        <f t="shared" si="16"/>
        <v>5.3</v>
      </c>
      <c r="AH57" s="45">
        <f t="shared" si="17"/>
        <v>21.966666666666669</v>
      </c>
      <c r="AI57" s="45">
        <v>11</v>
      </c>
      <c r="AJ57" s="2">
        <f t="shared" si="18"/>
        <v>1</v>
      </c>
      <c r="AK57" s="45">
        <f t="shared" si="19"/>
        <v>35.74666666666667</v>
      </c>
      <c r="AL57" s="2" t="str">
        <f t="shared" si="20"/>
        <v>Pos</v>
      </c>
      <c r="AM57" s="2" t="str">
        <f t="shared" si="21"/>
        <v>Aequs</v>
      </c>
      <c r="AN57" s="92">
        <v>5</v>
      </c>
      <c r="AO57" s="43">
        <v>8</v>
      </c>
      <c r="AP57" s="16">
        <f t="shared" si="22"/>
        <v>2</v>
      </c>
      <c r="AQ57" s="16">
        <v>1</v>
      </c>
      <c r="AR57" s="15">
        <f t="shared" si="23"/>
        <v>1.75</v>
      </c>
      <c r="AS57" s="67" t="s">
        <v>338</v>
      </c>
      <c r="AT57" s="43"/>
      <c r="AU57" s="43"/>
      <c r="AV57" s="69"/>
      <c r="AW57" s="69"/>
      <c r="AX57" s="69"/>
      <c r="AY57" s="69"/>
      <c r="AZ57" s="69"/>
      <c r="BA57" s="69"/>
      <c r="BB57" s="69"/>
      <c r="BC57" s="69"/>
    </row>
    <row r="58" spans="1:55">
      <c r="A58" s="68"/>
      <c r="B58" s="69" t="s">
        <v>339</v>
      </c>
      <c r="C58" s="43">
        <v>2025</v>
      </c>
      <c r="D58" s="44" t="s">
        <v>59</v>
      </c>
      <c r="E58" s="43">
        <v>0</v>
      </c>
      <c r="F58" s="43">
        <v>1203.6199999999999</v>
      </c>
      <c r="G58" s="43">
        <f t="shared" si="12"/>
        <v>100</v>
      </c>
      <c r="H58" s="43">
        <v>7226.09</v>
      </c>
      <c r="I58" s="43">
        <v>-3941.71</v>
      </c>
      <c r="J58" s="43"/>
      <c r="K58" s="43">
        <v>-9.98</v>
      </c>
      <c r="L58" s="43"/>
      <c r="M58" s="69">
        <v>-593.76</v>
      </c>
      <c r="N58" s="69"/>
      <c r="O58" s="43">
        <v>10015.48</v>
      </c>
      <c r="P58" s="43">
        <f t="shared" si="13"/>
        <v>-2.5408972248085222</v>
      </c>
      <c r="Q58" s="43">
        <v>56</v>
      </c>
      <c r="R58" s="43">
        <v>56</v>
      </c>
      <c r="S58" s="43">
        <v>-0.5</v>
      </c>
      <c r="T58" s="43"/>
      <c r="U58" s="43"/>
      <c r="V58" s="43">
        <v>1</v>
      </c>
      <c r="W58" s="43">
        <v>1</v>
      </c>
      <c r="X58" s="70">
        <v>20</v>
      </c>
      <c r="Y58" s="69">
        <v>20</v>
      </c>
      <c r="Z58" s="69">
        <v>20</v>
      </c>
      <c r="AA58" s="47">
        <f t="shared" si="14"/>
        <v>1</v>
      </c>
      <c r="AB58" s="43">
        <v>38</v>
      </c>
      <c r="AC58" s="48">
        <f t="shared" si="15"/>
        <v>13.666666666666666</v>
      </c>
      <c r="AD58" s="69">
        <v>-1103</v>
      </c>
      <c r="AE58" s="69">
        <v>23</v>
      </c>
      <c r="AF58" s="69">
        <v>11.11</v>
      </c>
      <c r="AG58" s="45">
        <f t="shared" si="16"/>
        <v>6.3</v>
      </c>
      <c r="AH58" s="45">
        <f t="shared" si="17"/>
        <v>24.966666666666669</v>
      </c>
      <c r="AI58" s="45">
        <v>11</v>
      </c>
      <c r="AJ58" s="2">
        <f t="shared" si="18"/>
        <v>1</v>
      </c>
      <c r="AK58" s="45">
        <f t="shared" si="19"/>
        <v>41.346666666666664</v>
      </c>
      <c r="AL58" s="2" t="str">
        <f t="shared" si="20"/>
        <v>Pos</v>
      </c>
      <c r="AM58" s="2" t="str">
        <f t="shared" si="21"/>
        <v>Meesho</v>
      </c>
      <c r="AN58" s="92">
        <v>5</v>
      </c>
      <c r="AO58" s="43">
        <v>8</v>
      </c>
      <c r="AP58" s="16">
        <f t="shared" si="22"/>
        <v>2</v>
      </c>
      <c r="AQ58" s="16">
        <v>1</v>
      </c>
      <c r="AR58" s="15">
        <f t="shared" si="23"/>
        <v>1.9</v>
      </c>
      <c r="AS58" s="43"/>
      <c r="AT58" s="43"/>
      <c r="AU58" s="43"/>
      <c r="AV58" s="69"/>
      <c r="AW58" s="69"/>
      <c r="AX58" s="69"/>
      <c r="AY58" s="69"/>
      <c r="AZ58" s="69"/>
      <c r="BA58" s="69"/>
      <c r="BB58" s="69"/>
      <c r="BC58" s="69"/>
    </row>
    <row r="59" spans="1:55">
      <c r="A59" s="68" t="s">
        <v>340</v>
      </c>
      <c r="B59" s="71" t="s">
        <v>341</v>
      </c>
      <c r="C59" s="43">
        <v>2025</v>
      </c>
      <c r="D59" s="44" t="s">
        <v>59</v>
      </c>
      <c r="E59" s="50">
        <v>146.38</v>
      </c>
      <c r="F59" s="50">
        <v>166.34</v>
      </c>
      <c r="G59" s="43">
        <f t="shared" si="12"/>
        <v>11.999519057352416</v>
      </c>
      <c r="H59" s="50">
        <v>331.33</v>
      </c>
      <c r="I59" s="50">
        <v>40.869999999999997</v>
      </c>
      <c r="J59" s="50"/>
      <c r="K59" s="50">
        <v>2.5499999999999998</v>
      </c>
      <c r="L59" s="50"/>
      <c r="M59" s="71">
        <v>64.45</v>
      </c>
      <c r="N59" s="71"/>
      <c r="O59" s="50">
        <v>1491.45</v>
      </c>
      <c r="P59" s="43">
        <f t="shared" si="13"/>
        <v>36.492537313432841</v>
      </c>
      <c r="Q59" s="50">
        <v>20.39</v>
      </c>
      <c r="R59" s="50">
        <v>20.39</v>
      </c>
      <c r="S59" s="43">
        <v>-0.5</v>
      </c>
      <c r="T59" s="43"/>
      <c r="U59" s="43"/>
      <c r="V59" s="50">
        <v>1</v>
      </c>
      <c r="W59" s="43">
        <v>1</v>
      </c>
      <c r="X59" s="70">
        <v>20</v>
      </c>
      <c r="Y59" s="69">
        <v>20</v>
      </c>
      <c r="Z59" s="69">
        <v>20</v>
      </c>
      <c r="AA59" s="47">
        <f t="shared" si="14"/>
        <v>1</v>
      </c>
      <c r="AB59" s="54">
        <v>19</v>
      </c>
      <c r="AC59" s="48">
        <f t="shared" si="15"/>
        <v>7.333333333333333</v>
      </c>
      <c r="AD59" s="71">
        <v>59</v>
      </c>
      <c r="AE59" s="69">
        <v>25</v>
      </c>
      <c r="AF59" s="69">
        <v>60</v>
      </c>
      <c r="AG59" s="45">
        <f t="shared" si="16"/>
        <v>4.7</v>
      </c>
      <c r="AH59" s="45">
        <f t="shared" si="17"/>
        <v>16.033333333333331</v>
      </c>
      <c r="AI59" s="45">
        <v>11</v>
      </c>
      <c r="AJ59" s="2">
        <f t="shared" si="18"/>
        <v>1</v>
      </c>
      <c r="AK59" s="45">
        <f t="shared" si="19"/>
        <v>28.25333333333333</v>
      </c>
      <c r="AL59" s="2" t="str">
        <f t="shared" si="20"/>
        <v>Pos</v>
      </c>
      <c r="AM59" s="2" t="str">
        <f t="shared" si="21"/>
        <v>Vidya Wires</v>
      </c>
      <c r="AN59" s="92">
        <v>5</v>
      </c>
      <c r="AO59" s="43">
        <v>8</v>
      </c>
      <c r="AP59" s="16">
        <f t="shared" si="22"/>
        <v>2</v>
      </c>
      <c r="AQ59" s="16">
        <v>1</v>
      </c>
      <c r="AR59" s="15">
        <f t="shared" si="23"/>
        <v>0.95</v>
      </c>
      <c r="AS59" s="43"/>
      <c r="AT59" s="43"/>
      <c r="AU59" s="43"/>
      <c r="AV59" s="69"/>
      <c r="AW59" s="69"/>
      <c r="AX59" s="69"/>
      <c r="AY59" s="69"/>
      <c r="AZ59" s="69"/>
      <c r="BA59" s="69"/>
      <c r="BB59" s="69"/>
      <c r="BC59" s="69"/>
    </row>
    <row r="60" spans="1:55">
      <c r="A60" s="68" t="s">
        <v>342</v>
      </c>
      <c r="B60" s="71" t="s">
        <v>343</v>
      </c>
      <c r="C60" s="43">
        <v>2025</v>
      </c>
      <c r="D60" s="44" t="s">
        <v>59</v>
      </c>
      <c r="E60" s="50">
        <v>0</v>
      </c>
      <c r="F60" s="50">
        <v>520</v>
      </c>
      <c r="G60" s="43">
        <f t="shared" si="12"/>
        <v>100</v>
      </c>
      <c r="H60" s="50">
        <v>1050</v>
      </c>
      <c r="I60" s="50">
        <v>-35</v>
      </c>
      <c r="J60" s="50"/>
      <c r="K60" s="50"/>
      <c r="L60" s="50"/>
      <c r="M60" s="71">
        <v>90.83</v>
      </c>
      <c r="N60" s="71"/>
      <c r="O60" s="50">
        <v>1305</v>
      </c>
      <c r="P60" s="43">
        <f t="shared" si="13"/>
        <v>-37.285714285714285</v>
      </c>
      <c r="Q60" s="54">
        <v>50</v>
      </c>
      <c r="R60" s="54">
        <v>50</v>
      </c>
      <c r="S60" s="43">
        <v>0</v>
      </c>
      <c r="T60" s="43"/>
      <c r="U60" s="43"/>
      <c r="V60" s="50">
        <v>1</v>
      </c>
      <c r="W60" s="43">
        <v>1</v>
      </c>
      <c r="X60" s="70">
        <v>2.25</v>
      </c>
      <c r="Y60" s="69">
        <v>0.82</v>
      </c>
      <c r="Z60" s="69">
        <v>2.76</v>
      </c>
      <c r="AA60" s="47">
        <f t="shared" si="14"/>
        <v>1</v>
      </c>
      <c r="AB60" s="43">
        <v>0</v>
      </c>
      <c r="AC60" s="48">
        <f t="shared" si="15"/>
        <v>0</v>
      </c>
      <c r="AD60" s="69">
        <v>-132.44999999999999</v>
      </c>
      <c r="AE60" s="69">
        <v>35.33</v>
      </c>
      <c r="AF60" s="69">
        <v>-4.2</v>
      </c>
      <c r="AG60" s="45">
        <f t="shared" si="16"/>
        <v>6.8</v>
      </c>
      <c r="AH60" s="45">
        <f t="shared" si="17"/>
        <v>9.8000000000000007</v>
      </c>
      <c r="AI60" s="45">
        <v>11</v>
      </c>
      <c r="AJ60" s="2">
        <f t="shared" si="18"/>
        <v>1</v>
      </c>
      <c r="AK60" s="45">
        <f t="shared" si="19"/>
        <v>27.48</v>
      </c>
      <c r="AL60" s="2" t="str">
        <f t="shared" si="20"/>
        <v>Pos</v>
      </c>
      <c r="AM60" s="2" t="str">
        <f t="shared" si="21"/>
        <v>Wakefit Innovations</v>
      </c>
      <c r="AN60" s="92">
        <v>10</v>
      </c>
      <c r="AO60" s="43">
        <v>11</v>
      </c>
      <c r="AP60" s="16">
        <f t="shared" si="22"/>
        <v>3</v>
      </c>
      <c r="AQ60" s="16">
        <v>1</v>
      </c>
      <c r="AR60" s="15">
        <f t="shared" si="23"/>
        <v>3.6231884057971016</v>
      </c>
      <c r="AS60" s="43">
        <v>6</v>
      </c>
      <c r="AT60" s="43"/>
      <c r="AU60" s="43"/>
      <c r="AV60" s="69"/>
      <c r="AW60" s="69"/>
      <c r="AX60" s="69"/>
      <c r="AY60" s="69"/>
      <c r="AZ60" s="69"/>
      <c r="BA60" s="69"/>
      <c r="BB60" s="69"/>
      <c r="BC60" s="69"/>
    </row>
    <row r="61" spans="1:55">
      <c r="A61" s="68"/>
      <c r="B61" s="71" t="s">
        <v>344</v>
      </c>
      <c r="C61" s="43">
        <v>2025</v>
      </c>
      <c r="D61" s="44" t="s">
        <v>59</v>
      </c>
      <c r="E61" s="50">
        <v>0</v>
      </c>
      <c r="F61" s="50">
        <v>3516.94</v>
      </c>
      <c r="G61" s="43">
        <f t="shared" si="12"/>
        <v>100</v>
      </c>
      <c r="H61" s="50">
        <v>4383.68</v>
      </c>
      <c r="I61" s="50">
        <v>2650.66</v>
      </c>
      <c r="J61" s="50"/>
      <c r="K61" s="50">
        <v>53.63</v>
      </c>
      <c r="L61" s="50"/>
      <c r="M61" s="71">
        <v>3636.99</v>
      </c>
      <c r="N61" s="71"/>
      <c r="O61" s="50">
        <v>4979.67</v>
      </c>
      <c r="P61" s="43">
        <f t="shared" si="13"/>
        <v>1.8786528638150499</v>
      </c>
      <c r="Q61" s="50">
        <v>40.369999999999997</v>
      </c>
      <c r="R61" s="50">
        <v>40.369999999999997</v>
      </c>
      <c r="S61" s="43">
        <v>0</v>
      </c>
      <c r="T61" s="54"/>
      <c r="U61" s="54"/>
      <c r="V61" s="50">
        <v>1</v>
      </c>
      <c r="W61" s="43">
        <v>1</v>
      </c>
      <c r="X61" s="72">
        <v>21.59</v>
      </c>
      <c r="Y61" s="73">
        <v>16.75</v>
      </c>
      <c r="Z61" s="69">
        <v>2.77</v>
      </c>
      <c r="AA61" s="47">
        <f t="shared" si="14"/>
        <v>1</v>
      </c>
      <c r="AB61" s="43">
        <v>15.52</v>
      </c>
      <c r="AC61" s="48">
        <f t="shared" si="15"/>
        <v>6.1733333333333329</v>
      </c>
      <c r="AD61" s="69">
        <v>100</v>
      </c>
      <c r="AE61" s="69">
        <v>32</v>
      </c>
      <c r="AF61" s="69">
        <v>10.97</v>
      </c>
      <c r="AG61" s="45">
        <f t="shared" si="16"/>
        <v>7.1</v>
      </c>
      <c r="AH61" s="45">
        <f t="shared" si="17"/>
        <v>18.273333333333333</v>
      </c>
      <c r="AI61" s="45">
        <v>11</v>
      </c>
      <c r="AJ61" s="2">
        <f t="shared" si="18"/>
        <v>1</v>
      </c>
      <c r="AK61" s="45">
        <f t="shared" si="19"/>
        <v>36.733333333333334</v>
      </c>
      <c r="AL61" s="2" t="str">
        <f t="shared" si="20"/>
        <v>Pos</v>
      </c>
      <c r="AM61" s="2" t="str">
        <f t="shared" si="21"/>
        <v>ICICI Prudential AMC</v>
      </c>
      <c r="AN61" s="92">
        <v>16</v>
      </c>
      <c r="AO61" s="43">
        <v>17</v>
      </c>
      <c r="AP61" s="16">
        <f t="shared" si="22"/>
        <v>3</v>
      </c>
      <c r="AQ61" s="16">
        <v>1</v>
      </c>
      <c r="AR61" s="15">
        <f t="shared" si="23"/>
        <v>5.602888086642599</v>
      </c>
      <c r="AS61" s="43"/>
      <c r="AT61" s="43"/>
      <c r="AU61" s="43"/>
      <c r="AV61" s="69"/>
      <c r="AW61" s="69"/>
      <c r="AX61" s="69"/>
      <c r="AY61" s="69"/>
      <c r="AZ61" s="69"/>
      <c r="BA61" s="69"/>
      <c r="BB61" s="69"/>
      <c r="BC61" s="69"/>
    </row>
    <row r="62" spans="1:55">
      <c r="A62" s="68"/>
      <c r="B62" s="71" t="s">
        <v>345</v>
      </c>
      <c r="C62" s="43">
        <v>2025</v>
      </c>
      <c r="D62" s="73" t="s">
        <v>82</v>
      </c>
      <c r="E62" s="50">
        <v>360.05</v>
      </c>
      <c r="F62" s="50">
        <v>298.55</v>
      </c>
      <c r="G62" s="43">
        <f t="shared" si="12"/>
        <v>-20.599564562049906</v>
      </c>
      <c r="H62" s="50">
        <v>744.91</v>
      </c>
      <c r="I62" s="50">
        <v>67.989999999999995</v>
      </c>
      <c r="J62" s="50"/>
      <c r="K62" s="50">
        <v>11.97</v>
      </c>
      <c r="L62" s="50"/>
      <c r="M62" s="71">
        <v>122.53</v>
      </c>
      <c r="N62" s="71"/>
      <c r="O62" s="50">
        <v>1938.19</v>
      </c>
      <c r="P62" s="43">
        <f t="shared" si="13"/>
        <v>28.506986321517875</v>
      </c>
      <c r="Q62" s="54">
        <v>32</v>
      </c>
      <c r="R62" s="54">
        <v>32</v>
      </c>
      <c r="S62" s="43">
        <v>0</v>
      </c>
      <c r="T62" s="50"/>
      <c r="U62" s="50"/>
      <c r="V62" s="43">
        <v>1</v>
      </c>
      <c r="W62" s="50">
        <v>1</v>
      </c>
      <c r="X62" s="70">
        <v>1.1200000000000001</v>
      </c>
      <c r="Y62" s="69">
        <v>0.44</v>
      </c>
      <c r="Z62" s="69">
        <v>0.91</v>
      </c>
      <c r="AA62" s="47">
        <f t="shared" si="14"/>
        <v>1</v>
      </c>
      <c r="AB62" s="43"/>
      <c r="AC62" s="48">
        <f t="shared" si="15"/>
        <v>0</v>
      </c>
      <c r="AD62" s="69">
        <v>78.959999999999994</v>
      </c>
      <c r="AE62" s="69">
        <v>82</v>
      </c>
      <c r="AF62" s="69">
        <v>39</v>
      </c>
      <c r="AG62" s="45">
        <f t="shared" si="16"/>
        <v>4</v>
      </c>
      <c r="AH62" s="45">
        <f t="shared" si="17"/>
        <v>5</v>
      </c>
      <c r="AI62" s="45">
        <v>11</v>
      </c>
      <c r="AJ62" s="2">
        <f t="shared" si="18"/>
        <v>1</v>
      </c>
      <c r="AK62" s="45">
        <f t="shared" si="19"/>
        <v>15.4</v>
      </c>
      <c r="AL62" s="2" t="str">
        <f t="shared" si="20"/>
        <v>Neg</v>
      </c>
      <c r="AM62" s="2" t="str">
        <f t="shared" si="21"/>
        <v>KSH International</v>
      </c>
      <c r="AN62" s="92">
        <v>18</v>
      </c>
      <c r="AO62" s="43">
        <v>19</v>
      </c>
      <c r="AP62" s="16">
        <f t="shared" si="22"/>
        <v>0</v>
      </c>
      <c r="AQ62" s="16">
        <v>1</v>
      </c>
      <c r="AR62" s="15">
        <f t="shared" si="23"/>
        <v>0</v>
      </c>
      <c r="AS62" s="43"/>
      <c r="AT62" s="43"/>
      <c r="AU62" s="43"/>
      <c r="AV62" s="69"/>
      <c r="AW62" s="69"/>
      <c r="AX62" s="69"/>
      <c r="AY62" s="69"/>
      <c r="AZ62" s="69"/>
      <c r="BA62" s="69"/>
      <c r="BB62" s="69"/>
      <c r="BC62" s="69"/>
    </row>
    <row r="63" spans="1:55">
      <c r="A63" s="68"/>
      <c r="B63" s="71" t="s">
        <v>346</v>
      </c>
      <c r="C63" s="54">
        <v>2025</v>
      </c>
      <c r="D63" s="44" t="s">
        <v>59</v>
      </c>
      <c r="E63" s="50">
        <v>3.88</v>
      </c>
      <c r="F63" s="50">
        <v>25.71</v>
      </c>
      <c r="G63" s="43">
        <f t="shared" si="12"/>
        <v>84.908595877090619</v>
      </c>
      <c r="H63" s="50">
        <v>55.34</v>
      </c>
      <c r="I63" s="50">
        <v>9.5</v>
      </c>
      <c r="J63" s="50"/>
      <c r="K63" s="50">
        <v>1.85</v>
      </c>
      <c r="L63" s="50"/>
      <c r="M63" s="71">
        <v>16.55</v>
      </c>
      <c r="N63" s="71"/>
      <c r="O63" s="71">
        <v>40.4</v>
      </c>
      <c r="P63" s="43">
        <f t="shared" si="13"/>
        <v>4.2526315789473683</v>
      </c>
      <c r="Q63" s="54">
        <v>62</v>
      </c>
      <c r="R63" s="54">
        <v>62</v>
      </c>
      <c r="S63" s="43">
        <v>0</v>
      </c>
      <c r="T63" s="50"/>
      <c r="U63" s="50"/>
      <c r="V63" s="43">
        <v>1</v>
      </c>
      <c r="W63" s="50">
        <v>1</v>
      </c>
      <c r="X63" s="70">
        <v>1.06</v>
      </c>
      <c r="Y63" s="69">
        <v>5.73</v>
      </c>
      <c r="Z63" s="69">
        <v>19.04</v>
      </c>
      <c r="AA63" s="47">
        <f t="shared" si="14"/>
        <v>-1</v>
      </c>
      <c r="AB63" s="43"/>
      <c r="AC63" s="48">
        <f t="shared" si="15"/>
        <v>0</v>
      </c>
      <c r="AD63" s="69">
        <v>454</v>
      </c>
      <c r="AE63" s="69">
        <v>637</v>
      </c>
      <c r="AF63" s="69">
        <v>138</v>
      </c>
      <c r="AG63" s="45">
        <f t="shared" si="16"/>
        <v>8.1</v>
      </c>
      <c r="AH63" s="45">
        <f t="shared" si="17"/>
        <v>9.1</v>
      </c>
      <c r="AI63" s="45">
        <v>11</v>
      </c>
      <c r="AJ63" s="2">
        <f t="shared" si="18"/>
        <v>1</v>
      </c>
      <c r="AK63" s="45">
        <f t="shared" si="19"/>
        <v>30.159999999999997</v>
      </c>
      <c r="AL63" s="2" t="str">
        <f t="shared" si="20"/>
        <v>Pos</v>
      </c>
      <c r="AM63" s="2" t="str">
        <f t="shared" si="21"/>
        <v>Gujarat Kidney</v>
      </c>
      <c r="AN63" s="92">
        <v>24</v>
      </c>
      <c r="AO63" s="43">
        <v>26</v>
      </c>
      <c r="AP63" s="16">
        <f t="shared" si="22"/>
        <v>2</v>
      </c>
      <c r="AQ63" s="16">
        <v>1</v>
      </c>
      <c r="AR63" s="15">
        <f t="shared" si="23"/>
        <v>0.52521008403361347</v>
      </c>
      <c r="AS63" s="43"/>
      <c r="AT63" s="43"/>
      <c r="AU63" s="43"/>
      <c r="AV63" s="69"/>
      <c r="AW63" s="69"/>
      <c r="AX63" s="69"/>
      <c r="AY63" s="69"/>
      <c r="AZ63" s="69"/>
      <c r="BA63" s="69"/>
      <c r="BB63" s="69"/>
      <c r="BC63" s="69"/>
    </row>
    <row r="64" spans="1:55">
      <c r="A64" s="68" t="s">
        <v>347</v>
      </c>
      <c r="B64" s="68" t="s">
        <v>348</v>
      </c>
      <c r="C64" s="68" t="s">
        <v>165</v>
      </c>
      <c r="D64" s="44" t="s">
        <v>59</v>
      </c>
      <c r="E64" s="68">
        <v>0</v>
      </c>
      <c r="F64" s="68">
        <v>6551.23</v>
      </c>
      <c r="G64" s="43">
        <f t="shared" si="12"/>
        <v>100</v>
      </c>
      <c r="H64" s="68">
        <v>17283.48</v>
      </c>
      <c r="I64" s="68">
        <v>1240.19</v>
      </c>
      <c r="J64" s="68">
        <v>1.96</v>
      </c>
      <c r="K64" s="68">
        <v>2.66</v>
      </c>
      <c r="L64" s="68">
        <v>0</v>
      </c>
      <c r="M64" s="68">
        <v>2356.06</v>
      </c>
      <c r="N64" s="68">
        <v>7.29</v>
      </c>
      <c r="O64" s="68">
        <v>14401.63</v>
      </c>
      <c r="P64" s="43">
        <f t="shared" si="13"/>
        <v>11.612438416694214</v>
      </c>
      <c r="Q64" s="68">
        <v>8.64</v>
      </c>
      <c r="R64" s="68">
        <v>43.23</v>
      </c>
      <c r="S64" s="43">
        <v>0</v>
      </c>
      <c r="T64" s="68">
        <v>1068.78</v>
      </c>
      <c r="U64" s="68">
        <v>0</v>
      </c>
      <c r="V64" s="68">
        <v>1</v>
      </c>
      <c r="W64" s="68">
        <v>1</v>
      </c>
      <c r="X64" s="68">
        <v>310.81</v>
      </c>
      <c r="Y64" s="68">
        <v>240.49</v>
      </c>
      <c r="Z64" s="68">
        <v>49.37</v>
      </c>
      <c r="AA64" s="47">
        <f t="shared" si="14"/>
        <v>1</v>
      </c>
      <c r="AB64" s="68">
        <v>80</v>
      </c>
      <c r="AC64" s="48">
        <f t="shared" si="15"/>
        <v>27.666666666666668</v>
      </c>
      <c r="AD64" s="68">
        <v>-20.73</v>
      </c>
      <c r="AE64" s="68">
        <v>-1.71</v>
      </c>
      <c r="AF64" s="68">
        <v>22.33</v>
      </c>
      <c r="AG64" s="45">
        <f t="shared" si="16"/>
        <v>4.0999999999999996</v>
      </c>
      <c r="AH64" s="45">
        <f t="shared" si="17"/>
        <v>35.766666666666666</v>
      </c>
      <c r="AI64" s="45">
        <v>11</v>
      </c>
      <c r="AJ64" s="2">
        <f t="shared" si="18"/>
        <v>1</v>
      </c>
      <c r="AK64" s="45">
        <f t="shared" si="19"/>
        <v>46.426666666666662</v>
      </c>
      <c r="AL64" s="2" t="str">
        <f t="shared" si="20"/>
        <v>Pos</v>
      </c>
      <c r="AM64" s="2" t="str">
        <f t="shared" si="21"/>
        <v>Bharat Coking Coal D</v>
      </c>
      <c r="AN64" s="90">
        <v>13</v>
      </c>
      <c r="AO64" s="68">
        <v>15</v>
      </c>
      <c r="AP64" s="16">
        <f t="shared" si="22"/>
        <v>1</v>
      </c>
      <c r="AQ64" s="16">
        <v>1</v>
      </c>
      <c r="AR64" s="15">
        <f t="shared" si="23"/>
        <v>1.6204172574437918</v>
      </c>
      <c r="AS64" s="66" t="s">
        <v>162</v>
      </c>
      <c r="AT64" s="68"/>
      <c r="AU64" s="68"/>
      <c r="AV64" s="68"/>
      <c r="AW64" s="68"/>
      <c r="AX64" s="68"/>
      <c r="AY64" s="68"/>
      <c r="AZ64" s="68"/>
      <c r="BA64" s="68"/>
      <c r="BB64" s="68"/>
      <c r="BC64" s="68"/>
    </row>
    <row r="65" spans="1:55">
      <c r="A65" s="68" t="s">
        <v>349</v>
      </c>
      <c r="B65" s="68" t="s">
        <v>350</v>
      </c>
      <c r="C65" s="68" t="s">
        <v>165</v>
      </c>
      <c r="D65" s="44" t="s">
        <v>99</v>
      </c>
      <c r="E65" s="68">
        <v>0</v>
      </c>
      <c r="F65" s="68">
        <v>509.45</v>
      </c>
      <c r="G65" s="43">
        <f t="shared" si="12"/>
        <v>100</v>
      </c>
      <c r="H65" s="68">
        <v>1425</v>
      </c>
      <c r="I65" s="68">
        <v>-68.709999999999994</v>
      </c>
      <c r="J65" s="68">
        <v>0.88</v>
      </c>
      <c r="K65" s="68">
        <v>-3.55</v>
      </c>
      <c r="L65" s="68">
        <v>0</v>
      </c>
      <c r="M65" s="68">
        <v>23.49</v>
      </c>
      <c r="N65" s="68">
        <v>8.26</v>
      </c>
      <c r="O65" s="68">
        <v>1223.31</v>
      </c>
      <c r="P65" s="43">
        <f t="shared" si="13"/>
        <v>-17.803958666860719</v>
      </c>
      <c r="Q65" s="68">
        <v>-101.78</v>
      </c>
      <c r="R65" s="68">
        <v>603.54</v>
      </c>
      <c r="S65" s="43">
        <v>0</v>
      </c>
      <c r="T65" s="68">
        <v>1788.62</v>
      </c>
      <c r="U65" s="68">
        <v>972.61999999999989</v>
      </c>
      <c r="V65" s="68">
        <v>1</v>
      </c>
      <c r="W65" s="68">
        <v>1</v>
      </c>
      <c r="X65" s="68">
        <v>33.130000000000003</v>
      </c>
      <c r="Y65" s="68">
        <v>38.26</v>
      </c>
      <c r="Z65" s="68">
        <v>9.5399999999999991</v>
      </c>
      <c r="AA65" s="47">
        <f t="shared" si="14"/>
        <v>1</v>
      </c>
      <c r="AB65" s="68">
        <v>0.23499999999999999</v>
      </c>
      <c r="AC65" s="48">
        <f t="shared" si="15"/>
        <v>7.8333333333333324E-2</v>
      </c>
      <c r="AD65" s="68">
        <v>-71.959999999999994</v>
      </c>
      <c r="AE65" s="68">
        <v>29.83</v>
      </c>
      <c r="AF65" s="68">
        <v>2.5499999999999998</v>
      </c>
      <c r="AG65" s="45">
        <f t="shared" si="16"/>
        <v>5.8</v>
      </c>
      <c r="AH65" s="45">
        <f t="shared" si="17"/>
        <v>9.8783333333333339</v>
      </c>
      <c r="AI65" s="45">
        <v>11</v>
      </c>
      <c r="AJ65" s="2">
        <f t="shared" si="18"/>
        <v>1</v>
      </c>
      <c r="AK65" s="45">
        <f t="shared" si="19"/>
        <v>24.958333333333336</v>
      </c>
      <c r="AL65" s="2" t="str">
        <f t="shared" si="20"/>
        <v>Rec</v>
      </c>
      <c r="AM65" s="2" t="str">
        <f t="shared" si="21"/>
        <v>Amagi Media Labs Dat</v>
      </c>
      <c r="AN65" s="90">
        <v>16</v>
      </c>
      <c r="AO65" s="68">
        <v>18</v>
      </c>
      <c r="AP65" s="16">
        <f t="shared" si="22"/>
        <v>2</v>
      </c>
      <c r="AQ65" s="16">
        <v>1</v>
      </c>
      <c r="AR65" s="15">
        <f t="shared" si="23"/>
        <v>1.0482180293501049</v>
      </c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</row>
    <row r="66" spans="1:55">
      <c r="A66" s="68" t="s">
        <v>351</v>
      </c>
      <c r="B66" s="68" t="s">
        <v>352</v>
      </c>
      <c r="C66" s="68" t="s">
        <v>165</v>
      </c>
      <c r="D66" s="44" t="s">
        <v>82</v>
      </c>
      <c r="E66" s="68">
        <v>132.22999999999999</v>
      </c>
      <c r="F66" s="68">
        <v>660.43</v>
      </c>
      <c r="G66" s="43">
        <f t="shared" ref="G66:G67" si="24">100*(F66-E66)/F66</f>
        <v>79.978196023802667</v>
      </c>
      <c r="H66" s="68">
        <v>1259.26</v>
      </c>
      <c r="I66" s="68">
        <v>6.06</v>
      </c>
      <c r="J66" s="68">
        <v>0</v>
      </c>
      <c r="K66" s="68">
        <v>0.12</v>
      </c>
      <c r="L66" s="68">
        <v>0</v>
      </c>
      <c r="M66" s="68">
        <v>56.19</v>
      </c>
      <c r="N66" s="68">
        <v>2.86</v>
      </c>
      <c r="O66" s="68">
        <v>2514.66</v>
      </c>
      <c r="P66" s="43">
        <f t="shared" ref="P66:P67" si="25">O66/I66</f>
        <v>414.96039603960395</v>
      </c>
      <c r="Q66" s="68">
        <v>1017.96</v>
      </c>
      <c r="R66" s="68">
        <v>170.39</v>
      </c>
      <c r="S66" s="43">
        <v>0</v>
      </c>
      <c r="T66" s="68">
        <v>1907.27</v>
      </c>
      <c r="U66" s="68">
        <v>907.27</v>
      </c>
      <c r="V66" s="68">
        <v>1</v>
      </c>
      <c r="W66" s="68">
        <v>1</v>
      </c>
      <c r="X66" s="68">
        <v>4</v>
      </c>
      <c r="Y66" s="68">
        <v>0.88</v>
      </c>
      <c r="Z66" s="68">
        <v>2.4300000000000002</v>
      </c>
      <c r="AA66" s="47">
        <f t="shared" ref="AA66:AA96" si="26">IF(X66&lt;33,IF(Y66&gt;(1.1*X66),0,1),1)+IF(Y66&gt;(4*X66),-1,0)</f>
        <v>1</v>
      </c>
      <c r="AB66" s="68">
        <v>0</v>
      </c>
      <c r="AC66" s="48">
        <f t="shared" ref="AC66:AC96" si="27">IF(AB66&gt;9,1,0)+AB66/3</f>
        <v>0</v>
      </c>
      <c r="AD66" s="68">
        <v>-151.01</v>
      </c>
      <c r="AE66" s="68">
        <v>32.6</v>
      </c>
      <c r="AF66" s="68">
        <v>56.58</v>
      </c>
      <c r="AG66" s="45">
        <f t="shared" ref="AG66:AG96" si="28">IF(G66&lt;0,0,1.2)+IF(G66&lt;14,0,0.9)+IF(P66&lt;0,0.7,0)+IF(P66&lt;6.5,1,0)+IF(P66&lt;23,1,0)+IF(R66&gt;88,0,1)+S66+IF(AD66&lt;20,0,1)+IF(AE66&lt;14,0,1)+IF(AF66&lt;26,0,1)</f>
        <v>4.0999999999999996</v>
      </c>
      <c r="AH66" s="45">
        <f t="shared" ref="AH66:AH96" si="29">AG66+IF(AG66&gt;6,1,0)+IF(X66&lt;17,0,1)+IF(Y66&lt;11,0,1)+IF(Z66&lt;1.35,0,1)+AC66+AA66</f>
        <v>6.1</v>
      </c>
      <c r="AI66" s="45">
        <v>13</v>
      </c>
      <c r="AJ66" s="2">
        <f t="shared" ref="AJ66:AJ96" si="30">IF(AI66&gt;12.8,IF(AI66&gt;15.8,0.9,0.97),1)</f>
        <v>0.97</v>
      </c>
      <c r="AK66" s="45">
        <f t="shared" ref="AK66:AK96" si="31">(AG66*2.6+AH66)*AJ66*AQ66</f>
        <v>16.257199999999997</v>
      </c>
      <c r="AL66" s="2" t="str">
        <f t="shared" ref="AL66:AL96" si="32">D66</f>
        <v>Neg</v>
      </c>
      <c r="AM66" s="2" t="str">
        <f t="shared" si="21"/>
        <v>Shadowfax Technologi</v>
      </c>
      <c r="AN66" s="90">
        <v>22</v>
      </c>
      <c r="AO66" s="68">
        <v>24</v>
      </c>
      <c r="AP66" s="16">
        <f t="shared" ref="AP66:AP96" si="33">IF(AK66&gt;23.73,IF(Z66&lt;101,IF(Z66&lt;30,IF(Z66&lt;6,3,2),1),0),0)</f>
        <v>0</v>
      </c>
      <c r="AQ66" s="16">
        <v>1</v>
      </c>
      <c r="AR66" s="15">
        <f t="shared" ref="AR66:AR96" si="34">IF(AP66&gt;0,IF(AB66&gt;10,(AB66/Z66),10/Z66),0)</f>
        <v>0</v>
      </c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</row>
    <row r="67" spans="1:55">
      <c r="A67" s="68" t="s">
        <v>353</v>
      </c>
      <c r="B67" s="68" t="s">
        <v>354</v>
      </c>
      <c r="C67" s="68" t="s">
        <v>165</v>
      </c>
      <c r="D67" s="44" t="s">
        <v>82</v>
      </c>
      <c r="E67" s="68">
        <v>266.2</v>
      </c>
      <c r="F67" s="68">
        <v>1748.3</v>
      </c>
      <c r="G67" s="43">
        <f t="shared" si="24"/>
        <v>84.773780243665271</v>
      </c>
      <c r="H67" s="68">
        <v>2857.6</v>
      </c>
      <c r="I67" s="68">
        <v>220.6</v>
      </c>
      <c r="J67" s="68">
        <v>4.5</v>
      </c>
      <c r="K67" s="68">
        <v>13.74</v>
      </c>
      <c r="L67" s="68">
        <v>0</v>
      </c>
      <c r="M67" s="68">
        <v>398</v>
      </c>
      <c r="N67" s="68">
        <v>11.9</v>
      </c>
      <c r="O67" s="68">
        <v>2816.2</v>
      </c>
      <c r="P67" s="43">
        <f t="shared" si="25"/>
        <v>12.766092475067996</v>
      </c>
      <c r="Q67" s="68">
        <v>65.5</v>
      </c>
      <c r="R67" s="68">
        <v>109.12</v>
      </c>
      <c r="S67" s="43">
        <v>0</v>
      </c>
      <c r="T67" s="68">
        <v>2833.9</v>
      </c>
      <c r="U67" s="68">
        <v>1810.4</v>
      </c>
      <c r="V67" s="68">
        <v>1</v>
      </c>
      <c r="W67" s="68">
        <v>1</v>
      </c>
      <c r="X67" s="68">
        <v>4.41</v>
      </c>
      <c r="Y67" s="68">
        <v>1.1100000000000001</v>
      </c>
      <c r="Z67" s="68">
        <v>1.1000000000000001</v>
      </c>
      <c r="AA67" s="47">
        <f t="shared" si="26"/>
        <v>1</v>
      </c>
      <c r="AB67" s="68">
        <v>0</v>
      </c>
      <c r="AC67" s="48">
        <f t="shared" si="27"/>
        <v>0</v>
      </c>
      <c r="AD67" s="68">
        <v>-503.29</v>
      </c>
      <c r="AE67" s="68">
        <v>25.62</v>
      </c>
      <c r="AF67" s="68">
        <v>25.15</v>
      </c>
      <c r="AG67" s="45">
        <f t="shared" si="28"/>
        <v>4.0999999999999996</v>
      </c>
      <c r="AH67" s="45">
        <f t="shared" si="29"/>
        <v>5.0999999999999996</v>
      </c>
      <c r="AI67" s="45">
        <v>11</v>
      </c>
      <c r="AJ67" s="2">
        <f t="shared" si="30"/>
        <v>1</v>
      </c>
      <c r="AK67" s="45">
        <f t="shared" si="31"/>
        <v>15.76</v>
      </c>
      <c r="AL67" s="2" t="str">
        <f t="shared" si="32"/>
        <v>Neg</v>
      </c>
      <c r="AM67" s="2" t="str">
        <f t="shared" si="21"/>
        <v>Fractal Analytics Da</v>
      </c>
      <c r="AN67" s="91">
        <v>11</v>
      </c>
      <c r="AO67" s="68">
        <v>13</v>
      </c>
      <c r="AP67" s="16">
        <f t="shared" si="33"/>
        <v>0</v>
      </c>
      <c r="AQ67" s="16">
        <v>1</v>
      </c>
      <c r="AR67" s="15">
        <f t="shared" si="34"/>
        <v>0</v>
      </c>
      <c r="AS67" s="66" t="s">
        <v>203</v>
      </c>
      <c r="AT67" s="68"/>
      <c r="AU67" s="68"/>
      <c r="AV67" s="68"/>
      <c r="AW67" s="68"/>
      <c r="AX67" s="68"/>
      <c r="AY67" s="68"/>
      <c r="AZ67" s="68"/>
      <c r="BA67" s="68"/>
      <c r="BB67" s="68"/>
      <c r="BC67" s="68"/>
    </row>
    <row r="68" spans="1:55">
      <c r="A68" s="68" t="s">
        <v>355</v>
      </c>
      <c r="B68" s="68" t="s">
        <v>356</v>
      </c>
      <c r="C68" s="68" t="s">
        <v>165</v>
      </c>
      <c r="D68" s="44" t="s">
        <v>82</v>
      </c>
      <c r="E68" s="68">
        <v>4526.33</v>
      </c>
      <c r="F68" s="68">
        <v>1658.87</v>
      </c>
      <c r="G68" s="43">
        <v>-172.86</v>
      </c>
      <c r="H68" s="68">
        <v>6338.63</v>
      </c>
      <c r="I68" s="68">
        <v>175.25</v>
      </c>
      <c r="J68" s="68">
        <v>0</v>
      </c>
      <c r="K68" s="68">
        <v>9.14</v>
      </c>
      <c r="L68" s="68">
        <v>7.63</v>
      </c>
      <c r="M68" s="68">
        <v>0</v>
      </c>
      <c r="N68" s="68">
        <v>0</v>
      </c>
      <c r="O68" s="68">
        <v>1504.99</v>
      </c>
      <c r="P68" s="43">
        <v>8.59</v>
      </c>
      <c r="Q68" s="68">
        <v>14.11</v>
      </c>
      <c r="R68" s="68">
        <v>24.64</v>
      </c>
      <c r="S68" s="43">
        <v>0</v>
      </c>
      <c r="T68" s="68">
        <v>1010</v>
      </c>
      <c r="U68" s="68">
        <v>300</v>
      </c>
      <c r="V68" s="68">
        <v>1</v>
      </c>
      <c r="W68" s="68">
        <v>1</v>
      </c>
      <c r="X68" s="68">
        <v>0.74</v>
      </c>
      <c r="Y68" s="68">
        <v>0.04</v>
      </c>
      <c r="Z68" s="68">
        <v>0.71</v>
      </c>
      <c r="AA68" s="47">
        <f t="shared" si="26"/>
        <v>1</v>
      </c>
      <c r="AB68" s="68">
        <v>0</v>
      </c>
      <c r="AC68" s="48">
        <f t="shared" si="27"/>
        <v>0</v>
      </c>
      <c r="AD68" s="68">
        <v>2.08</v>
      </c>
      <c r="AE68" s="68">
        <v>40.42</v>
      </c>
      <c r="AF68" s="68">
        <v>34.58</v>
      </c>
      <c r="AG68" s="45">
        <f t="shared" si="28"/>
        <v>4</v>
      </c>
      <c r="AH68" s="45">
        <f t="shared" si="29"/>
        <v>5</v>
      </c>
      <c r="AI68" s="45">
        <v>12</v>
      </c>
      <c r="AJ68" s="2">
        <f t="shared" si="30"/>
        <v>1</v>
      </c>
      <c r="AK68" s="45">
        <f t="shared" si="31"/>
        <v>15.4</v>
      </c>
      <c r="AL68" s="2" t="str">
        <f t="shared" si="32"/>
        <v>Neg</v>
      </c>
      <c r="AM68" s="2" t="str">
        <f t="shared" si="21"/>
        <v>Aye Finance Date, Pr</v>
      </c>
      <c r="AN68" s="91">
        <v>11</v>
      </c>
      <c r="AO68" s="68">
        <v>13</v>
      </c>
      <c r="AP68" s="16">
        <f t="shared" si="33"/>
        <v>0</v>
      </c>
      <c r="AQ68" s="16">
        <v>1</v>
      </c>
      <c r="AR68" s="15">
        <f t="shared" si="34"/>
        <v>0</v>
      </c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</row>
    <row r="69" spans="1:55">
      <c r="A69" s="68" t="s">
        <v>357</v>
      </c>
      <c r="B69" s="68" t="s">
        <v>358</v>
      </c>
      <c r="C69" s="68" t="s">
        <v>165</v>
      </c>
      <c r="D69" s="68" t="s">
        <v>59</v>
      </c>
      <c r="E69" s="68">
        <v>18.93</v>
      </c>
      <c r="F69" s="68">
        <v>46.3</v>
      </c>
      <c r="G69" s="43">
        <v>59.11</v>
      </c>
      <c r="H69" s="68">
        <v>88.51</v>
      </c>
      <c r="I69" s="68">
        <v>19.13</v>
      </c>
      <c r="J69" s="68">
        <v>25.14</v>
      </c>
      <c r="K69" s="68">
        <v>3.12</v>
      </c>
      <c r="L69" s="68">
        <v>21.25</v>
      </c>
      <c r="M69" s="68">
        <v>28.63</v>
      </c>
      <c r="N69" s="68">
        <v>38.29</v>
      </c>
      <c r="O69" s="68">
        <v>70.959999999999994</v>
      </c>
      <c r="P69" s="43">
        <v>3.71</v>
      </c>
      <c r="Q69" s="68">
        <v>25.36</v>
      </c>
      <c r="R69" s="68">
        <v>22.99</v>
      </c>
      <c r="S69" s="43">
        <v>0</v>
      </c>
      <c r="T69" s="68">
        <v>165</v>
      </c>
      <c r="U69" s="68">
        <v>75</v>
      </c>
      <c r="V69" s="68">
        <v>1</v>
      </c>
      <c r="W69" s="68">
        <v>1</v>
      </c>
      <c r="X69" s="68">
        <v>0</v>
      </c>
      <c r="Y69" s="68">
        <v>0</v>
      </c>
      <c r="Z69" s="68">
        <v>2</v>
      </c>
      <c r="AA69" s="47">
        <f t="shared" si="26"/>
        <v>1</v>
      </c>
      <c r="AB69" s="68">
        <v>5.0599999999999996</v>
      </c>
      <c r="AC69" s="48">
        <f t="shared" si="27"/>
        <v>1.6866666666666665</v>
      </c>
      <c r="AD69" s="68">
        <v>85.37</v>
      </c>
      <c r="AE69" s="68">
        <v>47.37</v>
      </c>
      <c r="AF69" s="68">
        <v>71.55</v>
      </c>
      <c r="AG69" s="45">
        <f t="shared" si="28"/>
        <v>8.1</v>
      </c>
      <c r="AH69" s="45">
        <f t="shared" si="29"/>
        <v>12.786666666666665</v>
      </c>
      <c r="AI69" s="45">
        <v>13</v>
      </c>
      <c r="AJ69" s="2">
        <f t="shared" si="30"/>
        <v>0.97</v>
      </c>
      <c r="AK69" s="45">
        <f t="shared" si="31"/>
        <v>32.831266666666664</v>
      </c>
      <c r="AL69" s="2" t="str">
        <f t="shared" si="32"/>
        <v>Pos</v>
      </c>
      <c r="AM69" s="2" t="s">
        <v>358</v>
      </c>
      <c r="AN69" s="91">
        <v>24</v>
      </c>
      <c r="AO69" s="68">
        <v>25</v>
      </c>
      <c r="AP69" s="16">
        <f t="shared" si="33"/>
        <v>3</v>
      </c>
      <c r="AQ69" s="16">
        <v>1</v>
      </c>
      <c r="AR69" s="15">
        <f t="shared" si="34"/>
        <v>5</v>
      </c>
      <c r="AS69" s="68">
        <v>1</v>
      </c>
      <c r="AT69" s="68">
        <v>27</v>
      </c>
      <c r="AU69" s="68"/>
      <c r="AV69" s="68"/>
      <c r="AW69" s="68"/>
      <c r="AX69" s="68"/>
      <c r="AY69" s="68"/>
      <c r="AZ69" s="68"/>
      <c r="BA69" s="68"/>
      <c r="BB69" s="68"/>
      <c r="BC69" s="68"/>
    </row>
    <row r="70" spans="1:55">
      <c r="A70" s="68" t="s">
        <v>359</v>
      </c>
      <c r="B70" s="68" t="s">
        <v>360</v>
      </c>
      <c r="C70" s="68" t="s">
        <v>165</v>
      </c>
      <c r="D70" s="68" t="s">
        <v>82</v>
      </c>
      <c r="E70" s="68">
        <v>62.48</v>
      </c>
      <c r="F70" s="68">
        <v>74.03</v>
      </c>
      <c r="G70" s="43">
        <v>15.6</v>
      </c>
      <c r="H70" s="68">
        <v>194.2</v>
      </c>
      <c r="I70" s="68">
        <v>8</v>
      </c>
      <c r="J70" s="68">
        <v>5.3</v>
      </c>
      <c r="K70" s="68">
        <v>2.72</v>
      </c>
      <c r="L70" s="68">
        <v>0</v>
      </c>
      <c r="M70" s="68">
        <v>21.85</v>
      </c>
      <c r="N70" s="68">
        <v>12.9</v>
      </c>
      <c r="O70" s="68">
        <v>256.32</v>
      </c>
      <c r="P70" s="43">
        <v>32.04</v>
      </c>
      <c r="Q70" s="68">
        <v>38.21</v>
      </c>
      <c r="R70" s="68">
        <v>29.69</v>
      </c>
      <c r="S70" s="43">
        <v>-0.9</v>
      </c>
      <c r="T70" s="68">
        <v>110.24</v>
      </c>
      <c r="U70" s="68">
        <v>0</v>
      </c>
      <c r="V70" s="68">
        <v>0</v>
      </c>
      <c r="W70" s="68">
        <v>0</v>
      </c>
      <c r="X70" s="68">
        <v>3.94</v>
      </c>
      <c r="Y70" s="68">
        <v>220</v>
      </c>
      <c r="Z70" s="68">
        <v>75</v>
      </c>
      <c r="AA70" s="47">
        <f t="shared" si="26"/>
        <v>-1</v>
      </c>
      <c r="AB70" s="68">
        <v>0</v>
      </c>
      <c r="AC70" s="48">
        <f t="shared" si="27"/>
        <v>0</v>
      </c>
      <c r="AD70" s="68">
        <v>22.14</v>
      </c>
      <c r="AE70" s="68">
        <v>10.62</v>
      </c>
      <c r="AF70" s="68">
        <v>10.82</v>
      </c>
      <c r="AG70" s="45">
        <f t="shared" si="28"/>
        <v>3.2</v>
      </c>
      <c r="AH70" s="45">
        <f t="shared" si="29"/>
        <v>4.2</v>
      </c>
      <c r="AI70" s="45">
        <v>14</v>
      </c>
      <c r="AJ70" s="2">
        <f t="shared" si="30"/>
        <v>0.97</v>
      </c>
      <c r="AK70" s="45">
        <f t="shared" si="31"/>
        <v>12.144399999999999</v>
      </c>
      <c r="AL70" s="2" t="str">
        <f t="shared" si="32"/>
        <v>Neg</v>
      </c>
      <c r="AM70" s="74" t="s">
        <v>360</v>
      </c>
      <c r="AN70" s="91">
        <v>25</v>
      </c>
      <c r="AO70" s="68">
        <v>26</v>
      </c>
      <c r="AP70" s="16">
        <f t="shared" si="33"/>
        <v>0</v>
      </c>
      <c r="AQ70" s="16">
        <v>1</v>
      </c>
      <c r="AR70" s="15">
        <f t="shared" si="34"/>
        <v>0</v>
      </c>
      <c r="AS70" s="68"/>
      <c r="AT70" s="68">
        <v>30</v>
      </c>
      <c r="AU70" s="68"/>
      <c r="AV70" s="68"/>
      <c r="AW70" s="68"/>
      <c r="AX70" s="68"/>
      <c r="AY70" s="68"/>
      <c r="AZ70" s="68"/>
      <c r="BA70" s="68"/>
      <c r="BB70" s="68"/>
      <c r="BC70" s="68"/>
    </row>
    <row r="71" spans="1:55">
      <c r="A71" s="68" t="s">
        <v>361</v>
      </c>
      <c r="B71" s="68" t="s">
        <v>362</v>
      </c>
      <c r="C71" s="68" t="s">
        <v>165</v>
      </c>
      <c r="D71" s="68" t="s">
        <v>82</v>
      </c>
      <c r="E71" s="68">
        <v>7973.7</v>
      </c>
      <c r="F71" s="68">
        <v>2545.44</v>
      </c>
      <c r="G71" s="43">
        <v>-213.25</v>
      </c>
      <c r="H71" s="68">
        <v>13279.25</v>
      </c>
      <c r="I71" s="68">
        <v>19.43</v>
      </c>
      <c r="J71" s="68">
        <v>0</v>
      </c>
      <c r="K71" s="68">
        <v>1.84</v>
      </c>
      <c r="L71" s="68">
        <v>0.43</v>
      </c>
      <c r="M71" s="68">
        <v>1015.07</v>
      </c>
      <c r="N71" s="68">
        <v>0</v>
      </c>
      <c r="O71" s="68">
        <v>1610.34</v>
      </c>
      <c r="P71" s="43">
        <v>82.88</v>
      </c>
      <c r="Q71" s="68">
        <v>634.34</v>
      </c>
      <c r="R71" s="68">
        <v>324.27999999999997</v>
      </c>
      <c r="S71" s="43">
        <v>0</v>
      </c>
      <c r="T71" s="68">
        <v>3100</v>
      </c>
      <c r="U71" s="68">
        <v>1900</v>
      </c>
      <c r="V71" s="68">
        <v>1</v>
      </c>
      <c r="W71" s="68">
        <v>1</v>
      </c>
      <c r="X71" s="68">
        <v>1.42</v>
      </c>
      <c r="Y71" s="68">
        <v>0.48</v>
      </c>
      <c r="Z71" s="68">
        <v>0.05</v>
      </c>
      <c r="AA71" s="47">
        <f t="shared" si="26"/>
        <v>1</v>
      </c>
      <c r="AB71" s="68">
        <v>0</v>
      </c>
      <c r="AC71" s="48">
        <f t="shared" si="27"/>
        <v>0</v>
      </c>
      <c r="AD71" s="68">
        <v>-151.62</v>
      </c>
      <c r="AE71" s="68">
        <v>12.98</v>
      </c>
      <c r="AF71" s="68">
        <v>40.020000000000003</v>
      </c>
      <c r="AG71" s="45">
        <f t="shared" si="28"/>
        <v>1</v>
      </c>
      <c r="AH71" s="45">
        <f t="shared" si="29"/>
        <v>2</v>
      </c>
      <c r="AI71" s="45">
        <v>14</v>
      </c>
      <c r="AJ71" s="2">
        <f t="shared" si="30"/>
        <v>0.97</v>
      </c>
      <c r="AK71" s="45">
        <f t="shared" si="31"/>
        <v>4.4619999999999997</v>
      </c>
      <c r="AL71" s="2" t="str">
        <f t="shared" si="32"/>
        <v>Neg</v>
      </c>
      <c r="AM71" s="2" t="s">
        <v>362</v>
      </c>
      <c r="AN71" s="91">
        <v>25</v>
      </c>
      <c r="AO71" s="68">
        <v>26</v>
      </c>
      <c r="AP71" s="16">
        <f t="shared" si="33"/>
        <v>0</v>
      </c>
      <c r="AQ71" s="16">
        <v>1</v>
      </c>
      <c r="AR71" s="15">
        <f t="shared" si="34"/>
        <v>0</v>
      </c>
      <c r="AS71" s="68"/>
      <c r="AT71" s="68">
        <v>30</v>
      </c>
      <c r="AU71" s="68"/>
      <c r="AV71" s="68"/>
      <c r="AW71" s="68"/>
      <c r="AX71" s="68"/>
      <c r="AY71" s="68"/>
      <c r="AZ71" s="68"/>
      <c r="BA71" s="68"/>
      <c r="BB71" s="68"/>
      <c r="BC71" s="68"/>
    </row>
    <row r="72" spans="1:55">
      <c r="A72" s="68" t="s">
        <v>363</v>
      </c>
      <c r="B72" s="68" t="s">
        <v>364</v>
      </c>
      <c r="C72" s="68" t="s">
        <v>165</v>
      </c>
      <c r="D72" s="68" t="s">
        <v>59</v>
      </c>
      <c r="E72" s="68">
        <v>90.65</v>
      </c>
      <c r="F72" s="68">
        <v>100.19</v>
      </c>
      <c r="G72" s="43">
        <v>9.52</v>
      </c>
      <c r="H72" s="68">
        <v>226.84</v>
      </c>
      <c r="I72" s="68">
        <v>59.47</v>
      </c>
      <c r="J72" s="68">
        <v>12.85</v>
      </c>
      <c r="K72" s="68">
        <v>35.21</v>
      </c>
      <c r="L72" s="68">
        <v>18.3</v>
      </c>
      <c r="M72" s="68">
        <v>79.61</v>
      </c>
      <c r="N72" s="68">
        <v>19.649999999999999</v>
      </c>
      <c r="O72" s="68">
        <v>259.11</v>
      </c>
      <c r="P72" s="43">
        <v>4.3600000000000003</v>
      </c>
      <c r="Q72" s="68">
        <v>10.96</v>
      </c>
      <c r="R72" s="68">
        <v>0</v>
      </c>
      <c r="S72" s="43">
        <v>-0.9</v>
      </c>
      <c r="T72" s="68">
        <v>380</v>
      </c>
      <c r="U72" s="68">
        <v>0</v>
      </c>
      <c r="V72" s="68">
        <v>1</v>
      </c>
      <c r="W72" s="68">
        <v>1</v>
      </c>
      <c r="X72" s="68">
        <v>1.1000000000000001</v>
      </c>
      <c r="Y72" s="68">
        <v>1.57</v>
      </c>
      <c r="Z72" s="68">
        <v>1.22</v>
      </c>
      <c r="AA72" s="47">
        <f t="shared" si="26"/>
        <v>0</v>
      </c>
      <c r="AB72" s="68">
        <v>0</v>
      </c>
      <c r="AC72" s="48">
        <f t="shared" si="27"/>
        <v>0</v>
      </c>
      <c r="AD72" s="68">
        <v>40.229999999999997</v>
      </c>
      <c r="AE72" s="68">
        <v>32.04</v>
      </c>
      <c r="AF72" s="68">
        <v>-451.54</v>
      </c>
      <c r="AG72" s="45">
        <f t="shared" si="28"/>
        <v>5.3000000000000007</v>
      </c>
      <c r="AH72" s="45">
        <f t="shared" si="29"/>
        <v>5.3000000000000007</v>
      </c>
      <c r="AI72" s="45">
        <v>15</v>
      </c>
      <c r="AJ72" s="2">
        <f t="shared" si="30"/>
        <v>0.97</v>
      </c>
      <c r="AK72" s="45">
        <f t="shared" si="31"/>
        <v>18.507600000000004</v>
      </c>
      <c r="AL72" s="2" t="str">
        <f t="shared" si="32"/>
        <v>Pos</v>
      </c>
      <c r="AM72" s="74" t="s">
        <v>364</v>
      </c>
      <c r="AN72" s="91">
        <v>26</v>
      </c>
      <c r="AO72" s="68">
        <v>27</v>
      </c>
      <c r="AP72" s="16">
        <f t="shared" si="33"/>
        <v>0</v>
      </c>
      <c r="AQ72" s="16">
        <v>1</v>
      </c>
      <c r="AR72" s="15">
        <f t="shared" si="34"/>
        <v>0</v>
      </c>
      <c r="AS72" s="68"/>
      <c r="AT72" s="68">
        <v>1</v>
      </c>
      <c r="AU72" s="68"/>
      <c r="AV72" s="68"/>
      <c r="AW72" s="68"/>
      <c r="AX72" s="68"/>
      <c r="AY72" s="68"/>
      <c r="AZ72" s="68"/>
      <c r="BA72" s="68"/>
      <c r="BB72" s="68"/>
      <c r="BC72" s="68"/>
    </row>
    <row r="73" spans="1:55">
      <c r="A73" s="68" t="s">
        <v>365</v>
      </c>
      <c r="B73" s="68" t="s">
        <v>366</v>
      </c>
      <c r="C73" s="68" t="s">
        <v>165</v>
      </c>
      <c r="D73" s="68" t="s">
        <v>82</v>
      </c>
      <c r="E73" s="68">
        <v>330.63</v>
      </c>
      <c r="F73" s="68">
        <v>204.44</v>
      </c>
      <c r="G73" s="43">
        <v>-61.72</v>
      </c>
      <c r="H73" s="68">
        <v>626.33000000000004</v>
      </c>
      <c r="I73" s="68">
        <v>43.87</v>
      </c>
      <c r="J73" s="68">
        <v>11.74</v>
      </c>
      <c r="K73" s="68">
        <v>4.17</v>
      </c>
      <c r="L73" s="68">
        <v>12.07</v>
      </c>
      <c r="M73" s="68">
        <v>117.65</v>
      </c>
      <c r="N73" s="68">
        <v>30.72</v>
      </c>
      <c r="O73" s="68">
        <v>349.71</v>
      </c>
      <c r="P73" s="43">
        <v>7.97</v>
      </c>
      <c r="Q73" s="68">
        <v>54.47</v>
      </c>
      <c r="R73" s="68">
        <v>50.53</v>
      </c>
      <c r="S73" s="43">
        <v>0</v>
      </c>
      <c r="T73" s="68">
        <v>583</v>
      </c>
      <c r="U73" s="68">
        <v>165</v>
      </c>
      <c r="V73" s="68">
        <v>1</v>
      </c>
      <c r="W73" s="68">
        <v>1</v>
      </c>
      <c r="X73" s="68">
        <v>3</v>
      </c>
      <c r="Y73" s="68">
        <v>0.77</v>
      </c>
      <c r="Z73" s="68">
        <v>0.35</v>
      </c>
      <c r="AA73" s="47">
        <f t="shared" si="26"/>
        <v>1</v>
      </c>
      <c r="AB73" s="68">
        <v>0</v>
      </c>
      <c r="AC73" s="48">
        <f t="shared" si="27"/>
        <v>0</v>
      </c>
      <c r="AD73" s="68">
        <v>131.99</v>
      </c>
      <c r="AE73" s="68">
        <v>92.2</v>
      </c>
      <c r="AF73" s="68">
        <v>159.41</v>
      </c>
      <c r="AG73" s="45">
        <f t="shared" si="28"/>
        <v>5</v>
      </c>
      <c r="AH73" s="45">
        <f t="shared" si="29"/>
        <v>6</v>
      </c>
      <c r="AI73" s="45">
        <v>16</v>
      </c>
      <c r="AJ73" s="2">
        <f t="shared" si="30"/>
        <v>0.9</v>
      </c>
      <c r="AK73" s="45">
        <f t="shared" si="31"/>
        <v>17.100000000000001</v>
      </c>
      <c r="AL73" s="2" t="str">
        <f t="shared" si="32"/>
        <v>Neg</v>
      </c>
      <c r="AM73" s="2" t="s">
        <v>366</v>
      </c>
      <c r="AN73" s="91">
        <v>27</v>
      </c>
      <c r="AO73" s="68">
        <v>30</v>
      </c>
      <c r="AP73" s="16">
        <f t="shared" si="33"/>
        <v>0</v>
      </c>
      <c r="AQ73" s="16">
        <v>1</v>
      </c>
      <c r="AR73" s="15">
        <f t="shared" si="34"/>
        <v>0</v>
      </c>
      <c r="AS73" s="68"/>
      <c r="AT73" s="68">
        <v>1</v>
      </c>
      <c r="AU73" s="68"/>
      <c r="AV73" s="68"/>
      <c r="AW73" s="68"/>
      <c r="AX73" s="68"/>
      <c r="AY73" s="68"/>
      <c r="AZ73" s="68"/>
      <c r="BA73" s="68"/>
      <c r="BB73" s="68"/>
      <c r="BC73" s="68"/>
    </row>
    <row r="74" spans="1:55">
      <c r="A74" s="68" t="s">
        <v>367</v>
      </c>
      <c r="B74" s="68" t="s">
        <v>368</v>
      </c>
      <c r="C74" s="68" t="s">
        <v>165</v>
      </c>
      <c r="D74" s="68" t="s">
        <v>59</v>
      </c>
      <c r="E74" s="68">
        <v>49.62</v>
      </c>
      <c r="F74" s="68">
        <v>303.88</v>
      </c>
      <c r="G74" s="43">
        <v>83.67</v>
      </c>
      <c r="H74" s="68">
        <v>491.16</v>
      </c>
      <c r="I74" s="68">
        <v>47.05</v>
      </c>
      <c r="J74" s="68">
        <v>7.15</v>
      </c>
      <c r="K74" s="68">
        <v>10.76</v>
      </c>
      <c r="L74" s="68">
        <v>22.01</v>
      </c>
      <c r="M74" s="68">
        <v>125.07</v>
      </c>
      <c r="N74" s="68">
        <v>19</v>
      </c>
      <c r="O74" s="68">
        <v>662.54</v>
      </c>
      <c r="P74" s="43">
        <v>14.08</v>
      </c>
      <c r="Q74" s="68">
        <v>125.69</v>
      </c>
      <c r="R74" s="68">
        <v>86.61</v>
      </c>
      <c r="S74" s="43">
        <v>0.7</v>
      </c>
      <c r="T74" s="68">
        <v>1087.45</v>
      </c>
      <c r="U74" s="68">
        <v>0</v>
      </c>
      <c r="V74" s="68">
        <v>0</v>
      </c>
      <c r="W74" s="68">
        <v>1</v>
      </c>
      <c r="X74" s="68">
        <v>7</v>
      </c>
      <c r="Y74" s="68">
        <v>0.4</v>
      </c>
      <c r="Z74" s="68">
        <v>0.5</v>
      </c>
      <c r="AA74" s="47">
        <f t="shared" si="26"/>
        <v>1</v>
      </c>
      <c r="AB74" s="68">
        <v>1</v>
      </c>
      <c r="AC74" s="48">
        <f t="shared" si="27"/>
        <v>0.33333333333333331</v>
      </c>
      <c r="AD74" s="68">
        <v>700.17</v>
      </c>
      <c r="AE74" s="68">
        <v>23.63</v>
      </c>
      <c r="AF74" s="68">
        <v>144.22</v>
      </c>
      <c r="AG74" s="45">
        <f t="shared" si="28"/>
        <v>7.8</v>
      </c>
      <c r="AH74" s="45">
        <f t="shared" si="29"/>
        <v>10.133333333333335</v>
      </c>
      <c r="AI74" s="45">
        <v>17</v>
      </c>
      <c r="AJ74" s="2">
        <f t="shared" si="30"/>
        <v>0.9</v>
      </c>
      <c r="AK74" s="45">
        <f t="shared" si="31"/>
        <v>27.372</v>
      </c>
      <c r="AL74" s="2" t="str">
        <f t="shared" si="32"/>
        <v>Pos</v>
      </c>
      <c r="AM74" s="2" t="s">
        <v>368</v>
      </c>
      <c r="AN74" s="90">
        <v>6</v>
      </c>
      <c r="AO74" s="68">
        <v>9</v>
      </c>
      <c r="AP74" s="16">
        <f t="shared" si="33"/>
        <v>3</v>
      </c>
      <c r="AQ74" s="16">
        <v>1</v>
      </c>
      <c r="AR74" s="15">
        <f t="shared" si="34"/>
        <v>20</v>
      </c>
      <c r="AS74" s="66" t="s">
        <v>230</v>
      </c>
      <c r="AT74" s="68">
        <v>11</v>
      </c>
      <c r="AU74" s="68"/>
      <c r="AV74" s="68"/>
      <c r="AW74" s="68"/>
      <c r="AX74" s="68"/>
      <c r="AY74" s="68"/>
      <c r="AZ74" s="68"/>
      <c r="BA74" s="68"/>
      <c r="BB74" s="68"/>
      <c r="BC74" s="68"/>
    </row>
    <row r="75" spans="1:55">
      <c r="A75" s="68" t="s">
        <v>369</v>
      </c>
      <c r="B75" s="68" t="s">
        <v>370</v>
      </c>
      <c r="C75" s="68" t="s">
        <v>165</v>
      </c>
      <c r="D75" s="68" t="s">
        <v>82</v>
      </c>
      <c r="E75" s="68">
        <v>99.75</v>
      </c>
      <c r="F75" s="68">
        <v>151.94999999999999</v>
      </c>
      <c r="G75" s="43">
        <v>34.35</v>
      </c>
      <c r="H75" s="68">
        <v>420.36</v>
      </c>
      <c r="I75" s="68">
        <v>39.85</v>
      </c>
      <c r="J75" s="68">
        <v>4.87</v>
      </c>
      <c r="K75" s="68">
        <v>5.78</v>
      </c>
      <c r="L75" s="68">
        <v>14.86</v>
      </c>
      <c r="M75" s="68">
        <v>73.790000000000006</v>
      </c>
      <c r="N75" s="68">
        <v>9.16</v>
      </c>
      <c r="O75" s="68">
        <v>937.49</v>
      </c>
      <c r="P75" s="43">
        <v>23.53</v>
      </c>
      <c r="Q75" s="68">
        <v>21.1</v>
      </c>
      <c r="R75" s="68">
        <v>20.88</v>
      </c>
      <c r="S75" s="43">
        <v>-0.9</v>
      </c>
      <c r="T75" s="68">
        <v>254.98</v>
      </c>
      <c r="U75" s="68">
        <v>76.25</v>
      </c>
      <c r="V75" s="68">
        <v>0</v>
      </c>
      <c r="W75" s="68">
        <v>1</v>
      </c>
      <c r="X75" s="68">
        <v>17</v>
      </c>
      <c r="Y75" s="68">
        <v>12</v>
      </c>
      <c r="Z75" s="68">
        <v>1</v>
      </c>
      <c r="AA75" s="47">
        <f t="shared" si="26"/>
        <v>1</v>
      </c>
      <c r="AB75" s="68">
        <v>2</v>
      </c>
      <c r="AC75" s="48">
        <f t="shared" si="27"/>
        <v>0.66666666666666663</v>
      </c>
      <c r="AD75" s="68">
        <v>25.99</v>
      </c>
      <c r="AE75" s="68">
        <v>2.4</v>
      </c>
      <c r="AF75" s="68">
        <v>35.340000000000003</v>
      </c>
      <c r="AG75" s="45">
        <f t="shared" si="28"/>
        <v>4.2</v>
      </c>
      <c r="AH75" s="45">
        <f t="shared" si="29"/>
        <v>7.8666666666666671</v>
      </c>
      <c r="AI75" s="45">
        <v>18</v>
      </c>
      <c r="AJ75" s="2">
        <f t="shared" si="30"/>
        <v>0.9</v>
      </c>
      <c r="AK75" s="45">
        <f t="shared" si="31"/>
        <v>16.908000000000001</v>
      </c>
      <c r="AL75" s="2" t="str">
        <f t="shared" si="32"/>
        <v>Neg</v>
      </c>
      <c r="AM75" s="2" t="s">
        <v>370</v>
      </c>
      <c r="AN75" s="90">
        <v>11</v>
      </c>
      <c r="AO75" s="68">
        <v>12</v>
      </c>
      <c r="AP75" s="16">
        <f t="shared" si="33"/>
        <v>0</v>
      </c>
      <c r="AQ75" s="16">
        <v>1</v>
      </c>
      <c r="AR75" s="15">
        <f t="shared" si="34"/>
        <v>0</v>
      </c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</row>
    <row r="76" spans="1:55">
      <c r="A76" s="68" t="s">
        <v>371</v>
      </c>
      <c r="B76" s="68" t="s">
        <v>372</v>
      </c>
      <c r="C76" s="68" t="s">
        <v>165</v>
      </c>
      <c r="D76" s="68" t="s">
        <v>82</v>
      </c>
      <c r="E76" s="68">
        <v>79.05</v>
      </c>
      <c r="F76" s="68">
        <v>81.88</v>
      </c>
      <c r="G76" s="43">
        <v>3.46</v>
      </c>
      <c r="H76" s="68">
        <v>220.3</v>
      </c>
      <c r="I76" s="68">
        <v>29.02</v>
      </c>
      <c r="J76" s="68">
        <v>4.17</v>
      </c>
      <c r="K76" s="68">
        <v>15.36</v>
      </c>
      <c r="L76" s="68">
        <v>19.55</v>
      </c>
      <c r="M76" s="68">
        <v>51.75</v>
      </c>
      <c r="N76" s="68">
        <v>6.34</v>
      </c>
      <c r="O76" s="68">
        <v>895.95</v>
      </c>
      <c r="P76" s="43">
        <v>30.87</v>
      </c>
      <c r="Q76" s="68">
        <v>35.69</v>
      </c>
      <c r="R76" s="68">
        <v>32.26</v>
      </c>
      <c r="S76" s="43">
        <v>-0.9</v>
      </c>
      <c r="T76" s="68">
        <v>322.83999999999997</v>
      </c>
      <c r="U76" s="68">
        <v>67.839999999999975</v>
      </c>
      <c r="V76" s="68">
        <v>0</v>
      </c>
      <c r="W76" s="68">
        <v>0</v>
      </c>
      <c r="X76" s="68">
        <v>17</v>
      </c>
      <c r="Y76" s="68">
        <v>8</v>
      </c>
      <c r="Z76" s="68">
        <v>2</v>
      </c>
      <c r="AA76" s="47">
        <f t="shared" si="26"/>
        <v>1</v>
      </c>
      <c r="AB76" s="68">
        <v>0.5</v>
      </c>
      <c r="AC76" s="48">
        <f t="shared" si="27"/>
        <v>0.16666666666666666</v>
      </c>
      <c r="AD76" s="68">
        <v>182.57</v>
      </c>
      <c r="AE76" s="68">
        <v>74.95</v>
      </c>
      <c r="AF76" s="68">
        <v>56.41</v>
      </c>
      <c r="AG76" s="45">
        <f t="shared" si="28"/>
        <v>4.3000000000000007</v>
      </c>
      <c r="AH76" s="45">
        <f t="shared" si="29"/>
        <v>7.4666666666666677</v>
      </c>
      <c r="AI76" s="45">
        <v>18</v>
      </c>
      <c r="AJ76" s="2">
        <f t="shared" si="30"/>
        <v>0.9</v>
      </c>
      <c r="AK76" s="45">
        <f t="shared" si="31"/>
        <v>16.782000000000004</v>
      </c>
      <c r="AL76" s="2" t="str">
        <f t="shared" si="32"/>
        <v>Neg</v>
      </c>
      <c r="AM76" s="2" t="s">
        <v>372</v>
      </c>
      <c r="AN76" s="90">
        <v>12</v>
      </c>
      <c r="AO76" s="68">
        <v>13</v>
      </c>
      <c r="AP76" s="16">
        <f t="shared" si="33"/>
        <v>0</v>
      </c>
      <c r="AQ76" s="16">
        <v>1</v>
      </c>
      <c r="AR76" s="15">
        <f t="shared" si="34"/>
        <v>0</v>
      </c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</row>
    <row r="77" spans="1:55">
      <c r="A77" s="68" t="s">
        <v>373</v>
      </c>
      <c r="B77" s="68" t="s">
        <v>374</v>
      </c>
      <c r="C77" s="68" t="s">
        <v>165</v>
      </c>
      <c r="D77" s="68" t="s">
        <v>59</v>
      </c>
      <c r="E77" s="68">
        <v>295.60000000000002</v>
      </c>
      <c r="F77" s="68">
        <v>450.03</v>
      </c>
      <c r="G77" s="43">
        <v>34.32</v>
      </c>
      <c r="H77" s="68">
        <v>1228.5</v>
      </c>
      <c r="I77" s="68">
        <v>81.42</v>
      </c>
      <c r="J77" s="68">
        <v>9.56</v>
      </c>
      <c r="K77" s="68">
        <v>20.87</v>
      </c>
      <c r="L77" s="68">
        <v>15.62</v>
      </c>
      <c r="M77" s="68">
        <v>164.03</v>
      </c>
      <c r="N77" s="68">
        <v>16.45</v>
      </c>
      <c r="O77" s="68">
        <v>1301.06</v>
      </c>
      <c r="P77" s="43">
        <v>15.98</v>
      </c>
      <c r="Q77" s="68">
        <v>15.34</v>
      </c>
      <c r="R77" s="68">
        <v>9.18</v>
      </c>
      <c r="S77" s="43">
        <v>0.7</v>
      </c>
      <c r="T77" s="68">
        <v>400</v>
      </c>
      <c r="U77" s="68">
        <v>160</v>
      </c>
      <c r="V77" s="68">
        <v>1</v>
      </c>
      <c r="W77" s="68">
        <v>1</v>
      </c>
      <c r="X77" s="68">
        <v>2.66</v>
      </c>
      <c r="Y77" s="68">
        <v>3.14</v>
      </c>
      <c r="Z77" s="68">
        <v>0.42</v>
      </c>
      <c r="AA77" s="47">
        <f t="shared" si="26"/>
        <v>0</v>
      </c>
      <c r="AB77" s="68">
        <v>0.62</v>
      </c>
      <c r="AC77" s="48">
        <f t="shared" si="27"/>
        <v>0.20666666666666667</v>
      </c>
      <c r="AD77" s="68">
        <v>46.6</v>
      </c>
      <c r="AE77" s="68">
        <v>12.33</v>
      </c>
      <c r="AF77" s="68">
        <v>21.48</v>
      </c>
      <c r="AG77" s="45">
        <f t="shared" si="28"/>
        <v>5.8</v>
      </c>
      <c r="AH77" s="45">
        <f t="shared" si="29"/>
        <v>6.0066666666666668</v>
      </c>
      <c r="AI77" s="45">
        <v>18</v>
      </c>
      <c r="AJ77" s="2">
        <f t="shared" si="30"/>
        <v>0.9</v>
      </c>
      <c r="AK77" s="45">
        <f t="shared" si="31"/>
        <v>18.978000000000002</v>
      </c>
      <c r="AL77" s="2" t="str">
        <f t="shared" si="32"/>
        <v>Pos</v>
      </c>
      <c r="AM77" s="2" t="s">
        <v>374</v>
      </c>
      <c r="AN77" s="90">
        <v>18</v>
      </c>
      <c r="AO77" s="68">
        <v>19</v>
      </c>
      <c r="AP77" s="16">
        <f t="shared" si="33"/>
        <v>0</v>
      </c>
      <c r="AQ77" s="16">
        <v>1</v>
      </c>
      <c r="AR77" s="15">
        <f t="shared" si="34"/>
        <v>0</v>
      </c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</row>
    <row r="78" spans="1:55">
      <c r="A78" s="68" t="s">
        <v>375</v>
      </c>
      <c r="B78" s="68" t="s">
        <v>376</v>
      </c>
      <c r="C78" s="68" t="s">
        <v>165</v>
      </c>
      <c r="D78" s="68" t="s">
        <v>99</v>
      </c>
      <c r="E78" s="68">
        <v>0</v>
      </c>
      <c r="F78" s="68">
        <v>2041.85</v>
      </c>
      <c r="G78" s="43">
        <v>100</v>
      </c>
      <c r="H78" s="68">
        <v>2682.8</v>
      </c>
      <c r="I78" s="68">
        <v>666.91</v>
      </c>
      <c r="J78" s="68">
        <v>27.6</v>
      </c>
      <c r="K78" s="68">
        <v>9.34</v>
      </c>
      <c r="L78" s="68">
        <v>0</v>
      </c>
      <c r="M78" s="68">
        <v>915.71</v>
      </c>
      <c r="N78" s="68">
        <v>38.5</v>
      </c>
      <c r="O78" s="68">
        <v>2177.5300000000002</v>
      </c>
      <c r="P78" s="43">
        <v>3.27</v>
      </c>
      <c r="Q78" s="68">
        <v>18.41</v>
      </c>
      <c r="R78" s="68">
        <v>21.65</v>
      </c>
      <c r="S78" s="43">
        <v>-0.9</v>
      </c>
      <c r="T78" s="68">
        <v>1842.12</v>
      </c>
      <c r="U78" s="68">
        <v>0</v>
      </c>
      <c r="V78" s="68">
        <v>1</v>
      </c>
      <c r="W78" s="68">
        <v>1</v>
      </c>
      <c r="X78" s="68">
        <v>3.48</v>
      </c>
      <c r="Y78" s="68">
        <v>0.35</v>
      </c>
      <c r="Z78" s="68">
        <v>0.35</v>
      </c>
      <c r="AA78" s="47">
        <f t="shared" si="26"/>
        <v>1</v>
      </c>
      <c r="AB78" s="68">
        <v>4</v>
      </c>
      <c r="AC78" s="48">
        <f t="shared" si="27"/>
        <v>1.3333333333333333</v>
      </c>
      <c r="AD78" s="68">
        <v>32.53</v>
      </c>
      <c r="AE78" s="68">
        <v>23.01</v>
      </c>
      <c r="AF78" s="68">
        <v>28.29</v>
      </c>
      <c r="AG78" s="45">
        <f t="shared" si="28"/>
        <v>7.1999999999999993</v>
      </c>
      <c r="AH78" s="45">
        <f t="shared" si="29"/>
        <v>10.533333333333333</v>
      </c>
      <c r="AI78" s="45">
        <v>18</v>
      </c>
      <c r="AJ78" s="2">
        <f t="shared" si="30"/>
        <v>0.9</v>
      </c>
      <c r="AK78" s="45">
        <f t="shared" si="31"/>
        <v>26.327999999999999</v>
      </c>
      <c r="AL78" s="2" t="str">
        <f t="shared" si="32"/>
        <v>Rec</v>
      </c>
      <c r="AM78" s="2" t="s">
        <v>376</v>
      </c>
      <c r="AN78" s="90">
        <v>26</v>
      </c>
      <c r="AO78" s="68">
        <v>24</v>
      </c>
      <c r="AP78" s="16">
        <f t="shared" si="33"/>
        <v>3</v>
      </c>
      <c r="AQ78" s="16">
        <v>1</v>
      </c>
      <c r="AR78" s="15">
        <f t="shared" si="34"/>
        <v>28.571428571428573</v>
      </c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</row>
    <row r="79" spans="1:55">
      <c r="A79" s="68" t="s">
        <v>377</v>
      </c>
      <c r="B79" s="68" t="s">
        <v>378</v>
      </c>
      <c r="C79" s="68" t="s">
        <v>165</v>
      </c>
      <c r="D79" s="68" t="s">
        <v>59</v>
      </c>
      <c r="E79" s="68">
        <v>93.95</v>
      </c>
      <c r="F79" s="68">
        <v>95.78</v>
      </c>
      <c r="G79" s="43">
        <v>1.91</v>
      </c>
      <c r="H79" s="68">
        <v>272.39</v>
      </c>
      <c r="I79" s="68">
        <v>14.43</v>
      </c>
      <c r="J79" s="68">
        <v>8.93</v>
      </c>
      <c r="K79" s="68">
        <v>5.43</v>
      </c>
      <c r="L79" s="68">
        <v>5.13</v>
      </c>
      <c r="M79" s="68">
        <v>39.44</v>
      </c>
      <c r="N79" s="68">
        <v>18.68</v>
      </c>
      <c r="O79" s="68">
        <v>163.74</v>
      </c>
      <c r="P79" s="43">
        <v>11.35</v>
      </c>
      <c r="Q79" s="68">
        <v>72.19</v>
      </c>
      <c r="R79" s="68">
        <v>0</v>
      </c>
      <c r="S79" s="43">
        <v>0.45</v>
      </c>
      <c r="T79" s="68">
        <v>408.79</v>
      </c>
      <c r="U79" s="68">
        <v>123.79</v>
      </c>
      <c r="V79" s="68">
        <v>1</v>
      </c>
      <c r="W79" s="68">
        <v>1</v>
      </c>
      <c r="X79" s="68">
        <v>0.6</v>
      </c>
      <c r="Y79" s="68">
        <v>1.05</v>
      </c>
      <c r="Z79" s="68">
        <v>0.05</v>
      </c>
      <c r="AA79" s="47">
        <f t="shared" si="26"/>
        <v>0</v>
      </c>
      <c r="AB79" s="68">
        <v>0</v>
      </c>
      <c r="AC79" s="48">
        <f t="shared" si="27"/>
        <v>0</v>
      </c>
      <c r="AD79" s="68">
        <v>71.38</v>
      </c>
      <c r="AE79" s="68">
        <v>5.52</v>
      </c>
      <c r="AF79" s="68">
        <v>25.37</v>
      </c>
      <c r="AG79" s="45">
        <f t="shared" si="28"/>
        <v>4.6500000000000004</v>
      </c>
      <c r="AH79" s="45">
        <f t="shared" si="29"/>
        <v>4.6500000000000004</v>
      </c>
      <c r="AI79" s="45">
        <v>18</v>
      </c>
      <c r="AJ79" s="2">
        <f t="shared" si="30"/>
        <v>0.9</v>
      </c>
      <c r="AK79" s="45">
        <f t="shared" si="31"/>
        <v>15.066000000000003</v>
      </c>
      <c r="AL79" s="2" t="str">
        <f t="shared" si="32"/>
        <v>Pos</v>
      </c>
      <c r="AM79" s="2" t="s">
        <v>378</v>
      </c>
      <c r="AN79" s="90">
        <v>27</v>
      </c>
      <c r="AO79" s="68">
        <v>25</v>
      </c>
      <c r="AP79" s="16">
        <f t="shared" si="33"/>
        <v>0</v>
      </c>
      <c r="AQ79" s="16">
        <v>1</v>
      </c>
      <c r="AR79" s="15">
        <f t="shared" si="34"/>
        <v>0</v>
      </c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</row>
    <row r="80" spans="1:55">
      <c r="A80" s="68" t="s">
        <v>379</v>
      </c>
      <c r="B80" s="68" t="s">
        <v>380</v>
      </c>
      <c r="C80" s="68" t="s">
        <v>165</v>
      </c>
      <c r="D80" s="68" t="s">
        <v>82</v>
      </c>
      <c r="E80" s="68">
        <v>784.06</v>
      </c>
      <c r="F80" s="68">
        <v>379.18</v>
      </c>
      <c r="G80" s="43">
        <v>-106.78</v>
      </c>
      <c r="H80" s="68">
        <v>1549.03</v>
      </c>
      <c r="I80" s="68">
        <v>60.82</v>
      </c>
      <c r="J80" s="68">
        <v>4.76</v>
      </c>
      <c r="K80" s="68">
        <v>7.35</v>
      </c>
      <c r="L80" s="68">
        <v>11.87</v>
      </c>
      <c r="M80" s="68">
        <v>163.65</v>
      </c>
      <c r="N80" s="68">
        <v>10.36</v>
      </c>
      <c r="O80" s="68">
        <v>2004.03</v>
      </c>
      <c r="P80" s="43">
        <v>32.950000000000003</v>
      </c>
      <c r="Q80" s="68">
        <v>28.86</v>
      </c>
      <c r="R80" s="68">
        <v>22.56</v>
      </c>
      <c r="S80" s="43">
        <v>-0.9</v>
      </c>
      <c r="T80" s="68">
        <v>440</v>
      </c>
      <c r="U80" s="68">
        <v>0</v>
      </c>
      <c r="V80" s="68">
        <v>0</v>
      </c>
      <c r="W80" s="68">
        <v>1</v>
      </c>
      <c r="X80" s="68">
        <v>5</v>
      </c>
      <c r="Y80" s="68">
        <v>9</v>
      </c>
      <c r="Z80" s="68">
        <v>1</v>
      </c>
      <c r="AA80" s="47">
        <f t="shared" si="26"/>
        <v>0</v>
      </c>
      <c r="AB80" s="68">
        <v>3.77</v>
      </c>
      <c r="AC80" s="48">
        <f t="shared" si="27"/>
        <v>1.2566666666666666</v>
      </c>
      <c r="AD80" s="68">
        <v>100</v>
      </c>
      <c r="AE80" s="68">
        <v>29.17</v>
      </c>
      <c r="AF80" s="68">
        <v>21.73</v>
      </c>
      <c r="AG80" s="45">
        <f t="shared" si="28"/>
        <v>2.1</v>
      </c>
      <c r="AH80" s="45">
        <f t="shared" si="29"/>
        <v>3.3566666666666665</v>
      </c>
      <c r="AI80" s="45">
        <v>21</v>
      </c>
      <c r="AJ80" s="2">
        <f t="shared" si="30"/>
        <v>0.9</v>
      </c>
      <c r="AK80" s="45">
        <f t="shared" si="31"/>
        <v>7.9349999999999996</v>
      </c>
      <c r="AL80" s="2" t="str">
        <f t="shared" si="32"/>
        <v>Neg</v>
      </c>
      <c r="AM80" s="2" t="s">
        <v>380</v>
      </c>
      <c r="AN80" s="90">
        <v>27</v>
      </c>
      <c r="AO80" s="68">
        <v>25</v>
      </c>
      <c r="AP80" s="16">
        <f t="shared" si="33"/>
        <v>0</v>
      </c>
      <c r="AQ80" s="16">
        <v>1</v>
      </c>
      <c r="AR80" s="15">
        <f t="shared" si="34"/>
        <v>0</v>
      </c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</row>
    <row r="81" spans="1:55">
      <c r="A81" s="68" t="s">
        <v>381</v>
      </c>
      <c r="B81" s="68" t="s">
        <v>382</v>
      </c>
      <c r="C81" s="68" t="s">
        <v>165</v>
      </c>
      <c r="D81" s="68" t="s">
        <v>59</v>
      </c>
      <c r="E81" s="68">
        <v>300.8</v>
      </c>
      <c r="F81" s="68">
        <v>1085.5999999999999</v>
      </c>
      <c r="G81" s="43">
        <v>72.290000000000006</v>
      </c>
      <c r="H81" s="68">
        <v>2414.83</v>
      </c>
      <c r="I81" s="68">
        <v>175.83</v>
      </c>
      <c r="J81" s="68">
        <v>9.1199999999999992</v>
      </c>
      <c r="K81" s="68">
        <v>16.16</v>
      </c>
      <c r="L81" s="68">
        <v>11.6</v>
      </c>
      <c r="M81" s="68">
        <v>345.66</v>
      </c>
      <c r="N81" s="68">
        <v>15.23</v>
      </c>
      <c r="O81" s="68">
        <v>2710.93</v>
      </c>
      <c r="P81" s="43">
        <v>15.42</v>
      </c>
      <c r="Q81" s="68">
        <v>24.45</v>
      </c>
      <c r="R81" s="68">
        <v>18.579999999999998</v>
      </c>
      <c r="S81" s="43">
        <v>0.7</v>
      </c>
      <c r="T81" s="68">
        <v>1100</v>
      </c>
      <c r="U81" s="68">
        <v>400</v>
      </c>
      <c r="V81" s="68">
        <v>1</v>
      </c>
      <c r="W81" s="68">
        <v>1</v>
      </c>
      <c r="X81" s="68">
        <v>4.74</v>
      </c>
      <c r="Y81" s="68">
        <v>0.47</v>
      </c>
      <c r="Z81" s="68">
        <v>0.16</v>
      </c>
      <c r="AA81" s="47">
        <f t="shared" si="26"/>
        <v>1</v>
      </c>
      <c r="AB81" s="68">
        <v>0.7</v>
      </c>
      <c r="AC81" s="48">
        <f t="shared" si="27"/>
        <v>0.23333333333333331</v>
      </c>
      <c r="AD81" s="68">
        <v>-22.24</v>
      </c>
      <c r="AE81" s="68">
        <v>15.03</v>
      </c>
      <c r="AF81" s="68">
        <v>18.97</v>
      </c>
      <c r="AG81" s="45">
        <f t="shared" si="28"/>
        <v>5.8</v>
      </c>
      <c r="AH81" s="45">
        <f t="shared" si="29"/>
        <v>7.0333333333333332</v>
      </c>
      <c r="AI81" s="45">
        <v>20</v>
      </c>
      <c r="AJ81" s="2">
        <f t="shared" si="30"/>
        <v>0.9</v>
      </c>
      <c r="AK81" s="45">
        <f t="shared" si="31"/>
        <v>19.902000000000001</v>
      </c>
      <c r="AL81" s="2" t="str">
        <f t="shared" si="32"/>
        <v>Pos</v>
      </c>
      <c r="AM81" s="2" t="s">
        <v>382</v>
      </c>
      <c r="AN81" s="90">
        <v>27</v>
      </c>
      <c r="AO81" s="68">
        <v>25</v>
      </c>
      <c r="AP81" s="16">
        <f t="shared" si="33"/>
        <v>0</v>
      </c>
      <c r="AQ81" s="16">
        <v>1</v>
      </c>
      <c r="AR81" s="15">
        <f t="shared" si="34"/>
        <v>0</v>
      </c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</row>
    <row r="82" spans="1:55">
      <c r="A82" s="68" t="s">
        <v>383</v>
      </c>
      <c r="B82" s="68" t="s">
        <v>384</v>
      </c>
      <c r="C82" s="68" t="s">
        <v>165</v>
      </c>
      <c r="D82" s="68"/>
      <c r="E82" s="68">
        <v>18.899999999999999</v>
      </c>
      <c r="F82" s="68">
        <v>72.650000000000006</v>
      </c>
      <c r="G82" s="43">
        <v>73.98</v>
      </c>
      <c r="H82" s="68">
        <v>150.16999999999999</v>
      </c>
      <c r="I82" s="68">
        <v>22.08</v>
      </c>
      <c r="J82" s="68">
        <v>8.4499999999999993</v>
      </c>
      <c r="K82" s="68">
        <v>8.2799999999999994</v>
      </c>
      <c r="L82" s="68">
        <v>24.28</v>
      </c>
      <c r="M82" s="68">
        <v>35.659999999999997</v>
      </c>
      <c r="N82" s="68">
        <v>12.38</v>
      </c>
      <c r="O82" s="68">
        <v>281.64999999999998</v>
      </c>
      <c r="P82" s="43">
        <v>12.76</v>
      </c>
      <c r="Q82" s="68">
        <v>21.13</v>
      </c>
      <c r="R82" s="68">
        <v>19.23</v>
      </c>
      <c r="S82" s="43">
        <v>0.7</v>
      </c>
      <c r="T82" s="68">
        <v>150.06</v>
      </c>
      <c r="U82" s="68">
        <v>17.5</v>
      </c>
      <c r="V82" s="68">
        <v>1</v>
      </c>
      <c r="W82" s="68">
        <v>1</v>
      </c>
      <c r="X82" s="68">
        <v>3.6472000000000002</v>
      </c>
      <c r="Y82" s="68">
        <v>7.0624000000000002</v>
      </c>
      <c r="Z82" s="68">
        <v>1.5427999999999999</v>
      </c>
      <c r="AA82" s="47">
        <f t="shared" si="26"/>
        <v>0</v>
      </c>
      <c r="AB82" s="68">
        <v>0.23499999999999999</v>
      </c>
      <c r="AC82" s="48">
        <f t="shared" si="27"/>
        <v>7.8333333333333324E-2</v>
      </c>
      <c r="AD82" s="68">
        <v>197.98</v>
      </c>
      <c r="AE82" s="68">
        <v>52.75</v>
      </c>
      <c r="AF82" s="68">
        <v>43.46</v>
      </c>
      <c r="AG82" s="45">
        <f t="shared" si="28"/>
        <v>7.8</v>
      </c>
      <c r="AH82" s="45">
        <f t="shared" si="29"/>
        <v>9.8783333333333339</v>
      </c>
      <c r="AI82" s="45">
        <v>18.59</v>
      </c>
      <c r="AJ82" s="2">
        <f t="shared" si="30"/>
        <v>0.9</v>
      </c>
      <c r="AK82" s="45">
        <f t="shared" si="31"/>
        <v>27.142500000000002</v>
      </c>
      <c r="AL82" s="2">
        <f t="shared" si="32"/>
        <v>0</v>
      </c>
      <c r="AM82" s="2" t="s">
        <v>384</v>
      </c>
      <c r="AN82" s="68">
        <v>13</v>
      </c>
      <c r="AO82" s="68">
        <v>14</v>
      </c>
      <c r="AP82" s="16">
        <f t="shared" si="33"/>
        <v>3</v>
      </c>
      <c r="AQ82" s="16">
        <v>1</v>
      </c>
      <c r="AR82" s="15">
        <f t="shared" si="34"/>
        <v>6.4817215452424168</v>
      </c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</row>
    <row r="83" spans="1:55">
      <c r="A83" s="68"/>
      <c r="B83" s="68"/>
      <c r="C83" s="68"/>
      <c r="D83" s="68"/>
      <c r="E83" s="68"/>
      <c r="F83" s="68"/>
      <c r="G83" s="43" t="e">
        <f t="shared" ref="G83:G114" si="35">100*(F83-E83)/F83</f>
        <v>#DIV/0!</v>
      </c>
      <c r="H83" s="68"/>
      <c r="I83" s="68"/>
      <c r="J83" s="68"/>
      <c r="K83" s="68"/>
      <c r="L83" s="68"/>
      <c r="M83" s="68"/>
      <c r="N83" s="68"/>
      <c r="O83" s="68"/>
      <c r="P83" s="43" t="e">
        <f t="shared" ref="P83:P114" si="36">O83/I83</f>
        <v>#DIV/0!</v>
      </c>
      <c r="Q83" s="68"/>
      <c r="R83" s="68"/>
      <c r="S83" s="43">
        <v>5</v>
      </c>
      <c r="T83" s="68"/>
      <c r="U83" s="68"/>
      <c r="V83" s="68"/>
      <c r="W83" s="68"/>
      <c r="X83" s="68"/>
      <c r="Y83" s="68"/>
      <c r="Z83" s="68"/>
      <c r="AA83" s="47">
        <f t="shared" si="26"/>
        <v>1</v>
      </c>
      <c r="AB83" s="68"/>
      <c r="AC83" s="48">
        <f t="shared" si="27"/>
        <v>0</v>
      </c>
      <c r="AD83" s="68"/>
      <c r="AE83" s="68"/>
      <c r="AF83" s="68"/>
      <c r="AG83" s="45" t="e">
        <f t="shared" si="28"/>
        <v>#DIV/0!</v>
      </c>
      <c r="AH83" s="45" t="e">
        <f t="shared" si="29"/>
        <v>#DIV/0!</v>
      </c>
      <c r="AI83" s="45"/>
      <c r="AJ83" s="2">
        <f t="shared" si="30"/>
        <v>1</v>
      </c>
      <c r="AK83" s="45" t="e">
        <f t="shared" si="31"/>
        <v>#DIV/0!</v>
      </c>
      <c r="AL83" s="2">
        <f t="shared" si="32"/>
        <v>0</v>
      </c>
      <c r="AM83" s="2">
        <f t="shared" ref="AM83:AM114" si="37">B83</f>
        <v>0</v>
      </c>
      <c r="AN83" s="68"/>
      <c r="AO83" s="68"/>
      <c r="AP83" s="16" t="e">
        <f t="shared" si="33"/>
        <v>#DIV/0!</v>
      </c>
      <c r="AQ83" s="16">
        <v>1</v>
      </c>
      <c r="AR83" s="15" t="e">
        <f t="shared" si="34"/>
        <v>#DIV/0!</v>
      </c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</row>
    <row r="84" spans="1:55">
      <c r="A84" s="68"/>
      <c r="B84" s="68"/>
      <c r="C84" s="68"/>
      <c r="D84" s="68"/>
      <c r="E84" s="68"/>
      <c r="F84" s="68"/>
      <c r="G84" s="43" t="e">
        <f t="shared" si="35"/>
        <v>#DIV/0!</v>
      </c>
      <c r="H84" s="68"/>
      <c r="I84" s="68"/>
      <c r="J84" s="68"/>
      <c r="K84" s="68"/>
      <c r="L84" s="68"/>
      <c r="M84" s="68"/>
      <c r="N84" s="68"/>
      <c r="O84" s="68"/>
      <c r="P84" s="43" t="e">
        <f t="shared" si="36"/>
        <v>#DIV/0!</v>
      </c>
      <c r="Q84" s="68"/>
      <c r="R84" s="68"/>
      <c r="S84" s="43">
        <v>5</v>
      </c>
      <c r="T84" s="68"/>
      <c r="U84" s="68"/>
      <c r="V84" s="68"/>
      <c r="W84" s="68"/>
      <c r="X84" s="68"/>
      <c r="Y84" s="68"/>
      <c r="Z84" s="68"/>
      <c r="AA84" s="47">
        <f t="shared" si="26"/>
        <v>1</v>
      </c>
      <c r="AB84" s="68"/>
      <c r="AC84" s="48">
        <f t="shared" si="27"/>
        <v>0</v>
      </c>
      <c r="AD84" s="68"/>
      <c r="AE84" s="68"/>
      <c r="AF84" s="68"/>
      <c r="AG84" s="45" t="e">
        <f t="shared" si="28"/>
        <v>#DIV/0!</v>
      </c>
      <c r="AH84" s="45" t="e">
        <f t="shared" si="29"/>
        <v>#DIV/0!</v>
      </c>
      <c r="AI84" s="45"/>
      <c r="AJ84" s="2">
        <f t="shared" si="30"/>
        <v>1</v>
      </c>
      <c r="AK84" s="45" t="e">
        <f t="shared" si="31"/>
        <v>#DIV/0!</v>
      </c>
      <c r="AL84" s="2">
        <f t="shared" si="32"/>
        <v>0</v>
      </c>
      <c r="AM84" s="2">
        <f t="shared" si="37"/>
        <v>0</v>
      </c>
      <c r="AN84" s="68"/>
      <c r="AO84" s="68"/>
      <c r="AP84" s="16" t="e">
        <f t="shared" si="33"/>
        <v>#DIV/0!</v>
      </c>
      <c r="AQ84" s="16">
        <v>1</v>
      </c>
      <c r="AR84" s="15" t="e">
        <f t="shared" si="34"/>
        <v>#DIV/0!</v>
      </c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</row>
    <row r="85" spans="1:55">
      <c r="A85" s="68"/>
      <c r="B85" s="68"/>
      <c r="C85" s="68"/>
      <c r="D85" s="68"/>
      <c r="E85" s="68"/>
      <c r="F85" s="68"/>
      <c r="G85" s="43" t="e">
        <f t="shared" si="35"/>
        <v>#DIV/0!</v>
      </c>
      <c r="H85" s="68"/>
      <c r="I85" s="68"/>
      <c r="J85" s="68"/>
      <c r="K85" s="68"/>
      <c r="L85" s="68"/>
      <c r="M85" s="68"/>
      <c r="N85" s="68"/>
      <c r="O85" s="68"/>
      <c r="P85" s="43" t="e">
        <f t="shared" si="36"/>
        <v>#DIV/0!</v>
      </c>
      <c r="Q85" s="68"/>
      <c r="R85" s="68"/>
      <c r="S85" s="43">
        <v>5</v>
      </c>
      <c r="T85" s="68"/>
      <c r="U85" s="68"/>
      <c r="V85" s="68"/>
      <c r="W85" s="68"/>
      <c r="X85" s="68"/>
      <c r="Y85" s="68"/>
      <c r="Z85" s="68"/>
      <c r="AA85" s="47">
        <f t="shared" si="26"/>
        <v>1</v>
      </c>
      <c r="AB85" s="68"/>
      <c r="AC85" s="48">
        <f t="shared" si="27"/>
        <v>0</v>
      </c>
      <c r="AD85" s="68"/>
      <c r="AE85" s="68"/>
      <c r="AF85" s="68"/>
      <c r="AG85" s="45" t="e">
        <f t="shared" si="28"/>
        <v>#DIV/0!</v>
      </c>
      <c r="AH85" s="45" t="e">
        <f t="shared" si="29"/>
        <v>#DIV/0!</v>
      </c>
      <c r="AI85" s="45"/>
      <c r="AJ85" s="2">
        <f t="shared" si="30"/>
        <v>1</v>
      </c>
      <c r="AK85" s="45" t="e">
        <f t="shared" si="31"/>
        <v>#DIV/0!</v>
      </c>
      <c r="AL85" s="2">
        <f t="shared" si="32"/>
        <v>0</v>
      </c>
      <c r="AM85" s="2">
        <f t="shared" si="37"/>
        <v>0</v>
      </c>
      <c r="AN85" s="68"/>
      <c r="AO85" s="68"/>
      <c r="AP85" s="16" t="e">
        <f t="shared" si="33"/>
        <v>#DIV/0!</v>
      </c>
      <c r="AQ85" s="16">
        <v>1</v>
      </c>
      <c r="AR85" s="15" t="e">
        <f t="shared" si="34"/>
        <v>#DIV/0!</v>
      </c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</row>
    <row r="86" spans="1:55">
      <c r="A86" s="68"/>
      <c r="B86" s="68"/>
      <c r="C86" s="68"/>
      <c r="D86" s="68"/>
      <c r="E86" s="68"/>
      <c r="F86" s="68"/>
      <c r="G86" s="43" t="e">
        <f t="shared" si="35"/>
        <v>#DIV/0!</v>
      </c>
      <c r="H86" s="68"/>
      <c r="I86" s="68"/>
      <c r="J86" s="68"/>
      <c r="K86" s="68"/>
      <c r="L86" s="68"/>
      <c r="M86" s="68"/>
      <c r="N86" s="68"/>
      <c r="O86" s="68"/>
      <c r="P86" s="43" t="e">
        <f t="shared" si="36"/>
        <v>#DIV/0!</v>
      </c>
      <c r="Q86" s="68"/>
      <c r="R86" s="68"/>
      <c r="S86" s="43">
        <v>5</v>
      </c>
      <c r="T86" s="68"/>
      <c r="U86" s="68"/>
      <c r="V86" s="68"/>
      <c r="W86" s="68"/>
      <c r="X86" s="68"/>
      <c r="Y86" s="68"/>
      <c r="Z86" s="68"/>
      <c r="AA86" s="47">
        <f t="shared" si="26"/>
        <v>1</v>
      </c>
      <c r="AB86" s="68"/>
      <c r="AC86" s="48">
        <f t="shared" si="27"/>
        <v>0</v>
      </c>
      <c r="AD86" s="68"/>
      <c r="AE86" s="68"/>
      <c r="AF86" s="68"/>
      <c r="AG86" s="45" t="e">
        <f t="shared" si="28"/>
        <v>#DIV/0!</v>
      </c>
      <c r="AH86" s="45" t="e">
        <f t="shared" si="29"/>
        <v>#DIV/0!</v>
      </c>
      <c r="AI86" s="45"/>
      <c r="AJ86" s="2">
        <f t="shared" si="30"/>
        <v>1</v>
      </c>
      <c r="AK86" s="45" t="e">
        <f t="shared" si="31"/>
        <v>#DIV/0!</v>
      </c>
      <c r="AL86" s="2">
        <f t="shared" si="32"/>
        <v>0</v>
      </c>
      <c r="AM86" s="2">
        <f t="shared" si="37"/>
        <v>0</v>
      </c>
      <c r="AN86" s="68"/>
      <c r="AO86" s="68"/>
      <c r="AP86" s="16" t="e">
        <f t="shared" si="33"/>
        <v>#DIV/0!</v>
      </c>
      <c r="AQ86" s="16">
        <v>1</v>
      </c>
      <c r="AR86" s="15" t="e">
        <f t="shared" si="34"/>
        <v>#DIV/0!</v>
      </c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</row>
    <row r="87" spans="1:55">
      <c r="A87" s="68"/>
      <c r="B87" s="68"/>
      <c r="C87" s="68"/>
      <c r="D87" s="68"/>
      <c r="E87" s="68"/>
      <c r="F87" s="68"/>
      <c r="G87" s="43" t="e">
        <f t="shared" si="35"/>
        <v>#DIV/0!</v>
      </c>
      <c r="H87" s="68"/>
      <c r="I87" s="68"/>
      <c r="J87" s="68"/>
      <c r="K87" s="68"/>
      <c r="L87" s="68"/>
      <c r="M87" s="68"/>
      <c r="N87" s="68"/>
      <c r="O87" s="68"/>
      <c r="P87" s="43" t="e">
        <f t="shared" si="36"/>
        <v>#DIV/0!</v>
      </c>
      <c r="Q87" s="68"/>
      <c r="R87" s="68"/>
      <c r="S87" s="43">
        <v>5</v>
      </c>
      <c r="T87" s="68"/>
      <c r="U87" s="68"/>
      <c r="V87" s="68"/>
      <c r="W87" s="68"/>
      <c r="X87" s="68"/>
      <c r="Y87" s="68"/>
      <c r="Z87" s="68"/>
      <c r="AA87" s="47">
        <f t="shared" si="26"/>
        <v>1</v>
      </c>
      <c r="AB87" s="68"/>
      <c r="AC87" s="48">
        <f t="shared" si="27"/>
        <v>0</v>
      </c>
      <c r="AD87" s="68"/>
      <c r="AE87" s="68"/>
      <c r="AF87" s="68"/>
      <c r="AG87" s="45" t="e">
        <f t="shared" si="28"/>
        <v>#DIV/0!</v>
      </c>
      <c r="AH87" s="45" t="e">
        <f t="shared" si="29"/>
        <v>#DIV/0!</v>
      </c>
      <c r="AI87" s="45"/>
      <c r="AJ87" s="2">
        <f t="shared" si="30"/>
        <v>1</v>
      </c>
      <c r="AK87" s="45" t="e">
        <f t="shared" si="31"/>
        <v>#DIV/0!</v>
      </c>
      <c r="AL87" s="2">
        <f t="shared" si="32"/>
        <v>0</v>
      </c>
      <c r="AM87" s="2">
        <f t="shared" si="37"/>
        <v>0</v>
      </c>
      <c r="AN87" s="68"/>
      <c r="AO87" s="68"/>
      <c r="AP87" s="16" t="e">
        <f t="shared" si="33"/>
        <v>#DIV/0!</v>
      </c>
      <c r="AQ87" s="16">
        <v>1</v>
      </c>
      <c r="AR87" s="15" t="e">
        <f t="shared" si="34"/>
        <v>#DIV/0!</v>
      </c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</row>
    <row r="88" spans="1:55">
      <c r="A88" s="68"/>
      <c r="B88" s="68"/>
      <c r="C88" s="68"/>
      <c r="D88" s="68"/>
      <c r="E88" s="68"/>
      <c r="F88" s="68"/>
      <c r="G88" s="43" t="e">
        <f t="shared" si="35"/>
        <v>#DIV/0!</v>
      </c>
      <c r="H88" s="68"/>
      <c r="I88" s="68"/>
      <c r="J88" s="68"/>
      <c r="K88" s="68"/>
      <c r="L88" s="68"/>
      <c r="M88" s="68"/>
      <c r="N88" s="68"/>
      <c r="O88" s="68"/>
      <c r="P88" s="43" t="e">
        <f t="shared" si="36"/>
        <v>#DIV/0!</v>
      </c>
      <c r="Q88" s="68"/>
      <c r="R88" s="68"/>
      <c r="S88" s="43">
        <v>5</v>
      </c>
      <c r="T88" s="68"/>
      <c r="U88" s="68"/>
      <c r="V88" s="68"/>
      <c r="W88" s="68"/>
      <c r="X88" s="68"/>
      <c r="Y88" s="68"/>
      <c r="Z88" s="68"/>
      <c r="AA88" s="47">
        <f t="shared" si="26"/>
        <v>1</v>
      </c>
      <c r="AB88" s="68"/>
      <c r="AC88" s="48">
        <f t="shared" si="27"/>
        <v>0</v>
      </c>
      <c r="AD88" s="68"/>
      <c r="AE88" s="68"/>
      <c r="AF88" s="68"/>
      <c r="AG88" s="45" t="e">
        <f t="shared" si="28"/>
        <v>#DIV/0!</v>
      </c>
      <c r="AH88" s="45" t="e">
        <f t="shared" si="29"/>
        <v>#DIV/0!</v>
      </c>
      <c r="AI88" s="45"/>
      <c r="AJ88" s="2">
        <f t="shared" si="30"/>
        <v>1</v>
      </c>
      <c r="AK88" s="45" t="e">
        <f t="shared" si="31"/>
        <v>#DIV/0!</v>
      </c>
      <c r="AL88" s="2">
        <f t="shared" si="32"/>
        <v>0</v>
      </c>
      <c r="AM88" s="2">
        <f t="shared" si="37"/>
        <v>0</v>
      </c>
      <c r="AN88" s="68"/>
      <c r="AO88" s="68"/>
      <c r="AP88" s="16" t="e">
        <f t="shared" si="33"/>
        <v>#DIV/0!</v>
      </c>
      <c r="AQ88" s="16">
        <v>1</v>
      </c>
      <c r="AR88" s="15" t="e">
        <f t="shared" si="34"/>
        <v>#DIV/0!</v>
      </c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</row>
    <row r="89" spans="1:55">
      <c r="A89" s="68"/>
      <c r="B89" s="68"/>
      <c r="C89" s="68"/>
      <c r="D89" s="68"/>
      <c r="E89" s="68"/>
      <c r="F89" s="68"/>
      <c r="G89" s="43" t="e">
        <f t="shared" si="35"/>
        <v>#DIV/0!</v>
      </c>
      <c r="H89" s="68"/>
      <c r="I89" s="68"/>
      <c r="J89" s="68"/>
      <c r="K89" s="68"/>
      <c r="L89" s="68"/>
      <c r="M89" s="68"/>
      <c r="N89" s="68"/>
      <c r="O89" s="68"/>
      <c r="P89" s="43" t="e">
        <f t="shared" si="36"/>
        <v>#DIV/0!</v>
      </c>
      <c r="Q89" s="68"/>
      <c r="R89" s="68"/>
      <c r="S89" s="43">
        <v>5</v>
      </c>
      <c r="T89" s="68"/>
      <c r="U89" s="68"/>
      <c r="V89" s="68"/>
      <c r="W89" s="68"/>
      <c r="X89" s="68"/>
      <c r="Y89" s="68"/>
      <c r="Z89" s="68"/>
      <c r="AA89" s="47">
        <f t="shared" si="26"/>
        <v>1</v>
      </c>
      <c r="AB89" s="68"/>
      <c r="AC89" s="48">
        <f t="shared" si="27"/>
        <v>0</v>
      </c>
      <c r="AD89" s="68"/>
      <c r="AE89" s="68"/>
      <c r="AF89" s="68"/>
      <c r="AG89" s="45" t="e">
        <f t="shared" si="28"/>
        <v>#DIV/0!</v>
      </c>
      <c r="AH89" s="45" t="e">
        <f t="shared" si="29"/>
        <v>#DIV/0!</v>
      </c>
      <c r="AI89" s="45"/>
      <c r="AJ89" s="2">
        <f t="shared" si="30"/>
        <v>1</v>
      </c>
      <c r="AK89" s="45" t="e">
        <f t="shared" si="31"/>
        <v>#DIV/0!</v>
      </c>
      <c r="AL89" s="2">
        <f t="shared" si="32"/>
        <v>0</v>
      </c>
      <c r="AM89" s="2">
        <f t="shared" si="37"/>
        <v>0</v>
      </c>
      <c r="AN89" s="68"/>
      <c r="AO89" s="68"/>
      <c r="AP89" s="16" t="e">
        <f t="shared" si="33"/>
        <v>#DIV/0!</v>
      </c>
      <c r="AQ89" s="16">
        <v>1</v>
      </c>
      <c r="AR89" s="15" t="e">
        <f t="shared" si="34"/>
        <v>#DIV/0!</v>
      </c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</row>
    <row r="90" spans="1:55">
      <c r="A90" s="68"/>
      <c r="B90" s="68"/>
      <c r="C90" s="68"/>
      <c r="D90" s="68"/>
      <c r="E90" s="68"/>
      <c r="F90" s="68"/>
      <c r="G90" s="43" t="e">
        <f t="shared" si="35"/>
        <v>#DIV/0!</v>
      </c>
      <c r="H90" s="68"/>
      <c r="I90" s="68"/>
      <c r="J90" s="68"/>
      <c r="K90" s="68"/>
      <c r="L90" s="68"/>
      <c r="M90" s="68"/>
      <c r="N90" s="68"/>
      <c r="O90" s="68"/>
      <c r="P90" s="43" t="e">
        <f t="shared" si="36"/>
        <v>#DIV/0!</v>
      </c>
      <c r="Q90" s="68"/>
      <c r="R90" s="68"/>
      <c r="S90" s="43">
        <v>5</v>
      </c>
      <c r="T90" s="68"/>
      <c r="U90" s="68"/>
      <c r="V90" s="68"/>
      <c r="W90" s="68"/>
      <c r="X90" s="68"/>
      <c r="Y90" s="68"/>
      <c r="Z90" s="68"/>
      <c r="AA90" s="47">
        <f t="shared" si="26"/>
        <v>1</v>
      </c>
      <c r="AB90" s="68"/>
      <c r="AC90" s="48">
        <f t="shared" si="27"/>
        <v>0</v>
      </c>
      <c r="AD90" s="68"/>
      <c r="AE90" s="68"/>
      <c r="AF90" s="68"/>
      <c r="AG90" s="45" t="e">
        <f t="shared" si="28"/>
        <v>#DIV/0!</v>
      </c>
      <c r="AH90" s="45" t="e">
        <f t="shared" si="29"/>
        <v>#DIV/0!</v>
      </c>
      <c r="AI90" s="45"/>
      <c r="AJ90" s="2">
        <f t="shared" si="30"/>
        <v>1</v>
      </c>
      <c r="AK90" s="45" t="e">
        <f t="shared" si="31"/>
        <v>#DIV/0!</v>
      </c>
      <c r="AL90" s="2">
        <f t="shared" si="32"/>
        <v>0</v>
      </c>
      <c r="AM90" s="2">
        <f t="shared" si="37"/>
        <v>0</v>
      </c>
      <c r="AN90" s="68"/>
      <c r="AO90" s="68"/>
      <c r="AP90" s="16" t="e">
        <f t="shared" si="33"/>
        <v>#DIV/0!</v>
      </c>
      <c r="AQ90" s="16">
        <v>1</v>
      </c>
      <c r="AR90" s="15" t="e">
        <f t="shared" si="34"/>
        <v>#DIV/0!</v>
      </c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</row>
    <row r="91" spans="1:55">
      <c r="A91" s="68"/>
      <c r="B91" s="68"/>
      <c r="C91" s="68"/>
      <c r="D91" s="68"/>
      <c r="E91" s="68"/>
      <c r="F91" s="68"/>
      <c r="G91" s="43" t="e">
        <f t="shared" si="35"/>
        <v>#DIV/0!</v>
      </c>
      <c r="H91" s="68"/>
      <c r="I91" s="68"/>
      <c r="J91" s="68"/>
      <c r="K91" s="68"/>
      <c r="L91" s="68"/>
      <c r="M91" s="68"/>
      <c r="N91" s="68"/>
      <c r="O91" s="68"/>
      <c r="P91" s="43" t="e">
        <f t="shared" si="36"/>
        <v>#DIV/0!</v>
      </c>
      <c r="Q91" s="68"/>
      <c r="R91" s="68"/>
      <c r="S91" s="43">
        <v>5</v>
      </c>
      <c r="T91" s="68"/>
      <c r="U91" s="68"/>
      <c r="V91" s="68"/>
      <c r="W91" s="68"/>
      <c r="X91" s="68"/>
      <c r="Y91" s="68"/>
      <c r="Z91" s="68"/>
      <c r="AA91" s="47">
        <f t="shared" si="26"/>
        <v>1</v>
      </c>
      <c r="AB91" s="68"/>
      <c r="AC91" s="48">
        <f t="shared" si="27"/>
        <v>0</v>
      </c>
      <c r="AD91" s="68"/>
      <c r="AE91" s="68"/>
      <c r="AF91" s="68"/>
      <c r="AG91" s="45" t="e">
        <f t="shared" si="28"/>
        <v>#DIV/0!</v>
      </c>
      <c r="AH91" s="45" t="e">
        <f t="shared" si="29"/>
        <v>#DIV/0!</v>
      </c>
      <c r="AI91" s="45"/>
      <c r="AJ91" s="2">
        <f t="shared" si="30"/>
        <v>1</v>
      </c>
      <c r="AK91" s="45" t="e">
        <f t="shared" si="31"/>
        <v>#DIV/0!</v>
      </c>
      <c r="AL91" s="2">
        <f t="shared" si="32"/>
        <v>0</v>
      </c>
      <c r="AM91" s="2">
        <f t="shared" si="37"/>
        <v>0</v>
      </c>
      <c r="AN91" s="68"/>
      <c r="AO91" s="68"/>
      <c r="AP91" s="16" t="e">
        <f t="shared" si="33"/>
        <v>#DIV/0!</v>
      </c>
      <c r="AQ91" s="16">
        <v>1</v>
      </c>
      <c r="AR91" s="15" t="e">
        <f t="shared" si="34"/>
        <v>#DIV/0!</v>
      </c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</row>
    <row r="92" spans="1:55">
      <c r="A92" s="68"/>
      <c r="B92" s="68"/>
      <c r="C92" s="68"/>
      <c r="D92" s="68"/>
      <c r="E92" s="68"/>
      <c r="F92" s="68"/>
      <c r="G92" s="43" t="e">
        <f t="shared" si="35"/>
        <v>#DIV/0!</v>
      </c>
      <c r="H92" s="68"/>
      <c r="I92" s="68"/>
      <c r="J92" s="68"/>
      <c r="K92" s="68"/>
      <c r="L92" s="68"/>
      <c r="M92" s="68"/>
      <c r="N92" s="68"/>
      <c r="O92" s="68"/>
      <c r="P92" s="43" t="e">
        <f t="shared" si="36"/>
        <v>#DIV/0!</v>
      </c>
      <c r="Q92" s="68"/>
      <c r="R92" s="68"/>
      <c r="S92" s="43">
        <v>5</v>
      </c>
      <c r="T92" s="68"/>
      <c r="U92" s="68"/>
      <c r="V92" s="68"/>
      <c r="W92" s="68"/>
      <c r="X92" s="68"/>
      <c r="Y92" s="68"/>
      <c r="Z92" s="68"/>
      <c r="AA92" s="47">
        <f t="shared" si="26"/>
        <v>1</v>
      </c>
      <c r="AB92" s="68"/>
      <c r="AC92" s="48">
        <f t="shared" si="27"/>
        <v>0</v>
      </c>
      <c r="AD92" s="68"/>
      <c r="AE92" s="68"/>
      <c r="AF92" s="68"/>
      <c r="AG92" s="45" t="e">
        <f t="shared" si="28"/>
        <v>#DIV/0!</v>
      </c>
      <c r="AH92" s="45" t="e">
        <f t="shared" si="29"/>
        <v>#DIV/0!</v>
      </c>
      <c r="AI92" s="45"/>
      <c r="AJ92" s="2">
        <f t="shared" si="30"/>
        <v>1</v>
      </c>
      <c r="AK92" s="45" t="e">
        <f t="shared" si="31"/>
        <v>#DIV/0!</v>
      </c>
      <c r="AL92" s="2">
        <f t="shared" si="32"/>
        <v>0</v>
      </c>
      <c r="AM92" s="2">
        <f t="shared" si="37"/>
        <v>0</v>
      </c>
      <c r="AN92" s="68"/>
      <c r="AO92" s="68"/>
      <c r="AP92" s="16" t="e">
        <f t="shared" si="33"/>
        <v>#DIV/0!</v>
      </c>
      <c r="AQ92" s="16">
        <v>1</v>
      </c>
      <c r="AR92" s="15" t="e">
        <f t="shared" si="34"/>
        <v>#DIV/0!</v>
      </c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</row>
    <row r="93" spans="1:55">
      <c r="A93" s="68"/>
      <c r="B93" s="68"/>
      <c r="C93" s="68"/>
      <c r="D93" s="68"/>
      <c r="E93" s="68"/>
      <c r="F93" s="68"/>
      <c r="G93" s="43" t="e">
        <f t="shared" si="35"/>
        <v>#DIV/0!</v>
      </c>
      <c r="H93" s="68"/>
      <c r="I93" s="68"/>
      <c r="J93" s="68"/>
      <c r="K93" s="68"/>
      <c r="L93" s="68"/>
      <c r="M93" s="68"/>
      <c r="N93" s="68"/>
      <c r="O93" s="68"/>
      <c r="P93" s="43" t="e">
        <f t="shared" si="36"/>
        <v>#DIV/0!</v>
      </c>
      <c r="Q93" s="68"/>
      <c r="R93" s="68"/>
      <c r="S93" s="43">
        <v>5</v>
      </c>
      <c r="T93" s="68"/>
      <c r="U93" s="68"/>
      <c r="V93" s="68"/>
      <c r="W93" s="68"/>
      <c r="X93" s="68"/>
      <c r="Y93" s="68"/>
      <c r="Z93" s="68"/>
      <c r="AA93" s="47">
        <f t="shared" si="26"/>
        <v>1</v>
      </c>
      <c r="AB93" s="68"/>
      <c r="AC93" s="48">
        <f t="shared" si="27"/>
        <v>0</v>
      </c>
      <c r="AD93" s="68"/>
      <c r="AE93" s="68"/>
      <c r="AF93" s="68"/>
      <c r="AG93" s="45" t="e">
        <f t="shared" si="28"/>
        <v>#DIV/0!</v>
      </c>
      <c r="AH93" s="45" t="e">
        <f t="shared" si="29"/>
        <v>#DIV/0!</v>
      </c>
      <c r="AI93" s="45"/>
      <c r="AJ93" s="2">
        <f t="shared" si="30"/>
        <v>1</v>
      </c>
      <c r="AK93" s="45" t="e">
        <f t="shared" si="31"/>
        <v>#DIV/0!</v>
      </c>
      <c r="AL93" s="2">
        <f t="shared" si="32"/>
        <v>0</v>
      </c>
      <c r="AM93" s="2">
        <f t="shared" si="37"/>
        <v>0</v>
      </c>
      <c r="AN93" s="68"/>
      <c r="AO93" s="68"/>
      <c r="AP93" s="16" t="e">
        <f t="shared" si="33"/>
        <v>#DIV/0!</v>
      </c>
      <c r="AQ93" s="16">
        <v>1</v>
      </c>
      <c r="AR93" s="15" t="e">
        <f t="shared" si="34"/>
        <v>#DIV/0!</v>
      </c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</row>
    <row r="94" spans="1:55">
      <c r="A94" s="68"/>
      <c r="B94" s="68"/>
      <c r="C94" s="68"/>
      <c r="D94" s="68"/>
      <c r="E94" s="68"/>
      <c r="F94" s="68"/>
      <c r="G94" s="43" t="e">
        <f t="shared" si="35"/>
        <v>#DIV/0!</v>
      </c>
      <c r="H94" s="68"/>
      <c r="I94" s="68"/>
      <c r="J94" s="68"/>
      <c r="K94" s="68"/>
      <c r="L94" s="68"/>
      <c r="M94" s="68"/>
      <c r="N94" s="68"/>
      <c r="O94" s="68"/>
      <c r="P94" s="43" t="e">
        <f t="shared" si="36"/>
        <v>#DIV/0!</v>
      </c>
      <c r="Q94" s="68"/>
      <c r="R94" s="68"/>
      <c r="S94" s="43">
        <v>5</v>
      </c>
      <c r="T94" s="68"/>
      <c r="U94" s="68"/>
      <c r="V94" s="68"/>
      <c r="W94" s="68"/>
      <c r="X94" s="68"/>
      <c r="Y94" s="68"/>
      <c r="Z94" s="68"/>
      <c r="AA94" s="47">
        <f t="shared" si="26"/>
        <v>1</v>
      </c>
      <c r="AB94" s="68"/>
      <c r="AC94" s="48">
        <f t="shared" si="27"/>
        <v>0</v>
      </c>
      <c r="AD94" s="68"/>
      <c r="AE94" s="68"/>
      <c r="AF94" s="68"/>
      <c r="AG94" s="45" t="e">
        <f t="shared" si="28"/>
        <v>#DIV/0!</v>
      </c>
      <c r="AH94" s="45" t="e">
        <f t="shared" si="29"/>
        <v>#DIV/0!</v>
      </c>
      <c r="AI94" s="45"/>
      <c r="AJ94" s="2">
        <f t="shared" si="30"/>
        <v>1</v>
      </c>
      <c r="AK94" s="45" t="e">
        <f t="shared" si="31"/>
        <v>#DIV/0!</v>
      </c>
      <c r="AL94" s="2">
        <f t="shared" si="32"/>
        <v>0</v>
      </c>
      <c r="AM94" s="2">
        <f t="shared" si="37"/>
        <v>0</v>
      </c>
      <c r="AN94" s="68"/>
      <c r="AO94" s="68"/>
      <c r="AP94" s="16" t="e">
        <f t="shared" si="33"/>
        <v>#DIV/0!</v>
      </c>
      <c r="AQ94" s="16">
        <v>1</v>
      </c>
      <c r="AR94" s="15" t="e">
        <f t="shared" si="34"/>
        <v>#DIV/0!</v>
      </c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</row>
    <row r="95" spans="1:55">
      <c r="A95" s="68"/>
      <c r="B95" s="68"/>
      <c r="C95" s="68"/>
      <c r="D95" s="68"/>
      <c r="E95" s="68"/>
      <c r="F95" s="68"/>
      <c r="G95" s="43" t="e">
        <f t="shared" si="35"/>
        <v>#DIV/0!</v>
      </c>
      <c r="H95" s="68"/>
      <c r="I95" s="68"/>
      <c r="J95" s="68"/>
      <c r="K95" s="68"/>
      <c r="L95" s="68"/>
      <c r="M95" s="68"/>
      <c r="N95" s="68"/>
      <c r="O95" s="68"/>
      <c r="P95" s="43" t="e">
        <f t="shared" si="36"/>
        <v>#DIV/0!</v>
      </c>
      <c r="Q95" s="68"/>
      <c r="R95" s="68"/>
      <c r="S95" s="43">
        <v>5</v>
      </c>
      <c r="T95" s="68"/>
      <c r="U95" s="68"/>
      <c r="V95" s="68"/>
      <c r="W95" s="68"/>
      <c r="X95" s="68"/>
      <c r="Y95" s="68"/>
      <c r="Z95" s="68"/>
      <c r="AA95" s="47">
        <f t="shared" si="26"/>
        <v>1</v>
      </c>
      <c r="AB95" s="68"/>
      <c r="AC95" s="48">
        <f t="shared" si="27"/>
        <v>0</v>
      </c>
      <c r="AD95" s="68"/>
      <c r="AE95" s="68"/>
      <c r="AF95" s="68"/>
      <c r="AG95" s="45" t="e">
        <f t="shared" si="28"/>
        <v>#DIV/0!</v>
      </c>
      <c r="AH95" s="45" t="e">
        <f t="shared" si="29"/>
        <v>#DIV/0!</v>
      </c>
      <c r="AI95" s="45"/>
      <c r="AJ95" s="2">
        <f t="shared" si="30"/>
        <v>1</v>
      </c>
      <c r="AK95" s="45" t="e">
        <f t="shared" si="31"/>
        <v>#DIV/0!</v>
      </c>
      <c r="AL95" s="2">
        <f t="shared" si="32"/>
        <v>0</v>
      </c>
      <c r="AM95" s="2">
        <f t="shared" si="37"/>
        <v>0</v>
      </c>
      <c r="AN95" s="68"/>
      <c r="AO95" s="68"/>
      <c r="AP95" s="16" t="e">
        <f t="shared" si="33"/>
        <v>#DIV/0!</v>
      </c>
      <c r="AQ95" s="16">
        <v>1</v>
      </c>
      <c r="AR95" s="15" t="e">
        <f t="shared" si="34"/>
        <v>#DIV/0!</v>
      </c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</row>
    <row r="96" spans="1:55">
      <c r="A96" s="68"/>
      <c r="B96" s="68"/>
      <c r="C96" s="68"/>
      <c r="D96" s="68"/>
      <c r="E96" s="68"/>
      <c r="F96" s="68"/>
      <c r="G96" s="43" t="e">
        <f t="shared" si="35"/>
        <v>#DIV/0!</v>
      </c>
      <c r="H96" s="68"/>
      <c r="I96" s="68"/>
      <c r="J96" s="68"/>
      <c r="K96" s="68"/>
      <c r="L96" s="68"/>
      <c r="M96" s="68"/>
      <c r="N96" s="68"/>
      <c r="O96" s="68"/>
      <c r="P96" s="43" t="e">
        <f t="shared" si="36"/>
        <v>#DIV/0!</v>
      </c>
      <c r="Q96" s="68"/>
      <c r="R96" s="68"/>
      <c r="S96" s="43">
        <v>5</v>
      </c>
      <c r="T96" s="68"/>
      <c r="U96" s="68"/>
      <c r="V96" s="68"/>
      <c r="W96" s="68"/>
      <c r="X96" s="68"/>
      <c r="Y96" s="68"/>
      <c r="Z96" s="68"/>
      <c r="AA96" s="47">
        <f t="shared" si="26"/>
        <v>1</v>
      </c>
      <c r="AB96" s="68"/>
      <c r="AC96" s="48">
        <f t="shared" si="27"/>
        <v>0</v>
      </c>
      <c r="AD96" s="68"/>
      <c r="AE96" s="68"/>
      <c r="AF96" s="68"/>
      <c r="AG96" s="45" t="e">
        <f t="shared" si="28"/>
        <v>#DIV/0!</v>
      </c>
      <c r="AH96" s="45" t="e">
        <f t="shared" si="29"/>
        <v>#DIV/0!</v>
      </c>
      <c r="AI96" s="45"/>
      <c r="AJ96" s="2">
        <f t="shared" si="30"/>
        <v>1</v>
      </c>
      <c r="AK96" s="45" t="e">
        <f t="shared" si="31"/>
        <v>#DIV/0!</v>
      </c>
      <c r="AL96" s="2">
        <f t="shared" si="32"/>
        <v>0</v>
      </c>
      <c r="AM96" s="2">
        <f t="shared" si="37"/>
        <v>0</v>
      </c>
      <c r="AN96" s="68"/>
      <c r="AO96" s="68"/>
      <c r="AP96" s="16" t="e">
        <f t="shared" si="33"/>
        <v>#DIV/0!</v>
      </c>
      <c r="AQ96" s="16">
        <v>1</v>
      </c>
      <c r="AR96" s="15" t="e">
        <f t="shared" si="34"/>
        <v>#DIV/0!</v>
      </c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</row>
    <row r="97" spans="1:55">
      <c r="A97" s="68"/>
      <c r="B97" s="68"/>
      <c r="C97" s="68"/>
      <c r="D97" s="68"/>
      <c r="E97" s="68"/>
      <c r="F97" s="68"/>
      <c r="G97" s="43" t="e">
        <f t="shared" si="35"/>
        <v>#DIV/0!</v>
      </c>
      <c r="H97" s="68"/>
      <c r="I97" s="68"/>
      <c r="J97" s="68"/>
      <c r="K97" s="68"/>
      <c r="L97" s="68"/>
      <c r="M97" s="68"/>
      <c r="N97" s="68"/>
      <c r="O97" s="68"/>
      <c r="P97" s="43" t="e">
        <f t="shared" si="36"/>
        <v>#DIV/0!</v>
      </c>
      <c r="Q97" s="68"/>
      <c r="R97" s="68"/>
      <c r="S97" s="43">
        <v>5</v>
      </c>
      <c r="T97" s="68"/>
      <c r="U97" s="68"/>
      <c r="V97" s="68"/>
      <c r="W97" s="68"/>
      <c r="X97" s="68"/>
      <c r="Y97" s="68"/>
      <c r="Z97" s="68"/>
      <c r="AA97" s="47">
        <f t="shared" ref="AA97:AA128" si="38">IF(X97&lt;33,IF(Y97&gt;(1.1*X97),0,1),1)+IF(Y97&gt;(4*X97),-1,0)</f>
        <v>1</v>
      </c>
      <c r="AB97" s="68"/>
      <c r="AC97" s="48">
        <f t="shared" ref="AC97:AC128" si="39">IF(AB97&gt;9,1,0)+AB97/3</f>
        <v>0</v>
      </c>
      <c r="AD97" s="68"/>
      <c r="AE97" s="68"/>
      <c r="AF97" s="68"/>
      <c r="AG97" s="45" t="e">
        <f t="shared" ref="AG97:AG128" si="40">IF(G97&lt;0,0,1.2)+IF(G97&lt;14,0,0.9)+IF(P97&lt;0,0.7,0)+IF(P97&lt;6.5,1,0)+IF(P97&lt;23,1,0)+IF(R97&gt;88,0,1)+S97+IF(AD97&lt;20,0,1)+IF(AE97&lt;14,0,1)+IF(AF97&lt;26,0,1)</f>
        <v>#DIV/0!</v>
      </c>
      <c r="AH97" s="45" t="e">
        <f t="shared" ref="AH97:AH128" si="41">AG97+IF(AG97&gt;6,1,0)+IF(X97&lt;17,0,1)+IF(Y97&lt;11,0,1)+IF(Z97&lt;1.35,0,1)+AC97+AA97</f>
        <v>#DIV/0!</v>
      </c>
      <c r="AI97" s="45"/>
      <c r="AJ97" s="2">
        <f t="shared" ref="AJ97:AJ128" si="42">IF(AI97&gt;12.8,IF(AI97&gt;15.8,0.9,0.97),1)</f>
        <v>1</v>
      </c>
      <c r="AK97" s="45" t="e">
        <f t="shared" ref="AK97:AK128" si="43">(AG97*2.6+AH97)*AJ97*AQ97</f>
        <v>#DIV/0!</v>
      </c>
      <c r="AL97" s="2">
        <f t="shared" ref="AL97:AL128" si="44">D97</f>
        <v>0</v>
      </c>
      <c r="AM97" s="2">
        <f t="shared" si="37"/>
        <v>0</v>
      </c>
      <c r="AN97" s="68"/>
      <c r="AO97" s="68"/>
      <c r="AP97" s="16" t="e">
        <f t="shared" ref="AP97:AP128" si="45">IF(AK97&gt;23.73,IF(Z97&lt;101,IF(Z97&lt;30,IF(Z97&lt;6,3,2),1),0),0)</f>
        <v>#DIV/0!</v>
      </c>
      <c r="AQ97" s="16">
        <v>1</v>
      </c>
      <c r="AR97" s="15" t="e">
        <f t="shared" ref="AR97:AR128" si="46">IF(AP97&gt;0,IF(AB97&gt;10,(AB97/Z97),10/Z97),0)</f>
        <v>#DIV/0!</v>
      </c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</row>
    <row r="98" spans="1:55">
      <c r="A98" s="68"/>
      <c r="B98" s="68"/>
      <c r="C98" s="68"/>
      <c r="D98" s="68"/>
      <c r="E98" s="68"/>
      <c r="F98" s="68"/>
      <c r="G98" s="43" t="e">
        <f t="shared" si="35"/>
        <v>#DIV/0!</v>
      </c>
      <c r="H98" s="68"/>
      <c r="I98" s="68"/>
      <c r="J98" s="68"/>
      <c r="K98" s="68"/>
      <c r="L98" s="68"/>
      <c r="M98" s="68"/>
      <c r="N98" s="68"/>
      <c r="O98" s="68"/>
      <c r="P98" s="43" t="e">
        <f t="shared" si="36"/>
        <v>#DIV/0!</v>
      </c>
      <c r="Q98" s="68"/>
      <c r="R98" s="68"/>
      <c r="S98" s="43">
        <v>5</v>
      </c>
      <c r="T98" s="68"/>
      <c r="U98" s="68"/>
      <c r="V98" s="68"/>
      <c r="W98" s="68"/>
      <c r="X98" s="68"/>
      <c r="Y98" s="68"/>
      <c r="Z98" s="68"/>
      <c r="AA98" s="47">
        <f t="shared" si="38"/>
        <v>1</v>
      </c>
      <c r="AB98" s="68"/>
      <c r="AC98" s="48">
        <f t="shared" si="39"/>
        <v>0</v>
      </c>
      <c r="AD98" s="68"/>
      <c r="AE98" s="68"/>
      <c r="AF98" s="68"/>
      <c r="AG98" s="45" t="e">
        <f t="shared" si="40"/>
        <v>#DIV/0!</v>
      </c>
      <c r="AH98" s="45" t="e">
        <f t="shared" si="41"/>
        <v>#DIV/0!</v>
      </c>
      <c r="AI98" s="45"/>
      <c r="AJ98" s="2">
        <f t="shared" si="42"/>
        <v>1</v>
      </c>
      <c r="AK98" s="45" t="e">
        <f t="shared" si="43"/>
        <v>#DIV/0!</v>
      </c>
      <c r="AL98" s="2">
        <f t="shared" si="44"/>
        <v>0</v>
      </c>
      <c r="AM98" s="2">
        <f t="shared" si="37"/>
        <v>0</v>
      </c>
      <c r="AN98" s="68"/>
      <c r="AO98" s="68"/>
      <c r="AP98" s="16" t="e">
        <f t="shared" si="45"/>
        <v>#DIV/0!</v>
      </c>
      <c r="AQ98" s="16">
        <v>1</v>
      </c>
      <c r="AR98" s="15" t="e">
        <f t="shared" si="46"/>
        <v>#DIV/0!</v>
      </c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</row>
    <row r="99" spans="1:55">
      <c r="A99" s="68"/>
      <c r="B99" s="68"/>
      <c r="C99" s="68"/>
      <c r="D99" s="68"/>
      <c r="E99" s="68"/>
      <c r="F99" s="68"/>
      <c r="G99" s="43" t="e">
        <f t="shared" si="35"/>
        <v>#DIV/0!</v>
      </c>
      <c r="H99" s="68"/>
      <c r="I99" s="68"/>
      <c r="J99" s="68"/>
      <c r="K99" s="68"/>
      <c r="L99" s="68"/>
      <c r="M99" s="68"/>
      <c r="N99" s="68"/>
      <c r="O99" s="68"/>
      <c r="P99" s="43" t="e">
        <f t="shared" si="36"/>
        <v>#DIV/0!</v>
      </c>
      <c r="Q99" s="68"/>
      <c r="R99" s="68"/>
      <c r="S99" s="43">
        <v>5</v>
      </c>
      <c r="T99" s="68"/>
      <c r="U99" s="68"/>
      <c r="V99" s="68"/>
      <c r="W99" s="68"/>
      <c r="X99" s="68"/>
      <c r="Y99" s="68"/>
      <c r="Z99" s="68"/>
      <c r="AA99" s="47">
        <f t="shared" si="38"/>
        <v>1</v>
      </c>
      <c r="AB99" s="68"/>
      <c r="AC99" s="48">
        <f t="shared" si="39"/>
        <v>0</v>
      </c>
      <c r="AD99" s="68"/>
      <c r="AE99" s="68"/>
      <c r="AF99" s="68"/>
      <c r="AG99" s="45" t="e">
        <f t="shared" si="40"/>
        <v>#DIV/0!</v>
      </c>
      <c r="AH99" s="45" t="e">
        <f t="shared" si="41"/>
        <v>#DIV/0!</v>
      </c>
      <c r="AI99" s="45"/>
      <c r="AJ99" s="2">
        <f t="shared" si="42"/>
        <v>1</v>
      </c>
      <c r="AK99" s="45" t="e">
        <f t="shared" si="43"/>
        <v>#DIV/0!</v>
      </c>
      <c r="AL99" s="2">
        <f t="shared" si="44"/>
        <v>0</v>
      </c>
      <c r="AM99" s="2">
        <f t="shared" si="37"/>
        <v>0</v>
      </c>
      <c r="AN99" s="68"/>
      <c r="AO99" s="68"/>
      <c r="AP99" s="16" t="e">
        <f t="shared" si="45"/>
        <v>#DIV/0!</v>
      </c>
      <c r="AQ99" s="16">
        <v>1</v>
      </c>
      <c r="AR99" s="15" t="e">
        <f t="shared" si="46"/>
        <v>#DIV/0!</v>
      </c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</row>
    <row r="100" spans="1:55">
      <c r="A100" s="68"/>
      <c r="B100" s="68"/>
      <c r="C100" s="68"/>
      <c r="D100" s="68"/>
      <c r="E100" s="68"/>
      <c r="F100" s="68"/>
      <c r="G100" s="43" t="e">
        <f t="shared" si="35"/>
        <v>#DIV/0!</v>
      </c>
      <c r="H100" s="68"/>
      <c r="I100" s="68"/>
      <c r="J100" s="68"/>
      <c r="K100" s="68"/>
      <c r="L100" s="68"/>
      <c r="M100" s="68"/>
      <c r="N100" s="68"/>
      <c r="O100" s="68"/>
      <c r="P100" s="43" t="e">
        <f t="shared" si="36"/>
        <v>#DIV/0!</v>
      </c>
      <c r="Q100" s="68"/>
      <c r="R100" s="68"/>
      <c r="S100" s="43">
        <v>5</v>
      </c>
      <c r="T100" s="68"/>
      <c r="U100" s="68"/>
      <c r="V100" s="68"/>
      <c r="W100" s="68"/>
      <c r="X100" s="68"/>
      <c r="Y100" s="68"/>
      <c r="Z100" s="68"/>
      <c r="AA100" s="47">
        <f t="shared" si="38"/>
        <v>1</v>
      </c>
      <c r="AB100" s="68"/>
      <c r="AC100" s="48">
        <f t="shared" si="39"/>
        <v>0</v>
      </c>
      <c r="AD100" s="68"/>
      <c r="AE100" s="68"/>
      <c r="AF100" s="68"/>
      <c r="AG100" s="45" t="e">
        <f t="shared" si="40"/>
        <v>#DIV/0!</v>
      </c>
      <c r="AH100" s="45" t="e">
        <f t="shared" si="41"/>
        <v>#DIV/0!</v>
      </c>
      <c r="AI100" s="45"/>
      <c r="AJ100" s="2">
        <f t="shared" si="42"/>
        <v>1</v>
      </c>
      <c r="AK100" s="45" t="e">
        <f t="shared" si="43"/>
        <v>#DIV/0!</v>
      </c>
      <c r="AL100" s="2">
        <f t="shared" si="44"/>
        <v>0</v>
      </c>
      <c r="AM100" s="2">
        <f t="shared" si="37"/>
        <v>0</v>
      </c>
      <c r="AN100" s="68"/>
      <c r="AO100" s="68"/>
      <c r="AP100" s="16" t="e">
        <f t="shared" si="45"/>
        <v>#DIV/0!</v>
      </c>
      <c r="AQ100" s="16">
        <v>1</v>
      </c>
      <c r="AR100" s="15" t="e">
        <f t="shared" si="46"/>
        <v>#DIV/0!</v>
      </c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</row>
    <row r="101" spans="1:55">
      <c r="A101" s="68"/>
      <c r="B101" s="68"/>
      <c r="C101" s="68"/>
      <c r="D101" s="68"/>
      <c r="E101" s="68"/>
      <c r="F101" s="68"/>
      <c r="G101" s="43" t="e">
        <f t="shared" si="35"/>
        <v>#DIV/0!</v>
      </c>
      <c r="H101" s="68"/>
      <c r="I101" s="68"/>
      <c r="J101" s="68"/>
      <c r="K101" s="68"/>
      <c r="L101" s="68"/>
      <c r="M101" s="68"/>
      <c r="N101" s="68"/>
      <c r="O101" s="68"/>
      <c r="P101" s="43" t="e">
        <f t="shared" si="36"/>
        <v>#DIV/0!</v>
      </c>
      <c r="Q101" s="68"/>
      <c r="R101" s="68"/>
      <c r="S101" s="43">
        <v>5</v>
      </c>
      <c r="T101" s="68"/>
      <c r="U101" s="68"/>
      <c r="V101" s="68"/>
      <c r="W101" s="68"/>
      <c r="X101" s="68"/>
      <c r="Y101" s="68"/>
      <c r="Z101" s="68"/>
      <c r="AA101" s="47">
        <f t="shared" si="38"/>
        <v>1</v>
      </c>
      <c r="AB101" s="68"/>
      <c r="AC101" s="48">
        <f t="shared" si="39"/>
        <v>0</v>
      </c>
      <c r="AD101" s="68"/>
      <c r="AE101" s="68"/>
      <c r="AF101" s="68"/>
      <c r="AG101" s="45" t="e">
        <f t="shared" si="40"/>
        <v>#DIV/0!</v>
      </c>
      <c r="AH101" s="45" t="e">
        <f t="shared" si="41"/>
        <v>#DIV/0!</v>
      </c>
      <c r="AI101" s="45"/>
      <c r="AJ101" s="2">
        <f t="shared" si="42"/>
        <v>1</v>
      </c>
      <c r="AK101" s="45" t="e">
        <f t="shared" si="43"/>
        <v>#DIV/0!</v>
      </c>
      <c r="AL101" s="2">
        <f t="shared" si="44"/>
        <v>0</v>
      </c>
      <c r="AM101" s="2">
        <f t="shared" si="37"/>
        <v>0</v>
      </c>
      <c r="AN101" s="68"/>
      <c r="AO101" s="68"/>
      <c r="AP101" s="16" t="e">
        <f t="shared" si="45"/>
        <v>#DIV/0!</v>
      </c>
      <c r="AQ101" s="16">
        <v>1</v>
      </c>
      <c r="AR101" s="15" t="e">
        <f t="shared" si="46"/>
        <v>#DIV/0!</v>
      </c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</row>
    <row r="102" spans="1:55">
      <c r="A102" s="68"/>
      <c r="B102" s="68"/>
      <c r="C102" s="68"/>
      <c r="D102" s="68"/>
      <c r="E102" s="68"/>
      <c r="F102" s="68"/>
      <c r="G102" s="43" t="e">
        <f t="shared" si="35"/>
        <v>#DIV/0!</v>
      </c>
      <c r="H102" s="68"/>
      <c r="I102" s="68"/>
      <c r="J102" s="68"/>
      <c r="K102" s="68"/>
      <c r="L102" s="68"/>
      <c r="M102" s="68"/>
      <c r="N102" s="68"/>
      <c r="O102" s="68"/>
      <c r="P102" s="43" t="e">
        <f t="shared" si="36"/>
        <v>#DIV/0!</v>
      </c>
      <c r="Q102" s="68"/>
      <c r="R102" s="68"/>
      <c r="S102" s="43">
        <v>5</v>
      </c>
      <c r="T102" s="68"/>
      <c r="U102" s="68"/>
      <c r="V102" s="68"/>
      <c r="W102" s="68"/>
      <c r="X102" s="68"/>
      <c r="Y102" s="68"/>
      <c r="Z102" s="68"/>
      <c r="AA102" s="47">
        <f t="shared" si="38"/>
        <v>1</v>
      </c>
      <c r="AB102" s="68"/>
      <c r="AC102" s="48">
        <f t="shared" si="39"/>
        <v>0</v>
      </c>
      <c r="AD102" s="68"/>
      <c r="AE102" s="68"/>
      <c r="AF102" s="68"/>
      <c r="AG102" s="45" t="e">
        <f t="shared" si="40"/>
        <v>#DIV/0!</v>
      </c>
      <c r="AH102" s="45" t="e">
        <f t="shared" si="41"/>
        <v>#DIV/0!</v>
      </c>
      <c r="AI102" s="45"/>
      <c r="AJ102" s="2">
        <f t="shared" si="42"/>
        <v>1</v>
      </c>
      <c r="AK102" s="45" t="e">
        <f t="shared" si="43"/>
        <v>#DIV/0!</v>
      </c>
      <c r="AL102" s="2">
        <f t="shared" si="44"/>
        <v>0</v>
      </c>
      <c r="AM102" s="2">
        <f t="shared" si="37"/>
        <v>0</v>
      </c>
      <c r="AN102" s="68"/>
      <c r="AO102" s="68"/>
      <c r="AP102" s="16" t="e">
        <f t="shared" si="45"/>
        <v>#DIV/0!</v>
      </c>
      <c r="AQ102" s="16">
        <v>1</v>
      </c>
      <c r="AR102" s="15" t="e">
        <f t="shared" si="46"/>
        <v>#DIV/0!</v>
      </c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</row>
    <row r="103" spans="1:55">
      <c r="A103" s="68"/>
      <c r="B103" s="68"/>
      <c r="C103" s="68"/>
      <c r="D103" s="68"/>
      <c r="E103" s="68"/>
      <c r="F103" s="68"/>
      <c r="G103" s="43" t="e">
        <f t="shared" si="35"/>
        <v>#DIV/0!</v>
      </c>
      <c r="H103" s="68"/>
      <c r="I103" s="68"/>
      <c r="J103" s="68"/>
      <c r="K103" s="68"/>
      <c r="L103" s="68"/>
      <c r="M103" s="68"/>
      <c r="N103" s="68"/>
      <c r="O103" s="68"/>
      <c r="P103" s="43" t="e">
        <f t="shared" si="36"/>
        <v>#DIV/0!</v>
      </c>
      <c r="Q103" s="68"/>
      <c r="R103" s="68"/>
      <c r="S103" s="43">
        <v>5</v>
      </c>
      <c r="T103" s="68"/>
      <c r="U103" s="68"/>
      <c r="V103" s="68"/>
      <c r="W103" s="68"/>
      <c r="X103" s="68"/>
      <c r="Y103" s="68"/>
      <c r="Z103" s="68"/>
      <c r="AA103" s="47">
        <f t="shared" si="38"/>
        <v>1</v>
      </c>
      <c r="AB103" s="68"/>
      <c r="AC103" s="48">
        <f t="shared" si="39"/>
        <v>0</v>
      </c>
      <c r="AD103" s="68"/>
      <c r="AE103" s="68"/>
      <c r="AF103" s="68"/>
      <c r="AG103" s="45" t="e">
        <f t="shared" si="40"/>
        <v>#DIV/0!</v>
      </c>
      <c r="AH103" s="45" t="e">
        <f t="shared" si="41"/>
        <v>#DIV/0!</v>
      </c>
      <c r="AI103" s="45"/>
      <c r="AJ103" s="2">
        <f t="shared" si="42"/>
        <v>1</v>
      </c>
      <c r="AK103" s="45" t="e">
        <f t="shared" si="43"/>
        <v>#DIV/0!</v>
      </c>
      <c r="AL103" s="2">
        <f t="shared" si="44"/>
        <v>0</v>
      </c>
      <c r="AM103" s="2">
        <f t="shared" si="37"/>
        <v>0</v>
      </c>
      <c r="AN103" s="68"/>
      <c r="AO103" s="68"/>
      <c r="AP103" s="16" t="e">
        <f t="shared" si="45"/>
        <v>#DIV/0!</v>
      </c>
      <c r="AQ103" s="16">
        <v>1</v>
      </c>
      <c r="AR103" s="15" t="e">
        <f t="shared" si="46"/>
        <v>#DIV/0!</v>
      </c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</row>
    <row r="104" spans="1:55">
      <c r="A104" s="68"/>
      <c r="B104" s="68"/>
      <c r="C104" s="68"/>
      <c r="D104" s="68"/>
      <c r="E104" s="68"/>
      <c r="F104" s="68"/>
      <c r="G104" s="43" t="e">
        <f t="shared" si="35"/>
        <v>#DIV/0!</v>
      </c>
      <c r="H104" s="68"/>
      <c r="I104" s="68"/>
      <c r="J104" s="68"/>
      <c r="K104" s="68"/>
      <c r="L104" s="68"/>
      <c r="M104" s="68"/>
      <c r="N104" s="68"/>
      <c r="O104" s="68"/>
      <c r="P104" s="43" t="e">
        <f t="shared" si="36"/>
        <v>#DIV/0!</v>
      </c>
      <c r="Q104" s="68"/>
      <c r="R104" s="68"/>
      <c r="S104" s="43">
        <v>5</v>
      </c>
      <c r="T104" s="68"/>
      <c r="U104" s="68"/>
      <c r="V104" s="68"/>
      <c r="W104" s="68"/>
      <c r="X104" s="68"/>
      <c r="Y104" s="68"/>
      <c r="Z104" s="68"/>
      <c r="AA104" s="47">
        <f t="shared" si="38"/>
        <v>1</v>
      </c>
      <c r="AB104" s="68"/>
      <c r="AC104" s="48">
        <f t="shared" si="39"/>
        <v>0</v>
      </c>
      <c r="AD104" s="68"/>
      <c r="AE104" s="68"/>
      <c r="AF104" s="68"/>
      <c r="AG104" s="45" t="e">
        <f t="shared" si="40"/>
        <v>#DIV/0!</v>
      </c>
      <c r="AH104" s="45" t="e">
        <f t="shared" si="41"/>
        <v>#DIV/0!</v>
      </c>
      <c r="AI104" s="45"/>
      <c r="AJ104" s="2">
        <f t="shared" si="42"/>
        <v>1</v>
      </c>
      <c r="AK104" s="45" t="e">
        <f t="shared" si="43"/>
        <v>#DIV/0!</v>
      </c>
      <c r="AL104" s="2">
        <f t="shared" si="44"/>
        <v>0</v>
      </c>
      <c r="AM104" s="2">
        <f t="shared" si="37"/>
        <v>0</v>
      </c>
      <c r="AN104" s="68"/>
      <c r="AO104" s="68"/>
      <c r="AP104" s="16" t="e">
        <f t="shared" si="45"/>
        <v>#DIV/0!</v>
      </c>
      <c r="AQ104" s="16">
        <v>1</v>
      </c>
      <c r="AR104" s="15" t="e">
        <f t="shared" si="46"/>
        <v>#DIV/0!</v>
      </c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</row>
    <row r="105" spans="1:55">
      <c r="A105" s="68"/>
      <c r="B105" s="68"/>
      <c r="C105" s="68"/>
      <c r="D105" s="68"/>
      <c r="E105" s="68"/>
      <c r="F105" s="68"/>
      <c r="G105" s="43" t="e">
        <f t="shared" si="35"/>
        <v>#DIV/0!</v>
      </c>
      <c r="H105" s="68"/>
      <c r="I105" s="68"/>
      <c r="J105" s="68"/>
      <c r="K105" s="68"/>
      <c r="L105" s="68"/>
      <c r="M105" s="68"/>
      <c r="N105" s="68"/>
      <c r="O105" s="68"/>
      <c r="P105" s="43" t="e">
        <f t="shared" si="36"/>
        <v>#DIV/0!</v>
      </c>
      <c r="Q105" s="68"/>
      <c r="R105" s="68"/>
      <c r="S105" s="43">
        <v>5</v>
      </c>
      <c r="T105" s="68"/>
      <c r="U105" s="68"/>
      <c r="V105" s="68"/>
      <c r="W105" s="68"/>
      <c r="X105" s="68"/>
      <c r="Y105" s="68"/>
      <c r="Z105" s="68"/>
      <c r="AA105" s="47">
        <f t="shared" si="38"/>
        <v>1</v>
      </c>
      <c r="AB105" s="68"/>
      <c r="AC105" s="48">
        <f t="shared" si="39"/>
        <v>0</v>
      </c>
      <c r="AD105" s="68"/>
      <c r="AE105" s="68"/>
      <c r="AF105" s="68"/>
      <c r="AG105" s="45" t="e">
        <f t="shared" si="40"/>
        <v>#DIV/0!</v>
      </c>
      <c r="AH105" s="45" t="e">
        <f t="shared" si="41"/>
        <v>#DIV/0!</v>
      </c>
      <c r="AI105" s="45"/>
      <c r="AJ105" s="2">
        <f t="shared" si="42"/>
        <v>1</v>
      </c>
      <c r="AK105" s="45" t="e">
        <f t="shared" si="43"/>
        <v>#DIV/0!</v>
      </c>
      <c r="AL105" s="2">
        <f t="shared" si="44"/>
        <v>0</v>
      </c>
      <c r="AM105" s="2">
        <f t="shared" si="37"/>
        <v>0</v>
      </c>
      <c r="AN105" s="68"/>
      <c r="AO105" s="68"/>
      <c r="AP105" s="16" t="e">
        <f t="shared" si="45"/>
        <v>#DIV/0!</v>
      </c>
      <c r="AQ105" s="16">
        <v>1</v>
      </c>
      <c r="AR105" s="15" t="e">
        <f t="shared" si="46"/>
        <v>#DIV/0!</v>
      </c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</row>
    <row r="106" spans="1:55">
      <c r="A106" s="68"/>
      <c r="B106" s="68"/>
      <c r="C106" s="68"/>
      <c r="D106" s="68"/>
      <c r="E106" s="68"/>
      <c r="F106" s="68"/>
      <c r="G106" s="43" t="e">
        <f t="shared" si="35"/>
        <v>#DIV/0!</v>
      </c>
      <c r="H106" s="68"/>
      <c r="I106" s="68"/>
      <c r="J106" s="68"/>
      <c r="K106" s="68"/>
      <c r="L106" s="68"/>
      <c r="M106" s="68"/>
      <c r="N106" s="68"/>
      <c r="O106" s="68"/>
      <c r="P106" s="43" t="e">
        <f t="shared" si="36"/>
        <v>#DIV/0!</v>
      </c>
      <c r="Q106" s="68"/>
      <c r="R106" s="68"/>
      <c r="S106" s="43">
        <v>5</v>
      </c>
      <c r="T106" s="68"/>
      <c r="U106" s="68"/>
      <c r="V106" s="68"/>
      <c r="W106" s="68"/>
      <c r="X106" s="68"/>
      <c r="Y106" s="68"/>
      <c r="Z106" s="68"/>
      <c r="AA106" s="47">
        <f t="shared" si="38"/>
        <v>1</v>
      </c>
      <c r="AB106" s="68"/>
      <c r="AC106" s="48">
        <f t="shared" si="39"/>
        <v>0</v>
      </c>
      <c r="AD106" s="68"/>
      <c r="AE106" s="68"/>
      <c r="AF106" s="68"/>
      <c r="AG106" s="45" t="e">
        <f t="shared" si="40"/>
        <v>#DIV/0!</v>
      </c>
      <c r="AH106" s="45" t="e">
        <f t="shared" si="41"/>
        <v>#DIV/0!</v>
      </c>
      <c r="AI106" s="45"/>
      <c r="AJ106" s="2">
        <f t="shared" si="42"/>
        <v>1</v>
      </c>
      <c r="AK106" s="45" t="e">
        <f t="shared" si="43"/>
        <v>#DIV/0!</v>
      </c>
      <c r="AL106" s="2">
        <f t="shared" si="44"/>
        <v>0</v>
      </c>
      <c r="AM106" s="2">
        <f t="shared" si="37"/>
        <v>0</v>
      </c>
      <c r="AN106" s="68"/>
      <c r="AO106" s="68"/>
      <c r="AP106" s="16" t="e">
        <f t="shared" si="45"/>
        <v>#DIV/0!</v>
      </c>
      <c r="AQ106" s="16">
        <v>1</v>
      </c>
      <c r="AR106" s="15" t="e">
        <f t="shared" si="46"/>
        <v>#DIV/0!</v>
      </c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</row>
    <row r="107" spans="1:55">
      <c r="A107" s="68"/>
      <c r="B107" s="68"/>
      <c r="C107" s="68"/>
      <c r="D107" s="68"/>
      <c r="E107" s="68"/>
      <c r="F107" s="68"/>
      <c r="G107" s="43" t="e">
        <f t="shared" si="35"/>
        <v>#DIV/0!</v>
      </c>
      <c r="H107" s="68"/>
      <c r="I107" s="68"/>
      <c r="J107" s="68"/>
      <c r="K107" s="68"/>
      <c r="L107" s="68"/>
      <c r="M107" s="68"/>
      <c r="N107" s="68"/>
      <c r="O107" s="68"/>
      <c r="P107" s="43" t="e">
        <f t="shared" si="36"/>
        <v>#DIV/0!</v>
      </c>
      <c r="Q107" s="68"/>
      <c r="R107" s="68"/>
      <c r="S107" s="43">
        <v>5</v>
      </c>
      <c r="T107" s="68"/>
      <c r="U107" s="68"/>
      <c r="V107" s="68"/>
      <c r="W107" s="68"/>
      <c r="X107" s="68"/>
      <c r="Y107" s="68"/>
      <c r="Z107" s="68"/>
      <c r="AA107" s="47">
        <f t="shared" si="38"/>
        <v>1</v>
      </c>
      <c r="AB107" s="68"/>
      <c r="AC107" s="48">
        <f t="shared" si="39"/>
        <v>0</v>
      </c>
      <c r="AD107" s="68"/>
      <c r="AE107" s="68"/>
      <c r="AF107" s="68"/>
      <c r="AG107" s="45" t="e">
        <f t="shared" si="40"/>
        <v>#DIV/0!</v>
      </c>
      <c r="AH107" s="45" t="e">
        <f t="shared" si="41"/>
        <v>#DIV/0!</v>
      </c>
      <c r="AI107" s="45"/>
      <c r="AJ107" s="2">
        <f t="shared" si="42"/>
        <v>1</v>
      </c>
      <c r="AK107" s="45" t="e">
        <f t="shared" si="43"/>
        <v>#DIV/0!</v>
      </c>
      <c r="AL107" s="2">
        <f t="shared" si="44"/>
        <v>0</v>
      </c>
      <c r="AM107" s="2">
        <f t="shared" si="37"/>
        <v>0</v>
      </c>
      <c r="AN107" s="68"/>
      <c r="AO107" s="68"/>
      <c r="AP107" s="16" t="e">
        <f t="shared" si="45"/>
        <v>#DIV/0!</v>
      </c>
      <c r="AQ107" s="16">
        <v>1</v>
      </c>
      <c r="AR107" s="15" t="e">
        <f t="shared" si="46"/>
        <v>#DIV/0!</v>
      </c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</row>
    <row r="108" spans="1:55">
      <c r="A108" s="68"/>
      <c r="B108" s="68"/>
      <c r="C108" s="68"/>
      <c r="D108" s="68"/>
      <c r="E108" s="68"/>
      <c r="F108" s="68"/>
      <c r="G108" s="43" t="e">
        <f t="shared" si="35"/>
        <v>#DIV/0!</v>
      </c>
      <c r="H108" s="68"/>
      <c r="I108" s="68"/>
      <c r="J108" s="68"/>
      <c r="K108" s="68"/>
      <c r="L108" s="68"/>
      <c r="M108" s="68"/>
      <c r="N108" s="68"/>
      <c r="O108" s="68"/>
      <c r="P108" s="43" t="e">
        <f t="shared" si="36"/>
        <v>#DIV/0!</v>
      </c>
      <c r="Q108" s="68"/>
      <c r="R108" s="68"/>
      <c r="S108" s="43">
        <v>5</v>
      </c>
      <c r="T108" s="68"/>
      <c r="U108" s="68"/>
      <c r="V108" s="68"/>
      <c r="W108" s="68"/>
      <c r="X108" s="68"/>
      <c r="Y108" s="68"/>
      <c r="Z108" s="68"/>
      <c r="AA108" s="47">
        <f t="shared" si="38"/>
        <v>1</v>
      </c>
      <c r="AB108" s="68"/>
      <c r="AC108" s="48">
        <f t="shared" si="39"/>
        <v>0</v>
      </c>
      <c r="AD108" s="68"/>
      <c r="AE108" s="68"/>
      <c r="AF108" s="68"/>
      <c r="AG108" s="45" t="e">
        <f t="shared" si="40"/>
        <v>#DIV/0!</v>
      </c>
      <c r="AH108" s="45" t="e">
        <f t="shared" si="41"/>
        <v>#DIV/0!</v>
      </c>
      <c r="AI108" s="45"/>
      <c r="AJ108" s="2">
        <f t="shared" si="42"/>
        <v>1</v>
      </c>
      <c r="AK108" s="45" t="e">
        <f t="shared" si="43"/>
        <v>#DIV/0!</v>
      </c>
      <c r="AL108" s="2">
        <f t="shared" si="44"/>
        <v>0</v>
      </c>
      <c r="AM108" s="2">
        <f t="shared" si="37"/>
        <v>0</v>
      </c>
      <c r="AN108" s="68"/>
      <c r="AO108" s="68"/>
      <c r="AP108" s="16" t="e">
        <f t="shared" si="45"/>
        <v>#DIV/0!</v>
      </c>
      <c r="AQ108" s="16">
        <v>1</v>
      </c>
      <c r="AR108" s="15" t="e">
        <f t="shared" si="46"/>
        <v>#DIV/0!</v>
      </c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</row>
    <row r="109" spans="1:55">
      <c r="A109" s="68"/>
      <c r="B109" s="68"/>
      <c r="C109" s="68"/>
      <c r="D109" s="68"/>
      <c r="E109" s="68"/>
      <c r="F109" s="68"/>
      <c r="G109" s="43" t="e">
        <f t="shared" si="35"/>
        <v>#DIV/0!</v>
      </c>
      <c r="H109" s="68"/>
      <c r="I109" s="68"/>
      <c r="J109" s="68"/>
      <c r="K109" s="68"/>
      <c r="L109" s="68"/>
      <c r="M109" s="68"/>
      <c r="N109" s="68"/>
      <c r="O109" s="68"/>
      <c r="P109" s="43" t="e">
        <f t="shared" si="36"/>
        <v>#DIV/0!</v>
      </c>
      <c r="Q109" s="68"/>
      <c r="R109" s="68"/>
      <c r="S109" s="43">
        <v>5</v>
      </c>
      <c r="T109" s="68"/>
      <c r="U109" s="68"/>
      <c r="V109" s="68"/>
      <c r="W109" s="68"/>
      <c r="X109" s="68"/>
      <c r="Y109" s="68"/>
      <c r="Z109" s="68"/>
      <c r="AA109" s="47">
        <f t="shared" si="38"/>
        <v>1</v>
      </c>
      <c r="AB109" s="68"/>
      <c r="AC109" s="48">
        <f t="shared" si="39"/>
        <v>0</v>
      </c>
      <c r="AD109" s="68"/>
      <c r="AE109" s="68"/>
      <c r="AF109" s="68"/>
      <c r="AG109" s="45" t="e">
        <f t="shared" si="40"/>
        <v>#DIV/0!</v>
      </c>
      <c r="AH109" s="45" t="e">
        <f t="shared" si="41"/>
        <v>#DIV/0!</v>
      </c>
      <c r="AI109" s="45"/>
      <c r="AJ109" s="2">
        <f t="shared" si="42"/>
        <v>1</v>
      </c>
      <c r="AK109" s="45" t="e">
        <f t="shared" si="43"/>
        <v>#DIV/0!</v>
      </c>
      <c r="AL109" s="2">
        <f t="shared" si="44"/>
        <v>0</v>
      </c>
      <c r="AM109" s="2">
        <f t="shared" si="37"/>
        <v>0</v>
      </c>
      <c r="AN109" s="68"/>
      <c r="AO109" s="68"/>
      <c r="AP109" s="16" t="e">
        <f t="shared" si="45"/>
        <v>#DIV/0!</v>
      </c>
      <c r="AQ109" s="16">
        <v>1</v>
      </c>
      <c r="AR109" s="15" t="e">
        <f t="shared" si="46"/>
        <v>#DIV/0!</v>
      </c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</row>
    <row r="110" spans="1:55">
      <c r="A110" s="68"/>
      <c r="B110" s="68"/>
      <c r="C110" s="68"/>
      <c r="D110" s="68"/>
      <c r="E110" s="68"/>
      <c r="F110" s="68"/>
      <c r="G110" s="43" t="e">
        <f t="shared" si="35"/>
        <v>#DIV/0!</v>
      </c>
      <c r="H110" s="68"/>
      <c r="I110" s="68"/>
      <c r="J110" s="68"/>
      <c r="K110" s="68"/>
      <c r="L110" s="68"/>
      <c r="M110" s="68"/>
      <c r="N110" s="68"/>
      <c r="O110" s="68"/>
      <c r="P110" s="43" t="e">
        <f t="shared" si="36"/>
        <v>#DIV/0!</v>
      </c>
      <c r="Q110" s="68"/>
      <c r="R110" s="68"/>
      <c r="S110" s="43">
        <v>5</v>
      </c>
      <c r="T110" s="68"/>
      <c r="U110" s="68"/>
      <c r="V110" s="68"/>
      <c r="W110" s="68"/>
      <c r="X110" s="68"/>
      <c r="Y110" s="68"/>
      <c r="Z110" s="68"/>
      <c r="AA110" s="47">
        <f t="shared" si="38"/>
        <v>1</v>
      </c>
      <c r="AB110" s="68"/>
      <c r="AC110" s="48">
        <f t="shared" si="39"/>
        <v>0</v>
      </c>
      <c r="AD110" s="68"/>
      <c r="AE110" s="68"/>
      <c r="AF110" s="68"/>
      <c r="AG110" s="45" t="e">
        <f t="shared" si="40"/>
        <v>#DIV/0!</v>
      </c>
      <c r="AH110" s="45" t="e">
        <f t="shared" si="41"/>
        <v>#DIV/0!</v>
      </c>
      <c r="AI110" s="45"/>
      <c r="AJ110" s="2">
        <f t="shared" si="42"/>
        <v>1</v>
      </c>
      <c r="AK110" s="45" t="e">
        <f t="shared" si="43"/>
        <v>#DIV/0!</v>
      </c>
      <c r="AL110" s="2">
        <f t="shared" si="44"/>
        <v>0</v>
      </c>
      <c r="AM110" s="2">
        <f t="shared" si="37"/>
        <v>0</v>
      </c>
      <c r="AN110" s="68"/>
      <c r="AO110" s="68"/>
      <c r="AP110" s="16" t="e">
        <f t="shared" si="45"/>
        <v>#DIV/0!</v>
      </c>
      <c r="AQ110" s="16">
        <v>1</v>
      </c>
      <c r="AR110" s="15" t="e">
        <f t="shared" si="46"/>
        <v>#DIV/0!</v>
      </c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</row>
    <row r="111" spans="1:55">
      <c r="A111" s="68"/>
      <c r="B111" s="68"/>
      <c r="C111" s="68"/>
      <c r="D111" s="68"/>
      <c r="E111" s="68"/>
      <c r="F111" s="68"/>
      <c r="G111" s="43" t="e">
        <f t="shared" si="35"/>
        <v>#DIV/0!</v>
      </c>
      <c r="H111" s="68"/>
      <c r="I111" s="68"/>
      <c r="J111" s="68"/>
      <c r="K111" s="68"/>
      <c r="L111" s="68"/>
      <c r="M111" s="68"/>
      <c r="N111" s="68"/>
      <c r="O111" s="68"/>
      <c r="P111" s="43" t="e">
        <f t="shared" si="36"/>
        <v>#DIV/0!</v>
      </c>
      <c r="Q111" s="68"/>
      <c r="R111" s="68"/>
      <c r="S111" s="43">
        <v>5</v>
      </c>
      <c r="T111" s="68"/>
      <c r="U111" s="68"/>
      <c r="V111" s="68"/>
      <c r="W111" s="68"/>
      <c r="X111" s="68"/>
      <c r="Y111" s="68"/>
      <c r="Z111" s="68"/>
      <c r="AA111" s="47">
        <f t="shared" si="38"/>
        <v>1</v>
      </c>
      <c r="AB111" s="68"/>
      <c r="AC111" s="48">
        <f t="shared" si="39"/>
        <v>0</v>
      </c>
      <c r="AD111" s="68"/>
      <c r="AE111" s="68"/>
      <c r="AF111" s="68"/>
      <c r="AG111" s="45" t="e">
        <f t="shared" si="40"/>
        <v>#DIV/0!</v>
      </c>
      <c r="AH111" s="45" t="e">
        <f t="shared" si="41"/>
        <v>#DIV/0!</v>
      </c>
      <c r="AI111" s="45"/>
      <c r="AJ111" s="2">
        <f t="shared" si="42"/>
        <v>1</v>
      </c>
      <c r="AK111" s="45" t="e">
        <f t="shared" si="43"/>
        <v>#DIV/0!</v>
      </c>
      <c r="AL111" s="2">
        <f t="shared" si="44"/>
        <v>0</v>
      </c>
      <c r="AM111" s="2">
        <f t="shared" si="37"/>
        <v>0</v>
      </c>
      <c r="AN111" s="68"/>
      <c r="AO111" s="68"/>
      <c r="AP111" s="16" t="e">
        <f t="shared" si="45"/>
        <v>#DIV/0!</v>
      </c>
      <c r="AQ111" s="16">
        <v>1</v>
      </c>
      <c r="AR111" s="15" t="e">
        <f t="shared" si="46"/>
        <v>#DIV/0!</v>
      </c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</row>
    <row r="112" spans="1:55">
      <c r="A112" s="68"/>
      <c r="B112" s="68"/>
      <c r="C112" s="68"/>
      <c r="D112" s="68"/>
      <c r="E112" s="68"/>
      <c r="F112" s="68"/>
      <c r="G112" s="43" t="e">
        <f t="shared" si="35"/>
        <v>#DIV/0!</v>
      </c>
      <c r="H112" s="68"/>
      <c r="I112" s="68"/>
      <c r="J112" s="68"/>
      <c r="K112" s="68"/>
      <c r="L112" s="68"/>
      <c r="M112" s="68"/>
      <c r="N112" s="68"/>
      <c r="O112" s="68"/>
      <c r="P112" s="43" t="e">
        <f t="shared" si="36"/>
        <v>#DIV/0!</v>
      </c>
      <c r="Q112" s="68"/>
      <c r="R112" s="68"/>
      <c r="S112" s="43">
        <v>5</v>
      </c>
      <c r="T112" s="68"/>
      <c r="U112" s="68"/>
      <c r="V112" s="68"/>
      <c r="W112" s="68"/>
      <c r="X112" s="68"/>
      <c r="Y112" s="68"/>
      <c r="Z112" s="68"/>
      <c r="AA112" s="47">
        <f t="shared" si="38"/>
        <v>1</v>
      </c>
      <c r="AB112" s="68"/>
      <c r="AC112" s="48">
        <f t="shared" si="39"/>
        <v>0</v>
      </c>
      <c r="AD112" s="68"/>
      <c r="AE112" s="68"/>
      <c r="AF112" s="68"/>
      <c r="AG112" s="45" t="e">
        <f t="shared" si="40"/>
        <v>#DIV/0!</v>
      </c>
      <c r="AH112" s="45" t="e">
        <f t="shared" si="41"/>
        <v>#DIV/0!</v>
      </c>
      <c r="AI112" s="45"/>
      <c r="AJ112" s="2">
        <f t="shared" si="42"/>
        <v>1</v>
      </c>
      <c r="AK112" s="45" t="e">
        <f t="shared" si="43"/>
        <v>#DIV/0!</v>
      </c>
      <c r="AL112" s="2">
        <f t="shared" si="44"/>
        <v>0</v>
      </c>
      <c r="AM112" s="2">
        <f t="shared" si="37"/>
        <v>0</v>
      </c>
      <c r="AN112" s="68"/>
      <c r="AO112" s="68"/>
      <c r="AP112" s="16" t="e">
        <f t="shared" si="45"/>
        <v>#DIV/0!</v>
      </c>
      <c r="AQ112" s="16">
        <v>1</v>
      </c>
      <c r="AR112" s="15" t="e">
        <f t="shared" si="46"/>
        <v>#DIV/0!</v>
      </c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</row>
    <row r="113" spans="1:55">
      <c r="A113" s="68"/>
      <c r="B113" s="68"/>
      <c r="C113" s="68"/>
      <c r="D113" s="68"/>
      <c r="E113" s="68"/>
      <c r="F113" s="68"/>
      <c r="G113" s="43" t="e">
        <f t="shared" si="35"/>
        <v>#DIV/0!</v>
      </c>
      <c r="H113" s="68"/>
      <c r="I113" s="68"/>
      <c r="J113" s="68"/>
      <c r="K113" s="68"/>
      <c r="L113" s="68"/>
      <c r="M113" s="68"/>
      <c r="N113" s="68"/>
      <c r="O113" s="68"/>
      <c r="P113" s="43" t="e">
        <f t="shared" si="36"/>
        <v>#DIV/0!</v>
      </c>
      <c r="Q113" s="68"/>
      <c r="R113" s="68"/>
      <c r="S113" s="43">
        <v>5</v>
      </c>
      <c r="T113" s="68"/>
      <c r="U113" s="68"/>
      <c r="V113" s="68"/>
      <c r="W113" s="68"/>
      <c r="X113" s="68"/>
      <c r="Y113" s="68"/>
      <c r="Z113" s="68"/>
      <c r="AA113" s="47">
        <f t="shared" si="38"/>
        <v>1</v>
      </c>
      <c r="AB113" s="68"/>
      <c r="AC113" s="48">
        <f t="shared" si="39"/>
        <v>0</v>
      </c>
      <c r="AD113" s="68"/>
      <c r="AE113" s="68"/>
      <c r="AF113" s="68"/>
      <c r="AG113" s="45" t="e">
        <f t="shared" si="40"/>
        <v>#DIV/0!</v>
      </c>
      <c r="AH113" s="45" t="e">
        <f t="shared" si="41"/>
        <v>#DIV/0!</v>
      </c>
      <c r="AI113" s="45"/>
      <c r="AJ113" s="2">
        <f t="shared" si="42"/>
        <v>1</v>
      </c>
      <c r="AK113" s="45" t="e">
        <f t="shared" si="43"/>
        <v>#DIV/0!</v>
      </c>
      <c r="AL113" s="2">
        <f t="shared" si="44"/>
        <v>0</v>
      </c>
      <c r="AM113" s="2">
        <f t="shared" si="37"/>
        <v>0</v>
      </c>
      <c r="AN113" s="68"/>
      <c r="AO113" s="68"/>
      <c r="AP113" s="16" t="e">
        <f t="shared" si="45"/>
        <v>#DIV/0!</v>
      </c>
      <c r="AQ113" s="16">
        <v>1</v>
      </c>
      <c r="AR113" s="15" t="e">
        <f t="shared" si="46"/>
        <v>#DIV/0!</v>
      </c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</row>
    <row r="114" spans="1:55">
      <c r="A114" s="68"/>
      <c r="B114" s="68"/>
      <c r="C114" s="68"/>
      <c r="D114" s="68"/>
      <c r="E114" s="68"/>
      <c r="F114" s="68"/>
      <c r="G114" s="43" t="e">
        <f t="shared" si="35"/>
        <v>#DIV/0!</v>
      </c>
      <c r="H114" s="68"/>
      <c r="I114" s="68"/>
      <c r="J114" s="68"/>
      <c r="K114" s="68"/>
      <c r="L114" s="68"/>
      <c r="M114" s="68"/>
      <c r="N114" s="68"/>
      <c r="O114" s="68"/>
      <c r="P114" s="43" t="e">
        <f t="shared" si="36"/>
        <v>#DIV/0!</v>
      </c>
      <c r="Q114" s="68"/>
      <c r="R114" s="68"/>
      <c r="S114" s="43">
        <v>5</v>
      </c>
      <c r="T114" s="68"/>
      <c r="U114" s="68"/>
      <c r="V114" s="68"/>
      <c r="W114" s="68"/>
      <c r="X114" s="68"/>
      <c r="Y114" s="68"/>
      <c r="Z114" s="68"/>
      <c r="AA114" s="47">
        <f t="shared" si="38"/>
        <v>1</v>
      </c>
      <c r="AB114" s="68"/>
      <c r="AC114" s="48">
        <f t="shared" si="39"/>
        <v>0</v>
      </c>
      <c r="AD114" s="68"/>
      <c r="AE114" s="68"/>
      <c r="AF114" s="68"/>
      <c r="AG114" s="45" t="e">
        <f t="shared" si="40"/>
        <v>#DIV/0!</v>
      </c>
      <c r="AH114" s="45" t="e">
        <f t="shared" si="41"/>
        <v>#DIV/0!</v>
      </c>
      <c r="AI114" s="45"/>
      <c r="AJ114" s="2">
        <f t="shared" si="42"/>
        <v>1</v>
      </c>
      <c r="AK114" s="45" t="e">
        <f t="shared" si="43"/>
        <v>#DIV/0!</v>
      </c>
      <c r="AL114" s="2">
        <f t="shared" si="44"/>
        <v>0</v>
      </c>
      <c r="AM114" s="2">
        <f t="shared" si="37"/>
        <v>0</v>
      </c>
      <c r="AN114" s="68"/>
      <c r="AO114" s="68"/>
      <c r="AP114" s="16" t="e">
        <f t="shared" si="45"/>
        <v>#DIV/0!</v>
      </c>
      <c r="AQ114" s="16">
        <v>1</v>
      </c>
      <c r="AR114" s="15" t="e">
        <f t="shared" si="46"/>
        <v>#DIV/0!</v>
      </c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</row>
    <row r="115" spans="1:55">
      <c r="A115" s="68"/>
      <c r="B115" s="68"/>
      <c r="C115" s="68"/>
      <c r="D115" s="68"/>
      <c r="E115" s="68"/>
      <c r="F115" s="68"/>
      <c r="G115" s="43" t="e">
        <f t="shared" ref="G115:G146" si="47">100*(F115-E115)/F115</f>
        <v>#DIV/0!</v>
      </c>
      <c r="H115" s="68"/>
      <c r="I115" s="68"/>
      <c r="J115" s="68"/>
      <c r="K115" s="68"/>
      <c r="L115" s="68"/>
      <c r="M115" s="68"/>
      <c r="N115" s="68"/>
      <c r="O115" s="68"/>
      <c r="P115" s="43" t="e">
        <f t="shared" ref="P115:P146" si="48">O115/I115</f>
        <v>#DIV/0!</v>
      </c>
      <c r="Q115" s="68"/>
      <c r="R115" s="68"/>
      <c r="S115" s="43">
        <v>5</v>
      </c>
      <c r="T115" s="68"/>
      <c r="U115" s="68"/>
      <c r="V115" s="68"/>
      <c r="W115" s="68"/>
      <c r="X115" s="68"/>
      <c r="Y115" s="68"/>
      <c r="Z115" s="68"/>
      <c r="AA115" s="47">
        <f t="shared" si="38"/>
        <v>1</v>
      </c>
      <c r="AB115" s="68"/>
      <c r="AC115" s="48">
        <f t="shared" si="39"/>
        <v>0</v>
      </c>
      <c r="AD115" s="68"/>
      <c r="AE115" s="68"/>
      <c r="AF115" s="68"/>
      <c r="AG115" s="45" t="e">
        <f t="shared" si="40"/>
        <v>#DIV/0!</v>
      </c>
      <c r="AH115" s="45" t="e">
        <f t="shared" si="41"/>
        <v>#DIV/0!</v>
      </c>
      <c r="AI115" s="45"/>
      <c r="AJ115" s="2">
        <f t="shared" si="42"/>
        <v>1</v>
      </c>
      <c r="AK115" s="45" t="e">
        <f t="shared" si="43"/>
        <v>#DIV/0!</v>
      </c>
      <c r="AL115" s="2">
        <f t="shared" si="44"/>
        <v>0</v>
      </c>
      <c r="AM115" s="2">
        <f t="shared" ref="AM115:AM142" si="49">B115</f>
        <v>0</v>
      </c>
      <c r="AN115" s="68"/>
      <c r="AO115" s="68"/>
      <c r="AP115" s="16" t="e">
        <f t="shared" si="45"/>
        <v>#DIV/0!</v>
      </c>
      <c r="AQ115" s="16">
        <v>1</v>
      </c>
      <c r="AR115" s="15" t="e">
        <f t="shared" si="46"/>
        <v>#DIV/0!</v>
      </c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</row>
    <row r="116" spans="1:55">
      <c r="A116" s="68"/>
      <c r="B116" s="68"/>
      <c r="C116" s="68"/>
      <c r="D116" s="68"/>
      <c r="E116" s="68"/>
      <c r="F116" s="68"/>
      <c r="G116" s="43" t="e">
        <f t="shared" si="47"/>
        <v>#DIV/0!</v>
      </c>
      <c r="H116" s="68"/>
      <c r="I116" s="68"/>
      <c r="J116" s="68"/>
      <c r="K116" s="68"/>
      <c r="L116" s="68"/>
      <c r="M116" s="68"/>
      <c r="N116" s="68"/>
      <c r="O116" s="68"/>
      <c r="P116" s="43" t="e">
        <f t="shared" si="48"/>
        <v>#DIV/0!</v>
      </c>
      <c r="Q116" s="68"/>
      <c r="R116" s="68"/>
      <c r="S116" s="43">
        <v>5</v>
      </c>
      <c r="T116" s="68"/>
      <c r="U116" s="68"/>
      <c r="V116" s="68"/>
      <c r="W116" s="68"/>
      <c r="X116" s="68"/>
      <c r="Y116" s="68"/>
      <c r="Z116" s="68"/>
      <c r="AA116" s="47">
        <f t="shared" si="38"/>
        <v>1</v>
      </c>
      <c r="AB116" s="68"/>
      <c r="AC116" s="48">
        <f t="shared" si="39"/>
        <v>0</v>
      </c>
      <c r="AD116" s="68"/>
      <c r="AE116" s="68"/>
      <c r="AF116" s="68"/>
      <c r="AG116" s="45" t="e">
        <f t="shared" si="40"/>
        <v>#DIV/0!</v>
      </c>
      <c r="AH116" s="45" t="e">
        <f t="shared" si="41"/>
        <v>#DIV/0!</v>
      </c>
      <c r="AI116" s="45"/>
      <c r="AJ116" s="2">
        <f t="shared" si="42"/>
        <v>1</v>
      </c>
      <c r="AK116" s="45" t="e">
        <f t="shared" si="43"/>
        <v>#DIV/0!</v>
      </c>
      <c r="AL116" s="2">
        <f t="shared" si="44"/>
        <v>0</v>
      </c>
      <c r="AM116" s="2">
        <f t="shared" si="49"/>
        <v>0</v>
      </c>
      <c r="AN116" s="68"/>
      <c r="AO116" s="68"/>
      <c r="AP116" s="16" t="e">
        <f t="shared" si="45"/>
        <v>#DIV/0!</v>
      </c>
      <c r="AQ116" s="16">
        <v>1</v>
      </c>
      <c r="AR116" s="15" t="e">
        <f t="shared" si="46"/>
        <v>#DIV/0!</v>
      </c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</row>
    <row r="117" spans="1:55">
      <c r="A117" s="68"/>
      <c r="B117" s="68"/>
      <c r="C117" s="68"/>
      <c r="D117" s="68"/>
      <c r="E117" s="68"/>
      <c r="F117" s="68"/>
      <c r="G117" s="43" t="e">
        <f t="shared" si="47"/>
        <v>#DIV/0!</v>
      </c>
      <c r="H117" s="68"/>
      <c r="I117" s="68"/>
      <c r="J117" s="68"/>
      <c r="K117" s="68"/>
      <c r="L117" s="68"/>
      <c r="M117" s="68"/>
      <c r="N117" s="68"/>
      <c r="O117" s="68"/>
      <c r="P117" s="43" t="e">
        <f t="shared" si="48"/>
        <v>#DIV/0!</v>
      </c>
      <c r="Q117" s="68"/>
      <c r="R117" s="68"/>
      <c r="S117" s="43">
        <v>5</v>
      </c>
      <c r="T117" s="68"/>
      <c r="U117" s="68"/>
      <c r="V117" s="68"/>
      <c r="W117" s="68"/>
      <c r="X117" s="68"/>
      <c r="Y117" s="68"/>
      <c r="Z117" s="68"/>
      <c r="AA117" s="47">
        <f t="shared" si="38"/>
        <v>1</v>
      </c>
      <c r="AB117" s="68"/>
      <c r="AC117" s="48">
        <f t="shared" si="39"/>
        <v>0</v>
      </c>
      <c r="AD117" s="68"/>
      <c r="AE117" s="68"/>
      <c r="AF117" s="68"/>
      <c r="AG117" s="45" t="e">
        <f t="shared" si="40"/>
        <v>#DIV/0!</v>
      </c>
      <c r="AH117" s="45" t="e">
        <f t="shared" si="41"/>
        <v>#DIV/0!</v>
      </c>
      <c r="AI117" s="45"/>
      <c r="AJ117" s="2">
        <f t="shared" si="42"/>
        <v>1</v>
      </c>
      <c r="AK117" s="45" t="e">
        <f t="shared" si="43"/>
        <v>#DIV/0!</v>
      </c>
      <c r="AL117" s="2">
        <f t="shared" si="44"/>
        <v>0</v>
      </c>
      <c r="AM117" s="2">
        <f t="shared" si="49"/>
        <v>0</v>
      </c>
      <c r="AN117" s="68"/>
      <c r="AO117" s="68"/>
      <c r="AP117" s="16" t="e">
        <f t="shared" si="45"/>
        <v>#DIV/0!</v>
      </c>
      <c r="AQ117" s="16">
        <v>1</v>
      </c>
      <c r="AR117" s="15" t="e">
        <f t="shared" si="46"/>
        <v>#DIV/0!</v>
      </c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</row>
    <row r="118" spans="1:55">
      <c r="A118" s="68"/>
      <c r="B118" s="68"/>
      <c r="C118" s="68"/>
      <c r="D118" s="68"/>
      <c r="E118" s="68"/>
      <c r="F118" s="68"/>
      <c r="G118" s="43" t="e">
        <f t="shared" si="47"/>
        <v>#DIV/0!</v>
      </c>
      <c r="H118" s="68"/>
      <c r="I118" s="68"/>
      <c r="J118" s="68"/>
      <c r="K118" s="68"/>
      <c r="L118" s="68"/>
      <c r="M118" s="68"/>
      <c r="N118" s="68"/>
      <c r="O118" s="68"/>
      <c r="P118" s="43" t="e">
        <f t="shared" si="48"/>
        <v>#DIV/0!</v>
      </c>
      <c r="Q118" s="68"/>
      <c r="R118" s="68"/>
      <c r="S118" s="43">
        <v>5</v>
      </c>
      <c r="T118" s="68"/>
      <c r="U118" s="68"/>
      <c r="V118" s="68"/>
      <c r="W118" s="68"/>
      <c r="X118" s="68"/>
      <c r="Y118" s="68"/>
      <c r="Z118" s="68"/>
      <c r="AA118" s="47">
        <f t="shared" si="38"/>
        <v>1</v>
      </c>
      <c r="AB118" s="68"/>
      <c r="AC118" s="48">
        <f t="shared" si="39"/>
        <v>0</v>
      </c>
      <c r="AD118" s="68"/>
      <c r="AE118" s="68"/>
      <c r="AF118" s="68"/>
      <c r="AG118" s="45" t="e">
        <f t="shared" si="40"/>
        <v>#DIV/0!</v>
      </c>
      <c r="AH118" s="45" t="e">
        <f t="shared" si="41"/>
        <v>#DIV/0!</v>
      </c>
      <c r="AI118" s="45"/>
      <c r="AJ118" s="2">
        <f t="shared" si="42"/>
        <v>1</v>
      </c>
      <c r="AK118" s="45" t="e">
        <f t="shared" si="43"/>
        <v>#DIV/0!</v>
      </c>
      <c r="AL118" s="2">
        <f t="shared" si="44"/>
        <v>0</v>
      </c>
      <c r="AM118" s="2">
        <f t="shared" si="49"/>
        <v>0</v>
      </c>
      <c r="AN118" s="68"/>
      <c r="AO118" s="68"/>
      <c r="AP118" s="16" t="e">
        <f t="shared" si="45"/>
        <v>#DIV/0!</v>
      </c>
      <c r="AQ118" s="16">
        <v>1</v>
      </c>
      <c r="AR118" s="15" t="e">
        <f t="shared" si="46"/>
        <v>#DIV/0!</v>
      </c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</row>
    <row r="119" spans="1:55">
      <c r="A119" s="68"/>
      <c r="B119" s="68"/>
      <c r="C119" s="68"/>
      <c r="D119" s="68"/>
      <c r="E119" s="68"/>
      <c r="F119" s="68"/>
      <c r="G119" s="43" t="e">
        <f t="shared" si="47"/>
        <v>#DIV/0!</v>
      </c>
      <c r="H119" s="68"/>
      <c r="I119" s="68"/>
      <c r="J119" s="68"/>
      <c r="K119" s="68"/>
      <c r="L119" s="68"/>
      <c r="M119" s="68"/>
      <c r="N119" s="68"/>
      <c r="O119" s="68"/>
      <c r="P119" s="43" t="e">
        <f t="shared" si="48"/>
        <v>#DIV/0!</v>
      </c>
      <c r="Q119" s="68"/>
      <c r="R119" s="68"/>
      <c r="S119" s="43">
        <v>5</v>
      </c>
      <c r="T119" s="68"/>
      <c r="U119" s="68"/>
      <c r="V119" s="68"/>
      <c r="W119" s="68"/>
      <c r="X119" s="68"/>
      <c r="Y119" s="68"/>
      <c r="Z119" s="68"/>
      <c r="AA119" s="47">
        <f t="shared" si="38"/>
        <v>1</v>
      </c>
      <c r="AB119" s="68"/>
      <c r="AC119" s="48">
        <f t="shared" si="39"/>
        <v>0</v>
      </c>
      <c r="AD119" s="68"/>
      <c r="AE119" s="68"/>
      <c r="AF119" s="68"/>
      <c r="AG119" s="45" t="e">
        <f t="shared" si="40"/>
        <v>#DIV/0!</v>
      </c>
      <c r="AH119" s="45" t="e">
        <f t="shared" si="41"/>
        <v>#DIV/0!</v>
      </c>
      <c r="AI119" s="45"/>
      <c r="AJ119" s="2">
        <f t="shared" si="42"/>
        <v>1</v>
      </c>
      <c r="AK119" s="45" t="e">
        <f t="shared" si="43"/>
        <v>#DIV/0!</v>
      </c>
      <c r="AL119" s="2">
        <f t="shared" si="44"/>
        <v>0</v>
      </c>
      <c r="AM119" s="2">
        <f t="shared" si="49"/>
        <v>0</v>
      </c>
      <c r="AN119" s="68"/>
      <c r="AO119" s="68"/>
      <c r="AP119" s="16" t="e">
        <f t="shared" si="45"/>
        <v>#DIV/0!</v>
      </c>
      <c r="AQ119" s="16">
        <v>1</v>
      </c>
      <c r="AR119" s="15" t="e">
        <f t="shared" si="46"/>
        <v>#DIV/0!</v>
      </c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</row>
    <row r="120" spans="1:55">
      <c r="A120" s="68"/>
      <c r="B120" s="68"/>
      <c r="C120" s="68"/>
      <c r="D120" s="68"/>
      <c r="E120" s="68"/>
      <c r="F120" s="68"/>
      <c r="G120" s="43" t="e">
        <f t="shared" si="47"/>
        <v>#DIV/0!</v>
      </c>
      <c r="H120" s="68"/>
      <c r="I120" s="68"/>
      <c r="J120" s="68"/>
      <c r="K120" s="68"/>
      <c r="L120" s="68"/>
      <c r="M120" s="68"/>
      <c r="N120" s="68"/>
      <c r="O120" s="68"/>
      <c r="P120" s="43" t="e">
        <f t="shared" si="48"/>
        <v>#DIV/0!</v>
      </c>
      <c r="Q120" s="68"/>
      <c r="R120" s="68"/>
      <c r="S120" s="43">
        <v>5</v>
      </c>
      <c r="T120" s="68"/>
      <c r="U120" s="68"/>
      <c r="V120" s="68"/>
      <c r="W120" s="68"/>
      <c r="X120" s="68"/>
      <c r="Y120" s="68"/>
      <c r="Z120" s="68"/>
      <c r="AA120" s="47">
        <f t="shared" si="38"/>
        <v>1</v>
      </c>
      <c r="AB120" s="68"/>
      <c r="AC120" s="48">
        <f t="shared" si="39"/>
        <v>0</v>
      </c>
      <c r="AD120" s="68"/>
      <c r="AE120" s="68"/>
      <c r="AF120" s="68"/>
      <c r="AG120" s="45" t="e">
        <f t="shared" si="40"/>
        <v>#DIV/0!</v>
      </c>
      <c r="AH120" s="45" t="e">
        <f t="shared" si="41"/>
        <v>#DIV/0!</v>
      </c>
      <c r="AI120" s="45"/>
      <c r="AJ120" s="2">
        <f t="shared" si="42"/>
        <v>1</v>
      </c>
      <c r="AK120" s="45" t="e">
        <f t="shared" si="43"/>
        <v>#DIV/0!</v>
      </c>
      <c r="AL120" s="2">
        <f t="shared" si="44"/>
        <v>0</v>
      </c>
      <c r="AM120" s="2">
        <f t="shared" si="49"/>
        <v>0</v>
      </c>
      <c r="AN120" s="68"/>
      <c r="AO120" s="68"/>
      <c r="AP120" s="16" t="e">
        <f t="shared" si="45"/>
        <v>#DIV/0!</v>
      </c>
      <c r="AQ120" s="16">
        <v>1</v>
      </c>
      <c r="AR120" s="15" t="e">
        <f t="shared" si="46"/>
        <v>#DIV/0!</v>
      </c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</row>
    <row r="121" spans="1:55">
      <c r="A121" s="68"/>
      <c r="B121" s="68"/>
      <c r="C121" s="68"/>
      <c r="D121" s="68"/>
      <c r="E121" s="68"/>
      <c r="F121" s="68"/>
      <c r="G121" s="43" t="e">
        <f t="shared" si="47"/>
        <v>#DIV/0!</v>
      </c>
      <c r="H121" s="68"/>
      <c r="I121" s="68"/>
      <c r="J121" s="68"/>
      <c r="K121" s="68"/>
      <c r="L121" s="68"/>
      <c r="M121" s="68"/>
      <c r="N121" s="68"/>
      <c r="O121" s="68"/>
      <c r="P121" s="43" t="e">
        <f t="shared" si="48"/>
        <v>#DIV/0!</v>
      </c>
      <c r="Q121" s="68"/>
      <c r="R121" s="68"/>
      <c r="S121" s="43">
        <v>5</v>
      </c>
      <c r="T121" s="68"/>
      <c r="U121" s="68"/>
      <c r="V121" s="68"/>
      <c r="W121" s="68"/>
      <c r="X121" s="68"/>
      <c r="Y121" s="68"/>
      <c r="Z121" s="68"/>
      <c r="AA121" s="47">
        <f t="shared" si="38"/>
        <v>1</v>
      </c>
      <c r="AB121" s="68"/>
      <c r="AC121" s="48">
        <f t="shared" si="39"/>
        <v>0</v>
      </c>
      <c r="AD121" s="68"/>
      <c r="AE121" s="68"/>
      <c r="AF121" s="68"/>
      <c r="AG121" s="45" t="e">
        <f t="shared" si="40"/>
        <v>#DIV/0!</v>
      </c>
      <c r="AH121" s="45" t="e">
        <f t="shared" si="41"/>
        <v>#DIV/0!</v>
      </c>
      <c r="AI121" s="45"/>
      <c r="AJ121" s="2">
        <f t="shared" si="42"/>
        <v>1</v>
      </c>
      <c r="AK121" s="45" t="e">
        <f t="shared" si="43"/>
        <v>#DIV/0!</v>
      </c>
      <c r="AL121" s="2">
        <f t="shared" si="44"/>
        <v>0</v>
      </c>
      <c r="AM121" s="2">
        <f t="shared" si="49"/>
        <v>0</v>
      </c>
      <c r="AN121" s="68"/>
      <c r="AO121" s="68"/>
      <c r="AP121" s="16" t="e">
        <f t="shared" si="45"/>
        <v>#DIV/0!</v>
      </c>
      <c r="AQ121" s="16">
        <v>1</v>
      </c>
      <c r="AR121" s="15" t="e">
        <f t="shared" si="46"/>
        <v>#DIV/0!</v>
      </c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</row>
    <row r="122" spans="1:55">
      <c r="A122" s="68"/>
      <c r="B122" s="68"/>
      <c r="C122" s="68"/>
      <c r="D122" s="68"/>
      <c r="E122" s="68"/>
      <c r="F122" s="68"/>
      <c r="G122" s="43" t="e">
        <f t="shared" si="47"/>
        <v>#DIV/0!</v>
      </c>
      <c r="H122" s="68"/>
      <c r="I122" s="68"/>
      <c r="J122" s="68"/>
      <c r="K122" s="68"/>
      <c r="L122" s="68"/>
      <c r="M122" s="68"/>
      <c r="N122" s="68"/>
      <c r="O122" s="68"/>
      <c r="P122" s="43" t="e">
        <f t="shared" si="48"/>
        <v>#DIV/0!</v>
      </c>
      <c r="Q122" s="68"/>
      <c r="R122" s="68"/>
      <c r="S122" s="43">
        <v>5</v>
      </c>
      <c r="T122" s="68"/>
      <c r="U122" s="68"/>
      <c r="V122" s="68"/>
      <c r="W122" s="68"/>
      <c r="X122" s="68"/>
      <c r="Y122" s="68"/>
      <c r="Z122" s="68"/>
      <c r="AA122" s="47">
        <f t="shared" si="38"/>
        <v>1</v>
      </c>
      <c r="AB122" s="68"/>
      <c r="AC122" s="48">
        <f t="shared" si="39"/>
        <v>0</v>
      </c>
      <c r="AD122" s="68"/>
      <c r="AE122" s="68"/>
      <c r="AF122" s="68"/>
      <c r="AG122" s="45" t="e">
        <f t="shared" si="40"/>
        <v>#DIV/0!</v>
      </c>
      <c r="AH122" s="45" t="e">
        <f t="shared" si="41"/>
        <v>#DIV/0!</v>
      </c>
      <c r="AI122" s="45"/>
      <c r="AJ122" s="2">
        <f t="shared" si="42"/>
        <v>1</v>
      </c>
      <c r="AK122" s="45" t="e">
        <f t="shared" si="43"/>
        <v>#DIV/0!</v>
      </c>
      <c r="AL122" s="2">
        <f t="shared" si="44"/>
        <v>0</v>
      </c>
      <c r="AM122" s="2">
        <f t="shared" si="49"/>
        <v>0</v>
      </c>
      <c r="AN122" s="68"/>
      <c r="AO122" s="68"/>
      <c r="AP122" s="16" t="e">
        <f t="shared" si="45"/>
        <v>#DIV/0!</v>
      </c>
      <c r="AQ122" s="16">
        <v>1</v>
      </c>
      <c r="AR122" s="15" t="e">
        <f t="shared" si="46"/>
        <v>#DIV/0!</v>
      </c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</row>
    <row r="123" spans="1:55">
      <c r="A123" s="68"/>
      <c r="B123" s="68"/>
      <c r="C123" s="68"/>
      <c r="D123" s="68"/>
      <c r="E123" s="68"/>
      <c r="F123" s="68"/>
      <c r="G123" s="43" t="e">
        <f t="shared" si="47"/>
        <v>#DIV/0!</v>
      </c>
      <c r="H123" s="68"/>
      <c r="I123" s="68"/>
      <c r="J123" s="68"/>
      <c r="K123" s="68"/>
      <c r="L123" s="68"/>
      <c r="M123" s="68"/>
      <c r="N123" s="68"/>
      <c r="O123" s="68"/>
      <c r="P123" s="43" t="e">
        <f t="shared" si="48"/>
        <v>#DIV/0!</v>
      </c>
      <c r="Q123" s="68"/>
      <c r="R123" s="68"/>
      <c r="S123" s="43">
        <v>5</v>
      </c>
      <c r="T123" s="68"/>
      <c r="U123" s="68"/>
      <c r="V123" s="68"/>
      <c r="W123" s="68"/>
      <c r="X123" s="68"/>
      <c r="Y123" s="68"/>
      <c r="Z123" s="68"/>
      <c r="AA123" s="47">
        <f t="shared" si="38"/>
        <v>1</v>
      </c>
      <c r="AB123" s="68"/>
      <c r="AC123" s="48">
        <f t="shared" si="39"/>
        <v>0</v>
      </c>
      <c r="AD123" s="68"/>
      <c r="AE123" s="68"/>
      <c r="AF123" s="68"/>
      <c r="AG123" s="45" t="e">
        <f t="shared" si="40"/>
        <v>#DIV/0!</v>
      </c>
      <c r="AH123" s="45" t="e">
        <f t="shared" si="41"/>
        <v>#DIV/0!</v>
      </c>
      <c r="AI123" s="45"/>
      <c r="AJ123" s="2">
        <f t="shared" si="42"/>
        <v>1</v>
      </c>
      <c r="AK123" s="45" t="e">
        <f t="shared" si="43"/>
        <v>#DIV/0!</v>
      </c>
      <c r="AL123" s="2">
        <f t="shared" si="44"/>
        <v>0</v>
      </c>
      <c r="AM123" s="2">
        <f t="shared" si="49"/>
        <v>0</v>
      </c>
      <c r="AN123" s="68"/>
      <c r="AO123" s="68"/>
      <c r="AP123" s="16" t="e">
        <f t="shared" si="45"/>
        <v>#DIV/0!</v>
      </c>
      <c r="AQ123" s="16">
        <v>1</v>
      </c>
      <c r="AR123" s="15" t="e">
        <f t="shared" si="46"/>
        <v>#DIV/0!</v>
      </c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</row>
    <row r="124" spans="1:55">
      <c r="A124" s="68"/>
      <c r="B124" s="68"/>
      <c r="C124" s="68"/>
      <c r="D124" s="68"/>
      <c r="E124" s="68"/>
      <c r="F124" s="68"/>
      <c r="G124" s="43" t="e">
        <f t="shared" si="47"/>
        <v>#DIV/0!</v>
      </c>
      <c r="H124" s="68"/>
      <c r="I124" s="68"/>
      <c r="J124" s="68"/>
      <c r="K124" s="68"/>
      <c r="L124" s="68"/>
      <c r="M124" s="68"/>
      <c r="N124" s="68"/>
      <c r="O124" s="68"/>
      <c r="P124" s="43" t="e">
        <f t="shared" si="48"/>
        <v>#DIV/0!</v>
      </c>
      <c r="Q124" s="68"/>
      <c r="R124" s="68"/>
      <c r="S124" s="43">
        <v>5</v>
      </c>
      <c r="T124" s="68"/>
      <c r="U124" s="68"/>
      <c r="V124" s="68"/>
      <c r="W124" s="68"/>
      <c r="X124" s="68"/>
      <c r="Y124" s="68"/>
      <c r="Z124" s="68"/>
      <c r="AA124" s="47">
        <f t="shared" si="38"/>
        <v>1</v>
      </c>
      <c r="AB124" s="68"/>
      <c r="AC124" s="48">
        <f t="shared" si="39"/>
        <v>0</v>
      </c>
      <c r="AD124" s="68"/>
      <c r="AE124" s="68"/>
      <c r="AF124" s="68"/>
      <c r="AG124" s="45" t="e">
        <f t="shared" si="40"/>
        <v>#DIV/0!</v>
      </c>
      <c r="AH124" s="45" t="e">
        <f t="shared" si="41"/>
        <v>#DIV/0!</v>
      </c>
      <c r="AI124" s="45"/>
      <c r="AJ124" s="2">
        <f t="shared" si="42"/>
        <v>1</v>
      </c>
      <c r="AK124" s="45" t="e">
        <f t="shared" si="43"/>
        <v>#DIV/0!</v>
      </c>
      <c r="AL124" s="2">
        <f t="shared" si="44"/>
        <v>0</v>
      </c>
      <c r="AM124" s="2">
        <f t="shared" si="49"/>
        <v>0</v>
      </c>
      <c r="AN124" s="68"/>
      <c r="AO124" s="68"/>
      <c r="AP124" s="16" t="e">
        <f t="shared" si="45"/>
        <v>#DIV/0!</v>
      </c>
      <c r="AQ124" s="16">
        <v>1</v>
      </c>
      <c r="AR124" s="15" t="e">
        <f t="shared" si="46"/>
        <v>#DIV/0!</v>
      </c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</row>
    <row r="125" spans="1:55">
      <c r="A125" s="68"/>
      <c r="B125" s="68"/>
      <c r="C125" s="68"/>
      <c r="D125" s="68"/>
      <c r="E125" s="68"/>
      <c r="F125" s="68"/>
      <c r="G125" s="43" t="e">
        <f t="shared" si="47"/>
        <v>#DIV/0!</v>
      </c>
      <c r="H125" s="68"/>
      <c r="I125" s="68"/>
      <c r="J125" s="68"/>
      <c r="K125" s="68"/>
      <c r="L125" s="68"/>
      <c r="M125" s="68"/>
      <c r="N125" s="68"/>
      <c r="O125" s="68"/>
      <c r="P125" s="43" t="e">
        <f t="shared" si="48"/>
        <v>#DIV/0!</v>
      </c>
      <c r="Q125" s="68"/>
      <c r="R125" s="68"/>
      <c r="S125" s="43">
        <v>5</v>
      </c>
      <c r="T125" s="68"/>
      <c r="U125" s="68"/>
      <c r="V125" s="68"/>
      <c r="W125" s="68"/>
      <c r="X125" s="68"/>
      <c r="Y125" s="68"/>
      <c r="Z125" s="68"/>
      <c r="AA125" s="47">
        <f t="shared" si="38"/>
        <v>1</v>
      </c>
      <c r="AB125" s="68"/>
      <c r="AC125" s="48">
        <f t="shared" si="39"/>
        <v>0</v>
      </c>
      <c r="AD125" s="68"/>
      <c r="AE125" s="68"/>
      <c r="AF125" s="68"/>
      <c r="AG125" s="45" t="e">
        <f t="shared" si="40"/>
        <v>#DIV/0!</v>
      </c>
      <c r="AH125" s="45" t="e">
        <f t="shared" si="41"/>
        <v>#DIV/0!</v>
      </c>
      <c r="AI125" s="45"/>
      <c r="AJ125" s="2">
        <f t="shared" si="42"/>
        <v>1</v>
      </c>
      <c r="AK125" s="45" t="e">
        <f t="shared" si="43"/>
        <v>#DIV/0!</v>
      </c>
      <c r="AL125" s="2">
        <f t="shared" si="44"/>
        <v>0</v>
      </c>
      <c r="AM125" s="2">
        <f t="shared" si="49"/>
        <v>0</v>
      </c>
      <c r="AN125" s="68"/>
      <c r="AO125" s="68"/>
      <c r="AP125" s="16" t="e">
        <f t="shared" si="45"/>
        <v>#DIV/0!</v>
      </c>
      <c r="AQ125" s="16">
        <v>1</v>
      </c>
      <c r="AR125" s="15" t="e">
        <f t="shared" si="46"/>
        <v>#DIV/0!</v>
      </c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</row>
    <row r="126" spans="1:55">
      <c r="A126" s="68"/>
      <c r="B126" s="68"/>
      <c r="C126" s="68"/>
      <c r="D126" s="68"/>
      <c r="E126" s="68"/>
      <c r="F126" s="68"/>
      <c r="G126" s="43" t="e">
        <f t="shared" si="47"/>
        <v>#DIV/0!</v>
      </c>
      <c r="H126" s="68"/>
      <c r="I126" s="68"/>
      <c r="J126" s="68"/>
      <c r="K126" s="68"/>
      <c r="L126" s="68"/>
      <c r="M126" s="68"/>
      <c r="N126" s="68"/>
      <c r="O126" s="68"/>
      <c r="P126" s="43" t="e">
        <f t="shared" si="48"/>
        <v>#DIV/0!</v>
      </c>
      <c r="Q126" s="68"/>
      <c r="R126" s="68"/>
      <c r="S126" s="43">
        <v>5</v>
      </c>
      <c r="T126" s="68"/>
      <c r="U126" s="68"/>
      <c r="V126" s="68"/>
      <c r="W126" s="68"/>
      <c r="X126" s="68"/>
      <c r="Y126" s="68"/>
      <c r="Z126" s="68"/>
      <c r="AA126" s="47">
        <f t="shared" si="38"/>
        <v>1</v>
      </c>
      <c r="AB126" s="68"/>
      <c r="AC126" s="48">
        <f t="shared" si="39"/>
        <v>0</v>
      </c>
      <c r="AD126" s="68"/>
      <c r="AE126" s="68"/>
      <c r="AF126" s="68"/>
      <c r="AG126" s="45" t="e">
        <f t="shared" si="40"/>
        <v>#DIV/0!</v>
      </c>
      <c r="AH126" s="45" t="e">
        <f t="shared" si="41"/>
        <v>#DIV/0!</v>
      </c>
      <c r="AI126" s="45"/>
      <c r="AJ126" s="2">
        <f t="shared" si="42"/>
        <v>1</v>
      </c>
      <c r="AK126" s="45" t="e">
        <f t="shared" si="43"/>
        <v>#DIV/0!</v>
      </c>
      <c r="AL126" s="2">
        <f t="shared" si="44"/>
        <v>0</v>
      </c>
      <c r="AM126" s="2">
        <f t="shared" si="49"/>
        <v>0</v>
      </c>
      <c r="AN126" s="68"/>
      <c r="AO126" s="68"/>
      <c r="AP126" s="16" t="e">
        <f t="shared" si="45"/>
        <v>#DIV/0!</v>
      </c>
      <c r="AQ126" s="16">
        <v>1</v>
      </c>
      <c r="AR126" s="15" t="e">
        <f t="shared" si="46"/>
        <v>#DIV/0!</v>
      </c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</row>
    <row r="127" spans="1:55">
      <c r="A127" s="68"/>
      <c r="B127" s="68"/>
      <c r="C127" s="68"/>
      <c r="D127" s="68"/>
      <c r="E127" s="68"/>
      <c r="F127" s="68"/>
      <c r="G127" s="43" t="e">
        <f t="shared" si="47"/>
        <v>#DIV/0!</v>
      </c>
      <c r="H127" s="68"/>
      <c r="I127" s="68"/>
      <c r="J127" s="68"/>
      <c r="K127" s="68"/>
      <c r="L127" s="68"/>
      <c r="M127" s="68"/>
      <c r="N127" s="68"/>
      <c r="O127" s="68"/>
      <c r="P127" s="43" t="e">
        <f t="shared" si="48"/>
        <v>#DIV/0!</v>
      </c>
      <c r="Q127" s="68"/>
      <c r="R127" s="68"/>
      <c r="S127" s="43">
        <v>5</v>
      </c>
      <c r="T127" s="68"/>
      <c r="U127" s="68"/>
      <c r="V127" s="68"/>
      <c r="W127" s="68"/>
      <c r="X127" s="68"/>
      <c r="Y127" s="68"/>
      <c r="Z127" s="68"/>
      <c r="AA127" s="47">
        <f t="shared" si="38"/>
        <v>1</v>
      </c>
      <c r="AB127" s="68"/>
      <c r="AC127" s="48">
        <f t="shared" si="39"/>
        <v>0</v>
      </c>
      <c r="AD127" s="68"/>
      <c r="AE127" s="68"/>
      <c r="AF127" s="68"/>
      <c r="AG127" s="45" t="e">
        <f t="shared" si="40"/>
        <v>#DIV/0!</v>
      </c>
      <c r="AH127" s="45" t="e">
        <f t="shared" si="41"/>
        <v>#DIV/0!</v>
      </c>
      <c r="AI127" s="45"/>
      <c r="AJ127" s="2">
        <f t="shared" si="42"/>
        <v>1</v>
      </c>
      <c r="AK127" s="45" t="e">
        <f t="shared" si="43"/>
        <v>#DIV/0!</v>
      </c>
      <c r="AL127" s="2">
        <f t="shared" si="44"/>
        <v>0</v>
      </c>
      <c r="AM127" s="2">
        <f t="shared" si="49"/>
        <v>0</v>
      </c>
      <c r="AN127" s="68"/>
      <c r="AO127" s="68"/>
      <c r="AP127" s="16" t="e">
        <f t="shared" si="45"/>
        <v>#DIV/0!</v>
      </c>
      <c r="AQ127" s="16">
        <v>1</v>
      </c>
      <c r="AR127" s="15" t="e">
        <f t="shared" si="46"/>
        <v>#DIV/0!</v>
      </c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</row>
    <row r="128" spans="1:55">
      <c r="A128" s="68"/>
      <c r="B128" s="68"/>
      <c r="C128" s="68"/>
      <c r="D128" s="68"/>
      <c r="E128" s="68"/>
      <c r="F128" s="68"/>
      <c r="G128" s="43" t="e">
        <f t="shared" si="47"/>
        <v>#DIV/0!</v>
      </c>
      <c r="H128" s="68"/>
      <c r="I128" s="68"/>
      <c r="J128" s="68"/>
      <c r="K128" s="68"/>
      <c r="L128" s="68"/>
      <c r="M128" s="68"/>
      <c r="N128" s="68"/>
      <c r="O128" s="68"/>
      <c r="P128" s="43" t="e">
        <f t="shared" si="48"/>
        <v>#DIV/0!</v>
      </c>
      <c r="Q128" s="68"/>
      <c r="R128" s="68"/>
      <c r="S128" s="43">
        <v>5</v>
      </c>
      <c r="T128" s="68"/>
      <c r="U128" s="68"/>
      <c r="V128" s="68"/>
      <c r="W128" s="68"/>
      <c r="X128" s="68"/>
      <c r="Y128" s="68"/>
      <c r="Z128" s="68"/>
      <c r="AA128" s="47">
        <f t="shared" si="38"/>
        <v>1</v>
      </c>
      <c r="AB128" s="68"/>
      <c r="AC128" s="48">
        <f t="shared" si="39"/>
        <v>0</v>
      </c>
      <c r="AD128" s="68"/>
      <c r="AE128" s="68"/>
      <c r="AF128" s="68"/>
      <c r="AG128" s="45" t="e">
        <f t="shared" si="40"/>
        <v>#DIV/0!</v>
      </c>
      <c r="AH128" s="45" t="e">
        <f t="shared" si="41"/>
        <v>#DIV/0!</v>
      </c>
      <c r="AI128" s="45"/>
      <c r="AJ128" s="2">
        <f t="shared" si="42"/>
        <v>1</v>
      </c>
      <c r="AK128" s="45" t="e">
        <f t="shared" si="43"/>
        <v>#DIV/0!</v>
      </c>
      <c r="AL128" s="2">
        <f t="shared" si="44"/>
        <v>0</v>
      </c>
      <c r="AM128" s="2">
        <f t="shared" si="49"/>
        <v>0</v>
      </c>
      <c r="AN128" s="68"/>
      <c r="AO128" s="68"/>
      <c r="AP128" s="16" t="e">
        <f t="shared" si="45"/>
        <v>#DIV/0!</v>
      </c>
      <c r="AQ128" s="16">
        <v>1</v>
      </c>
      <c r="AR128" s="15" t="e">
        <f t="shared" si="46"/>
        <v>#DIV/0!</v>
      </c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</row>
    <row r="129" spans="1:55">
      <c r="A129" s="68"/>
      <c r="B129" s="68"/>
      <c r="C129" s="68"/>
      <c r="D129" s="68"/>
      <c r="E129" s="68"/>
      <c r="F129" s="68"/>
      <c r="G129" s="43" t="e">
        <f t="shared" si="47"/>
        <v>#DIV/0!</v>
      </c>
      <c r="H129" s="68"/>
      <c r="I129" s="68"/>
      <c r="J129" s="68"/>
      <c r="K129" s="68"/>
      <c r="L129" s="68"/>
      <c r="M129" s="68"/>
      <c r="N129" s="68"/>
      <c r="O129" s="68"/>
      <c r="P129" s="43" t="e">
        <f t="shared" si="48"/>
        <v>#DIV/0!</v>
      </c>
      <c r="Q129" s="68"/>
      <c r="R129" s="68"/>
      <c r="S129" s="43">
        <v>5</v>
      </c>
      <c r="T129" s="68"/>
      <c r="U129" s="68"/>
      <c r="V129" s="68"/>
      <c r="W129" s="68"/>
      <c r="X129" s="68"/>
      <c r="Y129" s="68"/>
      <c r="Z129" s="68"/>
      <c r="AA129" s="47">
        <f t="shared" ref="AA129:AA144" si="50">IF(X129&lt;33,IF(Y129&gt;(1.1*X129),0,1),1)+IF(Y129&gt;(4*X129),-1,0)</f>
        <v>1</v>
      </c>
      <c r="AB129" s="68"/>
      <c r="AC129" s="48">
        <f t="shared" ref="AC129:AC160" si="51">IF(AB129&gt;9,1,0)+AB129/3</f>
        <v>0</v>
      </c>
      <c r="AD129" s="68"/>
      <c r="AE129" s="68"/>
      <c r="AF129" s="68"/>
      <c r="AG129" s="45" t="e">
        <f t="shared" ref="AG129:AG160" si="52">IF(G129&lt;0,0,1.2)+IF(G129&lt;14,0,0.9)+IF(P129&lt;0,0.7,0)+IF(P129&lt;6.5,1,0)+IF(P129&lt;23,1,0)+IF(R129&gt;88,0,1)+S129+IF(AD129&lt;20,0,1)+IF(AE129&lt;14,0,1)+IF(AF129&lt;26,0,1)</f>
        <v>#DIV/0!</v>
      </c>
      <c r="AH129" s="45" t="e">
        <f t="shared" ref="AH129:AH160" si="53">AG129+IF(AG129&gt;6,1,0)+IF(X129&lt;17,0,1)+IF(Y129&lt;11,0,1)+IF(Z129&lt;1.35,0,1)+AC129+AA129</f>
        <v>#DIV/0!</v>
      </c>
      <c r="AI129" s="45"/>
      <c r="AJ129" s="2">
        <f t="shared" ref="AJ129:AJ160" si="54">IF(AI129&gt;12.8,IF(AI129&gt;15.8,0.9,0.97),1)</f>
        <v>1</v>
      </c>
      <c r="AK129" s="45" t="e">
        <f t="shared" ref="AK129:AK160" si="55">(AG129*2.6+AH129)*AJ129*AQ129</f>
        <v>#DIV/0!</v>
      </c>
      <c r="AL129" s="2">
        <f t="shared" ref="AL129:AL142" si="56">D129</f>
        <v>0</v>
      </c>
      <c r="AM129" s="2">
        <f t="shared" si="49"/>
        <v>0</v>
      </c>
      <c r="AN129" s="68"/>
      <c r="AO129" s="68"/>
      <c r="AP129" s="16" t="e">
        <f t="shared" ref="AP129:AP156" si="57">IF(AK129&gt;23.73,IF(Z129&lt;101,IF(Z129&lt;30,IF(Z129&lt;6,3,2),1),0),0)</f>
        <v>#DIV/0!</v>
      </c>
      <c r="AQ129" s="16">
        <v>1</v>
      </c>
      <c r="AR129" s="15" t="e">
        <f t="shared" ref="AR129:AR151" si="58">IF(AP129&gt;0,IF(AB129&gt;10,(AB129/Z129),10/Z129),0)</f>
        <v>#DIV/0!</v>
      </c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</row>
    <row r="130" spans="1:55">
      <c r="A130" s="68"/>
      <c r="B130" s="68"/>
      <c r="C130" s="68"/>
      <c r="D130" s="68"/>
      <c r="E130" s="68"/>
      <c r="F130" s="68"/>
      <c r="G130" s="43" t="e">
        <f t="shared" si="47"/>
        <v>#DIV/0!</v>
      </c>
      <c r="H130" s="68"/>
      <c r="I130" s="68"/>
      <c r="J130" s="68"/>
      <c r="K130" s="68"/>
      <c r="L130" s="68"/>
      <c r="M130" s="68"/>
      <c r="N130" s="68"/>
      <c r="O130" s="68"/>
      <c r="P130" s="43" t="e">
        <f t="shared" si="48"/>
        <v>#DIV/0!</v>
      </c>
      <c r="Q130" s="68"/>
      <c r="R130" s="68"/>
      <c r="S130" s="43">
        <v>5</v>
      </c>
      <c r="T130" s="68"/>
      <c r="U130" s="68"/>
      <c r="V130" s="68"/>
      <c r="W130" s="68"/>
      <c r="X130" s="68"/>
      <c r="Y130" s="68"/>
      <c r="Z130" s="68"/>
      <c r="AA130" s="47">
        <f t="shared" si="50"/>
        <v>1</v>
      </c>
      <c r="AB130" s="68"/>
      <c r="AC130" s="48">
        <f t="shared" si="51"/>
        <v>0</v>
      </c>
      <c r="AD130" s="68"/>
      <c r="AE130" s="68"/>
      <c r="AF130" s="68"/>
      <c r="AG130" s="45" t="e">
        <f t="shared" si="52"/>
        <v>#DIV/0!</v>
      </c>
      <c r="AH130" s="45" t="e">
        <f t="shared" si="53"/>
        <v>#DIV/0!</v>
      </c>
      <c r="AI130" s="45"/>
      <c r="AJ130" s="2">
        <f t="shared" si="54"/>
        <v>1</v>
      </c>
      <c r="AK130" s="45" t="e">
        <f t="shared" si="55"/>
        <v>#DIV/0!</v>
      </c>
      <c r="AL130" s="2">
        <f t="shared" si="56"/>
        <v>0</v>
      </c>
      <c r="AM130" s="2">
        <f t="shared" si="49"/>
        <v>0</v>
      </c>
      <c r="AN130" s="68"/>
      <c r="AO130" s="68"/>
      <c r="AP130" s="16" t="e">
        <f t="shared" si="57"/>
        <v>#DIV/0!</v>
      </c>
      <c r="AQ130" s="16">
        <v>1</v>
      </c>
      <c r="AR130" s="15" t="e">
        <f t="shared" si="58"/>
        <v>#DIV/0!</v>
      </c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</row>
    <row r="131" spans="1:55">
      <c r="A131" s="68"/>
      <c r="B131" s="68"/>
      <c r="C131" s="68"/>
      <c r="D131" s="68"/>
      <c r="E131" s="68"/>
      <c r="F131" s="68"/>
      <c r="G131" s="43" t="e">
        <f t="shared" si="47"/>
        <v>#DIV/0!</v>
      </c>
      <c r="H131" s="68"/>
      <c r="I131" s="68"/>
      <c r="J131" s="68"/>
      <c r="K131" s="68"/>
      <c r="L131" s="68"/>
      <c r="M131" s="68"/>
      <c r="N131" s="68"/>
      <c r="O131" s="68"/>
      <c r="P131" s="43" t="e">
        <f t="shared" si="48"/>
        <v>#DIV/0!</v>
      </c>
      <c r="Q131" s="68"/>
      <c r="R131" s="68"/>
      <c r="S131" s="43">
        <v>5</v>
      </c>
      <c r="T131" s="68"/>
      <c r="U131" s="68"/>
      <c r="V131" s="68"/>
      <c r="W131" s="68"/>
      <c r="X131" s="68"/>
      <c r="Y131" s="68"/>
      <c r="Z131" s="68"/>
      <c r="AA131" s="47">
        <f t="shared" si="50"/>
        <v>1</v>
      </c>
      <c r="AB131" s="68"/>
      <c r="AC131" s="48">
        <f t="shared" si="51"/>
        <v>0</v>
      </c>
      <c r="AD131" s="68"/>
      <c r="AE131" s="68"/>
      <c r="AF131" s="68"/>
      <c r="AG131" s="45" t="e">
        <f t="shared" si="52"/>
        <v>#DIV/0!</v>
      </c>
      <c r="AH131" s="45" t="e">
        <f t="shared" si="53"/>
        <v>#DIV/0!</v>
      </c>
      <c r="AI131" s="45"/>
      <c r="AJ131" s="2">
        <f t="shared" si="54"/>
        <v>1</v>
      </c>
      <c r="AK131" s="45" t="e">
        <f t="shared" si="55"/>
        <v>#DIV/0!</v>
      </c>
      <c r="AL131" s="2">
        <f t="shared" si="56"/>
        <v>0</v>
      </c>
      <c r="AM131" s="2">
        <f t="shared" si="49"/>
        <v>0</v>
      </c>
      <c r="AN131" s="68"/>
      <c r="AO131" s="68"/>
      <c r="AP131" s="16" t="e">
        <f t="shared" si="57"/>
        <v>#DIV/0!</v>
      </c>
      <c r="AQ131" s="16">
        <v>1</v>
      </c>
      <c r="AR131" s="15" t="e">
        <f t="shared" si="58"/>
        <v>#DIV/0!</v>
      </c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</row>
    <row r="132" spans="1:55">
      <c r="A132" s="68"/>
      <c r="B132" s="68"/>
      <c r="C132" s="68"/>
      <c r="D132" s="68"/>
      <c r="E132" s="68"/>
      <c r="F132" s="68"/>
      <c r="G132" s="43" t="e">
        <f t="shared" si="47"/>
        <v>#DIV/0!</v>
      </c>
      <c r="H132" s="68"/>
      <c r="I132" s="68"/>
      <c r="J132" s="68"/>
      <c r="K132" s="68"/>
      <c r="L132" s="68"/>
      <c r="M132" s="68"/>
      <c r="N132" s="68"/>
      <c r="O132" s="68"/>
      <c r="P132" s="43" t="e">
        <f t="shared" si="48"/>
        <v>#DIV/0!</v>
      </c>
      <c r="Q132" s="68"/>
      <c r="R132" s="68"/>
      <c r="S132" s="43">
        <v>5</v>
      </c>
      <c r="T132" s="68"/>
      <c r="U132" s="68"/>
      <c r="V132" s="68"/>
      <c r="W132" s="68"/>
      <c r="X132" s="68"/>
      <c r="Y132" s="68"/>
      <c r="Z132" s="68"/>
      <c r="AA132" s="47">
        <f t="shared" si="50"/>
        <v>1</v>
      </c>
      <c r="AB132" s="68"/>
      <c r="AC132" s="48">
        <f t="shared" si="51"/>
        <v>0</v>
      </c>
      <c r="AD132" s="68"/>
      <c r="AE132" s="68"/>
      <c r="AF132" s="68"/>
      <c r="AG132" s="45" t="e">
        <f t="shared" si="52"/>
        <v>#DIV/0!</v>
      </c>
      <c r="AH132" s="45" t="e">
        <f t="shared" si="53"/>
        <v>#DIV/0!</v>
      </c>
      <c r="AI132" s="45"/>
      <c r="AJ132" s="2">
        <f t="shared" si="54"/>
        <v>1</v>
      </c>
      <c r="AK132" s="45" t="e">
        <f t="shared" si="55"/>
        <v>#DIV/0!</v>
      </c>
      <c r="AL132" s="2">
        <f t="shared" si="56"/>
        <v>0</v>
      </c>
      <c r="AM132" s="2">
        <f t="shared" si="49"/>
        <v>0</v>
      </c>
      <c r="AN132" s="68"/>
      <c r="AO132" s="68"/>
      <c r="AP132" s="16" t="e">
        <f t="shared" si="57"/>
        <v>#DIV/0!</v>
      </c>
      <c r="AQ132" s="16">
        <v>1</v>
      </c>
      <c r="AR132" s="15" t="e">
        <f t="shared" si="58"/>
        <v>#DIV/0!</v>
      </c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</row>
    <row r="133" spans="1:55">
      <c r="A133" s="68"/>
      <c r="B133" s="68"/>
      <c r="C133" s="68"/>
      <c r="D133" s="68"/>
      <c r="E133" s="68"/>
      <c r="F133" s="68"/>
      <c r="G133" s="43" t="e">
        <f t="shared" si="47"/>
        <v>#DIV/0!</v>
      </c>
      <c r="H133" s="68"/>
      <c r="I133" s="68"/>
      <c r="J133" s="68"/>
      <c r="K133" s="68"/>
      <c r="L133" s="68"/>
      <c r="M133" s="68"/>
      <c r="N133" s="68"/>
      <c r="O133" s="68"/>
      <c r="P133" s="43" t="e">
        <f t="shared" si="48"/>
        <v>#DIV/0!</v>
      </c>
      <c r="Q133" s="68"/>
      <c r="R133" s="68"/>
      <c r="S133" s="43">
        <v>5</v>
      </c>
      <c r="T133" s="68"/>
      <c r="U133" s="68"/>
      <c r="V133" s="68"/>
      <c r="W133" s="68"/>
      <c r="X133" s="68"/>
      <c r="Y133" s="68"/>
      <c r="Z133" s="68"/>
      <c r="AA133" s="47">
        <f t="shared" si="50"/>
        <v>1</v>
      </c>
      <c r="AB133" s="68"/>
      <c r="AC133" s="48">
        <f t="shared" si="51"/>
        <v>0</v>
      </c>
      <c r="AD133" s="68"/>
      <c r="AE133" s="68"/>
      <c r="AF133" s="68"/>
      <c r="AG133" s="45" t="e">
        <f t="shared" si="52"/>
        <v>#DIV/0!</v>
      </c>
      <c r="AH133" s="45" t="e">
        <f t="shared" si="53"/>
        <v>#DIV/0!</v>
      </c>
      <c r="AI133" s="45"/>
      <c r="AJ133" s="2">
        <f t="shared" si="54"/>
        <v>1</v>
      </c>
      <c r="AK133" s="45" t="e">
        <f t="shared" si="55"/>
        <v>#DIV/0!</v>
      </c>
      <c r="AL133" s="2">
        <f t="shared" si="56"/>
        <v>0</v>
      </c>
      <c r="AM133" s="2">
        <f t="shared" si="49"/>
        <v>0</v>
      </c>
      <c r="AN133" s="68"/>
      <c r="AO133" s="68"/>
      <c r="AP133" s="16" t="e">
        <f t="shared" si="57"/>
        <v>#DIV/0!</v>
      </c>
      <c r="AQ133" s="16">
        <v>1</v>
      </c>
      <c r="AR133" s="15" t="e">
        <f t="shared" si="58"/>
        <v>#DIV/0!</v>
      </c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</row>
    <row r="134" spans="1:55">
      <c r="A134" s="68"/>
      <c r="B134" s="68"/>
      <c r="C134" s="68"/>
      <c r="D134" s="68"/>
      <c r="E134" s="68"/>
      <c r="F134" s="68"/>
      <c r="G134" s="43" t="e">
        <f t="shared" si="47"/>
        <v>#DIV/0!</v>
      </c>
      <c r="H134" s="68"/>
      <c r="I134" s="68"/>
      <c r="J134" s="68"/>
      <c r="K134" s="68"/>
      <c r="L134" s="68"/>
      <c r="M134" s="68"/>
      <c r="N134" s="68"/>
      <c r="O134" s="68"/>
      <c r="P134" s="43" t="e">
        <f t="shared" si="48"/>
        <v>#DIV/0!</v>
      </c>
      <c r="Q134" s="68"/>
      <c r="R134" s="68"/>
      <c r="S134" s="43">
        <v>5</v>
      </c>
      <c r="T134" s="68"/>
      <c r="U134" s="68"/>
      <c r="V134" s="68"/>
      <c r="W134" s="68"/>
      <c r="X134" s="68"/>
      <c r="Y134" s="68"/>
      <c r="Z134" s="68"/>
      <c r="AA134" s="47">
        <f t="shared" si="50"/>
        <v>1</v>
      </c>
      <c r="AB134" s="68"/>
      <c r="AC134" s="48">
        <f t="shared" si="51"/>
        <v>0</v>
      </c>
      <c r="AD134" s="68"/>
      <c r="AE134" s="68"/>
      <c r="AF134" s="68"/>
      <c r="AG134" s="45" t="e">
        <f t="shared" si="52"/>
        <v>#DIV/0!</v>
      </c>
      <c r="AH134" s="45" t="e">
        <f t="shared" si="53"/>
        <v>#DIV/0!</v>
      </c>
      <c r="AI134" s="45"/>
      <c r="AJ134" s="2">
        <f t="shared" si="54"/>
        <v>1</v>
      </c>
      <c r="AK134" s="45" t="e">
        <f t="shared" si="55"/>
        <v>#DIV/0!</v>
      </c>
      <c r="AL134" s="2">
        <f t="shared" si="56"/>
        <v>0</v>
      </c>
      <c r="AM134" s="2">
        <f t="shared" si="49"/>
        <v>0</v>
      </c>
      <c r="AN134" s="68"/>
      <c r="AO134" s="68"/>
      <c r="AP134" s="16" t="e">
        <f t="shared" si="57"/>
        <v>#DIV/0!</v>
      </c>
      <c r="AQ134" s="16">
        <v>1</v>
      </c>
      <c r="AR134" s="15" t="e">
        <f t="shared" si="58"/>
        <v>#DIV/0!</v>
      </c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</row>
    <row r="135" spans="1:55">
      <c r="A135" s="68"/>
      <c r="B135" s="68"/>
      <c r="C135" s="68"/>
      <c r="D135" s="68"/>
      <c r="E135" s="68"/>
      <c r="F135" s="68"/>
      <c r="G135" s="43" t="e">
        <f t="shared" si="47"/>
        <v>#DIV/0!</v>
      </c>
      <c r="H135" s="68"/>
      <c r="I135" s="68"/>
      <c r="J135" s="68"/>
      <c r="K135" s="68"/>
      <c r="L135" s="68"/>
      <c r="M135" s="68"/>
      <c r="N135" s="68"/>
      <c r="O135" s="68"/>
      <c r="P135" s="43" t="e">
        <f t="shared" si="48"/>
        <v>#DIV/0!</v>
      </c>
      <c r="Q135" s="68"/>
      <c r="R135" s="68"/>
      <c r="S135" s="43">
        <v>5</v>
      </c>
      <c r="T135" s="68"/>
      <c r="U135" s="68"/>
      <c r="V135" s="68"/>
      <c r="W135" s="68"/>
      <c r="X135" s="68"/>
      <c r="Y135" s="68"/>
      <c r="Z135" s="68"/>
      <c r="AA135" s="47">
        <f t="shared" si="50"/>
        <v>1</v>
      </c>
      <c r="AB135" s="68"/>
      <c r="AC135" s="48">
        <f t="shared" si="51"/>
        <v>0</v>
      </c>
      <c r="AD135" s="68"/>
      <c r="AE135" s="68"/>
      <c r="AF135" s="68"/>
      <c r="AG135" s="45" t="e">
        <f t="shared" si="52"/>
        <v>#DIV/0!</v>
      </c>
      <c r="AH135" s="45" t="e">
        <f t="shared" si="53"/>
        <v>#DIV/0!</v>
      </c>
      <c r="AI135" s="45"/>
      <c r="AJ135" s="2">
        <f t="shared" si="54"/>
        <v>1</v>
      </c>
      <c r="AK135" s="45" t="e">
        <f t="shared" si="55"/>
        <v>#DIV/0!</v>
      </c>
      <c r="AL135" s="2">
        <f t="shared" si="56"/>
        <v>0</v>
      </c>
      <c r="AM135" s="2">
        <f t="shared" si="49"/>
        <v>0</v>
      </c>
      <c r="AN135" s="68"/>
      <c r="AO135" s="68"/>
      <c r="AP135" s="16" t="e">
        <f t="shared" si="57"/>
        <v>#DIV/0!</v>
      </c>
      <c r="AQ135" s="16">
        <v>1</v>
      </c>
      <c r="AR135" s="15" t="e">
        <f t="shared" si="58"/>
        <v>#DIV/0!</v>
      </c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</row>
    <row r="136" spans="1:55">
      <c r="A136" s="68"/>
      <c r="B136" s="68"/>
      <c r="C136" s="68"/>
      <c r="D136" s="68"/>
      <c r="E136" s="68"/>
      <c r="F136" s="68"/>
      <c r="G136" s="43" t="e">
        <f t="shared" si="47"/>
        <v>#DIV/0!</v>
      </c>
      <c r="H136" s="68"/>
      <c r="I136" s="68"/>
      <c r="J136" s="68"/>
      <c r="K136" s="68"/>
      <c r="L136" s="68"/>
      <c r="M136" s="68"/>
      <c r="N136" s="68"/>
      <c r="O136" s="68"/>
      <c r="P136" s="43" t="e">
        <f t="shared" si="48"/>
        <v>#DIV/0!</v>
      </c>
      <c r="Q136" s="68"/>
      <c r="R136" s="68"/>
      <c r="S136" s="43">
        <v>5</v>
      </c>
      <c r="T136" s="68"/>
      <c r="U136" s="68"/>
      <c r="V136" s="68"/>
      <c r="W136" s="68"/>
      <c r="X136" s="68"/>
      <c r="Y136" s="68"/>
      <c r="Z136" s="68"/>
      <c r="AA136" s="47">
        <f t="shared" si="50"/>
        <v>1</v>
      </c>
      <c r="AB136" s="68"/>
      <c r="AC136" s="48">
        <f t="shared" si="51"/>
        <v>0</v>
      </c>
      <c r="AD136" s="68"/>
      <c r="AE136" s="68"/>
      <c r="AF136" s="68"/>
      <c r="AG136" s="45" t="e">
        <f t="shared" si="52"/>
        <v>#DIV/0!</v>
      </c>
      <c r="AH136" s="45" t="e">
        <f t="shared" si="53"/>
        <v>#DIV/0!</v>
      </c>
      <c r="AI136" s="45"/>
      <c r="AJ136" s="2">
        <f t="shared" si="54"/>
        <v>1</v>
      </c>
      <c r="AK136" s="45" t="e">
        <f t="shared" si="55"/>
        <v>#DIV/0!</v>
      </c>
      <c r="AL136" s="2">
        <f t="shared" si="56"/>
        <v>0</v>
      </c>
      <c r="AM136" s="2">
        <f t="shared" si="49"/>
        <v>0</v>
      </c>
      <c r="AN136" s="68"/>
      <c r="AO136" s="68"/>
      <c r="AP136" s="16" t="e">
        <f t="shared" si="57"/>
        <v>#DIV/0!</v>
      </c>
      <c r="AQ136" s="16">
        <v>1</v>
      </c>
      <c r="AR136" s="15" t="e">
        <f t="shared" si="58"/>
        <v>#DIV/0!</v>
      </c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</row>
    <row r="137" spans="1:55">
      <c r="A137" s="68"/>
      <c r="B137" s="68"/>
      <c r="C137" s="68"/>
      <c r="D137" s="68"/>
      <c r="E137" s="68"/>
      <c r="F137" s="68"/>
      <c r="G137" s="43" t="e">
        <f t="shared" si="47"/>
        <v>#DIV/0!</v>
      </c>
      <c r="H137" s="68"/>
      <c r="I137" s="68"/>
      <c r="J137" s="68"/>
      <c r="K137" s="68"/>
      <c r="L137" s="68"/>
      <c r="M137" s="68"/>
      <c r="N137" s="68"/>
      <c r="O137" s="68"/>
      <c r="P137" s="43" t="e">
        <f t="shared" si="48"/>
        <v>#DIV/0!</v>
      </c>
      <c r="Q137" s="68"/>
      <c r="R137" s="68"/>
      <c r="S137" s="43">
        <v>5</v>
      </c>
      <c r="T137" s="68"/>
      <c r="U137" s="68"/>
      <c r="V137" s="68"/>
      <c r="W137" s="68"/>
      <c r="X137" s="68"/>
      <c r="Y137" s="68"/>
      <c r="Z137" s="68"/>
      <c r="AA137" s="47">
        <f t="shared" si="50"/>
        <v>1</v>
      </c>
      <c r="AB137" s="68"/>
      <c r="AC137" s="48">
        <f t="shared" si="51"/>
        <v>0</v>
      </c>
      <c r="AD137" s="68"/>
      <c r="AE137" s="68"/>
      <c r="AF137" s="68"/>
      <c r="AG137" s="45" t="e">
        <f t="shared" si="52"/>
        <v>#DIV/0!</v>
      </c>
      <c r="AH137" s="45" t="e">
        <f t="shared" si="53"/>
        <v>#DIV/0!</v>
      </c>
      <c r="AI137" s="45"/>
      <c r="AJ137" s="2">
        <f t="shared" si="54"/>
        <v>1</v>
      </c>
      <c r="AK137" s="45" t="e">
        <f t="shared" si="55"/>
        <v>#DIV/0!</v>
      </c>
      <c r="AL137" s="2">
        <f t="shared" si="56"/>
        <v>0</v>
      </c>
      <c r="AM137" s="2">
        <f t="shared" si="49"/>
        <v>0</v>
      </c>
      <c r="AN137" s="68"/>
      <c r="AO137" s="68"/>
      <c r="AP137" s="16" t="e">
        <f t="shared" si="57"/>
        <v>#DIV/0!</v>
      </c>
      <c r="AQ137" s="16">
        <v>1</v>
      </c>
      <c r="AR137" s="15" t="e">
        <f t="shared" si="58"/>
        <v>#DIV/0!</v>
      </c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</row>
    <row r="138" spans="1:55">
      <c r="A138" s="68"/>
      <c r="B138" s="68"/>
      <c r="C138" s="68"/>
      <c r="D138" s="68"/>
      <c r="E138" s="68"/>
      <c r="F138" s="68"/>
      <c r="G138" s="43" t="e">
        <f t="shared" si="47"/>
        <v>#DIV/0!</v>
      </c>
      <c r="H138" s="68"/>
      <c r="I138" s="68"/>
      <c r="J138" s="68"/>
      <c r="K138" s="68"/>
      <c r="L138" s="68"/>
      <c r="M138" s="68"/>
      <c r="N138" s="68"/>
      <c r="O138" s="68"/>
      <c r="P138" s="43" t="e">
        <f t="shared" si="48"/>
        <v>#DIV/0!</v>
      </c>
      <c r="Q138" s="68"/>
      <c r="R138" s="68"/>
      <c r="S138" s="43">
        <v>5</v>
      </c>
      <c r="T138" s="68"/>
      <c r="U138" s="68"/>
      <c r="V138" s="68"/>
      <c r="W138" s="68"/>
      <c r="X138" s="68"/>
      <c r="Y138" s="68"/>
      <c r="Z138" s="68"/>
      <c r="AA138" s="47">
        <f t="shared" si="50"/>
        <v>1</v>
      </c>
      <c r="AB138" s="68"/>
      <c r="AC138" s="48">
        <f t="shared" si="51"/>
        <v>0</v>
      </c>
      <c r="AD138" s="68"/>
      <c r="AE138" s="68"/>
      <c r="AF138" s="68"/>
      <c r="AG138" s="45" t="e">
        <f t="shared" si="52"/>
        <v>#DIV/0!</v>
      </c>
      <c r="AH138" s="45" t="e">
        <f t="shared" si="53"/>
        <v>#DIV/0!</v>
      </c>
      <c r="AI138" s="45"/>
      <c r="AJ138" s="2">
        <f t="shared" si="54"/>
        <v>1</v>
      </c>
      <c r="AK138" s="45" t="e">
        <f t="shared" si="55"/>
        <v>#DIV/0!</v>
      </c>
      <c r="AL138" s="2">
        <f t="shared" si="56"/>
        <v>0</v>
      </c>
      <c r="AM138" s="2">
        <f t="shared" si="49"/>
        <v>0</v>
      </c>
      <c r="AN138" s="68"/>
      <c r="AO138" s="68"/>
      <c r="AP138" s="16" t="e">
        <f t="shared" si="57"/>
        <v>#DIV/0!</v>
      </c>
      <c r="AQ138" s="16">
        <v>1</v>
      </c>
      <c r="AR138" s="15" t="e">
        <f t="shared" si="58"/>
        <v>#DIV/0!</v>
      </c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</row>
    <row r="139" spans="1:55">
      <c r="A139" s="68"/>
      <c r="B139" s="68"/>
      <c r="C139" s="68"/>
      <c r="D139" s="68"/>
      <c r="E139" s="68"/>
      <c r="F139" s="68"/>
      <c r="G139" s="43" t="e">
        <f t="shared" si="47"/>
        <v>#DIV/0!</v>
      </c>
      <c r="H139" s="68"/>
      <c r="I139" s="68"/>
      <c r="J139" s="68"/>
      <c r="K139" s="68"/>
      <c r="L139" s="68"/>
      <c r="M139" s="68"/>
      <c r="N139" s="68"/>
      <c r="O139" s="68"/>
      <c r="P139" s="43" t="e">
        <f t="shared" si="48"/>
        <v>#DIV/0!</v>
      </c>
      <c r="Q139" s="68"/>
      <c r="R139" s="68"/>
      <c r="S139" s="43">
        <v>5</v>
      </c>
      <c r="T139" s="68"/>
      <c r="U139" s="68"/>
      <c r="V139" s="68"/>
      <c r="W139" s="68"/>
      <c r="X139" s="68"/>
      <c r="Y139" s="68"/>
      <c r="Z139" s="68"/>
      <c r="AA139" s="47">
        <f t="shared" si="50"/>
        <v>1</v>
      </c>
      <c r="AB139" s="68"/>
      <c r="AC139" s="48">
        <f t="shared" si="51"/>
        <v>0</v>
      </c>
      <c r="AD139" s="68"/>
      <c r="AE139" s="68"/>
      <c r="AF139" s="68"/>
      <c r="AG139" s="45" t="e">
        <f t="shared" si="52"/>
        <v>#DIV/0!</v>
      </c>
      <c r="AH139" s="45" t="e">
        <f t="shared" si="53"/>
        <v>#DIV/0!</v>
      </c>
      <c r="AI139" s="45"/>
      <c r="AJ139" s="2">
        <f t="shared" si="54"/>
        <v>1</v>
      </c>
      <c r="AK139" s="45" t="e">
        <f t="shared" si="55"/>
        <v>#DIV/0!</v>
      </c>
      <c r="AL139" s="2">
        <f t="shared" si="56"/>
        <v>0</v>
      </c>
      <c r="AM139" s="2">
        <f t="shared" si="49"/>
        <v>0</v>
      </c>
      <c r="AN139" s="68"/>
      <c r="AO139" s="68"/>
      <c r="AP139" s="16" t="e">
        <f t="shared" si="57"/>
        <v>#DIV/0!</v>
      </c>
      <c r="AQ139" s="16">
        <v>1</v>
      </c>
      <c r="AR139" s="15" t="e">
        <f t="shared" si="58"/>
        <v>#DIV/0!</v>
      </c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</row>
    <row r="140" spans="1:55">
      <c r="A140" s="68"/>
      <c r="B140" s="68"/>
      <c r="C140" s="68"/>
      <c r="D140" s="68"/>
      <c r="E140" s="68"/>
      <c r="F140" s="68"/>
      <c r="G140" s="43" t="e">
        <f t="shared" si="47"/>
        <v>#DIV/0!</v>
      </c>
      <c r="H140" s="68"/>
      <c r="I140" s="68"/>
      <c r="J140" s="68"/>
      <c r="K140" s="68"/>
      <c r="L140" s="68"/>
      <c r="M140" s="68"/>
      <c r="N140" s="68"/>
      <c r="O140" s="68"/>
      <c r="P140" s="43" t="e">
        <f t="shared" si="48"/>
        <v>#DIV/0!</v>
      </c>
      <c r="Q140" s="68"/>
      <c r="R140" s="68"/>
      <c r="S140" s="43">
        <v>5</v>
      </c>
      <c r="T140" s="68"/>
      <c r="U140" s="68"/>
      <c r="V140" s="68"/>
      <c r="W140" s="68"/>
      <c r="X140" s="68"/>
      <c r="Y140" s="68"/>
      <c r="Z140" s="68"/>
      <c r="AA140" s="47">
        <f t="shared" si="50"/>
        <v>1</v>
      </c>
      <c r="AB140" s="68"/>
      <c r="AC140" s="48">
        <f t="shared" si="51"/>
        <v>0</v>
      </c>
      <c r="AD140" s="68"/>
      <c r="AE140" s="68"/>
      <c r="AF140" s="68"/>
      <c r="AG140" s="45" t="e">
        <f t="shared" si="52"/>
        <v>#DIV/0!</v>
      </c>
      <c r="AH140" s="45" t="e">
        <f t="shared" si="53"/>
        <v>#DIV/0!</v>
      </c>
      <c r="AI140" s="45"/>
      <c r="AJ140" s="2">
        <f t="shared" si="54"/>
        <v>1</v>
      </c>
      <c r="AK140" s="45" t="e">
        <f t="shared" si="55"/>
        <v>#DIV/0!</v>
      </c>
      <c r="AL140" s="2">
        <f t="shared" si="56"/>
        <v>0</v>
      </c>
      <c r="AM140" s="2">
        <f t="shared" si="49"/>
        <v>0</v>
      </c>
      <c r="AN140" s="68"/>
      <c r="AO140" s="68"/>
      <c r="AP140" s="16" t="e">
        <f t="shared" si="57"/>
        <v>#DIV/0!</v>
      </c>
      <c r="AQ140" s="16">
        <v>1</v>
      </c>
      <c r="AR140" s="15" t="e">
        <f t="shared" si="58"/>
        <v>#DIV/0!</v>
      </c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</row>
    <row r="141" spans="1:55">
      <c r="A141" s="68"/>
      <c r="B141" s="68"/>
      <c r="C141" s="68"/>
      <c r="D141" s="68"/>
      <c r="E141" s="68"/>
      <c r="F141" s="68"/>
      <c r="G141" s="43" t="e">
        <f t="shared" si="47"/>
        <v>#DIV/0!</v>
      </c>
      <c r="H141" s="68"/>
      <c r="I141" s="68"/>
      <c r="J141" s="68"/>
      <c r="K141" s="68"/>
      <c r="L141" s="68"/>
      <c r="M141" s="68"/>
      <c r="N141" s="68"/>
      <c r="O141" s="68"/>
      <c r="P141" s="43" t="e">
        <f t="shared" si="48"/>
        <v>#DIV/0!</v>
      </c>
      <c r="Q141" s="68"/>
      <c r="R141" s="68"/>
      <c r="S141" s="43">
        <v>5</v>
      </c>
      <c r="T141" s="68"/>
      <c r="U141" s="68"/>
      <c r="V141" s="68"/>
      <c r="W141" s="68"/>
      <c r="X141" s="68"/>
      <c r="Y141" s="68"/>
      <c r="Z141" s="68"/>
      <c r="AA141" s="47">
        <f t="shared" si="50"/>
        <v>1</v>
      </c>
      <c r="AB141" s="68"/>
      <c r="AC141" s="68"/>
      <c r="AD141" s="68"/>
      <c r="AE141" s="68"/>
      <c r="AF141" s="68"/>
      <c r="AG141" s="45" t="e">
        <f t="shared" si="52"/>
        <v>#DIV/0!</v>
      </c>
      <c r="AH141" s="45" t="e">
        <f t="shared" si="53"/>
        <v>#DIV/0!</v>
      </c>
      <c r="AI141" s="45"/>
      <c r="AJ141" s="2">
        <f t="shared" si="54"/>
        <v>1</v>
      </c>
      <c r="AK141" s="45" t="e">
        <f t="shared" si="55"/>
        <v>#DIV/0!</v>
      </c>
      <c r="AL141" s="2">
        <f t="shared" si="56"/>
        <v>0</v>
      </c>
      <c r="AM141" s="2">
        <f t="shared" si="49"/>
        <v>0</v>
      </c>
      <c r="AN141" s="68"/>
      <c r="AO141" s="68"/>
      <c r="AP141" s="16" t="e">
        <f t="shared" si="57"/>
        <v>#DIV/0!</v>
      </c>
      <c r="AQ141" s="16">
        <v>1</v>
      </c>
      <c r="AR141" s="15" t="e">
        <f t="shared" si="58"/>
        <v>#DIV/0!</v>
      </c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</row>
    <row r="142" spans="1:55">
      <c r="A142" s="68"/>
      <c r="B142" s="68"/>
      <c r="C142" s="68"/>
      <c r="D142" s="68"/>
      <c r="E142" s="68"/>
      <c r="F142" s="68"/>
      <c r="G142" s="43" t="e">
        <f t="shared" si="47"/>
        <v>#DIV/0!</v>
      </c>
      <c r="H142" s="68"/>
      <c r="I142" s="68"/>
      <c r="J142" s="68"/>
      <c r="K142" s="68"/>
      <c r="L142" s="68"/>
      <c r="M142" s="68"/>
      <c r="N142" s="68"/>
      <c r="O142" s="68"/>
      <c r="P142" s="43" t="e">
        <f t="shared" si="48"/>
        <v>#DIV/0!</v>
      </c>
      <c r="Q142" s="68"/>
      <c r="R142" s="68"/>
      <c r="S142" s="43">
        <v>5</v>
      </c>
      <c r="T142" s="68"/>
      <c r="U142" s="68"/>
      <c r="V142" s="68"/>
      <c r="W142" s="68"/>
      <c r="X142" s="68"/>
      <c r="Y142" s="68"/>
      <c r="Z142" s="68"/>
      <c r="AA142" s="47">
        <f t="shared" si="50"/>
        <v>1</v>
      </c>
      <c r="AB142" s="68"/>
      <c r="AC142" s="68"/>
      <c r="AD142" s="68"/>
      <c r="AE142" s="68"/>
      <c r="AF142" s="68"/>
      <c r="AG142" s="45" t="e">
        <f t="shared" si="52"/>
        <v>#DIV/0!</v>
      </c>
      <c r="AH142" s="45" t="e">
        <f t="shared" si="53"/>
        <v>#DIV/0!</v>
      </c>
      <c r="AI142" s="45"/>
      <c r="AJ142" s="2">
        <f t="shared" si="54"/>
        <v>1</v>
      </c>
      <c r="AK142" s="45" t="e">
        <f t="shared" si="55"/>
        <v>#DIV/0!</v>
      </c>
      <c r="AL142" s="2">
        <f t="shared" si="56"/>
        <v>0</v>
      </c>
      <c r="AM142" s="2">
        <f t="shared" si="49"/>
        <v>0</v>
      </c>
      <c r="AN142" s="68"/>
      <c r="AO142" s="68"/>
      <c r="AP142" s="16" t="e">
        <f t="shared" si="57"/>
        <v>#DIV/0!</v>
      </c>
      <c r="AQ142" s="16">
        <v>1</v>
      </c>
      <c r="AR142" s="15" t="e">
        <f t="shared" si="58"/>
        <v>#DIV/0!</v>
      </c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</row>
    <row r="143" spans="1:55">
      <c r="A143" s="68"/>
      <c r="B143" s="68"/>
      <c r="C143" s="68"/>
      <c r="D143" s="68"/>
      <c r="E143" s="68"/>
      <c r="F143" s="68"/>
      <c r="G143" s="43" t="e">
        <f t="shared" si="47"/>
        <v>#DIV/0!</v>
      </c>
      <c r="H143" s="68"/>
      <c r="I143" s="68"/>
      <c r="J143" s="68"/>
      <c r="K143" s="68"/>
      <c r="L143" s="68"/>
      <c r="M143" s="68"/>
      <c r="N143" s="68"/>
      <c r="O143" s="68"/>
      <c r="P143" s="43" t="e">
        <f t="shared" si="48"/>
        <v>#DIV/0!</v>
      </c>
      <c r="Q143" s="68"/>
      <c r="R143" s="68"/>
      <c r="S143" s="43">
        <v>5</v>
      </c>
      <c r="T143" s="68"/>
      <c r="U143" s="68"/>
      <c r="V143" s="68"/>
      <c r="W143" s="68"/>
      <c r="X143" s="68"/>
      <c r="Y143" s="68"/>
      <c r="Z143" s="68"/>
      <c r="AA143" s="47">
        <f t="shared" si="50"/>
        <v>1</v>
      </c>
      <c r="AB143" s="68"/>
      <c r="AC143" s="68"/>
      <c r="AD143" s="68"/>
      <c r="AE143" s="68"/>
      <c r="AF143" s="68"/>
      <c r="AG143" s="45" t="e">
        <f t="shared" si="52"/>
        <v>#DIV/0!</v>
      </c>
      <c r="AH143" s="45" t="e">
        <f t="shared" si="53"/>
        <v>#DIV/0!</v>
      </c>
      <c r="AI143" s="45"/>
      <c r="AJ143" s="2">
        <f t="shared" si="54"/>
        <v>1</v>
      </c>
      <c r="AK143" s="45" t="e">
        <f t="shared" si="55"/>
        <v>#DIV/0!</v>
      </c>
      <c r="AL143" s="68"/>
      <c r="AM143" s="68"/>
      <c r="AN143" s="68"/>
      <c r="AO143" s="68"/>
      <c r="AP143" s="16" t="e">
        <f t="shared" si="57"/>
        <v>#DIV/0!</v>
      </c>
      <c r="AQ143" s="16">
        <v>1</v>
      </c>
      <c r="AR143" s="15" t="e">
        <f t="shared" si="58"/>
        <v>#DIV/0!</v>
      </c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</row>
    <row r="144" spans="1:55">
      <c r="A144" s="68"/>
      <c r="B144" s="68"/>
      <c r="C144" s="68"/>
      <c r="D144" s="68"/>
      <c r="E144" s="68"/>
      <c r="F144" s="68"/>
      <c r="G144" s="43" t="e">
        <f t="shared" si="47"/>
        <v>#DIV/0!</v>
      </c>
      <c r="H144" s="68"/>
      <c r="I144" s="68"/>
      <c r="J144" s="68"/>
      <c r="K144" s="68"/>
      <c r="L144" s="68"/>
      <c r="M144" s="68"/>
      <c r="N144" s="68"/>
      <c r="O144" s="68"/>
      <c r="P144" s="43" t="e">
        <f t="shared" si="48"/>
        <v>#DIV/0!</v>
      </c>
      <c r="Q144" s="68"/>
      <c r="R144" s="68"/>
      <c r="S144" s="43">
        <v>5</v>
      </c>
      <c r="T144" s="68"/>
      <c r="U144" s="68"/>
      <c r="V144" s="68"/>
      <c r="W144" s="68"/>
      <c r="X144" s="68"/>
      <c r="Y144" s="68"/>
      <c r="Z144" s="68"/>
      <c r="AA144" s="47">
        <f t="shared" si="50"/>
        <v>1</v>
      </c>
      <c r="AB144" s="68"/>
      <c r="AC144" s="68"/>
      <c r="AD144" s="68"/>
      <c r="AE144" s="68"/>
      <c r="AF144" s="68"/>
      <c r="AG144" s="45" t="e">
        <f t="shared" si="52"/>
        <v>#DIV/0!</v>
      </c>
      <c r="AH144" s="45" t="e">
        <f t="shared" si="53"/>
        <v>#DIV/0!</v>
      </c>
      <c r="AI144" s="45"/>
      <c r="AJ144" s="2">
        <f t="shared" si="54"/>
        <v>1</v>
      </c>
      <c r="AK144" s="45" t="e">
        <f t="shared" si="55"/>
        <v>#DIV/0!</v>
      </c>
      <c r="AL144" s="68"/>
      <c r="AM144" s="68"/>
      <c r="AN144" s="68"/>
      <c r="AO144" s="68"/>
      <c r="AP144" s="16" t="e">
        <f t="shared" si="57"/>
        <v>#DIV/0!</v>
      </c>
      <c r="AQ144" s="16">
        <v>1</v>
      </c>
      <c r="AR144" s="15" t="e">
        <f t="shared" si="58"/>
        <v>#DIV/0!</v>
      </c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</row>
    <row r="145" spans="1:55">
      <c r="A145" s="68"/>
      <c r="B145" s="68"/>
      <c r="C145" s="68"/>
      <c r="D145" s="68"/>
      <c r="E145" s="68"/>
      <c r="F145" s="68"/>
      <c r="G145" s="43" t="e">
        <f t="shared" si="47"/>
        <v>#DIV/0!</v>
      </c>
      <c r="H145" s="68"/>
      <c r="I145" s="68"/>
      <c r="J145" s="68"/>
      <c r="K145" s="68"/>
      <c r="L145" s="68"/>
      <c r="M145" s="68"/>
      <c r="N145" s="68"/>
      <c r="O145" s="68"/>
      <c r="P145" s="43" t="e">
        <f t="shared" si="48"/>
        <v>#DIV/0!</v>
      </c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45" t="e">
        <f t="shared" si="52"/>
        <v>#DIV/0!</v>
      </c>
      <c r="AH145" s="68"/>
      <c r="AI145" s="68"/>
      <c r="AJ145" s="2">
        <f t="shared" si="54"/>
        <v>1</v>
      </c>
      <c r="AK145" s="45" t="e">
        <f t="shared" si="55"/>
        <v>#DIV/0!</v>
      </c>
      <c r="AL145" s="68"/>
      <c r="AM145" s="68"/>
      <c r="AN145" s="68"/>
      <c r="AO145" s="68"/>
      <c r="AP145" s="16" t="e">
        <f t="shared" si="57"/>
        <v>#DIV/0!</v>
      </c>
      <c r="AQ145" s="16">
        <v>1</v>
      </c>
      <c r="AR145" s="15" t="e">
        <f t="shared" si="58"/>
        <v>#DIV/0!</v>
      </c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</row>
    <row r="146" spans="1:55">
      <c r="A146" s="68"/>
      <c r="B146" s="68"/>
      <c r="C146" s="68"/>
      <c r="D146" s="68"/>
      <c r="E146" s="68"/>
      <c r="F146" s="68"/>
      <c r="G146" s="43" t="e">
        <f t="shared" si="47"/>
        <v>#DIV/0!</v>
      </c>
      <c r="H146" s="68"/>
      <c r="I146" s="68"/>
      <c r="J146" s="68"/>
      <c r="K146" s="68"/>
      <c r="L146" s="68"/>
      <c r="M146" s="68"/>
      <c r="N146" s="68"/>
      <c r="O146" s="68"/>
      <c r="P146" s="43" t="e">
        <f t="shared" si="48"/>
        <v>#DIV/0!</v>
      </c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45" t="e">
        <f t="shared" si="52"/>
        <v>#DIV/0!</v>
      </c>
      <c r="AH146" s="68"/>
      <c r="AI146" s="68"/>
      <c r="AJ146" s="2">
        <f t="shared" si="54"/>
        <v>1</v>
      </c>
      <c r="AK146" s="45" t="e">
        <f t="shared" si="55"/>
        <v>#DIV/0!</v>
      </c>
      <c r="AL146" s="68"/>
      <c r="AM146" s="68"/>
      <c r="AN146" s="68"/>
      <c r="AO146" s="68"/>
      <c r="AP146" s="16" t="e">
        <f t="shared" si="57"/>
        <v>#DIV/0!</v>
      </c>
      <c r="AQ146" s="16">
        <v>1</v>
      </c>
      <c r="AR146" s="15" t="e">
        <f t="shared" si="58"/>
        <v>#DIV/0!</v>
      </c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</row>
    <row r="147" spans="1:55">
      <c r="A147" s="68"/>
      <c r="B147" s="68"/>
      <c r="C147" s="68"/>
      <c r="D147" s="68"/>
      <c r="E147" s="68"/>
      <c r="F147" s="68"/>
      <c r="G147" s="43" t="e">
        <f t="shared" ref="G147:G178" si="59">100*(F147-E147)/F147</f>
        <v>#DIV/0!</v>
      </c>
      <c r="H147" s="68"/>
      <c r="I147" s="68"/>
      <c r="J147" s="68"/>
      <c r="K147" s="68"/>
      <c r="L147" s="68"/>
      <c r="M147" s="68"/>
      <c r="N147" s="68"/>
      <c r="O147" s="68"/>
      <c r="P147" s="43" t="e">
        <f t="shared" ref="P147:P178" si="60">O147/I147</f>
        <v>#DIV/0!</v>
      </c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45" t="e">
        <f t="shared" si="52"/>
        <v>#DIV/0!</v>
      </c>
      <c r="AH147" s="68"/>
      <c r="AI147" s="68"/>
      <c r="AJ147" s="2">
        <f t="shared" si="54"/>
        <v>1</v>
      </c>
      <c r="AK147" s="45" t="e">
        <f t="shared" si="55"/>
        <v>#DIV/0!</v>
      </c>
      <c r="AL147" s="68"/>
      <c r="AM147" s="68"/>
      <c r="AN147" s="68"/>
      <c r="AO147" s="68"/>
      <c r="AP147" s="16" t="e">
        <f t="shared" si="57"/>
        <v>#DIV/0!</v>
      </c>
      <c r="AQ147" s="16">
        <v>1</v>
      </c>
      <c r="AR147" s="15" t="e">
        <f t="shared" si="58"/>
        <v>#DIV/0!</v>
      </c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</row>
    <row r="148" spans="1:55">
      <c r="A148" s="68"/>
      <c r="B148" s="68"/>
      <c r="C148" s="68"/>
      <c r="D148" s="68"/>
      <c r="E148" s="68"/>
      <c r="F148" s="68"/>
      <c r="G148" s="43" t="e">
        <f t="shared" si="59"/>
        <v>#DIV/0!</v>
      </c>
      <c r="H148" s="68"/>
      <c r="I148" s="68"/>
      <c r="J148" s="68"/>
      <c r="K148" s="68"/>
      <c r="L148" s="68"/>
      <c r="M148" s="68"/>
      <c r="N148" s="68"/>
      <c r="O148" s="68"/>
      <c r="P148" s="43" t="e">
        <f t="shared" si="60"/>
        <v>#DIV/0!</v>
      </c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45" t="e">
        <f t="shared" si="52"/>
        <v>#DIV/0!</v>
      </c>
      <c r="AH148" s="68"/>
      <c r="AI148" s="68"/>
      <c r="AJ148" s="2">
        <f t="shared" si="54"/>
        <v>1</v>
      </c>
      <c r="AK148" s="45" t="e">
        <f t="shared" si="55"/>
        <v>#DIV/0!</v>
      </c>
      <c r="AL148" s="68"/>
      <c r="AM148" s="68"/>
      <c r="AN148" s="68"/>
      <c r="AO148" s="68"/>
      <c r="AP148" s="16" t="e">
        <f t="shared" si="57"/>
        <v>#DIV/0!</v>
      </c>
      <c r="AQ148" s="16">
        <v>1</v>
      </c>
      <c r="AR148" s="15" t="e">
        <f t="shared" si="58"/>
        <v>#DIV/0!</v>
      </c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</row>
    <row r="149" spans="1:55">
      <c r="A149" s="68"/>
      <c r="B149" s="68"/>
      <c r="C149" s="68"/>
      <c r="D149" s="68"/>
      <c r="E149" s="68"/>
      <c r="F149" s="68"/>
      <c r="G149" s="43" t="e">
        <f t="shared" si="59"/>
        <v>#DIV/0!</v>
      </c>
      <c r="H149" s="68"/>
      <c r="I149" s="68"/>
      <c r="J149" s="68"/>
      <c r="K149" s="68"/>
      <c r="L149" s="68"/>
      <c r="M149" s="68"/>
      <c r="N149" s="68"/>
      <c r="O149" s="68"/>
      <c r="P149" s="43" t="e">
        <f t="shared" si="60"/>
        <v>#DIV/0!</v>
      </c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2">
        <f t="shared" si="54"/>
        <v>1</v>
      </c>
      <c r="AK149" s="45">
        <f t="shared" si="55"/>
        <v>0</v>
      </c>
      <c r="AL149" s="68"/>
      <c r="AM149" s="68"/>
      <c r="AN149" s="68"/>
      <c r="AO149" s="68"/>
      <c r="AP149" s="16">
        <f t="shared" si="57"/>
        <v>0</v>
      </c>
      <c r="AQ149" s="16">
        <v>1</v>
      </c>
      <c r="AR149" s="15">
        <f t="shared" si="58"/>
        <v>0</v>
      </c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</row>
    <row r="150" spans="1:55">
      <c r="A150" s="68"/>
      <c r="B150" s="68"/>
      <c r="C150" s="68"/>
      <c r="D150" s="68"/>
      <c r="E150" s="68"/>
      <c r="F150" s="68"/>
      <c r="G150" s="43" t="e">
        <f t="shared" si="59"/>
        <v>#DIV/0!</v>
      </c>
      <c r="H150" s="68"/>
      <c r="I150" s="68"/>
      <c r="J150" s="68"/>
      <c r="K150" s="68"/>
      <c r="L150" s="68"/>
      <c r="M150" s="68"/>
      <c r="N150" s="68"/>
      <c r="O150" s="68"/>
      <c r="P150" s="43" t="e">
        <f t="shared" si="60"/>
        <v>#DIV/0!</v>
      </c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2">
        <f t="shared" si="54"/>
        <v>1</v>
      </c>
      <c r="AK150" s="45">
        <f t="shared" si="55"/>
        <v>0</v>
      </c>
      <c r="AL150" s="68"/>
      <c r="AM150" s="68"/>
      <c r="AN150" s="68"/>
      <c r="AO150" s="68"/>
      <c r="AP150" s="16">
        <f t="shared" si="57"/>
        <v>0</v>
      </c>
      <c r="AQ150" s="68"/>
      <c r="AR150" s="15">
        <f t="shared" si="58"/>
        <v>0</v>
      </c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</row>
    <row r="151" spans="1:55">
      <c r="AJ151" s="2">
        <f t="shared" si="54"/>
        <v>1</v>
      </c>
      <c r="AK151" s="45">
        <f t="shared" si="55"/>
        <v>0</v>
      </c>
      <c r="AP151" s="16">
        <f t="shared" si="57"/>
        <v>0</v>
      </c>
      <c r="AR151" s="15">
        <f t="shared" si="58"/>
        <v>0</v>
      </c>
    </row>
    <row r="152" spans="1:55">
      <c r="AJ152" s="2">
        <f t="shared" si="54"/>
        <v>1</v>
      </c>
      <c r="AP152" s="16">
        <f t="shared" si="57"/>
        <v>0</v>
      </c>
    </row>
    <row r="153" spans="1:55">
      <c r="AJ153" s="2">
        <f t="shared" si="54"/>
        <v>1</v>
      </c>
      <c r="AP153" s="16">
        <f t="shared" si="57"/>
        <v>0</v>
      </c>
    </row>
    <row r="154" spans="1:55">
      <c r="AJ154" s="2">
        <f t="shared" si="54"/>
        <v>1</v>
      </c>
      <c r="AP154" s="16">
        <f t="shared" si="57"/>
        <v>0</v>
      </c>
    </row>
    <row r="155" spans="1:55">
      <c r="AJ155" s="2">
        <f t="shared" si="54"/>
        <v>1</v>
      </c>
      <c r="AP155" s="16">
        <f t="shared" si="57"/>
        <v>0</v>
      </c>
    </row>
    <row r="156" spans="1:55">
      <c r="AJ156" s="2">
        <f t="shared" si="54"/>
        <v>1</v>
      </c>
      <c r="AP156" s="16">
        <f t="shared" si="57"/>
        <v>0</v>
      </c>
    </row>
  </sheetData>
  <conditionalFormatting sqref="H56 G2:G150">
    <cfRule type="cellIs" dxfId="70" priority="11" operator="lessThan">
      <formula>0</formula>
    </cfRule>
  </conditionalFormatting>
  <conditionalFormatting sqref="Q60:R60 P2:P150">
    <cfRule type="cellIs" dxfId="69" priority="17" operator="greaterThan">
      <formula>23</formula>
    </cfRule>
  </conditionalFormatting>
  <conditionalFormatting sqref="R2:R387">
    <cfRule type="cellIs" dxfId="68" priority="19" operator="greaterThan">
      <formula>88</formula>
    </cfRule>
  </conditionalFormatting>
  <conditionalFormatting sqref="X2:X63">
    <cfRule type="cellIs" dxfId="67" priority="16" operator="lessThan">
      <formula>16</formula>
    </cfRule>
  </conditionalFormatting>
  <conditionalFormatting sqref="X48">
    <cfRule type="cellIs" dxfId="66" priority="9" operator="lessThan">
      <formula>19</formula>
    </cfRule>
  </conditionalFormatting>
  <conditionalFormatting sqref="Y2:Y63">
    <cfRule type="cellIs" dxfId="65" priority="13" operator="lessThan">
      <formula>11</formula>
    </cfRule>
  </conditionalFormatting>
  <conditionalFormatting sqref="Y48">
    <cfRule type="cellIs" dxfId="64" priority="8" operator="lessThan">
      <formula>10</formula>
    </cfRule>
  </conditionalFormatting>
  <conditionalFormatting sqref="Z48">
    <cfRule type="cellIs" dxfId="63" priority="10" operator="lessThan">
      <formula>3.5</formula>
    </cfRule>
  </conditionalFormatting>
  <conditionalFormatting sqref="AA2:AA144">
    <cfRule type="cellIs" dxfId="62" priority="18" operator="equal">
      <formula>0</formula>
    </cfRule>
  </conditionalFormatting>
  <conditionalFormatting sqref="AF2:AF63">
    <cfRule type="cellIs" dxfId="61" priority="12" operator="lessThan">
      <formula>26</formula>
    </cfRule>
  </conditionalFormatting>
  <conditionalFormatting sqref="AG51:AG66">
    <cfRule type="cellIs" dxfId="60" priority="4" operator="greaterThan">
      <formula>6.1</formula>
    </cfRule>
  </conditionalFormatting>
  <conditionalFormatting sqref="AK2:AK198">
    <cfRule type="cellIs" dxfId="59" priority="20" operator="greaterThan">
      <formula>23.73</formula>
    </cfRule>
  </conditionalFormatting>
  <conditionalFormatting sqref="AL2:AL444">
    <cfRule type="containsText" dxfId="58" priority="6" operator="containsText" text="Neg">
      <formula>NOT(ISERROR(SEARCH("Neg",AL2)))</formula>
    </cfRule>
    <cfRule type="containsText" dxfId="57" priority="7" operator="containsText" text="Pos">
      <formula>NOT(ISERROR(SEARCH("Pos",AL2)))</formula>
    </cfRule>
  </conditionalFormatting>
  <conditionalFormatting sqref="AP2:AP156">
    <cfRule type="cellIs" dxfId="56" priority="1" operator="equal">
      <formula>3</formula>
    </cfRule>
    <cfRule type="cellIs" dxfId="55" priority="2" operator="equal">
      <formula>1</formula>
    </cfRule>
    <cfRule type="cellIs" dxfId="54" priority="3" operator="equal">
      <formula>2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2026-04-23T18:08:43Z</dcterms:modified>
</cp:coreProperties>
</file>