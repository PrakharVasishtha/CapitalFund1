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638CAB55-7BD8-405B-ADB9-1CEBAF65C1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OSME" sheetId="1" r:id="rId1"/>
    <sheet name="IPOMB" sheetId="2" r:id="rId2"/>
    <sheet name="IPOSME (2)" sheetId="3" r:id="rId3"/>
  </sheets>
  <calcPr calcId="191029"/>
</workbook>
</file>

<file path=xl/calcChain.xml><?xml version="1.0" encoding="utf-8"?>
<calcChain xmlns="http://schemas.openxmlformats.org/spreadsheetml/2006/main">
  <c r="AK89" i="3" l="1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K56" i="3"/>
  <c r="AJ56" i="3"/>
  <c r="AC56" i="3"/>
  <c r="AA56" i="3"/>
  <c r="P56" i="3"/>
  <c r="G56" i="3"/>
  <c r="AG56" i="3" s="1"/>
  <c r="AH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K24" i="3"/>
  <c r="AJ24" i="3"/>
  <c r="AC24" i="3"/>
  <c r="AA24" i="3"/>
  <c r="P24" i="3"/>
  <c r="G24" i="3"/>
  <c r="AG24" i="3" s="1"/>
  <c r="AH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66" i="2"/>
  <c r="G166" i="2"/>
  <c r="P165" i="2"/>
  <c r="G165" i="2"/>
  <c r="P164" i="2"/>
  <c r="G164" i="2"/>
  <c r="P163" i="2"/>
  <c r="G163" i="2"/>
  <c r="P162" i="2"/>
  <c r="G162" i="2"/>
  <c r="P161" i="2"/>
  <c r="G161" i="2"/>
  <c r="AG160" i="2"/>
  <c r="AA160" i="2"/>
  <c r="P160" i="2"/>
  <c r="G160" i="2"/>
  <c r="AA159" i="2"/>
  <c r="P159" i="2"/>
  <c r="G159" i="2"/>
  <c r="AM158" i="2"/>
  <c r="AL158" i="2"/>
  <c r="AA158" i="2"/>
  <c r="P158" i="2"/>
  <c r="G158" i="2"/>
  <c r="AG158" i="2" s="1"/>
  <c r="AM157" i="2"/>
  <c r="AL157" i="2"/>
  <c r="AG157" i="2"/>
  <c r="AA157" i="2"/>
  <c r="P157" i="2"/>
  <c r="G157" i="2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G155" i="2" s="1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G153" i="2" s="1"/>
  <c r="AH153" i="2" s="1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M147" i="2"/>
  <c r="AL147" i="2"/>
  <c r="AC147" i="2"/>
  <c r="AA147" i="2"/>
  <c r="P147" i="2"/>
  <c r="G147" i="2"/>
  <c r="AM146" i="2"/>
  <c r="AL146" i="2"/>
  <c r="AC146" i="2"/>
  <c r="AA146" i="2"/>
  <c r="P146" i="2"/>
  <c r="G146" i="2"/>
  <c r="AG146" i="2" s="1"/>
  <c r="AM145" i="2"/>
  <c r="AL145" i="2"/>
  <c r="AC145" i="2"/>
  <c r="AA145" i="2"/>
  <c r="P145" i="2"/>
  <c r="G145" i="2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M141" i="2"/>
  <c r="AL141" i="2"/>
  <c r="AC141" i="2"/>
  <c r="AA141" i="2"/>
  <c r="P141" i="2"/>
  <c r="G141" i="2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H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G137" i="2" s="1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H131" i="2" s="1"/>
  <c r="AM130" i="2"/>
  <c r="AL130" i="2"/>
  <c r="AC130" i="2"/>
  <c r="AA130" i="2"/>
  <c r="P130" i="2"/>
  <c r="G130" i="2"/>
  <c r="AG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G127" i="2" s="1"/>
  <c r="AM126" i="2"/>
  <c r="AL126" i="2"/>
  <c r="AC126" i="2"/>
  <c r="AA126" i="2"/>
  <c r="P126" i="2"/>
  <c r="G126" i="2"/>
  <c r="AM125" i="2"/>
  <c r="AL125" i="2"/>
  <c r="AC125" i="2"/>
  <c r="AA125" i="2"/>
  <c r="P125" i="2"/>
  <c r="G125" i="2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H123" i="2" s="1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H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M114" i="2"/>
  <c r="AL114" i="2"/>
  <c r="AC114" i="2"/>
  <c r="AA114" i="2"/>
  <c r="P114" i="2"/>
  <c r="G114" i="2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G106" i="2" s="1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H91" i="2" s="1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H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G82" i="2"/>
  <c r="AC82" i="2"/>
  <c r="AA82" i="2"/>
  <c r="AH82" i="2" s="1"/>
  <c r="AK82" i="2" s="1"/>
  <c r="AP82" i="2" s="1"/>
  <c r="AQ82" i="2" s="1"/>
  <c r="AL81" i="2"/>
  <c r="AG81" i="2"/>
  <c r="AC81" i="2"/>
  <c r="AA81" i="2"/>
  <c r="AH81" i="2" s="1"/>
  <c r="AK81" i="2" s="1"/>
  <c r="AP81" i="2" s="1"/>
  <c r="AQ81" i="2" s="1"/>
  <c r="AL80" i="2"/>
  <c r="AH80" i="2"/>
  <c r="AK80" i="2" s="1"/>
  <c r="AP80" i="2" s="1"/>
  <c r="AQ80" i="2" s="1"/>
  <c r="AG80" i="2"/>
  <c r="AC80" i="2"/>
  <c r="AA80" i="2"/>
  <c r="AL79" i="2"/>
  <c r="AH79" i="2"/>
  <c r="AK79" i="2" s="1"/>
  <c r="AP79" i="2" s="1"/>
  <c r="AQ79" i="2" s="1"/>
  <c r="AG79" i="2"/>
  <c r="AC79" i="2"/>
  <c r="AA79" i="2"/>
  <c r="AL78" i="2"/>
  <c r="AG78" i="2"/>
  <c r="AC78" i="2"/>
  <c r="AA78" i="2"/>
  <c r="AH78" i="2" s="1"/>
  <c r="AK78" i="2" s="1"/>
  <c r="AP78" i="2" s="1"/>
  <c r="AQ78" i="2" s="1"/>
  <c r="AL77" i="2"/>
  <c r="AG77" i="2"/>
  <c r="AC77" i="2"/>
  <c r="AA77" i="2"/>
  <c r="AH77" i="2" s="1"/>
  <c r="AK77" i="2" s="1"/>
  <c r="AP77" i="2" s="1"/>
  <c r="AQ77" i="2" s="1"/>
  <c r="AL76" i="2"/>
  <c r="AH76" i="2"/>
  <c r="AK76" i="2" s="1"/>
  <c r="AP76" i="2" s="1"/>
  <c r="AQ76" i="2" s="1"/>
  <c r="AG76" i="2"/>
  <c r="AC76" i="2"/>
  <c r="AA76" i="2"/>
  <c r="AL75" i="2"/>
  <c r="AH75" i="2"/>
  <c r="AK75" i="2" s="1"/>
  <c r="AP75" i="2" s="1"/>
  <c r="AQ75" i="2" s="1"/>
  <c r="AG75" i="2"/>
  <c r="AC75" i="2"/>
  <c r="AA75" i="2"/>
  <c r="AL74" i="2"/>
  <c r="AG74" i="2"/>
  <c r="AC74" i="2"/>
  <c r="AA74" i="2"/>
  <c r="AH74" i="2" s="1"/>
  <c r="AK74" i="2" s="1"/>
  <c r="AP74" i="2" s="1"/>
  <c r="AQ74" i="2" s="1"/>
  <c r="AL73" i="2"/>
  <c r="AG73" i="2"/>
  <c r="AC73" i="2"/>
  <c r="AA73" i="2"/>
  <c r="AH73" i="2" s="1"/>
  <c r="AK73" i="2" s="1"/>
  <c r="AP73" i="2" s="1"/>
  <c r="AQ73" i="2" s="1"/>
  <c r="AL72" i="2"/>
  <c r="AH72" i="2"/>
  <c r="AK72" i="2" s="1"/>
  <c r="AP72" i="2" s="1"/>
  <c r="AQ72" i="2" s="1"/>
  <c r="AG72" i="2"/>
  <c r="AC72" i="2"/>
  <c r="AA72" i="2"/>
  <c r="AL71" i="2"/>
  <c r="AH71" i="2"/>
  <c r="AK71" i="2" s="1"/>
  <c r="AP71" i="2" s="1"/>
  <c r="AQ71" i="2" s="1"/>
  <c r="AG71" i="2"/>
  <c r="AC71" i="2"/>
  <c r="AA71" i="2"/>
  <c r="AL70" i="2"/>
  <c r="AG70" i="2"/>
  <c r="AC70" i="2"/>
  <c r="AA70" i="2"/>
  <c r="AH70" i="2" s="1"/>
  <c r="AK70" i="2" s="1"/>
  <c r="AP70" i="2" s="1"/>
  <c r="AQ70" i="2" s="1"/>
  <c r="AL69" i="2"/>
  <c r="AG69" i="2"/>
  <c r="AC69" i="2"/>
  <c r="AA69" i="2"/>
  <c r="AH69" i="2" s="1"/>
  <c r="AK69" i="2" s="1"/>
  <c r="AP69" i="2" s="1"/>
  <c r="AQ69" i="2" s="1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H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H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H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H34" i="2" s="1"/>
  <c r="AM33" i="2"/>
  <c r="AL33" i="2"/>
  <c r="AC33" i="2"/>
  <c r="AA33" i="2"/>
  <c r="P33" i="2"/>
  <c r="G33" i="2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G30" i="2" s="1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H26" i="2" s="1"/>
  <c r="AM25" i="2"/>
  <c r="AL25" i="2"/>
  <c r="AC25" i="2"/>
  <c r="AA25" i="2"/>
  <c r="P25" i="2"/>
  <c r="G25" i="2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H18" i="2" s="1"/>
  <c r="AM17" i="2"/>
  <c r="AL17" i="2"/>
  <c r="AC17" i="2"/>
  <c r="AA17" i="2"/>
  <c r="P17" i="2"/>
  <c r="G17" i="2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H10" i="2" s="1"/>
  <c r="AM9" i="2"/>
  <c r="AL9" i="2"/>
  <c r="AC9" i="2"/>
  <c r="AA9" i="2"/>
  <c r="P9" i="2"/>
  <c r="G9" i="2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H2" i="2" s="1"/>
  <c r="AM455" i="1"/>
  <c r="AL455" i="1"/>
  <c r="AG455" i="1"/>
  <c r="AA455" i="1"/>
  <c r="P455" i="1"/>
  <c r="G455" i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G452" i="1" s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G448" i="1" s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G444" i="1" s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G440" i="1" s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G435" i="1" s="1"/>
  <c r="AH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G432" i="1" s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G427" i="1" s="1"/>
  <c r="AH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G424" i="1" s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G419" i="1" s="1"/>
  <c r="AH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G416" i="1" s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H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G408" i="1" s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G406" i="1" s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H403" i="1" s="1"/>
  <c r="AM402" i="1"/>
  <c r="AL402" i="1"/>
  <c r="AC402" i="1"/>
  <c r="AA402" i="1"/>
  <c r="P402" i="1"/>
  <c r="G402" i="1"/>
  <c r="AG402" i="1" s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G393" i="1" s="1"/>
  <c r="AM392" i="1"/>
  <c r="AL392" i="1"/>
  <c r="AC392" i="1"/>
  <c r="AA392" i="1"/>
  <c r="P392" i="1"/>
  <c r="G392" i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G385" i="1" s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H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H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H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H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H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H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M350" i="1"/>
  <c r="AL350" i="1"/>
  <c r="AC350" i="1"/>
  <c r="AA350" i="1"/>
  <c r="P350" i="1"/>
  <c r="G350" i="1"/>
  <c r="AG350" i="1" s="1"/>
  <c r="AM349" i="1"/>
  <c r="AL349" i="1"/>
  <c r="AC349" i="1"/>
  <c r="AA349" i="1"/>
  <c r="P349" i="1"/>
  <c r="G349" i="1"/>
  <c r="AG349" i="1" s="1"/>
  <c r="AH349" i="1" s="1"/>
  <c r="AM348" i="1"/>
  <c r="AL348" i="1"/>
  <c r="AC348" i="1"/>
  <c r="AA348" i="1"/>
  <c r="P348" i="1"/>
  <c r="G348" i="1"/>
  <c r="AG348" i="1" s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G344" i="1" s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G340" i="1" s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G336" i="1" s="1"/>
  <c r="AO335" i="1"/>
  <c r="AM335" i="1"/>
  <c r="AL335" i="1"/>
  <c r="AC335" i="1"/>
  <c r="AA335" i="1"/>
  <c r="P335" i="1"/>
  <c r="G335" i="1"/>
  <c r="AG335" i="1" s="1"/>
  <c r="AH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G332" i="1" s="1"/>
  <c r="AO331" i="1"/>
  <c r="AM331" i="1"/>
  <c r="AL331" i="1"/>
  <c r="AC331" i="1"/>
  <c r="AA331" i="1"/>
  <c r="P331" i="1"/>
  <c r="G331" i="1"/>
  <c r="AG331" i="1" s="1"/>
  <c r="AH331" i="1" s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G328" i="1" s="1"/>
  <c r="AO327" i="1"/>
  <c r="AM327" i="1"/>
  <c r="AL327" i="1"/>
  <c r="AC327" i="1"/>
  <c r="AA327" i="1"/>
  <c r="P327" i="1"/>
  <c r="G327" i="1"/>
  <c r="AG327" i="1" s="1"/>
  <c r="AH327" i="1" s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G324" i="1" s="1"/>
  <c r="AO323" i="1"/>
  <c r="AM323" i="1"/>
  <c r="AL323" i="1"/>
  <c r="AC323" i="1"/>
  <c r="AA323" i="1"/>
  <c r="P323" i="1"/>
  <c r="G323" i="1"/>
  <c r="AG323" i="1" s="1"/>
  <c r="AH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G320" i="1" s="1"/>
  <c r="AO319" i="1"/>
  <c r="AM319" i="1"/>
  <c r="AL319" i="1"/>
  <c r="AC319" i="1"/>
  <c r="AA319" i="1"/>
  <c r="P319" i="1"/>
  <c r="G319" i="1"/>
  <c r="AG319" i="1" s="1"/>
  <c r="AH319" i="1" s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G316" i="1" s="1"/>
  <c r="AO315" i="1"/>
  <c r="AM315" i="1"/>
  <c r="AL315" i="1"/>
  <c r="AC315" i="1"/>
  <c r="AA315" i="1"/>
  <c r="P315" i="1"/>
  <c r="G315" i="1"/>
  <c r="AG315" i="1" s="1"/>
  <c r="AH315" i="1" s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G312" i="1" s="1"/>
  <c r="AO311" i="1"/>
  <c r="AM311" i="1"/>
  <c r="AL311" i="1"/>
  <c r="AC311" i="1"/>
  <c r="AA311" i="1"/>
  <c r="P311" i="1"/>
  <c r="G311" i="1"/>
  <c r="AG311" i="1" s="1"/>
  <c r="AH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G308" i="1" s="1"/>
  <c r="AO307" i="1"/>
  <c r="AM307" i="1"/>
  <c r="AL307" i="1"/>
  <c r="AC307" i="1"/>
  <c r="AA307" i="1"/>
  <c r="P307" i="1"/>
  <c r="G307" i="1"/>
  <c r="AG307" i="1" s="1"/>
  <c r="AH307" i="1" s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G304" i="1" s="1"/>
  <c r="AO303" i="1"/>
  <c r="AM303" i="1"/>
  <c r="AL303" i="1"/>
  <c r="AC303" i="1"/>
  <c r="AA303" i="1"/>
  <c r="P303" i="1"/>
  <c r="G303" i="1"/>
  <c r="AG303" i="1" s="1"/>
  <c r="AH303" i="1" s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G300" i="1" s="1"/>
  <c r="AO299" i="1"/>
  <c r="AM299" i="1"/>
  <c r="AL299" i="1"/>
  <c r="AC299" i="1"/>
  <c r="AA299" i="1"/>
  <c r="P299" i="1"/>
  <c r="G299" i="1"/>
  <c r="AG299" i="1" s="1"/>
  <c r="AH299" i="1" s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G296" i="1" s="1"/>
  <c r="AO295" i="1"/>
  <c r="AM295" i="1"/>
  <c r="AL295" i="1"/>
  <c r="AC295" i="1"/>
  <c r="AA295" i="1"/>
  <c r="P295" i="1"/>
  <c r="G295" i="1"/>
  <c r="AG295" i="1" s="1"/>
  <c r="AH295" i="1" s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G292" i="1" s="1"/>
  <c r="AO291" i="1"/>
  <c r="AM291" i="1"/>
  <c r="AL291" i="1"/>
  <c r="AC291" i="1"/>
  <c r="AA291" i="1"/>
  <c r="P291" i="1"/>
  <c r="G291" i="1"/>
  <c r="AG291" i="1" s="1"/>
  <c r="AH291" i="1" s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G288" i="1" s="1"/>
  <c r="AO287" i="1"/>
  <c r="AM287" i="1"/>
  <c r="AL287" i="1"/>
  <c r="AC287" i="1"/>
  <c r="AA287" i="1"/>
  <c r="P287" i="1"/>
  <c r="G287" i="1"/>
  <c r="AG287" i="1" s="1"/>
  <c r="AH287" i="1" s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G284" i="1" s="1"/>
  <c r="AO283" i="1"/>
  <c r="AM283" i="1"/>
  <c r="AL283" i="1"/>
  <c r="AC283" i="1"/>
  <c r="AA283" i="1"/>
  <c r="P283" i="1"/>
  <c r="G283" i="1"/>
  <c r="AG283" i="1" s="1"/>
  <c r="AH283" i="1" s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G280" i="1" s="1"/>
  <c r="AO279" i="1"/>
  <c r="AM279" i="1"/>
  <c r="AL279" i="1"/>
  <c r="AC279" i="1"/>
  <c r="AA279" i="1"/>
  <c r="P279" i="1"/>
  <c r="G279" i="1"/>
  <c r="AG279" i="1" s="1"/>
  <c r="AH279" i="1" s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G268" i="1" s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G266" i="1" s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G264" i="1" s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G262" i="1" s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G260" i="1" s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G258" i="1" s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G256" i="1" s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G254" i="1" s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G252" i="1" s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G250" i="1" s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G248" i="1" s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G246" i="1" s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G244" i="1" s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G242" i="1" s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G240" i="1" s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G238" i="1" s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G236" i="1" s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G234" i="1" s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G232" i="1" s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G230" i="1" s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G228" i="1" s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G226" i="1" s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G224" i="1" s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G222" i="1" s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G220" i="1" s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G218" i="1" s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G212" i="1" s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G210" i="1" s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G208" i="1" s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G204" i="1" s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G202" i="1" s="1"/>
  <c r="AO201" i="1"/>
  <c r="AM201" i="1"/>
  <c r="AL201" i="1"/>
  <c r="AC201" i="1"/>
  <c r="AA201" i="1"/>
  <c r="P201" i="1"/>
  <c r="G201" i="1"/>
  <c r="AG201" i="1" s="1"/>
  <c r="AH201" i="1" s="1"/>
  <c r="AO200" i="1"/>
  <c r="AM200" i="1"/>
  <c r="AL200" i="1"/>
  <c r="AC200" i="1"/>
  <c r="AA200" i="1"/>
  <c r="P200" i="1"/>
  <c r="G200" i="1"/>
  <c r="AG200" i="1" s="1"/>
  <c r="AO199" i="1"/>
  <c r="AM199" i="1"/>
  <c r="AL199" i="1"/>
  <c r="AC199" i="1"/>
  <c r="AA199" i="1"/>
  <c r="P199" i="1"/>
  <c r="G199" i="1"/>
  <c r="AG199" i="1" s="1"/>
  <c r="AO198" i="1"/>
  <c r="AM198" i="1"/>
  <c r="AL198" i="1"/>
  <c r="AC198" i="1"/>
  <c r="AA198" i="1"/>
  <c r="P198" i="1"/>
  <c r="G198" i="1"/>
  <c r="AG198" i="1" s="1"/>
  <c r="AO197" i="1"/>
  <c r="AM197" i="1"/>
  <c r="AL197" i="1"/>
  <c r="AC197" i="1"/>
  <c r="AA197" i="1"/>
  <c r="P197" i="1"/>
  <c r="G197" i="1"/>
  <c r="AG197" i="1" s="1"/>
  <c r="AO196" i="1"/>
  <c r="AM196" i="1"/>
  <c r="AL196" i="1"/>
  <c r="AC196" i="1"/>
  <c r="AA196" i="1"/>
  <c r="P196" i="1"/>
  <c r="G196" i="1"/>
  <c r="AG196" i="1" s="1"/>
  <c r="AO195" i="1"/>
  <c r="AM195" i="1"/>
  <c r="AL195" i="1"/>
  <c r="AC195" i="1"/>
  <c r="AA195" i="1"/>
  <c r="P195" i="1"/>
  <c r="G195" i="1"/>
  <c r="AG195" i="1" s="1"/>
  <c r="AH195" i="1" s="1"/>
  <c r="AO194" i="1"/>
  <c r="AM194" i="1"/>
  <c r="AL194" i="1"/>
  <c r="AC194" i="1"/>
  <c r="AA194" i="1"/>
  <c r="P194" i="1"/>
  <c r="G194" i="1"/>
  <c r="AG194" i="1" s="1"/>
  <c r="AO193" i="1"/>
  <c r="AM193" i="1"/>
  <c r="AL193" i="1"/>
  <c r="AC193" i="1"/>
  <c r="AA193" i="1"/>
  <c r="P193" i="1"/>
  <c r="G193" i="1"/>
  <c r="AG193" i="1" s="1"/>
  <c r="AO192" i="1"/>
  <c r="AM192" i="1"/>
  <c r="AL192" i="1"/>
  <c r="AC192" i="1"/>
  <c r="AA192" i="1"/>
  <c r="P192" i="1"/>
  <c r="G192" i="1"/>
  <c r="AG192" i="1" s="1"/>
  <c r="AO191" i="1"/>
  <c r="AM191" i="1"/>
  <c r="AL191" i="1"/>
  <c r="AC191" i="1"/>
  <c r="AA191" i="1"/>
  <c r="P191" i="1"/>
  <c r="G191" i="1"/>
  <c r="AG191" i="1" s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G189" i="1" s="1"/>
  <c r="AO188" i="1"/>
  <c r="AM188" i="1"/>
  <c r="AL188" i="1"/>
  <c r="AC188" i="1"/>
  <c r="AA188" i="1"/>
  <c r="P188" i="1"/>
  <c r="G188" i="1"/>
  <c r="AG188" i="1" s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G186" i="1" s="1"/>
  <c r="AH186" i="1" s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G184" i="1" s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G182" i="1" s="1"/>
  <c r="AH182" i="1" s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G180" i="1" s="1"/>
  <c r="AH180" i="1" s="1"/>
  <c r="AO179" i="1"/>
  <c r="AM179" i="1"/>
  <c r="AL179" i="1"/>
  <c r="AC179" i="1"/>
  <c r="AA179" i="1"/>
  <c r="P179" i="1"/>
  <c r="G179" i="1"/>
  <c r="AG179" i="1" s="1"/>
  <c r="AH179" i="1" s="1"/>
  <c r="AO178" i="1"/>
  <c r="AM178" i="1"/>
  <c r="AL178" i="1"/>
  <c r="AC178" i="1"/>
  <c r="AA178" i="1"/>
  <c r="P178" i="1"/>
  <c r="G178" i="1"/>
  <c r="AG178" i="1" s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G176" i="1" s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G174" i="1" s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G172" i="1" s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G170" i="1" s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H167" i="1" s="1"/>
  <c r="AO166" i="1"/>
  <c r="AM166" i="1"/>
  <c r="AL166" i="1"/>
  <c r="AC166" i="1"/>
  <c r="AA166" i="1"/>
  <c r="P166" i="1"/>
  <c r="G166" i="1"/>
  <c r="AG166" i="1" s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G164" i="1" s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G162" i="1" s="1"/>
  <c r="AO161" i="1"/>
  <c r="AM161" i="1"/>
  <c r="AL161" i="1"/>
  <c r="AC161" i="1"/>
  <c r="AA161" i="1"/>
  <c r="P161" i="1"/>
  <c r="G161" i="1"/>
  <c r="AG161" i="1" s="1"/>
  <c r="AH161" i="1" s="1"/>
  <c r="AO160" i="1"/>
  <c r="AM160" i="1"/>
  <c r="AL160" i="1"/>
  <c r="AC160" i="1"/>
  <c r="AA160" i="1"/>
  <c r="P160" i="1"/>
  <c r="G160" i="1"/>
  <c r="AG160" i="1" s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G158" i="1" s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G154" i="1" s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G152" i="1" s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G150" i="1" s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G148" i="1" s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G146" i="1" s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G144" i="1" s="1"/>
  <c r="AH144" i="1" s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G142" i="1" s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G140" i="1" s="1"/>
  <c r="AL139" i="1"/>
  <c r="AG139" i="1"/>
  <c r="AC139" i="1"/>
  <c r="AH139" i="1" s="1"/>
  <c r="AK139" i="1" s="1"/>
  <c r="AP139" i="1" s="1"/>
  <c r="AQ139" i="1" s="1"/>
  <c r="AA139" i="1"/>
  <c r="AL138" i="1"/>
  <c r="AG138" i="1"/>
  <c r="AC138" i="1"/>
  <c r="AH138" i="1" s="1"/>
  <c r="AK138" i="1" s="1"/>
  <c r="AP138" i="1" s="1"/>
  <c r="AQ138" i="1" s="1"/>
  <c r="AA138" i="1"/>
  <c r="AL137" i="1"/>
  <c r="AG137" i="1"/>
  <c r="AC137" i="1"/>
  <c r="AH137" i="1" s="1"/>
  <c r="AK137" i="1" s="1"/>
  <c r="AP137" i="1" s="1"/>
  <c r="AQ137" i="1" s="1"/>
  <c r="AA137" i="1"/>
  <c r="AL136" i="1"/>
  <c r="AG136" i="1"/>
  <c r="AC136" i="1"/>
  <c r="AH136" i="1" s="1"/>
  <c r="AK136" i="1" s="1"/>
  <c r="AP136" i="1" s="1"/>
  <c r="AQ136" i="1" s="1"/>
  <c r="AA136" i="1"/>
  <c r="AL135" i="1"/>
  <c r="AG135" i="1"/>
  <c r="AC135" i="1"/>
  <c r="AH135" i="1" s="1"/>
  <c r="AK135" i="1" s="1"/>
  <c r="AP135" i="1" s="1"/>
  <c r="AQ135" i="1" s="1"/>
  <c r="AA135" i="1"/>
  <c r="AL134" i="1"/>
  <c r="AG134" i="1"/>
  <c r="AC134" i="1"/>
  <c r="AH134" i="1" s="1"/>
  <c r="AK134" i="1" s="1"/>
  <c r="AP134" i="1" s="1"/>
  <c r="AQ134" i="1" s="1"/>
  <c r="AA134" i="1"/>
  <c r="AL133" i="1"/>
  <c r="AG133" i="1"/>
  <c r="AC133" i="1"/>
  <c r="AH133" i="1" s="1"/>
  <c r="AK133" i="1" s="1"/>
  <c r="AP133" i="1" s="1"/>
  <c r="AQ133" i="1" s="1"/>
  <c r="AA133" i="1"/>
  <c r="AL132" i="1"/>
  <c r="AG132" i="1"/>
  <c r="AC132" i="1"/>
  <c r="AH132" i="1" s="1"/>
  <c r="AK132" i="1" s="1"/>
  <c r="AP132" i="1" s="1"/>
  <c r="AQ132" i="1" s="1"/>
  <c r="AA132" i="1"/>
  <c r="AL131" i="1"/>
  <c r="AG131" i="1"/>
  <c r="AC131" i="1"/>
  <c r="AH131" i="1" s="1"/>
  <c r="AK131" i="1" s="1"/>
  <c r="AP131" i="1" s="1"/>
  <c r="AQ131" i="1" s="1"/>
  <c r="AA131" i="1"/>
  <c r="AL130" i="1"/>
  <c r="AG130" i="1"/>
  <c r="AC130" i="1"/>
  <c r="AH130" i="1" s="1"/>
  <c r="AK130" i="1" s="1"/>
  <c r="AP130" i="1" s="1"/>
  <c r="AQ130" i="1" s="1"/>
  <c r="AA130" i="1"/>
  <c r="AL129" i="1"/>
  <c r="AG129" i="1"/>
  <c r="AC129" i="1"/>
  <c r="AH129" i="1" s="1"/>
  <c r="AK129" i="1" s="1"/>
  <c r="AP129" i="1" s="1"/>
  <c r="AQ129" i="1" s="1"/>
  <c r="AA129" i="1"/>
  <c r="AL128" i="1"/>
  <c r="AG128" i="1"/>
  <c r="AH128" i="1" s="1"/>
  <c r="AK128" i="1" s="1"/>
  <c r="AP128" i="1" s="1"/>
  <c r="AQ128" i="1" s="1"/>
  <c r="AC128" i="1"/>
  <c r="AA128" i="1"/>
  <c r="AL127" i="1"/>
  <c r="AG127" i="1"/>
  <c r="AH127" i="1" s="1"/>
  <c r="AK127" i="1" s="1"/>
  <c r="AP127" i="1" s="1"/>
  <c r="AQ127" i="1" s="1"/>
  <c r="AC127" i="1"/>
  <c r="AA127" i="1"/>
  <c r="AL126" i="1"/>
  <c r="AG126" i="1"/>
  <c r="AH126" i="1" s="1"/>
  <c r="AK126" i="1" s="1"/>
  <c r="AP126" i="1" s="1"/>
  <c r="AQ126" i="1" s="1"/>
  <c r="AC126" i="1"/>
  <c r="AA126" i="1"/>
  <c r="AL125" i="1"/>
  <c r="AG125" i="1"/>
  <c r="AH125" i="1" s="1"/>
  <c r="AK125" i="1" s="1"/>
  <c r="AP125" i="1" s="1"/>
  <c r="AQ125" i="1" s="1"/>
  <c r="AC125" i="1"/>
  <c r="AA125" i="1"/>
  <c r="AL124" i="1"/>
  <c r="AG124" i="1"/>
  <c r="AH124" i="1" s="1"/>
  <c r="AK124" i="1" s="1"/>
  <c r="AP124" i="1" s="1"/>
  <c r="AQ124" i="1" s="1"/>
  <c r="AC124" i="1"/>
  <c r="AA124" i="1"/>
  <c r="AO123" i="1"/>
  <c r="AL123" i="1"/>
  <c r="AG123" i="1"/>
  <c r="AC123" i="1"/>
  <c r="AA123" i="1"/>
  <c r="AO122" i="1"/>
  <c r="AL122" i="1"/>
  <c r="AH122" i="1"/>
  <c r="AG122" i="1"/>
  <c r="AC122" i="1"/>
  <c r="AA122" i="1"/>
  <c r="AO121" i="1"/>
  <c r="AL121" i="1"/>
  <c r="AK121" i="1"/>
  <c r="AP121" i="1" s="1"/>
  <c r="AQ121" i="1" s="1"/>
  <c r="AG121" i="1"/>
  <c r="AC121" i="1"/>
  <c r="AA121" i="1"/>
  <c r="AH121" i="1" s="1"/>
  <c r="AO120" i="1"/>
  <c r="AL120" i="1"/>
  <c r="AG120" i="1"/>
  <c r="AH120" i="1" s="1"/>
  <c r="AK120" i="1" s="1"/>
  <c r="AP120" i="1" s="1"/>
  <c r="AQ120" i="1" s="1"/>
  <c r="AC120" i="1"/>
  <c r="AA120" i="1"/>
  <c r="AO119" i="1"/>
  <c r="AL119" i="1"/>
  <c r="AG119" i="1"/>
  <c r="AC119" i="1"/>
  <c r="AA119" i="1"/>
  <c r="AO118" i="1"/>
  <c r="AL118" i="1"/>
  <c r="AH118" i="1"/>
  <c r="AG118" i="1"/>
  <c r="AC118" i="1"/>
  <c r="AA118" i="1"/>
  <c r="AO117" i="1"/>
  <c r="AM117" i="1"/>
  <c r="AL117" i="1"/>
  <c r="AC117" i="1"/>
  <c r="AA117" i="1"/>
  <c r="P117" i="1"/>
  <c r="G117" i="1"/>
  <c r="AG117" i="1" s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G115" i="1" s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G113" i="1" s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G111" i="1" s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G109" i="1" s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G107" i="1" s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G105" i="1" s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G103" i="1" s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G101" i="1" s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G99" i="1" s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G97" i="1" s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G95" i="1" s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G93" i="1" s="1"/>
  <c r="AO92" i="1"/>
  <c r="AM92" i="1"/>
  <c r="AL92" i="1"/>
  <c r="AC92" i="1"/>
  <c r="AA92" i="1"/>
  <c r="P92" i="1"/>
  <c r="G92" i="1"/>
  <c r="AG92" i="1" s="1"/>
  <c r="AH92" i="1" s="1"/>
  <c r="AO91" i="1"/>
  <c r="AM91" i="1"/>
  <c r="AL91" i="1"/>
  <c r="AC91" i="1"/>
  <c r="AA91" i="1"/>
  <c r="P91" i="1"/>
  <c r="G91" i="1"/>
  <c r="AG91" i="1" s="1"/>
  <c r="AO90" i="1"/>
  <c r="AM90" i="1"/>
  <c r="AL90" i="1"/>
  <c r="AC90" i="1"/>
  <c r="AA90" i="1"/>
  <c r="P90" i="1"/>
  <c r="G90" i="1"/>
  <c r="AG90" i="1" s="1"/>
  <c r="AH90" i="1" s="1"/>
  <c r="AO89" i="1"/>
  <c r="AM89" i="1"/>
  <c r="AL89" i="1"/>
  <c r="AC89" i="1"/>
  <c r="AA89" i="1"/>
  <c r="P89" i="1"/>
  <c r="G89" i="1"/>
  <c r="AG89" i="1" s="1"/>
  <c r="AO88" i="1"/>
  <c r="AM88" i="1"/>
  <c r="AL88" i="1"/>
  <c r="AC88" i="1"/>
  <c r="AA88" i="1"/>
  <c r="P88" i="1"/>
  <c r="G88" i="1"/>
  <c r="AG88" i="1" s="1"/>
  <c r="AH88" i="1" s="1"/>
  <c r="AO87" i="1"/>
  <c r="AM87" i="1"/>
  <c r="AL87" i="1"/>
  <c r="AC87" i="1"/>
  <c r="AA87" i="1"/>
  <c r="P87" i="1"/>
  <c r="G87" i="1"/>
  <c r="AG87" i="1" s="1"/>
  <c r="AO86" i="1"/>
  <c r="AM86" i="1"/>
  <c r="AL86" i="1"/>
  <c r="AC86" i="1"/>
  <c r="AA86" i="1"/>
  <c r="P86" i="1"/>
  <c r="G86" i="1"/>
  <c r="AG86" i="1" s="1"/>
  <c r="AH86" i="1" s="1"/>
  <c r="AO85" i="1"/>
  <c r="AM85" i="1"/>
  <c r="AL85" i="1"/>
  <c r="AC85" i="1"/>
  <c r="AA85" i="1"/>
  <c r="P85" i="1"/>
  <c r="G85" i="1"/>
  <c r="AG85" i="1" s="1"/>
  <c r="AO84" i="1"/>
  <c r="AM84" i="1"/>
  <c r="AL84" i="1"/>
  <c r="AC84" i="1"/>
  <c r="AA84" i="1"/>
  <c r="P84" i="1"/>
  <c r="G84" i="1"/>
  <c r="AG84" i="1" s="1"/>
  <c r="AH84" i="1" s="1"/>
  <c r="AO83" i="1"/>
  <c r="AM83" i="1"/>
  <c r="AL83" i="1"/>
  <c r="AC83" i="1"/>
  <c r="AA83" i="1"/>
  <c r="P83" i="1"/>
  <c r="G83" i="1"/>
  <c r="AG83" i="1" s="1"/>
  <c r="AO82" i="1"/>
  <c r="AM82" i="1"/>
  <c r="AL82" i="1"/>
  <c r="AC82" i="1"/>
  <c r="AA82" i="1"/>
  <c r="P82" i="1"/>
  <c r="G82" i="1"/>
  <c r="AG82" i="1" s="1"/>
  <c r="AH82" i="1" s="1"/>
  <c r="AO81" i="1"/>
  <c r="AM81" i="1"/>
  <c r="AL81" i="1"/>
  <c r="AC81" i="1"/>
  <c r="AA81" i="1"/>
  <c r="P81" i="1"/>
  <c r="G81" i="1"/>
  <c r="AG81" i="1" s="1"/>
  <c r="AO80" i="1"/>
  <c r="AM80" i="1"/>
  <c r="AL80" i="1"/>
  <c r="AC80" i="1"/>
  <c r="AA80" i="1"/>
  <c r="P80" i="1"/>
  <c r="G80" i="1"/>
  <c r="AG80" i="1" s="1"/>
  <c r="AH80" i="1" s="1"/>
  <c r="AO79" i="1"/>
  <c r="AM79" i="1"/>
  <c r="AL79" i="1"/>
  <c r="AC79" i="1"/>
  <c r="AA79" i="1"/>
  <c r="P79" i="1"/>
  <c r="G79" i="1"/>
  <c r="AG79" i="1" s="1"/>
  <c r="AO78" i="1"/>
  <c r="AM78" i="1"/>
  <c r="AL78" i="1"/>
  <c r="AC78" i="1"/>
  <c r="AA78" i="1"/>
  <c r="P78" i="1"/>
  <c r="G78" i="1"/>
  <c r="AG78" i="1" s="1"/>
  <c r="AH78" i="1" s="1"/>
  <c r="AO77" i="1"/>
  <c r="AM77" i="1"/>
  <c r="AL77" i="1"/>
  <c r="AC77" i="1"/>
  <c r="AA77" i="1"/>
  <c r="P77" i="1"/>
  <c r="G77" i="1"/>
  <c r="AG77" i="1" s="1"/>
  <c r="AO76" i="1"/>
  <c r="AM76" i="1"/>
  <c r="AL76" i="1"/>
  <c r="AC76" i="1"/>
  <c r="AA76" i="1"/>
  <c r="P76" i="1"/>
  <c r="G76" i="1"/>
  <c r="AG76" i="1" s="1"/>
  <c r="AH76" i="1" s="1"/>
  <c r="AO75" i="1"/>
  <c r="AM75" i="1"/>
  <c r="AL75" i="1"/>
  <c r="AC75" i="1"/>
  <c r="AA75" i="1"/>
  <c r="P75" i="1"/>
  <c r="G75" i="1"/>
  <c r="AG75" i="1" s="1"/>
  <c r="AO74" i="1"/>
  <c r="AM74" i="1"/>
  <c r="AL74" i="1"/>
  <c r="AC74" i="1"/>
  <c r="AA74" i="1"/>
  <c r="P74" i="1"/>
  <c r="G74" i="1"/>
  <c r="AG74" i="1" s="1"/>
  <c r="AH74" i="1" s="1"/>
  <c r="AO73" i="1"/>
  <c r="AM73" i="1"/>
  <c r="AL73" i="1"/>
  <c r="AC73" i="1"/>
  <c r="AA73" i="1"/>
  <c r="P73" i="1"/>
  <c r="G73" i="1"/>
  <c r="AG73" i="1" s="1"/>
  <c r="AO72" i="1"/>
  <c r="AM72" i="1"/>
  <c r="AL72" i="1"/>
  <c r="AC72" i="1"/>
  <c r="AA72" i="1"/>
  <c r="P72" i="1"/>
  <c r="G72" i="1"/>
  <c r="AG72" i="1" s="1"/>
  <c r="AH72" i="1" s="1"/>
  <c r="AO71" i="1"/>
  <c r="AM71" i="1"/>
  <c r="AL71" i="1"/>
  <c r="AC71" i="1"/>
  <c r="AA71" i="1"/>
  <c r="P71" i="1"/>
  <c r="G71" i="1"/>
  <c r="AG71" i="1" s="1"/>
  <c r="AO70" i="1"/>
  <c r="AM70" i="1"/>
  <c r="AL70" i="1"/>
  <c r="AC70" i="1"/>
  <c r="AA70" i="1"/>
  <c r="P70" i="1"/>
  <c r="G70" i="1"/>
  <c r="AG70" i="1" s="1"/>
  <c r="AH70" i="1" s="1"/>
  <c r="AO69" i="1"/>
  <c r="AM69" i="1"/>
  <c r="AL69" i="1"/>
  <c r="AC69" i="1"/>
  <c r="AA69" i="1"/>
  <c r="P69" i="1"/>
  <c r="G69" i="1"/>
  <c r="AG69" i="1" s="1"/>
  <c r="AO68" i="1"/>
  <c r="AM68" i="1"/>
  <c r="AL68" i="1"/>
  <c r="AC68" i="1"/>
  <c r="AA68" i="1"/>
  <c r="P68" i="1"/>
  <c r="G68" i="1"/>
  <c r="AG68" i="1" s="1"/>
  <c r="AH68" i="1" s="1"/>
  <c r="AO67" i="1"/>
  <c r="AM67" i="1"/>
  <c r="AL67" i="1"/>
  <c r="AC67" i="1"/>
  <c r="AA67" i="1"/>
  <c r="P67" i="1"/>
  <c r="G67" i="1"/>
  <c r="AG67" i="1" s="1"/>
  <c r="AO66" i="1"/>
  <c r="AM66" i="1"/>
  <c r="AL66" i="1"/>
  <c r="AC66" i="1"/>
  <c r="AA66" i="1"/>
  <c r="P66" i="1"/>
  <c r="G66" i="1"/>
  <c r="AG66" i="1" s="1"/>
  <c r="AH66" i="1" s="1"/>
  <c r="AO65" i="1"/>
  <c r="AM65" i="1"/>
  <c r="AL65" i="1"/>
  <c r="AC65" i="1"/>
  <c r="AA65" i="1"/>
  <c r="P65" i="1"/>
  <c r="G65" i="1"/>
  <c r="AG65" i="1" s="1"/>
  <c r="AO64" i="1"/>
  <c r="AM64" i="1"/>
  <c r="AL64" i="1"/>
  <c r="AC64" i="1"/>
  <c r="AA64" i="1"/>
  <c r="P64" i="1"/>
  <c r="G64" i="1"/>
  <c r="AG64" i="1" s="1"/>
  <c r="AH64" i="1" s="1"/>
  <c r="AO63" i="1"/>
  <c r="AM63" i="1"/>
  <c r="AL63" i="1"/>
  <c r="AC63" i="1"/>
  <c r="AA63" i="1"/>
  <c r="P63" i="1"/>
  <c r="G63" i="1"/>
  <c r="AG63" i="1" s="1"/>
  <c r="AO62" i="1"/>
  <c r="AM62" i="1"/>
  <c r="AL62" i="1"/>
  <c r="AC62" i="1"/>
  <c r="AA62" i="1"/>
  <c r="P62" i="1"/>
  <c r="G62" i="1"/>
  <c r="AG62" i="1" s="1"/>
  <c r="AH62" i="1" s="1"/>
  <c r="AO61" i="1"/>
  <c r="AM61" i="1"/>
  <c r="AL61" i="1"/>
  <c r="AC61" i="1"/>
  <c r="AA61" i="1"/>
  <c r="P61" i="1"/>
  <c r="G61" i="1"/>
  <c r="AG61" i="1" s="1"/>
  <c r="AO60" i="1"/>
  <c r="AM60" i="1"/>
  <c r="AL60" i="1"/>
  <c r="AC60" i="1"/>
  <c r="AA60" i="1"/>
  <c r="P60" i="1"/>
  <c r="G60" i="1"/>
  <c r="AG60" i="1" s="1"/>
  <c r="AH60" i="1" s="1"/>
  <c r="AO59" i="1"/>
  <c r="AM59" i="1"/>
  <c r="AL59" i="1"/>
  <c r="AC59" i="1"/>
  <c r="AA59" i="1"/>
  <c r="P59" i="1"/>
  <c r="G59" i="1"/>
  <c r="AG59" i="1" s="1"/>
  <c r="AO58" i="1"/>
  <c r="AM58" i="1"/>
  <c r="AL58" i="1"/>
  <c r="AC58" i="1"/>
  <c r="AA58" i="1"/>
  <c r="P58" i="1"/>
  <c r="G58" i="1"/>
  <c r="AG58" i="1" s="1"/>
  <c r="AH58" i="1" s="1"/>
  <c r="AO57" i="1"/>
  <c r="AM57" i="1"/>
  <c r="AL57" i="1"/>
  <c r="AC57" i="1"/>
  <c r="AA57" i="1"/>
  <c r="P57" i="1"/>
  <c r="G57" i="1"/>
  <c r="AG57" i="1" s="1"/>
  <c r="AO56" i="1"/>
  <c r="AM56" i="1"/>
  <c r="AL56" i="1"/>
  <c r="AC56" i="1"/>
  <c r="AA56" i="1"/>
  <c r="P56" i="1"/>
  <c r="G56" i="1"/>
  <c r="AG56" i="1" s="1"/>
  <c r="AH56" i="1" s="1"/>
  <c r="AO55" i="1"/>
  <c r="AM55" i="1"/>
  <c r="AL55" i="1"/>
  <c r="AC55" i="1"/>
  <c r="AA55" i="1"/>
  <c r="P55" i="1"/>
  <c r="G55" i="1"/>
  <c r="AG55" i="1" s="1"/>
  <c r="AO54" i="1"/>
  <c r="AM54" i="1"/>
  <c r="AL54" i="1"/>
  <c r="AC54" i="1"/>
  <c r="AA54" i="1"/>
  <c r="P54" i="1"/>
  <c r="G54" i="1"/>
  <c r="AG54" i="1" s="1"/>
  <c r="AH54" i="1" s="1"/>
  <c r="AO53" i="1"/>
  <c r="AM53" i="1"/>
  <c r="AL53" i="1"/>
  <c r="AC53" i="1"/>
  <c r="AA53" i="1"/>
  <c r="P53" i="1"/>
  <c r="G53" i="1"/>
  <c r="AG53" i="1" s="1"/>
  <c r="AO52" i="1"/>
  <c r="AM52" i="1"/>
  <c r="AL52" i="1"/>
  <c r="AC52" i="1"/>
  <c r="AA52" i="1"/>
  <c r="P52" i="1"/>
  <c r="G52" i="1"/>
  <c r="AG52" i="1" s="1"/>
  <c r="AH52" i="1" s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H50" i="1" s="1"/>
  <c r="AO49" i="1"/>
  <c r="AM49" i="1"/>
  <c r="AL49" i="1"/>
  <c r="AC49" i="1"/>
  <c r="AA49" i="1"/>
  <c r="P49" i="1"/>
  <c r="G49" i="1"/>
  <c r="AG49" i="1" s="1"/>
  <c r="AO48" i="1"/>
  <c r="AM48" i="1"/>
  <c r="AL48" i="1"/>
  <c r="AC48" i="1"/>
  <c r="AA48" i="1"/>
  <c r="P48" i="1"/>
  <c r="G48" i="1"/>
  <c r="AG48" i="1" s="1"/>
  <c r="AH48" i="1" s="1"/>
  <c r="AO47" i="1"/>
  <c r="AM47" i="1"/>
  <c r="AL47" i="1"/>
  <c r="AC47" i="1"/>
  <c r="AA47" i="1"/>
  <c r="P47" i="1"/>
  <c r="G47" i="1"/>
  <c r="AG47" i="1" s="1"/>
  <c r="AO46" i="1"/>
  <c r="AM46" i="1"/>
  <c r="AL46" i="1"/>
  <c r="AC46" i="1"/>
  <c r="AA46" i="1"/>
  <c r="P46" i="1"/>
  <c r="G46" i="1"/>
  <c r="AG46" i="1" s="1"/>
  <c r="AH46" i="1" s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G44" i="1" s="1"/>
  <c r="AH44" i="1" s="1"/>
  <c r="AO43" i="1"/>
  <c r="AM43" i="1"/>
  <c r="AL43" i="1"/>
  <c r="AC43" i="1"/>
  <c r="AA43" i="1"/>
  <c r="P43" i="1"/>
  <c r="G43" i="1"/>
  <c r="AG43" i="1" s="1"/>
  <c r="AO42" i="1"/>
  <c r="AM42" i="1"/>
  <c r="AL42" i="1"/>
  <c r="AC42" i="1"/>
  <c r="AA42" i="1"/>
  <c r="P42" i="1"/>
  <c r="G42" i="1"/>
  <c r="AG42" i="1" s="1"/>
  <c r="AH42" i="1" s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G39" i="1" s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G37" i="1" s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G33" i="1" s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G31" i="1" s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G29" i="1" s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G25" i="1" s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G23" i="1" s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G19" i="1" s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G15" i="1" s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G13" i="1" s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G9" i="1" s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G7" i="1" s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G5" i="1" s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H13" i="1" l="1"/>
  <c r="AK13" i="1" s="1"/>
  <c r="AP13" i="1" s="1"/>
  <c r="AQ13" i="1" s="1"/>
  <c r="AH25" i="1"/>
  <c r="AK25" i="1"/>
  <c r="AP25" i="1" s="1"/>
  <c r="AQ25" i="1" s="1"/>
  <c r="AH37" i="1"/>
  <c r="AK37" i="1" s="1"/>
  <c r="AP37" i="1" s="1"/>
  <c r="AQ37" i="1" s="1"/>
  <c r="AH12" i="1"/>
  <c r="AK12" i="1"/>
  <c r="AP12" i="1" s="1"/>
  <c r="AQ12" i="1" s="1"/>
  <c r="AH20" i="1"/>
  <c r="AK20" i="1" s="1"/>
  <c r="AP20" i="1" s="1"/>
  <c r="AQ20" i="1" s="1"/>
  <c r="AH24" i="1"/>
  <c r="AK24" i="1"/>
  <c r="AP24" i="1" s="1"/>
  <c r="AQ24" i="1" s="1"/>
  <c r="AH32" i="1"/>
  <c r="AK32" i="1" s="1"/>
  <c r="AP32" i="1" s="1"/>
  <c r="AQ32" i="1" s="1"/>
  <c r="AH40" i="1"/>
  <c r="AK40" i="1"/>
  <c r="AP40" i="1" s="1"/>
  <c r="AQ40" i="1" s="1"/>
  <c r="AH421" i="1"/>
  <c r="AK421" i="1" s="1"/>
  <c r="AP421" i="1" s="1"/>
  <c r="AH19" i="2"/>
  <c r="AK19" i="2" s="1"/>
  <c r="AP19" i="2" s="1"/>
  <c r="AQ19" i="2" s="1"/>
  <c r="AH9" i="1"/>
  <c r="AK9" i="1" s="1"/>
  <c r="AP9" i="1" s="1"/>
  <c r="AQ9" i="1" s="1"/>
  <c r="AH21" i="1"/>
  <c r="AK21" i="1"/>
  <c r="AP21" i="1" s="1"/>
  <c r="AQ21" i="1" s="1"/>
  <c r="AH33" i="1"/>
  <c r="AK33" i="1" s="1"/>
  <c r="AP33" i="1" s="1"/>
  <c r="AQ33" i="1" s="1"/>
  <c r="AH8" i="1"/>
  <c r="AK8" i="1" s="1"/>
  <c r="AP8" i="1" s="1"/>
  <c r="AQ8" i="1" s="1"/>
  <c r="AH16" i="1"/>
  <c r="AK16" i="1"/>
  <c r="AP16" i="1" s="1"/>
  <c r="AQ16" i="1" s="1"/>
  <c r="AH28" i="1"/>
  <c r="AK28" i="1" s="1"/>
  <c r="AP28" i="1" s="1"/>
  <c r="AQ28" i="1" s="1"/>
  <c r="AH36" i="1"/>
  <c r="AK36" i="1"/>
  <c r="AP36" i="1" s="1"/>
  <c r="AQ36" i="1" s="1"/>
  <c r="AH3" i="1"/>
  <c r="AK3" i="1" s="1"/>
  <c r="AP3" i="1" s="1"/>
  <c r="AQ3" i="1" s="1"/>
  <c r="AH7" i="1"/>
  <c r="AK7" i="1"/>
  <c r="AP7" i="1" s="1"/>
  <c r="AQ7" i="1" s="1"/>
  <c r="AH11" i="1"/>
  <c r="AK11" i="1" s="1"/>
  <c r="AP11" i="1" s="1"/>
  <c r="AQ11" i="1" s="1"/>
  <c r="AH15" i="1"/>
  <c r="AK15" i="1"/>
  <c r="AP15" i="1" s="1"/>
  <c r="AQ15" i="1" s="1"/>
  <c r="AH19" i="1"/>
  <c r="AK19" i="1" s="1"/>
  <c r="AP19" i="1" s="1"/>
  <c r="AQ19" i="1" s="1"/>
  <c r="AH23" i="1"/>
  <c r="AK23" i="1"/>
  <c r="AP23" i="1" s="1"/>
  <c r="AQ23" i="1" s="1"/>
  <c r="AH27" i="1"/>
  <c r="AK27" i="1" s="1"/>
  <c r="AP27" i="1" s="1"/>
  <c r="AQ27" i="1" s="1"/>
  <c r="AH31" i="1"/>
  <c r="AK31" i="1"/>
  <c r="AP31" i="1" s="1"/>
  <c r="AQ31" i="1" s="1"/>
  <c r="AH35" i="1"/>
  <c r="AK35" i="1" s="1"/>
  <c r="AP35" i="1" s="1"/>
  <c r="AQ35" i="1" s="1"/>
  <c r="AH39" i="1"/>
  <c r="AK39" i="1"/>
  <c r="AP39" i="1" s="1"/>
  <c r="AQ39" i="1" s="1"/>
  <c r="AH5" i="1"/>
  <c r="AK5" i="1" s="1"/>
  <c r="AP5" i="1" s="1"/>
  <c r="AQ5" i="1" s="1"/>
  <c r="AH17" i="1"/>
  <c r="AK17" i="1"/>
  <c r="AP17" i="1" s="1"/>
  <c r="AQ17" i="1" s="1"/>
  <c r="AH29" i="1"/>
  <c r="AK29" i="1" s="1"/>
  <c r="AP29" i="1" s="1"/>
  <c r="AQ29" i="1" s="1"/>
  <c r="AH41" i="1"/>
  <c r="AK41" i="1"/>
  <c r="AP41" i="1" s="1"/>
  <c r="AQ41" i="1" s="1"/>
  <c r="AH4" i="1"/>
  <c r="AK4" i="1" s="1"/>
  <c r="AP4" i="1" s="1"/>
  <c r="AQ4" i="1" s="1"/>
  <c r="AH2" i="1"/>
  <c r="AK2" i="1"/>
  <c r="AP2" i="1" s="1"/>
  <c r="AQ2" i="1" s="1"/>
  <c r="AH6" i="1"/>
  <c r="AK6" i="1" s="1"/>
  <c r="AP6" i="1" s="1"/>
  <c r="AQ6" i="1" s="1"/>
  <c r="AH10" i="1"/>
  <c r="AK10" i="1"/>
  <c r="AP10" i="1" s="1"/>
  <c r="AQ10" i="1" s="1"/>
  <c r="AH14" i="1"/>
  <c r="AK14" i="1" s="1"/>
  <c r="AP14" i="1" s="1"/>
  <c r="AQ14" i="1" s="1"/>
  <c r="AH18" i="1"/>
  <c r="AK18" i="1"/>
  <c r="AP18" i="1" s="1"/>
  <c r="AQ18" i="1" s="1"/>
  <c r="AH22" i="1"/>
  <c r="AK22" i="1" s="1"/>
  <c r="AP22" i="1" s="1"/>
  <c r="AQ22" i="1" s="1"/>
  <c r="AH26" i="1"/>
  <c r="AK26" i="1"/>
  <c r="AP26" i="1" s="1"/>
  <c r="AQ26" i="1" s="1"/>
  <c r="AH30" i="1"/>
  <c r="AK30" i="1" s="1"/>
  <c r="AP30" i="1" s="1"/>
  <c r="AQ30" i="1" s="1"/>
  <c r="AH34" i="1"/>
  <c r="AK34" i="1"/>
  <c r="AP34" i="1" s="1"/>
  <c r="AQ34" i="1" s="1"/>
  <c r="AH38" i="1"/>
  <c r="AK38" i="1" s="1"/>
  <c r="AP38" i="1" s="1"/>
  <c r="AQ38" i="1" s="1"/>
  <c r="AH350" i="1"/>
  <c r="AK350" i="1" s="1"/>
  <c r="AP350" i="1" s="1"/>
  <c r="AK354" i="1"/>
  <c r="AP354" i="1" s="1"/>
  <c r="AH354" i="1"/>
  <c r="AH358" i="1"/>
  <c r="AK358" i="1" s="1"/>
  <c r="AP358" i="1" s="1"/>
  <c r="AK362" i="1"/>
  <c r="AP362" i="1" s="1"/>
  <c r="AH362" i="1"/>
  <c r="AH366" i="1"/>
  <c r="AK366" i="1" s="1"/>
  <c r="AP366" i="1" s="1"/>
  <c r="AK370" i="1"/>
  <c r="AP370" i="1" s="1"/>
  <c r="AH370" i="1"/>
  <c r="AH374" i="1"/>
  <c r="AK374" i="1" s="1"/>
  <c r="AP374" i="1" s="1"/>
  <c r="AK46" i="1"/>
  <c r="AP46" i="1" s="1"/>
  <c r="AQ46" i="1" s="1"/>
  <c r="AK54" i="1"/>
  <c r="AP54" i="1" s="1"/>
  <c r="AQ54" i="1" s="1"/>
  <c r="AK60" i="1"/>
  <c r="AP60" i="1" s="1"/>
  <c r="AQ60" i="1" s="1"/>
  <c r="AK62" i="1"/>
  <c r="AP62" i="1" s="1"/>
  <c r="AQ62" i="1" s="1"/>
  <c r="AK70" i="1"/>
  <c r="AP70" i="1" s="1"/>
  <c r="AQ70" i="1" s="1"/>
  <c r="AK82" i="1"/>
  <c r="AP82" i="1" s="1"/>
  <c r="AQ82" i="1" s="1"/>
  <c r="AK84" i="1"/>
  <c r="AP84" i="1" s="1"/>
  <c r="AQ84" i="1" s="1"/>
  <c r="AK88" i="1"/>
  <c r="AP88" i="1" s="1"/>
  <c r="AQ88" i="1" s="1"/>
  <c r="AK92" i="1"/>
  <c r="AP92" i="1" s="1"/>
  <c r="AQ92" i="1" s="1"/>
  <c r="AK95" i="1"/>
  <c r="AP95" i="1" s="1"/>
  <c r="AQ95" i="1" s="1"/>
  <c r="AH95" i="1"/>
  <c r="AH97" i="1"/>
  <c r="AK97" i="1" s="1"/>
  <c r="AP97" i="1" s="1"/>
  <c r="AQ97" i="1" s="1"/>
  <c r="AK100" i="1"/>
  <c r="AP100" i="1" s="1"/>
  <c r="AQ100" i="1" s="1"/>
  <c r="AH100" i="1"/>
  <c r="AH102" i="1"/>
  <c r="AK102" i="1" s="1"/>
  <c r="AP102" i="1" s="1"/>
  <c r="AQ102" i="1" s="1"/>
  <c r="AK105" i="1"/>
  <c r="AP105" i="1" s="1"/>
  <c r="AQ105" i="1" s="1"/>
  <c r="AH105" i="1"/>
  <c r="AH108" i="1"/>
  <c r="AK108" i="1" s="1"/>
  <c r="AP108" i="1" s="1"/>
  <c r="AQ108" i="1" s="1"/>
  <c r="AK110" i="1"/>
  <c r="AP110" i="1" s="1"/>
  <c r="AQ110" i="1" s="1"/>
  <c r="AH110" i="1"/>
  <c r="AH113" i="1"/>
  <c r="AK113" i="1" s="1"/>
  <c r="AP113" i="1" s="1"/>
  <c r="AQ113" i="1" s="1"/>
  <c r="AK116" i="1"/>
  <c r="AP116" i="1" s="1"/>
  <c r="AQ116" i="1" s="1"/>
  <c r="AH116" i="1"/>
  <c r="AH142" i="1"/>
  <c r="AK142" i="1" s="1"/>
  <c r="AP142" i="1" s="1"/>
  <c r="AQ142" i="1" s="1"/>
  <c r="AK145" i="1"/>
  <c r="AP145" i="1" s="1"/>
  <c r="AQ145" i="1" s="1"/>
  <c r="AH145" i="1"/>
  <c r="AH148" i="1"/>
  <c r="AK148" i="1" s="1"/>
  <c r="AP148" i="1" s="1"/>
  <c r="AQ148" i="1" s="1"/>
  <c r="AK159" i="1"/>
  <c r="AP159" i="1" s="1"/>
  <c r="AQ159" i="1" s="1"/>
  <c r="AH159" i="1"/>
  <c r="AH162" i="1"/>
  <c r="AK162" i="1" s="1"/>
  <c r="AP162" i="1" s="1"/>
  <c r="AQ162" i="1" s="1"/>
  <c r="AK165" i="1"/>
  <c r="AP165" i="1" s="1"/>
  <c r="AQ165" i="1" s="1"/>
  <c r="AH165" i="1"/>
  <c r="AH168" i="1"/>
  <c r="AK168" i="1" s="1"/>
  <c r="AP168" i="1" s="1"/>
  <c r="AQ168" i="1" s="1"/>
  <c r="AK171" i="1"/>
  <c r="AP171" i="1" s="1"/>
  <c r="AQ171" i="1" s="1"/>
  <c r="AH171" i="1"/>
  <c r="AK176" i="1"/>
  <c r="AP176" i="1" s="1"/>
  <c r="AQ176" i="1" s="1"/>
  <c r="AK178" i="1"/>
  <c r="AP178" i="1" s="1"/>
  <c r="AQ178" i="1" s="1"/>
  <c r="AH178" i="1"/>
  <c r="AK184" i="1"/>
  <c r="AP184" i="1" s="1"/>
  <c r="AQ184" i="1" s="1"/>
  <c r="AH184" i="1"/>
  <c r="AH187" i="1"/>
  <c r="AK187" i="1" s="1"/>
  <c r="AP187" i="1" s="1"/>
  <c r="AQ187" i="1" s="1"/>
  <c r="AK190" i="1"/>
  <c r="AP190" i="1" s="1"/>
  <c r="AQ190" i="1" s="1"/>
  <c r="AH190" i="1"/>
  <c r="AH193" i="1"/>
  <c r="AK193" i="1" s="1"/>
  <c r="AP193" i="1" s="1"/>
  <c r="AQ193" i="1" s="1"/>
  <c r="AK196" i="1"/>
  <c r="AP196" i="1" s="1"/>
  <c r="AQ196" i="1" s="1"/>
  <c r="AH196" i="1"/>
  <c r="AH199" i="1"/>
  <c r="AK199" i="1" s="1"/>
  <c r="AP199" i="1" s="1"/>
  <c r="AQ199" i="1" s="1"/>
  <c r="AK202" i="1"/>
  <c r="AP202" i="1" s="1"/>
  <c r="AQ202" i="1" s="1"/>
  <c r="AK203" i="1"/>
  <c r="AP203" i="1" s="1"/>
  <c r="AQ203" i="1" s="1"/>
  <c r="AH203" i="1"/>
  <c r="AH204" i="1"/>
  <c r="AK204" i="1" s="1"/>
  <c r="AP204" i="1" s="1"/>
  <c r="AQ204" i="1" s="1"/>
  <c r="AK208" i="1"/>
  <c r="AP208" i="1" s="1"/>
  <c r="AQ208" i="1" s="1"/>
  <c r="AH208" i="1"/>
  <c r="AH216" i="1"/>
  <c r="AK216" i="1" s="1"/>
  <c r="AP216" i="1" s="1"/>
  <c r="AQ216" i="1" s="1"/>
  <c r="AK224" i="1"/>
  <c r="AP224" i="1" s="1"/>
  <c r="AQ224" i="1" s="1"/>
  <c r="AH224" i="1"/>
  <c r="AH232" i="1"/>
  <c r="AK232" i="1" s="1"/>
  <c r="AP232" i="1" s="1"/>
  <c r="AQ232" i="1" s="1"/>
  <c r="AK240" i="1"/>
  <c r="AP240" i="1" s="1"/>
  <c r="AQ240" i="1" s="1"/>
  <c r="AH240" i="1"/>
  <c r="AH248" i="1"/>
  <c r="AK248" i="1" s="1"/>
  <c r="AP248" i="1" s="1"/>
  <c r="AQ248" i="1" s="1"/>
  <c r="AK256" i="1"/>
  <c r="AP256" i="1" s="1"/>
  <c r="AQ256" i="1" s="1"/>
  <c r="AH256" i="1"/>
  <c r="AH264" i="1"/>
  <c r="AK264" i="1" s="1"/>
  <c r="AP264" i="1" s="1"/>
  <c r="AQ264" i="1" s="1"/>
  <c r="AK356" i="1"/>
  <c r="AP356" i="1" s="1"/>
  <c r="AH356" i="1"/>
  <c r="AH372" i="1"/>
  <c r="AK372" i="1" s="1"/>
  <c r="AP372" i="1" s="1"/>
  <c r="AK385" i="1"/>
  <c r="AP385" i="1" s="1"/>
  <c r="AH385" i="1"/>
  <c r="AH387" i="1"/>
  <c r="AK387" i="1" s="1"/>
  <c r="AP387" i="1" s="1"/>
  <c r="AH405" i="1"/>
  <c r="AK405" i="1" s="1"/>
  <c r="AP405" i="1" s="1"/>
  <c r="AH413" i="1"/>
  <c r="AK413" i="1"/>
  <c r="AP413" i="1" s="1"/>
  <c r="AK3" i="2"/>
  <c r="AP3" i="2" s="1"/>
  <c r="AQ3" i="2" s="1"/>
  <c r="AH3" i="2"/>
  <c r="AK53" i="2"/>
  <c r="AP53" i="2" s="1"/>
  <c r="AQ53" i="2" s="1"/>
  <c r="AH53" i="2"/>
  <c r="AH119" i="1"/>
  <c r="AK119" i="1" s="1"/>
  <c r="AP119" i="1" s="1"/>
  <c r="AQ119" i="1" s="1"/>
  <c r="AK123" i="1"/>
  <c r="AP123" i="1" s="1"/>
  <c r="AQ123" i="1" s="1"/>
  <c r="AH123" i="1"/>
  <c r="AH214" i="1"/>
  <c r="AK214" i="1" s="1"/>
  <c r="AP214" i="1" s="1"/>
  <c r="AQ214" i="1" s="1"/>
  <c r="AK222" i="1"/>
  <c r="AP222" i="1" s="1"/>
  <c r="AQ222" i="1" s="1"/>
  <c r="AH222" i="1"/>
  <c r="AH230" i="1"/>
  <c r="AK230" i="1" s="1"/>
  <c r="AP230" i="1" s="1"/>
  <c r="AQ230" i="1" s="1"/>
  <c r="AK238" i="1"/>
  <c r="AP238" i="1" s="1"/>
  <c r="AQ238" i="1" s="1"/>
  <c r="AH238" i="1"/>
  <c r="AH246" i="1"/>
  <c r="AK246" i="1" s="1"/>
  <c r="AP246" i="1" s="1"/>
  <c r="AQ246" i="1" s="1"/>
  <c r="AK254" i="1"/>
  <c r="AP254" i="1" s="1"/>
  <c r="AQ254" i="1" s="1"/>
  <c r="AH254" i="1"/>
  <c r="AH262" i="1"/>
  <c r="AK262" i="1" s="1"/>
  <c r="AP262" i="1" s="1"/>
  <c r="AQ262" i="1" s="1"/>
  <c r="AK360" i="1"/>
  <c r="AP360" i="1" s="1"/>
  <c r="AH360" i="1"/>
  <c r="AH376" i="1"/>
  <c r="AK376" i="1" s="1"/>
  <c r="AP376" i="1" s="1"/>
  <c r="AK380" i="1"/>
  <c r="AP380" i="1" s="1"/>
  <c r="AH380" i="1"/>
  <c r="AH389" i="1"/>
  <c r="AK389" i="1" s="1"/>
  <c r="AP389" i="1" s="1"/>
  <c r="AK391" i="1"/>
  <c r="AP391" i="1" s="1"/>
  <c r="AH391" i="1"/>
  <c r="AK42" i="1"/>
  <c r="AP42" i="1" s="1"/>
  <c r="AQ42" i="1" s="1"/>
  <c r="AK44" i="1"/>
  <c r="AP44" i="1" s="1"/>
  <c r="AQ44" i="1" s="1"/>
  <c r="AK48" i="1"/>
  <c r="AP48" i="1" s="1"/>
  <c r="AQ48" i="1" s="1"/>
  <c r="AK50" i="1"/>
  <c r="AP50" i="1" s="1"/>
  <c r="AQ50" i="1" s="1"/>
  <c r="AK52" i="1"/>
  <c r="AP52" i="1" s="1"/>
  <c r="AQ52" i="1" s="1"/>
  <c r="AK56" i="1"/>
  <c r="AP56" i="1" s="1"/>
  <c r="AQ56" i="1" s="1"/>
  <c r="AK58" i="1"/>
  <c r="AP58" i="1" s="1"/>
  <c r="AQ58" i="1" s="1"/>
  <c r="AK64" i="1"/>
  <c r="AP64" i="1" s="1"/>
  <c r="AQ64" i="1" s="1"/>
  <c r="AK68" i="1"/>
  <c r="AP68" i="1" s="1"/>
  <c r="AQ68" i="1" s="1"/>
  <c r="AK74" i="1"/>
  <c r="AP74" i="1" s="1"/>
  <c r="AQ74" i="1" s="1"/>
  <c r="AK90" i="1"/>
  <c r="AP90" i="1" s="1"/>
  <c r="AQ90" i="1" s="1"/>
  <c r="AK94" i="1"/>
  <c r="AP94" i="1" s="1"/>
  <c r="AQ94" i="1" s="1"/>
  <c r="AH94" i="1"/>
  <c r="AH98" i="1"/>
  <c r="AK98" i="1" s="1"/>
  <c r="AP98" i="1" s="1"/>
  <c r="AQ98" i="1" s="1"/>
  <c r="AK101" i="1"/>
  <c r="AP101" i="1" s="1"/>
  <c r="AQ101" i="1" s="1"/>
  <c r="AH101" i="1"/>
  <c r="AH103" i="1"/>
  <c r="AK103" i="1" s="1"/>
  <c r="AP103" i="1" s="1"/>
  <c r="AQ103" i="1" s="1"/>
  <c r="AK106" i="1"/>
  <c r="AP106" i="1" s="1"/>
  <c r="AQ106" i="1" s="1"/>
  <c r="AH106" i="1"/>
  <c r="AH109" i="1"/>
  <c r="AK109" i="1" s="1"/>
  <c r="AP109" i="1" s="1"/>
  <c r="AQ109" i="1" s="1"/>
  <c r="AK112" i="1"/>
  <c r="AP112" i="1" s="1"/>
  <c r="AQ112" i="1" s="1"/>
  <c r="AH112" i="1"/>
  <c r="AH115" i="1"/>
  <c r="AK115" i="1" s="1"/>
  <c r="AP115" i="1" s="1"/>
  <c r="AQ115" i="1" s="1"/>
  <c r="AH143" i="1"/>
  <c r="AK143" i="1" s="1"/>
  <c r="AP143" i="1" s="1"/>
  <c r="AQ143" i="1" s="1"/>
  <c r="AK147" i="1"/>
  <c r="AP147" i="1" s="1"/>
  <c r="AQ147" i="1" s="1"/>
  <c r="AH147" i="1"/>
  <c r="AH150" i="1"/>
  <c r="AK150" i="1" s="1"/>
  <c r="AP150" i="1" s="1"/>
  <c r="AQ150" i="1" s="1"/>
  <c r="AK152" i="1"/>
  <c r="AP152" i="1" s="1"/>
  <c r="AQ152" i="1" s="1"/>
  <c r="AH152" i="1"/>
  <c r="AH154" i="1"/>
  <c r="AK154" i="1" s="1"/>
  <c r="AP154" i="1" s="1"/>
  <c r="AQ154" i="1" s="1"/>
  <c r="AK156" i="1"/>
  <c r="AP156" i="1" s="1"/>
  <c r="AQ156" i="1" s="1"/>
  <c r="AH156" i="1"/>
  <c r="AH160" i="1"/>
  <c r="AK160" i="1" s="1"/>
  <c r="AP160" i="1" s="1"/>
  <c r="AQ160" i="1" s="1"/>
  <c r="AH166" i="1"/>
  <c r="AK166" i="1" s="1"/>
  <c r="AP166" i="1" s="1"/>
  <c r="AQ166" i="1" s="1"/>
  <c r="AK170" i="1"/>
  <c r="AP170" i="1" s="1"/>
  <c r="AQ170" i="1" s="1"/>
  <c r="AH170" i="1"/>
  <c r="AH173" i="1"/>
  <c r="AK173" i="1" s="1"/>
  <c r="AP173" i="1" s="1"/>
  <c r="AQ173" i="1" s="1"/>
  <c r="AH174" i="1"/>
  <c r="AK174" i="1" s="1"/>
  <c r="AP174" i="1" s="1"/>
  <c r="AQ174" i="1" s="1"/>
  <c r="AK179" i="1"/>
  <c r="AP179" i="1" s="1"/>
  <c r="AQ179" i="1" s="1"/>
  <c r="AH181" i="1"/>
  <c r="AK181" i="1" s="1"/>
  <c r="AP181" i="1" s="1"/>
  <c r="AQ181" i="1" s="1"/>
  <c r="AK185" i="1"/>
  <c r="AP185" i="1" s="1"/>
  <c r="AQ185" i="1" s="1"/>
  <c r="AH185" i="1"/>
  <c r="AK194" i="1"/>
  <c r="AP194" i="1" s="1"/>
  <c r="AQ194" i="1" s="1"/>
  <c r="AH194" i="1"/>
  <c r="AK200" i="1"/>
  <c r="AP200" i="1" s="1"/>
  <c r="AQ200" i="1" s="1"/>
  <c r="AH200" i="1"/>
  <c r="AH202" i="1"/>
  <c r="AH43" i="1"/>
  <c r="AK43" i="1"/>
  <c r="AP43" i="1" s="1"/>
  <c r="AQ43" i="1" s="1"/>
  <c r="AH47" i="1"/>
  <c r="AK47" i="1" s="1"/>
  <c r="AP47" i="1" s="1"/>
  <c r="AQ47" i="1" s="1"/>
  <c r="AH49" i="1"/>
  <c r="AK49" i="1"/>
  <c r="AP49" i="1" s="1"/>
  <c r="AQ49" i="1" s="1"/>
  <c r="AH51" i="1"/>
  <c r="AK51" i="1" s="1"/>
  <c r="AP51" i="1" s="1"/>
  <c r="AQ51" i="1" s="1"/>
  <c r="AH53" i="1"/>
  <c r="AK53" i="1"/>
  <c r="AP53" i="1" s="1"/>
  <c r="AQ53" i="1" s="1"/>
  <c r="AH55" i="1"/>
  <c r="AK55" i="1" s="1"/>
  <c r="AP55" i="1" s="1"/>
  <c r="AQ55" i="1" s="1"/>
  <c r="AH57" i="1"/>
  <c r="AK57" i="1"/>
  <c r="AP57" i="1" s="1"/>
  <c r="AQ57" i="1" s="1"/>
  <c r="AH59" i="1"/>
  <c r="AK59" i="1" s="1"/>
  <c r="AP59" i="1" s="1"/>
  <c r="AQ59" i="1" s="1"/>
  <c r="AH61" i="1"/>
  <c r="AK61" i="1"/>
  <c r="AP61" i="1" s="1"/>
  <c r="AQ61" i="1" s="1"/>
  <c r="AH63" i="1"/>
  <c r="AK63" i="1" s="1"/>
  <c r="AP63" i="1" s="1"/>
  <c r="AQ63" i="1" s="1"/>
  <c r="AH65" i="1"/>
  <c r="AK65" i="1"/>
  <c r="AP65" i="1" s="1"/>
  <c r="AQ65" i="1" s="1"/>
  <c r="AH67" i="1"/>
  <c r="AK67" i="1" s="1"/>
  <c r="AP67" i="1" s="1"/>
  <c r="AQ67" i="1" s="1"/>
  <c r="AH69" i="1"/>
  <c r="AK69" i="1"/>
  <c r="AP69" i="1" s="1"/>
  <c r="AQ69" i="1" s="1"/>
  <c r="AH71" i="1"/>
  <c r="AK71" i="1" s="1"/>
  <c r="AP71" i="1" s="1"/>
  <c r="AQ71" i="1" s="1"/>
  <c r="AH73" i="1"/>
  <c r="AK73" i="1"/>
  <c r="AP73" i="1" s="1"/>
  <c r="AQ73" i="1" s="1"/>
  <c r="AH75" i="1"/>
  <c r="AK75" i="1" s="1"/>
  <c r="AP75" i="1" s="1"/>
  <c r="AQ75" i="1" s="1"/>
  <c r="AH77" i="1"/>
  <c r="AK77" i="1"/>
  <c r="AP77" i="1" s="1"/>
  <c r="AQ77" i="1" s="1"/>
  <c r="AH79" i="1"/>
  <c r="AK79" i="1" s="1"/>
  <c r="AP79" i="1" s="1"/>
  <c r="AQ79" i="1" s="1"/>
  <c r="AH81" i="1"/>
  <c r="AK81" i="1"/>
  <c r="AP81" i="1" s="1"/>
  <c r="AQ81" i="1" s="1"/>
  <c r="AH83" i="1"/>
  <c r="AK83" i="1" s="1"/>
  <c r="AP83" i="1" s="1"/>
  <c r="AQ83" i="1" s="1"/>
  <c r="AH85" i="1"/>
  <c r="AK85" i="1"/>
  <c r="AP85" i="1" s="1"/>
  <c r="AQ85" i="1" s="1"/>
  <c r="AH87" i="1"/>
  <c r="AK87" i="1" s="1"/>
  <c r="AP87" i="1" s="1"/>
  <c r="AQ87" i="1" s="1"/>
  <c r="AH89" i="1"/>
  <c r="AK89" i="1"/>
  <c r="AP89" i="1" s="1"/>
  <c r="AQ89" i="1" s="1"/>
  <c r="AH91" i="1"/>
  <c r="AK91" i="1" s="1"/>
  <c r="AP91" i="1" s="1"/>
  <c r="AQ91" i="1" s="1"/>
  <c r="AH93" i="1"/>
  <c r="AK93" i="1"/>
  <c r="AP93" i="1" s="1"/>
  <c r="AQ93" i="1" s="1"/>
  <c r="AK118" i="1"/>
  <c r="AP118" i="1" s="1"/>
  <c r="AQ118" i="1" s="1"/>
  <c r="AK122" i="1"/>
  <c r="AP122" i="1" s="1"/>
  <c r="AQ122" i="1" s="1"/>
  <c r="AH212" i="1"/>
  <c r="AK212" i="1" s="1"/>
  <c r="AP212" i="1" s="1"/>
  <c r="AQ212" i="1" s="1"/>
  <c r="AK220" i="1"/>
  <c r="AP220" i="1" s="1"/>
  <c r="AQ220" i="1" s="1"/>
  <c r="AH220" i="1"/>
  <c r="AH228" i="1"/>
  <c r="AK228" i="1" s="1"/>
  <c r="AP228" i="1" s="1"/>
  <c r="AQ228" i="1" s="1"/>
  <c r="AK236" i="1"/>
  <c r="AP236" i="1" s="1"/>
  <c r="AQ236" i="1" s="1"/>
  <c r="AH236" i="1"/>
  <c r="AH244" i="1"/>
  <c r="AK244" i="1" s="1"/>
  <c r="AP244" i="1" s="1"/>
  <c r="AQ244" i="1" s="1"/>
  <c r="AK252" i="1"/>
  <c r="AP252" i="1" s="1"/>
  <c r="AQ252" i="1" s="1"/>
  <c r="AH252" i="1"/>
  <c r="AH260" i="1"/>
  <c r="AK260" i="1" s="1"/>
  <c r="AP260" i="1" s="1"/>
  <c r="AQ260" i="1" s="1"/>
  <c r="AK268" i="1"/>
  <c r="AP268" i="1" s="1"/>
  <c r="AQ268" i="1" s="1"/>
  <c r="AH268" i="1"/>
  <c r="AH281" i="1"/>
  <c r="AK281" i="1" s="1"/>
  <c r="AP281" i="1" s="1"/>
  <c r="AK285" i="1"/>
  <c r="AP285" i="1" s="1"/>
  <c r="AH285" i="1"/>
  <c r="AH289" i="1"/>
  <c r="AK289" i="1" s="1"/>
  <c r="AP289" i="1" s="1"/>
  <c r="AK293" i="1"/>
  <c r="AP293" i="1" s="1"/>
  <c r="AH293" i="1"/>
  <c r="AH297" i="1"/>
  <c r="AK297" i="1" s="1"/>
  <c r="AP297" i="1" s="1"/>
  <c r="AK301" i="1"/>
  <c r="AP301" i="1" s="1"/>
  <c r="AH301" i="1"/>
  <c r="AH305" i="1"/>
  <c r="AK305" i="1" s="1"/>
  <c r="AP305" i="1" s="1"/>
  <c r="AK309" i="1"/>
  <c r="AP309" i="1" s="1"/>
  <c r="AH309" i="1"/>
  <c r="AH313" i="1"/>
  <c r="AK313" i="1" s="1"/>
  <c r="AP313" i="1" s="1"/>
  <c r="AK317" i="1"/>
  <c r="AP317" i="1" s="1"/>
  <c r="AH317" i="1"/>
  <c r="AH321" i="1"/>
  <c r="AK321" i="1" s="1"/>
  <c r="AP321" i="1" s="1"/>
  <c r="AK325" i="1"/>
  <c r="AP325" i="1" s="1"/>
  <c r="AH325" i="1"/>
  <c r="AH329" i="1"/>
  <c r="AK329" i="1" s="1"/>
  <c r="AP329" i="1" s="1"/>
  <c r="AK333" i="1"/>
  <c r="AP333" i="1" s="1"/>
  <c r="AH333" i="1"/>
  <c r="AH337" i="1"/>
  <c r="AK337" i="1" s="1"/>
  <c r="AP337" i="1" s="1"/>
  <c r="AK341" i="1"/>
  <c r="AP341" i="1" s="1"/>
  <c r="AH341" i="1"/>
  <c r="AH345" i="1"/>
  <c r="AK345" i="1" s="1"/>
  <c r="AP345" i="1" s="1"/>
  <c r="AK348" i="1"/>
  <c r="AP348" i="1" s="1"/>
  <c r="AH348" i="1"/>
  <c r="AH364" i="1"/>
  <c r="AK364" i="1" s="1"/>
  <c r="AP364" i="1" s="1"/>
  <c r="AK393" i="1"/>
  <c r="AP393" i="1" s="1"/>
  <c r="AH393" i="1"/>
  <c r="AH395" i="1"/>
  <c r="AK395" i="1" s="1"/>
  <c r="AP395" i="1" s="1"/>
  <c r="AK414" i="1"/>
  <c r="AP414" i="1" s="1"/>
  <c r="AH414" i="1"/>
  <c r="AK418" i="1"/>
  <c r="AP418" i="1" s="1"/>
  <c r="AH418" i="1"/>
  <c r="AH429" i="1"/>
  <c r="AK429" i="1" s="1"/>
  <c r="AP429" i="1" s="1"/>
  <c r="AH433" i="1"/>
  <c r="AK433" i="1" s="1"/>
  <c r="AP433" i="1" s="1"/>
  <c r="AK435" i="1"/>
  <c r="AP435" i="1" s="1"/>
  <c r="AH450" i="1"/>
  <c r="AK450" i="1" s="1"/>
  <c r="AP450" i="1" s="1"/>
  <c r="AK452" i="1"/>
  <c r="AP452" i="1" s="1"/>
  <c r="AH452" i="1"/>
  <c r="AH129" i="2"/>
  <c r="AK129" i="2" s="1"/>
  <c r="AP129" i="2" s="1"/>
  <c r="AQ129" i="2" s="1"/>
  <c r="AK137" i="2"/>
  <c r="AP137" i="2" s="1"/>
  <c r="AQ137" i="2" s="1"/>
  <c r="AH137" i="2"/>
  <c r="AH43" i="3"/>
  <c r="AI43" i="3" s="1"/>
  <c r="AK66" i="1"/>
  <c r="AP66" i="1" s="1"/>
  <c r="AQ66" i="1" s="1"/>
  <c r="AK72" i="1"/>
  <c r="AP72" i="1" s="1"/>
  <c r="AQ72" i="1" s="1"/>
  <c r="AK76" i="1"/>
  <c r="AP76" i="1" s="1"/>
  <c r="AQ76" i="1" s="1"/>
  <c r="AK78" i="1"/>
  <c r="AP78" i="1" s="1"/>
  <c r="AQ78" i="1" s="1"/>
  <c r="AK80" i="1"/>
  <c r="AP80" i="1" s="1"/>
  <c r="AQ80" i="1" s="1"/>
  <c r="AK86" i="1"/>
  <c r="AP86" i="1" s="1"/>
  <c r="AQ86" i="1" s="1"/>
  <c r="AH96" i="1"/>
  <c r="AK96" i="1" s="1"/>
  <c r="AP96" i="1" s="1"/>
  <c r="AQ96" i="1" s="1"/>
  <c r="AK99" i="1"/>
  <c r="AP99" i="1" s="1"/>
  <c r="AQ99" i="1" s="1"/>
  <c r="AH99" i="1"/>
  <c r="AH104" i="1"/>
  <c r="AK104" i="1" s="1"/>
  <c r="AP104" i="1" s="1"/>
  <c r="AQ104" i="1" s="1"/>
  <c r="AK107" i="1"/>
  <c r="AP107" i="1" s="1"/>
  <c r="AQ107" i="1" s="1"/>
  <c r="AH107" i="1"/>
  <c r="AH111" i="1"/>
  <c r="AK111" i="1" s="1"/>
  <c r="AP111" i="1" s="1"/>
  <c r="AQ111" i="1" s="1"/>
  <c r="AK114" i="1"/>
  <c r="AP114" i="1" s="1"/>
  <c r="AQ114" i="1" s="1"/>
  <c r="AH114" i="1"/>
  <c r="AH117" i="1"/>
  <c r="AK117" i="1" s="1"/>
  <c r="AP117" i="1" s="1"/>
  <c r="AQ117" i="1" s="1"/>
  <c r="AK140" i="1"/>
  <c r="AP140" i="1" s="1"/>
  <c r="AQ140" i="1" s="1"/>
  <c r="AH140" i="1"/>
  <c r="AH141" i="1"/>
  <c r="AK141" i="1" s="1"/>
  <c r="AP141" i="1" s="1"/>
  <c r="AQ141" i="1" s="1"/>
  <c r="AK144" i="1"/>
  <c r="AP144" i="1" s="1"/>
  <c r="AQ144" i="1" s="1"/>
  <c r="AK146" i="1"/>
  <c r="AP146" i="1" s="1"/>
  <c r="AQ146" i="1" s="1"/>
  <c r="AH146" i="1"/>
  <c r="AH149" i="1"/>
  <c r="AK149" i="1" s="1"/>
  <c r="AP149" i="1" s="1"/>
  <c r="AQ149" i="1" s="1"/>
  <c r="AK151" i="1"/>
  <c r="AP151" i="1" s="1"/>
  <c r="AQ151" i="1" s="1"/>
  <c r="AH151" i="1"/>
  <c r="AH153" i="1"/>
  <c r="AK153" i="1" s="1"/>
  <c r="AP153" i="1" s="1"/>
  <c r="AQ153" i="1" s="1"/>
  <c r="AK155" i="1"/>
  <c r="AP155" i="1" s="1"/>
  <c r="AQ155" i="1" s="1"/>
  <c r="AH155" i="1"/>
  <c r="AH157" i="1"/>
  <c r="AK157" i="1" s="1"/>
  <c r="AP157" i="1" s="1"/>
  <c r="AQ157" i="1" s="1"/>
  <c r="AH158" i="1"/>
  <c r="AK158" i="1" s="1"/>
  <c r="AP158" i="1" s="1"/>
  <c r="AQ158" i="1" s="1"/>
  <c r="AK161" i="1"/>
  <c r="AP161" i="1" s="1"/>
  <c r="AQ161" i="1" s="1"/>
  <c r="AH163" i="1"/>
  <c r="AK163" i="1" s="1"/>
  <c r="AP163" i="1" s="1"/>
  <c r="AQ163" i="1" s="1"/>
  <c r="AH164" i="1"/>
  <c r="AK164" i="1" s="1"/>
  <c r="AP164" i="1" s="1"/>
  <c r="AQ164" i="1" s="1"/>
  <c r="AK167" i="1"/>
  <c r="AP167" i="1" s="1"/>
  <c r="AQ167" i="1" s="1"/>
  <c r="AH169" i="1"/>
  <c r="AK169" i="1" s="1"/>
  <c r="AP169" i="1" s="1"/>
  <c r="AQ169" i="1" s="1"/>
  <c r="AK172" i="1"/>
  <c r="AP172" i="1" s="1"/>
  <c r="AQ172" i="1" s="1"/>
  <c r="AH172" i="1"/>
  <c r="AH175" i="1"/>
  <c r="AK175" i="1" s="1"/>
  <c r="AP175" i="1" s="1"/>
  <c r="AQ175" i="1" s="1"/>
  <c r="AH176" i="1"/>
  <c r="AH177" i="1"/>
  <c r="AK177" i="1" s="1"/>
  <c r="AP177" i="1" s="1"/>
  <c r="AQ177" i="1" s="1"/>
  <c r="AK180" i="1"/>
  <c r="AP180" i="1" s="1"/>
  <c r="AQ180" i="1" s="1"/>
  <c r="AK182" i="1"/>
  <c r="AP182" i="1" s="1"/>
  <c r="AQ182" i="1" s="1"/>
  <c r="AH183" i="1"/>
  <c r="AK183" i="1" s="1"/>
  <c r="AP183" i="1" s="1"/>
  <c r="AQ183" i="1" s="1"/>
  <c r="AK186" i="1"/>
  <c r="AP186" i="1" s="1"/>
  <c r="AQ186" i="1" s="1"/>
  <c r="AH188" i="1"/>
  <c r="AK188" i="1" s="1"/>
  <c r="AP188" i="1" s="1"/>
  <c r="AQ188" i="1" s="1"/>
  <c r="AH189" i="1"/>
  <c r="AK189" i="1" s="1"/>
  <c r="AP189" i="1" s="1"/>
  <c r="AQ189" i="1" s="1"/>
  <c r="AK191" i="1"/>
  <c r="AP191" i="1" s="1"/>
  <c r="AQ191" i="1" s="1"/>
  <c r="AH191" i="1"/>
  <c r="AH192" i="1"/>
  <c r="AK192" i="1" s="1"/>
  <c r="AP192" i="1" s="1"/>
  <c r="AQ192" i="1" s="1"/>
  <c r="AK195" i="1"/>
  <c r="AP195" i="1" s="1"/>
  <c r="AQ195" i="1" s="1"/>
  <c r="AK197" i="1"/>
  <c r="AP197" i="1" s="1"/>
  <c r="AQ197" i="1" s="1"/>
  <c r="AH197" i="1"/>
  <c r="AH198" i="1"/>
  <c r="AK198" i="1" s="1"/>
  <c r="AP198" i="1" s="1"/>
  <c r="AQ198" i="1" s="1"/>
  <c r="AK201" i="1"/>
  <c r="AP201" i="1" s="1"/>
  <c r="AQ201" i="1" s="1"/>
  <c r="AH45" i="1"/>
  <c r="AK45" i="1" s="1"/>
  <c r="AP45" i="1" s="1"/>
  <c r="AQ45" i="1" s="1"/>
  <c r="AH210" i="1"/>
  <c r="AK210" i="1" s="1"/>
  <c r="AP210" i="1" s="1"/>
  <c r="AQ210" i="1" s="1"/>
  <c r="AK218" i="1"/>
  <c r="AP218" i="1" s="1"/>
  <c r="AQ218" i="1" s="1"/>
  <c r="AH218" i="1"/>
  <c r="AH226" i="1"/>
  <c r="AK226" i="1" s="1"/>
  <c r="AP226" i="1" s="1"/>
  <c r="AQ226" i="1" s="1"/>
  <c r="AK234" i="1"/>
  <c r="AP234" i="1" s="1"/>
  <c r="AQ234" i="1" s="1"/>
  <c r="AH234" i="1"/>
  <c r="AH242" i="1"/>
  <c r="AK242" i="1" s="1"/>
  <c r="AP242" i="1" s="1"/>
  <c r="AQ242" i="1" s="1"/>
  <c r="AK250" i="1"/>
  <c r="AP250" i="1" s="1"/>
  <c r="AQ250" i="1" s="1"/>
  <c r="AH250" i="1"/>
  <c r="AH258" i="1"/>
  <c r="AK258" i="1" s="1"/>
  <c r="AP258" i="1" s="1"/>
  <c r="AQ258" i="1" s="1"/>
  <c r="AK266" i="1"/>
  <c r="AP266" i="1" s="1"/>
  <c r="AQ266" i="1" s="1"/>
  <c r="AH266" i="1"/>
  <c r="AH280" i="1"/>
  <c r="AK280" i="1" s="1"/>
  <c r="AP280" i="1" s="1"/>
  <c r="AK284" i="1"/>
  <c r="AP284" i="1" s="1"/>
  <c r="AH284" i="1"/>
  <c r="AH288" i="1"/>
  <c r="AK288" i="1" s="1"/>
  <c r="AP288" i="1" s="1"/>
  <c r="AK292" i="1"/>
  <c r="AP292" i="1" s="1"/>
  <c r="AH292" i="1"/>
  <c r="AH296" i="1"/>
  <c r="AK296" i="1" s="1"/>
  <c r="AP296" i="1" s="1"/>
  <c r="AK300" i="1"/>
  <c r="AP300" i="1" s="1"/>
  <c r="AH300" i="1"/>
  <c r="AH304" i="1"/>
  <c r="AK304" i="1" s="1"/>
  <c r="AP304" i="1" s="1"/>
  <c r="AK308" i="1"/>
  <c r="AP308" i="1" s="1"/>
  <c r="AH308" i="1"/>
  <c r="AH312" i="1"/>
  <c r="AK312" i="1" s="1"/>
  <c r="AP312" i="1" s="1"/>
  <c r="AK316" i="1"/>
  <c r="AP316" i="1" s="1"/>
  <c r="AH316" i="1"/>
  <c r="AH320" i="1"/>
  <c r="AK320" i="1" s="1"/>
  <c r="AP320" i="1" s="1"/>
  <c r="AK324" i="1"/>
  <c r="AP324" i="1" s="1"/>
  <c r="AH324" i="1"/>
  <c r="AH328" i="1"/>
  <c r="AK328" i="1" s="1"/>
  <c r="AP328" i="1" s="1"/>
  <c r="AK332" i="1"/>
  <c r="AP332" i="1" s="1"/>
  <c r="AH332" i="1"/>
  <c r="AH336" i="1"/>
  <c r="AK336" i="1" s="1"/>
  <c r="AP336" i="1" s="1"/>
  <c r="AK340" i="1"/>
  <c r="AP340" i="1" s="1"/>
  <c r="AH340" i="1"/>
  <c r="AH344" i="1"/>
  <c r="AK344" i="1" s="1"/>
  <c r="AP344" i="1" s="1"/>
  <c r="AK352" i="1"/>
  <c r="AP352" i="1" s="1"/>
  <c r="AH352" i="1"/>
  <c r="AH368" i="1"/>
  <c r="AK368" i="1" s="1"/>
  <c r="AP368" i="1" s="1"/>
  <c r="AH379" i="1"/>
  <c r="AK379" i="1" s="1"/>
  <c r="AP379" i="1" s="1"/>
  <c r="AH381" i="1"/>
  <c r="AK381" i="1"/>
  <c r="AP381" i="1" s="1"/>
  <c r="AK383" i="1"/>
  <c r="AP383" i="1" s="1"/>
  <c r="AH383" i="1"/>
  <c r="AH397" i="1"/>
  <c r="AK397" i="1"/>
  <c r="AP397" i="1" s="1"/>
  <c r="AH401" i="1"/>
  <c r="AK401" i="1" s="1"/>
  <c r="AP401" i="1" s="1"/>
  <c r="AK403" i="1"/>
  <c r="AP403" i="1" s="1"/>
  <c r="AH437" i="1"/>
  <c r="AK437" i="1" s="1"/>
  <c r="AP437" i="1" s="1"/>
  <c r="AK31" i="2"/>
  <c r="AP31" i="2" s="1"/>
  <c r="AQ31" i="2" s="1"/>
  <c r="AH31" i="2"/>
  <c r="AK35" i="2"/>
  <c r="AP35" i="2" s="1"/>
  <c r="AQ35" i="2" s="1"/>
  <c r="AH35" i="2"/>
  <c r="AG207" i="1"/>
  <c r="AK349" i="1"/>
  <c r="AP349" i="1" s="1"/>
  <c r="AK353" i="1"/>
  <c r="AP353" i="1" s="1"/>
  <c r="AK357" i="1"/>
  <c r="AP357" i="1" s="1"/>
  <c r="AK361" i="1"/>
  <c r="AP361" i="1" s="1"/>
  <c r="AK365" i="1"/>
  <c r="AP365" i="1" s="1"/>
  <c r="AK369" i="1"/>
  <c r="AP369" i="1" s="1"/>
  <c r="AK373" i="1"/>
  <c r="AP373" i="1" s="1"/>
  <c r="AH377" i="1"/>
  <c r="AK377" i="1" s="1"/>
  <c r="AP377" i="1" s="1"/>
  <c r="AK406" i="1"/>
  <c r="AP406" i="1" s="1"/>
  <c r="AH406" i="1"/>
  <c r="AH410" i="1"/>
  <c r="AK410" i="1" s="1"/>
  <c r="AP410" i="1" s="1"/>
  <c r="AH425" i="1"/>
  <c r="AK425" i="1" s="1"/>
  <c r="AP425" i="1" s="1"/>
  <c r="AK427" i="1"/>
  <c r="AP427" i="1" s="1"/>
  <c r="AK438" i="1"/>
  <c r="AP438" i="1" s="1"/>
  <c r="AH438" i="1"/>
  <c r="AK440" i="1"/>
  <c r="AP440" i="1" s="1"/>
  <c r="AH440" i="1"/>
  <c r="AK454" i="1"/>
  <c r="AP454" i="1" s="1"/>
  <c r="AH454" i="1"/>
  <c r="AK11" i="2"/>
  <c r="AP11" i="2" s="1"/>
  <c r="AQ11" i="2" s="1"/>
  <c r="AH11" i="2"/>
  <c r="AK13" i="2"/>
  <c r="AP13" i="2" s="1"/>
  <c r="AQ13" i="2" s="1"/>
  <c r="AH13" i="2"/>
  <c r="AH41" i="2"/>
  <c r="AK41" i="2" s="1"/>
  <c r="AP41" i="2" s="1"/>
  <c r="AQ41" i="2" s="1"/>
  <c r="AK48" i="2"/>
  <c r="AP48" i="2" s="1"/>
  <c r="AQ48" i="2" s="1"/>
  <c r="AH48" i="2"/>
  <c r="AH50" i="2"/>
  <c r="AK50" i="2" s="1"/>
  <c r="AP50" i="2" s="1"/>
  <c r="AQ50" i="2" s="1"/>
  <c r="AK57" i="2"/>
  <c r="AP57" i="2" s="1"/>
  <c r="AQ57" i="2" s="1"/>
  <c r="AH57" i="2"/>
  <c r="AH59" i="2"/>
  <c r="AK59" i="2"/>
  <c r="AP59" i="2" s="1"/>
  <c r="AQ59" i="2" s="1"/>
  <c r="AH63" i="2"/>
  <c r="AK63" i="2" s="1"/>
  <c r="AP63" i="2" s="1"/>
  <c r="AQ63" i="2" s="1"/>
  <c r="AI11" i="3"/>
  <c r="AH11" i="3"/>
  <c r="AG206" i="1"/>
  <c r="AG209" i="1"/>
  <c r="AG211" i="1"/>
  <c r="AG213" i="1"/>
  <c r="AG215" i="1"/>
  <c r="AG217" i="1"/>
  <c r="AG219" i="1"/>
  <c r="AG221" i="1"/>
  <c r="AG223" i="1"/>
  <c r="AG225" i="1"/>
  <c r="AG227" i="1"/>
  <c r="AG229" i="1"/>
  <c r="AG231" i="1"/>
  <c r="AG233" i="1"/>
  <c r="AG235" i="1"/>
  <c r="AG237" i="1"/>
  <c r="AG239" i="1"/>
  <c r="AG241" i="1"/>
  <c r="AG243" i="1"/>
  <c r="AG245" i="1"/>
  <c r="AG247" i="1"/>
  <c r="AG249" i="1"/>
  <c r="AG251" i="1"/>
  <c r="AG253" i="1"/>
  <c r="AG255" i="1"/>
  <c r="AG257" i="1"/>
  <c r="AG259" i="1"/>
  <c r="AG261" i="1"/>
  <c r="AG263" i="1"/>
  <c r="AG265" i="1"/>
  <c r="AG267" i="1"/>
  <c r="AG269" i="1"/>
  <c r="AH382" i="1"/>
  <c r="AK382" i="1" s="1"/>
  <c r="AP382" i="1" s="1"/>
  <c r="AK398" i="1"/>
  <c r="AP398" i="1" s="1"/>
  <c r="AH398" i="1"/>
  <c r="AH402" i="1"/>
  <c r="AK402" i="1" s="1"/>
  <c r="AP402" i="1" s="1"/>
  <c r="AH417" i="1"/>
  <c r="AK417" i="1" s="1"/>
  <c r="AP417" i="1" s="1"/>
  <c r="AK419" i="1"/>
  <c r="AP419" i="1" s="1"/>
  <c r="AK430" i="1"/>
  <c r="AP430" i="1" s="1"/>
  <c r="AH430" i="1"/>
  <c r="AH434" i="1"/>
  <c r="AK434" i="1" s="1"/>
  <c r="AP434" i="1" s="1"/>
  <c r="AK442" i="1"/>
  <c r="AP442" i="1" s="1"/>
  <c r="AH442" i="1"/>
  <c r="AH444" i="1"/>
  <c r="AK444" i="1" s="1"/>
  <c r="AP444" i="1" s="1"/>
  <c r="AK8" i="2"/>
  <c r="AP8" i="2" s="1"/>
  <c r="AQ8" i="2" s="1"/>
  <c r="AH8" i="2"/>
  <c r="AH16" i="2"/>
  <c r="AK16" i="2" s="1"/>
  <c r="AP16" i="2" s="1"/>
  <c r="AQ16" i="2" s="1"/>
  <c r="AK27" i="2"/>
  <c r="AP27" i="2" s="1"/>
  <c r="AQ27" i="2" s="1"/>
  <c r="AH27" i="2"/>
  <c r="AH29" i="2"/>
  <c r="AK29" i="2" s="1"/>
  <c r="AP29" i="2" s="1"/>
  <c r="AQ29" i="2" s="1"/>
  <c r="AK36" i="2"/>
  <c r="AP36" i="2" s="1"/>
  <c r="AQ36" i="2" s="1"/>
  <c r="AH36" i="2"/>
  <c r="AH43" i="2"/>
  <c r="AK43" i="2"/>
  <c r="AP43" i="2" s="1"/>
  <c r="AQ43" i="2" s="1"/>
  <c r="AK92" i="2"/>
  <c r="AP92" i="2" s="1"/>
  <c r="AQ92" i="2" s="1"/>
  <c r="AH92" i="2"/>
  <c r="AH94" i="2"/>
  <c r="AK94" i="2" s="1"/>
  <c r="AP94" i="2" s="1"/>
  <c r="AQ94" i="2" s="1"/>
  <c r="AH99" i="2"/>
  <c r="AK99" i="2" s="1"/>
  <c r="AP99" i="2" s="1"/>
  <c r="AQ99" i="2" s="1"/>
  <c r="AH103" i="2"/>
  <c r="AK103" i="2"/>
  <c r="AP103" i="2" s="1"/>
  <c r="AQ103" i="2" s="1"/>
  <c r="AK109" i="2"/>
  <c r="AP109" i="2" s="1"/>
  <c r="AQ109" i="2" s="1"/>
  <c r="AH109" i="2"/>
  <c r="AH111" i="2"/>
  <c r="AK111" i="2"/>
  <c r="AP111" i="2" s="1"/>
  <c r="AQ111" i="2" s="1"/>
  <c r="AK113" i="2"/>
  <c r="AP113" i="2" s="1"/>
  <c r="AQ113" i="2" s="1"/>
  <c r="AH113" i="2"/>
  <c r="AH115" i="2"/>
  <c r="AK115" i="2"/>
  <c r="AP115" i="2" s="1"/>
  <c r="AQ115" i="2" s="1"/>
  <c r="AK117" i="2"/>
  <c r="AP117" i="2" s="1"/>
  <c r="AQ117" i="2" s="1"/>
  <c r="AH117" i="2"/>
  <c r="AH124" i="2"/>
  <c r="AK124" i="2" s="1"/>
  <c r="AP124" i="2" s="1"/>
  <c r="AQ124" i="2" s="1"/>
  <c r="AK140" i="2"/>
  <c r="AP140" i="2" s="1"/>
  <c r="AQ140" i="2" s="1"/>
  <c r="AH140" i="2"/>
  <c r="AH146" i="2"/>
  <c r="AK146" i="2" s="1"/>
  <c r="AP146" i="2" s="1"/>
  <c r="AQ146" i="2" s="1"/>
  <c r="AK150" i="2"/>
  <c r="AP150" i="2" s="1"/>
  <c r="AQ150" i="2" s="1"/>
  <c r="AH150" i="2"/>
  <c r="AH83" i="3"/>
  <c r="AI83" i="3" s="1"/>
  <c r="AG205" i="1"/>
  <c r="AG270" i="1"/>
  <c r="AG271" i="1"/>
  <c r="AG272" i="1"/>
  <c r="AG273" i="1"/>
  <c r="AG274" i="1"/>
  <c r="AG275" i="1"/>
  <c r="AG276" i="1"/>
  <c r="AG277" i="1"/>
  <c r="AG278" i="1"/>
  <c r="AK279" i="1"/>
  <c r="AP279" i="1" s="1"/>
  <c r="AG282" i="1"/>
  <c r="AK283" i="1"/>
  <c r="AP283" i="1" s="1"/>
  <c r="AG286" i="1"/>
  <c r="AK287" i="1"/>
  <c r="AP287" i="1" s="1"/>
  <c r="AG290" i="1"/>
  <c r="AK291" i="1"/>
  <c r="AP291" i="1" s="1"/>
  <c r="AG294" i="1"/>
  <c r="AK295" i="1"/>
  <c r="AP295" i="1" s="1"/>
  <c r="AG298" i="1"/>
  <c r="AK299" i="1"/>
  <c r="AP299" i="1" s="1"/>
  <c r="AG302" i="1"/>
  <c r="AK303" i="1"/>
  <c r="AP303" i="1" s="1"/>
  <c r="AG306" i="1"/>
  <c r="AK307" i="1"/>
  <c r="AP307" i="1" s="1"/>
  <c r="AG310" i="1"/>
  <c r="AK311" i="1"/>
  <c r="AP311" i="1" s="1"/>
  <c r="AG314" i="1"/>
  <c r="AK315" i="1"/>
  <c r="AP315" i="1" s="1"/>
  <c r="AG318" i="1"/>
  <c r="AK319" i="1"/>
  <c r="AP319" i="1" s="1"/>
  <c r="AG322" i="1"/>
  <c r="AK323" i="1"/>
  <c r="AP323" i="1" s="1"/>
  <c r="AG326" i="1"/>
  <c r="AK327" i="1"/>
  <c r="AP327" i="1" s="1"/>
  <c r="AG330" i="1"/>
  <c r="AK331" i="1"/>
  <c r="AP331" i="1" s="1"/>
  <c r="AG334" i="1"/>
  <c r="AK335" i="1"/>
  <c r="AP335" i="1" s="1"/>
  <c r="AG338" i="1"/>
  <c r="AH339" i="1"/>
  <c r="AK339" i="1" s="1"/>
  <c r="AP339" i="1" s="1"/>
  <c r="AG342" i="1"/>
  <c r="AH343" i="1"/>
  <c r="AK343" i="1" s="1"/>
  <c r="AP343" i="1" s="1"/>
  <c r="AG346" i="1"/>
  <c r="AH347" i="1"/>
  <c r="AK347" i="1"/>
  <c r="AP347" i="1" s="1"/>
  <c r="AH351" i="1"/>
  <c r="AK351" i="1" s="1"/>
  <c r="AP351" i="1" s="1"/>
  <c r="AH355" i="1"/>
  <c r="AK355" i="1"/>
  <c r="AP355" i="1" s="1"/>
  <c r="AH359" i="1"/>
  <c r="AK359" i="1" s="1"/>
  <c r="AP359" i="1" s="1"/>
  <c r="AH363" i="1"/>
  <c r="AK363" i="1"/>
  <c r="AP363" i="1" s="1"/>
  <c r="AH367" i="1"/>
  <c r="AK367" i="1" s="1"/>
  <c r="AP367" i="1" s="1"/>
  <c r="AH371" i="1"/>
  <c r="AK371" i="1"/>
  <c r="AP371" i="1" s="1"/>
  <c r="AH375" i="1"/>
  <c r="AK375" i="1" s="1"/>
  <c r="AP375" i="1" s="1"/>
  <c r="AH378" i="1"/>
  <c r="AK378" i="1"/>
  <c r="AP378" i="1" s="1"/>
  <c r="AH409" i="1"/>
  <c r="AK409" i="1" s="1"/>
  <c r="AP409" i="1" s="1"/>
  <c r="AK411" i="1"/>
  <c r="AP411" i="1" s="1"/>
  <c r="AK422" i="1"/>
  <c r="AP422" i="1" s="1"/>
  <c r="AH422" i="1"/>
  <c r="AH426" i="1"/>
  <c r="AK426" i="1" s="1"/>
  <c r="AP426" i="1" s="1"/>
  <c r="AK446" i="1"/>
  <c r="AP446" i="1" s="1"/>
  <c r="AH446" i="1"/>
  <c r="AH448" i="1"/>
  <c r="AK448" i="1" s="1"/>
  <c r="AP448" i="1" s="1"/>
  <c r="AK24" i="2"/>
  <c r="AP24" i="2" s="1"/>
  <c r="AQ24" i="2" s="1"/>
  <c r="AH24" i="2"/>
  <c r="AH87" i="2"/>
  <c r="AK87" i="2"/>
  <c r="AP87" i="2" s="1"/>
  <c r="AQ87" i="2" s="1"/>
  <c r="AH119" i="2"/>
  <c r="AK119" i="2" s="1"/>
  <c r="AP119" i="2" s="1"/>
  <c r="AQ119" i="2" s="1"/>
  <c r="AH10" i="3"/>
  <c r="AI10" i="3" s="1"/>
  <c r="AI26" i="3"/>
  <c r="AH26" i="3"/>
  <c r="AH42" i="3"/>
  <c r="AI42" i="3" s="1"/>
  <c r="AH400" i="1"/>
  <c r="AK400" i="1" s="1"/>
  <c r="AP400" i="1" s="1"/>
  <c r="AH408" i="1"/>
  <c r="AK408" i="1" s="1"/>
  <c r="AP408" i="1" s="1"/>
  <c r="AH416" i="1"/>
  <c r="AK416" i="1" s="1"/>
  <c r="AP416" i="1" s="1"/>
  <c r="AH424" i="1"/>
  <c r="AK424" i="1" s="1"/>
  <c r="AP424" i="1" s="1"/>
  <c r="AH432" i="1"/>
  <c r="AK432" i="1" s="1"/>
  <c r="AP432" i="1" s="1"/>
  <c r="AK2" i="2"/>
  <c r="AP2" i="2" s="1"/>
  <c r="AQ2" i="2" s="1"/>
  <c r="AH12" i="2"/>
  <c r="AK12" i="2" s="1"/>
  <c r="AP12" i="2" s="1"/>
  <c r="AQ12" i="2" s="1"/>
  <c r="AK15" i="2"/>
  <c r="AP15" i="2" s="1"/>
  <c r="AQ15" i="2" s="1"/>
  <c r="AH15" i="2"/>
  <c r="AK18" i="2"/>
  <c r="AP18" i="2" s="1"/>
  <c r="AQ18" i="2" s="1"/>
  <c r="AK28" i="2"/>
  <c r="AP28" i="2" s="1"/>
  <c r="AQ28" i="2" s="1"/>
  <c r="AH28" i="2"/>
  <c r="AK39" i="2"/>
  <c r="AP39" i="2" s="1"/>
  <c r="AQ39" i="2" s="1"/>
  <c r="AH39" i="2"/>
  <c r="AK49" i="2"/>
  <c r="AP49" i="2" s="1"/>
  <c r="AQ49" i="2" s="1"/>
  <c r="AH83" i="2"/>
  <c r="AK83" i="2" s="1"/>
  <c r="AP83" i="2" s="1"/>
  <c r="AQ83" i="2" s="1"/>
  <c r="AH85" i="2"/>
  <c r="AK85" i="2" s="1"/>
  <c r="AP85" i="2" s="1"/>
  <c r="AQ85" i="2" s="1"/>
  <c r="AK97" i="2"/>
  <c r="AP97" i="2" s="1"/>
  <c r="AQ97" i="2" s="1"/>
  <c r="AH97" i="2"/>
  <c r="AH158" i="2"/>
  <c r="AK158" i="2"/>
  <c r="AI75" i="3"/>
  <c r="AH75" i="3"/>
  <c r="AH399" i="1"/>
  <c r="AK399" i="1"/>
  <c r="AP399" i="1" s="1"/>
  <c r="AH407" i="1"/>
  <c r="AK407" i="1" s="1"/>
  <c r="AP407" i="1" s="1"/>
  <c r="AH415" i="1"/>
  <c r="AK415" i="1"/>
  <c r="AP415" i="1" s="1"/>
  <c r="AH423" i="1"/>
  <c r="AK423" i="1" s="1"/>
  <c r="AP423" i="1" s="1"/>
  <c r="AH431" i="1"/>
  <c r="AK431" i="1"/>
  <c r="AP431" i="1" s="1"/>
  <c r="AK455" i="1"/>
  <c r="AH455" i="1"/>
  <c r="AH5" i="2"/>
  <c r="AK5" i="2" s="1"/>
  <c r="AP5" i="2" s="1"/>
  <c r="AQ5" i="2" s="1"/>
  <c r="AH21" i="2"/>
  <c r="AK21" i="2" s="1"/>
  <c r="AP21" i="2" s="1"/>
  <c r="AQ21" i="2" s="1"/>
  <c r="AK32" i="2"/>
  <c r="AP32" i="2" s="1"/>
  <c r="AQ32" i="2" s="1"/>
  <c r="AH32" i="2"/>
  <c r="AK34" i="2"/>
  <c r="AP34" i="2" s="1"/>
  <c r="AQ34" i="2" s="1"/>
  <c r="AK52" i="2"/>
  <c r="AP52" i="2" s="1"/>
  <c r="AQ52" i="2" s="1"/>
  <c r="AH52" i="2"/>
  <c r="AK64" i="2"/>
  <c r="AP64" i="2" s="1"/>
  <c r="AQ64" i="2" s="1"/>
  <c r="AH64" i="2"/>
  <c r="AK93" i="2"/>
  <c r="AP93" i="2" s="1"/>
  <c r="AQ93" i="2" s="1"/>
  <c r="AH93" i="2"/>
  <c r="AK96" i="2"/>
  <c r="AP96" i="2" s="1"/>
  <c r="AQ96" i="2" s="1"/>
  <c r="AH96" i="2"/>
  <c r="AK100" i="2"/>
  <c r="AP100" i="2" s="1"/>
  <c r="AQ100" i="2" s="1"/>
  <c r="AH100" i="2"/>
  <c r="AH104" i="2"/>
  <c r="AK104" i="2" s="1"/>
  <c r="AP104" i="2" s="1"/>
  <c r="AQ104" i="2" s="1"/>
  <c r="AK108" i="2"/>
  <c r="AP108" i="2" s="1"/>
  <c r="AQ108" i="2" s="1"/>
  <c r="AH108" i="2"/>
  <c r="AH120" i="2"/>
  <c r="AK120" i="2" s="1"/>
  <c r="AP120" i="2" s="1"/>
  <c r="AQ120" i="2" s="1"/>
  <c r="AI27" i="3"/>
  <c r="AH27" i="3"/>
  <c r="AH41" i="3"/>
  <c r="AI41" i="3" s="1"/>
  <c r="AG384" i="1"/>
  <c r="AG386" i="1"/>
  <c r="AG388" i="1"/>
  <c r="AG390" i="1"/>
  <c r="AG392" i="1"/>
  <c r="AG394" i="1"/>
  <c r="AG396" i="1"/>
  <c r="AG404" i="1"/>
  <c r="AG412" i="1"/>
  <c r="AG420" i="1"/>
  <c r="AG428" i="1"/>
  <c r="AG436" i="1"/>
  <c r="AG4" i="2"/>
  <c r="AK7" i="2"/>
  <c r="AP7" i="2" s="1"/>
  <c r="AQ7" i="2" s="1"/>
  <c r="AH7" i="2"/>
  <c r="AK10" i="2"/>
  <c r="AP10" i="2" s="1"/>
  <c r="AQ10" i="2" s="1"/>
  <c r="AG20" i="2"/>
  <c r="AK23" i="2"/>
  <c r="AP23" i="2" s="1"/>
  <c r="AQ23" i="2" s="1"/>
  <c r="AH23" i="2"/>
  <c r="AK26" i="2"/>
  <c r="AP26" i="2" s="1"/>
  <c r="AQ26" i="2" s="1"/>
  <c r="AK37" i="2"/>
  <c r="AP37" i="2" s="1"/>
  <c r="AQ37" i="2" s="1"/>
  <c r="AH37" i="2"/>
  <c r="AK47" i="2"/>
  <c r="AP47" i="2" s="1"/>
  <c r="AQ47" i="2" s="1"/>
  <c r="AK51" i="2"/>
  <c r="AP51" i="2" s="1"/>
  <c r="AQ51" i="2" s="1"/>
  <c r="AK88" i="2"/>
  <c r="AP88" i="2" s="1"/>
  <c r="AQ88" i="2" s="1"/>
  <c r="AH88" i="2"/>
  <c r="AH132" i="2"/>
  <c r="AK132" i="2" s="1"/>
  <c r="AP132" i="2" s="1"/>
  <c r="AQ132" i="2" s="1"/>
  <c r="AK134" i="2"/>
  <c r="AP134" i="2" s="1"/>
  <c r="AQ134" i="2" s="1"/>
  <c r="AH134" i="2"/>
  <c r="AH144" i="2"/>
  <c r="AK144" i="2" s="1"/>
  <c r="AP144" i="2" s="1"/>
  <c r="AQ144" i="2" s="1"/>
  <c r="AI9" i="3"/>
  <c r="AH9" i="3"/>
  <c r="AH58" i="3"/>
  <c r="AI58" i="3" s="1"/>
  <c r="AI66" i="3"/>
  <c r="AH66" i="3"/>
  <c r="AH70" i="3"/>
  <c r="AI70" i="3" s="1"/>
  <c r="AI74" i="3"/>
  <c r="AH74" i="3"/>
  <c r="AH82" i="3"/>
  <c r="AI82" i="3" s="1"/>
  <c r="AK40" i="2"/>
  <c r="AP40" i="2" s="1"/>
  <c r="AQ40" i="2" s="1"/>
  <c r="AH40" i="2"/>
  <c r="AH44" i="2"/>
  <c r="AK44" i="2" s="1"/>
  <c r="AP44" i="2" s="1"/>
  <c r="AQ44" i="2" s="1"/>
  <c r="AK46" i="2"/>
  <c r="AP46" i="2" s="1"/>
  <c r="AQ46" i="2" s="1"/>
  <c r="AH55" i="2"/>
  <c r="AK55" i="2" s="1"/>
  <c r="AP55" i="2" s="1"/>
  <c r="AQ55" i="2" s="1"/>
  <c r="AH61" i="2"/>
  <c r="AK61" i="2" s="1"/>
  <c r="AP61" i="2" s="1"/>
  <c r="AQ61" i="2" s="1"/>
  <c r="AK89" i="2"/>
  <c r="AP89" i="2" s="1"/>
  <c r="AQ89" i="2" s="1"/>
  <c r="AK90" i="2"/>
  <c r="AP90" i="2" s="1"/>
  <c r="AQ90" i="2" s="1"/>
  <c r="AH90" i="2"/>
  <c r="AK91" i="2"/>
  <c r="AP91" i="2" s="1"/>
  <c r="AQ91" i="2" s="1"/>
  <c r="AK121" i="2"/>
  <c r="AP121" i="2" s="1"/>
  <c r="AQ121" i="2" s="1"/>
  <c r="AK122" i="2"/>
  <c r="AP122" i="2" s="1"/>
  <c r="AQ122" i="2" s="1"/>
  <c r="AH122" i="2"/>
  <c r="AK123" i="2"/>
  <c r="AP123" i="2" s="1"/>
  <c r="AQ123" i="2" s="1"/>
  <c r="AK133" i="2"/>
  <c r="AP133" i="2" s="1"/>
  <c r="AQ133" i="2" s="1"/>
  <c r="AH133" i="2"/>
  <c r="AK136" i="2"/>
  <c r="AP136" i="2" s="1"/>
  <c r="AQ136" i="2" s="1"/>
  <c r="AH136" i="2"/>
  <c r="AK139" i="2"/>
  <c r="AP139" i="2" s="1"/>
  <c r="AQ139" i="2" s="1"/>
  <c r="AH2" i="3"/>
  <c r="AI2" i="3" s="1"/>
  <c r="AI6" i="3"/>
  <c r="AH6" i="3"/>
  <c r="AH8" i="3"/>
  <c r="AI8" i="3"/>
  <c r="AI13" i="3"/>
  <c r="AI15" i="3"/>
  <c r="AH15" i="3"/>
  <c r="AI17" i="3"/>
  <c r="AI19" i="3"/>
  <c r="AH19" i="3"/>
  <c r="AH34" i="3"/>
  <c r="AI34" i="3" s="1"/>
  <c r="AI38" i="3"/>
  <c r="AH38" i="3"/>
  <c r="AH40" i="3"/>
  <c r="AI40" i="3"/>
  <c r="AI45" i="3"/>
  <c r="AI47" i="3"/>
  <c r="AH47" i="3"/>
  <c r="AI49" i="3"/>
  <c r="AI51" i="3"/>
  <c r="AH51" i="3"/>
  <c r="AH59" i="3"/>
  <c r="AI59" i="3" s="1"/>
  <c r="AI63" i="3"/>
  <c r="AH63" i="3"/>
  <c r="AI65" i="3"/>
  <c r="AH65" i="3"/>
  <c r="AI78" i="3"/>
  <c r="AH78" i="3"/>
  <c r="AI87" i="3"/>
  <c r="AH87" i="3"/>
  <c r="AH89" i="3"/>
  <c r="AI89" i="3" s="1"/>
  <c r="AH439" i="1"/>
  <c r="AK439" i="1" s="1"/>
  <c r="AP439" i="1" s="1"/>
  <c r="AH441" i="1"/>
  <c r="AK441" i="1"/>
  <c r="AP441" i="1" s="1"/>
  <c r="AH443" i="1"/>
  <c r="AK443" i="1" s="1"/>
  <c r="AP443" i="1" s="1"/>
  <c r="AH445" i="1"/>
  <c r="AK445" i="1"/>
  <c r="AP445" i="1" s="1"/>
  <c r="AH447" i="1"/>
  <c r="AK447" i="1" s="1"/>
  <c r="AP447" i="1" s="1"/>
  <c r="AH449" i="1"/>
  <c r="AK449" i="1"/>
  <c r="AP449" i="1" s="1"/>
  <c r="AH451" i="1"/>
  <c r="AK451" i="1" s="1"/>
  <c r="AP451" i="1" s="1"/>
  <c r="AH453" i="1"/>
  <c r="AK453" i="1"/>
  <c r="AP453" i="1" s="1"/>
  <c r="AH6" i="2"/>
  <c r="AK6" i="2" s="1"/>
  <c r="AP6" i="2" s="1"/>
  <c r="AQ6" i="2" s="1"/>
  <c r="AG9" i="2"/>
  <c r="AH14" i="2"/>
  <c r="AK14" i="2" s="1"/>
  <c r="AP14" i="2" s="1"/>
  <c r="AQ14" i="2" s="1"/>
  <c r="AG17" i="2"/>
  <c r="AH22" i="2"/>
  <c r="AK22" i="2"/>
  <c r="AP22" i="2" s="1"/>
  <c r="AQ22" i="2" s="1"/>
  <c r="AG25" i="2"/>
  <c r="AH30" i="2"/>
  <c r="AK30" i="2" s="1"/>
  <c r="AP30" i="2" s="1"/>
  <c r="AQ30" i="2" s="1"/>
  <c r="AG33" i="2"/>
  <c r="AH38" i="2"/>
  <c r="AK38" i="2" s="1"/>
  <c r="AP38" i="2" s="1"/>
  <c r="AQ38" i="2" s="1"/>
  <c r="AH65" i="2"/>
  <c r="AK65" i="2"/>
  <c r="AP65" i="2" s="1"/>
  <c r="AQ65" i="2" s="1"/>
  <c r="AK66" i="2"/>
  <c r="AP66" i="2" s="1"/>
  <c r="AQ66" i="2" s="1"/>
  <c r="AH66" i="2"/>
  <c r="AH67" i="2"/>
  <c r="AK67" i="2"/>
  <c r="AP67" i="2" s="1"/>
  <c r="AQ67" i="2" s="1"/>
  <c r="AH68" i="2"/>
  <c r="AK68" i="2" s="1"/>
  <c r="AP68" i="2" s="1"/>
  <c r="AQ68" i="2" s="1"/>
  <c r="AK84" i="2"/>
  <c r="AP84" i="2" s="1"/>
  <c r="AQ84" i="2" s="1"/>
  <c r="AH84" i="2"/>
  <c r="AK86" i="2"/>
  <c r="AP86" i="2" s="1"/>
  <c r="AQ86" i="2" s="1"/>
  <c r="AH95" i="2"/>
  <c r="AK95" i="2" s="1"/>
  <c r="AP95" i="2" s="1"/>
  <c r="AQ95" i="2" s="1"/>
  <c r="AG101" i="2"/>
  <c r="AG110" i="2"/>
  <c r="AG112" i="2"/>
  <c r="AK116" i="2"/>
  <c r="AP116" i="2" s="1"/>
  <c r="AQ116" i="2" s="1"/>
  <c r="AH116" i="2"/>
  <c r="AK118" i="2"/>
  <c r="AP118" i="2" s="1"/>
  <c r="AQ118" i="2" s="1"/>
  <c r="AG126" i="2"/>
  <c r="AG142" i="2"/>
  <c r="AH151" i="2"/>
  <c r="AK151" i="2" s="1"/>
  <c r="AP151" i="2" s="1"/>
  <c r="AQ151" i="2" s="1"/>
  <c r="AK154" i="2"/>
  <c r="AP154" i="2" s="1"/>
  <c r="AQ154" i="2" s="1"/>
  <c r="AH154" i="2"/>
  <c r="AH156" i="2"/>
  <c r="AK156" i="2" s="1"/>
  <c r="AP156" i="2" s="1"/>
  <c r="AQ156" i="2" s="1"/>
  <c r="AG25" i="3"/>
  <c r="AG57" i="3"/>
  <c r="AH67" i="3"/>
  <c r="AI67" i="3" s="1"/>
  <c r="AG45" i="2"/>
  <c r="AG54" i="2"/>
  <c r="AG56" i="2"/>
  <c r="AK60" i="2"/>
  <c r="AP60" i="2" s="1"/>
  <c r="AQ60" i="2" s="1"/>
  <c r="AH60" i="2"/>
  <c r="AH105" i="2"/>
  <c r="AK105" i="2"/>
  <c r="AP105" i="2" s="1"/>
  <c r="AQ105" i="2" s="1"/>
  <c r="AK106" i="2"/>
  <c r="AP106" i="2" s="1"/>
  <c r="AQ106" i="2" s="1"/>
  <c r="AH106" i="2"/>
  <c r="AH107" i="2"/>
  <c r="AK107" i="2"/>
  <c r="AP107" i="2" s="1"/>
  <c r="AQ107" i="2" s="1"/>
  <c r="AG125" i="2"/>
  <c r="AK128" i="2"/>
  <c r="AP128" i="2" s="1"/>
  <c r="AQ128" i="2" s="1"/>
  <c r="AH128" i="2"/>
  <c r="AK131" i="2"/>
  <c r="AP131" i="2" s="1"/>
  <c r="AQ131" i="2" s="1"/>
  <c r="AG141" i="2"/>
  <c r="AG147" i="2"/>
  <c r="AK153" i="2"/>
  <c r="AP153" i="2" s="1"/>
  <c r="AQ153" i="2" s="1"/>
  <c r="AI3" i="3"/>
  <c r="AH3" i="3"/>
  <c r="AH18" i="3"/>
  <c r="AI18" i="3" s="1"/>
  <c r="AI22" i="3"/>
  <c r="AH22" i="3"/>
  <c r="AI24" i="3"/>
  <c r="AI29" i="3"/>
  <c r="AI31" i="3"/>
  <c r="AH31" i="3"/>
  <c r="AI35" i="3"/>
  <c r="AH35" i="3"/>
  <c r="AI50" i="3"/>
  <c r="AH50" i="3"/>
  <c r="AI54" i="3"/>
  <c r="AH54" i="3"/>
  <c r="AI56" i="3"/>
  <c r="AH46" i="2"/>
  <c r="AH62" i="2"/>
  <c r="AK62" i="2" s="1"/>
  <c r="AP62" i="2" s="1"/>
  <c r="AQ62" i="2" s="1"/>
  <c r="AH86" i="2"/>
  <c r="AH102" i="2"/>
  <c r="AK102" i="2" s="1"/>
  <c r="AP102" i="2" s="1"/>
  <c r="AQ102" i="2" s="1"/>
  <c r="AH118" i="2"/>
  <c r="AH127" i="2"/>
  <c r="AK127" i="2" s="1"/>
  <c r="AP127" i="2" s="1"/>
  <c r="AQ127" i="2" s="1"/>
  <c r="AH130" i="2"/>
  <c r="AK130" i="2" s="1"/>
  <c r="AP130" i="2" s="1"/>
  <c r="AQ130" i="2" s="1"/>
  <c r="AH135" i="2"/>
  <c r="AK135" i="2"/>
  <c r="AP135" i="2" s="1"/>
  <c r="AQ135" i="2" s="1"/>
  <c r="AH138" i="2"/>
  <c r="AK138" i="2" s="1"/>
  <c r="AP138" i="2" s="1"/>
  <c r="AQ138" i="2" s="1"/>
  <c r="AH143" i="2"/>
  <c r="AK143" i="2" s="1"/>
  <c r="AP143" i="2" s="1"/>
  <c r="AQ143" i="2" s="1"/>
  <c r="AK152" i="2"/>
  <c r="AP152" i="2" s="1"/>
  <c r="AQ152" i="2" s="1"/>
  <c r="AK155" i="2"/>
  <c r="AP155" i="2" s="1"/>
  <c r="AQ155" i="2" s="1"/>
  <c r="AH155" i="2"/>
  <c r="AH157" i="2"/>
  <c r="AK157" i="2" s="1"/>
  <c r="AP157" i="2" s="1"/>
  <c r="AQ157" i="2" s="1"/>
  <c r="AH17" i="3"/>
  <c r="AH33" i="3"/>
  <c r="AI33" i="3" s="1"/>
  <c r="AH49" i="3"/>
  <c r="AI62" i="3"/>
  <c r="AH62" i="3"/>
  <c r="AI77" i="3"/>
  <c r="AH79" i="3"/>
  <c r="AI79" i="3" s="1"/>
  <c r="AI81" i="3"/>
  <c r="AH81" i="3"/>
  <c r="AG42" i="2"/>
  <c r="AG58" i="2"/>
  <c r="AG98" i="2"/>
  <c r="AG114" i="2"/>
  <c r="AG148" i="2"/>
  <c r="AI5" i="3"/>
  <c r="AI7" i="3"/>
  <c r="AH7" i="3"/>
  <c r="AH14" i="3"/>
  <c r="AI14" i="3" s="1"/>
  <c r="AH16" i="3"/>
  <c r="AI16" i="3" s="1"/>
  <c r="AI23" i="3"/>
  <c r="AH23" i="3"/>
  <c r="AI30" i="3"/>
  <c r="AH30" i="3"/>
  <c r="AH32" i="3"/>
  <c r="AI32" i="3" s="1"/>
  <c r="AH39" i="3"/>
  <c r="AI39" i="3" s="1"/>
  <c r="AI46" i="3"/>
  <c r="AH46" i="3"/>
  <c r="AH48" i="3"/>
  <c r="AI48" i="3"/>
  <c r="AI55" i="3"/>
  <c r="AH55" i="3"/>
  <c r="AI69" i="3"/>
  <c r="AI71" i="3"/>
  <c r="AH71" i="3"/>
  <c r="AH73" i="3"/>
  <c r="AI73" i="3" s="1"/>
  <c r="AI86" i="3"/>
  <c r="AH86" i="3"/>
  <c r="AH64" i="3"/>
  <c r="AI64" i="3"/>
  <c r="AH72" i="3"/>
  <c r="AI72" i="3" s="1"/>
  <c r="AH80" i="3"/>
  <c r="AI80" i="3"/>
  <c r="AH88" i="3"/>
  <c r="AI88" i="3" s="1"/>
  <c r="AH149" i="2"/>
  <c r="AK149" i="2"/>
  <c r="AP149" i="2" s="1"/>
  <c r="AQ149" i="2" s="1"/>
  <c r="AH152" i="2"/>
  <c r="AH5" i="3"/>
  <c r="AH13" i="3"/>
  <c r="AH21" i="3"/>
  <c r="AI21" i="3" s="1"/>
  <c r="AH29" i="3"/>
  <c r="AH37" i="3"/>
  <c r="AI37" i="3" s="1"/>
  <c r="AH45" i="3"/>
  <c r="AH53" i="3"/>
  <c r="AI53" i="3" s="1"/>
  <c r="AH61" i="3"/>
  <c r="AI61" i="3" s="1"/>
  <c r="AH69" i="3"/>
  <c r="AH77" i="3"/>
  <c r="AH85" i="3"/>
  <c r="AI85" i="3" s="1"/>
  <c r="AG145" i="2"/>
  <c r="AG159" i="2"/>
  <c r="AH160" i="2"/>
  <c r="AK160" i="2" s="1"/>
  <c r="AH4" i="3"/>
  <c r="AI4" i="3" s="1"/>
  <c r="AH12" i="3"/>
  <c r="AI12" i="3"/>
  <c r="AH20" i="3"/>
  <c r="AI20" i="3" s="1"/>
  <c r="AH28" i="3"/>
  <c r="AI28" i="3"/>
  <c r="AH36" i="3"/>
  <c r="AI36" i="3" s="1"/>
  <c r="AH44" i="3"/>
  <c r="AI44" i="3"/>
  <c r="AH52" i="3"/>
  <c r="AI52" i="3" s="1"/>
  <c r="AH60" i="3"/>
  <c r="AI60" i="3"/>
  <c r="AH68" i="3"/>
  <c r="AI68" i="3" s="1"/>
  <c r="AH76" i="3"/>
  <c r="AI76" i="3"/>
  <c r="AH84" i="3"/>
  <c r="AI84" i="3" s="1"/>
  <c r="AH58" i="2" l="1"/>
  <c r="AK58" i="2" s="1"/>
  <c r="AP58" i="2" s="1"/>
  <c r="AQ58" i="2" s="1"/>
  <c r="AH110" i="2"/>
  <c r="AK110" i="2" s="1"/>
  <c r="AP110" i="2" s="1"/>
  <c r="AQ110" i="2" s="1"/>
  <c r="AH404" i="1"/>
  <c r="AK404" i="1" s="1"/>
  <c r="AP404" i="1" s="1"/>
  <c r="AH338" i="1"/>
  <c r="AK338" i="1" s="1"/>
  <c r="AP338" i="1" s="1"/>
  <c r="AH322" i="1"/>
  <c r="AK322" i="1" s="1"/>
  <c r="AP322" i="1" s="1"/>
  <c r="AH298" i="1"/>
  <c r="AK298" i="1" s="1"/>
  <c r="AP298" i="1" s="1"/>
  <c r="AH276" i="1"/>
  <c r="AK276" i="1" s="1"/>
  <c r="AP276" i="1" s="1"/>
  <c r="AQ276" i="1" s="1"/>
  <c r="AH267" i="1"/>
  <c r="AK267" i="1" s="1"/>
  <c r="AP267" i="1" s="1"/>
  <c r="AQ267" i="1" s="1"/>
  <c r="AH243" i="1"/>
  <c r="AK243" i="1" s="1"/>
  <c r="AP243" i="1" s="1"/>
  <c r="AQ243" i="1" s="1"/>
  <c r="AH219" i="1"/>
  <c r="AK219" i="1" s="1"/>
  <c r="AP219" i="1" s="1"/>
  <c r="AQ219" i="1" s="1"/>
  <c r="AH148" i="2"/>
  <c r="AK148" i="2"/>
  <c r="AP148" i="2" s="1"/>
  <c r="AQ148" i="2" s="1"/>
  <c r="AH42" i="2"/>
  <c r="AK42" i="2"/>
  <c r="AP42" i="2" s="1"/>
  <c r="AQ42" i="2" s="1"/>
  <c r="AH147" i="2"/>
  <c r="AK147" i="2" s="1"/>
  <c r="AP147" i="2" s="1"/>
  <c r="AQ147" i="2" s="1"/>
  <c r="AH56" i="2"/>
  <c r="AK56" i="2" s="1"/>
  <c r="AP56" i="2" s="1"/>
  <c r="AQ56" i="2" s="1"/>
  <c r="AH101" i="2"/>
  <c r="AK101" i="2" s="1"/>
  <c r="AP101" i="2" s="1"/>
  <c r="AQ101" i="2" s="1"/>
  <c r="AH9" i="2"/>
  <c r="AK9" i="2" s="1"/>
  <c r="AP9" i="2" s="1"/>
  <c r="AQ9" i="2" s="1"/>
  <c r="AH428" i="1"/>
  <c r="AK428" i="1"/>
  <c r="AP428" i="1" s="1"/>
  <c r="AH396" i="1"/>
  <c r="AK396" i="1"/>
  <c r="AP396" i="1" s="1"/>
  <c r="AH388" i="1"/>
  <c r="AK388" i="1"/>
  <c r="AP388" i="1" s="1"/>
  <c r="AH342" i="1"/>
  <c r="AK342" i="1" s="1"/>
  <c r="AP342" i="1" s="1"/>
  <c r="AH275" i="1"/>
  <c r="AK275" i="1" s="1"/>
  <c r="AP275" i="1" s="1"/>
  <c r="AQ275" i="1" s="1"/>
  <c r="AH271" i="1"/>
  <c r="AK271" i="1" s="1"/>
  <c r="AP271" i="1" s="1"/>
  <c r="AQ271" i="1" s="1"/>
  <c r="AH265" i="1"/>
  <c r="AK265" i="1" s="1"/>
  <c r="AP265" i="1" s="1"/>
  <c r="AQ265" i="1" s="1"/>
  <c r="AH257" i="1"/>
  <c r="AK257" i="1" s="1"/>
  <c r="AP257" i="1" s="1"/>
  <c r="AQ257" i="1" s="1"/>
  <c r="AH249" i="1"/>
  <c r="AK249" i="1" s="1"/>
  <c r="AP249" i="1" s="1"/>
  <c r="AQ249" i="1" s="1"/>
  <c r="AH241" i="1"/>
  <c r="AK241" i="1" s="1"/>
  <c r="AP241" i="1" s="1"/>
  <c r="AQ241" i="1" s="1"/>
  <c r="AH233" i="1"/>
  <c r="AK233" i="1" s="1"/>
  <c r="AP233" i="1" s="1"/>
  <c r="AQ233" i="1" s="1"/>
  <c r="AH225" i="1"/>
  <c r="AK225" i="1" s="1"/>
  <c r="AP225" i="1" s="1"/>
  <c r="AQ225" i="1" s="1"/>
  <c r="AH217" i="1"/>
  <c r="AK217" i="1" s="1"/>
  <c r="AP217" i="1" s="1"/>
  <c r="AQ217" i="1" s="1"/>
  <c r="AH209" i="1"/>
  <c r="AK209" i="1" s="1"/>
  <c r="AP209" i="1" s="1"/>
  <c r="AQ209" i="1" s="1"/>
  <c r="AH390" i="1"/>
  <c r="AK390" i="1"/>
  <c r="AP390" i="1" s="1"/>
  <c r="AH330" i="1"/>
  <c r="AK330" i="1" s="1"/>
  <c r="AP330" i="1" s="1"/>
  <c r="AH306" i="1"/>
  <c r="AK306" i="1" s="1"/>
  <c r="AP306" i="1" s="1"/>
  <c r="AH282" i="1"/>
  <c r="AK282" i="1" s="1"/>
  <c r="AP282" i="1" s="1"/>
  <c r="AH251" i="1"/>
  <c r="AK251" i="1" s="1"/>
  <c r="AP251" i="1" s="1"/>
  <c r="AQ251" i="1" s="1"/>
  <c r="AH227" i="1"/>
  <c r="AK227" i="1" s="1"/>
  <c r="AP227" i="1" s="1"/>
  <c r="AQ227" i="1" s="1"/>
  <c r="AH159" i="2"/>
  <c r="AK159" i="2" s="1"/>
  <c r="AH114" i="2"/>
  <c r="AK114" i="2"/>
  <c r="AP114" i="2" s="1"/>
  <c r="AQ114" i="2" s="1"/>
  <c r="AH141" i="2"/>
  <c r="AK141" i="2" s="1"/>
  <c r="AP141" i="2" s="1"/>
  <c r="AQ141" i="2" s="1"/>
  <c r="AH54" i="2"/>
  <c r="AK54" i="2"/>
  <c r="AP54" i="2" s="1"/>
  <c r="AQ54" i="2" s="1"/>
  <c r="AH57" i="3"/>
  <c r="AI57" i="3" s="1"/>
  <c r="AH142" i="2"/>
  <c r="AK142" i="2" s="1"/>
  <c r="AP142" i="2" s="1"/>
  <c r="AQ142" i="2" s="1"/>
  <c r="AH17" i="2"/>
  <c r="AK17" i="2" s="1"/>
  <c r="AP17" i="2" s="1"/>
  <c r="AQ17" i="2" s="1"/>
  <c r="AH420" i="1"/>
  <c r="AK420" i="1"/>
  <c r="AP420" i="1" s="1"/>
  <c r="AH394" i="1"/>
  <c r="AK394" i="1"/>
  <c r="AP394" i="1" s="1"/>
  <c r="AH386" i="1"/>
  <c r="AK386" i="1"/>
  <c r="AP386" i="1" s="1"/>
  <c r="AH346" i="1"/>
  <c r="AK346" i="1" s="1"/>
  <c r="AP346" i="1" s="1"/>
  <c r="AH334" i="1"/>
  <c r="AK334" i="1" s="1"/>
  <c r="AP334" i="1" s="1"/>
  <c r="AH326" i="1"/>
  <c r="AK326" i="1" s="1"/>
  <c r="AP326" i="1" s="1"/>
  <c r="AH318" i="1"/>
  <c r="AK318" i="1" s="1"/>
  <c r="AP318" i="1" s="1"/>
  <c r="AH310" i="1"/>
  <c r="AK310" i="1" s="1"/>
  <c r="AP310" i="1" s="1"/>
  <c r="AH302" i="1"/>
  <c r="AK302" i="1" s="1"/>
  <c r="AP302" i="1" s="1"/>
  <c r="AH294" i="1"/>
  <c r="AK294" i="1" s="1"/>
  <c r="AP294" i="1" s="1"/>
  <c r="AH286" i="1"/>
  <c r="AK286" i="1" s="1"/>
  <c r="AP286" i="1" s="1"/>
  <c r="AH278" i="1"/>
  <c r="AK278" i="1" s="1"/>
  <c r="AP278" i="1" s="1"/>
  <c r="AH274" i="1"/>
  <c r="AK274" i="1" s="1"/>
  <c r="AP274" i="1" s="1"/>
  <c r="AQ274" i="1" s="1"/>
  <c r="AH270" i="1"/>
  <c r="AK270" i="1" s="1"/>
  <c r="AP270" i="1" s="1"/>
  <c r="AQ270" i="1" s="1"/>
  <c r="AH263" i="1"/>
  <c r="AK263" i="1" s="1"/>
  <c r="AP263" i="1" s="1"/>
  <c r="AQ263" i="1" s="1"/>
  <c r="AH255" i="1"/>
  <c r="AK255" i="1" s="1"/>
  <c r="AP255" i="1" s="1"/>
  <c r="AQ255" i="1" s="1"/>
  <c r="AH247" i="1"/>
  <c r="AK247" i="1" s="1"/>
  <c r="AP247" i="1" s="1"/>
  <c r="AQ247" i="1" s="1"/>
  <c r="AH239" i="1"/>
  <c r="AK239" i="1" s="1"/>
  <c r="AP239" i="1" s="1"/>
  <c r="AQ239" i="1" s="1"/>
  <c r="AH231" i="1"/>
  <c r="AK231" i="1" s="1"/>
  <c r="AP231" i="1" s="1"/>
  <c r="AQ231" i="1" s="1"/>
  <c r="AH223" i="1"/>
  <c r="AK223" i="1" s="1"/>
  <c r="AP223" i="1" s="1"/>
  <c r="AQ223" i="1" s="1"/>
  <c r="AH215" i="1"/>
  <c r="AK215" i="1" s="1"/>
  <c r="AP215" i="1" s="1"/>
  <c r="AQ215" i="1" s="1"/>
  <c r="AH206" i="1"/>
  <c r="AK206" i="1" s="1"/>
  <c r="AP206" i="1" s="1"/>
  <c r="AQ206" i="1" s="1"/>
  <c r="AH207" i="1"/>
  <c r="AK207" i="1" s="1"/>
  <c r="AP207" i="1" s="1"/>
  <c r="AQ207" i="1" s="1"/>
  <c r="AH33" i="2"/>
  <c r="AK33" i="2" s="1"/>
  <c r="AP33" i="2" s="1"/>
  <c r="AQ33" i="2" s="1"/>
  <c r="AH436" i="1"/>
  <c r="AK436" i="1"/>
  <c r="AP436" i="1" s="1"/>
  <c r="AH314" i="1"/>
  <c r="AK314" i="1" s="1"/>
  <c r="AP314" i="1" s="1"/>
  <c r="AH290" i="1"/>
  <c r="AK290" i="1" s="1"/>
  <c r="AP290" i="1" s="1"/>
  <c r="AH272" i="1"/>
  <c r="AK272" i="1" s="1"/>
  <c r="AP272" i="1" s="1"/>
  <c r="AQ272" i="1" s="1"/>
  <c r="AH259" i="1"/>
  <c r="AK259" i="1" s="1"/>
  <c r="AP259" i="1" s="1"/>
  <c r="AQ259" i="1" s="1"/>
  <c r="AH235" i="1"/>
  <c r="AK235" i="1" s="1"/>
  <c r="AP235" i="1" s="1"/>
  <c r="AQ235" i="1" s="1"/>
  <c r="AH211" i="1"/>
  <c r="AK211" i="1" s="1"/>
  <c r="AP211" i="1" s="1"/>
  <c r="AQ211" i="1" s="1"/>
  <c r="AH145" i="2"/>
  <c r="AK145" i="2"/>
  <c r="AP145" i="2" s="1"/>
  <c r="AQ145" i="2" s="1"/>
  <c r="AH98" i="2"/>
  <c r="AK98" i="2"/>
  <c r="AP98" i="2" s="1"/>
  <c r="AQ98" i="2" s="1"/>
  <c r="AH125" i="2"/>
  <c r="AK125" i="2" s="1"/>
  <c r="AP125" i="2" s="1"/>
  <c r="AQ125" i="2" s="1"/>
  <c r="AH45" i="2"/>
  <c r="AK45" i="2"/>
  <c r="AP45" i="2" s="1"/>
  <c r="AQ45" i="2" s="1"/>
  <c r="AH25" i="3"/>
  <c r="AI25" i="3" s="1"/>
  <c r="AH126" i="2"/>
  <c r="AK126" i="2" s="1"/>
  <c r="AP126" i="2" s="1"/>
  <c r="AQ126" i="2" s="1"/>
  <c r="AH112" i="2"/>
  <c r="AK112" i="2" s="1"/>
  <c r="AP112" i="2" s="1"/>
  <c r="AQ112" i="2" s="1"/>
  <c r="AH25" i="2"/>
  <c r="AK25" i="2" s="1"/>
  <c r="AP25" i="2" s="1"/>
  <c r="AQ25" i="2" s="1"/>
  <c r="AH20" i="2"/>
  <c r="AK20" i="2" s="1"/>
  <c r="AP20" i="2" s="1"/>
  <c r="AQ20" i="2" s="1"/>
  <c r="AH4" i="2"/>
  <c r="AK4" i="2" s="1"/>
  <c r="AP4" i="2" s="1"/>
  <c r="AQ4" i="2" s="1"/>
  <c r="AH412" i="1"/>
  <c r="AK412" i="1"/>
  <c r="AP412" i="1" s="1"/>
  <c r="AH392" i="1"/>
  <c r="AK392" i="1"/>
  <c r="AP392" i="1" s="1"/>
  <c r="AH384" i="1"/>
  <c r="AK384" i="1"/>
  <c r="AP384" i="1" s="1"/>
  <c r="AH277" i="1"/>
  <c r="AK277" i="1" s="1"/>
  <c r="AP277" i="1" s="1"/>
  <c r="AQ277" i="1" s="1"/>
  <c r="AH273" i="1"/>
  <c r="AK273" i="1" s="1"/>
  <c r="AP273" i="1" s="1"/>
  <c r="AQ273" i="1" s="1"/>
  <c r="AH205" i="1"/>
  <c r="AK205" i="1"/>
  <c r="AP205" i="1" s="1"/>
  <c r="AQ205" i="1" s="1"/>
  <c r="AH269" i="1"/>
  <c r="AK269" i="1" s="1"/>
  <c r="AP269" i="1" s="1"/>
  <c r="AQ269" i="1" s="1"/>
  <c r="AH261" i="1"/>
  <c r="AK261" i="1" s="1"/>
  <c r="AP261" i="1" s="1"/>
  <c r="AQ261" i="1" s="1"/>
  <c r="AH253" i="1"/>
  <c r="AK253" i="1" s="1"/>
  <c r="AP253" i="1" s="1"/>
  <c r="AQ253" i="1" s="1"/>
  <c r="AH245" i="1"/>
  <c r="AK245" i="1" s="1"/>
  <c r="AP245" i="1" s="1"/>
  <c r="AQ245" i="1" s="1"/>
  <c r="AH237" i="1"/>
  <c r="AK237" i="1" s="1"/>
  <c r="AP237" i="1" s="1"/>
  <c r="AQ237" i="1" s="1"/>
  <c r="AH229" i="1"/>
  <c r="AK229" i="1" s="1"/>
  <c r="AP229" i="1" s="1"/>
  <c r="AQ229" i="1" s="1"/>
  <c r="AH221" i="1"/>
  <c r="AK221" i="1" s="1"/>
  <c r="AP221" i="1" s="1"/>
  <c r="AQ221" i="1" s="1"/>
  <c r="AH213" i="1"/>
  <c r="AK213" i="1" s="1"/>
  <c r="AP213" i="1" s="1"/>
  <c r="AQ213" i="1" s="1"/>
</calcChain>
</file>

<file path=xl/sharedStrings.xml><?xml version="1.0" encoding="utf-8"?>
<sst xmlns="http://schemas.openxmlformats.org/spreadsheetml/2006/main" count="998" uniqueCount="368">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</sst>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08"/>
      <tableStyleElement type="firstRowStripe" dxfId="107"/>
      <tableStyleElement type="secondRowStripe" dxfId="106"/>
    </tableStyle>
    <tableStyle name="SME IPO v1-style" pivot="0" count="3" xr9:uid="{00000000-0011-0000-FFFF-FFFF01000000}">
      <tableStyleElement type="headerRow" dxfId="105"/>
      <tableStyleElement type="firstRowStripe" dxfId="104"/>
      <tableStyleElement type="secondRowStripe" dxfId="103"/>
    </tableStyle>
    <tableStyle name="SME IPO v1-style 2" pivot="0" count="2" xr9:uid="{00000000-0011-0000-FFFF-FFFF02000000}">
      <tableStyleElement type="firstRowStripe" dxfId="102"/>
      <tableStyleElement type="secondRowStripe" dxfId="101"/>
    </tableStyle>
    <tableStyle name="SME IPO v1-style 3" pivot="0" count="2" xr9:uid="{00000000-0011-0000-FFFF-FFFF03000000}">
      <tableStyleElement type="firstRowStripe" dxfId="100"/>
      <tableStyleElement type="secondRowStripe" dxfId="99"/>
    </tableStyle>
    <tableStyle name="SME IPO v1-style 4" pivot="0" count="2" xr9:uid="{00000000-0011-0000-FFFF-FFFF04000000}">
      <tableStyleElement type="firstRowStripe" dxfId="98"/>
      <tableStyleElement type="secondRowStripe" dxfId="97"/>
    </tableStyle>
    <tableStyle name="SME IPO v1-style 5" pivot="0" count="2" xr9:uid="{00000000-0011-0000-FFFF-FFFF05000000}">
      <tableStyleElement type="firstRowStripe" dxfId="96"/>
      <tableStyleElement type="secondRowStripe" dxfId="95"/>
    </tableStyle>
    <tableStyle name="SME IPO v1-style 6" pivot="0" count="2" xr9:uid="{00000000-0011-0000-FFFF-FFFF06000000}">
      <tableStyleElement type="firstRowStripe" dxfId="94"/>
      <tableStyleElement type="secondRowStripe" dxfId="93"/>
    </tableStyle>
    <tableStyle name="SME IPO v2-style" pivot="0" count="3" xr9:uid="{00000000-0011-0000-FFFF-FFFF07000000}">
      <tableStyleElement type="headerRow" dxfId="92"/>
      <tableStyleElement type="firstRowStripe" dxfId="91"/>
      <tableStyleElement type="secondRowStripe" dxfId="90"/>
    </tableStyle>
    <tableStyle name="SME IPO v2-style 2" pivot="0" count="2" xr9:uid="{00000000-0011-0000-FFFF-FFFF08000000}">
      <tableStyleElement type="firstRowStripe" dxfId="89"/>
      <tableStyleElement type="secondRowStripe" dxfId="88"/>
    </tableStyle>
    <tableStyle name="SME IPO v2-style 3" pivot="0" count="2" xr9:uid="{00000000-0011-0000-FFFF-FFFF09000000}">
      <tableStyleElement type="firstRowStripe" dxfId="87"/>
      <tableStyleElement type="secondRowStripe" dxfId="86"/>
    </tableStyle>
    <tableStyle name="SME IPO v2-style 4" pivot="0" count="2" xr9:uid="{00000000-0011-0000-FFFF-FFFF0A000000}">
      <tableStyleElement type="firstRowStripe" dxfId="85"/>
      <tableStyleElement type="secondRowStripe" dxfId="84"/>
    </tableStyle>
    <tableStyle name="SME IPO v2-style 5" pivot="0" count="2" xr9:uid="{00000000-0011-0000-FFFF-FFFF0B000000}">
      <tableStyleElement type="firstRowStripe" dxfId="83"/>
      <tableStyleElement type="secondRowStripe" dxfId="82"/>
    </tableStyle>
    <tableStyle name="SME IPO v2-style 6" pivot="0" count="2" xr9:uid="{00000000-0011-0000-FFFF-FFFF0C000000}">
      <tableStyleElement type="firstRowStripe" dxfId="81"/>
      <tableStyleElement type="secondRowStripe" dxfId="80"/>
    </tableStyle>
    <tableStyle name="SME IPO v3-style" pivot="0" count="3" xr9:uid="{00000000-0011-0000-FFFF-FFFF0D000000}">
      <tableStyleElement type="headerRow" dxfId="79"/>
      <tableStyleElement type="firstRowStripe" dxfId="78"/>
      <tableStyleElement type="secondRowStripe" dxfId="77"/>
    </tableStyle>
    <tableStyle name="SME IPO v3-style 2" pivot="0" count="2" xr9:uid="{00000000-0011-0000-FFFF-FFFF0E000000}">
      <tableStyleElement type="firstRowStripe" dxfId="76"/>
      <tableStyleElement type="secondRowStripe" dxfId="75"/>
    </tableStyle>
    <tableStyle name="SME IPO v3-style 3" pivot="0" count="2" xr9:uid="{00000000-0011-0000-FFFF-FFFF0F000000}">
      <tableStyleElement type="firstRowStripe" dxfId="74"/>
      <tableStyleElement type="secondRowStripe" dxfId="73"/>
    </tableStyle>
    <tableStyle name="SME IPO v3-style 4" pivot="0" count="2" xr9:uid="{00000000-0011-0000-FFFF-FFFF10000000}">
      <tableStyleElement type="firstRowStripe" dxfId="72"/>
      <tableStyleElement type="secondRowStripe" dxfId="71"/>
    </tableStyle>
    <tableStyle name="SME IPO v3-style 5" pivot="0" count="2" xr9:uid="{00000000-0011-0000-FFFF-FFFF11000000}">
      <tableStyleElement type="firstRowStripe" dxfId="70"/>
      <tableStyleElement type="secondRowStripe" dxfId="69"/>
    </tableStyle>
    <tableStyle name="SME IPO v3-style 6" pivot="0" count="2" xr9:uid="{00000000-0011-0000-FFFF-FFFF12000000}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66"/>
  <sheetViews>
    <sheetView tabSelected="1" topLeftCell="G1" zoomScale="80" zoomScaleNormal="80" workbookViewId="0">
      <pane ySplit="1" topLeftCell="A114" activePane="bottomLeft" state="frozen"/>
      <selection activeCell="AF1" sqref="AF1"/>
      <selection pane="bottomLeft" activeCell="AG138" sqref="AG138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08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7.33203125" customWidth="1"/>
    <col min="25" max="25" width="10.33203125" customWidth="1"/>
    <col min="26" max="26" width="8.5546875" customWidth="1"/>
    <col min="27" max="27" width="5.88671875" customWidth="1"/>
    <col min="28" max="28" width="7.33203125" customWidth="1"/>
    <col min="29" max="29" width="5.88671875" customWidth="1"/>
    <col min="30" max="30" width="6.6640625" customWidth="1"/>
    <col min="31" max="31" width="7.6640625" customWidth="1"/>
    <col min="32" max="32" width="8.44140625" customWidth="1"/>
    <col min="33" max="33" width="7.33203125" customWidth="1"/>
    <col min="34" max="36" width="6.33203125" customWidth="1"/>
    <col min="37" max="37" width="8.88671875" customWidth="1"/>
    <col min="38" max="38" width="4.44140625" customWidth="1"/>
    <col min="39" max="39" width="20.109375" customWidth="1"/>
    <col min="40" max="40" width="6.5546875" customWidth="1"/>
    <col min="42" max="48" width="13" customWidth="1"/>
  </cols>
  <sheetData>
    <row r="1" spans="1:59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29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29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9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0</v>
      </c>
      <c r="Y137">
        <v>0</v>
      </c>
      <c r="Z137">
        <v>0</v>
      </c>
      <c r="AA137" s="2">
        <f t="shared" si="32"/>
        <v>1</v>
      </c>
      <c r="AB137">
        <v>0.23499999999999999</v>
      </c>
      <c r="AC137" s="16">
        <f t="shared" si="39"/>
        <v>1.9583333333333331E-2</v>
      </c>
      <c r="AD137">
        <v>84.73</v>
      </c>
      <c r="AE137">
        <v>31.58</v>
      </c>
      <c r="AF137">
        <v>165.63</v>
      </c>
      <c r="AG137" s="118">
        <f t="shared" si="33"/>
        <v>4</v>
      </c>
      <c r="AH137" s="16">
        <f t="shared" si="34"/>
        <v>5.0195833333333333</v>
      </c>
      <c r="AI137" s="16"/>
      <c r="AJ137" s="16">
        <v>1</v>
      </c>
      <c r="AK137" s="16">
        <f t="shared" si="35"/>
        <v>9.819583333333334</v>
      </c>
      <c r="AL137" s="15">
        <f t="shared" si="36"/>
        <v>0</v>
      </c>
      <c r="AM137" s="15" t="s">
        <v>239</v>
      </c>
      <c r="AN137">
        <v>25</v>
      </c>
      <c r="AO137" s="17">
        <v>26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0.04</v>
      </c>
      <c r="Y138">
        <v>11.77</v>
      </c>
      <c r="Z138">
        <v>12.25</v>
      </c>
      <c r="AA138" s="2">
        <f t="shared" si="32"/>
        <v>-1.7</v>
      </c>
      <c r="AB138">
        <v>0.23499999999999999</v>
      </c>
      <c r="AC138" s="16">
        <f t="shared" si="39"/>
        <v>1.9583333333333331E-2</v>
      </c>
      <c r="AD138">
        <v>5.44</v>
      </c>
      <c r="AE138">
        <v>28.94</v>
      </c>
      <c r="AF138">
        <v>61.46</v>
      </c>
      <c r="AG138" s="118">
        <f t="shared" si="33"/>
        <v>4.7</v>
      </c>
      <c r="AH138" s="16">
        <f t="shared" si="34"/>
        <v>4.0195833333333333</v>
      </c>
      <c r="AI138" s="16"/>
      <c r="AJ138" s="16">
        <v>1</v>
      </c>
      <c r="AK138" s="16">
        <f t="shared" si="35"/>
        <v>9.6595833333333339</v>
      </c>
      <c r="AL138" s="15">
        <f t="shared" si="36"/>
        <v>0</v>
      </c>
      <c r="AM138" s="15" t="s">
        <v>241</v>
      </c>
      <c r="AN138">
        <v>24</v>
      </c>
      <c r="AO138" s="17">
        <v>25</v>
      </c>
      <c r="AP138" s="17">
        <f t="shared" si="37"/>
        <v>0</v>
      </c>
      <c r="AQ138" s="17">
        <f t="shared" si="38"/>
        <v>0</v>
      </c>
      <c r="AR138" s="17"/>
    </row>
    <row r="139" spans="1:44">
      <c r="A139" t="s">
        <v>242</v>
      </c>
      <c r="B139" t="s">
        <v>243</v>
      </c>
      <c r="C139" t="s">
        <v>162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-0.5</v>
      </c>
      <c r="T139">
        <v>130.54</v>
      </c>
      <c r="U139">
        <v>25.97999999999999</v>
      </c>
      <c r="V139">
        <v>1</v>
      </c>
      <c r="W139">
        <v>1</v>
      </c>
      <c r="X139">
        <v>1.2</v>
      </c>
      <c r="Y139">
        <v>0.36</v>
      </c>
      <c r="Z139">
        <v>0.01</v>
      </c>
      <c r="AA139" s="2">
        <f t="shared" si="32"/>
        <v>1</v>
      </c>
      <c r="AB139">
        <v>0.23499999999999999</v>
      </c>
      <c r="AC139" s="16">
        <f t="shared" si="39"/>
        <v>1.9583333333333331E-2</v>
      </c>
      <c r="AD139">
        <v>372.9</v>
      </c>
      <c r="AE139">
        <v>73.95</v>
      </c>
      <c r="AF139">
        <v>293.27</v>
      </c>
      <c r="AG139" s="118">
        <f t="shared" si="33"/>
        <v>6.1</v>
      </c>
      <c r="AH139" s="16">
        <f t="shared" si="34"/>
        <v>7.1195833333333329</v>
      </c>
      <c r="AI139" s="16"/>
      <c r="AJ139" s="16">
        <v>1</v>
      </c>
      <c r="AK139" s="16">
        <f t="shared" si="35"/>
        <v>14.439583333333331</v>
      </c>
      <c r="AL139" s="15">
        <f t="shared" si="36"/>
        <v>0</v>
      </c>
      <c r="AM139" s="15" t="s">
        <v>243</v>
      </c>
      <c r="AN139">
        <v>30</v>
      </c>
      <c r="AO139" s="17">
        <v>31</v>
      </c>
      <c r="AP139" s="17">
        <f t="shared" si="37"/>
        <v>3</v>
      </c>
      <c r="AQ139" s="17">
        <f t="shared" si="38"/>
        <v>1000</v>
      </c>
      <c r="AR139" s="17"/>
    </row>
    <row r="140" spans="1:44">
      <c r="G140" s="16" t="e">
        <f t="shared" ref="G140:G203" si="40">100*(F140-E140)/F140</f>
        <v>#DIV/0!</v>
      </c>
      <c r="P140" s="16" t="e">
        <f t="shared" ref="P140:P203" si="41">O140/I140</f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ref="AM140:AM203" si="42">B140</f>
        <v>0</v>
      </c>
      <c r="AO140" s="17">
        <f t="shared" ref="AO140:AO203" si="43">AN140+1</f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si="40"/>
        <v>#DIV/0!</v>
      </c>
      <c r="P203" s="16" t="e">
        <f t="shared" si="41"/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si="42"/>
        <v>0</v>
      </c>
      <c r="AO203" s="17">
        <f t="shared" si="43"/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ref="G204:G267" si="52">100*(F204-E204)/F204</f>
        <v>#DIV/0!</v>
      </c>
      <c r="P204" s="16" t="e">
        <f t="shared" ref="P204:P267" si="53">O204/I204</f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ref="AM204:AM267" si="54">B204</f>
        <v>0</v>
      </c>
      <c r="AO204" s="17">
        <f t="shared" ref="AO204:AO267" si="55">AN204+1</f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1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321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si="52"/>
        <v>#DIV/0!</v>
      </c>
      <c r="P267" s="16" t="e">
        <f t="shared" si="53"/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si="54"/>
        <v>0</v>
      </c>
      <c r="AO267" s="17">
        <f t="shared" si="55"/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ref="G268:G331" si="64">100*(F268-E268)/F268</f>
        <v>#DIV/0!</v>
      </c>
      <c r="P268" s="16" t="e">
        <f t="shared" ref="P268:P331" si="65">O268/I268</f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ref="AM268:AM331" si="66">B268</f>
        <v>0</v>
      </c>
      <c r="AO268" s="17">
        <f t="shared" ref="AO268:AO331" si="67">AN268+1</f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5" t="e">
        <f t="shared" ref="AG322:AG353" si="69">IF(G322&lt;52,0,0.7)+IF(G322&lt;34,0,0.7)+IF(G322&lt;1,0,0.7)+IF(P322&gt;14.56,0,1)+IF(R322&lt;9,0.5,0)+IF(R322&lt;33.8,0.5,0)+IF(R322&lt;50,0.5,0)+IF(R322&lt;80,0.5,0)+IF(V322&gt;0,1,0)+IF(AE322&lt;10.56,0,1)</f>
        <v>#DIV/0!</v>
      </c>
      <c r="AH322" s="16" t="e">
        <f t="shared" ref="AH322:AH385" si="70">AG322+IF(X322&lt;1.35,0,1)+IF(Y322&lt;1.35,0,1)+AC322+AA322</f>
        <v>#DIV/0!</v>
      </c>
      <c r="AI322" s="16"/>
      <c r="AJ322" s="16">
        <v>1</v>
      </c>
      <c r="AK322" s="16" t="e">
        <f t="shared" ref="AK322:AK385" si="71">(1.2*AG322+AH322)*AJ322</f>
        <v>#DIV/0!</v>
      </c>
      <c r="AL322" s="15">
        <f t="shared" ref="AL322:AL385" si="72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3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86" si="74">IF(AB323&gt;4,1,0)+AB323/12</f>
        <v>0</v>
      </c>
      <c r="AG323" s="15" t="e">
        <f t="shared" si="69"/>
        <v>#DIV/0!</v>
      </c>
      <c r="AH323" s="16" t="e">
        <f t="shared" si="70"/>
        <v>#DIV/0!</v>
      </c>
      <c r="AI323" s="16"/>
      <c r="AJ323" s="16">
        <v>1</v>
      </c>
      <c r="AK323" s="16" t="e">
        <f t="shared" si="71"/>
        <v>#DIV/0!</v>
      </c>
      <c r="AL323" s="15">
        <f t="shared" si="72"/>
        <v>0</v>
      </c>
      <c r="AM323" s="15">
        <f t="shared" si="66"/>
        <v>0</v>
      </c>
      <c r="AO323" s="17">
        <f t="shared" si="67"/>
        <v>1</v>
      </c>
      <c r="AP323" s="17" t="e">
        <f t="shared" si="73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4"/>
        <v>0</v>
      </c>
      <c r="AG324" s="15" t="e">
        <f t="shared" si="69"/>
        <v>#DIV/0!</v>
      </c>
      <c r="AH324" s="16" t="e">
        <f t="shared" si="70"/>
        <v>#DIV/0!</v>
      </c>
      <c r="AI324" s="16"/>
      <c r="AJ324" s="16">
        <v>1</v>
      </c>
      <c r="AK324" s="16" t="e">
        <f t="shared" si="71"/>
        <v>#DIV/0!</v>
      </c>
      <c r="AL324" s="15">
        <f t="shared" si="72"/>
        <v>0</v>
      </c>
      <c r="AM324" s="15">
        <f t="shared" si="66"/>
        <v>0</v>
      </c>
      <c r="AO324" s="17">
        <f t="shared" si="67"/>
        <v>1</v>
      </c>
      <c r="AP324" s="17" t="e">
        <f t="shared" si="73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4"/>
        <v>0</v>
      </c>
      <c r="AG325" s="15" t="e">
        <f t="shared" si="69"/>
        <v>#DIV/0!</v>
      </c>
      <c r="AH325" s="16" t="e">
        <f t="shared" si="70"/>
        <v>#DIV/0!</v>
      </c>
      <c r="AI325" s="16"/>
      <c r="AJ325" s="16">
        <v>1</v>
      </c>
      <c r="AK325" s="16" t="e">
        <f t="shared" si="71"/>
        <v>#DIV/0!</v>
      </c>
      <c r="AL325" s="15">
        <f t="shared" si="72"/>
        <v>0</v>
      </c>
      <c r="AM325" s="15">
        <f t="shared" si="66"/>
        <v>0</v>
      </c>
      <c r="AO325" s="17">
        <f t="shared" si="67"/>
        <v>1</v>
      </c>
      <c r="AP325" s="17" t="e">
        <f t="shared" si="73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4"/>
        <v>0</v>
      </c>
      <c r="AG326" s="15" t="e">
        <f t="shared" si="69"/>
        <v>#DIV/0!</v>
      </c>
      <c r="AH326" s="16" t="e">
        <f t="shared" si="70"/>
        <v>#DIV/0!</v>
      </c>
      <c r="AI326" s="16"/>
      <c r="AJ326" s="16">
        <v>1</v>
      </c>
      <c r="AK326" s="16" t="e">
        <f t="shared" si="71"/>
        <v>#DIV/0!</v>
      </c>
      <c r="AL326" s="15">
        <f t="shared" si="72"/>
        <v>0</v>
      </c>
      <c r="AM326" s="15">
        <f t="shared" si="66"/>
        <v>0</v>
      </c>
      <c r="AO326" s="17">
        <f t="shared" si="67"/>
        <v>1</v>
      </c>
      <c r="AP326" s="17" t="e">
        <f t="shared" si="73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4"/>
        <v>0</v>
      </c>
      <c r="AG327" s="15" t="e">
        <f t="shared" si="69"/>
        <v>#DIV/0!</v>
      </c>
      <c r="AH327" s="16" t="e">
        <f t="shared" si="70"/>
        <v>#DIV/0!</v>
      </c>
      <c r="AI327" s="16"/>
      <c r="AJ327" s="16">
        <v>1</v>
      </c>
      <c r="AK327" s="16" t="e">
        <f t="shared" si="71"/>
        <v>#DIV/0!</v>
      </c>
      <c r="AL327" s="15">
        <f t="shared" si="72"/>
        <v>0</v>
      </c>
      <c r="AM327" s="15">
        <f t="shared" si="66"/>
        <v>0</v>
      </c>
      <c r="AO327" s="17">
        <f t="shared" si="67"/>
        <v>1</v>
      </c>
      <c r="AP327" s="17" t="e">
        <f t="shared" si="73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4"/>
        <v>0</v>
      </c>
      <c r="AG328" s="15" t="e">
        <f t="shared" si="69"/>
        <v>#DIV/0!</v>
      </c>
      <c r="AH328" s="16" t="e">
        <f t="shared" si="70"/>
        <v>#DIV/0!</v>
      </c>
      <c r="AI328" s="16"/>
      <c r="AJ328" s="16">
        <v>1</v>
      </c>
      <c r="AK328" s="16" t="e">
        <f t="shared" si="71"/>
        <v>#DIV/0!</v>
      </c>
      <c r="AL328" s="15">
        <f t="shared" si="72"/>
        <v>0</v>
      </c>
      <c r="AM328" s="15">
        <f t="shared" si="66"/>
        <v>0</v>
      </c>
      <c r="AO328" s="17">
        <f t="shared" si="67"/>
        <v>1</v>
      </c>
      <c r="AP328" s="17" t="e">
        <f t="shared" si="73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4"/>
        <v>0</v>
      </c>
      <c r="AG329" s="15" t="e">
        <f t="shared" si="69"/>
        <v>#DIV/0!</v>
      </c>
      <c r="AH329" s="16" t="e">
        <f t="shared" si="70"/>
        <v>#DIV/0!</v>
      </c>
      <c r="AI329" s="16"/>
      <c r="AJ329" s="16">
        <v>1</v>
      </c>
      <c r="AK329" s="16" t="e">
        <f t="shared" si="71"/>
        <v>#DIV/0!</v>
      </c>
      <c r="AL329" s="15">
        <f t="shared" si="72"/>
        <v>0</v>
      </c>
      <c r="AM329" s="15">
        <f t="shared" si="66"/>
        <v>0</v>
      </c>
      <c r="AO329" s="17">
        <f t="shared" si="67"/>
        <v>1</v>
      </c>
      <c r="AP329" s="17" t="e">
        <f t="shared" si="73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4"/>
        <v>0</v>
      </c>
      <c r="AG330" s="15" t="e">
        <f t="shared" si="69"/>
        <v>#DIV/0!</v>
      </c>
      <c r="AH330" s="16" t="e">
        <f t="shared" si="70"/>
        <v>#DIV/0!</v>
      </c>
      <c r="AI330" s="16"/>
      <c r="AJ330" s="16">
        <v>1</v>
      </c>
      <c r="AK330" s="16" t="e">
        <f t="shared" si="71"/>
        <v>#DIV/0!</v>
      </c>
      <c r="AL330" s="15">
        <f t="shared" si="72"/>
        <v>0</v>
      </c>
      <c r="AM330" s="15">
        <f t="shared" si="66"/>
        <v>0</v>
      </c>
      <c r="AO330" s="17">
        <f t="shared" si="67"/>
        <v>1</v>
      </c>
      <c r="AP330" s="17" t="e">
        <f t="shared" si="73"/>
        <v>#DIV/0!</v>
      </c>
    </row>
    <row r="331" spans="7:42">
      <c r="G331" s="16" t="e">
        <f t="shared" si="64"/>
        <v>#DIV/0!</v>
      </c>
      <c r="P331" s="16" t="e">
        <f t="shared" si="65"/>
        <v>#DIV/0!</v>
      </c>
      <c r="R331" s="111"/>
      <c r="S331" s="118">
        <v>5</v>
      </c>
      <c r="AA331" s="2">
        <f t="shared" si="68"/>
        <v>1</v>
      </c>
      <c r="AC331" s="16">
        <f t="shared" si="74"/>
        <v>0</v>
      </c>
      <c r="AG331" s="15" t="e">
        <f t="shared" si="69"/>
        <v>#DIV/0!</v>
      </c>
      <c r="AH331" s="16" t="e">
        <f t="shared" si="70"/>
        <v>#DIV/0!</v>
      </c>
      <c r="AI331" s="16"/>
      <c r="AJ331" s="16">
        <v>1</v>
      </c>
      <c r="AK331" s="16" t="e">
        <f t="shared" si="71"/>
        <v>#DIV/0!</v>
      </c>
      <c r="AL331" s="15">
        <f t="shared" si="72"/>
        <v>0</v>
      </c>
      <c r="AM331" s="15">
        <f t="shared" si="66"/>
        <v>0</v>
      </c>
      <c r="AO331" s="17">
        <f t="shared" si="67"/>
        <v>1</v>
      </c>
      <c r="AP331" s="17" t="e">
        <f t="shared" si="73"/>
        <v>#DIV/0!</v>
      </c>
    </row>
    <row r="332" spans="7:42">
      <c r="G332" s="16" t="e">
        <f t="shared" ref="G332:G395" si="75">100*(F332-E332)/F332</f>
        <v>#DIV/0!</v>
      </c>
      <c r="P332" s="16" t="e">
        <f t="shared" ref="P332:P395" si="76">O332/I332</f>
        <v>#DIV/0!</v>
      </c>
      <c r="R332" s="111"/>
      <c r="S332" s="118">
        <v>5</v>
      </c>
      <c r="AA332" s="2">
        <f t="shared" si="68"/>
        <v>1</v>
      </c>
      <c r="AC332" s="16">
        <f t="shared" si="74"/>
        <v>0</v>
      </c>
      <c r="AG332" s="15" t="e">
        <f t="shared" si="69"/>
        <v>#DIV/0!</v>
      </c>
      <c r="AH332" s="16" t="e">
        <f t="shared" si="70"/>
        <v>#DIV/0!</v>
      </c>
      <c r="AI332" s="16"/>
      <c r="AJ332" s="16">
        <v>1</v>
      </c>
      <c r="AK332" s="16" t="e">
        <f t="shared" si="71"/>
        <v>#DIV/0!</v>
      </c>
      <c r="AL332" s="15">
        <f t="shared" si="72"/>
        <v>0</v>
      </c>
      <c r="AM332" s="15">
        <f t="shared" ref="AM332:AM395" si="77">B332</f>
        <v>0</v>
      </c>
      <c r="AO332" s="17">
        <f t="shared" ref="AO332:AO395" si="78">AN332+1</f>
        <v>1</v>
      </c>
      <c r="AP332" s="17" t="e">
        <f t="shared" si="73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4"/>
        <v>0</v>
      </c>
      <c r="AG333" s="15" t="e">
        <f t="shared" si="69"/>
        <v>#DIV/0!</v>
      </c>
      <c r="AH333" s="16" t="e">
        <f t="shared" si="70"/>
        <v>#DIV/0!</v>
      </c>
      <c r="AI333" s="16"/>
      <c r="AJ333" s="16">
        <v>1</v>
      </c>
      <c r="AK333" s="16" t="e">
        <f t="shared" si="71"/>
        <v>#DIV/0!</v>
      </c>
      <c r="AL333" s="15">
        <f t="shared" si="72"/>
        <v>0</v>
      </c>
      <c r="AM333" s="15">
        <f t="shared" si="77"/>
        <v>0</v>
      </c>
      <c r="AO333" s="17">
        <f t="shared" si="78"/>
        <v>1</v>
      </c>
      <c r="AP333" s="17" t="e">
        <f t="shared" si="73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4"/>
        <v>0</v>
      </c>
      <c r="AG334" s="15" t="e">
        <f t="shared" si="69"/>
        <v>#DIV/0!</v>
      </c>
      <c r="AH334" s="16" t="e">
        <f t="shared" si="70"/>
        <v>#DIV/0!</v>
      </c>
      <c r="AI334" s="16"/>
      <c r="AJ334" s="16">
        <v>1</v>
      </c>
      <c r="AK334" s="16" t="e">
        <f t="shared" si="71"/>
        <v>#DIV/0!</v>
      </c>
      <c r="AL334" s="15">
        <f t="shared" si="72"/>
        <v>0</v>
      </c>
      <c r="AM334" s="15">
        <f t="shared" si="77"/>
        <v>0</v>
      </c>
      <c r="AO334" s="17">
        <f t="shared" si="78"/>
        <v>1</v>
      </c>
      <c r="AP334" s="17" t="e">
        <f t="shared" si="73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ref="AC335:AC359" si="79">IF(AB335&gt;9,1,0)+AB335/3</f>
        <v>0</v>
      </c>
      <c r="AG335" s="15" t="e">
        <f t="shared" si="69"/>
        <v>#DIV/0!</v>
      </c>
      <c r="AH335" s="16" t="e">
        <f t="shared" si="70"/>
        <v>#DIV/0!</v>
      </c>
      <c r="AI335" s="16"/>
      <c r="AJ335" s="16">
        <v>1</v>
      </c>
      <c r="AK335" s="16" t="e">
        <f t="shared" si="71"/>
        <v>#DIV/0!</v>
      </c>
      <c r="AL335" s="15">
        <f t="shared" si="72"/>
        <v>0</v>
      </c>
      <c r="AM335" s="15">
        <f t="shared" si="77"/>
        <v>0</v>
      </c>
      <c r="AO335" s="17">
        <f t="shared" si="78"/>
        <v>1</v>
      </c>
      <c r="AP335" s="17" t="e">
        <f t="shared" si="73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9"/>
        <v>0</v>
      </c>
      <c r="AG336" s="15" t="e">
        <f t="shared" si="69"/>
        <v>#DIV/0!</v>
      </c>
      <c r="AH336" s="16" t="e">
        <f t="shared" si="70"/>
        <v>#DIV/0!</v>
      </c>
      <c r="AI336" s="16"/>
      <c r="AJ336" s="16">
        <v>1</v>
      </c>
      <c r="AK336" s="16" t="e">
        <f t="shared" si="71"/>
        <v>#DIV/0!</v>
      </c>
      <c r="AL336" s="15">
        <f t="shared" si="72"/>
        <v>0</v>
      </c>
      <c r="AM336" s="15">
        <f t="shared" si="77"/>
        <v>0</v>
      </c>
      <c r="AO336" s="17">
        <f t="shared" si="78"/>
        <v>1</v>
      </c>
      <c r="AP336" s="17" t="e">
        <f t="shared" si="73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9"/>
        <v>0</v>
      </c>
      <c r="AG337" s="15" t="e">
        <f t="shared" si="69"/>
        <v>#DIV/0!</v>
      </c>
      <c r="AH337" s="16" t="e">
        <f t="shared" si="70"/>
        <v>#DIV/0!</v>
      </c>
      <c r="AI337" s="16"/>
      <c r="AJ337" s="16">
        <v>1</v>
      </c>
      <c r="AK337" s="16" t="e">
        <f t="shared" si="71"/>
        <v>#DIV/0!</v>
      </c>
      <c r="AL337" s="15">
        <f t="shared" si="72"/>
        <v>0</v>
      </c>
      <c r="AM337" s="15">
        <f t="shared" si="77"/>
        <v>0</v>
      </c>
      <c r="AO337" s="17">
        <f t="shared" si="78"/>
        <v>1</v>
      </c>
      <c r="AP337" s="17" t="e">
        <f t="shared" si="73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9"/>
        <v>0</v>
      </c>
      <c r="AG338" s="15" t="e">
        <f t="shared" si="69"/>
        <v>#DIV/0!</v>
      </c>
      <c r="AH338" s="16" t="e">
        <f t="shared" si="70"/>
        <v>#DIV/0!</v>
      </c>
      <c r="AI338" s="16"/>
      <c r="AJ338" s="16">
        <v>1</v>
      </c>
      <c r="AK338" s="16" t="e">
        <f t="shared" si="71"/>
        <v>#DIV/0!</v>
      </c>
      <c r="AL338" s="15">
        <f t="shared" si="72"/>
        <v>0</v>
      </c>
      <c r="AM338" s="15">
        <f t="shared" si="77"/>
        <v>0</v>
      </c>
      <c r="AO338" s="17">
        <f t="shared" si="78"/>
        <v>1</v>
      </c>
      <c r="AP338" s="17" t="e">
        <f t="shared" si="73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si="79"/>
        <v>0</v>
      </c>
      <c r="AG339" s="15" t="e">
        <f t="shared" si="69"/>
        <v>#DIV/0!</v>
      </c>
      <c r="AH339" s="16" t="e">
        <f t="shared" si="70"/>
        <v>#DIV/0!</v>
      </c>
      <c r="AI339" s="16"/>
      <c r="AJ339" s="16">
        <v>1</v>
      </c>
      <c r="AK339" s="16" t="e">
        <f t="shared" si="71"/>
        <v>#DIV/0!</v>
      </c>
      <c r="AL339" s="15">
        <f t="shared" si="72"/>
        <v>0</v>
      </c>
      <c r="AM339" s="15">
        <f t="shared" si="77"/>
        <v>0</v>
      </c>
      <c r="AO339" s="17">
        <f t="shared" si="78"/>
        <v>1</v>
      </c>
      <c r="AP339" s="17" t="e">
        <f t="shared" si="73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69"/>
        <v>#DIV/0!</v>
      </c>
      <c r="AH340" s="16" t="e">
        <f t="shared" si="70"/>
        <v>#DIV/0!</v>
      </c>
      <c r="AI340" s="16"/>
      <c r="AJ340" s="16">
        <v>1</v>
      </c>
      <c r="AK340" s="16" t="e">
        <f t="shared" si="71"/>
        <v>#DIV/0!</v>
      </c>
      <c r="AL340" s="15">
        <f t="shared" si="72"/>
        <v>0</v>
      </c>
      <c r="AM340" s="15">
        <f t="shared" si="77"/>
        <v>0</v>
      </c>
      <c r="AO340" s="17">
        <f t="shared" si="78"/>
        <v>1</v>
      </c>
      <c r="AP340" s="17" t="e">
        <f t="shared" si="73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69"/>
        <v>#DIV/0!</v>
      </c>
      <c r="AH341" s="16" t="e">
        <f t="shared" si="70"/>
        <v>#DIV/0!</v>
      </c>
      <c r="AI341" s="16"/>
      <c r="AJ341" s="16">
        <v>1</v>
      </c>
      <c r="AK341" s="16" t="e">
        <f t="shared" si="71"/>
        <v>#DIV/0!</v>
      </c>
      <c r="AL341" s="15">
        <f t="shared" si="72"/>
        <v>0</v>
      </c>
      <c r="AM341" s="15">
        <f t="shared" si="77"/>
        <v>0</v>
      </c>
      <c r="AO341" s="17">
        <f t="shared" si="78"/>
        <v>1</v>
      </c>
      <c r="AP341" s="17" t="e">
        <f t="shared" si="73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69"/>
        <v>#DIV/0!</v>
      </c>
      <c r="AH342" s="16" t="e">
        <f t="shared" si="70"/>
        <v>#DIV/0!</v>
      </c>
      <c r="AI342" s="16"/>
      <c r="AJ342" s="16">
        <v>1</v>
      </c>
      <c r="AK342" s="16" t="e">
        <f t="shared" si="71"/>
        <v>#DIV/0!</v>
      </c>
      <c r="AL342" s="15">
        <f t="shared" si="72"/>
        <v>0</v>
      </c>
      <c r="AM342" s="15">
        <f t="shared" si="77"/>
        <v>0</v>
      </c>
      <c r="AO342" s="17">
        <f t="shared" si="78"/>
        <v>1</v>
      </c>
      <c r="AP342" s="17" t="e">
        <f t="shared" si="73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69"/>
        <v>#DIV/0!</v>
      </c>
      <c r="AH343" s="16" t="e">
        <f t="shared" si="70"/>
        <v>#DIV/0!</v>
      </c>
      <c r="AI343" s="16"/>
      <c r="AJ343" s="16">
        <v>1</v>
      </c>
      <c r="AK343" s="16" t="e">
        <f t="shared" si="71"/>
        <v>#DIV/0!</v>
      </c>
      <c r="AL343" s="15">
        <f t="shared" si="72"/>
        <v>0</v>
      </c>
      <c r="AM343" s="15">
        <f t="shared" si="77"/>
        <v>0</v>
      </c>
      <c r="AO343" s="17">
        <f t="shared" si="78"/>
        <v>1</v>
      </c>
      <c r="AP343" s="17" t="e">
        <f t="shared" si="73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69"/>
        <v>#DIV/0!</v>
      </c>
      <c r="AH344" s="16" t="e">
        <f t="shared" si="70"/>
        <v>#DIV/0!</v>
      </c>
      <c r="AI344" s="16"/>
      <c r="AJ344" s="16">
        <v>1</v>
      </c>
      <c r="AK344" s="16" t="e">
        <f t="shared" si="71"/>
        <v>#DIV/0!</v>
      </c>
      <c r="AL344" s="15">
        <f t="shared" si="72"/>
        <v>0</v>
      </c>
      <c r="AM344" s="15">
        <f t="shared" si="77"/>
        <v>0</v>
      </c>
      <c r="AO344" s="17">
        <f t="shared" si="78"/>
        <v>1</v>
      </c>
      <c r="AP344" s="17" t="e">
        <f t="shared" si="73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69"/>
        <v>#DIV/0!</v>
      </c>
      <c r="AH345" s="16" t="e">
        <f t="shared" si="70"/>
        <v>#DIV/0!</v>
      </c>
      <c r="AI345" s="16"/>
      <c r="AJ345" s="16">
        <v>1</v>
      </c>
      <c r="AK345" s="16" t="e">
        <f t="shared" si="71"/>
        <v>#DIV/0!</v>
      </c>
      <c r="AL345" s="15">
        <f t="shared" si="72"/>
        <v>0</v>
      </c>
      <c r="AM345" s="15">
        <f t="shared" si="77"/>
        <v>0</v>
      </c>
      <c r="AO345" s="17">
        <f t="shared" si="78"/>
        <v>1</v>
      </c>
      <c r="AP345" s="17" t="e">
        <f t="shared" si="73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69"/>
        <v>#DIV/0!</v>
      </c>
      <c r="AH346" s="16" t="e">
        <f t="shared" si="70"/>
        <v>#DIV/0!</v>
      </c>
      <c r="AI346" s="16"/>
      <c r="AJ346" s="16">
        <v>1</v>
      </c>
      <c r="AK346" s="16" t="e">
        <f t="shared" ref="AK346:AK377" si="80">(2*AG346+AH346)*AJ346</f>
        <v>#DIV/0!</v>
      </c>
      <c r="AL346" s="15">
        <f t="shared" si="72"/>
        <v>0</v>
      </c>
      <c r="AM346" s="15">
        <f t="shared" si="77"/>
        <v>0</v>
      </c>
      <c r="AO346" s="17">
        <f t="shared" si="78"/>
        <v>1</v>
      </c>
      <c r="AP346" s="17" t="e">
        <f t="shared" si="73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69"/>
        <v>#DIV/0!</v>
      </c>
      <c r="AH347" s="16" t="e">
        <f t="shared" si="70"/>
        <v>#DIV/0!</v>
      </c>
      <c r="AI347" s="16"/>
      <c r="AJ347" s="16">
        <v>1</v>
      </c>
      <c r="AK347" s="16" t="e">
        <f t="shared" si="80"/>
        <v>#DIV/0!</v>
      </c>
      <c r="AL347" s="15">
        <f t="shared" si="72"/>
        <v>0</v>
      </c>
      <c r="AM347" s="15">
        <f t="shared" si="77"/>
        <v>0</v>
      </c>
      <c r="AP347" s="17" t="e">
        <f t="shared" si="73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69"/>
        <v>#DIV/0!</v>
      </c>
      <c r="AH348" s="16" t="e">
        <f t="shared" si="70"/>
        <v>#DIV/0!</v>
      </c>
      <c r="AI348" s="16"/>
      <c r="AJ348" s="16"/>
      <c r="AK348" s="16" t="e">
        <f t="shared" si="80"/>
        <v>#DIV/0!</v>
      </c>
      <c r="AL348" s="15">
        <f t="shared" si="72"/>
        <v>0</v>
      </c>
      <c r="AM348" s="15">
        <f t="shared" si="77"/>
        <v>0</v>
      </c>
      <c r="AP348" s="17" t="e">
        <f t="shared" si="73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69"/>
        <v>#DIV/0!</v>
      </c>
      <c r="AH349" s="16" t="e">
        <f t="shared" si="70"/>
        <v>#DIV/0!</v>
      </c>
      <c r="AI349" s="16"/>
      <c r="AJ349" s="16"/>
      <c r="AK349" s="16" t="e">
        <f t="shared" si="80"/>
        <v>#DIV/0!</v>
      </c>
      <c r="AL349" s="15">
        <f t="shared" si="72"/>
        <v>0</v>
      </c>
      <c r="AM349" s="15">
        <f t="shared" si="77"/>
        <v>0</v>
      </c>
      <c r="AP349" s="17" t="e">
        <f t="shared" si="73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69"/>
        <v>#DIV/0!</v>
      </c>
      <c r="AH350" s="16" t="e">
        <f t="shared" si="70"/>
        <v>#DIV/0!</v>
      </c>
      <c r="AI350" s="16"/>
      <c r="AJ350" s="16"/>
      <c r="AK350" s="16" t="e">
        <f t="shared" si="80"/>
        <v>#DIV/0!</v>
      </c>
      <c r="AL350" s="15">
        <f t="shared" si="72"/>
        <v>0</v>
      </c>
      <c r="AM350" s="15">
        <f t="shared" si="77"/>
        <v>0</v>
      </c>
      <c r="AP350" s="17" t="e">
        <f t="shared" si="73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69"/>
        <v>#DIV/0!</v>
      </c>
      <c r="AH351" s="16" t="e">
        <f t="shared" si="70"/>
        <v>#DIV/0!</v>
      </c>
      <c r="AI351" s="16"/>
      <c r="AJ351" s="16"/>
      <c r="AK351" s="16" t="e">
        <f t="shared" si="80"/>
        <v>#DIV/0!</v>
      </c>
      <c r="AL351" s="15">
        <f t="shared" si="72"/>
        <v>0</v>
      </c>
      <c r="AM351" s="15">
        <f t="shared" si="77"/>
        <v>0</v>
      </c>
      <c r="AP351" s="17" t="e">
        <f t="shared" si="73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69"/>
        <v>#DIV/0!</v>
      </c>
      <c r="AH352" s="16" t="e">
        <f t="shared" si="70"/>
        <v>#DIV/0!</v>
      </c>
      <c r="AI352" s="16"/>
      <c r="AJ352" s="16"/>
      <c r="AK352" s="16" t="e">
        <f t="shared" si="80"/>
        <v>#DIV/0!</v>
      </c>
      <c r="AL352" s="15">
        <f t="shared" si="72"/>
        <v>0</v>
      </c>
      <c r="AM352" s="15">
        <f t="shared" si="77"/>
        <v>0</v>
      </c>
      <c r="AP352" s="17" t="e">
        <f t="shared" si="73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69"/>
        <v>#DIV/0!</v>
      </c>
      <c r="AH353" s="16" t="e">
        <f t="shared" si="70"/>
        <v>#DIV/0!</v>
      </c>
      <c r="AI353" s="16"/>
      <c r="AJ353" s="16"/>
      <c r="AK353" s="16" t="e">
        <f t="shared" si="80"/>
        <v>#DIV/0!</v>
      </c>
      <c r="AL353" s="15">
        <f t="shared" si="72"/>
        <v>0</v>
      </c>
      <c r="AM353" s="15">
        <f t="shared" si="77"/>
        <v>0</v>
      </c>
      <c r="AP353" s="17" t="e">
        <f t="shared" si="73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ref="AG354:AG385" si="81">IF(G354&lt;52,0,0.7)+IF(G354&lt;34,0,0.7)+IF(G354&lt;1,0,0.7)+IF(P354&gt;14.56,0,1)+IF(R354&lt;9,0.5,0)+IF(R354&lt;33.8,0.5,0)+IF(R354&lt;50,0.5,0)+IF(R354&lt;80,0.5,0)+IF(V354&gt;0,1,0)+IF(AE354&lt;10.56,0,1)</f>
        <v>#DIV/0!</v>
      </c>
      <c r="AH354" s="16" t="e">
        <f t="shared" si="70"/>
        <v>#DIV/0!</v>
      </c>
      <c r="AI354" s="16"/>
      <c r="AJ354" s="16"/>
      <c r="AK354" s="16" t="e">
        <f t="shared" si="80"/>
        <v>#DIV/0!</v>
      </c>
      <c r="AL354" s="15">
        <f t="shared" si="72"/>
        <v>0</v>
      </c>
      <c r="AM354" s="15">
        <f t="shared" si="77"/>
        <v>0</v>
      </c>
      <c r="AP354" s="17" t="e">
        <f t="shared" si="73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81"/>
        <v>#DIV/0!</v>
      </c>
      <c r="AH355" s="16" t="e">
        <f t="shared" si="70"/>
        <v>#DIV/0!</v>
      </c>
      <c r="AI355" s="16"/>
      <c r="AJ355" s="16"/>
      <c r="AK355" s="16" t="e">
        <f t="shared" si="80"/>
        <v>#DIV/0!</v>
      </c>
      <c r="AL355" s="15">
        <f t="shared" si="72"/>
        <v>0</v>
      </c>
      <c r="AM355" s="15">
        <f t="shared" si="77"/>
        <v>0</v>
      </c>
      <c r="AP355" s="17" t="e">
        <f t="shared" si="73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81"/>
        <v>#DIV/0!</v>
      </c>
      <c r="AH356" s="16" t="e">
        <f t="shared" si="70"/>
        <v>#DIV/0!</v>
      </c>
      <c r="AI356" s="16"/>
      <c r="AJ356" s="16"/>
      <c r="AK356" s="16" t="e">
        <f t="shared" si="80"/>
        <v>#DIV/0!</v>
      </c>
      <c r="AL356" s="15">
        <f t="shared" si="72"/>
        <v>0</v>
      </c>
      <c r="AM356" s="15">
        <f t="shared" si="77"/>
        <v>0</v>
      </c>
      <c r="AP356" s="17" t="e">
        <f t="shared" si="73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81"/>
        <v>#DIV/0!</v>
      </c>
      <c r="AH357" s="16" t="e">
        <f t="shared" si="70"/>
        <v>#DIV/0!</v>
      </c>
      <c r="AI357" s="16"/>
      <c r="AJ357" s="16"/>
      <c r="AK357" s="16" t="e">
        <f t="shared" si="80"/>
        <v>#DIV/0!</v>
      </c>
      <c r="AL357" s="15">
        <f t="shared" si="72"/>
        <v>0</v>
      </c>
      <c r="AM357" s="15">
        <f t="shared" si="77"/>
        <v>0</v>
      </c>
      <c r="AP357" s="17" t="e">
        <f t="shared" si="73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si="81"/>
        <v>#DIV/0!</v>
      </c>
      <c r="AH358" s="16" t="e">
        <f t="shared" si="70"/>
        <v>#DIV/0!</v>
      </c>
      <c r="AI358" s="16"/>
      <c r="AJ358" s="16"/>
      <c r="AK358" s="16" t="e">
        <f t="shared" si="80"/>
        <v>#DIV/0!</v>
      </c>
      <c r="AL358" s="15">
        <f t="shared" si="72"/>
        <v>0</v>
      </c>
      <c r="AM358" s="15">
        <f t="shared" si="77"/>
        <v>0</v>
      </c>
      <c r="AP358" s="17" t="e">
        <f t="shared" si="73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70"/>
        <v>#DIV/0!</v>
      </c>
      <c r="AI359" s="16"/>
      <c r="AJ359" s="16"/>
      <c r="AK359" s="16" t="e">
        <f t="shared" si="80"/>
        <v>#DIV/0!</v>
      </c>
      <c r="AL359" s="15">
        <f t="shared" si="72"/>
        <v>0</v>
      </c>
      <c r="AM359" s="15">
        <f t="shared" si="77"/>
        <v>0</v>
      </c>
      <c r="AP359" s="17" t="e">
        <f t="shared" si="73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ref="AC360:AC391" si="82">IF(U361&gt;9,1,0)+U361/3</f>
        <v>0</v>
      </c>
      <c r="AG360" s="15" t="e">
        <f t="shared" si="81"/>
        <v>#DIV/0!</v>
      </c>
      <c r="AH360" s="16" t="e">
        <f t="shared" si="70"/>
        <v>#DIV/0!</v>
      </c>
      <c r="AI360" s="16"/>
      <c r="AJ360" s="16"/>
      <c r="AK360" s="16" t="e">
        <f t="shared" si="80"/>
        <v>#DIV/0!</v>
      </c>
      <c r="AL360" s="15">
        <f t="shared" si="72"/>
        <v>0</v>
      </c>
      <c r="AM360" s="15">
        <f t="shared" si="77"/>
        <v>0</v>
      </c>
      <c r="AP360" s="17" t="e">
        <f t="shared" si="73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82"/>
        <v>0</v>
      </c>
      <c r="AG361" s="15" t="e">
        <f t="shared" si="81"/>
        <v>#DIV/0!</v>
      </c>
      <c r="AH361" s="16" t="e">
        <f t="shared" si="70"/>
        <v>#DIV/0!</v>
      </c>
      <c r="AI361" s="16"/>
      <c r="AJ361" s="16"/>
      <c r="AK361" s="16" t="e">
        <f t="shared" si="80"/>
        <v>#DIV/0!</v>
      </c>
      <c r="AL361" s="15">
        <f t="shared" si="72"/>
        <v>0</v>
      </c>
      <c r="AM361" s="15">
        <f t="shared" si="77"/>
        <v>0</v>
      </c>
      <c r="AP361" s="17" t="e">
        <f t="shared" si="73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82"/>
        <v>0</v>
      </c>
      <c r="AG362" s="15" t="e">
        <f t="shared" si="81"/>
        <v>#DIV/0!</v>
      </c>
      <c r="AH362" s="16" t="e">
        <f t="shared" si="70"/>
        <v>#DIV/0!</v>
      </c>
      <c r="AI362" s="16"/>
      <c r="AJ362" s="16"/>
      <c r="AK362" s="16" t="e">
        <f t="shared" si="80"/>
        <v>#DIV/0!</v>
      </c>
      <c r="AL362" s="15">
        <f t="shared" si="72"/>
        <v>0</v>
      </c>
      <c r="AM362" s="15">
        <f t="shared" si="77"/>
        <v>0</v>
      </c>
      <c r="AP362" s="17" t="e">
        <f t="shared" si="73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82"/>
        <v>0</v>
      </c>
      <c r="AG363" s="15" t="e">
        <f t="shared" si="81"/>
        <v>#DIV/0!</v>
      </c>
      <c r="AH363" s="16" t="e">
        <f t="shared" si="70"/>
        <v>#DIV/0!</v>
      </c>
      <c r="AI363" s="16"/>
      <c r="AJ363" s="16"/>
      <c r="AK363" s="16" t="e">
        <f t="shared" si="80"/>
        <v>#DIV/0!</v>
      </c>
      <c r="AL363" s="15">
        <f t="shared" si="72"/>
        <v>0</v>
      </c>
      <c r="AM363" s="15">
        <f t="shared" si="77"/>
        <v>0</v>
      </c>
      <c r="AP363" s="17" t="e">
        <f t="shared" si="73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si="82"/>
        <v>0</v>
      </c>
      <c r="AG364" s="15" t="e">
        <f t="shared" si="81"/>
        <v>#DIV/0!</v>
      </c>
      <c r="AH364" s="16" t="e">
        <f t="shared" si="70"/>
        <v>#DIV/0!</v>
      </c>
      <c r="AI364" s="16"/>
      <c r="AJ364" s="16"/>
      <c r="AK364" s="16" t="e">
        <f t="shared" si="80"/>
        <v>#DIV/0!</v>
      </c>
      <c r="AL364" s="15">
        <f t="shared" si="72"/>
        <v>0</v>
      </c>
      <c r="AM364" s="15">
        <f t="shared" si="77"/>
        <v>0</v>
      </c>
      <c r="AP364" s="17" t="e">
        <f t="shared" si="73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70"/>
        <v>#DIV/0!</v>
      </c>
      <c r="AI365" s="16"/>
      <c r="AJ365" s="16"/>
      <c r="AK365" s="16" t="e">
        <f t="shared" si="80"/>
        <v>#DIV/0!</v>
      </c>
      <c r="AL365" s="15">
        <f t="shared" si="72"/>
        <v>0</v>
      </c>
      <c r="AM365" s="15">
        <f t="shared" si="77"/>
        <v>0</v>
      </c>
      <c r="AP365" s="17" t="e">
        <f t="shared" si="73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70"/>
        <v>#DIV/0!</v>
      </c>
      <c r="AI366" s="16"/>
      <c r="AJ366" s="16"/>
      <c r="AK366" s="16" t="e">
        <f t="shared" si="80"/>
        <v>#DIV/0!</v>
      </c>
      <c r="AL366" s="15">
        <f t="shared" si="72"/>
        <v>0</v>
      </c>
      <c r="AM366" s="15">
        <f t="shared" si="77"/>
        <v>0</v>
      </c>
      <c r="AP366" s="17" t="e">
        <f t="shared" si="73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70"/>
        <v>#DIV/0!</v>
      </c>
      <c r="AI367" s="16"/>
      <c r="AJ367" s="16"/>
      <c r="AK367" s="16" t="e">
        <f t="shared" si="80"/>
        <v>#DIV/0!</v>
      </c>
      <c r="AL367" s="15">
        <f t="shared" si="72"/>
        <v>0</v>
      </c>
      <c r="AM367" s="15">
        <f t="shared" si="77"/>
        <v>0</v>
      </c>
      <c r="AP367" s="17" t="e">
        <f t="shared" si="73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70"/>
        <v>#DIV/0!</v>
      </c>
      <c r="AI368" s="16"/>
      <c r="AJ368" s="16"/>
      <c r="AK368" s="16" t="e">
        <f t="shared" si="80"/>
        <v>#DIV/0!</v>
      </c>
      <c r="AL368" s="15">
        <f t="shared" si="72"/>
        <v>0</v>
      </c>
      <c r="AM368" s="15">
        <f t="shared" si="77"/>
        <v>0</v>
      </c>
      <c r="AP368" s="17" t="e">
        <f t="shared" si="73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70"/>
        <v>#DIV/0!</v>
      </c>
      <c r="AI369" s="16"/>
      <c r="AJ369" s="16"/>
      <c r="AK369" s="16" t="e">
        <f t="shared" si="80"/>
        <v>#DIV/0!</v>
      </c>
      <c r="AL369" s="15">
        <f t="shared" si="72"/>
        <v>0</v>
      </c>
      <c r="AM369" s="15">
        <f t="shared" si="77"/>
        <v>0</v>
      </c>
      <c r="AP369" s="17" t="e">
        <f t="shared" si="73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70"/>
        <v>#DIV/0!</v>
      </c>
      <c r="AI370" s="16"/>
      <c r="AJ370" s="16"/>
      <c r="AK370" s="16" t="e">
        <f t="shared" si="80"/>
        <v>#DIV/0!</v>
      </c>
      <c r="AL370" s="15">
        <f t="shared" si="72"/>
        <v>0</v>
      </c>
      <c r="AM370" s="15">
        <f t="shared" si="77"/>
        <v>0</v>
      </c>
      <c r="AP370" s="17" t="e">
        <f t="shared" si="73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70"/>
        <v>#DIV/0!</v>
      </c>
      <c r="AI371" s="16"/>
      <c r="AJ371" s="16"/>
      <c r="AK371" s="16" t="e">
        <f t="shared" si="80"/>
        <v>#DIV/0!</v>
      </c>
      <c r="AL371" s="15">
        <f t="shared" si="72"/>
        <v>0</v>
      </c>
      <c r="AM371" s="15">
        <f t="shared" si="77"/>
        <v>0</v>
      </c>
      <c r="AP371" s="17" t="e">
        <f t="shared" si="73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70"/>
        <v>#DIV/0!</v>
      </c>
      <c r="AI372" s="16"/>
      <c r="AJ372" s="16"/>
      <c r="AK372" s="16" t="e">
        <f t="shared" si="80"/>
        <v>#DIV/0!</v>
      </c>
      <c r="AL372" s="15">
        <f t="shared" si="72"/>
        <v>0</v>
      </c>
      <c r="AM372" s="15">
        <f t="shared" si="77"/>
        <v>0</v>
      </c>
      <c r="AP372" s="17" t="e">
        <f t="shared" si="73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70"/>
        <v>#DIV/0!</v>
      </c>
      <c r="AI373" s="16"/>
      <c r="AJ373" s="16"/>
      <c r="AK373" s="16" t="e">
        <f t="shared" si="80"/>
        <v>#DIV/0!</v>
      </c>
      <c r="AL373" s="15">
        <f t="shared" si="72"/>
        <v>0</v>
      </c>
      <c r="AM373" s="15">
        <f t="shared" si="77"/>
        <v>0</v>
      </c>
      <c r="AP373" s="17" t="e">
        <f t="shared" si="73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70"/>
        <v>#DIV/0!</v>
      </c>
      <c r="AI374" s="16"/>
      <c r="AJ374" s="16"/>
      <c r="AK374" s="16" t="e">
        <f t="shared" si="80"/>
        <v>#DIV/0!</v>
      </c>
      <c r="AL374" s="15">
        <f t="shared" si="72"/>
        <v>0</v>
      </c>
      <c r="AM374" s="15">
        <f t="shared" si="77"/>
        <v>0</v>
      </c>
      <c r="AP374" s="17" t="e">
        <f t="shared" si="73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70"/>
        <v>#DIV/0!</v>
      </c>
      <c r="AI375" s="16"/>
      <c r="AJ375" s="16"/>
      <c r="AK375" s="16" t="e">
        <f t="shared" si="80"/>
        <v>#DIV/0!</v>
      </c>
      <c r="AL375" s="15">
        <f t="shared" si="72"/>
        <v>0</v>
      </c>
      <c r="AM375" s="15">
        <f t="shared" si="77"/>
        <v>0</v>
      </c>
      <c r="AP375" s="17" t="e">
        <f t="shared" si="73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70"/>
        <v>#DIV/0!</v>
      </c>
      <c r="AI376" s="16"/>
      <c r="AJ376" s="16"/>
      <c r="AK376" s="16" t="e">
        <f t="shared" si="80"/>
        <v>#DIV/0!</v>
      </c>
      <c r="AL376" s="15">
        <f t="shared" si="72"/>
        <v>0</v>
      </c>
      <c r="AM376" s="15">
        <f t="shared" si="77"/>
        <v>0</v>
      </c>
      <c r="AP376" s="17" t="e">
        <f t="shared" si="73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70"/>
        <v>#DIV/0!</v>
      </c>
      <c r="AI377" s="16"/>
      <c r="AJ377" s="16"/>
      <c r="AK377" s="16" t="e">
        <f t="shared" si="80"/>
        <v>#DIV/0!</v>
      </c>
      <c r="AL377" s="15">
        <f t="shared" si="72"/>
        <v>0</v>
      </c>
      <c r="AM377" s="15">
        <f t="shared" si="77"/>
        <v>0</v>
      </c>
      <c r="AP377" s="17" t="e">
        <f t="shared" si="73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70"/>
        <v>#DIV/0!</v>
      </c>
      <c r="AI378" s="16"/>
      <c r="AJ378" s="16"/>
      <c r="AK378" s="16" t="e">
        <f t="shared" ref="AK378:AK409" si="83">(2*AG378+AH378)*AJ378</f>
        <v>#DIV/0!</v>
      </c>
      <c r="AL378" s="15">
        <f t="shared" si="72"/>
        <v>0</v>
      </c>
      <c r="AM378" s="15">
        <f t="shared" si="77"/>
        <v>0</v>
      </c>
      <c r="AP378" s="17" t="e">
        <f t="shared" si="73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70"/>
        <v>#DIV/0!</v>
      </c>
      <c r="AI379" s="16"/>
      <c r="AJ379" s="16"/>
      <c r="AK379" s="16" t="e">
        <f t="shared" si="83"/>
        <v>#DIV/0!</v>
      </c>
      <c r="AL379" s="15">
        <f t="shared" si="72"/>
        <v>0</v>
      </c>
      <c r="AM379" s="15">
        <f t="shared" si="77"/>
        <v>0</v>
      </c>
      <c r="AP379" s="17" t="e">
        <f t="shared" si="73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70"/>
        <v>#DIV/0!</v>
      </c>
      <c r="AI380" s="16"/>
      <c r="AJ380" s="16"/>
      <c r="AK380" s="16" t="e">
        <f t="shared" si="83"/>
        <v>#DIV/0!</v>
      </c>
      <c r="AL380" s="15">
        <f t="shared" si="72"/>
        <v>0</v>
      </c>
      <c r="AM380" s="15">
        <f t="shared" si="77"/>
        <v>0</v>
      </c>
      <c r="AP380" s="17" t="e">
        <f t="shared" si="73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70"/>
        <v>#DIV/0!</v>
      </c>
      <c r="AI381" s="16"/>
      <c r="AJ381" s="16"/>
      <c r="AK381" s="16" t="e">
        <f t="shared" si="83"/>
        <v>#DIV/0!</v>
      </c>
      <c r="AL381" s="15">
        <f t="shared" si="72"/>
        <v>0</v>
      </c>
      <c r="AM381" s="15">
        <f t="shared" si="77"/>
        <v>0</v>
      </c>
      <c r="AP381" s="17" t="e">
        <f t="shared" si="73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70"/>
        <v>#DIV/0!</v>
      </c>
      <c r="AI382" s="16"/>
      <c r="AJ382" s="16"/>
      <c r="AK382" s="16" t="e">
        <f t="shared" si="83"/>
        <v>#DIV/0!</v>
      </c>
      <c r="AL382" s="15">
        <f t="shared" si="72"/>
        <v>0</v>
      </c>
      <c r="AM382" s="15">
        <f t="shared" si="77"/>
        <v>0</v>
      </c>
      <c r="AP382" s="17" t="e">
        <f t="shared" si="73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70"/>
        <v>#DIV/0!</v>
      </c>
      <c r="AI383" s="16"/>
      <c r="AJ383" s="16"/>
      <c r="AK383" s="16" t="e">
        <f t="shared" si="83"/>
        <v>#DIV/0!</v>
      </c>
      <c r="AL383" s="15">
        <f t="shared" si="72"/>
        <v>0</v>
      </c>
      <c r="AM383" s="15">
        <f t="shared" si="77"/>
        <v>0</v>
      </c>
      <c r="AP383" s="17" t="e">
        <f t="shared" si="73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70"/>
        <v>#DIV/0!</v>
      </c>
      <c r="AI384" s="16"/>
      <c r="AJ384" s="16"/>
      <c r="AK384" s="16" t="e">
        <f t="shared" si="83"/>
        <v>#DIV/0!</v>
      </c>
      <c r="AL384" s="15">
        <f t="shared" si="72"/>
        <v>0</v>
      </c>
      <c r="AM384" s="15">
        <f t="shared" si="77"/>
        <v>0</v>
      </c>
      <c r="AP384" s="17" t="e">
        <f t="shared" si="73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70"/>
        <v>#DIV/0!</v>
      </c>
      <c r="AI385" s="16"/>
      <c r="AJ385" s="16"/>
      <c r="AK385" s="16" t="e">
        <f t="shared" si="83"/>
        <v>#DIV/0!</v>
      </c>
      <c r="AL385" s="15">
        <f t="shared" si="72"/>
        <v>0</v>
      </c>
      <c r="AM385" s="15">
        <f t="shared" si="77"/>
        <v>0</v>
      </c>
      <c r="AP385" s="17" t="e">
        <f t="shared" si="73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9" si="84">IF(X386&lt;50,IF(Y386&gt;(2.3*X386),0,1),1)-IF(Z386&gt;Y386,1.7,0)</f>
        <v>1</v>
      </c>
      <c r="AC386" s="16">
        <f t="shared" si="82"/>
        <v>0</v>
      </c>
      <c r="AG386" s="15" t="e">
        <f t="shared" ref="AG386:AG417" si="85">IF(G386&lt;52,0,0.7)+IF(G386&lt;34,0,0.7)+IF(G386&lt;1,0,0.7)+IF(P386&gt;14.56,0,1)+IF(R386&lt;9,0.5,0)+IF(R386&lt;33.8,0.5,0)+IF(R386&lt;50,0.5,0)+IF(R386&lt;80,0.5,0)+IF(V386&gt;0,1,0)+IF(AE386&lt;10.56,0,1)</f>
        <v>#DIV/0!</v>
      </c>
      <c r="AH386" s="16" t="e">
        <f t="shared" ref="AH386:AH449" si="86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7">D386</f>
        <v>0</v>
      </c>
      <c r="AM386" s="15">
        <f t="shared" si="77"/>
        <v>0</v>
      </c>
      <c r="AP386" s="17" t="e">
        <f t="shared" ref="AP386:AP454" si="88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5"/>
        <v>#DIV/0!</v>
      </c>
      <c r="AH387" s="16" t="e">
        <f t="shared" si="86"/>
        <v>#DIV/0!</v>
      </c>
      <c r="AI387" s="16"/>
      <c r="AJ387" s="16"/>
      <c r="AK387" s="16" t="e">
        <f t="shared" si="83"/>
        <v>#DIV/0!</v>
      </c>
      <c r="AL387" s="15">
        <f t="shared" si="87"/>
        <v>0</v>
      </c>
      <c r="AM387" s="15">
        <f t="shared" si="77"/>
        <v>0</v>
      </c>
      <c r="AP387" s="17" t="e">
        <f t="shared" si="88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5"/>
        <v>#DIV/0!</v>
      </c>
      <c r="AH388" s="16" t="e">
        <f t="shared" si="86"/>
        <v>#DIV/0!</v>
      </c>
      <c r="AI388" s="16"/>
      <c r="AJ388" s="16"/>
      <c r="AK388" s="16" t="e">
        <f t="shared" si="83"/>
        <v>#DIV/0!</v>
      </c>
      <c r="AL388" s="15">
        <f t="shared" si="87"/>
        <v>0</v>
      </c>
      <c r="AM388" s="15">
        <f t="shared" si="77"/>
        <v>0</v>
      </c>
      <c r="AP388" s="17" t="e">
        <f t="shared" si="88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5"/>
        <v>#DIV/0!</v>
      </c>
      <c r="AH389" s="16" t="e">
        <f t="shared" si="86"/>
        <v>#DIV/0!</v>
      </c>
      <c r="AI389" s="16"/>
      <c r="AJ389" s="16"/>
      <c r="AK389" s="16" t="e">
        <f t="shared" si="83"/>
        <v>#DIV/0!</v>
      </c>
      <c r="AL389" s="15">
        <f t="shared" si="87"/>
        <v>0</v>
      </c>
      <c r="AM389" s="15">
        <f t="shared" si="77"/>
        <v>0</v>
      </c>
      <c r="AP389" s="17" t="e">
        <f t="shared" si="88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si="85"/>
        <v>#DIV/0!</v>
      </c>
      <c r="AH390" s="16" t="e">
        <f t="shared" si="86"/>
        <v>#DIV/0!</v>
      </c>
      <c r="AI390" s="16"/>
      <c r="AJ390" s="16"/>
      <c r="AK390" s="16" t="e">
        <f t="shared" si="83"/>
        <v>#DIV/0!</v>
      </c>
      <c r="AL390" s="15">
        <f t="shared" si="87"/>
        <v>0</v>
      </c>
      <c r="AM390" s="15">
        <f t="shared" si="77"/>
        <v>0</v>
      </c>
      <c r="AP390" s="17" t="e">
        <f t="shared" si="88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5"/>
        <v>#DIV/0!</v>
      </c>
      <c r="AH391" s="16" t="e">
        <f t="shared" si="86"/>
        <v>#DIV/0!</v>
      </c>
      <c r="AI391" s="16"/>
      <c r="AJ391" s="16"/>
      <c r="AK391" s="16" t="e">
        <f t="shared" si="83"/>
        <v>#DIV/0!</v>
      </c>
      <c r="AL391" s="15">
        <f t="shared" si="87"/>
        <v>0</v>
      </c>
      <c r="AM391" s="15">
        <f t="shared" si="77"/>
        <v>0</v>
      </c>
      <c r="AP391" s="17" t="e">
        <f t="shared" si="88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ref="AC392:AC423" si="89">IF(U393&gt;9,1,0)+U393/3</f>
        <v>0</v>
      </c>
      <c r="AG392" s="15" t="e">
        <f t="shared" si="85"/>
        <v>#DIV/0!</v>
      </c>
      <c r="AH392" s="16" t="e">
        <f t="shared" si="86"/>
        <v>#DIV/0!</v>
      </c>
      <c r="AI392" s="16"/>
      <c r="AJ392" s="16"/>
      <c r="AK392" s="16" t="e">
        <f t="shared" si="83"/>
        <v>#DIV/0!</v>
      </c>
      <c r="AL392" s="15">
        <f t="shared" si="87"/>
        <v>0</v>
      </c>
      <c r="AM392" s="15">
        <f t="shared" si="77"/>
        <v>0</v>
      </c>
      <c r="AP392" s="17" t="e">
        <f t="shared" si="88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9"/>
        <v>0</v>
      </c>
      <c r="AG393" s="15" t="e">
        <f t="shared" si="85"/>
        <v>#DIV/0!</v>
      </c>
      <c r="AH393" s="16" t="e">
        <f t="shared" si="86"/>
        <v>#DIV/0!</v>
      </c>
      <c r="AI393" s="16"/>
      <c r="AJ393" s="16"/>
      <c r="AK393" s="16" t="e">
        <f t="shared" si="83"/>
        <v>#DIV/0!</v>
      </c>
      <c r="AL393" s="15">
        <f t="shared" si="87"/>
        <v>0</v>
      </c>
      <c r="AM393" s="15">
        <f t="shared" si="77"/>
        <v>0</v>
      </c>
      <c r="AP393" s="17" t="e">
        <f t="shared" si="88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9"/>
        <v>0</v>
      </c>
      <c r="AG394" s="15" t="e">
        <f t="shared" si="85"/>
        <v>#DIV/0!</v>
      </c>
      <c r="AH394" s="16" t="e">
        <f t="shared" si="86"/>
        <v>#DIV/0!</v>
      </c>
      <c r="AI394" s="16"/>
      <c r="AJ394" s="16"/>
      <c r="AK394" s="16" t="e">
        <f t="shared" si="83"/>
        <v>#DIV/0!</v>
      </c>
      <c r="AL394" s="15">
        <f t="shared" si="87"/>
        <v>0</v>
      </c>
      <c r="AM394" s="15">
        <f t="shared" si="77"/>
        <v>0</v>
      </c>
      <c r="AP394" s="17" t="e">
        <f t="shared" si="88"/>
        <v>#DIV/0!</v>
      </c>
    </row>
    <row r="395" spans="7:42">
      <c r="G395" s="16" t="e">
        <f t="shared" si="75"/>
        <v>#DIV/0!</v>
      </c>
      <c r="P395" s="16" t="e">
        <f t="shared" si="76"/>
        <v>#DIV/0!</v>
      </c>
      <c r="R395" s="111"/>
      <c r="S395" s="118">
        <v>5</v>
      </c>
      <c r="AA395" s="2">
        <f t="shared" si="84"/>
        <v>1</v>
      </c>
      <c r="AC395" s="16">
        <f t="shared" si="89"/>
        <v>0</v>
      </c>
      <c r="AG395" s="15" t="e">
        <f t="shared" si="85"/>
        <v>#DIV/0!</v>
      </c>
      <c r="AH395" s="16" t="e">
        <f t="shared" si="86"/>
        <v>#DIV/0!</v>
      </c>
      <c r="AI395" s="16"/>
      <c r="AJ395" s="16"/>
      <c r="AK395" s="16" t="e">
        <f t="shared" si="83"/>
        <v>#DIV/0!</v>
      </c>
      <c r="AL395" s="15">
        <f t="shared" si="87"/>
        <v>0</v>
      </c>
      <c r="AM395" s="15">
        <f t="shared" si="77"/>
        <v>0</v>
      </c>
      <c r="AP395" s="17" t="e">
        <f t="shared" si="88"/>
        <v>#DIV/0!</v>
      </c>
    </row>
    <row r="396" spans="7:42">
      <c r="G396" s="16" t="e">
        <f t="shared" ref="G396:G459" si="90">100*(F396-E396)/F396</f>
        <v>#DIV/0!</v>
      </c>
      <c r="P396" s="16" t="e">
        <f t="shared" ref="P396:P459" si="91">O396/I396</f>
        <v>#DIV/0!</v>
      </c>
      <c r="R396" s="111"/>
      <c r="S396" s="118">
        <v>5</v>
      </c>
      <c r="AA396" s="2">
        <f t="shared" si="84"/>
        <v>1</v>
      </c>
      <c r="AC396" s="16">
        <f t="shared" si="89"/>
        <v>0</v>
      </c>
      <c r="AG396" s="15" t="e">
        <f t="shared" si="85"/>
        <v>#DIV/0!</v>
      </c>
      <c r="AH396" s="16" t="e">
        <f t="shared" si="86"/>
        <v>#DIV/0!</v>
      </c>
      <c r="AI396" s="16"/>
      <c r="AJ396" s="16"/>
      <c r="AK396" s="16" t="e">
        <f t="shared" si="83"/>
        <v>#DIV/0!</v>
      </c>
      <c r="AL396" s="15">
        <f t="shared" si="87"/>
        <v>0</v>
      </c>
      <c r="AM396" s="15">
        <f t="shared" ref="AM396:AM455" si="92">B396</f>
        <v>0</v>
      </c>
      <c r="AP396" s="17" t="e">
        <f t="shared" si="88"/>
        <v>#DIV/0!</v>
      </c>
    </row>
    <row r="397" spans="7:42">
      <c r="G397" s="16" t="e">
        <f t="shared" si="90"/>
        <v>#DIV/0!</v>
      </c>
      <c r="P397" s="16" t="e">
        <f t="shared" si="91"/>
        <v>#DIV/0!</v>
      </c>
      <c r="R397" s="111"/>
      <c r="S397" s="118">
        <v>5</v>
      </c>
      <c r="AA397" s="2">
        <f t="shared" si="84"/>
        <v>1</v>
      </c>
      <c r="AC397" s="16">
        <f t="shared" si="89"/>
        <v>0</v>
      </c>
      <c r="AG397" s="15" t="e">
        <f t="shared" si="85"/>
        <v>#DIV/0!</v>
      </c>
      <c r="AH397" s="16" t="e">
        <f t="shared" si="86"/>
        <v>#DIV/0!</v>
      </c>
      <c r="AI397" s="16"/>
      <c r="AJ397" s="16"/>
      <c r="AK397" s="16" t="e">
        <f t="shared" si="83"/>
        <v>#DIV/0!</v>
      </c>
      <c r="AL397" s="15">
        <f t="shared" si="87"/>
        <v>0</v>
      </c>
      <c r="AM397" s="15">
        <f t="shared" si="92"/>
        <v>0</v>
      </c>
      <c r="AP397" s="17" t="e">
        <f t="shared" si="88"/>
        <v>#DIV/0!</v>
      </c>
    </row>
    <row r="398" spans="7:42">
      <c r="G398" s="16" t="e">
        <f t="shared" si="90"/>
        <v>#DIV/0!</v>
      </c>
      <c r="P398" s="16" t="e">
        <f t="shared" si="91"/>
        <v>#DIV/0!</v>
      </c>
      <c r="R398" s="111"/>
      <c r="S398" s="118">
        <v>5</v>
      </c>
      <c r="AA398" s="2">
        <f t="shared" si="84"/>
        <v>1</v>
      </c>
      <c r="AC398" s="16">
        <f t="shared" si="89"/>
        <v>0</v>
      </c>
      <c r="AG398" s="15" t="e">
        <f t="shared" si="85"/>
        <v>#DIV/0!</v>
      </c>
      <c r="AH398" s="16" t="e">
        <f t="shared" si="86"/>
        <v>#DIV/0!</v>
      </c>
      <c r="AI398" s="16"/>
      <c r="AJ398" s="16"/>
      <c r="AK398" s="16" t="e">
        <f t="shared" si="83"/>
        <v>#DIV/0!</v>
      </c>
      <c r="AL398" s="15">
        <f t="shared" si="87"/>
        <v>0</v>
      </c>
      <c r="AM398" s="15">
        <f t="shared" si="92"/>
        <v>0</v>
      </c>
      <c r="AP398" s="17" t="e">
        <f t="shared" si="88"/>
        <v>#DIV/0!</v>
      </c>
    </row>
    <row r="399" spans="7:42">
      <c r="G399" s="16" t="e">
        <f t="shared" si="90"/>
        <v>#DIV/0!</v>
      </c>
      <c r="P399" s="16" t="e">
        <f t="shared" si="91"/>
        <v>#DIV/0!</v>
      </c>
      <c r="R399" s="111"/>
      <c r="S399" s="118">
        <v>5</v>
      </c>
      <c r="AA399" s="2">
        <f t="shared" si="84"/>
        <v>1</v>
      </c>
      <c r="AC399" s="16">
        <f t="shared" si="89"/>
        <v>0</v>
      </c>
      <c r="AG399" s="15" t="e">
        <f t="shared" si="85"/>
        <v>#DIV/0!</v>
      </c>
      <c r="AH399" s="16" t="e">
        <f t="shared" si="86"/>
        <v>#DIV/0!</v>
      </c>
      <c r="AI399" s="16"/>
      <c r="AJ399" s="16"/>
      <c r="AK399" s="16" t="e">
        <f t="shared" si="83"/>
        <v>#DIV/0!</v>
      </c>
      <c r="AL399" s="15">
        <f t="shared" si="87"/>
        <v>0</v>
      </c>
      <c r="AM399" s="15">
        <f t="shared" si="92"/>
        <v>0</v>
      </c>
      <c r="AP399" s="17" t="e">
        <f t="shared" si="88"/>
        <v>#DIV/0!</v>
      </c>
    </row>
    <row r="400" spans="7:42">
      <c r="G400" s="16" t="e">
        <f t="shared" si="90"/>
        <v>#DIV/0!</v>
      </c>
      <c r="P400" s="16" t="e">
        <f t="shared" si="91"/>
        <v>#DIV/0!</v>
      </c>
      <c r="R400" s="111"/>
      <c r="S400" s="118">
        <v>5</v>
      </c>
      <c r="AA400" s="2">
        <f t="shared" si="84"/>
        <v>1</v>
      </c>
      <c r="AC400" s="16">
        <f t="shared" si="89"/>
        <v>0</v>
      </c>
      <c r="AG400" s="15" t="e">
        <f t="shared" si="85"/>
        <v>#DIV/0!</v>
      </c>
      <c r="AH400" s="16" t="e">
        <f t="shared" si="86"/>
        <v>#DIV/0!</v>
      </c>
      <c r="AI400" s="16"/>
      <c r="AJ400" s="16"/>
      <c r="AK400" s="16" t="e">
        <f t="shared" si="83"/>
        <v>#DIV/0!</v>
      </c>
      <c r="AL400" s="15">
        <f t="shared" si="87"/>
        <v>0</v>
      </c>
      <c r="AM400" s="15">
        <f t="shared" si="92"/>
        <v>0</v>
      </c>
      <c r="AP400" s="17" t="e">
        <f t="shared" si="88"/>
        <v>#DIV/0!</v>
      </c>
    </row>
    <row r="401" spans="7:42">
      <c r="G401" s="16" t="e">
        <f t="shared" si="90"/>
        <v>#DIV/0!</v>
      </c>
      <c r="P401" s="16" t="e">
        <f t="shared" si="91"/>
        <v>#DIV/0!</v>
      </c>
      <c r="R401" s="111"/>
      <c r="S401" s="118">
        <v>5</v>
      </c>
      <c r="AA401" s="2">
        <f t="shared" si="84"/>
        <v>1</v>
      </c>
      <c r="AC401" s="16">
        <f t="shared" si="89"/>
        <v>0</v>
      </c>
      <c r="AG401" s="15" t="e">
        <f t="shared" si="85"/>
        <v>#DIV/0!</v>
      </c>
      <c r="AH401" s="16" t="e">
        <f t="shared" si="86"/>
        <v>#DIV/0!</v>
      </c>
      <c r="AI401" s="16"/>
      <c r="AJ401" s="16"/>
      <c r="AK401" s="16" t="e">
        <f t="shared" si="83"/>
        <v>#DIV/0!</v>
      </c>
      <c r="AL401" s="15">
        <f t="shared" si="87"/>
        <v>0</v>
      </c>
      <c r="AM401" s="15">
        <f t="shared" si="92"/>
        <v>0</v>
      </c>
      <c r="AP401" s="17" t="e">
        <f t="shared" si="88"/>
        <v>#DIV/0!</v>
      </c>
    </row>
    <row r="402" spans="7:42">
      <c r="G402" s="16" t="e">
        <f t="shared" si="90"/>
        <v>#DIV/0!</v>
      </c>
      <c r="P402" s="16" t="e">
        <f t="shared" si="91"/>
        <v>#DIV/0!</v>
      </c>
      <c r="R402" s="111"/>
      <c r="S402" s="118">
        <v>5</v>
      </c>
      <c r="AA402" s="2">
        <f t="shared" si="84"/>
        <v>1</v>
      </c>
      <c r="AC402" s="16">
        <f t="shared" si="89"/>
        <v>0</v>
      </c>
      <c r="AG402" s="15" t="e">
        <f t="shared" si="85"/>
        <v>#DIV/0!</v>
      </c>
      <c r="AH402" s="16" t="e">
        <f t="shared" si="86"/>
        <v>#DIV/0!</v>
      </c>
      <c r="AI402" s="16"/>
      <c r="AJ402" s="16"/>
      <c r="AK402" s="16" t="e">
        <f t="shared" si="83"/>
        <v>#DIV/0!</v>
      </c>
      <c r="AL402" s="15">
        <f t="shared" si="87"/>
        <v>0</v>
      </c>
      <c r="AM402" s="15">
        <f t="shared" si="92"/>
        <v>0</v>
      </c>
      <c r="AP402" s="17" t="e">
        <f t="shared" si="88"/>
        <v>#DIV/0!</v>
      </c>
    </row>
    <row r="403" spans="7:42">
      <c r="G403" s="16" t="e">
        <f t="shared" si="90"/>
        <v>#DIV/0!</v>
      </c>
      <c r="P403" s="16" t="e">
        <f t="shared" si="91"/>
        <v>#DIV/0!</v>
      </c>
      <c r="R403" s="111"/>
      <c r="S403" s="118">
        <v>5</v>
      </c>
      <c r="AA403" s="2">
        <f t="shared" si="84"/>
        <v>1</v>
      </c>
      <c r="AC403" s="16">
        <f t="shared" si="89"/>
        <v>0</v>
      </c>
      <c r="AG403" s="15" t="e">
        <f t="shared" si="85"/>
        <v>#DIV/0!</v>
      </c>
      <c r="AH403" s="16" t="e">
        <f t="shared" si="86"/>
        <v>#DIV/0!</v>
      </c>
      <c r="AI403" s="16"/>
      <c r="AJ403" s="16"/>
      <c r="AK403" s="16" t="e">
        <f t="shared" si="83"/>
        <v>#DIV/0!</v>
      </c>
      <c r="AL403" s="15">
        <f t="shared" si="87"/>
        <v>0</v>
      </c>
      <c r="AM403" s="15">
        <f t="shared" si="92"/>
        <v>0</v>
      </c>
      <c r="AP403" s="17" t="e">
        <f t="shared" si="88"/>
        <v>#DIV/0!</v>
      </c>
    </row>
    <row r="404" spans="7:42">
      <c r="G404" s="16" t="e">
        <f t="shared" si="90"/>
        <v>#DIV/0!</v>
      </c>
      <c r="P404" s="16" t="e">
        <f t="shared" si="91"/>
        <v>#DIV/0!</v>
      </c>
      <c r="R404" s="111"/>
      <c r="S404" s="118">
        <v>5</v>
      </c>
      <c r="AA404" s="2">
        <f t="shared" si="84"/>
        <v>1</v>
      </c>
      <c r="AC404" s="16">
        <f t="shared" si="89"/>
        <v>0</v>
      </c>
      <c r="AG404" s="15" t="e">
        <f t="shared" si="85"/>
        <v>#DIV/0!</v>
      </c>
      <c r="AH404" s="16" t="e">
        <f t="shared" si="86"/>
        <v>#DIV/0!</v>
      </c>
      <c r="AI404" s="16"/>
      <c r="AJ404" s="16"/>
      <c r="AK404" s="16" t="e">
        <f t="shared" si="83"/>
        <v>#DIV/0!</v>
      </c>
      <c r="AL404" s="15">
        <f t="shared" si="87"/>
        <v>0</v>
      </c>
      <c r="AM404" s="15">
        <f t="shared" si="92"/>
        <v>0</v>
      </c>
      <c r="AP404" s="17" t="e">
        <f t="shared" si="88"/>
        <v>#DIV/0!</v>
      </c>
    </row>
    <row r="405" spans="7:42">
      <c r="G405" s="16" t="e">
        <f t="shared" si="90"/>
        <v>#DIV/0!</v>
      </c>
      <c r="P405" s="16" t="e">
        <f t="shared" si="91"/>
        <v>#DIV/0!</v>
      </c>
      <c r="R405" s="111"/>
      <c r="S405" s="118">
        <v>5</v>
      </c>
      <c r="AA405" s="2">
        <f t="shared" si="84"/>
        <v>1</v>
      </c>
      <c r="AC405" s="16">
        <f t="shared" si="89"/>
        <v>0</v>
      </c>
      <c r="AG405" s="15" t="e">
        <f t="shared" si="85"/>
        <v>#DIV/0!</v>
      </c>
      <c r="AH405" s="16" t="e">
        <f t="shared" si="86"/>
        <v>#DIV/0!</v>
      </c>
      <c r="AI405" s="16"/>
      <c r="AJ405" s="16"/>
      <c r="AK405" s="16" t="e">
        <f t="shared" si="83"/>
        <v>#DIV/0!</v>
      </c>
      <c r="AL405" s="15">
        <f t="shared" si="87"/>
        <v>0</v>
      </c>
      <c r="AM405" s="15">
        <f t="shared" si="92"/>
        <v>0</v>
      </c>
      <c r="AP405" s="17" t="e">
        <f t="shared" si="88"/>
        <v>#DIV/0!</v>
      </c>
    </row>
    <row r="406" spans="7:42">
      <c r="G406" s="16" t="e">
        <f t="shared" si="90"/>
        <v>#DIV/0!</v>
      </c>
      <c r="P406" s="16" t="e">
        <f t="shared" si="91"/>
        <v>#DIV/0!</v>
      </c>
      <c r="R406" s="111"/>
      <c r="S406" s="118">
        <v>5</v>
      </c>
      <c r="AA406" s="2">
        <f t="shared" si="84"/>
        <v>1</v>
      </c>
      <c r="AC406" s="16">
        <f t="shared" si="89"/>
        <v>0</v>
      </c>
      <c r="AG406" s="15" t="e">
        <f t="shared" si="85"/>
        <v>#DIV/0!</v>
      </c>
      <c r="AH406" s="16" t="e">
        <f t="shared" si="86"/>
        <v>#DIV/0!</v>
      </c>
      <c r="AI406" s="16"/>
      <c r="AJ406" s="16"/>
      <c r="AK406" s="16" t="e">
        <f t="shared" si="83"/>
        <v>#DIV/0!</v>
      </c>
      <c r="AL406" s="15">
        <f t="shared" si="87"/>
        <v>0</v>
      </c>
      <c r="AM406" s="15">
        <f t="shared" si="92"/>
        <v>0</v>
      </c>
      <c r="AP406" s="17" t="e">
        <f t="shared" si="88"/>
        <v>#DIV/0!</v>
      </c>
    </row>
    <row r="407" spans="7:42">
      <c r="G407" s="16" t="e">
        <f t="shared" si="90"/>
        <v>#DIV/0!</v>
      </c>
      <c r="P407" s="16" t="e">
        <f t="shared" si="91"/>
        <v>#DIV/0!</v>
      </c>
      <c r="R407" s="111"/>
      <c r="S407" s="118">
        <v>5</v>
      </c>
      <c r="AA407" s="2">
        <f t="shared" si="84"/>
        <v>1</v>
      </c>
      <c r="AC407" s="16">
        <f t="shared" si="89"/>
        <v>0</v>
      </c>
      <c r="AG407" s="15" t="e">
        <f t="shared" si="85"/>
        <v>#DIV/0!</v>
      </c>
      <c r="AH407" s="16" t="e">
        <f t="shared" si="86"/>
        <v>#DIV/0!</v>
      </c>
      <c r="AI407" s="16"/>
      <c r="AJ407" s="16"/>
      <c r="AK407" s="16" t="e">
        <f t="shared" si="83"/>
        <v>#DIV/0!</v>
      </c>
      <c r="AL407" s="15">
        <f t="shared" si="87"/>
        <v>0</v>
      </c>
      <c r="AM407" s="15">
        <f t="shared" si="92"/>
        <v>0</v>
      </c>
      <c r="AP407" s="17" t="e">
        <f t="shared" si="88"/>
        <v>#DIV/0!</v>
      </c>
    </row>
    <row r="408" spans="7:42">
      <c r="G408" s="16" t="e">
        <f t="shared" si="90"/>
        <v>#DIV/0!</v>
      </c>
      <c r="P408" s="16" t="e">
        <f t="shared" si="91"/>
        <v>#DIV/0!</v>
      </c>
      <c r="R408" s="111"/>
      <c r="S408" s="118">
        <v>5</v>
      </c>
      <c r="AA408" s="2">
        <f t="shared" si="84"/>
        <v>1</v>
      </c>
      <c r="AC408" s="16">
        <f t="shared" si="89"/>
        <v>0</v>
      </c>
      <c r="AG408" s="15" t="e">
        <f t="shared" si="85"/>
        <v>#DIV/0!</v>
      </c>
      <c r="AH408" s="16" t="e">
        <f t="shared" si="86"/>
        <v>#DIV/0!</v>
      </c>
      <c r="AI408" s="16"/>
      <c r="AJ408" s="16"/>
      <c r="AK408" s="16" t="e">
        <f t="shared" si="83"/>
        <v>#DIV/0!</v>
      </c>
      <c r="AL408" s="15">
        <f t="shared" si="87"/>
        <v>0</v>
      </c>
      <c r="AM408" s="15">
        <f t="shared" si="92"/>
        <v>0</v>
      </c>
      <c r="AP408" s="17" t="e">
        <f t="shared" si="88"/>
        <v>#DIV/0!</v>
      </c>
    </row>
    <row r="409" spans="7:42">
      <c r="G409" s="16" t="e">
        <f t="shared" si="90"/>
        <v>#DIV/0!</v>
      </c>
      <c r="P409" s="16" t="e">
        <f t="shared" si="91"/>
        <v>#DIV/0!</v>
      </c>
      <c r="R409" s="111"/>
      <c r="S409" s="118">
        <v>5</v>
      </c>
      <c r="AA409" s="2">
        <f t="shared" si="84"/>
        <v>1</v>
      </c>
      <c r="AC409" s="16">
        <f t="shared" si="89"/>
        <v>0</v>
      </c>
      <c r="AG409" s="15" t="e">
        <f t="shared" si="85"/>
        <v>#DIV/0!</v>
      </c>
      <c r="AH409" s="16" t="e">
        <f t="shared" si="86"/>
        <v>#DIV/0!</v>
      </c>
      <c r="AI409" s="16"/>
      <c r="AJ409" s="16"/>
      <c r="AK409" s="16" t="e">
        <f t="shared" si="83"/>
        <v>#DIV/0!</v>
      </c>
      <c r="AL409" s="15">
        <f t="shared" si="87"/>
        <v>0</v>
      </c>
      <c r="AM409" s="15">
        <f t="shared" si="92"/>
        <v>0</v>
      </c>
      <c r="AP409" s="17" t="e">
        <f t="shared" si="88"/>
        <v>#DIV/0!</v>
      </c>
    </row>
    <row r="410" spans="7:42">
      <c r="G410" s="16" t="e">
        <f t="shared" si="90"/>
        <v>#DIV/0!</v>
      </c>
      <c r="P410" s="16" t="e">
        <f t="shared" si="91"/>
        <v>#DIV/0!</v>
      </c>
      <c r="R410" s="111"/>
      <c r="S410" s="118">
        <v>5</v>
      </c>
      <c r="AA410" s="2">
        <f t="shared" si="84"/>
        <v>1</v>
      </c>
      <c r="AC410" s="16">
        <f t="shared" si="89"/>
        <v>0</v>
      </c>
      <c r="AG410" s="15" t="e">
        <f t="shared" si="85"/>
        <v>#DIV/0!</v>
      </c>
      <c r="AH410" s="16" t="e">
        <f t="shared" si="86"/>
        <v>#DIV/0!</v>
      </c>
      <c r="AI410" s="16"/>
      <c r="AJ410" s="16"/>
      <c r="AK410" s="16" t="e">
        <f t="shared" ref="AK410:AK441" si="93">(2*AG410+AH410)*AJ410</f>
        <v>#DIV/0!</v>
      </c>
      <c r="AL410" s="15">
        <f t="shared" si="87"/>
        <v>0</v>
      </c>
      <c r="AM410" s="15">
        <f t="shared" si="92"/>
        <v>0</v>
      </c>
      <c r="AP410" s="17" t="e">
        <f t="shared" si="88"/>
        <v>#DIV/0!</v>
      </c>
    </row>
    <row r="411" spans="7:42">
      <c r="G411" s="16" t="e">
        <f t="shared" si="90"/>
        <v>#DIV/0!</v>
      </c>
      <c r="P411" s="16" t="e">
        <f t="shared" si="91"/>
        <v>#DIV/0!</v>
      </c>
      <c r="R411" s="111"/>
      <c r="S411" s="118">
        <v>5</v>
      </c>
      <c r="AA411" s="2">
        <f t="shared" si="84"/>
        <v>1</v>
      </c>
      <c r="AC411" s="16">
        <f t="shared" si="89"/>
        <v>0</v>
      </c>
      <c r="AG411" s="15" t="e">
        <f t="shared" si="85"/>
        <v>#DIV/0!</v>
      </c>
      <c r="AH411" s="16" t="e">
        <f t="shared" si="86"/>
        <v>#DIV/0!</v>
      </c>
      <c r="AI411" s="16"/>
      <c r="AJ411" s="16"/>
      <c r="AK411" s="16" t="e">
        <f t="shared" si="93"/>
        <v>#DIV/0!</v>
      </c>
      <c r="AL411" s="15">
        <f t="shared" si="87"/>
        <v>0</v>
      </c>
      <c r="AM411" s="15">
        <f t="shared" si="92"/>
        <v>0</v>
      </c>
      <c r="AP411" s="17" t="e">
        <f t="shared" si="88"/>
        <v>#DIV/0!</v>
      </c>
    </row>
    <row r="412" spans="7:42">
      <c r="G412" s="16" t="e">
        <f t="shared" si="90"/>
        <v>#DIV/0!</v>
      </c>
      <c r="P412" s="16" t="e">
        <f t="shared" si="91"/>
        <v>#DIV/0!</v>
      </c>
      <c r="R412" s="111"/>
      <c r="S412" s="118">
        <v>5</v>
      </c>
      <c r="AA412" s="2">
        <f t="shared" si="84"/>
        <v>1</v>
      </c>
      <c r="AC412" s="16">
        <f t="shared" si="89"/>
        <v>0</v>
      </c>
      <c r="AG412" s="15" t="e">
        <f t="shared" si="85"/>
        <v>#DIV/0!</v>
      </c>
      <c r="AH412" s="16" t="e">
        <f t="shared" si="86"/>
        <v>#DIV/0!</v>
      </c>
      <c r="AI412" s="16"/>
      <c r="AJ412" s="16"/>
      <c r="AK412" s="16" t="e">
        <f t="shared" si="93"/>
        <v>#DIV/0!</v>
      </c>
      <c r="AL412" s="15">
        <f t="shared" si="87"/>
        <v>0</v>
      </c>
      <c r="AM412" s="15">
        <f t="shared" si="92"/>
        <v>0</v>
      </c>
      <c r="AP412" s="17" t="e">
        <f t="shared" si="88"/>
        <v>#DIV/0!</v>
      </c>
    </row>
    <row r="413" spans="7:42">
      <c r="G413" s="16" t="e">
        <f t="shared" si="90"/>
        <v>#DIV/0!</v>
      </c>
      <c r="P413" s="16" t="e">
        <f t="shared" si="91"/>
        <v>#DIV/0!</v>
      </c>
      <c r="R413" s="111"/>
      <c r="S413" s="118">
        <v>5</v>
      </c>
      <c r="AA413" s="2">
        <f t="shared" si="84"/>
        <v>1</v>
      </c>
      <c r="AC413" s="16">
        <f t="shared" si="89"/>
        <v>0</v>
      </c>
      <c r="AG413" s="15" t="e">
        <f t="shared" si="85"/>
        <v>#DIV/0!</v>
      </c>
      <c r="AH413" s="16" t="e">
        <f t="shared" si="86"/>
        <v>#DIV/0!</v>
      </c>
      <c r="AI413" s="16"/>
      <c r="AJ413" s="16"/>
      <c r="AK413" s="16" t="e">
        <f t="shared" si="93"/>
        <v>#DIV/0!</v>
      </c>
      <c r="AL413" s="15">
        <f t="shared" si="87"/>
        <v>0</v>
      </c>
      <c r="AM413" s="15">
        <f t="shared" si="92"/>
        <v>0</v>
      </c>
      <c r="AP413" s="17" t="e">
        <f t="shared" si="88"/>
        <v>#DIV/0!</v>
      </c>
    </row>
    <row r="414" spans="7:42">
      <c r="G414" s="16" t="e">
        <f t="shared" si="90"/>
        <v>#DIV/0!</v>
      </c>
      <c r="P414" s="16" t="e">
        <f t="shared" si="91"/>
        <v>#DIV/0!</v>
      </c>
      <c r="R414" s="111"/>
      <c r="S414" s="118">
        <v>5</v>
      </c>
      <c r="AA414" s="2">
        <f t="shared" si="84"/>
        <v>1</v>
      </c>
      <c r="AC414" s="16">
        <f t="shared" si="89"/>
        <v>0</v>
      </c>
      <c r="AG414" s="15" t="e">
        <f t="shared" si="85"/>
        <v>#DIV/0!</v>
      </c>
      <c r="AH414" s="16" t="e">
        <f t="shared" si="86"/>
        <v>#DIV/0!</v>
      </c>
      <c r="AI414" s="16"/>
      <c r="AJ414" s="16"/>
      <c r="AK414" s="16" t="e">
        <f t="shared" si="93"/>
        <v>#DIV/0!</v>
      </c>
      <c r="AL414" s="15">
        <f t="shared" si="87"/>
        <v>0</v>
      </c>
      <c r="AM414" s="15">
        <f t="shared" si="92"/>
        <v>0</v>
      </c>
      <c r="AP414" s="17" t="e">
        <f t="shared" si="88"/>
        <v>#DIV/0!</v>
      </c>
    </row>
    <row r="415" spans="7:42">
      <c r="G415" s="16" t="e">
        <f t="shared" si="90"/>
        <v>#DIV/0!</v>
      </c>
      <c r="P415" s="16" t="e">
        <f t="shared" si="91"/>
        <v>#DIV/0!</v>
      </c>
      <c r="R415" s="111"/>
      <c r="S415" s="118">
        <v>5</v>
      </c>
      <c r="AA415" s="2">
        <f t="shared" si="84"/>
        <v>1</v>
      </c>
      <c r="AC415" s="16">
        <f t="shared" si="89"/>
        <v>0</v>
      </c>
      <c r="AG415" s="15" t="e">
        <f t="shared" si="85"/>
        <v>#DIV/0!</v>
      </c>
      <c r="AH415" s="16" t="e">
        <f t="shared" si="86"/>
        <v>#DIV/0!</v>
      </c>
      <c r="AI415" s="16"/>
      <c r="AJ415" s="16"/>
      <c r="AK415" s="16" t="e">
        <f t="shared" si="93"/>
        <v>#DIV/0!</v>
      </c>
      <c r="AL415" s="15">
        <f t="shared" si="87"/>
        <v>0</v>
      </c>
      <c r="AM415" s="15">
        <f t="shared" si="92"/>
        <v>0</v>
      </c>
      <c r="AP415" s="17" t="e">
        <f t="shared" si="88"/>
        <v>#DIV/0!</v>
      </c>
    </row>
    <row r="416" spans="7:42">
      <c r="G416" s="16" t="e">
        <f t="shared" si="90"/>
        <v>#DIV/0!</v>
      </c>
      <c r="P416" s="16" t="e">
        <f t="shared" si="91"/>
        <v>#DIV/0!</v>
      </c>
      <c r="R416" s="111"/>
      <c r="S416" s="118">
        <v>5</v>
      </c>
      <c r="AA416" s="2">
        <f t="shared" si="84"/>
        <v>1</v>
      </c>
      <c r="AC416" s="16">
        <f t="shared" si="89"/>
        <v>0</v>
      </c>
      <c r="AG416" s="15" t="e">
        <f t="shared" si="85"/>
        <v>#DIV/0!</v>
      </c>
      <c r="AH416" s="16" t="e">
        <f t="shared" si="86"/>
        <v>#DIV/0!</v>
      </c>
      <c r="AI416" s="16"/>
      <c r="AJ416" s="16"/>
      <c r="AK416" s="16" t="e">
        <f t="shared" si="93"/>
        <v>#DIV/0!</v>
      </c>
      <c r="AL416" s="15">
        <f t="shared" si="87"/>
        <v>0</v>
      </c>
      <c r="AM416" s="15">
        <f t="shared" si="92"/>
        <v>0</v>
      </c>
      <c r="AP416" s="17" t="e">
        <f t="shared" si="88"/>
        <v>#DIV/0!</v>
      </c>
    </row>
    <row r="417" spans="7:42">
      <c r="G417" s="16" t="e">
        <f t="shared" si="90"/>
        <v>#DIV/0!</v>
      </c>
      <c r="P417" s="16" t="e">
        <f t="shared" si="91"/>
        <v>#DIV/0!</v>
      </c>
      <c r="R417" s="111"/>
      <c r="S417" s="118">
        <v>5</v>
      </c>
      <c r="AA417" s="2">
        <f t="shared" si="84"/>
        <v>1</v>
      </c>
      <c r="AC417" s="16">
        <f t="shared" si="89"/>
        <v>0</v>
      </c>
      <c r="AG417" s="15" t="e">
        <f t="shared" si="85"/>
        <v>#DIV/0!</v>
      </c>
      <c r="AH417" s="16" t="e">
        <f t="shared" si="86"/>
        <v>#DIV/0!</v>
      </c>
      <c r="AI417" s="16"/>
      <c r="AJ417" s="16"/>
      <c r="AK417" s="16" t="e">
        <f t="shared" si="93"/>
        <v>#DIV/0!</v>
      </c>
      <c r="AL417" s="15">
        <f t="shared" si="87"/>
        <v>0</v>
      </c>
      <c r="AM417" s="15">
        <f t="shared" si="92"/>
        <v>0</v>
      </c>
      <c r="AP417" s="17" t="e">
        <f t="shared" si="88"/>
        <v>#DIV/0!</v>
      </c>
    </row>
    <row r="418" spans="7:42">
      <c r="G418" s="16" t="e">
        <f t="shared" si="90"/>
        <v>#DIV/0!</v>
      </c>
      <c r="P418" s="16" t="e">
        <f t="shared" si="91"/>
        <v>#DIV/0!</v>
      </c>
      <c r="R418" s="111"/>
      <c r="S418" s="118">
        <v>5</v>
      </c>
      <c r="AA418" s="2">
        <f t="shared" si="84"/>
        <v>1</v>
      </c>
      <c r="AC418" s="16">
        <f t="shared" si="89"/>
        <v>0</v>
      </c>
      <c r="AG418" s="15" t="e">
        <f t="shared" ref="AG418:AG451" si="94">IF(G418&lt;52,0,0.7)+IF(G418&lt;34,0,0.7)+IF(G418&lt;1,0,0.7)+IF(P418&gt;14.56,0,1)+IF(R418&lt;9,0.5,0)+IF(R418&lt;33.8,0.5,0)+IF(R418&lt;50,0.5,0)+IF(R418&lt;80,0.5,0)+IF(V418&gt;0,1,0)+IF(AE418&lt;10.56,0,1)</f>
        <v>#DIV/0!</v>
      </c>
      <c r="AH418" s="16" t="e">
        <f t="shared" si="86"/>
        <v>#DIV/0!</v>
      </c>
      <c r="AI418" s="16"/>
      <c r="AJ418" s="16"/>
      <c r="AK418" s="16" t="e">
        <f t="shared" si="93"/>
        <v>#DIV/0!</v>
      </c>
      <c r="AL418" s="15">
        <f t="shared" si="87"/>
        <v>0</v>
      </c>
      <c r="AM418" s="15">
        <f t="shared" si="92"/>
        <v>0</v>
      </c>
      <c r="AP418" s="17" t="e">
        <f t="shared" si="88"/>
        <v>#DIV/0!</v>
      </c>
    </row>
    <row r="419" spans="7:42">
      <c r="G419" s="16" t="e">
        <f t="shared" si="90"/>
        <v>#DIV/0!</v>
      </c>
      <c r="P419" s="16" t="e">
        <f t="shared" si="91"/>
        <v>#DIV/0!</v>
      </c>
      <c r="R419" s="111"/>
      <c r="S419" s="118">
        <v>5</v>
      </c>
      <c r="AA419" s="2">
        <f t="shared" si="84"/>
        <v>1</v>
      </c>
      <c r="AC419" s="16">
        <f t="shared" si="89"/>
        <v>0</v>
      </c>
      <c r="AG419" s="15" t="e">
        <f t="shared" si="94"/>
        <v>#DIV/0!</v>
      </c>
      <c r="AH419" s="16" t="e">
        <f t="shared" si="86"/>
        <v>#DIV/0!</v>
      </c>
      <c r="AI419" s="16"/>
      <c r="AJ419" s="16"/>
      <c r="AK419" s="16" t="e">
        <f t="shared" si="93"/>
        <v>#DIV/0!</v>
      </c>
      <c r="AL419" s="15">
        <f t="shared" si="87"/>
        <v>0</v>
      </c>
      <c r="AM419" s="15">
        <f t="shared" si="92"/>
        <v>0</v>
      </c>
      <c r="AP419" s="17" t="e">
        <f t="shared" si="88"/>
        <v>#DIV/0!</v>
      </c>
    </row>
    <row r="420" spans="7:42">
      <c r="G420" s="16" t="e">
        <f t="shared" si="90"/>
        <v>#DIV/0!</v>
      </c>
      <c r="P420" s="16" t="e">
        <f t="shared" si="91"/>
        <v>#DIV/0!</v>
      </c>
      <c r="R420" s="111"/>
      <c r="S420" s="118">
        <v>5</v>
      </c>
      <c r="AA420" s="2">
        <f t="shared" si="84"/>
        <v>1</v>
      </c>
      <c r="AC420" s="16">
        <f t="shared" si="89"/>
        <v>0</v>
      </c>
      <c r="AG420" s="15" t="e">
        <f t="shared" si="94"/>
        <v>#DIV/0!</v>
      </c>
      <c r="AH420" s="16" t="e">
        <f t="shared" si="86"/>
        <v>#DIV/0!</v>
      </c>
      <c r="AI420" s="16"/>
      <c r="AJ420" s="16"/>
      <c r="AK420" s="16" t="e">
        <f t="shared" si="93"/>
        <v>#DIV/0!</v>
      </c>
      <c r="AL420" s="15">
        <f t="shared" si="87"/>
        <v>0</v>
      </c>
      <c r="AM420" s="15">
        <f t="shared" si="92"/>
        <v>0</v>
      </c>
      <c r="AP420" s="17" t="e">
        <f t="shared" si="88"/>
        <v>#DIV/0!</v>
      </c>
    </row>
    <row r="421" spans="7:42">
      <c r="G421" s="16" t="e">
        <f t="shared" si="90"/>
        <v>#DIV/0!</v>
      </c>
      <c r="P421" s="16" t="e">
        <f t="shared" si="91"/>
        <v>#DIV/0!</v>
      </c>
      <c r="R421" s="111"/>
      <c r="S421" s="118">
        <v>5</v>
      </c>
      <c r="AA421" s="2">
        <f t="shared" si="84"/>
        <v>1</v>
      </c>
      <c r="AC421" s="16">
        <f t="shared" si="89"/>
        <v>0</v>
      </c>
      <c r="AG421" s="15" t="e">
        <f t="shared" si="94"/>
        <v>#DIV/0!</v>
      </c>
      <c r="AH421" s="16" t="e">
        <f t="shared" si="86"/>
        <v>#DIV/0!</v>
      </c>
      <c r="AI421" s="16"/>
      <c r="AJ421" s="16"/>
      <c r="AK421" s="16" t="e">
        <f t="shared" si="93"/>
        <v>#DIV/0!</v>
      </c>
      <c r="AL421" s="15">
        <f t="shared" si="87"/>
        <v>0</v>
      </c>
      <c r="AM421" s="15">
        <f t="shared" si="92"/>
        <v>0</v>
      </c>
      <c r="AP421" s="17" t="e">
        <f t="shared" si="88"/>
        <v>#DIV/0!</v>
      </c>
    </row>
    <row r="422" spans="7:42">
      <c r="G422" s="16" t="e">
        <f t="shared" si="90"/>
        <v>#DIV/0!</v>
      </c>
      <c r="P422" s="16" t="e">
        <f t="shared" si="91"/>
        <v>#DIV/0!</v>
      </c>
      <c r="R422" s="111"/>
      <c r="S422" s="118">
        <v>5</v>
      </c>
      <c r="AA422" s="2">
        <f t="shared" si="84"/>
        <v>1</v>
      </c>
      <c r="AC422" s="16">
        <f t="shared" si="89"/>
        <v>0</v>
      </c>
      <c r="AG422" s="15" t="e">
        <f t="shared" si="94"/>
        <v>#DIV/0!</v>
      </c>
      <c r="AH422" s="16" t="e">
        <f t="shared" si="86"/>
        <v>#DIV/0!</v>
      </c>
      <c r="AI422" s="16"/>
      <c r="AJ422" s="16"/>
      <c r="AK422" s="16" t="e">
        <f t="shared" si="93"/>
        <v>#DIV/0!</v>
      </c>
      <c r="AL422" s="15">
        <f t="shared" si="87"/>
        <v>0</v>
      </c>
      <c r="AM422" s="15">
        <f t="shared" si="92"/>
        <v>0</v>
      </c>
      <c r="AP422" s="17" t="e">
        <f t="shared" si="88"/>
        <v>#DIV/0!</v>
      </c>
    </row>
    <row r="423" spans="7:42">
      <c r="G423" s="16" t="e">
        <f t="shared" si="90"/>
        <v>#DIV/0!</v>
      </c>
      <c r="P423" s="16" t="e">
        <f t="shared" si="91"/>
        <v>#DIV/0!</v>
      </c>
      <c r="R423" s="111"/>
      <c r="S423" s="118">
        <v>5</v>
      </c>
      <c r="AA423" s="2">
        <f t="shared" si="84"/>
        <v>1</v>
      </c>
      <c r="AC423" s="16">
        <f t="shared" si="89"/>
        <v>0</v>
      </c>
      <c r="AG423" s="15" t="e">
        <f t="shared" si="94"/>
        <v>#DIV/0!</v>
      </c>
      <c r="AH423" s="16" t="e">
        <f t="shared" si="86"/>
        <v>#DIV/0!</v>
      </c>
      <c r="AI423" s="16"/>
      <c r="AJ423" s="16"/>
      <c r="AK423" s="16" t="e">
        <f t="shared" si="93"/>
        <v>#DIV/0!</v>
      </c>
      <c r="AL423" s="15">
        <f t="shared" si="87"/>
        <v>0</v>
      </c>
      <c r="AM423" s="15">
        <f t="shared" si="92"/>
        <v>0</v>
      </c>
      <c r="AP423" s="17" t="e">
        <f t="shared" si="88"/>
        <v>#DIV/0!</v>
      </c>
    </row>
    <row r="424" spans="7:42">
      <c r="G424" s="16" t="e">
        <f t="shared" si="90"/>
        <v>#DIV/0!</v>
      </c>
      <c r="P424" s="16" t="e">
        <f t="shared" si="91"/>
        <v>#DIV/0!</v>
      </c>
      <c r="R424" s="111"/>
      <c r="S424" s="118">
        <v>5</v>
      </c>
      <c r="AA424" s="2">
        <f t="shared" si="84"/>
        <v>1</v>
      </c>
      <c r="AC424" s="16">
        <f t="shared" ref="AC424:AC449" si="95">IF(U425&gt;9,1,0)+U425/3</f>
        <v>0</v>
      </c>
      <c r="AG424" s="15" t="e">
        <f t="shared" si="94"/>
        <v>#DIV/0!</v>
      </c>
      <c r="AH424" s="16" t="e">
        <f t="shared" si="86"/>
        <v>#DIV/0!</v>
      </c>
      <c r="AI424" s="16"/>
      <c r="AJ424" s="16"/>
      <c r="AK424" s="16" t="e">
        <f t="shared" si="93"/>
        <v>#DIV/0!</v>
      </c>
      <c r="AL424" s="15">
        <f t="shared" si="87"/>
        <v>0</v>
      </c>
      <c r="AM424" s="15">
        <f t="shared" si="92"/>
        <v>0</v>
      </c>
      <c r="AP424" s="17" t="e">
        <f t="shared" si="88"/>
        <v>#DIV/0!</v>
      </c>
    </row>
    <row r="425" spans="7:42">
      <c r="G425" s="16" t="e">
        <f t="shared" si="90"/>
        <v>#DIV/0!</v>
      </c>
      <c r="P425" s="16" t="e">
        <f t="shared" si="91"/>
        <v>#DIV/0!</v>
      </c>
      <c r="R425" s="111"/>
      <c r="S425" s="118">
        <v>5</v>
      </c>
      <c r="AA425" s="2">
        <f t="shared" si="84"/>
        <v>1</v>
      </c>
      <c r="AC425" s="16">
        <f t="shared" si="95"/>
        <v>0</v>
      </c>
      <c r="AG425" s="15" t="e">
        <f t="shared" si="94"/>
        <v>#DIV/0!</v>
      </c>
      <c r="AH425" s="16" t="e">
        <f t="shared" si="86"/>
        <v>#DIV/0!</v>
      </c>
      <c r="AI425" s="16"/>
      <c r="AJ425" s="16"/>
      <c r="AK425" s="16" t="e">
        <f t="shared" si="93"/>
        <v>#DIV/0!</v>
      </c>
      <c r="AL425" s="15">
        <f t="shared" si="87"/>
        <v>0</v>
      </c>
      <c r="AM425" s="15">
        <f t="shared" si="92"/>
        <v>0</v>
      </c>
      <c r="AP425" s="17" t="e">
        <f t="shared" si="88"/>
        <v>#DIV/0!</v>
      </c>
    </row>
    <row r="426" spans="7:42">
      <c r="G426" s="16" t="e">
        <f t="shared" si="90"/>
        <v>#DIV/0!</v>
      </c>
      <c r="P426" s="16" t="e">
        <f t="shared" si="91"/>
        <v>#DIV/0!</v>
      </c>
      <c r="R426" s="111"/>
      <c r="S426" s="118">
        <v>5</v>
      </c>
      <c r="AA426" s="2">
        <f t="shared" si="84"/>
        <v>1</v>
      </c>
      <c r="AC426" s="16">
        <f t="shared" si="95"/>
        <v>0</v>
      </c>
      <c r="AG426" s="15" t="e">
        <f t="shared" si="94"/>
        <v>#DIV/0!</v>
      </c>
      <c r="AH426" s="16" t="e">
        <f t="shared" si="86"/>
        <v>#DIV/0!</v>
      </c>
      <c r="AI426" s="16"/>
      <c r="AJ426" s="16"/>
      <c r="AK426" s="16" t="e">
        <f t="shared" si="93"/>
        <v>#DIV/0!</v>
      </c>
      <c r="AL426" s="15">
        <f t="shared" si="87"/>
        <v>0</v>
      </c>
      <c r="AM426" s="15">
        <f t="shared" si="92"/>
        <v>0</v>
      </c>
      <c r="AP426" s="17" t="e">
        <f t="shared" si="88"/>
        <v>#DIV/0!</v>
      </c>
    </row>
    <row r="427" spans="7:42">
      <c r="G427" s="16" t="e">
        <f t="shared" si="90"/>
        <v>#DIV/0!</v>
      </c>
      <c r="P427" s="16" t="e">
        <f t="shared" si="91"/>
        <v>#DIV/0!</v>
      </c>
      <c r="R427" s="111"/>
      <c r="S427" s="118">
        <v>5</v>
      </c>
      <c r="AA427" s="2">
        <f t="shared" si="84"/>
        <v>1</v>
      </c>
      <c r="AC427" s="16">
        <f t="shared" si="95"/>
        <v>0</v>
      </c>
      <c r="AG427" s="15" t="e">
        <f t="shared" si="94"/>
        <v>#DIV/0!</v>
      </c>
      <c r="AH427" s="16" t="e">
        <f t="shared" si="86"/>
        <v>#DIV/0!</v>
      </c>
      <c r="AI427" s="16"/>
      <c r="AJ427" s="16"/>
      <c r="AK427" s="16" t="e">
        <f t="shared" si="93"/>
        <v>#DIV/0!</v>
      </c>
      <c r="AL427" s="15">
        <f t="shared" si="87"/>
        <v>0</v>
      </c>
      <c r="AM427" s="15">
        <f t="shared" si="92"/>
        <v>0</v>
      </c>
      <c r="AP427" s="17" t="e">
        <f t="shared" si="88"/>
        <v>#DIV/0!</v>
      </c>
    </row>
    <row r="428" spans="7:42">
      <c r="G428" s="16" t="e">
        <f t="shared" si="90"/>
        <v>#DIV/0!</v>
      </c>
      <c r="P428" s="16" t="e">
        <f t="shared" si="91"/>
        <v>#DIV/0!</v>
      </c>
      <c r="R428" s="111"/>
      <c r="S428" s="118">
        <v>5</v>
      </c>
      <c r="AA428" s="2">
        <f t="shared" si="84"/>
        <v>1</v>
      </c>
      <c r="AC428" s="16">
        <f t="shared" si="95"/>
        <v>0</v>
      </c>
      <c r="AG428" s="15" t="e">
        <f t="shared" si="94"/>
        <v>#DIV/0!</v>
      </c>
      <c r="AH428" s="16" t="e">
        <f t="shared" si="86"/>
        <v>#DIV/0!</v>
      </c>
      <c r="AI428" s="16"/>
      <c r="AJ428" s="16"/>
      <c r="AK428" s="16" t="e">
        <f t="shared" si="93"/>
        <v>#DIV/0!</v>
      </c>
      <c r="AL428" s="15">
        <f t="shared" si="87"/>
        <v>0</v>
      </c>
      <c r="AM428" s="15">
        <f t="shared" si="92"/>
        <v>0</v>
      </c>
      <c r="AP428" s="17" t="e">
        <f t="shared" si="88"/>
        <v>#DIV/0!</v>
      </c>
    </row>
    <row r="429" spans="7:42">
      <c r="G429" s="16" t="e">
        <f t="shared" si="90"/>
        <v>#DIV/0!</v>
      </c>
      <c r="P429" s="16" t="e">
        <f t="shared" si="91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6"/>
        <v>#DIV/0!</v>
      </c>
      <c r="AI429" s="16"/>
      <c r="AJ429" s="16"/>
      <c r="AK429" s="16" t="e">
        <f t="shared" si="93"/>
        <v>#DIV/0!</v>
      </c>
      <c r="AL429" s="15">
        <f t="shared" si="87"/>
        <v>0</v>
      </c>
      <c r="AM429" s="15">
        <f t="shared" si="92"/>
        <v>0</v>
      </c>
      <c r="AP429" s="17" t="e">
        <f t="shared" si="88"/>
        <v>#DIV/0!</v>
      </c>
    </row>
    <row r="430" spans="7:42">
      <c r="G430" s="16" t="e">
        <f t="shared" si="90"/>
        <v>#DIV/0!</v>
      </c>
      <c r="P430" s="16" t="e">
        <f t="shared" si="91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6"/>
        <v>#DIV/0!</v>
      </c>
      <c r="AI430" s="16"/>
      <c r="AJ430" s="16"/>
      <c r="AK430" s="16" t="e">
        <f t="shared" si="93"/>
        <v>#DIV/0!</v>
      </c>
      <c r="AL430" s="15">
        <f t="shared" si="87"/>
        <v>0</v>
      </c>
      <c r="AM430" s="15">
        <f t="shared" si="92"/>
        <v>0</v>
      </c>
      <c r="AP430" s="17" t="e">
        <f t="shared" si="88"/>
        <v>#DIV/0!</v>
      </c>
    </row>
    <row r="431" spans="7:42">
      <c r="G431" s="16" t="e">
        <f t="shared" si="90"/>
        <v>#DIV/0!</v>
      </c>
      <c r="P431" s="16" t="e">
        <f t="shared" si="91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6"/>
        <v>#DIV/0!</v>
      </c>
      <c r="AI431" s="16"/>
      <c r="AJ431" s="16"/>
      <c r="AK431" s="16" t="e">
        <f t="shared" si="93"/>
        <v>#DIV/0!</v>
      </c>
      <c r="AL431" s="15">
        <f t="shared" si="87"/>
        <v>0</v>
      </c>
      <c r="AM431" s="15">
        <f t="shared" si="92"/>
        <v>0</v>
      </c>
      <c r="AP431" s="17" t="e">
        <f t="shared" si="88"/>
        <v>#DIV/0!</v>
      </c>
    </row>
    <row r="432" spans="7:42">
      <c r="G432" s="16" t="e">
        <f t="shared" si="90"/>
        <v>#DIV/0!</v>
      </c>
      <c r="P432" s="16" t="e">
        <f t="shared" si="91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6"/>
        <v>#DIV/0!</v>
      </c>
      <c r="AI432" s="16"/>
      <c r="AJ432" s="16"/>
      <c r="AK432" s="16" t="e">
        <f t="shared" si="93"/>
        <v>#DIV/0!</v>
      </c>
      <c r="AL432" s="15">
        <f t="shared" si="87"/>
        <v>0</v>
      </c>
      <c r="AM432" s="15">
        <f t="shared" si="92"/>
        <v>0</v>
      </c>
      <c r="AP432" s="17" t="e">
        <f t="shared" si="88"/>
        <v>#DIV/0!</v>
      </c>
    </row>
    <row r="433" spans="7:42">
      <c r="G433" s="16" t="e">
        <f t="shared" si="90"/>
        <v>#DIV/0!</v>
      </c>
      <c r="P433" s="16" t="e">
        <f t="shared" si="91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6"/>
        <v>#DIV/0!</v>
      </c>
      <c r="AI433" s="16"/>
      <c r="AJ433" s="16"/>
      <c r="AK433" s="16" t="e">
        <f t="shared" si="93"/>
        <v>#DIV/0!</v>
      </c>
      <c r="AL433" s="15">
        <f t="shared" si="87"/>
        <v>0</v>
      </c>
      <c r="AM433" s="15">
        <f t="shared" si="92"/>
        <v>0</v>
      </c>
      <c r="AP433" s="17" t="e">
        <f t="shared" si="88"/>
        <v>#DIV/0!</v>
      </c>
    </row>
    <row r="434" spans="7:42">
      <c r="G434" s="16" t="e">
        <f t="shared" si="90"/>
        <v>#DIV/0!</v>
      </c>
      <c r="P434" s="16" t="e">
        <f t="shared" si="91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6"/>
        <v>#DIV/0!</v>
      </c>
      <c r="AI434" s="16"/>
      <c r="AJ434" s="16"/>
      <c r="AK434" s="16" t="e">
        <f t="shared" si="93"/>
        <v>#DIV/0!</v>
      </c>
      <c r="AL434" s="15">
        <f t="shared" si="87"/>
        <v>0</v>
      </c>
      <c r="AM434" s="15">
        <f t="shared" si="92"/>
        <v>0</v>
      </c>
      <c r="AP434" s="17" t="e">
        <f t="shared" si="88"/>
        <v>#DIV/0!</v>
      </c>
    </row>
    <row r="435" spans="7:42">
      <c r="G435" s="16" t="e">
        <f t="shared" si="90"/>
        <v>#DIV/0!</v>
      </c>
      <c r="P435" s="16" t="e">
        <f t="shared" si="91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6"/>
        <v>#DIV/0!</v>
      </c>
      <c r="AI435" s="16"/>
      <c r="AJ435" s="16"/>
      <c r="AK435" s="16" t="e">
        <f t="shared" si="93"/>
        <v>#DIV/0!</v>
      </c>
      <c r="AL435" s="15">
        <f t="shared" si="87"/>
        <v>0</v>
      </c>
      <c r="AM435" s="15">
        <f t="shared" si="92"/>
        <v>0</v>
      </c>
      <c r="AP435" s="17" t="e">
        <f t="shared" si="88"/>
        <v>#DIV/0!</v>
      </c>
    </row>
    <row r="436" spans="7:42">
      <c r="G436" s="16" t="e">
        <f t="shared" si="90"/>
        <v>#DIV/0!</v>
      </c>
      <c r="P436" s="16" t="e">
        <f t="shared" si="91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6"/>
        <v>#DIV/0!</v>
      </c>
      <c r="AI436" s="16"/>
      <c r="AJ436" s="16"/>
      <c r="AK436" s="16" t="e">
        <f t="shared" si="93"/>
        <v>#DIV/0!</v>
      </c>
      <c r="AL436" s="15">
        <f t="shared" si="87"/>
        <v>0</v>
      </c>
      <c r="AM436" s="15">
        <f t="shared" si="92"/>
        <v>0</v>
      </c>
      <c r="AP436" s="17" t="e">
        <f t="shared" si="88"/>
        <v>#DIV/0!</v>
      </c>
    </row>
    <row r="437" spans="7:42">
      <c r="G437" s="16" t="e">
        <f t="shared" si="90"/>
        <v>#DIV/0!</v>
      </c>
      <c r="P437" s="16" t="e">
        <f t="shared" si="91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6"/>
        <v>#DIV/0!</v>
      </c>
      <c r="AI437" s="16"/>
      <c r="AJ437" s="16"/>
      <c r="AK437" s="16" t="e">
        <f t="shared" si="93"/>
        <v>#DIV/0!</v>
      </c>
      <c r="AL437" s="15">
        <f t="shared" si="87"/>
        <v>0</v>
      </c>
      <c r="AM437" s="15">
        <f t="shared" si="92"/>
        <v>0</v>
      </c>
      <c r="AP437" s="17" t="e">
        <f t="shared" si="88"/>
        <v>#DIV/0!</v>
      </c>
    </row>
    <row r="438" spans="7:42">
      <c r="G438" s="16" t="e">
        <f t="shared" si="90"/>
        <v>#DIV/0!</v>
      </c>
      <c r="P438" s="16" t="e">
        <f t="shared" si="91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6"/>
        <v>#DIV/0!</v>
      </c>
      <c r="AI438" s="16"/>
      <c r="AJ438" s="16"/>
      <c r="AK438" s="16" t="e">
        <f t="shared" si="93"/>
        <v>#DIV/0!</v>
      </c>
      <c r="AL438" s="15">
        <f t="shared" si="87"/>
        <v>0</v>
      </c>
      <c r="AM438" s="15">
        <f t="shared" si="92"/>
        <v>0</v>
      </c>
      <c r="AP438" s="17" t="e">
        <f t="shared" si="88"/>
        <v>#DIV/0!</v>
      </c>
    </row>
    <row r="439" spans="7:42">
      <c r="G439" s="16" t="e">
        <f t="shared" si="90"/>
        <v>#DIV/0!</v>
      </c>
      <c r="P439" s="16" t="e">
        <f t="shared" si="91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6"/>
        <v>#DIV/0!</v>
      </c>
      <c r="AI439" s="16"/>
      <c r="AJ439" s="16"/>
      <c r="AK439" s="16" t="e">
        <f t="shared" si="93"/>
        <v>#DIV/0!</v>
      </c>
      <c r="AL439" s="15">
        <f t="shared" si="87"/>
        <v>0</v>
      </c>
      <c r="AM439" s="15">
        <f t="shared" si="92"/>
        <v>0</v>
      </c>
      <c r="AP439" s="17" t="e">
        <f t="shared" si="88"/>
        <v>#DIV/0!</v>
      </c>
    </row>
    <row r="440" spans="7:42">
      <c r="G440" s="16" t="e">
        <f t="shared" si="90"/>
        <v>#DIV/0!</v>
      </c>
      <c r="P440" s="16" t="e">
        <f t="shared" si="91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6"/>
        <v>#DIV/0!</v>
      </c>
      <c r="AI440" s="16"/>
      <c r="AJ440" s="16"/>
      <c r="AK440" s="16" t="e">
        <f t="shared" si="93"/>
        <v>#DIV/0!</v>
      </c>
      <c r="AL440" s="15">
        <f t="shared" si="87"/>
        <v>0</v>
      </c>
      <c r="AM440" s="15">
        <f t="shared" si="92"/>
        <v>0</v>
      </c>
      <c r="AP440" s="17" t="e">
        <f t="shared" si="88"/>
        <v>#DIV/0!</v>
      </c>
    </row>
    <row r="441" spans="7:42">
      <c r="G441" s="16" t="e">
        <f t="shared" si="90"/>
        <v>#DIV/0!</v>
      </c>
      <c r="P441" s="16" t="e">
        <f t="shared" si="91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6"/>
        <v>#DIV/0!</v>
      </c>
      <c r="AI441" s="16"/>
      <c r="AJ441" s="16"/>
      <c r="AK441" s="16" t="e">
        <f t="shared" si="93"/>
        <v>#DIV/0!</v>
      </c>
      <c r="AL441" s="15">
        <f t="shared" si="87"/>
        <v>0</v>
      </c>
      <c r="AM441" s="15">
        <f t="shared" si="92"/>
        <v>0</v>
      </c>
      <c r="AP441" s="17" t="e">
        <f t="shared" si="88"/>
        <v>#DIV/0!</v>
      </c>
    </row>
    <row r="442" spans="7:42">
      <c r="G442" s="16" t="e">
        <f t="shared" si="90"/>
        <v>#DIV/0!</v>
      </c>
      <c r="P442" s="16" t="e">
        <f t="shared" si="91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6"/>
        <v>#DIV/0!</v>
      </c>
      <c r="AI442" s="16"/>
      <c r="AJ442" s="16"/>
      <c r="AK442" s="16" t="e">
        <f t="shared" ref="AK442:AK473" si="96">(2*AG442+AH442)*AJ442</f>
        <v>#DIV/0!</v>
      </c>
      <c r="AL442" s="15">
        <f t="shared" si="87"/>
        <v>0</v>
      </c>
      <c r="AM442" s="15">
        <f t="shared" si="92"/>
        <v>0</v>
      </c>
      <c r="AP442" s="17" t="e">
        <f t="shared" si="88"/>
        <v>#DIV/0!</v>
      </c>
    </row>
    <row r="443" spans="7:42">
      <c r="G443" s="16" t="e">
        <f t="shared" si="90"/>
        <v>#DIV/0!</v>
      </c>
      <c r="P443" s="16" t="e">
        <f t="shared" si="91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6"/>
        <v>#DIV/0!</v>
      </c>
      <c r="AI443" s="16"/>
      <c r="AJ443" s="16"/>
      <c r="AK443" s="16" t="e">
        <f t="shared" si="96"/>
        <v>#DIV/0!</v>
      </c>
      <c r="AL443" s="15">
        <f t="shared" si="87"/>
        <v>0</v>
      </c>
      <c r="AM443" s="15">
        <f t="shared" si="92"/>
        <v>0</v>
      </c>
      <c r="AP443" s="17" t="e">
        <f t="shared" si="88"/>
        <v>#DIV/0!</v>
      </c>
    </row>
    <row r="444" spans="7:42">
      <c r="G444" s="16" t="e">
        <f t="shared" si="90"/>
        <v>#DIV/0!</v>
      </c>
      <c r="P444" s="16" t="e">
        <f t="shared" si="91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6"/>
        <v>#DIV/0!</v>
      </c>
      <c r="AI444" s="16"/>
      <c r="AJ444" s="16"/>
      <c r="AK444" s="16" t="e">
        <f t="shared" si="96"/>
        <v>#DIV/0!</v>
      </c>
      <c r="AL444" s="15">
        <f t="shared" si="87"/>
        <v>0</v>
      </c>
      <c r="AM444" s="15">
        <f t="shared" si="92"/>
        <v>0</v>
      </c>
      <c r="AP444" s="17" t="e">
        <f t="shared" si="88"/>
        <v>#DIV/0!</v>
      </c>
    </row>
    <row r="445" spans="7:42">
      <c r="G445" s="16" t="e">
        <f t="shared" si="90"/>
        <v>#DIV/0!</v>
      </c>
      <c r="P445" s="16" t="e">
        <f t="shared" si="91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6"/>
        <v>#DIV/0!</v>
      </c>
      <c r="AI445" s="16"/>
      <c r="AJ445" s="16"/>
      <c r="AK445" s="16" t="e">
        <f t="shared" si="96"/>
        <v>#DIV/0!</v>
      </c>
      <c r="AL445" s="15">
        <f t="shared" si="87"/>
        <v>0</v>
      </c>
      <c r="AM445" s="15">
        <f t="shared" si="92"/>
        <v>0</v>
      </c>
      <c r="AP445" s="17" t="e">
        <f t="shared" si="88"/>
        <v>#DIV/0!</v>
      </c>
    </row>
    <row r="446" spans="7:42">
      <c r="G446" s="16" t="e">
        <f t="shared" si="90"/>
        <v>#DIV/0!</v>
      </c>
      <c r="P446" s="16" t="e">
        <f t="shared" si="91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6"/>
        <v>#DIV/0!</v>
      </c>
      <c r="AI446" s="16"/>
      <c r="AJ446" s="16"/>
      <c r="AK446" s="16" t="e">
        <f t="shared" si="96"/>
        <v>#DIV/0!</v>
      </c>
      <c r="AL446" s="15">
        <f t="shared" si="87"/>
        <v>0</v>
      </c>
      <c r="AM446" s="15">
        <f t="shared" si="92"/>
        <v>0</v>
      </c>
      <c r="AP446" s="17" t="e">
        <f t="shared" si="88"/>
        <v>#DIV/0!</v>
      </c>
    </row>
    <row r="447" spans="7:42">
      <c r="G447" s="16" t="e">
        <f t="shared" si="90"/>
        <v>#DIV/0!</v>
      </c>
      <c r="P447" s="16" t="e">
        <f t="shared" si="91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6"/>
        <v>#DIV/0!</v>
      </c>
      <c r="AI447" s="16"/>
      <c r="AJ447" s="16"/>
      <c r="AK447" s="16" t="e">
        <f t="shared" si="96"/>
        <v>#DIV/0!</v>
      </c>
      <c r="AL447" s="15">
        <f t="shared" si="87"/>
        <v>0</v>
      </c>
      <c r="AM447" s="15">
        <f t="shared" si="92"/>
        <v>0</v>
      </c>
      <c r="AP447" s="17" t="e">
        <f t="shared" si="88"/>
        <v>#DIV/0!</v>
      </c>
    </row>
    <row r="448" spans="7:42">
      <c r="G448" s="16" t="e">
        <f t="shared" si="90"/>
        <v>#DIV/0!</v>
      </c>
      <c r="P448" s="16" t="e">
        <f t="shared" si="91"/>
        <v>#DIV/0!</v>
      </c>
      <c r="R448" s="111"/>
      <c r="S448" s="118">
        <v>0</v>
      </c>
      <c r="AA448" s="2">
        <f>IF(X448&lt;50,IF(Y448&gt;(2.3*X448),0,1),1)-IF(Z448&gt;Y448,1.5,0)</f>
        <v>1</v>
      </c>
      <c r="AC448" s="16">
        <f t="shared" si="95"/>
        <v>0</v>
      </c>
      <c r="AG448" s="15" t="e">
        <f t="shared" si="94"/>
        <v>#DIV/0!</v>
      </c>
      <c r="AH448" s="16" t="e">
        <f t="shared" si="86"/>
        <v>#DIV/0!</v>
      </c>
      <c r="AI448" s="16"/>
      <c r="AJ448" s="16"/>
      <c r="AK448" s="16" t="e">
        <f t="shared" si="96"/>
        <v>#DIV/0!</v>
      </c>
      <c r="AL448" s="15">
        <f t="shared" si="87"/>
        <v>0</v>
      </c>
      <c r="AM448" s="15">
        <f t="shared" si="92"/>
        <v>0</v>
      </c>
      <c r="AP448" s="17" t="e">
        <f t="shared" si="88"/>
        <v>#DIV/0!</v>
      </c>
    </row>
    <row r="449" spans="7:42">
      <c r="G449" s="16" t="e">
        <f t="shared" si="90"/>
        <v>#DIV/0!</v>
      </c>
      <c r="P449" s="16" t="e">
        <f t="shared" si="91"/>
        <v>#DIV/0!</v>
      </c>
      <c r="R449" s="111"/>
      <c r="S449" s="118">
        <v>0</v>
      </c>
      <c r="AA449" s="2">
        <f>IF(X449&lt;50,IF(Y449&gt;(2.3*X449),0,1),1)-IF(Z449&gt;Y449,1.5,0)</f>
        <v>1</v>
      </c>
      <c r="AC449" s="16">
        <f t="shared" si="95"/>
        <v>0</v>
      </c>
      <c r="AG449" s="15" t="e">
        <f t="shared" si="94"/>
        <v>#DIV/0!</v>
      </c>
      <c r="AH449" s="16" t="e">
        <f t="shared" si="86"/>
        <v>#DIV/0!</v>
      </c>
      <c r="AI449" s="16"/>
      <c r="AJ449" s="16"/>
      <c r="AK449" s="16" t="e">
        <f t="shared" si="96"/>
        <v>#DIV/0!</v>
      </c>
      <c r="AL449" s="15">
        <f t="shared" si="87"/>
        <v>0</v>
      </c>
      <c r="AM449" s="15">
        <f t="shared" si="92"/>
        <v>0</v>
      </c>
      <c r="AP449" s="17" t="e">
        <f t="shared" si="88"/>
        <v>#DIV/0!</v>
      </c>
    </row>
    <row r="450" spans="7:42">
      <c r="G450" s="16" t="e">
        <f t="shared" si="90"/>
        <v>#DIV/0!</v>
      </c>
      <c r="P450" s="16" t="e">
        <f t="shared" si="91"/>
        <v>#DIV/0!</v>
      </c>
      <c r="R450" s="111"/>
      <c r="AA450" s="2">
        <f t="shared" ref="AA450:AA455" si="97">IF(X450&lt;50,IF(Y450&gt;(2.3*X450),0,1),1)</f>
        <v>1</v>
      </c>
      <c r="AC450" s="16">
        <f>IF(AB450&gt;6.2,1,0)+AB450/5</f>
        <v>0</v>
      </c>
      <c r="AG450" s="15" t="e">
        <f t="shared" si="94"/>
        <v>#DIV/0!</v>
      </c>
      <c r="AH450" s="16" t="e">
        <f t="shared" ref="AH450:AH513" si="98">AG450+IF(X450&lt;1.35,0,1)+IF(Y450&lt;1.35,0,1)+AC450+AA450</f>
        <v>#DIV/0!</v>
      </c>
      <c r="AI450" s="16"/>
      <c r="AJ450" s="16"/>
      <c r="AK450" s="16" t="e">
        <f t="shared" ref="AK450:AK455" si="99">AG450+AH450*1.4</f>
        <v>#DIV/0!</v>
      </c>
      <c r="AL450" s="15">
        <f t="shared" ref="AL450:AL455" si="100">D450</f>
        <v>0</v>
      </c>
      <c r="AM450" s="15">
        <f t="shared" si="92"/>
        <v>0</v>
      </c>
      <c r="AP450" s="17" t="e">
        <f t="shared" si="88"/>
        <v>#DIV/0!</v>
      </c>
    </row>
    <row r="451" spans="7:42">
      <c r="G451" s="16" t="e">
        <f t="shared" si="90"/>
        <v>#DIV/0!</v>
      </c>
      <c r="P451" s="16" t="e">
        <f t="shared" si="91"/>
        <v>#DIV/0!</v>
      </c>
      <c r="R451" s="111"/>
      <c r="AA451" s="2">
        <f t="shared" si="97"/>
        <v>1</v>
      </c>
      <c r="AC451" s="16">
        <f>IF(AB451&gt;6.2,1,0)+AB451/5</f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9"/>
        <v>#DIV/0!</v>
      </c>
      <c r="AL451" s="15">
        <f t="shared" si="100"/>
        <v>0</v>
      </c>
      <c r="AM451" s="15">
        <f t="shared" si="92"/>
        <v>0</v>
      </c>
      <c r="AP451" s="17" t="e">
        <f t="shared" si="88"/>
        <v>#DIV/0!</v>
      </c>
    </row>
    <row r="452" spans="7:42">
      <c r="G452" s="16" t="e">
        <f t="shared" si="90"/>
        <v>#DIV/0!</v>
      </c>
      <c r="P452" s="16" t="e">
        <f t="shared" si="91"/>
        <v>#DIV/0!</v>
      </c>
      <c r="R452" s="111"/>
      <c r="AA452" s="2">
        <f t="shared" si="97"/>
        <v>1</v>
      </c>
      <c r="AC452" s="16">
        <f>IF(AB452&gt;6.2,1,0)+AB452/5</f>
        <v>0</v>
      </c>
      <c r="AG452" s="15" t="e">
        <f>IF(G452&lt;52,0,0.7)+IF(G452&lt;34,0,0.7)+IF(G452&lt;1,0,0.7)+IF(P452&gt;14.56,0,1)+IF(Q452&gt;33.8,0,1)+IF(V452&gt;0,1,0)+IF(AE452&lt;10.56,0,1)</f>
        <v>#DIV/0!</v>
      </c>
      <c r="AH452" s="16" t="e">
        <f t="shared" si="98"/>
        <v>#DIV/0!</v>
      </c>
      <c r="AI452" s="16"/>
      <c r="AJ452" s="16"/>
      <c r="AK452" s="16" t="e">
        <f t="shared" si="99"/>
        <v>#DIV/0!</v>
      </c>
      <c r="AL452" s="15">
        <f t="shared" si="100"/>
        <v>0</v>
      </c>
      <c r="AM452" s="15">
        <f t="shared" si="92"/>
        <v>0</v>
      </c>
      <c r="AP452" s="17" t="e">
        <f t="shared" si="88"/>
        <v>#DIV/0!</v>
      </c>
    </row>
    <row r="453" spans="7:42">
      <c r="G453" s="16" t="e">
        <f t="shared" si="90"/>
        <v>#DIV/0!</v>
      </c>
      <c r="P453" s="16" t="e">
        <f t="shared" si="91"/>
        <v>#DIV/0!</v>
      </c>
      <c r="R453" s="111"/>
      <c r="AA453" s="2">
        <f t="shared" si="97"/>
        <v>1</v>
      </c>
      <c r="AC453" s="16">
        <f>IF(AB453&gt;6.2,1,0)+AB453/5</f>
        <v>0</v>
      </c>
      <c r="AG453" s="15" t="e">
        <f>IF(G453&lt;52,0,0.7)+IF(G453&lt;34,0,0.7)+IF(G453&lt;1,0,0.7)+IF(P453&gt;14.56,0,1)+IF(Q453&gt;33.8,0,1)+IF(V453&gt;0,1,0)+IF(AE453&lt;10.56,0,1)</f>
        <v>#DIV/0!</v>
      </c>
      <c r="AH453" s="16" t="e">
        <f t="shared" si="98"/>
        <v>#DIV/0!</v>
      </c>
      <c r="AI453" s="16"/>
      <c r="AJ453" s="16"/>
      <c r="AK453" s="16" t="e">
        <f t="shared" si="99"/>
        <v>#DIV/0!</v>
      </c>
      <c r="AL453" s="15">
        <f t="shared" si="100"/>
        <v>0</v>
      </c>
      <c r="AM453" s="15">
        <f t="shared" si="92"/>
        <v>0</v>
      </c>
      <c r="AP453" s="17" t="e">
        <f t="shared" si="88"/>
        <v>#DIV/0!</v>
      </c>
    </row>
    <row r="454" spans="7:42">
      <c r="G454" s="16" t="e">
        <f t="shared" si="90"/>
        <v>#DIV/0!</v>
      </c>
      <c r="P454" s="16" t="e">
        <f t="shared" si="91"/>
        <v>#DIV/0!</v>
      </c>
      <c r="R454" s="111"/>
      <c r="AA454" s="2">
        <f t="shared" si="97"/>
        <v>1</v>
      </c>
      <c r="AC454" s="16">
        <f>IF(AB454&gt;6.2,1,0)+AB454/5</f>
        <v>0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98"/>
        <v>#DIV/0!</v>
      </c>
      <c r="AI454" s="16"/>
      <c r="AJ454" s="16"/>
      <c r="AK454" s="16" t="e">
        <f t="shared" si="99"/>
        <v>#DIV/0!</v>
      </c>
      <c r="AL454" s="15">
        <f t="shared" si="100"/>
        <v>0</v>
      </c>
      <c r="AM454" s="15">
        <f t="shared" si="92"/>
        <v>0</v>
      </c>
      <c r="AP454" s="17" t="e">
        <f t="shared" si="88"/>
        <v>#DIV/0!</v>
      </c>
    </row>
    <row r="455" spans="7:42">
      <c r="G455" s="16" t="e">
        <f t="shared" si="90"/>
        <v>#DIV/0!</v>
      </c>
      <c r="P455" s="16" t="e">
        <f t="shared" si="91"/>
        <v>#DIV/0!</v>
      </c>
      <c r="R455" s="111"/>
      <c r="AA455" s="2">
        <f t="shared" si="97"/>
        <v>1</v>
      </c>
      <c r="AG455" s="15" t="e">
        <f>IF(G455&lt;52,0,0.7)+IF(G455&lt;34,0,0.7)+IF(G455&lt;1,0,0.7)+IF(P455&gt;14.56,0,1)+IF(Q455&gt;33.8,0,1)+IF(V455&gt;0,1,0)+IF(AE455&lt;10.56,0,1)</f>
        <v>#DIV/0!</v>
      </c>
      <c r="AH455" s="16" t="e">
        <f t="shared" si="98"/>
        <v>#DIV/0!</v>
      </c>
      <c r="AI455" s="16"/>
      <c r="AJ455" s="16"/>
      <c r="AK455" s="16" t="e">
        <f t="shared" si="99"/>
        <v>#DIV/0!</v>
      </c>
      <c r="AL455" s="15">
        <f t="shared" si="100"/>
        <v>0</v>
      </c>
      <c r="AM455" s="15">
        <f t="shared" si="92"/>
        <v>0</v>
      </c>
    </row>
    <row r="456" spans="7:42">
      <c r="R456" s="111"/>
    </row>
    <row r="457" spans="7:42">
      <c r="R457" s="111"/>
    </row>
    <row r="458" spans="7:42">
      <c r="R458" s="111"/>
    </row>
    <row r="459" spans="7:42">
      <c r="R459" s="111"/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</sheetData>
  <conditionalFormatting sqref="D2:D144">
    <cfRule type="containsText" dxfId="66" priority="37" operator="containsText" text="neg">
      <formula>NOT(ISERROR(SEARCH(("neg"),(D2))))</formula>
    </cfRule>
  </conditionalFormatting>
  <conditionalFormatting sqref="G2:G455">
    <cfRule type="cellIs" dxfId="65" priority="30" operator="lessThan">
      <formula>16</formula>
    </cfRule>
  </conditionalFormatting>
  <conditionalFormatting sqref="P2:P455">
    <cfRule type="cellIs" dxfId="64" priority="31" operator="greaterThan">
      <formula>14.56</formula>
    </cfRule>
  </conditionalFormatting>
  <conditionalFormatting sqref="Q2:Q143">
    <cfRule type="cellIs" dxfId="63" priority="34" operator="greaterThan">
      <formula>33.8</formula>
    </cfRule>
  </conditionalFormatting>
  <conditionalFormatting sqref="R1:R152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4">
    <cfRule type="cellIs" dxfId="60" priority="29" operator="lessThan">
      <formula>10.56</formula>
    </cfRule>
  </conditionalFormatting>
  <conditionalFormatting sqref="AG2:AG455">
    <cfRule type="cellIs" dxfId="59" priority="35" operator="greaterThan">
      <formula>4.7</formula>
    </cfRule>
  </conditionalFormatting>
  <conditionalFormatting sqref="AH2:AJ455">
    <cfRule type="cellIs" dxfId="58" priority="33" operator="greaterThan">
      <formula>8.7</formula>
    </cfRule>
  </conditionalFormatting>
  <conditionalFormatting sqref="AK2:AK455">
    <cfRule type="cellIs" dxfId="57" priority="36" operator="greaterThan">
      <formula>13.8</formula>
    </cfRule>
  </conditionalFormatting>
  <conditionalFormatting sqref="AL2:AL455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4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58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66"/>
  <sheetViews>
    <sheetView topLeftCell="I1" zoomScale="85" zoomScaleNormal="85" workbookViewId="0">
      <pane ySplit="1" topLeftCell="A54" activePane="bottomLeft" state="frozen"/>
      <selection pane="bottomLeft" activeCell="AN83" sqref="AN83"/>
    </sheetView>
  </sheetViews>
  <sheetFormatPr defaultRowHeight="13.2"/>
  <cols>
    <col min="1" max="1" width="4" customWidth="1"/>
    <col min="2" max="2" width="14.6640625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3.6640625" customWidth="1"/>
    <col min="40" max="40" width="4.5546875" customWidth="1"/>
    <col min="41" max="41" width="5.44140625" customWidth="1"/>
    <col min="42" max="44" width="10.88671875" customWidth="1"/>
    <col min="45" max="45" width="6" customWidth="1"/>
    <col min="46" max="46" width="6.109375" customWidth="1"/>
    <col min="47" max="47" width="4" customWidth="1"/>
    <col min="48" max="48" width="4.109375" customWidth="1"/>
    <col min="49" max="50" width="5.33203125" customWidth="1"/>
    <col min="51" max="51" width="6.6640625" customWidth="1"/>
    <col min="52" max="52" width="3.88671875" customWidth="1"/>
    <col min="53" max="53" width="4" customWidth="1"/>
    <col min="54" max="54" width="4.6640625" customWidth="1"/>
  </cols>
  <sheetData>
    <row r="1" spans="1:54" ht="92.4" customHeight="1">
      <c r="A1" s="101" t="s">
        <v>0</v>
      </c>
      <c r="B1" s="40" t="s">
        <v>1</v>
      </c>
      <c r="C1" s="40" t="s">
        <v>2</v>
      </c>
      <c r="D1" s="40" t="s">
        <v>244</v>
      </c>
      <c r="E1" s="40" t="s">
        <v>4</v>
      </c>
      <c r="F1" s="40" t="s">
        <v>5</v>
      </c>
      <c r="G1" s="41" t="s">
        <v>245</v>
      </c>
      <c r="H1" s="40" t="s">
        <v>7</v>
      </c>
      <c r="I1" s="42" t="s">
        <v>246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247</v>
      </c>
      <c r="O1" s="42" t="s">
        <v>14</v>
      </c>
      <c r="P1" s="43" t="s">
        <v>248</v>
      </c>
      <c r="Q1" s="40" t="s">
        <v>249</v>
      </c>
      <c r="R1" s="40" t="s">
        <v>250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251</v>
      </c>
      <c r="Y1" s="64" t="s">
        <v>252</v>
      </c>
      <c r="Z1" s="64" t="s">
        <v>253</v>
      </c>
      <c r="AA1" s="66" t="s">
        <v>26</v>
      </c>
      <c r="AB1" s="67" t="s">
        <v>27</v>
      </c>
      <c r="AC1" s="68" t="s">
        <v>28</v>
      </c>
      <c r="AD1" s="40" t="s">
        <v>254</v>
      </c>
      <c r="AE1" s="40" t="s">
        <v>255</v>
      </c>
      <c r="AF1" s="40" t="s">
        <v>256</v>
      </c>
      <c r="AG1" s="69" t="s">
        <v>257</v>
      </c>
      <c r="AH1" s="69" t="s">
        <v>258</v>
      </c>
      <c r="AI1" s="69"/>
      <c r="AJ1" s="69"/>
      <c r="AK1" s="69" t="s">
        <v>259</v>
      </c>
      <c r="AL1" s="44" t="s">
        <v>244</v>
      </c>
      <c r="AM1" s="43" t="s">
        <v>1</v>
      </c>
      <c r="AN1" s="39" t="s">
        <v>260</v>
      </c>
      <c r="AO1" s="39" t="s">
        <v>261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262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263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 t="shared" ref="AP2:AP33" si="9">IF(AK2&gt;23,IF(Z2&lt;101,IF(Z2&lt;35,IF(Z2&lt;8,3,2),1),0),0)</f>
        <v>1</v>
      </c>
      <c r="AQ2" s="16">
        <f t="shared" ref="AQ2:AQ33" si="10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264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si="9"/>
        <v>3</v>
      </c>
      <c r="AQ3" s="16">
        <f t="shared" si="10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265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9"/>
        <v>1</v>
      </c>
      <c r="AQ4" s="16">
        <f t="shared" si="10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266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9"/>
        <v>1</v>
      </c>
      <c r="AQ5" s="16">
        <f t="shared" si="10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267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9"/>
        <v>1</v>
      </c>
      <c r="AQ6" s="16">
        <f t="shared" si="10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268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9"/>
        <v>1</v>
      </c>
      <c r="AQ7" s="16">
        <f t="shared" si="10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269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9"/>
        <v>1</v>
      </c>
      <c r="AQ8" s="16">
        <f t="shared" si="10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270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9"/>
        <v>2</v>
      </c>
      <c r="AQ9" s="16">
        <f t="shared" si="10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271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9"/>
        <v>1</v>
      </c>
      <c r="AQ10" s="16">
        <f t="shared" si="10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272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9"/>
        <v>1</v>
      </c>
      <c r="AQ11" s="16">
        <f t="shared" si="10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273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9"/>
        <v>1</v>
      </c>
      <c r="AQ12" s="16">
        <f t="shared" si="10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274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9"/>
        <v>0</v>
      </c>
      <c r="AQ13" s="16">
        <f t="shared" si="10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275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9"/>
        <v>0</v>
      </c>
      <c r="AQ14" s="16">
        <f t="shared" si="10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276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9"/>
        <v>2</v>
      </c>
      <c r="AQ15" s="16">
        <f t="shared" si="10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277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9"/>
        <v>1</v>
      </c>
      <c r="AQ16" s="16">
        <f t="shared" si="10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278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9"/>
        <v>2</v>
      </c>
      <c r="AQ17" s="16">
        <f t="shared" si="10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279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9"/>
        <v>3</v>
      </c>
      <c r="AQ18" s="16">
        <f t="shared" si="10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280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9"/>
        <v>0</v>
      </c>
      <c r="AQ19" s="16">
        <f t="shared" si="10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281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9"/>
        <v>0</v>
      </c>
      <c r="AQ20" s="16">
        <f t="shared" si="10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282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9"/>
        <v>3</v>
      </c>
      <c r="AQ21" s="16">
        <f t="shared" si="10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283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9"/>
        <v>0</v>
      </c>
      <c r="AQ22" s="16">
        <f t="shared" si="10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284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9"/>
        <v>0</v>
      </c>
      <c r="AQ23" s="16">
        <f t="shared" si="10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285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9"/>
        <v>0</v>
      </c>
      <c r="AQ24" s="16">
        <f t="shared" si="10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286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9"/>
        <v>0</v>
      </c>
      <c r="AQ25" s="16">
        <f t="shared" si="10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287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9"/>
        <v>2</v>
      </c>
      <c r="AQ26" s="16">
        <f t="shared" si="10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288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9"/>
        <v>3</v>
      </c>
      <c r="AQ27" s="16">
        <f t="shared" si="10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289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9"/>
        <v>2</v>
      </c>
      <c r="AQ28" s="16">
        <f t="shared" si="10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290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9"/>
        <v>3</v>
      </c>
      <c r="AQ29" s="16">
        <f t="shared" si="10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291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9"/>
        <v>0</v>
      </c>
      <c r="AQ30" s="16">
        <f t="shared" si="10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292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9"/>
        <v>3</v>
      </c>
      <c r="AQ31" s="16">
        <f t="shared" si="10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293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9"/>
        <v>3</v>
      </c>
      <c r="AQ32" s="16">
        <f t="shared" si="10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294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9"/>
        <v>3</v>
      </c>
      <c r="AQ33" s="16">
        <f t="shared" si="10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295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IF(AK34&gt;23,IF(Z34&lt;101,IF(Z34&lt;35,IF(Z34&lt;8,3,2),1),0),0)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296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297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298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299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3</v>
      </c>
      <c r="AQ38" s="16">
        <f t="shared" si="21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300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301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302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303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304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305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306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307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3</v>
      </c>
      <c r="AQ46" s="16">
        <f t="shared" si="21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308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309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310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311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312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313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2</v>
      </c>
      <c r="AQ51" s="16">
        <f t="shared" si="21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314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315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316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317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318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319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320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321</v>
      </c>
      <c r="B59" s="104" t="s">
        <v>322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323</v>
      </c>
      <c r="B60" s="104" t="s">
        <v>324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325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326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327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328</v>
      </c>
      <c r="B64" s="101" t="s">
        <v>329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330</v>
      </c>
      <c r="B65" s="101" t="s">
        <v>331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332</v>
      </c>
      <c r="B66" s="101" t="s">
        <v>333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9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9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4">IF(X66&lt;33,IF(Y66&gt;(1.1*X66),0,1),1)+IF(Y66&gt;(4*X66),-1,0)</f>
        <v>1</v>
      </c>
      <c r="AB66" s="101">
        <v>0</v>
      </c>
      <c r="AC66" s="52">
        <f t="shared" ref="AC66:AC97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6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7">AG66+IF(AG66&gt;6,1,0)+IF(X66&lt;17,0,1)+IF(Y66&lt;11,0,1)+IF(Z66&lt;1.35,0,1)+AC66+AA66</f>
        <v>6.1</v>
      </c>
      <c r="AI66" s="49"/>
      <c r="AJ66" s="49"/>
      <c r="AK66" s="49">
        <f t="shared" ref="AK66:AK97" si="28">AG66*3+AH66</f>
        <v>18.399999999999999</v>
      </c>
      <c r="AL66" s="2" t="str">
        <f t="shared" ref="AL66:AL97" si="29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ref="AP66:AP97" si="30">IF(AK66&gt;23,IF(Z66&lt;101,IF(Z66&lt;35,IF(Z66&lt;8,3,2),1),0),0)</f>
        <v>0</v>
      </c>
      <c r="AQ66" s="16">
        <f t="shared" ref="AQ66:AQ97" si="31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334</v>
      </c>
      <c r="B67" s="101" t="s">
        <v>335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/>
      <c r="AJ67" s="49"/>
      <c r="AK67" s="49">
        <f t="shared" si="28"/>
        <v>17.399999999999999</v>
      </c>
      <c r="AL67" s="2" t="str">
        <f t="shared" si="29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si="30"/>
        <v>0</v>
      </c>
      <c r="AQ67" s="16">
        <f t="shared" si="31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336</v>
      </c>
      <c r="B68" s="101" t="s">
        <v>337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/>
      <c r="AJ68" s="49"/>
      <c r="AK68" s="49">
        <f t="shared" si="28"/>
        <v>17</v>
      </c>
      <c r="AL68" s="2" t="str">
        <f t="shared" si="29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31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338</v>
      </c>
      <c r="B69" s="101" t="s">
        <v>339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/>
      <c r="AJ69" s="49"/>
      <c r="AK69" s="49">
        <f t="shared" si="28"/>
        <v>37.086666666666659</v>
      </c>
      <c r="AL69" s="2" t="str">
        <f t="shared" si="29"/>
        <v>Pos</v>
      </c>
      <c r="AM69" s="2" t="s">
        <v>339</v>
      </c>
      <c r="AN69" s="101">
        <v>24</v>
      </c>
      <c r="AO69" s="101">
        <v>25</v>
      </c>
      <c r="AP69" s="17">
        <f t="shared" si="30"/>
        <v>3</v>
      </c>
      <c r="AQ69" s="16">
        <f t="shared" si="31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340</v>
      </c>
      <c r="B70" s="101" t="s">
        <v>341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4.0999999999999996</v>
      </c>
      <c r="AH70" s="49">
        <f t="shared" si="27"/>
        <v>5.0999999999999996</v>
      </c>
      <c r="AI70" s="49"/>
      <c r="AJ70" s="49"/>
      <c r="AK70" s="49">
        <f t="shared" si="28"/>
        <v>17.399999999999999</v>
      </c>
      <c r="AL70" s="2" t="str">
        <f t="shared" si="29"/>
        <v>Neg</v>
      </c>
      <c r="AM70" s="107" t="s">
        <v>341</v>
      </c>
      <c r="AN70" s="101">
        <v>25</v>
      </c>
      <c r="AO70" s="101">
        <v>26</v>
      </c>
      <c r="AP70" s="17">
        <f t="shared" si="30"/>
        <v>0</v>
      </c>
      <c r="AQ70" s="16">
        <f t="shared" si="31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342</v>
      </c>
      <c r="B71" s="101" t="s">
        <v>343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/>
      <c r="AJ71" s="49"/>
      <c r="AK71" s="49">
        <f t="shared" si="28"/>
        <v>5</v>
      </c>
      <c r="AL71" s="2" t="str">
        <f t="shared" si="29"/>
        <v>Neg</v>
      </c>
      <c r="AM71" s="2" t="s">
        <v>343</v>
      </c>
      <c r="AN71" s="101">
        <v>25</v>
      </c>
      <c r="AO71" s="101">
        <v>26</v>
      </c>
      <c r="AP71" s="17">
        <f t="shared" si="30"/>
        <v>0</v>
      </c>
      <c r="AQ71" s="16">
        <f t="shared" si="31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344</v>
      </c>
      <c r="B72" s="101" t="s">
        <v>345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6.2</v>
      </c>
      <c r="AH72" s="49">
        <f t="shared" si="27"/>
        <v>7.2</v>
      </c>
      <c r="AI72" s="49"/>
      <c r="AJ72" s="49"/>
      <c r="AK72" s="49">
        <f t="shared" si="28"/>
        <v>25.8</v>
      </c>
      <c r="AL72" s="2" t="str">
        <f t="shared" si="29"/>
        <v>Pos</v>
      </c>
      <c r="AM72" s="107" t="s">
        <v>345</v>
      </c>
      <c r="AN72" s="101">
        <v>26</v>
      </c>
      <c r="AO72" s="101">
        <v>27</v>
      </c>
      <c r="AP72" s="17">
        <f t="shared" si="30"/>
        <v>3</v>
      </c>
      <c r="AQ72" s="16">
        <f t="shared" si="31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346</v>
      </c>
      <c r="B73" s="101" t="s">
        <v>347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4"/>
        <v>1</v>
      </c>
      <c r="AB73" s="101">
        <v>2</v>
      </c>
      <c r="AC73" s="52">
        <f t="shared" si="25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9.6666666666666661</v>
      </c>
      <c r="AI73" s="49"/>
      <c r="AJ73" s="49"/>
      <c r="AK73" s="49">
        <f t="shared" si="28"/>
        <v>24.666666666666664</v>
      </c>
      <c r="AL73" s="2" t="str">
        <f t="shared" si="29"/>
        <v>Neg</v>
      </c>
      <c r="AM73" s="2" t="s">
        <v>347</v>
      </c>
      <c r="AN73" s="101">
        <v>27</v>
      </c>
      <c r="AO73" s="101">
        <v>30</v>
      </c>
      <c r="AP73" s="17">
        <f t="shared" si="30"/>
        <v>3</v>
      </c>
      <c r="AQ73" s="16">
        <f t="shared" si="31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348</v>
      </c>
      <c r="B74" s="101" t="s">
        <v>349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7.1</v>
      </c>
      <c r="AH74" s="49">
        <f t="shared" si="27"/>
        <v>9.4333333333333336</v>
      </c>
      <c r="AI74" s="49"/>
      <c r="AJ74" s="49"/>
      <c r="AK74" s="49">
        <f t="shared" si="28"/>
        <v>30.733333333333331</v>
      </c>
      <c r="AL74" s="2" t="str">
        <f t="shared" si="29"/>
        <v>Pos</v>
      </c>
      <c r="AM74" s="2" t="s">
        <v>349</v>
      </c>
      <c r="AN74" s="101">
        <v>6</v>
      </c>
      <c r="AO74" s="101">
        <v>9</v>
      </c>
      <c r="AP74" s="17">
        <f t="shared" si="30"/>
        <v>3</v>
      </c>
      <c r="AQ74" s="16">
        <f t="shared" si="31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350</v>
      </c>
      <c r="B75" s="101" t="s">
        <v>351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5.0999999999999996</v>
      </c>
      <c r="AH75" s="49">
        <f t="shared" si="27"/>
        <v>8.7666666666666657</v>
      </c>
      <c r="AI75" s="49"/>
      <c r="AJ75" s="49"/>
      <c r="AK75" s="49">
        <f t="shared" si="28"/>
        <v>24.066666666666663</v>
      </c>
      <c r="AL75" s="2" t="str">
        <f t="shared" si="29"/>
        <v>Neg</v>
      </c>
      <c r="AM75" s="2" t="s">
        <v>351</v>
      </c>
      <c r="AN75" s="101">
        <v>11</v>
      </c>
      <c r="AO75" s="101">
        <v>12</v>
      </c>
      <c r="AP75" s="17">
        <f t="shared" si="30"/>
        <v>3</v>
      </c>
      <c r="AQ75" s="16">
        <f t="shared" si="31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352</v>
      </c>
      <c r="B76" s="101" t="s">
        <v>353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5.2</v>
      </c>
      <c r="AH76" s="49">
        <f t="shared" si="27"/>
        <v>8.3666666666666671</v>
      </c>
      <c r="AI76" s="49"/>
      <c r="AJ76" s="49"/>
      <c r="AK76" s="49">
        <f t="shared" si="28"/>
        <v>23.966666666666669</v>
      </c>
      <c r="AL76" s="2" t="str">
        <f t="shared" si="29"/>
        <v>Neg</v>
      </c>
      <c r="AM76" s="2" t="s">
        <v>353</v>
      </c>
      <c r="AN76" s="101">
        <v>12</v>
      </c>
      <c r="AO76" s="101">
        <v>13</v>
      </c>
      <c r="AP76" s="17">
        <f t="shared" si="30"/>
        <v>3</v>
      </c>
      <c r="AQ76" s="16">
        <f t="shared" si="31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354</v>
      </c>
      <c r="B77" s="101" t="s">
        <v>355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4"/>
        <v>1</v>
      </c>
      <c r="AB77" s="101">
        <v>0</v>
      </c>
      <c r="AC77" s="52">
        <f t="shared" si="25"/>
        <v>0</v>
      </c>
      <c r="AD77" s="101">
        <v>0</v>
      </c>
      <c r="AE77" s="101">
        <v>0</v>
      </c>
      <c r="AF77" s="101">
        <v>0</v>
      </c>
      <c r="AG77" s="49">
        <f t="shared" si="26"/>
        <v>4.2</v>
      </c>
      <c r="AH77" s="49">
        <f t="shared" si="27"/>
        <v>8.1999999999999993</v>
      </c>
      <c r="AI77" s="49"/>
      <c r="AJ77" s="49"/>
      <c r="AK77" s="49">
        <f t="shared" si="28"/>
        <v>20.8</v>
      </c>
      <c r="AL77" s="2" t="str">
        <f t="shared" si="29"/>
        <v>Pos</v>
      </c>
      <c r="AM77" s="2" t="s">
        <v>355</v>
      </c>
      <c r="AN77" s="101">
        <v>13</v>
      </c>
      <c r="AO77" s="101">
        <v>16</v>
      </c>
      <c r="AP77" s="17">
        <f t="shared" si="30"/>
        <v>0</v>
      </c>
      <c r="AQ77" s="16">
        <f t="shared" si="31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356</v>
      </c>
      <c r="B78" s="101" t="s">
        <v>357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4"/>
        <v>0</v>
      </c>
      <c r="AB78" s="101">
        <v>0.62</v>
      </c>
      <c r="AC78" s="52">
        <f t="shared" si="25"/>
        <v>0.20666666666666667</v>
      </c>
      <c r="AD78" s="101">
        <v>46.6</v>
      </c>
      <c r="AE78" s="101">
        <v>12.33</v>
      </c>
      <c r="AF78" s="101">
        <v>21.48</v>
      </c>
      <c r="AG78" s="49">
        <f t="shared" si="26"/>
        <v>5.55</v>
      </c>
      <c r="AH78" s="49">
        <f t="shared" si="27"/>
        <v>5.7566666666666668</v>
      </c>
      <c r="AI78" s="49"/>
      <c r="AJ78" s="49"/>
      <c r="AK78" s="49">
        <f t="shared" si="28"/>
        <v>22.406666666666666</v>
      </c>
      <c r="AL78" s="2">
        <f t="shared" si="29"/>
        <v>0</v>
      </c>
      <c r="AM78" s="2" t="s">
        <v>357</v>
      </c>
      <c r="AN78" s="101">
        <v>18</v>
      </c>
      <c r="AO78" s="101">
        <v>19</v>
      </c>
      <c r="AP78" s="17">
        <f t="shared" si="30"/>
        <v>0</v>
      </c>
      <c r="AQ78" s="16">
        <f t="shared" si="31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358</v>
      </c>
      <c r="B79" s="101" t="s">
        <v>359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4"/>
        <v>1</v>
      </c>
      <c r="AB79" s="101">
        <v>0.57999999999999996</v>
      </c>
      <c r="AC79" s="52">
        <f t="shared" si="25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6"/>
        <v>7.1999999999999993</v>
      </c>
      <c r="AH79" s="49">
        <f t="shared" si="27"/>
        <v>9.3933333333333326</v>
      </c>
      <c r="AI79" s="49"/>
      <c r="AJ79" s="49"/>
      <c r="AK79" s="49">
        <f t="shared" si="28"/>
        <v>30.993333333333332</v>
      </c>
      <c r="AL79" s="2">
        <f t="shared" si="29"/>
        <v>0</v>
      </c>
      <c r="AM79" s="2" t="s">
        <v>359</v>
      </c>
      <c r="AN79" s="101">
        <v>26</v>
      </c>
      <c r="AO79" s="101">
        <v>24</v>
      </c>
      <c r="AP79" s="17">
        <f t="shared" si="30"/>
        <v>3</v>
      </c>
      <c r="AQ79" s="16">
        <f t="shared" si="31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360</v>
      </c>
      <c r="B80" s="101" t="s">
        <v>361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0.6</v>
      </c>
      <c r="Y80" s="101">
        <v>1.05</v>
      </c>
      <c r="Z80" s="101">
        <v>0.05</v>
      </c>
      <c r="AA80" s="51">
        <f t="shared" si="24"/>
        <v>0</v>
      </c>
      <c r="AB80" s="101">
        <v>0</v>
      </c>
      <c r="AC80" s="52">
        <f t="shared" si="25"/>
        <v>0</v>
      </c>
      <c r="AD80" s="101">
        <v>71.38</v>
      </c>
      <c r="AE80" s="101">
        <v>5.52</v>
      </c>
      <c r="AF80" s="101">
        <v>25.37</v>
      </c>
      <c r="AG80" s="49">
        <f t="shared" si="26"/>
        <v>4.6500000000000004</v>
      </c>
      <c r="AH80" s="49">
        <f t="shared" si="27"/>
        <v>4.6500000000000004</v>
      </c>
      <c r="AI80" s="49"/>
      <c r="AJ80" s="49"/>
      <c r="AK80" s="49">
        <f t="shared" si="28"/>
        <v>18.600000000000001</v>
      </c>
      <c r="AL80" s="2">
        <f t="shared" si="29"/>
        <v>0</v>
      </c>
      <c r="AM80" s="2" t="s">
        <v>361</v>
      </c>
      <c r="AN80" s="101">
        <v>27</v>
      </c>
      <c r="AO80" s="101">
        <v>25</v>
      </c>
      <c r="AP80" s="17">
        <f t="shared" si="30"/>
        <v>0</v>
      </c>
      <c r="AQ80" s="16">
        <f t="shared" si="31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362</v>
      </c>
      <c r="B81" s="101" t="s">
        <v>363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0.82</v>
      </c>
      <c r="Y81" s="101">
        <v>5.52</v>
      </c>
      <c r="Z81" s="101">
        <v>0.59</v>
      </c>
      <c r="AA81" s="51">
        <f t="shared" si="24"/>
        <v>-1</v>
      </c>
      <c r="AB81" s="101">
        <v>3.77</v>
      </c>
      <c r="AC81" s="52">
        <f t="shared" si="25"/>
        <v>1.2566666666666666</v>
      </c>
      <c r="AD81" s="101">
        <v>100</v>
      </c>
      <c r="AE81" s="101">
        <v>29.17</v>
      </c>
      <c r="AF81" s="101">
        <v>21.73</v>
      </c>
      <c r="AG81" s="49">
        <f t="shared" si="26"/>
        <v>2.1</v>
      </c>
      <c r="AH81" s="49">
        <f t="shared" si="27"/>
        <v>2.3566666666666665</v>
      </c>
      <c r="AI81" s="49"/>
      <c r="AJ81" s="49"/>
      <c r="AK81" s="49">
        <f t="shared" si="28"/>
        <v>8.6566666666666663</v>
      </c>
      <c r="AL81" s="2">
        <f t="shared" si="29"/>
        <v>0</v>
      </c>
      <c r="AM81" s="2" t="s">
        <v>363</v>
      </c>
      <c r="AN81" s="101">
        <v>27</v>
      </c>
      <c r="AO81" s="101">
        <v>25</v>
      </c>
      <c r="AP81" s="17">
        <f t="shared" si="30"/>
        <v>0</v>
      </c>
      <c r="AQ81" s="16">
        <f t="shared" si="31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364</v>
      </c>
      <c r="B82" s="101" t="s">
        <v>365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0</v>
      </c>
      <c r="Y82" s="101">
        <v>0.01</v>
      </c>
      <c r="Z82" s="101">
        <v>0.05</v>
      </c>
      <c r="AA82" s="51">
        <f t="shared" si="24"/>
        <v>-1</v>
      </c>
      <c r="AB82" s="101">
        <v>0.25</v>
      </c>
      <c r="AC82" s="52">
        <f t="shared" si="25"/>
        <v>8.3333333333333329E-2</v>
      </c>
      <c r="AD82" s="101">
        <v>-22.24</v>
      </c>
      <c r="AE82" s="101">
        <v>15.03</v>
      </c>
      <c r="AF82" s="101">
        <v>18.97</v>
      </c>
      <c r="AG82" s="49">
        <f t="shared" si="26"/>
        <v>5.55</v>
      </c>
      <c r="AH82" s="49">
        <f t="shared" si="27"/>
        <v>4.6333333333333329</v>
      </c>
      <c r="AI82" s="49"/>
      <c r="AJ82" s="49"/>
      <c r="AK82" s="49">
        <f t="shared" si="28"/>
        <v>21.283333333333331</v>
      </c>
      <c r="AL82" s="2">
        <f t="shared" si="29"/>
        <v>0</v>
      </c>
      <c r="AM82" s="2" t="s">
        <v>365</v>
      </c>
      <c r="AN82" s="101">
        <v>27</v>
      </c>
      <c r="AO82" s="101">
        <v>25</v>
      </c>
      <c r="AP82" s="17">
        <f t="shared" si="30"/>
        <v>0</v>
      </c>
      <c r="AQ82" s="16">
        <f t="shared" si="31"/>
        <v>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2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3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/>
      <c r="AK83" s="49" t="e">
        <f t="shared" si="28"/>
        <v>#DIV/0!</v>
      </c>
      <c r="AL83" s="2">
        <f t="shared" si="29"/>
        <v>0</v>
      </c>
      <c r="AM83" s="2">
        <f t="shared" ref="AM83:AM114" si="34">B83</f>
        <v>0</v>
      </c>
      <c r="AN83" s="101"/>
      <c r="AO83" s="101"/>
      <c r="AP83" s="17" t="e">
        <f t="shared" si="30"/>
        <v>#DIV/0!</v>
      </c>
      <c r="AQ83" s="16" t="e">
        <f t="shared" si="31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2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3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/>
      <c r="AK84" s="49" t="e">
        <f t="shared" si="28"/>
        <v>#DIV/0!</v>
      </c>
      <c r="AL84" s="2">
        <f t="shared" si="29"/>
        <v>0</v>
      </c>
      <c r="AM84" s="2">
        <f t="shared" si="34"/>
        <v>0</v>
      </c>
      <c r="AN84" s="101"/>
      <c r="AO84" s="101"/>
      <c r="AP84" s="17" t="e">
        <f t="shared" si="30"/>
        <v>#DIV/0!</v>
      </c>
      <c r="AQ84" s="16" t="e">
        <f t="shared" si="31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2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3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/>
      <c r="AK85" s="49" t="e">
        <f t="shared" si="28"/>
        <v>#DIV/0!</v>
      </c>
      <c r="AL85" s="2">
        <f t="shared" si="29"/>
        <v>0</v>
      </c>
      <c r="AM85" s="2">
        <f t="shared" si="34"/>
        <v>0</v>
      </c>
      <c r="AN85" s="101"/>
      <c r="AO85" s="101"/>
      <c r="AP85" s="17" t="e">
        <f t="shared" si="30"/>
        <v>#DIV/0!</v>
      </c>
      <c r="AQ85" s="16" t="e">
        <f t="shared" si="31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2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3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/>
      <c r="AK86" s="49" t="e">
        <f t="shared" si="28"/>
        <v>#DIV/0!</v>
      </c>
      <c r="AL86" s="2">
        <f t="shared" si="29"/>
        <v>0</v>
      </c>
      <c r="AM86" s="2">
        <f t="shared" si="34"/>
        <v>0</v>
      </c>
      <c r="AN86" s="101"/>
      <c r="AO86" s="101"/>
      <c r="AP86" s="17" t="e">
        <f t="shared" si="30"/>
        <v>#DIV/0!</v>
      </c>
      <c r="AQ86" s="16" t="e">
        <f t="shared" si="31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2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3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/>
      <c r="AK87" s="49" t="e">
        <f t="shared" si="28"/>
        <v>#DIV/0!</v>
      </c>
      <c r="AL87" s="2">
        <f t="shared" si="29"/>
        <v>0</v>
      </c>
      <c r="AM87" s="2">
        <f t="shared" si="34"/>
        <v>0</v>
      </c>
      <c r="AN87" s="101"/>
      <c r="AO87" s="101"/>
      <c r="AP87" s="17" t="e">
        <f t="shared" si="30"/>
        <v>#DIV/0!</v>
      </c>
      <c r="AQ87" s="16" t="e">
        <f t="shared" si="31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2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3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/>
      <c r="AK88" s="49" t="e">
        <f t="shared" si="28"/>
        <v>#DIV/0!</v>
      </c>
      <c r="AL88" s="2">
        <f t="shared" si="29"/>
        <v>0</v>
      </c>
      <c r="AM88" s="2">
        <f t="shared" si="34"/>
        <v>0</v>
      </c>
      <c r="AN88" s="101"/>
      <c r="AO88" s="101"/>
      <c r="AP88" s="17" t="e">
        <f t="shared" si="30"/>
        <v>#DIV/0!</v>
      </c>
      <c r="AQ88" s="16" t="e">
        <f t="shared" si="31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2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3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/>
      <c r="AK89" s="49" t="e">
        <f t="shared" si="28"/>
        <v>#DIV/0!</v>
      </c>
      <c r="AL89" s="2">
        <f t="shared" si="29"/>
        <v>0</v>
      </c>
      <c r="AM89" s="2">
        <f t="shared" si="34"/>
        <v>0</v>
      </c>
      <c r="AN89" s="101"/>
      <c r="AO89" s="101"/>
      <c r="AP89" s="17" t="e">
        <f t="shared" si="30"/>
        <v>#DIV/0!</v>
      </c>
      <c r="AQ89" s="16" t="e">
        <f t="shared" si="31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2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3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/>
      <c r="AK90" s="49" t="e">
        <f t="shared" si="28"/>
        <v>#DIV/0!</v>
      </c>
      <c r="AL90" s="2">
        <f t="shared" si="29"/>
        <v>0</v>
      </c>
      <c r="AM90" s="2">
        <f t="shared" si="34"/>
        <v>0</v>
      </c>
      <c r="AN90" s="101"/>
      <c r="AO90" s="101"/>
      <c r="AP90" s="17" t="e">
        <f t="shared" si="30"/>
        <v>#DIV/0!</v>
      </c>
      <c r="AQ90" s="16" t="e">
        <f t="shared" si="31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2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3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/>
      <c r="AK91" s="49" t="e">
        <f t="shared" si="28"/>
        <v>#DIV/0!</v>
      </c>
      <c r="AL91" s="2">
        <f t="shared" si="29"/>
        <v>0</v>
      </c>
      <c r="AM91" s="2">
        <f t="shared" si="34"/>
        <v>0</v>
      </c>
      <c r="AN91" s="101"/>
      <c r="AO91" s="101"/>
      <c r="AP91" s="17" t="e">
        <f t="shared" si="30"/>
        <v>#DIV/0!</v>
      </c>
      <c r="AQ91" s="16" t="e">
        <f t="shared" si="31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2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3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/>
      <c r="AK92" s="49" t="e">
        <f t="shared" si="28"/>
        <v>#DIV/0!</v>
      </c>
      <c r="AL92" s="2">
        <f t="shared" si="29"/>
        <v>0</v>
      </c>
      <c r="AM92" s="2">
        <f t="shared" si="34"/>
        <v>0</v>
      </c>
      <c r="AN92" s="101"/>
      <c r="AO92" s="101"/>
      <c r="AP92" s="17" t="e">
        <f t="shared" si="30"/>
        <v>#DIV/0!</v>
      </c>
      <c r="AQ92" s="16" t="e">
        <f t="shared" si="31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2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3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/>
      <c r="AK93" s="49" t="e">
        <f t="shared" si="28"/>
        <v>#DIV/0!</v>
      </c>
      <c r="AL93" s="2">
        <f t="shared" si="29"/>
        <v>0</v>
      </c>
      <c r="AM93" s="2">
        <f t="shared" si="34"/>
        <v>0</v>
      </c>
      <c r="AN93" s="101"/>
      <c r="AO93" s="101"/>
      <c r="AP93" s="17" t="e">
        <f t="shared" si="30"/>
        <v>#DIV/0!</v>
      </c>
      <c r="AQ93" s="16" t="e">
        <f t="shared" si="31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2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3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/>
      <c r="AK94" s="49" t="e">
        <f t="shared" si="28"/>
        <v>#DIV/0!</v>
      </c>
      <c r="AL94" s="2">
        <f t="shared" si="29"/>
        <v>0</v>
      </c>
      <c r="AM94" s="2">
        <f t="shared" si="34"/>
        <v>0</v>
      </c>
      <c r="AN94" s="101"/>
      <c r="AO94" s="101"/>
      <c r="AP94" s="17" t="e">
        <f t="shared" si="30"/>
        <v>#DIV/0!</v>
      </c>
      <c r="AQ94" s="16" t="e">
        <f t="shared" si="31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2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3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/>
      <c r="AK95" s="49" t="e">
        <f t="shared" si="28"/>
        <v>#DIV/0!</v>
      </c>
      <c r="AL95" s="2">
        <f t="shared" si="29"/>
        <v>0</v>
      </c>
      <c r="AM95" s="2">
        <f t="shared" si="34"/>
        <v>0</v>
      </c>
      <c r="AN95" s="101"/>
      <c r="AO95" s="101"/>
      <c r="AP95" s="17" t="e">
        <f t="shared" si="30"/>
        <v>#DIV/0!</v>
      </c>
      <c r="AQ95" s="16" t="e">
        <f t="shared" si="31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2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3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/>
      <c r="AK96" s="49" t="e">
        <f t="shared" si="28"/>
        <v>#DIV/0!</v>
      </c>
      <c r="AL96" s="2">
        <f t="shared" si="29"/>
        <v>0</v>
      </c>
      <c r="AM96" s="2">
        <f t="shared" si="34"/>
        <v>0</v>
      </c>
      <c r="AN96" s="101"/>
      <c r="AO96" s="101"/>
      <c r="AP96" s="17" t="e">
        <f t="shared" si="30"/>
        <v>#DIV/0!</v>
      </c>
      <c r="AQ96" s="16" t="e">
        <f t="shared" si="31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2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3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4"/>
        <v>1</v>
      </c>
      <c r="AB97" s="101"/>
      <c r="AC97" s="52">
        <f t="shared" si="25"/>
        <v>0</v>
      </c>
      <c r="AD97" s="101"/>
      <c r="AE97" s="101"/>
      <c r="AF97" s="101"/>
      <c r="AG97" s="49" t="e">
        <f t="shared" si="26"/>
        <v>#DIV/0!</v>
      </c>
      <c r="AH97" s="49" t="e">
        <f t="shared" si="27"/>
        <v>#DIV/0!</v>
      </c>
      <c r="AI97" s="49"/>
      <c r="AJ97" s="49"/>
      <c r="AK97" s="49" t="e">
        <f t="shared" si="28"/>
        <v>#DIV/0!</v>
      </c>
      <c r="AL97" s="2">
        <f t="shared" si="29"/>
        <v>0</v>
      </c>
      <c r="AM97" s="2">
        <f t="shared" si="34"/>
        <v>0</v>
      </c>
      <c r="AN97" s="101"/>
      <c r="AO97" s="101"/>
      <c r="AP97" s="17" t="e">
        <f t="shared" si="30"/>
        <v>#DIV/0!</v>
      </c>
      <c r="AQ97" s="16" t="e">
        <f t="shared" si="31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2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3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5">IF(X98&lt;33,IF(Y98&gt;(1.1*X98),0,1),1)+IF(Y98&gt;(4*X98),-1,0)</f>
        <v>1</v>
      </c>
      <c r="AB98" s="101"/>
      <c r="AC98" s="52">
        <f t="shared" ref="AC98:AC129" si="36">IF(AB98&gt;9,1,0)+AB98/3</f>
        <v>0</v>
      </c>
      <c r="AD98" s="101"/>
      <c r="AE98" s="101"/>
      <c r="AF98" s="101"/>
      <c r="AG98" s="49" t="e">
        <f t="shared" ref="AG98:AG129" si="37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8">AG98+IF(AG98&gt;6,1,0)+IF(X98&lt;17,0,1)+IF(Y98&lt;11,0,1)+IF(Z98&lt;1.35,0,1)+AC98+AA98</f>
        <v>#DIV/0!</v>
      </c>
      <c r="AI98" s="49"/>
      <c r="AJ98" s="49"/>
      <c r="AK98" s="49" t="e">
        <f t="shared" ref="AK98:AK129" si="39">AG98*3+AH98</f>
        <v>#DIV/0!</v>
      </c>
      <c r="AL98" s="2">
        <f t="shared" ref="AL98:AL129" si="40">D98</f>
        <v>0</v>
      </c>
      <c r="AM98" s="2">
        <f t="shared" si="34"/>
        <v>0</v>
      </c>
      <c r="AN98" s="101"/>
      <c r="AO98" s="101"/>
      <c r="AP98" s="17" t="e">
        <f t="shared" ref="AP98:AP129" si="41">IF(AK98&gt;23,IF(Z98&lt;101,IF(Z98&lt;35,IF(Z98&lt;8,3,2),1),0),0)</f>
        <v>#DIV/0!</v>
      </c>
      <c r="AQ98" s="16" t="e">
        <f t="shared" ref="AQ98:AQ129" si="42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2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3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5"/>
        <v>1</v>
      </c>
      <c r="AB99" s="101"/>
      <c r="AC99" s="52">
        <f t="shared" si="36"/>
        <v>0</v>
      </c>
      <c r="AD99" s="101"/>
      <c r="AE99" s="101"/>
      <c r="AF99" s="101"/>
      <c r="AG99" s="49" t="e">
        <f t="shared" si="37"/>
        <v>#DIV/0!</v>
      </c>
      <c r="AH99" s="49" t="e">
        <f t="shared" si="38"/>
        <v>#DIV/0!</v>
      </c>
      <c r="AI99" s="49"/>
      <c r="AJ99" s="49"/>
      <c r="AK99" s="49" t="e">
        <f t="shared" si="39"/>
        <v>#DIV/0!</v>
      </c>
      <c r="AL99" s="2">
        <f t="shared" si="40"/>
        <v>0</v>
      </c>
      <c r="AM99" s="2">
        <f t="shared" si="34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2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3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5"/>
        <v>1</v>
      </c>
      <c r="AB100" s="101"/>
      <c r="AC100" s="52">
        <f t="shared" si="36"/>
        <v>0</v>
      </c>
      <c r="AD100" s="101"/>
      <c r="AE100" s="101"/>
      <c r="AF100" s="101"/>
      <c r="AG100" s="49" t="e">
        <f t="shared" si="37"/>
        <v>#DIV/0!</v>
      </c>
      <c r="AH100" s="49" t="e">
        <f t="shared" si="38"/>
        <v>#DIV/0!</v>
      </c>
      <c r="AI100" s="49"/>
      <c r="AJ100" s="49"/>
      <c r="AK100" s="49" t="e">
        <f t="shared" si="39"/>
        <v>#DIV/0!</v>
      </c>
      <c r="AL100" s="2">
        <f t="shared" si="40"/>
        <v>0</v>
      </c>
      <c r="AM100" s="2">
        <f t="shared" si="34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2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3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5"/>
        <v>1</v>
      </c>
      <c r="AB101" s="101"/>
      <c r="AC101" s="52">
        <f t="shared" si="36"/>
        <v>0</v>
      </c>
      <c r="AD101" s="101"/>
      <c r="AE101" s="101"/>
      <c r="AF101" s="101"/>
      <c r="AG101" s="49" t="e">
        <f t="shared" si="37"/>
        <v>#DIV/0!</v>
      </c>
      <c r="AH101" s="49" t="e">
        <f t="shared" si="38"/>
        <v>#DIV/0!</v>
      </c>
      <c r="AI101" s="49"/>
      <c r="AJ101" s="49"/>
      <c r="AK101" s="49" t="e">
        <f t="shared" si="39"/>
        <v>#DIV/0!</v>
      </c>
      <c r="AL101" s="2">
        <f t="shared" si="40"/>
        <v>0</v>
      </c>
      <c r="AM101" s="2">
        <f t="shared" si="34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2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3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5"/>
        <v>1</v>
      </c>
      <c r="AB102" s="101"/>
      <c r="AC102" s="52">
        <f t="shared" si="36"/>
        <v>0</v>
      </c>
      <c r="AD102" s="101"/>
      <c r="AE102" s="101"/>
      <c r="AF102" s="101"/>
      <c r="AG102" s="49" t="e">
        <f t="shared" si="37"/>
        <v>#DIV/0!</v>
      </c>
      <c r="AH102" s="49" t="e">
        <f t="shared" si="38"/>
        <v>#DIV/0!</v>
      </c>
      <c r="AI102" s="49"/>
      <c r="AJ102" s="49"/>
      <c r="AK102" s="49" t="e">
        <f t="shared" si="39"/>
        <v>#DIV/0!</v>
      </c>
      <c r="AL102" s="2">
        <f t="shared" si="40"/>
        <v>0</v>
      </c>
      <c r="AM102" s="2">
        <f t="shared" si="34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2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3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5"/>
        <v>1</v>
      </c>
      <c r="AB103" s="101"/>
      <c r="AC103" s="52">
        <f t="shared" si="36"/>
        <v>0</v>
      </c>
      <c r="AD103" s="101"/>
      <c r="AE103" s="101"/>
      <c r="AF103" s="101"/>
      <c r="AG103" s="49" t="e">
        <f t="shared" si="37"/>
        <v>#DIV/0!</v>
      </c>
      <c r="AH103" s="49" t="e">
        <f t="shared" si="38"/>
        <v>#DIV/0!</v>
      </c>
      <c r="AI103" s="49"/>
      <c r="AJ103" s="49"/>
      <c r="AK103" s="49" t="e">
        <f t="shared" si="39"/>
        <v>#DIV/0!</v>
      </c>
      <c r="AL103" s="2">
        <f t="shared" si="40"/>
        <v>0</v>
      </c>
      <c r="AM103" s="2">
        <f t="shared" si="34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2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3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5"/>
        <v>1</v>
      </c>
      <c r="AB104" s="101"/>
      <c r="AC104" s="52">
        <f t="shared" si="36"/>
        <v>0</v>
      </c>
      <c r="AD104" s="101"/>
      <c r="AE104" s="101"/>
      <c r="AF104" s="101"/>
      <c r="AG104" s="49" t="e">
        <f t="shared" si="37"/>
        <v>#DIV/0!</v>
      </c>
      <c r="AH104" s="49" t="e">
        <f t="shared" si="38"/>
        <v>#DIV/0!</v>
      </c>
      <c r="AI104" s="49"/>
      <c r="AJ104" s="49"/>
      <c r="AK104" s="49" t="e">
        <f t="shared" si="39"/>
        <v>#DIV/0!</v>
      </c>
      <c r="AL104" s="2">
        <f t="shared" si="40"/>
        <v>0</v>
      </c>
      <c r="AM104" s="2">
        <f t="shared" si="34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2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3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5"/>
        <v>1</v>
      </c>
      <c r="AB105" s="101"/>
      <c r="AC105" s="52">
        <f t="shared" si="36"/>
        <v>0</v>
      </c>
      <c r="AD105" s="101"/>
      <c r="AE105" s="101"/>
      <c r="AF105" s="101"/>
      <c r="AG105" s="49" t="e">
        <f t="shared" si="37"/>
        <v>#DIV/0!</v>
      </c>
      <c r="AH105" s="49" t="e">
        <f t="shared" si="38"/>
        <v>#DIV/0!</v>
      </c>
      <c r="AI105" s="49"/>
      <c r="AJ105" s="49"/>
      <c r="AK105" s="49" t="e">
        <f t="shared" si="39"/>
        <v>#DIV/0!</v>
      </c>
      <c r="AL105" s="2">
        <f t="shared" si="40"/>
        <v>0</v>
      </c>
      <c r="AM105" s="2">
        <f t="shared" si="34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2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3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5"/>
        <v>1</v>
      </c>
      <c r="AB106" s="101"/>
      <c r="AC106" s="52">
        <f t="shared" si="36"/>
        <v>0</v>
      </c>
      <c r="AD106" s="101"/>
      <c r="AE106" s="101"/>
      <c r="AF106" s="101"/>
      <c r="AG106" s="49" t="e">
        <f t="shared" si="37"/>
        <v>#DIV/0!</v>
      </c>
      <c r="AH106" s="49" t="e">
        <f t="shared" si="38"/>
        <v>#DIV/0!</v>
      </c>
      <c r="AI106" s="49"/>
      <c r="AJ106" s="49"/>
      <c r="AK106" s="49" t="e">
        <f t="shared" si="39"/>
        <v>#DIV/0!</v>
      </c>
      <c r="AL106" s="2">
        <f t="shared" si="40"/>
        <v>0</v>
      </c>
      <c r="AM106" s="2">
        <f t="shared" si="34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2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3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5"/>
        <v>1</v>
      </c>
      <c r="AB107" s="101"/>
      <c r="AC107" s="52">
        <f t="shared" si="36"/>
        <v>0</v>
      </c>
      <c r="AD107" s="101"/>
      <c r="AE107" s="101"/>
      <c r="AF107" s="101"/>
      <c r="AG107" s="49" t="e">
        <f t="shared" si="37"/>
        <v>#DIV/0!</v>
      </c>
      <c r="AH107" s="49" t="e">
        <f t="shared" si="38"/>
        <v>#DIV/0!</v>
      </c>
      <c r="AI107" s="49"/>
      <c r="AJ107" s="49"/>
      <c r="AK107" s="49" t="e">
        <f t="shared" si="39"/>
        <v>#DIV/0!</v>
      </c>
      <c r="AL107" s="2">
        <f t="shared" si="40"/>
        <v>0</v>
      </c>
      <c r="AM107" s="2">
        <f t="shared" si="34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2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3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5"/>
        <v>1</v>
      </c>
      <c r="AB108" s="101"/>
      <c r="AC108" s="52">
        <f t="shared" si="36"/>
        <v>0</v>
      </c>
      <c r="AD108" s="101"/>
      <c r="AE108" s="101"/>
      <c r="AF108" s="101"/>
      <c r="AG108" s="49" t="e">
        <f t="shared" si="37"/>
        <v>#DIV/0!</v>
      </c>
      <c r="AH108" s="49" t="e">
        <f t="shared" si="38"/>
        <v>#DIV/0!</v>
      </c>
      <c r="AI108" s="49"/>
      <c r="AJ108" s="49"/>
      <c r="AK108" s="49" t="e">
        <f t="shared" si="39"/>
        <v>#DIV/0!</v>
      </c>
      <c r="AL108" s="2">
        <f t="shared" si="40"/>
        <v>0</v>
      </c>
      <c r="AM108" s="2">
        <f t="shared" si="34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2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3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5"/>
        <v>1</v>
      </c>
      <c r="AB109" s="101"/>
      <c r="AC109" s="52">
        <f t="shared" si="36"/>
        <v>0</v>
      </c>
      <c r="AD109" s="101"/>
      <c r="AE109" s="101"/>
      <c r="AF109" s="101"/>
      <c r="AG109" s="49" t="e">
        <f t="shared" si="37"/>
        <v>#DIV/0!</v>
      </c>
      <c r="AH109" s="49" t="e">
        <f t="shared" si="38"/>
        <v>#DIV/0!</v>
      </c>
      <c r="AI109" s="49"/>
      <c r="AJ109" s="49"/>
      <c r="AK109" s="49" t="e">
        <f t="shared" si="39"/>
        <v>#DIV/0!</v>
      </c>
      <c r="AL109" s="2">
        <f t="shared" si="40"/>
        <v>0</v>
      </c>
      <c r="AM109" s="2">
        <f t="shared" si="34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2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3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5"/>
        <v>1</v>
      </c>
      <c r="AB110" s="101"/>
      <c r="AC110" s="52">
        <f t="shared" si="36"/>
        <v>0</v>
      </c>
      <c r="AD110" s="101"/>
      <c r="AE110" s="101"/>
      <c r="AF110" s="101"/>
      <c r="AG110" s="49" t="e">
        <f t="shared" si="37"/>
        <v>#DIV/0!</v>
      </c>
      <c r="AH110" s="49" t="e">
        <f t="shared" si="38"/>
        <v>#DIV/0!</v>
      </c>
      <c r="AI110" s="49"/>
      <c r="AJ110" s="49"/>
      <c r="AK110" s="49" t="e">
        <f t="shared" si="39"/>
        <v>#DIV/0!</v>
      </c>
      <c r="AL110" s="2">
        <f t="shared" si="40"/>
        <v>0</v>
      </c>
      <c r="AM110" s="2">
        <f t="shared" si="34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2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3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5"/>
        <v>1</v>
      </c>
      <c r="AB111" s="101"/>
      <c r="AC111" s="52">
        <f t="shared" si="36"/>
        <v>0</v>
      </c>
      <c r="AD111" s="101"/>
      <c r="AE111" s="101"/>
      <c r="AF111" s="101"/>
      <c r="AG111" s="49" t="e">
        <f t="shared" si="37"/>
        <v>#DIV/0!</v>
      </c>
      <c r="AH111" s="49" t="e">
        <f t="shared" si="38"/>
        <v>#DIV/0!</v>
      </c>
      <c r="AI111" s="49"/>
      <c r="AJ111" s="49"/>
      <c r="AK111" s="49" t="e">
        <f t="shared" si="39"/>
        <v>#DIV/0!</v>
      </c>
      <c r="AL111" s="2">
        <f t="shared" si="40"/>
        <v>0</v>
      </c>
      <c r="AM111" s="2">
        <f t="shared" si="34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2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3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5"/>
        <v>1</v>
      </c>
      <c r="AB112" s="101"/>
      <c r="AC112" s="52">
        <f t="shared" si="36"/>
        <v>0</v>
      </c>
      <c r="AD112" s="101"/>
      <c r="AE112" s="101"/>
      <c r="AF112" s="101"/>
      <c r="AG112" s="49" t="e">
        <f t="shared" si="37"/>
        <v>#DIV/0!</v>
      </c>
      <c r="AH112" s="49" t="e">
        <f t="shared" si="38"/>
        <v>#DIV/0!</v>
      </c>
      <c r="AI112" s="49"/>
      <c r="AJ112" s="49"/>
      <c r="AK112" s="49" t="e">
        <f t="shared" si="39"/>
        <v>#DIV/0!</v>
      </c>
      <c r="AL112" s="2">
        <f t="shared" si="40"/>
        <v>0</v>
      </c>
      <c r="AM112" s="2">
        <f t="shared" si="34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2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3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5"/>
        <v>1</v>
      </c>
      <c r="AB113" s="101"/>
      <c r="AC113" s="52">
        <f t="shared" si="36"/>
        <v>0</v>
      </c>
      <c r="AD113" s="101"/>
      <c r="AE113" s="101"/>
      <c r="AF113" s="101"/>
      <c r="AG113" s="49" t="e">
        <f t="shared" si="37"/>
        <v>#DIV/0!</v>
      </c>
      <c r="AH113" s="49" t="e">
        <f t="shared" si="38"/>
        <v>#DIV/0!</v>
      </c>
      <c r="AI113" s="49"/>
      <c r="AJ113" s="49"/>
      <c r="AK113" s="49" t="e">
        <f t="shared" si="39"/>
        <v>#DIV/0!</v>
      </c>
      <c r="AL113" s="2">
        <f t="shared" si="40"/>
        <v>0</v>
      </c>
      <c r="AM113" s="2">
        <f t="shared" si="34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2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3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5"/>
        <v>1</v>
      </c>
      <c r="AB114" s="101"/>
      <c r="AC114" s="52">
        <f t="shared" si="36"/>
        <v>0</v>
      </c>
      <c r="AD114" s="101"/>
      <c r="AE114" s="101"/>
      <c r="AF114" s="101"/>
      <c r="AG114" s="49" t="e">
        <f t="shared" si="37"/>
        <v>#DIV/0!</v>
      </c>
      <c r="AH114" s="49" t="e">
        <f t="shared" si="38"/>
        <v>#DIV/0!</v>
      </c>
      <c r="AI114" s="49"/>
      <c r="AJ114" s="49"/>
      <c r="AK114" s="49" t="e">
        <f t="shared" si="39"/>
        <v>#DIV/0!</v>
      </c>
      <c r="AL114" s="2">
        <f t="shared" si="40"/>
        <v>0</v>
      </c>
      <c r="AM114" s="2">
        <f t="shared" si="34"/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3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4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5"/>
        <v>1</v>
      </c>
      <c r="AB115" s="101"/>
      <c r="AC115" s="52">
        <f t="shared" si="36"/>
        <v>0</v>
      </c>
      <c r="AD115" s="101"/>
      <c r="AE115" s="101"/>
      <c r="AF115" s="101"/>
      <c r="AG115" s="49" t="e">
        <f t="shared" si="37"/>
        <v>#DIV/0!</v>
      </c>
      <c r="AH115" s="49" t="e">
        <f t="shared" si="38"/>
        <v>#DIV/0!</v>
      </c>
      <c r="AI115" s="49"/>
      <c r="AJ115" s="49"/>
      <c r="AK115" s="49" t="e">
        <f t="shared" si="39"/>
        <v>#DIV/0!</v>
      </c>
      <c r="AL115" s="2">
        <f t="shared" si="40"/>
        <v>0</v>
      </c>
      <c r="AM115" s="2">
        <f t="shared" ref="AM115:AM146" si="45">B115</f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5"/>
        <v>1</v>
      </c>
      <c r="AB116" s="101"/>
      <c r="AC116" s="52">
        <f t="shared" si="36"/>
        <v>0</v>
      </c>
      <c r="AD116" s="101"/>
      <c r="AE116" s="101"/>
      <c r="AF116" s="101"/>
      <c r="AG116" s="49" t="e">
        <f t="shared" si="37"/>
        <v>#DIV/0!</v>
      </c>
      <c r="AH116" s="49" t="e">
        <f t="shared" si="38"/>
        <v>#DIV/0!</v>
      </c>
      <c r="AI116" s="49"/>
      <c r="AJ116" s="49"/>
      <c r="AK116" s="49" t="e">
        <f t="shared" si="39"/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5"/>
        <v>1</v>
      </c>
      <c r="AB117" s="101"/>
      <c r="AC117" s="52">
        <f t="shared" si="36"/>
        <v>0</v>
      </c>
      <c r="AD117" s="101"/>
      <c r="AE117" s="101"/>
      <c r="AF117" s="101"/>
      <c r="AG117" s="49" t="e">
        <f t="shared" si="37"/>
        <v>#DIV/0!</v>
      </c>
      <c r="AH117" s="49" t="e">
        <f t="shared" si="38"/>
        <v>#DIV/0!</v>
      </c>
      <c r="AI117" s="49"/>
      <c r="AJ117" s="49"/>
      <c r="AK117" s="49" t="e">
        <f t="shared" si="39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5"/>
        <v>1</v>
      </c>
      <c r="AB118" s="101"/>
      <c r="AC118" s="52">
        <f t="shared" si="36"/>
        <v>0</v>
      </c>
      <c r="AD118" s="101"/>
      <c r="AE118" s="101"/>
      <c r="AF118" s="101"/>
      <c r="AG118" s="49" t="e">
        <f t="shared" si="37"/>
        <v>#DIV/0!</v>
      </c>
      <c r="AH118" s="49" t="e">
        <f t="shared" si="38"/>
        <v>#DIV/0!</v>
      </c>
      <c r="AI118" s="49"/>
      <c r="AJ118" s="49"/>
      <c r="AK118" s="49" t="e">
        <f t="shared" si="39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5"/>
        <v>1</v>
      </c>
      <c r="AB119" s="101"/>
      <c r="AC119" s="52">
        <f t="shared" si="36"/>
        <v>0</v>
      </c>
      <c r="AD119" s="101"/>
      <c r="AE119" s="101"/>
      <c r="AF119" s="101"/>
      <c r="AG119" s="49" t="e">
        <f t="shared" si="37"/>
        <v>#DIV/0!</v>
      </c>
      <c r="AH119" s="49" t="e">
        <f t="shared" si="38"/>
        <v>#DIV/0!</v>
      </c>
      <c r="AI119" s="49"/>
      <c r="AJ119" s="49"/>
      <c r="AK119" s="49" t="e">
        <f t="shared" si="39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5"/>
        <v>1</v>
      </c>
      <c r="AB120" s="101"/>
      <c r="AC120" s="52">
        <f t="shared" si="36"/>
        <v>0</v>
      </c>
      <c r="AD120" s="101"/>
      <c r="AE120" s="101"/>
      <c r="AF120" s="101"/>
      <c r="AG120" s="49" t="e">
        <f t="shared" si="37"/>
        <v>#DIV/0!</v>
      </c>
      <c r="AH120" s="49" t="e">
        <f t="shared" si="38"/>
        <v>#DIV/0!</v>
      </c>
      <c r="AI120" s="49"/>
      <c r="AJ120" s="49"/>
      <c r="AK120" s="49" t="e">
        <f t="shared" si="39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5"/>
        <v>1</v>
      </c>
      <c r="AB121" s="101"/>
      <c r="AC121" s="52">
        <f t="shared" si="36"/>
        <v>0</v>
      </c>
      <c r="AD121" s="101"/>
      <c r="AE121" s="101"/>
      <c r="AF121" s="101"/>
      <c r="AG121" s="49" t="e">
        <f t="shared" si="37"/>
        <v>#DIV/0!</v>
      </c>
      <c r="AH121" s="49" t="e">
        <f t="shared" si="38"/>
        <v>#DIV/0!</v>
      </c>
      <c r="AI121" s="49"/>
      <c r="AJ121" s="49"/>
      <c r="AK121" s="49" t="e">
        <f t="shared" si="39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5"/>
        <v>1</v>
      </c>
      <c r="AB122" s="101"/>
      <c r="AC122" s="52">
        <f t="shared" si="36"/>
        <v>0</v>
      </c>
      <c r="AD122" s="101"/>
      <c r="AE122" s="101"/>
      <c r="AF122" s="101"/>
      <c r="AG122" s="49" t="e">
        <f t="shared" si="37"/>
        <v>#DIV/0!</v>
      </c>
      <c r="AH122" s="49" t="e">
        <f t="shared" si="38"/>
        <v>#DIV/0!</v>
      </c>
      <c r="AI122" s="49"/>
      <c r="AJ122" s="49"/>
      <c r="AK122" s="49" t="e">
        <f t="shared" si="39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5"/>
        <v>1</v>
      </c>
      <c r="AB123" s="101"/>
      <c r="AC123" s="52">
        <f t="shared" si="36"/>
        <v>0</v>
      </c>
      <c r="AD123" s="101"/>
      <c r="AE123" s="101"/>
      <c r="AF123" s="101"/>
      <c r="AG123" s="49" t="e">
        <f t="shared" si="37"/>
        <v>#DIV/0!</v>
      </c>
      <c r="AH123" s="49" t="e">
        <f t="shared" si="38"/>
        <v>#DIV/0!</v>
      </c>
      <c r="AI123" s="49"/>
      <c r="AJ123" s="49"/>
      <c r="AK123" s="49" t="e">
        <f t="shared" si="39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5"/>
        <v>1</v>
      </c>
      <c r="AB124" s="101"/>
      <c r="AC124" s="52">
        <f t="shared" si="36"/>
        <v>0</v>
      </c>
      <c r="AD124" s="101"/>
      <c r="AE124" s="101"/>
      <c r="AF124" s="101"/>
      <c r="AG124" s="49" t="e">
        <f t="shared" si="37"/>
        <v>#DIV/0!</v>
      </c>
      <c r="AH124" s="49" t="e">
        <f t="shared" si="38"/>
        <v>#DIV/0!</v>
      </c>
      <c r="AI124" s="49"/>
      <c r="AJ124" s="49"/>
      <c r="AK124" s="49" t="e">
        <f t="shared" si="39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5"/>
        <v>1</v>
      </c>
      <c r="AB125" s="101"/>
      <c r="AC125" s="52">
        <f t="shared" si="36"/>
        <v>0</v>
      </c>
      <c r="AD125" s="101"/>
      <c r="AE125" s="101"/>
      <c r="AF125" s="101"/>
      <c r="AG125" s="49" t="e">
        <f t="shared" si="37"/>
        <v>#DIV/0!</v>
      </c>
      <c r="AH125" s="49" t="e">
        <f t="shared" si="38"/>
        <v>#DIV/0!</v>
      </c>
      <c r="AI125" s="49"/>
      <c r="AJ125" s="49"/>
      <c r="AK125" s="49" t="e">
        <f t="shared" si="39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5"/>
        <v>1</v>
      </c>
      <c r="AB126" s="101"/>
      <c r="AC126" s="52">
        <f t="shared" si="36"/>
        <v>0</v>
      </c>
      <c r="AD126" s="101"/>
      <c r="AE126" s="101"/>
      <c r="AF126" s="101"/>
      <c r="AG126" s="49" t="e">
        <f t="shared" si="37"/>
        <v>#DIV/0!</v>
      </c>
      <c r="AH126" s="49" t="e">
        <f t="shared" si="38"/>
        <v>#DIV/0!</v>
      </c>
      <c r="AI126" s="49"/>
      <c r="AJ126" s="49"/>
      <c r="AK126" s="49" t="e">
        <f t="shared" si="39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5"/>
        <v>1</v>
      </c>
      <c r="AB127" s="101"/>
      <c r="AC127" s="52">
        <f t="shared" si="36"/>
        <v>0</v>
      </c>
      <c r="AD127" s="101"/>
      <c r="AE127" s="101"/>
      <c r="AF127" s="101"/>
      <c r="AG127" s="49" t="e">
        <f t="shared" si="37"/>
        <v>#DIV/0!</v>
      </c>
      <c r="AH127" s="49" t="e">
        <f t="shared" si="38"/>
        <v>#DIV/0!</v>
      </c>
      <c r="AI127" s="49"/>
      <c r="AJ127" s="49"/>
      <c r="AK127" s="49" t="e">
        <f t="shared" si="39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5"/>
        <v>1</v>
      </c>
      <c r="AB128" s="101"/>
      <c r="AC128" s="52">
        <f t="shared" si="36"/>
        <v>0</v>
      </c>
      <c r="AD128" s="101"/>
      <c r="AE128" s="101"/>
      <c r="AF128" s="101"/>
      <c r="AG128" s="49" t="e">
        <f t="shared" si="37"/>
        <v>#DIV/0!</v>
      </c>
      <c r="AH128" s="49" t="e">
        <f t="shared" si="38"/>
        <v>#DIV/0!</v>
      </c>
      <c r="AI128" s="49"/>
      <c r="AJ128" s="49"/>
      <c r="AK128" s="49" t="e">
        <f t="shared" si="39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5"/>
        <v>1</v>
      </c>
      <c r="AB129" s="101"/>
      <c r="AC129" s="52">
        <f t="shared" si="36"/>
        <v>0</v>
      </c>
      <c r="AD129" s="101"/>
      <c r="AE129" s="101"/>
      <c r="AF129" s="101"/>
      <c r="AG129" s="49" t="e">
        <f t="shared" si="37"/>
        <v>#DIV/0!</v>
      </c>
      <c r="AH129" s="49" t="e">
        <f t="shared" si="38"/>
        <v>#DIV/0!</v>
      </c>
      <c r="AI129" s="49"/>
      <c r="AJ129" s="49"/>
      <c r="AK129" s="49" t="e">
        <f t="shared" si="39"/>
        <v>#DIV/0!</v>
      </c>
      <c r="AL129" s="2">
        <f t="shared" si="40"/>
        <v>0</v>
      </c>
      <c r="AM129" s="2">
        <f t="shared" si="45"/>
        <v>0</v>
      </c>
      <c r="AN129" s="101"/>
      <c r="AO129" s="101"/>
      <c r="AP129" s="17" t="e">
        <f t="shared" si="41"/>
        <v>#DIV/0!</v>
      </c>
      <c r="AQ129" s="16" t="e">
        <f t="shared" si="42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0" si="46">IF(X130&lt;33,IF(Y130&gt;(1.1*X130),0,1),1)+IF(Y130&gt;(4*X130),-1,0)</f>
        <v>1</v>
      </c>
      <c r="AB130" s="101"/>
      <c r="AC130" s="52">
        <f t="shared" ref="AC130:AC161" si="47">IF(AB130&gt;9,1,0)+AB130/3</f>
        <v>0</v>
      </c>
      <c r="AD130" s="101"/>
      <c r="AE130" s="101"/>
      <c r="AF130" s="101"/>
      <c r="AG130" s="49" t="e">
        <f t="shared" ref="AG130:AG161" si="48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1" si="49">AG130+IF(AG130&gt;6,1,0)+IF(X130&lt;17,0,1)+IF(Y130&lt;11,0,1)+IF(Z130&lt;1.35,0,1)+AC130+AA130</f>
        <v>#DIV/0!</v>
      </c>
      <c r="AI130" s="49"/>
      <c r="AJ130" s="49"/>
      <c r="AK130" s="49" t="e">
        <f t="shared" ref="AK130:AK160" si="50">AG130*3+AH130</f>
        <v>#DIV/0!</v>
      </c>
      <c r="AL130" s="2">
        <f t="shared" ref="AL130:AL158" si="51">D130</f>
        <v>0</v>
      </c>
      <c r="AM130" s="2">
        <f t="shared" si="45"/>
        <v>0</v>
      </c>
      <c r="AN130" s="101"/>
      <c r="AO130" s="101"/>
      <c r="AP130" s="17" t="e">
        <f t="shared" ref="AP130:AP154" si="52">IF(AK130&gt;23,IF(Z130&lt;101,IF(Z130&lt;35,IF(Z130&lt;8,3,2),1),0),0)</f>
        <v>#DIV/0!</v>
      </c>
      <c r="AQ130" s="16" t="e">
        <f t="shared" ref="AQ130:AQ161" si="53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6"/>
        <v>1</v>
      </c>
      <c r="AB131" s="101"/>
      <c r="AC131" s="52">
        <f t="shared" si="47"/>
        <v>0</v>
      </c>
      <c r="AD131" s="101"/>
      <c r="AE131" s="101"/>
      <c r="AF131" s="101"/>
      <c r="AG131" s="49" t="e">
        <f t="shared" si="48"/>
        <v>#DIV/0!</v>
      </c>
      <c r="AH131" s="49" t="e">
        <f t="shared" si="49"/>
        <v>#DIV/0!</v>
      </c>
      <c r="AI131" s="49"/>
      <c r="AJ131" s="49"/>
      <c r="AK131" s="49" t="e">
        <f t="shared" si="50"/>
        <v>#DIV/0!</v>
      </c>
      <c r="AL131" s="2">
        <f t="shared" si="51"/>
        <v>0</v>
      </c>
      <c r="AM131" s="2">
        <f t="shared" si="45"/>
        <v>0</v>
      </c>
      <c r="AN131" s="101"/>
      <c r="AO131" s="101"/>
      <c r="AP131" s="17" t="e">
        <f t="shared" si="52"/>
        <v>#DIV/0!</v>
      </c>
      <c r="AQ131" s="16" t="e">
        <f t="shared" si="53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6"/>
        <v>1</v>
      </c>
      <c r="AB132" s="101"/>
      <c r="AC132" s="52">
        <f t="shared" si="47"/>
        <v>0</v>
      </c>
      <c r="AD132" s="101"/>
      <c r="AE132" s="101"/>
      <c r="AF132" s="101"/>
      <c r="AG132" s="49" t="e">
        <f t="shared" si="48"/>
        <v>#DIV/0!</v>
      </c>
      <c r="AH132" s="49" t="e">
        <f t="shared" si="49"/>
        <v>#DIV/0!</v>
      </c>
      <c r="AI132" s="49"/>
      <c r="AJ132" s="49"/>
      <c r="AK132" s="49" t="e">
        <f t="shared" si="50"/>
        <v>#DIV/0!</v>
      </c>
      <c r="AL132" s="2">
        <f t="shared" si="51"/>
        <v>0</v>
      </c>
      <c r="AM132" s="2">
        <f t="shared" si="45"/>
        <v>0</v>
      </c>
      <c r="AN132" s="101"/>
      <c r="AO132" s="101"/>
      <c r="AP132" s="17" t="e">
        <f t="shared" si="52"/>
        <v>#DIV/0!</v>
      </c>
      <c r="AQ132" s="16" t="e">
        <f t="shared" si="53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6"/>
        <v>1</v>
      </c>
      <c r="AB133" s="101"/>
      <c r="AC133" s="52">
        <f t="shared" si="47"/>
        <v>0</v>
      </c>
      <c r="AD133" s="101"/>
      <c r="AE133" s="101"/>
      <c r="AF133" s="101"/>
      <c r="AG133" s="49" t="e">
        <f t="shared" si="48"/>
        <v>#DIV/0!</v>
      </c>
      <c r="AH133" s="49" t="e">
        <f t="shared" si="49"/>
        <v>#DIV/0!</v>
      </c>
      <c r="AI133" s="49"/>
      <c r="AJ133" s="49"/>
      <c r="AK133" s="49" t="e">
        <f t="shared" si="50"/>
        <v>#DIV/0!</v>
      </c>
      <c r="AL133" s="2">
        <f t="shared" si="51"/>
        <v>0</v>
      </c>
      <c r="AM133" s="2">
        <f t="shared" si="45"/>
        <v>0</v>
      </c>
      <c r="AN133" s="101"/>
      <c r="AO133" s="101"/>
      <c r="AP133" s="17" t="e">
        <f t="shared" si="52"/>
        <v>#DIV/0!</v>
      </c>
      <c r="AQ133" s="16" t="e">
        <f t="shared" si="53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6"/>
        <v>1</v>
      </c>
      <c r="AB134" s="101"/>
      <c r="AC134" s="52">
        <f t="shared" si="47"/>
        <v>0</v>
      </c>
      <c r="AD134" s="101"/>
      <c r="AE134" s="101"/>
      <c r="AF134" s="101"/>
      <c r="AG134" s="49" t="e">
        <f t="shared" si="48"/>
        <v>#DIV/0!</v>
      </c>
      <c r="AH134" s="49" t="e">
        <f t="shared" si="49"/>
        <v>#DIV/0!</v>
      </c>
      <c r="AI134" s="49"/>
      <c r="AJ134" s="49"/>
      <c r="AK134" s="49" t="e">
        <f t="shared" si="50"/>
        <v>#DIV/0!</v>
      </c>
      <c r="AL134" s="2">
        <f t="shared" si="51"/>
        <v>0</v>
      </c>
      <c r="AM134" s="2">
        <f t="shared" si="45"/>
        <v>0</v>
      </c>
      <c r="AN134" s="101"/>
      <c r="AO134" s="101"/>
      <c r="AP134" s="17" t="e">
        <f t="shared" si="52"/>
        <v>#DIV/0!</v>
      </c>
      <c r="AQ134" s="16" t="e">
        <f t="shared" si="53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6"/>
        <v>1</v>
      </c>
      <c r="AB135" s="101"/>
      <c r="AC135" s="52">
        <f t="shared" si="47"/>
        <v>0</v>
      </c>
      <c r="AD135" s="101"/>
      <c r="AE135" s="101"/>
      <c r="AF135" s="101"/>
      <c r="AG135" s="49" t="e">
        <f t="shared" si="48"/>
        <v>#DIV/0!</v>
      </c>
      <c r="AH135" s="49" t="e">
        <f t="shared" si="49"/>
        <v>#DIV/0!</v>
      </c>
      <c r="AI135" s="49"/>
      <c r="AJ135" s="49"/>
      <c r="AK135" s="49" t="e">
        <f t="shared" si="50"/>
        <v>#DIV/0!</v>
      </c>
      <c r="AL135" s="2">
        <f t="shared" si="51"/>
        <v>0</v>
      </c>
      <c r="AM135" s="2">
        <f t="shared" si="45"/>
        <v>0</v>
      </c>
      <c r="AN135" s="101"/>
      <c r="AO135" s="101"/>
      <c r="AP135" s="17" t="e">
        <f t="shared" si="52"/>
        <v>#DIV/0!</v>
      </c>
      <c r="AQ135" s="16" t="e">
        <f t="shared" si="53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6"/>
        <v>1</v>
      </c>
      <c r="AB136" s="101"/>
      <c r="AC136" s="52">
        <f t="shared" si="47"/>
        <v>0</v>
      </c>
      <c r="AD136" s="101"/>
      <c r="AE136" s="101"/>
      <c r="AF136" s="101"/>
      <c r="AG136" s="49" t="e">
        <f t="shared" si="48"/>
        <v>#DIV/0!</v>
      </c>
      <c r="AH136" s="49" t="e">
        <f t="shared" si="49"/>
        <v>#DIV/0!</v>
      </c>
      <c r="AI136" s="49"/>
      <c r="AJ136" s="49"/>
      <c r="AK136" s="49" t="e">
        <f t="shared" si="50"/>
        <v>#DIV/0!</v>
      </c>
      <c r="AL136" s="2">
        <f t="shared" si="51"/>
        <v>0</v>
      </c>
      <c r="AM136" s="2">
        <f t="shared" si="45"/>
        <v>0</v>
      </c>
      <c r="AN136" s="101"/>
      <c r="AO136" s="101"/>
      <c r="AP136" s="17" t="e">
        <f t="shared" si="52"/>
        <v>#DIV/0!</v>
      </c>
      <c r="AQ136" s="16" t="e">
        <f t="shared" si="53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6"/>
        <v>1</v>
      </c>
      <c r="AB137" s="101"/>
      <c r="AC137" s="52">
        <f t="shared" si="47"/>
        <v>0</v>
      </c>
      <c r="AD137" s="101"/>
      <c r="AE137" s="101"/>
      <c r="AF137" s="101"/>
      <c r="AG137" s="49" t="e">
        <f t="shared" si="48"/>
        <v>#DIV/0!</v>
      </c>
      <c r="AH137" s="49" t="e">
        <f t="shared" si="49"/>
        <v>#DIV/0!</v>
      </c>
      <c r="AI137" s="49"/>
      <c r="AJ137" s="49"/>
      <c r="AK137" s="49" t="e">
        <f t="shared" si="50"/>
        <v>#DIV/0!</v>
      </c>
      <c r="AL137" s="2">
        <f t="shared" si="51"/>
        <v>0</v>
      </c>
      <c r="AM137" s="2">
        <f t="shared" si="45"/>
        <v>0</v>
      </c>
      <c r="AN137" s="101"/>
      <c r="AO137" s="101"/>
      <c r="AP137" s="17" t="e">
        <f t="shared" si="52"/>
        <v>#DIV/0!</v>
      </c>
      <c r="AQ137" s="16" t="e">
        <f t="shared" si="53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6"/>
        <v>1</v>
      </c>
      <c r="AB138" s="101"/>
      <c r="AC138" s="52">
        <f t="shared" si="47"/>
        <v>0</v>
      </c>
      <c r="AD138" s="101"/>
      <c r="AE138" s="101"/>
      <c r="AF138" s="101"/>
      <c r="AG138" s="49" t="e">
        <f t="shared" si="48"/>
        <v>#DIV/0!</v>
      </c>
      <c r="AH138" s="49" t="e">
        <f t="shared" si="49"/>
        <v>#DIV/0!</v>
      </c>
      <c r="AI138" s="49"/>
      <c r="AJ138" s="49"/>
      <c r="AK138" s="49" t="e">
        <f t="shared" si="50"/>
        <v>#DIV/0!</v>
      </c>
      <c r="AL138" s="2">
        <f t="shared" si="51"/>
        <v>0</v>
      </c>
      <c r="AM138" s="2">
        <f t="shared" si="45"/>
        <v>0</v>
      </c>
      <c r="AN138" s="101"/>
      <c r="AO138" s="101"/>
      <c r="AP138" s="17" t="e">
        <f t="shared" si="52"/>
        <v>#DIV/0!</v>
      </c>
      <c r="AQ138" s="16" t="e">
        <f t="shared" si="53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6"/>
        <v>1</v>
      </c>
      <c r="AB139" s="101"/>
      <c r="AC139" s="52">
        <f t="shared" si="47"/>
        <v>0</v>
      </c>
      <c r="AD139" s="101"/>
      <c r="AE139" s="101"/>
      <c r="AF139" s="101"/>
      <c r="AG139" s="49" t="e">
        <f t="shared" si="48"/>
        <v>#DIV/0!</v>
      </c>
      <c r="AH139" s="49" t="e">
        <f t="shared" si="49"/>
        <v>#DIV/0!</v>
      </c>
      <c r="AI139" s="49"/>
      <c r="AJ139" s="49"/>
      <c r="AK139" s="49" t="e">
        <f t="shared" si="50"/>
        <v>#DIV/0!</v>
      </c>
      <c r="AL139" s="2">
        <f t="shared" si="51"/>
        <v>0</v>
      </c>
      <c r="AM139" s="2">
        <f t="shared" si="45"/>
        <v>0</v>
      </c>
      <c r="AN139" s="101"/>
      <c r="AO139" s="101"/>
      <c r="AP139" s="17" t="e">
        <f t="shared" si="52"/>
        <v>#DIV/0!</v>
      </c>
      <c r="AQ139" s="16" t="e">
        <f t="shared" si="53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6"/>
        <v>1</v>
      </c>
      <c r="AB140" s="101"/>
      <c r="AC140" s="52">
        <f t="shared" si="47"/>
        <v>0</v>
      </c>
      <c r="AD140" s="101"/>
      <c r="AE140" s="101"/>
      <c r="AF140" s="101"/>
      <c r="AG140" s="49" t="e">
        <f t="shared" si="48"/>
        <v>#DIV/0!</v>
      </c>
      <c r="AH140" s="49" t="e">
        <f t="shared" si="49"/>
        <v>#DIV/0!</v>
      </c>
      <c r="AI140" s="49"/>
      <c r="AJ140" s="49"/>
      <c r="AK140" s="49" t="e">
        <f t="shared" si="50"/>
        <v>#DIV/0!</v>
      </c>
      <c r="AL140" s="2">
        <f t="shared" si="51"/>
        <v>0</v>
      </c>
      <c r="AM140" s="2">
        <f t="shared" si="45"/>
        <v>0</v>
      </c>
      <c r="AN140" s="101"/>
      <c r="AO140" s="101"/>
      <c r="AP140" s="17" t="e">
        <f t="shared" si="52"/>
        <v>#DIV/0!</v>
      </c>
      <c r="AQ140" s="16" t="e">
        <f t="shared" si="53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6"/>
        <v>1</v>
      </c>
      <c r="AB141" s="101"/>
      <c r="AC141" s="52">
        <f t="shared" si="47"/>
        <v>0</v>
      </c>
      <c r="AD141" s="101"/>
      <c r="AE141" s="101"/>
      <c r="AF141" s="101"/>
      <c r="AG141" s="49" t="e">
        <f t="shared" si="48"/>
        <v>#DIV/0!</v>
      </c>
      <c r="AH141" s="49" t="e">
        <f t="shared" si="49"/>
        <v>#DIV/0!</v>
      </c>
      <c r="AI141" s="49"/>
      <c r="AJ141" s="49"/>
      <c r="AK141" s="49" t="e">
        <f t="shared" si="50"/>
        <v>#DIV/0!</v>
      </c>
      <c r="AL141" s="2">
        <f t="shared" si="51"/>
        <v>0</v>
      </c>
      <c r="AM141" s="2">
        <f t="shared" si="45"/>
        <v>0</v>
      </c>
      <c r="AN141" s="101"/>
      <c r="AO141" s="101"/>
      <c r="AP141" s="17" t="e">
        <f t="shared" si="52"/>
        <v>#DIV/0!</v>
      </c>
      <c r="AQ141" s="16" t="e">
        <f t="shared" si="53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6"/>
        <v>1</v>
      </c>
      <c r="AB142" s="101"/>
      <c r="AC142" s="52">
        <f t="shared" si="47"/>
        <v>0</v>
      </c>
      <c r="AD142" s="101"/>
      <c r="AE142" s="101"/>
      <c r="AF142" s="101"/>
      <c r="AG142" s="49" t="e">
        <f t="shared" si="48"/>
        <v>#DIV/0!</v>
      </c>
      <c r="AH142" s="49" t="e">
        <f t="shared" si="49"/>
        <v>#DIV/0!</v>
      </c>
      <c r="AI142" s="49"/>
      <c r="AJ142" s="49"/>
      <c r="AK142" s="49" t="e">
        <f t="shared" si="50"/>
        <v>#DIV/0!</v>
      </c>
      <c r="AL142" s="2">
        <f t="shared" si="51"/>
        <v>0</v>
      </c>
      <c r="AM142" s="2">
        <f t="shared" si="45"/>
        <v>0</v>
      </c>
      <c r="AN142" s="101"/>
      <c r="AO142" s="101"/>
      <c r="AP142" s="17" t="e">
        <f t="shared" si="52"/>
        <v>#DIV/0!</v>
      </c>
      <c r="AQ142" s="16" t="e">
        <f t="shared" si="53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6"/>
        <v>1</v>
      </c>
      <c r="AB143" s="101"/>
      <c r="AC143" s="52">
        <f t="shared" si="47"/>
        <v>0</v>
      </c>
      <c r="AD143" s="101"/>
      <c r="AE143" s="101"/>
      <c r="AF143" s="101"/>
      <c r="AG143" s="49" t="e">
        <f t="shared" si="48"/>
        <v>#DIV/0!</v>
      </c>
      <c r="AH143" s="49" t="e">
        <f t="shared" si="49"/>
        <v>#DIV/0!</v>
      </c>
      <c r="AI143" s="49"/>
      <c r="AJ143" s="49"/>
      <c r="AK143" s="49" t="e">
        <f t="shared" si="50"/>
        <v>#DIV/0!</v>
      </c>
      <c r="AL143" s="2">
        <f t="shared" si="51"/>
        <v>0</v>
      </c>
      <c r="AM143" s="2">
        <f t="shared" si="45"/>
        <v>0</v>
      </c>
      <c r="AN143" s="101"/>
      <c r="AO143" s="101"/>
      <c r="AP143" s="17" t="e">
        <f t="shared" si="52"/>
        <v>#DIV/0!</v>
      </c>
      <c r="AQ143" s="16" t="e">
        <f t="shared" si="53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6"/>
        <v>1</v>
      </c>
      <c r="AB144" s="101"/>
      <c r="AC144" s="52">
        <f t="shared" si="47"/>
        <v>0</v>
      </c>
      <c r="AD144" s="101"/>
      <c r="AE144" s="101"/>
      <c r="AF144" s="101"/>
      <c r="AG144" s="49" t="e">
        <f t="shared" si="48"/>
        <v>#DIV/0!</v>
      </c>
      <c r="AH144" s="49" t="e">
        <f t="shared" si="49"/>
        <v>#DIV/0!</v>
      </c>
      <c r="AI144" s="49"/>
      <c r="AJ144" s="49"/>
      <c r="AK144" s="49" t="e">
        <f t="shared" si="50"/>
        <v>#DIV/0!</v>
      </c>
      <c r="AL144" s="2">
        <f t="shared" si="51"/>
        <v>0</v>
      </c>
      <c r="AM144" s="2">
        <f t="shared" si="45"/>
        <v>0</v>
      </c>
      <c r="AN144" s="101"/>
      <c r="AO144" s="101"/>
      <c r="AP144" s="17" t="e">
        <f t="shared" si="52"/>
        <v>#DIV/0!</v>
      </c>
      <c r="AQ144" s="16" t="e">
        <f t="shared" si="53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6"/>
        <v>1</v>
      </c>
      <c r="AB145" s="101"/>
      <c r="AC145" s="52">
        <f t="shared" si="47"/>
        <v>0</v>
      </c>
      <c r="AD145" s="101"/>
      <c r="AE145" s="101"/>
      <c r="AF145" s="101"/>
      <c r="AG145" s="49" t="e">
        <f t="shared" si="48"/>
        <v>#DIV/0!</v>
      </c>
      <c r="AH145" s="49" t="e">
        <f t="shared" si="49"/>
        <v>#DIV/0!</v>
      </c>
      <c r="AI145" s="49"/>
      <c r="AJ145" s="49"/>
      <c r="AK145" s="49" t="e">
        <f t="shared" si="50"/>
        <v>#DIV/0!</v>
      </c>
      <c r="AL145" s="2">
        <f t="shared" si="51"/>
        <v>0</v>
      </c>
      <c r="AM145" s="2">
        <f t="shared" si="45"/>
        <v>0</v>
      </c>
      <c r="AN145" s="101"/>
      <c r="AO145" s="101"/>
      <c r="AP145" s="17" t="e">
        <f t="shared" si="52"/>
        <v>#DIV/0!</v>
      </c>
      <c r="AQ145" s="16" t="e">
        <f t="shared" si="53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3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4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6"/>
        <v>1</v>
      </c>
      <c r="AB146" s="101"/>
      <c r="AC146" s="52">
        <f t="shared" si="47"/>
        <v>0</v>
      </c>
      <c r="AD146" s="101"/>
      <c r="AE146" s="101"/>
      <c r="AF146" s="101"/>
      <c r="AG146" s="49" t="e">
        <f t="shared" si="48"/>
        <v>#DIV/0!</v>
      </c>
      <c r="AH146" s="49" t="e">
        <f t="shared" si="49"/>
        <v>#DIV/0!</v>
      </c>
      <c r="AI146" s="49"/>
      <c r="AJ146" s="49"/>
      <c r="AK146" s="49" t="e">
        <f t="shared" si="50"/>
        <v>#DIV/0!</v>
      </c>
      <c r="AL146" s="2">
        <f t="shared" si="51"/>
        <v>0</v>
      </c>
      <c r="AM146" s="2">
        <f t="shared" si="45"/>
        <v>0</v>
      </c>
      <c r="AN146" s="101"/>
      <c r="AO146" s="101"/>
      <c r="AP146" s="17" t="e">
        <f t="shared" si="52"/>
        <v>#DIV/0!</v>
      </c>
      <c r="AQ146" s="16" t="e">
        <f t="shared" si="53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78" si="54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78" si="55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6"/>
        <v>1</v>
      </c>
      <c r="AB147" s="101"/>
      <c r="AC147" s="52">
        <f t="shared" si="47"/>
        <v>0</v>
      </c>
      <c r="AD147" s="101"/>
      <c r="AE147" s="101"/>
      <c r="AF147" s="101"/>
      <c r="AG147" s="49" t="e">
        <f t="shared" si="48"/>
        <v>#DIV/0!</v>
      </c>
      <c r="AH147" s="49" t="e">
        <f t="shared" si="49"/>
        <v>#DIV/0!</v>
      </c>
      <c r="AI147" s="49"/>
      <c r="AJ147" s="49"/>
      <c r="AK147" s="49" t="e">
        <f t="shared" si="50"/>
        <v>#DIV/0!</v>
      </c>
      <c r="AL147" s="2">
        <f t="shared" si="51"/>
        <v>0</v>
      </c>
      <c r="AM147" s="2">
        <f t="shared" ref="AM147:AM158" si="56">B147</f>
        <v>0</v>
      </c>
      <c r="AN147" s="101"/>
      <c r="AO147" s="101"/>
      <c r="AP147" s="17" t="e">
        <f t="shared" si="52"/>
        <v>#DIV/0!</v>
      </c>
      <c r="AQ147" s="16" t="e">
        <f t="shared" si="53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4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5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6"/>
        <v>1</v>
      </c>
      <c r="AB148" s="101"/>
      <c r="AC148" s="52">
        <f t="shared" si="47"/>
        <v>0</v>
      </c>
      <c r="AD148" s="101"/>
      <c r="AE148" s="101"/>
      <c r="AF148" s="101"/>
      <c r="AG148" s="49" t="e">
        <f t="shared" si="48"/>
        <v>#DIV/0!</v>
      </c>
      <c r="AH148" s="49" t="e">
        <f t="shared" si="49"/>
        <v>#DIV/0!</v>
      </c>
      <c r="AI148" s="49"/>
      <c r="AJ148" s="49"/>
      <c r="AK148" s="49" t="e">
        <f t="shared" si="50"/>
        <v>#DIV/0!</v>
      </c>
      <c r="AL148" s="2">
        <f t="shared" si="51"/>
        <v>0</v>
      </c>
      <c r="AM148" s="2">
        <f t="shared" si="56"/>
        <v>0</v>
      </c>
      <c r="AN148" s="101"/>
      <c r="AO148" s="101"/>
      <c r="AP148" s="17" t="e">
        <f t="shared" si="52"/>
        <v>#DIV/0!</v>
      </c>
      <c r="AQ148" s="16" t="e">
        <f t="shared" si="53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4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5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6"/>
        <v>1</v>
      </c>
      <c r="AB149" s="101"/>
      <c r="AC149" s="52">
        <f t="shared" si="47"/>
        <v>0</v>
      </c>
      <c r="AD149" s="101"/>
      <c r="AE149" s="101"/>
      <c r="AF149" s="101"/>
      <c r="AG149" s="49" t="e">
        <f t="shared" si="48"/>
        <v>#DIV/0!</v>
      </c>
      <c r="AH149" s="49" t="e">
        <f t="shared" si="49"/>
        <v>#DIV/0!</v>
      </c>
      <c r="AI149" s="49"/>
      <c r="AJ149" s="49"/>
      <c r="AK149" s="49" t="e">
        <f t="shared" si="50"/>
        <v>#DIV/0!</v>
      </c>
      <c r="AL149" s="2">
        <f t="shared" si="51"/>
        <v>0</v>
      </c>
      <c r="AM149" s="2">
        <f t="shared" si="56"/>
        <v>0</v>
      </c>
      <c r="AN149" s="101"/>
      <c r="AO149" s="101"/>
      <c r="AP149" s="17" t="e">
        <f t="shared" si="52"/>
        <v>#DIV/0!</v>
      </c>
      <c r="AQ149" s="16" t="e">
        <f t="shared" si="53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4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5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6"/>
        <v>1</v>
      </c>
      <c r="AB150" s="101"/>
      <c r="AC150" s="52">
        <f t="shared" si="47"/>
        <v>0</v>
      </c>
      <c r="AD150" s="101"/>
      <c r="AE150" s="101"/>
      <c r="AF150" s="101"/>
      <c r="AG150" s="49" t="e">
        <f t="shared" si="48"/>
        <v>#DIV/0!</v>
      </c>
      <c r="AH150" s="49" t="e">
        <f t="shared" si="49"/>
        <v>#DIV/0!</v>
      </c>
      <c r="AI150" s="49"/>
      <c r="AJ150" s="49"/>
      <c r="AK150" s="49" t="e">
        <f t="shared" si="50"/>
        <v>#DIV/0!</v>
      </c>
      <c r="AL150" s="2">
        <f t="shared" si="51"/>
        <v>0</v>
      </c>
      <c r="AM150" s="2">
        <f t="shared" si="56"/>
        <v>0</v>
      </c>
      <c r="AN150" s="101"/>
      <c r="AO150" s="101"/>
      <c r="AP150" s="17" t="e">
        <f t="shared" si="52"/>
        <v>#DIV/0!</v>
      </c>
      <c r="AQ150" s="16" t="e">
        <f t="shared" si="53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4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5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6"/>
        <v>1</v>
      </c>
      <c r="AB151" s="101"/>
      <c r="AC151" s="52">
        <f t="shared" si="47"/>
        <v>0</v>
      </c>
      <c r="AD151" s="101"/>
      <c r="AE151" s="101"/>
      <c r="AF151" s="101"/>
      <c r="AG151" s="49" t="e">
        <f t="shared" si="48"/>
        <v>#DIV/0!</v>
      </c>
      <c r="AH151" s="49" t="e">
        <f t="shared" si="49"/>
        <v>#DIV/0!</v>
      </c>
      <c r="AI151" s="49"/>
      <c r="AJ151" s="49"/>
      <c r="AK151" s="49" t="e">
        <f t="shared" si="50"/>
        <v>#DIV/0!</v>
      </c>
      <c r="AL151" s="2">
        <f t="shared" si="51"/>
        <v>0</v>
      </c>
      <c r="AM151" s="2">
        <f t="shared" si="56"/>
        <v>0</v>
      </c>
      <c r="AN151" s="101"/>
      <c r="AO151" s="101"/>
      <c r="AP151" s="17" t="e">
        <f t="shared" si="52"/>
        <v>#DIV/0!</v>
      </c>
      <c r="AQ151" s="16" t="e">
        <f t="shared" si="53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4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5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6"/>
        <v>1</v>
      </c>
      <c r="AB152" s="101"/>
      <c r="AC152" s="52">
        <f t="shared" si="47"/>
        <v>0</v>
      </c>
      <c r="AD152" s="101"/>
      <c r="AE152" s="101"/>
      <c r="AF152" s="101"/>
      <c r="AG152" s="49" t="e">
        <f t="shared" si="48"/>
        <v>#DIV/0!</v>
      </c>
      <c r="AH152" s="49" t="e">
        <f t="shared" si="49"/>
        <v>#DIV/0!</v>
      </c>
      <c r="AI152" s="49"/>
      <c r="AJ152" s="49"/>
      <c r="AK152" s="49" t="e">
        <f t="shared" si="50"/>
        <v>#DIV/0!</v>
      </c>
      <c r="AL152" s="2">
        <f t="shared" si="51"/>
        <v>0</v>
      </c>
      <c r="AM152" s="2">
        <f t="shared" si="56"/>
        <v>0</v>
      </c>
      <c r="AN152" s="101"/>
      <c r="AO152" s="101"/>
      <c r="AP152" s="17" t="e">
        <f t="shared" si="52"/>
        <v>#DIV/0!</v>
      </c>
      <c r="AQ152" s="16" t="e">
        <f t="shared" si="53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4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5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6"/>
        <v>1</v>
      </c>
      <c r="AB153" s="101"/>
      <c r="AC153" s="52">
        <f t="shared" si="47"/>
        <v>0</v>
      </c>
      <c r="AD153" s="101"/>
      <c r="AE153" s="101"/>
      <c r="AF153" s="101"/>
      <c r="AG153" s="49" t="e">
        <f t="shared" si="48"/>
        <v>#DIV/0!</v>
      </c>
      <c r="AH153" s="49" t="e">
        <f t="shared" si="49"/>
        <v>#DIV/0!</v>
      </c>
      <c r="AI153" s="49"/>
      <c r="AJ153" s="49"/>
      <c r="AK153" s="49" t="e">
        <f t="shared" si="50"/>
        <v>#DIV/0!</v>
      </c>
      <c r="AL153" s="2">
        <f t="shared" si="51"/>
        <v>0</v>
      </c>
      <c r="AM153" s="2">
        <f t="shared" si="56"/>
        <v>0</v>
      </c>
      <c r="AN153" s="101"/>
      <c r="AO153" s="101"/>
      <c r="AP153" s="17" t="e">
        <f t="shared" si="52"/>
        <v>#DIV/0!</v>
      </c>
      <c r="AQ153" s="16" t="e">
        <f t="shared" si="53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4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5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6"/>
        <v>1</v>
      </c>
      <c r="AB154" s="101"/>
      <c r="AC154" s="52">
        <f t="shared" si="47"/>
        <v>0</v>
      </c>
      <c r="AD154" s="101"/>
      <c r="AE154" s="101"/>
      <c r="AF154" s="101"/>
      <c r="AG154" s="49" t="e">
        <f t="shared" si="48"/>
        <v>#DIV/0!</v>
      </c>
      <c r="AH154" s="49" t="e">
        <f t="shared" si="49"/>
        <v>#DIV/0!</v>
      </c>
      <c r="AI154" s="49"/>
      <c r="AJ154" s="49"/>
      <c r="AK154" s="49" t="e">
        <f t="shared" si="50"/>
        <v>#DIV/0!</v>
      </c>
      <c r="AL154" s="2">
        <f t="shared" si="51"/>
        <v>0</v>
      </c>
      <c r="AM154" s="2">
        <f t="shared" si="56"/>
        <v>0</v>
      </c>
      <c r="AN154" s="101"/>
      <c r="AO154" s="101"/>
      <c r="AP154" s="17" t="e">
        <f t="shared" si="52"/>
        <v>#DIV/0!</v>
      </c>
      <c r="AQ154" s="16" t="e">
        <f t="shared" si="53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4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5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6"/>
        <v>1</v>
      </c>
      <c r="AB155" s="101"/>
      <c r="AC155" s="52">
        <f t="shared" si="47"/>
        <v>0</v>
      </c>
      <c r="AD155" s="101"/>
      <c r="AE155" s="101"/>
      <c r="AF155" s="101"/>
      <c r="AG155" s="49" t="e">
        <f t="shared" si="48"/>
        <v>#DIV/0!</v>
      </c>
      <c r="AH155" s="49" t="e">
        <f t="shared" si="49"/>
        <v>#DIV/0!</v>
      </c>
      <c r="AI155" s="49"/>
      <c r="AJ155" s="49"/>
      <c r="AK155" s="49" t="e">
        <f t="shared" si="50"/>
        <v>#DIV/0!</v>
      </c>
      <c r="AL155" s="2">
        <f t="shared" si="51"/>
        <v>0</v>
      </c>
      <c r="AM155" s="2">
        <f t="shared" si="56"/>
        <v>0</v>
      </c>
      <c r="AN155" s="101"/>
      <c r="AO155" s="101"/>
      <c r="AP155" s="17" t="e">
        <f>IF(AK155&gt;24.5,IF(Z155&lt;50,IF(Z155&lt;6,2,1),0),0)</f>
        <v>#DIV/0!</v>
      </c>
      <c r="AQ155" s="16" t="e">
        <f t="shared" si="53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4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5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6"/>
        <v>1</v>
      </c>
      <c r="AB156" s="101"/>
      <c r="AC156" s="52">
        <f t="shared" si="47"/>
        <v>0</v>
      </c>
      <c r="AD156" s="101"/>
      <c r="AE156" s="101"/>
      <c r="AF156" s="101"/>
      <c r="AG156" s="49" t="e">
        <f t="shared" si="48"/>
        <v>#DIV/0!</v>
      </c>
      <c r="AH156" s="49" t="e">
        <f t="shared" si="49"/>
        <v>#DIV/0!</v>
      </c>
      <c r="AI156" s="49"/>
      <c r="AJ156" s="49"/>
      <c r="AK156" s="49" t="e">
        <f t="shared" si="50"/>
        <v>#DIV/0!</v>
      </c>
      <c r="AL156" s="2">
        <f t="shared" si="51"/>
        <v>0</v>
      </c>
      <c r="AM156" s="2">
        <f t="shared" si="56"/>
        <v>0</v>
      </c>
      <c r="AN156" s="101"/>
      <c r="AO156" s="101"/>
      <c r="AP156" s="17" t="e">
        <f>IF(AK156&gt;24.5,IF(Z156&lt;50,IF(Z156&lt;6,2,1),0),0)</f>
        <v>#DIV/0!</v>
      </c>
      <c r="AQ156" s="16" t="e">
        <f t="shared" si="53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4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5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6"/>
        <v>1</v>
      </c>
      <c r="AB157" s="101"/>
      <c r="AC157" s="101"/>
      <c r="AD157" s="101"/>
      <c r="AE157" s="101"/>
      <c r="AF157" s="101"/>
      <c r="AG157" s="49" t="e">
        <f t="shared" si="48"/>
        <v>#DIV/0!</v>
      </c>
      <c r="AH157" s="49" t="e">
        <f t="shared" si="49"/>
        <v>#DIV/0!</v>
      </c>
      <c r="AI157" s="49"/>
      <c r="AJ157" s="49"/>
      <c r="AK157" s="49" t="e">
        <f t="shared" si="50"/>
        <v>#DIV/0!</v>
      </c>
      <c r="AL157" s="2">
        <f t="shared" si="51"/>
        <v>0</v>
      </c>
      <c r="AM157" s="2">
        <f t="shared" si="56"/>
        <v>0</v>
      </c>
      <c r="AN157" s="101"/>
      <c r="AO157" s="101"/>
      <c r="AP157" s="17" t="e">
        <f>IF(AK157&gt;24.5,IF(Z157&lt;50,IF(Z157&lt;6,2,1),0),0)</f>
        <v>#DIV/0!</v>
      </c>
      <c r="AQ157" s="16" t="e">
        <f t="shared" si="53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4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5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6"/>
        <v>1</v>
      </c>
      <c r="AB158" s="101"/>
      <c r="AC158" s="101"/>
      <c r="AD158" s="101"/>
      <c r="AE158" s="101"/>
      <c r="AF158" s="101"/>
      <c r="AG158" s="49" t="e">
        <f t="shared" si="48"/>
        <v>#DIV/0!</v>
      </c>
      <c r="AH158" s="49" t="e">
        <f t="shared" si="49"/>
        <v>#DIV/0!</v>
      </c>
      <c r="AI158" s="49"/>
      <c r="AJ158" s="49"/>
      <c r="AK158" s="49" t="e">
        <f t="shared" si="50"/>
        <v>#DIV/0!</v>
      </c>
      <c r="AL158" s="2">
        <f t="shared" si="51"/>
        <v>0</v>
      </c>
      <c r="AM158" s="2">
        <f t="shared" si="56"/>
        <v>0</v>
      </c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4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5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6"/>
        <v>1</v>
      </c>
      <c r="AB159" s="101"/>
      <c r="AC159" s="101"/>
      <c r="AD159" s="101"/>
      <c r="AE159" s="101"/>
      <c r="AF159" s="101"/>
      <c r="AG159" s="49" t="e">
        <f t="shared" si="48"/>
        <v>#DIV/0!</v>
      </c>
      <c r="AH159" s="49" t="e">
        <f t="shared" si="49"/>
        <v>#DIV/0!</v>
      </c>
      <c r="AI159" s="49"/>
      <c r="AJ159" s="49"/>
      <c r="AK159" s="49" t="e">
        <f t="shared" si="50"/>
        <v>#DIV/0!</v>
      </c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4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5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6"/>
        <v>1</v>
      </c>
      <c r="AB160" s="101"/>
      <c r="AC160" s="101"/>
      <c r="AD160" s="101"/>
      <c r="AE160" s="101"/>
      <c r="AF160" s="101"/>
      <c r="AG160" s="49" t="e">
        <f t="shared" si="48"/>
        <v>#DIV/0!</v>
      </c>
      <c r="AH160" s="49" t="e">
        <f t="shared" si="49"/>
        <v>#DIV/0!</v>
      </c>
      <c r="AI160" s="49"/>
      <c r="AJ160" s="49"/>
      <c r="AK160" s="49" t="e">
        <f t="shared" si="50"/>
        <v>#DIV/0!</v>
      </c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4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5"/>
        <v>#DIV/0!</v>
      </c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4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5"/>
        <v>#DIV/0!</v>
      </c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4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5"/>
        <v>#DIV/0!</v>
      </c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4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5"/>
        <v>#DIV/0!</v>
      </c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4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5"/>
        <v>#DIV/0!</v>
      </c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4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5"/>
        <v>#DIV/0!</v>
      </c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</sheetData>
  <conditionalFormatting sqref="G2:G166 H56">
    <cfRule type="cellIs" dxfId="39" priority="11" operator="lessThan">
      <formula>0</formula>
    </cfRule>
  </conditionalFormatting>
  <conditionalFormatting sqref="P2:P166 Q60:R60">
    <cfRule type="cellIs" dxfId="38" priority="17" operator="greaterThan">
      <formula>23</formula>
    </cfRule>
  </conditionalFormatting>
  <conditionalFormatting sqref="R2:R403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0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14">
    <cfRule type="cellIs" dxfId="29" priority="4" operator="greaterThan">
      <formula>6.1</formula>
    </cfRule>
  </conditionalFormatting>
  <conditionalFormatting sqref="AK1:AK214">
    <cfRule type="cellIs" dxfId="28" priority="20" operator="greaterThan">
      <formula>22.9</formula>
    </cfRule>
  </conditionalFormatting>
  <conditionalFormatting sqref="AL2:AL460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57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3.2"/>
  <cols>
    <col min="1" max="1" width="4.33203125" customWidth="1"/>
    <col min="2" max="2" width="21.664062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6.33203125" customWidth="1"/>
    <col min="25" max="25" width="5.5546875" customWidth="1"/>
    <col min="26" max="26" width="3.44140625" customWidth="1"/>
    <col min="27" max="27" width="5.88671875" customWidth="1"/>
    <col min="28" max="28" width="7.33203125" customWidth="1"/>
    <col min="29" max="29" width="5.88671875" hidden="1" customWidth="1"/>
    <col min="30" max="30" width="6.6640625" hidden="1" customWidth="1"/>
    <col min="31" max="31" width="7.6640625" hidden="1" customWidth="1"/>
    <col min="32" max="32" width="7.109375" hidden="1" customWidth="1"/>
    <col min="33" max="33" width="5.5546875" customWidth="1"/>
    <col min="34" max="34" width="6.33203125" customWidth="1"/>
    <col min="35" max="35" width="8.88671875" customWidth="1"/>
    <col min="36" max="36" width="4.44140625" customWidth="1"/>
    <col min="38" max="42" width="13" hidden="1" customWidth="1"/>
    <col min="43" max="43" width="1.5546875" hidden="1" customWidth="1"/>
    <col min="53" max="54" width="13" hidden="1" customWidth="1"/>
  </cols>
  <sheetData>
    <row r="1" spans="1:104" ht="92.4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366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260</v>
      </c>
      <c r="AM1" s="72" t="s">
        <v>261</v>
      </c>
      <c r="AN1" s="72" t="s">
        <v>367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97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97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97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97" si="23">AG66+IF(X66&lt;1.35,0,1)+IF(Y66&lt;1.35,0,1)+AC66+AA66</f>
        <v>8.8999999999999986</v>
      </c>
      <c r="AI66" s="70">
        <f t="shared" ref="AI66:AI97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2026-03-27T05:33:53Z</dcterms:modified>
</cp:coreProperties>
</file>