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8520" yWindow="2340" windowWidth="38640" windowHeight="21120" tabRatio="360" firstSheet="0" activeTab="1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  <sheet xmlns:r="http://schemas.openxmlformats.org/officeDocument/2006/relationships" name="SMEr&amp;d" sheetId="3" state="visible" r:id="rId3"/>
    <sheet xmlns:r="http://schemas.openxmlformats.org/officeDocument/2006/relationships" name="mbr&amp;d" sheetId="4" state="visible" r:id="rId4"/>
    <sheet xmlns:r="http://schemas.openxmlformats.org/officeDocument/2006/relationships" name="Sheet2" sheetId="5" state="visible" r:id="rId5"/>
    <sheet xmlns:r="http://schemas.openxmlformats.org/officeDocument/2006/relationships" name="Notes Remarks" sheetId="6" state="visible" r:id="rId6"/>
  </sheets>
  <definedNames>
    <definedName name="_xlnm._FilterDatabase" localSheetId="0" hidden="1">'IPOSME'!$AP$1:$AR$363</definedName>
    <definedName name="_xlnm._FilterDatabase" localSheetId="1" hidden="1">'IPOMB'!$AR$1:$AR$96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harset val="1"/>
      <color rgb="FF000000"/>
      <sz val="10"/>
    </font>
    <font>
      <name val="Arial"/>
      <charset val="1"/>
      <color theme="1"/>
      <sz val="10"/>
    </font>
    <font>
      <name val="Arial"/>
      <charset val="1"/>
      <family val="2"/>
      <i val="1"/>
      <color theme="1"/>
      <sz val="10"/>
    </font>
    <font>
      <name val="Arial"/>
      <charset val="1"/>
      <family val="2"/>
      <color theme="1"/>
      <sz val="10"/>
    </font>
    <font>
      <name val="Arial"/>
      <charset val="1"/>
      <color rgb="FF1B1C1D"/>
      <sz val="10"/>
    </font>
    <font>
      <name val="Arial"/>
      <charset val="1"/>
      <color rgb="FFFF0000"/>
      <sz val="10"/>
    </font>
    <font>
      <name val="Arial"/>
      <charset val="1"/>
      <b val="1"/>
      <color rgb="FF000000"/>
      <sz val="10"/>
    </font>
    <font>
      <name val="&quot;Google Sans Text&quot;"/>
      <charset val="1"/>
      <b val="1"/>
      <color theme="1"/>
      <sz val="10"/>
    </font>
    <font>
      <name val="Arial"/>
      <charset val="1"/>
      <family val="2"/>
      <b val="1"/>
      <color theme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i val="1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rgb="FF000000"/>
      <sz val="10"/>
    </font>
    <font>
      <name val="Arial"/>
      <family val="2"/>
      <color rgb="FFFF0000"/>
      <sz val="10"/>
    </font>
    <font>
      <name val="Arial"/>
      <family val="2"/>
      <b val="1"/>
      <color rgb="FFFF0000"/>
      <sz val="10"/>
    </font>
    <font>
      <name val="Arial"/>
      <family val="2"/>
      <i val="1"/>
      <color rgb="FFFF0000"/>
      <sz val="10"/>
    </font>
  </fonts>
  <fills count="21">
    <fill>
      <patternFill/>
    </fill>
    <fill>
      <patternFill patternType="gray125"/>
    </fill>
    <fill>
      <patternFill patternType="solid">
        <fgColor theme="5" tint="0.5998718222602009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"/>
        <bgColor rgb="FFB7E1CD"/>
      </patternFill>
    </fill>
    <fill>
      <patternFill patternType="solid">
        <fgColor theme="5" tint="0.3998840296639912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" fillId="3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2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4" fillId="4" borderId="0" applyAlignment="1" pivotButton="0" quotePrefix="0" xfId="0">
      <alignment horizontal="left"/>
    </xf>
    <xf numFmtId="0" fontId="1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left"/>
    </xf>
    <xf numFmtId="1" fontId="1" fillId="5" borderId="0" applyAlignment="1" pivotButton="0" quotePrefix="0" xfId="0">
      <alignment horizontal="left"/>
    </xf>
    <xf numFmtId="0" fontId="1" fillId="5" borderId="0" applyAlignment="1" pivotButton="0" quotePrefix="0" xfId="0">
      <alignment horizontal="left"/>
    </xf>
    <xf numFmtId="2" fontId="1" fillId="5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2" fontId="0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left"/>
    </xf>
    <xf numFmtId="2" fontId="1" fillId="6" borderId="0" applyAlignment="1" pivotButton="0" quotePrefix="0" xfId="0">
      <alignment horizontal="left"/>
    </xf>
    <xf numFmtId="2" fontId="2" fillId="0" borderId="0" applyAlignment="1" pivotButton="0" quotePrefix="0" xfId="0">
      <alignment horizontal="left"/>
    </xf>
    <xf numFmtId="2" fontId="2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1" fillId="0" borderId="0" pivotButton="0" quotePrefix="0" xfId="0"/>
    <xf numFmtId="2" fontId="1" fillId="0" borderId="0" pivotButton="0" quotePrefix="0" xfId="0"/>
    <xf numFmtId="1" fontId="1" fillId="0" borderId="0" applyAlignment="1" pivotButton="0" quotePrefix="0" xfId="0">
      <alignment horizontal="center"/>
    </xf>
    <xf numFmtId="1" fontId="1" fillId="8" borderId="0" applyAlignment="1" pivotButton="0" quotePrefix="0" xfId="0">
      <alignment horizontal="center"/>
    </xf>
    <xf numFmtId="1" fontId="1" fillId="5" borderId="0" applyAlignment="1" pivotButton="0" quotePrefix="0" xfId="0">
      <alignment horizontal="center"/>
    </xf>
    <xf numFmtId="0" fontId="1" fillId="5" borderId="0" pivotButton="0" quotePrefix="0" xfId="0"/>
    <xf numFmtId="1" fontId="1" fillId="9" borderId="0" applyAlignment="1" pivotButton="0" quotePrefix="0" xfId="0">
      <alignment horizontal="center"/>
    </xf>
    <xf numFmtId="0" fontId="0" fillId="7" borderId="0" pivotButton="0" quotePrefix="0" xfId="0"/>
    <xf numFmtId="1" fontId="1" fillId="10" borderId="0" applyAlignment="1" pivotButton="0" quotePrefix="0" xfId="0">
      <alignment horizontal="center"/>
    </xf>
    <xf numFmtId="1" fontId="1" fillId="11" borderId="0" applyAlignment="1" pivotButton="0" quotePrefix="0" xfId="0">
      <alignment horizontal="center"/>
    </xf>
    <xf numFmtId="1" fontId="1" fillId="0" borderId="0" pivotButton="0" quotePrefix="0" xfId="0"/>
    <xf numFmtId="0" fontId="6" fillId="0" borderId="0" pivotButton="0" quotePrefix="0" xfId="0"/>
    <xf numFmtId="1" fontId="6" fillId="0" borderId="0" pivotButton="0" quotePrefix="0" xfId="0"/>
    <xf numFmtId="1" fontId="1" fillId="12" borderId="0" applyAlignment="1" pivotButton="0" quotePrefix="0" xfId="0">
      <alignment horizontal="center"/>
    </xf>
    <xf numFmtId="2" fontId="6" fillId="0" borderId="0" pivotButton="0" quotePrefix="0" xfId="0"/>
    <xf numFmtId="0" fontId="7" fillId="0" borderId="0" pivotButton="0" quotePrefix="0" xfId="0"/>
    <xf numFmtId="2" fontId="7" fillId="0" borderId="0" pivotButton="0" quotePrefix="0" xfId="0"/>
    <xf numFmtId="1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10" fillId="5" borderId="0" pivotButton="0" quotePrefix="0" xfId="0"/>
    <xf numFmtId="0" fontId="12" fillId="0" borderId="0" pivotButton="0" quotePrefix="0" xfId="0"/>
    <xf numFmtId="2" fontId="12" fillId="0" borderId="0" applyAlignment="1" pivotButton="0" quotePrefix="0" xfId="0">
      <alignment horizontal="left"/>
    </xf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164" fontId="0" fillId="0" borderId="2" pivotButton="0" quotePrefix="0" xfId="0"/>
    <xf numFmtId="164" fontId="0" fillId="0" borderId="8" pivotButton="0" quotePrefix="0" xfId="0"/>
    <xf numFmtId="164" fontId="0" fillId="0" borderId="5" pivotButton="0" quotePrefix="0" xfId="0"/>
    <xf numFmtId="0" fontId="13" fillId="0" borderId="1" pivotButton="0" quotePrefix="0" xfId="0"/>
    <xf numFmtId="0" fontId="0" fillId="0" borderId="4" pivotButton="0" quotePrefix="0" xfId="0"/>
    <xf numFmtId="164" fontId="0" fillId="0" borderId="0" pivotButton="0" quotePrefix="0" xfId="0"/>
    <xf numFmtId="1" fontId="11" fillId="0" borderId="0" applyAlignment="1" pivotButton="0" quotePrefix="0" xfId="0">
      <alignment horizontal="left"/>
    </xf>
    <xf numFmtId="0" fontId="14" fillId="0" borderId="0" pivotButton="0" quotePrefix="0" xfId="0"/>
    <xf numFmtId="0" fontId="13" fillId="0" borderId="3" pivotButton="0" quotePrefix="0" xfId="0"/>
    <xf numFmtId="0" fontId="13" fillId="0" borderId="4" pivotButton="0" quotePrefix="0" xfId="0"/>
    <xf numFmtId="164" fontId="0" fillId="0" borderId="4" pivotButton="0" quotePrefix="0" xfId="0"/>
    <xf numFmtId="0" fontId="13" fillId="0" borderId="6" pivotButton="0" quotePrefix="0" xfId="0"/>
    <xf numFmtId="0" fontId="13" fillId="0" borderId="7" pivotButton="0" quotePrefix="0" xfId="0"/>
    <xf numFmtId="0" fontId="0" fillId="0" borderId="7" pivotButton="0" quotePrefix="0" xfId="0"/>
    <xf numFmtId="164" fontId="0" fillId="0" borderId="7" pivotButton="0" quotePrefix="0" xfId="0"/>
    <xf numFmtId="0" fontId="13" fillId="14" borderId="3" pivotButton="0" quotePrefix="0" xfId="0"/>
    <xf numFmtId="0" fontId="13" fillId="14" borderId="4" pivotButton="0" quotePrefix="0" xfId="0"/>
    <xf numFmtId="0" fontId="0" fillId="14" borderId="4" pivotButton="0" quotePrefix="0" xfId="0"/>
    <xf numFmtId="164" fontId="0" fillId="14" borderId="4" pivotButton="0" quotePrefix="0" xfId="0"/>
    <xf numFmtId="164" fontId="0" fillId="14" borderId="5" pivotButton="0" quotePrefix="0" xfId="0"/>
    <xf numFmtId="0" fontId="0" fillId="14" borderId="0" pivotButton="0" quotePrefix="0" xfId="0"/>
    <xf numFmtId="0" fontId="13" fillId="14" borderId="1" pivotButton="0" quotePrefix="0" xfId="0"/>
    <xf numFmtId="0" fontId="13" fillId="14" borderId="0" pivotButton="0" quotePrefix="0" xfId="0"/>
    <xf numFmtId="164" fontId="0" fillId="14" borderId="0" pivotButton="0" quotePrefix="0" xfId="0"/>
    <xf numFmtId="164" fontId="0" fillId="14" borderId="2" pivotButton="0" quotePrefix="0" xfId="0"/>
    <xf numFmtId="0" fontId="0" fillId="15" borderId="0" pivotButton="0" quotePrefix="0" xfId="0"/>
    <xf numFmtId="0" fontId="13" fillId="15" borderId="1" pivotButton="0" quotePrefix="0" xfId="0"/>
    <xf numFmtId="0" fontId="13" fillId="15" borderId="0" pivotButton="0" quotePrefix="0" xfId="0"/>
    <xf numFmtId="0" fontId="0" fillId="15" borderId="4" pivotButton="0" quotePrefix="0" xfId="0"/>
    <xf numFmtId="164" fontId="0" fillId="15" borderId="0" pivotButton="0" quotePrefix="0" xfId="0"/>
    <xf numFmtId="164" fontId="0" fillId="15" borderId="2" pivotButton="0" quotePrefix="0" xfId="0"/>
    <xf numFmtId="0" fontId="13" fillId="15" borderId="6" pivotButton="0" quotePrefix="0" xfId="0"/>
    <xf numFmtId="0" fontId="13" fillId="15" borderId="7" pivotButton="0" quotePrefix="0" xfId="0"/>
    <xf numFmtId="0" fontId="0" fillId="15" borderId="7" pivotButton="0" quotePrefix="0" xfId="0"/>
    <xf numFmtId="164" fontId="0" fillId="15" borderId="7" pivotButton="0" quotePrefix="0" xfId="0"/>
    <xf numFmtId="164" fontId="0" fillId="15" borderId="8" pivotButton="0" quotePrefix="0" xfId="0"/>
    <xf numFmtId="0" fontId="13" fillId="16" borderId="1" pivotButton="0" quotePrefix="0" xfId="0"/>
    <xf numFmtId="0" fontId="0" fillId="16" borderId="0" pivotButton="0" quotePrefix="0" xfId="0"/>
    <xf numFmtId="0" fontId="0" fillId="16" borderId="4" pivotButton="0" quotePrefix="0" xfId="0"/>
    <xf numFmtId="164" fontId="0" fillId="16" borderId="0" pivotButton="0" quotePrefix="0" xfId="0"/>
    <xf numFmtId="164" fontId="0" fillId="16" borderId="2" pivotButton="0" quotePrefix="0" xfId="0"/>
    <xf numFmtId="0" fontId="0" fillId="17" borderId="0" pivotButton="0" quotePrefix="0" xfId="0"/>
    <xf numFmtId="2" fontId="11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1" fontId="12" fillId="0" borderId="0" pivotButton="0" quotePrefix="0" xfId="0"/>
    <xf numFmtId="164" fontId="12" fillId="0" borderId="0" pivotButton="0" quotePrefix="0" xfId="0"/>
    <xf numFmtId="164" fontId="12" fillId="0" borderId="1" pivotButton="0" quotePrefix="0" xfId="0"/>
    <xf numFmtId="164" fontId="12" fillId="0" borderId="2" pivotButton="0" quotePrefix="0" xfId="0"/>
    <xf numFmtId="2" fontId="12" fillId="0" borderId="0" pivotButton="0" quotePrefix="0" xfId="0"/>
    <xf numFmtId="0" fontId="12" fillId="0" borderId="1" pivotButton="0" quotePrefix="0" xfId="0"/>
    <xf numFmtId="1" fontId="16" fillId="0" borderId="0" pivotButton="0" quotePrefix="0" xfId="0"/>
    <xf numFmtId="0" fontId="17" fillId="0" borderId="0" pivotButton="0" quotePrefix="0" xfId="0"/>
    <xf numFmtId="0" fontId="13" fillId="18" borderId="0" pivotButton="0" quotePrefix="0" xfId="0"/>
    <xf numFmtId="2" fontId="11" fillId="0" borderId="0" applyAlignment="1" pivotButton="0" quotePrefix="0" xfId="0">
      <alignment wrapText="1"/>
    </xf>
    <xf numFmtId="2" fontId="11" fillId="2" borderId="0" applyAlignment="1" pivotButton="0" quotePrefix="0" xfId="0">
      <alignment wrapText="1"/>
    </xf>
    <xf numFmtId="2" fontId="15" fillId="0" borderId="0" applyAlignment="1" pivotButton="0" quotePrefix="0" xfId="0">
      <alignment wrapText="1"/>
    </xf>
    <xf numFmtId="2" fontId="15" fillId="0" borderId="1" applyAlignment="1" pivotButton="0" quotePrefix="0" xfId="0">
      <alignment wrapText="1"/>
    </xf>
    <xf numFmtId="2" fontId="15" fillId="2" borderId="2" applyAlignment="1" pivotButton="0" quotePrefix="0" xfId="0">
      <alignment wrapText="1"/>
    </xf>
    <xf numFmtId="2" fontId="15" fillId="2" borderId="0" applyAlignment="1" pivotButton="0" quotePrefix="0" xfId="0">
      <alignment wrapText="1"/>
    </xf>
    <xf numFmtId="0" fontId="11" fillId="0" borderId="0" applyAlignment="1" pivotButton="0" quotePrefix="0" xfId="0">
      <alignment wrapText="1"/>
    </xf>
    <xf numFmtId="0" fontId="11" fillId="2" borderId="0" applyAlignment="1" pivotButton="0" quotePrefix="0" xfId="0">
      <alignment wrapText="1"/>
    </xf>
    <xf numFmtId="2" fontId="11" fillId="10" borderId="0" pivotButton="0" quotePrefix="0" xfId="0"/>
    <xf numFmtId="2" fontId="15" fillId="10" borderId="0" pivotButton="0" quotePrefix="0" xfId="0"/>
    <xf numFmtId="2" fontId="11" fillId="13" borderId="0" pivotButton="0" quotePrefix="0" xfId="0"/>
    <xf numFmtId="2" fontId="15" fillId="13" borderId="0" pivotButton="0" quotePrefix="0" xfId="0"/>
    <xf numFmtId="0" fontId="11" fillId="0" borderId="0" applyAlignment="1" pivotButton="0" quotePrefix="0" xfId="0">
      <alignment horizontal="left" wrapText="1"/>
    </xf>
    <xf numFmtId="0" fontId="11" fillId="2" borderId="0" applyAlignment="1" pivotButton="0" quotePrefix="0" xfId="0">
      <alignment horizontal="left" wrapText="1"/>
    </xf>
    <xf numFmtId="2" fontId="14" fillId="2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 wrapText="1"/>
    </xf>
    <xf numFmtId="2" fontId="15" fillId="2" borderId="0" applyAlignment="1" pivotButton="0" quotePrefix="0" xfId="0">
      <alignment horizontal="left" wrapText="1"/>
    </xf>
    <xf numFmtId="1" fontId="11" fillId="14" borderId="0" applyAlignment="1" pivotButton="0" quotePrefix="0" xfId="0">
      <alignment horizontal="left" wrapText="1"/>
    </xf>
    <xf numFmtId="1" fontId="11" fillId="14" borderId="0" applyAlignment="1" pivotButton="0" quotePrefix="0" xfId="0">
      <alignment wrapText="1"/>
    </xf>
    <xf numFmtId="0" fontId="0" fillId="19" borderId="0" pivotButton="0" quotePrefix="0" xfId="0"/>
    <xf numFmtId="0" fontId="0" fillId="20" borderId="0" pivotButton="0" quotePrefix="0" xfId="0"/>
    <xf numFmtId="0" fontId="18" fillId="0" borderId="0" pivotButton="0" quotePrefix="0" xfId="0"/>
    <xf numFmtId="1" fontId="20" fillId="0" borderId="0" pivotButton="0" quotePrefix="0" xfId="0"/>
    <xf numFmtId="1" fontId="19" fillId="0" borderId="0" pivotButton="0" quotePrefix="0" xfId="0"/>
    <xf numFmtId="1" fontId="18" fillId="0" borderId="0" pivotButton="0" quotePrefix="0" xfId="0"/>
    <xf numFmtId="164" fontId="18" fillId="0" borderId="0" pivotButton="0" quotePrefix="0" xfId="0"/>
  </cellXfs>
  <cellStyles count="1">
    <cellStyle name="Normal" xfId="0" builtinId="0"/>
  </cellStyles>
  <dxfs count="50"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theme="7" tint="0.399884029663991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8840296639912"/>
        </patternFill>
      </fill>
    </dxf>
    <dxf>
      <fill>
        <patternFill>
          <bgColor rgb="FFFFFF00"/>
        </patternFill>
      </fill>
    </dxf>
    <dxf>
      <fill>
        <patternFill>
          <bgColor theme="9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rgb="FFFFFF00"/>
        </patternFill>
      </fill>
    </dxf>
    <dxf>
      <fill>
        <patternFill>
          <bgColor theme="4" tint="0.3998840296639912"/>
        </patternFill>
      </fill>
    </dxf>
    <dxf>
      <fill>
        <patternFill>
          <bgColor theme="8" tint="0.3998840296639912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9" tint="0.3998840296639912"/>
        </patternFill>
      </fill>
    </dxf>
    <dxf>
      <fill>
        <patternFill>
          <bgColor theme="8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3998840296639912"/>
        </patternFill>
      </fill>
    </dxf>
    <dxf>
      <fill>
        <patternFill>
          <bgColor theme="7" tint="0.5998718222602009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388"/>
  <sheetViews>
    <sheetView zoomScale="80" zoomScaleNormal="80" workbookViewId="0">
      <pane ySplit="1" topLeftCell="A179" activePane="bottomLeft" state="frozen"/>
      <selection activeCell="J1" sqref="J1"/>
      <selection pane="bottomLeft" activeCell="D217" sqref="D180:D217"/>
    </sheetView>
  </sheetViews>
  <sheetFormatPr baseColWidth="8" defaultColWidth="8.6640625" defaultRowHeight="12.75" customHeight="1" outlineLevelCol="0"/>
  <cols>
    <col width="4.33203125" customWidth="1" min="1" max="1"/>
    <col width="13.5546875" customWidth="1" min="2" max="2"/>
    <col width="5.6640625" customWidth="1" min="3" max="3"/>
    <col width="5.3320312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1" min="19" max="19"/>
    <col width="5.33203125" customWidth="1" min="20" max="20"/>
    <col width="4.6640625" customWidth="1" min="21" max="21"/>
    <col width="4.33203125" customWidth="1" min="22" max="22"/>
    <col width="7.33203125" customWidth="1" min="23" max="34"/>
    <col width="5.5546875" customWidth="1" min="35" max="35"/>
    <col width="5.88671875" customWidth="1" min="36" max="36"/>
    <col width="7.33203125" customWidth="1" min="37" max="38"/>
    <col width="20.5546875" customWidth="1" min="39" max="39"/>
    <col width="7.33203125" customWidth="1" min="40" max="42"/>
    <col width="7.33203125" customWidth="1" style="2" min="43" max="43"/>
    <col width="7.33203125" customWidth="1" style="1" min="44" max="44"/>
    <col width="7.33203125" customWidth="1" style="2" min="45" max="52"/>
    <col width="7.33203125" customWidth="1" min="53" max="59"/>
  </cols>
  <sheetData>
    <row r="1" ht="92.25" customHeight="1">
      <c r="A1" s="62" t="inlineStr">
        <is>
          <t>URL</t>
        </is>
      </c>
      <c r="B1" s="121" t="inlineStr">
        <is>
          <t>Company Name</t>
        </is>
      </c>
      <c r="C1" s="121" t="inlineStr">
        <is>
          <t>Year</t>
        </is>
      </c>
      <c r="D1" s="121" t="inlineStr">
        <is>
          <t>Pos/ Neg</t>
        </is>
      </c>
      <c r="E1" s="121" t="inlineStr">
        <is>
          <t>Total Borrowings</t>
        </is>
      </c>
      <c r="F1" s="121" t="inlineStr">
        <is>
          <t>Net Worth</t>
        </is>
      </c>
      <c r="G1" s="122" t="inlineStr">
        <is>
          <t>100*(Networth-Tot. :Borr.)/ Net Worth : &lt;16</t>
        </is>
      </c>
      <c r="H1" s="121" t="inlineStr">
        <is>
          <t>Total Assets</t>
        </is>
      </c>
      <c r="I1" s="121" t="inlineStr">
        <is>
          <t>Profit After Tax</t>
        </is>
      </c>
      <c r="J1" s="121" t="inlineStr">
        <is>
          <t>PAT % (10)</t>
        </is>
      </c>
      <c r="K1" s="121" t="inlineStr">
        <is>
          <t>Earnings Per Share</t>
        </is>
      </c>
      <c r="L1" s="121" t="inlineStr">
        <is>
          <t>ROE %</t>
        </is>
      </c>
      <c r="M1" s="121" t="inlineStr">
        <is>
          <t>EBDITA</t>
        </is>
      </c>
      <c r="N1" s="121" t="inlineStr">
        <is>
          <t>Ebdita Margin %</t>
        </is>
      </c>
      <c r="O1" s="121" t="inlineStr">
        <is>
          <t>Total Income</t>
        </is>
      </c>
      <c r="P1" s="122" t="inlineStr">
        <is>
          <t>Total Income/Profit After Ta : &gt;14.56</t>
        </is>
      </c>
      <c r="Q1" s="121" t="inlineStr">
        <is>
          <t>P/E Before IPO</t>
        </is>
      </c>
      <c r="R1" s="121" t="inlineStr">
        <is>
          <t>P/E After IPO</t>
        </is>
      </c>
      <c r="S1" s="121" t="inlineStr">
        <is>
          <t>PE Effect</t>
        </is>
      </c>
      <c r="T1" s="121" t="inlineStr">
        <is>
          <t>Total Issue Size (20)</t>
        </is>
      </c>
      <c r="U1" s="121" t="inlineStr">
        <is>
          <t>OFS</t>
        </is>
      </c>
      <c r="V1" s="121" t="inlineStr">
        <is>
          <t>Anchor</t>
        </is>
      </c>
      <c r="W1" s="121" t="inlineStr">
        <is>
          <t>Dilip Devda Pricey/Dicey</t>
        </is>
      </c>
      <c r="X1" s="121" t="inlineStr">
        <is>
          <t>Subscrition QIB &lt;1.35</t>
        </is>
      </c>
      <c r="Y1" s="121" t="inlineStr">
        <is>
          <t>NII &lt;1.35</t>
        </is>
      </c>
      <c r="Z1" s="121" t="inlineStr">
        <is>
          <t>RII</t>
        </is>
      </c>
      <c r="AA1" s="123" t="inlineStr">
        <is>
          <t>If QIB&gt;NII=1,0</t>
        </is>
      </c>
      <c r="AB1" s="121" t="inlineStr">
        <is>
          <t>GMP</t>
        </is>
      </c>
      <c r="AC1" s="122" t="inlineStr">
        <is>
          <t>Effect GMP</t>
        </is>
      </c>
      <c r="AD1" s="121" t="inlineStr">
        <is>
          <t>YOY Profit (30)</t>
        </is>
      </c>
      <c r="AE1" s="121" t="inlineStr">
        <is>
          <t>YOY Total Income &lt;10.56</t>
        </is>
      </c>
      <c r="AF1" s="121" t="inlineStr">
        <is>
          <t>YOY Net Worth</t>
        </is>
      </c>
      <c r="AG1" s="122" t="inlineStr">
        <is>
          <t>Pre Subscription &gt;5.6</t>
        </is>
      </c>
      <c r="AH1" s="122" t="inlineStr">
        <is>
          <t>Last Day of Close&gt;8</t>
        </is>
      </c>
      <c r="AI1" s="124" t="inlineStr">
        <is>
          <t>Vix</t>
        </is>
      </c>
      <c r="AJ1" s="125" t="inlineStr">
        <is>
          <t>Effect of Vix</t>
        </is>
      </c>
      <c r="AK1" s="122" t="inlineStr">
        <is>
          <t>Total &gt;13.1</t>
        </is>
      </c>
      <c r="AL1" s="121" t="inlineStr">
        <is>
          <t>Pos/ Neg</t>
        </is>
      </c>
      <c r="AM1" s="122" t="inlineStr">
        <is>
          <t>Company Name 2</t>
        </is>
      </c>
      <c r="AN1" s="121" t="inlineStr">
        <is>
          <t>ClosingDate (40)</t>
        </is>
      </c>
      <c r="AO1" s="121" t="inlineStr">
        <is>
          <t>Appy_or_not</t>
        </is>
      </c>
      <c r="AP1" s="122" t="inlineStr">
        <is>
          <t>Apply_priority</t>
        </is>
      </c>
      <c r="AQ1" s="121" t="inlineStr">
        <is>
          <t>Category Effect</t>
        </is>
      </c>
      <c r="AR1" s="126" t="inlineStr">
        <is>
          <t>strategy_result</t>
        </is>
      </c>
      <c r="AS1" s="121" t="inlineStr">
        <is>
          <t>Issue price</t>
        </is>
      </c>
      <c r="AT1" s="121" t="inlineStr">
        <is>
          <t>Fin_low</t>
        </is>
      </c>
      <c r="AU1" s="121" t="inlineStr">
        <is>
          <t>Fin_high</t>
        </is>
      </c>
      <c r="AV1" s="121" t="inlineStr">
        <is>
          <t>Avg</t>
        </is>
      </c>
      <c r="AW1" s="121" t="inlineStr">
        <is>
          <t>Listing_price</t>
        </is>
      </c>
      <c r="AX1" s="121" t="n"/>
      <c r="AY1" s="121" t="inlineStr">
        <is>
          <t>difference</t>
        </is>
      </c>
      <c r="AZ1" s="121" t="inlineStr">
        <is>
          <t>fin_effect</t>
        </is>
      </c>
      <c r="BA1" s="121" t="inlineStr">
        <is>
          <t>Expected Price on Listing day GMP</t>
        </is>
      </c>
      <c r="BB1" s="121" t="inlineStr">
        <is>
          <t>1st day Max price on Listing price</t>
        </is>
      </c>
      <c r="BC1" s="121" t="inlineStr">
        <is>
          <t>2nd day max price</t>
        </is>
      </c>
      <c r="BD1" s="121" t="inlineStr">
        <is>
          <t>3rd max price</t>
        </is>
      </c>
      <c r="BE1" s="121" t="inlineStr">
        <is>
          <t>All Time High</t>
        </is>
      </c>
      <c r="BF1" s="121" t="inlineStr">
        <is>
          <t>LTP</t>
        </is>
      </c>
      <c r="BG1" s="121" t="inlineStr">
        <is>
          <t xml:space="preserve">LTP GAIN </t>
        </is>
      </c>
      <c r="BH1" s="121" t="inlineStr">
        <is>
          <t>LTP Gain on Listing Pric</t>
        </is>
      </c>
      <c r="BI1" s="62" t="n"/>
    </row>
    <row r="2" ht="12.75" customHeight="1">
      <c r="B2" s="3" t="inlineStr">
        <is>
          <t>DSM Fresh Foods</t>
        </is>
      </c>
      <c r="C2" s="4" t="n">
        <v>2025</v>
      </c>
      <c r="D2" s="4" t="n">
        <v>1</v>
      </c>
      <c r="E2" s="5" t="n">
        <v>31.7</v>
      </c>
      <c r="F2" s="5" t="n">
        <v>49.09</v>
      </c>
      <c r="G2" s="5">
        <f>100*(F2-E2)/F2</f>
        <v/>
      </c>
      <c r="H2" s="5" t="n">
        <v>84.04000000000001</v>
      </c>
      <c r="I2" s="5" t="n">
        <v>9.050000000000001</v>
      </c>
      <c r="J2" s="5" t="n">
        <v>5.1</v>
      </c>
      <c r="K2" s="5" t="n">
        <v>5.53</v>
      </c>
      <c r="L2" s="5" t="n">
        <v>20.7</v>
      </c>
      <c r="M2" s="5" t="n">
        <v>17.05</v>
      </c>
      <c r="N2" s="5" t="n">
        <v>13.04</v>
      </c>
      <c r="O2" s="5" t="n">
        <v>131.47</v>
      </c>
      <c r="P2" s="5">
        <f>O2/I2</f>
        <v/>
      </c>
      <c r="Q2" s="5" t="n">
        <v>18.08</v>
      </c>
      <c r="R2" s="5" t="n">
        <v>24.8</v>
      </c>
      <c r="S2" s="6" t="n">
        <v>5</v>
      </c>
      <c r="T2" s="7" t="n"/>
      <c r="U2" s="7" t="n"/>
      <c r="V2" s="7" t="n">
        <v>1</v>
      </c>
      <c r="W2" s="5" t="n"/>
      <c r="X2" s="5" t="n">
        <v>1.53</v>
      </c>
      <c r="Y2" s="5" t="n">
        <v>2.06</v>
      </c>
      <c r="Z2" s="5" t="n">
        <v>0.96</v>
      </c>
      <c r="AA2" s="5">
        <f>IF(X2&lt;50,IF(Y2&gt;(2.3*X2),0,1),1)-IF(Z2&gt;Y2,1.7,0)</f>
        <v/>
      </c>
      <c r="AB2" s="5" t="n">
        <v>0</v>
      </c>
      <c r="AC2" s="5">
        <f>IF(AB2&gt;4,1,0)+IF(AB2&gt;10,0.7,0)</f>
        <v/>
      </c>
      <c r="AD2" s="5" t="n">
        <v>93.79000000000001</v>
      </c>
      <c r="AE2" s="5" t="n">
        <v>44.98</v>
      </c>
      <c r="AF2" s="5" t="n">
        <v>29.05</v>
      </c>
      <c r="AG2" s="6">
        <f>IF(G2&lt;52,0,0.7)+IF(G2&lt;34,0,0.7)+IF(G2&lt;1,0,0.7)+IF(P2&gt;14.56,0,1)+IF(R2&lt;9,0.5,0)+IF(R2&lt;33.8,0.5,0)+IF(R2&lt;50,0.5,0)+IF(R2&lt;80,0.5,0)+IF(S2=5,0,S2)+IF(V2&gt;0,1,-1)+IF(AE2&lt;10.56,0,1)-IF(AE2&lt;3,1,0)-IF(AE2&lt;1,1,0)</f>
        <v/>
      </c>
      <c r="AH2" s="5">
        <f>AG2+IF(X2&lt;1.35,0,1)+IF(Y2&lt;1.35,0,1)+IF(Y2&lt;0.7,-1,0)+AC2+AA2</f>
        <v/>
      </c>
      <c r="AI2" s="5" t="n">
        <v>11</v>
      </c>
      <c r="AJ2" s="5">
        <f>IF(AI2&gt;12.7,IF(AI2&gt;15.8,0.93,0.98),1)</f>
        <v/>
      </c>
      <c r="AK2" s="5">
        <f>(1.5*AG2+AH2)*AJ2*AQ2</f>
        <v/>
      </c>
      <c r="AL2" s="4">
        <f>D2</f>
        <v/>
      </c>
      <c r="AM2" s="8">
        <f>B2</f>
        <v/>
      </c>
      <c r="AN2" s="7" t="n"/>
      <c r="AO2" s="61">
        <f>IF(Z2&lt;2.81,0,IF(AK2&gt;13.7,IF(Z2&lt;140,1,0),0))</f>
        <v/>
      </c>
      <c r="AP2" s="7">
        <f>IF(AK2&gt;13.93,IF(Z2&lt;300,IF(Z2&lt;35,IF(Z2&lt;6,3,2),1),0),0)</f>
        <v/>
      </c>
      <c r="AQ2" s="5" t="n">
        <v>1</v>
      </c>
      <c r="AR2" s="7">
        <f>IF(AO2=1,IF(AO2=AL2,1,0),5)</f>
        <v/>
      </c>
      <c r="AS2" s="4" t="n">
        <v>100</v>
      </c>
      <c r="AT2" s="5" t="n">
        <v>105</v>
      </c>
      <c r="AU2" s="5">
        <f>AS2</f>
        <v/>
      </c>
      <c r="AV2" s="5">
        <f>(AT2+AU2)/2</f>
        <v/>
      </c>
      <c r="AW2" s="4" t="n">
        <v>120</v>
      </c>
      <c r="AX2" s="4">
        <f>IF(AW2&gt;AV2,1,0)</f>
        <v/>
      </c>
      <c r="AY2" s="4">
        <f>(100*(AU2-AS2)/AS2)</f>
        <v/>
      </c>
      <c r="AZ2" s="4">
        <f>IF(AY2&lt;-50,-4,IF(AY2&lt;-20,-2,IF(AY2&lt;0,-1.5,IF(AY2=0,0,IF(AY2&lt;10,1.5,IF(AY2&lt;20,2,IF(AY2&gt;19,2.5,2.5)))))))</f>
        <v/>
      </c>
      <c r="BA2" s="7" t="n"/>
      <c r="BB2" s="5" t="n">
        <v>125</v>
      </c>
      <c r="BC2" s="5" t="n">
        <v>132</v>
      </c>
      <c r="BD2" s="5" t="n">
        <v>138</v>
      </c>
      <c r="BE2" s="5" t="n">
        <v>208</v>
      </c>
      <c r="BF2" s="5" t="n">
        <v>186</v>
      </c>
      <c r="BG2" s="5" t="n">
        <v>86</v>
      </c>
      <c r="BH2" s="5" t="n">
        <v>55</v>
      </c>
    </row>
    <row r="3" ht="12.75" customHeight="1">
      <c r="B3" s="9" t="inlineStr">
        <is>
          <t>B.A.G. Convergence</t>
        </is>
      </c>
      <c r="C3" s="4" t="n">
        <v>2025</v>
      </c>
      <c r="D3" s="4" t="n">
        <v>1</v>
      </c>
      <c r="E3" s="5" t="n">
        <v>0</v>
      </c>
      <c r="F3" s="5" t="n">
        <v>22.2</v>
      </c>
      <c r="G3" s="5">
        <f>100*(F3-E3)/F3</f>
        <v/>
      </c>
      <c r="H3" s="5" t="n">
        <v>43.84</v>
      </c>
      <c r="I3" s="5" t="n">
        <v>9.1</v>
      </c>
      <c r="J3" s="5" t="n"/>
      <c r="K3" s="5" t="n">
        <v>5.42</v>
      </c>
      <c r="L3" s="5" t="n"/>
      <c r="M3" s="5" t="n">
        <v>14</v>
      </c>
      <c r="N3" s="5" t="n"/>
      <c r="O3" s="5" t="n">
        <v>35.63</v>
      </c>
      <c r="P3" s="5">
        <f>O3/I3</f>
        <v/>
      </c>
      <c r="Q3" s="5" t="n">
        <v>16.05</v>
      </c>
      <c r="R3" s="5" t="n">
        <v>16.05</v>
      </c>
      <c r="S3" s="6" t="n">
        <v>0</v>
      </c>
      <c r="T3" s="7" t="n"/>
      <c r="U3" s="7" t="n"/>
      <c r="V3" s="7" t="n">
        <v>1</v>
      </c>
      <c r="W3" s="5" t="n"/>
      <c r="X3" s="5" t="n">
        <v>1.38</v>
      </c>
      <c r="Y3" s="5" t="n">
        <v>2.63</v>
      </c>
      <c r="Z3" s="5" t="n">
        <v>0.83</v>
      </c>
      <c r="AA3" s="5">
        <f>IF(X3&lt;50,IF(Y3&gt;(2.3*X3),0,1),1)-IF(Z3&gt;Y3,1.7,0)</f>
        <v/>
      </c>
      <c r="AB3" s="5" t="n">
        <v>0</v>
      </c>
      <c r="AC3" s="5">
        <f>IF(AB3&gt;4,1,0)+IF(AB3&gt;10,0.7,0)</f>
        <v/>
      </c>
      <c r="AD3" s="5" t="n">
        <v>13.32</v>
      </c>
      <c r="AE3" s="5" t="n">
        <v>17.51</v>
      </c>
      <c r="AF3" s="5" t="n">
        <v>212.24</v>
      </c>
      <c r="AG3" s="6">
        <f>IF(G3&lt;52,0,0.7)+IF(G3&lt;34,0,0.7)+IF(G3&lt;1,0,0.7)+IF(P3&gt;14.56,0,1)+IF(R3&lt;9,0.5,0)+IF(R3&lt;33.8,0.5,0)+IF(R3&lt;50,0.5,0)+IF(R3&lt;80,0.5,0)+IF(S3=5,0,S3)+IF(V3&gt;0,1,-1)+IF(AE3&lt;10.56,0,1)-IF(AE3&lt;3,1,0)-IF(AE3&lt;1,1,0)</f>
        <v/>
      </c>
      <c r="AH3" s="5">
        <f>AG3+IF(X3&lt;1.35,0,1)+IF(Y3&lt;1.35,0,1)+IF(Y3&lt;0.7,-1,0)+AC3+AA3</f>
        <v/>
      </c>
      <c r="AI3" s="5" t="n">
        <v>11</v>
      </c>
      <c r="AJ3" s="5">
        <f>IF(AI3&gt;12.7,IF(AI3&gt;15.8,0.93,0.98),1)</f>
        <v/>
      </c>
      <c r="AK3" s="5">
        <f>(1.5*AG3+AH3)*AJ3*AQ3</f>
        <v/>
      </c>
      <c r="AL3" s="4">
        <f>D3</f>
        <v/>
      </c>
      <c r="AM3" s="8">
        <f>B3</f>
        <v/>
      </c>
      <c r="AN3" s="7" t="n"/>
      <c r="AO3" s="61">
        <f>IF(Z3&lt;2.81,0,IF(AK3&gt;13.7,IF(Z3&lt;140,1,0),0))</f>
        <v/>
      </c>
      <c r="AP3" s="7">
        <f>IF(AK3&gt;13.93,IF(Z3&lt;300,IF(Z3&lt;35,IF(Z3&lt;6,3,2),1),0),0)</f>
        <v/>
      </c>
      <c r="AQ3" s="5" t="n">
        <v>1</v>
      </c>
      <c r="AR3" s="7">
        <f>IF(AO3=1,IF(AO3=AL3,1,0),5)</f>
        <v/>
      </c>
      <c r="AS3" s="4" t="n">
        <v>87</v>
      </c>
      <c r="AT3" s="5" t="n"/>
      <c r="AU3" s="5">
        <f>AS3</f>
        <v/>
      </c>
      <c r="AV3" s="5">
        <f>(AT3+AU3)/2</f>
        <v/>
      </c>
      <c r="AW3" s="4" t="n">
        <v>101</v>
      </c>
      <c r="AX3" s="4">
        <f>IF(AW3&gt;AV3,1,0)</f>
        <v/>
      </c>
      <c r="AY3" s="4">
        <f>(100*(AU3-AS3)/AS3)</f>
        <v/>
      </c>
      <c r="AZ3" s="4">
        <f>IF(AY3&lt;-50,-4,IF(AY3&lt;-20,-2,IF(AY3&lt;0,-1.5,IF(AY3=0,0,IF(AY3&lt;10,1.5,IF(AY3&lt;20,2,IF(AY3&gt;19,2.5,2.5)))))))</f>
        <v/>
      </c>
      <c r="BA3" s="7" t="n"/>
      <c r="BB3" s="5" t="n"/>
      <c r="BC3" s="5" t="n"/>
      <c r="BD3" s="5" t="n"/>
      <c r="BE3" s="5" t="n"/>
      <c r="BF3" s="5" t="n">
        <v>127</v>
      </c>
      <c r="BG3" s="5" t="n">
        <v>45.9770114942529</v>
      </c>
      <c r="BH3" s="5" t="n">
        <v>25.7425742574257</v>
      </c>
    </row>
    <row r="4" ht="12.75" customHeight="1">
      <c r="B4" s="9" t="inlineStr">
        <is>
          <t>Zelio E-Mobility</t>
        </is>
      </c>
      <c r="C4" s="4" t="n">
        <v>2025</v>
      </c>
      <c r="D4" s="4" t="n">
        <v>1</v>
      </c>
      <c r="E4" s="5" t="n">
        <v>30.68</v>
      </c>
      <c r="F4" s="5" t="n">
        <v>26.67</v>
      </c>
      <c r="G4" s="5">
        <f>100*(F4-E4)/F4</f>
        <v/>
      </c>
      <c r="H4" s="4" t="n">
        <v>45.02</v>
      </c>
      <c r="I4" s="5" t="n">
        <v>16</v>
      </c>
      <c r="J4" s="5" t="n"/>
      <c r="K4" s="5" t="n">
        <v>4.12</v>
      </c>
      <c r="L4" s="5" t="n"/>
      <c r="M4" s="5" t="n">
        <v>21.02</v>
      </c>
      <c r="N4" s="5" t="n"/>
      <c r="O4" s="5" t="n">
        <v>172.19</v>
      </c>
      <c r="P4" s="5">
        <f>O4/I4</f>
        <v/>
      </c>
      <c r="Q4" s="5" t="n">
        <v>32.77</v>
      </c>
      <c r="R4" s="5" t="n">
        <v>17.97</v>
      </c>
      <c r="S4" s="6" t="n">
        <v>0</v>
      </c>
      <c r="T4" s="7" t="n"/>
      <c r="U4" s="7" t="n"/>
      <c r="V4" s="7" t="n">
        <v>1</v>
      </c>
      <c r="W4" s="5" t="n"/>
      <c r="X4" s="5" t="n">
        <v>1.61</v>
      </c>
      <c r="Y4" s="5" t="n">
        <v>1.56</v>
      </c>
      <c r="Z4" s="5" t="n">
        <v>1.32</v>
      </c>
      <c r="AA4" s="5">
        <f>IF(X4&lt;50,IF(Y4&gt;(2.3*X4),0,1),1)-IF(Z4&gt;Y4,1.7,0)</f>
        <v/>
      </c>
      <c r="AB4" s="5" t="n">
        <v>0</v>
      </c>
      <c r="AC4" s="5">
        <f>IF(AB4&gt;4,1,0)+IF(AB4&gt;10,0.7,0)</f>
        <v/>
      </c>
      <c r="AD4" s="5" t="n">
        <v>154</v>
      </c>
      <c r="AE4" s="5" t="n">
        <v>83</v>
      </c>
      <c r="AF4" s="5" t="n">
        <v>150</v>
      </c>
      <c r="AG4" s="6">
        <f>IF(G4&lt;52,0,0.7)+IF(G4&lt;34,0,0.7)+IF(G4&lt;1,0,0.7)+IF(P4&gt;14.56,0,1)+IF(R4&lt;9,0.5,0)+IF(R4&lt;33.8,0.5,0)+IF(R4&lt;50,0.5,0)+IF(R4&lt;80,0.5,0)+IF(S4=5,0,S4)+IF(V4&gt;0,1,-1)+IF(AE4&lt;10.56,0,1)-IF(AE4&lt;3,1,0)-IF(AE4&lt;1,1,0)</f>
        <v/>
      </c>
      <c r="AH4" s="5">
        <f>AG4+IF(X4&lt;1.35,0,1)+IF(Y4&lt;1.35,0,1)+IF(Y4&lt;0.7,-1,0)+AC4+AA4</f>
        <v/>
      </c>
      <c r="AI4" s="5" t="n">
        <v>11</v>
      </c>
      <c r="AJ4" s="5">
        <f>IF(AI4&gt;12.7,IF(AI4&gt;15.8,0.93,0.98),1)</f>
        <v/>
      </c>
      <c r="AK4" s="5">
        <f>(1.5*AG4+AH4)*AJ4*AQ4</f>
        <v/>
      </c>
      <c r="AL4" s="4">
        <f>D4</f>
        <v/>
      </c>
      <c r="AM4" s="8">
        <f>B4</f>
        <v/>
      </c>
      <c r="AN4" s="7" t="n"/>
      <c r="AO4" s="61">
        <f>IF(Z4&lt;2.81,0,IF(AK4&gt;13.7,IF(Z4&lt;140,1,0),0))</f>
        <v/>
      </c>
      <c r="AP4" s="7">
        <f>IF(AK4&gt;13.93,IF(Z4&lt;300,IF(Z4&lt;35,IF(Z4&lt;6,3,2),1),0),0)</f>
        <v/>
      </c>
      <c r="AQ4" s="5" t="n">
        <v>1</v>
      </c>
      <c r="AR4" s="7">
        <f>IF(AO4=1,IF(AO4=AL4,1,0),5)</f>
        <v/>
      </c>
      <c r="AS4" s="4" t="n">
        <v>136</v>
      </c>
      <c r="AT4" s="51" t="inlineStr">
        <is>
          <t xml:space="preserve">; </t>
        </is>
      </c>
      <c r="AU4" s="5">
        <f>AS4</f>
        <v/>
      </c>
      <c r="AV4" s="5">
        <f>(AT4+AU4)/2</f>
        <v/>
      </c>
      <c r="AW4" s="4" t="n">
        <v>154</v>
      </c>
      <c r="AX4" s="4">
        <f>IF(AW4&gt;AV4,1,0)</f>
        <v/>
      </c>
      <c r="AY4" s="4">
        <f>(100*(AU4-AS4)/AS4)</f>
        <v/>
      </c>
      <c r="AZ4" s="4">
        <f>IF(AY4&lt;-50,-4,IF(AY4&lt;-20,-2,IF(AY4&lt;0,-1.5,IF(AY4=0,0,IF(AY4&lt;10,1.5,IF(AY4&lt;20,2,IF(AY4&gt;19,2.5,2.5)))))))</f>
        <v/>
      </c>
      <c r="BA4" s="7" t="n"/>
      <c r="BB4" s="5" t="n"/>
      <c r="BC4" s="5" t="n"/>
      <c r="BD4" s="5" t="n"/>
      <c r="BE4" s="5" t="n"/>
      <c r="BF4" s="5" t="n">
        <v>343</v>
      </c>
      <c r="BG4" s="5" t="n">
        <v>152.205882352941</v>
      </c>
      <c r="BH4" s="5" t="n">
        <v>122.727272727273</v>
      </c>
    </row>
    <row r="5" ht="12.75" customHeight="1">
      <c r="B5" s="9" t="inlineStr">
        <is>
          <t>Sheel Biotech</t>
        </is>
      </c>
      <c r="C5" s="4" t="n">
        <v>2025</v>
      </c>
      <c r="D5" s="4" t="n">
        <v>1</v>
      </c>
      <c r="E5" s="5" t="n">
        <v>17.36</v>
      </c>
      <c r="F5" s="5" t="n">
        <v>83.84999999999999</v>
      </c>
      <c r="G5" s="5">
        <f>100*(F5-E5)/F5</f>
        <v/>
      </c>
      <c r="H5" s="4" t="n">
        <v>113</v>
      </c>
      <c r="I5" s="5" t="n">
        <v>10.64</v>
      </c>
      <c r="J5" s="5" t="n"/>
      <c r="K5" s="5" t="n">
        <v>7.21</v>
      </c>
      <c r="L5" s="5" t="n"/>
      <c r="M5" s="5" t="n">
        <v>14.97</v>
      </c>
      <c r="N5" s="5" t="n"/>
      <c r="O5" s="5" t="n">
        <v>102.27</v>
      </c>
      <c r="P5" s="5">
        <f>O5/I5</f>
        <v/>
      </c>
      <c r="Q5" s="5" t="n">
        <v>8.74</v>
      </c>
      <c r="R5" s="5" t="n">
        <v>8.74</v>
      </c>
      <c r="S5" s="6" t="n">
        <v>0</v>
      </c>
      <c r="T5" s="7" t="n"/>
      <c r="U5" s="7" t="n"/>
      <c r="V5" s="7" t="n">
        <v>1</v>
      </c>
      <c r="W5" s="5" t="n"/>
      <c r="X5" s="5" t="n">
        <v>19.73</v>
      </c>
      <c r="Y5" s="5" t="n">
        <v>25.92</v>
      </c>
      <c r="Z5" s="5" t="n">
        <v>9.56</v>
      </c>
      <c r="AA5" s="5">
        <f>IF(X5&lt;50,IF(Y5&gt;(2.3*X5),0,1),1)-IF(Z5&gt;Y5,1.7,0)</f>
        <v/>
      </c>
      <c r="AB5" s="5" t="n">
        <v>25</v>
      </c>
      <c r="AC5" s="5">
        <f>IF(AB5&gt;4,1,0)+IF(AB5&gt;10,0.7,0)</f>
        <v/>
      </c>
      <c r="AD5" s="5" t="n">
        <v>2</v>
      </c>
      <c r="AE5" s="5" t="n">
        <v>11</v>
      </c>
      <c r="AF5" s="5" t="n">
        <v>15</v>
      </c>
      <c r="AG5" s="6">
        <f>IF(G5&lt;52,0,0.7)+IF(G5&lt;34,0,0.7)+IF(G5&lt;1,0,0.7)+IF(P5&gt;14.56,0,1)+IF(R5&lt;9,0.5,0)+IF(R5&lt;33.8,0.5,0)+IF(R5&lt;50,0.5,0)+IF(R5&lt;80,0.5,0)+IF(S5=5,0,S5)+IF(V5&gt;0,1,-1)+IF(AE5&lt;10.56,0,1)-IF(AE5&lt;3,1,0)-IF(AE5&lt;1,1,0)</f>
        <v/>
      </c>
      <c r="AH5" s="5">
        <f>AG5+IF(X5&lt;1.35,0,1)+IF(Y5&lt;1.35,0,1)+IF(Y5&lt;0.7,-1,0)+AC5+AA5</f>
        <v/>
      </c>
      <c r="AI5" s="5" t="n">
        <v>11</v>
      </c>
      <c r="AJ5" s="5">
        <f>IF(AI5&gt;12.7,IF(AI5&gt;15.8,0.93,0.98),1)</f>
        <v/>
      </c>
      <c r="AK5" s="5">
        <f>(1.5*AG5+AH5)*AJ5*AQ5</f>
        <v/>
      </c>
      <c r="AL5" s="4">
        <f>D5</f>
        <v/>
      </c>
      <c r="AM5" s="8">
        <f>B5</f>
        <v/>
      </c>
      <c r="AN5" s="7" t="n"/>
      <c r="AO5" s="61">
        <f>IF(Z5&lt;2.81,0,IF(AK5&gt;13.7,IF(Z5&lt;140,1,0),0))</f>
        <v/>
      </c>
      <c r="AP5" s="7">
        <f>IF(AK5&gt;13.93,IF(Z5&lt;300,IF(Z5&lt;35,IF(Z5&lt;6,3,2),1),0),0)</f>
        <v/>
      </c>
      <c r="AQ5" s="5" t="n">
        <v>1</v>
      </c>
      <c r="AR5" s="7">
        <f>IF(AO5=1,IF(AO5=AL5,1,0),5)</f>
        <v/>
      </c>
      <c r="AS5" s="4" t="n">
        <v>63</v>
      </c>
      <c r="AT5" s="5" t="n"/>
      <c r="AU5" s="5">
        <f>AS5</f>
        <v/>
      </c>
      <c r="AV5" s="5">
        <f>(AT5+AU5)/2</f>
        <v/>
      </c>
      <c r="AW5" s="4" t="n">
        <v>91</v>
      </c>
      <c r="AX5" s="4">
        <f>IF(AW5&gt;AV5,1,0)</f>
        <v/>
      </c>
      <c r="AY5" s="4">
        <f>(100*(AU5-AS5)/AS5)</f>
        <v/>
      </c>
      <c r="AZ5" s="4">
        <f>IF(AY5&lt;-50,-4,IF(AY5&lt;-20,-2,IF(AY5&lt;0,-1.5,IF(AY5=0,0,IF(AY5&lt;10,1.5,IF(AY5&lt;20,2,IF(AY5&gt;19,2.5,2.5)))))))</f>
        <v/>
      </c>
      <c r="BA5" s="7" t="n"/>
      <c r="BB5" s="5" t="n"/>
      <c r="BC5" s="5" t="n"/>
      <c r="BD5" s="5" t="n"/>
      <c r="BE5" s="5" t="n"/>
      <c r="BF5" s="5" t="n">
        <v>80</v>
      </c>
      <c r="BG5" s="5" t="n">
        <v>26.984126984127</v>
      </c>
      <c r="BH5" s="5" t="n">
        <v>-12.0879120879121</v>
      </c>
    </row>
    <row r="6" ht="12.75" customHeight="1">
      <c r="B6" s="3" t="inlineStr">
        <is>
          <t>Infinity Infoway</t>
        </is>
      </c>
      <c r="C6" s="4" t="n">
        <v>2025</v>
      </c>
      <c r="D6" s="4" t="n">
        <v>1</v>
      </c>
      <c r="E6" s="5" t="n">
        <v>0.23</v>
      </c>
      <c r="F6" s="5" t="n">
        <v>12.68</v>
      </c>
      <c r="G6" s="5">
        <f>100*(F6-E6)/F6</f>
        <v/>
      </c>
      <c r="H6" s="5" t="n">
        <v>14.92</v>
      </c>
      <c r="I6" s="5" t="n">
        <v>4.19</v>
      </c>
      <c r="J6" s="5" t="n"/>
      <c r="K6" s="5" t="n">
        <v>11.22</v>
      </c>
      <c r="L6" s="5" t="n"/>
      <c r="M6" s="5" t="n">
        <v>6.16</v>
      </c>
      <c r="N6" s="5" t="n"/>
      <c r="O6" s="5" t="n">
        <v>13.19</v>
      </c>
      <c r="P6" s="5">
        <f>O6/I6</f>
        <v/>
      </c>
      <c r="Q6" s="5" t="n">
        <v>13.81</v>
      </c>
      <c r="R6" s="5" t="n">
        <v>19.64</v>
      </c>
      <c r="S6" s="6" t="n">
        <v>0</v>
      </c>
      <c r="T6" s="7" t="n"/>
      <c r="U6" s="7" t="n"/>
      <c r="V6" s="7" t="n">
        <v>1</v>
      </c>
      <c r="W6" s="5" t="n"/>
      <c r="X6" s="5" t="n">
        <v>157.14</v>
      </c>
      <c r="Y6" s="5" t="n">
        <v>548.99</v>
      </c>
      <c r="Z6" s="5" t="n">
        <v>303.35</v>
      </c>
      <c r="AA6" s="5">
        <f>IF(X6&lt;50,IF(Y6&gt;(2.3*X6),0,1),1)-IF(Z6&gt;Y6,1.7,0)</f>
        <v/>
      </c>
      <c r="AB6" s="5" t="n">
        <v>38</v>
      </c>
      <c r="AC6" s="5">
        <f>IF(AB6&gt;4,1,0)+IF(AB6&gt;10,0.7,0)</f>
        <v/>
      </c>
      <c r="AD6" s="5" t="n">
        <v>20.75</v>
      </c>
      <c r="AE6" s="5" t="n">
        <v>29.7</v>
      </c>
      <c r="AF6" s="5" t="n">
        <v>152.09</v>
      </c>
      <c r="AG6" s="6">
        <f>IF(G6&lt;52,0,0.7)+IF(G6&lt;34,0,0.7)+IF(G6&lt;1,0,0.7)+IF(P6&gt;14.56,0,1)+IF(R6&lt;9,0.5,0)+IF(R6&lt;33.8,0.5,0)+IF(R6&lt;50,0.5,0)+IF(R6&lt;80,0.5,0)+IF(S6=5,0,S6)+IF(V6&gt;0,1,-1)+IF(AE6&lt;10.56,0,1)-IF(AE6&lt;3,1,0)-IF(AE6&lt;1,1,0)</f>
        <v/>
      </c>
      <c r="AH6" s="5">
        <f>AG6+IF(X6&lt;1.35,0,1)+IF(Y6&lt;1.35,0,1)+IF(Y6&lt;0.7,-1,0)+AC6+AA6</f>
        <v/>
      </c>
      <c r="AI6" s="5" t="n">
        <v>11</v>
      </c>
      <c r="AJ6" s="5">
        <f>IF(AI6&gt;12.7,IF(AI6&gt;15.8,0.93,0.98),1)</f>
        <v/>
      </c>
      <c r="AK6" s="5">
        <f>(1.5*AG6+AH6)*AJ6*AQ6</f>
        <v/>
      </c>
      <c r="AL6" s="4">
        <f>D6</f>
        <v/>
      </c>
      <c r="AM6" s="8">
        <f>B6</f>
        <v/>
      </c>
      <c r="AN6" s="7" t="n"/>
      <c r="AO6" s="61">
        <f>IF(Z6&lt;2.81,0,IF(AK6&gt;13.7,IF(Z6&lt;140,1,0),0))</f>
        <v/>
      </c>
      <c r="AP6" s="7">
        <f>IF(AK6&gt;13.93,IF(Z6&lt;300,IF(Z6&lt;35,IF(Z6&lt;6,3,2),1),0),0)</f>
        <v/>
      </c>
      <c r="AQ6" s="5" t="n">
        <v>1</v>
      </c>
      <c r="AR6" s="7">
        <f>IF(AO6=1,IF(AO6=AL6,1,0),5)</f>
        <v/>
      </c>
      <c r="AS6" s="4" t="n">
        <v>155</v>
      </c>
      <c r="AT6" s="5" t="n"/>
      <c r="AU6" s="5">
        <f>AS6</f>
        <v/>
      </c>
      <c r="AV6" s="5">
        <f>(AT6+AU6)/2</f>
        <v/>
      </c>
      <c r="AW6" s="4" t="n">
        <v>294</v>
      </c>
      <c r="AX6" s="4">
        <f>IF(AW6&gt;AV6,1,0)</f>
        <v/>
      </c>
      <c r="AY6" s="4">
        <f>(100*(AU6-AS6)/AS6)</f>
        <v/>
      </c>
      <c r="AZ6" s="4">
        <f>IF(AY6&lt;-50,-4,IF(AY6&lt;-20,-2,IF(AY6&lt;0,-1.5,IF(AY6=0,0,IF(AY6&lt;10,1.5,IF(AY6&lt;20,2,IF(AY6&gt;19,2.5,2.5)))))))</f>
        <v/>
      </c>
      <c r="BA6" s="7" t="n"/>
      <c r="BB6" s="5" t="n">
        <v>368</v>
      </c>
      <c r="BC6" s="5" t="n">
        <v>405</v>
      </c>
      <c r="BD6" s="5" t="n">
        <v>413</v>
      </c>
      <c r="BE6" s="5" t="n"/>
      <c r="BF6" s="5" t="n">
        <v>372</v>
      </c>
      <c r="BG6" s="5" t="n">
        <v>140</v>
      </c>
      <c r="BH6" s="5" t="n">
        <v>26.530612244898</v>
      </c>
    </row>
    <row r="7" ht="12.75" customHeight="1">
      <c r="B7" s="3" t="inlineStr">
        <is>
          <t>Sodhani Capital</t>
        </is>
      </c>
      <c r="C7" s="4" t="n">
        <v>2025</v>
      </c>
      <c r="D7" s="4" t="n">
        <v>1</v>
      </c>
      <c r="E7" s="5" t="n">
        <v>0.05</v>
      </c>
      <c r="F7" s="5" t="n">
        <v>7.42</v>
      </c>
      <c r="G7" s="5">
        <f>100*(F7-E7)/F7</f>
        <v/>
      </c>
      <c r="H7" s="5" t="n">
        <v>7.6</v>
      </c>
      <c r="I7" s="5" t="n">
        <v>2.18</v>
      </c>
      <c r="J7" s="5" t="n"/>
      <c r="K7" s="5" t="n">
        <v>3.49</v>
      </c>
      <c r="L7" s="5" t="n"/>
      <c r="M7" s="5" t="n">
        <v>3.05</v>
      </c>
      <c r="N7" s="5" t="n"/>
      <c r="O7" s="5" t="n">
        <v>4.13</v>
      </c>
      <c r="P7" s="5">
        <f>O7/I7</f>
        <v/>
      </c>
      <c r="Q7" s="5" t="n">
        <v>18.55</v>
      </c>
      <c r="R7" s="5" t="n">
        <v>18.55</v>
      </c>
      <c r="S7" s="6" t="n">
        <v>0</v>
      </c>
      <c r="T7" s="7" t="n"/>
      <c r="U7" s="7" t="n"/>
      <c r="V7" s="7" t="n">
        <v>0</v>
      </c>
      <c r="W7" s="5" t="n"/>
      <c r="X7" s="5" t="n">
        <v>5.99</v>
      </c>
      <c r="Y7" s="5" t="n">
        <v>5.99</v>
      </c>
      <c r="Z7" s="5" t="n">
        <v>4.85</v>
      </c>
      <c r="AA7" s="5">
        <f>IF(X7&lt;50,IF(Y7&gt;(2.3*X7),0,1),1)-IF(Z7&gt;Y7,1.7,0)</f>
        <v/>
      </c>
      <c r="AB7" s="5" t="n">
        <v>0</v>
      </c>
      <c r="AC7" s="5">
        <f>IF(AB7&gt;4,1,0)+IF(AB7&gt;10,0.7,0)</f>
        <v/>
      </c>
      <c r="AD7" s="5" t="n">
        <v>-1.36</v>
      </c>
      <c r="AE7" s="5" t="n">
        <v>10.13</v>
      </c>
      <c r="AF7" s="5" t="n">
        <v>41.87</v>
      </c>
      <c r="AG7" s="6">
        <f>IF(G7&lt;52,0,0.7)+IF(G7&lt;34,0,0.7)+IF(G7&lt;1,0,0.7)+IF(P7&gt;14.56,0,1)+IF(R7&lt;9,0.5,0)+IF(R7&lt;33.8,0.5,0)+IF(R7&lt;50,0.5,0)+IF(R7&lt;80,0.5,0)+IF(S7=5,0,S7)+IF(V7&gt;0,1,-1)+IF(AE7&lt;10.56,0,1)-IF(AE7&lt;3,1,0)-IF(AE7&lt;1,1,0)</f>
        <v/>
      </c>
      <c r="AH7" s="5">
        <f>AG7+IF(X7&lt;1.35,0,1)+IF(Y7&lt;1.35,0,1)+IF(Y7&lt;0.7,-1,0)+AC7+AA7</f>
        <v/>
      </c>
      <c r="AI7" s="5" t="n">
        <v>11</v>
      </c>
      <c r="AJ7" s="5">
        <f>IF(AI7&gt;12.7,IF(AI7&gt;15.8,0.93,0.98),1)</f>
        <v/>
      </c>
      <c r="AK7" s="5">
        <f>(1.5*AG7+AH7)*AJ7*AQ7</f>
        <v/>
      </c>
      <c r="AL7" s="4">
        <f>D7</f>
        <v/>
      </c>
      <c r="AM7" s="8">
        <f>B7</f>
        <v/>
      </c>
      <c r="AN7" s="7" t="n"/>
      <c r="AO7" s="61">
        <f>IF(Z7&lt;2.81,0,IF(AK7&gt;13.7,IF(Z7&lt;140,1,0),0))</f>
        <v/>
      </c>
      <c r="AP7" s="7">
        <f>IF(AK7&gt;13.93,IF(Z7&lt;300,IF(Z7&lt;35,IF(Z7&lt;6,3,2),1),0),0)</f>
        <v/>
      </c>
      <c r="AQ7" s="5" t="n">
        <v>1</v>
      </c>
      <c r="AR7" s="7">
        <f>IF(AO7=1,IF(AO7=AL7,1,0),5)</f>
        <v/>
      </c>
      <c r="AS7" s="4" t="n">
        <v>51</v>
      </c>
      <c r="AT7" s="5" t="n"/>
      <c r="AU7" s="5">
        <f>AS7</f>
        <v/>
      </c>
      <c r="AV7" s="5">
        <f>(AT7+AU7)/2</f>
        <v/>
      </c>
      <c r="AW7" s="4" t="n">
        <v>80</v>
      </c>
      <c r="AX7" s="4">
        <f>IF(AW7&gt;AV7,1,0)</f>
        <v/>
      </c>
      <c r="AY7" s="4">
        <f>(100*(AU7-AS7)/AS7)</f>
        <v/>
      </c>
      <c r="AZ7" s="4">
        <f>IF(AY7&lt;-50,-4,IF(AY7&lt;-20,-2,IF(AY7&lt;0,-1.5,IF(AY7=0,0,IF(AY7&lt;10,1.5,IF(AY7&lt;20,2,IF(AY7&gt;19,2.5,2.5)))))))</f>
        <v/>
      </c>
      <c r="BA7" s="7" t="n"/>
      <c r="BB7" s="5" t="n"/>
      <c r="BC7" s="5" t="n"/>
      <c r="BD7" s="5" t="n"/>
      <c r="BE7" s="5" t="n"/>
      <c r="BF7" s="5" t="n">
        <v>121</v>
      </c>
      <c r="BG7" s="5" t="n">
        <v>137.254901960784</v>
      </c>
      <c r="BH7" s="5" t="n">
        <v>51.25</v>
      </c>
    </row>
    <row r="8" ht="12.75" customHeight="1">
      <c r="B8" s="10" t="inlineStr">
        <is>
          <t>Suba Hotels</t>
        </is>
      </c>
      <c r="C8" s="4" t="n">
        <v>2025</v>
      </c>
      <c r="D8" s="4" t="n">
        <v>1</v>
      </c>
      <c r="E8" s="5" t="n">
        <v>50.23</v>
      </c>
      <c r="F8" s="5" t="n">
        <v>47.61</v>
      </c>
      <c r="G8" s="5">
        <f>100*(F8-E8)/F8</f>
        <v/>
      </c>
      <c r="H8" s="5" t="n">
        <v>123.04</v>
      </c>
      <c r="I8" s="5" t="n">
        <v>15.15</v>
      </c>
      <c r="J8" s="5" t="n"/>
      <c r="K8" s="5" t="n">
        <v>8.69</v>
      </c>
      <c r="L8" s="5" t="n"/>
      <c r="M8" s="5" t="n">
        <v>23.27</v>
      </c>
      <c r="N8" s="5" t="n"/>
      <c r="O8" s="5" t="n">
        <v>79.23999999999999</v>
      </c>
      <c r="P8" s="5">
        <f>O8/I8</f>
        <v/>
      </c>
      <c r="Q8" s="5" t="n">
        <v>17.76</v>
      </c>
      <c r="R8" s="5" t="n">
        <v>17.76</v>
      </c>
      <c r="S8" s="6" t="n">
        <v>0</v>
      </c>
      <c r="T8" s="7" t="n"/>
      <c r="U8" s="7" t="n"/>
      <c r="V8" s="7" t="n">
        <v>1</v>
      </c>
      <c r="W8" s="5" t="n"/>
      <c r="X8" s="5" t="n">
        <v>20.98</v>
      </c>
      <c r="Y8" s="5" t="n">
        <v>22.41</v>
      </c>
      <c r="Z8" s="5" t="n">
        <v>9.07</v>
      </c>
      <c r="AA8" s="5">
        <f>IF(X8&lt;50,IF(Y8&gt;(2.3*X8),0,1),1)-IF(Z8&gt;Y8,1.7,0)</f>
        <v/>
      </c>
      <c r="AB8" s="5" t="n">
        <v>9</v>
      </c>
      <c r="AC8" s="5">
        <f>IF(AB8&gt;4,1,0)+IF(AB8&gt;10,0.7,0)</f>
        <v/>
      </c>
      <c r="AD8" s="5" t="n">
        <v>69.08</v>
      </c>
      <c r="AE8" s="5" t="n">
        <v>51.55</v>
      </c>
      <c r="AF8" s="5" t="n">
        <v>47.25</v>
      </c>
      <c r="AG8" s="6">
        <f>IF(G8&lt;52,0,0.7)+IF(G8&lt;34,0,0.7)+IF(G8&lt;1,0,0.7)+IF(P8&gt;14.56,0,1)+IF(R8&lt;9,0.5,0)+IF(R8&lt;33.8,0.5,0)+IF(R8&lt;50,0.5,0)+IF(R8&lt;80,0.5,0)+IF(S8=5,0,S8)+IF(V8&gt;0,1,-1)+IF(AE8&lt;10.56,0,1)-IF(AE8&lt;3,1,0)-IF(AE8&lt;1,1,0)</f>
        <v/>
      </c>
      <c r="AH8" s="5">
        <f>AG8+IF(X8&lt;1.35,0,1)+IF(Y8&lt;1.35,0,1)+IF(Y8&lt;0.7,-1,0)+AC8+AA8</f>
        <v/>
      </c>
      <c r="AI8" s="5" t="n">
        <v>11</v>
      </c>
      <c r="AJ8" s="5">
        <f>IF(AI8&gt;12.7,IF(AI8&gt;15.8,0.93,0.98),1)</f>
        <v/>
      </c>
      <c r="AK8" s="5">
        <f>(1.5*AG8+AH8)*AJ8*AQ8</f>
        <v/>
      </c>
      <c r="AL8" s="4">
        <f>D8</f>
        <v/>
      </c>
      <c r="AM8" s="8">
        <f>B8</f>
        <v/>
      </c>
      <c r="AN8" s="7" t="n"/>
      <c r="AO8" s="61">
        <f>IF(Z8&lt;2.81,0,IF(AK8&gt;13.7,IF(Z8&lt;140,1,0),0))</f>
        <v/>
      </c>
      <c r="AP8" s="7">
        <f>IF(AK8&gt;13.93,IF(Z8&lt;300,IF(Z8&lt;35,IF(Z8&lt;6,3,2),1),0),0)</f>
        <v/>
      </c>
      <c r="AQ8" s="5" t="n">
        <v>1</v>
      </c>
      <c r="AR8" s="7">
        <f>IF(AO8=1,IF(AO8=AL8,1,0),5)</f>
        <v/>
      </c>
      <c r="AS8" s="4" t="n">
        <v>111</v>
      </c>
      <c r="AT8" s="5" t="n"/>
      <c r="AU8" s="5">
        <f>AS8</f>
        <v/>
      </c>
      <c r="AV8" s="5">
        <f>(AT8+AU8)/2</f>
        <v/>
      </c>
      <c r="AW8" s="4" t="n">
        <v>154</v>
      </c>
      <c r="AX8" s="4">
        <f>IF(AW8&gt;AV8,1,0)</f>
        <v/>
      </c>
      <c r="AY8" s="4">
        <f>(100*(AU8-AS8)/AS8)</f>
        <v/>
      </c>
      <c r="AZ8" s="4">
        <f>IF(AY8&lt;-50,-4,IF(AY8&lt;-20,-2,IF(AY8&lt;0,-1.5,IF(AY8=0,0,IF(AY8&lt;10,1.5,IF(AY8&lt;20,2,IF(AY8&gt;19,2.5,2.5)))))))</f>
        <v/>
      </c>
      <c r="BA8" s="7" t="n"/>
      <c r="BB8" s="5" t="n">
        <v>175</v>
      </c>
      <c r="BC8" s="5" t="n">
        <v>177.29</v>
      </c>
      <c r="BD8" s="5" t="n">
        <v>181.76</v>
      </c>
      <c r="BE8" s="5" t="n"/>
      <c r="BF8" s="5" t="n">
        <v>170</v>
      </c>
      <c r="BG8" s="5" t="n">
        <v>53.1531531531532</v>
      </c>
      <c r="BH8" s="5" t="n">
        <v>10.3896103896104</v>
      </c>
    </row>
    <row r="9" ht="12.75" customHeight="1">
      <c r="B9" s="10" t="inlineStr">
        <is>
          <t>Manas Polymers and Energies Limited</t>
        </is>
      </c>
      <c r="C9" s="4" t="n">
        <v>2025</v>
      </c>
      <c r="D9" s="4" t="n">
        <v>1</v>
      </c>
      <c r="E9" s="5" t="n">
        <v>10.71</v>
      </c>
      <c r="F9" s="5" t="n">
        <v>10.23</v>
      </c>
      <c r="G9" s="5">
        <f>100*(F9-E9)/F9</f>
        <v/>
      </c>
      <c r="H9" s="5" t="n">
        <v>29.85</v>
      </c>
      <c r="I9" s="5" t="n">
        <v>4.29</v>
      </c>
      <c r="J9" s="5" t="n"/>
      <c r="K9" s="5" t="n">
        <v>8.81</v>
      </c>
      <c r="L9" s="5" t="n"/>
      <c r="M9" s="5" t="n">
        <v>5.76</v>
      </c>
      <c r="N9" s="5" t="n"/>
      <c r="O9" s="5" t="n">
        <v>33.06</v>
      </c>
      <c r="P9" s="5">
        <f>O9/I9</f>
        <v/>
      </c>
      <c r="Q9" s="5" t="n">
        <v>9.19</v>
      </c>
      <c r="R9" s="5" t="n">
        <v>9.19</v>
      </c>
      <c r="S9" s="6" t="n">
        <v>0</v>
      </c>
      <c r="T9" s="7" t="n"/>
      <c r="U9" s="7" t="n"/>
      <c r="V9" s="7" t="n">
        <v>0</v>
      </c>
      <c r="W9" s="5" t="n"/>
      <c r="X9" s="5" t="n">
        <v>6.66</v>
      </c>
      <c r="Y9" s="5" t="n">
        <v>1.78</v>
      </c>
      <c r="Z9" s="5" t="n">
        <v>0.19</v>
      </c>
      <c r="AA9" s="5">
        <f>IF(X9&lt;50,IF(Y9&gt;(2.3*X9),0,1),1)-IF(Z9&gt;Y9,1.7,0)</f>
        <v/>
      </c>
      <c r="AB9" s="5" t="n">
        <v>0</v>
      </c>
      <c r="AC9" s="5">
        <f>IF(AB9&gt;4,1,0)+IF(AB9&gt;10,0.7,0)</f>
        <v/>
      </c>
      <c r="AD9" s="5" t="n">
        <v>120</v>
      </c>
      <c r="AE9" s="5" t="n">
        <v>70</v>
      </c>
      <c r="AF9" s="5" t="n">
        <v>72.22</v>
      </c>
      <c r="AG9" s="6">
        <f>IF(G9&lt;52,0,0.7)+IF(G9&lt;34,0,0.7)+IF(G9&lt;1,0,0.7)+IF(P9&gt;14.56,0,1)+IF(R9&lt;9,0.5,0)+IF(R9&lt;33.8,0.5,0)+IF(R9&lt;50,0.5,0)+IF(R9&lt;80,0.5,0)+IF(S9=5,0,S9)+IF(V9&gt;0,1,-1)+IF(AE9&lt;10.56,0,1)-IF(AE9&lt;3,1,0)-IF(AE9&lt;1,1,0)</f>
        <v/>
      </c>
      <c r="AH9" s="5">
        <f>AG9+IF(X9&lt;1.35,0,1)+IF(Y9&lt;1.35,0,1)+IF(Y9&lt;0.7,-1,0)+AC9+AA9</f>
        <v/>
      </c>
      <c r="AI9" s="5" t="n">
        <v>11</v>
      </c>
      <c r="AJ9" s="5">
        <f>IF(AI9&gt;12.7,IF(AI9&gt;15.8,0.93,0.98),1)</f>
        <v/>
      </c>
      <c r="AK9" s="5">
        <f>(1.5*AG9+AH9)*AJ9*AQ9</f>
        <v/>
      </c>
      <c r="AL9" s="4">
        <f>D9</f>
        <v/>
      </c>
      <c r="AM9" s="8">
        <f>B9</f>
        <v/>
      </c>
      <c r="AN9" s="7" t="n"/>
      <c r="AO9" s="61">
        <f>IF(Z9&lt;2.81,0,IF(AK9&gt;13.7,IF(Z9&lt;140,1,0),0))</f>
        <v/>
      </c>
      <c r="AP9" s="7">
        <f>IF(AK9&gt;13.93,IF(Z9&lt;300,IF(Z9&lt;35,IF(Z9&lt;6,3,2),1),0),0)</f>
        <v/>
      </c>
      <c r="AQ9" s="5" t="n">
        <v>1</v>
      </c>
      <c r="AR9" s="7">
        <f>IF(AO9=1,IF(AO9=AL9,1,0),5)</f>
        <v/>
      </c>
      <c r="AS9" s="4" t="n">
        <v>81</v>
      </c>
      <c r="AT9" s="5" t="n"/>
      <c r="AU9" s="5">
        <f>AS9</f>
        <v/>
      </c>
      <c r="AV9" s="5">
        <f>(AT9+AU9)/2</f>
        <v/>
      </c>
      <c r="AW9" s="4" t="n">
        <v>154</v>
      </c>
      <c r="AX9" s="4">
        <f>IF(AW9&gt;AV9,1,0)</f>
        <v/>
      </c>
      <c r="AY9" s="4">
        <f>(100*(AU9-AS9)/AS9)</f>
        <v/>
      </c>
      <c r="AZ9" s="4">
        <f>IF(AY9&lt;-50,-4,IF(AY9&lt;-20,-2,IF(AY9&lt;0,-1.5,IF(AY9=0,0,IF(AY9&lt;10,1.5,IF(AY9&lt;20,2,IF(AY9&gt;19,2.5,2.5)))))))</f>
        <v/>
      </c>
      <c r="BA9" s="7" t="n"/>
      <c r="BB9" s="5" t="n"/>
      <c r="BC9" s="5" t="n"/>
      <c r="BD9" s="5" t="n"/>
      <c r="BE9" s="5" t="n"/>
      <c r="BF9" s="5" t="n">
        <v>113</v>
      </c>
      <c r="BG9" s="5" t="n">
        <v>39.5061728395062</v>
      </c>
      <c r="BH9" s="5" t="n">
        <v>-26.6233766233766</v>
      </c>
    </row>
    <row r="10" ht="12.75" customHeight="1">
      <c r="B10" s="3" t="inlineStr">
        <is>
          <t>TechD Cybersecurity Limited</t>
        </is>
      </c>
      <c r="C10" s="4" t="n">
        <v>2025</v>
      </c>
      <c r="D10" s="4" t="n">
        <v>1</v>
      </c>
      <c r="E10" s="5" t="n">
        <v>0.22</v>
      </c>
      <c r="F10" s="5" t="n">
        <v>22.14</v>
      </c>
      <c r="G10" s="5">
        <f>100*(F10-E10)/F10</f>
        <v/>
      </c>
      <c r="H10" s="5" t="n">
        <v>29.08</v>
      </c>
      <c r="I10" s="5" t="n">
        <v>8.4</v>
      </c>
      <c r="J10" s="5" t="n"/>
      <c r="K10" s="5" t="n">
        <v>11.23</v>
      </c>
      <c r="L10" s="5" t="n"/>
      <c r="M10" s="5" t="n">
        <v>12.33</v>
      </c>
      <c r="N10" s="5" t="n"/>
      <c r="O10" s="5" t="n">
        <v>29.79</v>
      </c>
      <c r="P10" s="5">
        <f>O10/I10</f>
        <v/>
      </c>
      <c r="Q10" s="5" t="n">
        <v>32.81</v>
      </c>
      <c r="R10" s="5" t="n">
        <v>16.85</v>
      </c>
      <c r="S10" s="6" t="n">
        <v>0</v>
      </c>
      <c r="T10" s="7" t="n"/>
      <c r="U10" s="7" t="n"/>
      <c r="V10" s="7" t="n">
        <v>1</v>
      </c>
      <c r="W10" s="5" t="n"/>
      <c r="X10" s="5" t="n">
        <v>284.17</v>
      </c>
      <c r="Y10" s="5" t="n">
        <v>1279.03</v>
      </c>
      <c r="Z10" s="5" t="n">
        <v>726.0599999999999</v>
      </c>
      <c r="AA10" s="5">
        <f>IF(X10&lt;50,IF(Y10&gt;(2.3*X10),0,1),1)-IF(Z10&gt;Y10,1.7,0)</f>
        <v/>
      </c>
      <c r="AB10" s="5" t="n">
        <v>108</v>
      </c>
      <c r="AC10" s="5">
        <f>IF(AB10&gt;4,1,0)+IF(AB10&gt;10,0.7,0)</f>
        <v/>
      </c>
      <c r="AD10" s="5" t="n">
        <v>159.26</v>
      </c>
      <c r="AE10" s="5" t="n">
        <v>97.68000000000001</v>
      </c>
      <c r="AF10" s="5" t="n">
        <v>361.25</v>
      </c>
      <c r="AG10" s="6">
        <f>IF(G10&lt;52,0,0.7)+IF(G10&lt;34,0,0.7)+IF(G10&lt;1,0,0.7)+IF(P10&gt;14.56,0,1)+IF(R10&lt;9,0.5,0)+IF(R10&lt;33.8,0.5,0)+IF(R10&lt;50,0.5,0)+IF(R10&lt;80,0.5,0)+IF(S10=5,0,S10)+IF(V10&gt;0,1,-1)+IF(AE10&lt;10.56,0,1)-IF(AE10&lt;3,1,0)-IF(AE10&lt;1,1,0)</f>
        <v/>
      </c>
      <c r="AH10" s="5">
        <f>AG10+IF(X10&lt;1.35,0,1)+IF(Y10&lt;1.35,0,1)+IF(Y10&lt;0.7,-1,0)+AC10+AA10</f>
        <v/>
      </c>
      <c r="AI10" s="5" t="n">
        <v>11</v>
      </c>
      <c r="AJ10" s="5">
        <f>IF(AI10&gt;12.7,IF(AI10&gt;15.8,0.93,0.98),1)</f>
        <v/>
      </c>
      <c r="AK10" s="5">
        <f>(1.5*AG10+AH10)*AJ10*AQ10</f>
        <v/>
      </c>
      <c r="AL10" s="4">
        <f>D10</f>
        <v/>
      </c>
      <c r="AM10" s="8">
        <f>B10</f>
        <v/>
      </c>
      <c r="AN10" s="7" t="n"/>
      <c r="AO10" s="61">
        <f>IF(Z10&lt;2.81,0,IF(AK10&gt;13.7,IF(Z10&lt;140,1,0),0))</f>
        <v/>
      </c>
      <c r="AP10" s="7">
        <f>IF(AK10&gt;13.93,IF(Z10&lt;300,IF(Z10&lt;35,IF(Z10&lt;6,3,2),1),0),0)</f>
        <v/>
      </c>
      <c r="AQ10" s="5" t="n">
        <v>1</v>
      </c>
      <c r="AR10" s="7">
        <f>IF(AO10=1,IF(AO10=AL10,1,0),5)</f>
        <v/>
      </c>
      <c r="AS10" s="4" t="n">
        <v>193</v>
      </c>
      <c r="AT10" s="5" t="n"/>
      <c r="AU10" s="5">
        <f>AS10</f>
        <v/>
      </c>
      <c r="AV10" s="5">
        <f>(AT10+AU10)/2</f>
        <v/>
      </c>
      <c r="AW10" s="4" t="n">
        <v>366</v>
      </c>
      <c r="AX10" s="4">
        <f>IF(AW10&gt;AV10,1,0)</f>
        <v/>
      </c>
      <c r="AY10" s="4">
        <f>(100*(AU10-AS10)/AS10)</f>
        <v/>
      </c>
      <c r="AZ10" s="4">
        <f>IF(AY10&lt;-50,-4,IF(AY10&lt;-20,-2,IF(AY10&lt;0,-1.5,IF(AY10=0,0,IF(AY10&lt;10,1.5,IF(AY10&lt;20,2,IF(AY10&gt;19,2.5,2.5)))))))</f>
        <v/>
      </c>
      <c r="BA10" s="7" t="n"/>
      <c r="BB10" s="5" t="n"/>
      <c r="BC10" s="5" t="n"/>
      <c r="BD10" s="5" t="n"/>
      <c r="BE10" s="5" t="n"/>
      <c r="BF10" s="5" t="n">
        <v>765</v>
      </c>
      <c r="BG10" s="5" t="n">
        <v>296.373056994819</v>
      </c>
      <c r="BH10" s="5" t="n">
        <v>109.016393442623</v>
      </c>
    </row>
    <row r="11" ht="12.75" customHeight="1">
      <c r="B11" s="10" t="inlineStr">
        <is>
          <t>Identical Brains Studios</t>
        </is>
      </c>
      <c r="C11" s="4" t="n">
        <v>2024</v>
      </c>
      <c r="D11" s="4" t="n">
        <v>1</v>
      </c>
      <c r="E11" s="5" t="n">
        <v>0.19</v>
      </c>
      <c r="F11" s="5" t="n">
        <v>12.04</v>
      </c>
      <c r="G11" s="5">
        <f>100*(F11-E11)/F11</f>
        <v/>
      </c>
      <c r="H11" s="5" t="n">
        <v>17.02</v>
      </c>
      <c r="I11" s="5" t="n">
        <v>5.35</v>
      </c>
      <c r="J11" s="5" t="n"/>
      <c r="K11" s="5" t="n">
        <v>5.18</v>
      </c>
      <c r="L11" s="5" t="n"/>
      <c r="M11" s="5" t="n">
        <v>7.62</v>
      </c>
      <c r="N11" s="5" t="n"/>
      <c r="O11" s="5" t="n">
        <v>20.26</v>
      </c>
      <c r="P11" s="5">
        <f>O11/I11</f>
        <v/>
      </c>
      <c r="Q11" s="5" t="n">
        <v>10.44</v>
      </c>
      <c r="R11" s="5" t="n">
        <v>10.44</v>
      </c>
      <c r="S11" s="6" t="n">
        <v>0</v>
      </c>
      <c r="T11" s="7" t="n"/>
      <c r="U11" s="7" t="n"/>
      <c r="V11" s="7" t="n">
        <v>1</v>
      </c>
      <c r="W11" s="5" t="n"/>
      <c r="X11" s="5" t="n">
        <v>187.36</v>
      </c>
      <c r="Y11" s="5" t="n">
        <v>1020.2</v>
      </c>
      <c r="Z11" s="5" t="n">
        <v>544.28</v>
      </c>
      <c r="AA11" s="5">
        <f>IF(X11&lt;50,IF(Y11&gt;(2.3*X11),0,1),1)-IF(Z11&gt;Y11,1.7,0)</f>
        <v/>
      </c>
      <c r="AB11" s="5" t="n">
        <v>75</v>
      </c>
      <c r="AC11" s="5">
        <f>IF(AB11&gt;4,1,0)+IF(AB11&gt;10,0.7,0)</f>
        <v/>
      </c>
      <c r="AD11" s="5" t="n">
        <v>231.5</v>
      </c>
      <c r="AE11" s="5" t="n">
        <v>151.95</v>
      </c>
      <c r="AF11" s="5" t="n">
        <v>317.18</v>
      </c>
      <c r="AG11" s="6">
        <f>IF(G11&lt;52,0,0.7)+IF(G11&lt;34,0,0.7)+IF(G11&lt;1,0,0.7)+IF(P11&gt;14.56,0,1)+IF(R11&lt;9,0.5,0)+IF(R11&lt;33.8,0.5,0)+IF(R11&lt;50,0.5,0)+IF(R11&lt;80,0.5,0)+IF(S11=5,0,S11)+IF(V11&gt;0,1,-1)+IF(AE11&lt;10.56,0,1)-IF(AE11&lt;3,1,0)-IF(AE11&lt;1,1,0)</f>
        <v/>
      </c>
      <c r="AH11" s="5">
        <f>AG11+IF(X11&lt;1.35,0,1)+IF(Y11&lt;1.35,0,1)+IF(Y11&lt;0.7,-1,0)+AC11+AA11</f>
        <v/>
      </c>
      <c r="AI11" s="5" t="n">
        <v>11</v>
      </c>
      <c r="AJ11" s="5">
        <f>IF(AI11&gt;12.7,IF(AI11&gt;15.8,0.93,0.98),1)</f>
        <v/>
      </c>
      <c r="AK11" s="5">
        <f>(1.5*AG11+AH11)*AJ11*AQ11</f>
        <v/>
      </c>
      <c r="AL11" s="4">
        <f>D11</f>
        <v/>
      </c>
      <c r="AM11" s="8">
        <f>B11</f>
        <v/>
      </c>
      <c r="AN11" s="7" t="n"/>
      <c r="AO11" s="61">
        <f>IF(Z11&lt;2.81,0,IF(AK11&gt;13.7,IF(Z11&lt;140,1,0),0))</f>
        <v/>
      </c>
      <c r="AP11" s="7">
        <f>IF(AK11&gt;13.93,IF(Z11&lt;300,IF(Z11&lt;35,IF(Z11&lt;6,3,2),1),0),0)</f>
        <v/>
      </c>
      <c r="AQ11" s="5" t="n">
        <v>1</v>
      </c>
      <c r="AR11" s="7">
        <f>IF(AO11=1,IF(AO11=AL11,1,0),5)</f>
        <v/>
      </c>
      <c r="AS11" s="4" t="n">
        <v>54</v>
      </c>
      <c r="AT11" s="5" t="n"/>
      <c r="AU11" s="5">
        <f>AS11</f>
        <v/>
      </c>
      <c r="AV11" s="5">
        <f>(AT11+AU11)/2</f>
        <v/>
      </c>
      <c r="AW11" s="4" t="n">
        <v>95</v>
      </c>
      <c r="AX11" s="4">
        <f>IF(AW11&gt;AV11,1,0)</f>
        <v/>
      </c>
      <c r="AY11" s="4">
        <f>(100*(AU11-AS11)/AS11)</f>
        <v/>
      </c>
      <c r="AZ11" s="4">
        <f>IF(AY11&lt;-50,-4,IF(AY11&lt;-20,-2,IF(AY11&lt;0,-1.5,IF(AY11=0,0,IF(AY11&lt;10,1.5,IF(AY11&lt;20,2,IF(AY11&gt;19,2.5,2.5)))))))</f>
        <v/>
      </c>
      <c r="BA11" s="7" t="n"/>
      <c r="BB11" s="5" t="n"/>
      <c r="BC11" s="5" t="n"/>
      <c r="BD11" s="5" t="n"/>
      <c r="BE11" s="5" t="n"/>
      <c r="BF11" s="5" t="n">
        <v>39</v>
      </c>
      <c r="BG11" s="5" t="n">
        <v>-27.7777777777778</v>
      </c>
      <c r="BH11" s="5" t="n">
        <v>-58.9473684210526</v>
      </c>
    </row>
    <row r="12" ht="12.75" customHeight="1">
      <c r="B12" s="9" t="inlineStr">
        <is>
          <t>NACDAC Infrastructure</t>
        </is>
      </c>
      <c r="C12" s="4" t="n">
        <v>2024</v>
      </c>
      <c r="D12" s="4" t="n">
        <v>1</v>
      </c>
      <c r="E12" s="5" t="n">
        <v>6.43</v>
      </c>
      <c r="F12" s="5" t="n">
        <v>12.01</v>
      </c>
      <c r="G12" s="5">
        <f>100*(F12-E12)/F12</f>
        <v/>
      </c>
      <c r="H12" s="4" t="n">
        <v>24.6</v>
      </c>
      <c r="I12" s="5" t="n">
        <v>3.17</v>
      </c>
      <c r="J12" s="5" t="n"/>
      <c r="K12" s="5" t="n">
        <v>4.14</v>
      </c>
      <c r="L12" s="5" t="n"/>
      <c r="M12" s="5" t="n">
        <v>3.42</v>
      </c>
      <c r="N12" s="5" t="n"/>
      <c r="O12" s="5" t="n">
        <v>36.33</v>
      </c>
      <c r="P12" s="5">
        <f>O12/I12</f>
        <v/>
      </c>
      <c r="Q12" s="5" t="n">
        <v>8.449999999999999</v>
      </c>
      <c r="R12" s="5" t="n">
        <v>8.449999999999999</v>
      </c>
      <c r="S12" s="6" t="n">
        <v>0</v>
      </c>
      <c r="T12" s="7" t="n"/>
      <c r="U12" s="7" t="n"/>
      <c r="V12" s="7" t="n">
        <v>1</v>
      </c>
      <c r="W12" s="5" t="n"/>
      <c r="X12" s="5" t="n">
        <v>236.39</v>
      </c>
      <c r="Y12" s="5" t="n">
        <v>4084.36</v>
      </c>
      <c r="Z12" s="5" t="n">
        <v>2503.68</v>
      </c>
      <c r="AA12" s="5">
        <f>IF(X12&lt;50,IF(Y12&gt;(2.3*X12),0,1),1)-IF(Z12&gt;Y12,1.7,0)</f>
        <v/>
      </c>
      <c r="AB12" s="5" t="n">
        <v>90</v>
      </c>
      <c r="AC12" s="5">
        <f>IF(AB12&gt;4,1,0)+IF(AB12&gt;10,0.7,0)</f>
        <v/>
      </c>
      <c r="AD12" s="5" t="n">
        <v>466</v>
      </c>
      <c r="AE12" s="5" t="n">
        <v>209</v>
      </c>
      <c r="AF12" s="5" t="n">
        <v>73</v>
      </c>
      <c r="AG12" s="6">
        <f>IF(G12&lt;52,0,0.7)+IF(G12&lt;34,0,0.7)+IF(G12&lt;1,0,0.7)+IF(P12&gt;14.56,0,1)+IF(R12&lt;9,0.5,0)+IF(R12&lt;33.8,0.5,0)+IF(R12&lt;50,0.5,0)+IF(R12&lt;80,0.5,0)+IF(S12=5,0,S12)+IF(V12&gt;0,1,-1)+IF(AE12&lt;10.56,0,1)-IF(AE12&lt;3,1,0)-IF(AE12&lt;1,1,0)</f>
        <v/>
      </c>
      <c r="AH12" s="5">
        <f>AG12+IF(X12&lt;1.35,0,1)+IF(Y12&lt;1.35,0,1)+IF(Y12&lt;0.7,-1,0)+AC12+AA12</f>
        <v/>
      </c>
      <c r="AI12" s="5" t="n">
        <v>11</v>
      </c>
      <c r="AJ12" s="5">
        <f>IF(AI12&gt;12.7,IF(AI12&gt;15.8,0.93,0.98),1)</f>
        <v/>
      </c>
      <c r="AK12" s="5">
        <f>(1.5*AG12+AH12)*AJ12*AQ12</f>
        <v/>
      </c>
      <c r="AL12" s="4">
        <f>D12</f>
        <v/>
      </c>
      <c r="AM12" s="8">
        <f>B12</f>
        <v/>
      </c>
      <c r="AN12" s="7" t="n"/>
      <c r="AO12" s="61">
        <f>IF(Z12&lt;2.81,0,IF(AK12&gt;13.7,IF(Z12&lt;140,1,0),0))</f>
        <v/>
      </c>
      <c r="AP12" s="7">
        <f>IF(AK12&gt;13.93,IF(Z12&lt;300,IF(Z12&lt;35,IF(Z12&lt;6,3,2),1),0),0)</f>
        <v/>
      </c>
      <c r="AQ12" s="5" t="n">
        <v>1</v>
      </c>
      <c r="AR12" s="7">
        <f>IF(AO12=1,IF(AO12=AL12,1,0),5)</f>
        <v/>
      </c>
      <c r="AS12" s="11" t="n">
        <v>35</v>
      </c>
      <c r="AT12" s="5" t="n"/>
      <c r="AU12" s="5">
        <f>AS12</f>
        <v/>
      </c>
      <c r="AV12" s="5">
        <f>(AT12+AU12)/2</f>
        <v/>
      </c>
      <c r="AW12" s="11" t="n">
        <v>67</v>
      </c>
      <c r="AX12" s="4">
        <f>IF(AW12&gt;AV12,1,0)</f>
        <v/>
      </c>
      <c r="AY12" s="4">
        <f>(100*(AU12-AS12)/AS12)</f>
        <v/>
      </c>
      <c r="AZ12" s="4">
        <f>IF(AY12&lt;-50,-4,IF(AY12&lt;-20,-2,IF(AY12&lt;0,-1.5,IF(AY12=0,0,IF(AY12&lt;10,1.5,IF(AY12&lt;20,2,IF(AY12&gt;19,2.5,2.5)))))))</f>
        <v/>
      </c>
      <c r="BA12" s="7" t="n"/>
      <c r="BB12" s="5" t="n"/>
      <c r="BC12" s="5" t="n"/>
      <c r="BD12" s="5" t="n"/>
      <c r="BE12" s="5" t="n"/>
      <c r="BF12" s="5" t="n">
        <v>36</v>
      </c>
      <c r="BG12" s="5" t="n">
        <v>2.85714285714286</v>
      </c>
      <c r="BH12" s="5" t="n">
        <v>-46.2686567164179</v>
      </c>
    </row>
    <row r="13" ht="12.75" customHeight="1">
      <c r="B13" s="9" t="inlineStr">
        <is>
          <t>Hamps Bio</t>
        </is>
      </c>
      <c r="C13" s="4" t="n">
        <v>2024</v>
      </c>
      <c r="D13" s="4" t="n">
        <v>1</v>
      </c>
      <c r="E13" s="5" t="n">
        <v>1.05</v>
      </c>
      <c r="F13" s="5" t="n">
        <v>3.37</v>
      </c>
      <c r="G13" s="5">
        <f>100*(F13-E13)/F13</f>
        <v/>
      </c>
      <c r="H13" s="4" t="n">
        <v>5.15</v>
      </c>
      <c r="I13" s="5" t="n">
        <v>0.5</v>
      </c>
      <c r="J13" s="5" t="n"/>
      <c r="K13" s="5" t="n">
        <v>1.76</v>
      </c>
      <c r="L13" s="5" t="n"/>
      <c r="M13" s="5" t="n">
        <v>1.18</v>
      </c>
      <c r="N13" s="5" t="n"/>
      <c r="O13" s="5" t="n">
        <v>6.47</v>
      </c>
      <c r="P13" s="5">
        <f>O13/I13</f>
        <v/>
      </c>
      <c r="Q13" s="5" t="n">
        <v>29</v>
      </c>
      <c r="R13" s="5" t="n">
        <v>29</v>
      </c>
      <c r="S13" s="6" t="n">
        <v>0</v>
      </c>
      <c r="T13" s="7" t="n"/>
      <c r="U13" s="7" t="n"/>
      <c r="V13" s="7" t="n">
        <v>0</v>
      </c>
      <c r="W13" s="5" t="n"/>
      <c r="X13" s="5" t="n">
        <v>0</v>
      </c>
      <c r="Y13" s="5" t="n">
        <v>758</v>
      </c>
      <c r="Z13" s="5" t="n">
        <v>1342</v>
      </c>
      <c r="AA13" s="5">
        <f>IF(X13&lt;50,IF(Y13&gt;(2.3*X13),0,1),1)-IF(Z13&gt;Y13,1.7,0)</f>
        <v/>
      </c>
      <c r="AB13" s="5" t="n">
        <v>117</v>
      </c>
      <c r="AC13" s="5">
        <f>IF(AB13&gt;4,1,0)+IF(AB13&gt;10,0.7,0)</f>
        <v/>
      </c>
      <c r="AD13" s="5" t="n">
        <v>39</v>
      </c>
      <c r="AE13" s="5" t="n">
        <v>16</v>
      </c>
      <c r="AF13" s="5" t="n">
        <v>148</v>
      </c>
      <c r="AG13" s="6">
        <f>IF(G13&lt;52,0,0.7)+IF(G13&lt;34,0,0.7)+IF(G13&lt;1,0,0.7)+IF(P13&gt;14.56,0,1)+IF(R13&lt;9,0.5,0)+IF(R13&lt;33.8,0.5,0)+IF(R13&lt;50,0.5,0)+IF(R13&lt;80,0.5,0)+IF(S13=5,0,S13)+IF(V13&gt;0,1,-1)+IF(AE13&lt;10.56,0,1)-IF(AE13&lt;3,1,0)-IF(AE13&lt;1,1,0)</f>
        <v/>
      </c>
      <c r="AH13" s="5">
        <f>AG13+IF(X13&lt;1.35,0,1)+IF(Y13&lt;1.35,0,1)+IF(Y13&lt;0.7,-1,0)+AC13+AA13</f>
        <v/>
      </c>
      <c r="AI13" s="5" t="n">
        <v>11</v>
      </c>
      <c r="AJ13" s="5">
        <f>IF(AI13&gt;12.7,IF(AI13&gt;15.8,0.93,0.98),1)</f>
        <v/>
      </c>
      <c r="AK13" s="5">
        <f>(1.5*AG13+AH13)*AJ13*AQ13</f>
        <v/>
      </c>
      <c r="AL13" s="4">
        <f>D13</f>
        <v/>
      </c>
      <c r="AM13" s="8">
        <f>B13</f>
        <v/>
      </c>
      <c r="AN13" s="7" t="n"/>
      <c r="AO13" s="61">
        <f>IF(Z13&lt;2.81,0,IF(AK13&gt;13.7,IF(Z13&lt;140,1,0),0))</f>
        <v/>
      </c>
      <c r="AP13" s="7">
        <f>IF(AK13&gt;13.93,IF(Z13&lt;300,IF(Z13&lt;35,IF(Z13&lt;6,3,2),1),0),0)</f>
        <v/>
      </c>
      <c r="AQ13" s="5" t="n">
        <v>1</v>
      </c>
      <c r="AR13" s="7">
        <f>IF(AO13=1,IF(AO13=AL13,1,0),5)</f>
        <v/>
      </c>
      <c r="AS13" s="4" t="n">
        <v>51</v>
      </c>
      <c r="AT13" s="5" t="n"/>
      <c r="AU13" s="5">
        <f>AS13</f>
        <v/>
      </c>
      <c r="AV13" s="5">
        <f>(AT13+AU13)/2</f>
        <v/>
      </c>
      <c r="AW13" s="4" t="n">
        <v>97</v>
      </c>
      <c r="AX13" s="4">
        <f>IF(AW13&gt;AV13,1,0)</f>
        <v/>
      </c>
      <c r="AY13" s="4">
        <f>(100*(AU13-AS13)/AS13)</f>
        <v/>
      </c>
      <c r="AZ13" s="4">
        <f>IF(AY13&lt;-50,-4,IF(AY13&lt;-20,-2,IF(AY13&lt;0,-1.5,IF(AY13=0,0,IF(AY13&lt;10,1.5,IF(AY13&lt;20,2,IF(AY13&gt;19,2.5,2.5)))))))</f>
        <v/>
      </c>
      <c r="BA13" s="7" t="n"/>
      <c r="BB13" s="5" t="n">
        <v>50.82</v>
      </c>
      <c r="BC13" s="5" t="n">
        <v>53.44</v>
      </c>
      <c r="BD13" s="5" t="n">
        <v>50.71</v>
      </c>
      <c r="BE13" s="5" t="n">
        <v>50.9</v>
      </c>
      <c r="BF13" s="5" t="n">
        <v>26</v>
      </c>
      <c r="BG13" s="5" t="n">
        <v>-49.0196078431373</v>
      </c>
      <c r="BH13" s="5" t="n">
        <v>-73.1958762886598</v>
      </c>
    </row>
    <row r="14" ht="12.75" customHeight="1">
      <c r="B14" s="9" t="inlineStr">
        <is>
          <t>Yash Highvoltage</t>
        </is>
      </c>
      <c r="C14" s="4" t="n">
        <v>2024</v>
      </c>
      <c r="D14" s="4" t="n">
        <v>1</v>
      </c>
      <c r="E14" s="5" t="n">
        <v>7.08</v>
      </c>
      <c r="F14" s="5" t="n">
        <v>42.13</v>
      </c>
      <c r="G14" s="5">
        <f>100*(F14-E14)/F14</f>
        <v/>
      </c>
      <c r="H14" s="4" t="n">
        <v>70.39</v>
      </c>
      <c r="I14" s="5" t="n">
        <v>12.06</v>
      </c>
      <c r="J14" s="5" t="n"/>
      <c r="K14" s="5" t="n">
        <v>5.45</v>
      </c>
      <c r="L14" s="5" t="n"/>
      <c r="M14" s="5" t="n">
        <v>20.15</v>
      </c>
      <c r="N14" s="5" t="n"/>
      <c r="O14" s="5" t="n">
        <v>108.48</v>
      </c>
      <c r="P14" s="5">
        <f>O14/I14</f>
        <v/>
      </c>
      <c r="Q14" s="5" t="n">
        <v>26.79</v>
      </c>
      <c r="R14" s="5" t="n">
        <v>26.79</v>
      </c>
      <c r="S14" s="6" t="n">
        <v>0</v>
      </c>
      <c r="T14" s="7" t="n"/>
      <c r="U14" s="7" t="n"/>
      <c r="V14" s="7" t="n">
        <v>1</v>
      </c>
      <c r="W14" s="5" t="n"/>
      <c r="X14" s="5" t="n">
        <v>123.7</v>
      </c>
      <c r="Y14" s="5" t="n">
        <v>330.03</v>
      </c>
      <c r="Z14" s="5" t="n">
        <v>151.52</v>
      </c>
      <c r="AA14" s="5">
        <f>IF(X14&lt;50,IF(Y14&gt;(2.3*X14),0,1),1)-IF(Z14&gt;Y14,1.7,0)</f>
        <v/>
      </c>
      <c r="AB14" s="5" t="n">
        <v>104</v>
      </c>
      <c r="AC14" s="5">
        <f>IF(AB14&gt;4,1,0)+IF(AB14&gt;10,0.7,0)</f>
        <v/>
      </c>
      <c r="AD14" s="5" t="n">
        <v>5.61</v>
      </c>
      <c r="AE14" s="5" t="n">
        <v>20.07</v>
      </c>
      <c r="AF14" s="5" t="n">
        <v>31.37</v>
      </c>
      <c r="AG14" s="6">
        <f>IF(G14&lt;52,0,0.7)+IF(G14&lt;34,0,0.7)+IF(G14&lt;1,0,0.7)+IF(P14&gt;14.56,0,1)+IF(R14&lt;9,0.5,0)+IF(R14&lt;33.8,0.5,0)+IF(R14&lt;50,0.5,0)+IF(R14&lt;80,0.5,0)+IF(S14=5,0,S14)+IF(V14&gt;0,1,-1)+IF(AE14&lt;10.56,0,1)-IF(AE14&lt;3,1,0)-IF(AE14&lt;1,1,0)</f>
        <v/>
      </c>
      <c r="AH14" s="5">
        <f>AG14+IF(X14&lt;1.35,0,1)+IF(Y14&lt;1.35,0,1)+IF(Y14&lt;0.7,-1,0)+AC14+AA14</f>
        <v/>
      </c>
      <c r="AI14" s="5" t="n">
        <v>11</v>
      </c>
      <c r="AJ14" s="5">
        <f>IF(AI14&gt;12.7,IF(AI14&gt;15.8,0.93,0.98),1)</f>
        <v/>
      </c>
      <c r="AK14" s="5">
        <f>(1.5*AG14+AH14)*AJ14*AQ14</f>
        <v/>
      </c>
      <c r="AL14" s="4">
        <f>D14</f>
        <v/>
      </c>
      <c r="AM14" s="8">
        <f>B14</f>
        <v/>
      </c>
      <c r="AN14" s="7" t="n"/>
      <c r="AO14" s="61">
        <f>IF(Z14&lt;2.81,0,IF(AK14&gt;13.7,IF(Z14&lt;140,1,0),0))</f>
        <v/>
      </c>
      <c r="AP14" s="7">
        <f>IF(AK14&gt;13.93,IF(Z14&lt;300,IF(Z14&lt;35,IF(Z14&lt;6,3,2),1),0),0)</f>
        <v/>
      </c>
      <c r="AQ14" s="5" t="n">
        <v>1</v>
      </c>
      <c r="AR14" s="7">
        <f>IF(AO14=1,IF(AO14=AL14,1,0),5)</f>
        <v/>
      </c>
      <c r="AS14" s="4" t="n">
        <v>146</v>
      </c>
      <c r="AT14" s="5" t="n"/>
      <c r="AU14" s="5">
        <f>AS14</f>
        <v/>
      </c>
      <c r="AV14" s="5">
        <f>(AT14+AU14)/2</f>
        <v/>
      </c>
      <c r="AW14" s="4" t="n">
        <v>277</v>
      </c>
      <c r="AX14" s="4">
        <f>IF(AW14&gt;AV14,1,0)</f>
        <v/>
      </c>
      <c r="AY14" s="4">
        <f>(100*(AU14-AS14)/AS14)</f>
        <v/>
      </c>
      <c r="AZ14" s="4">
        <f>IF(AY14&lt;-50,-4,IF(AY14&lt;-20,-2,IF(AY14&lt;0,-1.5,IF(AY14=0,0,IF(AY14&lt;10,1.5,IF(AY14&lt;20,2,IF(AY14&gt;19,2.5,2.5)))))))</f>
        <v/>
      </c>
      <c r="BA14" s="7" t="n"/>
      <c r="BB14" s="5" t="n"/>
      <c r="BC14" s="5" t="n"/>
      <c r="BD14" s="5" t="n"/>
      <c r="BE14" s="5" t="n"/>
      <c r="BF14" s="5" t="n">
        <v>509</v>
      </c>
      <c r="BG14" s="5" t="n">
        <v>248.630136986301</v>
      </c>
      <c r="BH14" s="5" t="n">
        <v>83.7545126353791</v>
      </c>
    </row>
    <row r="15" ht="12.75" customHeight="1">
      <c r="B15" s="9" t="inlineStr">
        <is>
          <t>Purple United Sales</t>
        </is>
      </c>
      <c r="C15" s="4" t="n">
        <v>2024</v>
      </c>
      <c r="D15" s="4" t="n">
        <v>1</v>
      </c>
      <c r="E15" s="5" t="n">
        <v>25.62</v>
      </c>
      <c r="F15" s="5" t="n">
        <v>17.33</v>
      </c>
      <c r="G15" s="5">
        <f>100*(F15-E15)/F15</f>
        <v/>
      </c>
      <c r="H15" s="4" t="n">
        <v>49.13</v>
      </c>
      <c r="I15" s="5" t="n">
        <v>4.81</v>
      </c>
      <c r="J15" s="5" t="n"/>
      <c r="K15" s="5" t="n">
        <v>6.87</v>
      </c>
      <c r="L15" s="5" t="n"/>
      <c r="M15" s="5" t="n">
        <v>9.869999999999999</v>
      </c>
      <c r="N15" s="5" t="n"/>
      <c r="O15" s="5" t="n">
        <v>42.77</v>
      </c>
      <c r="P15" s="5">
        <f>O15/I15</f>
        <v/>
      </c>
      <c r="Q15" s="5" t="n">
        <v>18.39</v>
      </c>
      <c r="R15" s="5" t="n">
        <v>18.39</v>
      </c>
      <c r="S15" s="6" t="n">
        <v>0</v>
      </c>
      <c r="T15" s="7" t="n"/>
      <c r="U15" s="7" t="n"/>
      <c r="V15" s="7" t="n">
        <v>1</v>
      </c>
      <c r="W15" s="5" t="n"/>
      <c r="X15" s="5" t="n">
        <v>86.3</v>
      </c>
      <c r="Y15" s="5" t="n">
        <v>269.7</v>
      </c>
      <c r="Z15" s="5" t="n">
        <v>155.29</v>
      </c>
      <c r="AA15" s="5">
        <f>IF(X15&lt;50,IF(Y15&gt;(2.3*X15),0,1),1)-IF(Z15&gt;Y15,1.7,0)</f>
        <v/>
      </c>
      <c r="AB15" s="5" t="n">
        <v>63</v>
      </c>
      <c r="AC15" s="5">
        <f>IF(AB15&gt;4,1,0)+IF(AB15&gt;10,0.7,0)</f>
        <v/>
      </c>
      <c r="AD15" s="5" t="n">
        <v>223</v>
      </c>
      <c r="AE15" s="5" t="n">
        <v>66</v>
      </c>
      <c r="AF15" s="5" t="n">
        <v>67</v>
      </c>
      <c r="AG15" s="6">
        <f>IF(G15&lt;52,0,0.7)+IF(G15&lt;34,0,0.7)+IF(G15&lt;1,0,0.7)+IF(P15&gt;14.56,0,1)+IF(R15&lt;9,0.5,0)+IF(R15&lt;33.8,0.5,0)+IF(R15&lt;50,0.5,0)+IF(R15&lt;80,0.5,0)+IF(S15=5,0,S15)+IF(V15&gt;0,1,-1)+IF(AE15&lt;10.56,0,1)-IF(AE15&lt;3,1,0)-IF(AE15&lt;1,1,0)</f>
        <v/>
      </c>
      <c r="AH15" s="5">
        <f>AG15+IF(X15&lt;1.35,0,1)+IF(Y15&lt;1.35,0,1)+IF(Y15&lt;0.7,-1,0)+AC15+AA15</f>
        <v/>
      </c>
      <c r="AI15" s="5" t="n">
        <v>11</v>
      </c>
      <c r="AJ15" s="5">
        <f>IF(AI15&gt;12.7,IF(AI15&gt;15.8,0.93,0.98),1)</f>
        <v/>
      </c>
      <c r="AK15" s="5">
        <f>(1.5*AG15+AH15)*AJ15*AQ15</f>
        <v/>
      </c>
      <c r="AL15" s="4">
        <f>D15</f>
        <v/>
      </c>
      <c r="AM15" s="8">
        <f>B15</f>
        <v/>
      </c>
      <c r="AN15" s="7" t="n"/>
      <c r="AO15" s="61">
        <f>IF(Z15&lt;2.81,0,IF(AK15&gt;13.7,IF(Z15&lt;140,1,0),0))</f>
        <v/>
      </c>
      <c r="AP15" s="7">
        <f>IF(AK15&gt;13.93,IF(Z15&lt;300,IF(Z15&lt;35,IF(Z15&lt;6,3,2),1),0),0)</f>
        <v/>
      </c>
      <c r="AQ15" s="5" t="n">
        <v>1</v>
      </c>
      <c r="AR15" s="7">
        <f>IF(AO15=1,IF(AO15=AL15,1,0),5)</f>
        <v/>
      </c>
      <c r="AS15" s="4" t="n">
        <v>126</v>
      </c>
      <c r="AT15" s="5" t="n"/>
      <c r="AU15" s="5">
        <f>AS15</f>
        <v/>
      </c>
      <c r="AV15" s="5">
        <f>(AT15+AU15)/2</f>
        <v/>
      </c>
      <c r="AW15" s="4" t="n">
        <v>199</v>
      </c>
      <c r="AX15" s="4">
        <f>IF(AW15&gt;AV15,1,0)</f>
        <v/>
      </c>
      <c r="AY15" s="4">
        <f>(100*(AU15-AS15)/AS15)</f>
        <v/>
      </c>
      <c r="AZ15" s="4">
        <f>IF(AY15&lt;-50,-4,IF(AY15&lt;-20,-2,IF(AY15&lt;0,-1.5,IF(AY15=0,0,IF(AY15&lt;10,1.5,IF(AY15&lt;20,2,IF(AY15&gt;19,2.5,2.5)))))))</f>
        <v/>
      </c>
      <c r="BA15" s="7" t="n"/>
      <c r="BB15" s="5" t="n">
        <v>208</v>
      </c>
      <c r="BC15" s="5" t="n">
        <v>220</v>
      </c>
      <c r="BD15" s="5" t="n">
        <v>230</v>
      </c>
      <c r="BE15" s="5" t="n">
        <v>588</v>
      </c>
      <c r="BF15" s="5" t="n">
        <v>576</v>
      </c>
      <c r="BG15" s="5" t="n">
        <v>357.142857142857</v>
      </c>
      <c r="BH15" s="5" t="n">
        <v>189.447236180905</v>
      </c>
    </row>
    <row r="16" ht="12.75" customHeight="1">
      <c r="B16" s="9" t="inlineStr">
        <is>
          <t>Toss The Coin</t>
        </is>
      </c>
      <c r="C16" s="4" t="n">
        <v>2024</v>
      </c>
      <c r="D16" s="4" t="n">
        <v>1</v>
      </c>
      <c r="E16" s="5" t="n">
        <v>0</v>
      </c>
      <c r="F16" s="5" t="n">
        <v>4.99</v>
      </c>
      <c r="G16" s="5">
        <f>100*(F16-E16)/F16</f>
        <v/>
      </c>
      <c r="H16" s="4" t="n">
        <v>5.15</v>
      </c>
      <c r="I16" s="5" t="n">
        <v>1.1</v>
      </c>
      <c r="J16" s="5" t="n"/>
      <c r="K16" s="5" t="n">
        <v>7.93</v>
      </c>
      <c r="L16" s="5" t="n"/>
      <c r="M16" s="5" t="n">
        <v>1.48</v>
      </c>
      <c r="N16" s="5" t="n"/>
      <c r="O16" s="5" t="n">
        <v>4.96</v>
      </c>
      <c r="P16" s="5">
        <f>O16/I16</f>
        <v/>
      </c>
      <c r="Q16" s="5" t="n">
        <v>22.95</v>
      </c>
      <c r="R16" s="5" t="n">
        <v>22.95</v>
      </c>
      <c r="S16" s="6" t="n">
        <v>0</v>
      </c>
      <c r="T16" s="7" t="n"/>
      <c r="U16" s="7" t="n"/>
      <c r="V16" s="7" t="n">
        <v>1</v>
      </c>
      <c r="W16" s="5" t="n"/>
      <c r="X16" s="5" t="n">
        <v>147.69</v>
      </c>
      <c r="Y16" s="5" t="n">
        <v>964.1799999999999</v>
      </c>
      <c r="Z16" s="5" t="n">
        <v>1550.76</v>
      </c>
      <c r="AA16" s="5">
        <f>IF(X16&lt;50,IF(Y16&gt;(2.3*X16),0,1),1)-IF(Z16&gt;Y16,1.7,0)</f>
        <v/>
      </c>
      <c r="AB16" s="5" t="n">
        <v>117</v>
      </c>
      <c r="AC16" s="5">
        <f>IF(AB16&gt;4,1,0)+IF(AB16&gt;10,0.7,0)</f>
        <v/>
      </c>
      <c r="AD16" s="5" t="n">
        <v>-38.2</v>
      </c>
      <c r="AE16" s="5" t="n">
        <v>2.69</v>
      </c>
      <c r="AF16" s="5" t="n">
        <v>11.88</v>
      </c>
      <c r="AG16" s="6">
        <f>IF(G16&lt;52,0,0.7)+IF(G16&lt;34,0,0.7)+IF(G16&lt;1,0,0.7)+IF(P16&gt;14.56,0,1)+IF(R16&lt;9,0.5,0)+IF(R16&lt;33.8,0.5,0)+IF(R16&lt;50,0.5,0)+IF(R16&lt;80,0.5,0)+IF(S16=5,0,S16)+IF(V16&gt;0,1,-1)+IF(AE16&lt;10.56,0,1)-IF(AE16&lt;3,1,0)-IF(AE16&lt;1,1,0)</f>
        <v/>
      </c>
      <c r="AH16" s="5">
        <f>AG16+IF(X16&lt;1.35,0,1)+IF(Y16&lt;1.35,0,1)+IF(Y16&lt;0.7,-1,0)+AC16+AA16</f>
        <v/>
      </c>
      <c r="AI16" s="5" t="n">
        <v>11</v>
      </c>
      <c r="AJ16" s="5">
        <f>IF(AI16&gt;12.7,IF(AI16&gt;15.8,0.93,0.98),1)</f>
        <v/>
      </c>
      <c r="AK16" s="5">
        <f>(1.5*AG16+AH16)*AJ16*AQ16</f>
        <v/>
      </c>
      <c r="AL16" s="4">
        <f>D16</f>
        <v/>
      </c>
      <c r="AM16" s="8">
        <f>B16</f>
        <v/>
      </c>
      <c r="AN16" s="7" t="n"/>
      <c r="AO16" s="61">
        <f>IF(Z16&lt;2.81,0,IF(AK16&gt;13.7,IF(Z16&lt;140,1,0),0))</f>
        <v/>
      </c>
      <c r="AP16" s="7">
        <f>IF(AK16&gt;13.93,IF(Z16&lt;300,IF(Z16&lt;35,IF(Z16&lt;6,3,2),1),0),0)</f>
        <v/>
      </c>
      <c r="AQ16" s="5" t="n">
        <v>1</v>
      </c>
      <c r="AR16" s="7">
        <f>IF(AO16=1,IF(AO16=AL16,1,0),5)</f>
        <v/>
      </c>
      <c r="AS16" s="4" t="n">
        <v>182</v>
      </c>
      <c r="AT16" s="5" t="n"/>
      <c r="AU16" s="5">
        <f>AS16</f>
        <v/>
      </c>
      <c r="AV16" s="5">
        <f>(AT16+AU16)/2</f>
        <v/>
      </c>
      <c r="AW16" s="4" t="n">
        <v>346</v>
      </c>
      <c r="AX16" s="4">
        <f>IF(AW16&gt;AV16,1,0)</f>
        <v/>
      </c>
      <c r="AY16" s="4">
        <f>(100*(AU16-AS16)/AS16)</f>
        <v/>
      </c>
      <c r="AZ16" s="4">
        <f>IF(AY16&lt;-50,-4,IF(AY16&lt;-20,-2,IF(AY16&lt;0,-1.5,IF(AY16=0,0,IF(AY16&lt;10,1.5,IF(AY16&lt;20,2,IF(AY16&gt;19,2.5,2.5)))))))</f>
        <v/>
      </c>
      <c r="BA16" s="7" t="n"/>
      <c r="BB16" s="5" t="n"/>
      <c r="BC16" s="5" t="n"/>
      <c r="BD16" s="5" t="n"/>
      <c r="BE16" s="5" t="n"/>
      <c r="BF16" s="5" t="n">
        <v>308</v>
      </c>
      <c r="BG16" s="5" t="n">
        <v>69.2307692307692</v>
      </c>
      <c r="BH16" s="5" t="n">
        <v>-10.9826589595376</v>
      </c>
    </row>
    <row r="17" ht="12.75" customHeight="1">
      <c r="B17" s="9" t="inlineStr">
        <is>
          <t>Ape Ecotech</t>
        </is>
      </c>
      <c r="C17" s="4" t="n">
        <v>2024</v>
      </c>
      <c r="D17" s="4" t="n">
        <v>1</v>
      </c>
      <c r="E17" s="5" t="n">
        <v>0.42</v>
      </c>
      <c r="F17" s="5" t="n">
        <v>14.74</v>
      </c>
      <c r="G17" s="5">
        <f>100*(F17-E17)/F17</f>
        <v/>
      </c>
      <c r="H17" s="4" t="n">
        <v>25.56</v>
      </c>
      <c r="I17" s="5" t="n">
        <v>6.63</v>
      </c>
      <c r="J17" s="5" t="n"/>
      <c r="K17" s="5" t="n">
        <v>7.25</v>
      </c>
      <c r="L17" s="5" t="n"/>
      <c r="M17" s="5" t="n">
        <v>9.039999999999999</v>
      </c>
      <c r="N17" s="5" t="n"/>
      <c r="O17" s="5" t="n">
        <v>53.08</v>
      </c>
      <c r="P17" s="5">
        <f>O17/I17</f>
        <v/>
      </c>
      <c r="Q17" s="5" t="n">
        <v>10.07</v>
      </c>
      <c r="R17" s="5" t="n">
        <v>10.07</v>
      </c>
      <c r="S17" s="6" t="n">
        <v>0</v>
      </c>
      <c r="T17" s="7" t="n"/>
      <c r="U17" s="7" t="n"/>
      <c r="V17" s="7" t="n">
        <v>1</v>
      </c>
      <c r="W17" s="5" t="n"/>
      <c r="X17" s="5" t="n">
        <v>136.69</v>
      </c>
      <c r="Y17" s="5" t="n">
        <v>1179.62</v>
      </c>
      <c r="Z17" s="5" t="n">
        <v>329.65</v>
      </c>
      <c r="AA17" s="5">
        <f>IF(X17&lt;50,IF(Y17&gt;(2.3*X17),0,1),1)-IF(Z17&gt;Y17,1.7,0)</f>
        <v/>
      </c>
      <c r="AB17" s="5" t="n">
        <v>61</v>
      </c>
      <c r="AC17" s="5">
        <f>IF(AB17&gt;4,1,0)+IF(AB17&gt;10,0.7,0)</f>
        <v/>
      </c>
      <c r="AD17" s="5" t="n">
        <v>88</v>
      </c>
      <c r="AE17" s="5" t="n">
        <v>53</v>
      </c>
      <c r="AF17" s="5" t="n">
        <v>104</v>
      </c>
      <c r="AG17" s="6">
        <f>IF(G17&lt;52,0,0.7)+IF(G17&lt;34,0,0.7)+IF(G17&lt;1,0,0.7)+IF(P17&gt;14.56,0,1)+IF(R17&lt;9,0.5,0)+IF(R17&lt;33.8,0.5,0)+IF(R17&lt;50,0.5,0)+IF(R17&lt;80,0.5,0)+IF(S17=5,0,S17)+IF(V17&gt;0,1,-1)+IF(AE17&lt;10.56,0,1)-IF(AE17&lt;3,1,0)-IF(AE17&lt;1,1,0)</f>
        <v/>
      </c>
      <c r="AH17" s="5">
        <f>AG17+IF(X17&lt;1.35,0,1)+IF(Y17&lt;1.35,0,1)+IF(Y17&lt;0.7,-1,0)+AC17+AA17</f>
        <v/>
      </c>
      <c r="AI17" s="5" t="n">
        <v>11</v>
      </c>
      <c r="AJ17" s="5">
        <f>IF(AI17&gt;12.7,IF(AI17&gt;15.8,0.93,0.98),1)</f>
        <v/>
      </c>
      <c r="AK17" s="5">
        <f>(1.5*AG17+AH17)*AJ17*AQ17</f>
        <v/>
      </c>
      <c r="AL17" s="4">
        <f>D17</f>
        <v/>
      </c>
      <c r="AM17" s="8">
        <f>B17</f>
        <v/>
      </c>
      <c r="AN17" s="7" t="n"/>
      <c r="AO17" s="61">
        <f>IF(Z17&lt;2.81,0,IF(AK17&gt;13.7,IF(Z17&lt;140,1,0),0))</f>
        <v/>
      </c>
      <c r="AP17" s="7">
        <f>IF(AK17&gt;13.93,IF(Z17&lt;300,IF(Z17&lt;35,IF(Z17&lt;6,3,2),1),0),0)</f>
        <v/>
      </c>
      <c r="AQ17" s="5" t="n">
        <v>1</v>
      </c>
      <c r="AR17" s="7">
        <f>IF(AO17=1,IF(AO17=AL17,1,0),5)</f>
        <v/>
      </c>
      <c r="AS17" s="4" t="n">
        <v>73</v>
      </c>
      <c r="AT17" s="5" t="n"/>
      <c r="AU17" s="5">
        <f>AS17</f>
        <v/>
      </c>
      <c r="AV17" s="5">
        <f>(AT17+AU17)/2</f>
        <v/>
      </c>
      <c r="AW17" s="4" t="n">
        <v>139</v>
      </c>
      <c r="AX17" s="4">
        <f>IF(AW17&gt;AV17,1,0)</f>
        <v/>
      </c>
      <c r="AY17" s="4">
        <f>(100*(AU17-AS17)/AS17)</f>
        <v/>
      </c>
      <c r="AZ17" s="4">
        <f>IF(AY17&lt;-50,-4,IF(AY17&lt;-20,-2,IF(AY17&lt;0,-1.5,IF(AY17=0,0,IF(AY17&lt;10,1.5,IF(AY17&lt;20,2,IF(AY17&gt;19,2.5,2.5)))))))</f>
        <v/>
      </c>
      <c r="BA17" s="7" t="n"/>
      <c r="BB17" s="5" t="n"/>
      <c r="BC17" s="5" t="n"/>
      <c r="BD17" s="5" t="n"/>
      <c r="BE17" s="5" t="n"/>
      <c r="BF17" s="5" t="n">
        <v>124</v>
      </c>
      <c r="BG17" s="5" t="n">
        <v>69.8630136986301</v>
      </c>
      <c r="BH17" s="5" t="n">
        <v>-10.7913669064748</v>
      </c>
    </row>
    <row r="18" ht="12.75" customHeight="1">
      <c r="B18" s="9" t="inlineStr">
        <is>
          <t>Lakshya Powertech</t>
        </is>
      </c>
      <c r="C18" s="4" t="n">
        <v>2024</v>
      </c>
      <c r="D18" s="4" t="n">
        <v>1</v>
      </c>
      <c r="E18" s="5" t="n">
        <v>29</v>
      </c>
      <c r="F18" s="5" t="n">
        <v>31.73</v>
      </c>
      <c r="G18" s="5">
        <f>100*(F18-E18)/F18</f>
        <v/>
      </c>
      <c r="H18" s="4" t="n">
        <v>82.45999999999999</v>
      </c>
      <c r="I18" s="5" t="n">
        <v>14.95</v>
      </c>
      <c r="J18" s="5" t="n"/>
      <c r="K18" s="5" t="n">
        <v>21.75</v>
      </c>
      <c r="L18" s="5" t="n"/>
      <c r="M18" s="5" t="n">
        <v>23.27</v>
      </c>
      <c r="N18" s="5" t="n"/>
      <c r="O18" s="5" t="n">
        <v>148.13</v>
      </c>
      <c r="P18" s="5">
        <f>O18/I18</f>
        <v/>
      </c>
      <c r="Q18" s="5" t="n">
        <v>8.279999999999999</v>
      </c>
      <c r="R18" s="5" t="n">
        <v>8.279999999999999</v>
      </c>
      <c r="S18" s="6" t="n">
        <v>0</v>
      </c>
      <c r="T18" s="7" t="n"/>
      <c r="U18" s="7" t="n"/>
      <c r="V18" s="7" t="n">
        <v>1</v>
      </c>
      <c r="W18" s="5" t="n"/>
      <c r="X18" s="5" t="n">
        <v>212.18</v>
      </c>
      <c r="Y18" s="5" t="n">
        <v>1117.75</v>
      </c>
      <c r="Z18" s="5" t="n">
        <v>590.26</v>
      </c>
      <c r="AA18" s="5">
        <f>IF(X18&lt;50,IF(Y18&gt;(2.3*X18),0,1),1)-IF(Z18&gt;Y18,1.7,0)</f>
        <v/>
      </c>
      <c r="AB18" s="5" t="n">
        <v>94</v>
      </c>
      <c r="AC18" s="5">
        <f>IF(AB18&gt;4,1,0)+IF(AB18&gt;10,0.7,0)</f>
        <v/>
      </c>
      <c r="AD18" s="5" t="n">
        <v>452</v>
      </c>
      <c r="AE18" s="5" t="n">
        <v>181</v>
      </c>
      <c r="AF18" s="5" t="n">
        <v>381</v>
      </c>
      <c r="AG18" s="6">
        <f>IF(G18&lt;52,0,0.7)+IF(G18&lt;34,0,0.7)+IF(G18&lt;1,0,0.7)+IF(P18&gt;14.56,0,1)+IF(R18&lt;9,0.5,0)+IF(R18&lt;33.8,0.5,0)+IF(R18&lt;50,0.5,0)+IF(R18&lt;80,0.5,0)+IF(S18=5,0,S18)+IF(V18&gt;0,1,-1)+IF(AE18&lt;10.56,0,1)-IF(AE18&lt;3,1,0)-IF(AE18&lt;1,1,0)</f>
        <v/>
      </c>
      <c r="AH18" s="5">
        <f>AG18+IF(X18&lt;1.35,0,1)+IF(Y18&lt;1.35,0,1)+IF(Y18&lt;0.7,-1,0)+AC18+AA18</f>
        <v/>
      </c>
      <c r="AI18" s="5" t="n">
        <v>11</v>
      </c>
      <c r="AJ18" s="5">
        <f>IF(AI18&gt;12.7,IF(AI18&gt;15.8,0.93,0.98),1)</f>
        <v/>
      </c>
      <c r="AK18" s="5">
        <f>(1.5*AG18+AH18)*AJ18*AQ18</f>
        <v/>
      </c>
      <c r="AL18" s="4">
        <f>D18</f>
        <v/>
      </c>
      <c r="AM18" s="8">
        <f>B18</f>
        <v/>
      </c>
      <c r="AN18" s="7" t="n"/>
      <c r="AO18" s="61">
        <f>IF(Z18&lt;2.81,0,IF(AK18&gt;13.7,IF(Z18&lt;140,1,0),0))</f>
        <v/>
      </c>
      <c r="AP18" s="7">
        <f>IF(AK18&gt;13.93,IF(Z18&lt;300,IF(Z18&lt;35,IF(Z18&lt;6,3,2),1),0),0)</f>
        <v/>
      </c>
      <c r="AQ18" s="5" t="n">
        <v>1</v>
      </c>
      <c r="AR18" s="7">
        <f>IF(AO18=1,IF(AO18=AL18,1,0),5)</f>
        <v/>
      </c>
      <c r="AS18" s="4" t="n">
        <v>180</v>
      </c>
      <c r="AT18" s="5" t="n"/>
      <c r="AU18" s="5">
        <f>AS18</f>
        <v/>
      </c>
      <c r="AV18" s="5">
        <f>(AT18+AU18)/2</f>
        <v/>
      </c>
      <c r="AW18" s="4" t="n">
        <v>342</v>
      </c>
      <c r="AX18" s="4">
        <f>IF(AW18&gt;AV18,1,0)</f>
        <v/>
      </c>
      <c r="AY18" s="4">
        <f>(100*(AU18-AS18)/AS18)</f>
        <v/>
      </c>
      <c r="AZ18" s="4">
        <f>IF(AY18&lt;-50,-4,IF(AY18&lt;-20,-2,IF(AY18&lt;0,-1.5,IF(AY18=0,0,IF(AY18&lt;10,1.5,IF(AY18&lt;20,2,IF(AY18&gt;19,2.5,2.5)))))))</f>
        <v/>
      </c>
      <c r="BA18" s="7" t="n"/>
      <c r="BB18" s="5" t="n">
        <v>358</v>
      </c>
      <c r="BC18" s="5" t="n">
        <v>340</v>
      </c>
      <c r="BD18" s="5" t="n">
        <v>322</v>
      </c>
      <c r="BE18" s="5" t="n"/>
      <c r="BF18" s="5" t="n">
        <v>129</v>
      </c>
      <c r="BG18" s="5" t="n">
        <v>-28.3333333333333</v>
      </c>
      <c r="BH18" s="5" t="n">
        <v>-62.280701754386</v>
      </c>
    </row>
    <row r="19" ht="12.75" customHeight="1">
      <c r="B19" s="9" t="inlineStr">
        <is>
          <t>TechEra Engineering</t>
        </is>
      </c>
      <c r="C19" s="4" t="n">
        <v>2024</v>
      </c>
      <c r="D19" s="4" t="n">
        <v>1</v>
      </c>
      <c r="E19" s="5" t="n">
        <v>6.89</v>
      </c>
      <c r="F19" s="5" t="n">
        <v>16.04</v>
      </c>
      <c r="G19" s="5">
        <f>100*(F19-E19)/F19</f>
        <v/>
      </c>
      <c r="H19" s="4" t="n">
        <v>37.28</v>
      </c>
      <c r="I19" s="5" t="n">
        <v>4.82</v>
      </c>
      <c r="J19" s="5" t="n"/>
      <c r="K19" s="5" t="n">
        <v>4.14</v>
      </c>
      <c r="L19" s="5" t="n"/>
      <c r="M19" s="5" t="n">
        <v>9.09</v>
      </c>
      <c r="N19" s="5" t="n"/>
      <c r="O19" s="5" t="n">
        <v>39.08</v>
      </c>
      <c r="P19" s="5">
        <f>O19/I19</f>
        <v/>
      </c>
      <c r="Q19" s="5" t="n">
        <v>19.8</v>
      </c>
      <c r="R19" s="5" t="n">
        <v>19.8</v>
      </c>
      <c r="S19" s="6" t="n">
        <v>0</v>
      </c>
      <c r="T19" s="7" t="n"/>
      <c r="U19" s="7" t="n"/>
      <c r="V19" s="7" t="n">
        <v>1</v>
      </c>
      <c r="W19" s="5" t="n"/>
      <c r="X19" s="5" t="n">
        <v>31.22</v>
      </c>
      <c r="Y19" s="5" t="n">
        <v>128.88</v>
      </c>
      <c r="Z19" s="5" t="n">
        <v>66.52</v>
      </c>
      <c r="AA19" s="5">
        <f>IF(X19&lt;50,IF(Y19&gt;(2.3*X19),0,1),1)-IF(Z19&gt;Y19,1.7,0)</f>
        <v/>
      </c>
      <c r="AB19" s="5" t="n">
        <v>21.9</v>
      </c>
      <c r="AC19" s="5">
        <f>IF(AB19&gt;4,1,0)+IF(AB19&gt;10,0.7,0)</f>
        <v/>
      </c>
      <c r="AD19" s="5" t="n">
        <v>269</v>
      </c>
      <c r="AE19" s="5" t="n">
        <v>47</v>
      </c>
      <c r="AF19" s="5" t="n">
        <v>1760</v>
      </c>
      <c r="AG19" s="6">
        <f>IF(G19&lt;52,0,0.7)+IF(G19&lt;34,0,0.7)+IF(G19&lt;1,0,0.7)+IF(P19&gt;14.56,0,1)+IF(R19&lt;9,0.5,0)+IF(R19&lt;33.8,0.5,0)+IF(R19&lt;50,0.5,0)+IF(R19&lt;80,0.5,0)+IF(S19=5,0,S19)+IF(V19&gt;0,1,-1)+IF(AE19&lt;10.56,0,1)-IF(AE19&lt;3,1,0)-IF(AE19&lt;1,1,0)</f>
        <v/>
      </c>
      <c r="AH19" s="5">
        <f>AG19+IF(X19&lt;1.35,0,1)+IF(Y19&lt;1.35,0,1)+IF(Y19&lt;0.7,-1,0)+AC19+AA19</f>
        <v/>
      </c>
      <c r="AI19" s="5" t="n">
        <v>11</v>
      </c>
      <c r="AJ19" s="5">
        <f>IF(AI19&gt;12.7,IF(AI19&gt;15.8,0.93,0.98),1)</f>
        <v/>
      </c>
      <c r="AK19" s="5">
        <f>(1.5*AG19+AH19)*AJ19*AQ19</f>
        <v/>
      </c>
      <c r="AL19" s="4">
        <f>D19</f>
        <v/>
      </c>
      <c r="AM19" s="8">
        <f>B19</f>
        <v/>
      </c>
      <c r="AN19" s="7" t="n"/>
      <c r="AO19" s="61">
        <f>IF(Z19&lt;2.81,0,IF(AK19&gt;13.7,IF(Z19&lt;140,1,0),0))</f>
        <v/>
      </c>
      <c r="AP19" s="7">
        <f>IF(AK19&gt;13.93,IF(Z19&lt;300,IF(Z19&lt;35,IF(Z19&lt;6,3,2),1),0),0)</f>
        <v/>
      </c>
      <c r="AQ19" s="5" t="n">
        <v>1</v>
      </c>
      <c r="AR19" s="7">
        <f>IF(AO19=1,IF(AO19=AL19,1,0),5)</f>
        <v/>
      </c>
      <c r="AS19" s="4" t="n">
        <v>82</v>
      </c>
      <c r="AT19" s="5" t="n"/>
      <c r="AU19" s="5">
        <f>AS19</f>
        <v/>
      </c>
      <c r="AV19" s="5">
        <f>(AT19+AU19)/2</f>
        <v/>
      </c>
      <c r="AW19" s="4" t="n">
        <v>125</v>
      </c>
      <c r="AX19" s="4">
        <f>IF(AW19&gt;AV19,1,0)</f>
        <v/>
      </c>
      <c r="AY19" s="4">
        <f>(100*(AU19-AS19)/AS19)</f>
        <v/>
      </c>
      <c r="AZ19" s="4">
        <f>IF(AY19&lt;-50,-4,IF(AY19&lt;-20,-2,IF(AY19&lt;0,-1.5,IF(AY19=0,0,IF(AY19&lt;10,1.5,IF(AY19&lt;20,2,IF(AY19&gt;19,2.5,2.5)))))))</f>
        <v/>
      </c>
      <c r="BA19" s="7" t="n"/>
      <c r="BB19" s="5" t="n"/>
      <c r="BC19" s="5" t="n"/>
      <c r="BD19" s="5" t="n"/>
      <c r="BE19" s="5" t="n"/>
      <c r="BF19" s="5" t="n">
        <v>295</v>
      </c>
      <c r="BG19" s="5" t="n">
        <v>259.756097560976</v>
      </c>
      <c r="BH19" s="5" t="n">
        <v>136</v>
      </c>
    </row>
    <row r="20" ht="12.75" customHeight="1">
      <c r="B20" s="10" t="inlineStr">
        <is>
          <t>Trident Techlabs SME</t>
        </is>
      </c>
      <c r="C20" s="4" t="n">
        <v>2023</v>
      </c>
      <c r="D20" s="4" t="n">
        <v>1</v>
      </c>
      <c r="E20" s="4" t="n">
        <v>22.99</v>
      </c>
      <c r="F20" s="4" t="n">
        <v>16.54</v>
      </c>
      <c r="G20" s="5">
        <f>100*(F20-E20)/F20</f>
        <v/>
      </c>
      <c r="H20" s="4" t="n">
        <v>49.81</v>
      </c>
      <c r="I20" s="4" t="n">
        <v>5.55</v>
      </c>
      <c r="J20" s="4" t="n"/>
      <c r="K20" s="4" t="n">
        <v>4.72</v>
      </c>
      <c r="L20" s="4" t="n"/>
      <c r="M20" s="4" t="n">
        <v>10.07</v>
      </c>
      <c r="N20" s="4" t="n"/>
      <c r="O20" s="4" t="n">
        <v>67.34999999999999</v>
      </c>
      <c r="P20" s="5">
        <f>O20/I20</f>
        <v/>
      </c>
      <c r="Q20" s="4" t="n">
        <v>13.62</v>
      </c>
      <c r="R20" s="5" t="n">
        <v>13.62</v>
      </c>
      <c r="S20" s="6" t="n">
        <v>0</v>
      </c>
      <c r="T20" s="7" t="n"/>
      <c r="U20" s="7" t="n"/>
      <c r="V20" s="7" t="n">
        <v>1</v>
      </c>
      <c r="W20" s="4" t="n"/>
      <c r="X20" s="4" t="n">
        <v>117.91</v>
      </c>
      <c r="Y20" s="4" t="n">
        <v>854.37</v>
      </c>
      <c r="Z20" s="4" t="n">
        <v>1059.43</v>
      </c>
      <c r="AA20" s="5">
        <f>IF(X20&lt;50,IF(Y20&gt;(2.3*X20),0,1),1)-IF(Z20&gt;Y20,1.7,0)</f>
        <v/>
      </c>
      <c r="AB20" s="5" t="n">
        <v>114.5</v>
      </c>
      <c r="AC20" s="5">
        <f>IF(AB20&gt;4,1,0)+IF(AB20&gt;10,0.7,0)</f>
        <v/>
      </c>
      <c r="AD20" s="4" t="n">
        <v>767</v>
      </c>
      <c r="AE20" s="4" t="n">
        <v>126</v>
      </c>
      <c r="AF20" s="4" t="n">
        <v>19.5</v>
      </c>
      <c r="AG20" s="6">
        <f>IF(G20&lt;52,0,0.7)+IF(G20&lt;34,0,0.7)+IF(G20&lt;1,0,0.7)+IF(P20&gt;14.56,0,1)+IF(R20&lt;9,0.5,0)+IF(R20&lt;33.8,0.5,0)+IF(R20&lt;50,0.5,0)+IF(R20&lt;80,0.5,0)+IF(S20=5,0,S20)+IF(V20&gt;0,1,-1)+IF(AE20&lt;10.56,0,1)-IF(AE20&lt;3,1,0)-IF(AE20&lt;1,1,0)</f>
        <v/>
      </c>
      <c r="AH20" s="5">
        <f>AG20+IF(X20&lt;1.35,0,1)+IF(Y20&lt;1.35,0,1)+IF(Y20&lt;0.7,-1,0)+AC20+AA20</f>
        <v/>
      </c>
      <c r="AI20" s="5" t="n">
        <v>11</v>
      </c>
      <c r="AJ20" s="5">
        <f>IF(AI20&gt;12.7,IF(AI20&gt;15.8,0.93,0.98),1)</f>
        <v/>
      </c>
      <c r="AK20" s="5">
        <f>(1.5*AG20+AH20)*AJ20*AQ20</f>
        <v/>
      </c>
      <c r="AL20" s="4">
        <f>D20</f>
        <v/>
      </c>
      <c r="AM20" s="8">
        <f>B20</f>
        <v/>
      </c>
      <c r="AN20" s="7" t="n"/>
      <c r="AO20" s="61">
        <f>IF(Z20&lt;2.81,0,IF(AK20&gt;13.7,IF(Z20&lt;140,1,0),0))</f>
        <v/>
      </c>
      <c r="AP20" s="7">
        <f>IF(AK20&gt;13.93,IF(Z20&lt;300,IF(Z20&lt;35,IF(Z20&lt;6,3,2),1),0),0)</f>
        <v/>
      </c>
      <c r="AQ20" s="5" t="n">
        <v>1</v>
      </c>
      <c r="AR20" s="7">
        <f>IF(AO20=1,IF(AO20=AL20,1,0),5)</f>
        <v/>
      </c>
      <c r="AS20" s="4" t="n">
        <v>1</v>
      </c>
      <c r="AT20" s="5" t="n"/>
      <c r="AU20" s="5">
        <f>AS20</f>
        <v/>
      </c>
      <c r="AV20" s="5">
        <f>(AT20+AU20)/2</f>
        <v/>
      </c>
      <c r="AW20" s="4" t="n">
        <v>1</v>
      </c>
      <c r="AX20" s="4">
        <f>IF(AW20&gt;AV20,1,0)</f>
        <v/>
      </c>
      <c r="AY20" s="4">
        <f>(100*(AU20-AS20)/AS20)</f>
        <v/>
      </c>
      <c r="AZ20" s="4">
        <f>IF(AY20&lt;-50,-4,IF(AY20&lt;-20,-2,IF(AY20&lt;0,-1.5,IF(AY20=0,0,IF(AY20&lt;10,1.5,IF(AY20&lt;20,2,IF(AY20&gt;19,2.5,2.5)))))))</f>
        <v/>
      </c>
      <c r="BA20" s="7" t="n"/>
      <c r="BB20" s="5" t="n"/>
      <c r="BC20" s="5" t="n"/>
      <c r="BD20" s="5" t="n"/>
      <c r="BE20" s="5" t="n"/>
      <c r="BF20" s="5" t="n"/>
      <c r="BG20" s="5" t="n"/>
      <c r="BH20" s="5" t="n"/>
    </row>
    <row r="21" ht="12.75" customHeight="1">
      <c r="B21" s="10" t="inlineStr">
        <is>
          <t>Shanti Spinte SME</t>
        </is>
      </c>
      <c r="C21" s="4" t="n">
        <v>2023</v>
      </c>
      <c r="D21" s="4" t="n">
        <v>1</v>
      </c>
      <c r="E21" s="4" t="n">
        <v>41.78</v>
      </c>
      <c r="F21" s="4" t="n">
        <v>56.04</v>
      </c>
      <c r="G21" s="5">
        <f>100*(F21-E21)/F21</f>
        <v/>
      </c>
      <c r="H21" s="4" t="n">
        <v>177.06</v>
      </c>
      <c r="I21" s="4" t="n">
        <v>10.13</v>
      </c>
      <c r="J21" s="4" t="n"/>
      <c r="K21" s="4" t="n">
        <v>7.13</v>
      </c>
      <c r="L21" s="4" t="n"/>
      <c r="M21" s="4" t="inlineStr">
        <is>
          <t>N/A</t>
        </is>
      </c>
      <c r="N21" s="4" t="n"/>
      <c r="O21" s="4" t="n">
        <v>370.71</v>
      </c>
      <c r="P21" s="5">
        <f>O21/I21</f>
        <v/>
      </c>
      <c r="Q21" s="4" t="n">
        <v>9.82</v>
      </c>
      <c r="R21" s="5" t="n">
        <v>9.82</v>
      </c>
      <c r="S21" s="6" t="n">
        <v>0</v>
      </c>
      <c r="T21" s="7" t="n"/>
      <c r="U21" s="7" t="n"/>
      <c r="V21" s="7" t="n">
        <v>1</v>
      </c>
      <c r="W21" s="4" t="n"/>
      <c r="X21" s="4" t="n">
        <v>4.27</v>
      </c>
      <c r="Y21" s="4" t="n">
        <v>2.86</v>
      </c>
      <c r="Z21" s="4" t="n">
        <v>2.81</v>
      </c>
      <c r="AA21" s="5">
        <f>IF(X21&lt;50,IF(Y21&gt;(2.3*X21),0,1),1)-IF(Z21&gt;Y21,1.7,0)</f>
        <v/>
      </c>
      <c r="AB21" s="5" t="n">
        <v>21</v>
      </c>
      <c r="AC21" s="5">
        <f>IF(AB21&gt;4,1,0)+IF(AB21&gt;10,0.7,0)</f>
        <v/>
      </c>
      <c r="AD21" s="4" t="n">
        <v>108</v>
      </c>
      <c r="AE21" s="4" t="n">
        <v>46</v>
      </c>
      <c r="AF21" s="4" t="n">
        <v>21</v>
      </c>
      <c r="AG21" s="6">
        <f>IF(G21&lt;52,0,0.7)+IF(G21&lt;34,0,0.7)+IF(G21&lt;1,0,0.7)+IF(P21&gt;14.56,0,1)+IF(R21&lt;9,0.5,0)+IF(R21&lt;33.8,0.5,0)+IF(R21&lt;50,0.5,0)+IF(R21&lt;80,0.5,0)+IF(S21=5,0,S21)+IF(V21&gt;0,1,-1)+IF(AE21&lt;10.56,0,1)-IF(AE21&lt;3,1,0)-IF(AE21&lt;1,1,0)</f>
        <v/>
      </c>
      <c r="AH21" s="5">
        <f>AG21+IF(X21&lt;1.35,0,1)+IF(Y21&lt;1.35,0,1)+IF(Y21&lt;0.7,-1,0)+AC21+AA21</f>
        <v/>
      </c>
      <c r="AI21" s="5" t="n">
        <v>11</v>
      </c>
      <c r="AJ21" s="5">
        <f>IF(AI21&gt;12.7,IF(AI21&gt;15.8,0.93,0.98),1)</f>
        <v/>
      </c>
      <c r="AK21" s="5">
        <f>(1.5*AG21+AH21)*AJ21*AQ21</f>
        <v/>
      </c>
      <c r="AL21" s="4">
        <f>D21</f>
        <v/>
      </c>
      <c r="AM21" s="8">
        <f>B21</f>
        <v/>
      </c>
      <c r="AN21" s="7" t="n"/>
      <c r="AO21" s="61">
        <f>IF(Z21&lt;2.81,0,IF(AK21&gt;13.7,IF(Z21&lt;140,1,0),0))</f>
        <v/>
      </c>
      <c r="AP21" s="7">
        <f>IF(AK21&gt;13.93,IF(Z21&lt;300,IF(Z21&lt;35,IF(Z21&lt;6,3,2),1),0),0)</f>
        <v/>
      </c>
      <c r="AQ21" s="5" t="n">
        <v>1</v>
      </c>
      <c r="AR21" s="7">
        <f>IF(AO21=1,IF(AO21=AL21,1,0),5)</f>
        <v/>
      </c>
      <c r="AS21" s="4" t="n">
        <v>1</v>
      </c>
      <c r="AT21" s="5" t="n"/>
      <c r="AU21" s="5">
        <f>AS21</f>
        <v/>
      </c>
      <c r="AV21" s="5">
        <f>(AT21+AU21)/2</f>
        <v/>
      </c>
      <c r="AW21" s="4" t="n">
        <v>1</v>
      </c>
      <c r="AX21" s="4">
        <f>IF(AW21&gt;AV21,1,0)</f>
        <v/>
      </c>
      <c r="AY21" s="4">
        <f>(100*(AU21-AS21)/AS21)</f>
        <v/>
      </c>
      <c r="AZ21" s="4">
        <f>IF(AY21&lt;-50,-4,IF(AY21&lt;-20,-2,IF(AY21&lt;0,-1.5,IF(AY21=0,0,IF(AY21&lt;10,1.5,IF(AY21&lt;20,2,IF(AY21&gt;19,2.5,2.5)))))))</f>
        <v/>
      </c>
      <c r="BA21" s="7" t="n"/>
      <c r="BB21" s="5" t="n"/>
      <c r="BC21" s="5" t="n"/>
      <c r="BD21" s="5" t="n"/>
      <c r="BE21" s="5" t="n"/>
      <c r="BF21" s="5" t="n"/>
      <c r="BG21" s="5" t="n"/>
      <c r="BH21" s="5" t="n"/>
    </row>
    <row r="22" ht="12.75" customHeight="1">
      <c r="B22" s="3" t="inlineStr">
        <is>
          <t>Bright Outdoor Media</t>
        </is>
      </c>
      <c r="C22" s="4" t="n">
        <v>2023</v>
      </c>
      <c r="D22" s="4" t="n">
        <v>1</v>
      </c>
      <c r="E22" s="4" t="n">
        <v>40.83</v>
      </c>
      <c r="F22" s="4" t="n">
        <v>36.79</v>
      </c>
      <c r="G22" s="5">
        <f>100*(F22-E22)/F22</f>
        <v/>
      </c>
      <c r="H22" s="4" t="n">
        <v>92.73999999999999</v>
      </c>
      <c r="I22" s="4" t="n">
        <v>2.59</v>
      </c>
      <c r="J22" s="4" t="n"/>
      <c r="K22" s="4" t="n">
        <v>2.56</v>
      </c>
      <c r="L22" s="4" t="n"/>
      <c r="M22" s="4" t="n">
        <v>6.95</v>
      </c>
      <c r="N22" s="4" t="n"/>
      <c r="O22" s="4" t="n">
        <v>50.9</v>
      </c>
      <c r="P22" s="5">
        <f>O22/I22</f>
        <v/>
      </c>
      <c r="Q22" s="4" t="n">
        <v>57.03</v>
      </c>
      <c r="R22" s="5" t="n">
        <v>57.03</v>
      </c>
      <c r="S22" s="6" t="n">
        <v>0</v>
      </c>
      <c r="T22" s="7" t="n"/>
      <c r="U22" s="7" t="n"/>
      <c r="V22" s="7" t="n">
        <v>0</v>
      </c>
      <c r="W22" s="4" t="n"/>
      <c r="X22" s="4" t="n">
        <v>0</v>
      </c>
      <c r="Y22" s="4" t="n">
        <v>1.39</v>
      </c>
      <c r="Z22" s="4" t="n">
        <v>1.15</v>
      </c>
      <c r="AA22" s="5">
        <f>IF(X22&lt;50,IF(Y22&gt;(2.3*X22),0,1),1)-IF(Z22&gt;Y22,1.7,0)</f>
        <v/>
      </c>
      <c r="AB22" s="5" t="n">
        <v>-3</v>
      </c>
      <c r="AC22" s="5">
        <f>IF(AB22&gt;4,1,0)+IF(AB22&gt;10,0.7,0)</f>
        <v/>
      </c>
      <c r="AD22" s="4" t="n">
        <v>140</v>
      </c>
      <c r="AE22" s="4" t="n">
        <v>104</v>
      </c>
      <c r="AF22" s="4" t="n">
        <v>7</v>
      </c>
      <c r="AG22" s="6">
        <f>IF(G22&lt;52,0,0.7)+IF(G22&lt;34,0,0.7)+IF(G22&lt;1,0,0.7)+IF(P22&gt;14.56,0,1)+IF(R22&lt;9,0.5,0)+IF(R22&lt;33.8,0.5,0)+IF(R22&lt;50,0.5,0)+IF(R22&lt;80,0.5,0)+IF(S22=5,0,S22)+IF(V22&gt;0,1,-1)+IF(AE22&lt;10.56,0,1)-IF(AE22&lt;3,1,0)-IF(AE22&lt;1,1,0)</f>
        <v/>
      </c>
      <c r="AH22" s="5">
        <f>AG22+IF(X22&lt;1.35,0,1)+IF(Y22&lt;1.35,0,1)+IF(Y22&lt;0.7,-1,0)+AC22+AA22</f>
        <v/>
      </c>
      <c r="AI22" s="5" t="n">
        <v>11</v>
      </c>
      <c r="AJ22" s="5">
        <f>IF(AI22&gt;12.7,IF(AI22&gt;15.8,0.93,0.98),1)</f>
        <v/>
      </c>
      <c r="AK22" s="5">
        <f>(1.5*AG22+AH22)*AJ22*AQ22</f>
        <v/>
      </c>
      <c r="AL22" s="4">
        <f>D22</f>
        <v/>
      </c>
      <c r="AM22" s="8">
        <f>B22</f>
        <v/>
      </c>
      <c r="AN22" s="7" t="n"/>
      <c r="AO22" s="61">
        <f>IF(Z22&lt;2.81,0,IF(AK22&gt;13.7,IF(Z22&lt;140,1,0),0))</f>
        <v/>
      </c>
      <c r="AP22" s="7">
        <f>IF(AK22&gt;13.93,IF(Z22&lt;300,IF(Z22&lt;35,IF(Z22&lt;6,3,2),1),0),0)</f>
        <v/>
      </c>
      <c r="AQ22" s="5" t="n">
        <v>1</v>
      </c>
      <c r="AR22" s="7">
        <f>IF(AO22=1,IF(AO22=AL22,1,0),5)</f>
        <v/>
      </c>
      <c r="AS22" s="4" t="n">
        <v>1</v>
      </c>
      <c r="AT22" s="5" t="n"/>
      <c r="AU22" s="5">
        <f>AS22</f>
        <v/>
      </c>
      <c r="AV22" s="5">
        <f>(AT22+AU22)/2</f>
        <v/>
      </c>
      <c r="AW22" s="4" t="n">
        <v>1</v>
      </c>
      <c r="AX22" s="4">
        <f>IF(AW22&gt;AV22,1,0)</f>
        <v/>
      </c>
      <c r="AY22" s="4">
        <f>(100*(AU22-AS22)/AS22)</f>
        <v/>
      </c>
      <c r="AZ22" s="4">
        <f>IF(AY22&lt;-50,-4,IF(AY22&lt;-20,-2,IF(AY22&lt;0,-1.5,IF(AY22=0,0,IF(AY22&lt;10,1.5,IF(AY22&lt;20,2,IF(AY22&gt;19,2.5,2.5)))))))</f>
        <v/>
      </c>
      <c r="BA22" s="7" t="n"/>
      <c r="BB22" s="5" t="n"/>
      <c r="BC22" s="5" t="n"/>
      <c r="BD22" s="5" t="n"/>
      <c r="BE22" s="5" t="n"/>
      <c r="BF22" s="5" t="n"/>
      <c r="BG22" s="5" t="n"/>
      <c r="BH22" s="5" t="n"/>
    </row>
    <row r="23" ht="12.75" customHeight="1">
      <c r="B23" s="12" t="inlineStr">
        <is>
          <t>Mittal Sections</t>
        </is>
      </c>
      <c r="C23" s="4" t="n">
        <v>2025</v>
      </c>
      <c r="D23" s="4" t="n">
        <v>0</v>
      </c>
      <c r="E23" s="5" t="n">
        <v>12.99</v>
      </c>
      <c r="F23" s="5" t="n">
        <v>9.140000000000001</v>
      </c>
      <c r="G23" s="5">
        <f>100*(F23-E23)/F23</f>
        <v/>
      </c>
      <c r="H23" s="5" t="n">
        <v>45.42</v>
      </c>
      <c r="I23" s="5" t="n">
        <v>3.61</v>
      </c>
      <c r="J23" s="5" t="n"/>
      <c r="K23" s="5" t="n">
        <v>2.41</v>
      </c>
      <c r="L23" s="5" t="n"/>
      <c r="M23" s="5" t="n">
        <v>7.79</v>
      </c>
      <c r="N23" s="5" t="n"/>
      <c r="O23" s="5" t="n">
        <v>136.86</v>
      </c>
      <c r="P23" s="5">
        <f>O23/I23</f>
        <v/>
      </c>
      <c r="Q23" s="5" t="n">
        <v>59.42</v>
      </c>
      <c r="R23" s="5" t="n">
        <v>18.79</v>
      </c>
      <c r="S23" s="6" t="n">
        <v>0</v>
      </c>
      <c r="T23" s="7" t="n"/>
      <c r="U23" s="7" t="n"/>
      <c r="V23" s="7" t="n">
        <v>0</v>
      </c>
      <c r="W23" s="5" t="n"/>
      <c r="X23" s="5" t="n">
        <v>1.13</v>
      </c>
      <c r="Y23" s="5" t="n">
        <v>0.55</v>
      </c>
      <c r="Z23" s="5" t="n">
        <v>4.08</v>
      </c>
      <c r="AA23" s="5">
        <f>IF(X23&lt;50,IF(Y23&gt;(2.3*X23),0,1),1)-IF(Z23&gt;Y23,1.7,0)</f>
        <v/>
      </c>
      <c r="AB23" s="5" t="n">
        <v>0</v>
      </c>
      <c r="AC23" s="5">
        <f>IF(AB23&gt;4,1,0)+IF(AB23&gt;10,0.7,0)</f>
        <v/>
      </c>
      <c r="AD23" s="5" t="n">
        <v>91</v>
      </c>
      <c r="AE23" s="5" t="n">
        <v>-15</v>
      </c>
      <c r="AF23" s="5" t="n">
        <v>35.81</v>
      </c>
      <c r="AG23" s="6">
        <f>IF(G23&lt;52,0,0.7)+IF(G23&lt;34,0,0.7)+IF(G23&lt;1,0,0.7)+IF(P23&gt;14.56,0,1)+IF(R23&lt;9,0.5,0)+IF(R23&lt;33.8,0.5,0)+IF(R23&lt;50,0.5,0)+IF(R23&lt;80,0.5,0)+IF(S23=5,0,S23)+IF(V23&gt;0,1,-1)+IF(AE23&lt;10.56,0,1)-IF(AE23&lt;3,1,0)-IF(AE23&lt;1,1,0)</f>
        <v/>
      </c>
      <c r="AH23" s="5">
        <f>AG23+IF(X23&lt;1.35,0,1)+IF(Y23&lt;1.35,0,1)+IF(Y23&lt;0.7,-1,0)+AC23+AA23</f>
        <v/>
      </c>
      <c r="AI23" s="5" t="n">
        <v>11</v>
      </c>
      <c r="AJ23" s="5">
        <f>IF(AI23&gt;12.7,IF(AI23&gt;15.8,0.93,0.98),1)</f>
        <v/>
      </c>
      <c r="AK23" s="5">
        <f>(1.5*AG23+AH23)*AJ23*AQ23</f>
        <v/>
      </c>
      <c r="AL23" s="4">
        <f>D23</f>
        <v/>
      </c>
      <c r="AM23" s="8">
        <f>B23</f>
        <v/>
      </c>
      <c r="AN23" s="7" t="n"/>
      <c r="AO23" s="61">
        <f>IF(Z23&lt;2.81,0,IF(AK23&gt;13.7,IF(Z23&lt;140,1,0),0))</f>
        <v/>
      </c>
      <c r="AP23" s="7">
        <f>IF(AK23&gt;13.93,IF(Z23&lt;300,IF(Z23&lt;35,IF(Z23&lt;6,3,2),1),0),0)</f>
        <v/>
      </c>
      <c r="AQ23" s="5" t="n">
        <v>1</v>
      </c>
      <c r="AR23" s="7">
        <f>IF(AO23=1,IF(AO23=AL23,1,0),5)</f>
        <v/>
      </c>
      <c r="AS23" s="4" t="n">
        <v>143</v>
      </c>
      <c r="AT23" s="5" t="n"/>
      <c r="AU23" s="5">
        <f>AS23</f>
        <v/>
      </c>
      <c r="AV23" s="5">
        <f>(AT23+AU23)/2</f>
        <v/>
      </c>
      <c r="AW23" s="4" t="n">
        <v>114</v>
      </c>
      <c r="AX23" s="4">
        <f>IF(AW23&gt;AV23,1,0)</f>
        <v/>
      </c>
      <c r="AY23" s="4">
        <f>(100*(AU23-AS23)/AS23)</f>
        <v/>
      </c>
      <c r="AZ23" s="4">
        <f>IF(AY23&lt;-50,-4,IF(AY23&lt;-20,-2,IF(AY23&lt;0,-1.5,IF(AY23=0,0,IF(AY23&lt;10,1.5,IF(AY23&lt;20,2,IF(AY23&gt;19,2.5,2.5)))))))</f>
        <v/>
      </c>
      <c r="BA23" s="7" t="n"/>
      <c r="BB23" s="5" t="n"/>
      <c r="BC23" s="5" t="n"/>
      <c r="BD23" s="5" t="n"/>
      <c r="BE23" s="5" t="n"/>
      <c r="BF23" s="5" t="n">
        <v>52</v>
      </c>
      <c r="BG23" s="5" t="n">
        <v>-63.6363636363636</v>
      </c>
      <c r="BH23" s="5" t="n">
        <v>-54.3859649122807</v>
      </c>
    </row>
    <row r="24" ht="12.75" customHeight="1">
      <c r="B24" s="12" t="inlineStr">
        <is>
          <t>Chiraharit Limited</t>
        </is>
      </c>
      <c r="C24" s="4" t="n">
        <v>2025</v>
      </c>
      <c r="D24" s="4" t="n">
        <v>0</v>
      </c>
      <c r="E24" s="5" t="n">
        <v>20.22</v>
      </c>
      <c r="F24" s="5" t="n">
        <v>9.57</v>
      </c>
      <c r="G24" s="5">
        <f>100*(F24-E24)/F24</f>
        <v/>
      </c>
      <c r="H24" s="5" t="n">
        <v>40.58</v>
      </c>
      <c r="I24" s="5" t="n">
        <v>6.02</v>
      </c>
      <c r="J24" s="5" t="n"/>
      <c r="K24" s="5" t="n">
        <v>1.51</v>
      </c>
      <c r="L24" s="5" t="n"/>
      <c r="M24" s="5" t="n">
        <v>9.76</v>
      </c>
      <c r="N24" s="5" t="n"/>
      <c r="O24" s="5" t="n">
        <v>59.8</v>
      </c>
      <c r="P24" s="5">
        <f>O24/I24</f>
        <v/>
      </c>
      <c r="Q24" s="5" t="n">
        <v>13.95</v>
      </c>
      <c r="R24" s="5" t="n">
        <v>19.11</v>
      </c>
      <c r="S24" s="6" t="n">
        <v>0</v>
      </c>
      <c r="T24" s="7" t="n"/>
      <c r="U24" s="7" t="n"/>
      <c r="V24" s="7" t="n">
        <v>0</v>
      </c>
      <c r="W24" s="5" t="n"/>
      <c r="X24" s="5" t="n">
        <v>0</v>
      </c>
      <c r="Y24" s="5" t="n">
        <v>0.73</v>
      </c>
      <c r="Z24" s="5" t="n">
        <v>3.03</v>
      </c>
      <c r="AA24" s="5">
        <f>IF(X24&lt;50,IF(Y24&gt;(2.3*X24),0,1),1)-IF(Z24&gt;Y24,1.7,0)</f>
        <v/>
      </c>
      <c r="AB24" s="5" t="n">
        <v>0</v>
      </c>
      <c r="AC24" s="5">
        <f>IF(AB24&gt;4,1,0)+IF(AB24&gt;10,0.7,0)</f>
        <v/>
      </c>
      <c r="AD24" s="5" t="n">
        <v>903.33</v>
      </c>
      <c r="AE24" s="5" t="n">
        <v>95.63</v>
      </c>
      <c r="AF24" s="5" t="n">
        <v>189.12</v>
      </c>
      <c r="AG24" s="6">
        <f>IF(G24&lt;52,0,0.7)+IF(G24&lt;34,0,0.7)+IF(G24&lt;1,0,0.7)+IF(P24&gt;14.56,0,1)+IF(R24&lt;9,0.5,0)+IF(R24&lt;33.8,0.5,0)+IF(R24&lt;50,0.5,0)+IF(R24&lt;80,0.5,0)+IF(S24=5,0,S24)+IF(V24&gt;0,1,-1)+IF(AE24&lt;10.56,0,1)-IF(AE24&lt;3,1,0)-IF(AE24&lt;1,1,0)</f>
        <v/>
      </c>
      <c r="AH24" s="5">
        <f>AG24+IF(X24&lt;1.35,0,1)+IF(Y24&lt;1.35,0,1)+IF(Y24&lt;0.7,-1,0)+AC24+AA24</f>
        <v/>
      </c>
      <c r="AI24" s="5" t="n">
        <v>11</v>
      </c>
      <c r="AJ24" s="5">
        <f>IF(AI24&gt;12.7,IF(AI24&gt;15.8,0.93,0.98),1)</f>
        <v/>
      </c>
      <c r="AK24" s="5">
        <f>(1.5*AG24+AH24)*AJ24*AQ24</f>
        <v/>
      </c>
      <c r="AL24" s="4">
        <f>D24</f>
        <v/>
      </c>
      <c r="AM24" s="8">
        <f>B24</f>
        <v/>
      </c>
      <c r="AN24" s="7" t="n"/>
      <c r="AO24" s="61">
        <f>IF(Z24&lt;2.81,0,IF(AK24&gt;13.7,IF(Z24&lt;140,1,0),0))</f>
        <v/>
      </c>
      <c r="AP24" s="7">
        <f>IF(AK24&gt;13.93,IF(Z24&lt;300,IF(Z24&lt;35,IF(Z24&lt;6,3,2),1),0),0)</f>
        <v/>
      </c>
      <c r="AQ24" s="5" t="n">
        <v>1</v>
      </c>
      <c r="AR24" s="7">
        <f>IF(AO24=1,IF(AO24=AL24,1,0),5)</f>
        <v/>
      </c>
      <c r="AS24" s="4" t="n">
        <v>21</v>
      </c>
      <c r="AT24" s="5" t="n"/>
      <c r="AU24" s="5">
        <f>AS24</f>
        <v/>
      </c>
      <c r="AV24" s="5">
        <f>(AT24+AU24)/2</f>
        <v/>
      </c>
      <c r="AW24" s="4" t="n">
        <v>17</v>
      </c>
      <c r="AX24" s="4">
        <f>IF(AW24&gt;AV24,1,0)</f>
        <v/>
      </c>
      <c r="AY24" s="4">
        <f>(100*(AU24-AS24)/AS24)</f>
        <v/>
      </c>
      <c r="AZ24" s="4">
        <f>IF(AY24&lt;-50,-4,IF(AY24&lt;-20,-2,IF(AY24&lt;0,-1.5,IF(AY24=0,0,IF(AY24&lt;10,1.5,IF(AY24&lt;20,2,IF(AY24&gt;19,2.5,2.5)))))))</f>
        <v/>
      </c>
      <c r="BA24" s="7" t="n"/>
      <c r="BB24" s="5" t="n"/>
      <c r="BC24" s="5" t="n"/>
      <c r="BD24" s="5" t="n"/>
      <c r="BE24" s="5" t="n"/>
      <c r="BF24" s="5" t="n">
        <v>13</v>
      </c>
      <c r="BG24" s="5" t="n">
        <v>-38.0952380952381</v>
      </c>
      <c r="BH24" s="5" t="n">
        <v>-23.5294117647059</v>
      </c>
    </row>
    <row r="25" ht="12.75" customHeight="1">
      <c r="B25" s="13" t="inlineStr">
        <is>
          <t>Dhillon Freight Carrier</t>
        </is>
      </c>
      <c r="C25" s="4" t="n">
        <v>2025</v>
      </c>
      <c r="D25" s="4" t="n">
        <v>0</v>
      </c>
      <c r="E25" s="5" t="n">
        <v>3.34</v>
      </c>
      <c r="F25" s="5" t="n">
        <v>5.23</v>
      </c>
      <c r="G25" s="5">
        <f>100*(F25-E25)/F25</f>
        <v/>
      </c>
      <c r="H25" s="5" t="n">
        <v>9.710000000000001</v>
      </c>
      <c r="I25" s="5" t="n">
        <v>1.73</v>
      </c>
      <c r="J25" s="5" t="n"/>
      <c r="K25" s="5" t="n">
        <v>6.86</v>
      </c>
      <c r="L25" s="5" t="n"/>
      <c r="M25" s="5" t="n">
        <v>3.67</v>
      </c>
      <c r="N25" s="5" t="n"/>
      <c r="O25" s="5" t="n">
        <v>25.22</v>
      </c>
      <c r="P25" s="5">
        <f>O25/I25</f>
        <v/>
      </c>
      <c r="Q25" s="5" t="n">
        <v>10.49</v>
      </c>
      <c r="R25" s="5" t="n">
        <v>16.32</v>
      </c>
      <c r="S25" s="6" t="n">
        <v>0</v>
      </c>
      <c r="T25" s="7" t="n"/>
      <c r="U25" s="7" t="n"/>
      <c r="V25" s="7" t="n">
        <v>0</v>
      </c>
      <c r="W25" s="5" t="n"/>
      <c r="X25" s="5" t="n">
        <v>0</v>
      </c>
      <c r="Y25" s="5" t="n">
        <v>0.96</v>
      </c>
      <c r="Z25" s="5" t="n">
        <v>4.87</v>
      </c>
      <c r="AA25" s="5">
        <f>IF(X25&lt;50,IF(Y25&gt;(2.3*X25),0,1),1)-IF(Z25&gt;Y25,1.7,0)</f>
        <v/>
      </c>
      <c r="AB25" s="5" t="n">
        <v>0</v>
      </c>
      <c r="AC25" s="5">
        <f>IF(AB25&gt;4,1,0)+IF(AB25&gt;10,0.7,0)</f>
        <v/>
      </c>
      <c r="AD25" s="5" t="n">
        <v>58.72</v>
      </c>
      <c r="AE25" s="5" t="n">
        <v>1.98</v>
      </c>
      <c r="AF25" s="5" t="n">
        <v>49.45</v>
      </c>
      <c r="AG25" s="6">
        <f>IF(G25&lt;52,0,0.7)+IF(G25&lt;34,0,0.7)+IF(G25&lt;1,0,0.7)+IF(P25&gt;14.56,0,1)+IF(R25&lt;9,0.5,0)+IF(R25&lt;33.8,0.5,0)+IF(R25&lt;50,0.5,0)+IF(R25&lt;80,0.5,0)+IF(S25=5,0,S25)+IF(V25&gt;0,1,-1)+IF(AE25&lt;10.56,0,1)-IF(AE25&lt;3,1,0)-IF(AE25&lt;1,1,0)</f>
        <v/>
      </c>
      <c r="AH25" s="5">
        <f>AG25+IF(X25&lt;1.35,0,1)+IF(Y25&lt;1.35,0,1)+IF(Y25&lt;0.7,-1,0)+AC25+AA25</f>
        <v/>
      </c>
      <c r="AI25" s="5" t="n">
        <v>11</v>
      </c>
      <c r="AJ25" s="5">
        <f>IF(AI25&gt;12.7,IF(AI25&gt;15.8,0.93,0.98),1)</f>
        <v/>
      </c>
      <c r="AK25" s="5">
        <f>(1.5*AG25+AH25)*AJ25*AQ25</f>
        <v/>
      </c>
      <c r="AL25" s="4">
        <f>D25</f>
        <v/>
      </c>
      <c r="AM25" s="8">
        <f>B25</f>
        <v/>
      </c>
      <c r="AN25" s="7" t="n"/>
      <c r="AO25" s="61">
        <f>IF(Z25&lt;2.81,0,IF(AK25&gt;13.7,IF(Z25&lt;140,1,0),0))</f>
        <v/>
      </c>
      <c r="AP25" s="7">
        <f>IF(AK25&gt;13.93,IF(Z25&lt;300,IF(Z25&lt;35,IF(Z25&lt;6,3,2),1),0),0)</f>
        <v/>
      </c>
      <c r="AQ25" s="5" t="n">
        <v>1</v>
      </c>
      <c r="AR25" s="7">
        <f>IF(AO25=1,IF(AO25=AL25,1,0),5)</f>
        <v/>
      </c>
      <c r="AS25" s="4" t="n">
        <v>72</v>
      </c>
      <c r="AT25" s="5" t="n"/>
      <c r="AU25" s="5">
        <f>AS25</f>
        <v/>
      </c>
      <c r="AV25" s="5">
        <f>(AT25+AU25)/2</f>
        <v/>
      </c>
      <c r="AW25" s="4" t="n">
        <v>58</v>
      </c>
      <c r="AX25" s="4">
        <f>IF(AW25&gt;AV25,1,0)</f>
        <v/>
      </c>
      <c r="AY25" s="4">
        <f>(100*(AU25-AS25)/AS25)</f>
        <v/>
      </c>
      <c r="AZ25" s="4">
        <f>IF(AY25&lt;-50,-4,IF(AY25&lt;-20,-2,IF(AY25&lt;0,-1.5,IF(AY25=0,0,IF(AY25&lt;10,1.5,IF(AY25&lt;20,2,IF(AY25&gt;19,2.5,2.5)))))))</f>
        <v/>
      </c>
      <c r="BA25" s="7" t="n"/>
      <c r="BB25" s="5" t="n"/>
      <c r="BC25" s="5" t="n"/>
      <c r="BD25" s="5" t="n"/>
      <c r="BE25" s="5" t="n"/>
      <c r="BF25" s="5" t="n">
        <v>42</v>
      </c>
      <c r="BG25" s="5" t="n">
        <v>-41.6666666666667</v>
      </c>
      <c r="BH25" s="5" t="n">
        <v>-27.5862068965517</v>
      </c>
    </row>
    <row r="26" ht="12.75" customHeight="1">
      <c r="B26" s="13" t="inlineStr">
        <is>
          <t>Rukmani Devi Garg Agro Impe</t>
        </is>
      </c>
      <c r="C26" s="4" t="n">
        <v>2025</v>
      </c>
      <c r="D26" s="4" t="n">
        <v>0</v>
      </c>
      <c r="E26" s="5" t="n">
        <v>49.21</v>
      </c>
      <c r="F26" s="5" t="n">
        <v>32.43</v>
      </c>
      <c r="G26" s="5">
        <f>100*(F26-E26)/F26</f>
        <v/>
      </c>
      <c r="H26" s="5" t="n">
        <v>110.81</v>
      </c>
      <c r="I26" s="5" t="n">
        <v>7.57</v>
      </c>
      <c r="J26" s="5" t="n"/>
      <c r="K26" s="5" t="n">
        <v>11.65</v>
      </c>
      <c r="L26" s="5" t="n"/>
      <c r="M26" s="5" t="n">
        <v>12.64</v>
      </c>
      <c r="N26" s="5" t="n"/>
      <c r="O26" s="5" t="n">
        <v>327.32</v>
      </c>
      <c r="P26" s="5">
        <f>O26/I26</f>
        <v/>
      </c>
      <c r="Q26" s="5" t="n">
        <v>8.5</v>
      </c>
      <c r="R26" s="5" t="n">
        <v>8.5</v>
      </c>
      <c r="S26" s="6" t="n">
        <v>0</v>
      </c>
      <c r="T26" s="7" t="n"/>
      <c r="U26" s="7" t="n"/>
      <c r="V26" s="7" t="n">
        <v>0</v>
      </c>
      <c r="W26" s="5" t="n"/>
      <c r="X26" s="5" t="n">
        <v>8.24</v>
      </c>
      <c r="Y26" s="5" t="n">
        <v>77.12</v>
      </c>
      <c r="Z26" s="5" t="n">
        <v>39.73</v>
      </c>
      <c r="AA26" s="5">
        <f>IF(X26&lt;50,IF(Y26&gt;(2.3*X26),0,1),1)-IF(Z26&gt;Y26,1.7,0)</f>
        <v/>
      </c>
      <c r="AB26" s="5" t="n">
        <v>36</v>
      </c>
      <c r="AC26" s="5">
        <f>IF(AB26&gt;4,1,0)+IF(AB26&gt;10,0.7,0)</f>
        <v/>
      </c>
      <c r="AD26" s="5" t="n">
        <v>50.8</v>
      </c>
      <c r="AE26" s="5" t="n">
        <v>33.59</v>
      </c>
      <c r="AF26" s="5" t="n">
        <v>30.45</v>
      </c>
      <c r="AG26" s="6">
        <f>IF(G26&lt;52,0,0.7)+IF(G26&lt;34,0,0.7)+IF(G26&lt;1,0,0.7)+IF(P26&gt;14.56,0,1)+IF(R26&lt;9,0.5,0)+IF(R26&lt;33.8,0.5,0)+IF(R26&lt;50,0.5,0)+IF(R26&lt;80,0.5,0)+IF(S26=5,0,S26)+IF(V26&gt;0,1,-1)+IF(AE26&lt;10.56,0,1)-IF(AE26&lt;3,1,0)-IF(AE26&lt;1,1,0)</f>
        <v/>
      </c>
      <c r="AH26" s="5">
        <f>AG26+IF(X26&lt;1.35,0,1)+IF(Y26&lt;1.35,0,1)+IF(Y26&lt;0.7,-1,0)+AC26+AA26</f>
        <v/>
      </c>
      <c r="AI26" s="5" t="n">
        <v>11</v>
      </c>
      <c r="AJ26" s="5">
        <f>IF(AI26&gt;12.7,IF(AI26&gt;15.8,0.93,0.98),1)</f>
        <v/>
      </c>
      <c r="AK26" s="5">
        <f>(1.5*AG26+AH26)*AJ26*AQ26</f>
        <v/>
      </c>
      <c r="AL26" s="4">
        <f>D26</f>
        <v/>
      </c>
      <c r="AM26" s="8">
        <f>B26</f>
        <v/>
      </c>
      <c r="AN26" s="7" t="n"/>
      <c r="AO26" s="61">
        <f>IF(Z26&lt;2.81,0,IF(AK26&gt;13.7,IF(Z26&lt;140,1,0),0))</f>
        <v/>
      </c>
      <c r="AP26" s="7">
        <f>IF(AK26&gt;13.93,IF(Z26&lt;300,IF(Z26&lt;35,IF(Z26&lt;6,3,2),1),0),0)</f>
        <v/>
      </c>
      <c r="AQ26" s="5" t="n">
        <v>1</v>
      </c>
      <c r="AR26" s="7">
        <f>IF(AO26=1,IF(AO26=AL26,1,0),5)</f>
        <v/>
      </c>
      <c r="AS26" s="4" t="n">
        <v>99</v>
      </c>
      <c r="AT26" s="5" t="n"/>
      <c r="AU26" s="5">
        <f>AS26</f>
        <v/>
      </c>
      <c r="AV26" s="5">
        <f>(AT26+AU26)/2</f>
        <v/>
      </c>
      <c r="AW26" s="4" t="n">
        <v>79</v>
      </c>
      <c r="AX26" s="4">
        <f>IF(AW26&gt;AV26,1,0)</f>
        <v/>
      </c>
      <c r="AY26" s="4">
        <f>(100*(AU26-AS26)/AS26)</f>
        <v/>
      </c>
      <c r="AZ26" s="4">
        <f>IF(AY26&lt;-50,-4,IF(AY26&lt;-20,-2,IF(AY26&lt;0,-1.5,IF(AY26=0,0,IF(AY26&lt;10,1.5,IF(AY26&lt;20,2,IF(AY26&gt;19,2.5,2.5)))))))</f>
        <v/>
      </c>
      <c r="BA26" s="7" t="n"/>
      <c r="BB26" s="5" t="n">
        <v>73</v>
      </c>
      <c r="BC26" s="5" t="n">
        <v>73</v>
      </c>
      <c r="BD26" s="5" t="n">
        <v>72</v>
      </c>
      <c r="BE26" s="5" t="n"/>
      <c r="BF26" s="5" t="n">
        <v>59</v>
      </c>
      <c r="BG26" s="5" t="n">
        <v>-40.4040404040404</v>
      </c>
      <c r="BH26" s="5" t="n">
        <v>-25.3164556962025</v>
      </c>
    </row>
    <row r="27" ht="12.75" customHeight="1">
      <c r="B27" s="14" t="inlineStr">
        <is>
          <t>Gurunanak Agriculture</t>
        </is>
      </c>
      <c r="C27" s="4" t="n">
        <v>2025</v>
      </c>
      <c r="D27" s="4" t="n">
        <v>0</v>
      </c>
      <c r="E27" s="5" t="n">
        <v>3.67</v>
      </c>
      <c r="F27" s="5" t="n">
        <v>12.27</v>
      </c>
      <c r="G27" s="5">
        <f>100*(F27-E27)/F27</f>
        <v/>
      </c>
      <c r="H27" s="5" t="n">
        <v>20.15</v>
      </c>
      <c r="I27" s="5" t="n">
        <v>6.05</v>
      </c>
      <c r="J27" s="5" t="n"/>
      <c r="K27" s="5" t="n">
        <v>7.42</v>
      </c>
      <c r="L27" s="5" t="n"/>
      <c r="M27" s="5" t="n">
        <v>9.93</v>
      </c>
      <c r="N27" s="5" t="n"/>
      <c r="O27" s="5" t="n">
        <v>43.85</v>
      </c>
      <c r="P27" s="5">
        <f>O27/I27</f>
        <v/>
      </c>
      <c r="Q27" s="5" t="n">
        <v>14.86</v>
      </c>
      <c r="R27" s="5" t="n">
        <v>14.86</v>
      </c>
      <c r="S27" s="6" t="n">
        <v>0</v>
      </c>
      <c r="T27" s="7" t="n"/>
      <c r="U27" s="7" t="n"/>
      <c r="V27" s="7" t="n">
        <v>0</v>
      </c>
      <c r="W27" s="5" t="n"/>
      <c r="X27" s="5" t="n">
        <v>0</v>
      </c>
      <c r="Y27" s="5" t="n">
        <v>0.33</v>
      </c>
      <c r="Z27" s="5" t="n">
        <v>3.15</v>
      </c>
      <c r="AA27" s="5">
        <f>IF(X27&lt;50,IF(Y27&gt;(2.3*X27),0,1),1)-IF(Z27&gt;Y27,1.7,0)</f>
        <v/>
      </c>
      <c r="AB27" s="5" t="n">
        <v>0</v>
      </c>
      <c r="AC27" s="5">
        <f>IF(AB27&gt;4,1,0)+IF(AB27&gt;10,0.7,0)</f>
        <v/>
      </c>
      <c r="AD27" s="5" t="n">
        <v>147</v>
      </c>
      <c r="AE27" s="5" t="n">
        <v>-0.36</v>
      </c>
      <c r="AF27" s="5" t="n">
        <v>98</v>
      </c>
      <c r="AG27" s="6">
        <f>IF(G27&lt;52,0,0.7)+IF(G27&lt;34,0,0.7)+IF(G27&lt;1,0,0.7)+IF(P27&gt;14.56,0,1)+IF(R27&lt;9,0.5,0)+IF(R27&lt;33.8,0.5,0)+IF(R27&lt;50,0.5,0)+IF(R27&lt;80,0.5,0)+IF(S27=5,0,S27)+IF(V27&gt;0,1,-1)+IF(AE27&lt;10.56,0,1)-IF(AE27&lt;3,1,0)-IF(AE27&lt;1,1,0)</f>
        <v/>
      </c>
      <c r="AH27" s="5">
        <f>AG27+IF(X27&lt;1.35,0,1)+IF(Y27&lt;1.35,0,1)+IF(Y27&lt;0.7,-1,0)+AC27+AA27</f>
        <v/>
      </c>
      <c r="AI27" s="5" t="n">
        <v>11</v>
      </c>
      <c r="AJ27" s="5">
        <f>IF(AI27&gt;12.7,IF(AI27&gt;15.8,0.93,0.98),1)</f>
        <v/>
      </c>
      <c r="AK27" s="5">
        <f>(1.5*AG27+AH27)*AJ27*AQ27</f>
        <v/>
      </c>
      <c r="AL27" s="4">
        <f>D27</f>
        <v/>
      </c>
      <c r="AM27" s="8">
        <f>B27</f>
        <v/>
      </c>
      <c r="AN27" s="7" t="n"/>
      <c r="AO27" s="61">
        <f>IF(Z27&lt;2.81,0,IF(AK27&gt;13.7,IF(Z27&lt;140,1,0),0))</f>
        <v/>
      </c>
      <c r="AP27" s="7">
        <f>IF(AK27&gt;13.93,IF(Z27&lt;300,IF(Z27&lt;35,IF(Z27&lt;6,3,2),1),0),0)</f>
        <v/>
      </c>
      <c r="AQ27" s="5" t="n">
        <v>1</v>
      </c>
      <c r="AR27" s="7">
        <f>IF(AO27=1,IF(AO27=AL27,1,0),5)</f>
        <v/>
      </c>
      <c r="AS27" s="4" t="n">
        <v>75</v>
      </c>
      <c r="AT27" s="5" t="n"/>
      <c r="AU27" s="5">
        <f>AS27</f>
        <v/>
      </c>
      <c r="AV27" s="5">
        <f>(AT27+AU27)/2</f>
        <v/>
      </c>
      <c r="AW27" s="4" t="n">
        <v>60</v>
      </c>
      <c r="AX27" s="4">
        <f>IF(AW27&gt;AV27,1,0)</f>
        <v/>
      </c>
      <c r="AY27" s="4">
        <f>(100*(AU27-AS27)/AS27)</f>
        <v/>
      </c>
      <c r="AZ27" s="4">
        <f>IF(AY27&lt;-50,-4,IF(AY27&lt;-20,-2,IF(AY27&lt;0,-1.5,IF(AY27=0,0,IF(AY27&lt;10,1.5,IF(AY27&lt;20,2,IF(AY27&gt;19,2.5,2.5)))))))</f>
        <v/>
      </c>
      <c r="BA27" s="7" t="n"/>
      <c r="BB27" s="5" t="n"/>
      <c r="BC27" s="5" t="n"/>
      <c r="BD27" s="5" t="n"/>
      <c r="BE27" s="5" t="n"/>
      <c r="BF27" s="5" t="n">
        <v>34</v>
      </c>
      <c r="BG27" s="5" t="n">
        <v>-54.6666666666667</v>
      </c>
      <c r="BH27" s="5" t="n">
        <v>-43.3333333333333</v>
      </c>
    </row>
    <row r="28" ht="12.75" customHeight="1">
      <c r="B28" s="14" t="inlineStr">
        <is>
          <t>Siddhi Cotspin</t>
        </is>
      </c>
      <c r="C28" s="4" t="n">
        <v>2025</v>
      </c>
      <c r="D28" s="4" t="n">
        <v>0</v>
      </c>
      <c r="E28" s="5" t="n">
        <v>67.11</v>
      </c>
      <c r="F28" s="5" t="n">
        <v>79.44</v>
      </c>
      <c r="G28" s="5">
        <f>100*(F28-E28)/F28</f>
        <v/>
      </c>
      <c r="H28" s="5" t="n">
        <v>182.83</v>
      </c>
      <c r="I28" s="5" t="n">
        <v>13.08</v>
      </c>
      <c r="J28" s="5" t="n"/>
      <c r="K28" s="5" t="n">
        <v>6.62</v>
      </c>
      <c r="L28" s="5" t="n"/>
      <c r="M28" s="5" t="n">
        <v>32.87</v>
      </c>
      <c r="N28" s="5" t="n"/>
      <c r="O28" s="5" t="n">
        <v>724.66</v>
      </c>
      <c r="P28" s="5">
        <f>O28/I28</f>
        <v/>
      </c>
      <c r="Q28" s="5" t="n">
        <v>16.3</v>
      </c>
      <c r="R28" s="5" t="n">
        <v>16.3</v>
      </c>
      <c r="S28" s="6" t="n">
        <v>0</v>
      </c>
      <c r="T28" s="7" t="n"/>
      <c r="U28" s="7" t="n"/>
      <c r="V28" s="7" t="n">
        <v>0</v>
      </c>
      <c r="W28" s="5" t="n"/>
      <c r="X28" s="5" t="n">
        <v>17.53</v>
      </c>
      <c r="Y28" s="5" t="n">
        <v>5.94</v>
      </c>
      <c r="Z28" s="5" t="n">
        <v>1.5</v>
      </c>
      <c r="AA28" s="5">
        <f>IF(X28&lt;50,IF(Y28&gt;(2.3*X28),0,1),1)-IF(Z28&gt;Y28,1.7,0)</f>
        <v/>
      </c>
      <c r="AB28" s="5" t="n">
        <v>0</v>
      </c>
      <c r="AC28" s="5">
        <f>IF(AB28&gt;4,1,0)+IF(AB28&gt;10,0.7,0)</f>
        <v/>
      </c>
      <c r="AD28" s="5" t="n">
        <v>7.39</v>
      </c>
      <c r="AE28" s="5" t="n">
        <v>25</v>
      </c>
      <c r="AF28" s="5" t="n">
        <v>19.7</v>
      </c>
      <c r="AG28" s="6">
        <f>IF(G28&lt;52,0,0.7)+IF(G28&lt;34,0,0.7)+IF(G28&lt;1,0,0.7)+IF(P28&gt;14.56,0,1)+IF(R28&lt;9,0.5,0)+IF(R28&lt;33.8,0.5,0)+IF(R28&lt;50,0.5,0)+IF(R28&lt;80,0.5,0)+IF(S28=5,0,S28)+IF(V28&gt;0,1,-1)+IF(AE28&lt;10.56,0,1)-IF(AE28&lt;3,1,0)-IF(AE28&lt;1,1,0)</f>
        <v/>
      </c>
      <c r="AH28" s="5">
        <f>AG28+IF(X28&lt;1.35,0,1)+IF(Y28&lt;1.35,0,1)+IF(Y28&lt;0.7,-1,0)+AC28+AA28</f>
        <v/>
      </c>
      <c r="AI28" s="5" t="n">
        <v>11</v>
      </c>
      <c r="AJ28" s="5">
        <f>IF(AI28&gt;12.7,IF(AI28&gt;15.8,0.93,0.98),1)</f>
        <v/>
      </c>
      <c r="AK28" s="5">
        <f>(1.5*AG28+AH28)*AJ28*AQ28</f>
        <v/>
      </c>
      <c r="AL28" s="4">
        <f>D28</f>
        <v/>
      </c>
      <c r="AM28" s="8">
        <f>B28</f>
        <v/>
      </c>
      <c r="AN28" s="7" t="n"/>
      <c r="AO28" s="61">
        <f>IF(Z28&lt;2.81,0,IF(AK28&gt;13.7,IF(Z28&lt;140,1,0),0))</f>
        <v/>
      </c>
      <c r="AP28" s="7">
        <f>IF(AK28&gt;13.93,IF(Z28&lt;300,IF(Z28&lt;35,IF(Z28&lt;6,3,2),1),0),0)</f>
        <v/>
      </c>
      <c r="AQ28" s="5" t="n">
        <v>1</v>
      </c>
      <c r="AR28" s="7">
        <f>IF(AO28=1,IF(AO28=AL28,1,0),5)</f>
        <v/>
      </c>
      <c r="AS28" s="4" t="n">
        <v>108</v>
      </c>
      <c r="AT28" s="5" t="n"/>
      <c r="AU28" s="5">
        <f>AS28</f>
        <v/>
      </c>
      <c r="AV28" s="5">
        <f>(AT28+AU28)/2</f>
        <v/>
      </c>
      <c r="AW28" s="4" t="n">
        <v>86</v>
      </c>
      <c r="AX28" s="4">
        <f>IF(AW28&gt;AV28,1,0)</f>
        <v/>
      </c>
      <c r="AY28" s="4">
        <f>(100*(AU28-AS28)/AS28)</f>
        <v/>
      </c>
      <c r="AZ28" s="4">
        <f>IF(AY28&lt;-50,-4,IF(AY28&lt;-20,-2,IF(AY28&lt;0,-1.5,IF(AY28=0,0,IF(AY28&lt;10,1.5,IF(AY28&lt;20,2,IF(AY28&gt;19,2.5,2.5)))))))</f>
        <v/>
      </c>
      <c r="BA28" s="7" t="n"/>
      <c r="BB28" s="5" t="n"/>
      <c r="BC28" s="5" t="n"/>
      <c r="BD28" s="5" t="n"/>
      <c r="BE28" s="5" t="n"/>
      <c r="BF28" s="5" t="n">
        <v>34</v>
      </c>
      <c r="BG28" s="5" t="n">
        <v>-68.5185185185185</v>
      </c>
      <c r="BH28" s="5" t="n">
        <v>-60.4651162790698</v>
      </c>
    </row>
    <row r="29" ht="12.75" customHeight="1">
      <c r="B29" s="14" t="inlineStr">
        <is>
          <t>Krupalu Metals</t>
        </is>
      </c>
      <c r="C29" s="4" t="n">
        <v>2025</v>
      </c>
      <c r="D29" s="4" t="n">
        <v>0</v>
      </c>
      <c r="E29" s="5" t="n">
        <v>8.369999999999999</v>
      </c>
      <c r="F29" s="5" t="n">
        <v>6.12</v>
      </c>
      <c r="G29" s="5">
        <f>100*(F29-E29)/F29</f>
        <v/>
      </c>
      <c r="H29" s="4" t="n">
        <v>20.03</v>
      </c>
      <c r="I29" s="5" t="n">
        <v>2.15</v>
      </c>
      <c r="J29" s="5" t="n"/>
      <c r="K29" s="5" t="n">
        <v>5.38</v>
      </c>
      <c r="L29" s="5" t="n"/>
      <c r="M29" s="5" t="n">
        <v>3.7</v>
      </c>
      <c r="N29" s="5" t="n"/>
      <c r="O29" s="5" t="n">
        <v>48.5</v>
      </c>
      <c r="P29" s="5">
        <f>O29/I29</f>
        <v/>
      </c>
      <c r="Q29" s="5" t="n">
        <v>13.39</v>
      </c>
      <c r="R29" s="5" t="n">
        <v>13.39</v>
      </c>
      <c r="S29" s="6" t="n">
        <v>0</v>
      </c>
      <c r="T29" s="7" t="n"/>
      <c r="U29" s="7" t="n"/>
      <c r="V29" s="7" t="n">
        <v>0</v>
      </c>
      <c r="W29" s="5" t="n"/>
      <c r="X29" s="5" t="n">
        <v>0</v>
      </c>
      <c r="Y29" s="5" t="n">
        <v>6.45</v>
      </c>
      <c r="Z29" s="5" t="n">
        <v>1.85</v>
      </c>
      <c r="AA29" s="5">
        <f>IF(X29&lt;50,IF(Y29&gt;(2.3*X29),0,1),1)-IF(Z29&gt;Y29,1.7,0)</f>
        <v/>
      </c>
      <c r="AB29" s="5" t="n">
        <v>0</v>
      </c>
      <c r="AC29" s="5">
        <f>IF(AB29&gt;4,1,0)+IF(AB29&gt;10,0.7,0)</f>
        <v/>
      </c>
      <c r="AD29" s="5" t="n">
        <v>39</v>
      </c>
      <c r="AE29" s="5" t="n">
        <v>31</v>
      </c>
      <c r="AF29" s="5" t="n">
        <v>51</v>
      </c>
      <c r="AG29" s="6">
        <f>IF(G29&lt;52,0,0.7)+IF(G29&lt;34,0,0.7)+IF(G29&lt;1,0,0.7)+IF(P29&gt;14.56,0,1)+IF(R29&lt;9,0.5,0)+IF(R29&lt;33.8,0.5,0)+IF(R29&lt;50,0.5,0)+IF(R29&lt;80,0.5,0)+IF(S29=5,0,S29)+IF(V29&gt;0,1,-1)+IF(AE29&lt;10.56,0,1)-IF(AE29&lt;3,1,0)-IF(AE29&lt;1,1,0)</f>
        <v/>
      </c>
      <c r="AH29" s="5">
        <f>AG29+IF(X29&lt;1.35,0,1)+IF(Y29&lt;1.35,0,1)+IF(Y29&lt;0.7,-1,0)+AC29+AA29</f>
        <v/>
      </c>
      <c r="AI29" s="5" t="n">
        <v>11</v>
      </c>
      <c r="AJ29" s="5">
        <f>IF(AI29&gt;12.7,IF(AI29&gt;15.8,0.93,0.98),1)</f>
        <v/>
      </c>
      <c r="AK29" s="5">
        <f>(1.5*AG29+AH29)*AJ29*AQ29</f>
        <v/>
      </c>
      <c r="AL29" s="4">
        <f>D29</f>
        <v/>
      </c>
      <c r="AM29" s="8">
        <f>B29</f>
        <v/>
      </c>
      <c r="AN29" s="7" t="n"/>
      <c r="AO29" s="61">
        <f>IF(Z29&lt;2.81,0,IF(AK29&gt;13.7,IF(Z29&lt;140,1,0),0))</f>
        <v/>
      </c>
      <c r="AP29" s="7">
        <f>IF(AK29&gt;13.93,IF(Z29&lt;300,IF(Z29&lt;35,IF(Z29&lt;6,3,2),1),0),0)</f>
        <v/>
      </c>
      <c r="AQ29" s="5" t="n">
        <v>1</v>
      </c>
      <c r="AR29" s="7">
        <f>IF(AO29=1,IF(AO29=AL29,1,0),5)</f>
        <v/>
      </c>
      <c r="AS29" s="4" t="n">
        <v>72</v>
      </c>
      <c r="AT29" s="5" t="n"/>
      <c r="AU29" s="5">
        <f>AS29</f>
        <v/>
      </c>
      <c r="AV29" s="5">
        <f>(AT29+AU29)/2</f>
        <v/>
      </c>
      <c r="AW29" s="4" t="n">
        <v>58</v>
      </c>
      <c r="AX29" s="4">
        <f>IF(AW29&gt;AV29,1,0)</f>
        <v/>
      </c>
      <c r="AY29" s="4">
        <f>(100*(AU29-AS29)/AS29)</f>
        <v/>
      </c>
      <c r="AZ29" s="4">
        <f>IF(AY29&lt;-50,-4,IF(AY29&lt;-20,-2,IF(AY29&lt;0,-1.5,IF(AY29=0,0,IF(AY29&lt;10,1.5,IF(AY29&lt;20,2,IF(AY29&gt;19,2.5,2.5)))))))</f>
        <v/>
      </c>
      <c r="BA29" s="7" t="n"/>
      <c r="BB29" s="5" t="n"/>
      <c r="BC29" s="5" t="n"/>
      <c r="BD29" s="5" t="n"/>
      <c r="BE29" s="5" t="n"/>
      <c r="BF29" s="5" t="n">
        <v>52</v>
      </c>
      <c r="BG29" s="5" t="n">
        <v>-27.7777777777778</v>
      </c>
      <c r="BH29" s="5" t="n">
        <v>-10.3448275862069</v>
      </c>
      <c r="DF29" t="inlineStr">
        <is>
          <t xml:space="preserve">                            </t>
        </is>
      </c>
    </row>
    <row r="30" ht="12.75" customHeight="1">
      <c r="B30" s="14" t="inlineStr">
        <is>
          <t>Abril Paper Tech</t>
        </is>
      </c>
      <c r="C30" s="4" t="n">
        <v>2025</v>
      </c>
      <c r="D30" s="4" t="n">
        <v>0</v>
      </c>
      <c r="E30" s="5" t="n">
        <v>1.07</v>
      </c>
      <c r="F30" s="5" t="n">
        <v>10.52</v>
      </c>
      <c r="G30" s="5">
        <f>100*(F30-E30)/F30</f>
        <v/>
      </c>
      <c r="H30" s="4" t="n">
        <v>12.97</v>
      </c>
      <c r="I30" s="5" t="n">
        <v>1.41</v>
      </c>
      <c r="J30" s="5" t="n"/>
      <c r="K30" s="5" t="n">
        <v>1.77</v>
      </c>
      <c r="L30" s="5" t="n"/>
      <c r="M30" s="5" t="n">
        <v>2.01</v>
      </c>
      <c r="N30" s="5" t="n"/>
      <c r="O30" s="5" t="n">
        <v>60.91</v>
      </c>
      <c r="P30" s="5">
        <f>O30/I30</f>
        <v/>
      </c>
      <c r="Q30" s="5" t="n">
        <v>24.96</v>
      </c>
      <c r="R30" s="5" t="n">
        <v>24.96</v>
      </c>
      <c r="S30" s="6" t="n">
        <v>0</v>
      </c>
      <c r="T30" s="7" t="n"/>
      <c r="U30" s="7" t="n"/>
      <c r="V30" s="7" t="n">
        <v>0</v>
      </c>
      <c r="W30" s="5" t="n"/>
      <c r="X30" s="5" t="n">
        <v>0</v>
      </c>
      <c r="Y30" s="5" t="n">
        <v>5.17</v>
      </c>
      <c r="Z30" s="5" t="n">
        <v>16.79</v>
      </c>
      <c r="AA30" s="5">
        <f>IF(X30&lt;50,IF(Y30&gt;(2.3*X30),0,1),1)-IF(Z30&gt;Y30,1.7,0)</f>
        <v/>
      </c>
      <c r="AB30" s="5" t="n">
        <v>5</v>
      </c>
      <c r="AC30" s="5">
        <f>IF(AB30&gt;4,1,0)+IF(AB30&gt;10,0.7,0)</f>
        <v/>
      </c>
      <c r="AD30" s="5" t="n">
        <v>55</v>
      </c>
      <c r="AE30" s="5" t="n">
        <v>142</v>
      </c>
      <c r="AF30" s="5" t="n">
        <v>87</v>
      </c>
      <c r="AG30" s="6">
        <f>IF(G30&lt;52,0,0.7)+IF(G30&lt;34,0,0.7)+IF(G30&lt;1,0,0.7)+IF(P30&gt;14.56,0,1)+IF(R30&lt;9,0.5,0)+IF(R30&lt;33.8,0.5,0)+IF(R30&lt;50,0.5,0)+IF(R30&lt;80,0.5,0)+IF(S30=5,0,S30)+IF(V30&gt;0,1,-1)+IF(AE30&lt;10.56,0,1)-IF(AE30&lt;3,1,0)-IF(AE30&lt;1,1,0)</f>
        <v/>
      </c>
      <c r="AH30" s="5">
        <f>AG30+IF(X30&lt;1.35,0,1)+IF(Y30&lt;1.35,0,1)+IF(Y30&lt;0.7,-1,0)+AC30+AA30</f>
        <v/>
      </c>
      <c r="AI30" s="5" t="n">
        <v>11</v>
      </c>
      <c r="AJ30" s="5">
        <f>IF(AI30&gt;12.7,IF(AI30&gt;15.8,0.93,0.98),1)</f>
        <v/>
      </c>
      <c r="AK30" s="5">
        <f>(1.5*AG30+AH30)*AJ30*AQ30</f>
        <v/>
      </c>
      <c r="AL30" s="4">
        <f>D30</f>
        <v/>
      </c>
      <c r="AM30" s="8">
        <f>B30</f>
        <v/>
      </c>
      <c r="AN30" s="7" t="n"/>
      <c r="AO30" s="61">
        <f>IF(Z30&lt;2.81,0,IF(AK30&gt;13.7,IF(Z30&lt;140,1,0),0))</f>
        <v/>
      </c>
      <c r="AP30" s="7">
        <f>IF(AK30&gt;13.93,IF(Z30&lt;300,IF(Z30&lt;35,IF(Z30&lt;6,3,2),1),0),0)</f>
        <v/>
      </c>
      <c r="AQ30" s="5" t="n">
        <v>1</v>
      </c>
      <c r="AR30" s="7">
        <f>IF(AO30=1,IF(AO30=AL30,1,0),5)</f>
        <v/>
      </c>
      <c r="AS30" s="4" t="n">
        <v>61</v>
      </c>
      <c r="AT30" s="5" t="n"/>
      <c r="AU30" s="5">
        <f>AS30</f>
        <v/>
      </c>
      <c r="AV30" s="5">
        <f>(AT30+AU30)/2</f>
        <v/>
      </c>
      <c r="AW30" s="4" t="n">
        <v>49</v>
      </c>
      <c r="AX30" s="4">
        <f>IF(AW30&gt;AV30,1,0)</f>
        <v/>
      </c>
      <c r="AY30" s="4">
        <f>(100*(AU30-AS30)/AS30)</f>
        <v/>
      </c>
      <c r="AZ30" s="4">
        <f>IF(AY30&lt;-50,-4,IF(AY30&lt;-20,-2,IF(AY30&lt;0,-1.5,IF(AY30=0,0,IF(AY30&lt;10,1.5,IF(AY30&lt;20,2,IF(AY30&gt;19,2.5,2.5)))))))</f>
        <v/>
      </c>
      <c r="BA30" s="7" t="n"/>
      <c r="BB30" s="5" t="n"/>
      <c r="BC30" s="5" t="n"/>
      <c r="BD30" s="5" t="n"/>
      <c r="BE30" s="5" t="n"/>
      <c r="BF30" s="5" t="n">
        <v>42</v>
      </c>
      <c r="BG30" s="5" t="n">
        <v>-31.1475409836066</v>
      </c>
      <c r="BH30" s="5" t="n">
        <v>-14.2857142857143</v>
      </c>
    </row>
    <row r="31" ht="12.75" customHeight="1">
      <c r="B31" s="14" t="inlineStr">
        <is>
          <t>Globtier Infotech</t>
        </is>
      </c>
      <c r="C31" s="4" t="n">
        <v>2025</v>
      </c>
      <c r="D31" s="4" t="n">
        <v>0</v>
      </c>
      <c r="E31" s="5" t="n">
        <v>12.21</v>
      </c>
      <c r="F31" s="5" t="n">
        <v>20.32</v>
      </c>
      <c r="G31" s="5">
        <f>100*(F31-E31)/F31</f>
        <v/>
      </c>
      <c r="H31" s="4" t="n"/>
      <c r="I31" s="5" t="n">
        <v>5.5</v>
      </c>
      <c r="J31" s="5" t="n"/>
      <c r="K31" s="5" t="n">
        <v>4.86</v>
      </c>
      <c r="L31" s="5" t="n"/>
      <c r="M31" s="5" t="n">
        <v>11.77</v>
      </c>
      <c r="N31" s="5" t="n"/>
      <c r="O31" s="5" t="n">
        <v>94.81</v>
      </c>
      <c r="P31" s="5">
        <f>O31/I31</f>
        <v/>
      </c>
      <c r="Q31" s="5" t="n">
        <v>14.82</v>
      </c>
      <c r="R31" s="5" t="n">
        <v>14.82</v>
      </c>
      <c r="S31" s="6" t="n">
        <v>0</v>
      </c>
      <c r="T31" s="7" t="n"/>
      <c r="U31" s="7" t="n"/>
      <c r="V31" s="7" t="n">
        <v>0</v>
      </c>
      <c r="W31" s="5" t="n"/>
      <c r="X31" s="5" t="n">
        <v>0.63</v>
      </c>
      <c r="Y31" s="5" t="n">
        <v>2.04</v>
      </c>
      <c r="Z31" s="5" t="n">
        <v>1.34</v>
      </c>
      <c r="AA31" s="5">
        <f>IF(X31&lt;50,IF(Y31&gt;(2.3*X31),0,1),1)-IF(Z31&gt;Y31,1.7,0)</f>
        <v/>
      </c>
      <c r="AB31" s="5" t="n">
        <v>0</v>
      </c>
      <c r="AC31" s="5">
        <f>IF(AB31&gt;4,1,0)+IF(AB31&gt;10,0.7,0)</f>
        <v/>
      </c>
      <c r="AD31" s="5" t="n">
        <v>47</v>
      </c>
      <c r="AE31" s="5" t="n">
        <v>7</v>
      </c>
      <c r="AF31" s="5" t="n">
        <v>42</v>
      </c>
      <c r="AG31" s="6">
        <f>IF(G31&lt;52,0,0.7)+IF(G31&lt;34,0,0.7)+IF(G31&lt;1,0,0.7)+IF(P31&gt;14.56,0,1)+IF(R31&lt;9,0.5,0)+IF(R31&lt;33.8,0.5,0)+IF(R31&lt;50,0.5,0)+IF(R31&lt;80,0.5,0)+IF(S31=5,0,S31)+IF(V31&gt;0,1,-1)+IF(AE31&lt;10.56,0,1)-IF(AE31&lt;3,1,0)-IF(AE31&lt;1,1,0)</f>
        <v/>
      </c>
      <c r="AH31" s="5">
        <f>AG31+IF(X31&lt;1.35,0,1)+IF(Y31&lt;1.35,0,1)+IF(Y31&lt;0.7,-1,0)+AC31+AA31</f>
        <v/>
      </c>
      <c r="AI31" s="5" t="n">
        <v>11</v>
      </c>
      <c r="AJ31" s="5">
        <f>IF(AI31&gt;12.7,IF(AI31&gt;15.8,0.93,0.98),1)</f>
        <v/>
      </c>
      <c r="AK31" s="5">
        <f>(1.5*AG31+AH31)*AJ31*AQ31</f>
        <v/>
      </c>
      <c r="AL31" s="4">
        <f>D31</f>
        <v/>
      </c>
      <c r="AM31" s="8">
        <f>B31</f>
        <v/>
      </c>
      <c r="AN31" s="7" t="n"/>
      <c r="AO31" s="61">
        <f>IF(Z31&lt;2.81,0,IF(AK31&gt;13.7,IF(Z31&lt;140,1,0),0))</f>
        <v/>
      </c>
      <c r="AP31" s="7">
        <f>IF(AK31&gt;13.93,IF(Z31&lt;300,IF(Z31&lt;35,IF(Z31&lt;6,3,2),1),0),0)</f>
        <v/>
      </c>
      <c r="AQ31" s="5" t="n">
        <v>1</v>
      </c>
      <c r="AR31" s="7">
        <f>IF(AO31=1,IF(AO31=AL31,1,0),5)</f>
        <v/>
      </c>
      <c r="AS31" s="4" t="n">
        <v>72</v>
      </c>
      <c r="AT31" s="5" t="n"/>
      <c r="AU31" s="5">
        <f>AS31</f>
        <v/>
      </c>
      <c r="AV31" s="5">
        <f>(AT31+AU31)/2</f>
        <v/>
      </c>
      <c r="AW31" s="4" t="n">
        <v>58</v>
      </c>
      <c r="AX31" s="4">
        <f>IF(AW31&gt;AV31,1,0)</f>
        <v/>
      </c>
      <c r="AY31" s="4">
        <f>(100*(AU31-AS31)/AS31)</f>
        <v/>
      </c>
      <c r="AZ31" s="4">
        <f>IF(AY31&lt;-50,-4,IF(AY31&lt;-20,-2,IF(AY31&lt;0,-1.5,IF(AY31=0,0,IF(AY31&lt;10,1.5,IF(AY31&lt;20,2,IF(AY31&gt;19,2.5,2.5)))))))</f>
        <v/>
      </c>
      <c r="BA31" s="7" t="n"/>
      <c r="BB31" s="5" t="n"/>
      <c r="BC31" s="5" t="n"/>
      <c r="BD31" s="5" t="n"/>
      <c r="BE31" s="5" t="n"/>
      <c r="BF31" s="5" t="n">
        <v>30</v>
      </c>
      <c r="BG31" s="5" t="n">
        <v>-58.3333333333333</v>
      </c>
      <c r="BH31" s="5" t="n">
        <v>-48.2758620689655</v>
      </c>
    </row>
    <row r="32" ht="12.75" customHeight="1">
      <c r="B32" s="14" t="inlineStr">
        <is>
          <t>Lamosaic India</t>
        </is>
      </c>
      <c r="C32" s="4" t="n">
        <v>2024</v>
      </c>
      <c r="D32" s="4" t="n">
        <v>0</v>
      </c>
      <c r="E32" s="5" t="n">
        <v>17.25</v>
      </c>
      <c r="F32" s="5" t="n">
        <v>15.26</v>
      </c>
      <c r="G32" s="5">
        <f>100*(F32-E32)/F32</f>
        <v/>
      </c>
      <c r="H32" s="5" t="n">
        <v>51.27</v>
      </c>
      <c r="I32" s="5" t="n">
        <v>8.23</v>
      </c>
      <c r="J32" s="5" t="n"/>
      <c r="K32" s="5" t="n">
        <v>11.31</v>
      </c>
      <c r="L32" s="5" t="n"/>
      <c r="M32" s="5" t="n">
        <v>14.17</v>
      </c>
      <c r="N32" s="5" t="n"/>
      <c r="O32" s="5" t="n">
        <v>55.65</v>
      </c>
      <c r="P32" s="5">
        <f>O32/I32</f>
        <v/>
      </c>
      <c r="Q32" s="5" t="n">
        <v>17.68</v>
      </c>
      <c r="R32" s="5" t="n">
        <v>17.68</v>
      </c>
      <c r="S32" s="6" t="n">
        <v>0</v>
      </c>
      <c r="T32" s="7" t="n"/>
      <c r="U32" s="7" t="n"/>
      <c r="V32" s="7" t="n">
        <v>0</v>
      </c>
      <c r="W32" s="5" t="n"/>
      <c r="X32" s="5" t="n">
        <v>0</v>
      </c>
      <c r="Y32" s="5" t="n">
        <v>0.88</v>
      </c>
      <c r="Z32" s="5" t="n">
        <v>2.66</v>
      </c>
      <c r="AA32" s="5">
        <f>IF(X32&lt;50,IF(Y32&gt;(2.3*X32),0,1),1)-IF(Z32&gt;Y32,1.7,0)</f>
        <v/>
      </c>
      <c r="AB32" s="5" t="n">
        <v>0</v>
      </c>
      <c r="AC32" s="5">
        <f>IF(AB32&gt;4,1,0)+IF(AB32&gt;10,0.7,0)</f>
        <v/>
      </c>
      <c r="AD32" s="5" t="n">
        <v>102</v>
      </c>
      <c r="AE32" s="5" t="n">
        <v>76</v>
      </c>
      <c r="AF32" s="5" t="n">
        <v>34</v>
      </c>
      <c r="AG32" s="6">
        <f>IF(G32&lt;52,0,0.7)+IF(G32&lt;34,0,0.7)+IF(G32&lt;1,0,0.7)+IF(P32&gt;14.56,0,1)+IF(R32&lt;9,0.5,0)+IF(R32&lt;33.8,0.5,0)+IF(R32&lt;50,0.5,0)+IF(R32&lt;80,0.5,0)+IF(S32=5,0,S32)+IF(V32&gt;0,1,-1)+IF(AE32&lt;10.56,0,1)-IF(AE32&lt;3,1,0)-IF(AE32&lt;1,1,0)</f>
        <v/>
      </c>
      <c r="AH32" s="5">
        <f>AG32+IF(X32&lt;1.35,0,1)+IF(Y32&lt;1.35,0,1)+IF(Y32&lt;0.7,-1,0)+AC32+AA32</f>
        <v/>
      </c>
      <c r="AI32" s="5" t="n">
        <v>11</v>
      </c>
      <c r="AJ32" s="5">
        <f>IF(AI32&gt;12.7,IF(AI32&gt;15.8,0.93,0.98),1)</f>
        <v/>
      </c>
      <c r="AK32" s="5">
        <f>(1.5*AG32+AH32)*AJ32*AQ32</f>
        <v/>
      </c>
      <c r="AL32" s="4">
        <f>D32</f>
        <v/>
      </c>
      <c r="AM32" s="8">
        <f>B32</f>
        <v/>
      </c>
      <c r="AN32" s="7" t="n"/>
      <c r="AO32" s="61">
        <f>IF(Z32&lt;2.81,0,IF(AK32&gt;13.7,IF(Z32&lt;140,1,0),0))</f>
        <v/>
      </c>
      <c r="AP32" s="7">
        <f>IF(AK32&gt;13.93,IF(Z32&lt;300,IF(Z32&lt;35,IF(Z32&lt;6,3,2),1),0),0)</f>
        <v/>
      </c>
      <c r="AQ32" s="5" t="n">
        <v>1</v>
      </c>
      <c r="AR32" s="7">
        <f>IF(AO32=1,IF(AO32=AL32,1,0),5)</f>
        <v/>
      </c>
      <c r="AS32" s="4" t="n">
        <v>200</v>
      </c>
      <c r="AT32" s="5" t="n"/>
      <c r="AU32" s="5">
        <f>AS32</f>
        <v/>
      </c>
      <c r="AV32" s="5">
        <f>(AT32+AU32)/2</f>
        <v/>
      </c>
      <c r="AW32" s="4" t="n">
        <v>164</v>
      </c>
      <c r="AX32" s="4">
        <f>IF(AW32&gt;AV32,1,0)</f>
        <v/>
      </c>
      <c r="AY32" s="4">
        <f>(100*(AU32-AS32)/AS32)</f>
        <v/>
      </c>
      <c r="AZ32" s="4">
        <f>IF(AY32&lt;-50,-4,IF(AY32&lt;-20,-2,IF(AY32&lt;0,-1.5,IF(AY32=0,0,IF(AY32&lt;10,1.5,IF(AY32&lt;20,2,IF(AY32&gt;19,2.5,2.5)))))))</f>
        <v/>
      </c>
      <c r="BA32" s="7" t="n"/>
      <c r="BB32" s="5" t="n"/>
      <c r="BC32" s="5" t="n"/>
      <c r="BD32" s="5" t="n"/>
      <c r="BE32" s="5" t="n"/>
      <c r="BF32" s="5" t="n">
        <v>40</v>
      </c>
      <c r="BG32" s="5" t="n">
        <v>-80</v>
      </c>
      <c r="BH32" s="5" t="n">
        <v>-75.609756097561</v>
      </c>
    </row>
    <row r="33" ht="12.75" customHeight="1">
      <c r="B33" s="13" t="inlineStr">
        <is>
          <t>BikeWo GreenTech</t>
        </is>
      </c>
      <c r="C33" s="4" t="n">
        <v>2024</v>
      </c>
      <c r="D33" s="4" t="n">
        <v>0</v>
      </c>
      <c r="E33" s="5" t="n">
        <v>14.19</v>
      </c>
      <c r="F33" s="5" t="n">
        <v>16.77</v>
      </c>
      <c r="G33" s="5">
        <f>100*(F33-E33)/F33</f>
        <v/>
      </c>
      <c r="H33" s="5" t="n">
        <v>31.51</v>
      </c>
      <c r="I33" s="5" t="n">
        <v>1.67</v>
      </c>
      <c r="J33" s="5" t="n"/>
      <c r="K33" s="5" t="n">
        <v>2.5</v>
      </c>
      <c r="L33" s="5" t="n"/>
      <c r="M33" s="5" t="n">
        <v>2.82</v>
      </c>
      <c r="N33" s="5" t="n"/>
      <c r="O33" s="5" t="n">
        <v>25.14</v>
      </c>
      <c r="P33" s="5">
        <f>O33/I33</f>
        <v/>
      </c>
      <c r="Q33" s="5" t="n">
        <v>34</v>
      </c>
      <c r="R33" s="5" t="n">
        <v>34</v>
      </c>
      <c r="S33" s="6" t="n">
        <v>0</v>
      </c>
      <c r="T33" s="7" t="n"/>
      <c r="U33" s="7" t="n"/>
      <c r="V33" s="7" t="n">
        <v>0</v>
      </c>
      <c r="W33" s="5" t="n"/>
      <c r="X33" s="5" t="n">
        <v>43</v>
      </c>
      <c r="Y33" s="5" t="n">
        <v>22.5</v>
      </c>
      <c r="Z33" s="5" t="n">
        <v>61</v>
      </c>
      <c r="AA33" s="5">
        <f>IF(X33&lt;50,IF(Y33&gt;(2.3*X33),0,1),1)-IF(Z33&gt;Y33,1.7,0)</f>
        <v/>
      </c>
      <c r="AB33" s="5" t="n">
        <v>11</v>
      </c>
      <c r="AC33" s="5">
        <f>IF(AB33&gt;4,1,0)+IF(AB33&gt;10,0.7,0)</f>
        <v/>
      </c>
      <c r="AD33" s="5" t="n">
        <v>1606.2</v>
      </c>
      <c r="AE33" s="5" t="n">
        <v>22</v>
      </c>
      <c r="AF33" s="5" t="n">
        <v>132.1</v>
      </c>
      <c r="AG33" s="6">
        <f>IF(G33&lt;52,0,0.7)+IF(G33&lt;34,0,0.7)+IF(G33&lt;1,0,0.7)+IF(P33&gt;14.56,0,1)+IF(R33&lt;9,0.5,0)+IF(R33&lt;33.8,0.5,0)+IF(R33&lt;50,0.5,0)+IF(R33&lt;80,0.5,0)+IF(S33=5,0,S33)+IF(V33&gt;0,1,-1)+IF(AE33&lt;10.56,0,1)-IF(AE33&lt;3,1,0)-IF(AE33&lt;1,1,0)</f>
        <v/>
      </c>
      <c r="AH33" s="5">
        <f>AG33+IF(X33&lt;1.35,0,1)+IF(Y33&lt;1.35,0,1)+IF(Y33&lt;0.7,-1,0)+AC33+AA33</f>
        <v/>
      </c>
      <c r="AI33" s="5" t="n">
        <v>11</v>
      </c>
      <c r="AJ33" s="5">
        <f>IF(AI33&gt;12.7,IF(AI33&gt;15.8,0.93,0.98),1)</f>
        <v/>
      </c>
      <c r="AK33" s="5">
        <f>(1.5*AG33+AH33)*AJ33*AQ33</f>
        <v/>
      </c>
      <c r="AL33" s="4">
        <f>D33</f>
        <v/>
      </c>
      <c r="AM33" s="8">
        <f>B33</f>
        <v/>
      </c>
      <c r="AN33" s="7" t="n"/>
      <c r="AO33" s="61">
        <f>IF(Z33&lt;2.81,0,IF(AK33&gt;13.7,IF(Z33&lt;140,1,0),0))</f>
        <v/>
      </c>
      <c r="AP33" s="7">
        <f>IF(AK33&gt;13.93,IF(Z33&lt;300,IF(Z33&lt;35,IF(Z33&lt;6,3,2),1),0),0)</f>
        <v/>
      </c>
      <c r="AQ33" s="5" t="n">
        <v>1</v>
      </c>
      <c r="AR33" s="7">
        <f>IF(AO33=1,IF(AO33=AL33,1,0),5)</f>
        <v/>
      </c>
      <c r="AS33" s="4" t="n">
        <v>62</v>
      </c>
      <c r="AT33" s="5" t="n"/>
      <c r="AU33" s="5">
        <f>AS33</f>
        <v/>
      </c>
      <c r="AV33" s="5">
        <f>(AT33+AU33)/2</f>
        <v/>
      </c>
      <c r="AW33" s="4" t="n">
        <v>45</v>
      </c>
      <c r="AX33" s="4">
        <f>IF(AW33&gt;AV33,1,0)</f>
        <v/>
      </c>
      <c r="AY33" s="4">
        <f>(100*(AU33-AS33)/AS33)</f>
        <v/>
      </c>
      <c r="AZ33" s="4">
        <f>IF(AY33&lt;-50,-4,IF(AY33&lt;-20,-2,IF(AY33&lt;0,-1.5,IF(AY33=0,0,IF(AY33&lt;10,1.5,IF(AY33&lt;20,2,IF(AY33&gt;19,2.5,2.5)))))))</f>
        <v/>
      </c>
      <c r="BA33" s="7" t="n"/>
      <c r="BB33" s="5" t="n"/>
      <c r="BC33" s="5" t="n"/>
      <c r="BD33" s="5" t="n"/>
      <c r="BE33" s="5" t="n"/>
      <c r="BF33" s="5" t="n">
        <v>16</v>
      </c>
      <c r="BG33" s="5" t="n">
        <v>-74.1935483870968</v>
      </c>
      <c r="BH33" s="5" t="n">
        <v>-64.4444444444444</v>
      </c>
      <c r="DG33" t="inlineStr">
        <is>
          <t xml:space="preserve">  </t>
        </is>
      </c>
    </row>
    <row r="34" ht="12.75" customHeight="1">
      <c r="B34" s="14" t="inlineStr">
        <is>
          <t>Kalana Ispat</t>
        </is>
      </c>
      <c r="C34" s="4" t="n">
        <v>2024</v>
      </c>
      <c r="D34" s="4" t="n">
        <v>0</v>
      </c>
      <c r="E34" s="5" t="n">
        <v>4.61</v>
      </c>
      <c r="F34" s="5" t="n">
        <v>10.82</v>
      </c>
      <c r="G34" s="5">
        <f>100*(F34-E34)/F34</f>
        <v/>
      </c>
      <c r="H34" s="4" t="n">
        <v>18.86</v>
      </c>
      <c r="I34" s="5" t="n">
        <v>2.37</v>
      </c>
      <c r="J34" s="5" t="n"/>
      <c r="K34" s="5" t="n">
        <v>2.92</v>
      </c>
      <c r="L34" s="5" t="n"/>
      <c r="M34" s="5" t="inlineStr">
        <is>
          <t>N/A</t>
        </is>
      </c>
      <c r="N34" s="5" t="n"/>
      <c r="O34" s="5" t="n">
        <v>73.95</v>
      </c>
      <c r="P34" s="5">
        <f>O34/I34</f>
        <v/>
      </c>
      <c r="Q34" s="5" t="n">
        <v>22.6</v>
      </c>
      <c r="R34" s="5" t="n">
        <v>22.6</v>
      </c>
      <c r="S34" s="6" t="n">
        <v>0</v>
      </c>
      <c r="T34" s="7" t="n"/>
      <c r="U34" s="7" t="n"/>
      <c r="V34" s="7" t="n">
        <v>0</v>
      </c>
      <c r="W34" s="5" t="n"/>
      <c r="X34" s="5" t="n">
        <v>0</v>
      </c>
      <c r="Y34" s="5" t="n">
        <v>40.69</v>
      </c>
      <c r="Z34" s="5" t="n">
        <v>74.54000000000001</v>
      </c>
      <c r="AA34" s="5">
        <f>IF(X34&lt;50,IF(Y34&gt;(2.3*X34),0,1),1)-IF(Z34&gt;Y34,1.7,0)</f>
        <v/>
      </c>
      <c r="AB34" s="5" t="n">
        <v>0</v>
      </c>
      <c r="AC34" s="5">
        <f>IF(AB34&gt;4,1,0)+IF(AB34&gt;10,0.7,0)</f>
        <v/>
      </c>
      <c r="AD34" s="5" t="n">
        <v>373</v>
      </c>
      <c r="AE34" s="5" t="n">
        <v>-11</v>
      </c>
      <c r="AF34" s="5" t="inlineStr">
        <is>
          <t>N/A</t>
        </is>
      </c>
      <c r="AG34" s="6">
        <f>IF(G34&lt;52,0,0.7)+IF(G34&lt;34,0,0.7)+IF(G34&lt;1,0,0.7)+IF(P34&gt;14.56,0,1)+IF(R34&lt;9,0.5,0)+IF(R34&lt;33.8,0.5,0)+IF(R34&lt;50,0.5,0)+IF(R34&lt;80,0.5,0)+IF(S34=5,0,S34)+IF(V34&gt;0,1,-1)+IF(AE34&lt;10.56,0,1)-IF(AE34&lt;3,1,0)-IF(AE34&lt;1,1,0)</f>
        <v/>
      </c>
      <c r="AH34" s="5">
        <f>AG34+IF(X34&lt;1.35,0,1)+IF(Y34&lt;1.35,0,1)+IF(Y34&lt;0.7,-1,0)+AC34+AA34</f>
        <v/>
      </c>
      <c r="AI34" s="5" t="n">
        <v>11</v>
      </c>
      <c r="AJ34" s="5">
        <f>IF(AI34&gt;12.7,IF(AI34&gt;15.8,0.93,0.98),1)</f>
        <v/>
      </c>
      <c r="AK34" s="5">
        <f>(1.5*AG34+AH34)*AJ34*AQ34</f>
        <v/>
      </c>
      <c r="AL34" s="4">
        <f>D34</f>
        <v/>
      </c>
      <c r="AM34" s="8">
        <f>B34</f>
        <v/>
      </c>
      <c r="AN34" s="7" t="n"/>
      <c r="AO34" s="61">
        <f>IF(Z34&lt;2.81,0,IF(AK34&gt;13.7,IF(Z34&lt;140,1,0),0))</f>
        <v/>
      </c>
      <c r="AP34" s="7">
        <f>IF(AK34&gt;13.93,IF(Z34&lt;300,IF(Z34&lt;35,IF(Z34&lt;6,3,2),1),0),0)</f>
        <v/>
      </c>
      <c r="AQ34" s="5" t="n">
        <v>1</v>
      </c>
      <c r="AR34" s="7">
        <f>IF(AO34=1,IF(AO34=AL34,1,0),5)</f>
        <v/>
      </c>
      <c r="AS34" s="4" t="n">
        <v>66</v>
      </c>
      <c r="AT34" s="5" t="n"/>
      <c r="AU34" s="5">
        <f>AS34</f>
        <v/>
      </c>
      <c r="AV34" s="5">
        <f>(AT34+AU34)/2</f>
        <v/>
      </c>
      <c r="AW34" s="4" t="n">
        <v>45</v>
      </c>
      <c r="AX34" s="4">
        <f>IF(AW34&gt;AV34,1,0)</f>
        <v/>
      </c>
      <c r="AY34" s="4">
        <f>(100*(AU34-AS34)/AS34)</f>
        <v/>
      </c>
      <c r="AZ34" s="4">
        <f>IF(AY34&lt;-50,-4,IF(AY34&lt;-20,-2,IF(AY34&lt;0,-1.5,IF(AY34=0,0,IF(AY34&lt;10,1.5,IF(AY34&lt;20,2,IF(AY34&gt;19,2.5,2.5)))))))</f>
        <v/>
      </c>
      <c r="BA34" s="7" t="n"/>
      <c r="BB34" s="5" t="n"/>
      <c r="BC34" s="5" t="n"/>
      <c r="BD34" s="5" t="n"/>
      <c r="BE34" s="5" t="n"/>
      <c r="BF34" s="5" t="n">
        <v>30</v>
      </c>
      <c r="BG34" s="5" t="n">
        <v>-54.5454545454546</v>
      </c>
      <c r="BH34" s="5" t="n">
        <v>-33.3333333333333</v>
      </c>
    </row>
    <row r="35" ht="12.75" customHeight="1">
      <c r="B35" s="14" t="inlineStr">
        <is>
          <t>3C IT</t>
        </is>
      </c>
      <c r="C35" s="4" t="n">
        <v>2024</v>
      </c>
      <c r="D35" s="4" t="n">
        <v>0</v>
      </c>
      <c r="E35" s="5" t="n">
        <v>0</v>
      </c>
      <c r="F35" s="5" t="n">
        <v>4.6</v>
      </c>
      <c r="G35" s="5">
        <f>100*(F35-E35)/F35</f>
        <v/>
      </c>
      <c r="H35" s="4" t="n">
        <v>12.5</v>
      </c>
      <c r="I35" s="5" t="n">
        <v>0.67</v>
      </c>
      <c r="J35" s="5" t="n"/>
      <c r="K35" s="5" t="n">
        <v>0.47</v>
      </c>
      <c r="L35" s="5" t="n"/>
      <c r="M35" s="5" t="n">
        <v>3.39</v>
      </c>
      <c r="N35" s="5" t="n"/>
      <c r="O35" s="5" t="n">
        <v>30.91</v>
      </c>
      <c r="P35" s="5">
        <f>O35/I35</f>
        <v/>
      </c>
      <c r="Q35" s="5" t="n">
        <v>5.86</v>
      </c>
      <c r="R35" s="5" t="n">
        <v>46.47</v>
      </c>
      <c r="S35" s="6" t="n">
        <v>0</v>
      </c>
      <c r="T35" s="7" t="n"/>
      <c r="U35" s="7" t="n"/>
      <c r="V35" s="7" t="n">
        <v>0</v>
      </c>
      <c r="W35" s="5" t="n"/>
      <c r="X35" s="5" t="n">
        <v>0</v>
      </c>
      <c r="Y35" s="5" t="n">
        <v>10.63</v>
      </c>
      <c r="Z35" s="5" t="n">
        <v>29.79</v>
      </c>
      <c r="AA35" s="5">
        <f>IF(X35&lt;50,IF(Y35&gt;(2.3*X35),0,1),1)-IF(Z35&gt;Y35,1.7,0)</f>
        <v/>
      </c>
      <c r="AB35" s="5" t="n">
        <v>0</v>
      </c>
      <c r="AC35" s="5">
        <f>IF(AB35&gt;4,1,0)+IF(AB35&gt;10,0.7,0)</f>
        <v/>
      </c>
      <c r="AD35" s="5" t="n">
        <v>3</v>
      </c>
      <c r="AE35" s="5" t="n">
        <v>-6</v>
      </c>
      <c r="AF35" s="5" t="inlineStr">
        <is>
          <t>N/A</t>
        </is>
      </c>
      <c r="AG35" s="6">
        <f>IF(G35&lt;52,0,0.7)+IF(G35&lt;34,0,0.7)+IF(G35&lt;1,0,0.7)+IF(P35&gt;14.56,0,1)+IF(R35&lt;9,0.5,0)+IF(R35&lt;33.8,0.5,0)+IF(R35&lt;50,0.5,0)+IF(R35&lt;80,0.5,0)+IF(S35=5,0,S35)+IF(V35&gt;0,1,-1)+IF(AE35&lt;10.56,0,1)-IF(AE35&lt;3,1,0)-IF(AE35&lt;1,1,0)</f>
        <v/>
      </c>
      <c r="AH35" s="5">
        <f>AG35+IF(X35&lt;1.35,0,1)+IF(Y35&lt;1.35,0,1)+IF(Y35&lt;0.7,-1,0)+AC35+AA35</f>
        <v/>
      </c>
      <c r="AI35" s="5" t="n">
        <v>11</v>
      </c>
      <c r="AJ35" s="5">
        <f>IF(AI35&gt;12.7,IF(AI35&gt;15.8,0.93,0.98),1)</f>
        <v/>
      </c>
      <c r="AK35" s="5">
        <f>(1.5*AG35+AH35)*AJ35*AQ35</f>
        <v/>
      </c>
      <c r="AL35" s="4">
        <f>D35</f>
        <v/>
      </c>
      <c r="AM35" s="8">
        <f>B35</f>
        <v/>
      </c>
      <c r="AN35" s="7" t="n"/>
      <c r="AO35" s="61">
        <f>IF(Z35&lt;2.81,0,IF(AK35&gt;13.7,IF(Z35&lt;140,1,0),0))</f>
        <v/>
      </c>
      <c r="AP35" s="7">
        <f>IF(AK35&gt;13.93,IF(Z35&lt;300,IF(Z35&lt;35,IF(Z35&lt;6,3,2),1),0),0)</f>
        <v/>
      </c>
      <c r="AQ35" s="5" t="n">
        <v>1</v>
      </c>
      <c r="AR35" s="7">
        <f>IF(AO35=1,IF(AO35=AL35,1,0),5)</f>
        <v/>
      </c>
      <c r="AS35" s="4" t="n">
        <v>52</v>
      </c>
      <c r="AT35" s="5" t="n"/>
      <c r="AU35" s="5">
        <f>AS35</f>
        <v/>
      </c>
      <c r="AV35" s="5">
        <f>(AT35+AU35)/2</f>
        <v/>
      </c>
      <c r="AW35" s="4" t="n">
        <v>43</v>
      </c>
      <c r="AX35" s="4">
        <f>IF(AW35&gt;AV35,1,0)</f>
        <v/>
      </c>
      <c r="AY35" s="4">
        <f>(100*(AU35-AS35)/AS35)</f>
        <v/>
      </c>
      <c r="AZ35" s="4">
        <f>IF(AY35&lt;-50,-4,IF(AY35&lt;-20,-2,IF(AY35&lt;0,-1.5,IF(AY35=0,0,IF(AY35&lt;10,1.5,IF(AY35&lt;20,2,IF(AY35&gt;19,2.5,2.5)))))))</f>
        <v/>
      </c>
      <c r="BA35" s="7" t="n"/>
      <c r="BB35" s="5" t="n"/>
      <c r="BC35" s="5" t="n"/>
      <c r="BD35" s="5" t="n"/>
      <c r="BE35" s="5" t="n"/>
      <c r="BF35" s="5" t="n">
        <v>18</v>
      </c>
      <c r="BG35" s="5" t="n">
        <v>-65.3846153846154</v>
      </c>
      <c r="BH35" s="5" t="n">
        <v>-58.1395348837209</v>
      </c>
    </row>
    <row r="36" ht="12.75" customHeight="1">
      <c r="B36" s="14" t="inlineStr">
        <is>
          <t>M.V.K. Agro Food</t>
        </is>
      </c>
      <c r="C36" s="4" t="n">
        <v>2024</v>
      </c>
      <c r="D36" s="4" t="n">
        <v>0</v>
      </c>
      <c r="E36" s="5" t="n">
        <v>91.56</v>
      </c>
      <c r="F36" s="5" t="n">
        <v>13.38</v>
      </c>
      <c r="G36" s="5">
        <f>100*(F36-E36)/F36</f>
        <v/>
      </c>
      <c r="H36" s="4" t="n">
        <v>154.2</v>
      </c>
      <c r="I36" s="5" t="n">
        <v>3.77</v>
      </c>
      <c r="J36" s="5" t="n"/>
      <c r="K36" s="5" t="n">
        <v>3.77</v>
      </c>
      <c r="L36" s="5" t="n"/>
      <c r="M36" s="5" t="n">
        <v>16.61</v>
      </c>
      <c r="N36" s="5" t="n"/>
      <c r="O36" s="5" t="n">
        <v>93.94</v>
      </c>
      <c r="P36" s="5">
        <f>O36/I36</f>
        <v/>
      </c>
      <c r="Q36" s="5" t="n">
        <v>31.8</v>
      </c>
      <c r="R36" s="5" t="n">
        <v>31.8</v>
      </c>
      <c r="S36" s="6" t="n">
        <v>0</v>
      </c>
      <c r="T36" s="7" t="n"/>
      <c r="U36" s="7" t="n"/>
      <c r="V36" s="7" t="n">
        <v>0</v>
      </c>
      <c r="W36" s="5" t="n"/>
      <c r="X36" s="5" t="inlineStr">
        <is>
          <t>N/A</t>
        </is>
      </c>
      <c r="Y36" s="5" t="n">
        <v>3.9</v>
      </c>
      <c r="Z36" s="5" t="n">
        <v>13.01</v>
      </c>
      <c r="AA36" s="5">
        <f>IF(X36&lt;50,IF(Y36&gt;(2.3*X36),0,1),1)-IF(Z36&gt;Y36,1.7,0)</f>
        <v/>
      </c>
      <c r="AB36" s="5" t="n">
        <v>0</v>
      </c>
      <c r="AC36" s="5">
        <f>IF(AB36&gt;4,1,0)+IF(AB36&gt;10,0.7,0)</f>
        <v/>
      </c>
      <c r="AD36" s="5" t="n">
        <v>18</v>
      </c>
      <c r="AE36" s="5" t="n">
        <v>-29</v>
      </c>
      <c r="AF36" s="5" t="inlineStr">
        <is>
          <t>N/A</t>
        </is>
      </c>
      <c r="AG36" s="6">
        <f>IF(G36&lt;52,0,0.7)+IF(G36&lt;34,0,0.7)+IF(G36&lt;1,0,0.7)+IF(P36&gt;14.56,0,1)+IF(R36&lt;9,0.5,0)+IF(R36&lt;33.8,0.5,0)+IF(R36&lt;50,0.5,0)+IF(R36&lt;80,0.5,0)+IF(S36=5,0,S36)+IF(V36&gt;0,1,-1)+IF(AE36&lt;10.56,0,1)-IF(AE36&lt;3,1,0)-IF(AE36&lt;1,1,0)</f>
        <v/>
      </c>
      <c r="AH36" s="5">
        <f>AG36+IF(X36&lt;1.35,0,1)+IF(Y36&lt;1.35,0,1)+IF(Y36&lt;0.7,-1,0)+AC36+AA36</f>
        <v/>
      </c>
      <c r="AI36" s="5" t="n">
        <v>11</v>
      </c>
      <c r="AJ36" s="5">
        <f>IF(AI36&gt;12.7,IF(AI36&gt;15.8,0.93,0.98),1)</f>
        <v/>
      </c>
      <c r="AK36" s="5">
        <f>(1.5*AG36+AH36)*AJ36*AQ36</f>
        <v/>
      </c>
      <c r="AL36" s="4">
        <f>D36</f>
        <v/>
      </c>
      <c r="AM36" s="8">
        <f>B36</f>
        <v/>
      </c>
      <c r="AN36" s="7" t="n"/>
      <c r="AO36" s="61">
        <f>IF(Z36&lt;2.81,0,IF(AK36&gt;13.7,IF(Z36&lt;140,1,0),0))</f>
        <v/>
      </c>
      <c r="AP36" s="7">
        <f>IF(AK36&gt;13.93,IF(Z36&lt;300,IF(Z36&lt;35,IF(Z36&lt;6,3,2),1),0),0)</f>
        <v/>
      </c>
      <c r="AQ36" s="5" t="n">
        <v>1</v>
      </c>
      <c r="AR36" s="7">
        <f>IF(AO36=1,IF(AO36=AL36,1,0),5)</f>
        <v/>
      </c>
      <c r="AS36" s="4" t="n">
        <v>120</v>
      </c>
      <c r="AT36" s="5" t="n"/>
      <c r="AU36" s="5">
        <f>AS36</f>
        <v/>
      </c>
      <c r="AV36" s="5">
        <f>(AT36+AU36)/2</f>
        <v/>
      </c>
      <c r="AW36" s="4" t="n">
        <v>79</v>
      </c>
      <c r="AX36" s="4">
        <f>IF(AW36&gt;AV36,1,0)</f>
        <v/>
      </c>
      <c r="AY36" s="4">
        <f>(100*(AU36-AS36)/AS36)</f>
        <v/>
      </c>
      <c r="AZ36" s="4">
        <f>IF(AY36&lt;-50,-4,IF(AY36&lt;-20,-2,IF(AY36&lt;0,-1.5,IF(AY36=0,0,IF(AY36&lt;10,1.5,IF(AY36&lt;20,2,IF(AY36&gt;19,2.5,2.5)))))))</f>
        <v/>
      </c>
      <c r="BA36" s="7" t="n"/>
      <c r="BB36" s="5" t="n"/>
      <c r="BC36" s="5" t="n"/>
      <c r="BD36" s="5" t="n"/>
      <c r="BE36" s="5" t="n"/>
      <c r="BF36" s="5" t="n">
        <v>525</v>
      </c>
      <c r="BG36" s="5" t="n">
        <v>337.5</v>
      </c>
      <c r="BH36" s="5" t="n">
        <v>564.556962025317</v>
      </c>
    </row>
    <row r="37" ht="12.75" customHeight="1">
      <c r="B37" s="14" t="inlineStr">
        <is>
          <t>Sona Machinery</t>
        </is>
      </c>
      <c r="C37" s="4" t="n">
        <v>2024</v>
      </c>
      <c r="D37" s="8" t="n">
        <v>0</v>
      </c>
      <c r="E37" s="5" t="n">
        <v>2.53</v>
      </c>
      <c r="F37" s="5" t="n">
        <v>11.32</v>
      </c>
      <c r="G37" s="5">
        <f>100*(F37-E37)/F37</f>
        <v/>
      </c>
      <c r="H37" s="4" t="n">
        <v>28.58</v>
      </c>
      <c r="I37" s="5" t="n">
        <v>7.68</v>
      </c>
      <c r="J37" s="5" t="n"/>
      <c r="K37" s="5" t="n">
        <v>7.61</v>
      </c>
      <c r="L37" s="5" t="n"/>
      <c r="M37" s="5" t="n">
        <v>11.96</v>
      </c>
      <c r="N37" s="5" t="n"/>
      <c r="O37" s="5" t="n">
        <v>80.97</v>
      </c>
      <c r="P37" s="5">
        <f>O37/I37</f>
        <v/>
      </c>
      <c r="Q37" s="5" t="n">
        <v>18.79</v>
      </c>
      <c r="R37" s="5" t="n">
        <v>18.79</v>
      </c>
      <c r="S37" s="6" t="n">
        <v>0</v>
      </c>
      <c r="T37" s="7" t="n"/>
      <c r="U37" s="7" t="n"/>
      <c r="V37" s="7" t="n">
        <v>1</v>
      </c>
      <c r="W37" s="5" t="n"/>
      <c r="X37" s="5" t="n">
        <v>129.72</v>
      </c>
      <c r="Y37" s="5" t="n">
        <v>554.42</v>
      </c>
      <c r="Z37" s="5" t="n">
        <v>235.06</v>
      </c>
      <c r="AA37" s="5">
        <f>IF(X37&lt;50,IF(Y37&gt;(2.3*X37),0,1),1)-IF(Z37&gt;Y37,1.7,0)</f>
        <v/>
      </c>
      <c r="AB37" s="5" t="n">
        <v>21</v>
      </c>
      <c r="AC37" s="5">
        <f>IF(AB37&gt;4,1,0)+IF(AB37&gt;10,0.7,0)</f>
        <v/>
      </c>
      <c r="AD37" s="5" t="n">
        <v>135</v>
      </c>
      <c r="AE37" s="5" t="n">
        <v>82</v>
      </c>
      <c r="AF37" s="5" t="n">
        <v>211</v>
      </c>
      <c r="AG37" s="6">
        <f>IF(G37&lt;52,0,0.7)+IF(G37&lt;34,0,0.7)+IF(G37&lt;1,0,0.7)+IF(P37&gt;14.56,0,1)+IF(R37&lt;9,0.5,0)+IF(R37&lt;33.8,0.5,0)+IF(R37&lt;50,0.5,0)+IF(R37&lt;80,0.5,0)+IF(S37=5,0,S37)+IF(V37&gt;0,1,-1)+IF(AE37&lt;10.56,0,1)-IF(AE37&lt;3,1,0)-IF(AE37&lt;1,1,0)</f>
        <v/>
      </c>
      <c r="AH37" s="5">
        <f>AG37+IF(X37&lt;1.35,0,1)+IF(Y37&lt;1.35,0,1)+IF(Y37&lt;0.7,-1,0)+AC37+AA37</f>
        <v/>
      </c>
      <c r="AI37" s="5" t="n">
        <v>11</v>
      </c>
      <c r="AJ37" s="5">
        <f>IF(AI37&gt;12.7,IF(AI37&gt;15.8,0.93,0.98),1)</f>
        <v/>
      </c>
      <c r="AK37" s="5">
        <f>(1.5*AG37+AH37)*AJ37*AQ37</f>
        <v/>
      </c>
      <c r="AL37" s="4">
        <f>D37</f>
        <v/>
      </c>
      <c r="AM37" s="8">
        <f>B37</f>
        <v/>
      </c>
      <c r="AN37" s="7" t="n"/>
      <c r="AO37" s="61">
        <f>IF(Z37&lt;2.81,0,IF(AK37&gt;13.7,IF(Z37&lt;140,1,0),0))</f>
        <v/>
      </c>
      <c r="AP37" s="7">
        <f>IF(AK37&gt;13.93,IF(Z37&lt;300,IF(Z37&lt;35,IF(Z37&lt;6,3,2),1),0),0)</f>
        <v/>
      </c>
      <c r="AQ37" s="5" t="n">
        <v>1</v>
      </c>
      <c r="AR37" s="7">
        <f>IF(AO37=1,IF(AO37=AL37,1,0),5)</f>
        <v/>
      </c>
      <c r="AS37" s="4" t="n">
        <v>143</v>
      </c>
      <c r="AT37" s="5" t="n"/>
      <c r="AU37" s="5">
        <f>AS37</f>
        <v/>
      </c>
      <c r="AV37" s="5">
        <f>(AT37+AU37)/2</f>
        <v/>
      </c>
      <c r="AW37" s="4" t="n">
        <v>125</v>
      </c>
      <c r="AX37" s="4">
        <f>IF(AW37&gt;AV37,1,0)</f>
        <v/>
      </c>
      <c r="AY37" s="4">
        <f>(100*(AU37-AS37)/AS37)</f>
        <v/>
      </c>
      <c r="AZ37" s="4">
        <f>IF(AY37&lt;-50,-4,IF(AY37&lt;-20,-2,IF(AY37&lt;0,-1.5,IF(AY37=0,0,IF(AY37&lt;10,1.5,IF(AY37&lt;20,2,IF(AY37&gt;19,2.5,2.5)))))))</f>
        <v/>
      </c>
      <c r="BA37" s="7" t="n"/>
      <c r="BB37" s="5" t="n">
        <v>126.3</v>
      </c>
      <c r="BC37" s="5" t="n">
        <v>143</v>
      </c>
      <c r="BD37" s="5" t="n">
        <v>142</v>
      </c>
      <c r="BE37" s="5" t="n"/>
      <c r="BF37" s="5" t="n">
        <v>73</v>
      </c>
      <c r="BG37" s="5" t="n">
        <v>-48.951048951049</v>
      </c>
      <c r="BH37" s="5" t="n">
        <v>-41.6</v>
      </c>
    </row>
    <row r="38" ht="12.75" customHeight="1">
      <c r="B38" s="14" t="inlineStr">
        <is>
          <t>Italian Edibles</t>
        </is>
      </c>
      <c r="C38" s="4" t="n">
        <v>2024</v>
      </c>
      <c r="D38" s="4" t="n">
        <v>0</v>
      </c>
      <c r="E38" s="5" t="n">
        <v>20.57</v>
      </c>
      <c r="F38" s="5" t="n">
        <v>40.84</v>
      </c>
      <c r="G38" s="5">
        <f>100*(F38-E38)/F38</f>
        <v/>
      </c>
      <c r="H38" s="4" t="n">
        <v>70.40000000000001</v>
      </c>
      <c r="I38" s="5" t="n">
        <v>5.04</v>
      </c>
      <c r="J38" s="5" t="n"/>
      <c r="K38" s="5" t="n">
        <v>4.64</v>
      </c>
      <c r="L38" s="5" t="n"/>
      <c r="M38" s="5" t="n">
        <v>7.07</v>
      </c>
      <c r="N38" s="5" t="n"/>
      <c r="O38" s="5" t="n">
        <v>73.25</v>
      </c>
      <c r="P38" s="5">
        <f>O38/I38</f>
        <v/>
      </c>
      <c r="Q38" s="5" t="n">
        <v>19.97</v>
      </c>
      <c r="R38" s="5" t="n">
        <v>19.97</v>
      </c>
      <c r="S38" s="6" t="n">
        <v>0</v>
      </c>
      <c r="T38" s="7" t="n"/>
      <c r="U38" s="7" t="n"/>
      <c r="V38" s="7" t="n">
        <v>0</v>
      </c>
      <c r="W38" s="5" t="n"/>
      <c r="X38" s="5" t="n">
        <v>0</v>
      </c>
      <c r="Y38" s="5" t="n">
        <v>177.37</v>
      </c>
      <c r="Z38" s="5" t="n">
        <v>120.62</v>
      </c>
      <c r="AA38" s="5">
        <f>IF(X38&lt;50,IF(Y38&gt;(2.3*X38),0,1),1)-IF(Z38&gt;Y38,1.7,0)</f>
        <v/>
      </c>
      <c r="AB38" s="5" t="n">
        <v>17</v>
      </c>
      <c r="AC38" s="5">
        <f>IF(AB38&gt;4,1,0)+IF(AB38&gt;10,0.7,0)</f>
        <v/>
      </c>
      <c r="AD38" s="5" t="n">
        <v>229</v>
      </c>
      <c r="AE38" s="5" t="n">
        <v>-16</v>
      </c>
      <c r="AF38" s="5" t="n">
        <v>279</v>
      </c>
      <c r="AG38" s="6">
        <f>IF(G38&lt;52,0,0.7)+IF(G38&lt;34,0,0.7)+IF(G38&lt;1,0,0.7)+IF(P38&gt;14.56,0,1)+IF(R38&lt;9,0.5,0)+IF(R38&lt;33.8,0.5,0)+IF(R38&lt;50,0.5,0)+IF(R38&lt;80,0.5,0)+IF(S38=5,0,S38)+IF(V38&gt;0,1,-1)+IF(AE38&lt;10.56,0,1)-IF(AE38&lt;3,1,0)-IF(AE38&lt;1,1,0)</f>
        <v/>
      </c>
      <c r="AH38" s="5">
        <f>AG38+IF(X38&lt;1.35,0,1)+IF(Y38&lt;1.35,0,1)+IF(Y38&lt;0.7,-1,0)+AC38+AA38</f>
        <v/>
      </c>
      <c r="AI38" s="5" t="n">
        <v>11</v>
      </c>
      <c r="AJ38" s="5">
        <f>IF(AI38&gt;12.7,IF(AI38&gt;15.8,0.93,0.98),1)</f>
        <v/>
      </c>
      <c r="AK38" s="5">
        <f>(1.5*AG38+AH38)*AJ38*AQ38</f>
        <v/>
      </c>
      <c r="AL38" s="4">
        <f>D38</f>
        <v/>
      </c>
      <c r="AM38" s="8">
        <f>B38</f>
        <v/>
      </c>
      <c r="AN38" s="7" t="n"/>
      <c r="AO38" s="61">
        <f>IF(Z38&lt;2.81,0,IF(AK38&gt;13.7,IF(Z38&lt;140,1,0),0))</f>
        <v/>
      </c>
      <c r="AP38" s="7">
        <f>IF(AK38&gt;13.93,IF(Z38&lt;300,IF(Z38&lt;35,IF(Z38&lt;6,3,2),1),0),0)</f>
        <v/>
      </c>
      <c r="AQ38" s="5" t="n">
        <v>1</v>
      </c>
      <c r="AR38" s="7">
        <f>IF(AO38=1,IF(AO38=AL38,1,0),5)</f>
        <v/>
      </c>
      <c r="AS38" s="4" t="n">
        <v>68</v>
      </c>
      <c r="AT38" s="5" t="n"/>
      <c r="AU38" s="5">
        <f>AS38</f>
        <v/>
      </c>
      <c r="AV38" s="5">
        <f>(AT38+AU38)/2</f>
        <v/>
      </c>
      <c r="AW38" s="4" t="n">
        <v>55</v>
      </c>
      <c r="AX38" s="4">
        <f>IF(AW38&gt;AV38,1,0)</f>
        <v/>
      </c>
      <c r="AY38" s="4">
        <f>(100*(AU38-AS38)/AS38)</f>
        <v/>
      </c>
      <c r="AZ38" s="4">
        <f>IF(AY38&lt;-50,-4,IF(AY38&lt;-20,-2,IF(AY38&lt;0,-1.5,IF(AY38=0,0,IF(AY38&lt;10,1.5,IF(AY38&lt;20,2,IF(AY38&gt;19,2.5,2.5)))))))</f>
        <v/>
      </c>
      <c r="BA38" s="7" t="n"/>
      <c r="BB38" s="5" t="n"/>
      <c r="BC38" s="5" t="n"/>
      <c r="BD38" s="5" t="n"/>
      <c r="BE38" s="5" t="n"/>
      <c r="BF38" s="5" t="n">
        <v>34</v>
      </c>
      <c r="BG38" s="5" t="n">
        <v>-50</v>
      </c>
      <c r="BH38" s="5" t="n">
        <v>-38.1818181818182</v>
      </c>
    </row>
    <row r="39" ht="12.75" customHeight="1">
      <c r="B39" s="14" t="inlineStr">
        <is>
          <t>Mandeep Auto Industries</t>
        </is>
      </c>
      <c r="C39" s="4" t="n">
        <v>2024</v>
      </c>
      <c r="D39" s="4" t="n">
        <v>0</v>
      </c>
      <c r="E39" s="5" t="n">
        <v>10.29</v>
      </c>
      <c r="F39" s="5" t="n">
        <v>11.32</v>
      </c>
      <c r="G39" s="5">
        <f>100*(F39-E39)/F39</f>
        <v/>
      </c>
      <c r="H39" s="4" t="n">
        <v>39.75</v>
      </c>
      <c r="I39" s="5" t="n">
        <v>2.77</v>
      </c>
      <c r="J39" s="5" t="n"/>
      <c r="K39" s="5" t="n">
        <v>2.68</v>
      </c>
      <c r="L39" s="5" t="n"/>
      <c r="M39" s="5" t="n">
        <v>4.73</v>
      </c>
      <c r="N39" s="5" t="n"/>
      <c r="O39" s="5" t="n">
        <v>29.79</v>
      </c>
      <c r="P39" s="5">
        <f>O39/I39</f>
        <v/>
      </c>
      <c r="Q39" s="5" t="n">
        <v>25</v>
      </c>
      <c r="R39" s="5" t="n">
        <v>25</v>
      </c>
      <c r="S39" s="6" t="n">
        <v>0</v>
      </c>
      <c r="T39" s="7" t="n"/>
      <c r="U39" s="7" t="n"/>
      <c r="V39" s="7" t="n">
        <v>0</v>
      </c>
      <c r="W39" s="5" t="n"/>
      <c r="X39" s="5" t="n">
        <v>0</v>
      </c>
      <c r="Y39" s="5" t="n">
        <v>61.54</v>
      </c>
      <c r="Z39" s="5" t="n">
        <v>90.56999999999999</v>
      </c>
      <c r="AA39" s="5">
        <f>IF(X39&lt;50,IF(Y39&gt;(2.3*X39),0,1),1)-IF(Z39&gt;Y39,1.7,0)</f>
        <v/>
      </c>
      <c r="AB39" s="5" t="n">
        <v>6</v>
      </c>
      <c r="AC39" s="5">
        <f>IF(AB39&gt;4,1,0)+IF(AB39&gt;10,0.7,0)</f>
        <v/>
      </c>
      <c r="AD39" s="5" t="n">
        <v>86</v>
      </c>
      <c r="AE39" s="5" t="n">
        <v>31</v>
      </c>
      <c r="AF39" s="5" t="n">
        <v>81</v>
      </c>
      <c r="AG39" s="6">
        <f>IF(G39&lt;52,0,0.7)+IF(G39&lt;34,0,0.7)+IF(G39&lt;1,0,0.7)+IF(P39&gt;14.56,0,1)+IF(R39&lt;9,0.5,0)+IF(R39&lt;33.8,0.5,0)+IF(R39&lt;50,0.5,0)+IF(R39&lt;80,0.5,0)+IF(S39=5,0,S39)+IF(V39&gt;0,1,-1)+IF(AE39&lt;10.56,0,1)-IF(AE39&lt;3,1,0)-IF(AE39&lt;1,1,0)</f>
        <v/>
      </c>
      <c r="AH39" s="5">
        <f>AG39+IF(X39&lt;1.35,0,1)+IF(Y39&lt;1.35,0,1)+IF(Y39&lt;0.7,-1,0)+AC39+AA39</f>
        <v/>
      </c>
      <c r="AI39" s="5" t="n">
        <v>11</v>
      </c>
      <c r="AJ39" s="5">
        <f>IF(AI39&gt;12.7,IF(AI39&gt;15.8,0.93,0.98),1)</f>
        <v/>
      </c>
      <c r="AK39" s="5">
        <f>(1.5*AG39+AH39)*AJ39*AQ39</f>
        <v/>
      </c>
      <c r="AL39" s="4">
        <f>D39</f>
        <v/>
      </c>
      <c r="AM39" s="8">
        <f>B39</f>
        <v/>
      </c>
      <c r="AN39" s="7" t="n"/>
      <c r="AO39" s="61">
        <f>IF(Z39&lt;2.81,0,IF(AK39&gt;13.7,IF(Z39&lt;140,1,0),0))</f>
        <v/>
      </c>
      <c r="AP39" s="7">
        <f>IF(AK39&gt;13.93,IF(Z39&lt;300,IF(Z39&lt;35,IF(Z39&lt;6,3,2),1),0),0)</f>
        <v/>
      </c>
      <c r="AQ39" s="5" t="n">
        <v>1</v>
      </c>
      <c r="AR39" s="7">
        <f>IF(AO39=1,IF(AO39=AL39,1,0),5)</f>
        <v/>
      </c>
      <c r="AS39" s="4" t="n">
        <v>67</v>
      </c>
      <c r="AT39" s="5" t="n"/>
      <c r="AU39" s="5">
        <f>AS39</f>
        <v/>
      </c>
      <c r="AV39" s="5">
        <f>(AT39+AU39)/2</f>
        <v/>
      </c>
      <c r="AW39" s="4" t="n">
        <v>62</v>
      </c>
      <c r="AX39" s="4">
        <f>IF(AW39&gt;AV39,1,0)</f>
        <v/>
      </c>
      <c r="AY39" s="4">
        <f>(100*(AU39-AS39)/AS39)</f>
        <v/>
      </c>
      <c r="AZ39" s="4">
        <f>IF(AY39&lt;-50,-4,IF(AY39&lt;-20,-2,IF(AY39&lt;0,-1.5,IF(AY39=0,0,IF(AY39&lt;10,1.5,IF(AY39&lt;20,2,IF(AY39&gt;19,2.5,2.5)))))))</f>
        <v/>
      </c>
      <c r="BA39" s="7" t="n"/>
      <c r="BB39" s="5" t="n"/>
      <c r="BC39" s="5" t="n"/>
      <c r="BD39" s="5" t="n"/>
      <c r="BE39" s="5" t="n"/>
      <c r="BF39" s="5" t="n">
        <v>26</v>
      </c>
      <c r="BG39" s="5" t="n">
        <v>-61.1940298507463</v>
      </c>
      <c r="BH39" s="5" t="n">
        <v>-58.0645161290323</v>
      </c>
    </row>
    <row r="40" ht="12.75" customHeight="1">
      <c r="B40" s="14" t="inlineStr">
        <is>
          <t>Falcon Technoprojects India</t>
        </is>
      </c>
      <c r="C40" s="4" t="n">
        <v>2024</v>
      </c>
      <c r="D40" s="4" t="n">
        <v>0</v>
      </c>
      <c r="E40" s="5" t="n">
        <v>7.7</v>
      </c>
      <c r="F40" s="5" t="n">
        <v>9.01</v>
      </c>
      <c r="G40" s="5">
        <f>100*(F40-E40)/F40</f>
        <v/>
      </c>
      <c r="H40" s="4" t="n">
        <v>21.05</v>
      </c>
      <c r="I40" s="5" t="n">
        <v>0.87</v>
      </c>
      <c r="J40" s="5" t="n"/>
      <c r="K40" s="5" t="n">
        <v>1.94</v>
      </c>
      <c r="L40" s="5" t="n"/>
      <c r="M40" s="5" t="n">
        <v>2</v>
      </c>
      <c r="N40" s="5" t="n"/>
      <c r="O40" s="5" t="n">
        <v>11.44</v>
      </c>
      <c r="P40" s="5">
        <f>O40/I40</f>
        <v/>
      </c>
      <c r="Q40" s="5" t="n">
        <v>47.21</v>
      </c>
      <c r="R40" s="5" t="n">
        <v>47.21</v>
      </c>
      <c r="S40" s="6" t="n">
        <v>0</v>
      </c>
      <c r="T40" s="7" t="n"/>
      <c r="U40" s="7" t="n"/>
      <c r="V40" s="7" t="n">
        <v>0</v>
      </c>
      <c r="W40" s="5" t="n"/>
      <c r="X40" s="5" t="n">
        <v>0</v>
      </c>
      <c r="Y40" s="5" t="n">
        <v>45.02</v>
      </c>
      <c r="Z40" s="5" t="n">
        <v>82.72</v>
      </c>
      <c r="AA40" s="5">
        <f>IF(X40&lt;50,IF(Y40&gt;(2.3*X40),0,1),1)-IF(Z40&gt;Y40,1.7,0)</f>
        <v/>
      </c>
      <c r="AB40" s="5" t="n">
        <v>0</v>
      </c>
      <c r="AC40" s="5">
        <f>IF(AB40&gt;4,1,0)+IF(AB40&gt;10,0.7,0)</f>
        <v/>
      </c>
      <c r="AD40" s="5" t="n">
        <v>-16</v>
      </c>
      <c r="AE40" s="5" t="n">
        <v>-31</v>
      </c>
      <c r="AF40" s="5" t="n">
        <v>170</v>
      </c>
      <c r="AG40" s="6">
        <f>IF(G40&lt;52,0,0.7)+IF(G40&lt;34,0,0.7)+IF(G40&lt;1,0,0.7)+IF(P40&gt;14.56,0,1)+IF(R40&lt;9,0.5,0)+IF(R40&lt;33.8,0.5,0)+IF(R40&lt;50,0.5,0)+IF(R40&lt;80,0.5,0)+IF(S40=5,0,S40)+IF(V40&gt;0,1,-1)+IF(AE40&lt;10.56,0,1)-IF(AE40&lt;3,1,0)-IF(AE40&lt;1,1,0)</f>
        <v/>
      </c>
      <c r="AH40" s="5">
        <f>AG40+IF(X40&lt;1.35,0,1)+IF(Y40&lt;1.35,0,1)+IF(Y40&lt;0.7,-1,0)+AC40+AA40</f>
        <v/>
      </c>
      <c r="AI40" s="5" t="n">
        <v>11</v>
      </c>
      <c r="AJ40" s="5">
        <f>IF(AI40&gt;12.7,IF(AI40&gt;15.8,0.93,0.98),1)</f>
        <v/>
      </c>
      <c r="AK40" s="5">
        <f>(1.5*AG40+AH40)*AJ40*AQ40</f>
        <v/>
      </c>
      <c r="AL40" s="4">
        <f>D40</f>
        <v/>
      </c>
      <c r="AM40" s="8">
        <f>B40</f>
        <v/>
      </c>
      <c r="AN40" s="7" t="n"/>
      <c r="AO40" s="61">
        <f>IF(Z40&lt;2.81,0,IF(AK40&gt;13.7,IF(Z40&lt;140,1,0),0))</f>
        <v/>
      </c>
      <c r="AP40" s="7">
        <f>IF(AK40&gt;13.93,IF(Z40&lt;300,IF(Z40&lt;35,IF(Z40&lt;6,3,2),1),0),0)</f>
        <v/>
      </c>
      <c r="AQ40" s="5" t="n">
        <v>1</v>
      </c>
      <c r="AR40" s="7">
        <f>IF(AO40=1,IF(AO40=AL40,1,0),5)</f>
        <v/>
      </c>
      <c r="AS40" s="4" t="n">
        <v>92</v>
      </c>
      <c r="AT40" s="5" t="n"/>
      <c r="AU40" s="5">
        <f>AS40</f>
        <v/>
      </c>
      <c r="AV40" s="5">
        <f>(AT40+AU40)/2</f>
        <v/>
      </c>
      <c r="AW40" s="4" t="n">
        <v>84</v>
      </c>
      <c r="AX40" s="4">
        <f>IF(AW40&gt;AV40,1,0)</f>
        <v/>
      </c>
      <c r="AY40" s="4">
        <f>(100*(AU40-AS40)/AS40)</f>
        <v/>
      </c>
      <c r="AZ40" s="4">
        <f>IF(AY40&lt;-50,-4,IF(AY40&lt;-20,-2,IF(AY40&lt;0,-1.5,IF(AY40=0,0,IF(AY40&lt;10,1.5,IF(AY40&lt;20,2,IF(AY40&gt;19,2.5,2.5)))))))</f>
        <v/>
      </c>
      <c r="BA40" s="7" t="n"/>
      <c r="BB40" s="5" t="n"/>
      <c r="BC40" s="5" t="n"/>
      <c r="BD40" s="5" t="n"/>
      <c r="BE40" s="5" t="n"/>
      <c r="BF40" s="5" t="n">
        <v>18</v>
      </c>
      <c r="BG40" s="5" t="n">
        <v>-80.4347826086957</v>
      </c>
      <c r="BH40" s="5" t="n">
        <v>-78.5714285714286</v>
      </c>
    </row>
    <row r="41" ht="12.75" customHeight="1">
      <c r="B41" s="14" t="inlineStr">
        <is>
          <t>Aatmaj Healthcare</t>
        </is>
      </c>
      <c r="C41" s="4" t="n">
        <v>2023</v>
      </c>
      <c r="D41" s="4" t="n">
        <v>0</v>
      </c>
      <c r="E41" s="4" t="n">
        <v>8.94</v>
      </c>
      <c r="F41" s="4" t="n">
        <v>11.02</v>
      </c>
      <c r="G41" s="5">
        <f>100*(F41-E41)/F41</f>
        <v/>
      </c>
      <c r="H41" s="4" t="n">
        <v>23.23</v>
      </c>
      <c r="I41" s="4" t="n">
        <v>6.85</v>
      </c>
      <c r="J41" s="4" t="n"/>
      <c r="K41" s="4" t="n">
        <v>9.109999999999999</v>
      </c>
      <c r="L41" s="4" t="n"/>
      <c r="M41" s="4" t="n">
        <v>7.52</v>
      </c>
      <c r="N41" s="4" t="n"/>
      <c r="O41" s="4" t="n">
        <v>21.81</v>
      </c>
      <c r="P41" s="5">
        <f>O41/I41</f>
        <v/>
      </c>
      <c r="Q41" s="4" t="n">
        <v>17.6</v>
      </c>
      <c r="R41" s="5" t="n">
        <v>17.6</v>
      </c>
      <c r="S41" s="6" t="n">
        <v>0</v>
      </c>
      <c r="T41" s="7" t="n"/>
      <c r="U41" s="7" t="n"/>
      <c r="V41" s="7" t="n">
        <v>0</v>
      </c>
      <c r="W41" s="4" t="n"/>
      <c r="X41" s="4" t="n">
        <v>0</v>
      </c>
      <c r="Y41" s="4" t="n">
        <v>36.78</v>
      </c>
      <c r="Z41" s="4" t="n">
        <v>30.27</v>
      </c>
      <c r="AA41" s="5">
        <f>IF(X41&lt;50,IF(Y41&gt;(2.3*X41),0,1),1)-IF(Z41&gt;Y41,1.7,0)</f>
        <v/>
      </c>
      <c r="AB41" s="5" t="n">
        <v>5</v>
      </c>
      <c r="AC41" s="5">
        <f>IF(AB41&gt;4,1,0)+IF(AB41&gt;10,0.7,0)</f>
        <v/>
      </c>
      <c r="AD41" s="4" t="n">
        <v>66</v>
      </c>
      <c r="AE41" s="4" t="n">
        <v>26</v>
      </c>
      <c r="AF41" s="4" t="n">
        <v>213</v>
      </c>
      <c r="AG41" s="6">
        <f>IF(G41&lt;52,0,0.7)+IF(G41&lt;34,0,0.7)+IF(G41&lt;1,0,0.7)+IF(P41&gt;14.56,0,1)+IF(R41&lt;9,0.5,0)+IF(R41&lt;33.8,0.5,0)+IF(R41&lt;50,0.5,0)+IF(R41&lt;80,0.5,0)+IF(S41=5,0,S41)+IF(V41&gt;0,1,-1)+IF(AE41&lt;10.56,0,1)-IF(AE41&lt;3,1,0)-IF(AE41&lt;1,1,0)</f>
        <v/>
      </c>
      <c r="AH41" s="5">
        <f>AG41+IF(X41&lt;1.35,0,1)+IF(Y41&lt;1.35,0,1)+IF(Y41&lt;0.7,-1,0)+AC41+AA41</f>
        <v/>
      </c>
      <c r="AI41" s="5" t="n">
        <v>11</v>
      </c>
      <c r="AJ41" s="5">
        <f>IF(AI41&gt;12.7,IF(AI41&gt;15.8,0.93,0.98),1)</f>
        <v/>
      </c>
      <c r="AK41" s="5">
        <f>(1.5*AG41+AH41)*AJ41*AQ41</f>
        <v/>
      </c>
      <c r="AL41" s="4">
        <f>D41</f>
        <v/>
      </c>
      <c r="AM41" s="8">
        <f>B41</f>
        <v/>
      </c>
      <c r="AN41" s="7" t="n"/>
      <c r="AO41" s="61">
        <f>IF(Z41&lt;2.81,0,IF(AK41&gt;13.7,IF(Z41&lt;140,1,0),0))</f>
        <v/>
      </c>
      <c r="AP41" s="7">
        <f>IF(AK41&gt;13.93,IF(Z41&lt;300,IF(Z41&lt;35,IF(Z41&lt;6,3,2),1),0),0)</f>
        <v/>
      </c>
      <c r="AQ41" s="5" t="n">
        <v>1</v>
      </c>
      <c r="AR41" s="7">
        <f>IF(AO41=1,IF(AO41=AL41,1,0),5)</f>
        <v/>
      </c>
      <c r="AS41" s="4" t="n">
        <v>1</v>
      </c>
      <c r="AT41" s="5" t="n"/>
      <c r="AU41" s="5">
        <f>AS41</f>
        <v/>
      </c>
      <c r="AV41" s="5">
        <f>(AT41+AU41)/2</f>
        <v/>
      </c>
      <c r="AW41" s="4" t="n">
        <v>1</v>
      </c>
      <c r="AX41" s="4">
        <f>IF(AW41&gt;AV41,1,0)</f>
        <v/>
      </c>
      <c r="AY41" s="4">
        <f>(100*(AU41-AS41)/AS41)</f>
        <v/>
      </c>
      <c r="AZ41" s="4">
        <f>IF(AY41&lt;-50,-4,IF(AY41&lt;-20,-2,IF(AY41&lt;0,-1.5,IF(AY41=0,0,IF(AY41&lt;10,1.5,IF(AY41&lt;20,2,IF(AY41&gt;19,2.5,2.5)))))))</f>
        <v/>
      </c>
      <c r="BA41" s="7" t="n"/>
      <c r="BB41" s="5" t="n"/>
      <c r="BC41" s="5" t="n"/>
      <c r="BD41" s="5" t="n"/>
      <c r="BE41" s="5" t="n"/>
      <c r="BF41" s="5" t="n"/>
      <c r="BG41" s="5" t="n"/>
      <c r="BH41" s="5" t="n"/>
    </row>
    <row r="42" ht="12.75" customHeight="1">
      <c r="B42" s="14" t="inlineStr">
        <is>
          <t>Micropro Software Solutions</t>
        </is>
      </c>
      <c r="C42" s="4" t="n">
        <v>2023</v>
      </c>
      <c r="D42" s="4" t="n">
        <v>0</v>
      </c>
      <c r="E42" s="4" t="n">
        <v>3.98</v>
      </c>
      <c r="F42" s="4" t="n">
        <v>16.48</v>
      </c>
      <c r="G42" s="5">
        <f>100*(F42-E42)/F42</f>
        <v/>
      </c>
      <c r="H42" s="4" t="n">
        <v>25.6</v>
      </c>
      <c r="I42" s="4" t="n">
        <v>5.92</v>
      </c>
      <c r="J42" s="4" t="n"/>
      <c r="K42" s="4" t="n">
        <v>5.78</v>
      </c>
      <c r="L42" s="4" t="n"/>
      <c r="M42" s="4" t="n">
        <v>8.92</v>
      </c>
      <c r="N42" s="4" t="n"/>
      <c r="O42" s="4" t="n">
        <v>22.06</v>
      </c>
      <c r="P42" s="5">
        <f>O42/I42</f>
        <v/>
      </c>
      <c r="Q42" s="4" t="n">
        <v>14.01</v>
      </c>
      <c r="R42" s="5" t="n">
        <v>14.01</v>
      </c>
      <c r="S42" s="6" t="n">
        <v>0</v>
      </c>
      <c r="T42" s="7" t="n"/>
      <c r="U42" s="7" t="n"/>
      <c r="V42" s="7" t="n">
        <v>0</v>
      </c>
      <c r="W42" s="4" t="n"/>
      <c r="X42" s="4" t="n">
        <v>0</v>
      </c>
      <c r="Y42" s="4" t="n">
        <v>22.6</v>
      </c>
      <c r="Z42" s="4" t="n">
        <v>49.08</v>
      </c>
      <c r="AA42" s="5">
        <f>IF(X42&lt;50,IF(Y42&gt;(2.3*X42),0,1),1)-IF(Z42&gt;Y42,1.7,0)</f>
        <v/>
      </c>
      <c r="AB42" s="5" t="n">
        <v>5</v>
      </c>
      <c r="AC42" s="5">
        <f>IF(AB42&gt;4,1,0)+IF(AB42&gt;10,0.7,0)</f>
        <v/>
      </c>
      <c r="AD42" s="4" t="n">
        <v>121.8</v>
      </c>
      <c r="AE42" s="4" t="n">
        <v>26.5</v>
      </c>
      <c r="AF42" s="4" t="n">
        <v>56.35</v>
      </c>
      <c r="AG42" s="6">
        <f>IF(G42&lt;52,0,0.7)+IF(G42&lt;34,0,0.7)+IF(G42&lt;1,0,0.7)+IF(P42&gt;14.56,0,1)+IF(R42&lt;9,0.5,0)+IF(R42&lt;33.8,0.5,0)+IF(R42&lt;50,0.5,0)+IF(R42&lt;80,0.5,0)+IF(S42=5,0,S42)+IF(V42&gt;0,1,-1)+IF(AE42&lt;10.56,0,1)-IF(AE42&lt;3,1,0)-IF(AE42&lt;1,1,0)</f>
        <v/>
      </c>
      <c r="AH42" s="5">
        <f>AG42+IF(X42&lt;1.35,0,1)+IF(Y42&lt;1.35,0,1)+IF(Y42&lt;0.7,-1,0)+AC42+AA42</f>
        <v/>
      </c>
      <c r="AI42" s="5" t="n">
        <v>11</v>
      </c>
      <c r="AJ42" s="5">
        <f>IF(AI42&gt;12.7,IF(AI42&gt;15.8,0.93,0.98),1)</f>
        <v/>
      </c>
      <c r="AK42" s="5">
        <f>(1.5*AG42+AH42)*AJ42*AQ42</f>
        <v/>
      </c>
      <c r="AL42" s="4">
        <f>D42</f>
        <v/>
      </c>
      <c r="AM42" s="8">
        <f>B42</f>
        <v/>
      </c>
      <c r="AN42" s="7" t="n"/>
      <c r="AO42" s="61">
        <f>IF(Z42&lt;2.81,0,IF(AK42&gt;13.7,IF(Z42&lt;140,1,0),0))</f>
        <v/>
      </c>
      <c r="AP42" s="7">
        <f>IF(AK42&gt;13.93,IF(Z42&lt;300,IF(Z42&lt;35,IF(Z42&lt;6,3,2),1),0),0)</f>
        <v/>
      </c>
      <c r="AQ42" s="5" t="n">
        <v>1</v>
      </c>
      <c r="AR42" s="7">
        <f>IF(AO42=1,IF(AO42=AL42,1,0),5)</f>
        <v/>
      </c>
      <c r="AS42" s="4" t="n">
        <v>1</v>
      </c>
      <c r="AT42" s="5" t="n"/>
      <c r="AU42" s="5">
        <f>AS42</f>
        <v/>
      </c>
      <c r="AV42" s="5">
        <f>(AT42+AU42)/2</f>
        <v/>
      </c>
      <c r="AW42" s="4" t="n">
        <v>1</v>
      </c>
      <c r="AX42" s="4">
        <f>IF(AW42&gt;AV42,1,0)</f>
        <v/>
      </c>
      <c r="AY42" s="4">
        <f>(100*(AU42-AS42)/AS42)</f>
        <v/>
      </c>
      <c r="AZ42" s="4">
        <f>IF(AY42&lt;-50,-4,IF(AY42&lt;-20,-2,IF(AY42&lt;0,-1.5,IF(AY42=0,0,IF(AY42&lt;10,1.5,IF(AY42&lt;20,2,IF(AY42&gt;19,2.5,2.5)))))))</f>
        <v/>
      </c>
      <c r="BA42" s="7" t="n"/>
      <c r="BB42" s="5" t="n"/>
      <c r="BC42" s="5" t="n"/>
      <c r="BD42" s="5" t="n"/>
      <c r="BE42" s="5" t="n"/>
      <c r="BF42" s="5" t="n"/>
      <c r="BG42" s="5" t="n"/>
      <c r="BH42" s="5" t="n"/>
    </row>
    <row r="43" ht="12.75" customHeight="1">
      <c r="B43" s="14" t="inlineStr">
        <is>
          <t>Vrundavan Plantation</t>
        </is>
      </c>
      <c r="C43" s="4" t="n">
        <v>2023</v>
      </c>
      <c r="D43" s="4" t="n">
        <v>0</v>
      </c>
      <c r="E43" s="4" t="n">
        <v>1.96</v>
      </c>
      <c r="F43" s="4" t="n">
        <v>4.14</v>
      </c>
      <c r="G43" s="5">
        <f>100*(F43-E43)/F43</f>
        <v/>
      </c>
      <c r="H43" s="4" t="n">
        <v>23.22</v>
      </c>
      <c r="I43" s="4" t="n">
        <v>0.17</v>
      </c>
      <c r="J43" s="4" t="n"/>
      <c r="K43" s="4" t="n">
        <v>0.52</v>
      </c>
      <c r="L43" s="4" t="n"/>
      <c r="M43" s="4" t="n">
        <v>0.29</v>
      </c>
      <c r="N43" s="4" t="n"/>
      <c r="O43" s="4" t="n">
        <v>1.81</v>
      </c>
      <c r="P43" s="5">
        <f>O43/I43</f>
        <v/>
      </c>
      <c r="Q43" s="4" t="n">
        <v>34.62</v>
      </c>
      <c r="R43" s="5" t="n">
        <v>34.62</v>
      </c>
      <c r="S43" s="6" t="n">
        <v>0</v>
      </c>
      <c r="T43" s="7" t="n"/>
      <c r="U43" s="7" t="n"/>
      <c r="V43" s="7" t="n">
        <v>0</v>
      </c>
      <c r="W43" s="4" t="n"/>
      <c r="X43" s="4" t="n">
        <v>0</v>
      </c>
      <c r="Y43" s="4" t="n">
        <v>12</v>
      </c>
      <c r="Z43" s="4" t="n">
        <v>26</v>
      </c>
      <c r="AA43" s="5">
        <f>IF(X43&lt;50,IF(Y43&gt;(2.3*X43),0,1),1)-IF(Z43&gt;Y43,1.7,0)</f>
        <v/>
      </c>
      <c r="AB43" s="5" t="n">
        <v>0</v>
      </c>
      <c r="AC43" s="5">
        <f>IF(AB43&gt;4,1,0)+IF(AB43&gt;10,0.7,0)</f>
        <v/>
      </c>
      <c r="AD43" s="4" t="n">
        <v>-50.29</v>
      </c>
      <c r="AE43" s="4" t="n">
        <v>-85.23</v>
      </c>
      <c r="AF43" s="4" t="n">
        <v>285.14</v>
      </c>
      <c r="AG43" s="6">
        <f>IF(G43&lt;52,0,0.7)+IF(G43&lt;34,0,0.7)+IF(G43&lt;1,0,0.7)+IF(P43&gt;14.56,0,1)+IF(R43&lt;9,0.5,0)+IF(R43&lt;33.8,0.5,0)+IF(R43&lt;50,0.5,0)+IF(R43&lt;80,0.5,0)+IF(S43=5,0,S43)+IF(V43&gt;0,1,-1)+IF(AE43&lt;10.56,0,1)-IF(AE43&lt;3,1,0)-IF(AE43&lt;1,1,0)</f>
        <v/>
      </c>
      <c r="AH43" s="5">
        <f>AG43+IF(X43&lt;1.35,0,1)+IF(Y43&lt;1.35,0,1)+IF(Y43&lt;0.7,-1,0)+AC43+AA43</f>
        <v/>
      </c>
      <c r="AI43" s="5" t="n">
        <v>11</v>
      </c>
      <c r="AJ43" s="5">
        <f>IF(AI43&gt;12.7,IF(AI43&gt;15.8,0.93,0.98),1)</f>
        <v/>
      </c>
      <c r="AK43" s="5">
        <f>(1.5*AG43+AH43)*AJ43*AQ43</f>
        <v/>
      </c>
      <c r="AL43" s="4">
        <f>D43</f>
        <v/>
      </c>
      <c r="AM43" s="8">
        <f>B43</f>
        <v/>
      </c>
      <c r="AN43" s="7" t="n"/>
      <c r="AO43" s="61">
        <f>IF(Z43&lt;2.81,0,IF(AK43&gt;13.7,IF(Z43&lt;140,1,0),0))</f>
        <v/>
      </c>
      <c r="AP43" s="7">
        <f>IF(AK43&gt;13.93,IF(Z43&lt;300,IF(Z43&lt;35,IF(Z43&lt;6,3,2),1),0),0)</f>
        <v/>
      </c>
      <c r="AQ43" s="5" t="n">
        <v>1</v>
      </c>
      <c r="AR43" s="7">
        <f>IF(AO43=1,IF(AO43=AL43,1,0),5)</f>
        <v/>
      </c>
      <c r="AS43" s="4" t="n">
        <v>1</v>
      </c>
      <c r="AT43" s="5" t="n"/>
      <c r="AU43" s="5">
        <f>AS43</f>
        <v/>
      </c>
      <c r="AV43" s="5">
        <f>(AT43+AU43)/2</f>
        <v/>
      </c>
      <c r="AW43" s="4" t="n">
        <v>1</v>
      </c>
      <c r="AX43" s="4">
        <f>IF(AW43&gt;AV43,1,0)</f>
        <v/>
      </c>
      <c r="AY43" s="4">
        <f>(100*(AU43-AS43)/AS43)</f>
        <v/>
      </c>
      <c r="AZ43" s="4">
        <f>IF(AY43&lt;-50,-4,IF(AY43&lt;-20,-2,IF(AY43&lt;0,-1.5,IF(AY43=0,0,IF(AY43&lt;10,1.5,IF(AY43&lt;20,2,IF(AY43&gt;19,2.5,2.5)))))))</f>
        <v/>
      </c>
      <c r="BA43" s="7" t="n"/>
      <c r="BB43" s="5" t="n"/>
      <c r="BC43" s="5" t="n"/>
      <c r="BD43" s="5" t="n"/>
      <c r="BE43" s="5" t="n"/>
      <c r="BF43" s="5" t="n"/>
      <c r="BG43" s="5" t="n"/>
      <c r="BH43" s="5" t="n"/>
    </row>
    <row r="44" ht="27.75" customHeight="1">
      <c r="B44" s="11" t="inlineStr">
        <is>
          <t>Game Changers Tefab</t>
        </is>
      </c>
      <c r="C44" s="4" t="n">
        <v>2025</v>
      </c>
      <c r="D44" s="11" t="n">
        <v>1</v>
      </c>
      <c r="E44" s="5" t="n">
        <v>9.74</v>
      </c>
      <c r="F44" s="5" t="n">
        <v>21.01</v>
      </c>
      <c r="G44" s="5">
        <f>100*(F44-E44)/F44</f>
        <v/>
      </c>
      <c r="H44" s="5" t="n">
        <v>30.84</v>
      </c>
      <c r="I44" s="5" t="n">
        <v>12.07</v>
      </c>
      <c r="J44" s="5" t="n"/>
      <c r="K44" s="5" t="n">
        <v>9.630000000000001</v>
      </c>
      <c r="L44" s="5" t="n"/>
      <c r="M44" s="5" t="n">
        <v>18.59</v>
      </c>
      <c r="N44" s="5" t="n"/>
      <c r="O44" s="5" t="n">
        <v>115.59</v>
      </c>
      <c r="P44" s="5">
        <f>O44/I44</f>
        <v/>
      </c>
      <c r="Q44" s="5" t="n">
        <v>10.59</v>
      </c>
      <c r="R44" s="5" t="n"/>
      <c r="S44" s="6" t="n">
        <v>1</v>
      </c>
      <c r="T44" s="7" t="n"/>
      <c r="U44" s="7" t="n"/>
      <c r="V44" s="7" t="n">
        <v>1</v>
      </c>
      <c r="W44" s="5" t="n"/>
      <c r="X44" s="5" t="n">
        <v>1.01</v>
      </c>
      <c r="Y44" s="5" t="n">
        <v>1.48</v>
      </c>
      <c r="Z44" s="5" t="n">
        <v>1.18</v>
      </c>
      <c r="AA44" s="5">
        <f>IF(X44&lt;50,IF(Y44&gt;(2.3*X44),0,1),1)-IF(Z44&gt;Y44,1.7,0)</f>
        <v/>
      </c>
      <c r="AB44" s="5" t="n">
        <v>0</v>
      </c>
      <c r="AC44" s="5">
        <f>IF(AB44&gt;4,1,0)+IF(AB44&gt;10,0.7,0)</f>
        <v/>
      </c>
      <c r="AD44" s="5" t="n">
        <v>183</v>
      </c>
      <c r="AE44" s="5" t="n">
        <v>18</v>
      </c>
      <c r="AF44" s="5" t="n">
        <v>135</v>
      </c>
      <c r="AG44" s="6">
        <f>IF(G44&lt;52,0,0.7)+IF(G44&lt;34,0,0.7)+IF(G44&lt;1,0,0.7)+IF(P44&gt;14.56,0,1)+IF(R44&lt;9,0.5,0)+IF(R44&lt;33.8,0.5,0)+IF(R44&lt;50,0.5,0)+IF(R44&lt;80,0.5,0)+IF(S44=5,0,S44)+IF(V44&gt;0,1,-1)+IF(AE44&lt;10.56,0,1)-IF(AE44&lt;3,1,0)-IF(AE44&lt;1,1,0)</f>
        <v/>
      </c>
      <c r="AH44" s="5">
        <f>AG44+IF(X44&lt;1.35,0,1)+IF(Y44&lt;1.35,0,1)+IF(Y44&lt;0.7,-1,0)+AC44+AA44</f>
        <v/>
      </c>
      <c r="AI44" s="5" t="n">
        <v>11</v>
      </c>
      <c r="AJ44" s="5">
        <f>IF(AI44&gt;12.7,IF(AI44&gt;15.8,0.93,0.98),1)</f>
        <v/>
      </c>
      <c r="AK44" s="5">
        <f>(1.5*AG44+AH44)*AJ44*AQ44</f>
        <v/>
      </c>
      <c r="AL44" s="4">
        <f>D44</f>
        <v/>
      </c>
      <c r="AM44" s="8">
        <f>B44</f>
        <v/>
      </c>
      <c r="AN44" s="15" t="n"/>
      <c r="AO44" s="61">
        <f>IF(Z44&lt;2.81,0,IF(AK44&gt;13.7,IF(Z44&lt;140,1,0),0))</f>
        <v/>
      </c>
      <c r="AP44" s="7">
        <f>IF(AK44&gt;13.93,IF(Z44&lt;300,IF(Z44&lt;35,IF(Z44&lt;6,3,2),1),0),0)</f>
        <v/>
      </c>
      <c r="AQ44" s="5" t="n">
        <v>1</v>
      </c>
      <c r="AR44" s="7">
        <f>IF(AO44=1,IF(AO44=AL44,1,0),5)</f>
        <v/>
      </c>
      <c r="AS44" s="16" t="n">
        <v>102</v>
      </c>
      <c r="AT44" s="5" t="n">
        <v>149</v>
      </c>
      <c r="AU44" s="5" t="n">
        <v>200</v>
      </c>
      <c r="AV44" s="5">
        <f>(AT44+AU44)/2</f>
        <v/>
      </c>
      <c r="AW44" s="16" t="n">
        <v>104.15</v>
      </c>
      <c r="AX44" s="4">
        <f>IF(AW44&gt;AV44,1,0)</f>
        <v/>
      </c>
      <c r="AY44" s="4">
        <f>(100*(AU44-AS44)/AS44)</f>
        <v/>
      </c>
      <c r="AZ44" s="4">
        <f>IF(AY44&lt;-50,-4,IF(AY44&lt;-20,-2,IF(AY44&lt;0,-1.5,IF(AY44=0,0,IF(AY44&lt;10,1.5,IF(AY44&lt;20,2,IF(AY44&gt;19,2.5,2.5)))))))</f>
        <v/>
      </c>
      <c r="BA44" s="15" t="n"/>
      <c r="BB44" s="17" t="n">
        <v>109.32</v>
      </c>
      <c r="BC44" s="17" t="n">
        <v>114.89</v>
      </c>
      <c r="BD44" s="17" t="n">
        <v>112</v>
      </c>
      <c r="BE44" s="17" t="n">
        <v>162</v>
      </c>
      <c r="BF44" s="5" t="n"/>
      <c r="BG44" s="5">
        <f>#DIV/0!</f>
        <v/>
      </c>
      <c r="BH44" s="5">
        <f>#DIV/0!</f>
        <v/>
      </c>
    </row>
    <row r="45" ht="11.25" customHeight="1">
      <c r="B45" s="18" t="inlineStr">
        <is>
          <t>Jayesh Logistics</t>
        </is>
      </c>
      <c r="C45" s="4" t="n">
        <v>2025</v>
      </c>
      <c r="D45" s="4" t="n">
        <v>0</v>
      </c>
      <c r="E45" s="5" t="n">
        <v>27.99</v>
      </c>
      <c r="F45" s="5" t="n">
        <v>17.33</v>
      </c>
      <c r="G45" s="5">
        <f>100*(F45-E45)/F45</f>
        <v/>
      </c>
      <c r="H45" s="5" t="n">
        <v>58.88</v>
      </c>
      <c r="I45" s="5" t="n">
        <v>7.2</v>
      </c>
      <c r="J45" s="5" t="n"/>
      <c r="K45" s="5" t="n">
        <v>11.34</v>
      </c>
      <c r="L45" s="5" t="n"/>
      <c r="M45" s="5" t="n">
        <v>16.93</v>
      </c>
      <c r="N45" s="5" t="n"/>
      <c r="O45" s="5" t="n">
        <v>112.03</v>
      </c>
      <c r="P45" s="5">
        <f>O45/I45</f>
        <v/>
      </c>
      <c r="Q45" s="5" t="n">
        <v>10.75</v>
      </c>
      <c r="R45" s="5" t="n"/>
      <c r="S45" s="6" t="n">
        <v>0</v>
      </c>
      <c r="T45" s="7" t="n"/>
      <c r="U45" s="7" t="n"/>
      <c r="V45" s="7" t="n">
        <v>1</v>
      </c>
      <c r="W45" s="5" t="n"/>
      <c r="X45" s="5" t="n">
        <v>40.86</v>
      </c>
      <c r="Y45" s="5" t="n">
        <v>138</v>
      </c>
      <c r="Z45" s="5" t="n">
        <v>52</v>
      </c>
      <c r="AA45" s="5">
        <f>IF(X45&lt;50,IF(Y45&gt;(2.3*X45),0,1),1)-IF(Z45&gt;Y45,1.7,0)</f>
        <v/>
      </c>
      <c r="AB45" s="5" t="n">
        <v>7</v>
      </c>
      <c r="AC45" s="5">
        <f>IF(AB45&gt;4,1,0)+IF(AB45&gt;10,0.7,0)</f>
        <v/>
      </c>
      <c r="AD45" s="5" t="n">
        <v>127.85</v>
      </c>
      <c r="AE45" s="5" t="n">
        <v>26.89</v>
      </c>
      <c r="AF45" s="5" t="n">
        <v>116.08</v>
      </c>
      <c r="AG45" s="6">
        <f>IF(G45&lt;52,0,0.7)+IF(G45&lt;34,0,0.7)+IF(G45&lt;1,0,0.7)+IF(P45&gt;14.56,0,1)+IF(R45&lt;9,0.5,0)+IF(R45&lt;33.8,0.5,0)+IF(R45&lt;50,0.5,0)+IF(R45&lt;80,0.5,0)+IF(S45=5,0,S45)+IF(V45&gt;0,1,-1)+IF(AE45&lt;10.56,0,1)-IF(AE45&lt;3,1,0)-IF(AE45&lt;1,1,0)</f>
        <v/>
      </c>
      <c r="AH45" s="5">
        <f>AG45+IF(X45&lt;1.35,0,1)+IF(Y45&lt;1.35,0,1)+IF(Y45&lt;0.7,-1,0)+AC45+AA45</f>
        <v/>
      </c>
      <c r="AI45" s="5" t="n">
        <v>11</v>
      </c>
      <c r="AJ45" s="5">
        <f>IF(AI45&gt;12.7,IF(AI45&gt;15.8,0.93,0.98),1)</f>
        <v/>
      </c>
      <c r="AK45" s="5">
        <f>(1.5*AG45+AH45)*AJ45*AQ45</f>
        <v/>
      </c>
      <c r="AL45" s="4">
        <f>D45</f>
        <v/>
      </c>
      <c r="AM45" s="8">
        <f>B45</f>
        <v/>
      </c>
      <c r="AN45" s="7" t="n"/>
      <c r="AO45" s="61">
        <f>IF(Z45&lt;2.81,0,IF(AK45&gt;13.7,IF(Z45&lt;140,1,0),0))</f>
        <v/>
      </c>
      <c r="AP45" s="7">
        <f>IF(AK45&gt;13.93,IF(Z45&lt;300,IF(Z45&lt;35,IF(Z45&lt;6,3,2),1),0),0)</f>
        <v/>
      </c>
      <c r="AQ45" s="5" t="n">
        <v>1</v>
      </c>
      <c r="AR45" s="7">
        <f>IF(AO45=1,IF(AO45=AL45,1,0),5)</f>
        <v/>
      </c>
      <c r="AS45" s="4" t="n">
        <v>122</v>
      </c>
      <c r="AT45" s="5" t="n">
        <v>112</v>
      </c>
      <c r="AU45" s="5" t="n">
        <v>149</v>
      </c>
      <c r="AV45" s="5">
        <f>(AT45+AU45)/2</f>
        <v/>
      </c>
      <c r="AW45" s="4" t="n">
        <v>120</v>
      </c>
      <c r="AX45" s="4">
        <f>IF(AW45&gt;AV45,1,0)</f>
        <v/>
      </c>
      <c r="AY45" s="4">
        <f>(100*(AU45-AS45)/AS45)</f>
        <v/>
      </c>
      <c r="AZ45" s="4">
        <f>IF(AY45&lt;-50,-4,IF(AY45&lt;-20,-2,IF(AY45&lt;0,-1.5,IF(AY45=0,0,IF(AY45&lt;10,1.5,IF(AY45&lt;20,2,IF(AY45&gt;19,2.5,2.5)))))))</f>
        <v/>
      </c>
      <c r="BA45" s="7" t="n"/>
      <c r="BB45" s="5" t="n">
        <v>117</v>
      </c>
      <c r="BC45" s="5" t="n">
        <v>117</v>
      </c>
      <c r="BD45" s="5" t="n"/>
      <c r="BE45" s="5" t="n"/>
      <c r="BF45" s="5" t="n"/>
      <c r="BG45" s="5">
        <f>#DIV/0!</f>
        <v/>
      </c>
      <c r="BH45" s="5">
        <f>#DIV/0!</f>
        <v/>
      </c>
    </row>
    <row r="46" ht="12.75" customHeight="1">
      <c r="B46" s="11" t="inlineStr">
        <is>
          <t>Safecure Services</t>
        </is>
      </c>
      <c r="C46" s="4" t="n">
        <v>2025</v>
      </c>
      <c r="D46" s="4" t="n">
        <v>0</v>
      </c>
      <c r="E46" s="5" t="n">
        <v>20.55</v>
      </c>
      <c r="F46" s="5" t="n">
        <v>20.93</v>
      </c>
      <c r="G46" s="5">
        <f>100*(F46-E46)/F46</f>
        <v/>
      </c>
      <c r="H46" s="4" t="n">
        <v>53.07</v>
      </c>
      <c r="I46" s="5" t="n">
        <v>6.16</v>
      </c>
      <c r="J46" s="5" t="n"/>
      <c r="K46" s="5" t="n">
        <v>8.75</v>
      </c>
      <c r="L46" s="5" t="n"/>
      <c r="M46" s="5" t="n">
        <v>12.43</v>
      </c>
      <c r="N46" s="5" t="n"/>
      <c r="O46" s="5" t="n">
        <v>73.27</v>
      </c>
      <c r="P46" s="5">
        <f>O46/I46</f>
        <v/>
      </c>
      <c r="Q46" s="5" t="n">
        <v>11.66</v>
      </c>
      <c r="R46" s="5" t="n"/>
      <c r="S46" s="6" t="n">
        <v>0</v>
      </c>
      <c r="T46" s="7" t="n"/>
      <c r="U46" s="7" t="n"/>
      <c r="V46" s="7" t="n">
        <v>0</v>
      </c>
      <c r="W46" s="5" t="n"/>
      <c r="X46" s="5" t="n">
        <v>0.32</v>
      </c>
      <c r="Y46" s="5" t="n">
        <v>0.32</v>
      </c>
      <c r="Z46" s="5" t="n">
        <v>3.31</v>
      </c>
      <c r="AA46" s="5">
        <f>IF(X46&lt;50,IF(Y46&gt;(2.3*X46),0,1),1)-IF(Z46&gt;Y46,1.7,0)</f>
        <v/>
      </c>
      <c r="AB46" s="5" t="n">
        <v>0</v>
      </c>
      <c r="AC46" s="5">
        <f>IF(AB46&gt;4,1,0)+IF(AB46&gt;10,0.7,0)</f>
        <v/>
      </c>
      <c r="AD46" s="5" t="n">
        <v>8</v>
      </c>
      <c r="AE46" s="5" t="n">
        <v>16</v>
      </c>
      <c r="AF46" s="5" t="n">
        <v>39.53</v>
      </c>
      <c r="AG46" s="6">
        <f>IF(G46&lt;52,0,0.7)+IF(G46&lt;34,0,0.7)+IF(G46&lt;1,0,0.7)+IF(P46&gt;14.56,0,1)+IF(R46&lt;9,0.5,0)+IF(R46&lt;33.8,0.5,0)+IF(R46&lt;50,0.5,0)+IF(R46&lt;80,0.5,0)+IF(S46=5,0,S46)+IF(V46&gt;0,1,-1)+IF(AE46&lt;10.56,0,1)-IF(AE46&lt;3,1,0)-IF(AE46&lt;1,1,0)</f>
        <v/>
      </c>
      <c r="AH46" s="5">
        <f>AG46+IF(X46&lt;1.35,0,1)+IF(Y46&lt;1.35,0,1)+IF(Y46&lt;0.7,-1,0)+AC46+AA46</f>
        <v/>
      </c>
      <c r="AI46" s="5" t="n">
        <v>11</v>
      </c>
      <c r="AJ46" s="5">
        <f>IF(AI46&gt;12.7,IF(AI46&gt;15.8,0.93,0.98),1)</f>
        <v/>
      </c>
      <c r="AK46" s="5">
        <f>(1.5*AG46+AH46)*AJ46*AQ46</f>
        <v/>
      </c>
      <c r="AL46" s="4">
        <f>D46</f>
        <v/>
      </c>
      <c r="AM46" s="8">
        <f>B46</f>
        <v/>
      </c>
      <c r="AN46" s="7" t="n"/>
      <c r="AO46" s="61">
        <f>IF(Z46&lt;2.81,0,IF(AK46&gt;13.7,IF(Z46&lt;140,1,0),0))</f>
        <v/>
      </c>
      <c r="AP46" s="7">
        <f>IF(AK46&gt;13.93,IF(Z46&lt;300,IF(Z46&lt;35,IF(Z46&lt;6,3,2),1),0),0)</f>
        <v/>
      </c>
      <c r="AQ46" s="5" t="n">
        <v>1</v>
      </c>
      <c r="AR46" s="7">
        <f>IF(AO46=1,IF(AO46=AL46,1,0),5)</f>
        <v/>
      </c>
      <c r="AS46" s="4" t="n">
        <v>102</v>
      </c>
      <c r="AT46" s="5" t="n">
        <v>105</v>
      </c>
      <c r="AU46" s="5" t="n">
        <v>140</v>
      </c>
      <c r="AV46" s="5">
        <f>(AT46+AU46)/2</f>
        <v/>
      </c>
      <c r="AW46" s="4" t="n">
        <v>81</v>
      </c>
      <c r="AX46" s="4">
        <f>IF(AW46&gt;AV46,1,0)</f>
        <v/>
      </c>
      <c r="AY46" s="4">
        <f>(100*(AU46-AS46)/AS46)</f>
        <v/>
      </c>
      <c r="AZ46" s="4">
        <f>IF(AY46&lt;-50,-4,IF(AY46&lt;-20,-2,IF(AY46&lt;0,-1.5,IF(AY46=0,0,IF(AY46&lt;10,1.5,IF(AY46&lt;20,2,IF(AY46&gt;19,2.5,2.5)))))))</f>
        <v/>
      </c>
      <c r="BA46" s="7" t="n"/>
      <c r="BB46" s="5" t="n">
        <v>77</v>
      </c>
      <c r="BC46" s="5" t="n"/>
      <c r="BD46" s="5" t="n"/>
      <c r="BE46" s="5" t="n"/>
      <c r="BF46" s="5" t="n"/>
      <c r="BG46" s="5">
        <f>#DIV/0!</f>
        <v/>
      </c>
      <c r="BH46" s="5">
        <f>#DIV/0!</f>
        <v/>
      </c>
    </row>
    <row r="47" ht="12.75" customHeight="1">
      <c r="B47" s="11" t="inlineStr">
        <is>
          <t>Shreeji Global FMCG</t>
        </is>
      </c>
      <c r="C47" s="4" t="n">
        <v>2025</v>
      </c>
      <c r="D47" s="4" t="n">
        <v>0</v>
      </c>
      <c r="E47" s="5" t="n">
        <v>30.45</v>
      </c>
      <c r="F47" s="5" t="n">
        <v>29.56</v>
      </c>
      <c r="G47" s="5">
        <f>100*(F47-E47)/F47</f>
        <v/>
      </c>
      <c r="H47" s="4" t="n">
        <v>117.06</v>
      </c>
      <c r="I47" s="5" t="n">
        <v>12.15</v>
      </c>
      <c r="J47" s="5" t="n"/>
      <c r="K47" s="5" t="n">
        <v>7.61</v>
      </c>
      <c r="L47" s="5" t="n"/>
      <c r="M47" s="5" t="n">
        <v>20.37</v>
      </c>
      <c r="N47" s="5" t="n"/>
      <c r="O47" s="5" t="n">
        <v>650.85</v>
      </c>
      <c r="P47" s="5">
        <f>O47/I47</f>
        <v/>
      </c>
      <c r="Q47" s="5" t="n">
        <v>16.42</v>
      </c>
      <c r="R47" s="5" t="n"/>
      <c r="S47" s="6" t="n">
        <v>0</v>
      </c>
      <c r="T47" s="7" t="n"/>
      <c r="U47" s="7" t="n"/>
      <c r="V47" s="7" t="n">
        <v>1</v>
      </c>
      <c r="W47" s="5" t="n"/>
      <c r="X47" s="5" t="n">
        <v>1.64</v>
      </c>
      <c r="Y47" s="5" t="n">
        <v>1</v>
      </c>
      <c r="Z47" s="5" t="n">
        <v>1</v>
      </c>
      <c r="AA47" s="5">
        <f>IF(X47&lt;50,IF(Y47&gt;(2.3*X47),0,1),1)-IF(Z47&gt;Y47,1.7,0)</f>
        <v/>
      </c>
      <c r="AB47" s="5" t="n">
        <v>0</v>
      </c>
      <c r="AC47" s="5">
        <f>IF(AB47&gt;4,1,0)+IF(AB47&gt;10,0.7,0)</f>
        <v/>
      </c>
      <c r="AD47" s="5" t="n">
        <v>122</v>
      </c>
      <c r="AE47" s="5" t="n">
        <v>10.55</v>
      </c>
      <c r="AF47" s="5" t="n">
        <v>71.66</v>
      </c>
      <c r="AG47" s="6">
        <f>IF(G47&lt;52,0,0.7)+IF(G47&lt;34,0,0.7)+IF(G47&lt;1,0,0.7)+IF(P47&gt;14.56,0,1)+IF(R47&lt;9,0.5,0)+IF(R47&lt;33.8,0.5,0)+IF(R47&lt;50,0.5,0)+IF(R47&lt;80,0.5,0)+IF(S47=5,0,S47)+IF(V47&gt;0,1,-1)+IF(AE47&lt;10.56,0,1)-IF(AE47&lt;3,1,0)-IF(AE47&lt;1,1,0)</f>
        <v/>
      </c>
      <c r="AH47" s="5">
        <f>AG47+IF(X47&lt;1.35,0,1)+IF(Y47&lt;1.35,0,1)+IF(Y47&lt;0.7,-1,0)+AC47+AA47</f>
        <v/>
      </c>
      <c r="AI47" s="5" t="n">
        <v>11</v>
      </c>
      <c r="AJ47" s="5">
        <f>IF(AI47&gt;12.7,IF(AI47&gt;15.8,0.93,0.98),1)</f>
        <v/>
      </c>
      <c r="AK47" s="5">
        <f>(1.5*AG47+AH47)*AJ47*AQ47</f>
        <v/>
      </c>
      <c r="AL47" s="4">
        <f>D47</f>
        <v/>
      </c>
      <c r="AM47" s="8">
        <f>B47</f>
        <v/>
      </c>
      <c r="AN47" s="7" t="n"/>
      <c r="AO47" s="61">
        <f>IF(Z47&lt;2.81,0,IF(AK47&gt;13.7,IF(Z47&lt;140,1,0),0))</f>
        <v/>
      </c>
      <c r="AP47" s="7">
        <f>IF(AK47&gt;13.93,IF(Z47&lt;300,IF(Z47&lt;35,IF(Z47&lt;6,3,2),1),0),0)</f>
        <v/>
      </c>
      <c r="AQ47" s="5" t="n">
        <v>1</v>
      </c>
      <c r="AR47" s="7">
        <f>IF(AO47=1,IF(AO47=AL47,1,0),5)</f>
        <v/>
      </c>
      <c r="AS47" s="4" t="n">
        <v>125</v>
      </c>
      <c r="AT47" s="5" t="n">
        <v>175</v>
      </c>
      <c r="AU47" s="5" t="n">
        <v>233</v>
      </c>
      <c r="AV47" s="5">
        <f>(AT47+AU47)/2</f>
        <v/>
      </c>
      <c r="AW47" s="4" t="n">
        <v>101</v>
      </c>
      <c r="AX47" s="4">
        <f>IF(AW47&gt;AV47,1,0)</f>
        <v/>
      </c>
      <c r="AY47" s="4">
        <f>(100*(AU47-AS47)/AS47)</f>
        <v/>
      </c>
      <c r="AZ47" s="4">
        <f>IF(AY47&lt;-50,-4,IF(AY47&lt;-20,-2,IF(AY47&lt;0,-1.5,IF(AY47=0,0,IF(AY47&lt;10,1.5,IF(AY47&lt;20,2,IF(AY47&gt;19,2.5,2.5)))))))</f>
        <v/>
      </c>
      <c r="BA47" s="7" t="n"/>
      <c r="BB47" s="5" t="n">
        <v>100</v>
      </c>
      <c r="BC47" s="5" t="n"/>
      <c r="BD47" s="5" t="n"/>
      <c r="BE47" s="5" t="n"/>
      <c r="BF47" s="5" t="n"/>
      <c r="BG47" s="5">
        <f>#DIV/0!</f>
        <v/>
      </c>
      <c r="BH47" s="5">
        <f>#DIV/0!</f>
        <v/>
      </c>
    </row>
    <row r="48" ht="15" customHeight="1">
      <c r="B48" s="18" t="inlineStr">
        <is>
          <t>Finbud Financial Services</t>
        </is>
      </c>
      <c r="C48" s="11" t="n">
        <v>2025</v>
      </c>
      <c r="D48" s="11" t="n">
        <v>1</v>
      </c>
      <c r="E48" s="11" t="n">
        <v>18.5</v>
      </c>
      <c r="F48" s="11" t="n">
        <v>35.98</v>
      </c>
      <c r="G48" s="5">
        <f>100*(F48-E48)/F48</f>
        <v/>
      </c>
      <c r="H48" s="11" t="n">
        <v>68.93000000000001</v>
      </c>
      <c r="I48" s="11" t="n">
        <v>8.49</v>
      </c>
      <c r="J48" s="11" t="n"/>
      <c r="K48" s="11" t="n">
        <v>6.07</v>
      </c>
      <c r="L48" s="11" t="n"/>
      <c r="M48" s="11" t="n">
        <v>14.87</v>
      </c>
      <c r="N48" s="11" t="n"/>
      <c r="O48" s="11" t="n">
        <v>223.28</v>
      </c>
      <c r="P48" s="5">
        <f>O48/I48</f>
        <v/>
      </c>
      <c r="Q48" s="11" t="n">
        <v>27.08</v>
      </c>
      <c r="R48" s="19" t="n"/>
      <c r="S48" s="6" t="n">
        <v>0</v>
      </c>
      <c r="T48" s="20" t="n"/>
      <c r="U48" s="20" t="n"/>
      <c r="V48" s="20" t="n">
        <v>1</v>
      </c>
      <c r="W48" s="11" t="n"/>
      <c r="X48" s="11" t="n">
        <v>4.3</v>
      </c>
      <c r="Y48" s="11" t="n">
        <v>8.300000000000001</v>
      </c>
      <c r="Z48" s="11" t="n">
        <v>2.8</v>
      </c>
      <c r="AA48" s="5">
        <f>IF(X48&lt;50,IF(Y48&gt;(2.3*X48),0,1),1)-IF(Z48&gt;Y48,1.7,0)</f>
        <v/>
      </c>
      <c r="AB48" s="11" t="n">
        <v>8</v>
      </c>
      <c r="AC48" s="5">
        <f>IF(AB48&gt;4,1,0)+IF(AB48&gt;10,0.7,0)</f>
        <v/>
      </c>
      <c r="AD48" s="11" t="n">
        <v>43.16</v>
      </c>
      <c r="AE48" s="11" t="n">
        <v>17.35</v>
      </c>
      <c r="AF48" s="11" t="n">
        <v>198.18</v>
      </c>
      <c r="AG48" s="6">
        <f>IF(G48&lt;52,0,0.7)+IF(G48&lt;34,0,0.7)+IF(G48&lt;1,0,0.7)+IF(P48&gt;14.56,0,1)+IF(R48&lt;9,0.5,0)+IF(R48&lt;33.8,0.5,0)+IF(R48&lt;50,0.5,0)+IF(R48&lt;80,0.5,0)+IF(S48=5,0,S48)+IF(V48&gt;0,1,-1)+IF(AE48&lt;10.56,0,1)-IF(AE48&lt;3,1,0)-IF(AE48&lt;1,1,0)</f>
        <v/>
      </c>
      <c r="AH48" s="5">
        <f>AG48+IF(X48&lt;1.35,0,1)+IF(Y48&lt;1.35,0,1)+IF(Y48&lt;0.7,-1,0)+AC48+AA48</f>
        <v/>
      </c>
      <c r="AI48" s="5" t="n">
        <v>11</v>
      </c>
      <c r="AJ48" s="5">
        <f>IF(AI48&gt;12.7,IF(AI48&gt;15.8,0.93,0.98),1)</f>
        <v/>
      </c>
      <c r="AK48" s="5">
        <f>(1.5*AG48+AH48)*AJ48*AQ48</f>
        <v/>
      </c>
      <c r="AL48" s="4">
        <f>D48</f>
        <v/>
      </c>
      <c r="AM48" s="8">
        <f>B48</f>
        <v/>
      </c>
      <c r="AN48" s="7" t="n"/>
      <c r="AO48" s="61">
        <f>IF(Z48&lt;2.81,0,IF(AK48&gt;13.7,IF(Z48&lt;140,1,0),0))</f>
        <v/>
      </c>
      <c r="AP48" s="7">
        <f>IF(AK48&gt;13.93,IF(Z48&lt;300,IF(Z48&lt;35,IF(Z48&lt;6,3,2),1),0),0)</f>
        <v/>
      </c>
      <c r="AQ48" s="5" t="n">
        <v>1</v>
      </c>
      <c r="AR48" s="7">
        <f>IF(AO48=1,IF(AO48=AL48,1,0),5)</f>
        <v/>
      </c>
      <c r="AS48" s="4" t="n">
        <v>142</v>
      </c>
      <c r="AT48" s="5" t="n">
        <v>115</v>
      </c>
      <c r="AU48" s="5" t="n">
        <v>147</v>
      </c>
      <c r="AV48" s="5">
        <f>(AT48+AU48)/2</f>
        <v/>
      </c>
      <c r="AW48" s="4" t="n">
        <v>157</v>
      </c>
      <c r="AX48" s="4">
        <f>IF(AW48&gt;AV48,1,0)</f>
        <v/>
      </c>
      <c r="AY48" s="4">
        <f>(100*(AU48-AS48)/AS48)</f>
        <v/>
      </c>
      <c r="AZ48" s="4">
        <f>IF(AY48&lt;-50,-4,IF(AY48&lt;-20,-2,IF(AY48&lt;0,-1.5,IF(AY48=0,0,IF(AY48&lt;10,1.5,IF(AY48&lt;20,2,IF(AY48&gt;19,2.5,2.5)))))))</f>
        <v/>
      </c>
      <c r="BA48" s="7" t="n"/>
      <c r="BB48" s="5" t="n">
        <v>164</v>
      </c>
      <c r="BC48" s="5" t="n">
        <v>156</v>
      </c>
      <c r="BD48" s="5" t="n">
        <v>156</v>
      </c>
      <c r="BE48" s="5" t="n">
        <v>164.8</v>
      </c>
      <c r="BF48" s="5" t="n"/>
      <c r="BG48" s="5">
        <f>#DIV/0!</f>
        <v/>
      </c>
      <c r="BH48" s="5">
        <f>#DIV/0!</f>
        <v/>
      </c>
    </row>
    <row r="49" ht="12" customHeight="1">
      <c r="B49" s="11" t="inlineStr">
        <is>
          <t>Curis Lifesciences</t>
        </is>
      </c>
      <c r="C49" s="11" t="n">
        <v>2025</v>
      </c>
      <c r="D49" s="11" t="n">
        <v>1</v>
      </c>
      <c r="E49" s="11" t="n">
        <v>15.6</v>
      </c>
      <c r="F49" s="11" t="n">
        <v>16.22</v>
      </c>
      <c r="G49" s="5">
        <f>100*(F49-E49)/F49</f>
        <v/>
      </c>
      <c r="H49" s="11" t="n">
        <v>42.53</v>
      </c>
      <c r="I49" s="11" t="n">
        <v>6.1</v>
      </c>
      <c r="J49" s="11" t="n"/>
      <c r="K49" s="11" t="n">
        <v>10.29</v>
      </c>
      <c r="L49" s="11" t="n"/>
      <c r="M49" s="11" t="n">
        <v>10.03</v>
      </c>
      <c r="N49" s="11" t="n"/>
      <c r="O49" s="11" t="n">
        <v>49.13</v>
      </c>
      <c r="P49" s="5">
        <f>O49/I49</f>
        <v/>
      </c>
      <c r="Q49" s="11" t="n">
        <v>12.01</v>
      </c>
      <c r="R49" s="19" t="n"/>
      <c r="S49" s="6" t="n">
        <v>0</v>
      </c>
      <c r="T49" s="20" t="n"/>
      <c r="U49" s="20" t="n"/>
      <c r="V49" s="20" t="n">
        <v>1</v>
      </c>
      <c r="W49" s="11" t="n"/>
      <c r="X49" s="11" t="n">
        <v>96</v>
      </c>
      <c r="Y49" s="11" t="n">
        <v>115</v>
      </c>
      <c r="Z49" s="11" t="n">
        <v>44</v>
      </c>
      <c r="AA49" s="5">
        <f>IF(X49&lt;50,IF(Y49&gt;(2.3*X49),0,1),1)-IF(Z49&gt;Y49,1.7,0)</f>
        <v/>
      </c>
      <c r="AB49" s="11" t="n">
        <v>7</v>
      </c>
      <c r="AC49" s="5">
        <f>IF(AB49&gt;4,1,0)+IF(AB49&gt;10,0.7,0)</f>
        <v/>
      </c>
      <c r="AD49" s="11" t="n">
        <v>14.02</v>
      </c>
      <c r="AE49" s="11" t="n">
        <v>38.13</v>
      </c>
      <c r="AF49" s="11" t="n">
        <v>186.05</v>
      </c>
      <c r="AG49" s="6">
        <f>IF(G49&lt;52,0,0.7)+IF(G49&lt;34,0,0.7)+IF(G49&lt;1,0,0.7)+IF(P49&gt;14.56,0,1)+IF(R49&lt;9,0.5,0)+IF(R49&lt;33.8,0.5,0)+IF(R49&lt;50,0.5,0)+IF(R49&lt;80,0.5,0)+IF(S49=5,0,S49)+IF(V49&gt;0,1,-1)+IF(AE49&lt;10.56,0,1)-IF(AE49&lt;3,1,0)-IF(AE49&lt;1,1,0)</f>
        <v/>
      </c>
      <c r="AH49" s="5">
        <f>AG49+IF(X49&lt;1.35,0,1)+IF(Y49&lt;1.35,0,1)+IF(Y49&lt;0.7,-1,0)+AC49+AA49</f>
        <v/>
      </c>
      <c r="AI49" s="5" t="n">
        <v>11</v>
      </c>
      <c r="AJ49" s="5">
        <f>IF(AI49&gt;12.7,IF(AI49&gt;15.8,0.93,0.98),1)</f>
        <v/>
      </c>
      <c r="AK49" s="5">
        <f>(1.5*AG49+AH49)*AJ49*AQ49</f>
        <v/>
      </c>
      <c r="AL49" s="4">
        <f>D49</f>
        <v/>
      </c>
      <c r="AM49" s="8">
        <f>B49</f>
        <v/>
      </c>
      <c r="AN49" s="7" t="n"/>
      <c r="AO49" s="61">
        <f>IF(Z49&lt;2.81,0,IF(AK49&gt;13.7,IF(Z49&lt;140,1,0),0))</f>
        <v/>
      </c>
      <c r="AP49" s="7">
        <f>IF(AK49&gt;13.93,IF(Z49&lt;300,IF(Z49&lt;35,IF(Z49&lt;6,3,2),1),0),0)</f>
        <v/>
      </c>
      <c r="AQ49" s="5" t="n">
        <v>1</v>
      </c>
      <c r="AR49" s="7">
        <f>IF(AO49=1,IF(AO49=AL49,1,0),5)</f>
        <v/>
      </c>
      <c r="AS49" s="4" t="n">
        <v>128</v>
      </c>
      <c r="AT49" s="5" t="n">
        <v>128</v>
      </c>
      <c r="AU49" s="5" t="n">
        <v>192</v>
      </c>
      <c r="AV49" s="5">
        <f>(AT49+AU49)/2</f>
        <v/>
      </c>
      <c r="AW49" s="4" t="n">
        <v>146</v>
      </c>
      <c r="AX49" s="4">
        <f>IF(AW49&gt;AV49,1,0)</f>
        <v/>
      </c>
      <c r="AY49" s="4">
        <f>(100*(AU49-AS49)/AS49)</f>
        <v/>
      </c>
      <c r="AZ49" s="4">
        <f>IF(AY49&lt;-50,-4,IF(AY49&lt;-20,-2,IF(AY49&lt;0,-1.5,IF(AY49=0,0,IF(AY49&lt;10,1.5,IF(AY49&lt;20,2,IF(AY49&gt;19,2.5,2.5)))))))</f>
        <v/>
      </c>
      <c r="BA49" s="7" t="n"/>
      <c r="BB49" s="5" t="n">
        <v>151</v>
      </c>
      <c r="BC49" s="5" t="n"/>
      <c r="BD49" s="5" t="n"/>
      <c r="BE49" s="5" t="n"/>
      <c r="BF49" s="5" t="n"/>
      <c r="BG49" s="5">
        <f>#DIV/0!</f>
        <v/>
      </c>
      <c r="BH49" s="5">
        <f>#DIV/0!</f>
        <v/>
      </c>
    </row>
    <row r="50" ht="12.75" customHeight="1">
      <c r="B50" s="11" t="inlineStr">
        <is>
          <t>Shining Tools</t>
        </is>
      </c>
      <c r="C50" s="11" t="n">
        <v>2025</v>
      </c>
      <c r="D50" s="4" t="n">
        <v>0</v>
      </c>
      <c r="E50" s="11" t="n">
        <v>8.18</v>
      </c>
      <c r="F50" s="11" t="n">
        <v>8.01</v>
      </c>
      <c r="G50" s="5">
        <f>100*(F50-E50)/F50</f>
        <v/>
      </c>
      <c r="H50" s="11" t="n">
        <v>19.64</v>
      </c>
      <c r="I50" s="11" t="n">
        <v>2.93</v>
      </c>
      <c r="J50" s="11" t="n"/>
      <c r="K50" s="11" t="n">
        <v>7.05</v>
      </c>
      <c r="L50" s="11" t="n"/>
      <c r="M50" s="11" t="n">
        <v>6.23</v>
      </c>
      <c r="N50" s="11" t="n"/>
      <c r="O50" s="11" t="n">
        <v>14.77</v>
      </c>
      <c r="P50" s="5">
        <f>O50/I50</f>
        <v/>
      </c>
      <c r="Q50" s="11" t="n">
        <v>16.18</v>
      </c>
      <c r="R50" s="19" t="n"/>
      <c r="S50" s="6" t="n">
        <v>0</v>
      </c>
      <c r="T50" s="20" t="n"/>
      <c r="U50" s="20" t="n"/>
      <c r="V50" s="20" t="n">
        <v>0</v>
      </c>
      <c r="W50" s="11" t="n"/>
      <c r="X50" s="11" t="n">
        <v>0</v>
      </c>
      <c r="Y50" s="11" t="n">
        <v>0.43</v>
      </c>
      <c r="Z50" s="11" t="n">
        <v>1.87</v>
      </c>
      <c r="AA50" s="5">
        <f>IF(X50&lt;50,IF(Y50&gt;(2.3*X50),0,1),1)-IF(Z50&gt;Y50,1.7,0)</f>
        <v/>
      </c>
      <c r="AB50" s="11" t="n">
        <v>0</v>
      </c>
      <c r="AC50" s="5">
        <f>IF(AB50&gt;4,1,0)+IF(AB50&gt;10,0.7,0)</f>
        <v/>
      </c>
      <c r="AD50" s="11" t="n">
        <v>86</v>
      </c>
      <c r="AE50" s="11" t="n">
        <v>39</v>
      </c>
      <c r="AF50" s="11" t="n">
        <v>123</v>
      </c>
      <c r="AG50" s="6">
        <f>IF(G50&lt;52,0,0.7)+IF(G50&lt;34,0,0.7)+IF(G50&lt;1,0,0.7)+IF(P50&gt;14.56,0,1)+IF(R50&lt;9,0.5,0)+IF(R50&lt;33.8,0.5,0)+IF(R50&lt;50,0.5,0)+IF(R50&lt;80,0.5,0)+IF(S50=5,0,S50)+IF(V50&gt;0,1,-1)+IF(AE50&lt;10.56,0,1)-IF(AE50&lt;3,1,0)-IF(AE50&lt;1,1,0)</f>
        <v/>
      </c>
      <c r="AH50" s="5">
        <f>AG50+IF(X50&lt;1.35,0,1)+IF(Y50&lt;1.35,0,1)+IF(Y50&lt;0.7,-1,0)+AC50+AA50</f>
        <v/>
      </c>
      <c r="AI50" s="5" t="n">
        <v>11</v>
      </c>
      <c r="AJ50" s="5">
        <f>IF(AI50&gt;12.7,IF(AI50&gt;15.8,0.93,0.98),1)</f>
        <v/>
      </c>
      <c r="AK50" s="5">
        <f>(1.5*AG50+AH50)*AJ50*AQ50</f>
        <v/>
      </c>
      <c r="AL50" s="4">
        <f>D50</f>
        <v/>
      </c>
      <c r="AM50" s="8">
        <f>B50</f>
        <v/>
      </c>
      <c r="AN50" s="7" t="n"/>
      <c r="AO50" s="61">
        <f>IF(Z50&lt;2.81,0,IF(AK50&gt;13.7,IF(Z50&lt;140,1,0),0))</f>
        <v/>
      </c>
      <c r="AP50" s="7">
        <f>IF(AK50&gt;13.93,IF(Z50&lt;300,IF(Z50&lt;35,IF(Z50&lt;6,3,2),1),0),0)</f>
        <v/>
      </c>
      <c r="AQ50" s="5" t="n">
        <v>1</v>
      </c>
      <c r="AR50" s="7">
        <f>IF(AO50=1,IF(AO50=AL50,1,0),5)</f>
        <v/>
      </c>
      <c r="AS50" s="4" t="n">
        <v>114</v>
      </c>
      <c r="AT50" s="5" t="n">
        <v>94</v>
      </c>
      <c r="AU50" s="5" t="n">
        <v>140</v>
      </c>
      <c r="AV50" s="5">
        <f>(AT50+AU50)/2</f>
        <v/>
      </c>
      <c r="AW50" s="4" t="n">
        <v>104</v>
      </c>
      <c r="AX50" s="4">
        <f>IF(AW50&gt;AV50,1,0)</f>
        <v/>
      </c>
      <c r="AY50" s="4">
        <f>(100*(AU50-AS50)/AS50)</f>
        <v/>
      </c>
      <c r="AZ50" s="4">
        <f>IF(AY50&lt;-50,-4,IF(AY50&lt;-20,-2,IF(AY50&lt;0,-1.5,IF(AY50=0,0,IF(AY50&lt;10,1.5,IF(AY50&lt;20,2,IF(AY50&gt;19,2.5,2.5)))))))</f>
        <v/>
      </c>
      <c r="BA50" s="7" t="n"/>
      <c r="BB50" s="5" t="n">
        <v>98</v>
      </c>
      <c r="BC50" s="5" t="n"/>
      <c r="BD50" s="5" t="n"/>
      <c r="BE50" s="5" t="n"/>
      <c r="BF50" s="5" t="n"/>
      <c r="BG50" s="5">
        <f>#DIV/0!</f>
        <v/>
      </c>
      <c r="BH50" s="5">
        <f>#DIV/0!</f>
        <v/>
      </c>
    </row>
    <row r="51" ht="24" customHeight="1">
      <c r="B51" s="11" t="inlineStr">
        <is>
          <t>Mahamaya Lifesciences</t>
        </is>
      </c>
      <c r="C51" s="11" t="n">
        <v>2025</v>
      </c>
      <c r="D51" s="11" t="n">
        <v>1</v>
      </c>
      <c r="E51" s="11" t="n">
        <v>58.11</v>
      </c>
      <c r="F51" s="11" t="n">
        <v>49.42</v>
      </c>
      <c r="G51" s="5">
        <f>100*(F51-E51)/F51</f>
        <v/>
      </c>
      <c r="H51" s="11" t="n">
        <v>188.35</v>
      </c>
      <c r="I51" s="11" t="n">
        <v>12.94</v>
      </c>
      <c r="J51" s="11" t="n"/>
      <c r="K51" s="11" t="n">
        <v>7.01</v>
      </c>
      <c r="L51" s="11" t="n"/>
      <c r="M51" s="11" t="n">
        <v>24.64</v>
      </c>
      <c r="N51" s="11" t="n"/>
      <c r="O51" s="11" t="n">
        <v>267.17</v>
      </c>
      <c r="P51" s="5">
        <f>O51/I51</f>
        <v/>
      </c>
      <c r="Q51" s="11" t="n">
        <v>20.62</v>
      </c>
      <c r="R51" s="19" t="n"/>
      <c r="S51" s="6" t="n">
        <v>-1</v>
      </c>
      <c r="T51" s="20" t="n"/>
      <c r="U51" s="20" t="n"/>
      <c r="V51" s="20" t="n">
        <v>1</v>
      </c>
      <c r="W51" s="11" t="n">
        <v>1</v>
      </c>
      <c r="X51" s="11" t="n">
        <v>0.65</v>
      </c>
      <c r="Y51" s="11" t="n">
        <v>0.27</v>
      </c>
      <c r="Z51" s="11" t="n">
        <v>0.21</v>
      </c>
      <c r="AA51" s="5">
        <f>IF(X51&lt;50,IF(Y51&gt;(2.3*X51),0,1),1)-IF(Z51&gt;Y51,1.7,0)</f>
        <v/>
      </c>
      <c r="AB51" s="11" t="n">
        <v>0</v>
      </c>
      <c r="AC51" s="5">
        <f>IF(AB51&gt;4,1,0)+IF(AB51&gt;10,0.7,0)</f>
        <v/>
      </c>
      <c r="AD51" s="11" t="n">
        <v>148</v>
      </c>
      <c r="AE51" s="11" t="n">
        <v>64</v>
      </c>
      <c r="AF51" s="11" t="n">
        <v>100</v>
      </c>
      <c r="AG51" s="6">
        <f>IF(G51&lt;52,0,0.7)+IF(G51&lt;34,0,0.7)+IF(G51&lt;1,0,0.7)+IF(P51&gt;14.56,0,1)+IF(R51&lt;9,0.5,0)+IF(R51&lt;33.8,0.5,0)+IF(R51&lt;50,0.5,0)+IF(R51&lt;80,0.5,0)+IF(S51=5,0,S51)+IF(V51&gt;0,1,-1)+IF(AE51&lt;10.56,0,1)-IF(AE51&lt;3,1,0)-IF(AE51&lt;1,1,0)</f>
        <v/>
      </c>
      <c r="AH51" s="5">
        <f>AG51+IF(X51&lt;1.35,0,1)+IF(Y51&lt;1.35,0,1)+IF(Y51&lt;0.7,-1,0)+AC51+AA51</f>
        <v/>
      </c>
      <c r="AI51" s="5" t="n">
        <v>11</v>
      </c>
      <c r="AJ51" s="5">
        <f>IF(AI51&gt;12.7,IF(AI51&gt;15.8,0.93,0.98),1)</f>
        <v/>
      </c>
      <c r="AK51" s="5">
        <f>(1.5*AG51+AH51)*AJ51*AQ51</f>
        <v/>
      </c>
      <c r="AL51" s="4">
        <f>D51</f>
        <v/>
      </c>
      <c r="AM51" s="8">
        <f>B51</f>
        <v/>
      </c>
      <c r="AN51" s="7" t="n"/>
      <c r="AO51" s="61">
        <f>IF(Z51&lt;2.81,0,IF(AK51&gt;13.7,IF(Z51&lt;140,1,0),0))</f>
        <v/>
      </c>
      <c r="AP51" s="7">
        <f>IF(AK51&gt;13.93,IF(Z51&lt;300,IF(Z51&lt;35,IF(Z51&lt;6,3,2),1),0),0)</f>
        <v/>
      </c>
      <c r="AQ51" s="5" t="n">
        <v>1</v>
      </c>
      <c r="AR51" s="7">
        <f>IF(AO51=1,IF(AO51=AL51,1,0),5)</f>
        <v/>
      </c>
      <c r="AS51" s="4" t="n">
        <v>114</v>
      </c>
      <c r="AT51" s="5" t="n">
        <v>105</v>
      </c>
      <c r="AU51" s="5" t="n">
        <v>154</v>
      </c>
      <c r="AV51" s="5">
        <f>(AT51+AU51)/2</f>
        <v/>
      </c>
      <c r="AW51" s="4" t="n">
        <v>116</v>
      </c>
      <c r="AX51" s="4">
        <f>IF(AW51&gt;AV51,1,0)</f>
        <v/>
      </c>
      <c r="AY51" s="4">
        <f>(100*(AU51-AS51)/AS51)</f>
        <v/>
      </c>
      <c r="AZ51" s="4">
        <f>IF(AY51&lt;-50,-4,IF(AY51&lt;-20,-2,IF(AY51&lt;0,-1.5,IF(AY51=0,0,IF(AY51&lt;10,1.5,IF(AY51&lt;20,2,IF(AY51&gt;19,2.5,2.5)))))))</f>
        <v/>
      </c>
      <c r="BA51" s="7" t="n"/>
      <c r="BB51" s="5" t="n">
        <v>116</v>
      </c>
      <c r="BC51" s="5" t="n">
        <v>121</v>
      </c>
      <c r="BD51" s="5" t="n"/>
      <c r="BE51" s="5" t="n"/>
      <c r="BF51" s="5" t="n"/>
      <c r="BG51" s="5">
        <f>#DIV/0!</f>
        <v/>
      </c>
      <c r="BH51" s="5">
        <f>#DIV/0!</f>
        <v/>
      </c>
    </row>
    <row r="52" ht="12" customHeight="1">
      <c r="B52" s="18" t="inlineStr">
        <is>
          <t>Workmates Core2Cloud</t>
        </is>
      </c>
      <c r="C52" s="11" t="n">
        <v>2025</v>
      </c>
      <c r="D52" s="11" t="n">
        <v>1</v>
      </c>
      <c r="E52" s="11" t="n">
        <v>0</v>
      </c>
      <c r="F52" s="11" t="n">
        <v>20.65</v>
      </c>
      <c r="G52" s="5">
        <f>100*(F52-E52)/F52</f>
        <v/>
      </c>
      <c r="H52" s="11" t="inlineStr">
        <is>
          <t>N/A</t>
        </is>
      </c>
      <c r="I52" s="11" t="n">
        <v>13.93</v>
      </c>
      <c r="J52" s="11" t="n"/>
      <c r="K52" s="11" t="n">
        <v>13.91</v>
      </c>
      <c r="L52" s="11" t="n"/>
      <c r="M52" s="11" t="inlineStr">
        <is>
          <t>N/A</t>
        </is>
      </c>
      <c r="N52" s="11" t="n"/>
      <c r="O52" s="11" t="n">
        <v>108.39</v>
      </c>
      <c r="P52" s="5">
        <f>O52/I52</f>
        <v/>
      </c>
      <c r="Q52" s="11" t="n">
        <v>14.6</v>
      </c>
      <c r="R52" s="19" t="n"/>
      <c r="S52" s="6" t="n">
        <v>0</v>
      </c>
      <c r="T52" s="20" t="n"/>
      <c r="U52" s="20" t="n"/>
      <c r="V52" s="20" t="n">
        <v>1</v>
      </c>
      <c r="W52" s="11" t="n"/>
      <c r="X52" s="11" t="n">
        <v>140</v>
      </c>
      <c r="Y52" s="11" t="n">
        <v>37</v>
      </c>
      <c r="Z52" s="11" t="n">
        <v>110</v>
      </c>
      <c r="AA52" s="5">
        <f>IF(X52&lt;50,IF(Y52&gt;(2.3*X52),0,1),1)-IF(Z52&gt;Y52,1.7,0)</f>
        <v/>
      </c>
      <c r="AB52" s="11" t="n">
        <v>43</v>
      </c>
      <c r="AC52" s="5">
        <f>IF(AB52&gt;4,1,0)+IF(AB52&gt;10,0.7,0)</f>
        <v/>
      </c>
      <c r="AD52" s="11" t="n">
        <v>160</v>
      </c>
      <c r="AE52" s="11" t="n">
        <v>102</v>
      </c>
      <c r="AF52" s="11" t="n">
        <v>126</v>
      </c>
      <c r="AG52" s="6">
        <f>IF(G52&lt;52,0,0.7)+IF(G52&lt;34,0,0.7)+IF(G52&lt;1,0,0.7)+IF(P52&gt;14.56,0,1)+IF(R52&lt;9,0.5,0)+IF(R52&lt;33.8,0.5,0)+IF(R52&lt;50,0.5,0)+IF(R52&lt;80,0.5,0)+IF(S52=5,0,S52)+IF(V52&gt;0,1,-1)+IF(AE52&lt;10.56,0,1)-IF(AE52&lt;3,1,0)-IF(AE52&lt;1,1,0)</f>
        <v/>
      </c>
      <c r="AH52" s="5">
        <f>AG52+IF(X52&lt;1.35,0,1)+IF(Y52&lt;1.35,0,1)+IF(Y52&lt;0.7,-1,0)+AC52+AA52</f>
        <v/>
      </c>
      <c r="AI52" s="5" t="n">
        <v>11</v>
      </c>
      <c r="AJ52" s="5">
        <f>IF(AI52&gt;12.7,IF(AI52&gt;15.8,0.93,0.98),1)</f>
        <v/>
      </c>
      <c r="AK52" s="5">
        <f>(1.5*AG52+AH52)*AJ52*AQ52</f>
        <v/>
      </c>
      <c r="AL52" s="4">
        <f>D52</f>
        <v/>
      </c>
      <c r="AM52" s="8">
        <f>B52</f>
        <v/>
      </c>
      <c r="AN52" s="7" t="n"/>
      <c r="AO52" s="61">
        <f>IF(Z52&lt;2.81,0,IF(AK52&gt;13.7,IF(Z52&lt;140,1,0),0))</f>
        <v/>
      </c>
      <c r="AP52" s="7">
        <f>IF(AK52&gt;13.93,IF(Z52&lt;300,IF(Z52&lt;35,IF(Z52&lt;6,3,2),1),0),0)</f>
        <v/>
      </c>
      <c r="AQ52" s="5" t="n">
        <v>1</v>
      </c>
      <c r="AR52" s="7">
        <f>IF(AO52=1,IF(AO52=AL52,1,0),5)</f>
        <v/>
      </c>
      <c r="AS52" s="4" t="n">
        <v>204</v>
      </c>
      <c r="AT52" s="5" t="n">
        <v>201</v>
      </c>
      <c r="AU52" s="5" t="n">
        <v>335</v>
      </c>
      <c r="AV52" s="5">
        <f>(AT52+AU52)/2</f>
        <v/>
      </c>
      <c r="AW52" s="4" t="n">
        <v>387</v>
      </c>
      <c r="AX52" s="4">
        <f>IF(AW52&gt;AV52,1,0)</f>
        <v/>
      </c>
      <c r="AY52" s="4">
        <f>(100*(AU52-AS52)/AS52)</f>
        <v/>
      </c>
      <c r="AZ52" s="4">
        <f>IF(AY52&lt;-50,-4,IF(AY52&lt;-20,-2,IF(AY52&lt;0,-1.5,IF(AY52=0,0,IF(AY52&lt;10,1.5,IF(AY52&lt;20,2,IF(AY52&gt;19,2.5,2.5)))))))</f>
        <v/>
      </c>
      <c r="BA52" s="7" t="n"/>
      <c r="BB52" s="5" t="n"/>
      <c r="BC52" s="5" t="n"/>
      <c r="BD52" s="5" t="n"/>
      <c r="BE52" s="5" t="n"/>
      <c r="BF52" s="5" t="n"/>
      <c r="BG52" s="5">
        <f>#DIV/0!</f>
        <v/>
      </c>
      <c r="BH52" s="5">
        <f>#DIV/0!</f>
        <v/>
      </c>
    </row>
    <row r="53" ht="24" customHeight="1">
      <c r="B53" s="4" t="inlineStr">
        <is>
          <t>Gallard Steel</t>
        </is>
      </c>
      <c r="C53" s="4" t="n">
        <v>2025</v>
      </c>
      <c r="D53" s="11" t="n">
        <v>1</v>
      </c>
      <c r="E53" s="4" t="n">
        <v>20.38</v>
      </c>
      <c r="F53" s="4" t="n">
        <v>17.08</v>
      </c>
      <c r="G53" s="5">
        <f>100*(F53-E53)/F53</f>
        <v/>
      </c>
      <c r="H53" s="4" t="n">
        <v>48.77</v>
      </c>
      <c r="I53" s="4" t="n">
        <v>6.07</v>
      </c>
      <c r="J53" s="4" t="n"/>
      <c r="K53" s="4" t="n">
        <v>8.67</v>
      </c>
      <c r="L53" s="4" t="n"/>
      <c r="M53" s="4" t="n">
        <v>12.47</v>
      </c>
      <c r="N53" s="4" t="n"/>
      <c r="O53" s="4" t="n">
        <v>53.52</v>
      </c>
      <c r="P53" s="5">
        <f>O53/I53</f>
        <v/>
      </c>
      <c r="Q53" s="4" t="n">
        <v>17.31</v>
      </c>
      <c r="R53" s="5" t="n"/>
      <c r="S53" s="6" t="n">
        <v>0</v>
      </c>
      <c r="T53" s="7" t="n"/>
      <c r="U53" s="7" t="n"/>
      <c r="V53" s="7" t="n">
        <v>1</v>
      </c>
      <c r="W53" s="4" t="n"/>
      <c r="X53" s="4" t="n">
        <v>228</v>
      </c>
      <c r="Y53" s="4" t="n">
        <v>584</v>
      </c>
      <c r="Z53" s="4" t="n">
        <v>305</v>
      </c>
      <c r="AA53" s="5">
        <f>IF(X53&lt;50,IF(Y53&gt;(2.3*X53),0,1),1)-IF(Z53&gt;Y53,1.7,0)</f>
        <v/>
      </c>
      <c r="AB53" s="4" t="n">
        <v>47</v>
      </c>
      <c r="AC53" s="5">
        <f>IF(AB53&gt;4,1,0)+IF(AB53&gt;10,0.7,0)</f>
        <v/>
      </c>
      <c r="AD53" s="4" t="n">
        <v>90</v>
      </c>
      <c r="AE53" s="4" t="n">
        <v>92</v>
      </c>
      <c r="AF53" s="4" t="n">
        <v>55</v>
      </c>
      <c r="AG53" s="6">
        <f>IF(G53&lt;52,0,0.7)+IF(G53&lt;34,0,0.7)+IF(G53&lt;1,0,0.7)+IF(P53&gt;14.56,0,1)+IF(R53&lt;9,0.5,0)+IF(R53&lt;33.8,0.5,0)+IF(R53&lt;50,0.5,0)+IF(R53&lt;80,0.5,0)+IF(S53=5,0,S53)+IF(V53&gt;0,1,-1)+IF(AE53&lt;10.56,0,1)-IF(AE53&lt;3,1,0)-IF(AE53&lt;1,1,0)</f>
        <v/>
      </c>
      <c r="AH53" s="5">
        <f>AG53+IF(X53&lt;1.35,0,1)+IF(Y53&lt;1.35,0,1)+IF(Y53&lt;0.7,-1,0)+AC53+AA53</f>
        <v/>
      </c>
      <c r="AI53" s="5" t="n">
        <v>11</v>
      </c>
      <c r="AJ53" s="5">
        <f>IF(AI53&gt;12.7,IF(AI53&gt;15.8,0.93,0.98),1)</f>
        <v/>
      </c>
      <c r="AK53" s="5">
        <f>(1.5*AG53+AH53)*AJ53*AQ53</f>
        <v/>
      </c>
      <c r="AL53" s="4">
        <f>D53</f>
        <v/>
      </c>
      <c r="AM53" s="8">
        <f>B53</f>
        <v/>
      </c>
      <c r="AN53" s="7" t="n">
        <v>24</v>
      </c>
      <c r="AO53" s="61">
        <f>IF(Z53&lt;2.81,0,IF(AK53&gt;13.7,IF(Z53&lt;140,1,0),0))</f>
        <v/>
      </c>
      <c r="AP53" s="7">
        <f>IF(AK53&gt;13.93,IF(Z53&lt;300,IF(Z53&lt;35,IF(Z53&lt;6,3,2),1),0),0)</f>
        <v/>
      </c>
      <c r="AQ53" s="5" t="n">
        <v>1</v>
      </c>
      <c r="AR53" s="7">
        <f>IF(AO53=1,IF(AO53=AL53,1,0),5)</f>
        <v/>
      </c>
      <c r="AS53" s="4" t="n">
        <v>150</v>
      </c>
      <c r="AT53" s="5" t="n">
        <v>180</v>
      </c>
      <c r="AU53" s="5" t="n">
        <v>216</v>
      </c>
      <c r="AV53" s="5">
        <f>(AT53+AU53)/2</f>
        <v/>
      </c>
      <c r="AW53" s="4" t="n">
        <v>223</v>
      </c>
      <c r="AX53" s="4">
        <f>IF(AW53&gt;AV53,1,0)</f>
        <v/>
      </c>
      <c r="AY53" s="4">
        <f>(100*(AU53-AS53)/AS53)</f>
        <v/>
      </c>
      <c r="AZ53" s="4">
        <f>IF(AY53&lt;-50,-4,IF(AY53&lt;-20,-2,IF(AY53&lt;0,-1.5,IF(AY53=0,0,IF(AY53&lt;10,1.5,IF(AY53&lt;20,2,IF(AY53&gt;19,2.5,2.5)))))))</f>
        <v/>
      </c>
      <c r="BA53" s="7" t="n"/>
      <c r="BB53" s="5" t="n"/>
      <c r="BC53" s="5" t="n"/>
      <c r="BD53" s="5" t="n"/>
      <c r="BE53" s="5" t="n"/>
      <c r="BF53" s="5" t="n"/>
      <c r="BG53" s="5">
        <f>#DIV/0!</f>
        <v/>
      </c>
      <c r="BH53" s="5">
        <f>#DIV/0!</f>
        <v/>
      </c>
    </row>
    <row r="54" ht="12.75" customHeight="1">
      <c r="B54" s="4" t="inlineStr">
        <is>
          <t>SSMD Agrotech India</t>
        </is>
      </c>
      <c r="C54" s="4" t="n">
        <v>2025</v>
      </c>
      <c r="D54" s="4" t="n">
        <v>0</v>
      </c>
      <c r="E54" s="4" t="n">
        <v>6.07</v>
      </c>
      <c r="F54" s="4" t="n">
        <v>6.92</v>
      </c>
      <c r="G54" s="5">
        <f>100*(F54-E54)/F54</f>
        <v/>
      </c>
      <c r="H54" s="11" t="n">
        <v>18.16</v>
      </c>
      <c r="I54" s="11" t="n">
        <v>5.38</v>
      </c>
      <c r="J54" s="11" t="n"/>
      <c r="K54" s="11" t="n">
        <v>9.74</v>
      </c>
      <c r="L54" s="11" t="n"/>
      <c r="M54" s="11" t="n">
        <v>8.470000000000001</v>
      </c>
      <c r="N54" s="11" t="n"/>
      <c r="O54" s="11" t="n">
        <v>99.18000000000001</v>
      </c>
      <c r="P54" s="5">
        <f>O54/I54</f>
        <v/>
      </c>
      <c r="Q54" s="11" t="n">
        <v>12.32</v>
      </c>
      <c r="R54" s="19" t="n"/>
      <c r="S54" s="6" t="n">
        <v>0</v>
      </c>
      <c r="T54" s="7" t="n"/>
      <c r="U54" s="7" t="n"/>
      <c r="V54" s="7" t="n">
        <v>0</v>
      </c>
      <c r="W54" s="4" t="n"/>
      <c r="X54" s="4" t="n">
        <v>2</v>
      </c>
      <c r="Y54" s="4" t="n">
        <v>2</v>
      </c>
      <c r="Z54" s="4" t="n">
        <v>2</v>
      </c>
      <c r="AA54" s="5">
        <f>IF(X54&lt;50,IF(Y54&gt;(2.3*X54),0,1),1)-IF(Z54&gt;Y54,1.7,0)</f>
        <v/>
      </c>
      <c r="AB54" s="11" t="n">
        <v>0</v>
      </c>
      <c r="AC54" s="5">
        <f>IF(AB54&gt;4,1,0)+IF(AB54&gt;10,0.7,0)</f>
        <v/>
      </c>
      <c r="AD54" s="11" t="n">
        <v>389</v>
      </c>
      <c r="AE54" s="11" t="n">
        <v>35</v>
      </c>
      <c r="AF54" s="11" t="n">
        <v>420</v>
      </c>
      <c r="AG54" s="6">
        <f>IF(G54&lt;52,0,0.7)+IF(G54&lt;34,0,0.7)+IF(G54&lt;1,0,0.7)+IF(P54&gt;14.56,0,1)+IF(R54&lt;9,0.5,0)+IF(R54&lt;33.8,0.5,0)+IF(R54&lt;50,0.5,0)+IF(R54&lt;80,0.5,0)+IF(S54=5,0,S54)+IF(V54&gt;0,1,-1)+IF(AE54&lt;10.56,0,1)-IF(AE54&lt;3,1,0)-IF(AE54&lt;1,1,0)</f>
        <v/>
      </c>
      <c r="AH54" s="5">
        <f>AG54+IF(X54&lt;1.35,0,1)+IF(Y54&lt;1.35,0,1)+IF(Y54&lt;0.7,-1,0)+AC54+AA54</f>
        <v/>
      </c>
      <c r="AI54" s="5" t="n">
        <v>11</v>
      </c>
      <c r="AJ54" s="5">
        <f>IF(AI54&gt;12.7,IF(AI54&gt;15.8,0.93,0.98),1)</f>
        <v/>
      </c>
      <c r="AK54" s="5">
        <f>(1.5*AG54+AH54)*AJ54*AQ54</f>
        <v/>
      </c>
      <c r="AL54" s="4">
        <f>D54</f>
        <v/>
      </c>
      <c r="AM54" s="8">
        <f>B54</f>
        <v/>
      </c>
      <c r="AN54" s="7" t="n">
        <v>27</v>
      </c>
      <c r="AO54" s="61">
        <f>IF(Z54&lt;2.81,0,IF(AK54&gt;13.7,IF(Z54&lt;140,1,0),0))</f>
        <v/>
      </c>
      <c r="AP54" s="7">
        <f>IF(AK54&gt;13.93,IF(Z54&lt;300,IF(Z54&lt;35,IF(Z54&lt;6,3,2),1),0),0)</f>
        <v/>
      </c>
      <c r="AQ54" s="5" t="n">
        <v>1</v>
      </c>
      <c r="AR54" s="7">
        <f>IF(AO54=1,IF(AO54=AL54,1,0),5)</f>
        <v/>
      </c>
      <c r="AS54" s="4" t="n">
        <v>121</v>
      </c>
      <c r="AT54" s="5" t="n">
        <v>132</v>
      </c>
      <c r="AU54" s="5" t="n">
        <v>194</v>
      </c>
      <c r="AV54" s="5">
        <f>(AT54+AU54)/2</f>
        <v/>
      </c>
      <c r="AW54" s="4" t="n">
        <v>73</v>
      </c>
      <c r="AX54" s="4">
        <f>IF(AW54&gt;AV54,1,0)</f>
        <v/>
      </c>
      <c r="AY54" s="4">
        <f>(100*(AU54-AS54)/AS54)</f>
        <v/>
      </c>
      <c r="AZ54" s="4">
        <f>IF(AY54&lt;-50,-4,IF(AY54&lt;-20,-2,IF(AY54&lt;0,-1.5,IF(AY54=0,0,IF(AY54&lt;10,1.5,IF(AY54&lt;20,2,IF(AY54&gt;19,2.5,2.5)))))))</f>
        <v/>
      </c>
      <c r="BA54" s="7" t="n"/>
      <c r="BB54" s="5" t="n"/>
      <c r="BC54" s="5" t="n"/>
      <c r="BD54" s="5" t="n"/>
      <c r="BE54" s="5" t="n"/>
      <c r="BF54" s="5" t="n"/>
      <c r="BG54" s="5" t="n"/>
      <c r="BH54" s="5" t="n"/>
    </row>
    <row r="55" ht="12.75" customHeight="1">
      <c r="B55" s="11" t="inlineStr">
        <is>
          <t>Mother Nutri Foods</t>
        </is>
      </c>
      <c r="C55" s="11" t="n">
        <v>2025</v>
      </c>
      <c r="D55" s="11" t="n">
        <v>1</v>
      </c>
      <c r="E55" s="11" t="n">
        <v>59.61</v>
      </c>
      <c r="F55" s="11" t="n">
        <v>24.89</v>
      </c>
      <c r="G55" s="5">
        <f>100*(F55-E55)/F55</f>
        <v/>
      </c>
      <c r="H55" s="11" t="n">
        <v>70.86</v>
      </c>
      <c r="I55" s="11" t="n">
        <v>6.47</v>
      </c>
      <c r="J55" s="11" t="n"/>
      <c r="K55" s="11" t="n">
        <v>6.58</v>
      </c>
      <c r="L55" s="11" t="n"/>
      <c r="M55" s="11" t="n">
        <v>10.22</v>
      </c>
      <c r="N55" s="11" t="n"/>
      <c r="O55" s="11" t="n">
        <v>90.48</v>
      </c>
      <c r="P55" s="5">
        <f>O55/I55</f>
        <v/>
      </c>
      <c r="Q55" s="11" t="n">
        <v>17.77</v>
      </c>
      <c r="R55" s="19" t="n"/>
      <c r="S55" s="6" t="n">
        <v>1</v>
      </c>
      <c r="T55" s="7" t="n"/>
      <c r="U55" s="7" t="n"/>
      <c r="V55" s="7" t="n">
        <v>1</v>
      </c>
      <c r="W55" s="4" t="n"/>
      <c r="X55" s="4" t="n">
        <v>1.3</v>
      </c>
      <c r="Y55" s="4" t="n">
        <v>2.9</v>
      </c>
      <c r="Z55" s="4" t="n">
        <v>1.9</v>
      </c>
      <c r="AA55" s="5">
        <f>IF(X55&lt;50,IF(Y55&gt;(2.3*X55),0,1),1)-IF(Z55&gt;Y55,1.7,0)</f>
        <v/>
      </c>
      <c r="AB55" s="11" t="n">
        <v>0</v>
      </c>
      <c r="AC55" s="5">
        <f>IF(AB55&gt;4,1,0)+IF(AB55&gt;10,0.7,0)</f>
        <v/>
      </c>
      <c r="AD55" s="11" t="n">
        <v>35</v>
      </c>
      <c r="AE55" s="11" t="n">
        <v>12</v>
      </c>
      <c r="AF55" s="11" t="n">
        <v>138</v>
      </c>
      <c r="AG55" s="6">
        <f>IF(G55&lt;52,0,0.7)+IF(G55&lt;34,0,0.7)+IF(G55&lt;1,0,0.7)+IF(P55&gt;14.56,0,1)+IF(R55&lt;9,0.5,0)+IF(R55&lt;33.8,0.5,0)+IF(R55&lt;50,0.5,0)+IF(R55&lt;80,0.5,0)+IF(S55=5,0,S55)+IF(V55&gt;0,1,-1)+IF(AE55&lt;10.56,0,1)-IF(AE55&lt;3,1,0)-IF(AE55&lt;1,1,0)</f>
        <v/>
      </c>
      <c r="AH55" s="5">
        <f>AG55+IF(X55&lt;1.35,0,1)+IF(Y55&lt;1.35,0,1)+IF(Y55&lt;0.7,-1,0)+AC55+AA55</f>
        <v/>
      </c>
      <c r="AI55" s="5" t="n">
        <v>11</v>
      </c>
      <c r="AJ55" s="5">
        <f>IF(AI55&gt;12.7,IF(AI55&gt;15.8,0.93,0.98),1)</f>
        <v/>
      </c>
      <c r="AK55" s="5">
        <f>(1.5*AG55+AH55)*AJ55*AQ55</f>
        <v/>
      </c>
      <c r="AL55" s="4">
        <f>D55</f>
        <v/>
      </c>
      <c r="AM55" s="8">
        <f>B55</f>
        <v/>
      </c>
      <c r="AN55" s="7" t="n">
        <v>28</v>
      </c>
      <c r="AO55" s="61">
        <f>IF(Z55&lt;2.81,0,IF(AK55&gt;13.7,IF(Z55&lt;140,1,0),0))</f>
        <v/>
      </c>
      <c r="AP55" s="7">
        <f>IF(AK55&gt;13.93,IF(Z55&lt;300,IF(Z55&lt;35,IF(Z55&lt;6,3,2),1),0),0)</f>
        <v/>
      </c>
      <c r="AQ55" s="5" t="n">
        <v>1</v>
      </c>
      <c r="AR55" s="7">
        <f>IF(AO55=1,IF(AO55=AL55,1,0),5)</f>
        <v/>
      </c>
      <c r="AS55" s="4" t="n">
        <v>117</v>
      </c>
      <c r="AT55" s="5" t="n">
        <v>127</v>
      </c>
      <c r="AU55" s="5" t="n">
        <v>152</v>
      </c>
      <c r="AV55" s="5">
        <f>(AT55+AU55)/2</f>
        <v/>
      </c>
      <c r="AW55" s="4" t="n">
        <v>118.5</v>
      </c>
      <c r="AX55" s="4">
        <f>IF(AW55&gt;AV55,1,0)</f>
        <v/>
      </c>
      <c r="AY55" s="4">
        <f>(100*(AU55-AS55)/AS55)</f>
        <v/>
      </c>
      <c r="AZ55" s="4">
        <f>IF(AY55&lt;-50,-4,IF(AY55&lt;-20,-2,IF(AY55&lt;0,-1.5,IF(AY55=0,0,IF(AY55&lt;10,1.5,IF(AY55&lt;20,2,IF(AY55&gt;19,2.5,2.5)))))))</f>
        <v/>
      </c>
      <c r="BA55" s="7" t="n"/>
      <c r="BB55" s="5" t="n"/>
      <c r="BC55" s="5" t="n"/>
      <c r="BD55" s="5" t="n"/>
      <c r="BE55" s="5" t="n"/>
      <c r="BF55" s="5" t="n"/>
      <c r="BG55" s="5" t="n"/>
      <c r="BH55" s="5" t="n"/>
    </row>
    <row r="56" ht="12.75" customHeight="1">
      <c r="B56" s="11" t="inlineStr">
        <is>
          <t>K K Silk Mills</t>
        </is>
      </c>
      <c r="C56" s="11" t="n">
        <v>2025</v>
      </c>
      <c r="D56" s="4" t="n">
        <v>0</v>
      </c>
      <c r="E56" s="11" t="n">
        <v>59.31</v>
      </c>
      <c r="F56" s="11" t="n">
        <v>39.72</v>
      </c>
      <c r="G56" s="5">
        <f>100*(F56-E56)/F56</f>
        <v/>
      </c>
      <c r="H56" s="11" t="n">
        <v>143.25</v>
      </c>
      <c r="I56" s="11" t="n">
        <v>4.68</v>
      </c>
      <c r="J56" s="11" t="n"/>
      <c r="K56" s="11" t="n">
        <v>3.13</v>
      </c>
      <c r="L56" s="11" t="n"/>
      <c r="M56" s="11" t="n">
        <v>13.99</v>
      </c>
      <c r="N56" s="11" t="n"/>
      <c r="O56" s="11" t="n">
        <v>220.78</v>
      </c>
      <c r="P56" s="5">
        <f>O56/I56</f>
        <v/>
      </c>
      <c r="Q56" s="11" t="n">
        <v>15.87</v>
      </c>
      <c r="R56" s="19" t="n"/>
      <c r="S56" s="6" t="n">
        <v>0</v>
      </c>
      <c r="T56" s="7" t="n"/>
      <c r="U56" s="7" t="n"/>
      <c r="V56" s="7" t="n">
        <v>0</v>
      </c>
      <c r="W56" s="4" t="n"/>
      <c r="X56" s="4" t="n">
        <v>1.33</v>
      </c>
      <c r="Y56" s="4" t="n">
        <v>0.77</v>
      </c>
      <c r="Z56" s="4" t="n">
        <v>5.55</v>
      </c>
      <c r="AA56" s="5">
        <f>IF(X56&lt;50,IF(Y56&gt;(2.3*X56),0,1),1)-IF(Z56&gt;Y56,1.7,0)</f>
        <v/>
      </c>
      <c r="AB56" s="11" t="n">
        <v>0</v>
      </c>
      <c r="AC56" s="5">
        <f>IF(AB56&gt;4,1,0)+IF(AB56&gt;10,0.7,0)</f>
        <v/>
      </c>
      <c r="AD56" s="11" t="n">
        <v>107</v>
      </c>
      <c r="AE56" s="11" t="n">
        <v>15.88</v>
      </c>
      <c r="AF56" s="11" t="n">
        <v>13.35</v>
      </c>
      <c r="AG56" s="6">
        <f>IF(G56&lt;52,0,0.7)+IF(G56&lt;34,0,0.7)+IF(G56&lt;1,0,0.7)+IF(P56&gt;14.56,0,1)+IF(R56&lt;9,0.5,0)+IF(R56&lt;33.8,0.5,0)+IF(R56&lt;50,0.5,0)+IF(R56&lt;80,0.5,0)+IF(S56=5,0,S56)+IF(V56&gt;0,1,-1)+IF(AE56&lt;10.56,0,1)-IF(AE56&lt;3,1,0)-IF(AE56&lt;1,1,0)</f>
        <v/>
      </c>
      <c r="AH56" s="5">
        <f>AG56+IF(X56&lt;1.35,0,1)+IF(Y56&lt;1.35,0,1)+IF(Y56&lt;0.7,-1,0)+AC56+AA56</f>
        <v/>
      </c>
      <c r="AI56" s="5" t="n">
        <v>11</v>
      </c>
      <c r="AJ56" s="5">
        <f>IF(AI56&gt;12.7,IF(AI56&gt;15.8,0.93,0.98),1)</f>
        <v/>
      </c>
      <c r="AK56" s="5">
        <f>(1.5*AG56+AH56)*AJ56*AQ56</f>
        <v/>
      </c>
      <c r="AL56" s="4">
        <f>D56</f>
        <v/>
      </c>
      <c r="AM56" s="8">
        <f>B56</f>
        <v/>
      </c>
      <c r="AN56" s="7" t="n">
        <v>28</v>
      </c>
      <c r="AO56" s="61">
        <f>IF(Z56&lt;2.81,0,IF(AK56&gt;13.7,IF(Z56&lt;140,1,0),0))</f>
        <v/>
      </c>
      <c r="AP56" s="7">
        <f>IF(AK56&gt;13.93,IF(Z56&lt;300,IF(Z56&lt;35,IF(Z56&lt;6,3,2),1),0),0)</f>
        <v/>
      </c>
      <c r="AQ56" s="5" t="n">
        <v>1</v>
      </c>
      <c r="AR56" s="7">
        <f>IF(AO56=1,IF(AO56=AL56,1,0),5)</f>
        <v/>
      </c>
      <c r="AS56" s="4" t="n">
        <v>38</v>
      </c>
      <c r="AT56" s="5" t="n">
        <v>21</v>
      </c>
      <c r="AU56" s="5" t="n">
        <v>27</v>
      </c>
      <c r="AV56" s="5">
        <f>(AT56+AU56)/2</f>
        <v/>
      </c>
      <c r="AW56" s="4" t="n">
        <v>32</v>
      </c>
      <c r="AX56" s="4">
        <f>IF(AW56&gt;AV56,1,0)</f>
        <v/>
      </c>
      <c r="AY56" s="4">
        <f>(100*(AU56-AS56)/AS56)</f>
        <v/>
      </c>
      <c r="AZ56" s="4">
        <f>IF(AY56&lt;-50,-4,IF(AY56&lt;-20,-2,IF(AY56&lt;0,-1.5,IF(AY56=0,0,IF(AY56&lt;10,1.5,IF(AY56&lt;20,2,IF(AY56&gt;19,2.5,2.5)))))))</f>
        <v/>
      </c>
      <c r="BA56" s="7" t="n"/>
      <c r="BB56" s="5" t="n">
        <v>30</v>
      </c>
      <c r="BC56" s="5" t="n"/>
      <c r="BD56" s="5" t="n"/>
      <c r="BE56" s="5" t="n"/>
      <c r="BF56" s="5" t="n"/>
      <c r="BG56" s="5" t="n"/>
      <c r="BH56" s="5" t="n"/>
    </row>
    <row r="57" ht="12.75" customHeight="1">
      <c r="B57" s="11" t="inlineStr">
        <is>
          <t>Purple Wave Infocom</t>
        </is>
      </c>
      <c r="C57" s="11" t="n">
        <v>2025</v>
      </c>
      <c r="D57" s="11" t="n">
        <v>1</v>
      </c>
      <c r="E57" s="11" t="n">
        <v>14.66</v>
      </c>
      <c r="F57" s="11" t="n">
        <v>14.75</v>
      </c>
      <c r="G57" s="5">
        <f>100*(F57-E57)/F57</f>
        <v/>
      </c>
      <c r="H57" s="11" t="n">
        <v>75.8</v>
      </c>
      <c r="I57" s="11" t="n">
        <v>6.57</v>
      </c>
      <c r="J57" s="11" t="n"/>
      <c r="K57" s="11" t="n">
        <v>9.73</v>
      </c>
      <c r="L57" s="11" t="n"/>
      <c r="M57" s="11" t="n">
        <v>10.13</v>
      </c>
      <c r="N57" s="11" t="n"/>
      <c r="O57" s="11" t="n">
        <v>89.42</v>
      </c>
      <c r="P57" s="5">
        <f>O57/I57</f>
        <v/>
      </c>
      <c r="Q57" s="11" t="n">
        <v>9.33</v>
      </c>
      <c r="R57" s="19" t="n"/>
      <c r="S57" s="6" t="n">
        <v>0</v>
      </c>
      <c r="T57" s="7" t="n"/>
      <c r="U57" s="7" t="n"/>
      <c r="V57" s="7" t="n">
        <v>1</v>
      </c>
      <c r="W57" s="4" t="n"/>
      <c r="X57" s="4" t="n">
        <v>10</v>
      </c>
      <c r="Y57" s="4" t="n">
        <v>6</v>
      </c>
      <c r="Z57" s="4" t="n">
        <v>3.8</v>
      </c>
      <c r="AA57" s="5">
        <f>IF(X57&lt;50,IF(Y57&gt;(2.3*X57),0,1),1)-IF(Z57&gt;Y57,1.7,0)</f>
        <v/>
      </c>
      <c r="AB57" s="11" t="n">
        <v>0</v>
      </c>
      <c r="AC57" s="5">
        <f>IF(AB57&gt;4,1,0)+IF(AB57&gt;10,0.7,0)</f>
        <v/>
      </c>
      <c r="AD57" s="11" t="n">
        <v>725</v>
      </c>
      <c r="AE57" s="11" t="n">
        <v>28</v>
      </c>
      <c r="AF57" s="11" t="n">
        <v>80</v>
      </c>
      <c r="AG57" s="6">
        <f>IF(G57&lt;52,0,0.7)+IF(G57&lt;34,0,0.7)+IF(G57&lt;1,0,0.7)+IF(P57&gt;14.56,0,1)+IF(R57&lt;9,0.5,0)+IF(R57&lt;33.8,0.5,0)+IF(R57&lt;50,0.5,0)+IF(R57&lt;80,0.5,0)+IF(S57=5,0,S57)+IF(V57&gt;0,1,-1)+IF(AE57&lt;10.56,0,1)-IF(AE57&lt;3,1,0)-IF(AE57&lt;1,1,0)</f>
        <v/>
      </c>
      <c r="AH57" s="5">
        <f>AG57+IF(X57&lt;1.35,0,1)+IF(Y57&lt;1.35,0,1)+IF(Y57&lt;0.7,-1,0)+AC57+AA57</f>
        <v/>
      </c>
      <c r="AI57" s="5" t="n">
        <v>11</v>
      </c>
      <c r="AJ57" s="5">
        <f>IF(AI57&gt;12.7,IF(AI57&gt;15.8,0.93,0.98),1)</f>
        <v/>
      </c>
      <c r="AK57" s="5">
        <f>(1.5*AG57+AH57)*AJ57*AQ57</f>
        <v/>
      </c>
      <c r="AL57" s="4">
        <f>D57</f>
        <v/>
      </c>
      <c r="AM57" s="8">
        <f>B57</f>
        <v/>
      </c>
      <c r="AN57" s="21" t="n">
        <v>2</v>
      </c>
      <c r="AO57" s="61">
        <f>IF(Z57&lt;2.81,0,IF(AK57&gt;13.7,IF(Z57&lt;140,1,0),0))</f>
        <v/>
      </c>
      <c r="AP57" s="7">
        <f>IF(AK57&gt;13.93,IF(Z57&lt;300,IF(Z57&lt;35,IF(Z57&lt;6,3,2),1),0),0)</f>
        <v/>
      </c>
      <c r="AQ57" s="5" t="n">
        <v>1</v>
      </c>
      <c r="AR57" s="7">
        <f>IF(AO57=1,IF(AO57=AL57,1,0),5)</f>
        <v/>
      </c>
      <c r="AS57" s="22" t="n">
        <v>126</v>
      </c>
      <c r="AT57" s="5" t="n">
        <v>123</v>
      </c>
      <c r="AU57" s="5" t="n">
        <v>263</v>
      </c>
      <c r="AV57" s="5">
        <f>(AT57+AU57)/2</f>
        <v/>
      </c>
      <c r="AW57" s="22" t="n">
        <v>132</v>
      </c>
      <c r="AX57" s="4">
        <f>IF(AW57&gt;AV57,1,0)</f>
        <v/>
      </c>
      <c r="AY57" s="4">
        <f>(100*(AU57-AS57)/AS57)</f>
        <v/>
      </c>
      <c r="AZ57" s="4">
        <f>IF(AY57&lt;-50,-4,IF(AY57&lt;-20,-2,IF(AY57&lt;0,-1.5,IF(AY57=0,0,IF(AY57&lt;10,1.5,IF(AY57&lt;20,2,IF(AY57&gt;19,2.5,2.5)))))))</f>
        <v/>
      </c>
      <c r="BA57" s="21" t="n"/>
      <c r="BB57" s="23" t="n"/>
      <c r="BC57" s="23" t="n"/>
      <c r="BD57" s="23" t="n"/>
      <c r="BE57" s="23" t="n"/>
      <c r="BF57" s="5" t="n"/>
      <c r="BG57" s="5" t="n"/>
      <c r="BH57" s="5" t="n"/>
    </row>
    <row r="58" ht="12" customHeight="1">
      <c r="B58" s="11" t="inlineStr">
        <is>
          <t>Eato Technologies</t>
        </is>
      </c>
      <c r="C58" s="11" t="n">
        <v>2025</v>
      </c>
      <c r="D58" s="11" t="n">
        <v>1</v>
      </c>
      <c r="E58" s="11" t="n">
        <v>31.63</v>
      </c>
      <c r="F58" s="11" t="n">
        <v>42.29</v>
      </c>
      <c r="G58" s="5">
        <f>100*(F58-E58)/F58</f>
        <v/>
      </c>
      <c r="H58" s="11" t="n">
        <v>95.16</v>
      </c>
      <c r="I58" s="11" t="n">
        <v>9.75</v>
      </c>
      <c r="J58" s="11" t="n"/>
      <c r="K58" s="11" t="inlineStr">
        <is>
          <t>N/A</t>
        </is>
      </c>
      <c r="L58" s="11" t="n"/>
      <c r="M58" s="11" t="n">
        <v>15.95</v>
      </c>
      <c r="N58" s="11" t="n"/>
      <c r="O58" s="11" t="n">
        <v>126.16</v>
      </c>
      <c r="P58" s="5">
        <f>O58/I58</f>
        <v/>
      </c>
      <c r="Q58" s="11" t="n">
        <v>11.19</v>
      </c>
      <c r="R58" s="19" t="n"/>
      <c r="S58" s="6" t="n">
        <v>0</v>
      </c>
      <c r="T58" s="7" t="n"/>
      <c r="U58" s="7" t="n"/>
      <c r="V58" s="7" t="n">
        <v>1</v>
      </c>
      <c r="W58" s="4" t="n"/>
      <c r="X58" s="4" t="n">
        <v>300</v>
      </c>
      <c r="Y58" s="4" t="n">
        <v>1400</v>
      </c>
      <c r="Z58" s="4" t="n">
        <v>1000</v>
      </c>
      <c r="AA58" s="5">
        <f>IF(X58&lt;50,IF(Y58&gt;(2.3*X58),0,1),1)-IF(Z58&gt;Y58,1.7,0)</f>
        <v/>
      </c>
      <c r="AB58" s="11" t="n">
        <v>107</v>
      </c>
      <c r="AC58" s="5">
        <f>IF(AB58&gt;4,1,0)+IF(AB58&gt;10,0.7,0)</f>
        <v/>
      </c>
      <c r="AD58" s="11" t="n">
        <v>83.59999999999999</v>
      </c>
      <c r="AE58" s="11" t="n">
        <v>9.800000000000001</v>
      </c>
      <c r="AF58" s="11" t="n">
        <v>56.7</v>
      </c>
      <c r="AG58" s="6">
        <f>IF(G58&lt;52,0,0.7)+IF(G58&lt;34,0,0.7)+IF(G58&lt;1,0,0.7)+IF(P58&gt;14.56,0,1)+IF(R58&lt;9,0.5,0)+IF(R58&lt;33.8,0.5,0)+IF(R58&lt;50,0.5,0)+IF(R58&lt;80,0.5,0)+IF(S58=5,0,S58)+IF(V58&gt;0,1,-1)+IF(AE58&lt;10.56,0,1)-IF(AE58&lt;3,1,0)-IF(AE58&lt;1,1,0)</f>
        <v/>
      </c>
      <c r="AH58" s="5">
        <f>AG58+IF(X58&lt;1.35,0,1)+IF(Y58&lt;1.35,0,1)+IF(Y58&lt;0.7,-1,0)+AC58+AA58</f>
        <v/>
      </c>
      <c r="AI58" s="5" t="n">
        <v>11</v>
      </c>
      <c r="AJ58" s="5">
        <f>IF(AI58&gt;12.7,IF(AI58&gt;15.8,0.93,0.98),1)</f>
        <v/>
      </c>
      <c r="AK58" s="5">
        <f>(1.5*AG58+AH58)*AJ58*AQ58</f>
        <v/>
      </c>
      <c r="AL58" s="4">
        <f>D58</f>
        <v/>
      </c>
      <c r="AM58" s="8">
        <f>B58</f>
        <v/>
      </c>
      <c r="AN58" s="7" t="n">
        <v>2</v>
      </c>
      <c r="AO58" s="61">
        <f>IF(Z58&lt;2.81,0,IF(AK58&gt;13.7,IF(Z58&lt;140,1,0),0))</f>
        <v/>
      </c>
      <c r="AP58" s="7">
        <f>IF(AK58&gt;13.93,IF(Z58&lt;300,IF(Z58&lt;35,IF(Z58&lt;6,3,2),1),0),0)</f>
        <v/>
      </c>
      <c r="AQ58" s="5" t="n">
        <v>1</v>
      </c>
      <c r="AR58" s="7">
        <f>IF(AO58=1,IF(AO58=AL58,1,0),5)</f>
        <v/>
      </c>
      <c r="AS58" s="4" t="n">
        <v>140</v>
      </c>
      <c r="AT58" s="5" t="n">
        <v>216</v>
      </c>
      <c r="AU58" s="5" t="n">
        <v>288</v>
      </c>
      <c r="AV58" s="5">
        <f>(AT58+AU58)/2</f>
        <v/>
      </c>
      <c r="AW58" s="4" t="n">
        <v>266</v>
      </c>
      <c r="AX58" s="4">
        <f>IF(AW58&gt;AV58,1,0)</f>
        <v/>
      </c>
      <c r="AY58" s="4">
        <f>(100*(AU58-AS58)/AS58)</f>
        <v/>
      </c>
      <c r="AZ58" s="4">
        <f>IF(AY58&lt;-50,-4,IF(AY58&lt;-20,-2,IF(AY58&lt;0,-1.5,IF(AY58=0,0,IF(AY58&lt;10,1.5,IF(AY58&lt;20,2,IF(AY58&gt;19,2.5,2.5)))))))</f>
        <v/>
      </c>
      <c r="BA58" s="7" t="n"/>
      <c r="BB58" s="5" t="n"/>
      <c r="BC58" s="5" t="n"/>
      <c r="BD58" s="5" t="n"/>
      <c r="BE58" s="5" t="n"/>
      <c r="BF58" s="5" t="n"/>
      <c r="BG58" s="5" t="n"/>
      <c r="BH58" s="5" t="n"/>
    </row>
    <row r="59" ht="12.75" customHeight="1">
      <c r="B59" s="11" t="inlineStr">
        <is>
          <t>Logiciel Solutions</t>
        </is>
      </c>
      <c r="C59" s="11" t="n">
        <v>2025</v>
      </c>
      <c r="D59" s="4" t="n">
        <v>0</v>
      </c>
      <c r="E59" s="11" t="n">
        <v>0.02</v>
      </c>
      <c r="F59" s="11" t="n">
        <v>23.72</v>
      </c>
      <c r="G59" s="5">
        <f>100*(F59-E59)/F59</f>
        <v/>
      </c>
      <c r="H59" s="11" t="n">
        <v>30.49</v>
      </c>
      <c r="I59" s="11" t="n">
        <v>5.47</v>
      </c>
      <c r="J59" s="11" t="n"/>
      <c r="K59" s="11" t="n">
        <v>9.48</v>
      </c>
      <c r="L59" s="11" t="n"/>
      <c r="M59" s="11" t="n">
        <v>8.140000000000001</v>
      </c>
      <c r="N59" s="11" t="n"/>
      <c r="O59" s="11" t="n">
        <v>21.2</v>
      </c>
      <c r="P59" s="5">
        <f>O59/I59</f>
        <v/>
      </c>
      <c r="Q59" s="11" t="n">
        <v>20.35</v>
      </c>
      <c r="R59" s="19" t="n"/>
      <c r="S59" s="6" t="n">
        <v>0</v>
      </c>
      <c r="T59" s="7" t="n"/>
      <c r="U59" s="7" t="n"/>
      <c r="V59" s="7" t="n">
        <v>0</v>
      </c>
      <c r="W59" s="4" t="n"/>
      <c r="X59" s="4" t="n">
        <v>1.32</v>
      </c>
      <c r="Y59" s="4" t="n">
        <v>0.7</v>
      </c>
      <c r="Z59" s="4" t="n">
        <v>3.43</v>
      </c>
      <c r="AA59" s="5">
        <f>IF(X59&lt;50,IF(Y59&gt;(2.3*X59),0,1),1)-IF(Z59&gt;Y59,1.7,0)</f>
        <v/>
      </c>
      <c r="AB59" s="11" t="n">
        <v>0</v>
      </c>
      <c r="AC59" s="5">
        <f>IF(AB59&gt;4,1,0)+IF(AB59&gt;10,0.7,0)</f>
        <v/>
      </c>
      <c r="AD59" s="11" t="n">
        <v>53.65</v>
      </c>
      <c r="AE59" s="11" t="n">
        <v>65.23999999999999</v>
      </c>
      <c r="AF59" s="11" t="n">
        <v>145.55</v>
      </c>
      <c r="AG59" s="6">
        <f>IF(G59&lt;52,0,0.7)+IF(G59&lt;34,0,0.7)+IF(G59&lt;1,0,0.7)+IF(P59&gt;14.56,0,1)+IF(R59&lt;9,0.5,0)+IF(R59&lt;33.8,0.5,0)+IF(R59&lt;50,0.5,0)+IF(R59&lt;80,0.5,0)+IF(S59=5,0,S59)+IF(V59&gt;0,1,-1)+IF(AE59&lt;10.56,0,1)-IF(AE59&lt;3,1,0)-IF(AE59&lt;1,1,0)</f>
        <v/>
      </c>
      <c r="AH59" s="5">
        <f>AG59+IF(X59&lt;1.35,0,1)+IF(Y59&lt;1.35,0,1)+IF(Y59&lt;0.7,-1,0)+AC59+AA59</f>
        <v/>
      </c>
      <c r="AI59" s="5" t="n">
        <v>11</v>
      </c>
      <c r="AJ59" s="5">
        <f>IF(AI59&gt;12.7,IF(AI59&gt;15.8,0.93,0.98),1)</f>
        <v/>
      </c>
      <c r="AK59" s="5">
        <f>(1.5*AG59+AH59)*AJ59*AQ59</f>
        <v/>
      </c>
      <c r="AL59" s="4">
        <f>D59</f>
        <v/>
      </c>
      <c r="AM59" s="8">
        <f>B59</f>
        <v/>
      </c>
      <c r="AN59" s="7" t="n">
        <v>2</v>
      </c>
      <c r="AO59" s="61">
        <f>IF(Z59&lt;2.81,0,IF(AK59&gt;13.7,IF(Z59&lt;140,1,0),0))</f>
        <v/>
      </c>
      <c r="AP59" s="7">
        <f>IF(AK59&gt;13.93,IF(Z59&lt;300,IF(Z59&lt;35,IF(Z59&lt;6,3,2),1),0),0)</f>
        <v/>
      </c>
      <c r="AQ59" s="5" t="n">
        <v>1</v>
      </c>
      <c r="AR59" s="7">
        <f>IF(AO59=1,IF(AO59=AL59,1,0),5)</f>
        <v/>
      </c>
      <c r="AS59" s="4" t="n">
        <v>193</v>
      </c>
      <c r="AT59" s="5" t="n">
        <v>238</v>
      </c>
      <c r="AU59" s="5" t="n">
        <v>266</v>
      </c>
      <c r="AV59" s="5">
        <f>(AT59+AU59)/2</f>
        <v/>
      </c>
      <c r="AW59" s="4" t="n">
        <v>154</v>
      </c>
      <c r="AX59" s="4">
        <f>IF(AW59&gt;AV59,1,0)</f>
        <v/>
      </c>
      <c r="AY59" s="4">
        <f>(100*(AU59-AS59)/AS59)</f>
        <v/>
      </c>
      <c r="AZ59" s="4">
        <f>IF(AY59&lt;-50,-4,IF(AY59&lt;-20,-2,IF(AY59&lt;0,-1.5,IF(AY59=0,0,IF(AY59&lt;10,1.5,IF(AY59&lt;20,2,IF(AY59&gt;19,2.5,2.5)))))))</f>
        <v/>
      </c>
      <c r="BA59" s="7" t="n"/>
      <c r="BB59" s="5" t="n">
        <v>146</v>
      </c>
      <c r="BC59" s="5" t="n"/>
      <c r="BD59" s="5" t="n"/>
      <c r="BE59" s="5" t="n"/>
      <c r="BF59" s="5" t="n"/>
      <c r="BG59" s="5" t="n"/>
      <c r="BH59" s="5" t="n"/>
    </row>
    <row r="60" ht="14.25" customHeight="1">
      <c r="B60" s="4" t="inlineStr">
        <is>
          <t>Ravelcare</t>
        </is>
      </c>
      <c r="C60" s="4" t="n">
        <v>2025</v>
      </c>
      <c r="D60" s="11" t="n">
        <v>1</v>
      </c>
      <c r="E60" s="4" t="n">
        <v>0</v>
      </c>
      <c r="F60" s="4" t="n">
        <v>5.34</v>
      </c>
      <c r="G60" s="5">
        <f>100*(F60-E60)/F60</f>
        <v/>
      </c>
      <c r="H60" s="4" t="n">
        <v>12.9</v>
      </c>
      <c r="I60" s="4" t="n">
        <v>5.25</v>
      </c>
      <c r="J60" s="4" t="n"/>
      <c r="K60" s="4" t="n">
        <v>10.48</v>
      </c>
      <c r="L60" s="4" t="n"/>
      <c r="M60" s="4" t="n">
        <v>6.86</v>
      </c>
      <c r="N60" s="4" t="n"/>
      <c r="O60" s="4" t="n">
        <v>24.98</v>
      </c>
      <c r="P60" s="5">
        <f>O60/I60</f>
        <v/>
      </c>
      <c r="Q60" s="4" t="n">
        <v>12.9</v>
      </c>
      <c r="R60" s="5" t="n">
        <v>10.59</v>
      </c>
      <c r="S60" s="6" t="n">
        <v>-0.5</v>
      </c>
      <c r="T60" s="7" t="n"/>
      <c r="U60" s="7" t="n"/>
      <c r="V60" s="7" t="n">
        <v>1</v>
      </c>
      <c r="W60" s="4" t="n"/>
      <c r="X60" s="4" t="n">
        <v>6.8</v>
      </c>
      <c r="Y60" s="4" t="n">
        <v>115</v>
      </c>
      <c r="Z60" s="4" t="n">
        <v>78</v>
      </c>
      <c r="AA60" s="5">
        <f>IF(X60&lt;50,IF(Y60&gt;(2.3*X60),0,1),1)-IF(Z60&gt;Y60,1.7,0)</f>
        <v/>
      </c>
      <c r="AB60" s="11" t="n">
        <v>61</v>
      </c>
      <c r="AC60" s="5">
        <f>IF(AB60&gt;4,1,0)+IF(AB60&gt;10,0.7,0)</f>
        <v/>
      </c>
      <c r="AD60" s="4" t="n">
        <v>4.45</v>
      </c>
      <c r="AE60" s="4" t="n">
        <v>13.09</v>
      </c>
      <c r="AF60" s="4" t="n">
        <v>4.91</v>
      </c>
      <c r="AG60" s="6">
        <f>IF(G60&lt;52,0,0.7)+IF(G60&lt;34,0,0.7)+IF(G60&lt;1,0,0.7)+IF(P60&gt;14.56,0,1)+IF(R60&lt;9,0.5,0)+IF(R60&lt;33.8,0.5,0)+IF(R60&lt;50,0.5,0)+IF(R60&lt;80,0.5,0)+IF(S60=5,0,S60)+IF(V60&gt;0,1,-1)+IF(AE60&lt;10.56,0,1)-IF(AE60&lt;3,1,0)-IF(AE60&lt;1,1,0)</f>
        <v/>
      </c>
      <c r="AH60" s="5">
        <f>AG60+IF(X60&lt;1.35,0,1)+IF(Y60&lt;1.35,0,1)+IF(Y60&lt;0.7,-1,0)+AC60+AA60</f>
        <v/>
      </c>
      <c r="AI60" s="5" t="n">
        <v>11</v>
      </c>
      <c r="AJ60" s="5">
        <f>IF(AI60&gt;12.7,IF(AI60&gt;15.8,0.93,0.98),1)</f>
        <v/>
      </c>
      <c r="AK60" s="5">
        <f>(1.5*AG60+AH60)*AJ60*AQ60</f>
        <v/>
      </c>
      <c r="AL60" s="4">
        <f>D60</f>
        <v/>
      </c>
      <c r="AM60" s="8">
        <f>B60</f>
        <v/>
      </c>
      <c r="AN60" s="7" t="n">
        <v>3</v>
      </c>
      <c r="AO60" s="61">
        <f>IF(Z60&lt;2.81,0,IF(AK60&gt;13.7,IF(Z60&lt;140,1,0),0))</f>
        <v/>
      </c>
      <c r="AP60" s="7">
        <f>IF(AK60&gt;13.93,IF(Z60&lt;300,IF(Z60&lt;35,IF(Z60&lt;6,3,2),1),0),0)</f>
        <v/>
      </c>
      <c r="AQ60" s="5" t="n">
        <v>1</v>
      </c>
      <c r="AR60" s="7">
        <f>IF(AO60=1,IF(AO60=AL60,1,0),5)</f>
        <v/>
      </c>
      <c r="AS60" s="4" t="n">
        <v>130</v>
      </c>
      <c r="AT60" s="5" t="n">
        <v>157</v>
      </c>
      <c r="AU60" s="5" t="n">
        <v>160</v>
      </c>
      <c r="AV60" s="5">
        <f>(AT60+AU60)/2</f>
        <v/>
      </c>
      <c r="AW60" s="4" t="n">
        <v>201</v>
      </c>
      <c r="AX60" s="4">
        <f>IF(AW60&gt;AV60,1,0)</f>
        <v/>
      </c>
      <c r="AY60" s="4">
        <f>(100*(AU60-AS60)/AS60)</f>
        <v/>
      </c>
      <c r="AZ60" s="4">
        <f>IF(AY60&lt;-50,-4,IF(AY60&lt;-20,-2,IF(AY60&lt;0,-1.5,IF(AY60=0,0,IF(AY60&lt;10,1.5,IF(AY60&lt;20,2,IF(AY60&gt;19,2.5,2.5)))))))</f>
        <v/>
      </c>
      <c r="BA60" s="7" t="n"/>
      <c r="BB60" s="5" t="n">
        <v>190</v>
      </c>
      <c r="BC60" s="5" t="n"/>
      <c r="BD60" s="5" t="n"/>
      <c r="BE60" s="5" t="n"/>
      <c r="BF60" s="5" t="n"/>
      <c r="BG60" s="5" t="n"/>
      <c r="BH60" s="5" t="n"/>
    </row>
    <row r="61" ht="21.75" customHeight="1">
      <c r="B61" s="4" t="inlineStr">
        <is>
          <t>Clear Secured Services</t>
        </is>
      </c>
      <c r="C61" s="4" t="n">
        <v>2025</v>
      </c>
      <c r="D61" s="4" t="n">
        <v>0</v>
      </c>
      <c r="E61" s="4" t="n">
        <v>85.59</v>
      </c>
      <c r="F61" s="4" t="n">
        <v>89.7</v>
      </c>
      <c r="G61" s="5">
        <f>100*(F61-E61)/F61</f>
        <v/>
      </c>
      <c r="H61" s="4" t="n">
        <v>164.37</v>
      </c>
      <c r="I61" s="4" t="n">
        <v>11.74</v>
      </c>
      <c r="J61" s="4" t="n"/>
      <c r="K61" s="4" t="n">
        <v>7.34</v>
      </c>
      <c r="L61" s="4" t="n"/>
      <c r="M61" s="4" t="n">
        <v>23.42</v>
      </c>
      <c r="N61" s="4" t="n"/>
      <c r="O61" s="4" t="n">
        <v>281.9</v>
      </c>
      <c r="P61" s="5">
        <f>O61/I61</f>
        <v/>
      </c>
      <c r="Q61" s="4" t="inlineStr">
        <is>
          <t>N/A</t>
        </is>
      </c>
      <c r="R61" s="5" t="n">
        <v>10.75</v>
      </c>
      <c r="S61" s="6" t="n">
        <v>0</v>
      </c>
      <c r="T61" s="7" t="n"/>
      <c r="U61" s="7" t="n"/>
      <c r="V61" s="7" t="n">
        <v>1</v>
      </c>
      <c r="W61" s="4" t="n"/>
      <c r="X61" s="4" t="n">
        <v>3.5</v>
      </c>
      <c r="Y61" s="4" t="n">
        <v>2</v>
      </c>
      <c r="Z61" s="4" t="n">
        <v>0.93</v>
      </c>
      <c r="AA61" s="5">
        <f>IF(X61&lt;50,IF(Y61&gt;(2.3*X61),0,1),1)-IF(Z61&gt;Y61,1.7,0)</f>
        <v/>
      </c>
      <c r="AB61" s="11" t="n">
        <v>6</v>
      </c>
      <c r="AC61" s="5">
        <f>IF(AB61&gt;4,1,0)+IF(AB61&gt;10,0.7,0)</f>
        <v/>
      </c>
      <c r="AD61" s="4" t="n">
        <v>68.40000000000001</v>
      </c>
      <c r="AE61" s="4" t="n">
        <v>13</v>
      </c>
      <c r="AF61" s="4" t="n">
        <v>15</v>
      </c>
      <c r="AG61" s="6">
        <f>IF(G61&lt;52,0,0.7)+IF(G61&lt;34,0,0.7)+IF(G61&lt;1,0,0.7)+IF(P61&gt;14.56,0,1)+IF(R61&lt;9,0.5,0)+IF(R61&lt;33.8,0.5,0)+IF(R61&lt;50,0.5,0)+IF(R61&lt;80,0.5,0)+IF(S61=5,0,S61)+IF(V61&gt;0,1,-1)+IF(AE61&lt;10.56,0,1)-IF(AE61&lt;3,1,0)-IF(AE61&lt;1,1,0)</f>
        <v/>
      </c>
      <c r="AH61" s="5">
        <f>AG61+IF(X61&lt;1.35,0,1)+IF(Y61&lt;1.35,0,1)+IF(Y61&lt;0.7,-1,0)+AC61+AA61</f>
        <v/>
      </c>
      <c r="AI61" s="5" t="n">
        <v>11</v>
      </c>
      <c r="AJ61" s="5">
        <f>IF(AI61&gt;12.7,IF(AI61&gt;15.8,0.93,0.98),1)</f>
        <v/>
      </c>
      <c r="AK61" s="5">
        <f>(1.5*AG61+AH61)*AJ61*AQ61</f>
        <v/>
      </c>
      <c r="AL61" s="4">
        <f>D61</f>
        <v/>
      </c>
      <c r="AM61" s="8">
        <f>B61</f>
        <v/>
      </c>
      <c r="AN61" s="7" t="n">
        <v>3</v>
      </c>
      <c r="AO61" s="61">
        <f>IF(Z61&lt;2.81,0,IF(AK61&gt;13.7,IF(Z61&lt;140,1,0),0))</f>
        <v/>
      </c>
      <c r="AP61" s="7">
        <f>IF(AK61&gt;13.93,IF(Z61&lt;300,IF(Z61&lt;35,IF(Z61&lt;6,3,2),1),0),0)</f>
        <v/>
      </c>
      <c r="AQ61" s="5" t="n">
        <v>1</v>
      </c>
      <c r="AR61" s="7">
        <f>IF(AO61=1,IF(AO61=AL61,1,0),5)</f>
        <v/>
      </c>
      <c r="AS61" s="4" t="n">
        <v>132</v>
      </c>
      <c r="AT61" s="5" t="n">
        <v>138</v>
      </c>
      <c r="AU61" s="5" t="n">
        <v>208</v>
      </c>
      <c r="AV61" s="5">
        <f>(AT61+AU61)/2</f>
        <v/>
      </c>
      <c r="AW61" s="4" t="n">
        <v>119</v>
      </c>
      <c r="AX61" s="4">
        <f>IF(AW61&gt;AV61,1,0)</f>
        <v/>
      </c>
      <c r="AY61" s="4">
        <f>(100*(AU61-AS61)/AS61)</f>
        <v/>
      </c>
      <c r="AZ61" s="4">
        <f>IF(AY61&lt;-50,-4,IF(AY61&lt;-20,-2,IF(AY61&lt;0,-1.5,IF(AY61=0,0,IF(AY61&lt;10,1.5,IF(AY61&lt;20,2,IF(AY61&gt;19,2.5,2.5)))))))</f>
        <v/>
      </c>
      <c r="BA61" s="7" t="n"/>
      <c r="BB61" s="5" t="n"/>
      <c r="BC61" s="5" t="n"/>
      <c r="BD61" s="5" t="n"/>
      <c r="BE61" s="5" t="n"/>
      <c r="BF61" s="5" t="n"/>
      <c r="BG61" s="5" t="n"/>
      <c r="BH61" s="5" t="n"/>
    </row>
    <row r="62" ht="12.75" customHeight="1">
      <c r="B62" s="4" t="inlineStr">
        <is>
          <t>Invicta Diagnostic</t>
        </is>
      </c>
      <c r="C62" s="4" t="n">
        <v>2025</v>
      </c>
      <c r="D62" s="11" t="n">
        <v>1</v>
      </c>
      <c r="E62" s="11" t="n">
        <v>3.54</v>
      </c>
      <c r="F62" s="11" t="n">
        <v>13.6</v>
      </c>
      <c r="G62" s="5">
        <f>100*(F62-E62)/F62</f>
        <v/>
      </c>
      <c r="H62" s="11" t="n">
        <v>21.22</v>
      </c>
      <c r="I62" s="11" t="n">
        <v>4.93</v>
      </c>
      <c r="J62" s="11" t="n"/>
      <c r="K62" s="11" t="n">
        <v>5.86</v>
      </c>
      <c r="L62" s="11" t="n"/>
      <c r="M62" s="11" t="n">
        <v>9.23</v>
      </c>
      <c r="N62" s="11" t="n"/>
      <c r="O62" s="11" t="n">
        <v>30.18</v>
      </c>
      <c r="P62" s="5">
        <f>O62/I62</f>
        <v/>
      </c>
      <c r="Q62" s="4" t="n">
        <v>14.16</v>
      </c>
      <c r="R62" s="5" t="n">
        <v>11.66</v>
      </c>
      <c r="S62" s="6" t="n">
        <v>1</v>
      </c>
      <c r="T62" s="7" t="n"/>
      <c r="U62" s="7" t="n"/>
      <c r="V62" s="7" t="n">
        <v>1</v>
      </c>
      <c r="W62" s="4" t="n"/>
      <c r="X62" s="4" t="n">
        <v>1.55</v>
      </c>
      <c r="Y62" s="4" t="n">
        <v>2.88</v>
      </c>
      <c r="Z62" s="4" t="n">
        <v>1.66</v>
      </c>
      <c r="AA62" s="5">
        <f>IF(X62&lt;50,IF(Y62&gt;(2.3*X62),0,1),1)-IF(Z62&gt;Y62,1.7,0)</f>
        <v/>
      </c>
      <c r="AB62" s="11" t="n">
        <v>4</v>
      </c>
      <c r="AC62" s="5">
        <f>IF(AB62&gt;4,1,0)+IF(AB62&gt;10,0.7,0)</f>
        <v/>
      </c>
      <c r="AD62" s="4" t="n">
        <v>29.33</v>
      </c>
      <c r="AE62" s="4" t="n">
        <v>89.69</v>
      </c>
      <c r="AF62" s="4" t="n">
        <v>57</v>
      </c>
      <c r="AG62" s="6">
        <f>IF(G62&lt;52,0,0.7)+IF(G62&lt;34,0,0.7)+IF(G62&lt;1,0,0.7)+IF(P62&gt;14.56,0,1)+IF(R62&lt;9,0.5,0)+IF(R62&lt;33.8,0.5,0)+IF(R62&lt;50,0.5,0)+IF(R62&lt;80,0.5,0)+IF(S62=5,0,S62)+IF(V62&gt;0,1,-1)+IF(AE62&lt;10.56,0,1)-IF(AE62&lt;3,1,0)-IF(AE62&lt;1,1,0)</f>
        <v/>
      </c>
      <c r="AH62" s="5">
        <f>AG62+IF(X62&lt;1.35,0,1)+IF(Y62&lt;1.35,0,1)+IF(Y62&lt;0.7,-1,0)+AC62+AA62</f>
        <v/>
      </c>
      <c r="AI62" s="5" t="n">
        <v>11</v>
      </c>
      <c r="AJ62" s="5">
        <f>IF(AI62&gt;12.7,IF(AI62&gt;15.8,0.93,0.98),1)</f>
        <v/>
      </c>
      <c r="AK62" s="5">
        <f>(1.5*AG62+AH62)*AJ62*AQ62</f>
        <v/>
      </c>
      <c r="AL62" s="4">
        <f>D62</f>
        <v/>
      </c>
      <c r="AM62" s="8">
        <f>B62</f>
        <v/>
      </c>
      <c r="AN62" s="21" t="n">
        <v>3</v>
      </c>
      <c r="AO62" s="61">
        <f>IF(Z62&lt;2.81,0,IF(AK62&gt;13.7,IF(Z62&lt;140,1,0),0))</f>
        <v/>
      </c>
      <c r="AP62" s="7">
        <f>IF(AK62&gt;13.93,IF(Z62&lt;300,IF(Z62&lt;35,IF(Z62&lt;6,3,2),1),0),0)</f>
        <v/>
      </c>
      <c r="AQ62" s="5" t="n">
        <v>1</v>
      </c>
      <c r="AR62" s="7">
        <f>IF(AO62=1,IF(AO62=AL62,1,0),5)</f>
        <v/>
      </c>
      <c r="AS62" s="22" t="n">
        <v>85</v>
      </c>
      <c r="AT62" s="5" t="n">
        <v>97</v>
      </c>
      <c r="AU62" s="5" t="n">
        <v>130</v>
      </c>
      <c r="AV62" s="5">
        <f>(AT62+AU62)/2</f>
        <v/>
      </c>
      <c r="AW62" s="22" t="n">
        <v>99</v>
      </c>
      <c r="AX62" s="4">
        <f>IF(AW62&gt;AV62,1,0)</f>
        <v/>
      </c>
      <c r="AY62" s="4">
        <f>(100*(AU62-AS62)/AS62)</f>
        <v/>
      </c>
      <c r="AZ62" s="4">
        <f>IF(AY62&lt;-50,-4,IF(AY62&lt;-20,-2,IF(AY62&lt;0,-1.5,IF(AY62=0,0,IF(AY62&lt;10,1.5,IF(AY62&lt;20,2,IF(AY62&gt;19,2.5,2.5)))))))</f>
        <v/>
      </c>
      <c r="BA62" s="21" t="n"/>
      <c r="BB62" s="23" t="n">
        <v>100</v>
      </c>
      <c r="BC62" s="23" t="n">
        <v>91</v>
      </c>
      <c r="BD62" s="23" t="n">
        <v>87</v>
      </c>
      <c r="BE62" s="23" t="n"/>
      <c r="BF62" s="5" t="n"/>
      <c r="BG62" s="5" t="n"/>
      <c r="BH62" s="5" t="n"/>
    </row>
    <row r="63" ht="12.75" customHeight="1">
      <c r="B63" s="4" t="inlineStr">
        <is>
          <t>Astron Multigrain</t>
        </is>
      </c>
      <c r="C63" s="11" t="n">
        <v>2025</v>
      </c>
      <c r="D63" s="4" t="n">
        <v>0</v>
      </c>
      <c r="E63" s="11" t="n">
        <v>6.75</v>
      </c>
      <c r="F63" s="11" t="n">
        <v>3.92</v>
      </c>
      <c r="G63" s="5">
        <f>100*(F63-E63)/F63</f>
        <v/>
      </c>
      <c r="H63" s="11" t="n">
        <v>14.83</v>
      </c>
      <c r="I63" s="11" t="n">
        <v>1.39</v>
      </c>
      <c r="J63" s="11" t="n"/>
      <c r="K63" s="11" t="n">
        <v>5.23</v>
      </c>
      <c r="L63" s="11" t="n"/>
      <c r="M63" s="11" t="n">
        <v>2.62</v>
      </c>
      <c r="N63" s="11" t="n"/>
      <c r="O63" s="11" t="n">
        <v>19.49</v>
      </c>
      <c r="P63" s="5">
        <f>O63/I63</f>
        <v/>
      </c>
      <c r="Q63" s="4" t="n">
        <v>9.94</v>
      </c>
      <c r="R63" s="5" t="n">
        <v>16.42</v>
      </c>
      <c r="S63" s="6" t="n">
        <v>0</v>
      </c>
      <c r="T63" s="7" t="n"/>
      <c r="U63" s="7" t="n"/>
      <c r="V63" s="7" t="n">
        <v>0</v>
      </c>
      <c r="W63" s="4" t="n"/>
      <c r="X63" s="4" t="n">
        <v>0.3</v>
      </c>
      <c r="Y63" s="4" t="n">
        <v>0.3</v>
      </c>
      <c r="Z63" s="4" t="n">
        <v>1.45</v>
      </c>
      <c r="AA63" s="5">
        <f>IF(X63&lt;50,IF(Y63&gt;(2.3*X63),0,1),1)-IF(Z63&gt;Y63,1.7,0)</f>
        <v/>
      </c>
      <c r="AB63" s="11" t="n">
        <v>0</v>
      </c>
      <c r="AC63" s="5">
        <f>IF(AB63&gt;4,1,0)+IF(AB63&gt;10,0.7,0)</f>
        <v/>
      </c>
      <c r="AD63" s="4" t="n">
        <v>1290</v>
      </c>
      <c r="AE63" s="4" t="n">
        <v>58</v>
      </c>
      <c r="AF63" s="4" t="n">
        <v>55</v>
      </c>
      <c r="AG63" s="6">
        <f>IF(G63&lt;52,0,0.7)+IF(G63&lt;34,0,0.7)+IF(G63&lt;1,0,0.7)+IF(P63&gt;14.56,0,1)+IF(R63&lt;9,0.5,0)+IF(R63&lt;33.8,0.5,0)+IF(R63&lt;50,0.5,0)+IF(R63&lt;80,0.5,0)+IF(S63=5,0,S63)+IF(V63&gt;0,1,-1)+IF(AE63&lt;10.56,0,1)-IF(AE63&lt;3,1,0)-IF(AE63&lt;1,1,0)</f>
        <v/>
      </c>
      <c r="AH63" s="5">
        <f>AG63+IF(X63&lt;1.35,0,1)+IF(Y63&lt;1.35,0,1)+IF(Y63&lt;0.7,-1,0)+AC63+AA63</f>
        <v/>
      </c>
      <c r="AI63" s="5" t="n">
        <v>11</v>
      </c>
      <c r="AJ63" s="5">
        <f>IF(AI63&gt;12.7,IF(AI63&gt;15.8,0.93,0.98),1)</f>
        <v/>
      </c>
      <c r="AK63" s="5">
        <f>(1.5*AG63+AH63)*AJ63*AQ63</f>
        <v/>
      </c>
      <c r="AL63" s="4">
        <f>D63</f>
        <v/>
      </c>
      <c r="AM63" s="8">
        <f>B63</f>
        <v/>
      </c>
      <c r="AN63" s="7" t="n">
        <v>3</v>
      </c>
      <c r="AO63" s="61">
        <f>IF(Z63&lt;2.81,0,IF(AK63&gt;13.7,IF(Z63&lt;140,1,0),0))</f>
        <v/>
      </c>
      <c r="AP63" s="7">
        <f>IF(AK63&gt;13.93,IF(Z63&lt;300,IF(Z63&lt;35,IF(Z63&lt;6,3,2),1),0),0)</f>
        <v/>
      </c>
      <c r="AQ63" s="5" t="n">
        <v>1</v>
      </c>
      <c r="AR63" s="7">
        <f>IF(AO63=1,IF(AO63=AL63,1,0),5)</f>
        <v/>
      </c>
      <c r="AS63" s="4" t="n">
        <v>63</v>
      </c>
      <c r="AT63" s="5" t="n">
        <v>75</v>
      </c>
      <c r="AU63" s="5" t="n">
        <v>93</v>
      </c>
      <c r="AV63" s="5">
        <f>(AT63+AU63)/2</f>
        <v/>
      </c>
      <c r="AW63" s="4" t="n">
        <v>50.4</v>
      </c>
      <c r="AX63" s="4">
        <f>IF(AW63&gt;AV63,1,0)</f>
        <v/>
      </c>
      <c r="AY63" s="4">
        <f>(100*(AU63-AS63)/AS63)</f>
        <v/>
      </c>
      <c r="AZ63" s="4">
        <f>IF(AY63&lt;-50,-4,IF(AY63&lt;-20,-2,IF(AY63&lt;0,-1.5,IF(AY63=0,0,IF(AY63&lt;10,1.5,IF(AY63&lt;20,2,IF(AY63&gt;19,2.5,2.5)))))))</f>
        <v/>
      </c>
      <c r="BA63" s="7" t="n"/>
      <c r="BB63" s="5" t="n"/>
      <c r="BC63" s="5" t="n"/>
      <c r="BD63" s="5" t="n"/>
      <c r="BE63" s="5" t="n"/>
      <c r="BF63" s="5" t="n"/>
      <c r="BG63" s="5" t="n"/>
      <c r="BH63" s="5" t="n"/>
    </row>
    <row r="64" ht="12.75" customHeight="1">
      <c r="B64" s="11" t="inlineStr">
        <is>
          <t>Speb Adhesives</t>
        </is>
      </c>
      <c r="C64" s="11" t="n">
        <v>2025</v>
      </c>
      <c r="D64" s="11" t="n">
        <v>1</v>
      </c>
      <c r="E64" s="11" t="n">
        <v>0</v>
      </c>
      <c r="F64" s="11" t="n">
        <v>25.36</v>
      </c>
      <c r="G64" s="5">
        <f>100*(F64-E64)/F64</f>
        <v/>
      </c>
      <c r="H64" s="11" t="n">
        <v>27.3</v>
      </c>
      <c r="I64" s="11" t="n">
        <v>4.89</v>
      </c>
      <c r="J64" s="11" t="n"/>
      <c r="K64" s="11" t="n">
        <v>2.55</v>
      </c>
      <c r="L64" s="11" t="n"/>
      <c r="M64" s="11" t="n">
        <v>6.5</v>
      </c>
      <c r="N64" s="11" t="n"/>
      <c r="O64" s="11" t="n">
        <v>42.62</v>
      </c>
      <c r="P64" s="5">
        <f>O64/I64</f>
        <v/>
      </c>
      <c r="Q64" s="4" t="n">
        <v>17.22</v>
      </c>
      <c r="R64" s="5" t="n">
        <v>15.04</v>
      </c>
      <c r="S64" s="6" t="n">
        <v>-1</v>
      </c>
      <c r="T64" s="7" t="n"/>
      <c r="U64" s="7" t="n"/>
      <c r="V64" s="7" t="n">
        <v>1</v>
      </c>
      <c r="W64" s="4" t="n"/>
      <c r="X64" s="4" t="n">
        <v>1.8</v>
      </c>
      <c r="Y64" s="4" t="n">
        <v>1.9</v>
      </c>
      <c r="Z64" s="4" t="n">
        <v>0.8</v>
      </c>
      <c r="AA64" s="5">
        <f>IF(X64&lt;50,IF(Y64&gt;(2.3*X64),0,1),1)-IF(Z64&gt;Y64,1.7,0)</f>
        <v/>
      </c>
      <c r="AB64" s="11" t="n">
        <v>0</v>
      </c>
      <c r="AC64" s="5">
        <f>IF(AB64&gt;4,1,0)+IF(AB64&gt;10,0.7,0)</f>
        <v/>
      </c>
      <c r="AD64" s="4" t="n">
        <v>22.49</v>
      </c>
      <c r="AE64" s="4" t="n">
        <v>19.45</v>
      </c>
      <c r="AF64" s="4" t="n">
        <v>20.07</v>
      </c>
      <c r="AG64" s="6">
        <f>IF(G64&lt;52,0,0.7)+IF(G64&lt;34,0,0.7)+IF(G64&lt;1,0,0.7)+IF(P64&gt;14.56,0,1)+IF(R64&lt;9,0.5,0)+IF(R64&lt;33.8,0.5,0)+IF(R64&lt;50,0.5,0)+IF(R64&lt;80,0.5,0)+IF(S64=5,0,S64)+IF(V64&gt;0,1,-1)+IF(AE64&lt;10.56,0,1)-IF(AE64&lt;3,1,0)-IF(AE64&lt;1,1,0)</f>
        <v/>
      </c>
      <c r="AH64" s="5">
        <f>AG64+IF(X64&lt;1.35,0,1)+IF(Y64&lt;1.35,0,1)+IF(Y64&lt;0.7,-1,0)+AC64+AA64</f>
        <v/>
      </c>
      <c r="AI64" s="5" t="n">
        <v>11</v>
      </c>
      <c r="AJ64" s="5">
        <f>IF(AI64&gt;12.7,IF(AI64&gt;15.8,0.93,0.98),1)</f>
        <v/>
      </c>
      <c r="AK64" s="5">
        <f>(1.5*AG64+AH64)*AJ64*AQ64</f>
        <v/>
      </c>
      <c r="AL64" s="4">
        <f>D64</f>
        <v/>
      </c>
      <c r="AM64" s="8">
        <f>B64</f>
        <v/>
      </c>
      <c r="AN64" s="21" t="n">
        <v>3</v>
      </c>
      <c r="AO64" s="61">
        <f>IF(Z64&lt;2.81,0,IF(AK64&gt;13.7,IF(Z64&lt;140,1,0),0))</f>
        <v/>
      </c>
      <c r="AP64" s="7">
        <f>IF(AK64&gt;13.93,IF(Z64&lt;300,IF(Z64&lt;35,IF(Z64&lt;6,3,2),1),0),0)</f>
        <v/>
      </c>
      <c r="AQ64" s="5" t="n">
        <v>1</v>
      </c>
      <c r="AR64" s="7">
        <f>IF(AO64=1,IF(AO64=AL64,1,0),5)</f>
        <v/>
      </c>
      <c r="AS64" s="22" t="n">
        <v>56</v>
      </c>
      <c r="AT64" s="5" t="n">
        <v>0</v>
      </c>
      <c r="AU64" s="5" t="n">
        <v>0</v>
      </c>
      <c r="AV64" s="5">
        <f>(AT64+AU64)/2</f>
        <v/>
      </c>
      <c r="AW64" s="22" t="n">
        <v>60</v>
      </c>
      <c r="AX64" s="4">
        <f>IF(AW64&gt;AV64,1,0)</f>
        <v/>
      </c>
      <c r="AY64" s="4">
        <f>(100*(AU64-AS64)/AS64)</f>
        <v/>
      </c>
      <c r="AZ64" s="4">
        <f>IF(AY64&lt;-50,-4,IF(AY64&lt;-20,-2,IF(AY64&lt;0,-1.5,IF(AY64=0,0,IF(AY64&lt;10,1.5,IF(AY64&lt;20,2,IF(AY64&gt;19,2.5,2.5)))))))</f>
        <v/>
      </c>
      <c r="BA64" s="21" t="n">
        <v>56</v>
      </c>
      <c r="BB64" s="23" t="n">
        <v>60</v>
      </c>
      <c r="BC64" s="23" t="n">
        <v>56</v>
      </c>
      <c r="BD64" s="23" t="n">
        <v>56</v>
      </c>
      <c r="BE64" s="23" t="n">
        <v>60</v>
      </c>
      <c r="BF64" s="5" t="n"/>
      <c r="BG64" s="5" t="n"/>
      <c r="BH64" s="5" t="n"/>
    </row>
    <row r="65" ht="14.25" customHeight="1">
      <c r="B65" s="11" t="inlineStr">
        <is>
          <t>Neochem Bio Solutions</t>
        </is>
      </c>
      <c r="C65" s="11" t="n">
        <v>2025</v>
      </c>
      <c r="D65" s="11" t="n">
        <v>1</v>
      </c>
      <c r="E65" s="11" t="n">
        <v>35.62</v>
      </c>
      <c r="F65" s="11" t="n">
        <v>19.75</v>
      </c>
      <c r="G65" s="5">
        <f>100*(F65-E65)/F65</f>
        <v/>
      </c>
      <c r="H65" s="11" t="n">
        <v>78.89</v>
      </c>
      <c r="I65" s="11" t="n">
        <v>7.75</v>
      </c>
      <c r="J65" s="11" t="n"/>
      <c r="K65" s="11" t="n">
        <v>6.64</v>
      </c>
      <c r="L65" s="11" t="n"/>
      <c r="M65" s="11" t="n">
        <v>13.11</v>
      </c>
      <c r="N65" s="11" t="n"/>
      <c r="O65" s="11" t="n">
        <v>84.17</v>
      </c>
      <c r="P65" s="5">
        <f>O65/I65</f>
        <v/>
      </c>
      <c r="Q65" s="4" t="n">
        <v>6.47</v>
      </c>
      <c r="R65" s="5" t="n">
        <v>27.08</v>
      </c>
      <c r="S65" s="6" t="n">
        <v>0</v>
      </c>
      <c r="T65" s="7" t="n"/>
      <c r="U65" s="7" t="n"/>
      <c r="V65" s="7" t="n">
        <v>1</v>
      </c>
      <c r="W65" s="4" t="n"/>
      <c r="X65" s="4" t="n">
        <v>16.8</v>
      </c>
      <c r="Y65" s="4" t="n">
        <v>18</v>
      </c>
      <c r="Z65" s="4" t="n">
        <v>8</v>
      </c>
      <c r="AA65" s="5">
        <f>IF(X65&lt;50,IF(Y65&gt;(2.3*X65),0,1),1)-IF(Z65&gt;Y65,1.7,0)</f>
        <v/>
      </c>
      <c r="AB65" s="11" t="n">
        <v>9</v>
      </c>
      <c r="AC65" s="5">
        <f>IF(AB65&gt;4,1,0)+IF(AB65&gt;10,0.7,0)</f>
        <v/>
      </c>
      <c r="AD65" s="4" t="n">
        <v>50</v>
      </c>
      <c r="AE65" s="4" t="n">
        <v>17.98</v>
      </c>
      <c r="AF65" s="4" t="n">
        <v>33.33</v>
      </c>
      <c r="AG65" s="6">
        <f>IF(G65&lt;52,0,0.7)+IF(G65&lt;34,0,0.7)+IF(G65&lt;1,0,0.7)+IF(P65&gt;14.56,0,1)+IF(R65&lt;9,0.5,0)+IF(R65&lt;33.8,0.5,0)+IF(R65&lt;50,0.5,0)+IF(R65&lt;80,0.5,0)+IF(S65=5,0,S65)+IF(V65&gt;0,1,-1)+IF(AE65&lt;10.56,0,1)-IF(AE65&lt;3,1,0)-IF(AE65&lt;1,1,0)</f>
        <v/>
      </c>
      <c r="AH65" s="5">
        <f>AG65+IF(X65&lt;1.35,0,1)+IF(Y65&lt;1.35,0,1)+IF(Y65&lt;0.7,-1,0)+AC65+AA65</f>
        <v/>
      </c>
      <c r="AI65" s="5" t="n">
        <v>11</v>
      </c>
      <c r="AJ65" s="5">
        <f>IF(AI65&gt;12.7,IF(AI65&gt;15.8,0.93,0.98),1)</f>
        <v/>
      </c>
      <c r="AK65" s="5">
        <f>(1.5*AG65+AH65)*AJ65*AQ65</f>
        <v/>
      </c>
      <c r="AL65" s="4">
        <f>D65</f>
        <v/>
      </c>
      <c r="AM65" s="8">
        <f>B65</f>
        <v/>
      </c>
      <c r="AN65" s="7" t="n">
        <v>4</v>
      </c>
      <c r="AO65" s="61">
        <f>IF(Z65&lt;2.81,0,IF(AK65&gt;13.7,IF(Z65&lt;140,1,0),0))</f>
        <v/>
      </c>
      <c r="AP65" s="7">
        <f>IF(AK65&gt;13.93,IF(Z65&lt;300,IF(Z65&lt;35,IF(Z65&lt;6,3,2),1),0),0)</f>
        <v/>
      </c>
      <c r="AQ65" s="5" t="n">
        <v>1</v>
      </c>
      <c r="AR65" s="7">
        <f>IF(AO65=1,IF(AO65=AL65,1,0),5)</f>
        <v/>
      </c>
      <c r="AS65" s="4" t="n">
        <v>98</v>
      </c>
      <c r="AT65" s="5" t="n">
        <v>97</v>
      </c>
      <c r="AU65" s="5" t="n">
        <v>116</v>
      </c>
      <c r="AV65" s="5">
        <f>(AT65+AU65)/2</f>
        <v/>
      </c>
      <c r="AW65" s="4" t="n">
        <v>108</v>
      </c>
      <c r="AX65" s="4">
        <f>IF(AW65&gt;AV65,1,0)</f>
        <v/>
      </c>
      <c r="AY65" s="4">
        <f>(100*(AU65-AS65)/AS65)</f>
        <v/>
      </c>
      <c r="AZ65" s="4">
        <f>IF(AY65&lt;-50,-4,IF(AY65&lt;-20,-2,IF(AY65&lt;0,-1.5,IF(AY65=0,0,IF(AY65&lt;10,1.5,IF(AY65&lt;20,2,IF(AY65&gt;19,2.5,2.5)))))))</f>
        <v/>
      </c>
      <c r="BA65" s="7" t="n"/>
      <c r="BB65" s="5" t="n">
        <v>112</v>
      </c>
      <c r="BC65" s="5" t="n">
        <v>110.8</v>
      </c>
      <c r="BD65" s="5" t="n">
        <v>109</v>
      </c>
      <c r="BE65" s="5" t="n">
        <v>113.4</v>
      </c>
      <c r="BF65" s="5" t="n"/>
      <c r="BG65" s="5" t="n"/>
      <c r="BH65" s="5" t="n"/>
    </row>
    <row r="66" ht="18.75" customHeight="1">
      <c r="B66" s="4" t="inlineStr">
        <is>
          <t>Helloji Holidays</t>
        </is>
      </c>
      <c r="C66" s="11" t="n">
        <v>2025</v>
      </c>
      <c r="D66" s="11" t="n">
        <v>1</v>
      </c>
      <c r="E66" s="4" t="n">
        <v>0.04</v>
      </c>
      <c r="F66" s="4" t="n">
        <v>6.26</v>
      </c>
      <c r="G66" s="5">
        <f>100*(F66-E66)/F66</f>
        <v/>
      </c>
      <c r="H66" s="4" t="n">
        <v>8.24</v>
      </c>
      <c r="I66" s="4" t="n">
        <v>2.1</v>
      </c>
      <c r="J66" s="4" t="n"/>
      <c r="K66" s="4" t="n">
        <v>8.6</v>
      </c>
      <c r="L66" s="4" t="n"/>
      <c r="M66" s="4" t="n">
        <v>2.83</v>
      </c>
      <c r="N66" s="4" t="n"/>
      <c r="O66" s="4" t="n">
        <v>28.12</v>
      </c>
      <c r="P66" s="5">
        <f>O66/I66</f>
        <v/>
      </c>
      <c r="Q66" s="4" t="n">
        <v>22.31</v>
      </c>
      <c r="R66" s="5" t="n">
        <v>12.01</v>
      </c>
      <c r="S66" s="6" t="n">
        <v>0</v>
      </c>
      <c r="T66" s="7" t="n"/>
      <c r="U66" s="7" t="n"/>
      <c r="V66" s="7" t="n">
        <v>1</v>
      </c>
      <c r="W66" s="4" t="n"/>
      <c r="X66" s="4" t="n">
        <v>23</v>
      </c>
      <c r="Y66" s="4" t="n">
        <v>32</v>
      </c>
      <c r="Z66" s="4" t="n">
        <v>17</v>
      </c>
      <c r="AA66" s="5">
        <f>IF(X66&lt;50,IF(Y66&gt;(2.3*X66),0,1),1)-IF(Z66&gt;Y66,1.7,0)</f>
        <v/>
      </c>
      <c r="AB66" s="11" t="n">
        <v>9</v>
      </c>
      <c r="AC66" s="5">
        <f>IF(AB66&gt;4,1,0)+IF(AB66&gt;10,0.7,0)</f>
        <v/>
      </c>
      <c r="AD66" s="11" t="n">
        <v>16.16</v>
      </c>
      <c r="AE66" s="4" t="n">
        <v>8.26</v>
      </c>
      <c r="AF66" s="4" t="n">
        <v>212.82</v>
      </c>
      <c r="AG66" s="6">
        <f>IF(G66&lt;52,0,0.7)+IF(G66&lt;34,0,0.7)+IF(G66&lt;1,0,0.7)+IF(P66&gt;14.56,0,1)+IF(R66&lt;9,0.5,0)+IF(R66&lt;33.8,0.5,0)+IF(R66&lt;50,0.5,0)+IF(R66&lt;80,0.5,0)+IF(S66=5,0,S66)+IF(V66&gt;0,1,-1)+IF(AE66&lt;10.56,0,1)-IF(AE66&lt;3,1,0)-IF(AE66&lt;1,1,0)</f>
        <v/>
      </c>
      <c r="AH66" s="5">
        <f>AG66+IF(X66&lt;1.35,0,1)+IF(Y66&lt;1.35,0,1)+IF(Y66&lt;0.7,-1,0)+AC66+AA66</f>
        <v/>
      </c>
      <c r="AI66" s="5" t="n">
        <v>11</v>
      </c>
      <c r="AJ66" s="5">
        <f>IF(AI66&gt;12.7,IF(AI66&gt;15.8,0.93,0.98),1)</f>
        <v/>
      </c>
      <c r="AK66" s="5">
        <f>(1.5*AG66+AH66)*AJ66*AQ66</f>
        <v/>
      </c>
      <c r="AL66" s="4">
        <f>D66</f>
        <v/>
      </c>
      <c r="AM66" s="8">
        <f>B66</f>
        <v/>
      </c>
      <c r="AN66" s="7" t="n">
        <v>4</v>
      </c>
      <c r="AO66" s="61">
        <f>IF(Z66&lt;2.81,0,IF(AK66&gt;13.7,IF(Z66&lt;140,1,0),0))</f>
        <v/>
      </c>
      <c r="AP66" s="7">
        <f>IF(AK66&gt;13.93,IF(Z66&lt;300,IF(Z66&lt;35,IF(Z66&lt;6,3,2),1),0),0)</f>
        <v/>
      </c>
      <c r="AQ66" s="5" t="n">
        <v>1</v>
      </c>
      <c r="AR66" s="7">
        <f>IF(AO66=1,IF(AO66=AL66,1,0),5)</f>
        <v/>
      </c>
      <c r="AS66" s="4" t="n">
        <v>118</v>
      </c>
      <c r="AT66" s="5" t="n">
        <v>103</v>
      </c>
      <c r="AU66" s="5" t="n">
        <v>134</v>
      </c>
      <c r="AV66" s="5">
        <f>(AT66+AU66)/2</f>
        <v/>
      </c>
      <c r="AW66" s="4" t="n">
        <v>118</v>
      </c>
      <c r="AX66" s="4">
        <f>IF(AW66&gt;AV66,1,0)</f>
        <v/>
      </c>
      <c r="AY66" s="4">
        <f>(100*(AU66-AS66)/AS66)</f>
        <v/>
      </c>
      <c r="AZ66" s="4">
        <f>IF(AY66&lt;-50,-4,IF(AY66&lt;-20,-2,IF(AY66&lt;0,-1.5,IF(AY66=0,0,IF(AY66&lt;10,1.5,IF(AY66&lt;20,2,IF(AY66&gt;19,2.5,2.5)))))))</f>
        <v/>
      </c>
      <c r="BA66" s="7" t="n"/>
      <c r="BB66" s="5" t="n">
        <v>124</v>
      </c>
      <c r="BC66" s="5" t="n">
        <v>130</v>
      </c>
      <c r="BD66" s="5" t="n">
        <v>136</v>
      </c>
      <c r="BE66" s="5" t="n"/>
      <c r="BF66" s="5" t="n"/>
      <c r="BG66" s="5" t="n"/>
      <c r="BH66" s="5" t="n"/>
    </row>
    <row r="67" ht="12.75" customHeight="1">
      <c r="B67" s="11" t="inlineStr">
        <is>
          <t>Shri Kanha Stainless</t>
        </is>
      </c>
      <c r="C67" s="11" t="n">
        <v>2025</v>
      </c>
      <c r="D67" s="4" t="n">
        <v>0</v>
      </c>
      <c r="E67" s="11" t="n">
        <v>50.98</v>
      </c>
      <c r="F67" s="11" t="n">
        <v>12.16</v>
      </c>
      <c r="G67" s="5">
        <f>100*(F67-E67)/F67</f>
        <v/>
      </c>
      <c r="H67" s="11" t="n">
        <v>106.13</v>
      </c>
      <c r="I67" s="11" t="n">
        <v>5.79</v>
      </c>
      <c r="J67" s="11" t="n"/>
      <c r="K67" s="11" t="n">
        <v>5.55</v>
      </c>
      <c r="L67" s="11" t="n"/>
      <c r="M67" s="11" t="n">
        <v>9.210000000000001</v>
      </c>
      <c r="N67" s="11" t="n"/>
      <c r="O67" s="11" t="n">
        <v>145.79</v>
      </c>
      <c r="P67" s="5">
        <f>O67/I67</f>
        <v/>
      </c>
      <c r="Q67" s="11" t="n">
        <v>16.22</v>
      </c>
      <c r="R67" s="19" t="n">
        <v>16.18</v>
      </c>
      <c r="S67" s="6" t="n">
        <v>0</v>
      </c>
      <c r="T67" s="7" t="n"/>
      <c r="U67" s="7" t="n"/>
      <c r="V67" s="7" t="n">
        <v>0</v>
      </c>
      <c r="W67" s="4" t="n"/>
      <c r="X67" s="4" t="n">
        <v>0.6</v>
      </c>
      <c r="Y67" s="4" t="n">
        <v>0.6</v>
      </c>
      <c r="Z67" s="4" t="n">
        <v>4.91</v>
      </c>
      <c r="AA67" s="5">
        <f>IF(X67&lt;50,IF(Y67&gt;(2.3*X67),0,1),1)-IF(Z67&gt;Y67,1.7,0)</f>
        <v/>
      </c>
      <c r="AB67" s="11" t="n">
        <v>0</v>
      </c>
      <c r="AC67" s="5">
        <f>IF(AB67&gt;4,1,0)+IF(AB67&gt;10,0.7,0)</f>
        <v/>
      </c>
      <c r="AD67" s="11" t="n">
        <v>122</v>
      </c>
      <c r="AE67" s="4" t="n">
        <v>12</v>
      </c>
      <c r="AF67" s="4" t="n">
        <v>91</v>
      </c>
      <c r="AG67" s="6">
        <f>IF(G67&lt;52,0,0.7)+IF(G67&lt;34,0,0.7)+IF(G67&lt;1,0,0.7)+IF(P67&gt;14.56,0,1)+IF(R67&lt;9,0.5,0)+IF(R67&lt;33.8,0.5,0)+IF(R67&lt;50,0.5,0)+IF(R67&lt;80,0.5,0)+IF(S67=5,0,S67)+IF(V67&gt;0,1,-1)+IF(AE67&lt;10.56,0,1)-IF(AE67&lt;3,1,0)-IF(AE67&lt;1,1,0)</f>
        <v/>
      </c>
      <c r="AH67" s="5">
        <f>AG67+IF(X67&lt;1.35,0,1)+IF(Y67&lt;1.35,0,1)+IF(Y67&lt;0.7,-1,0)+AC67+AA67</f>
        <v/>
      </c>
      <c r="AI67" s="5" t="n">
        <v>11</v>
      </c>
      <c r="AJ67" s="5">
        <f>IF(AI67&gt;12.7,IF(AI67&gt;15.8,0.93,0.98),1)</f>
        <v/>
      </c>
      <c r="AK67" s="5">
        <f>(1.5*AG67+AH67)*AJ67*AQ67</f>
        <v/>
      </c>
      <c r="AL67" s="4">
        <f>D67</f>
        <v/>
      </c>
      <c r="AM67" s="8">
        <f>B67</f>
        <v/>
      </c>
      <c r="AN67" s="7" t="n">
        <v>5</v>
      </c>
      <c r="AO67" s="61">
        <f>IF(Z67&lt;2.81,0,IF(AK67&gt;13.7,IF(Z67&lt;140,1,0),0))</f>
        <v/>
      </c>
      <c r="AP67" s="7">
        <f>IF(AK67&gt;13.93,IF(Z67&lt;300,IF(Z67&lt;35,IF(Z67&lt;6,3,2),1),0),0)</f>
        <v/>
      </c>
      <c r="AQ67" s="5" t="n">
        <v>1</v>
      </c>
      <c r="AR67" s="7">
        <f>IF(AO67=1,IF(AO67=AL67,1,0),5)</f>
        <v/>
      </c>
      <c r="AS67" s="4" t="n">
        <v>90</v>
      </c>
      <c r="AT67" s="5" t="n">
        <v>100</v>
      </c>
      <c r="AU67" s="5" t="n">
        <v>110</v>
      </c>
      <c r="AV67" s="5">
        <f>(AT67+AU67)/2</f>
        <v/>
      </c>
      <c r="AW67" s="4" t="n">
        <v>88</v>
      </c>
      <c r="AX67" s="4">
        <f>IF(AW67&gt;AV67,1,0)</f>
        <v/>
      </c>
      <c r="AY67" s="4">
        <f>(100*(AU67-AS67)/AS67)</f>
        <v/>
      </c>
      <c r="AZ67" s="4">
        <f>IF(AY67&lt;-50,-4,IF(AY67&lt;-20,-2,IF(AY67&lt;0,-1.5,IF(AY67=0,0,IF(AY67&lt;10,1.5,IF(AY67&lt;20,2,IF(AY67&gt;19,2.5,2.5)))))))</f>
        <v/>
      </c>
      <c r="BA67" s="7" t="n"/>
      <c r="BB67" s="5" t="n"/>
      <c r="BC67" s="5" t="n"/>
      <c r="BD67" s="5" t="n"/>
      <c r="BE67" s="5" t="n"/>
      <c r="BF67" s="5" t="n"/>
      <c r="BG67" s="5" t="n"/>
      <c r="BH67" s="5" t="n"/>
    </row>
    <row r="68" ht="12" customHeight="1">
      <c r="B68" s="4" t="inlineStr">
        <is>
          <t>Luxury Time</t>
        </is>
      </c>
      <c r="C68" s="11" t="n">
        <v>2025</v>
      </c>
      <c r="D68" s="11" t="n">
        <v>1</v>
      </c>
      <c r="E68" s="11" t="n">
        <v>1.49</v>
      </c>
      <c r="F68" s="11" t="n">
        <v>18.63</v>
      </c>
      <c r="G68" s="5">
        <f>100*(F68-E68)/F68</f>
        <v/>
      </c>
      <c r="H68" s="4" t="n">
        <v>29.83</v>
      </c>
      <c r="I68" s="4" t="n">
        <v>4.19</v>
      </c>
      <c r="J68" s="4" t="n"/>
      <c r="K68" s="4" t="n">
        <v>6.52</v>
      </c>
      <c r="L68" s="4" t="n"/>
      <c r="M68" s="4" t="n">
        <v>6.16</v>
      </c>
      <c r="N68" s="4" t="n"/>
      <c r="O68" s="4" t="n">
        <v>60.78</v>
      </c>
      <c r="P68" s="5">
        <f>O68/I68</f>
        <v/>
      </c>
      <c r="Q68" s="4" t="n">
        <v>12.58</v>
      </c>
      <c r="R68" s="5" t="n">
        <v>20.62</v>
      </c>
      <c r="S68" s="6" t="n">
        <v>0</v>
      </c>
      <c r="T68" s="7" t="n"/>
      <c r="U68" s="7" t="n"/>
      <c r="V68" s="7" t="n">
        <v>1</v>
      </c>
      <c r="W68" s="4" t="n"/>
      <c r="X68" s="4" t="n">
        <v>0.62</v>
      </c>
      <c r="Y68" s="4" t="n">
        <v>172</v>
      </c>
      <c r="Z68" s="4" t="n">
        <v>248</v>
      </c>
      <c r="AA68" s="5">
        <f>IF(X68&lt;50,IF(Y68&gt;(2.3*X68),0,1),1)-IF(Z68&gt;Y68,1.7,0)</f>
        <v/>
      </c>
      <c r="AB68" s="11" t="n">
        <v>109.6</v>
      </c>
      <c r="AC68" s="5">
        <f>IF(AB68&gt;4,1,0)+IF(AB68&gt;10,0.7,0)</f>
        <v/>
      </c>
      <c r="AD68" s="4" t="n">
        <v>121</v>
      </c>
      <c r="AE68" s="4" t="n">
        <v>20</v>
      </c>
      <c r="AF68" s="4" t="n">
        <v>42</v>
      </c>
      <c r="AG68" s="6">
        <f>IF(G68&lt;52,0,0.7)+IF(G68&lt;34,0,0.7)+IF(G68&lt;1,0,0.7)+IF(P68&gt;14.56,0,1)+IF(R68&lt;9,0.5,0)+IF(R68&lt;33.8,0.5,0)+IF(R68&lt;50,0.5,0)+IF(R68&lt;80,0.5,0)+IF(S68=5,0,S68)+IF(V68&gt;0,1,-1)+IF(AE68&lt;10.56,0,1)-IF(AE68&lt;3,1,0)-IF(AE68&lt;1,1,0)</f>
        <v/>
      </c>
      <c r="AH68" s="5">
        <f>AG68+IF(X68&lt;1.35,0,1)+IF(Y68&lt;1.35,0,1)+IF(Y68&lt;0.7,-1,0)+AC68+AA68</f>
        <v/>
      </c>
      <c r="AI68" s="5" t="n">
        <v>11</v>
      </c>
      <c r="AJ68" s="5">
        <f>IF(AI68&gt;12.7,IF(AI68&gt;15.8,0.93,0.98),1)</f>
        <v/>
      </c>
      <c r="AK68" s="5">
        <f>(1.5*AG68+AH68)*AJ68*AQ68</f>
        <v/>
      </c>
      <c r="AL68" s="4">
        <f>D68</f>
        <v/>
      </c>
      <c r="AM68" s="8">
        <f>B68</f>
        <v/>
      </c>
      <c r="AN68" s="7" t="n">
        <v>8</v>
      </c>
      <c r="AO68" s="61">
        <f>IF(Z68&lt;2.81,0,IF(AK68&gt;13.7,IF(Z68&lt;140,1,0),0))</f>
        <v/>
      </c>
      <c r="AP68" s="7">
        <f>IF(AK68&gt;13.93,IF(Z68&lt;300,IF(Z68&lt;35,IF(Z68&lt;6,3,2),1),0),0)</f>
        <v/>
      </c>
      <c r="AQ68" s="5" t="n">
        <v>1</v>
      </c>
      <c r="AR68" s="7">
        <f>IF(AO68=1,IF(AO68=AL68,1,0),5)</f>
        <v/>
      </c>
      <c r="AS68" s="4" t="n">
        <v>82</v>
      </c>
      <c r="AT68" s="5" t="n">
        <v>100</v>
      </c>
      <c r="AU68" s="5" t="n">
        <v>150</v>
      </c>
      <c r="AV68" s="5">
        <f>(AT68+AU68)/2</f>
        <v/>
      </c>
      <c r="AW68" s="4" t="n">
        <v>155</v>
      </c>
      <c r="AX68" s="4">
        <f>IF(AW68&gt;AV68,1,0)</f>
        <v/>
      </c>
      <c r="AY68" s="4">
        <f>(100*(AU68-AS68)/AS68)</f>
        <v/>
      </c>
      <c r="AZ68" s="4">
        <f>IF(AY68&lt;-50,-4,IF(AY68&lt;-20,-2,IF(AY68&lt;0,-1.5,IF(AY68=0,0,IF(AY68&lt;10,1.5,IF(AY68&lt;20,2,IF(AY68&gt;19,2.5,2.5)))))))</f>
        <v/>
      </c>
      <c r="BA68" s="7" t="n"/>
      <c r="BB68" s="5" t="n">
        <v>163</v>
      </c>
      <c r="BC68" s="24" t="n">
        <v>155</v>
      </c>
      <c r="BD68" s="24" t="n">
        <v>147</v>
      </c>
      <c r="BE68" s="5" t="n">
        <v>163</v>
      </c>
      <c r="BF68" s="5" t="n"/>
      <c r="BG68" s="5" t="n"/>
      <c r="BH68" s="5" t="n"/>
    </row>
    <row r="69" ht="12.75" customHeight="1">
      <c r="B69" s="4" t="inlineStr">
        <is>
          <t>Western Overseas Study Abroad</t>
        </is>
      </c>
      <c r="C69" s="11" t="n">
        <v>2025</v>
      </c>
      <c r="D69" s="4" t="n">
        <v>0</v>
      </c>
      <c r="E69" s="4" t="n">
        <v>4.09</v>
      </c>
      <c r="F69" s="4" t="n">
        <v>6.53</v>
      </c>
      <c r="G69" s="5">
        <f>100*(F69-E69)/F69</f>
        <v/>
      </c>
      <c r="H69" s="4" t="n">
        <v>12.69</v>
      </c>
      <c r="I69" s="4" t="n">
        <v>2.21</v>
      </c>
      <c r="J69" s="4" t="n"/>
      <c r="K69" s="4" t="n">
        <v>5.25</v>
      </c>
      <c r="L69" s="4" t="n"/>
      <c r="M69" s="4" t="n">
        <v>3.7</v>
      </c>
      <c r="N69" s="4" t="n"/>
      <c r="O69" s="4" t="n">
        <v>22.73</v>
      </c>
      <c r="P69" s="5">
        <f>O69/I69</f>
        <v/>
      </c>
      <c r="Q69" s="4" t="n">
        <v>10.67</v>
      </c>
      <c r="R69" s="5" t="n">
        <v>14.6</v>
      </c>
      <c r="S69" s="6" t="n">
        <v>0</v>
      </c>
      <c r="T69" s="7" t="n"/>
      <c r="U69" s="7" t="n"/>
      <c r="V69" s="7" t="n">
        <v>0</v>
      </c>
      <c r="W69" s="4" t="n"/>
      <c r="X69" s="4" t="n">
        <v>0.34</v>
      </c>
      <c r="Y69" s="4" t="n">
        <v>0.34</v>
      </c>
      <c r="Z69" s="4" t="n">
        <v>1.86</v>
      </c>
      <c r="AA69" s="5">
        <f>IF(X69&lt;50,IF(Y69&gt;(2.3*X69),0,1),1)-IF(Z69&gt;Y69,1.7,0)</f>
        <v/>
      </c>
      <c r="AB69" s="11" t="n">
        <v>0</v>
      </c>
      <c r="AC69" s="5">
        <f>IF(AB69&gt;4,1,0)+IF(AB69&gt;10,0.7,0)</f>
        <v/>
      </c>
      <c r="AD69" s="4" t="n">
        <v>86</v>
      </c>
      <c r="AE69" s="4" t="n">
        <v>12</v>
      </c>
      <c r="AF69" s="4" t="n">
        <v>46</v>
      </c>
      <c r="AG69" s="6">
        <f>IF(G69&lt;52,0,0.7)+IF(G69&lt;34,0,0.7)+IF(G69&lt;1,0,0.7)+IF(P69&gt;14.56,0,1)+IF(R69&lt;9,0.5,0)+IF(R69&lt;33.8,0.5,0)+IF(R69&lt;50,0.5,0)+IF(R69&lt;80,0.5,0)+IF(S69=5,0,S69)+IF(V69&gt;0,1,-1)+IF(AE69&lt;10.56,0,1)-IF(AE69&lt;3,1,0)-IF(AE69&lt;1,1,0)</f>
        <v/>
      </c>
      <c r="AH69" s="5">
        <f>AG69+IF(X69&lt;1.35,0,1)+IF(Y69&lt;1.35,0,1)+IF(Y69&lt;0.7,-1,0)+AC69+AA69</f>
        <v/>
      </c>
      <c r="AI69" s="5" t="n">
        <v>11</v>
      </c>
      <c r="AJ69" s="5">
        <f>IF(AI69&gt;12.7,IF(AI69&gt;15.8,0.93,0.98),1)</f>
        <v/>
      </c>
      <c r="AK69" s="5">
        <f>(1.5*AG69+AH69)*AJ69*AQ69</f>
        <v/>
      </c>
      <c r="AL69" s="4">
        <f>D69</f>
        <v/>
      </c>
      <c r="AM69" s="8">
        <f>B69</f>
        <v/>
      </c>
      <c r="AN69" s="4" t="n">
        <v>8</v>
      </c>
      <c r="AO69" s="61">
        <f>IF(Z69&lt;2.81,0,IF(AK69&gt;13.7,IF(Z69&lt;140,1,0),0))</f>
        <v/>
      </c>
      <c r="AP69" s="7">
        <f>IF(AK69&gt;13.93,IF(Z69&lt;300,IF(Z69&lt;35,IF(Z69&lt;6,3,2),1),0),0)</f>
        <v/>
      </c>
      <c r="AQ69" s="5" t="n">
        <v>1</v>
      </c>
      <c r="AR69" s="7">
        <f>IF(AO69=1,IF(AO69=AL69,1,0),5)</f>
        <v/>
      </c>
      <c r="AS69" s="4" t="n">
        <v>56</v>
      </c>
      <c r="AT69" s="5" t="n">
        <v>0</v>
      </c>
      <c r="AU69" s="5" t="n">
        <v>0</v>
      </c>
      <c r="AV69" s="5">
        <f>(AT69+AU69)/2</f>
        <v/>
      </c>
      <c r="AW69" s="4" t="n">
        <v>55</v>
      </c>
      <c r="AX69" s="4">
        <f>IF(AW69&gt;AV69,1,0)</f>
        <v/>
      </c>
      <c r="AY69" s="4">
        <f>(100*(AU69-AS69)/AS69)</f>
        <v/>
      </c>
      <c r="AZ69" s="4">
        <f>IF(AY69&lt;-50,-4,IF(AY69&lt;-20,-2,IF(AY69&lt;0,-1.5,IF(AY69=0,0,IF(AY69&lt;10,1.5,IF(AY69&lt;20,2,IF(AY69&gt;19,2.5,2.5)))))))</f>
        <v/>
      </c>
      <c r="BA69" s="7" t="n"/>
      <c r="BB69" s="5" t="n"/>
      <c r="BC69" s="5" t="n"/>
      <c r="BD69" s="5" t="n"/>
      <c r="BE69" s="5" t="n"/>
      <c r="BF69" s="5" t="n"/>
      <c r="BG69" s="5" t="n"/>
      <c r="BH69" s="5" t="n"/>
    </row>
    <row r="70" ht="17.25" customHeight="1">
      <c r="B70" s="11" t="inlineStr">
        <is>
          <t>Methodhub Software</t>
        </is>
      </c>
      <c r="C70" s="11" t="n">
        <v>2025</v>
      </c>
      <c r="D70" s="4" t="n">
        <v>0</v>
      </c>
      <c r="E70" s="11" t="n">
        <v>32.16</v>
      </c>
      <c r="F70" s="11" t="n">
        <v>42.72</v>
      </c>
      <c r="G70" s="5">
        <f>100*(F70-E70)/F70</f>
        <v/>
      </c>
      <c r="H70" s="4" t="n">
        <v>93.55</v>
      </c>
      <c r="I70" s="4" t="n">
        <v>11.5</v>
      </c>
      <c r="J70" s="4" t="n"/>
      <c r="K70" s="4" t="n">
        <v>8.859999999999999</v>
      </c>
      <c r="L70" s="4" t="n"/>
      <c r="M70" s="4" t="n">
        <v>17.15</v>
      </c>
      <c r="N70" s="4" t="n"/>
      <c r="O70" s="4" t="n">
        <v>136.01</v>
      </c>
      <c r="P70" s="5">
        <f>O70/I70</f>
        <v/>
      </c>
      <c r="Q70" s="4" t="n">
        <v>24.7</v>
      </c>
      <c r="R70" s="5" t="n">
        <v>17.31</v>
      </c>
      <c r="S70" s="6" t="n">
        <v>0</v>
      </c>
      <c r="T70" s="7" t="n"/>
      <c r="U70" s="7" t="n"/>
      <c r="V70" s="7" t="n">
        <v>1</v>
      </c>
      <c r="W70" s="4" t="n"/>
      <c r="X70" s="4" t="n">
        <v>11</v>
      </c>
      <c r="Y70" s="4" t="n">
        <v>14</v>
      </c>
      <c r="Z70" s="4" t="n">
        <v>5.39</v>
      </c>
      <c r="AA70" s="5">
        <f>IF(X70&lt;50,IF(Y70&gt;(2.3*X70),0,1),1)-IF(Z70&gt;Y70,1.7,0)</f>
        <v/>
      </c>
      <c r="AB70" s="11" t="n">
        <v>10</v>
      </c>
      <c r="AC70" s="5">
        <f>IF(AB70&gt;4,1,0)+IF(AB70&gt;10,0.7,0)</f>
        <v/>
      </c>
      <c r="AD70" s="4" t="n">
        <v>113</v>
      </c>
      <c r="AE70" s="4" t="n">
        <v>136</v>
      </c>
      <c r="AF70" s="4" t="n">
        <v>35</v>
      </c>
      <c r="AG70" s="6">
        <f>IF(G70&lt;52,0,0.7)+IF(G70&lt;34,0,0.7)+IF(G70&lt;1,0,0.7)+IF(P70&gt;14.56,0,1)+IF(R70&lt;9,0.5,0)+IF(R70&lt;33.8,0.5,0)+IF(R70&lt;50,0.5,0)+IF(R70&lt;80,0.5,0)+IF(S70=5,0,S70)+IF(V70&gt;0,1,-1)+IF(AE70&lt;10.56,0,1)-IF(AE70&lt;3,1,0)-IF(AE70&lt;1,1,0)</f>
        <v/>
      </c>
      <c r="AH70" s="5">
        <f>AG70+IF(X70&lt;1.35,0,1)+IF(Y70&lt;1.35,0,1)+IF(Y70&lt;0.7,-1,0)+AC70+AA70</f>
        <v/>
      </c>
      <c r="AI70" s="5" t="n">
        <v>11</v>
      </c>
      <c r="AJ70" s="5">
        <f>IF(AI70&gt;12.7,IF(AI70&gt;15.8,0.93,0.98),1)</f>
        <v/>
      </c>
      <c r="AK70" s="5">
        <f>(1.5*AG70+AH70)*AJ70*AQ70</f>
        <v/>
      </c>
      <c r="AL70" s="4">
        <f>D70</f>
        <v/>
      </c>
      <c r="AM70" s="8">
        <f>B70</f>
        <v/>
      </c>
      <c r="AN70" s="7" t="n">
        <v>9</v>
      </c>
      <c r="AO70" s="61">
        <f>IF(Z70&lt;2.81,0,IF(AK70&gt;13.7,IF(Z70&lt;140,1,0),0))</f>
        <v/>
      </c>
      <c r="AP70" s="7">
        <f>IF(AK70&gt;13.93,IF(Z70&lt;300,IF(Z70&lt;35,IF(Z70&lt;6,3,2),1),0),0)</f>
        <v/>
      </c>
      <c r="AQ70" s="5" t="n">
        <v>0.95</v>
      </c>
      <c r="AR70" s="7">
        <f>IF(AO70=1,IF(AO70=AL70,1,0),5)</f>
        <v/>
      </c>
      <c r="AS70" s="4" t="n">
        <v>194</v>
      </c>
      <c r="AT70" s="5" t="n">
        <v>220</v>
      </c>
      <c r="AU70" s="5" t="n">
        <v>275</v>
      </c>
      <c r="AV70" s="5">
        <f>(AT70+AU70)/2</f>
        <v/>
      </c>
      <c r="AW70" s="4" t="n">
        <v>163</v>
      </c>
      <c r="AX70" s="4">
        <f>IF(AW70&gt;AV70,1,0)</f>
        <v/>
      </c>
      <c r="AY70" s="4">
        <f>(100*(AU70-AS70)/AS70)</f>
        <v/>
      </c>
      <c r="AZ70" s="4">
        <f>IF(AY70&lt;-50,-4,IF(AY70&lt;-20,-2,IF(AY70&lt;0,-1.5,IF(AY70=0,0,IF(AY70&lt;10,1.5,IF(AY70&lt;20,2,IF(AY70&gt;19,2.5,2.5)))))))</f>
        <v/>
      </c>
      <c r="BA70" s="7" t="n"/>
      <c r="BB70" s="5" t="n">
        <v>163</v>
      </c>
      <c r="BC70" s="5" t="n">
        <v>156</v>
      </c>
      <c r="BD70" s="5" t="n">
        <v>153</v>
      </c>
      <c r="BE70" s="5" t="n"/>
      <c r="BF70" s="5" t="n"/>
      <c r="BG70" s="5" t="n"/>
      <c r="BH70" s="5" t="n"/>
    </row>
    <row r="71" ht="12.75" customHeight="1">
      <c r="B71" s="11" t="inlineStr">
        <is>
          <t>ScaleSauce</t>
        </is>
      </c>
      <c r="C71" s="11" t="n">
        <v>2025</v>
      </c>
      <c r="D71" s="11" t="n">
        <v>1</v>
      </c>
      <c r="E71" s="11" t="n">
        <v>0</v>
      </c>
      <c r="F71" s="11" t="n">
        <v>32.58</v>
      </c>
      <c r="G71" s="5">
        <f>100*(F71-E71)/F71</f>
        <v/>
      </c>
      <c r="H71" s="11" t="n">
        <v>53.45</v>
      </c>
      <c r="I71" s="11" t="n">
        <v>10.79</v>
      </c>
      <c r="J71" s="11" t="n"/>
      <c r="K71" s="11" t="n">
        <v>10.34</v>
      </c>
      <c r="L71" s="11" t="n"/>
      <c r="M71" s="11" t="n">
        <v>16.86</v>
      </c>
      <c r="N71" s="11" t="n"/>
      <c r="O71" s="11" t="n">
        <v>55.01</v>
      </c>
      <c r="P71" s="5">
        <f>O71/I71</f>
        <v/>
      </c>
      <c r="Q71" s="11" t="n">
        <v>10.33</v>
      </c>
      <c r="R71" s="19" t="n">
        <v>12.32</v>
      </c>
      <c r="S71" s="6" t="n">
        <v>-0.9</v>
      </c>
      <c r="T71" s="7" t="n"/>
      <c r="U71" s="7" t="n"/>
      <c r="V71" s="7" t="n">
        <v>1</v>
      </c>
      <c r="W71" s="4" t="n"/>
      <c r="X71" s="4" t="n">
        <v>1.05</v>
      </c>
      <c r="Y71" s="4" t="n">
        <v>3.49</v>
      </c>
      <c r="Z71" s="4" t="n">
        <v>1.48</v>
      </c>
      <c r="AA71" s="5">
        <f>IF(X71&lt;50,IF(Y71&gt;(2.3*X71),0,1),1)-IF(Z71&gt;Y71,1.7,0)</f>
        <v/>
      </c>
      <c r="AB71" s="11" t="n">
        <v>2.5</v>
      </c>
      <c r="AC71" s="5">
        <f>IF(AB71&gt;4,1,0)+IF(AB71&gt;10,0.7,0)</f>
        <v/>
      </c>
      <c r="AD71" s="4" t="n">
        <v>57</v>
      </c>
      <c r="AE71" s="4" t="n">
        <v>37</v>
      </c>
      <c r="AF71" s="4" t="n">
        <v>214</v>
      </c>
      <c r="AG71" s="6">
        <f>IF(G71&lt;52,0,0.7)+IF(G71&lt;34,0,0.7)+IF(G71&lt;1,0,0.7)+IF(P71&gt;14.56,0,1)+IF(R71&lt;9,0.5,0)+IF(R71&lt;33.8,0.5,0)+IF(R71&lt;50,0.5,0)+IF(R71&lt;80,0.5,0)+IF(S71=5,0,S71)+IF(V71&gt;0,1,-1)+IF(AE71&lt;10.56,0,1)-IF(AE71&lt;3,1,0)-IF(AE71&lt;1,1,0)</f>
        <v/>
      </c>
      <c r="AH71" s="5">
        <f>AG71+IF(X71&lt;1.35,0,1)+IF(Y71&lt;1.35,0,1)+IF(Y71&lt;0.7,-1,0)+AC71+AA71</f>
        <v/>
      </c>
      <c r="AI71" s="5" t="n">
        <v>11</v>
      </c>
      <c r="AJ71" s="5">
        <f>IF(AI71&gt;12.7,IF(AI71&gt;15.8,0.93,0.98),1)</f>
        <v/>
      </c>
      <c r="AK71" s="5">
        <f>(1.5*AG71+AH71)*AJ71*AQ71</f>
        <v/>
      </c>
      <c r="AL71" s="4">
        <f>D71</f>
        <v/>
      </c>
      <c r="AM71" s="8">
        <f>B71</f>
        <v/>
      </c>
      <c r="AN71" s="21" t="n">
        <v>9</v>
      </c>
      <c r="AO71" s="61">
        <f>IF(Z71&lt;2.81,0,IF(AK71&gt;13.7,IF(Z71&lt;140,1,0),0))</f>
        <v/>
      </c>
      <c r="AP71" s="7">
        <f>IF(AK71&gt;13.93,IF(Z71&lt;300,IF(Z71&lt;35,IF(Z71&lt;6,3,2),1),0),0)</f>
        <v/>
      </c>
      <c r="AQ71" s="5" t="n">
        <v>1</v>
      </c>
      <c r="AR71" s="7">
        <f>IF(AO71=1,IF(AO71=AL71,1,0),5)</f>
        <v/>
      </c>
      <c r="AS71" s="22" t="n">
        <v>107</v>
      </c>
      <c r="AT71" s="5" t="n">
        <v>0</v>
      </c>
      <c r="AU71" s="5" t="n">
        <v>0</v>
      </c>
      <c r="AV71" s="5">
        <f>(AT71+AU71)/2</f>
        <v/>
      </c>
      <c r="AW71" s="22" t="n">
        <v>203</v>
      </c>
      <c r="AX71" s="4">
        <f>IF(AW71&gt;AV71,1,0)</f>
        <v/>
      </c>
      <c r="AY71" s="4">
        <f>(100*(AU71-AS71)/AS71)</f>
        <v/>
      </c>
      <c r="AZ71" s="4">
        <f>IF(AY71&lt;-50,-4,IF(AY71&lt;-20,-2,IF(AY71&lt;0,-1.5,IF(AY71=0,0,IF(AY71&lt;10,1.5,IF(AY71&lt;20,2,IF(AY71&gt;19,2.5,2.5)))))))</f>
        <v/>
      </c>
      <c r="BA71" s="21" t="n">
        <v>187</v>
      </c>
      <c r="BB71" s="25" t="n">
        <v>192</v>
      </c>
      <c r="BC71" s="25" t="n">
        <v>183</v>
      </c>
      <c r="BD71" s="23" t="n">
        <v>175</v>
      </c>
      <c r="BE71" s="23" t="n">
        <v>295</v>
      </c>
      <c r="BF71" s="5" t="n"/>
      <c r="BG71" s="5" t="n"/>
      <c r="BH71" s="5" t="n"/>
    </row>
    <row r="72" ht="12.75" customHeight="1">
      <c r="B72" s="26" t="inlineStr">
        <is>
          <t>Flywings Simulator Training</t>
        </is>
      </c>
      <c r="C72" s="11" t="n">
        <v>2025</v>
      </c>
      <c r="D72" s="11" t="n">
        <v>1</v>
      </c>
      <c r="E72" s="11" t="n">
        <v>18.09</v>
      </c>
      <c r="F72" s="11" t="n">
        <v>39</v>
      </c>
      <c r="G72" s="5">
        <f>100*(F72-E72)/F72</f>
        <v/>
      </c>
      <c r="H72" s="11" t="n">
        <v>64.65000000000001</v>
      </c>
      <c r="I72" s="11" t="n">
        <v>4.16</v>
      </c>
      <c r="J72" s="11" t="n"/>
      <c r="K72" s="11" t="n">
        <v>14.24</v>
      </c>
      <c r="L72" s="11" t="n"/>
      <c r="M72" s="11" t="n">
        <v>13.51</v>
      </c>
      <c r="N72" s="11" t="n"/>
      <c r="O72" s="11" t="n">
        <v>23.64</v>
      </c>
      <c r="P72" s="5">
        <f>O72/I72</f>
        <v/>
      </c>
      <c r="Q72" s="11" t="n">
        <v>13.51</v>
      </c>
      <c r="R72" s="19" t="n">
        <v>17.77</v>
      </c>
      <c r="S72" s="6" t="n">
        <v>-0.9</v>
      </c>
      <c r="T72" s="7" t="n"/>
      <c r="U72" s="7" t="n"/>
      <c r="V72" s="7" t="n">
        <v>1</v>
      </c>
      <c r="W72" s="4" t="n"/>
      <c r="X72" s="4" t="n">
        <v>1.5</v>
      </c>
      <c r="Y72" s="4" t="n">
        <v>3.2</v>
      </c>
      <c r="Z72" s="4" t="n">
        <v>0.97</v>
      </c>
      <c r="AA72" s="5">
        <f>IF(X72&lt;50,IF(Y72&gt;(2.3*X72),0,1),1)-IF(Z72&gt;Y72,1.7,0)</f>
        <v/>
      </c>
      <c r="AB72" s="11" t="n">
        <v>0</v>
      </c>
      <c r="AC72" s="5">
        <f>IF(AB72&gt;4,1,0)+IF(AB72&gt;10,0.7,0)</f>
        <v/>
      </c>
      <c r="AD72" s="11" t="n">
        <v>3</v>
      </c>
      <c r="AE72" s="4" t="n">
        <v>5</v>
      </c>
      <c r="AF72" s="4" t="n">
        <v>70</v>
      </c>
      <c r="AG72" s="6">
        <f>IF(G72&lt;52,0,0.7)+IF(G72&lt;34,0,0.7)+IF(G72&lt;1,0,0.7)+IF(P72&gt;14.56,0,1)+IF(R72&lt;9,0.5,0)+IF(R72&lt;33.8,0.5,0)+IF(R72&lt;50,0.5,0)+IF(R72&lt;80,0.5,0)+IF(S72=5,0,S72)+IF(V72&gt;0,1,-1)+IF(AE72&lt;10.56,0,1)-IF(AE72&lt;3,1,0)-IF(AE72&lt;1,1,0)</f>
        <v/>
      </c>
      <c r="AH72" s="5">
        <f>AG72+IF(X72&lt;1.35,0,1)+IF(Y72&lt;1.35,0,1)+IF(Y72&lt;0.7,-1,0)+AC72+AA72</f>
        <v/>
      </c>
      <c r="AI72" s="5" t="n">
        <v>11</v>
      </c>
      <c r="AJ72" s="5">
        <f>IF(AI72&gt;12.7,IF(AI72&gt;15.8,0.93,0.98),1)</f>
        <v/>
      </c>
      <c r="AK72" s="5">
        <f>(1.5*AG72+AH72)*AJ72*AQ72</f>
        <v/>
      </c>
      <c r="AL72" s="4">
        <f>D72</f>
        <v/>
      </c>
      <c r="AM72" s="8">
        <f>B72</f>
        <v/>
      </c>
      <c r="AN72" s="15" t="n">
        <v>9</v>
      </c>
      <c r="AO72" s="61">
        <f>IF(Z72&lt;2.81,0,IF(AK72&gt;13.7,IF(Z72&lt;140,1,0),0))</f>
        <v/>
      </c>
      <c r="AP72" s="7">
        <f>IF(AK72&gt;13.93,IF(Z72&lt;300,IF(Z72&lt;35,IF(Z72&lt;6,3,2),1),0),0)</f>
        <v/>
      </c>
      <c r="AQ72" s="5" t="n">
        <v>1</v>
      </c>
      <c r="AR72" s="7">
        <f>IF(AO72=1,IF(AO72=AL72,1,0),5)</f>
        <v/>
      </c>
      <c r="AS72" s="16" t="n">
        <v>191</v>
      </c>
      <c r="AT72" s="5" t="n">
        <v>191</v>
      </c>
      <c r="AU72" s="5" t="n">
        <v>191</v>
      </c>
      <c r="AV72" s="5">
        <f>(AT72+AU72)/2</f>
        <v/>
      </c>
      <c r="AW72" s="16" t="n">
        <v>205</v>
      </c>
      <c r="AX72" s="4">
        <f>IF(AW72&gt;AV72,1,0)</f>
        <v/>
      </c>
      <c r="AY72" s="4">
        <f>(100*(AU72-AS72)/AS72)</f>
        <v/>
      </c>
      <c r="AZ72" s="4">
        <f>IF(AY72&lt;-50,-4,IF(AY72&lt;-20,-2,IF(AY72&lt;0,-1.5,IF(AY72=0,0,IF(AY72&lt;10,1.5,IF(AY72&lt;20,2,IF(AY72&gt;19,2.5,2.5)))))))</f>
        <v/>
      </c>
      <c r="BA72" s="15" t="n"/>
      <c r="BB72" s="17" t="n">
        <v>215</v>
      </c>
      <c r="BC72" s="17" t="n">
        <v>225</v>
      </c>
      <c r="BD72" s="17" t="n">
        <v>237</v>
      </c>
      <c r="BE72" s="17" t="n"/>
      <c r="BF72" s="5" t="n"/>
      <c r="BG72" s="5" t="n"/>
      <c r="BH72" s="5" t="n"/>
    </row>
    <row r="73" ht="15" customHeight="1">
      <c r="B73" s="11" t="inlineStr">
        <is>
          <t>K. V. Toys India</t>
        </is>
      </c>
      <c r="C73" s="11" t="n">
        <v>2025</v>
      </c>
      <c r="D73" s="11" t="n">
        <v>1</v>
      </c>
      <c r="E73" s="27" t="n">
        <v>44.03</v>
      </c>
      <c r="F73" s="27" t="n">
        <v>9.09</v>
      </c>
      <c r="G73" s="5">
        <f>100*(F73-E73)/F73</f>
        <v/>
      </c>
      <c r="H73" s="27" t="n">
        <v>48.53</v>
      </c>
      <c r="I73" s="27" t="n">
        <v>4.59</v>
      </c>
      <c r="J73" s="27" t="n"/>
      <c r="K73" s="27" t="n">
        <v>9.98</v>
      </c>
      <c r="L73" s="27" t="n"/>
      <c r="M73" s="27" t="n">
        <v>6.37</v>
      </c>
      <c r="N73" s="27" t="n"/>
      <c r="O73" s="27" t="n">
        <v>85.59999999999999</v>
      </c>
      <c r="P73" s="5">
        <f>O73/I73</f>
        <v/>
      </c>
      <c r="Q73" s="27" t="n">
        <v>24</v>
      </c>
      <c r="R73" s="28" t="n">
        <v>15.87</v>
      </c>
      <c r="S73" s="6" t="n">
        <v>0</v>
      </c>
      <c r="T73" s="7" t="n"/>
      <c r="U73" s="7" t="n"/>
      <c r="V73" s="7" t="n">
        <v>1</v>
      </c>
      <c r="W73" s="4" t="n"/>
      <c r="X73" s="4" t="n">
        <v>193</v>
      </c>
      <c r="Y73" s="4" t="n">
        <v>505</v>
      </c>
      <c r="Z73" s="4" t="n">
        <v>376</v>
      </c>
      <c r="AA73" s="5">
        <f>IF(X73&lt;50,IF(Y73&gt;(2.3*X73),0,1),1)-IF(Z73&gt;Y73,1.7,0)</f>
        <v/>
      </c>
      <c r="AB73" s="11" t="n">
        <v>50</v>
      </c>
      <c r="AC73" s="5">
        <f>IF(AB73&gt;4,1,0)+IF(AB73&gt;10,0.7,0)</f>
        <v/>
      </c>
      <c r="AD73" t="n">
        <v>191</v>
      </c>
      <c r="AE73" t="n">
        <v>50</v>
      </c>
      <c r="AF73" t="n">
        <v>17</v>
      </c>
      <c r="AG73" s="6">
        <f>IF(G73&lt;52,0,0.7)+IF(G73&lt;34,0,0.7)+IF(G73&lt;1,0,0.7)+IF(P73&gt;14.56,0,1)+IF(R73&lt;9,0.5,0)+IF(R73&lt;33.8,0.5,0)+IF(R73&lt;50,0.5,0)+IF(R73&lt;80,0.5,0)+IF(S73=5,0,S73)+IF(V73&gt;0,1,-1)+IF(AE73&lt;10.56,0,1)-IF(AE73&lt;3,1,0)-IF(AE73&lt;1,1,0)</f>
        <v/>
      </c>
      <c r="AH73" s="5">
        <f>AG73+IF(X73&lt;1.35,0,1)+IF(Y73&lt;1.35,0,1)+IF(Y73&lt;0.7,-1,0)+AC73+AA73</f>
        <v/>
      </c>
      <c r="AI73" s="5" t="n">
        <v>11</v>
      </c>
      <c r="AJ73" s="5">
        <f>IF(AI73&gt;12.7,IF(AI73&gt;15.8,0.93,0.98),1)</f>
        <v/>
      </c>
      <c r="AK73" s="5">
        <f>(1.5*AG73+AH73)*AJ73*AQ73</f>
        <v/>
      </c>
      <c r="AL73" s="4">
        <f>D73</f>
        <v/>
      </c>
      <c r="AM73" s="8">
        <f>B73</f>
        <v/>
      </c>
      <c r="AN73" s="7" t="n">
        <v>10</v>
      </c>
      <c r="AO73" s="61">
        <f>IF(Z73&lt;2.81,0,IF(AK73&gt;13.7,IF(Z73&lt;140,1,0),0))</f>
        <v/>
      </c>
      <c r="AP73" s="7">
        <f>IF(AK73&gt;13.93,IF(Z73&lt;300,IF(Z73&lt;35,IF(Z73&lt;6,3,2),1),0),0)</f>
        <v/>
      </c>
      <c r="AQ73" s="5" t="n">
        <v>1</v>
      </c>
      <c r="AR73" s="7">
        <f>IF(AO73=1,IF(AO73=AL73,1,0),5)</f>
        <v/>
      </c>
      <c r="AS73" s="4" t="n">
        <v>239</v>
      </c>
      <c r="AT73" s="5" t="n">
        <v>239</v>
      </c>
      <c r="AU73" s="5" t="n">
        <v>239</v>
      </c>
      <c r="AV73" s="5">
        <f>(AT73+AU73)/2</f>
        <v/>
      </c>
      <c r="AW73" s="4" t="n">
        <v>320</v>
      </c>
      <c r="AX73" s="4">
        <f>IF(AW73&gt;AV73,1,0)</f>
        <v/>
      </c>
      <c r="AY73" s="4">
        <f>(100*(AU73-AS73)/AS73)</f>
        <v/>
      </c>
      <c r="AZ73" s="4">
        <f>IF(AY73&lt;-50,-4,IF(AY73&lt;-20,-2,IF(AY73&lt;0,-1.5,IF(AY73=0,0,IF(AY73&lt;10,1.5,IF(AY73&lt;20,2,IF(AY73&gt;19,2.5,2.5)))))))</f>
        <v/>
      </c>
      <c r="BA73" s="7" t="n">
        <v>368</v>
      </c>
      <c r="BB73" s="5" t="n">
        <v>336</v>
      </c>
      <c r="BC73" s="5" t="n">
        <v>327</v>
      </c>
      <c r="BD73" s="5" t="n">
        <v>311</v>
      </c>
      <c r="BE73" s="5" t="n">
        <v>364</v>
      </c>
      <c r="BF73" s="5" t="n"/>
      <c r="BG73" s="5" t="n"/>
      <c r="BH73" s="5" t="n"/>
    </row>
    <row r="74" ht="12.75" customHeight="1">
      <c r="B74" s="4" t="inlineStr">
        <is>
          <t>Riddhi Display Equipments</t>
        </is>
      </c>
      <c r="C74" s="11" t="n">
        <v>2025</v>
      </c>
      <c r="D74" s="4" t="n">
        <v>0</v>
      </c>
      <c r="E74" s="4" t="n">
        <v>10.79</v>
      </c>
      <c r="F74" s="4" t="n">
        <v>10.36</v>
      </c>
      <c r="G74" s="5">
        <f>100*(F74-E74)/F74</f>
        <v/>
      </c>
      <c r="H74" s="27" t="n">
        <v>32.34</v>
      </c>
      <c r="I74" s="27" t="n">
        <v>4.14</v>
      </c>
      <c r="J74" s="27" t="n"/>
      <c r="K74" s="27" t="n">
        <v>3.24</v>
      </c>
      <c r="L74" s="27" t="n"/>
      <c r="M74" s="27" t="n">
        <v>6.93</v>
      </c>
      <c r="N74" s="27" t="n"/>
      <c r="O74" s="27" t="n">
        <v>25.09</v>
      </c>
      <c r="P74" s="5">
        <f>O74/I74</f>
        <v/>
      </c>
      <c r="Q74" s="27" t="n">
        <v>14.91</v>
      </c>
      <c r="R74" s="28" t="n">
        <v>9.33</v>
      </c>
      <c r="S74" s="6" t="n">
        <v>0</v>
      </c>
      <c r="T74" s="7" t="n"/>
      <c r="U74" s="7" t="n"/>
      <c r="V74" s="7" t="n">
        <v>0</v>
      </c>
      <c r="W74" s="4" t="n"/>
      <c r="X74" s="4" t="n">
        <v>1</v>
      </c>
      <c r="Y74" s="4" t="n">
        <v>1.5</v>
      </c>
      <c r="Z74" s="4" t="n">
        <v>6.5</v>
      </c>
      <c r="AA74" s="5">
        <f>IF(X74&lt;50,IF(Y74&gt;(2.3*X74),0,1),1)-IF(Z74&gt;Y74,1.7,0)</f>
        <v/>
      </c>
      <c r="AB74" s="11" t="n">
        <v>0</v>
      </c>
      <c r="AC74" s="5">
        <f>IF(AB74&gt;4,1,0)+IF(AB74&gt;10,0.7,0)</f>
        <v/>
      </c>
      <c r="AD74" s="27" t="n">
        <v>100</v>
      </c>
      <c r="AE74" s="27" t="n">
        <v>25</v>
      </c>
      <c r="AF74" s="27" t="n">
        <v>190</v>
      </c>
      <c r="AG74" s="6">
        <f>IF(G74&lt;52,0,0.7)+IF(G74&lt;34,0,0.7)+IF(G74&lt;1,0,0.7)+IF(P74&gt;14.56,0,1)+IF(R74&lt;9,0.5,0)+IF(R74&lt;33.8,0.5,0)+IF(R74&lt;50,0.5,0)+IF(R74&lt;80,0.5,0)+IF(S74=5,0,S74)+IF(V74&gt;0,1,-1)+IF(AE74&lt;10.56,0,1)-IF(AE74&lt;3,1,0)-IF(AE74&lt;1,1,0)</f>
        <v/>
      </c>
      <c r="AH74" s="5">
        <f>AG74+IF(X74&lt;1.35,0,1)+IF(Y74&lt;1.35,0,1)+IF(Y74&lt;0.7,-1,0)+AC74+AA74</f>
        <v/>
      </c>
      <c r="AI74" s="5" t="n">
        <v>11</v>
      </c>
      <c r="AJ74" s="5">
        <f>IF(AI74&gt;12.7,IF(AI74&gt;15.8,0.93,0.98),1)</f>
        <v/>
      </c>
      <c r="AK74" s="5">
        <f>(1.5*AG74+AH74)*AJ74*AQ74</f>
        <v/>
      </c>
      <c r="AL74" s="4">
        <f>D74</f>
        <v/>
      </c>
      <c r="AM74" s="8">
        <f>B74</f>
        <v/>
      </c>
      <c r="AN74" s="7" t="n">
        <v>10</v>
      </c>
      <c r="AO74" s="61">
        <f>IF(Z74&lt;2.81,0,IF(AK74&gt;13.7,IF(Z74&lt;140,1,0),0))</f>
        <v/>
      </c>
      <c r="AP74" s="7">
        <f>IF(AK74&gt;13.93,IF(Z74&lt;300,IF(Z74&lt;35,IF(Z74&lt;6,3,2),1),0),0)</f>
        <v/>
      </c>
      <c r="AQ74" s="5" t="n">
        <v>1</v>
      </c>
      <c r="AR74" s="7">
        <f>IF(AO74=1,IF(AO74=AL74,1,0),5)</f>
        <v/>
      </c>
      <c r="AS74" s="4" t="n">
        <v>100</v>
      </c>
      <c r="AT74" s="5" t="n">
        <v>104</v>
      </c>
      <c r="AU74" s="5" t="n">
        <v>174</v>
      </c>
      <c r="AV74" s="5">
        <f>(AT74+AU74)/2</f>
        <v/>
      </c>
      <c r="AW74" s="4" t="n">
        <v>80</v>
      </c>
      <c r="AX74" s="4">
        <f>IF(AW74&gt;AV74,1,0)</f>
        <v/>
      </c>
      <c r="AY74" s="4">
        <f>(100*(AU74-AS74)/AS74)</f>
        <v/>
      </c>
      <c r="AZ74" s="4">
        <f>IF(AY74&lt;-50,-4,IF(AY74&lt;-20,-2,IF(AY74&lt;0,-1.5,IF(AY74=0,0,IF(AY74&lt;10,1.5,IF(AY74&lt;20,2,IF(AY74&gt;19,2.5,2.5)))))))</f>
        <v/>
      </c>
      <c r="BA74" s="7" t="n"/>
      <c r="BB74" s="5" t="n">
        <v>76</v>
      </c>
      <c r="BC74" s="5" t="n"/>
      <c r="BD74" s="5" t="n"/>
      <c r="BE74" s="5" t="n"/>
      <c r="BF74" s="5" t="n"/>
      <c r="BG74" s="5" t="n"/>
      <c r="BH74" s="5" t="n"/>
    </row>
    <row r="75" ht="12.75" customHeight="1">
      <c r="B75" t="inlineStr">
        <is>
          <t>Prodocs Solutions</t>
        </is>
      </c>
      <c r="C75" s="11" t="n">
        <v>2025</v>
      </c>
      <c r="D75" s="11" t="n">
        <v>1</v>
      </c>
      <c r="E75" t="n">
        <v>7.99</v>
      </c>
      <c r="F75" t="n">
        <v>19.19</v>
      </c>
      <c r="G75" s="5">
        <f>100*(F75-E75)/F75</f>
        <v/>
      </c>
      <c r="H75" t="n">
        <v>35.08</v>
      </c>
      <c r="I75" t="n">
        <v>5.11</v>
      </c>
      <c r="K75" t="n">
        <v>7.25</v>
      </c>
      <c r="M75" t="n">
        <v>8.18</v>
      </c>
      <c r="O75" t="n">
        <v>42.78</v>
      </c>
      <c r="P75" s="5">
        <f>O75/I75</f>
        <v/>
      </c>
      <c r="Q75" t="n">
        <v>12.85</v>
      </c>
      <c r="R75" s="2" t="n">
        <v>11.19</v>
      </c>
      <c r="S75" s="6" t="n">
        <v>0</v>
      </c>
      <c r="T75" s="7" t="n"/>
      <c r="U75" s="7" t="n"/>
      <c r="V75" s="7" t="n">
        <v>1</v>
      </c>
      <c r="W75" s="4" t="n"/>
      <c r="X75" s="4" t="n">
        <v>0.6</v>
      </c>
      <c r="Y75" s="4" t="n">
        <v>3.46</v>
      </c>
      <c r="Z75" s="4" t="n">
        <v>1.7</v>
      </c>
      <c r="AA75" s="5">
        <f>IF(X75&lt;50,IF(Y75&gt;(2.3*X75),0,1),1)-IF(Z75&gt;Y75,1.7,0)</f>
        <v/>
      </c>
      <c r="AB75" s="11" t="n">
        <v>0</v>
      </c>
      <c r="AC75" s="5">
        <f>IF(AB75&gt;4,1,0)+IF(AB75&gt;10,0.7,0)</f>
        <v/>
      </c>
      <c r="AD75" s="27" t="n">
        <v>70</v>
      </c>
      <c r="AE75" s="27" t="n">
        <v>-20</v>
      </c>
      <c r="AF75" s="27" t="n">
        <v>190</v>
      </c>
      <c r="AG75" s="6">
        <f>IF(G75&lt;52,0,0.7)+IF(G75&lt;34,0,0.7)+IF(G75&lt;1,0,0.7)+IF(P75&gt;14.56,0,1)+IF(R75&lt;9,0.5,0)+IF(R75&lt;33.8,0.5,0)+IF(R75&lt;50,0.5,0)+IF(R75&lt;80,0.5,0)+IF(S75=5,0,S75)+IF(V75&gt;0,1,-1)+IF(AE75&lt;10.56,0,1)-IF(AE75&lt;3,1,0)-IF(AE75&lt;1,1,0)</f>
        <v/>
      </c>
      <c r="AH75" s="5">
        <f>AG75+IF(X75&lt;1.35,0,1)+IF(Y75&lt;1.35,0,1)+IF(Y75&lt;0.7,-1,0)+AC75+AA75</f>
        <v/>
      </c>
      <c r="AI75" s="5" t="n">
        <v>11</v>
      </c>
      <c r="AJ75" s="5">
        <f>IF(AI75&gt;12.7,IF(AI75&gt;15.8,0.93,0.98),1)</f>
        <v/>
      </c>
      <c r="AK75" s="5">
        <f>(1.5*AG75+AH75)*AJ75*AQ75</f>
        <v/>
      </c>
      <c r="AL75" s="4">
        <f>D75</f>
        <v/>
      </c>
      <c r="AM75" s="8">
        <f>B75</f>
        <v/>
      </c>
      <c r="AN75" s="7" t="n">
        <v>10</v>
      </c>
      <c r="AO75" s="61">
        <f>IF(Z75&lt;2.81,0,IF(AK75&gt;13.7,IF(Z75&lt;140,1,0),0))</f>
        <v/>
      </c>
      <c r="AP75" s="7">
        <f>IF(AK75&gt;13.93,IF(Z75&lt;300,IF(Z75&lt;35,IF(Z75&lt;6,3,2),1),0),0)</f>
        <v/>
      </c>
      <c r="AQ75" s="5" t="n">
        <v>1</v>
      </c>
      <c r="AR75" s="7">
        <f>IF(AO75=1,IF(AO75=AL75,1,0),5)</f>
        <v/>
      </c>
      <c r="AS75" s="27" t="n">
        <v>138</v>
      </c>
      <c r="AT75" s="5" t="n">
        <v>145</v>
      </c>
      <c r="AU75" s="5" t="n">
        <v>174</v>
      </c>
      <c r="AV75" s="5">
        <f>(AT75+AU75)/2</f>
        <v/>
      </c>
      <c r="AW75" s="27" t="n">
        <v>144</v>
      </c>
      <c r="AX75" s="4">
        <f>IF(AW75&gt;AV75,1,0)</f>
        <v/>
      </c>
      <c r="AY75" s="4">
        <f>(100*(AU75-AS75)/AS75)</f>
        <v/>
      </c>
      <c r="AZ75" s="4">
        <f>IF(AY75&lt;-50,-4,IF(AY75&lt;-20,-2,IF(AY75&lt;0,-1.5,IF(AY75=0,0,IF(AY75&lt;10,1.5,IF(AY75&lt;20,2,IF(AY75&gt;19,2.5,2.5)))))))</f>
        <v/>
      </c>
      <c r="BA75" s="7" t="n"/>
      <c r="BB75" s="5" t="n">
        <v>151</v>
      </c>
      <c r="BC75" s="5" t="n">
        <v>158</v>
      </c>
      <c r="BD75" s="5" t="n">
        <v>168</v>
      </c>
      <c r="BE75" s="5" t="n"/>
      <c r="BF75" s="5" t="n"/>
      <c r="BG75" s="5" t="n"/>
      <c r="BH75" s="5" t="n"/>
    </row>
    <row r="76" ht="12.75" customHeight="1">
      <c r="B76" t="inlineStr">
        <is>
          <t>Unisem Agritech</t>
        </is>
      </c>
      <c r="C76" s="11" t="n">
        <v>2025</v>
      </c>
      <c r="D76" s="11" t="n">
        <v>0</v>
      </c>
      <c r="E76" t="n">
        <v>11.9</v>
      </c>
      <c r="F76" t="n">
        <v>9.6</v>
      </c>
      <c r="G76" s="5">
        <f>100*(F76-E76)/F76</f>
        <v/>
      </c>
      <c r="H76" t="inlineStr">
        <is>
          <t>N/A</t>
        </is>
      </c>
      <c r="I76" t="n">
        <v>4.27</v>
      </c>
      <c r="K76" t="inlineStr">
        <is>
          <t>N/A</t>
        </is>
      </c>
      <c r="M76" t="n">
        <v>7.1</v>
      </c>
      <c r="O76" t="n">
        <v>69.08</v>
      </c>
      <c r="P76" s="5">
        <f>O76/I76</f>
        <v/>
      </c>
      <c r="Q76" t="n">
        <v>14.62</v>
      </c>
      <c r="R76" s="2" t="n">
        <v>20.35</v>
      </c>
      <c r="S76" s="6" t="n">
        <v>0</v>
      </c>
      <c r="T76" s="7" t="n"/>
      <c r="U76" s="7" t="n"/>
      <c r="V76" s="7" t="n">
        <v>1</v>
      </c>
      <c r="W76" s="4" t="n"/>
      <c r="X76" s="4" t="n">
        <v>1.7</v>
      </c>
      <c r="Y76" s="4" t="n">
        <v>1.7</v>
      </c>
      <c r="Z76" s="4" t="n">
        <v>2.28</v>
      </c>
      <c r="AA76" s="5">
        <f>IF(X76&lt;50,IF(Y76&gt;(2.3*X76),0,1),1)-IF(Z76&gt;Y76,1.7,0)</f>
        <v/>
      </c>
      <c r="AB76" s="11" t="n">
        <v>0</v>
      </c>
      <c r="AC76" s="5">
        <f>IF(AB76&gt;4,1,0)+IF(AB76&gt;10,0.7,0)</f>
        <v/>
      </c>
      <c r="AD76" s="27" t="n">
        <v>98</v>
      </c>
      <c r="AE76" s="27" t="n">
        <v>13</v>
      </c>
      <c r="AF76" s="27" t="n">
        <v>45.89</v>
      </c>
      <c r="AG76" s="6">
        <f>IF(G76&lt;52,0,0.7)+IF(G76&lt;34,0,0.7)+IF(G76&lt;1,0,0.7)+IF(P76&gt;14.56,0,1)+IF(R76&lt;9,0.5,0)+IF(R76&lt;33.8,0.5,0)+IF(R76&lt;50,0.5,0)+IF(R76&lt;80,0.5,0)+IF(S76=5,0,S76)+IF(V76&gt;0,1,-1)+IF(AE76&lt;10.56,0,1)-IF(AE76&lt;3,1,0)-IF(AE76&lt;1,1,0)</f>
        <v/>
      </c>
      <c r="AH76" s="5">
        <f>AG76+IF(X76&lt;1.35,0,1)+IF(Y76&lt;1.35,0,1)+IF(Y76&lt;0.7,-1,0)+AC76+AA76</f>
        <v/>
      </c>
      <c r="AI76" s="5" t="n">
        <v>11</v>
      </c>
      <c r="AJ76" s="5">
        <f>IF(AI76&gt;12.7,IF(AI76&gt;15.8,0.93,0.98),1)</f>
        <v/>
      </c>
      <c r="AK76" s="5">
        <f>(1.5*AG76+AH76)*AJ76*AQ76</f>
        <v/>
      </c>
      <c r="AL76" s="4">
        <f>D76</f>
        <v/>
      </c>
      <c r="AM76" s="8">
        <f>B76</f>
        <v/>
      </c>
      <c r="AN76" s="29" t="n">
        <v>12</v>
      </c>
      <c r="AO76" s="61">
        <f>IF(Z76&lt;2.81,0,IF(AK76&gt;13.7,IF(Z76&lt;140,1,0),0))</f>
        <v/>
      </c>
      <c r="AP76" s="7">
        <f>IF(AK76&gt;13.93,IF(Z76&lt;300,IF(Z76&lt;35,IF(Z76&lt;6,3,2),1),0),0)</f>
        <v/>
      </c>
      <c r="AQ76" s="5" t="n">
        <v>1</v>
      </c>
      <c r="AR76" s="7">
        <f>IF(AO76=1,IF(AO76=AL76,1,0),5)</f>
        <v/>
      </c>
      <c r="AS76" s="27" t="n">
        <v>65</v>
      </c>
      <c r="AT76" s="5" t="n">
        <v>56</v>
      </c>
      <c r="AU76" s="5" t="n">
        <v>75</v>
      </c>
      <c r="AV76" s="5">
        <f>(AT76+AU76)/2</f>
        <v/>
      </c>
      <c r="AW76" s="27" t="n">
        <v>65</v>
      </c>
      <c r="AX76" s="4">
        <f>IF(AW76&gt;AV76,1,0)</f>
        <v/>
      </c>
      <c r="AY76" s="4">
        <f>(100*(AU76-AS76)/AS76)</f>
        <v/>
      </c>
      <c r="AZ76" s="4">
        <f>IF(AY76&lt;-50,-4,IF(AY76&lt;-20,-2,IF(AY76&lt;0,-1.5,IF(AY76=0,0,IF(AY76&lt;10,1.5,IF(AY76&lt;20,2,IF(AY76&gt;19,2.5,2.5)))))))</f>
        <v/>
      </c>
      <c r="BA76" s="7" t="n"/>
      <c r="BB76" s="5" t="n">
        <v>61</v>
      </c>
      <c r="BC76" s="5" t="n"/>
      <c r="BD76" s="5" t="n"/>
      <c r="BE76" s="5" t="n"/>
      <c r="BF76" s="5" t="n"/>
      <c r="BG76" s="5" t="n"/>
      <c r="BH76" s="5" t="n"/>
    </row>
    <row r="77" ht="17.25" customHeight="1">
      <c r="B77" t="inlineStr">
        <is>
          <t>HRS Aluglaze</t>
        </is>
      </c>
      <c r="C77" s="11" t="n">
        <v>2025</v>
      </c>
      <c r="D77" s="11" t="n">
        <v>1</v>
      </c>
      <c r="E77" t="n">
        <v>38.66</v>
      </c>
      <c r="F77" t="n">
        <v>20.11</v>
      </c>
      <c r="G77" s="5">
        <f>100*(F77-E77)/F77</f>
        <v/>
      </c>
      <c r="H77" s="27" t="n">
        <v>80.59999999999999</v>
      </c>
      <c r="I77" s="27" t="n">
        <v>5.15</v>
      </c>
      <c r="J77" s="27" t="n"/>
      <c r="K77" s="27" t="n">
        <v>3.68</v>
      </c>
      <c r="L77" s="27" t="n"/>
      <c r="M77" s="27" t="n">
        <v>10.7</v>
      </c>
      <c r="O77" t="n">
        <v>42.14</v>
      </c>
      <c r="P77" s="5">
        <f>O77/I77</f>
        <v/>
      </c>
      <c r="Q77" s="27" t="n">
        <v>26.07</v>
      </c>
      <c r="R77" s="28" t="inlineStr">
        <is>
          <t>N/A</t>
        </is>
      </c>
      <c r="S77" s="6" t="n">
        <v>0</v>
      </c>
      <c r="T77" s="7" t="n"/>
      <c r="U77" s="7" t="n"/>
      <c r="V77" s="7" t="n">
        <v>1</v>
      </c>
      <c r="W77" s="4" t="n"/>
      <c r="X77" s="4" t="n">
        <v>2.6</v>
      </c>
      <c r="Y77" s="4" t="n">
        <v>17.8</v>
      </c>
      <c r="Z77" s="4" t="n">
        <v>16.45</v>
      </c>
      <c r="AA77" s="5">
        <f>IF(X77&lt;50,IF(Y77&gt;(2.3*X77),0,1),1)-IF(Z77&gt;Y77,1.7,0)</f>
        <v/>
      </c>
      <c r="AB77" s="11" t="n">
        <v>20</v>
      </c>
      <c r="AC77" s="5">
        <f>IF(AB77&gt;4,1,0)+IF(AB77&gt;10,0.7,0)</f>
        <v/>
      </c>
      <c r="AD77" s="27" t="n">
        <v>188</v>
      </c>
      <c r="AE77" s="27" t="n">
        <v>56</v>
      </c>
      <c r="AF77" s="27" t="n">
        <v>101.71</v>
      </c>
      <c r="AG77" s="6">
        <f>IF(G77&lt;52,0,0.7)+IF(G77&lt;34,0,0.7)+IF(G77&lt;1,0,0.7)+IF(P77&gt;14.56,0,1)+IF(R77&lt;9,0.5,0)+IF(R77&lt;33.8,0.5,0)+IF(R77&lt;50,0.5,0)+IF(R77&lt;80,0.5,0)+IF(S77=5,0,S77)+IF(V77&gt;0,1,-1)+IF(AE77&lt;10.56,0,1)-IF(AE77&lt;3,1,0)-IF(AE77&lt;1,1,0)</f>
        <v/>
      </c>
      <c r="AH77" s="5">
        <f>AG77+IF(X77&lt;1.35,0,1)+IF(Y77&lt;1.35,0,1)+IF(Y77&lt;0.7,-1,0)+AC77+AA77</f>
        <v/>
      </c>
      <c r="AI77" s="5" t="n">
        <v>11</v>
      </c>
      <c r="AJ77" s="5">
        <f>IF(AI77&gt;12.7,IF(AI77&gt;15.8,0.93,0.98),1)</f>
        <v/>
      </c>
      <c r="AK77" s="5">
        <f>(1.5*AG77+AH77)*AJ77*AQ77</f>
        <v/>
      </c>
      <c r="AL77" s="4">
        <f>D77</f>
        <v/>
      </c>
      <c r="AM77" s="8">
        <f>B77</f>
        <v/>
      </c>
      <c r="AN77" s="30" t="n">
        <v>15</v>
      </c>
      <c r="AO77" s="61">
        <f>IF(Z77&lt;2.81,0,IF(AK77&gt;13.7,IF(Z77&lt;140,1,0),0))</f>
        <v/>
      </c>
      <c r="AP77" s="7">
        <f>IF(AK77&gt;13.93,IF(Z77&lt;300,IF(Z77&lt;35,IF(Z77&lt;6,3,2),1),0),0)</f>
        <v/>
      </c>
      <c r="AQ77" s="5" t="n">
        <v>1</v>
      </c>
      <c r="AR77" s="7">
        <f>IF(AO77=1,IF(AO77=AL77,1,0),5)</f>
        <v/>
      </c>
      <c r="AS77" s="27" t="n">
        <v>96</v>
      </c>
      <c r="AT77" s="5" t="n">
        <v>94</v>
      </c>
      <c r="AU77" s="5" t="n">
        <v>127</v>
      </c>
      <c r="AV77" s="5">
        <f>(AT77+AU77)/2</f>
        <v/>
      </c>
      <c r="AW77" s="27" t="n">
        <v>126</v>
      </c>
      <c r="AX77" s="4">
        <f>IF(AW77&gt;AV77,1,0)</f>
        <v/>
      </c>
      <c r="AY77" s="4">
        <f>(100*(AU77-AS77)/AS77)</f>
        <v/>
      </c>
      <c r="AZ77" s="4">
        <f>IF(AY77&lt;-50,-4,IF(AY77&lt;-20,-2,IF(AY77&lt;0,-1.5,IF(AY77=0,0,IF(AY77&lt;10,1.5,IF(AY77&lt;20,2,IF(AY77&gt;19,2.5,2.5)))))))</f>
        <v/>
      </c>
      <c r="BA77" s="7" t="n"/>
      <c r="BB77" s="5" t="n">
        <v>132</v>
      </c>
      <c r="BC77" s="5" t="n">
        <v>139</v>
      </c>
      <c r="BD77" s="5" t="n">
        <v>146</v>
      </c>
      <c r="BE77" s="5" t="n">
        <v>174</v>
      </c>
      <c r="BF77" s="5" t="n"/>
      <c r="BG77" s="5" t="n"/>
      <c r="BH77" s="5" t="n"/>
    </row>
    <row r="78" ht="15" customHeight="1">
      <c r="B78" t="inlineStr">
        <is>
          <t>Pajson Agro India</t>
        </is>
      </c>
      <c r="C78" s="11" t="n">
        <v>2025</v>
      </c>
      <c r="D78" s="11" t="n">
        <v>1</v>
      </c>
      <c r="E78" t="n">
        <v>14.57</v>
      </c>
      <c r="F78" t="n">
        <v>44.21</v>
      </c>
      <c r="G78" s="5">
        <f>100*(F78-E78)/F78</f>
        <v/>
      </c>
      <c r="H78" s="27" t="n">
        <v>65.73</v>
      </c>
      <c r="I78" s="27" t="n">
        <v>20.42</v>
      </c>
      <c r="J78" s="27" t="n"/>
      <c r="K78" s="27" t="n">
        <v>11.67</v>
      </c>
      <c r="L78" s="27" t="n"/>
      <c r="M78" s="27" t="n">
        <v>30.27</v>
      </c>
      <c r="N78" s="27" t="n"/>
      <c r="O78" s="27" t="n">
        <v>187.28</v>
      </c>
      <c r="P78" s="5">
        <f>O78/I78</f>
        <v/>
      </c>
      <c r="Q78" s="27" t="n">
        <v>10.11</v>
      </c>
      <c r="R78" s="28" t="n">
        <v>14.16</v>
      </c>
      <c r="S78" s="6" t="n">
        <v>0.9</v>
      </c>
      <c r="T78" s="7" t="n"/>
      <c r="U78" s="7" t="n"/>
      <c r="V78" s="7" t="n">
        <v>1</v>
      </c>
      <c r="W78" s="4" t="n"/>
      <c r="X78" s="4" t="n">
        <v>2</v>
      </c>
      <c r="Y78" s="4" t="n">
        <v>2</v>
      </c>
      <c r="Z78" s="4" t="n">
        <v>1</v>
      </c>
      <c r="AA78" s="5">
        <f>IF(X78&lt;50,IF(Y78&gt;(2.3*X78),0,1),1)-IF(Z78&gt;Y78,1.7,0)</f>
        <v/>
      </c>
      <c r="AB78" s="11" t="n">
        <v>4.26</v>
      </c>
      <c r="AC78" s="5">
        <f>IF(AB78&gt;4,1,0)+IF(AB78&gt;10,0.7,0)</f>
        <v/>
      </c>
      <c r="AD78" s="27" t="n">
        <v>509</v>
      </c>
      <c r="AE78" s="27" t="n">
        <v>95</v>
      </c>
      <c r="AF78" s="27" t="n">
        <v>86</v>
      </c>
      <c r="AG78" s="6">
        <f>IF(G78&lt;52,0,0.7)+IF(G78&lt;34,0,0.7)+IF(G78&lt;1,0,0.7)+IF(P78&gt;14.56,0,1)+IF(R78&lt;9,0.5,0)+IF(R78&lt;33.8,0.5,0)+IF(R78&lt;50,0.5,0)+IF(R78&lt;80,0.5,0)+IF(S78=5,0,S78)+IF(V78&gt;0,1,-1)+IF(AE78&lt;10.56,0,1)-IF(AE78&lt;3,1,0)-IF(AE78&lt;1,1,0)</f>
        <v/>
      </c>
      <c r="AH78" s="5">
        <f>AG78+IF(X78&lt;1.35,0,1)+IF(Y78&lt;1.35,0,1)+IF(Y78&lt;0.7,-1,0)+AC78+AA78</f>
        <v/>
      </c>
      <c r="AI78" s="5" t="n">
        <v>11</v>
      </c>
      <c r="AJ78" s="5">
        <f>IF(AI78&gt;12.7,IF(AI78&gt;15.8,0.93,0.98),1)</f>
        <v/>
      </c>
      <c r="AK78" s="5">
        <f>(1.5*AG78+AH78)*AJ78*AQ78</f>
        <v/>
      </c>
      <c r="AL78" s="4">
        <f>D78</f>
        <v/>
      </c>
      <c r="AM78" s="8">
        <f>B78</f>
        <v/>
      </c>
      <c r="AN78" s="31" t="n">
        <v>15</v>
      </c>
      <c r="AO78" s="61">
        <f>IF(Z78&lt;2.81,0,IF(AK78&gt;13.7,IF(Z78&lt;140,1,0),0))</f>
        <v/>
      </c>
      <c r="AP78" s="7">
        <f>IF(AK78&gt;13.93,IF(Z78&lt;300,IF(Z78&lt;35,IF(Z78&lt;6,3,2),1),0),0)</f>
        <v/>
      </c>
      <c r="AQ78" s="5" t="n">
        <v>1</v>
      </c>
      <c r="AR78" s="7">
        <f>IF(AO78=1,IF(AO78=AL78,1,0),5)</f>
        <v/>
      </c>
      <c r="AS78" s="32" t="n">
        <v>118</v>
      </c>
      <c r="AT78" s="5" t="n">
        <v>215</v>
      </c>
      <c r="AU78" s="5" t="n">
        <v>262</v>
      </c>
      <c r="AV78" s="5">
        <f>(AT78+AU78)/2</f>
        <v/>
      </c>
      <c r="AW78" s="32" t="n">
        <v>124</v>
      </c>
      <c r="AX78" s="4">
        <f>IF(AW78&gt;AV78,1,0)</f>
        <v/>
      </c>
      <c r="AY78" s="4">
        <f>(100*(AU78-AS78)/AS78)</f>
        <v/>
      </c>
      <c r="AZ78" s="4">
        <f>IF(AY78&lt;-50,-4,IF(AY78&lt;-20,-2,IF(AY78&lt;0,-1.5,IF(AY78=0,0,IF(AY78&lt;10,1.5,IF(AY78&lt;20,2,IF(AY78&gt;19,2.5,2.5)))))))</f>
        <v/>
      </c>
      <c r="BA78" s="15" t="n">
        <v>124</v>
      </c>
      <c r="BB78" s="17" t="n">
        <v>130</v>
      </c>
      <c r="BC78" s="17" t="n">
        <v>136</v>
      </c>
      <c r="BD78" s="17" t="n">
        <v>143.4</v>
      </c>
      <c r="BE78" s="5" t="n"/>
      <c r="BF78" s="5" t="n"/>
      <c r="BG78" s="5" t="n"/>
      <c r="BH78" s="5" t="n"/>
    </row>
    <row r="79" ht="12.75" customHeight="1">
      <c r="B79" t="inlineStr">
        <is>
          <t>Ashwini Container Movers</t>
        </is>
      </c>
      <c r="C79" s="11" t="n">
        <v>2025</v>
      </c>
      <c r="D79" s="11" t="n">
        <v>1</v>
      </c>
      <c r="E79" t="n">
        <v>62.57</v>
      </c>
      <c r="F79" t="n">
        <v>20.42</v>
      </c>
      <c r="G79" s="5">
        <f>100*(F79-E79)/F79</f>
        <v/>
      </c>
      <c r="H79" t="n">
        <v>101.46</v>
      </c>
      <c r="I79" t="n">
        <v>11.45</v>
      </c>
      <c r="K79" t="n">
        <v>11.45</v>
      </c>
      <c r="M79" t="n">
        <v>24.89</v>
      </c>
      <c r="O79" t="n">
        <v>96.06</v>
      </c>
      <c r="P79" s="5">
        <f>O79/I79</f>
        <v/>
      </c>
      <c r="Q79" t="n">
        <v>12.4</v>
      </c>
      <c r="R79" s="2" t="n">
        <v>9.94</v>
      </c>
      <c r="S79" s="6" t="n">
        <v>0</v>
      </c>
      <c r="T79" s="7" t="n"/>
      <c r="U79" s="7" t="n"/>
      <c r="V79" s="7" t="n">
        <v>1</v>
      </c>
      <c r="W79" s="4" t="n"/>
      <c r="X79" s="4" t="n">
        <v>1.31</v>
      </c>
      <c r="Y79" s="4" t="n">
        <v>3.27</v>
      </c>
      <c r="Z79" s="4" t="n">
        <v>1.08</v>
      </c>
      <c r="AA79" s="5">
        <f>IF(X79&lt;50,IF(Y79&gt;(2.3*X79),0,1),1)-IF(Z79&gt;Y79,1.7,0)</f>
        <v/>
      </c>
      <c r="AB79" s="11" t="n">
        <v>2.11</v>
      </c>
      <c r="AC79" s="5">
        <f>IF(AB79&gt;4,1,0)+IF(AB79&gt;10,0.7,0)</f>
        <v/>
      </c>
      <c r="AD79" s="27" t="n">
        <v>731</v>
      </c>
      <c r="AE79" s="27" t="n">
        <v>21</v>
      </c>
      <c r="AF79" s="27" t="n">
        <v>117.45</v>
      </c>
      <c r="AG79" s="6">
        <f>IF(G79&lt;52,0,0.7)+IF(G79&lt;34,0,0.7)+IF(G79&lt;1,0,0.7)+IF(P79&gt;14.56,0,1)+IF(R79&lt;9,0.5,0)+IF(R79&lt;33.8,0.5,0)+IF(R79&lt;50,0.5,0)+IF(R79&lt;80,0.5,0)+IF(S79=5,0,S79)+IF(V79&gt;0,1,-1)+IF(AE79&lt;10.56,0,1)-IF(AE79&lt;3,1,0)-IF(AE79&lt;1,1,0)</f>
        <v/>
      </c>
      <c r="AH79" s="5">
        <f>AG79+IF(X79&lt;1.35,0,1)+IF(Y79&lt;1.35,0,1)+IF(Y79&lt;0.7,-1,0)+AC79+AA79</f>
        <v/>
      </c>
      <c r="AI79" s="5" t="n">
        <v>11</v>
      </c>
      <c r="AJ79" s="5">
        <f>IF(AI79&gt;12.7,IF(AI79&gt;15.8,0.93,0.98),1)</f>
        <v/>
      </c>
      <c r="AK79" s="5">
        <f>(1.5*AG79+AH79)*AJ79*AQ79</f>
        <v/>
      </c>
      <c r="AL79" s="4">
        <f>D79</f>
        <v/>
      </c>
      <c r="AM79" s="8">
        <f>B79</f>
        <v/>
      </c>
      <c r="AN79" s="33" t="n">
        <v>16</v>
      </c>
      <c r="AO79" s="61">
        <f>IF(Z79&lt;2.81,0,IF(AK79&gt;13.7,IF(Z79&lt;140,1,0),0))</f>
        <v/>
      </c>
      <c r="AP79" s="7">
        <f>IF(AK79&gt;13.93,IF(Z79&lt;300,IF(Z79&lt;35,IF(Z79&lt;6,3,2),1),0),0)</f>
        <v/>
      </c>
      <c r="AQ79" s="5" t="n">
        <v>1</v>
      </c>
      <c r="AR79" s="7">
        <f>IF(AO79=1,IF(AO79=AL79,1,0),5)</f>
        <v/>
      </c>
      <c r="AS79" s="27" t="n">
        <v>142</v>
      </c>
      <c r="AT79" s="5" t="n">
        <v>172</v>
      </c>
      <c r="AU79" s="5" t="n">
        <v>200</v>
      </c>
      <c r="AV79" s="5">
        <f>(AT79+AU79)/2</f>
        <v/>
      </c>
      <c r="AW79" s="27" t="n">
        <v>147</v>
      </c>
      <c r="AX79" s="4">
        <f>IF(AW79&gt;AV79,1,0)</f>
        <v/>
      </c>
      <c r="AY79" s="4">
        <f>(100*(AU79-AS79)/AS79)</f>
        <v/>
      </c>
      <c r="AZ79" s="4">
        <f>IF(AY79&lt;-50,-4,IF(AY79&lt;-20,-2,IF(AY79&lt;0,-1.5,IF(AY79=0,0,IF(AY79&lt;10,1.5,IF(AY79&lt;20,2,IF(AY79&gt;19,2.5,2.5)))))))</f>
        <v/>
      </c>
      <c r="BA79" s="7" t="n"/>
      <c r="BB79" s="5" t="n">
        <v>140</v>
      </c>
      <c r="BC79" s="5" t="n"/>
      <c r="BD79" s="5" t="n"/>
      <c r="BE79" s="5" t="n"/>
      <c r="BF79" s="5" t="n"/>
      <c r="BG79" s="5" t="n"/>
      <c r="BH79" s="5" t="n"/>
    </row>
    <row r="80" ht="12.75" customHeight="1">
      <c r="B80" t="inlineStr">
        <is>
          <t>Exim Routes</t>
        </is>
      </c>
      <c r="C80" s="11" t="n">
        <v>2025</v>
      </c>
      <c r="D80" s="11" t="n">
        <v>1</v>
      </c>
      <c r="E80" t="n">
        <v>2.75</v>
      </c>
      <c r="F80" t="n">
        <v>15.6</v>
      </c>
      <c r="G80" s="5">
        <f>100*(F80-E80)/F80</f>
        <v/>
      </c>
      <c r="H80" t="n">
        <v>47.62</v>
      </c>
      <c r="I80" t="n">
        <v>7.56</v>
      </c>
      <c r="K80" t="n">
        <v>5.49</v>
      </c>
      <c r="M80" t="n">
        <v>9.949999999999999</v>
      </c>
      <c r="O80" t="n">
        <v>120.99</v>
      </c>
      <c r="P80" s="5">
        <f>O80/I80</f>
        <v/>
      </c>
      <c r="Q80" t="n">
        <v>16.04</v>
      </c>
      <c r="R80" s="2" t="n">
        <v>17.22</v>
      </c>
      <c r="S80" s="6" t="n">
        <v>-1</v>
      </c>
      <c r="T80" s="7" t="n"/>
      <c r="U80" s="7" t="n"/>
      <c r="V80" s="7" t="n">
        <v>1</v>
      </c>
      <c r="W80" s="4" t="n"/>
      <c r="X80" s="4" t="n">
        <v>9.289999999999999</v>
      </c>
      <c r="Y80" s="4" t="n">
        <v>17.55</v>
      </c>
      <c r="Z80" s="4" t="n">
        <v>6.69</v>
      </c>
      <c r="AA80" s="5">
        <f>IF(X80&lt;50,IF(Y80&gt;(2.3*X80),0,1),1)-IF(Z80&gt;Y80,1.7,0)</f>
        <v/>
      </c>
      <c r="AB80" s="11" t="n">
        <v>4</v>
      </c>
      <c r="AC80" s="5">
        <f>IF(AB80&gt;4,1,0)+IF(AB80&gt;10,0.7,0)</f>
        <v/>
      </c>
      <c r="AD80" s="27" t="n">
        <v>72.17</v>
      </c>
      <c r="AE80" s="27" t="n">
        <v>73.34</v>
      </c>
      <c r="AF80" s="27" t="n">
        <v>40.57</v>
      </c>
      <c r="AG80" s="6">
        <f>IF(G80&lt;52,0,0.7)+IF(G80&lt;34,0,0.7)+IF(G80&lt;1,0,0.7)+IF(P80&gt;14.56,0,1)+IF(R80&lt;9,0.5,0)+IF(R80&lt;33.8,0.5,0)+IF(R80&lt;50,0.5,0)+IF(R80&lt;80,0.5,0)+IF(S80=5,0,S80)+IF(V80&gt;0,1,-1)+IF(AE80&lt;10.56,0,1)-IF(AE80&lt;3,1,0)-IF(AE80&lt;1,1,0)</f>
        <v/>
      </c>
      <c r="AH80" s="5">
        <f>AG80+IF(X80&lt;1.35,0,1)+IF(Y80&lt;1.35,0,1)+IF(Y80&lt;0.7,-1,0)+AC80+AA80</f>
        <v/>
      </c>
      <c r="AI80" s="5" t="n">
        <v>11</v>
      </c>
      <c r="AJ80" s="5">
        <f>IF(AI80&gt;12.7,IF(AI80&gt;15.8,0.93,0.98),1)</f>
        <v/>
      </c>
      <c r="AK80" s="5">
        <f>(1.5*AG80+AH80)*AJ80*AQ80</f>
        <v/>
      </c>
      <c r="AL80" s="4">
        <f>D80</f>
        <v/>
      </c>
      <c r="AM80" s="8">
        <f>B80</f>
        <v/>
      </c>
      <c r="AN80" s="31" t="n">
        <v>16</v>
      </c>
      <c r="AO80" s="61">
        <f>IF(Z80&lt;2.81,0,IF(AK80&gt;13.7,IF(Z80&lt;140,1,0),0))</f>
        <v/>
      </c>
      <c r="AP80" s="7">
        <f>IF(AK80&gt;13.93,IF(Z80&lt;300,IF(Z80&lt;35,IF(Z80&lt;6,3,2),1),0),0)</f>
        <v/>
      </c>
      <c r="AQ80" s="5" t="n">
        <v>1</v>
      </c>
      <c r="AR80" s="7">
        <f>IF(AO80=1,IF(AO80=AL80,1,0),5)</f>
        <v/>
      </c>
      <c r="AS80" s="32" t="n">
        <v>88</v>
      </c>
      <c r="AT80" s="5" t="n">
        <v>95</v>
      </c>
      <c r="AU80" s="5" t="n">
        <v>105</v>
      </c>
      <c r="AV80" s="5">
        <f>(AT80+AU80)/2</f>
        <v/>
      </c>
      <c r="AW80" s="32" t="n">
        <v>110</v>
      </c>
      <c r="AX80" s="4">
        <f>IF(AW80&gt;AV80,1,0)</f>
        <v/>
      </c>
      <c r="AY80" s="4">
        <f>(100*(AU80-AS80)/AS80)</f>
        <v/>
      </c>
      <c r="AZ80" s="4">
        <f>IF(AY80&lt;-50,-4,IF(AY80&lt;-20,-2,IF(AY80&lt;0,-1.5,IF(AY80=0,0,IF(AY80&lt;10,1.5,IF(AY80&lt;20,2,IF(AY80&gt;19,2.5,2.5)))))))</f>
        <v/>
      </c>
      <c r="BA80" s="15" t="n">
        <v>120</v>
      </c>
      <c r="BB80" s="17" t="n">
        <v>115.7</v>
      </c>
      <c r="BC80" s="17" t="n">
        <v>120</v>
      </c>
      <c r="BD80" s="17" t="n">
        <v>125.51</v>
      </c>
      <c r="BE80" s="17" t="n"/>
      <c r="BF80" s="5" t="n"/>
      <c r="BG80" s="5" t="n"/>
      <c r="BH80" s="5" t="n"/>
    </row>
    <row r="81" ht="12.75" customHeight="1">
      <c r="B81" s="34" t="inlineStr">
        <is>
          <t>Stanbik Agro</t>
        </is>
      </c>
      <c r="C81" s="11" t="n">
        <v>2025</v>
      </c>
      <c r="D81" s="11" t="n">
        <v>1</v>
      </c>
      <c r="E81" t="n">
        <v>0.09</v>
      </c>
      <c r="F81" t="n">
        <v>16.74</v>
      </c>
      <c r="G81" s="5">
        <f>100*(F81-E81)/F81</f>
        <v/>
      </c>
      <c r="H81" t="n">
        <v>19.05</v>
      </c>
      <c r="I81" t="n">
        <v>3.74</v>
      </c>
      <c r="K81" t="n">
        <v>5.09</v>
      </c>
      <c r="M81" t="n">
        <v>4.58</v>
      </c>
      <c r="O81" t="n">
        <v>52.49</v>
      </c>
      <c r="P81" s="5">
        <f>O81/I81</f>
        <v/>
      </c>
      <c r="Q81" t="n">
        <v>5.9</v>
      </c>
      <c r="R81" s="2" t="n">
        <v>6.47</v>
      </c>
      <c r="S81" s="6" t="n">
        <v>-1</v>
      </c>
      <c r="T81" s="7" t="n"/>
      <c r="U81" s="7" t="n"/>
      <c r="V81" s="7" t="n">
        <v>0</v>
      </c>
      <c r="W81" s="4" t="n"/>
      <c r="X81" s="4" t="n">
        <v>1.21</v>
      </c>
      <c r="Y81" s="4" t="n">
        <v>1.41</v>
      </c>
      <c r="Z81" s="4" t="n">
        <v>1.23</v>
      </c>
      <c r="AA81" s="5">
        <f>IF(X81&lt;50,IF(Y81&gt;(2.3*X81),0,1),1)-IF(Z81&gt;Y81,1.7,0)</f>
        <v/>
      </c>
      <c r="AB81" s="11" t="n">
        <v>0</v>
      </c>
      <c r="AC81" s="5">
        <f>IF(AB81&gt;4,1,0)+IF(AB81&gt;10,0.7,0)</f>
        <v/>
      </c>
      <c r="AD81" s="27" t="n">
        <v>102</v>
      </c>
      <c r="AE81" s="27" t="n">
        <v>98</v>
      </c>
      <c r="AF81" s="27" t="n">
        <v>481.25</v>
      </c>
      <c r="AG81" s="6">
        <f>IF(G81&lt;52,0,0.7)+IF(G81&lt;34,0,0.7)+IF(G81&lt;1,0,0.7)+IF(P81&gt;14.56,0,1)+IF(R81&lt;9,0.5,0)+IF(R81&lt;33.8,0.5,0)+IF(R81&lt;50,0.5,0)+IF(R81&lt;80,0.5,0)+IF(S81=5,0,S81)+IF(V81&gt;0,1,-1)+IF(AE81&lt;10.56,0,1)-IF(AE81&lt;3,1,0)-IF(AE81&lt;1,1,0)</f>
        <v/>
      </c>
      <c r="AH81" s="5">
        <f>AG81+IF(X81&lt;1.35,0,1)+IF(Y81&lt;1.35,0,1)+IF(Y81&lt;0.7,-1,0)+AC81+AA81</f>
        <v/>
      </c>
      <c r="AI81" s="5" t="n">
        <v>11</v>
      </c>
      <c r="AJ81" s="5">
        <f>IF(AI81&gt;12.7,IF(AI81&gt;15.8,0.93,0.98),1)</f>
        <v/>
      </c>
      <c r="AK81" s="5">
        <f>(1.5*AG81+AH81)*AJ81*AQ81</f>
        <v/>
      </c>
      <c r="AL81" s="4">
        <f>D81</f>
        <v/>
      </c>
      <c r="AM81" s="8">
        <f>B81</f>
        <v/>
      </c>
      <c r="AN81" s="31" t="n">
        <v>16</v>
      </c>
      <c r="AO81" s="61">
        <f>IF(Z81&lt;2.81,0,IF(AK81&gt;13.7,IF(Z81&lt;140,1,0),0))</f>
        <v/>
      </c>
      <c r="AP81" s="7">
        <f>IF(AK81&gt;13.93,IF(Z81&lt;300,IF(Z81&lt;35,IF(Z81&lt;6,3,2),1),0),0)</f>
        <v/>
      </c>
      <c r="AQ81" s="5" t="n">
        <v>1</v>
      </c>
      <c r="AR81" s="7">
        <f>IF(AO81=1,IF(AO81=AL81,1,0),5)</f>
        <v/>
      </c>
      <c r="AS81" s="32" t="n">
        <v>30</v>
      </c>
      <c r="AT81" s="5" t="n">
        <v>40</v>
      </c>
      <c r="AU81" s="5" t="n">
        <v>60</v>
      </c>
      <c r="AV81" s="5">
        <f>(AT81+AU81)/2</f>
        <v/>
      </c>
      <c r="AW81" s="32" t="n">
        <v>31.75</v>
      </c>
      <c r="AX81" s="4">
        <f>IF(AW81&gt;AV81,1,0)</f>
        <v/>
      </c>
      <c r="AY81" s="4">
        <f>(100*(AU81-AS81)/AS81)</f>
        <v/>
      </c>
      <c r="AZ81" s="4">
        <f>IF(AY81&lt;-50,-4,IF(AY81&lt;-20,-2,IF(AY81&lt;0,-1.5,IF(AY81=0,0,IF(AY81&lt;10,1.5,IF(AY81&lt;20,2,IF(AY81&gt;19,2.5,2.5)))))))</f>
        <v/>
      </c>
      <c r="BA81" s="15" t="n">
        <v>30</v>
      </c>
      <c r="BB81" s="17" t="n">
        <v>33.33</v>
      </c>
      <c r="BC81" s="17" t="n">
        <v>34</v>
      </c>
      <c r="BD81" s="17" t="n">
        <v>33.5</v>
      </c>
      <c r="BE81" s="17" t="n">
        <v>35</v>
      </c>
      <c r="BF81" s="5" t="n"/>
      <c r="BG81" s="5" t="n"/>
      <c r="BH81" s="5" t="n"/>
    </row>
    <row r="82" ht="12.75" customHeight="1">
      <c r="B82" t="inlineStr">
        <is>
          <t>Neptune Logitek</t>
        </is>
      </c>
      <c r="C82" s="11" t="n">
        <v>2025</v>
      </c>
      <c r="D82" s="4" t="n">
        <v>0</v>
      </c>
      <c r="E82" t="n">
        <v>57.99</v>
      </c>
      <c r="F82" t="n">
        <v>19.95</v>
      </c>
      <c r="G82" s="5">
        <f>100*(F82-E82)/F82</f>
        <v/>
      </c>
      <c r="H82" t="n">
        <v>119</v>
      </c>
      <c r="I82" t="n">
        <v>9.16</v>
      </c>
      <c r="K82" t="n">
        <v>9.16</v>
      </c>
      <c r="M82" t="n">
        <v>21.38</v>
      </c>
      <c r="O82" t="n">
        <v>257.25</v>
      </c>
      <c r="P82" s="5">
        <f>O82/I82</f>
        <v/>
      </c>
      <c r="Q82" t="n">
        <v>17.9</v>
      </c>
      <c r="R82" s="2" t="n">
        <v>22.31</v>
      </c>
      <c r="S82" s="6" t="n">
        <v>0</v>
      </c>
      <c r="T82" s="7" t="n"/>
      <c r="U82" s="7" t="n"/>
      <c r="V82" s="7" t="n">
        <v>0</v>
      </c>
      <c r="W82" s="4" t="n"/>
      <c r="X82" s="4" t="n">
        <v>0.32</v>
      </c>
      <c r="Y82" s="4" t="n">
        <v>0.32</v>
      </c>
      <c r="Z82" s="4" t="n">
        <v>2.83</v>
      </c>
      <c r="AA82" s="5">
        <f>IF(X82&lt;50,IF(Y82&gt;(2.3*X82),0,1),1)-IF(Z82&gt;Y82,1.7,0)</f>
        <v/>
      </c>
      <c r="AB82" s="11" t="n">
        <v>0</v>
      </c>
      <c r="AC82" s="5">
        <f>IF(AB82&gt;4,1,0)+IF(AB82&gt;10,0.7,0)</f>
        <v/>
      </c>
      <c r="AD82" s="27" t="n">
        <v>32.7</v>
      </c>
      <c r="AE82" s="27" t="n">
        <v>47</v>
      </c>
      <c r="AF82" s="27" t="n">
        <v>85</v>
      </c>
      <c r="AG82" s="6">
        <f>IF(G82&lt;52,0,0.7)+IF(G82&lt;34,0,0.7)+IF(G82&lt;1,0,0.7)+IF(P82&gt;14.56,0,1)+IF(R82&lt;9,0.5,0)+IF(R82&lt;33.8,0.5,0)+IF(R82&lt;50,0.5,0)+IF(R82&lt;80,0.5,0)+IF(S82=5,0,S82)+IF(V82&gt;0,1,-1)+IF(AE82&lt;10.56,0,1)-IF(AE82&lt;3,1,0)-IF(AE82&lt;1,1,0)</f>
        <v/>
      </c>
      <c r="AH82" s="5">
        <f>AG82+IF(X82&lt;1.35,0,1)+IF(Y82&lt;1.35,0,1)+IF(Y82&lt;0.7,-1,0)+AC82+AA82</f>
        <v/>
      </c>
      <c r="AI82" s="5" t="n">
        <v>11</v>
      </c>
      <c r="AJ82" s="5">
        <f>IF(AI82&gt;12.7,IF(AI82&gt;15.8,0.93,0.98),1)</f>
        <v/>
      </c>
      <c r="AK82" s="5">
        <f>(1.5*AG82+AH82)*AJ82*AQ82</f>
        <v/>
      </c>
      <c r="AL82" s="4">
        <f>D82</f>
        <v/>
      </c>
      <c r="AM82" s="8">
        <f>B82</f>
        <v/>
      </c>
      <c r="AN82" s="35" t="n">
        <v>17</v>
      </c>
      <c r="AO82" s="61">
        <f>IF(Z82&lt;2.81,0,IF(AK82&gt;13.7,IF(Z82&lt;140,1,0),0))</f>
        <v/>
      </c>
      <c r="AP82" s="7">
        <f>IF(AK82&gt;13.93,IF(Z82&lt;300,IF(Z82&lt;35,IF(Z82&lt;6,3,2),1),0),0)</f>
        <v/>
      </c>
      <c r="AQ82" s="5" t="n">
        <v>1</v>
      </c>
      <c r="AR82" s="7">
        <f>IF(AO82=1,IF(AO82=AL82,1,0),5)</f>
        <v/>
      </c>
      <c r="AS82" s="27" t="n">
        <v>126</v>
      </c>
      <c r="AT82" s="5" t="n">
        <v>70</v>
      </c>
      <c r="AU82" s="5" t="n">
        <v>84</v>
      </c>
      <c r="AV82" s="5">
        <f>(AT82+AU82)/2</f>
        <v/>
      </c>
      <c r="AW82" s="27" t="n">
        <v>101</v>
      </c>
      <c r="AX82" s="4">
        <f>IF(AW82&gt;AV82,1,0)</f>
        <v/>
      </c>
      <c r="AY82" s="4">
        <f>(100*(AU82-AS82)/AS82)</f>
        <v/>
      </c>
      <c r="AZ82" s="4">
        <f>IF(AY82&lt;-50,-4,IF(AY82&lt;-20,-2,IF(AY82&lt;0,-1.5,IF(AY82=0,0,IF(AY82&lt;10,1.5,IF(AY82&lt;20,2,IF(AY82&gt;19,2.5,2.5)))))))</f>
        <v/>
      </c>
      <c r="BA82" s="7" t="n"/>
      <c r="BB82" s="5" t="n"/>
      <c r="BC82" s="5" t="n"/>
      <c r="BD82" s="5" t="n"/>
      <c r="BE82" s="5" t="n"/>
      <c r="BF82" s="5" t="n"/>
      <c r="BG82" s="5" t="n"/>
      <c r="BH82" s="5" t="n"/>
    </row>
    <row r="83" ht="12.75" customHeight="1">
      <c r="B83" t="inlineStr">
        <is>
          <t>Global Ocean Logistics</t>
        </is>
      </c>
      <c r="C83" s="11" t="n">
        <v>2025</v>
      </c>
      <c r="D83" s="11" t="n">
        <v>1</v>
      </c>
      <c r="E83" t="n">
        <v>1.15</v>
      </c>
      <c r="F83" t="n">
        <v>17.39</v>
      </c>
      <c r="G83" s="5">
        <f>100*(F83-E83)/F83</f>
        <v/>
      </c>
      <c r="H83" t="n">
        <v>35.22</v>
      </c>
      <c r="I83" t="n">
        <v>6.82</v>
      </c>
      <c r="K83" t="n">
        <v>3.42</v>
      </c>
      <c r="M83" t="n">
        <v>9.4</v>
      </c>
      <c r="O83" t="n">
        <v>191.6</v>
      </c>
      <c r="P83" s="5">
        <f>O83/I83</f>
        <v/>
      </c>
      <c r="Q83" t="n">
        <v>16.53</v>
      </c>
      <c r="R83" s="2" t="n">
        <v>16.22</v>
      </c>
      <c r="S83" s="6" t="n">
        <v>0</v>
      </c>
      <c r="T83" s="7" t="n"/>
      <c r="U83" s="7" t="n"/>
      <c r="V83" s="7" t="n">
        <v>1</v>
      </c>
      <c r="W83" s="4" t="n"/>
      <c r="X83" s="4" t="n">
        <v>4.77</v>
      </c>
      <c r="Y83" s="4" t="n">
        <v>29.47</v>
      </c>
      <c r="Z83" s="4" t="n">
        <v>11.9</v>
      </c>
      <c r="AA83" s="5">
        <f>IF(X83&lt;50,IF(Y83&gt;(2.3*X83),0,1),1)-IF(Z83&gt;Y83,1.7,0)</f>
        <v/>
      </c>
      <c r="AB83" s="11" t="n">
        <v>0</v>
      </c>
      <c r="AC83" s="5">
        <f>IF(AB83&gt;4,1,0)+IF(AB83&gt;10,0.7,0)</f>
        <v/>
      </c>
      <c r="AD83" s="27" t="n">
        <v>159</v>
      </c>
      <c r="AE83" s="27" t="n">
        <v>85</v>
      </c>
      <c r="AF83" s="27" t="n">
        <v>103</v>
      </c>
      <c r="AG83" s="6">
        <f>IF(G83&lt;52,0,0.7)+IF(G83&lt;34,0,0.7)+IF(G83&lt;1,0,0.7)+IF(P83&gt;14.56,0,1)+IF(R83&lt;9,0.5,0)+IF(R83&lt;33.8,0.5,0)+IF(R83&lt;50,0.5,0)+IF(R83&lt;80,0.5,0)+IF(S83=5,0,S83)+IF(V83&gt;0,1,-1)+IF(AE83&lt;10.56,0,1)-IF(AE83&lt;3,1,0)-IF(AE83&lt;1,1,0)</f>
        <v/>
      </c>
      <c r="AH83" s="5">
        <f>AG83+IF(X83&lt;1.35,0,1)+IF(Y83&lt;1.35,0,1)+IF(Y83&lt;0.7,-1,0)+AC83+AA83</f>
        <v/>
      </c>
      <c r="AI83" s="5" t="n">
        <v>11</v>
      </c>
      <c r="AJ83" s="5">
        <f>IF(AI83&gt;12.7,IF(AI83&gt;15.8,0.93,0.98),1)</f>
        <v/>
      </c>
      <c r="AK83" s="5">
        <f>(1.5*AG83+AH83)*AJ83*AQ83</f>
        <v/>
      </c>
      <c r="AL83" s="4">
        <f>D83</f>
        <v/>
      </c>
      <c r="AM83" s="8">
        <f>B83</f>
        <v/>
      </c>
      <c r="AN83" s="36" t="n">
        <v>19</v>
      </c>
      <c r="AO83" s="61">
        <f>IF(Z83&lt;2.81,0,IF(AK83&gt;13.7,IF(Z83&lt;140,1,0),0))</f>
        <v/>
      </c>
      <c r="AP83" s="7">
        <f>IF(AK83&gt;13.93,IF(Z83&lt;300,IF(Z83&lt;35,IF(Z83&lt;6,3,2),1),0),0)</f>
        <v/>
      </c>
      <c r="AQ83" s="5" t="n">
        <v>1</v>
      </c>
      <c r="AR83" s="7">
        <f>IF(AO83=1,IF(AO83=AL83,1,0),5)</f>
        <v/>
      </c>
      <c r="AS83" s="27" t="n">
        <v>78</v>
      </c>
      <c r="AT83" s="5" t="n">
        <v>50</v>
      </c>
      <c r="AU83" s="5" t="n">
        <v>70</v>
      </c>
      <c r="AV83" s="5">
        <f>(AT83+AU83)/2</f>
        <v/>
      </c>
      <c r="AW83" s="27" t="n">
        <v>79.2</v>
      </c>
      <c r="AX83" s="4">
        <f>IF(AW83&gt;AV83,1,0)</f>
        <v/>
      </c>
      <c r="AY83" s="4">
        <f>(100*(AU83-AS83)/AS83)</f>
        <v/>
      </c>
      <c r="AZ83" s="4">
        <f>IF(AY83&lt;-50,-4,IF(AY83&lt;-20,-2,IF(AY83&lt;0,-1.5,IF(AY83=0,0,IF(AY83&lt;10,1.5,IF(AY83&lt;20,2,IF(AY83&gt;19,2.5,2.5)))))))</f>
        <v/>
      </c>
      <c r="BA83" s="7" t="n"/>
      <c r="BB83" s="5" t="n"/>
      <c r="BC83" s="5" t="n"/>
      <c r="BD83" s="5" t="n"/>
      <c r="BE83" s="5" t="n"/>
      <c r="BF83" s="5" t="n"/>
      <c r="BG83" s="5" t="n"/>
      <c r="BH83" s="5" t="n"/>
    </row>
    <row r="84" ht="12.75" customHeight="1">
      <c r="B84" t="inlineStr">
        <is>
          <t>MARC Technocrats</t>
        </is>
      </c>
      <c r="C84" s="11" t="n">
        <v>2025</v>
      </c>
      <c r="D84" s="4" t="n">
        <v>0</v>
      </c>
      <c r="E84" t="n">
        <v>0.9399999999999999</v>
      </c>
      <c r="F84" t="n">
        <v>27.85</v>
      </c>
      <c r="G84" s="5">
        <f>100*(F84-E84)/F84</f>
        <v/>
      </c>
      <c r="H84" t="n">
        <v>35.14</v>
      </c>
      <c r="I84" t="n">
        <v>7.48</v>
      </c>
      <c r="K84" t="n">
        <v>5.48</v>
      </c>
      <c r="M84" t="n">
        <v>10.36</v>
      </c>
      <c r="O84" t="n">
        <v>48.56</v>
      </c>
      <c r="P84" s="5">
        <f>O84/I84</f>
        <v/>
      </c>
      <c r="Q84" t="n">
        <v>16.97</v>
      </c>
      <c r="R84" s="2" t="n">
        <v>12.58</v>
      </c>
      <c r="S84" s="6" t="n">
        <v>0</v>
      </c>
      <c r="T84" s="7" t="n"/>
      <c r="U84" s="7" t="n"/>
      <c r="V84" s="7" t="n">
        <v>0</v>
      </c>
      <c r="W84" s="4" t="n"/>
      <c r="X84" s="4" t="n">
        <v>9.5</v>
      </c>
      <c r="Y84" s="4" t="n">
        <v>8.99</v>
      </c>
      <c r="Z84" s="4" t="n">
        <v>10.75</v>
      </c>
      <c r="AA84" s="5">
        <f>IF(X84&lt;50,IF(Y84&gt;(2.3*X84),0,1),1)-IF(Z84&gt;Y84,1.7,0)</f>
        <v/>
      </c>
      <c r="AB84" s="11" t="n">
        <v>2.15</v>
      </c>
      <c r="AC84" s="5">
        <f>IF(AB84&gt;4,1,0)+IF(AB84&gt;10,0.7,0)</f>
        <v/>
      </c>
      <c r="AD84" s="27" t="n">
        <v>117</v>
      </c>
      <c r="AE84" s="27" t="n">
        <v>80</v>
      </c>
      <c r="AF84" s="27" t="n">
        <v>37</v>
      </c>
      <c r="AG84" s="6">
        <f>IF(G84&lt;52,0,0.7)+IF(G84&lt;34,0,0.7)+IF(G84&lt;1,0,0.7)+IF(P84&gt;14.56,0,1)+IF(R84&lt;9,0.5,0)+IF(R84&lt;33.8,0.5,0)+IF(R84&lt;50,0.5,0)+IF(R84&lt;80,0.5,0)+IF(S84=5,0,S84)+IF(V84&gt;0,1,-1)+IF(AE84&lt;10.56,0,1)-IF(AE84&lt;3,1,0)-IF(AE84&lt;1,1,0)</f>
        <v/>
      </c>
      <c r="AH84" s="5">
        <f>AG84+IF(X84&lt;1.35,0,1)+IF(Y84&lt;1.35,0,1)+IF(Y84&lt;0.7,-1,0)+AC84+AA84</f>
        <v/>
      </c>
      <c r="AI84" s="5" t="n">
        <v>11</v>
      </c>
      <c r="AJ84" s="5">
        <f>IF(AI84&gt;12.7,IF(AI84&gt;15.8,0.93,0.98),1)</f>
        <v/>
      </c>
      <c r="AK84" s="5">
        <f>(1.5*AG84+AH84)*AJ84*AQ84</f>
        <v/>
      </c>
      <c r="AL84" s="4">
        <f>D84</f>
        <v/>
      </c>
      <c r="AM84" s="8">
        <f>B84</f>
        <v/>
      </c>
      <c r="AN84" s="36" t="n">
        <v>19</v>
      </c>
      <c r="AO84" s="61">
        <f>IF(Z84&lt;2.81,0,IF(AK84&gt;13.7,IF(Z84&lt;140,1,0),0))</f>
        <v/>
      </c>
      <c r="AP84" s="7">
        <f>IF(AK84&gt;13.93,IF(Z84&lt;300,IF(Z84&lt;35,IF(Z84&lt;6,3,2),1),0),0)</f>
        <v/>
      </c>
      <c r="AQ84" s="5" t="n">
        <v>1</v>
      </c>
      <c r="AR84" s="7">
        <f>IF(AO84=1,IF(AO84=AL84,1,0),5)</f>
        <v/>
      </c>
      <c r="AS84" s="27" t="n">
        <v>93</v>
      </c>
      <c r="AT84" s="5" t="n">
        <v>73</v>
      </c>
      <c r="AU84" s="5" t="n">
        <v>86</v>
      </c>
      <c r="AV84" s="5">
        <f>(AT84+AU84)/2</f>
        <v/>
      </c>
      <c r="AW84" s="27" t="n">
        <v>74</v>
      </c>
      <c r="AX84" s="4">
        <f>IF(AW84&gt;AV84,1,0)</f>
        <v/>
      </c>
      <c r="AY84" s="4">
        <f>(100*(AU84-AS84)/AS84)</f>
        <v/>
      </c>
      <c r="AZ84" s="4">
        <f>IF(AY84&lt;-50,-4,IF(AY84&lt;-20,-2,IF(AY84&lt;0,-1.5,IF(AY84=0,0,IF(AY84&lt;10,1.5,IF(AY84&lt;20,2,IF(AY84&gt;19,2.5,2.5)))))))</f>
        <v/>
      </c>
      <c r="BA84" s="7" t="n"/>
      <c r="BB84" t="n">
        <v>70</v>
      </c>
      <c r="BC84" s="5" t="n">
        <v>67</v>
      </c>
      <c r="BD84" s="5" t="n">
        <v>63</v>
      </c>
      <c r="BE84" s="5" t="n"/>
      <c r="BF84" s="5" t="n"/>
      <c r="BG84" s="5" t="n"/>
      <c r="BH84" s="5" t="n"/>
    </row>
    <row r="85" ht="19.5" customHeight="1">
      <c r="B85" t="inlineStr">
        <is>
          <t>Shyam Dhani Industries</t>
        </is>
      </c>
      <c r="C85" s="11" t="n">
        <v>2025</v>
      </c>
      <c r="D85" s="11" t="n">
        <v>1</v>
      </c>
      <c r="E85" t="n">
        <v>47.24</v>
      </c>
      <c r="F85" t="n">
        <v>23.61</v>
      </c>
      <c r="G85" s="5">
        <f>100*(F85-E85)/F85</f>
        <v/>
      </c>
      <c r="H85" t="n">
        <v>82.47</v>
      </c>
      <c r="I85" t="n">
        <v>8.039999999999999</v>
      </c>
      <c r="K85" t="n">
        <v>5.31</v>
      </c>
      <c r="M85" t="n">
        <v>14.52</v>
      </c>
      <c r="O85" t="n">
        <v>124.75</v>
      </c>
      <c r="P85" s="5">
        <f>O85/I85</f>
        <v/>
      </c>
      <c r="Q85" t="n">
        <v>13.19</v>
      </c>
      <c r="R85" s="2" t="n">
        <v>24.7</v>
      </c>
      <c r="S85" s="6" t="n">
        <v>0</v>
      </c>
      <c r="T85" s="7" t="n"/>
      <c r="U85" s="7" t="n"/>
      <c r="V85" s="7" t="n">
        <v>1</v>
      </c>
      <c r="W85" s="4" t="n"/>
      <c r="X85" s="4" t="n">
        <v>242</v>
      </c>
      <c r="Y85" s="4" t="n">
        <v>1570</v>
      </c>
      <c r="Z85" s="4" t="n">
        <v>1068</v>
      </c>
      <c r="AA85" s="5">
        <f>IF(X85&lt;50,IF(Y85&gt;(2.3*X85),0,1),1)-IF(Z85&gt;Y85,1.7,0)</f>
        <v/>
      </c>
      <c r="AB85" s="11" t="n">
        <v>100</v>
      </c>
      <c r="AC85" s="5">
        <f>IF(AB85&gt;4,1,0)+IF(AB85&gt;10,0.7,0)</f>
        <v/>
      </c>
      <c r="AD85" s="27" t="n">
        <v>28</v>
      </c>
      <c r="AE85" s="27" t="n">
        <v>16</v>
      </c>
      <c r="AF85" s="27" t="n">
        <v>51.67</v>
      </c>
      <c r="AG85" s="6">
        <f>IF(G85&lt;52,0,0.7)+IF(G85&lt;34,0,0.7)+IF(G85&lt;1,0,0.7)+IF(P85&gt;14.56,0,1)+IF(R85&lt;9,0.5,0)+IF(R85&lt;33.8,0.5,0)+IF(R85&lt;50,0.5,0)+IF(R85&lt;80,0.5,0)+IF(S85=5,0,S85)+IF(V85&gt;0,1,-1)+IF(AE85&lt;10.56,0,1)-IF(AE85&lt;3,1,0)-IF(AE85&lt;1,1,0)</f>
        <v/>
      </c>
      <c r="AH85" s="5">
        <f>AG85+IF(X85&lt;1.35,0,1)+IF(Y85&lt;1.35,0,1)+IF(Y85&lt;0.7,-1,0)+AC85+AA85</f>
        <v/>
      </c>
      <c r="AI85" s="5" t="n">
        <v>11</v>
      </c>
      <c r="AJ85" s="5">
        <f>IF(AI85&gt;12.7,IF(AI85&gt;15.8,0.93,0.98),1)</f>
        <v/>
      </c>
      <c r="AK85" s="5">
        <f>(1.5*AG85+AH85)*AJ85*AQ85</f>
        <v/>
      </c>
      <c r="AL85" s="4">
        <f>D85</f>
        <v/>
      </c>
      <c r="AM85" s="8">
        <f>B85</f>
        <v/>
      </c>
      <c r="AN85" s="35" t="n">
        <v>24</v>
      </c>
      <c r="AO85" s="61">
        <f>IF(Z85&lt;2.81,0,IF(AK85&gt;13.7,IF(Z85&lt;140,1,0),0))</f>
        <v/>
      </c>
      <c r="AP85" s="7">
        <f>IF(AK85&gt;13.93,IF(Z85&lt;300,IF(Z85&lt;35,IF(Z85&lt;6,3,2),1),0),0)</f>
        <v/>
      </c>
      <c r="AQ85" s="5" t="n">
        <v>1</v>
      </c>
      <c r="AR85" s="7">
        <f>IF(AO85=1,IF(AO85=AL85,1,0),5)</f>
        <v/>
      </c>
      <c r="AS85" s="27" t="n">
        <v>70</v>
      </c>
      <c r="AT85" s="5" t="n">
        <v>44</v>
      </c>
      <c r="AU85" s="5" t="n">
        <v>57</v>
      </c>
      <c r="AV85" s="5">
        <f>(AT85+AU85)/2</f>
        <v/>
      </c>
      <c r="AW85" s="27" t="n">
        <v>133</v>
      </c>
      <c r="AX85" s="4">
        <f>IF(AW85&gt;AV85,1,0)</f>
        <v/>
      </c>
      <c r="AY85" s="4">
        <f>(100*(AU85-AS85)/AS85)</f>
        <v/>
      </c>
      <c r="AZ85" s="4">
        <f>IF(AY85&lt;-50,-4,IF(AY85&lt;-20,-2,IF(AY85&lt;0,-1.5,IF(AY85=0,0,IF(AY85&lt;10,1.5,IF(AY85&lt;20,2,IF(AY85&gt;19,2.5,2.5)))))))</f>
        <v/>
      </c>
      <c r="BA85" s="7" t="n">
        <v>138</v>
      </c>
      <c r="BB85" s="5" t="n">
        <v>139.65</v>
      </c>
      <c r="BC85" s="5" t="n">
        <v>132.6</v>
      </c>
      <c r="BD85" s="5" t="n">
        <v>130</v>
      </c>
      <c r="BE85" s="5" t="n">
        <v>139</v>
      </c>
      <c r="BF85" s="5" t="n"/>
      <c r="BG85" s="5" t="n"/>
      <c r="BH85" s="5" t="n"/>
    </row>
    <row r="86" ht="12.75" customHeight="1">
      <c r="B86" s="27" t="inlineStr">
        <is>
          <t>Dachepalli Publishers</t>
        </is>
      </c>
      <c r="C86" s="11" t="n">
        <v>2025</v>
      </c>
      <c r="D86" s="11" t="n">
        <v>0</v>
      </c>
      <c r="E86" s="27" t="n">
        <v>44.11</v>
      </c>
      <c r="F86" s="27" t="n">
        <v>27.32</v>
      </c>
      <c r="G86" s="5">
        <f>100*(F86-E86)/F86</f>
        <v/>
      </c>
      <c r="H86" s="27" t="n">
        <v>104.34</v>
      </c>
      <c r="I86" s="27" t="n">
        <v>7.56</v>
      </c>
      <c r="J86" s="27" t="n"/>
      <c r="K86" s="27" t="n">
        <v>6.86</v>
      </c>
      <c r="L86" s="27" t="n"/>
      <c r="M86" s="27" t="n">
        <v>12.83</v>
      </c>
      <c r="N86" s="27" t="n"/>
      <c r="O86" s="27" t="n">
        <v>64.25</v>
      </c>
      <c r="P86" s="5">
        <f>O86/I86</f>
        <v/>
      </c>
      <c r="Q86" s="27" t="n">
        <v>14.86</v>
      </c>
      <c r="R86" s="28" t="n">
        <v>10.33</v>
      </c>
      <c r="S86" s="6" t="n">
        <v>0</v>
      </c>
      <c r="T86" s="7" t="n"/>
      <c r="U86" s="7" t="n"/>
      <c r="V86" s="7" t="n">
        <v>1</v>
      </c>
      <c r="W86" s="4" t="n"/>
      <c r="X86" s="4" t="n">
        <v>1.3</v>
      </c>
      <c r="Y86" s="4" t="n">
        <v>2.6</v>
      </c>
      <c r="Z86" s="4" t="n">
        <v>1.6</v>
      </c>
      <c r="AA86" s="5">
        <f>IF(X86&lt;50,IF(Y86&gt;(2.3*X86),0,1),1)-IF(Z86&gt;Y86,1.7,0)</f>
        <v/>
      </c>
      <c r="AB86" s="11" t="n">
        <v>3.92</v>
      </c>
      <c r="AC86" s="5">
        <f>IF(AB86&gt;4,1,0)+IF(AB86&gt;10,0.7,0)</f>
        <v/>
      </c>
      <c r="AD86" s="27" t="n">
        <v>128</v>
      </c>
      <c r="AE86" s="27" t="n">
        <v>26</v>
      </c>
      <c r="AF86" s="27" t="n">
        <v>31</v>
      </c>
      <c r="AG86" s="6">
        <f>IF(G86&lt;52,0,0.7)+IF(G86&lt;34,0,0.7)+IF(G86&lt;1,0,0.7)+IF(P86&gt;14.56,0,1)+IF(R86&lt;9,0.5,0)+IF(R86&lt;33.8,0.5,0)+IF(R86&lt;50,0.5,0)+IF(R86&lt;80,0.5,0)+IF(S86=5,0,S86)+IF(V86&gt;0,1,-1)+IF(AE86&lt;10.56,0,1)-IF(AE86&lt;3,1,0)-IF(AE86&lt;1,1,0)</f>
        <v/>
      </c>
      <c r="AH86" s="5">
        <f>AG86+IF(X86&lt;1.35,0,1)+IF(Y86&lt;1.35,0,1)+IF(Y86&lt;0.7,-1,0)+AC86+AA86</f>
        <v/>
      </c>
      <c r="AI86" s="5" t="n">
        <v>11</v>
      </c>
      <c r="AJ86" s="5">
        <f>IF(AI86&gt;12.7,IF(AI86&gt;15.8,0.93,0.98),1)</f>
        <v/>
      </c>
      <c r="AK86" s="5">
        <f>(1.5*AG86+AH86)*AJ86*AQ86</f>
        <v/>
      </c>
      <c r="AL86" s="4">
        <f>D86</f>
        <v/>
      </c>
      <c r="AM86" s="8">
        <f>B86</f>
        <v/>
      </c>
      <c r="AN86" s="35" t="n">
        <v>24</v>
      </c>
      <c r="AO86" s="61">
        <f>IF(Z86&lt;2.81,0,IF(AK86&gt;13.7,IF(Z86&lt;140,1,0),0))</f>
        <v/>
      </c>
      <c r="AP86" s="7">
        <f>IF(AK86&gt;13.93,IF(Z86&lt;300,IF(Z86&lt;35,IF(Z86&lt;6,3,2),1),0),0)</f>
        <v/>
      </c>
      <c r="AQ86" s="5" t="n">
        <v>1</v>
      </c>
      <c r="AR86" s="7">
        <f>IF(AO86=1,IF(AO86=AL86,1,0),5)</f>
        <v/>
      </c>
      <c r="AS86" s="27" t="n">
        <v>102</v>
      </c>
      <c r="AT86" s="5" t="n">
        <v>142</v>
      </c>
      <c r="AU86" s="5" t="n">
        <v>152</v>
      </c>
      <c r="AV86" s="5">
        <f>(AT86+AU86)/2</f>
        <v/>
      </c>
      <c r="AW86" s="27" t="n">
        <v>82</v>
      </c>
      <c r="AX86" s="4">
        <f>IF(AW86&gt;AV86,1,0)</f>
        <v/>
      </c>
      <c r="AY86" s="4">
        <f>(100*(AU86-AS86)/AS86)</f>
        <v/>
      </c>
      <c r="AZ86" s="4">
        <f>IF(AY86&lt;-50,-4,IF(AY86&lt;-20,-2,IF(AY86&lt;0,-1.5,IF(AY86=0,0,IF(AY86&lt;10,1.5,IF(AY86&lt;20,2,IF(AY86&gt;19,2.5,2.5)))))))</f>
        <v/>
      </c>
      <c r="BA86" s="7" t="n"/>
      <c r="BB86" s="5" t="n">
        <v>81</v>
      </c>
      <c r="BC86" s="5" t="n"/>
      <c r="BD86" s="5" t="n"/>
      <c r="BE86" s="5" t="n"/>
      <c r="BF86" s="5" t="n"/>
      <c r="BG86" s="5" t="n"/>
      <c r="BH86" s="5" t="n"/>
    </row>
    <row r="87" ht="12.75" customHeight="1">
      <c r="B87" t="inlineStr">
        <is>
          <t>EPW India</t>
        </is>
      </c>
      <c r="C87" s="11" t="n">
        <v>2025</v>
      </c>
      <c r="D87" s="11" t="n">
        <v>1</v>
      </c>
      <c r="E87" t="n">
        <v>12.25</v>
      </c>
      <c r="F87" t="n">
        <v>5.28</v>
      </c>
      <c r="G87" s="5">
        <f>100*(F87-E87)/F87</f>
        <v/>
      </c>
      <c r="H87" s="27" t="n">
        <v>26.55</v>
      </c>
      <c r="I87" s="27" t="n">
        <v>4.33</v>
      </c>
      <c r="J87" s="27" t="n"/>
      <c r="K87" s="27" t="n">
        <v>5.28</v>
      </c>
      <c r="L87" s="27" t="n"/>
      <c r="M87" s="27" t="n">
        <v>6.21</v>
      </c>
      <c r="N87" s="27" t="n"/>
      <c r="O87" s="27" t="n">
        <v>53.34</v>
      </c>
      <c r="P87" s="5">
        <f>O87/I87</f>
        <v/>
      </c>
      <c r="Q87" s="27" t="n">
        <v>18.36</v>
      </c>
      <c r="R87" s="28" t="n">
        <v>13.51</v>
      </c>
      <c r="S87" s="6" t="n">
        <v>1</v>
      </c>
      <c r="T87" s="7" t="n"/>
      <c r="U87" s="7" t="n"/>
      <c r="V87" s="7" t="n">
        <v>1</v>
      </c>
      <c r="W87" s="4" t="n"/>
      <c r="X87" s="4" t="n">
        <v>1.2</v>
      </c>
      <c r="Y87" s="4" t="n">
        <v>1.5</v>
      </c>
      <c r="Z87" s="4" t="n">
        <v>1.31</v>
      </c>
      <c r="AA87" s="5">
        <f>IF(X87&lt;50,IF(Y87&gt;(2.3*X87),0,1),1)-IF(Z87&gt;Y87,1.7,0)</f>
        <v/>
      </c>
      <c r="AB87" s="27" t="n">
        <v>0</v>
      </c>
      <c r="AC87" s="5">
        <f>IF(AB87&gt;4,1,0)+IF(AB87&gt;10,0.7,0)</f>
        <v/>
      </c>
      <c r="AD87" s="27" t="n">
        <v>485</v>
      </c>
      <c r="AE87" s="27" t="n">
        <v>188</v>
      </c>
      <c r="AF87" s="27" t="n">
        <v>456</v>
      </c>
      <c r="AG87" s="6">
        <f>IF(G87&lt;52,0,0.7)+IF(G87&lt;34,0,0.7)+IF(G87&lt;1,0,0.7)+IF(P87&gt;14.56,0,1)+IF(R87&lt;9,0.5,0)+IF(R87&lt;33.8,0.5,0)+IF(R87&lt;50,0.5,0)+IF(R87&lt;80,0.5,0)+IF(S87=5,0,S87)+IF(V87&gt;0,1,-1)+IF(AE87&lt;10.56,0,1)-IF(AE87&lt;3,1,0)-IF(AE87&lt;1,1,0)</f>
        <v/>
      </c>
      <c r="AH87" s="5">
        <f>AG87+IF(X87&lt;1.35,0,1)+IF(Y87&lt;1.35,0,1)+IF(Y87&lt;0.7,-1,0)+AC87+AA87</f>
        <v/>
      </c>
      <c r="AI87" s="5" t="n">
        <v>11</v>
      </c>
      <c r="AJ87" s="5">
        <f>IF(AI87&gt;12.7,IF(AI87&gt;15.8,0.93,0.98),1)</f>
        <v/>
      </c>
      <c r="AK87" s="5">
        <f>(1.5*AG87+AH87)*AJ87*AQ87</f>
        <v/>
      </c>
      <c r="AL87" s="4">
        <f>D87</f>
        <v/>
      </c>
      <c r="AM87" s="8">
        <f>B87</f>
        <v/>
      </c>
      <c r="AN87" s="31" t="n">
        <v>24</v>
      </c>
      <c r="AO87" s="61">
        <f>IF(Z87&lt;2.81,0,IF(AK87&gt;13.7,IF(Z87&lt;140,1,0),0))</f>
        <v/>
      </c>
      <c r="AP87" s="7">
        <f>IF(AK87&gt;13.93,IF(Z87&lt;300,IF(Z87&lt;35,IF(Z87&lt;6,3,2),1),0),0)</f>
        <v/>
      </c>
      <c r="AQ87" s="5" t="n">
        <v>1</v>
      </c>
      <c r="AR87" s="7">
        <f>IF(AO87=1,IF(AO87=AL87,1,0),5)</f>
        <v/>
      </c>
      <c r="AS87" s="32" t="n">
        <v>97</v>
      </c>
      <c r="AT87" s="5" t="n">
        <v>105</v>
      </c>
      <c r="AU87" s="5" t="n">
        <v>154</v>
      </c>
      <c r="AV87" s="5">
        <f>(AT87+AU87)/2</f>
        <v/>
      </c>
      <c r="AW87" s="32" t="n">
        <v>111</v>
      </c>
      <c r="AX87" s="4">
        <f>IF(AW87&gt;AV87,1,0)</f>
        <v/>
      </c>
      <c r="AY87" s="4">
        <f>(100*(AU87-AS87)/AS87)</f>
        <v/>
      </c>
      <c r="AZ87" s="4">
        <f>IF(AY87&lt;-50,-4,IF(AY87&lt;-20,-2,IF(AY87&lt;0,-1.5,IF(AY87=0,0,IF(AY87&lt;10,1.5,IF(AY87&lt;20,2,IF(AY87&gt;19,2.5,2.5)))))))</f>
        <v/>
      </c>
      <c r="BA87" s="15" t="n">
        <v>99.5</v>
      </c>
      <c r="BB87" s="17" t="n">
        <v>116</v>
      </c>
      <c r="BC87" s="17" t="n">
        <v>122</v>
      </c>
      <c r="BD87" s="17" t="n">
        <v>117</v>
      </c>
      <c r="BE87" s="17" t="n">
        <v>130</v>
      </c>
      <c r="BF87" s="5" t="n"/>
      <c r="BG87" s="5" t="n"/>
      <c r="BH87" s="5" t="n"/>
    </row>
    <row r="88" ht="12.75" customHeight="1">
      <c r="B88" s="27" t="inlineStr">
        <is>
          <t>Sundrex Oil</t>
        </is>
      </c>
      <c r="C88" s="11" t="n">
        <v>2025</v>
      </c>
      <c r="D88" s="11" t="n">
        <v>0</v>
      </c>
      <c r="E88" s="27" t="n">
        <v>17.38</v>
      </c>
      <c r="F88" s="27" t="n">
        <v>15.28</v>
      </c>
      <c r="G88" s="5">
        <f>100*(F88-E88)/F88</f>
        <v/>
      </c>
      <c r="H88" s="27" t="n">
        <v>38.43</v>
      </c>
      <c r="I88" s="27" t="n">
        <v>5.44</v>
      </c>
      <c r="J88" s="27" t="n"/>
      <c r="K88" s="27" t="n">
        <v>8.039999999999999</v>
      </c>
      <c r="L88" s="27" t="n"/>
      <c r="M88" s="27" t="n">
        <v>9.19</v>
      </c>
      <c r="N88" s="27" t="n"/>
      <c r="O88" s="27" t="n">
        <v>69.12</v>
      </c>
      <c r="P88" s="5">
        <f>O88/I88</f>
        <v/>
      </c>
      <c r="Q88" t="n">
        <v>10.69</v>
      </c>
      <c r="R88" s="28" t="n">
        <v>24</v>
      </c>
      <c r="S88" s="6" t="n">
        <v>0</v>
      </c>
      <c r="T88" s="37" t="n"/>
      <c r="U88" s="37" t="n"/>
      <c r="V88" s="37" t="n">
        <v>0</v>
      </c>
      <c r="W88" s="27" t="n"/>
      <c r="X88" s="27" t="n">
        <v>1</v>
      </c>
      <c r="Y88" s="27" t="n">
        <v>1</v>
      </c>
      <c r="Z88" s="27" t="n">
        <v>1.85</v>
      </c>
      <c r="AA88" s="5">
        <f>IF(X88&lt;50,IF(Y88&gt;(2.3*X88),0,1),1)-IF(Z88&gt;Y88,1.7,0)</f>
        <v/>
      </c>
      <c r="AB88" s="27" t="n">
        <v>0</v>
      </c>
      <c r="AC88" s="5">
        <f>IF(AB88&gt;4,1,0)+IF(AB88&gt;10,0.7,0)</f>
        <v/>
      </c>
      <c r="AD88" t="n">
        <v>112</v>
      </c>
      <c r="AE88" t="n">
        <v>41</v>
      </c>
      <c r="AF88" t="n">
        <v>286</v>
      </c>
      <c r="AG88" s="6">
        <f>IF(G88&lt;52,0,0.7)+IF(G88&lt;34,0,0.7)+IF(G88&lt;1,0,0.7)+IF(P88&gt;14.56,0,1)+IF(R88&lt;9,0.5,0)+IF(R88&lt;33.8,0.5,0)+IF(R88&lt;50,0.5,0)+IF(R88&lt;80,0.5,0)+IF(S88=5,0,S88)+IF(V88&gt;0,1,-1)+IF(AE88&lt;10.56,0,1)-IF(AE88&lt;3,1,0)-IF(AE88&lt;1,1,0)</f>
        <v/>
      </c>
      <c r="AH88" s="5">
        <f>AG88+IF(X88&lt;1.35,0,1)+IF(Y88&lt;1.35,0,1)+IF(Y88&lt;0.7,-1,0)+AC88+AA88</f>
        <v/>
      </c>
      <c r="AI88" s="5" t="n">
        <v>11</v>
      </c>
      <c r="AJ88" s="5">
        <f>IF(AI88&gt;12.7,IF(AI88&gt;15.8,0.93,0.98),1)</f>
        <v/>
      </c>
      <c r="AK88" s="5">
        <f>(1.5*AG88+AH88)*AJ88*AQ88</f>
        <v/>
      </c>
      <c r="AL88" s="4">
        <f>D88</f>
        <v/>
      </c>
      <c r="AM88" s="8">
        <f>B88</f>
        <v/>
      </c>
      <c r="AN88" s="35" t="n">
        <v>24</v>
      </c>
      <c r="AO88" s="61">
        <f>IF(Z88&lt;2.81,0,IF(AK88&gt;13.7,IF(Z88&lt;140,1,0),0))</f>
        <v/>
      </c>
      <c r="AP88" s="7">
        <f>IF(AK88&gt;13.93,IF(Z88&lt;300,IF(Z88&lt;35,IF(Z88&lt;6,3,2),1),0),0)</f>
        <v/>
      </c>
      <c r="AQ88" s="5" t="n">
        <v>1</v>
      </c>
      <c r="AR88" s="7">
        <f>IF(AO88=1,IF(AO88=AL88,1,0),5)</f>
        <v/>
      </c>
      <c r="AS88" s="27" t="n">
        <v>86</v>
      </c>
      <c r="AT88" s="5" t="n">
        <v>57</v>
      </c>
      <c r="AU88" s="5" t="n">
        <v>69</v>
      </c>
      <c r="AV88" s="5">
        <f>(AT88+AU88)/2</f>
        <v/>
      </c>
      <c r="AW88" s="27" t="n">
        <v>69</v>
      </c>
      <c r="AX88" s="4">
        <f>IF(AW88&gt;AV88,1,0)</f>
        <v/>
      </c>
      <c r="AY88" s="4">
        <f>(100*(AU88-AS88)/AS88)</f>
        <v/>
      </c>
      <c r="AZ88" s="4">
        <f>IF(AY88&lt;-50,-4,IF(AY88&lt;-20,-2,IF(AY88&lt;0,-1.5,IF(AY88=0,0,IF(AY88&lt;10,1.5,IF(AY88&lt;20,2,IF(AY88&gt;19,2.5,2.5)))))))</f>
        <v/>
      </c>
      <c r="BA88" s="7" t="n"/>
      <c r="BB88" s="5" t="n"/>
      <c r="BC88" s="5" t="n"/>
      <c r="BD88" s="5" t="n"/>
      <c r="BE88" s="5" t="n"/>
      <c r="BF88" s="5" t="n"/>
      <c r="BG88" s="5" t="n"/>
      <c r="BH88" s="5" t="n"/>
    </row>
    <row r="89" ht="12.75" customHeight="1">
      <c r="B89" s="38" t="inlineStr">
        <is>
          <t>Admach Systems</t>
        </is>
      </c>
      <c r="C89" s="11" t="n">
        <v>2025</v>
      </c>
      <c r="D89" s="11" t="n">
        <v>0</v>
      </c>
      <c r="E89" s="38" t="n">
        <v>10.66</v>
      </c>
      <c r="F89" s="38" t="n">
        <v>22.03</v>
      </c>
      <c r="G89" s="5">
        <f>100*(F89-E89)/F89</f>
        <v/>
      </c>
      <c r="H89" s="38" t="n">
        <v>55.9</v>
      </c>
      <c r="I89" s="38" t="n">
        <v>6.1</v>
      </c>
      <c r="J89" s="27" t="n"/>
      <c r="K89" s="38" t="n">
        <v>12.22</v>
      </c>
      <c r="L89" s="27" t="n"/>
      <c r="M89" s="38" t="n">
        <v>10.31</v>
      </c>
      <c r="N89" s="27" t="n"/>
      <c r="O89" s="38" t="n">
        <v>53.52</v>
      </c>
      <c r="P89" s="5">
        <f>O89/I89</f>
        <v/>
      </c>
      <c r="Q89" t="n">
        <v>19.56</v>
      </c>
      <c r="R89" s="2" t="n">
        <v>13.41</v>
      </c>
      <c r="S89" s="6" t="n">
        <v>-1</v>
      </c>
      <c r="T89" s="39" t="n"/>
      <c r="U89" s="39" t="n"/>
      <c r="V89" s="39" t="n">
        <v>1.44</v>
      </c>
      <c r="W89" s="38" t="n">
        <v>1</v>
      </c>
      <c r="X89" s="38" t="n">
        <v>1.44</v>
      </c>
      <c r="Y89" s="38" t="n">
        <v>6.57</v>
      </c>
      <c r="Z89" s="38" t="n">
        <v>2.8</v>
      </c>
      <c r="AA89" s="5">
        <f>IF(X89&lt;50,IF(Y89&gt;(2.3*X89),0,1),1)-IF(Z89&gt;Y89,1.7,0)</f>
        <v/>
      </c>
      <c r="AB89" s="38" t="n">
        <v>2.09</v>
      </c>
      <c r="AC89" s="5">
        <f>IF(AB89&gt;4,1,0)+IF(AB89&gt;10,0.7,0)</f>
        <v/>
      </c>
      <c r="AD89" s="27" t="n">
        <v>82</v>
      </c>
      <c r="AE89" s="27" t="n">
        <v>170</v>
      </c>
      <c r="AF89" s="27" t="n">
        <v>284</v>
      </c>
      <c r="AG89" s="6">
        <f>IF(G89&lt;52,0,0.7)+IF(G89&lt;34,0,0.7)+IF(G89&lt;1,0,0.7)+IF(P89&gt;14.56,0,1)+IF(R89&lt;9,0.5,0)+IF(R89&lt;33.8,0.5,0)+IF(R89&lt;50,0.5,0)+IF(R89&lt;80,0.5,0)+IF(S89=5,0,S89)+IF(V89&gt;0,1,-1)+IF(AE89&lt;10.56,0,1)-IF(AE89&lt;3,1,0)-IF(AE89&lt;1,1,0)</f>
        <v/>
      </c>
      <c r="AH89" s="5">
        <f>AG89+IF(X89&lt;1.35,0,1)+IF(Y89&lt;1.35,0,1)+IF(Y89&lt;0.7,-1,0)+AC89+AA89</f>
        <v/>
      </c>
      <c r="AI89" s="5" t="n">
        <v>11</v>
      </c>
      <c r="AJ89" s="5">
        <f>IF(AI89&gt;12.7,IF(AI89&gt;15.8,0.93,0.98),1)</f>
        <v/>
      </c>
      <c r="AK89" s="5">
        <f>(1.5*AG89+AH89)*AJ89*AQ89</f>
        <v/>
      </c>
      <c r="AL89" s="4">
        <f>D89</f>
        <v/>
      </c>
      <c r="AM89" s="8">
        <f>B89</f>
        <v/>
      </c>
      <c r="AN89" s="40" t="n">
        <v>26</v>
      </c>
      <c r="AO89" s="61">
        <f>IF(Z89&lt;2.81,0,IF(AK89&gt;13.7,IF(Z89&lt;140,1,0),0))</f>
        <v/>
      </c>
      <c r="AP89" s="7">
        <f>IF(AK89&gt;13.93,IF(Z89&lt;300,IF(Z89&lt;35,IF(Z89&lt;6,3,2),1),0),0)</f>
        <v/>
      </c>
      <c r="AQ89" s="5" t="n">
        <v>1</v>
      </c>
      <c r="AR89" s="7">
        <f>IF(AO89=1,IF(AO89=AL89,1,0),5)</f>
        <v/>
      </c>
      <c r="AS89" s="27" t="n">
        <v>239</v>
      </c>
      <c r="AT89" s="5" t="n">
        <v>256</v>
      </c>
      <c r="AU89" s="5" t="n">
        <v>267</v>
      </c>
      <c r="AV89" s="5">
        <f>(AT89+AU89)/2</f>
        <v/>
      </c>
      <c r="AW89" s="27" t="n">
        <v>191</v>
      </c>
      <c r="AX89" s="4">
        <f>IF(AW89&gt;AV89,1,0)</f>
        <v/>
      </c>
      <c r="AY89" s="4">
        <f>(100*(AU89-AS89)/AS89)</f>
        <v/>
      </c>
      <c r="AZ89" s="4">
        <f>IF(AY89&lt;-50,-4,IF(AY89&lt;-20,-2,IF(AY89&lt;0,-1.5,IF(AY89=0,0,IF(AY89&lt;10,1.5,IF(AY89&lt;20,2,IF(AY89&gt;19,2.5,2.5)))))))</f>
        <v/>
      </c>
      <c r="BA89" s="7" t="n">
        <v>250</v>
      </c>
      <c r="BB89" s="5" t="inlineStr">
        <is>
          <t>B</t>
        </is>
      </c>
      <c r="BC89" s="5" t="n">
        <v>211</v>
      </c>
      <c r="BD89" s="5" t="n">
        <v>221</v>
      </c>
      <c r="BE89" s="5" t="n">
        <v>242</v>
      </c>
      <c r="BF89" s="5" t="n"/>
      <c r="BG89" s="5" t="n"/>
      <c r="BH89" s="5" t="n"/>
    </row>
    <row r="90" ht="12.75" customHeight="1">
      <c r="B90" s="38" t="inlineStr">
        <is>
          <t>Nanta Tech</t>
        </is>
      </c>
      <c r="C90" s="11" t="n">
        <v>2025</v>
      </c>
      <c r="D90" s="11" t="n">
        <v>1</v>
      </c>
      <c r="E90" s="38" t="n">
        <v>0.5</v>
      </c>
      <c r="F90" s="38" t="n">
        <v>14.14</v>
      </c>
      <c r="G90" s="5">
        <f>100*(F90-E90)/F90</f>
        <v/>
      </c>
      <c r="H90" s="38" t="n">
        <v>31.23</v>
      </c>
      <c r="I90" s="38" t="n">
        <v>4.76</v>
      </c>
      <c r="J90" s="38" t="n"/>
      <c r="K90" s="38" t="n">
        <v>12.91</v>
      </c>
      <c r="L90" s="38" t="n"/>
      <c r="M90" s="38" t="n">
        <v>6.48</v>
      </c>
      <c r="N90" s="38" t="n"/>
      <c r="O90" s="38" t="n">
        <v>51.24</v>
      </c>
      <c r="P90" s="5">
        <f>O90/I90</f>
        <v/>
      </c>
      <c r="Q90" s="38" t="n">
        <v>17.03</v>
      </c>
      <c r="R90" s="41" t="n">
        <v>12.85</v>
      </c>
      <c r="S90" s="6" t="n">
        <v>-1</v>
      </c>
      <c r="T90" s="39" t="n"/>
      <c r="U90" s="39" t="n"/>
      <c r="V90" s="39" t="n">
        <v>1</v>
      </c>
      <c r="W90" s="38" t="n">
        <v>0</v>
      </c>
      <c r="X90" s="38" t="n">
        <v>12</v>
      </c>
      <c r="Y90" s="38" t="n">
        <v>4.8</v>
      </c>
      <c r="Z90" s="38" t="n">
        <v>1.71</v>
      </c>
      <c r="AA90" s="5">
        <f>IF(X90&lt;50,IF(Y90&gt;(2.3*X90),0,1),1)-IF(Z90&gt;Y90,1.7,0)</f>
        <v/>
      </c>
      <c r="AB90" s="38" t="n">
        <v>0</v>
      </c>
      <c r="AC90" s="5">
        <f>IF(AB90&gt;4,1,0)+IF(AB90&gt;10,0.7,0)</f>
        <v/>
      </c>
      <c r="AD90" s="27" t="n">
        <v>84</v>
      </c>
      <c r="AE90" s="27" t="n">
        <v>93</v>
      </c>
      <c r="AF90" s="27" t="n">
        <v>133</v>
      </c>
      <c r="AG90" s="6">
        <f>IF(G90&lt;52,0,0.7)+IF(G90&lt;34,0,0.7)+IF(G90&lt;1,0,0.7)+IF(P90&gt;14.56,0,1)+IF(R90&lt;9,0.5,0)+IF(R90&lt;33.8,0.5,0)+IF(R90&lt;50,0.5,0)+IF(R90&lt;80,0.5,0)+IF(S90=5,0,S90)+IF(V90&gt;0,1,-1)+IF(AE90&lt;10.56,0,1)-IF(AE90&lt;3,1,0)-IF(AE90&lt;1,1,0)</f>
        <v/>
      </c>
      <c r="AH90" s="5">
        <f>AG90+IF(X90&lt;1.35,0,1)+IF(Y90&lt;1.35,0,1)+IF(Y90&lt;0.7,-1,0)+AC90+AA90</f>
        <v/>
      </c>
      <c r="AI90" s="5" t="n">
        <v>11</v>
      </c>
      <c r="AJ90" s="5">
        <f>IF(AI90&gt;12.7,IF(AI90&gt;15.8,0.93,0.98),1)</f>
        <v/>
      </c>
      <c r="AK90" s="5">
        <f>(1.5*AG90+AH90)*AJ90*AQ90</f>
        <v/>
      </c>
      <c r="AL90" s="4">
        <f>D90</f>
        <v/>
      </c>
      <c r="AM90" s="8">
        <f>B90</f>
        <v/>
      </c>
      <c r="AN90" s="31" t="n">
        <v>26</v>
      </c>
      <c r="AO90" s="61">
        <f>IF(Z90&lt;2.81,0,IF(AK90&gt;13.7,IF(Z90&lt;140,1,0),0))</f>
        <v/>
      </c>
      <c r="AP90" s="7">
        <f>IF(AK90&gt;13.93,IF(Z90&lt;300,IF(Z90&lt;35,IF(Z90&lt;6,3,2),1),0),0)</f>
        <v/>
      </c>
      <c r="AQ90" s="5" t="n">
        <v>1</v>
      </c>
      <c r="AR90" s="7">
        <f>IF(AO90=1,IF(AO90=AL90,1,0),5)</f>
        <v/>
      </c>
      <c r="AS90" s="32" t="n">
        <v>220</v>
      </c>
      <c r="AT90" s="5" t="n">
        <v>112</v>
      </c>
      <c r="AU90" s="5" t="n">
        <v>182</v>
      </c>
      <c r="AV90" s="5">
        <f>(AT90+AU90)/2</f>
        <v/>
      </c>
      <c r="AW90" s="32" t="n">
        <v>234</v>
      </c>
      <c r="AX90" s="4">
        <f>IF(AW90&gt;AV90,1,0)</f>
        <v/>
      </c>
      <c r="AY90" s="4">
        <f>(100*(AU90-AS90)/AS90)</f>
        <v/>
      </c>
      <c r="AZ90" s="4">
        <f>IF(AY90&lt;-50,-4,IF(AY90&lt;-20,-2,IF(AY90&lt;0,-1.5,IF(AY90=0,0,IF(AY90&lt;10,1.5,IF(AY90&lt;20,2,IF(AY90&gt;19,2.5,2.5)))))))</f>
        <v/>
      </c>
      <c r="BA90" s="15" t="n">
        <v>240</v>
      </c>
      <c r="BB90" s="17" t="n">
        <v>245</v>
      </c>
      <c r="BC90" s="17" t="n">
        <v>258</v>
      </c>
      <c r="BD90" s="17" t="n">
        <v>265</v>
      </c>
      <c r="BE90" s="17" t="n"/>
      <c r="BF90" s="5" t="n"/>
      <c r="BG90" s="5" t="n"/>
      <c r="BH90" s="5" t="n"/>
    </row>
    <row r="91" ht="12.75" customHeight="1">
      <c r="B91" t="inlineStr">
        <is>
          <t>Apollo Techno Industries</t>
        </is>
      </c>
      <c r="C91" s="11" t="n">
        <v>2025</v>
      </c>
      <c r="D91" s="11" t="n">
        <v>1</v>
      </c>
      <c r="E91" t="n">
        <v>31.75</v>
      </c>
      <c r="F91" t="n">
        <v>25.32</v>
      </c>
      <c r="G91" s="5">
        <f>100*(F91-E91)/F91</f>
        <v/>
      </c>
      <c r="H91" t="n">
        <v>76.25</v>
      </c>
      <c r="I91" t="n">
        <v>13.79</v>
      </c>
      <c r="K91" t="n">
        <v>13.79</v>
      </c>
      <c r="M91" t="n">
        <v>18.15</v>
      </c>
      <c r="O91" t="n">
        <v>99.66</v>
      </c>
      <c r="P91" s="5">
        <f>O91/I91</f>
        <v/>
      </c>
      <c r="Q91" t="n">
        <v>9.43</v>
      </c>
      <c r="R91" s="2" t="n">
        <v>14.62</v>
      </c>
      <c r="S91" s="6" t="n">
        <v>0</v>
      </c>
      <c r="T91" s="1" t="n"/>
      <c r="U91" s="1" t="n"/>
      <c r="V91" s="1" t="n">
        <v>1</v>
      </c>
      <c r="W91" t="n">
        <v>1</v>
      </c>
      <c r="X91" t="n">
        <v>18.3</v>
      </c>
      <c r="Y91" t="n">
        <v>77</v>
      </c>
      <c r="Z91" t="n">
        <v>33.4</v>
      </c>
      <c r="AA91" s="5">
        <f>IF(X91&lt;50,IF(Y91&gt;(2.3*X91),0,1),1)-IF(Z91&gt;Y91,1.7,0)</f>
        <v/>
      </c>
      <c r="AB91" t="n">
        <v>4.62</v>
      </c>
      <c r="AC91" s="5">
        <f>IF(AB91&gt;4,1,0)+IF(AB91&gt;10,0.7,0)</f>
        <v/>
      </c>
      <c r="AD91" s="27" t="n">
        <v>327</v>
      </c>
      <c r="AE91" s="27" t="n">
        <v>44</v>
      </c>
      <c r="AF91" s="27" t="n">
        <v>118</v>
      </c>
      <c r="AG91" s="6">
        <f>IF(G91&lt;52,0,0.7)+IF(G91&lt;34,0,0.7)+IF(G91&lt;1,0,0.7)+IF(P91&gt;14.56,0,1)+IF(R91&lt;9,0.5,0)+IF(R91&lt;33.8,0.5,0)+IF(R91&lt;50,0.5,0)+IF(R91&lt;80,0.5,0)+IF(S91=5,0,S91)+IF(V91&gt;0,1,-1)+IF(AE91&lt;10.56,0,1)-IF(AE91&lt;3,1,0)-IF(AE91&lt;1,1,0)</f>
        <v/>
      </c>
      <c r="AH91" s="5">
        <f>AG91+IF(X91&lt;1.35,0,1)+IF(Y91&lt;1.35,0,1)+IF(Y91&lt;0.7,-1,0)+AC91+AA91</f>
        <v/>
      </c>
      <c r="AI91" s="5" t="n">
        <v>11</v>
      </c>
      <c r="AJ91" s="5">
        <f>IF(AI91&gt;12.7,IF(AI91&gt;15.8,0.93,0.98),1)</f>
        <v/>
      </c>
      <c r="AK91" s="5">
        <f>(1.5*AG91+AH91)*AJ91*AQ91</f>
        <v/>
      </c>
      <c r="AL91" s="4">
        <f>D91</f>
        <v/>
      </c>
      <c r="AM91" s="8">
        <f>B91</f>
        <v/>
      </c>
      <c r="AN91" s="40" t="n">
        <v>26</v>
      </c>
      <c r="AO91" s="61">
        <f>IF(Z91&lt;2.81,0,IF(AK91&gt;13.7,IF(Z91&lt;140,1,0),0))</f>
        <v/>
      </c>
      <c r="AP91" s="7">
        <f>IF(AK91&gt;13.93,IF(Z91&lt;300,IF(Z91&lt;35,IF(Z91&lt;6,3,2),1),0),0)</f>
        <v/>
      </c>
      <c r="AQ91" s="5" t="n">
        <v>1</v>
      </c>
      <c r="AR91" s="7">
        <f>IF(AO91=1,IF(AO91=AL91,1,0),5)</f>
        <v/>
      </c>
      <c r="AS91" s="27" t="n">
        <v>130</v>
      </c>
      <c r="AT91" s="5" t="n">
        <v>88</v>
      </c>
      <c r="AU91" s="5" t="n">
        <v>102</v>
      </c>
      <c r="AV91" s="5">
        <f>(AT91+AU91)/2</f>
        <v/>
      </c>
      <c r="AW91" s="27" t="n">
        <v>145</v>
      </c>
      <c r="AX91" s="4">
        <f>IF(AW91&gt;AV91,1,0)</f>
        <v/>
      </c>
      <c r="AY91" s="4">
        <f>(100*(AU91-AS91)/AS91)</f>
        <v/>
      </c>
      <c r="AZ91" s="4">
        <f>IF(AY91&lt;-50,-4,IF(AY91&lt;-20,-2,IF(AY91&lt;0,-1.5,IF(AY91=0,0,IF(AY91&lt;10,1.5,IF(AY91&lt;20,2,IF(AY91&gt;19,2.5,2.5)))))))</f>
        <v/>
      </c>
      <c r="BA91" s="7" t="n"/>
      <c r="BB91" s="5" t="n">
        <v>151</v>
      </c>
      <c r="BC91" s="5" t="n"/>
      <c r="BD91" s="5" t="n"/>
      <c r="BE91" s="5" t="n"/>
      <c r="BF91" s="5" t="n"/>
      <c r="BG91" s="5" t="n"/>
      <c r="BH91" s="5" t="n"/>
    </row>
    <row r="92" ht="12.75" customHeight="1">
      <c r="B92" s="42" t="inlineStr">
        <is>
          <t>Bai Kakaji Polymers</t>
        </is>
      </c>
      <c r="C92" s="11" t="n">
        <v>2025</v>
      </c>
      <c r="D92" s="11" t="n">
        <v>1</v>
      </c>
      <c r="E92" s="42" t="n">
        <v>109</v>
      </c>
      <c r="F92" s="42" t="n">
        <v>53.7</v>
      </c>
      <c r="G92" s="5">
        <f>100*(F92-E92)/F92</f>
        <v/>
      </c>
      <c r="H92" s="42" t="n">
        <v>203</v>
      </c>
      <c r="I92" s="42" t="n">
        <v>18.3</v>
      </c>
      <c r="J92" s="42" t="n"/>
      <c r="K92" s="42" t="n">
        <v>11.66</v>
      </c>
      <c r="M92" s="27" t="n">
        <v>33.51</v>
      </c>
      <c r="N92" s="42" t="n"/>
      <c r="O92" s="42" t="n">
        <v>332.12</v>
      </c>
      <c r="P92" s="5">
        <f>O92/I92</f>
        <v/>
      </c>
      <c r="Q92" s="42" t="n">
        <v>16</v>
      </c>
      <c r="R92" s="43" t="n"/>
      <c r="S92" s="6" t="n">
        <v>0</v>
      </c>
      <c r="T92" s="44" t="n"/>
      <c r="U92" s="44" t="n"/>
      <c r="V92" s="44" t="n">
        <v>1</v>
      </c>
      <c r="W92" s="42" t="n">
        <v>1</v>
      </c>
      <c r="X92" s="42" t="n">
        <v>7.9</v>
      </c>
      <c r="Y92" s="42" t="n">
        <v>5.4</v>
      </c>
      <c r="Z92" s="42" t="n">
        <v>2.39</v>
      </c>
      <c r="AA92" s="5">
        <f>IF(X92&lt;50,IF(Y92&gt;(2.3*X92),0,1),1)-IF(Z92&gt;Y92,1.7,0)</f>
        <v/>
      </c>
      <c r="AB92" s="42" t="n">
        <v>4.84</v>
      </c>
      <c r="AC92" s="5">
        <f>IF(AB92&gt;4,1,0)+IF(AB92&gt;10,0.7,0)</f>
        <v/>
      </c>
      <c r="AD92" s="27" t="n">
        <v>100</v>
      </c>
      <c r="AE92" s="27" t="n">
        <v>12.16</v>
      </c>
      <c r="AF92" s="27" t="n">
        <v>55</v>
      </c>
      <c r="AG92" s="6">
        <f>IF(G92&lt;52,0,0.7)+IF(G92&lt;34,0,0.7)+IF(G92&lt;1,0,0.7)+IF(P92&gt;14.56,0,1)+IF(R92&lt;9,0.5,0)+IF(R92&lt;33.8,0.5,0)+IF(R92&lt;50,0.5,0)+IF(R92&lt;80,0.5,0)+IF(S92=5,0,S92)+IF(V92&gt;0,1,-1)+IF(AE92&lt;10.56,0,1)-IF(AE92&lt;3,1,0)-IF(AE92&lt;1,1,0)</f>
        <v/>
      </c>
      <c r="AH92" s="5">
        <f>AG92+IF(X92&lt;1.35,0,1)+IF(Y92&lt;1.35,0,1)+IF(Y92&lt;0.7,-1,0)+AC92+AA92</f>
        <v/>
      </c>
      <c r="AI92" s="5" t="n">
        <v>11</v>
      </c>
      <c r="AJ92" s="5">
        <f>IF(AI92&gt;12.7,IF(AI92&gt;15.8,0.93,0.98),1)</f>
        <v/>
      </c>
      <c r="AK92" s="5">
        <f>(1.5*AG92+AH92)*AJ92*AQ92</f>
        <v/>
      </c>
      <c r="AL92" s="4">
        <f>D92</f>
        <v/>
      </c>
      <c r="AM92" s="8">
        <f>B92</f>
        <v/>
      </c>
      <c r="AN92" s="40" t="n">
        <v>26</v>
      </c>
      <c r="AO92" s="61">
        <f>IF(Z92&lt;2.81,0,IF(AK92&gt;13.7,IF(Z92&lt;140,1,0),0))</f>
        <v/>
      </c>
      <c r="AP92" s="7">
        <f>IF(AK92&gt;13.93,IF(Z92&lt;300,IF(Z92&lt;35,IF(Z92&lt;6,3,2),1),0),0)</f>
        <v/>
      </c>
      <c r="AQ92" s="5" t="n">
        <v>1</v>
      </c>
      <c r="AR92" s="7">
        <f>IF(AO92=1,IF(AO92=AL92,1,0),5)</f>
        <v/>
      </c>
      <c r="AS92" s="27" t="n">
        <v>186</v>
      </c>
      <c r="AT92" s="5" t="n">
        <v>167</v>
      </c>
      <c r="AU92" s="5" t="n">
        <v>215</v>
      </c>
      <c r="AV92" s="5">
        <f>(AT92+AU92)/2</f>
        <v/>
      </c>
      <c r="AW92" s="27" t="n">
        <v>190</v>
      </c>
      <c r="AX92" s="4">
        <f>IF(AW92&gt;AV92,1,0)</f>
        <v/>
      </c>
      <c r="AY92" s="4">
        <f>(100*(AU92-AS92)/AS92)</f>
        <v/>
      </c>
      <c r="AZ92" s="4">
        <f>IF(AY92&lt;-50,-4,IF(AY92&lt;-20,-2,IF(AY92&lt;0,-1.5,IF(AY92=0,0,IF(AY92&lt;10,1.5,IF(AY92&lt;20,2,IF(AY92&gt;19,2.5,2.5)))))))</f>
        <v/>
      </c>
      <c r="BA92" s="7" t="n"/>
      <c r="BB92" s="5" t="n">
        <v>188</v>
      </c>
      <c r="BC92" s="5" t="n"/>
      <c r="BD92" s="5" t="n"/>
      <c r="BE92" s="5" t="n"/>
      <c r="BF92" s="5" t="n"/>
      <c r="BG92" s="5" t="n"/>
      <c r="BH92" s="5" t="n"/>
    </row>
    <row r="93" ht="11.25" customHeight="1">
      <c r="B93" t="inlineStr">
        <is>
          <t>Dhara Rail Projects</t>
        </is>
      </c>
      <c r="C93" s="11" t="n">
        <v>2025</v>
      </c>
      <c r="D93" s="11" t="n">
        <v>1</v>
      </c>
      <c r="E93" t="n">
        <v>21.29</v>
      </c>
      <c r="F93" t="n">
        <v>12.9</v>
      </c>
      <c r="G93" s="5">
        <f>100*(F93-E93)/F93</f>
        <v/>
      </c>
      <c r="H93" t="n">
        <v>46.24</v>
      </c>
      <c r="I93" t="n">
        <v>6.53</v>
      </c>
      <c r="K93" t="n">
        <v>5.88</v>
      </c>
      <c r="M93" t="n">
        <v>5.28</v>
      </c>
      <c r="O93" t="n">
        <v>48</v>
      </c>
      <c r="P93" s="5">
        <f>O93/I93</f>
        <v/>
      </c>
      <c r="Q93" s="42" t="n">
        <v>21.43</v>
      </c>
      <c r="R93" s="43" t="n">
        <v>26.07</v>
      </c>
      <c r="S93" s="6" t="n">
        <v>-0.5</v>
      </c>
      <c r="T93" s="44" t="n"/>
      <c r="U93" s="44" t="n"/>
      <c r="V93" s="44" t="n">
        <v>1</v>
      </c>
      <c r="W93" s="42" t="n">
        <v>1</v>
      </c>
      <c r="X93" s="42" t="n">
        <v>49.5</v>
      </c>
      <c r="Y93" s="42" t="n">
        <v>158</v>
      </c>
      <c r="Z93" t="n">
        <v>71.5</v>
      </c>
      <c r="AA93" s="5">
        <f>IF(X93&lt;50,IF(Y93&gt;(2.3*X93),0,1),1)-IF(Z93&gt;Y93,1.7,0)</f>
        <v/>
      </c>
      <c r="AB93" t="n">
        <v>11</v>
      </c>
      <c r="AC93" s="5">
        <f>IF(AB93&gt;4,1,0)+IF(AB93&gt;10,0.7,0)</f>
        <v/>
      </c>
      <c r="AD93" s="27" t="n">
        <v>110</v>
      </c>
      <c r="AE93" s="27" t="n">
        <v>35</v>
      </c>
      <c r="AF93" s="27" t="n">
        <v>90</v>
      </c>
      <c r="AG93" s="6">
        <f>IF(G93&lt;52,0,0.7)+IF(G93&lt;34,0,0.7)+IF(G93&lt;1,0,0.7)+IF(P93&gt;14.56,0,1)+IF(R93&lt;9,0.5,0)+IF(R93&lt;33.8,0.5,0)+IF(R93&lt;50,0.5,0)+IF(R93&lt;80,0.5,0)+IF(S93=5,0,S93)+IF(V93&gt;0,1,-1)+IF(AE93&lt;10.56,0,1)-IF(AE93&lt;3,1,0)-IF(AE93&lt;1,1,0)</f>
        <v/>
      </c>
      <c r="AH93" s="5">
        <f>AG93+IF(X93&lt;1.35,0,1)+IF(Y93&lt;1.35,0,1)+IF(Y93&lt;0.7,-1,0)+AC93+AA93</f>
        <v/>
      </c>
      <c r="AI93" s="5" t="n">
        <v>11</v>
      </c>
      <c r="AJ93" s="5">
        <f>IF(AI93&gt;12.7,IF(AI93&gt;15.8,0.93,0.98),1)</f>
        <v/>
      </c>
      <c r="AK93" s="5">
        <f>(1.5*AG93+AH93)*AJ93*AQ93</f>
        <v/>
      </c>
      <c r="AL93" s="4">
        <f>D93</f>
        <v/>
      </c>
      <c r="AM93" s="8">
        <f>B93</f>
        <v/>
      </c>
      <c r="AN93" s="40" t="n">
        <v>26</v>
      </c>
      <c r="AO93" s="61">
        <f>IF(Z93&lt;2.81,0,IF(AK93&gt;13.7,IF(Z93&lt;140,1,0),0))</f>
        <v/>
      </c>
      <c r="AP93" s="7">
        <f>IF(AK93&gt;13.93,IF(Z93&lt;300,IF(Z93&lt;35,IF(Z93&lt;6,3,2),1),0),0)</f>
        <v/>
      </c>
      <c r="AQ93" s="5" t="n">
        <v>1</v>
      </c>
      <c r="AR93" s="7">
        <f>IF(AO93=1,IF(AO93=AL93,1,0),5)</f>
        <v/>
      </c>
      <c r="AS93" s="27" t="n">
        <v>126</v>
      </c>
      <c r="AT93" s="5" t="n">
        <v>168</v>
      </c>
      <c r="AU93" s="5" t="n">
        <v>187</v>
      </c>
      <c r="AV93" s="5">
        <f>(AT93+AU93)/2</f>
        <v/>
      </c>
      <c r="AW93" s="27" t="n">
        <v>150</v>
      </c>
      <c r="AX93" s="4">
        <f>IF(AW93&gt;AV93,1,0)</f>
        <v/>
      </c>
      <c r="AY93" s="4">
        <f>(100*(AU93-AS93)/AS93)</f>
        <v/>
      </c>
      <c r="AZ93" s="4">
        <f>IF(AY93&lt;-50,-4,IF(AY93&lt;-20,-2,IF(AY93&lt;0,-1.5,IF(AY93=0,0,IF(AY93&lt;10,1.5,IF(AY93&lt;20,2,IF(AY93&gt;19,2.5,2.5)))))))</f>
        <v/>
      </c>
      <c r="BA93" s="7" t="n"/>
      <c r="BB93" s="5" t="n">
        <v>157</v>
      </c>
      <c r="BC93" s="5" t="n"/>
      <c r="BD93" s="5" t="n"/>
      <c r="BE93" s="5" t="n"/>
      <c r="BF93" s="5" t="n"/>
      <c r="BG93" s="5" t="n"/>
      <c r="BH93" s="5" t="n"/>
    </row>
    <row r="94" ht="17.25" customHeight="1">
      <c r="B94" s="38" t="inlineStr">
        <is>
          <t>E to E Transportation Infrastructure</t>
        </is>
      </c>
      <c r="C94" s="11" t="n">
        <v>2025</v>
      </c>
      <c r="D94" s="11" t="n">
        <v>1</v>
      </c>
      <c r="E94" s="38" t="n">
        <v>66.18000000000001</v>
      </c>
      <c r="F94" s="38" t="n">
        <v>116.05</v>
      </c>
      <c r="G94" s="5">
        <f>100*(F94-E94)/F94</f>
        <v/>
      </c>
      <c r="H94" s="38" t="n">
        <v>295.44</v>
      </c>
      <c r="I94" s="38" t="n">
        <v>14.37</v>
      </c>
      <c r="J94" s="38" t="n"/>
      <c r="K94" s="38" t="n">
        <v>11.58</v>
      </c>
      <c r="L94" s="38" t="n"/>
      <c r="M94" s="38" t="n">
        <v>26.57</v>
      </c>
      <c r="N94" s="38" t="n"/>
      <c r="O94" s="38" t="n">
        <v>250.81</v>
      </c>
      <c r="P94" s="5">
        <f>O94/I94</f>
        <v/>
      </c>
      <c r="Q94" s="38" t="n">
        <v>27.64</v>
      </c>
      <c r="R94" s="41" t="n">
        <v>10.11</v>
      </c>
      <c r="S94" s="6" t="n">
        <v>0</v>
      </c>
      <c r="T94" s="39" t="n"/>
      <c r="U94" s="39" t="n"/>
      <c r="V94" s="39" t="n">
        <v>1</v>
      </c>
      <c r="W94" s="38" t="n">
        <v>154.9</v>
      </c>
      <c r="X94" s="38" t="n">
        <v>759.6</v>
      </c>
      <c r="Y94" s="38" t="n">
        <v>470</v>
      </c>
      <c r="Z94" s="38" t="n">
        <v>100</v>
      </c>
      <c r="AA94" s="5">
        <f>IF(X94&lt;50,IF(Y94&gt;(2.3*X94),0,1),1)-IF(Z94&gt;Y94,1.7,0)</f>
        <v/>
      </c>
      <c r="AB94" s="38" t="n">
        <v>95</v>
      </c>
      <c r="AC94" s="5">
        <f>IF(AB94&gt;4,1,0)+IF(AB94&gt;10,0.7,0)</f>
        <v/>
      </c>
      <c r="AD94" s="27" t="n">
        <v>48</v>
      </c>
      <c r="AE94" s="27" t="n">
        <v>47.37</v>
      </c>
      <c r="AF94" s="27" t="n">
        <v>73.53</v>
      </c>
      <c r="AG94" s="6">
        <f>IF(G94&lt;52,0,0.7)+IF(G94&lt;34,0,0.7)+IF(G94&lt;1,0,0.7)+IF(P94&gt;14.56,0,1)+IF(R94&lt;9,0.5,0)+IF(R94&lt;33.8,0.5,0)+IF(R94&lt;50,0.5,0)+IF(R94&lt;80,0.5,0)+IF(S94=5,0,S94)+IF(V94&gt;0,1,-1)+IF(AE94&lt;10.56,0,1)-IF(AE94&lt;3,1,0)-IF(AE94&lt;1,1,0)</f>
        <v/>
      </c>
      <c r="AH94" s="5">
        <f>AG94+IF(X94&lt;1.35,0,1)+IF(Y94&lt;1.35,0,1)+IF(Y94&lt;0.7,-1,0)+AC94+AA94</f>
        <v/>
      </c>
      <c r="AI94" s="5" t="n">
        <v>11</v>
      </c>
      <c r="AJ94" s="5">
        <f>IF(AI94&gt;12.7,IF(AI94&gt;15.8,0.93,0.98),1)</f>
        <v/>
      </c>
      <c r="AK94" s="5">
        <f>(1.5*AG94+AH94)*AJ94*AQ94</f>
        <v/>
      </c>
      <c r="AL94" s="4">
        <f>D94</f>
        <v/>
      </c>
      <c r="AM94" s="8">
        <f>B94</f>
        <v/>
      </c>
      <c r="AN94" s="29" t="n">
        <v>30</v>
      </c>
      <c r="AO94" s="61">
        <f>IF(Z94&lt;2.81,0,IF(AK94&gt;13.7,IF(Z94&lt;140,1,0),0))</f>
        <v/>
      </c>
      <c r="AP94" s="7">
        <f>IF(AK94&gt;13.93,IF(Z94&lt;300,IF(Z94&lt;35,IF(Z94&lt;6,3,2),1),0),0)</f>
        <v/>
      </c>
      <c r="AQ94" s="5" t="n">
        <v>1</v>
      </c>
      <c r="AR94" s="7">
        <f>IF(AO94=1,IF(AO94=AL94,1,0),5)</f>
        <v/>
      </c>
      <c r="AS94" s="27" t="n">
        <v>174</v>
      </c>
      <c r="AT94" s="5" t="n">
        <v>200</v>
      </c>
      <c r="AU94" s="5" t="n">
        <v>216</v>
      </c>
      <c r="AV94" s="5">
        <f>(AT94+AU94)/2</f>
        <v/>
      </c>
      <c r="AW94" s="27" t="n">
        <v>331</v>
      </c>
      <c r="AX94" s="4">
        <f>IF(AW94&gt;AV94,1,0)</f>
        <v/>
      </c>
      <c r="AY94" s="4">
        <f>(100*(AU94-AS94)/AS94)</f>
        <v/>
      </c>
      <c r="AZ94" s="4">
        <f>IF(AY94&lt;-50,-4,IF(AY94&lt;-20,-2,IF(AY94&lt;0,-1.5,IF(AY94=0,0,IF(AY94&lt;10,1.5,IF(AY94&lt;20,2,IF(AY94&gt;19,2.5,2.5)))))))</f>
        <v/>
      </c>
      <c r="BA94" s="7" t="n">
        <v>336</v>
      </c>
      <c r="BB94" s="5" t="n">
        <v>340</v>
      </c>
      <c r="BC94" s="5" t="n">
        <v>311</v>
      </c>
      <c r="BD94" s="5" t="n">
        <v>296</v>
      </c>
      <c r="BE94" s="5" t="n"/>
      <c r="BF94" s="5" t="n"/>
      <c r="BG94" s="5" t="n"/>
      <c r="BH94" s="5" t="n"/>
    </row>
    <row r="95" ht="11.25" customHeight="1">
      <c r="B95" t="inlineStr">
        <is>
          <t>Modern Diagnostic</t>
        </is>
      </c>
      <c r="C95" s="11" t="n">
        <v>2025</v>
      </c>
      <c r="D95" t="n">
        <v>1</v>
      </c>
      <c r="E95" t="n">
        <v>22.09</v>
      </c>
      <c r="F95" t="n">
        <v>20.73</v>
      </c>
      <c r="G95" s="5">
        <f>100*(F95-E95)/F95</f>
        <v/>
      </c>
      <c r="H95" t="n">
        <v>64.56</v>
      </c>
      <c r="I95" t="n">
        <v>8.970000000000001</v>
      </c>
      <c r="K95" t="n">
        <v>8.15</v>
      </c>
      <c r="M95" t="n">
        <v>17.96</v>
      </c>
      <c r="O95" t="n">
        <v>78.90000000000001</v>
      </c>
      <c r="P95" s="5">
        <f>O95/I95</f>
        <v/>
      </c>
      <c r="Q95" s="42" t="n">
        <v>11.04</v>
      </c>
      <c r="R95" s="2" t="n">
        <v>12.4</v>
      </c>
      <c r="S95" s="6" t="n">
        <v>0</v>
      </c>
      <c r="T95" s="1" t="n"/>
      <c r="U95" s="1" t="n"/>
      <c r="V95" s="1" t="n">
        <v>1</v>
      </c>
      <c r="X95" t="n">
        <v>9</v>
      </c>
      <c r="Y95" t="n">
        <v>154</v>
      </c>
      <c r="Z95" t="n">
        <v>77</v>
      </c>
      <c r="AA95" s="5">
        <f>IF(X95&lt;50,IF(Y95&gt;(2.3*X95),0,1),1)-IF(Z95&gt;Y95,1.7,0)</f>
        <v/>
      </c>
      <c r="AB95" t="n">
        <v>15</v>
      </c>
      <c r="AC95" s="5">
        <f>IF(AB95&gt;4,1,0)+IF(AB95&gt;10,0.7,0)</f>
        <v/>
      </c>
      <c r="AD95" s="27" t="n">
        <v>60</v>
      </c>
      <c r="AE95" s="27" t="n">
        <v>14</v>
      </c>
      <c r="AF95" s="27" t="n">
        <v>90</v>
      </c>
      <c r="AG95" s="6">
        <f>IF(G95&lt;52,0,0.7)+IF(G95&lt;34,0,0.7)+IF(G95&lt;1,0,0.7)+IF(P95&gt;14.56,0,1)+IF(R95&lt;9,0.5,0)+IF(R95&lt;33.8,0.5,0)+IF(R95&lt;50,0.5,0)+IF(R95&lt;80,0.5,0)+IF(S95=5,0,S95)+IF(V95&gt;0,1,-1)+IF(AE95&lt;10.56,0,1)-IF(AE95&lt;3,1,0)-IF(AE95&lt;1,1,0)</f>
        <v/>
      </c>
      <c r="AH95" s="5">
        <f>AG95+IF(X95&lt;1.35,0,1)+IF(Y95&lt;1.35,0,1)+IF(Y95&lt;0.7,-1,0)+AC95+AA95</f>
        <v/>
      </c>
      <c r="AI95" s="5" t="n">
        <v>11</v>
      </c>
      <c r="AJ95" s="5">
        <f>IF(AI95&gt;12.7,IF(AI95&gt;15.8,0.93,0.98),1)</f>
        <v/>
      </c>
      <c r="AK95" s="5">
        <f>(1.5*AG95+AH95)*AJ95*AQ95</f>
        <v/>
      </c>
      <c r="AL95" s="4">
        <f>D95</f>
        <v/>
      </c>
      <c r="AM95" s="8">
        <f>B95</f>
        <v/>
      </c>
      <c r="AN95" s="45" t="n">
        <v>2</v>
      </c>
      <c r="AO95" s="61">
        <f>IF(Z95&lt;2.81,0,IF(AK95&gt;13.7,IF(Z95&lt;140,1,0),0))</f>
        <v/>
      </c>
      <c r="AP95" s="7">
        <f>IF(AK95&gt;13.93,IF(Z95&lt;300,IF(Z95&lt;35,IF(Z95&lt;6,3,2),1),0),0)</f>
        <v/>
      </c>
      <c r="AQ95" s="5" t="n">
        <v>1</v>
      </c>
      <c r="AR95" s="7">
        <f>IF(AO95=1,IF(AO95=AL95,1,0),5)</f>
        <v/>
      </c>
      <c r="AS95" s="27" t="n">
        <v>90</v>
      </c>
      <c r="AT95" s="5" t="n">
        <v>119</v>
      </c>
      <c r="AU95" s="5" t="n">
        <v>159</v>
      </c>
      <c r="AV95" s="5">
        <f>(AT95+AU95)/2</f>
        <v/>
      </c>
      <c r="AW95" s="27" t="n">
        <v>99.5</v>
      </c>
      <c r="AX95" s="4">
        <f>IF(AW95&gt;AV95,1,0)</f>
        <v/>
      </c>
      <c r="AY95" s="4">
        <f>(100*(AU95-AS95)/AS95)</f>
        <v/>
      </c>
      <c r="AZ95" s="4">
        <f>IF(AY95&lt;-50,-4,IF(AY95&lt;-20,-2,IF(AY95&lt;0,-1.5,IF(AY95=0,0,IF(AY95&lt;10,1.5,IF(AY95&lt;20,2,IF(AY95&gt;19,2.5,2.5)))))))</f>
        <v/>
      </c>
      <c r="BA95" s="7" t="n">
        <v>104</v>
      </c>
      <c r="BB95" s="27" t="n">
        <v>98</v>
      </c>
      <c r="BC95" s="27" t="n">
        <v>94</v>
      </c>
      <c r="BD95" s="27" t="n">
        <v>95</v>
      </c>
      <c r="BE95" s="27" t="n">
        <v>98</v>
      </c>
      <c r="BF95" s="27" t="n"/>
      <c r="BG95" s="27" t="n"/>
      <c r="BH95" s="27" t="n"/>
    </row>
    <row r="96" ht="17.25" customHeight="1">
      <c r="A96" t="inlineStr">
        <is>
          <t>https://www.chittorgarh.com/ipo/gabion-technologies-india-ipo/2277/</t>
        </is>
      </c>
      <c r="B96" t="inlineStr">
        <is>
          <t xml:space="preserve">Gabion Technologies </t>
        </is>
      </c>
      <c r="C96" t="inlineStr">
        <is>
          <t>2026</t>
        </is>
      </c>
      <c r="D96" s="11" t="n">
        <v>1</v>
      </c>
      <c r="E96" t="n">
        <v>46.71</v>
      </c>
      <c r="F96" t="n">
        <v>22.03</v>
      </c>
      <c r="G96" s="5">
        <f>100*(F96-E96)/F96</f>
        <v/>
      </c>
      <c r="H96" t="n">
        <v>87.52</v>
      </c>
      <c r="I96" t="n">
        <v>6.63</v>
      </c>
      <c r="J96" t="n">
        <v>6.6</v>
      </c>
      <c r="K96" t="n">
        <v>6.65</v>
      </c>
      <c r="L96" t="n">
        <v>0</v>
      </c>
      <c r="M96" t="n">
        <v>15.06</v>
      </c>
      <c r="N96" t="n">
        <v>14.89</v>
      </c>
      <c r="O96" t="n">
        <v>101.17</v>
      </c>
      <c r="P96" s="5">
        <f>O96/I96</f>
        <v/>
      </c>
      <c r="Q96" t="n">
        <v>12.18</v>
      </c>
      <c r="R96" s="2" t="n">
        <v>17.04</v>
      </c>
      <c r="S96" s="6" t="n">
        <v>-1</v>
      </c>
      <c r="T96" t="n">
        <v>29.16</v>
      </c>
      <c r="U96" t="n">
        <v>0</v>
      </c>
      <c r="V96" t="n">
        <v>1</v>
      </c>
      <c r="W96" t="n">
        <v>1</v>
      </c>
      <c r="X96" t="n">
        <v>271.13</v>
      </c>
      <c r="Y96" t="n">
        <v>1467.78</v>
      </c>
      <c r="Z96" t="n">
        <v>867.23</v>
      </c>
      <c r="AA96" s="5">
        <f>IF(X96&lt;50,IF(Y96&gt;(2.3*X96),0,1),1)-IF(Z96&gt;Y96,1.7,0)</f>
        <v/>
      </c>
      <c r="AB96" t="n">
        <v>38</v>
      </c>
      <c r="AC96" s="5">
        <f>IF(AB96&gt;4,1,0)+IF(AB96&gt;10,0.7,0)</f>
        <v/>
      </c>
      <c r="AD96" t="n">
        <v>13.92</v>
      </c>
      <c r="AE96" t="n">
        <v>-3.62</v>
      </c>
      <c r="AF96" t="n">
        <v>42.96</v>
      </c>
      <c r="AG96" s="6">
        <f>IF(G96&lt;52,0,0.7)+IF(G96&lt;34,0,0.7)+IF(G96&lt;1,0,0.7)+IF(P96&gt;14.56,0,1)+IF(R96&lt;9,0.5,0)+IF(R96&lt;33.8,0.5,0)+IF(R96&lt;50,0.5,0)+IF(R96&lt;80,0.5,0)+IF(S96=5,0,S96)+IF(V96&gt;0,1,-1)+IF(AE96&lt;10.56,0,1)-IF(AE96&lt;3,1,0)-IF(AE96&lt;1,1,0)</f>
        <v/>
      </c>
      <c r="AH96" s="5">
        <f>AG96+IF(X96&lt;1.35,0,1)+IF(Y96&lt;1.35,0,1)+IF(Y96&lt;0.7,-1,0)+AC96+AA96</f>
        <v/>
      </c>
      <c r="AI96" s="5" t="n">
        <v>11</v>
      </c>
      <c r="AJ96" s="5">
        <f>IF(AI96&gt;12.7,IF(AI96&gt;15.8,0.93,0.98),1)</f>
        <v/>
      </c>
      <c r="AK96" s="5">
        <f>(1.5*AG96+AH96)*AJ96*AQ96</f>
        <v/>
      </c>
      <c r="AL96" s="4">
        <f>D96</f>
        <v/>
      </c>
      <c r="AM96" s="8">
        <f>B96</f>
        <v/>
      </c>
      <c r="AN96" s="46" t="n">
        <v>8</v>
      </c>
      <c r="AO96" s="61">
        <f>IF(Z96&lt;2.81,0,IF(AK96&gt;13.7,IF(Z96&lt;140,1,0),0))</f>
        <v/>
      </c>
      <c r="AP96" s="7">
        <f>IF(AK96&gt;13.93,IF(Z96&lt;300,IF(Z96&lt;35,IF(Z96&lt;6,3,2),1),0),0)</f>
        <v/>
      </c>
      <c r="AQ96" s="5" t="n">
        <v>1</v>
      </c>
      <c r="AR96" s="7">
        <f>IF(AO96=1,IF(AO96=AL96,1,0),5)</f>
        <v/>
      </c>
      <c r="AS96" s="50" t="n">
        <v>81</v>
      </c>
      <c r="AT96" s="5" t="n">
        <v>66</v>
      </c>
      <c r="AU96" s="5" t="n">
        <v>76</v>
      </c>
      <c r="AV96" s="5">
        <f>(AT96+AU96)/2</f>
        <v/>
      </c>
      <c r="AW96" s="50" t="n">
        <v>89</v>
      </c>
      <c r="AX96" s="4">
        <f>IF(AW96&gt;AV96,1,0)</f>
        <v/>
      </c>
      <c r="AY96" s="4">
        <f>(100*(AU96-AS96)/AS96)</f>
        <v/>
      </c>
      <c r="AZ96" s="4">
        <f>IF(AY96&lt;-50,-4,IF(AY96&lt;-20,-2,IF(AY96&lt;0,-1.5,IF(AY96=0,0,IF(AY96&lt;10,1.5,IF(AY96&lt;20,2,IF(AY96&gt;19,2.5,2.5)))))))</f>
        <v/>
      </c>
      <c r="BA96" s="7" t="n"/>
      <c r="BB96" s="51" t="n">
        <v>93</v>
      </c>
    </row>
    <row r="97" ht="12.75" customHeight="1">
      <c r="A97" t="inlineStr">
        <is>
          <t>https://www.chittorgarh.com/ipo/victory-electric-vehicles-ipo/2315/</t>
        </is>
      </c>
      <c r="B97" t="inlineStr">
        <is>
          <t>Victory Electric Veh</t>
        </is>
      </c>
      <c r="C97" t="inlineStr">
        <is>
          <t>2026</t>
        </is>
      </c>
      <c r="D97" s="11" t="n">
        <v>0</v>
      </c>
      <c r="E97" t="n">
        <v>9.289999999999999</v>
      </c>
      <c r="F97" t="n">
        <v>14.87</v>
      </c>
      <c r="G97" s="5">
        <f>100*(F97-E97)/F97</f>
        <v/>
      </c>
      <c r="H97" t="n">
        <v>31.29</v>
      </c>
      <c r="I97" t="n">
        <v>5.17</v>
      </c>
      <c r="J97" t="n">
        <v>10.17</v>
      </c>
      <c r="K97" t="n">
        <v>3.3</v>
      </c>
      <c r="L97" t="n">
        <v>42.1</v>
      </c>
      <c r="M97" t="n">
        <v>7.79</v>
      </c>
      <c r="N97" t="n">
        <v>15.32</v>
      </c>
      <c r="O97" t="n">
        <v>51.06</v>
      </c>
      <c r="P97" s="5">
        <f>O97/I97</f>
        <v/>
      </c>
      <c r="Q97" t="n">
        <v>12.41</v>
      </c>
      <c r="R97" s="2" t="n">
        <v>5.9</v>
      </c>
      <c r="S97" s="6" t="n">
        <v>-1</v>
      </c>
      <c r="T97" t="n">
        <v>34.56</v>
      </c>
      <c r="U97" t="n">
        <v>0</v>
      </c>
      <c r="V97" t="n">
        <v>0</v>
      </c>
      <c r="W97" t="n">
        <v>0</v>
      </c>
      <c r="X97" t="n">
        <v>0.91</v>
      </c>
      <c r="Y97" t="n">
        <v>0.91</v>
      </c>
      <c r="Z97" t="n">
        <v>0.99</v>
      </c>
      <c r="AA97" s="5">
        <f>IF(X97&lt;50,IF(Y97&gt;(2.3*X97),0,1),1)-IF(Z97&gt;Y97,1.7,0)</f>
        <v/>
      </c>
      <c r="AB97" t="n">
        <v>0</v>
      </c>
      <c r="AC97" s="5">
        <f>IF(AB97&gt;4,1,0)+IF(AB97&gt;10,0.7,0)</f>
        <v/>
      </c>
      <c r="AD97" t="n">
        <v>5.73</v>
      </c>
      <c r="AE97" t="n">
        <v>4.72</v>
      </c>
      <c r="AF97" t="n">
        <v>53.3</v>
      </c>
      <c r="AG97" s="6">
        <f>IF(G97&lt;52,0,0.7)+IF(G97&lt;34,0,0.7)+IF(G97&lt;1,0,0.7)+IF(P97&gt;14.56,0,1)+IF(R97&lt;9,0.5,0)+IF(R97&lt;33.8,0.5,0)+IF(R97&lt;50,0.5,0)+IF(R97&lt;80,0.5,0)+IF(S97=5,0,S97)+IF(V97&gt;0,1,-1)+IF(AE97&lt;10.56,0,1)-IF(AE97&lt;3,1,0)-IF(AE97&lt;1,1,0)</f>
        <v/>
      </c>
      <c r="AH97" s="5">
        <f>AG97+IF(X97&lt;1.35,0,1)+IF(Y97&lt;1.35,0,1)+IF(Y97&lt;0.7,-1,0)+AC97+AA97</f>
        <v/>
      </c>
      <c r="AI97" s="5" t="n">
        <v>11</v>
      </c>
      <c r="AJ97" s="5">
        <f>IF(AI97&gt;12.7,IF(AI97&gt;15.8,0.93,0.98),1)</f>
        <v/>
      </c>
      <c r="AK97" s="5">
        <f>(1.5*AG97+AH97)*AJ97*AQ97</f>
        <v/>
      </c>
      <c r="AL97" s="4">
        <f>D97</f>
        <v/>
      </c>
      <c r="AM97" s="8">
        <f>B97</f>
        <v/>
      </c>
      <c r="AN97" s="46" t="n">
        <v>9</v>
      </c>
      <c r="AO97" s="61">
        <f>IF(Z97&lt;2.81,0,IF(AK97&gt;13.7,IF(Z97&lt;140,1,0),0))</f>
        <v/>
      </c>
      <c r="AP97" s="7">
        <f>IF(AK97&gt;13.93,IF(Z97&lt;300,IF(Z97&lt;35,IF(Z97&lt;6,3,2),1),0),0)</f>
        <v/>
      </c>
      <c r="AQ97" s="5" t="n">
        <v>1</v>
      </c>
      <c r="AR97" s="7">
        <f>IF(AO97=1,IF(AO97=AL97,1,0),5)</f>
        <v/>
      </c>
      <c r="AS97" s="50" t="n">
        <v>41</v>
      </c>
      <c r="AT97" s="5" t="n">
        <v>19</v>
      </c>
      <c r="AU97" s="5" t="n">
        <v>22</v>
      </c>
      <c r="AV97" s="5">
        <f>(AT97+AU97)/2</f>
        <v/>
      </c>
      <c r="AW97" s="50" t="n">
        <v>34</v>
      </c>
      <c r="AX97" s="4">
        <f>IF(AW97&gt;AV97,1,0)</f>
        <v/>
      </c>
      <c r="AY97" s="4">
        <f>(100*(AU97-AS97)/AS97)</f>
        <v/>
      </c>
      <c r="AZ97" s="4">
        <f>IF(AY97&lt;-50,-4,IF(AY97&lt;-20,-2,IF(AY97&lt;0,-1.5,IF(AY97=0,0,IF(AY97&lt;10,1.5,IF(AY97&lt;20,2,IF(AY97&gt;19,2.5,2.5)))))))</f>
        <v/>
      </c>
      <c r="BA97" s="7" t="n"/>
      <c r="BB97" s="51" t="n">
        <v>32</v>
      </c>
    </row>
    <row r="98" ht="12.75" customHeight="1">
      <c r="A98" t="inlineStr">
        <is>
          <t>https://www.chittorgarh.com/ipo/yajur-fibres-ipo/2128/</t>
        </is>
      </c>
      <c r="B98" t="inlineStr">
        <is>
          <t>Yajur Fibres Date, P</t>
        </is>
      </c>
      <c r="C98" t="inlineStr">
        <is>
          <t>2026</t>
        </is>
      </c>
      <c r="D98" s="11" t="n">
        <v>0</v>
      </c>
      <c r="E98" t="n">
        <v>66.18000000000001</v>
      </c>
      <c r="F98" t="n">
        <v>42.32</v>
      </c>
      <c r="G98" s="5">
        <f>100*(F98-E98)/F98</f>
        <v/>
      </c>
      <c r="H98" t="n">
        <v>140.73</v>
      </c>
      <c r="I98" t="n">
        <v>11.68</v>
      </c>
      <c r="J98" t="n">
        <v>8.289999999999999</v>
      </c>
      <c r="K98" t="n">
        <v>7.41</v>
      </c>
      <c r="L98" t="n">
        <v>26.92</v>
      </c>
      <c r="M98" t="n">
        <v>18.85</v>
      </c>
      <c r="N98" t="n">
        <v>13.39</v>
      </c>
      <c r="O98" t="n">
        <v>141.99</v>
      </c>
      <c r="P98" s="5">
        <f>O98/I98</f>
        <v/>
      </c>
      <c r="Q98" t="n">
        <v>23.49</v>
      </c>
      <c r="R98" s="2" t="n">
        <v>17.9</v>
      </c>
      <c r="S98" s="6" t="n">
        <v>-1</v>
      </c>
      <c r="T98" t="n">
        <v>120.41</v>
      </c>
      <c r="U98" t="n">
        <v>0</v>
      </c>
      <c r="V98" t="n">
        <v>0</v>
      </c>
      <c r="W98" t="n">
        <v>1</v>
      </c>
      <c r="X98" t="n">
        <v>1.03</v>
      </c>
      <c r="Y98" t="n">
        <v>0.91</v>
      </c>
      <c r="Z98" t="n">
        <v>1.51</v>
      </c>
      <c r="AA98" s="5">
        <f>IF(X98&lt;50,IF(Y98&gt;(2.3*X98),0,1),1)-IF(Z98&gt;Y98,1.7,0)</f>
        <v/>
      </c>
      <c r="AB98" t="n">
        <v>0</v>
      </c>
      <c r="AC98" s="5">
        <f>IF(AB98&gt;4,1,0)+IF(AB98&gt;10,0.7,0)</f>
        <v/>
      </c>
      <c r="AD98" t="n">
        <v>173.54</v>
      </c>
      <c r="AE98" t="n">
        <v>67.34</v>
      </c>
      <c r="AF98" t="n">
        <v>37.99</v>
      </c>
      <c r="AG98" s="6">
        <f>IF(G98&lt;52,0,0.7)+IF(G98&lt;34,0,0.7)+IF(G98&lt;1,0,0.7)+IF(P98&gt;14.56,0,1)+IF(R98&lt;9,0.5,0)+IF(R98&lt;33.8,0.5,0)+IF(R98&lt;50,0.5,0)+IF(R98&lt;80,0.5,0)+IF(S98=5,0,S98)+IF(V98&gt;0,1,-1)+IF(AE98&lt;10.56,0,1)-IF(AE98&lt;3,1,0)-IF(AE98&lt;1,1,0)</f>
        <v/>
      </c>
      <c r="AH98" s="5">
        <f>AG98+IF(X98&lt;1.35,0,1)+IF(Y98&lt;1.35,0,1)+IF(Y98&lt;0.7,-1,0)+AC98+AA98</f>
        <v/>
      </c>
      <c r="AI98" s="5" t="n">
        <v>11</v>
      </c>
      <c r="AJ98" s="5">
        <f>IF(AI98&gt;12.7,IF(AI98&gt;15.8,0.93,0.98),1)</f>
        <v/>
      </c>
      <c r="AK98" s="5">
        <f>(1.5*AG98+AH98)*AJ98*AQ98</f>
        <v/>
      </c>
      <c r="AL98" s="4">
        <f>D98</f>
        <v/>
      </c>
      <c r="AM98" s="8">
        <f>B98</f>
        <v/>
      </c>
      <c r="AN98" s="46" t="n">
        <v>9</v>
      </c>
      <c r="AO98" s="61">
        <f>IF(Z98&lt;2.81,0,IF(AK98&gt;13.7,IF(Z98&lt;140,1,0),0))</f>
        <v/>
      </c>
      <c r="AP98" s="7">
        <f>IF(AK98&gt;13.93,IF(Z98&lt;300,IF(Z98&lt;35,IF(Z98&lt;6,3,2),1),0),0)</f>
        <v/>
      </c>
      <c r="AQ98" s="5" t="n">
        <v>1</v>
      </c>
      <c r="AR98" s="7">
        <f>IF(AO98=1,IF(AO98=AL98,1,0),5)</f>
        <v/>
      </c>
      <c r="AS98" s="50" t="n">
        <v>174</v>
      </c>
      <c r="AT98" s="5" t="n">
        <v>56</v>
      </c>
      <c r="AU98" s="5" t="n">
        <v>71</v>
      </c>
      <c r="AV98" s="5">
        <f>(AT98+AU98)/2</f>
        <v/>
      </c>
      <c r="AW98" s="50" t="n">
        <v>139</v>
      </c>
      <c r="AX98" s="4">
        <f>IF(AW98&gt;AV98,1,0)</f>
        <v/>
      </c>
      <c r="AY98" s="4">
        <f>(100*(AU98-AS98)/AS98)</f>
        <v/>
      </c>
      <c r="AZ98" s="4">
        <f>IF(AY98&lt;-50,-4,IF(AY98&lt;-20,-2,IF(AY98&lt;0,-1.5,IF(AY98=0,0,IF(AY98&lt;10,1.5,IF(AY98&lt;20,2,IF(AY98&gt;19,2.5,2.5)))))))</f>
        <v/>
      </c>
      <c r="BA98" s="7" t="n"/>
      <c r="BB98" t="n">
        <v>132</v>
      </c>
    </row>
    <row r="99" ht="11.25" customHeight="1">
      <c r="A99" t="inlineStr">
        <is>
          <t>https://www.chittorgarh.com/ipo/defrail-technologies-ipo/2693/</t>
        </is>
      </c>
      <c r="B99" t="inlineStr">
        <is>
          <t>Defrail Technologies</t>
        </is>
      </c>
      <c r="C99" t="n">
        <v>2026</v>
      </c>
      <c r="D99" s="11" t="n">
        <v>1</v>
      </c>
      <c r="E99" t="n">
        <v>11.56</v>
      </c>
      <c r="F99" t="n">
        <v>9.119999999999999</v>
      </c>
      <c r="G99" s="5">
        <f>100*(F99-E99)/F99</f>
        <v/>
      </c>
      <c r="H99" t="n">
        <v>33.91</v>
      </c>
      <c r="I99" t="n">
        <v>3.42</v>
      </c>
      <c r="J99" t="n">
        <v>3.85</v>
      </c>
      <c r="K99" t="n">
        <v>6.62</v>
      </c>
      <c r="L99" t="n">
        <v>11.44</v>
      </c>
      <c r="M99" t="n">
        <v>5.78</v>
      </c>
      <c r="N99" t="n">
        <v>8.800000000000001</v>
      </c>
      <c r="O99" t="n">
        <v>62.22</v>
      </c>
      <c r="P99" s="5">
        <f>O99/I99</f>
        <v/>
      </c>
      <c r="Q99" t="n">
        <v>11.18</v>
      </c>
      <c r="R99" s="2" t="n">
        <v>16.53</v>
      </c>
      <c r="S99" s="6" t="n">
        <v>-1</v>
      </c>
      <c r="T99" t="n">
        <v>13.77</v>
      </c>
      <c r="U99" t="n">
        <v>0</v>
      </c>
      <c r="V99" t="n">
        <v>1</v>
      </c>
      <c r="W99" t="n">
        <v>1</v>
      </c>
      <c r="X99" t="n">
        <v>89.56999999999999</v>
      </c>
      <c r="Y99" t="n">
        <v>159.49</v>
      </c>
      <c r="Z99" t="n">
        <v>93.78</v>
      </c>
      <c r="AA99" s="5">
        <f>IF(X99&lt;50,IF(Y99&gt;(2.3*X99),0,1),1)-IF(Z99&gt;Y99,1.7,0)</f>
        <v/>
      </c>
      <c r="AB99" t="n">
        <v>10.81</v>
      </c>
      <c r="AC99" s="5">
        <f>IF(AB99&gt;4,1,0)+IF(AB99&gt;10,0.7,0)</f>
        <v/>
      </c>
      <c r="AD99" t="n">
        <v>3009.09</v>
      </c>
      <c r="AE99" t="n">
        <v>8541.67</v>
      </c>
      <c r="AF99" t="n">
        <v>5600</v>
      </c>
      <c r="AG99" s="6">
        <f>IF(G99&lt;52,0,0.7)+IF(G99&lt;34,0,0.7)+IF(G99&lt;1,0,0.7)+IF(P99&gt;14.56,0,1)+IF(R99&lt;9,0.5,0)+IF(R99&lt;33.8,0.5,0)+IF(R99&lt;50,0.5,0)+IF(R99&lt;80,0.5,0)+IF(S99=5,0,S99)+IF(V99&gt;0,1,-1)+IF(AE99&lt;10.56,0,1)-IF(AE99&lt;3,1,0)-IF(AE99&lt;1,1,0)</f>
        <v/>
      </c>
      <c r="AH99" s="5">
        <f>AG99+IF(X99&lt;1.35,0,1)+IF(Y99&lt;1.35,0,1)+IF(Y99&lt;0.7,-1,0)+AC99+AA99</f>
        <v/>
      </c>
      <c r="AI99" s="5" t="n">
        <v>11</v>
      </c>
      <c r="AJ99" s="5">
        <f>IF(AI99&gt;12.7,IF(AI99&gt;15.8,0.93,0.98),1)</f>
        <v/>
      </c>
      <c r="AK99" s="5">
        <f>(1.5*AG99+AH99)*AJ99*AQ99</f>
        <v/>
      </c>
      <c r="AL99" s="4">
        <f>D99</f>
        <v/>
      </c>
      <c r="AM99" s="8">
        <f>B99</f>
        <v/>
      </c>
      <c r="AN99" s="46" t="n">
        <v>13</v>
      </c>
      <c r="AO99" s="61">
        <f>IF(Z99&lt;2.81,0,IF(AK99&gt;13.7,IF(Z99&lt;140,1,0),0))</f>
        <v/>
      </c>
      <c r="AP99" s="7">
        <f>IF(AK99&gt;13.93,IF(Z99&lt;300,IF(Z99&lt;35,IF(Z99&lt;6,3,2),1),0),0)</f>
        <v/>
      </c>
      <c r="AQ99" s="5" t="n">
        <v>1</v>
      </c>
      <c r="AR99" s="7">
        <f>IF(AO99=1,IF(AO99=AL99,1,0),5)</f>
        <v/>
      </c>
      <c r="AS99" s="50" t="n">
        <v>74</v>
      </c>
      <c r="AT99" s="5" t="n">
        <v>75</v>
      </c>
      <c r="AU99" s="5" t="n">
        <v>110</v>
      </c>
      <c r="AV99" s="5">
        <f>(AT99+AU99)/2</f>
        <v/>
      </c>
      <c r="AW99" s="50" t="n">
        <v>95</v>
      </c>
      <c r="AX99" s="4">
        <f>IF(AW99&gt;AV99,1,0)</f>
        <v/>
      </c>
      <c r="AY99" s="4">
        <f>(100*(AU99-AS99)/AS99)</f>
        <v/>
      </c>
      <c r="AZ99" s="4">
        <f>IF(AY99&lt;-50,-4,IF(AY99&lt;-20,-2,IF(AY99&lt;0,-1.5,IF(AY99=0,0,IF(AY99&lt;10,1.5,IF(AY99&lt;20,2,IF(AY99&gt;19,2.5,2.5)))))))</f>
        <v/>
      </c>
      <c r="BA99" s="7" t="n"/>
      <c r="BB99" t="n">
        <v>90</v>
      </c>
    </row>
    <row r="100" ht="15" customHeight="1">
      <c r="A100" t="inlineStr">
        <is>
          <t>https://www.chittorgarh.com/ipo/avana-electrosystems-ipo/2635/</t>
        </is>
      </c>
      <c r="B100" t="inlineStr">
        <is>
          <t>Avana Electrosystems</t>
        </is>
      </c>
      <c r="C100" t="inlineStr">
        <is>
          <t>2026</t>
        </is>
      </c>
      <c r="D100" s="11" t="n">
        <v>1</v>
      </c>
      <c r="E100" t="n">
        <v>5.69</v>
      </c>
      <c r="F100" t="n">
        <v>21.8</v>
      </c>
      <c r="G100" s="5">
        <f>100*(F100-E100)/F100</f>
        <v/>
      </c>
      <c r="H100" t="n">
        <v>49.42</v>
      </c>
      <c r="I100" t="n">
        <v>8.31</v>
      </c>
      <c r="J100" t="n">
        <v>15.69</v>
      </c>
      <c r="K100" t="n">
        <v>4.76</v>
      </c>
      <c r="L100" t="n">
        <v>22.79</v>
      </c>
      <c r="M100" t="n">
        <v>12.52</v>
      </c>
      <c r="N100" t="n">
        <v>21.33</v>
      </c>
      <c r="O100" t="n">
        <v>62.93</v>
      </c>
      <c r="P100" s="5">
        <f>O100/I100</f>
        <v/>
      </c>
      <c r="Q100" t="n">
        <v>12.4</v>
      </c>
      <c r="R100" s="2" t="n">
        <v>16.97</v>
      </c>
      <c r="S100" s="6" t="n">
        <v>1</v>
      </c>
      <c r="T100" t="n">
        <v>35.22</v>
      </c>
      <c r="U100" t="n">
        <v>0</v>
      </c>
      <c r="V100" t="n">
        <v>1</v>
      </c>
      <c r="W100" t="n">
        <v>1</v>
      </c>
      <c r="X100" t="n">
        <v>54.97</v>
      </c>
      <c r="Y100" t="n">
        <v>219.02</v>
      </c>
      <c r="Z100" t="n">
        <v>137.52</v>
      </c>
      <c r="AA100" s="5">
        <f>IF(X100&lt;50,IF(Y100&gt;(2.3*X100),0,1),1)-IF(Z100&gt;Y100,1.7,0)</f>
        <v/>
      </c>
      <c r="AB100" t="n">
        <v>18.64</v>
      </c>
      <c r="AC100" s="5">
        <f>IF(AB100&gt;4,1,0)+IF(AB100&gt;10,0.7,0)</f>
        <v/>
      </c>
      <c r="AD100" t="n">
        <v>106.72</v>
      </c>
      <c r="AE100" t="n">
        <v>18.16</v>
      </c>
      <c r="AF100" t="n">
        <v>61.6</v>
      </c>
      <c r="AG100" s="6">
        <f>IF(G100&lt;52,0,0.7)+IF(G100&lt;34,0,0.7)+IF(G100&lt;1,0,0.7)+IF(P100&gt;14.56,0,1)+IF(R100&lt;9,0.5,0)+IF(R100&lt;33.8,0.5,0)+IF(R100&lt;50,0.5,0)+IF(R100&lt;80,0.5,0)+IF(S100=5,0,S100)+IF(V100&gt;0,1,-1)+IF(AE100&lt;10.56,0,1)-IF(AE100&lt;3,1,0)-IF(AE100&lt;1,1,0)</f>
        <v/>
      </c>
      <c r="AH100" s="5">
        <f>AG100+IF(X100&lt;1.35,0,1)+IF(Y100&lt;1.35,0,1)+IF(Y100&lt;0.7,-1,0)+AC100+AA100</f>
        <v/>
      </c>
      <c r="AI100" s="5" t="n">
        <v>11</v>
      </c>
      <c r="AJ100" s="5">
        <f>IF(AI100&gt;12.7,IF(AI100&gt;15.8,0.93,0.98),1)</f>
        <v/>
      </c>
      <c r="AK100" s="5">
        <f>(1.5*AG100+AH100)*AJ100*AQ100</f>
        <v/>
      </c>
      <c r="AL100" s="4">
        <f>D100</f>
        <v/>
      </c>
      <c r="AM100" s="8">
        <f>B100</f>
        <v/>
      </c>
      <c r="AN100" s="46" t="n">
        <v>14</v>
      </c>
      <c r="AO100" s="61">
        <f>IF(Z100&lt;2.81,0,IF(AK100&gt;13.7,IF(Z100&lt;140,1,0),0))</f>
        <v/>
      </c>
      <c r="AP100" s="7">
        <f>IF(AK100&gt;13.93,IF(Z100&lt;300,IF(Z100&lt;35,IF(Z100&lt;6,3,2),1),0),0)</f>
        <v/>
      </c>
      <c r="AQ100" s="5" t="n">
        <v>1</v>
      </c>
      <c r="AR100" s="7">
        <f>IF(AO100=1,IF(AO100=AL100,1,0),5)</f>
        <v/>
      </c>
      <c r="AS100" s="50" t="n">
        <v>59</v>
      </c>
      <c r="AT100" s="5" t="n">
        <v>66</v>
      </c>
      <c r="AU100" s="5" t="n">
        <v>92</v>
      </c>
      <c r="AV100" s="5">
        <f>(AT100+AU100)/2</f>
        <v/>
      </c>
      <c r="AW100" s="50" t="n">
        <v>77.5</v>
      </c>
      <c r="AX100" s="4">
        <f>IF(AW100&gt;AV100,1,0)</f>
        <v/>
      </c>
      <c r="AY100" s="4">
        <f>(100*(AU100-AS100)/AS100)</f>
        <v/>
      </c>
      <c r="AZ100" s="4">
        <f>IF(AY100&lt;-50,-4,IF(AY100&lt;-20,-2,IF(AY100&lt;0,-1.5,IF(AY100=0,0,IF(AY100&lt;10,1.5,IF(AY100&lt;20,2,IF(AY100&gt;19,2.5,2.5)))))))</f>
        <v/>
      </c>
      <c r="BA100" s="7" t="n"/>
    </row>
    <row r="101" ht="12.75" customHeight="1">
      <c r="A101" t="inlineStr">
        <is>
          <t>https://www.chittorgarh.com/ipo/narmadesh-brass-industries-ipo/2580/</t>
        </is>
      </c>
      <c r="B101" t="inlineStr">
        <is>
          <t>Narmadesh Brass Indu</t>
        </is>
      </c>
      <c r="C101" t="inlineStr">
        <is>
          <t>2026</t>
        </is>
      </c>
      <c r="D101" s="11" t="n">
        <v>0</v>
      </c>
      <c r="E101" t="n">
        <v>24.73</v>
      </c>
      <c r="F101" t="n">
        <v>11.45</v>
      </c>
      <c r="G101" s="5">
        <f>100*(F101-E101)/F101</f>
        <v/>
      </c>
      <c r="H101" t="n">
        <v>59.66</v>
      </c>
      <c r="I101" t="n">
        <v>5.72</v>
      </c>
      <c r="J101" t="n">
        <v>11.74</v>
      </c>
      <c r="K101" t="n">
        <v>26.23</v>
      </c>
      <c r="L101" t="n">
        <v>17.86</v>
      </c>
      <c r="M101" t="n">
        <v>9.34</v>
      </c>
      <c r="N101" t="n">
        <v>18.26</v>
      </c>
      <c r="O101" t="n">
        <v>88.05</v>
      </c>
      <c r="P101" s="5">
        <f>O101/I101</f>
        <v/>
      </c>
      <c r="Q101" t="n">
        <v>19.63</v>
      </c>
      <c r="R101" s="2" t="n">
        <v>28</v>
      </c>
      <c r="S101" s="6" t="n">
        <v>-1</v>
      </c>
      <c r="T101" t="n">
        <v>44.87</v>
      </c>
      <c r="U101" t="n">
        <v>0</v>
      </c>
      <c r="V101" t="n">
        <v>0</v>
      </c>
      <c r="W101" t="n">
        <v>0</v>
      </c>
      <c r="X101" t="n">
        <v>1.92</v>
      </c>
      <c r="Y101" t="n">
        <v>1.92</v>
      </c>
      <c r="Z101" t="n">
        <v>0.44</v>
      </c>
      <c r="AA101" s="5">
        <f>IF(X101&lt;50,IF(Y101&gt;(2.3*X101),0,1),1)-IF(Z101&gt;Y101,1.7,0)</f>
        <v/>
      </c>
      <c r="AB101" t="n">
        <v>0</v>
      </c>
      <c r="AC101" s="5">
        <f>IF(AB101&gt;4,1,0)+IF(AB101&gt;10,0.7,0)</f>
        <v/>
      </c>
      <c r="AD101" t="n">
        <v>-19.44</v>
      </c>
      <c r="AE101" t="n">
        <v>11.37</v>
      </c>
      <c r="AF101" t="n">
        <v>99.83</v>
      </c>
      <c r="AG101" s="6">
        <f>IF(G101&lt;52,0,0.7)+IF(G101&lt;34,0,0.7)+IF(G101&lt;1,0,0.7)+IF(P101&gt;14.56,0,1)+IF(R101&lt;9,0.5,0)+IF(R101&lt;33.8,0.5,0)+IF(R101&lt;50,0.5,0)+IF(R101&lt;80,0.5,0)+IF(S101=5,0,S101)+IF(V101&gt;0,1,-1)+IF(AE101&lt;10.56,0,1)-IF(AE101&lt;3,1,0)-IF(AE101&lt;1,1,0)</f>
        <v/>
      </c>
      <c r="AH101" s="5">
        <f>AG101+IF(X101&lt;1.35,0,1)+IF(Y101&lt;1.35,0,1)+IF(Y101&lt;0.7,-1,0)+AC101+AA101</f>
        <v/>
      </c>
      <c r="AI101" s="5" t="n">
        <v>11</v>
      </c>
      <c r="AJ101" s="5">
        <f>IF(AI101&gt;12.7,IF(AI101&gt;15.8,0.93,0.98),1)</f>
        <v/>
      </c>
      <c r="AK101" s="5">
        <f>(1.5*AG101+AH101)*AJ101*AQ101</f>
        <v/>
      </c>
      <c r="AL101" s="4">
        <f>D101</f>
        <v/>
      </c>
      <c r="AM101" s="8">
        <f>B101</f>
        <v/>
      </c>
      <c r="AN101" s="46" t="n">
        <v>16</v>
      </c>
      <c r="AO101" s="61">
        <f>IF(Z101&lt;2.81,0,IF(AK101&gt;13.7,IF(Z101&lt;140,1,0),0))</f>
        <v/>
      </c>
      <c r="AP101" s="7">
        <f>IF(AK101&gt;13.93,IF(Z101&lt;300,IF(Z101&lt;35,IF(Z101&lt;6,3,2),1),0),0)</f>
        <v/>
      </c>
      <c r="AQ101" s="5" t="n">
        <v>1</v>
      </c>
      <c r="AR101" s="7">
        <f>IF(AO101=1,IF(AO101=AL101,1,0),5)</f>
        <v/>
      </c>
      <c r="AS101" s="50" t="n">
        <v>515</v>
      </c>
      <c r="AT101" s="5" t="n">
        <v>388</v>
      </c>
      <c r="AU101" s="5" t="n">
        <v>440</v>
      </c>
      <c r="AV101" s="5">
        <f>(AT101+AU101)/2</f>
        <v/>
      </c>
      <c r="AW101" s="50" t="n">
        <v>495</v>
      </c>
      <c r="AX101" s="4">
        <f>IF(AW101&gt;AV101,1,0)</f>
        <v/>
      </c>
      <c r="AY101" s="4">
        <f>(100*(AU101-AS101)/AS101)</f>
        <v/>
      </c>
      <c r="AZ101" s="4">
        <f>IF(AY101&lt;-50,-4,IF(AY101&lt;-20,-2,IF(AY101&lt;0,-1.5,IF(AY101=0,0,IF(AY101&lt;10,1.5,IF(AY101&lt;20,2,IF(AY101&gt;19,2.5,2.5)))))))</f>
        <v/>
      </c>
      <c r="BA101" s="7" t="n"/>
    </row>
    <row r="102" ht="14.25" customHeight="1">
      <c r="A102" t="inlineStr">
        <is>
          <t>https://www.chittorgarh.com/ipo/indo-smc-ipo/2694/</t>
        </is>
      </c>
      <c r="B102" t="inlineStr">
        <is>
          <t>INDO SMC Date, Price</t>
        </is>
      </c>
      <c r="C102" t="inlineStr">
        <is>
          <t>2026</t>
        </is>
      </c>
      <c r="D102" s="11" t="n">
        <v>1</v>
      </c>
      <c r="E102" t="n">
        <v>35.76</v>
      </c>
      <c r="F102" t="n">
        <v>35.69</v>
      </c>
      <c r="G102" s="5">
        <f>100*(F102-E102)/F102</f>
        <v/>
      </c>
      <c r="H102" t="n">
        <v>99.94</v>
      </c>
      <c r="I102" t="n">
        <v>15.44</v>
      </c>
      <c r="J102" t="n">
        <v>10.18</v>
      </c>
      <c r="K102" t="n">
        <v>9.25</v>
      </c>
      <c r="L102" t="n">
        <v>27.66</v>
      </c>
      <c r="M102" t="n">
        <v>22.83</v>
      </c>
      <c r="N102" t="n">
        <v>15.27</v>
      </c>
      <c r="O102" t="n">
        <v>138.78</v>
      </c>
      <c r="P102" s="5">
        <f>O102/I102</f>
        <v/>
      </c>
      <c r="Q102" t="n">
        <v>16.1</v>
      </c>
      <c r="R102" s="2" t="n">
        <v>13.19</v>
      </c>
      <c r="S102" s="6" t="n">
        <v>-1</v>
      </c>
      <c r="T102" t="n">
        <v>91.95</v>
      </c>
      <c r="U102" t="n">
        <v>0</v>
      </c>
      <c r="V102" t="n">
        <v>1</v>
      </c>
      <c r="W102" t="n">
        <v>1</v>
      </c>
      <c r="X102" t="n">
        <v>94.94</v>
      </c>
      <c r="Y102" t="n">
        <v>164.59</v>
      </c>
      <c r="Z102" t="n">
        <v>96.13</v>
      </c>
      <c r="AA102" s="5">
        <f>IF(X102&lt;50,IF(Y102&gt;(2.3*X102),0,1),1)-IF(Z102&gt;Y102,1.7,0)</f>
        <v/>
      </c>
      <c r="AB102" t="n">
        <v>21</v>
      </c>
      <c r="AC102" s="5">
        <f>IF(AB102&gt;4,1,0)+IF(AB102&gt;10,0.7,0)</f>
        <v/>
      </c>
      <c r="AD102" t="n">
        <v>414.67</v>
      </c>
      <c r="AE102" t="n">
        <v>394.58</v>
      </c>
      <c r="AF102" t="n">
        <v>516.41</v>
      </c>
      <c r="AG102" s="6">
        <f>IF(G102&lt;52,0,0.7)+IF(G102&lt;34,0,0.7)+IF(G102&lt;1,0,0.7)+IF(P102&gt;14.56,0,1)+IF(R102&lt;9,0.5,0)+IF(R102&lt;33.8,0.5,0)+IF(R102&lt;50,0.5,0)+IF(R102&lt;80,0.5,0)+IF(S102=5,0,S102)+IF(V102&gt;0,1,-1)+IF(AE102&lt;10.56,0,1)-IF(AE102&lt;3,1,0)-IF(AE102&lt;1,1,0)</f>
        <v/>
      </c>
      <c r="AH102" s="5">
        <f>AG102+IF(X102&lt;1.35,0,1)+IF(Y102&lt;1.35,0,1)+IF(Y102&lt;0.7,-1,0)+AC102+AA102</f>
        <v/>
      </c>
      <c r="AI102" s="5" t="n">
        <v>11</v>
      </c>
      <c r="AJ102" s="5">
        <f>IF(AI102&gt;12.7,IF(AI102&gt;15.8,0.93,0.98),1)</f>
        <v/>
      </c>
      <c r="AK102" s="5">
        <f>(1.5*AG102+AH102)*AJ102*AQ102</f>
        <v/>
      </c>
      <c r="AL102" s="4">
        <f>D102</f>
        <v/>
      </c>
      <c r="AM102" s="8">
        <f>B102</f>
        <v/>
      </c>
      <c r="AN102" s="46" t="n">
        <v>16</v>
      </c>
      <c r="AO102" s="61">
        <f>IF(Z102&lt;2.81,0,IF(AK102&gt;13.7,IF(Z102&lt;140,1,0),0))</f>
        <v/>
      </c>
      <c r="AP102" s="7">
        <f>IF(AK102&gt;13.93,IF(Z102&lt;300,IF(Z102&lt;35,IF(Z102&lt;6,3,2),1),0),0)</f>
        <v/>
      </c>
      <c r="AQ102" s="5" t="n">
        <v>1</v>
      </c>
      <c r="AR102" s="7">
        <f>IF(AO102=1,IF(AO102=AL102,1,0),5)</f>
        <v/>
      </c>
      <c r="AS102" t="n">
        <v>149</v>
      </c>
      <c r="AT102" s="5" t="n">
        <v>150</v>
      </c>
      <c r="AU102" s="5" t="n">
        <v>180</v>
      </c>
      <c r="AV102" s="5">
        <f>(AT102+AU102)/2</f>
        <v/>
      </c>
      <c r="AW102" t="n">
        <v>149</v>
      </c>
      <c r="AX102" s="4">
        <f>IF(AW102&gt;AV102,1,0)</f>
        <v/>
      </c>
      <c r="AY102" s="4">
        <f>(100*(AU102-AS102)/AS102)</f>
        <v/>
      </c>
      <c r="AZ102" s="4">
        <f>IF(AY102&lt;-50,-4,IF(AY102&lt;-20,-2,IF(AY102&lt;0,-1.5,IF(AY102=0,0,IF(AY102&lt;10,1.5,IF(AY102&lt;20,2,IF(AY102&gt;19,2.5,2.5)))))))</f>
        <v/>
      </c>
      <c r="BA102" s="7" t="n"/>
      <c r="BB102" t="n">
        <v>155</v>
      </c>
      <c r="BC102" t="n">
        <v>151</v>
      </c>
      <c r="BD102" t="n">
        <v>147</v>
      </c>
    </row>
    <row r="103" ht="12.75" customHeight="1">
      <c r="A103" t="inlineStr">
        <is>
          <t>https://www.chittorgarh.com/ipo/gre-renew-enertech-ipo/2353/</t>
        </is>
      </c>
      <c r="B103" t="inlineStr">
        <is>
          <t>GRE Renew Enertech D</t>
        </is>
      </c>
      <c r="C103" t="inlineStr">
        <is>
          <t>2026</t>
        </is>
      </c>
      <c r="D103" s="11" t="n">
        <v>0</v>
      </c>
      <c r="E103" t="n">
        <v>1.59</v>
      </c>
      <c r="F103" t="n">
        <v>31.23</v>
      </c>
      <c r="G103" s="5">
        <f>100*(F103-E103)/F103</f>
        <v/>
      </c>
      <c r="H103" t="n">
        <v>45.46</v>
      </c>
      <c r="I103" t="n">
        <v>7.03</v>
      </c>
      <c r="J103" t="n">
        <v>9.130000000000001</v>
      </c>
      <c r="K103" t="n">
        <v>6.68</v>
      </c>
      <c r="L103" t="n">
        <v>12.04</v>
      </c>
      <c r="M103" t="n">
        <v>9.48</v>
      </c>
      <c r="N103" t="n">
        <v>13.06</v>
      </c>
      <c r="O103" t="n">
        <v>84.37</v>
      </c>
      <c r="P103" s="5">
        <f>O103/I103</f>
        <v/>
      </c>
      <c r="Q103" t="n">
        <v>15.72</v>
      </c>
      <c r="R103" s="2" t="n">
        <v>14.86</v>
      </c>
      <c r="S103" s="6" t="n">
        <v>-1</v>
      </c>
      <c r="T103" t="n">
        <v>39.56</v>
      </c>
      <c r="U103" t="n">
        <v>0</v>
      </c>
      <c r="V103" t="n">
        <v>1</v>
      </c>
      <c r="W103" t="n">
        <v>1</v>
      </c>
      <c r="X103" t="n">
        <v>14.69</v>
      </c>
      <c r="Y103" t="n">
        <v>24.67</v>
      </c>
      <c r="Z103" t="n">
        <v>14.1</v>
      </c>
      <c r="AA103" s="5">
        <f>IF(X103&lt;50,IF(Y103&gt;(2.3*X103),0,1),1)-IF(Z103&gt;Y103,1.7,0)</f>
        <v/>
      </c>
      <c r="AB103" t="n">
        <v>0</v>
      </c>
      <c r="AC103" s="5">
        <f>IF(AB103&gt;4,1,0)+IF(AB103&gt;10,0.7,0)</f>
        <v/>
      </c>
      <c r="AD103" t="n">
        <v>-29.06</v>
      </c>
      <c r="AE103" t="n">
        <v>-8.44</v>
      </c>
      <c r="AF103" t="n">
        <v>48.5</v>
      </c>
      <c r="AG103" s="6">
        <f>IF(G103&lt;52,0,0.7)+IF(G103&lt;34,0,0.7)+IF(G103&lt;1,0,0.7)+IF(P103&gt;14.56,0,1)+IF(R103&lt;9,0.5,0)+IF(R103&lt;33.8,0.5,0)+IF(R103&lt;50,0.5,0)+IF(R103&lt;80,0.5,0)+IF(S103=5,0,S103)+IF(V103&gt;0,1,-1)+IF(AE103&lt;10.56,0,1)-IF(AE103&lt;3,1,0)-IF(AE103&lt;1,1,0)</f>
        <v/>
      </c>
      <c r="AH103" s="5">
        <f>AG103+IF(X103&lt;1.35,0,1)+IF(Y103&lt;1.35,0,1)+IF(Y103&lt;0.7,-1,0)+AC103+AA103</f>
        <v/>
      </c>
      <c r="AI103" s="5" t="n">
        <v>11</v>
      </c>
      <c r="AJ103" s="5">
        <f>IF(AI103&gt;12.7,IF(AI103&gt;15.8,0.93,0.98),1)</f>
        <v/>
      </c>
      <c r="AK103" s="5">
        <f>(1.5*AG103+AH103)*AJ103*AQ103</f>
        <v/>
      </c>
      <c r="AL103" s="4">
        <f>D103</f>
        <v/>
      </c>
      <c r="AM103" s="8">
        <f>B103</f>
        <v/>
      </c>
      <c r="AN103" s="46" t="n">
        <v>16</v>
      </c>
      <c r="AO103" s="61">
        <f>IF(Z103&lt;2.81,0,IF(AK103&gt;13.7,IF(Z103&lt;140,1,0),0))</f>
        <v/>
      </c>
      <c r="AP103" s="7">
        <f>IF(AK103&gt;13.93,IF(Z103&lt;300,IF(Z103&lt;35,IF(Z103&lt;6,3,2),1),0),0)</f>
        <v/>
      </c>
      <c r="AQ103" s="5" t="n">
        <v>1</v>
      </c>
      <c r="AR103" s="7">
        <f>IF(AO103=1,IF(AO103=AL103,1,0),5)</f>
        <v/>
      </c>
      <c r="AS103" s="50" t="n">
        <v>105</v>
      </c>
      <c r="AT103" s="5" t="n">
        <v>67</v>
      </c>
      <c r="AU103" s="5" t="n">
        <v>84</v>
      </c>
      <c r="AV103" s="5">
        <f>(AT103+AU103)/2</f>
        <v/>
      </c>
      <c r="AW103" s="50" t="n">
        <v>96</v>
      </c>
      <c r="AX103" s="4">
        <f>IF(AW103&gt;AV103,1,0)</f>
        <v/>
      </c>
      <c r="AY103" s="4">
        <f>(100*(AU103-AS103)/AS103)</f>
        <v/>
      </c>
      <c r="AZ103" s="4">
        <f>IF(AY103&lt;-50,-4,IF(AY103&lt;-20,-2,IF(AY103&lt;0,-1.5,IF(AY103=0,0,IF(AY103&lt;10,1.5,IF(AY103&lt;20,2,IF(AY103&gt;19,2.5,2.5)))))))</f>
        <v/>
      </c>
      <c r="BA103" s="7" t="n"/>
    </row>
    <row r="104" ht="12.75" customHeight="1">
      <c r="A104" t="inlineStr">
        <is>
          <t>https://www.chittorgarh.com/ipo/armour-security-india-ipo/2138/</t>
        </is>
      </c>
      <c r="B104" t="inlineStr">
        <is>
          <t>Armour Security Date</t>
        </is>
      </c>
      <c r="C104" t="inlineStr">
        <is>
          <t>2026</t>
        </is>
      </c>
      <c r="D104" s="11" t="n">
        <v>0</v>
      </c>
      <c r="E104" t="n">
        <v>4.69</v>
      </c>
      <c r="F104" t="n">
        <v>18.43</v>
      </c>
      <c r="G104" s="5">
        <f>100*(F104-E104)/F104</f>
        <v/>
      </c>
      <c r="H104" t="n">
        <v>27.37</v>
      </c>
      <c r="I104" t="n">
        <v>3.97</v>
      </c>
      <c r="J104" t="n">
        <v>14.76</v>
      </c>
      <c r="K104" t="n">
        <v>3.25</v>
      </c>
      <c r="L104" t="n">
        <v>13.61</v>
      </c>
      <c r="M104" t="n">
        <v>4.97</v>
      </c>
      <c r="N104" t="n">
        <v>21.84</v>
      </c>
      <c r="O104" t="n">
        <v>36.56</v>
      </c>
      <c r="P104" s="5">
        <f>O104/I104</f>
        <v/>
      </c>
      <c r="Q104" t="n">
        <v>17.53</v>
      </c>
      <c r="R104" s="2" t="n">
        <v>18.36</v>
      </c>
      <c r="S104" s="6" t="n">
        <v>1</v>
      </c>
      <c r="T104" t="n">
        <v>26.51</v>
      </c>
      <c r="U104" t="n">
        <v>0</v>
      </c>
      <c r="V104" t="n">
        <v>0</v>
      </c>
      <c r="W104" t="n">
        <v>0</v>
      </c>
      <c r="X104" t="n">
        <v>1</v>
      </c>
      <c r="Y104" t="n">
        <v>1.08</v>
      </c>
      <c r="Z104" t="n">
        <v>2.58</v>
      </c>
      <c r="AA104" s="5">
        <f>IF(X104&lt;50,IF(Y104&gt;(2.3*X104),0,1),1)-IF(Z104&gt;Y104,1.7,0)</f>
        <v/>
      </c>
      <c r="AB104" t="n">
        <v>0</v>
      </c>
      <c r="AC104" s="5">
        <f>IF(AB104&gt;4,1,0)+IF(AB104&gt;10,0.7,0)</f>
        <v/>
      </c>
      <c r="AD104" t="n">
        <v>51.53</v>
      </c>
      <c r="AE104" t="n">
        <v>10.45</v>
      </c>
      <c r="AF104" t="n">
        <v>27.46</v>
      </c>
      <c r="AG104" s="6">
        <f>IF(G104&lt;52,0,0.7)+IF(G104&lt;34,0,0.7)+IF(G104&lt;1,0,0.7)+IF(P104&gt;14.56,0,1)+IF(R104&lt;9,0.5,0)+IF(R104&lt;33.8,0.5,0)+IF(R104&lt;50,0.5,0)+IF(R104&lt;80,0.5,0)+IF(S104=5,0,S104)+IF(V104&gt;0,1,-1)+IF(AE104&lt;10.56,0,1)-IF(AE104&lt;3,1,0)-IF(AE104&lt;1,1,0)</f>
        <v/>
      </c>
      <c r="AH104" s="5">
        <f>AG104+IF(X104&lt;1.35,0,1)+IF(Y104&lt;1.35,0,1)+IF(Y104&lt;0.7,-1,0)+AC104+AA104</f>
        <v/>
      </c>
      <c r="AI104" s="5" t="n">
        <v>11</v>
      </c>
      <c r="AJ104" s="5">
        <f>IF(AI104&gt;12.7,IF(AI104&gt;15.8,0.93,0.98),1)</f>
        <v/>
      </c>
      <c r="AK104" s="5">
        <f>(1.5*AG104+AH104)*AJ104*AQ104</f>
        <v/>
      </c>
      <c r="AL104" s="4">
        <f>D104</f>
        <v/>
      </c>
      <c r="AM104" s="8">
        <f>B104</f>
        <v/>
      </c>
      <c r="AN104" s="46" t="n">
        <v>19</v>
      </c>
      <c r="AO104" s="61">
        <f>IF(Z104&lt;2.81,0,IF(AK104&gt;13.7,IF(Z104&lt;140,1,0),0))</f>
        <v/>
      </c>
      <c r="AP104" s="7">
        <f>IF(AK104&gt;13.93,IF(Z104&lt;300,IF(Z104&lt;35,IF(Z104&lt;6,3,2),1),0),0)</f>
        <v/>
      </c>
      <c r="AQ104" s="5" t="n">
        <v>1</v>
      </c>
      <c r="AR104" s="7">
        <f>IF(AO104=1,IF(AO104=AL104,1,0),5)</f>
        <v/>
      </c>
      <c r="AS104" s="50" t="n">
        <v>57</v>
      </c>
      <c r="AT104" s="5" t="n">
        <v>34</v>
      </c>
      <c r="AU104" s="5" t="n">
        <v>41</v>
      </c>
      <c r="AV104" s="5">
        <f>(AT104+AU104)/2</f>
        <v/>
      </c>
      <c r="AW104" s="50" t="n">
        <v>45.6</v>
      </c>
      <c r="AX104" s="4">
        <f>IF(AW104&gt;AV104,1,0)</f>
        <v/>
      </c>
      <c r="AY104" s="4">
        <f>(100*(AU104-AS104)/AS104)</f>
        <v/>
      </c>
      <c r="AZ104" s="4">
        <f>IF(AY104&lt;-50,-4,IF(AY104&lt;-20,-2,IF(AY104&lt;0,-1.5,IF(AY104=0,0,IF(AY104&lt;10,1.5,IF(AY104&lt;20,2,IF(AY104&gt;19,2.5,2.5)))))))</f>
        <v/>
      </c>
      <c r="BA104" s="7" t="n"/>
    </row>
    <row r="105" ht="12.75" customHeight="1">
      <c r="A105" t="inlineStr">
        <is>
          <t>https://www.chittorgarh.com/ipo/aritas-vinyl-ipo/2421/</t>
        </is>
      </c>
      <c r="B105" t="inlineStr">
        <is>
          <t>Aritas Vinyl Date, P</t>
        </is>
      </c>
      <c r="C105" t="inlineStr">
        <is>
          <t>2026</t>
        </is>
      </c>
      <c r="D105" s="11" t="n">
        <v>0</v>
      </c>
      <c r="E105" t="n">
        <v>36.82</v>
      </c>
      <c r="F105" t="n">
        <v>20.27</v>
      </c>
      <c r="G105" s="5">
        <f>100*(F105-E105)/F105</f>
        <v/>
      </c>
      <c r="H105" t="n">
        <v>95.26000000000001</v>
      </c>
      <c r="I105" t="n">
        <v>4.13</v>
      </c>
      <c r="J105" t="n">
        <v>5.97</v>
      </c>
      <c r="K105" t="n">
        <v>3.26</v>
      </c>
      <c r="L105" t="n">
        <v>11.16</v>
      </c>
      <c r="M105" t="n">
        <v>8.630000000000001</v>
      </c>
      <c r="N105" t="n">
        <v>11.2</v>
      </c>
      <c r="O105" t="n">
        <v>98.02</v>
      </c>
      <c r="P105" s="5">
        <f>O105/I105</f>
        <v/>
      </c>
      <c r="Q105" t="n">
        <v>14.43</v>
      </c>
      <c r="R105" s="2" t="n">
        <v>10.69</v>
      </c>
      <c r="S105" s="6" t="n">
        <v>1</v>
      </c>
      <c r="T105" t="n">
        <v>37.52</v>
      </c>
      <c r="U105" t="n">
        <v>4.63</v>
      </c>
      <c r="V105" t="n">
        <v>0</v>
      </c>
      <c r="W105" t="n">
        <v>0</v>
      </c>
      <c r="X105" t="n">
        <v>1</v>
      </c>
      <c r="Y105" t="n">
        <v>1.24</v>
      </c>
      <c r="Z105" t="n">
        <v>2.88</v>
      </c>
      <c r="AA105" s="5">
        <f>IF(X105&lt;50,IF(Y105&gt;(2.3*X105),0,1),1)-IF(Z105&gt;Y105,1.7,0)</f>
        <v/>
      </c>
      <c r="AB105" t="n">
        <v>0</v>
      </c>
      <c r="AC105" s="5">
        <f>IF(AB105&gt;4,1,0)+IF(AB105&gt;10,0.7,0)</f>
        <v/>
      </c>
      <c r="AD105" t="n">
        <v>147.31</v>
      </c>
      <c r="AE105" t="n">
        <v>41.55</v>
      </c>
      <c r="AF105" t="n">
        <v>238.4</v>
      </c>
      <c r="AG105" s="6">
        <f>IF(G105&lt;52,0,0.7)+IF(G105&lt;34,0,0.7)+IF(G105&lt;1,0,0.7)+IF(P105&gt;14.56,0,1)+IF(R105&lt;9,0.5,0)+IF(R105&lt;33.8,0.5,0)+IF(R105&lt;50,0.5,0)+IF(R105&lt;80,0.5,0)+IF(S105=5,0,S105)+IF(V105&gt;0,1,-1)+IF(AE105&lt;10.56,0,1)-IF(AE105&lt;3,1,0)-IF(AE105&lt;1,1,0)</f>
        <v/>
      </c>
      <c r="AH105" s="5">
        <f>AG105+IF(X105&lt;1.35,0,1)+IF(Y105&lt;1.35,0,1)+IF(Y105&lt;0.7,-1,0)+AC105+AA105</f>
        <v/>
      </c>
      <c r="AI105" s="5" t="n">
        <v>11</v>
      </c>
      <c r="AJ105" s="5">
        <f>IF(AI105&gt;12.7,IF(AI105&gt;15.8,0.93,0.98),1)</f>
        <v/>
      </c>
      <c r="AK105" s="5">
        <f>(1.5*AG105+AH105)*AJ105*AQ105</f>
        <v/>
      </c>
      <c r="AL105" s="4">
        <f>D105</f>
        <v/>
      </c>
      <c r="AM105" s="8">
        <f>B105</f>
        <v/>
      </c>
      <c r="AN105" s="46" t="n">
        <v>20</v>
      </c>
      <c r="AO105" s="61">
        <f>IF(Z105&lt;2.81,0,IF(AK105&gt;13.7,IF(Z105&lt;140,1,0),0))</f>
        <v/>
      </c>
      <c r="AP105" s="7">
        <f>IF(AK105&gt;13.93,IF(Z105&lt;300,IF(Z105&lt;35,IF(Z105&lt;6,3,2),1),0),0)</f>
        <v/>
      </c>
      <c r="AQ105" s="5" t="n">
        <v>1</v>
      </c>
      <c r="AR105" s="7">
        <f>IF(AO105=1,IF(AO105=AL105,1,0),5)</f>
        <v/>
      </c>
      <c r="AS105" t="n">
        <v>47</v>
      </c>
      <c r="AT105" s="5" t="n">
        <v>30</v>
      </c>
      <c r="AU105" s="5" t="n">
        <v>38</v>
      </c>
      <c r="AV105" s="5">
        <f>(AT105+AU105)/2</f>
        <v/>
      </c>
      <c r="AW105" t="n">
        <v>44.65</v>
      </c>
      <c r="AX105" s="4">
        <f>IF(AW105&gt;AV105,1,0)</f>
        <v/>
      </c>
      <c r="AY105" s="4">
        <f>(100*(AU105-AS105)/AS105)</f>
        <v/>
      </c>
      <c r="AZ105" s="4">
        <f>IF(AY105&lt;-50,-4,IF(AY105&lt;-20,-2,IF(AY105&lt;0,-1.5,IF(AY105=0,0,IF(AY105&lt;10,1.5,IF(AY105&lt;20,2,IF(AY105&gt;19,2.5,2.5)))))))</f>
        <v/>
      </c>
      <c r="BA105" s="7" t="n"/>
      <c r="BB105" t="n">
        <v>44.65</v>
      </c>
      <c r="BC105" t="n">
        <v>41.65</v>
      </c>
    </row>
    <row r="106" ht="12.75" customHeight="1">
      <c r="A106" t="inlineStr">
        <is>
          <t>https://www.chittorgarh.com/ipo/digilogic-systems-ipo/2617/</t>
        </is>
      </c>
      <c r="B106" t="inlineStr">
        <is>
          <t>Digilogic Systems Da</t>
        </is>
      </c>
      <c r="C106" t="inlineStr">
        <is>
          <t>2026</t>
        </is>
      </c>
      <c r="D106" s="11" t="n">
        <v>0</v>
      </c>
      <c r="E106" t="n">
        <v>13.34</v>
      </c>
      <c r="F106" t="n">
        <v>33.46</v>
      </c>
      <c r="G106" s="5">
        <f>100*(F106-E106)/F106</f>
        <v/>
      </c>
      <c r="H106" t="n">
        <v>72.56999999999999</v>
      </c>
      <c r="I106" t="n">
        <v>8.109999999999999</v>
      </c>
      <c r="J106" t="n">
        <v>8.869999999999999</v>
      </c>
      <c r="K106" t="n">
        <v>3.65</v>
      </c>
      <c r="L106" t="n">
        <v>4.71</v>
      </c>
      <c r="M106" t="n">
        <v>13.4</v>
      </c>
      <c r="N106" t="n">
        <v>18.39</v>
      </c>
      <c r="O106" t="n">
        <v>72.19</v>
      </c>
      <c r="P106" s="5">
        <f>O106/I106</f>
        <v/>
      </c>
      <c r="Q106" t="n">
        <v>28.52</v>
      </c>
      <c r="R106" s="2" t="n">
        <v>93</v>
      </c>
      <c r="S106" s="6" t="n">
        <v>-1</v>
      </c>
      <c r="T106" t="n">
        <v>81.01000000000001</v>
      </c>
      <c r="U106" t="n">
        <v>11.33</v>
      </c>
      <c r="V106" t="n">
        <v>1</v>
      </c>
      <c r="W106" t="n">
        <v>1</v>
      </c>
      <c r="X106" t="n">
        <v>1.6</v>
      </c>
      <c r="Y106" t="n">
        <v>0.42</v>
      </c>
      <c r="Z106" t="n">
        <v>1.08</v>
      </c>
      <c r="AA106" s="5">
        <f>IF(X106&lt;50,IF(Y106&gt;(2.3*X106),0,1),1)-IF(Z106&gt;Y106,1.7,0)</f>
        <v/>
      </c>
      <c r="AB106" t="n">
        <v>0</v>
      </c>
      <c r="AC106" s="5">
        <f>IF(AB106&gt;4,1,0)+IF(AB106&gt;10,0.7,0)</f>
        <v/>
      </c>
      <c r="AD106" t="n">
        <v>237.92</v>
      </c>
      <c r="AE106" t="n">
        <v>39.61</v>
      </c>
      <c r="AF106" t="n">
        <v>148.22</v>
      </c>
      <c r="AG106" s="6">
        <f>IF(G106&lt;52,0,0.7)+IF(G106&lt;34,0,0.7)+IF(G106&lt;1,0,0.7)+IF(P106&gt;14.56,0,1)+IF(R106&lt;9,0.5,0)+IF(R106&lt;33.8,0.5,0)+IF(R106&lt;50,0.5,0)+IF(R106&lt;80,0.5,0)+IF(S106=5,0,S106)+IF(V106&gt;0,1,-1)+IF(AE106&lt;10.56,0,1)-IF(AE106&lt;3,1,0)-IF(AE106&lt;1,1,0)</f>
        <v/>
      </c>
      <c r="AH106" s="5">
        <f>AG106+IF(X106&lt;1.35,0,1)+IF(Y106&lt;1.35,0,1)+IF(Y106&lt;0.7,-1,0)+AC106+AA106</f>
        <v/>
      </c>
      <c r="AI106" s="5" t="n">
        <v>13</v>
      </c>
      <c r="AJ106" s="5">
        <f>IF(AI106&gt;12.7,IF(AI106&gt;15.8,0.93,0.98),1)</f>
        <v/>
      </c>
      <c r="AK106" s="5">
        <f>(1.5*AG106+AH106)*AJ106*AQ106</f>
        <v/>
      </c>
      <c r="AL106" s="4">
        <f>D106</f>
        <v/>
      </c>
      <c r="AM106" s="8">
        <f>B106</f>
        <v/>
      </c>
      <c r="AN106" s="46" t="n">
        <v>22</v>
      </c>
      <c r="AO106" s="61">
        <f>IF(Z106&lt;2.81,0,IF(AK106&gt;13.7,IF(Z106&lt;140,1,0),0))</f>
        <v/>
      </c>
      <c r="AP106" s="7">
        <f>IF(AK106&gt;13.93,IF(Z106&lt;300,IF(Z106&lt;35,IF(Z106&lt;6,3,2),1),0),0)</f>
        <v/>
      </c>
      <c r="AQ106" s="5" t="n">
        <v>1</v>
      </c>
      <c r="AR106" s="7">
        <f>IF(AO106=1,IF(AO106=AL106,1,0),5)</f>
        <v/>
      </c>
      <c r="AS106" t="n">
        <v>104</v>
      </c>
      <c r="AT106" s="5" t="n">
        <v>38</v>
      </c>
      <c r="AU106" s="5" t="n">
        <v>45</v>
      </c>
      <c r="AV106" s="5">
        <f>(AT106+AU106)/2</f>
        <v/>
      </c>
      <c r="AW106" t="n">
        <v>83</v>
      </c>
      <c r="AX106" s="4">
        <f>IF(AW106&gt;AV106,1,0)</f>
        <v/>
      </c>
      <c r="AY106" s="4">
        <f>(100*(AU106-AS106)/AS106)</f>
        <v/>
      </c>
      <c r="AZ106" s="4">
        <f>IF(AY106&lt;-50,-4,IF(AY106&lt;-20,-2,IF(AY106&lt;0,-1.5,IF(AY106=0,0,IF(AY106&lt;10,1.5,IF(AY106&lt;20,2,IF(AY106&gt;19,2.5,2.5)))))))</f>
        <v/>
      </c>
      <c r="BA106" s="7" t="n"/>
    </row>
    <row r="107" ht="17.25" customHeight="1">
      <c r="A107" t="inlineStr">
        <is>
          <t>https://www.chittorgarh.com/ipo/krm-ayurveda-ipo/2620/</t>
        </is>
      </c>
      <c r="B107" t="inlineStr">
        <is>
          <t>KRM Ayurveda Date, P</t>
        </is>
      </c>
      <c r="C107" t="inlineStr">
        <is>
          <t>2026</t>
        </is>
      </c>
      <c r="D107" s="11" t="n">
        <v>1</v>
      </c>
      <c r="E107" t="n">
        <v>31.2</v>
      </c>
      <c r="F107" t="n">
        <v>23.88</v>
      </c>
      <c r="G107" s="5">
        <f>100*(F107-E107)/F107</f>
        <v/>
      </c>
      <c r="H107" t="n">
        <v>66.79000000000001</v>
      </c>
      <c r="I107" t="n">
        <v>12.1</v>
      </c>
      <c r="J107" t="n">
        <v>16.83</v>
      </c>
      <c r="K107" t="n">
        <v>7.79</v>
      </c>
      <c r="L107" t="n">
        <v>21.84</v>
      </c>
      <c r="M107" t="n">
        <v>19.11</v>
      </c>
      <c r="N107" t="n">
        <v>26.54</v>
      </c>
      <c r="O107" t="n">
        <v>76.95</v>
      </c>
      <c r="P107" s="5">
        <f>O107/I107</f>
        <v/>
      </c>
      <c r="Q107" t="n">
        <v>17.32</v>
      </c>
      <c r="R107" s="2" t="n">
        <v>17.03</v>
      </c>
      <c r="S107" s="6" t="n">
        <v>-1</v>
      </c>
      <c r="T107" t="n">
        <v>77.48999999999999</v>
      </c>
      <c r="U107" t="n">
        <v>0</v>
      </c>
      <c r="V107" t="n">
        <v>1</v>
      </c>
      <c r="W107" t="n">
        <v>0</v>
      </c>
      <c r="X107" t="n">
        <v>38.38</v>
      </c>
      <c r="Y107" t="n">
        <v>103.52</v>
      </c>
      <c r="Z107" t="n">
        <v>37.65</v>
      </c>
      <c r="AA107" s="5">
        <f>IF(X107&lt;50,IF(Y107&gt;(2.3*X107),0,1),1)-IF(Z107&gt;Y107,1.7,0)</f>
        <v/>
      </c>
      <c r="AB107" t="n">
        <v>11.85</v>
      </c>
      <c r="AC107" s="5">
        <f>IF(AB107&gt;4,1,0)+IF(AB107&gt;10,0.7,0)</f>
        <v/>
      </c>
      <c r="AD107" t="n">
        <v>254.84</v>
      </c>
      <c r="AE107" t="n">
        <v>13.88</v>
      </c>
      <c r="AF107" t="n">
        <v>102.72</v>
      </c>
      <c r="AG107" s="6">
        <f>IF(G107&lt;52,0,0.7)+IF(G107&lt;34,0,0.7)+IF(G107&lt;1,0,0.7)+IF(P107&gt;14.56,0,1)+IF(R107&lt;9,0.5,0)+IF(R107&lt;33.8,0.5,0)+IF(R107&lt;50,0.5,0)+IF(R107&lt;80,0.5,0)+IF(S107=5,0,S107)+IF(V107&gt;0,1,-1)+IF(AE107&lt;10.56,0,1)-IF(AE107&lt;3,1,0)-IF(AE107&lt;1,1,0)</f>
        <v/>
      </c>
      <c r="AH107" s="5">
        <f>AG107+IF(X107&lt;1.35,0,1)+IF(Y107&lt;1.35,0,1)+IF(Y107&lt;0.7,-1,0)+AC107+AA107</f>
        <v/>
      </c>
      <c r="AI107" s="5" t="n">
        <v>13</v>
      </c>
      <c r="AJ107" s="5">
        <f>IF(AI107&gt;12.7,IF(AI107&gt;15.8,0.93,0.98),1)</f>
        <v/>
      </c>
      <c r="AK107" s="5">
        <f>(1.5*AG107+AH107)*AJ107*AQ107</f>
        <v/>
      </c>
      <c r="AL107" s="4">
        <f>D107</f>
        <v/>
      </c>
      <c r="AM107" s="8">
        <f>B107</f>
        <v/>
      </c>
      <c r="AN107" s="46" t="n">
        <v>23</v>
      </c>
      <c r="AO107" s="61">
        <f>IF(Z107&lt;2.81,0,IF(AK107&gt;13.7,IF(Z107&lt;140,1,0),0))</f>
        <v/>
      </c>
      <c r="AP107" s="7">
        <f>IF(AK107&gt;13.93,IF(Z107&lt;300,IF(Z107&lt;35,IF(Z107&lt;6,3,2),1),0),0)</f>
        <v/>
      </c>
      <c r="AQ107" s="5" t="n">
        <v>1</v>
      </c>
      <c r="AR107" s="7">
        <f>IF(AO107=1,IF(AO107=AL107,1,0),5)</f>
        <v/>
      </c>
      <c r="AS107" t="n">
        <v>135</v>
      </c>
      <c r="AT107" s="5" t="n">
        <v>113</v>
      </c>
      <c r="AU107" s="5" t="n">
        <v>143</v>
      </c>
      <c r="AV107" s="5">
        <f>(AT107+AU107)/2</f>
        <v/>
      </c>
      <c r="AW107" t="n">
        <v>172.1</v>
      </c>
      <c r="AX107" s="4">
        <f>IF(AW107&gt;AV107,1,0)</f>
        <v/>
      </c>
      <c r="AY107" s="4">
        <f>(100*(AU107-AS107)/AS107)</f>
        <v/>
      </c>
      <c r="AZ107" s="4">
        <f>IF(AY107&lt;-50,-4,IF(AY107&lt;-20,-2,IF(AY107&lt;0,-1.5,IF(AY107=0,0,IF(AY107&lt;10,1.5,IF(AY107&lt;20,2,IF(AY107&gt;19,2.5,2.5)))))))</f>
        <v/>
      </c>
      <c r="BA107" s="7" t="n"/>
      <c r="BB107" t="n">
        <v>180</v>
      </c>
      <c r="BC107" t="n">
        <v>189</v>
      </c>
    </row>
    <row r="108" ht="12.75" customHeight="1">
      <c r="A108" t="inlineStr">
        <is>
          <t>https://www.chittorgarh.com/ipo/hannah-joseph-ipo/2251/</t>
        </is>
      </c>
      <c r="B108" t="inlineStr">
        <is>
          <t>Hannah Joseph Hospit</t>
        </is>
      </c>
      <c r="C108" t="inlineStr">
        <is>
          <t>2026</t>
        </is>
      </c>
      <c r="D108" s="11" t="n">
        <v>0</v>
      </c>
      <c r="E108" t="n">
        <v>33.58</v>
      </c>
      <c r="F108" t="n">
        <v>48.93</v>
      </c>
      <c r="G108" s="5">
        <f>100*(F108-E108)/F108</f>
        <v/>
      </c>
      <c r="H108" t="n">
        <v>99.29000000000001</v>
      </c>
      <c r="I108" t="n">
        <v>7.21</v>
      </c>
      <c r="J108" t="n">
        <v>12.03</v>
      </c>
      <c r="K108" t="n">
        <v>4.32</v>
      </c>
      <c r="L108" t="n">
        <v>9.390000000000001</v>
      </c>
      <c r="M108" t="n">
        <v>20.52</v>
      </c>
      <c r="N108" t="n">
        <v>27.38</v>
      </c>
      <c r="O108" t="n">
        <v>77.90000000000001</v>
      </c>
      <c r="P108" s="5">
        <f>O108/I108</f>
        <v/>
      </c>
      <c r="Q108" t="n">
        <v>16.21</v>
      </c>
      <c r="R108" s="2" t="n">
        <v>15.52</v>
      </c>
      <c r="S108" s="6" t="n">
        <v>1</v>
      </c>
      <c r="T108" t="n">
        <v>42</v>
      </c>
      <c r="U108" t="n">
        <v>0</v>
      </c>
      <c r="V108" t="n">
        <v>1</v>
      </c>
      <c r="W108" t="n">
        <v>1</v>
      </c>
      <c r="X108" t="n">
        <v>0.88</v>
      </c>
      <c r="Y108" t="n">
        <v>1.69</v>
      </c>
      <c r="Z108" t="n">
        <v>1.24</v>
      </c>
      <c r="AA108" s="5">
        <f>IF(X108&lt;50,IF(Y108&gt;(2.3*X108),0,1),1)-IF(Z108&gt;Y108,1.7,0)</f>
        <v/>
      </c>
      <c r="AB108" t="n">
        <v>2.85</v>
      </c>
      <c r="AC108" s="5">
        <f>IF(AB108&gt;4,1,0)+IF(AB108&gt;10,0.7,0)</f>
        <v/>
      </c>
      <c r="AD108" t="n">
        <v>77.15000000000001</v>
      </c>
      <c r="AE108" t="n">
        <v>22.43</v>
      </c>
      <c r="AF108" t="n">
        <v>11.38</v>
      </c>
      <c r="AG108" s="6">
        <f>IF(G108&lt;52,0,0.7)+IF(G108&lt;34,0,0.7)+IF(G108&lt;1,0,0.7)+IF(P108&gt;14.56,0,1)+IF(R108&lt;9,0.5,0)+IF(R108&lt;33.8,0.5,0)+IF(R108&lt;50,0.5,0)+IF(R108&lt;80,0.5,0)+IF(S108=5,0,S108)+IF(V108&gt;0,1,-1)+IF(AE108&lt;10.56,0,1)-IF(AE108&lt;3,1,0)-IF(AE108&lt;1,1,0)</f>
        <v/>
      </c>
      <c r="AH108" s="5">
        <f>AG108+IF(X108&lt;1.35,0,1)+IF(Y108&lt;1.35,0,1)+IF(Y108&lt;0.7,-1,0)+AC108+AA108</f>
        <v/>
      </c>
      <c r="AI108" s="5" t="n">
        <v>13</v>
      </c>
      <c r="AJ108" s="5">
        <f>IF(AI108&gt;12.7,IF(AI108&gt;15.8,0.93,0.98),1)</f>
        <v/>
      </c>
      <c r="AK108" s="5">
        <f>(1.5*AG108+AH108)*AJ108*AQ108</f>
        <v/>
      </c>
      <c r="AL108" s="4">
        <f>D108</f>
        <v/>
      </c>
      <c r="AM108" s="8">
        <f>B108</f>
        <v/>
      </c>
      <c r="AN108" s="46" t="n">
        <v>27</v>
      </c>
      <c r="AO108" s="61">
        <f>IF(Z108&lt;2.81,0,IF(AK108&gt;13.7,IF(Z108&lt;140,1,0),0))</f>
        <v/>
      </c>
      <c r="AP108" s="7">
        <f>IF(AK108&gt;13.93,IF(Z108&lt;300,IF(Z108&lt;35,IF(Z108&lt;6,3,2),1),0),0)</f>
        <v/>
      </c>
      <c r="AQ108" s="5" t="n">
        <v>1</v>
      </c>
      <c r="AR108" s="7">
        <f>IF(AO108=1,IF(AO108=AL108,1,0),5)</f>
        <v/>
      </c>
      <c r="AS108" t="n">
        <v>70</v>
      </c>
      <c r="AT108" s="5" t="n">
        <v>85</v>
      </c>
      <c r="AU108" s="5" t="n">
        <v>99</v>
      </c>
      <c r="AV108" s="5">
        <f>(AT108+AU108)/2</f>
        <v/>
      </c>
      <c r="AW108" t="n">
        <v>65</v>
      </c>
      <c r="AX108" s="4">
        <f>IF(AW108&gt;AV108,1,0)</f>
        <v/>
      </c>
      <c r="AY108" s="4">
        <f>(100*(AU108-AS108)/AS108)</f>
        <v/>
      </c>
      <c r="AZ108" s="4">
        <f>IF(AY108&lt;-50,-4,IF(AY108&lt;-20,-2,IF(AY108&lt;0,-1.5,IF(AY108=0,0,IF(AY108&lt;10,1.5,IF(AY108&lt;20,2,IF(AY108&gt;19,2.5,2.5)))))))</f>
        <v/>
      </c>
      <c r="BA108" s="7" t="n"/>
      <c r="BB108" t="n">
        <v>68</v>
      </c>
    </row>
    <row r="109" ht="12.75" customHeight="1">
      <c r="A109" t="inlineStr">
        <is>
          <t>https://www.chittorgarh.com/ipo/shayona-engineering-ipo/2173/</t>
        </is>
      </c>
      <c r="B109" t="inlineStr">
        <is>
          <t xml:space="preserve">Shayona Engineering </t>
        </is>
      </c>
      <c r="C109" t="inlineStr">
        <is>
          <t>2026</t>
        </is>
      </c>
      <c r="D109" s="11" t="n">
        <v>1</v>
      </c>
      <c r="E109" t="n">
        <v>13.92</v>
      </c>
      <c r="F109" t="n">
        <v>9.91</v>
      </c>
      <c r="G109" s="5">
        <f>100*(F109-E109)/F109</f>
        <v/>
      </c>
      <c r="H109" t="n">
        <v>29.6</v>
      </c>
      <c r="I109" t="n">
        <v>2.42</v>
      </c>
      <c r="J109" t="n">
        <v>12.8</v>
      </c>
      <c r="K109" t="n">
        <v>8.460000000000001</v>
      </c>
      <c r="L109" t="n">
        <v>0</v>
      </c>
      <c r="M109" t="n">
        <v>5</v>
      </c>
      <c r="N109" t="n">
        <v>21.33</v>
      </c>
      <c r="O109" t="n">
        <v>23.18</v>
      </c>
      <c r="P109" s="5">
        <f>O109/I109</f>
        <v/>
      </c>
      <c r="Q109" t="n">
        <v>17.03</v>
      </c>
      <c r="R109" s="2" t="n">
        <v>15.25</v>
      </c>
      <c r="S109" s="6" t="n">
        <v>1</v>
      </c>
      <c r="T109" t="n">
        <v>14.86</v>
      </c>
      <c r="U109" t="n">
        <v>0</v>
      </c>
      <c r="V109" t="n">
        <v>0</v>
      </c>
      <c r="W109" t="n">
        <v>1</v>
      </c>
      <c r="X109" t="n">
        <v>3.33</v>
      </c>
      <c r="Y109" t="n">
        <v>9.15</v>
      </c>
      <c r="Z109" t="n">
        <v>3.54</v>
      </c>
      <c r="AA109" s="5">
        <f>IF(X109&lt;50,IF(Y109&gt;(2.3*X109),0,1),1)-IF(Z109&gt;Y109,1.7,0)</f>
        <v/>
      </c>
      <c r="AB109" t="n">
        <v>0</v>
      </c>
      <c r="AC109" s="5">
        <f>IF(AB109&gt;4,1,0)+IF(AB109&gt;10,0.7,0)</f>
        <v/>
      </c>
      <c r="AD109" t="n">
        <v>41.52</v>
      </c>
      <c r="AE109" t="n">
        <v>51.7</v>
      </c>
      <c r="AF109" t="n">
        <v>148.37</v>
      </c>
      <c r="AG109" s="6">
        <f>IF(G109&lt;52,0,0.7)+IF(G109&lt;34,0,0.7)+IF(G109&lt;1,0,0.7)+IF(P109&gt;14.56,0,1)+IF(R109&lt;9,0.5,0)+IF(R109&lt;33.8,0.5,0)+IF(R109&lt;50,0.5,0)+IF(R109&lt;80,0.5,0)+IF(S109=5,0,S109)+IF(V109&gt;0,1,-1)+IF(AE109&lt;10.56,0,1)-IF(AE109&lt;3,1,0)-IF(AE109&lt;1,1,0)</f>
        <v/>
      </c>
      <c r="AH109" s="5">
        <f>AG109+IF(X109&lt;1.35,0,1)+IF(Y109&lt;1.35,0,1)+IF(Y109&lt;0.7,-1,0)+AC109+AA109</f>
        <v/>
      </c>
      <c r="AI109" s="5" t="n">
        <v>13</v>
      </c>
      <c r="AJ109" s="5">
        <f>IF(AI109&gt;12.7,IF(AI109&gt;15.8,0.93,0.98),1)</f>
        <v/>
      </c>
      <c r="AK109" s="5">
        <f>(1.5*AG109+AH109)*AJ109*AQ109</f>
        <v/>
      </c>
      <c r="AL109" s="4">
        <f>D109</f>
        <v/>
      </c>
      <c r="AM109" s="8">
        <f>B109</f>
        <v/>
      </c>
      <c r="AN109" s="46" t="n">
        <v>27</v>
      </c>
      <c r="AO109" s="61">
        <f>IF(Z109&lt;2.81,0,IF(AK109&gt;13.7,IF(Z109&lt;140,1,0),0))</f>
        <v/>
      </c>
      <c r="AP109" s="7">
        <f>IF(AK109&gt;13.93,IF(Z109&lt;300,IF(Z109&lt;35,IF(Z109&lt;6,3,2),1),0),0)</f>
        <v/>
      </c>
      <c r="AQ109" s="5" t="n">
        <v>1</v>
      </c>
      <c r="AR109" s="7">
        <f>IF(AO109=1,IF(AO109=AL109,1,0),5)</f>
        <v/>
      </c>
      <c r="AS109" t="n">
        <v>144</v>
      </c>
      <c r="AT109" s="5" t="n">
        <v>104</v>
      </c>
      <c r="AU109" s="5" t="n">
        <v>123</v>
      </c>
      <c r="AV109" s="5">
        <f>(AT109+AU109)/2</f>
        <v/>
      </c>
      <c r="AW109" t="n">
        <v>144</v>
      </c>
      <c r="AX109" s="4">
        <f>IF(AW109&gt;AV109,1,0)</f>
        <v/>
      </c>
      <c r="AY109" s="4">
        <f>(100*(AU109-AS109)/AS109)</f>
        <v/>
      </c>
      <c r="AZ109" s="4">
        <f>IF(AY109&lt;-50,-4,IF(AY109&lt;-20,-2,IF(AY109&lt;0,-1.5,IF(AY109=0,0,IF(AY109&lt;10,1.5,IF(AY109&lt;20,2,IF(AY109&gt;19,2.5,2.5)))))))</f>
        <v/>
      </c>
      <c r="BA109" s="7" t="n"/>
      <c r="BB109" t="n">
        <v>151</v>
      </c>
    </row>
    <row r="110" ht="12.75" customHeight="1">
      <c r="A110" t="inlineStr">
        <is>
          <t>https://www.chittorgarh.com/ipo/kasturi-metal-ipo/2281/</t>
        </is>
      </c>
      <c r="B110" t="inlineStr">
        <is>
          <t>Kasturi Metal Com1</t>
        </is>
      </c>
      <c r="C110" t="inlineStr">
        <is>
          <t>2026</t>
        </is>
      </c>
      <c r="D110" s="11" t="n">
        <v>1</v>
      </c>
      <c r="E110" t="n">
        <v>13.15</v>
      </c>
      <c r="F110" t="n">
        <v>17.76</v>
      </c>
      <c r="G110" s="5">
        <f>100*(F110-E110)/F110</f>
        <v/>
      </c>
      <c r="H110" t="n">
        <v>35.57</v>
      </c>
      <c r="I110" t="n">
        <v>2.07</v>
      </c>
      <c r="J110" t="n">
        <v>7.71</v>
      </c>
      <c r="K110" t="n">
        <v>2.71</v>
      </c>
      <c r="L110" t="n">
        <v>13.01</v>
      </c>
      <c r="M110" t="n">
        <v>5.69</v>
      </c>
      <c r="N110" t="n">
        <v>9.99</v>
      </c>
      <c r="O110" t="n">
        <v>57.22</v>
      </c>
      <c r="P110" s="5">
        <f>O110/I110</f>
        <v/>
      </c>
      <c r="Q110" t="n">
        <v>23.59</v>
      </c>
      <c r="R110" s="2" t="n">
        <v>13.47</v>
      </c>
      <c r="S110" s="6" t="n">
        <v>-0.5</v>
      </c>
      <c r="T110" t="n">
        <v>17.61</v>
      </c>
      <c r="U110" t="n">
        <v>0</v>
      </c>
      <c r="V110" t="n">
        <v>1</v>
      </c>
      <c r="W110" t="n">
        <v>1</v>
      </c>
      <c r="X110" t="n">
        <v>20</v>
      </c>
      <c r="Y110" t="n">
        <v>20</v>
      </c>
      <c r="Z110" t="n">
        <v>10</v>
      </c>
      <c r="AA110" s="5">
        <f>IF(X110&lt;50,IF(Y110&gt;(2.3*X110),0,1),1)-IF(Z110&gt;Y110,1.7,0)</f>
        <v/>
      </c>
      <c r="AB110" t="n">
        <v>0</v>
      </c>
      <c r="AC110" s="5">
        <f>IF(AB110&gt;4,1,0)+IF(AB110&gt;10,0.7,0)</f>
        <v/>
      </c>
      <c r="AD110" t="n">
        <v>-11.91</v>
      </c>
      <c r="AE110" t="n">
        <v>13.98</v>
      </c>
      <c r="AF110" t="n">
        <v>44.51</v>
      </c>
      <c r="AG110" s="6">
        <f>IF(G110&lt;52,0,0.7)+IF(G110&lt;34,0,0.7)+IF(G110&lt;1,0,0.7)+IF(P110&gt;14.56,0,1)+IF(R110&lt;9,0.5,0)+IF(R110&lt;33.8,0.5,0)+IF(R110&lt;50,0.5,0)+IF(R110&lt;80,0.5,0)+IF(S110=5,0,S110)+IF(V110&gt;0,1,-1)+IF(AE110&lt;10.56,0,1)-IF(AE110&lt;3,1,0)-IF(AE110&lt;1,1,0)</f>
        <v/>
      </c>
      <c r="AH110" s="5">
        <f>AG110+IF(X110&lt;1.35,0,1)+IF(Y110&lt;1.35,0,1)+IF(Y110&lt;0.7,-1,0)+AC110+AA110</f>
        <v/>
      </c>
      <c r="AI110" s="5" t="n">
        <v>13</v>
      </c>
      <c r="AJ110" s="5">
        <f>IF(AI110&gt;12.7,IF(AI110&gt;15.8,0.93,0.98),1)</f>
        <v/>
      </c>
      <c r="AK110" s="5">
        <f>(1.5*AG110+AH110)*AJ110*AQ110</f>
        <v/>
      </c>
      <c r="AL110" s="4">
        <f>D110</f>
        <v/>
      </c>
      <c r="AM110" s="8">
        <f>B110</f>
        <v/>
      </c>
      <c r="AN110" s="46" t="n">
        <v>29</v>
      </c>
      <c r="AO110" s="61">
        <f>IF(Z110&lt;2.81,0,IF(AK110&gt;13.7,IF(Z110&lt;140,1,0),0))</f>
        <v/>
      </c>
      <c r="AP110" s="7">
        <f>IF(AK110&gt;13.93,IF(Z110&lt;300,IF(Z110&lt;35,IF(Z110&lt;6,3,2),1),0),0)</f>
        <v/>
      </c>
      <c r="AQ110" s="5" t="n">
        <v>1</v>
      </c>
      <c r="AR110" s="7">
        <f>IF(AO110=1,IF(AO110=AL110,1,0),5)</f>
        <v/>
      </c>
      <c r="AS110" t="n">
        <v>64</v>
      </c>
      <c r="AT110" s="5" t="n">
        <v>42</v>
      </c>
      <c r="AU110" s="5" t="n">
        <v>52</v>
      </c>
      <c r="AV110" s="5">
        <f>(AT110+AU110)/2</f>
        <v/>
      </c>
      <c r="AW110" t="n">
        <v>64</v>
      </c>
      <c r="AX110" s="4">
        <f>IF(AW110&gt;AV110,1,0)</f>
        <v/>
      </c>
      <c r="AY110" s="4">
        <f>(100*(AU110-AS110)/AS110)</f>
        <v/>
      </c>
      <c r="AZ110" s="4">
        <f>IF(AY110&lt;-50,-4,IF(AY110&lt;-20,-2,IF(AY110&lt;0,-1.5,IF(AY110=0,0,IF(AY110&lt;10,1.5,IF(AY110&lt;20,2,IF(AY110&gt;19,2.5,2.5)))))))</f>
        <v/>
      </c>
      <c r="BA110" s="7" t="n"/>
      <c r="BB110" t="n">
        <v>64</v>
      </c>
      <c r="BC110" t="n">
        <v>61</v>
      </c>
    </row>
    <row r="111" ht="14.25" customHeight="1">
      <c r="A111" t="inlineStr">
        <is>
          <t>https://www.chittorgarh.com/ipo/kanishk-aluminium-india-ipo/2555/</t>
        </is>
      </c>
      <c r="B111" t="inlineStr">
        <is>
          <t>Kanishk Aluminium In</t>
        </is>
      </c>
      <c r="C111" t="inlineStr">
        <is>
          <t>2026</t>
        </is>
      </c>
      <c r="D111" s="11" t="n">
        <v>0</v>
      </c>
      <c r="E111" t="n">
        <v>22.74</v>
      </c>
      <c r="F111" t="n">
        <v>16.57</v>
      </c>
      <c r="G111" s="5">
        <f>100*(F111-E111)/F111</f>
        <v/>
      </c>
      <c r="H111" t="n">
        <v>50.5</v>
      </c>
      <c r="I111" t="n">
        <v>3.04</v>
      </c>
      <c r="J111" t="n">
        <v>17.62</v>
      </c>
      <c r="K111" t="n">
        <v>3.22</v>
      </c>
      <c r="L111" t="n">
        <v>29.21</v>
      </c>
      <c r="M111" t="n">
        <v>6.63</v>
      </c>
      <c r="N111" t="n">
        <v>33.55</v>
      </c>
      <c r="O111" t="n">
        <v>60.13</v>
      </c>
      <c r="P111" s="5">
        <f>O111/I111</f>
        <v/>
      </c>
      <c r="Q111" t="n">
        <v>22.66</v>
      </c>
      <c r="R111" s="2" t="n">
        <v>19.03</v>
      </c>
      <c r="S111" s="6" t="n">
        <v>1</v>
      </c>
      <c r="T111" t="n">
        <v>29.2</v>
      </c>
      <c r="U111" t="n">
        <v>0</v>
      </c>
      <c r="V111" t="n">
        <v>0</v>
      </c>
      <c r="W111" t="n">
        <v>0</v>
      </c>
      <c r="X111" t="n">
        <v>0</v>
      </c>
      <c r="Y111" t="n">
        <v>0.14</v>
      </c>
      <c r="Z111" t="n">
        <v>1.65</v>
      </c>
      <c r="AA111" s="5">
        <f>IF(X111&lt;50,IF(Y111&gt;(2.3*X111),0,1),1)-IF(Z111&gt;Y111,1.7,0)</f>
        <v/>
      </c>
      <c r="AB111" t="n">
        <v>9.59</v>
      </c>
      <c r="AC111" s="5">
        <f>IF(AB111&gt;4,1,0)+IF(AB111&gt;10,0.7,0)</f>
        <v/>
      </c>
      <c r="AD111" t="n">
        <v>100</v>
      </c>
      <c r="AE111" t="n">
        <v>0.99</v>
      </c>
      <c r="AF111" t="n">
        <v>22.47</v>
      </c>
      <c r="AG111" s="6">
        <f>IF(G111&lt;52,0,0.7)+IF(G111&lt;34,0,0.7)+IF(G111&lt;1,0,0.7)+IF(P111&gt;14.56,0,1)+IF(R111&lt;9,0.5,0)+IF(R111&lt;33.8,0.5,0)+IF(R111&lt;50,0.5,0)+IF(R111&lt;80,0.5,0)+IF(S111=5,0,S111)+IF(V111&gt;0,1,-1)+IF(AE111&lt;10.56,0,1)-IF(AE111&lt;3,1,0)-IF(AE111&lt;1,1,0)</f>
        <v/>
      </c>
      <c r="AH111" s="5">
        <f>AG111+IF(X111&lt;1.35,0,1)+IF(Y111&lt;1.35,0,1)+IF(Y111&lt;0.7,-1,0)+AC111+AA111</f>
        <v/>
      </c>
      <c r="AI111" s="5" t="n">
        <v>13</v>
      </c>
      <c r="AJ111" s="5">
        <f>IF(AI111&gt;12.7,IF(AI111&gt;15.8,0.93,0.98),1)</f>
        <v/>
      </c>
      <c r="AK111" s="5">
        <f>(1.5*AG111+AH111)*AJ111*AQ111</f>
        <v/>
      </c>
      <c r="AL111" s="4">
        <f>D111</f>
        <v/>
      </c>
      <c r="AM111" s="8">
        <f>B111</f>
        <v/>
      </c>
      <c r="AN111" s="46" t="n">
        <v>30</v>
      </c>
      <c r="AO111" s="61">
        <f>IF(Z111&lt;2.81,0,IF(AK111&gt;13.7,IF(Z111&lt;140,1,0),0))</f>
        <v/>
      </c>
      <c r="AP111" s="7">
        <f>IF(AK111&gt;13.93,IF(Z111&lt;300,IF(Z111&lt;35,IF(Z111&lt;6,3,2),1),0),0)</f>
        <v/>
      </c>
      <c r="AQ111" s="5" t="n">
        <v>1</v>
      </c>
      <c r="AR111" s="7">
        <f>IF(AO111=1,IF(AO111=AL111,1,0),5)</f>
        <v/>
      </c>
      <c r="AS111" t="n">
        <v>73</v>
      </c>
      <c r="AT111" s="5" t="n">
        <v>46</v>
      </c>
      <c r="AU111" s="5" t="n">
        <v>54</v>
      </c>
      <c r="AV111" s="5">
        <f>(AT111+AU111)/2</f>
        <v/>
      </c>
      <c r="AW111" t="n">
        <v>58</v>
      </c>
      <c r="AX111" s="4">
        <f>IF(AW111&gt;AV111,1,0)</f>
        <v/>
      </c>
      <c r="AY111" s="4">
        <f>(100*(AU111-AS111)/AS111)</f>
        <v/>
      </c>
      <c r="AZ111" s="4">
        <f>IF(AY111&lt;-50,-4,IF(AY111&lt;-20,-2,IF(AY111&lt;0,-1.5,IF(AY111=0,0,IF(AY111&lt;10,1.5,IF(AY111&lt;20,2,IF(AY111&gt;19,2.5,2.5)))))))</f>
        <v/>
      </c>
      <c r="BA111" s="7" t="n"/>
      <c r="BB111" t="n">
        <v>55</v>
      </c>
    </row>
    <row r="112" ht="12" customHeight="1">
      <c r="A112" t="inlineStr">
        <is>
          <t>https://www.chittorgarh.com/ipo/msafe-equipments-ipo/2600/</t>
        </is>
      </c>
      <c r="B112" t="inlineStr">
        <is>
          <t>Msafe Equipments Dat</t>
        </is>
      </c>
      <c r="C112" t="inlineStr">
        <is>
          <t>2026</t>
        </is>
      </c>
      <c r="D112" s="11" t="n">
        <v>1</v>
      </c>
      <c r="E112" t="n">
        <v>32.56</v>
      </c>
      <c r="F112" t="n">
        <v>25.65</v>
      </c>
      <c r="G112" s="5">
        <f>100*(F112-E112)/F112</f>
        <v/>
      </c>
      <c r="H112" t="n">
        <v>73.59</v>
      </c>
      <c r="I112" t="n">
        <v>13.01</v>
      </c>
      <c r="J112" t="n">
        <v>21.42</v>
      </c>
      <c r="K112" t="n">
        <v>8.130000000000001</v>
      </c>
      <c r="L112" t="n">
        <v>33.98</v>
      </c>
      <c r="M112" t="n">
        <v>26.08</v>
      </c>
      <c r="N112" t="n">
        <v>39.2</v>
      </c>
      <c r="O112" t="n">
        <v>71.62</v>
      </c>
      <c r="P112" s="5">
        <f>O112/I112</f>
        <v/>
      </c>
      <c r="Q112" t="n">
        <v>15.12</v>
      </c>
      <c r="R112" s="2" t="n">
        <v>11.95</v>
      </c>
      <c r="S112" s="6" t="n">
        <v>0</v>
      </c>
      <c r="T112" t="n">
        <v>66.42</v>
      </c>
      <c r="U112" t="n">
        <v>12.3</v>
      </c>
      <c r="V112" t="n">
        <v>1</v>
      </c>
      <c r="W112" t="n">
        <v>1</v>
      </c>
      <c r="X112" t="n">
        <v>57.08</v>
      </c>
      <c r="Y112" t="n">
        <v>192.51</v>
      </c>
      <c r="Z112" t="n">
        <v>80.51000000000001</v>
      </c>
      <c r="AA112" s="5">
        <f>IF(X112&lt;50,IF(Y112&gt;(2.3*X112),0,1),1)-IF(Z112&gt;Y112,1.7,0)</f>
        <v/>
      </c>
      <c r="AB112" t="n">
        <v>20.33</v>
      </c>
      <c r="AC112" s="5">
        <f>IF(AB112&gt;4,1,0)+IF(AB112&gt;10,0.7,0)</f>
        <v/>
      </c>
      <c r="AD112" t="n">
        <v>98.63</v>
      </c>
      <c r="AE112" t="n">
        <v>48.16</v>
      </c>
      <c r="AF112" t="n">
        <v>102.93</v>
      </c>
      <c r="AG112" s="6">
        <f>IF(G112&lt;52,0,0.7)+IF(G112&lt;34,0,0.7)+IF(G112&lt;1,0,0.7)+IF(P112&gt;14.56,0,1)+IF(R112&lt;9,0.5,0)+IF(R112&lt;33.8,0.5,0)+IF(R112&lt;50,0.5,0)+IF(R112&lt;80,0.5,0)+IF(S112=5,0,S112)+IF(V112&gt;0,1,-1)+IF(AE112&lt;10.56,0,1)-IF(AE112&lt;3,1,0)-IF(AE112&lt;1,1,0)</f>
        <v/>
      </c>
      <c r="AH112" s="5">
        <f>AG112+IF(X112&lt;1.35,0,1)+IF(Y112&lt;1.35,0,1)+IF(Y112&lt;0.7,-1,0)+AC112+AA112</f>
        <v/>
      </c>
      <c r="AI112" s="5" t="n">
        <v>13</v>
      </c>
      <c r="AJ112" s="5">
        <f>IF(AI112&gt;12.7,IF(AI112&gt;15.8,0.93,0.98),1)</f>
        <v/>
      </c>
      <c r="AK112" s="5">
        <f>(1.5*AG112+AH112)*AJ112*AQ112</f>
        <v/>
      </c>
      <c r="AL112" s="4">
        <f>D112</f>
        <v/>
      </c>
      <c r="AM112" s="8">
        <f>B112</f>
        <v/>
      </c>
      <c r="AN112" s="46" t="n">
        <v>30</v>
      </c>
      <c r="AO112" s="61">
        <f>IF(Z112&lt;2.81,0,IF(AK112&gt;13.7,IF(Z112&lt;140,1,0),0))</f>
        <v/>
      </c>
      <c r="AP112" s="7">
        <f>IF(AK112&gt;13.93,IF(Z112&lt;300,IF(Z112&lt;35,IF(Z112&lt;6,3,2),1),0),0)</f>
        <v/>
      </c>
      <c r="AQ112" s="5" t="n">
        <v>1</v>
      </c>
      <c r="AR112" s="7">
        <f>IF(AO112=1,IF(AO112=AL112,1,0),5)</f>
        <v/>
      </c>
      <c r="AS112" t="n">
        <v>123</v>
      </c>
      <c r="AT112" s="5" t="n">
        <v>144</v>
      </c>
      <c r="AU112" s="5" t="n">
        <v>165</v>
      </c>
      <c r="AV112" s="5">
        <f>(AT112+AU112)/2</f>
        <v/>
      </c>
      <c r="AW112" t="n">
        <v>144</v>
      </c>
      <c r="AX112" s="4">
        <f>IF(AW112&gt;AV112,1,0)</f>
        <v/>
      </c>
      <c r="AY112" s="4">
        <f>(100*(AU112-AS112)/AS112)</f>
        <v/>
      </c>
      <c r="AZ112" s="4">
        <f>IF(AY112&lt;-50,-4,IF(AY112&lt;-20,-2,IF(AY112&lt;0,-1.5,IF(AY112=0,0,IF(AY112&lt;10,1.5,IF(AY112&lt;20,2,IF(AY112&gt;19,2.5,2.5)))))))</f>
        <v/>
      </c>
      <c r="BA112" s="7" t="n"/>
      <c r="BB112" t="n">
        <v>150</v>
      </c>
      <c r="BC112" t="n">
        <v>163</v>
      </c>
    </row>
    <row r="113" ht="12.75" customHeight="1">
      <c r="A113" t="inlineStr">
        <is>
          <t>https://www.chittorgarh.com/ipo/accretion-nutraveda-ipo/2699/</t>
        </is>
      </c>
      <c r="B113" t="inlineStr">
        <is>
          <t xml:space="preserve">Accretion Nutraveda </t>
        </is>
      </c>
      <c r="C113" t="inlineStr">
        <is>
          <t>2026</t>
        </is>
      </c>
      <c r="D113" s="11" t="n">
        <v>1</v>
      </c>
      <c r="E113" t="n">
        <v>3.86</v>
      </c>
      <c r="F113" t="n">
        <v>5.35</v>
      </c>
      <c r="G113" s="5">
        <f>100*(F113-E113)/F113</f>
        <v/>
      </c>
      <c r="H113" t="n">
        <v>10.86</v>
      </c>
      <c r="I113" t="n">
        <v>2.61</v>
      </c>
      <c r="J113" t="n">
        <v>16.59</v>
      </c>
      <c r="K113" t="n">
        <v>4.91</v>
      </c>
      <c r="L113" t="n">
        <v>68.54000000000001</v>
      </c>
      <c r="M113" t="n">
        <v>3.65</v>
      </c>
      <c r="N113" t="n">
        <v>23.36</v>
      </c>
      <c r="O113" t="n">
        <v>16.06</v>
      </c>
      <c r="P113" s="5">
        <f>O113/I113</f>
        <v/>
      </c>
      <c r="Q113" t="n">
        <v>26.27</v>
      </c>
      <c r="R113" s="2" t="n">
        <v>20.02</v>
      </c>
      <c r="S113" s="6" t="n">
        <v>1</v>
      </c>
      <c r="T113" t="n">
        <v>24.77</v>
      </c>
      <c r="U113" t="n">
        <v>0</v>
      </c>
      <c r="V113" t="n">
        <v>1</v>
      </c>
      <c r="W113" t="n">
        <v>0</v>
      </c>
      <c r="X113" t="n">
        <v>0.99</v>
      </c>
      <c r="Y113" t="n">
        <v>1.89</v>
      </c>
      <c r="Z113" t="n">
        <v>1.7</v>
      </c>
      <c r="AA113" s="5">
        <f>IF(X113&lt;50,IF(Y113&gt;(2.3*X113),0,1),1)-IF(Z113&gt;Y113,1.7,0)</f>
        <v/>
      </c>
      <c r="AB113" t="n">
        <v>0</v>
      </c>
      <c r="AC113" s="5">
        <f>IF(AB113&gt;4,1,0)+IF(AB113&gt;10,0.7,0)</f>
        <v/>
      </c>
      <c r="AD113" t="n">
        <v>218.29</v>
      </c>
      <c r="AE113" t="n">
        <v>208.85</v>
      </c>
      <c r="AF113" t="n">
        <v>395.37</v>
      </c>
      <c r="AG113" s="6">
        <f>IF(G113&lt;52,0,0.7)+IF(G113&lt;34,0,0.7)+IF(G113&lt;1,0,0.7)+IF(P113&gt;14.56,0,1)+IF(R113&lt;9,0.5,0)+IF(R113&lt;33.8,0.5,0)+IF(R113&lt;50,0.5,0)+IF(R113&lt;80,0.5,0)+IF(S113=5,0,S113)+IF(V113&gt;0,1,-1)+IF(AE113&lt;10.56,0,1)-IF(AE113&lt;3,1,0)-IF(AE113&lt;1,1,0)</f>
        <v/>
      </c>
      <c r="AH113" s="5">
        <f>AG113+IF(X113&lt;1.35,0,1)+IF(Y113&lt;1.35,0,1)+IF(Y113&lt;0.7,-1,0)+AC113+AA113</f>
        <v/>
      </c>
      <c r="AI113" s="5" t="n">
        <v>13</v>
      </c>
      <c r="AJ113" s="5">
        <f>IF(AI113&gt;12.7,IF(AI113&gt;15.8,0.93,0.98),1)</f>
        <v/>
      </c>
      <c r="AK113" s="5">
        <f>(1.5*AG113+AH113)*AJ113*AQ113</f>
        <v/>
      </c>
      <c r="AL113" s="4">
        <f>D113</f>
        <v/>
      </c>
      <c r="AM113" s="8">
        <f>B113</f>
        <v/>
      </c>
      <c r="AN113" s="46" t="n">
        <v>30</v>
      </c>
      <c r="AO113" s="61">
        <f>IF(Z113&lt;2.81,0,IF(AK113&gt;13.7,IF(Z113&lt;140,1,0),0))</f>
        <v/>
      </c>
      <c r="AP113" s="7">
        <f>IF(AK113&gt;13.93,IF(Z113&lt;300,IF(Z113&lt;35,IF(Z113&lt;6,3,2),1),0),0)</f>
        <v/>
      </c>
      <c r="AQ113" s="5" t="n">
        <v>1</v>
      </c>
      <c r="AR113" s="7">
        <f>IF(AO113=1,IF(AO113=AL113,1,0),5)</f>
        <v/>
      </c>
      <c r="AS113" t="n">
        <v>129</v>
      </c>
      <c r="AT113" s="5" t="n">
        <v>90</v>
      </c>
      <c r="AU113" s="5" t="n">
        <v>104</v>
      </c>
      <c r="AV113" s="5">
        <f>(AT113+AU113)/2</f>
        <v/>
      </c>
      <c r="AW113" s="5" t="n">
        <v>191</v>
      </c>
      <c r="AX113" s="4">
        <f>IF(AW113&gt;AV113,1,0)</f>
        <v/>
      </c>
      <c r="AY113" s="4">
        <f>(100*(AU113-AS113)/AS113)</f>
        <v/>
      </c>
      <c r="AZ113" s="4">
        <f>IF(AY113&lt;-50,-4,IF(AY113&lt;-20,-2,IF(AY113&lt;0,-1.5,IF(AY113=0,0,IF(AY113&lt;10,1.5,IF(AY113&lt;20,2,IF(AY113&gt;19,2.5,2.5)))))))</f>
        <v/>
      </c>
      <c r="BA113" s="7" t="n"/>
      <c r="BB113" s="5" t="n">
        <v>191</v>
      </c>
      <c r="BC113" s="5" t="n">
        <v>206</v>
      </c>
    </row>
    <row r="114" ht="12.75" customHeight="1">
      <c r="A114" t="inlineStr">
        <is>
          <t>https://www.chittorgarh.com/ipo/c-k-k-retail-mart-ipo/2409/</t>
        </is>
      </c>
      <c r="B114" t="inlineStr">
        <is>
          <t>CKK Retail Mart Date</t>
        </is>
      </c>
      <c r="C114" t="inlineStr">
        <is>
          <t>2026</t>
        </is>
      </c>
      <c r="D114" s="11" t="n">
        <v>1</v>
      </c>
      <c r="E114" t="n">
        <v>0</v>
      </c>
      <c r="F114" t="n">
        <v>42.53</v>
      </c>
      <c r="G114" s="5">
        <f>100*(F114-E114)/F114</f>
        <v/>
      </c>
      <c r="H114" t="n">
        <v>68.09</v>
      </c>
      <c r="I114" t="n">
        <v>16.36</v>
      </c>
      <c r="J114" t="n">
        <v>5.39</v>
      </c>
      <c r="K114" t="n">
        <v>10.94</v>
      </c>
      <c r="L114" t="n">
        <v>18.34</v>
      </c>
      <c r="M114" t="n">
        <v>22.6</v>
      </c>
      <c r="N114" t="n">
        <v>7.38</v>
      </c>
      <c r="O114" t="n">
        <v>301.85</v>
      </c>
      <c r="P114" s="5">
        <f>O114/I114</f>
        <v/>
      </c>
      <c r="Q114" t="n">
        <v>14.9</v>
      </c>
      <c r="R114" s="2" t="n">
        <v>18.38</v>
      </c>
      <c r="S114" s="6" t="n">
        <v>-1</v>
      </c>
      <c r="T114" t="n">
        <v>88.02</v>
      </c>
      <c r="U114" t="n">
        <v>16.17</v>
      </c>
      <c r="V114" t="n">
        <v>0</v>
      </c>
      <c r="W114" t="n">
        <v>1</v>
      </c>
      <c r="X114" t="n">
        <v>0</v>
      </c>
      <c r="Y114" t="n">
        <v>0</v>
      </c>
      <c r="Z114" t="n">
        <v>0</v>
      </c>
      <c r="AA114" s="5">
        <f>IF(X114&lt;50,IF(Y114&gt;(2.3*X114),0,1),1)-IF(Z114&gt;Y114,1.7,0)</f>
        <v/>
      </c>
      <c r="AB114" t="n">
        <v>0</v>
      </c>
      <c r="AC114" s="5">
        <f>IF(AB114&gt;4,1,0)+IF(AB114&gt;10,0.7,0)</f>
        <v/>
      </c>
      <c r="AD114" t="n">
        <v>29.12</v>
      </c>
      <c r="AE114" t="n">
        <v>29.36</v>
      </c>
      <c r="AF114" t="n">
        <v>62.51</v>
      </c>
      <c r="AG114" s="6">
        <f>IF(G114&lt;52,0,0.7)+IF(G114&lt;34,0,0.7)+IF(G114&lt;1,0,0.7)+IF(P114&gt;14.56,0,1)+IF(R114&lt;9,0.5,0)+IF(R114&lt;33.8,0.5,0)+IF(R114&lt;50,0.5,0)+IF(R114&lt;80,0.5,0)+IF(S114=5,0,S114)+IF(V114&gt;0,1,-1)+IF(AE114&lt;10.56,0,1)-IF(AE114&lt;3,1,0)-IF(AE114&lt;1,1,0)</f>
        <v/>
      </c>
      <c r="AH114" s="5">
        <f>AG114+IF(X114&lt;1.35,0,1)+IF(Y114&lt;1.35,0,1)+IF(Y114&lt;0.7,-1,0)+AC114+AA114</f>
        <v/>
      </c>
      <c r="AI114" s="5" t="n">
        <v>16.45</v>
      </c>
      <c r="AJ114" s="5">
        <f>IF(AI114&gt;12.7,IF(AI114&gt;15.8,0.93,0.98),1)</f>
        <v/>
      </c>
      <c r="AK114" s="5">
        <f>(1.5*AG114+AH114)*AJ114*AQ114</f>
        <v/>
      </c>
      <c r="AL114" s="4">
        <f>D114</f>
        <v/>
      </c>
      <c r="AM114" s="8">
        <f>B114</f>
        <v/>
      </c>
      <c r="AN114" s="47" t="n">
        <v>3</v>
      </c>
      <c r="AO114" s="61">
        <f>IF(Z114&lt;2.81,0,IF(AK114&gt;13.7,IF(Z114&lt;140,1,0),0))</f>
        <v/>
      </c>
      <c r="AP114" s="7">
        <f>IF(AK114&gt;13.93,IF(Z114&lt;300,IF(Z114&lt;35,IF(Z114&lt;6,3,2),1),0),0)</f>
        <v/>
      </c>
      <c r="AQ114" s="5" t="n">
        <v>1</v>
      </c>
      <c r="AR114" s="7">
        <f>IF(AO114=1,IF(AO114=AL114,1,0),5)</f>
        <v/>
      </c>
      <c r="AS114" t="n">
        <v>163</v>
      </c>
      <c r="AT114" s="5" t="n">
        <v>88</v>
      </c>
      <c r="AU114" s="5" t="n">
        <v>107</v>
      </c>
      <c r="AV114" s="5">
        <f>(AT114+AU114)/2</f>
        <v/>
      </c>
      <c r="AW114" s="48" t="n">
        <v>163</v>
      </c>
      <c r="AX114" s="4">
        <f>IF(AW114&gt;AV114,1,0)</f>
        <v/>
      </c>
      <c r="AY114" s="4">
        <f>(100*(AU114-AS114)/AS114)</f>
        <v/>
      </c>
      <c r="AZ114" s="4">
        <f>IF(AY114&lt;-50,-4,IF(AY114&lt;-20,-2,IF(AY114&lt;0,-1.5,IF(AY114=0,0,IF(AY114&lt;10,1.5,IF(AY114&lt;20,2,IF(AY114&gt;19,2.5,2.5)))))))</f>
        <v/>
      </c>
      <c r="BA114" s="15" t="n"/>
      <c r="BB114" s="48" t="n">
        <v>171</v>
      </c>
      <c r="BC114" s="48" t="n"/>
      <c r="BD114" s="48" t="n"/>
    </row>
    <row r="115" ht="17.25" customHeight="1">
      <c r="A115" t="inlineStr">
        <is>
          <t>https://www.chittorgarh.com/ipo/brandman-retail-ipo/2274/</t>
        </is>
      </c>
      <c r="B115" t="inlineStr">
        <is>
          <t>Brandman Retail Date</t>
        </is>
      </c>
      <c r="C115" t="inlineStr">
        <is>
          <t>2026</t>
        </is>
      </c>
      <c r="D115" s="11" t="n">
        <v>1</v>
      </c>
      <c r="E115" t="n">
        <v>11.87</v>
      </c>
      <c r="F115" t="n">
        <v>29.79</v>
      </c>
      <c r="G115" s="5">
        <f>100*(F115-E115)/F115</f>
        <v/>
      </c>
      <c r="H115" t="n">
        <v>84.73</v>
      </c>
      <c r="I115" t="n">
        <v>20.95</v>
      </c>
      <c r="J115" t="n">
        <v>20.64</v>
      </c>
      <c r="K115" t="n">
        <v>15.45</v>
      </c>
      <c r="L115" t="n">
        <v>43.69</v>
      </c>
      <c r="M115" t="n">
        <v>31.15</v>
      </c>
      <c r="N115" t="n">
        <v>28.35</v>
      </c>
      <c r="O115" t="n">
        <v>136.3</v>
      </c>
      <c r="P115" s="5">
        <f>O115/I115</f>
        <v/>
      </c>
      <c r="Q115" t="n">
        <v>11.39</v>
      </c>
      <c r="R115" s="2" t="n">
        <v>12.38</v>
      </c>
      <c r="S115" s="6" t="n">
        <v>1</v>
      </c>
      <c r="T115" t="n">
        <v>86.09</v>
      </c>
      <c r="U115" t="n">
        <v>0</v>
      </c>
      <c r="V115" t="n">
        <v>1</v>
      </c>
      <c r="W115" t="n">
        <v>1</v>
      </c>
      <c r="X115" t="n">
        <v>85.23999999999999</v>
      </c>
      <c r="Y115" t="n">
        <v>202.98</v>
      </c>
      <c r="Z115" t="n">
        <v>93.11</v>
      </c>
      <c r="AA115" s="5">
        <f>IF(X115&lt;50,IF(Y115&gt;(2.3*X115),0,1),1)-IF(Z115&gt;Y115,1.7,0)</f>
        <v/>
      </c>
      <c r="AB115" t="n">
        <v>15.91</v>
      </c>
      <c r="AC115" s="5">
        <f>IF(AB115&gt;4,1,0)+IF(AB115&gt;10,0.7,0)</f>
        <v/>
      </c>
      <c r="AD115" t="n">
        <v>153.33</v>
      </c>
      <c r="AE115" t="n">
        <v>10.37</v>
      </c>
      <c r="AF115" t="n">
        <v>236.99</v>
      </c>
      <c r="AG115" s="6">
        <f>IF(G115&lt;52,0,0.7)+IF(G115&lt;34,0,0.7)+IF(G115&lt;1,0,0.7)+IF(P115&gt;14.56,0,1)+IF(R115&lt;9,0.5,0)+IF(R115&lt;33.8,0.5,0)+IF(R115&lt;50,0.5,0)+IF(R115&lt;80,0.5,0)+IF(S115=5,0,S115)+IF(V115&gt;0,1,-1)+IF(AE115&lt;10.56,0,1)-IF(AE115&lt;3,1,0)-IF(AE115&lt;1,1,0)</f>
        <v/>
      </c>
      <c r="AH115" s="5">
        <f>AG115+IF(X115&lt;1.35,0,1)+IF(Y115&lt;1.35,0,1)+IF(Y115&lt;0.7,-1,0)+AC115+AA115</f>
        <v/>
      </c>
      <c r="AI115" s="5" t="n">
        <v>12</v>
      </c>
      <c r="AJ115" s="5">
        <f>IF(AI115&gt;12.7,IF(AI115&gt;15.8,0.93,0.98),1)</f>
        <v/>
      </c>
      <c r="AK115" s="5">
        <f>(1.5*AG115+AH115)*AJ115*AQ115</f>
        <v/>
      </c>
      <c r="AL115" s="4">
        <f>D115</f>
        <v/>
      </c>
      <c r="AM115" s="8">
        <f>B115</f>
        <v/>
      </c>
      <c r="AN115" s="47" t="n">
        <v>6</v>
      </c>
      <c r="AO115" s="61">
        <f>IF(Z115&lt;2.81,0,IF(AK115&gt;13.7,IF(Z115&lt;140,1,0),0))</f>
        <v/>
      </c>
      <c r="AP115" s="7">
        <f>IF(AK115&gt;13.93,IF(Z115&lt;300,IF(Z115&lt;35,IF(Z115&lt;6,3,2),1),0),0)</f>
        <v/>
      </c>
      <c r="AQ115" s="5" t="n">
        <v>1</v>
      </c>
      <c r="AR115" s="7">
        <f>IF(AO115=1,IF(AO115=AL115,1,0),5)</f>
        <v/>
      </c>
      <c r="AS115" t="n">
        <v>176</v>
      </c>
      <c r="AT115" s="2" t="n">
        <v>128</v>
      </c>
      <c r="AU115" s="5" t="n">
        <v>150</v>
      </c>
      <c r="AV115" s="5">
        <f>(AT115+AU115)/2</f>
        <v/>
      </c>
      <c r="AW115" s="5" t="n">
        <v>178.5</v>
      </c>
      <c r="AX115" s="4">
        <f>IF(AW115&gt;AV115,1,0)</f>
        <v/>
      </c>
      <c r="AY115" s="4">
        <f>(100*(AU115-AS115)/AS115)</f>
        <v/>
      </c>
      <c r="AZ115" s="4">
        <f>IF(AY115&lt;-50,-4,IF(AY115&lt;-20,-2,IF(AY115&lt;0,-1.5,IF(AY115=0,0,IF(AY115&lt;10,1.5,IF(AY115&lt;20,2,IF(AY115&gt;19,2.5,2.5)))))))</f>
        <v/>
      </c>
      <c r="BA115" s="7" t="n"/>
      <c r="BB115" t="n">
        <v>192.5</v>
      </c>
    </row>
    <row r="116" ht="12.75" customHeight="1">
      <c r="A116" t="inlineStr">
        <is>
          <t>https://www.chittorgarh.com/ipo/grover-jewells-ipo/2731/</t>
        </is>
      </c>
      <c r="B116" t="inlineStr">
        <is>
          <t>Grover Jewells Date,</t>
        </is>
      </c>
      <c r="C116" t="inlineStr">
        <is>
          <t>2026</t>
        </is>
      </c>
      <c r="D116" s="11" t="n">
        <v>1</v>
      </c>
      <c r="E116" t="n">
        <v>9.34</v>
      </c>
      <c r="F116" t="n">
        <v>16.69</v>
      </c>
      <c r="G116" s="5">
        <f>100*(F116-E116)/F116</f>
        <v/>
      </c>
      <c r="H116" t="n">
        <v>29.85</v>
      </c>
      <c r="I116" t="n">
        <v>7.62</v>
      </c>
      <c r="J116" t="n">
        <v>2.21</v>
      </c>
      <c r="K116" t="n">
        <v>7.15</v>
      </c>
      <c r="L116" t="n">
        <v>0</v>
      </c>
      <c r="M116" t="n">
        <v>11.26</v>
      </c>
      <c r="N116" t="n">
        <v>3.09</v>
      </c>
      <c r="O116" t="n">
        <v>460.95</v>
      </c>
      <c r="P116" s="5">
        <f>O116/I116</f>
        <v/>
      </c>
      <c r="Q116" t="n">
        <v>12.31</v>
      </c>
      <c r="R116" s="2" t="n">
        <v>7.12</v>
      </c>
      <c r="S116" s="6" t="n">
        <v>1</v>
      </c>
      <c r="T116" t="n">
        <v>33.83</v>
      </c>
      <c r="U116" t="n">
        <v>0</v>
      </c>
      <c r="V116" t="n">
        <v>1</v>
      </c>
      <c r="W116" t="n">
        <v>1</v>
      </c>
      <c r="X116" t="n">
        <v>11.32</v>
      </c>
      <c r="Y116" t="n">
        <v>37.57</v>
      </c>
      <c r="Z116" t="n">
        <v>15</v>
      </c>
      <c r="AA116" s="5">
        <f>IF(X116&lt;50,IF(Y116&gt;(2.3*X116),0,1),1)-IF(Z116&gt;Y116,1.7,0)</f>
        <v/>
      </c>
      <c r="AB116" t="n">
        <v>3.4</v>
      </c>
      <c r="AC116" s="5">
        <f>IF(AB116&gt;4,1,0)+IF(AB116&gt;10,0.7,0)</f>
        <v/>
      </c>
      <c r="AD116" t="n">
        <v>174.1</v>
      </c>
      <c r="AE116" t="n">
        <v>78.66</v>
      </c>
      <c r="AF116" t="n">
        <v>84.01000000000001</v>
      </c>
      <c r="AG116" s="6">
        <f>IF(G116&lt;52,0,0.7)+IF(G116&lt;34,0,0.7)+IF(G116&lt;1,0,0.7)+IF(P116&gt;14.56,0,1)+IF(R116&lt;9,0.5,0)+IF(R116&lt;33.8,0.5,0)+IF(R116&lt;50,0.5,0)+IF(R116&lt;80,0.5,0)+IF(S116=5,0,S116)+IF(V116&gt;0,1,-1)+IF(AE116&lt;10.56,0,1)-IF(AE116&lt;3,1,0)-IF(AE116&lt;1,1,0)</f>
        <v/>
      </c>
      <c r="AH116" s="5">
        <f>AG116+IF(X116&lt;1.35,0,1)+IF(Y116&lt;1.35,0,1)+IF(Y116&lt;0.7,-1,0)+AC116+AA116</f>
        <v/>
      </c>
      <c r="AI116" s="5" t="n">
        <v>12</v>
      </c>
      <c r="AJ116" s="5">
        <f>IF(AI116&gt;12.7,IF(AI116&gt;15.8,0.93,0.98),1)</f>
        <v/>
      </c>
      <c r="AK116" s="5">
        <f>(1.5*AG116+AH116)*AJ116*AQ116</f>
        <v/>
      </c>
      <c r="AL116" s="4">
        <f>D116</f>
        <v/>
      </c>
      <c r="AM116" s="8">
        <f>B116</f>
        <v/>
      </c>
      <c r="AN116" s="49" t="n">
        <v>6</v>
      </c>
      <c r="AO116" s="61">
        <f>IF(Z116&lt;2.81,0,IF(AK116&gt;13.7,IF(Z116&lt;140,1,0),0))</f>
        <v/>
      </c>
      <c r="AP116" s="7">
        <f>IF(AK116&gt;13.93,IF(Z116&lt;300,IF(Z116&lt;35,IF(Z116&lt;6,3,2),1),0),0)</f>
        <v/>
      </c>
      <c r="AQ116" s="5" t="n">
        <v>1</v>
      </c>
      <c r="AR116" s="7">
        <f>IF(AO116=1,IF(AO116=AL116,1,0),5)</f>
        <v/>
      </c>
      <c r="AS116" t="n">
        <v>88</v>
      </c>
      <c r="AT116" s="5" t="n">
        <v>111</v>
      </c>
      <c r="AU116" s="5" t="n">
        <v>148</v>
      </c>
      <c r="AV116" s="5">
        <f>(AT116+AU116)/2</f>
        <v/>
      </c>
      <c r="AW116" s="48" t="n">
        <v>96</v>
      </c>
      <c r="AX116" s="4">
        <f>IF(AW116&gt;AV116,1,0)</f>
        <v/>
      </c>
      <c r="AY116" s="4">
        <f>(100*(AU116-AS116)/AS116)</f>
        <v/>
      </c>
      <c r="AZ116" s="4">
        <f>IF(AY116&lt;-50,-4,IF(AY116&lt;-20,-2,IF(AY116&lt;0,-1.5,IF(AY116=0,0,IF(AY116&lt;10,1.5,IF(AY116&lt;20,2,IF(AY116&gt;19,2.5,2.5)))))))</f>
        <v/>
      </c>
      <c r="BA116" s="15" t="n">
        <v>100</v>
      </c>
      <c r="BB116" s="48" t="n">
        <v>105</v>
      </c>
      <c r="BC116" s="48" t="n">
        <v>111</v>
      </c>
      <c r="BD116" s="48" t="n">
        <v>117</v>
      </c>
    </row>
    <row r="117" ht="12.75" customHeight="1">
      <c r="A117" t="inlineStr">
        <is>
          <t>https://www.chittorgarh.com/ipo/pan-hr-solutions-ipo/2759/</t>
        </is>
      </c>
      <c r="B117" t="inlineStr">
        <is>
          <t>PAN HR Solutions Dat</t>
        </is>
      </c>
      <c r="C117" t="inlineStr">
        <is>
          <t>2026</t>
        </is>
      </c>
      <c r="D117" s="11" t="n">
        <v>0</v>
      </c>
      <c r="E117" t="n">
        <v>0</v>
      </c>
      <c r="F117" t="n">
        <v>18.26</v>
      </c>
      <c r="G117" s="5">
        <f>100*(F117-E117)/F117</f>
        <v/>
      </c>
      <c r="H117" t="n">
        <v>36.06</v>
      </c>
      <c r="I117" t="n">
        <v>5.02</v>
      </c>
      <c r="J117" t="n">
        <v>3.33</v>
      </c>
      <c r="K117" t="n">
        <v>9.27</v>
      </c>
      <c r="L117" t="n">
        <v>24.64</v>
      </c>
      <c r="M117" t="n">
        <v>6.86</v>
      </c>
      <c r="N117" t="n">
        <v>4.12</v>
      </c>
      <c r="O117" t="n">
        <v>283.69</v>
      </c>
      <c r="P117" s="5">
        <f>O117/I117</f>
        <v/>
      </c>
      <c r="Q117" t="n">
        <v>8.41</v>
      </c>
      <c r="R117" s="2" t="n">
        <v>7.31</v>
      </c>
      <c r="S117" s="6" t="n">
        <v>1</v>
      </c>
      <c r="T117" t="n">
        <v>17.04</v>
      </c>
      <c r="U117" t="n">
        <v>3</v>
      </c>
      <c r="V117" t="n">
        <v>1</v>
      </c>
      <c r="W117" t="n">
        <v>1</v>
      </c>
      <c r="X117" t="n">
        <v>3.52</v>
      </c>
      <c r="Y117" t="n">
        <v>6</v>
      </c>
      <c r="Z117" t="n">
        <v>3.9</v>
      </c>
      <c r="AA117" s="5">
        <f>IF(X117&lt;50,IF(Y117&gt;(2.3*X117),0,1),1)-IF(Z117&gt;Y117,1.7,0)</f>
        <v/>
      </c>
      <c r="AB117" t="n">
        <v>0</v>
      </c>
      <c r="AC117" s="5">
        <f>IF(AB117&gt;4,1,0)+IF(AB117&gt;10,0.7,0)</f>
        <v/>
      </c>
      <c r="AD117" t="n">
        <v>19.52</v>
      </c>
      <c r="AE117" t="n">
        <v>0.63</v>
      </c>
      <c r="AF117" t="n">
        <v>30.06</v>
      </c>
      <c r="AG117" s="6">
        <f>IF(G117&lt;52,0,0.7)+IF(G117&lt;34,0,0.7)+IF(G117&lt;1,0,0.7)+IF(P117&gt;14.56,0,1)+IF(R117&lt;9,0.5,0)+IF(R117&lt;33.8,0.5,0)+IF(R117&lt;50,0.5,0)+IF(R117&lt;80,0.5,0)+IF(S117=5,0,S117)+IF(V117&gt;0,1,-1)+IF(AE117&lt;10.56,0,1)-IF(AE117&lt;3,1,0)-IF(AE117&lt;1,1,0)</f>
        <v/>
      </c>
      <c r="AH117" s="5">
        <f>AG117+IF(X117&lt;1.35,0,1)+IF(Y117&lt;1.35,0,1)+IF(Y117&lt;0.7,-1,0)+AC117+AA117</f>
        <v/>
      </c>
      <c r="AI117" s="5" t="n">
        <v>12</v>
      </c>
      <c r="AJ117" s="5">
        <f>IF(AI117&gt;12.7,IF(AI117&gt;15.8,0.93,0.98),1)</f>
        <v/>
      </c>
      <c r="AK117" s="5">
        <f>(1.5*AG117+AH117)*AJ117*AQ117</f>
        <v/>
      </c>
      <c r="AL117" s="4">
        <f>D117</f>
        <v/>
      </c>
      <c r="AM117" s="8">
        <f>B117</f>
        <v/>
      </c>
      <c r="AN117" s="47" t="n">
        <v>10</v>
      </c>
      <c r="AO117" s="61">
        <f>IF(Z117&lt;2.81,0,IF(AK117&gt;13.7,IF(Z117&lt;140,1,0),0))</f>
        <v/>
      </c>
      <c r="AP117" s="7">
        <f>IF(AK117&gt;13.93,IF(Z117&lt;300,IF(Z117&lt;35,IF(Z117&lt;6,3,2),1),0),0)</f>
        <v/>
      </c>
      <c r="AQ117" s="5" t="n">
        <v>1</v>
      </c>
      <c r="AR117" s="7">
        <f>IF(AO117=1,IF(AO117=AL117,1,0),5)</f>
        <v/>
      </c>
      <c r="AS117" t="n">
        <v>78</v>
      </c>
      <c r="AT117" s="5" t="n">
        <v>96</v>
      </c>
      <c r="AU117" s="5" t="n">
        <v>117</v>
      </c>
      <c r="AV117" s="5">
        <f>(AT117+AU117)/2</f>
        <v/>
      </c>
      <c r="AW117" t="n">
        <v>78.34999999999999</v>
      </c>
      <c r="AX117" s="4">
        <f>IF(AW117&gt;AV117,1,0)</f>
        <v/>
      </c>
      <c r="AY117" s="4">
        <f>(100*(AU117-AS117)/AS117)</f>
        <v/>
      </c>
      <c r="AZ117" s="4">
        <f>IF(AY117&lt;-50,-4,IF(AY117&lt;-20,-2,IF(AY117&lt;0,-1.5,IF(AY117=0,0,IF(AY117&lt;10,1.5,IF(AY117&lt;20,2,IF(AY117&gt;19,2.5,2.5)))))))</f>
        <v/>
      </c>
      <c r="BA117" s="7" t="n"/>
      <c r="BB117" t="n">
        <v>78</v>
      </c>
      <c r="BC117" t="n">
        <v>71</v>
      </c>
      <c r="BD117" t="n">
        <v>65</v>
      </c>
    </row>
    <row r="118" ht="12.75" customHeight="1">
      <c r="A118" t="inlineStr">
        <is>
          <t>https://www.chittorgarh.com/ipo/biopol-chemicals-ipo/2721/</t>
        </is>
      </c>
      <c r="B118" t="inlineStr">
        <is>
          <t>Biopol Chemicals Dat</t>
        </is>
      </c>
      <c r="C118" t="inlineStr">
        <is>
          <t>2026</t>
        </is>
      </c>
      <c r="D118" s="11" t="n">
        <v>1</v>
      </c>
      <c r="E118" t="n">
        <v>7.69</v>
      </c>
      <c r="F118" t="n">
        <v>13.53</v>
      </c>
      <c r="G118" s="5">
        <f>100*(F118-E118)/F118</f>
        <v/>
      </c>
      <c r="H118" t="n">
        <v>31.48</v>
      </c>
      <c r="I118" t="n">
        <v>4.33</v>
      </c>
      <c r="J118" t="n">
        <v>12.29</v>
      </c>
      <c r="K118" t="n">
        <v>5.47</v>
      </c>
      <c r="L118" t="n">
        <v>36.32</v>
      </c>
      <c r="M118" t="n">
        <v>6.53</v>
      </c>
      <c r="N118" t="n">
        <v>18.41</v>
      </c>
      <c r="O118" t="n">
        <v>49.15</v>
      </c>
      <c r="P118" s="5">
        <f>O118/I118</f>
        <v/>
      </c>
      <c r="Q118" t="n">
        <v>19.73</v>
      </c>
      <c r="R118" s="2" t="n">
        <v>14.58</v>
      </c>
      <c r="S118" s="6" t="n">
        <v>-1</v>
      </c>
      <c r="T118" t="n">
        <v>31.26</v>
      </c>
      <c r="U118" t="n">
        <v>0</v>
      </c>
      <c r="V118" t="n">
        <v>0</v>
      </c>
      <c r="W118" t="n">
        <v>1</v>
      </c>
      <c r="X118" t="n">
        <v>17.39</v>
      </c>
      <c r="Y118" t="n">
        <v>23.67</v>
      </c>
      <c r="Z118" t="n">
        <v>18</v>
      </c>
      <c r="AA118" s="5">
        <f>IF(X118&lt;50,IF(Y118&gt;(2.3*X118),0,1),1)-IF(Z118&gt;Y118,1.7,0)</f>
        <v/>
      </c>
      <c r="AB118" t="n">
        <v>2.78</v>
      </c>
      <c r="AC118" s="5">
        <f>IF(AB118&gt;4,1,0)+IF(AB118&gt;10,0.7,0)</f>
        <v/>
      </c>
      <c r="AD118" t="n">
        <v>46.28</v>
      </c>
      <c r="AE118" t="n">
        <v>181.99</v>
      </c>
      <c r="AF118" t="n">
        <v>47.07</v>
      </c>
      <c r="AG118" s="6">
        <f>IF(G118&lt;52,0,0.7)+IF(G118&lt;34,0,0.7)+IF(G118&lt;1,0,0.7)+IF(P118&gt;14.56,0,1)+IF(R118&lt;9,0.5,0)+IF(R118&lt;33.8,0.5,0)+IF(R118&lt;50,0.5,0)+IF(R118&lt;80,0.5,0)+IF(S118=5,0,S118)+IF(V118&gt;0,1,-1)+IF(AE118&lt;10.56,0,1)-IF(AE118&lt;3,1,0)-IF(AE118&lt;1,1,0)</f>
        <v/>
      </c>
      <c r="AH118" s="5">
        <f>AG118+IF(X118&lt;1.35,0,1)+IF(Y118&lt;1.35,0,1)+IF(Y118&lt;0.7,-1,0)+AC118+AA118</f>
        <v/>
      </c>
      <c r="AI118" s="5" t="n">
        <v>12</v>
      </c>
      <c r="AJ118" s="5">
        <f>IF(AI118&gt;12.7,IF(AI118&gt;15.8,0.93,0.98),1)</f>
        <v/>
      </c>
      <c r="AK118" s="5">
        <f>(1.5*AG118+AH118)*AJ118*AQ118</f>
        <v/>
      </c>
      <c r="AL118" s="4">
        <f>D118</f>
        <v/>
      </c>
      <c r="AM118" s="8">
        <f>B118</f>
        <v/>
      </c>
      <c r="AN118" s="47" t="n">
        <v>10</v>
      </c>
      <c r="AO118" s="61">
        <f>IF(Z118&lt;2.81,0,IF(AK118&gt;13.7,IF(Z118&lt;140,1,0),0))</f>
        <v/>
      </c>
      <c r="AP118" s="7">
        <f>IF(AK118&gt;13.93,IF(Z118&lt;300,IF(Z118&lt;35,IF(Z118&lt;6,3,2),1),0),0)</f>
        <v/>
      </c>
      <c r="AQ118" s="5" t="n">
        <v>1</v>
      </c>
      <c r="AR118" s="7">
        <f>IF(AO118=1,IF(AO118=AL118,1,0),5)</f>
        <v/>
      </c>
      <c r="AS118" t="n">
        <v>108</v>
      </c>
      <c r="AT118" s="5" t="n">
        <v>74</v>
      </c>
      <c r="AU118" s="5" t="n">
        <v>90</v>
      </c>
      <c r="AV118" s="5">
        <f>(AT118+AU118)/2</f>
        <v/>
      </c>
      <c r="AW118" t="n">
        <v>111</v>
      </c>
      <c r="AX118" s="4">
        <f>IF(AW118&gt;AV118,1,0)</f>
        <v/>
      </c>
      <c r="AY118" s="4">
        <f>(100*(AU118-AS118)/AS118)</f>
        <v/>
      </c>
      <c r="AZ118" s="4">
        <f>IF(AY118&lt;-50,-4,IF(AY118&lt;-20,-2,IF(AY118&lt;0,-1.5,IF(AY118=0,0,IF(AY118&lt;10,1.5,IF(AY118&lt;20,2,IF(AY118&gt;19,2.5,2.5)))))))</f>
        <v/>
      </c>
      <c r="BA118" s="7" t="n"/>
    </row>
    <row r="119" ht="12.75" customHeight="1">
      <c r="A119" t="inlineStr">
        <is>
          <t>https://www.chittorgarh.com/ipo/marushika-technology-ipo/2606/</t>
        </is>
      </c>
      <c r="B119" t="inlineStr">
        <is>
          <t>Marushika Technology</t>
        </is>
      </c>
      <c r="C119" t="inlineStr">
        <is>
          <t>2026</t>
        </is>
      </c>
      <c r="D119" s="11" t="n">
        <v>1</v>
      </c>
      <c r="E119" t="n">
        <v>21.37</v>
      </c>
      <c r="F119" t="n">
        <v>15.37</v>
      </c>
      <c r="G119" s="5">
        <f>100*(F119-E119)/F119</f>
        <v/>
      </c>
      <c r="H119" t="n">
        <v>53.94</v>
      </c>
      <c r="I119" t="n">
        <v>6.29</v>
      </c>
      <c r="J119" t="n">
        <v>6.45</v>
      </c>
      <c r="K119" t="n">
        <v>10.09</v>
      </c>
      <c r="L119" t="n">
        <v>18.52</v>
      </c>
      <c r="M119" t="n">
        <v>10.47</v>
      </c>
      <c r="N119" t="n">
        <v>11.59</v>
      </c>
      <c r="O119" t="n">
        <v>85.63</v>
      </c>
      <c r="P119" s="5">
        <f>O119/I119</f>
        <v/>
      </c>
      <c r="Q119" t="n">
        <v>11.6</v>
      </c>
      <c r="R119" s="2" t="n">
        <v>15.91</v>
      </c>
      <c r="S119" s="6" t="n">
        <v>-1</v>
      </c>
      <c r="T119" t="n">
        <v>26.97</v>
      </c>
      <c r="U119" t="n">
        <v>0</v>
      </c>
      <c r="V119" t="n">
        <v>1</v>
      </c>
      <c r="W119" t="n">
        <v>1</v>
      </c>
      <c r="X119" t="n">
        <v>0</v>
      </c>
      <c r="Y119" t="n">
        <v>4.7</v>
      </c>
      <c r="Z119" t="n">
        <v>3.01</v>
      </c>
      <c r="AA119" s="5">
        <f>IF(X119&lt;50,IF(Y119&gt;(2.3*X119),0,1),1)-IF(Z119&gt;Y119,1.7,0)</f>
        <v/>
      </c>
      <c r="AB119" t="n">
        <v>0</v>
      </c>
      <c r="AC119" s="5">
        <f>IF(AB119&gt;4,1,0)+IF(AB119&gt;10,0.7,0)</f>
        <v/>
      </c>
      <c r="AD119" t="n">
        <v>100.32</v>
      </c>
      <c r="AE119" t="n">
        <v>40.77</v>
      </c>
      <c r="AF119" t="n">
        <v>81.89</v>
      </c>
      <c r="AG119" s="6">
        <f>IF(G119&lt;52,0,0.7)+IF(G119&lt;34,0,0.7)+IF(G119&lt;1,0,0.7)+IF(P119&gt;14.56,0,1)+IF(R119&lt;9,0.5,0)+IF(R119&lt;33.8,0.5,0)+IF(R119&lt;50,0.5,0)+IF(R119&lt;80,0.5,0)+IF(S119=5,0,S119)+IF(V119&gt;0,1,-1)+IF(AE119&lt;10.56,0,1)-IF(AE119&lt;3,1,0)-IF(AE119&lt;1,1,0)</f>
        <v/>
      </c>
      <c r="AH119" s="5">
        <f>AG119+IF(X119&lt;1.35,0,1)+IF(Y119&lt;1.35,0,1)+IF(Y119&lt;0.7,-1,0)+AC119+AA119</f>
        <v/>
      </c>
      <c r="AI119" s="5" t="n">
        <v>13</v>
      </c>
      <c r="AJ119" s="5">
        <f>IF(AI119&gt;12.7,IF(AI119&gt;15.8,0.93,0.98),1)</f>
        <v/>
      </c>
      <c r="AK119" s="5">
        <f>(1.5*AG119+AH119)*AJ119*AQ119</f>
        <v/>
      </c>
      <c r="AL119" s="4">
        <f>D119</f>
        <v/>
      </c>
      <c r="AM119" s="8">
        <f>B119</f>
        <v/>
      </c>
      <c r="AN119" s="47" t="n">
        <v>16</v>
      </c>
      <c r="AO119" s="61">
        <f>IF(Z119&lt;2.81,0,IF(AK119&gt;13.7,IF(Z119&lt;140,1,0),0))</f>
        <v/>
      </c>
      <c r="AP119" s="7">
        <f>IF(AK119&gt;13.93,IF(Z119&lt;300,IF(Z119&lt;35,IF(Z119&lt;6,3,2),1),0),0)</f>
        <v/>
      </c>
      <c r="AQ119" s="5" t="n">
        <v>1</v>
      </c>
      <c r="AR119" s="7">
        <f>IF(AO119=1,IF(AO119=AL119,1,0),5)</f>
        <v/>
      </c>
      <c r="AS119" t="n">
        <v>117</v>
      </c>
      <c r="AT119" s="5" t="n">
        <v>132</v>
      </c>
      <c r="AU119" s="5" t="n">
        <v>162</v>
      </c>
      <c r="AV119" s="5">
        <f>(AT119+AU119)/2</f>
        <v/>
      </c>
      <c r="AW119" s="5" t="n">
        <v>120</v>
      </c>
      <c r="AX119" s="4">
        <f>IF(AW119&gt;AV119,1,0)</f>
        <v/>
      </c>
      <c r="AY119" s="4">
        <f>(100*(AU119-AS119)/AS119)</f>
        <v/>
      </c>
      <c r="AZ119" s="4">
        <f>IF(AY119&lt;-50,-4,IF(AY119&lt;-20,-2,IF(AY119&lt;0,-1.5,IF(AY119=0,0,IF(AY119&lt;10,1.5,IF(AY119&lt;20,2,IF(AY119&gt;19,2.5,2.5)))))))</f>
        <v/>
      </c>
      <c r="BA119" s="7" t="n"/>
    </row>
    <row r="120" ht="12.75" customHeight="1">
      <c r="A120" t="inlineStr">
        <is>
          <t>https://www.chittorgarh.com/ipo/fractal-industries-ipo/2780/</t>
        </is>
      </c>
      <c r="B120" t="inlineStr">
        <is>
          <t>Fractal Industries D</t>
        </is>
      </c>
      <c r="C120" t="inlineStr">
        <is>
          <t>2026</t>
        </is>
      </c>
      <c r="D120" s="11" t="n">
        <v>1</v>
      </c>
      <c r="E120" t="n">
        <v>27.61</v>
      </c>
      <c r="F120" t="n">
        <v>15.7</v>
      </c>
      <c r="G120" s="5">
        <f>100*(F120-E120)/F120</f>
        <v/>
      </c>
      <c r="H120" t="n">
        <v>51.42</v>
      </c>
      <c r="I120" t="n">
        <v>7.54</v>
      </c>
      <c r="J120" t="n">
        <v>14.34</v>
      </c>
      <c r="K120" t="n">
        <v>13.51</v>
      </c>
      <c r="L120" t="n">
        <v>34.52</v>
      </c>
      <c r="M120" t="n">
        <v>11.15</v>
      </c>
      <c r="N120" t="n">
        <v>19.63</v>
      </c>
      <c r="O120" t="n">
        <v>85.51000000000001</v>
      </c>
      <c r="P120" s="5">
        <f>O120/I120</f>
        <v/>
      </c>
      <c r="Q120" t="n">
        <v>15.99</v>
      </c>
      <c r="R120" s="2" t="n">
        <v>12.5</v>
      </c>
      <c r="S120" s="6" t="n">
        <v>0.9</v>
      </c>
      <c r="T120" t="n">
        <v>49</v>
      </c>
      <c r="U120" t="n">
        <v>0</v>
      </c>
      <c r="V120" t="n">
        <v>1</v>
      </c>
      <c r="W120" t="n">
        <v>1</v>
      </c>
      <c r="X120" t="n">
        <v>5.95</v>
      </c>
      <c r="Y120" t="n">
        <v>7.91</v>
      </c>
      <c r="Z120" t="n">
        <v>4.09</v>
      </c>
      <c r="AA120" s="5">
        <f>IF(X120&lt;50,IF(Y120&gt;(2.3*X120),0,1),1)-IF(Z120&gt;Y120,1.7,0)</f>
        <v/>
      </c>
      <c r="AB120" t="n">
        <v>0</v>
      </c>
      <c r="AC120" s="5">
        <f>IF(AB120&gt;4,1,0)+IF(AB120&gt;10,0.7,0)</f>
        <v/>
      </c>
      <c r="AD120" t="n">
        <v>232.16</v>
      </c>
      <c r="AE120" t="n">
        <v>70.98999999999999</v>
      </c>
      <c r="AF120" t="n">
        <v>92.40000000000001</v>
      </c>
      <c r="AG120" s="6">
        <f>IF(G120&lt;52,0,0.7)+IF(G120&lt;34,0,0.7)+IF(G120&lt;1,0,0.7)+IF(P120&gt;14.56,0,1)+IF(R120&lt;9,0.5,0)+IF(R120&lt;33.8,0.5,0)+IF(R120&lt;50,0.5,0)+IF(R120&lt;80,0.5,0)+IF(S120=5,0,S120)+IF(V120&gt;0,1,-1)+IF(AE120&lt;10.56,0,1)-IF(AE120&lt;3,1,0)-IF(AE120&lt;1,1,0)</f>
        <v/>
      </c>
      <c r="AH120" s="5">
        <f>AG120+IF(X120&lt;1.35,0,1)+IF(Y120&lt;1.35,0,1)+IF(Y120&lt;0.7,-1,0)+AC120+AA120</f>
        <v/>
      </c>
      <c r="AI120" s="5" t="n">
        <v>13</v>
      </c>
      <c r="AJ120" s="5">
        <f>IF(AI120&gt;12.7,IF(AI120&gt;15.8,0.93,0.98),1)</f>
        <v/>
      </c>
      <c r="AK120" s="5">
        <f>(1.5*AG120+AH120)*AJ120*AQ120</f>
        <v/>
      </c>
      <c r="AL120" s="4">
        <f>D120</f>
        <v/>
      </c>
      <c r="AM120" s="8">
        <f>B120</f>
        <v/>
      </c>
      <c r="AN120" s="47" t="n">
        <v>18</v>
      </c>
      <c r="AO120" s="61">
        <f>IF(Z120&lt;2.81,0,IF(AK120&gt;13.7,IF(Z120&lt;140,1,0),0))</f>
        <v/>
      </c>
      <c r="AP120" s="7">
        <f>IF(AK120&gt;13.93,IF(Z120&lt;300,IF(Z120&lt;35,IF(Z120&lt;6,3,2),1),0),0)</f>
        <v/>
      </c>
      <c r="AQ120" s="5" t="n">
        <v>1</v>
      </c>
      <c r="AR120" s="7">
        <f>IF(AO120=1,IF(AO120=AL120,1,0),5)</f>
        <v/>
      </c>
      <c r="AS120" t="n">
        <v>224</v>
      </c>
      <c r="AT120" s="5" t="n">
        <v>260</v>
      </c>
      <c r="AU120" s="5" t="n">
        <v>380</v>
      </c>
      <c r="AV120" s="5">
        <f>(AT120+AU120)/2</f>
        <v/>
      </c>
      <c r="AW120" t="n">
        <v>229</v>
      </c>
      <c r="AX120" s="4">
        <f>IF(AW120&gt;AV120,1,0)</f>
        <v/>
      </c>
      <c r="AY120" s="4">
        <f>(100*(AU120-AS120)/AS120)</f>
        <v/>
      </c>
      <c r="AZ120" s="4">
        <f>IF(AY120&lt;-50,-4,IF(AY120&lt;-20,-2,IF(AY120&lt;0,-1.5,IF(AY120=0,0,IF(AY120&lt;10,1.5,IF(AY120&lt;20,2,IF(AY120&gt;19,2.5,2.5)))))))</f>
        <v/>
      </c>
      <c r="BA120" s="7" t="n"/>
    </row>
    <row r="121" ht="12.75" customHeight="1">
      <c r="A121" t="inlineStr">
        <is>
          <t>https://www.chittorgarh.com/ipo/yashhtej-industries-india-ipo/2700/</t>
        </is>
      </c>
      <c r="B121" t="inlineStr">
        <is>
          <t xml:space="preserve">Yashhtej Industries </t>
        </is>
      </c>
      <c r="C121" t="inlineStr">
        <is>
          <t>2026</t>
        </is>
      </c>
      <c r="D121" s="11" t="n">
        <v>0</v>
      </c>
      <c r="E121" t="n">
        <v>43.85</v>
      </c>
      <c r="F121" t="n">
        <v>19.62</v>
      </c>
      <c r="G121" s="5">
        <f>100*(F121-E121)/F121</f>
        <v/>
      </c>
      <c r="H121" t="n">
        <v>75.2</v>
      </c>
      <c r="I121" t="n">
        <v>11.57</v>
      </c>
      <c r="J121" t="n">
        <v>3.79</v>
      </c>
      <c r="K121" t="n">
        <v>7.71</v>
      </c>
      <c r="L121" t="n">
        <v>31.19</v>
      </c>
      <c r="M121" t="n">
        <v>21.02</v>
      </c>
      <c r="N121" t="n">
        <v>6.51</v>
      </c>
      <c r="O121" t="n">
        <v>324.96</v>
      </c>
      <c r="P121" s="5">
        <f>O121/I121</f>
        <v/>
      </c>
      <c r="Q121" t="n">
        <v>14.26</v>
      </c>
      <c r="R121" s="2" t="n">
        <v>17.51</v>
      </c>
      <c r="S121" s="6" t="n">
        <v>-1</v>
      </c>
      <c r="T121" t="n">
        <v>88.88</v>
      </c>
      <c r="U121" t="n">
        <v>0</v>
      </c>
      <c r="V121" t="n">
        <v>0</v>
      </c>
      <c r="W121" t="n">
        <v>1</v>
      </c>
      <c r="X121" t="n">
        <v>0</v>
      </c>
      <c r="Y121" t="n">
        <v>0</v>
      </c>
      <c r="Z121" t="n">
        <v>0</v>
      </c>
      <c r="AA121" s="5">
        <f>IF(X121&lt;50,IF(Y121&gt;(2.3*X121),0,1),1)-IF(Z121&gt;Y121,1.7,0)</f>
        <v/>
      </c>
      <c r="AB121" t="n">
        <v>0</v>
      </c>
      <c r="AC121" s="5">
        <f>IF(AB121&gt;4,1,0)+IF(AB121&gt;10,0.7,0)</f>
        <v/>
      </c>
      <c r="AD121" t="n">
        <v>923.89</v>
      </c>
      <c r="AE121" t="n">
        <v>448.46</v>
      </c>
      <c r="AF121" t="n">
        <v>143.73</v>
      </c>
      <c r="AG121" s="6">
        <f>IF(G121&lt;52,0,0.7)+IF(G121&lt;34,0,0.7)+IF(G121&lt;1,0,0.7)+IF(P121&gt;14.56,0,1)+IF(R121&lt;9,0.5,0)+IF(R121&lt;33.8,0.5,0)+IF(R121&lt;50,0.5,0)+IF(R121&lt;80,0.5,0)+IF(S121=5,0,S121)+IF(V121&gt;0,1,-1)+IF(AE121&lt;10.56,0,1)-IF(AE121&lt;3,1,0)-IF(AE121&lt;1,1,0)</f>
        <v/>
      </c>
      <c r="AH121" s="5">
        <f>AG121+IF(X121&lt;1.35,0,1)+IF(Y121&lt;1.35,0,1)+IF(Y121&lt;0.7,-1,0)+AC121+AA121</f>
        <v/>
      </c>
      <c r="AI121" s="5" t="n">
        <v>14</v>
      </c>
      <c r="AJ121" s="5">
        <f>IF(AI121&gt;12.7,IF(AI121&gt;15.8,0.93,0.98),1)</f>
        <v/>
      </c>
      <c r="AK121" s="5">
        <f>(1.5*AG121+AH121)*AJ121*AQ121</f>
        <v/>
      </c>
      <c r="AL121" s="4">
        <f>D121</f>
        <v/>
      </c>
      <c r="AM121" s="8">
        <f>B121</f>
        <v/>
      </c>
      <c r="AN121" s="47" t="n">
        <v>20</v>
      </c>
      <c r="AO121" s="61">
        <f>IF(Z121&lt;2.81,0,IF(AK121&gt;13.7,IF(Z121&lt;140,1,0),0))</f>
        <v/>
      </c>
      <c r="AP121" s="7">
        <f>IF(AK121&gt;13.93,IF(Z121&lt;300,IF(Z121&lt;35,IF(Z121&lt;6,3,2),1),0),0)</f>
        <v/>
      </c>
      <c r="AQ121" s="5" t="n">
        <v>1</v>
      </c>
      <c r="AR121" s="7">
        <f>IF(AO121=1,IF(AO121=AL121,1,0),5)</f>
        <v/>
      </c>
      <c r="AS121" t="n">
        <v>110</v>
      </c>
      <c r="AT121" s="5" t="n">
        <v>57</v>
      </c>
      <c r="AU121" s="5" t="n">
        <v>69</v>
      </c>
      <c r="AV121" s="5">
        <f>(AT121+AU121)/2</f>
        <v/>
      </c>
      <c r="AW121" s="5" t="n">
        <v>88</v>
      </c>
      <c r="AX121" s="4">
        <f>IF(AW121&gt;AV121,1,0)</f>
        <v/>
      </c>
      <c r="AY121" s="4">
        <f>(100*(AU121-AS121)/AS121)</f>
        <v/>
      </c>
      <c r="AZ121" s="4">
        <f>IF(AY121&lt;-50,-4,IF(AY121&lt;-20,-2,IF(AY121&lt;0,-1.5,IF(AY121=0,0,IF(AY121&lt;10,1.5,IF(AY121&lt;20,2,IF(AY121&gt;19,2.5,2.5)))))))</f>
        <v/>
      </c>
      <c r="BA121" s="7" t="n"/>
    </row>
    <row r="122" ht="12.75" customHeight="1">
      <c r="A122" t="inlineStr">
        <is>
          <t>https://www.chittorgarh.com/ipo/manilam-industries-ipo/2727/</t>
        </is>
      </c>
      <c r="B122" t="inlineStr">
        <is>
          <t>Manilam Industries D</t>
        </is>
      </c>
      <c r="C122" t="inlineStr">
        <is>
          <t>2026</t>
        </is>
      </c>
      <c r="D122" s="11" t="n">
        <v>0</v>
      </c>
      <c r="E122" t="n">
        <v>62.44</v>
      </c>
      <c r="F122" t="n">
        <v>33.87</v>
      </c>
      <c r="G122" s="5">
        <f>100*(F122-E122)/F122</f>
        <v/>
      </c>
      <c r="H122" t="n">
        <v>158.98</v>
      </c>
      <c r="I122" t="n">
        <v>7.38</v>
      </c>
      <c r="J122" t="n">
        <v>5.33</v>
      </c>
      <c r="K122" t="n">
        <v>4.3</v>
      </c>
      <c r="L122" t="n">
        <v>8.35</v>
      </c>
      <c r="M122" t="n">
        <v>17.75</v>
      </c>
      <c r="N122" t="n">
        <v>14.39</v>
      </c>
      <c r="O122" t="n">
        <v>142.16</v>
      </c>
      <c r="P122" s="5">
        <f>O122/I122</f>
        <v/>
      </c>
      <c r="Q122" t="n">
        <v>16.04</v>
      </c>
      <c r="R122" s="2" t="n">
        <v>23.85</v>
      </c>
      <c r="S122" s="6" t="n">
        <v>-1</v>
      </c>
      <c r="T122" t="n">
        <v>39.95</v>
      </c>
      <c r="U122" t="n">
        <v>7.53</v>
      </c>
      <c r="V122" t="n">
        <v>1</v>
      </c>
      <c r="W122" t="n">
        <v>1</v>
      </c>
      <c r="X122" t="n">
        <v>0.12</v>
      </c>
      <c r="Y122" t="n">
        <v>3.37</v>
      </c>
      <c r="Z122" t="n">
        <v>2.02</v>
      </c>
      <c r="AA122" s="5">
        <f>IF(X122&lt;50,IF(Y122&gt;(2.3*X122),0,1),1)-IF(Z122&gt;Y122,1.7,0)</f>
        <v/>
      </c>
      <c r="AB122" t="n">
        <v>0</v>
      </c>
      <c r="AC122" s="5">
        <f>IF(AB122&gt;4,1,0)+IF(AB122&gt;10,0.7,0)</f>
        <v/>
      </c>
      <c r="AD122" t="n">
        <v>138.06</v>
      </c>
      <c r="AE122" t="n">
        <v>2.98</v>
      </c>
      <c r="AF122" t="n">
        <v>28.39</v>
      </c>
      <c r="AG122" s="6">
        <f>IF(G122&lt;52,0,0.7)+IF(G122&lt;34,0,0.7)+IF(G122&lt;1,0,0.7)+IF(P122&gt;14.56,0,1)+IF(R122&lt;9,0.5,0)+IF(R122&lt;33.8,0.5,0)+IF(R122&lt;50,0.5,0)+IF(R122&lt;80,0.5,0)+IF(S122=5,0,S122)+IF(V122&gt;0,1,-1)+IF(AE122&lt;10.56,0,1)-IF(AE122&lt;3,1,0)-IF(AE122&lt;1,1,0)</f>
        <v/>
      </c>
      <c r="AH122" s="5">
        <f>AG122+IF(X122&lt;1.35,0,1)+IF(Y122&lt;1.35,0,1)+IF(Y122&lt;0.7,-1,0)+AC122+AA122</f>
        <v/>
      </c>
      <c r="AI122" s="5" t="n">
        <v>14</v>
      </c>
      <c r="AJ122" s="5">
        <f>IF(AI122&gt;12.7,IF(AI122&gt;15.8,0.93,0.98),1)</f>
        <v/>
      </c>
      <c r="AK122" s="5">
        <f>(1.5*AG122+AH122)*AJ122*AQ122</f>
        <v/>
      </c>
      <c r="AL122" s="4">
        <f>D122</f>
        <v/>
      </c>
      <c r="AM122" s="8">
        <f>B122</f>
        <v/>
      </c>
      <c r="AN122" s="47" t="n">
        <v>24</v>
      </c>
      <c r="AO122" s="61">
        <f>IF(Z122&lt;2.81,0,IF(AK122&gt;13.7,IF(Z122&lt;140,1,0),0))</f>
        <v/>
      </c>
      <c r="AP122" s="7">
        <f>IF(AK122&gt;13.93,IF(Z122&lt;300,IF(Z122&lt;35,IF(Z122&lt;6,3,2),1),0),0)</f>
        <v/>
      </c>
      <c r="AQ122" s="5" t="n">
        <v>1</v>
      </c>
      <c r="AR122" s="7">
        <f>IF(AO122=1,IF(AO122=AL122,1,0),5)</f>
        <v/>
      </c>
      <c r="AS122" t="n">
        <v>69</v>
      </c>
      <c r="AT122" s="5" t="n">
        <v>43</v>
      </c>
      <c r="AU122" s="5" t="n">
        <v>52</v>
      </c>
      <c r="AV122" s="5">
        <f>(AT122+AU122)/2</f>
        <v/>
      </c>
      <c r="AW122" t="n">
        <v>55</v>
      </c>
      <c r="AX122" s="4">
        <f>IF(AW122&gt;AV122,1,0)</f>
        <v/>
      </c>
      <c r="AY122" s="4">
        <f>(100*(AU122-AS122)/AS122)</f>
        <v/>
      </c>
      <c r="AZ122" s="4">
        <f>IF(AY122&lt;-50,-4,IF(AY122&lt;-20,-2,IF(AY122&lt;0,-1.5,IF(AY122=0,0,IF(AY122&lt;10,1.5,IF(AY122&lt;20,2,IF(AY122&gt;19,2.5,2.5)))))))</f>
        <v/>
      </c>
      <c r="BA122" s="7" t="n"/>
      <c r="BB122" t="n">
        <v>55</v>
      </c>
    </row>
    <row r="123" ht="15" customHeight="1">
      <c r="A123" t="inlineStr">
        <is>
          <t>https://www.chittorgarh.com/ipo/kiaasa-retail-ipo/2417/</t>
        </is>
      </c>
      <c r="B123" t="inlineStr">
        <is>
          <t xml:space="preserve">Kiaasa Retail Date, </t>
        </is>
      </c>
      <c r="C123" t="inlineStr">
        <is>
          <t>2026</t>
        </is>
      </c>
      <c r="D123" s="11" t="n">
        <v>0</v>
      </c>
      <c r="E123" t="n">
        <v>28.67</v>
      </c>
      <c r="F123" t="n">
        <v>40.67</v>
      </c>
      <c r="G123" s="5">
        <f>100*(F123-E123)/F123</f>
        <v/>
      </c>
      <c r="H123" t="n">
        <v>144.3</v>
      </c>
      <c r="I123" t="n">
        <v>8.380000000000001</v>
      </c>
      <c r="J123" t="n">
        <v>11.46</v>
      </c>
      <c r="K123" t="n">
        <v>6.58</v>
      </c>
      <c r="L123" t="n">
        <v>20.2</v>
      </c>
      <c r="M123" t="n">
        <v>15.49</v>
      </c>
      <c r="N123" t="n">
        <v>21.17</v>
      </c>
      <c r="O123" t="n">
        <v>120.7</v>
      </c>
      <c r="P123" s="5">
        <f>O123/I123</f>
        <v/>
      </c>
      <c r="Q123" t="n">
        <v>19.31</v>
      </c>
      <c r="R123" s="2" t="n">
        <v>17.44</v>
      </c>
      <c r="S123" s="6" t="n">
        <v>-0.9</v>
      </c>
      <c r="T123" t="n">
        <v>69.72</v>
      </c>
      <c r="U123" t="n">
        <v>0</v>
      </c>
      <c r="V123" t="n">
        <v>0</v>
      </c>
      <c r="W123" t="n">
        <v>1</v>
      </c>
      <c r="X123" t="n">
        <v>15</v>
      </c>
      <c r="Y123" t="n">
        <v>1.48</v>
      </c>
      <c r="Z123" t="n">
        <v>2.39</v>
      </c>
      <c r="AA123" s="5">
        <f>IF(X123&lt;50,IF(Y123&gt;(2.3*X123),0,1),1)-IF(Z123&gt;Y123,1.7,0)</f>
        <v/>
      </c>
      <c r="AB123" t="n">
        <v>6</v>
      </c>
      <c r="AC123" s="5">
        <f>IF(AB123&gt;4,1,0)+IF(AB123&gt;10,0.7,0)</f>
        <v/>
      </c>
      <c r="AD123" t="n">
        <v>45.99</v>
      </c>
      <c r="AE123" t="n">
        <v>41.68</v>
      </c>
      <c r="AF123" t="n">
        <v>219.98</v>
      </c>
      <c r="AG123" s="6">
        <f>IF(G123&lt;52,0,0.7)+IF(G123&lt;34,0,0.7)+IF(G123&lt;1,0,0.7)+IF(P123&gt;14.56,0,1)+IF(R123&lt;9,0.5,0)+IF(R123&lt;33.8,0.5,0)+IF(R123&lt;50,0.5,0)+IF(R123&lt;80,0.5,0)+IF(S123=5,0,S123)+IF(V123&gt;0,1,-1)+IF(AE123&lt;10.56,0,1)-IF(AE123&lt;3,1,0)-IF(AE123&lt;1,1,0)</f>
        <v/>
      </c>
      <c r="AH123" s="5">
        <f>AG123+IF(X123&lt;1.35,0,1)+IF(Y123&lt;1.35,0,1)+IF(Y123&lt;0.7,-1,0)+AC123+AA123</f>
        <v/>
      </c>
      <c r="AI123" s="5" t="n">
        <v>13</v>
      </c>
      <c r="AJ123" s="5">
        <f>IF(AI123&gt;12.7,IF(AI123&gt;15.8,0.93,0.98),1)</f>
        <v/>
      </c>
      <c r="AK123" s="5">
        <f>(1.5*AG123+AH123)*AJ123*AQ123</f>
        <v/>
      </c>
      <c r="AL123" s="4">
        <f>D123</f>
        <v/>
      </c>
      <c r="AM123" s="8">
        <f>B123</f>
        <v/>
      </c>
      <c r="AN123" s="47" t="n">
        <v>25</v>
      </c>
      <c r="AO123" s="61">
        <f>IF(Z123&lt;2.81,0,IF(AK123&gt;13.7,IF(Z123&lt;140,1,0),0))</f>
        <v/>
      </c>
      <c r="AP123" s="7">
        <f>IF(AK123&gt;13.93,IF(Z123&lt;300,IF(Z123&lt;35,IF(Z123&lt;6,3,2),1),0),0)</f>
        <v/>
      </c>
      <c r="AQ123" s="5" t="n">
        <v>1</v>
      </c>
      <c r="AR123" s="7">
        <f>IF(AO123=1,IF(AO123=AL123,1,0),5)</f>
        <v/>
      </c>
      <c r="AS123" t="n">
        <v>127</v>
      </c>
      <c r="AT123" s="5" t="n">
        <v>58</v>
      </c>
      <c r="AU123" s="5" t="n">
        <v>73</v>
      </c>
      <c r="AV123" s="5">
        <f>(AT123+AU123)/2</f>
        <v/>
      </c>
      <c r="AW123" t="n">
        <v>123</v>
      </c>
      <c r="AX123" s="4">
        <f>IF(AW123&gt;AV123,1,0)</f>
        <v/>
      </c>
      <c r="AY123" s="4">
        <f>(100*(AU123-AS123)/AS123)</f>
        <v/>
      </c>
      <c r="AZ123" s="4">
        <f>IF(AY123&lt;-50,-4,IF(AY123&lt;-20,-2,IF(AY123&lt;0,-1.5,IF(AY123=0,0,IF(AY123&lt;10,1.5,IF(AY123&lt;20,2,IF(AY123&gt;19,2.5,2.5)))))))</f>
        <v/>
      </c>
      <c r="BA123" s="7" t="n"/>
      <c r="BB123" t="n">
        <v>116</v>
      </c>
    </row>
    <row r="124" ht="15" customHeight="1">
      <c r="A124" t="inlineStr">
        <is>
          <t>https://www.chittorgarh.com/ipo/mobilise-app-ipo/2584/</t>
        </is>
      </c>
      <c r="B124" t="inlineStr">
        <is>
          <t>Mobilise App Date, P</t>
        </is>
      </c>
      <c r="C124" t="inlineStr">
        <is>
          <t>2026</t>
        </is>
      </c>
      <c r="D124" s="11" t="n">
        <v>0</v>
      </c>
      <c r="E124" t="n">
        <v>0.11</v>
      </c>
      <c r="F124" t="n">
        <v>8.26</v>
      </c>
      <c r="G124" s="5">
        <f>100*(F124-E124)/F124</f>
        <v/>
      </c>
      <c r="H124" t="n">
        <v>11.92</v>
      </c>
      <c r="I124" t="n">
        <v>4.71</v>
      </c>
      <c r="J124" t="n">
        <v>30.32</v>
      </c>
      <c r="K124" t="n">
        <v>6.73</v>
      </c>
      <c r="L124" t="n">
        <v>0</v>
      </c>
      <c r="M124" t="n">
        <v>6.92</v>
      </c>
      <c r="N124" t="n">
        <v>48.34</v>
      </c>
      <c r="O124" t="n">
        <v>16.24</v>
      </c>
      <c r="P124" s="5">
        <f>O124/I124</f>
        <v/>
      </c>
      <c r="Q124" t="n">
        <v>11.88</v>
      </c>
      <c r="R124" s="2" t="n">
        <v>14.22</v>
      </c>
      <c r="S124" s="6" t="n">
        <v>1</v>
      </c>
      <c r="T124" t="n">
        <v>20.1</v>
      </c>
      <c r="U124" t="n">
        <v>0</v>
      </c>
      <c r="V124" t="n">
        <v>1</v>
      </c>
      <c r="W124" t="n">
        <v>1</v>
      </c>
      <c r="X124" t="n">
        <v>49</v>
      </c>
      <c r="Y124" t="n">
        <v>175</v>
      </c>
      <c r="Z124" t="n">
        <v>94.3</v>
      </c>
      <c r="AA124" s="5">
        <f>IF(X124&lt;50,IF(Y124&gt;(2.3*X124),0,1),1)-IF(Z124&gt;Y124,1.7,0)</f>
        <v/>
      </c>
      <c r="AB124" t="n">
        <v>8.75</v>
      </c>
      <c r="AC124" s="5">
        <f>IF(AB124&gt;4,1,0)+IF(AB124&gt;10,0.7,0)</f>
        <v/>
      </c>
      <c r="AD124" t="n">
        <v>51.94</v>
      </c>
      <c r="AE124" t="n">
        <v>33.88</v>
      </c>
      <c r="AF124" t="n">
        <v>130.73</v>
      </c>
      <c r="AG124" s="6">
        <f>IF(G124&lt;52,0,0.7)+IF(G124&lt;34,0,0.7)+IF(G124&lt;1,0,0.7)+IF(P124&gt;14.56,0,1)+IF(R124&lt;9,0.5,0)+IF(R124&lt;33.8,0.5,0)+IF(R124&lt;50,0.5,0)+IF(R124&lt;80,0.5,0)+IF(S124=5,0,S124)+IF(V124&gt;0,1,-1)+IF(AE124&lt;10.56,0,1)-IF(AE124&lt;3,1,0)-IF(AE124&lt;1,1,0)</f>
        <v/>
      </c>
      <c r="AH124" s="5">
        <f>AG124+IF(X124&lt;1.35,0,1)+IF(Y124&lt;1.35,0,1)+IF(Y124&lt;0.7,-1,0)+AC124+AA124</f>
        <v/>
      </c>
      <c r="AI124" s="5" t="n">
        <v>13</v>
      </c>
      <c r="AJ124" s="5">
        <f>IF(AI124&gt;12.7,IF(AI124&gt;15.8,0.93,0.98),1)</f>
        <v/>
      </c>
      <c r="AK124" s="5">
        <f>(1.5*AG124+AH124)*AJ124*AQ124</f>
        <v/>
      </c>
      <c r="AL124" s="4">
        <f>D124</f>
        <v/>
      </c>
      <c r="AM124" s="8">
        <f>B124</f>
        <v/>
      </c>
      <c r="AN124" s="47" t="n">
        <v>25</v>
      </c>
      <c r="AO124" s="61">
        <f>IF(Z124&lt;2.81,0,IF(AK124&gt;13.7,IF(Z124&lt;140,1,0),0))</f>
        <v/>
      </c>
      <c r="AP124" s="7">
        <f>IF(AK124&gt;13.93,IF(Z124&lt;300,IF(Z124&lt;35,IF(Z124&lt;6,3,2),1),0),0)</f>
        <v/>
      </c>
      <c r="AQ124" s="5" t="n">
        <v>0.95</v>
      </c>
      <c r="AR124" s="7">
        <f>IF(AO124=1,IF(AO124=AL124,1,0),5)</f>
        <v/>
      </c>
      <c r="AS124" t="n">
        <v>80</v>
      </c>
      <c r="AT124" s="5" t="n">
        <v>45</v>
      </c>
      <c r="AU124" s="5" t="n">
        <v>68</v>
      </c>
      <c r="AV124" s="5">
        <f>(AT124+AU124)/2</f>
        <v/>
      </c>
      <c r="AW124" s="5" t="n">
        <v>64</v>
      </c>
      <c r="AX124" s="4">
        <f>IF(AW124&gt;AV124,1,0)</f>
        <v/>
      </c>
      <c r="AY124" s="4">
        <f>(100*(AU124-AS124)/AS124)</f>
        <v/>
      </c>
      <c r="AZ124" s="4">
        <f>IF(AY124&lt;-50,-4,IF(AY124&lt;-20,-2,IF(AY124&lt;0,-1.5,IF(AY124=0,0,IF(AY124&lt;10,1.5,IF(AY124&lt;20,2,IF(AY124&gt;19,2.5,2.5)))))))</f>
        <v/>
      </c>
      <c r="BB124" s="7" t="n">
        <v>67</v>
      </c>
    </row>
    <row r="125" ht="15" customHeight="1">
      <c r="A125" t="inlineStr">
        <is>
          <t>https://www.chittorgarh.com/ipo/accord-transformer-switchgear-ipo/2763/</t>
        </is>
      </c>
      <c r="B125" t="inlineStr">
        <is>
          <t>Accord Transformer &amp;</t>
        </is>
      </c>
      <c r="C125" t="inlineStr">
        <is>
          <t>2026</t>
        </is>
      </c>
      <c r="D125" s="11" t="n">
        <v>1</v>
      </c>
      <c r="E125" t="n">
        <v>11.81</v>
      </c>
      <c r="F125" t="n">
        <v>21.54</v>
      </c>
      <c r="G125" s="5">
        <f>100*(F125-E125)/F125</f>
        <v/>
      </c>
      <c r="H125" t="n">
        <v>59.89</v>
      </c>
      <c r="I125" t="n">
        <v>6.05</v>
      </c>
      <c r="J125" t="n">
        <v>6.44</v>
      </c>
      <c r="K125" t="n">
        <v>4.03</v>
      </c>
      <c r="L125" t="n">
        <v>12.67</v>
      </c>
      <c r="M125" t="n">
        <v>9.1</v>
      </c>
      <c r="N125" t="n">
        <v>10.19</v>
      </c>
      <c r="O125" t="n">
        <v>79.2</v>
      </c>
      <c r="P125" s="5">
        <f>O125/I125</f>
        <v/>
      </c>
      <c r="Q125" t="n">
        <v>11.41</v>
      </c>
      <c r="R125" s="2" t="n">
        <v>15.63</v>
      </c>
      <c r="S125" s="6" t="n">
        <v>-1</v>
      </c>
      <c r="T125" t="n">
        <v>25.59</v>
      </c>
      <c r="U125" t="n">
        <v>0</v>
      </c>
      <c r="V125" t="n">
        <v>1</v>
      </c>
      <c r="W125" t="n">
        <v>1</v>
      </c>
      <c r="X125" t="n">
        <v>153</v>
      </c>
      <c r="Y125" t="n">
        <v>600</v>
      </c>
      <c r="Z125" t="n">
        <v>351</v>
      </c>
      <c r="AA125" s="5">
        <f>IF(X125&lt;50,IF(Y125&gt;(2.3*X125),0,1),1)-IF(Z125&gt;Y125,1.7,0)</f>
        <v/>
      </c>
      <c r="AB125" t="n">
        <v>26.09</v>
      </c>
      <c r="AC125" s="5">
        <f>IF(AB125&gt;4,1,0)+IF(AB125&gt;10,0.7,0)</f>
        <v/>
      </c>
      <c r="AD125" t="n">
        <v>275.78</v>
      </c>
      <c r="AE125" t="n">
        <v>62.96</v>
      </c>
      <c r="AF125" t="n">
        <v>256.62</v>
      </c>
      <c r="AG125" s="6">
        <f>IF(G125&lt;52,0,0.7)+IF(G125&lt;34,0,0.7)+IF(G125&lt;1,0,0.7)+IF(P125&gt;14.56,0,1)+IF(R125&lt;9,0.5,0)+IF(R125&lt;33.8,0.5,0)+IF(R125&lt;50,0.5,0)+IF(R125&lt;80,0.5,0)+IF(S125=5,0,S125)+IF(V125&gt;0,1,-1)+IF(AE125&lt;10.56,0,1)-IF(AE125&lt;3,1,0)-IF(AE125&lt;1,1,0)</f>
        <v/>
      </c>
      <c r="AH125" s="5">
        <f>AG125+IF(X125&lt;1.35,0,1)+IF(Y125&lt;1.35,0,1)+IF(Y125&lt;0.7,-1,0)+AC125+AA125</f>
        <v/>
      </c>
      <c r="AI125" s="5" t="n">
        <v>13</v>
      </c>
      <c r="AJ125" s="5">
        <f>IF(AI125&gt;12.7,IF(AI125&gt;15.8,0.93,0.98),1)</f>
        <v/>
      </c>
      <c r="AK125" s="5">
        <f>(1.5*AG125+AH125)*AJ125*AQ125</f>
        <v/>
      </c>
      <c r="AL125" s="4">
        <f>D125</f>
        <v/>
      </c>
      <c r="AM125" s="8">
        <f>B125</f>
        <v/>
      </c>
      <c r="AN125" s="47" t="n">
        <v>25</v>
      </c>
      <c r="AO125" s="61">
        <f>IF(Z125&lt;2.81,0,IF(AK125&gt;13.7,IF(Z125&lt;140,1,0),0))</f>
        <v/>
      </c>
      <c r="AP125" s="7">
        <f>IF(AK125&gt;13.93,IF(Z125&lt;300,IF(Z125&lt;35,IF(Z125&lt;6,3,2),1),0),0)</f>
        <v/>
      </c>
      <c r="AQ125" s="5" t="n">
        <v>1</v>
      </c>
      <c r="AR125" s="7">
        <f>IF(AO125=1,IF(AO125=AL125,1,0),5)</f>
        <v/>
      </c>
      <c r="AS125" t="n">
        <v>46</v>
      </c>
      <c r="AT125" s="5" t="n">
        <v>52</v>
      </c>
      <c r="AU125" s="5" t="n">
        <v>65</v>
      </c>
      <c r="AV125" s="5">
        <f>(AT125+AU125)/2</f>
        <v/>
      </c>
      <c r="AW125" t="n">
        <v>50</v>
      </c>
      <c r="AX125" s="4">
        <f>IF(AW125&gt;AV125,1,0)</f>
        <v/>
      </c>
      <c r="AY125" s="4">
        <f>(100*(AU125-AS125)/AS125)</f>
        <v/>
      </c>
      <c r="AZ125" s="4">
        <f>IF(AY125&lt;-50,-4,IF(AY125&lt;-20,-2,IF(AY125&lt;0,-1.5,IF(AY125=0,0,IF(AY125&lt;10,1.5,IF(AY125&lt;20,2,IF(AY125&gt;19,2.5,2.5)))))))</f>
        <v/>
      </c>
      <c r="BB125" s="7" t="n">
        <v>52</v>
      </c>
    </row>
    <row r="126" ht="12.75" customHeight="1">
      <c r="A126" t="inlineStr">
        <is>
          <t>https://www.chittorgarh.com/ipo/yaap-digital-ipo/2582/</t>
        </is>
      </c>
      <c r="B126" t="inlineStr">
        <is>
          <t>Yaap Digital Date, P</t>
        </is>
      </c>
      <c r="C126" t="inlineStr">
        <is>
          <t>2026</t>
        </is>
      </c>
      <c r="D126" s="11" t="n">
        <v>0</v>
      </c>
      <c r="E126" t="n">
        <v>22.8</v>
      </c>
      <c r="F126" t="n">
        <v>22.25</v>
      </c>
      <c r="G126" s="5">
        <f>100*(F126-E126)/F126</f>
        <v/>
      </c>
      <c r="H126" t="n">
        <v>115.1</v>
      </c>
      <c r="I126" t="n">
        <v>11.93</v>
      </c>
      <c r="J126" t="n">
        <v>10.21</v>
      </c>
      <c r="K126" t="n">
        <v>7.74</v>
      </c>
      <c r="L126" t="n">
        <v>34.43</v>
      </c>
      <c r="M126" t="n">
        <v>15.65</v>
      </c>
      <c r="N126" t="n">
        <v>13.86</v>
      </c>
      <c r="O126" t="n">
        <v>154.4</v>
      </c>
      <c r="P126" s="5">
        <f>O126/I126</f>
        <v/>
      </c>
      <c r="Q126" t="n">
        <v>18.72</v>
      </c>
      <c r="R126" s="2" t="n">
        <v>24.73</v>
      </c>
      <c r="S126" s="6" t="n">
        <v>-0.9</v>
      </c>
      <c r="T126" t="n">
        <v>80.11</v>
      </c>
      <c r="U126" t="n">
        <v>0</v>
      </c>
      <c r="V126" t="n">
        <v>1</v>
      </c>
      <c r="W126" t="n">
        <v>1</v>
      </c>
      <c r="X126" t="n">
        <v>7.68</v>
      </c>
      <c r="Y126" t="n">
        <v>4.66</v>
      </c>
      <c r="Z126" t="n">
        <v>1</v>
      </c>
      <c r="AA126" s="5">
        <f>IF(X126&lt;50,IF(Y126&gt;(2.3*X126),0,1),1)-IF(Z126&gt;Y126,1.7,0)</f>
        <v/>
      </c>
      <c r="AB126" t="n">
        <v>1</v>
      </c>
      <c r="AC126" s="5">
        <f>IF(AB126&gt;4,1,0)+IF(AB126&gt;10,0.7,0)</f>
        <v/>
      </c>
      <c r="AD126" t="n">
        <v>375.3</v>
      </c>
      <c r="AE126" t="n">
        <v>36.56</v>
      </c>
      <c r="AF126" t="n">
        <v>123.62</v>
      </c>
      <c r="AG126" s="6">
        <f>IF(G126&lt;52,0,0.7)+IF(G126&lt;34,0,0.7)+IF(G126&lt;1,0,0.7)+IF(P126&gt;14.56,0,1)+IF(R126&lt;9,0.5,0)+IF(R126&lt;33.8,0.5,0)+IF(R126&lt;50,0.5,0)+IF(R126&lt;80,0.5,0)+IF(S126=5,0,S126)+IF(V126&gt;0,1,-1)+IF(AE126&lt;10.56,0,1)-IF(AE126&lt;3,1,0)-IF(AE126&lt;1,1,0)</f>
        <v/>
      </c>
      <c r="AH126" s="5">
        <f>AG126+IF(X126&lt;1.35,0,1)+IF(Y126&lt;1.35,0,1)+IF(Y126&lt;0.7,-1,0)+AC126+AA126</f>
        <v/>
      </c>
      <c r="AI126" s="5" t="n">
        <v>13</v>
      </c>
      <c r="AJ126" s="5">
        <f>IF(AI126&gt;12.7,IF(AI126&gt;15.8,0.93,0.98),1)</f>
        <v/>
      </c>
      <c r="AK126" s="5">
        <f>(1.5*AG126+AH126)*AJ126*AQ126</f>
        <v/>
      </c>
      <c r="AL126" s="4">
        <f>D126</f>
        <v/>
      </c>
      <c r="AM126" s="8">
        <f>B126</f>
        <v/>
      </c>
      <c r="AN126" s="47" t="n">
        <v>27</v>
      </c>
      <c r="AO126" s="61">
        <f>IF(Z126&lt;2.81,0,IF(AK126&gt;13.7,IF(Z126&lt;140,1,0),0))</f>
        <v/>
      </c>
      <c r="AP126" s="7">
        <f>IF(AK126&gt;13.93,IF(Z126&lt;300,IF(Z126&lt;35,IF(Z126&lt;6,3,2),1),0),0)</f>
        <v/>
      </c>
      <c r="AQ126" s="5" t="n">
        <v>1</v>
      </c>
      <c r="AR126" s="7">
        <f>IF(AO126=1,IF(AO126=AL126,1,0),5)</f>
        <v/>
      </c>
      <c r="AS126" t="n">
        <v>145</v>
      </c>
      <c r="AT126" s="5" t="n">
        <v>59</v>
      </c>
      <c r="AU126" s="5" t="n">
        <v>70</v>
      </c>
      <c r="AV126" s="5">
        <f>(AT126+AU126)/2</f>
        <v/>
      </c>
      <c r="AW126" t="n">
        <v>127</v>
      </c>
      <c r="AX126" s="4">
        <f>IF(AW126&gt;AV126,1,0)</f>
        <v/>
      </c>
      <c r="AY126" s="4">
        <f>(100*(AU126-AS126)/AS126)</f>
        <v/>
      </c>
      <c r="AZ126" s="4">
        <f>IF(AY126&lt;-50,-4,IF(AY126&lt;-20,-2,IF(AY126&lt;0,-1.5,IF(AY126=0,0,IF(AY126&lt;10,1.5,IF(AY126&lt;20,2,IF(AY126&gt;19,2.5,2.5)))))))</f>
        <v/>
      </c>
      <c r="BA126" s="7" t="n"/>
      <c r="BB126" t="n">
        <v>133.37</v>
      </c>
    </row>
    <row r="127" ht="12.75" customHeight="1">
      <c r="A127" t="inlineStr">
        <is>
          <t>https://www.chittorgarh.com/ipo/striders-impex-ipo/2714/</t>
        </is>
      </c>
      <c r="B127" t="inlineStr">
        <is>
          <t>Striders Impex Date,</t>
        </is>
      </c>
      <c r="C127" t="inlineStr">
        <is>
          <t>2026</t>
        </is>
      </c>
      <c r="D127" s="11" t="n">
        <v>0</v>
      </c>
      <c r="E127" t="n">
        <v>20.55</v>
      </c>
      <c r="F127" t="n">
        <v>14.88</v>
      </c>
      <c r="G127" s="5">
        <f>100*(F127-E127)/F127</f>
        <v/>
      </c>
      <c r="H127" t="n">
        <v>48.7</v>
      </c>
      <c r="I127" t="n">
        <v>8.41</v>
      </c>
      <c r="J127" t="n">
        <v>8.09</v>
      </c>
      <c r="K127" t="n">
        <v>5.97</v>
      </c>
      <c r="L127" t="n">
        <v>0</v>
      </c>
      <c r="M127" t="n">
        <v>9.32</v>
      </c>
      <c r="N127" t="n">
        <v>13.09</v>
      </c>
      <c r="O127" t="n">
        <v>61.95</v>
      </c>
      <c r="P127" s="5">
        <f>O127/I127</f>
        <v/>
      </c>
      <c r="Q127" t="n">
        <v>12.06</v>
      </c>
      <c r="R127" s="2" t="n">
        <v>25.07</v>
      </c>
      <c r="S127" s="6" t="n">
        <v>-1</v>
      </c>
      <c r="T127" t="n">
        <v>36.29</v>
      </c>
      <c r="U127" t="n">
        <v>3.67</v>
      </c>
      <c r="V127" t="n">
        <v>0</v>
      </c>
      <c r="W127" t="n">
        <v>0</v>
      </c>
      <c r="X127" t="n">
        <v>2</v>
      </c>
      <c r="Y127" t="n">
        <v>1.7</v>
      </c>
      <c r="Z127" t="n">
        <v>0.8</v>
      </c>
      <c r="AA127" s="5">
        <f>IF(X127&lt;50,IF(Y127&gt;(2.3*X127),0,1),1)-IF(Z127&gt;Y127,1.7,0)</f>
        <v/>
      </c>
      <c r="AB127" t="n">
        <v>0</v>
      </c>
      <c r="AC127" s="5">
        <f>IF(AB127&gt;4,1,0)+IF(AB127&gt;10,0.7,0)</f>
        <v/>
      </c>
      <c r="AD127" t="n">
        <v>91.56999999999999</v>
      </c>
      <c r="AE127" t="n">
        <v>48.31</v>
      </c>
      <c r="AF127" t="n">
        <v>129.98</v>
      </c>
      <c r="AG127" s="6">
        <f>IF(G127&lt;52,0,0.7)+IF(G127&lt;34,0,0.7)+IF(G127&lt;1,0,0.7)+IF(P127&gt;14.56,0,1)+IF(R127&lt;9,0.5,0)+IF(R127&lt;33.8,0.5,0)+IF(R127&lt;50,0.5,0)+IF(R127&lt;80,0.5,0)+IF(S127=5,0,S127)+IF(V127&gt;0,1,-1)+IF(AE127&lt;10.56,0,1)-IF(AE127&lt;3,1,0)-IF(AE127&lt;1,1,0)</f>
        <v/>
      </c>
      <c r="AH127" s="5">
        <f>AG127+IF(X127&lt;1.35,0,1)+IF(Y127&lt;1.35,0,1)+IF(Y127&lt;0.7,-1,0)+AC127+AA127</f>
        <v/>
      </c>
      <c r="AI127" s="5" t="n">
        <v>18</v>
      </c>
      <c r="AJ127" s="5">
        <f>IF(AI127&gt;12.7,IF(AI127&gt;15.8,0.93,0.98),1)</f>
        <v/>
      </c>
      <c r="AK127" s="5">
        <f>(1.5*AG127+AH127)*AJ127*AQ127</f>
        <v/>
      </c>
      <c r="AL127" s="4">
        <f>D127</f>
        <v/>
      </c>
      <c r="AM127" s="8">
        <f>B127</f>
        <v/>
      </c>
      <c r="AN127" s="46" t="n">
        <v>2</v>
      </c>
      <c r="AO127" s="61">
        <f>IF(Z127&lt;2.81,0,IF(AK127&gt;13.7,IF(Z127&lt;140,1,0),0))</f>
        <v/>
      </c>
      <c r="AP127" s="7">
        <f>IF(AK127&gt;13.93,IF(Z127&lt;300,IF(Z127&lt;35,IF(Z127&lt;6,3,2),1),0),0)</f>
        <v/>
      </c>
      <c r="AQ127" s="5" t="n">
        <v>1</v>
      </c>
      <c r="AR127" s="7">
        <f>IF(AO127=1,IF(AO127=AL127,1,0),5)</f>
        <v/>
      </c>
      <c r="AS127" t="n">
        <v>72</v>
      </c>
      <c r="AT127" s="5" t="n">
        <v>48</v>
      </c>
      <c r="AU127" s="5" t="n">
        <v>52</v>
      </c>
      <c r="AV127" s="5">
        <f>(AT127+AU127)/2</f>
        <v/>
      </c>
      <c r="AW127" t="n">
        <v>70</v>
      </c>
      <c r="AX127" s="4">
        <f>IF(AW127&gt;AV127,1,0)</f>
        <v/>
      </c>
      <c r="AY127" s="4">
        <f>(100*(AU127-AS127)/AS127)</f>
        <v/>
      </c>
      <c r="AZ127" s="4">
        <f>IF(AY127&lt;-50,-4,IF(AY127&lt;-20,-2,IF(AY127&lt;0,-1.5,IF(AY127=0,0,IF(AY127&lt;10,1.5,IF(AY127&lt;20,2,IF(AY127&gt;19,2.5,2.5)))))))</f>
        <v/>
      </c>
      <c r="BA127" s="7" t="n"/>
    </row>
    <row r="128" ht="12.75" customHeight="1">
      <c r="A128" t="inlineStr">
        <is>
          <t>https://www.chittorgarh.com/ipo/acetech-e-commerce-ipo/2616/</t>
        </is>
      </c>
      <c r="B128" t="inlineStr">
        <is>
          <t>Acetech E-Commerce D</t>
        </is>
      </c>
      <c r="C128" t="inlineStr">
        <is>
          <t>2026</t>
        </is>
      </c>
      <c r="D128" s="11" t="n">
        <v>1</v>
      </c>
      <c r="E128" t="n">
        <v>0.49</v>
      </c>
      <c r="F128" t="n">
        <v>12.77</v>
      </c>
      <c r="G128" s="5">
        <f>100*(F128-E128)/F128</f>
        <v/>
      </c>
      <c r="H128" t="n">
        <v>19.44</v>
      </c>
      <c r="I128" t="n">
        <v>6.88</v>
      </c>
      <c r="J128" t="n">
        <v>14.19</v>
      </c>
      <c r="K128" t="n">
        <v>5.73</v>
      </c>
      <c r="L128" t="n">
        <v>32.88</v>
      </c>
      <c r="M128" t="n">
        <v>9.34</v>
      </c>
      <c r="N128" t="n">
        <v>19.25</v>
      </c>
      <c r="O128" t="n">
        <v>70.41</v>
      </c>
      <c r="P128" s="5">
        <f>O128/I128</f>
        <v/>
      </c>
      <c r="Q128" t="n">
        <v>19.56</v>
      </c>
      <c r="R128" s="2" t="n">
        <v>16</v>
      </c>
      <c r="S128" s="6" t="n">
        <v>1</v>
      </c>
      <c r="T128" t="n">
        <v>48.95</v>
      </c>
      <c r="U128" t="n">
        <v>0</v>
      </c>
      <c r="V128" t="n">
        <v>0</v>
      </c>
      <c r="W128" t="n">
        <v>1</v>
      </c>
      <c r="X128" t="n">
        <v>1</v>
      </c>
      <c r="Y128" t="n">
        <v>1.57</v>
      </c>
      <c r="Z128" t="n">
        <v>1.16</v>
      </c>
      <c r="AA128" s="5">
        <f>IF(X128&lt;50,IF(Y128&gt;(2.3*X128),0,1),1)-IF(Z128&gt;Y128,1.7,0)</f>
        <v/>
      </c>
      <c r="AB128" t="n">
        <v>0</v>
      </c>
      <c r="AC128" s="5">
        <f>IF(AB128&gt;4,1,0)+IF(AB128&gt;10,0.7,0)</f>
        <v/>
      </c>
      <c r="AD128" t="n">
        <v>71.14</v>
      </c>
      <c r="AE128" t="n">
        <v>16.8</v>
      </c>
      <c r="AF128" t="n">
        <v>116.81</v>
      </c>
      <c r="AG128" s="6">
        <f>IF(G128&lt;52,0,0.7)+IF(G128&lt;34,0,0.7)+IF(G128&lt;1,0,0.7)+IF(P128&gt;14.56,0,1)+IF(R128&lt;9,0.5,0)+IF(R128&lt;33.8,0.5,0)+IF(R128&lt;50,0.5,0)+IF(R128&lt;80,0.5,0)+IF(S128=5,0,S128)+IF(V128&gt;0,1,-1)+IF(AE128&lt;10.56,0,1)-IF(AE128&lt;3,1,0)-IF(AE128&lt;1,1,0)</f>
        <v/>
      </c>
      <c r="AH128" s="5">
        <f>AG128+IF(X128&lt;1.35,0,1)+IF(Y128&lt;1.35,0,1)+IF(Y128&lt;0.7,-1,0)+AC128+AA128</f>
        <v/>
      </c>
      <c r="AI128" s="5" t="n">
        <v>18</v>
      </c>
      <c r="AJ128" s="5">
        <f>IF(AI128&gt;12.7,IF(AI128&gt;15.8,0.93,0.98),1)</f>
        <v/>
      </c>
      <c r="AK128" s="5">
        <f>(1.5*AG128+AH128)*AJ128*AQ128</f>
        <v/>
      </c>
      <c r="AL128" s="4">
        <f>D128</f>
        <v/>
      </c>
      <c r="AM128" s="8">
        <f>B128</f>
        <v/>
      </c>
      <c r="AN128" s="46" t="n">
        <v>4</v>
      </c>
      <c r="AO128" s="61">
        <f>IF(Z128&lt;2.81,0,IF(AK128&gt;13.7,IF(Z128&lt;140,1,0),0))</f>
        <v/>
      </c>
      <c r="AP128" s="7">
        <f>IF(AK128&gt;13.93,IF(Z128&lt;300,IF(Z128&lt;35,IF(Z128&lt;6,3,2),1),0),0)</f>
        <v/>
      </c>
      <c r="AQ128" s="5" t="n">
        <v>1</v>
      </c>
      <c r="AR128" s="7">
        <f>IF(AO128=1,IF(AO128=AL128,1,0),5)</f>
        <v/>
      </c>
      <c r="AS128" t="n">
        <v>112</v>
      </c>
      <c r="AT128" s="5" t="n">
        <v>84</v>
      </c>
      <c r="AU128" s="5" t="n">
        <v>98</v>
      </c>
      <c r="AV128" s="5">
        <f>(AT128+AU128)/2</f>
        <v/>
      </c>
      <c r="AW128" t="n">
        <v>112</v>
      </c>
      <c r="AX128" s="4">
        <f>IF(AW128&gt;AV128,1,0)</f>
        <v/>
      </c>
      <c r="AY128" s="4">
        <f>(100*(AU128-AS128)/AS128)</f>
        <v/>
      </c>
      <c r="AZ128" s="4">
        <f>IF(AY128&lt;-50,-4,IF(AY128&lt;-20,-2,IF(AY128&lt;0,-1.5,IF(AY128=0,0,IF(AY128&lt;10,1.5,IF(AY128&lt;20,2,IF(AY128&gt;19,2.5,2.5)))))))</f>
        <v/>
      </c>
      <c r="BA128" s="7" t="n"/>
      <c r="BB128" t="n">
        <v>117</v>
      </c>
    </row>
    <row r="129" ht="12.75" customHeight="1">
      <c r="A129" t="inlineStr">
        <is>
          <t>https://www.chittorgarh.com/ipo/elfin-agro-india-ipo/2696/</t>
        </is>
      </c>
      <c r="B129" t="inlineStr">
        <is>
          <t>Elfin Agro India Dat</t>
        </is>
      </c>
      <c r="C129" t="inlineStr">
        <is>
          <t>2026</t>
        </is>
      </c>
      <c r="D129" s="11" t="n">
        <v>1</v>
      </c>
      <c r="E129" t="n">
        <v>12.19</v>
      </c>
      <c r="F129" t="n">
        <v>13.78</v>
      </c>
      <c r="G129" s="5">
        <f>100*(F129-E129)/F129</f>
        <v/>
      </c>
      <c r="H129" t="n">
        <v>33.44</v>
      </c>
      <c r="I129" t="n">
        <v>5.08</v>
      </c>
      <c r="J129" t="n">
        <v>3.39</v>
      </c>
      <c r="K129" t="n">
        <v>3.6</v>
      </c>
      <c r="L129" t="n">
        <v>22.42</v>
      </c>
      <c r="M129" t="n">
        <v>7.54</v>
      </c>
      <c r="N129" t="n">
        <v>5.69</v>
      </c>
      <c r="O129" t="n">
        <v>146.44</v>
      </c>
      <c r="P129" s="5">
        <f>O129/I129</f>
        <v/>
      </c>
      <c r="Q129" t="n">
        <v>13.05</v>
      </c>
      <c r="R129" s="2" t="n">
        <v>17.2</v>
      </c>
      <c r="S129" s="6" t="n">
        <v>-1</v>
      </c>
      <c r="T129" t="n">
        <v>25.03</v>
      </c>
      <c r="U129" t="n">
        <v>0</v>
      </c>
      <c r="V129" t="n">
        <v>0</v>
      </c>
      <c r="W129" t="n">
        <v>1</v>
      </c>
      <c r="X129" t="n">
        <v>2.12</v>
      </c>
      <c r="Y129" t="n">
        <v>2.12</v>
      </c>
      <c r="Z129" t="n">
        <v>0.59</v>
      </c>
      <c r="AA129" s="5">
        <f>IF(X129&lt;50,IF(Y129&gt;(2.3*X129),0,1),1)-IF(Z129&gt;Y129,1.7,0)</f>
        <v/>
      </c>
      <c r="AB129" t="n">
        <v>0</v>
      </c>
      <c r="AC129" s="5">
        <f>IF(AB129&gt;4,1,0)+IF(AB129&gt;10,0.7,0)</f>
        <v/>
      </c>
      <c r="AD129" t="n">
        <v>38.04</v>
      </c>
      <c r="AE129" t="n">
        <v>17.42</v>
      </c>
      <c r="AF129" t="n">
        <v>58.39</v>
      </c>
      <c r="AG129" s="6">
        <f>IF(G129&lt;52,0,0.7)+IF(G129&lt;34,0,0.7)+IF(G129&lt;1,0,0.7)+IF(P129&gt;14.56,0,1)+IF(R129&lt;9,0.5,0)+IF(R129&lt;33.8,0.5,0)+IF(R129&lt;50,0.5,0)+IF(R129&lt;80,0.5,0)+IF(S129=5,0,S129)+IF(V129&gt;0,1,-1)+IF(AE129&lt;10.56,0,1)-IF(AE129&lt;3,1,0)-IF(AE129&lt;1,1,0)</f>
        <v/>
      </c>
      <c r="AH129" s="5">
        <f>AG129+IF(X129&lt;1.35,0,1)+IF(Y129&lt;1.35,0,1)+IF(Y129&lt;0.7,-1,0)+AC129+AA129</f>
        <v/>
      </c>
      <c r="AI129" s="5" t="n">
        <v>18</v>
      </c>
      <c r="AJ129" s="5">
        <f>IF(AI129&gt;12.7,IF(AI129&gt;15.8,0.93,0.98),1)</f>
        <v/>
      </c>
      <c r="AK129" s="5">
        <f>(1.5*AG129+AH129)*AJ129*AQ129</f>
        <v/>
      </c>
      <c r="AL129" s="4">
        <f>D129</f>
        <v/>
      </c>
      <c r="AM129" s="8">
        <f>B129</f>
        <v/>
      </c>
      <c r="AN129" s="46" t="n">
        <v>9</v>
      </c>
      <c r="AO129" s="61">
        <f>IF(Z129&lt;2.81,0,IF(AK129&gt;13.7,IF(Z129&lt;140,1,0),0))</f>
        <v/>
      </c>
      <c r="AP129" s="7">
        <f>IF(AK129&gt;13.93,IF(Z129&lt;300,IF(Z129&lt;35,IF(Z129&lt;6,3,2),1),0),0)</f>
        <v/>
      </c>
      <c r="AQ129" s="5" t="n">
        <v>1</v>
      </c>
      <c r="AR129" s="7">
        <f>IF(AO129=1,IF(AO129=AL129,1,0),5)</f>
        <v/>
      </c>
      <c r="AS129" t="n">
        <v>47</v>
      </c>
      <c r="AT129" s="5" t="n">
        <v>33</v>
      </c>
      <c r="AU129" s="5" t="n">
        <v>41</v>
      </c>
      <c r="AV129" s="5">
        <f>(AT129+AU129)/2</f>
        <v/>
      </c>
      <c r="AW129" t="n">
        <v>47.3</v>
      </c>
      <c r="AX129" s="4">
        <f>IF(AW129&gt;AV129,1,0)</f>
        <v/>
      </c>
      <c r="AY129" s="4">
        <f>(100*(AU129-AS129)/AS129)</f>
        <v/>
      </c>
      <c r="AZ129" s="4">
        <f>IF(AY129&lt;-50,-4,IF(AY129&lt;-20,-2,IF(AY129&lt;0,-1.5,IF(AY129=0,0,IF(AY129&lt;10,1.5,IF(AY129&lt;20,2,IF(AY129&gt;19,2.5,2.5)))))))</f>
        <v/>
      </c>
      <c r="BA129" s="7" t="n"/>
    </row>
    <row r="130" ht="15" customHeight="1">
      <c r="A130" t="inlineStr">
        <is>
          <t>https://www.chittorgarh.com/ipo/srinibas-pradhan-ipo/2402/</t>
        </is>
      </c>
      <c r="B130" t="inlineStr">
        <is>
          <t>Srinibas Pradhan Con</t>
        </is>
      </c>
      <c r="C130" t="inlineStr">
        <is>
          <t>2026</t>
        </is>
      </c>
      <c r="D130" s="11" t="n">
        <v>1</v>
      </c>
      <c r="E130" t="n">
        <v>17.25</v>
      </c>
      <c r="F130" t="n">
        <v>15.91</v>
      </c>
      <c r="G130" s="5">
        <f>100*(F130-E130)/F130</f>
        <v/>
      </c>
      <c r="H130" t="n">
        <v>55.76</v>
      </c>
      <c r="I130" t="n">
        <v>6.59</v>
      </c>
      <c r="J130" t="n">
        <v>9.01</v>
      </c>
      <c r="K130" t="n">
        <v>10.71</v>
      </c>
      <c r="L130" t="n">
        <v>21.67</v>
      </c>
      <c r="M130" t="n">
        <v>13.01</v>
      </c>
      <c r="N130" t="n">
        <v>16.76</v>
      </c>
      <c r="O130" t="n">
        <v>89.73</v>
      </c>
      <c r="P130" s="5">
        <f>O130/I130</f>
        <v/>
      </c>
      <c r="Q130" t="n">
        <v>9.15</v>
      </c>
      <c r="R130" s="2" t="n">
        <v>9.369999999999999</v>
      </c>
      <c r="S130" s="6" t="n">
        <v>0.9</v>
      </c>
      <c r="T130" t="n">
        <v>20.32</v>
      </c>
      <c r="U130" t="n">
        <v>3.53</v>
      </c>
      <c r="V130" t="n">
        <v>0</v>
      </c>
      <c r="W130" t="n">
        <v>1</v>
      </c>
      <c r="X130" t="n">
        <v>1.13</v>
      </c>
      <c r="Y130" t="n">
        <v>1.57</v>
      </c>
      <c r="Z130" t="n">
        <v>0.6899999999999999</v>
      </c>
      <c r="AA130" s="5">
        <f>IF(X130&lt;50,IF(Y130&gt;(2.3*X130),0,1),1)-IF(Z130&gt;Y130,1.7,0)</f>
        <v/>
      </c>
      <c r="AB130" t="n">
        <v>0</v>
      </c>
      <c r="AC130" s="5">
        <f>IF(AB130&gt;4,1,0)+IF(AB130&gt;10,0.7,0)</f>
        <v/>
      </c>
      <c r="AD130" t="n">
        <v>85.63</v>
      </c>
      <c r="AE130" t="n">
        <v>154.41</v>
      </c>
      <c r="AF130" t="n">
        <v>106.09</v>
      </c>
      <c r="AG130" s="6">
        <f>IF(G130&lt;52,0,0.7)+IF(G130&lt;34,0,0.7)+IF(G130&lt;1,0,0.7)+IF(P130&gt;14.56,0,1)+IF(R130&lt;9,0.5,0)+IF(R130&lt;33.8,0.5,0)+IF(R130&lt;50,0.5,0)+IF(R130&lt;80,0.5,0)+IF(S130=5,0,S130)+IF(V130&gt;0,1,-1)+IF(AE130&lt;10.56,0,1)-IF(AE130&lt;3,1,0)-IF(AE130&lt;1,1,0)</f>
        <v/>
      </c>
      <c r="AH130" s="5">
        <f>AG130+IF(X130&lt;1.35,0,1)+IF(Y130&lt;1.35,0,1)+IF(Y130&lt;0.7,-1,0)+AC130+AA130</f>
        <v/>
      </c>
      <c r="AI130" s="5" t="n">
        <v>18</v>
      </c>
      <c r="AJ130" s="5">
        <f>IF(AI130&gt;12.7,IF(AI130&gt;15.8,0.93,0.98),1)</f>
        <v/>
      </c>
      <c r="AK130" s="5">
        <f>(1.5*AG130+AH130)*AJ130*AQ130</f>
        <v/>
      </c>
      <c r="AL130" s="4">
        <f>D130</f>
        <v/>
      </c>
      <c r="AM130" s="8">
        <f>B130</f>
        <v/>
      </c>
      <c r="AN130" s="46" t="n">
        <v>10</v>
      </c>
      <c r="AO130" s="61">
        <f>IF(Z130&lt;2.81,0,IF(AK130&gt;13.7,IF(Z130&lt;140,1,0),0))</f>
        <v/>
      </c>
      <c r="AP130" s="7">
        <f>IF(AK130&gt;13.93,IF(Z130&lt;300,IF(Z130&lt;35,IF(Z130&lt;6,3,2),1),0),0)</f>
        <v/>
      </c>
      <c r="AQ130" s="5" t="n">
        <v>1</v>
      </c>
      <c r="AR130" s="7">
        <f>IF(AO130=1,IF(AO130=AL130,1,0),5)</f>
        <v/>
      </c>
      <c r="AS130" t="n">
        <v>98</v>
      </c>
      <c r="AT130" s="5" t="n">
        <v>62</v>
      </c>
      <c r="AU130" s="5" t="n">
        <v>78</v>
      </c>
      <c r="AV130" s="5">
        <f>(AT130+AU130)/2</f>
        <v/>
      </c>
      <c r="AW130" t="n">
        <v>100</v>
      </c>
      <c r="AX130" s="4">
        <f>IF(AW130&gt;AV130,1,0)</f>
        <v/>
      </c>
      <c r="AY130" s="4">
        <f>(100*(AU130-AS130)/AS130)</f>
        <v/>
      </c>
      <c r="AZ130" s="4">
        <f>IF(AY130&lt;-50,-4,IF(AY130&lt;-20,-2,IF(AY130&lt;0,-1.5,IF(AY130=0,0,IF(AY130&lt;10,1.5,IF(AY130&lt;20,2,IF(AY130&gt;19,2.5,2.5)))))))</f>
        <v/>
      </c>
      <c r="BA130" s="7" t="n"/>
    </row>
    <row r="131" ht="15" customHeight="1">
      <c r="A131" t="inlineStr">
        <is>
          <t>https://www.chittorgarh.com/ipo/apsis-aerocom-ipo/2752/</t>
        </is>
      </c>
      <c r="B131" t="inlineStr">
        <is>
          <t xml:space="preserve">Apsis Aerocom Date, </t>
        </is>
      </c>
      <c r="C131" t="inlineStr">
        <is>
          <t>2026</t>
        </is>
      </c>
      <c r="D131" s="11" t="n">
        <v>1</v>
      </c>
      <c r="E131" t="n">
        <v>2.84</v>
      </c>
      <c r="F131" t="n">
        <v>10.57</v>
      </c>
      <c r="G131" s="5">
        <f>100*(F131-E131)/F131</f>
        <v/>
      </c>
      <c r="H131" t="n">
        <v>18.46</v>
      </c>
      <c r="I131" t="n">
        <v>6.64</v>
      </c>
      <c r="J131" t="n">
        <v>22.88</v>
      </c>
      <c r="K131" t="n">
        <v>7.54</v>
      </c>
      <c r="L131" t="n">
        <v>25.75</v>
      </c>
      <c r="M131" t="n">
        <v>10.2</v>
      </c>
      <c r="N131" t="n">
        <v>34.99</v>
      </c>
      <c r="O131" t="n">
        <v>20.57</v>
      </c>
      <c r="P131" s="5">
        <f>O131/I131</f>
        <v/>
      </c>
      <c r="Q131" t="n">
        <v>14.58</v>
      </c>
      <c r="R131" s="2" t="n">
        <v>19.97</v>
      </c>
      <c r="S131" s="6" t="n">
        <v>-0.5</v>
      </c>
      <c r="T131" t="n">
        <v>35.77</v>
      </c>
      <c r="U131" t="n">
        <v>0</v>
      </c>
      <c r="V131" t="n">
        <v>1</v>
      </c>
      <c r="W131" t="n">
        <v>1</v>
      </c>
      <c r="X131" t="n">
        <v>99.95999999999999</v>
      </c>
      <c r="Y131" t="n">
        <v>236.61</v>
      </c>
      <c r="Z131" t="n">
        <v>100</v>
      </c>
      <c r="AA131" s="5">
        <f>IF(X131&lt;50,IF(Y131&gt;(2.3*X131),0,1),1)-IF(Z131&gt;Y131,1.7,0)</f>
        <v/>
      </c>
      <c r="AB131" t="n">
        <v>16</v>
      </c>
      <c r="AC131" s="5">
        <f>IF(AB131&gt;4,1,0)+IF(AB131&gt;10,0.7,0)</f>
        <v/>
      </c>
      <c r="AD131" t="n">
        <v>160.39</v>
      </c>
      <c r="AE131" t="n">
        <v>21.86</v>
      </c>
      <c r="AF131" t="n">
        <v>168.96</v>
      </c>
      <c r="AG131" s="6">
        <f>IF(G131&lt;52,0,0.7)+IF(G131&lt;34,0,0.7)+IF(G131&lt;1,0,0.7)+IF(P131&gt;14.56,0,1)+IF(R131&lt;9,0.5,0)+IF(R131&lt;33.8,0.5,0)+IF(R131&lt;50,0.5,0)+IF(R131&lt;80,0.5,0)+IF(S131=5,0,S131)+IF(V131&gt;0,1,-1)+IF(AE131&lt;10.56,0,1)-IF(AE131&lt;3,1,0)-IF(AE131&lt;1,1,0)</f>
        <v/>
      </c>
      <c r="AH131" s="5">
        <f>AG131+IF(X131&lt;1.35,0,1)+IF(Y131&lt;1.35,0,1)+IF(Y131&lt;0.7,-1,0)+AC131+AA131</f>
        <v/>
      </c>
      <c r="AI131" s="5" t="n">
        <v>18</v>
      </c>
      <c r="AJ131" s="5">
        <f>IF(AI131&gt;12.7,IF(AI131&gt;15.8,0.93,0.98),1)</f>
        <v/>
      </c>
      <c r="AK131" s="5">
        <f>(1.5*AG131+AH131)*AJ131*AQ131</f>
        <v/>
      </c>
      <c r="AL131" s="4">
        <f>D131</f>
        <v/>
      </c>
      <c r="AM131" s="8">
        <f>B131</f>
        <v/>
      </c>
      <c r="AN131" s="46" t="n">
        <v>13</v>
      </c>
      <c r="AO131" s="61">
        <f>IF(Z131&lt;2.81,0,IF(AK131&gt;13.7,IF(Z131&lt;140,1,0),0))</f>
        <v/>
      </c>
      <c r="AP131" s="7">
        <f>IF(AK131&gt;13.93,IF(Z131&lt;300,IF(Z131&lt;35,IF(Z131&lt;6,3,2),1),0),0)</f>
        <v/>
      </c>
      <c r="AQ131" s="5" t="n">
        <v>1</v>
      </c>
      <c r="AR131" s="7">
        <f>IF(AO131=1,IF(AO131=AL131,1,0),5)</f>
        <v/>
      </c>
      <c r="AS131" t="n">
        <v>110</v>
      </c>
      <c r="AT131" s="5" t="n">
        <v>137</v>
      </c>
      <c r="AU131" s="5" t="n">
        <v>165</v>
      </c>
      <c r="AV131" s="5">
        <f>(AT131+AU131)/2</f>
        <v/>
      </c>
      <c r="AW131" t="n">
        <v>153</v>
      </c>
      <c r="AX131" s="4">
        <f>IF(AW131&gt;AV131,1,0)</f>
        <v/>
      </c>
      <c r="AY131" s="4">
        <f>(100*(AU131-AS131)/AS131)</f>
        <v/>
      </c>
      <c r="AZ131" s="4">
        <f>IF(AY131&lt;-50,-4,IF(AY131&lt;-20,-2,IF(AY131&lt;0,-1.5,IF(AY131=0,0,IF(AY131&lt;10,1.5,IF(AY131&lt;20,2,IF(AY131&gt;19,2.5,2.5)))))))</f>
        <v/>
      </c>
      <c r="BA131" s="7" t="n"/>
      <c r="BB131" t="n">
        <v>160</v>
      </c>
    </row>
    <row r="132" ht="12.75" customHeight="1">
      <c r="A132" t="inlineStr">
        <is>
          <t>https://www.chittorgarh.com/ipo/novus-loyalty-ipo/2747/</t>
        </is>
      </c>
      <c r="B132" t="inlineStr">
        <is>
          <t xml:space="preserve">Novus Loyalty Date, </t>
        </is>
      </c>
      <c r="C132" t="inlineStr">
        <is>
          <t>2026</t>
        </is>
      </c>
      <c r="D132" s="11" t="n">
        <v>1</v>
      </c>
      <c r="E132" t="n">
        <v>0</v>
      </c>
      <c r="F132" t="n">
        <v>13.09</v>
      </c>
      <c r="G132" s="5">
        <f>100*(F132-E132)/F132</f>
        <v/>
      </c>
      <c r="H132" t="n">
        <v>14.81</v>
      </c>
      <c r="I132" t="n">
        <v>3.58</v>
      </c>
      <c r="J132" t="n">
        <v>8.130000000000001</v>
      </c>
      <c r="K132" t="n">
        <v>2.93</v>
      </c>
      <c r="L132" t="n">
        <v>36.3</v>
      </c>
      <c r="M132" t="n">
        <v>5.69</v>
      </c>
      <c r="N132" t="n">
        <v>10.91</v>
      </c>
      <c r="O132" t="n">
        <v>104.63</v>
      </c>
      <c r="P132" s="5">
        <f>O132/I132</f>
        <v/>
      </c>
      <c r="Q132" t="n">
        <v>49.89</v>
      </c>
      <c r="R132" s="2" t="n">
        <v>19.56</v>
      </c>
      <c r="S132" s="6" t="n">
        <v>0.9</v>
      </c>
      <c r="T132" t="n">
        <v>60.15</v>
      </c>
      <c r="U132" t="n">
        <v>11.97</v>
      </c>
      <c r="V132" t="n">
        <v>1</v>
      </c>
      <c r="W132" t="n">
        <v>1</v>
      </c>
      <c r="X132" t="n">
        <v>0</v>
      </c>
      <c r="Y132" t="n">
        <v>0</v>
      </c>
      <c r="Z132" t="n">
        <v>1.8182</v>
      </c>
      <c r="AA132" s="5">
        <f>IF(X132&lt;50,IF(Y132&gt;(2.3*X132),0,1),1)-IF(Z132&gt;Y132,1.7,0)</f>
        <v/>
      </c>
      <c r="AB132" t="n">
        <v>0.235</v>
      </c>
      <c r="AC132" s="5">
        <f>IF(AB132&gt;4,1,0)+IF(AB132&gt;10,0.7,0)</f>
        <v/>
      </c>
      <c r="AD132" t="n">
        <v>20.95</v>
      </c>
      <c r="AE132" t="n">
        <v>42.14</v>
      </c>
      <c r="AF132" t="n">
        <v>37.79</v>
      </c>
      <c r="AG132" s="6">
        <f>IF(G132&lt;52,0,0.7)+IF(G132&lt;34,0,0.7)+IF(G132&lt;1,0,0.7)+IF(P132&gt;14.56,0,1)+IF(R132&lt;9,0.5,0)+IF(R132&lt;33.8,0.5,0)+IF(R132&lt;50,0.5,0)+IF(R132&lt;80,0.5,0)+IF(S132=5,0,S132)+IF(V132&gt;0,1,-1)+IF(AE132&lt;10.56,0,1)-IF(AE132&lt;3,1,0)-IF(AE132&lt;1,1,0)</f>
        <v/>
      </c>
      <c r="AH132" s="5">
        <f>AG132+IF(X132&lt;1.35,0,1)+IF(Y132&lt;1.35,0,1)+IF(Y132&lt;0.7,-1,0)+AC132+AA132</f>
        <v/>
      </c>
      <c r="AI132" s="5" t="n">
        <v>17.205</v>
      </c>
      <c r="AJ132" s="5">
        <f>IF(AI132&gt;12.7,IF(AI132&gt;15.8,0.93,0.98),1)</f>
        <v/>
      </c>
      <c r="AK132" s="5">
        <f>(1.5*AG132+AH132)*AJ132*AQ132</f>
        <v/>
      </c>
      <c r="AL132" s="4">
        <f>D132</f>
        <v/>
      </c>
      <c r="AM132" s="8">
        <f>B132</f>
        <v/>
      </c>
      <c r="AN132" s="46" t="n">
        <v>20</v>
      </c>
      <c r="AO132" s="61">
        <f>IF(Z132&lt;2.81,0,IF(AK132&gt;13.7,IF(Z132&lt;140,1,0),0))</f>
        <v/>
      </c>
      <c r="AP132" s="7">
        <f>IF(AK132&gt;13.93,IF(Z132&lt;300,IF(Z132&lt;35,IF(Z132&lt;6,3,2),1),0),0)</f>
        <v/>
      </c>
      <c r="AQ132" s="5" t="n">
        <v>1</v>
      </c>
      <c r="AR132" s="7">
        <f>IF(AO132=1,IF(AO132=AL132,1,0),5)</f>
        <v/>
      </c>
      <c r="AS132" t="n">
        <v>146</v>
      </c>
      <c r="AT132" s="5" t="n">
        <v>90</v>
      </c>
      <c r="AU132" s="5" t="n">
        <v>105</v>
      </c>
      <c r="AV132" s="5">
        <f>(AT132+AU132)/2</f>
        <v/>
      </c>
      <c r="AW132" t="n">
        <v>146</v>
      </c>
      <c r="AX132" s="4">
        <f>IF(AW132&gt;AV132,1,0)</f>
        <v/>
      </c>
      <c r="AY132" s="4">
        <f>(100*(AU132-AS132)/AS132)</f>
        <v/>
      </c>
      <c r="AZ132" s="4">
        <f>IF(AY132&lt;-50,-4,IF(AY132&lt;-20,-2,IF(AY132&lt;0,-1.5,IF(AY132=0,0,IF(AY132&lt;10,1.5,IF(AY132&lt;20,2,IF(AY132&gt;19,2.5,2.5)))))))</f>
        <v/>
      </c>
      <c r="BA132" s="7" t="n"/>
      <c r="BB132" t="n">
        <v>147</v>
      </c>
      <c r="BC132" t="n">
        <v>149.5</v>
      </c>
    </row>
    <row r="133" ht="12.75" customHeight="1">
      <c r="A133" t="inlineStr">
        <is>
          <t>https://www.chittorgarh.com/ipo/speciality-medicines-ipo/2381/</t>
        </is>
      </c>
      <c r="B133" t="inlineStr">
        <is>
          <t>Speciality Medicines</t>
        </is>
      </c>
      <c r="C133" t="inlineStr">
        <is>
          <t>2026</t>
        </is>
      </c>
      <c r="D133" s="11" t="n">
        <v>1</v>
      </c>
      <c r="E133" t="n">
        <v>5.05</v>
      </c>
      <c r="F133" t="n">
        <v>30.42</v>
      </c>
      <c r="G133" s="5">
        <f>100*(F133-E133)/F133</f>
        <v/>
      </c>
      <c r="H133" t="n">
        <v>39.98</v>
      </c>
      <c r="I133" t="n">
        <v>8.609999999999999</v>
      </c>
      <c r="J133" t="n">
        <v>16.49</v>
      </c>
      <c r="K133" t="n">
        <v>13.38</v>
      </c>
      <c r="L133" t="n">
        <v>18.11</v>
      </c>
      <c r="M133" t="n">
        <v>9.09</v>
      </c>
      <c r="N133" t="n">
        <v>17.73</v>
      </c>
      <c r="O133" t="n">
        <v>58.54</v>
      </c>
      <c r="P133" s="5">
        <f>O133/I133</f>
        <v/>
      </c>
      <c r="Q133" t="n">
        <v>9.27</v>
      </c>
      <c r="R133" s="2" t="n">
        <v>10.49</v>
      </c>
      <c r="S133" s="6" t="n">
        <v>-0.9</v>
      </c>
      <c r="T133" t="n">
        <v>29.14</v>
      </c>
      <c r="U133" t="n">
        <v>0</v>
      </c>
      <c r="V133" t="n">
        <v>0</v>
      </c>
      <c r="W133" t="n">
        <v>1</v>
      </c>
      <c r="X133" t="n">
        <v>0</v>
      </c>
      <c r="Y133" t="n">
        <v>0</v>
      </c>
      <c r="Z133" t="n">
        <v>0.8459</v>
      </c>
      <c r="AA133" s="5">
        <f>IF(X133&lt;50,IF(Y133&gt;(2.3*X133),0,1),1)-IF(Z133&gt;Y133,1.7,0)</f>
        <v/>
      </c>
      <c r="AB133" t="n">
        <v>0.235</v>
      </c>
      <c r="AC133" s="5">
        <f>IF(AB133&gt;4,1,0)+IF(AB133&gt;10,0.7,0)</f>
        <v/>
      </c>
      <c r="AD133" t="n">
        <v>193.86</v>
      </c>
      <c r="AE133" t="n">
        <v>111.64</v>
      </c>
      <c r="AF133" t="n">
        <v>101.99</v>
      </c>
      <c r="AG133" s="6">
        <f>IF(G133&lt;52,0,0.7)+IF(G133&lt;34,0,0.7)+IF(G133&lt;1,0,0.7)+IF(P133&gt;14.56,0,1)+IF(R133&lt;9,0.5,0)+IF(R133&lt;33.8,0.5,0)+IF(R133&lt;50,0.5,0)+IF(R133&lt;80,0.5,0)+IF(S133=5,0,S133)+IF(V133&gt;0,1,-1)+IF(AE133&lt;10.56,0,1)-IF(AE133&lt;3,1,0)-IF(AE133&lt;1,1,0)</f>
        <v/>
      </c>
      <c r="AH133" s="5">
        <f>AG133+IF(X133&lt;1.35,0,1)+IF(Y133&lt;1.35,0,1)+IF(Y133&lt;0.7,-1,0)+AC133+AA133</f>
        <v/>
      </c>
      <c r="AI133" s="5" t="n">
        <v>17.205</v>
      </c>
      <c r="AJ133" s="5">
        <f>IF(AI133&gt;12.7,IF(AI133&gt;15.8,0.93,0.98),1)</f>
        <v/>
      </c>
      <c r="AK133" s="5">
        <f>(1.5*AG133+AH133)*AJ133*AQ133</f>
        <v/>
      </c>
      <c r="AL133" s="4">
        <f>D133</f>
        <v/>
      </c>
      <c r="AM133" s="8">
        <f>B133</f>
        <v/>
      </c>
      <c r="AN133" s="46" t="n">
        <v>20</v>
      </c>
      <c r="AO133" s="61">
        <f>IF(Z133&lt;2.81,0,IF(AK133&gt;13.7,IF(Z133&lt;140,1,0),0))</f>
        <v/>
      </c>
      <c r="AP133" s="7">
        <f>IF(AK133&gt;13.93,IF(Z133&lt;300,IF(Z133&lt;35,IF(Z133&lt;6,3,2),1),0),0)</f>
        <v/>
      </c>
      <c r="AQ133" s="5" t="n">
        <v>1</v>
      </c>
      <c r="AR133" s="7">
        <f>IF(AO133=1,IF(AO133=AL133,1,0),5)</f>
        <v/>
      </c>
      <c r="AS133" s="5" t="n">
        <v>124</v>
      </c>
      <c r="AT133" s="5" t="n">
        <v>94</v>
      </c>
      <c r="AU133" s="5" t="n">
        <v>118</v>
      </c>
      <c r="AV133" s="5">
        <f>(AT133+AU133)/2</f>
        <v/>
      </c>
      <c r="AW133" s="5" t="n">
        <v>124</v>
      </c>
      <c r="AX133" s="4">
        <f>IF(AW133&gt;AV133,1,0)</f>
        <v/>
      </c>
      <c r="AY133" s="4">
        <f>(100*(AU133-AS133)/AS133)</f>
        <v/>
      </c>
      <c r="AZ133" s="4">
        <f>IF(AY133&lt;-50,-4,IF(AY133&lt;-20,-2,IF(AY133&lt;0,-1.5,IF(AY133=0,0,IF(AY133&lt;10,1.5,IF(AY133&lt;20,2,IF(AY133&gt;19,2.5,2.5)))))))</f>
        <v/>
      </c>
      <c r="BA133" s="7" t="n"/>
      <c r="BB133" s="5" t="n">
        <v>126</v>
      </c>
    </row>
    <row r="134" ht="12.75" customHeight="1">
      <c r="A134" t="inlineStr">
        <is>
          <t>https://www.chittorgarh.com/ipo/tipco-engineering-ipo/2733/</t>
        </is>
      </c>
      <c r="B134" t="inlineStr">
        <is>
          <t>Tipco Engineering Da</t>
        </is>
      </c>
      <c r="C134" t="inlineStr">
        <is>
          <t>2026</t>
        </is>
      </c>
      <c r="D134" s="11" t="n">
        <v>1</v>
      </c>
      <c r="E134" t="n">
        <v>37.23</v>
      </c>
      <c r="F134" t="n">
        <v>33.23</v>
      </c>
      <c r="G134" s="5">
        <f>100*(F134-E134)/F134</f>
        <v/>
      </c>
      <c r="H134" t="n">
        <v>100.96</v>
      </c>
      <c r="I134" t="n">
        <v>15.61</v>
      </c>
      <c r="J134" t="n">
        <v>15.35</v>
      </c>
      <c r="K134" t="n">
        <v>10.19</v>
      </c>
      <c r="L134" t="n">
        <v>33.12</v>
      </c>
      <c r="M134" t="n">
        <v>23.85</v>
      </c>
      <c r="N134" t="n">
        <v>24.32</v>
      </c>
      <c r="O134" t="n">
        <v>133.37</v>
      </c>
      <c r="P134" s="5">
        <f>O134/I134</f>
        <v/>
      </c>
      <c r="Q134" t="n">
        <v>8.73</v>
      </c>
      <c r="R134" s="2" t="n">
        <v>10.51</v>
      </c>
      <c r="S134" s="6" t="n">
        <v>-0.5</v>
      </c>
      <c r="T134" t="n">
        <v>60.55</v>
      </c>
      <c r="U134" t="n">
        <v>12.06</v>
      </c>
      <c r="V134" t="n">
        <v>1</v>
      </c>
      <c r="W134" t="n">
        <v>1</v>
      </c>
      <c r="X134" t="n">
        <v>3.2</v>
      </c>
      <c r="Y134" t="n">
        <v>2.12</v>
      </c>
      <c r="Z134" t="n">
        <v>0.66</v>
      </c>
      <c r="AA134" s="5">
        <f>IF(X134&lt;50,IF(Y134&gt;(2.3*X134),0,1),1)-IF(Z134&gt;Y134,1.7,0)</f>
        <v/>
      </c>
      <c r="AB134" t="n">
        <v>0</v>
      </c>
      <c r="AC134" s="5">
        <f>IF(AB134&gt;4,1,0)+IF(AB134&gt;10,0.7,0)</f>
        <v/>
      </c>
      <c r="AD134" t="n">
        <v>84.73</v>
      </c>
      <c r="AE134" t="n">
        <v>31.58</v>
      </c>
      <c r="AF134" t="n">
        <v>165.63</v>
      </c>
      <c r="AG134" s="6">
        <f>IF(G134&lt;52,0,0.7)+IF(G134&lt;34,0,0.7)+IF(G134&lt;1,0,0.7)+IF(P134&gt;14.56,0,1)+IF(R134&lt;9,0.5,0)+IF(R134&lt;33.8,0.5,0)+IF(R134&lt;50,0.5,0)+IF(R134&lt;80,0.5,0)+IF(S134=5,0,S134)+IF(V134&gt;0,1,-1)+IF(AE134&lt;10.56,0,1)-IF(AE134&lt;3,1,0)-IF(AE134&lt;1,1,0)</f>
        <v/>
      </c>
      <c r="AH134" s="5">
        <f>AG134+IF(X134&lt;1.35,0,1)+IF(Y134&lt;1.35,0,1)+IF(Y134&lt;0.7,-1,0)+AC134+AA134</f>
        <v/>
      </c>
      <c r="AI134" s="5" t="n">
        <v>24</v>
      </c>
      <c r="AJ134" s="5">
        <f>IF(AI134&gt;12.7,IF(AI134&gt;15.8,0.93,0.98),1)</f>
        <v/>
      </c>
      <c r="AK134" s="5">
        <f>(1.5*AG134+AH134)*AJ134*AQ134</f>
        <v/>
      </c>
      <c r="AL134" s="4">
        <f>D134</f>
        <v/>
      </c>
      <c r="AM134" s="8">
        <f>B134</f>
        <v/>
      </c>
      <c r="AN134" s="46" t="n">
        <v>25</v>
      </c>
      <c r="AO134" s="61">
        <f>IF(Z134&lt;2.81,0,IF(AK134&gt;13.7,IF(Z134&lt;140,1,0),0))</f>
        <v/>
      </c>
      <c r="AP134" s="7">
        <f>IF(AK134&gt;13.93,IF(Z134&lt;300,IF(Z134&lt;35,IF(Z134&lt;6,3,2),1),0),0)</f>
        <v/>
      </c>
      <c r="AQ134" s="5" t="n">
        <v>1</v>
      </c>
      <c r="AR134" s="7">
        <f>IF(AO134=1,IF(AO134=AL134,1,0),5)</f>
        <v/>
      </c>
      <c r="AS134" s="5" t="n">
        <v>89</v>
      </c>
      <c r="AT134" s="5" t="n">
        <v>102</v>
      </c>
      <c r="AU134" s="5" t="n">
        <v>119</v>
      </c>
      <c r="AV134" s="5">
        <f>(AT134+AU134)/2</f>
        <v/>
      </c>
      <c r="AW134" s="5" t="n">
        <v>89.25</v>
      </c>
      <c r="AX134" s="4">
        <f>IF(AW134&gt;AV134,1,0)</f>
        <v/>
      </c>
      <c r="AY134" s="4">
        <f>(100*(AU134-AS134)/AS134)</f>
        <v/>
      </c>
      <c r="AZ134" s="4">
        <f>IF(AY134&lt;-50,-4,IF(AY134&lt;-20,-2,IF(AY134&lt;0,-1.5,IF(AY134=0,0,IF(AY134&lt;10,1.5,IF(AY134&lt;20,2,IF(AY134&gt;19,2.5,2.5)))))))</f>
        <v/>
      </c>
      <c r="BA134" s="7" t="n"/>
    </row>
    <row r="135" ht="12.75" customHeight="1">
      <c r="A135" t="inlineStr">
        <is>
          <t>https://www.chittorgarh.com/ipo/highness-microelectronics-ipo/2768/</t>
        </is>
      </c>
      <c r="B135" t="inlineStr">
        <is>
          <t>Highness Microelectro</t>
        </is>
      </c>
      <c r="C135" t="inlineStr">
        <is>
          <t>2026</t>
        </is>
      </c>
      <c r="D135" s="11" t="n">
        <v>1</v>
      </c>
      <c r="E135" t="n">
        <v>4.93</v>
      </c>
      <c r="F135" t="n">
        <v>6.62</v>
      </c>
      <c r="G135" s="5">
        <f>100*(F135-E135)/F135</f>
        <v/>
      </c>
      <c r="H135" t="n">
        <v>14.31</v>
      </c>
      <c r="I135" t="n">
        <v>2.52</v>
      </c>
      <c r="J135" t="n">
        <v>0</v>
      </c>
      <c r="K135" t="n">
        <v>7.19</v>
      </c>
      <c r="L135" t="n">
        <v>40.97</v>
      </c>
      <c r="M135" t="n">
        <v>4.52</v>
      </c>
      <c r="N135" t="n">
        <v>39.26</v>
      </c>
      <c r="O135" t="n">
        <v>14.17</v>
      </c>
      <c r="P135" s="5">
        <f>O135/I135</f>
        <v/>
      </c>
      <c r="Q135" t="n">
        <v>16.7</v>
      </c>
      <c r="R135" s="2" t="n">
        <v>13.63</v>
      </c>
      <c r="S135" s="6" t="n">
        <v>-0.5</v>
      </c>
      <c r="T135" t="n">
        <v>21.67</v>
      </c>
      <c r="U135" t="n">
        <v>1.83</v>
      </c>
      <c r="V135" t="n">
        <v>1</v>
      </c>
      <c r="W135" t="n">
        <v>1</v>
      </c>
      <c r="X135" t="n">
        <v>81.9474</v>
      </c>
      <c r="Y135" t="n">
        <v>362.1157</v>
      </c>
      <c r="Z135" t="n">
        <v>185.1076</v>
      </c>
      <c r="AA135" s="5">
        <f>IF(X135&lt;50,IF(Y135&gt;(2.3*X135),0,1),1)-IF(Z135&gt;Y135,1.7,0)</f>
        <v/>
      </c>
      <c r="AB135" t="n">
        <v>0.235</v>
      </c>
      <c r="AC135" s="5">
        <f>IF(AB135&gt;4,1,0)+IF(AB135&gt;10,0.7,0)</f>
        <v/>
      </c>
      <c r="AD135" t="n">
        <v>5.44</v>
      </c>
      <c r="AE135" t="n">
        <v>28.94</v>
      </c>
      <c r="AF135" t="n">
        <v>61.46</v>
      </c>
      <c r="AG135" s="6">
        <f>IF(G135&lt;52,0,0.7)+IF(G135&lt;34,0,0.7)+IF(G135&lt;1,0,0.7)+IF(P135&gt;14.56,0,1)+IF(R135&lt;9,0.5,0)+IF(R135&lt;33.8,0.5,0)+IF(R135&lt;50,0.5,0)+IF(R135&lt;80,0.5,0)+IF(S135=5,0,S135)+IF(V135&gt;0,1,-1)+IF(AE135&lt;10.56,0,1)-IF(AE135&lt;3,1,0)-IF(AE135&lt;1,1,0)</f>
        <v/>
      </c>
      <c r="AH135" s="5">
        <f>AG135+IF(X135&lt;1.35,0,1)+IF(Y135&lt;1.35,0,1)+IF(Y135&lt;0.7,-1,0)+AC135+AA135</f>
        <v/>
      </c>
      <c r="AI135" s="5" t="n">
        <v>17.205</v>
      </c>
      <c r="AJ135" s="5">
        <f>IF(AI135&gt;12.7,IF(AI135&gt;15.8,0.93,0.98),1)</f>
        <v/>
      </c>
      <c r="AK135" s="5">
        <f>(1.5*AG135+AH135)*AJ135*AQ135</f>
        <v/>
      </c>
      <c r="AL135" s="4">
        <f>D135</f>
        <v/>
      </c>
      <c r="AM135" s="8">
        <f>B135</f>
        <v/>
      </c>
      <c r="AN135" t="n">
        <v>27</v>
      </c>
      <c r="AO135" s="61">
        <f>IF(Z135&lt;2.81,0,IF(AK135&gt;13.7,IF(Z135&lt;140,1,0),0))</f>
        <v/>
      </c>
      <c r="AP135" s="7">
        <f>IF(AK135&gt;13.93,IF(Z135&lt;300,IF(Z135&lt;35,IF(Z135&lt;6,3,2),1),0),0)</f>
        <v/>
      </c>
      <c r="AQ135" s="5" t="n">
        <v>1</v>
      </c>
      <c r="AR135" s="7">
        <f>IF(AO135=1,IF(AO135=AL135,1,0),5)</f>
        <v/>
      </c>
      <c r="AS135" s="5" t="n">
        <v>120</v>
      </c>
      <c r="AT135" s="5" t="n">
        <v>88</v>
      </c>
      <c r="AU135" s="5" t="n">
        <v>123</v>
      </c>
      <c r="AV135" s="5">
        <f>(AT135+AU135)/2</f>
        <v/>
      </c>
      <c r="AW135" t="n">
        <v>125</v>
      </c>
      <c r="AX135" s="4">
        <f>IF(AW135&gt;AV135,1,0)</f>
        <v/>
      </c>
      <c r="AY135" s="4">
        <f>(100*(AU135-AS135)/AS135)</f>
        <v/>
      </c>
      <c r="AZ135" s="4">
        <f>IF(AY135&lt;-50,-4,IF(AY135&lt;-20,-2,IF(AY135&lt;0,-1.5,IF(AY135=0,0,IF(AY135&lt;10,1.5,IF(AY135&lt;20,2,IF(AY135&gt;19,2.5,2.5)))))))</f>
        <v/>
      </c>
      <c r="BA135" s="7" t="n"/>
      <c r="BB135" t="n">
        <v>129</v>
      </c>
    </row>
    <row r="136" ht="12.75" customHeight="1">
      <c r="A136" t="inlineStr">
        <is>
          <t>https://www.chittorgarh.com/ipo/vivid-electromech-ipo/2728/</t>
        </is>
      </c>
      <c r="B136" t="inlineStr">
        <is>
          <t>Vivid Electromech  Pr</t>
        </is>
      </c>
      <c r="C136" t="inlineStr">
        <is>
          <t>2026</t>
        </is>
      </c>
      <c r="D136" s="11" t="n">
        <v>1</v>
      </c>
      <c r="E136" t="n">
        <v>4.23</v>
      </c>
      <c r="F136" t="n">
        <v>27.45</v>
      </c>
      <c r="G136" s="5">
        <f>100*(F136-E136)/F136</f>
        <v/>
      </c>
      <c r="H136" t="n">
        <v>115.3</v>
      </c>
      <c r="I136" t="n">
        <v>20.24</v>
      </c>
      <c r="J136" t="n">
        <v>13.38</v>
      </c>
      <c r="K136" t="n">
        <v>28.9</v>
      </c>
      <c r="L136" t="n">
        <v>29.29</v>
      </c>
      <c r="M136" t="n">
        <v>28.39</v>
      </c>
      <c r="N136" t="n">
        <v>19.13</v>
      </c>
      <c r="O136" t="n">
        <v>155.77</v>
      </c>
      <c r="P136" s="5">
        <f>O136/I136</f>
        <v/>
      </c>
      <c r="Q136" t="n">
        <v>19.2</v>
      </c>
      <c r="R136" s="2" t="n">
        <v>24.37</v>
      </c>
      <c r="S136" s="6" t="n">
        <v>-0.5</v>
      </c>
      <c r="T136" t="n">
        <v>130.54</v>
      </c>
      <c r="U136" t="n">
        <v>25.98</v>
      </c>
      <c r="V136" t="n">
        <v>1</v>
      </c>
      <c r="W136" t="n">
        <v>1</v>
      </c>
      <c r="X136" t="n">
        <v>1.9452</v>
      </c>
      <c r="Y136" t="n">
        <v>1.4964</v>
      </c>
      <c r="Z136" t="n">
        <v>0.3644</v>
      </c>
      <c r="AA136" s="5">
        <f>IF(X136&lt;50,IF(Y136&gt;(2.3*X136),0,1),1)-IF(Z136&gt;Y136,1.7,0)</f>
        <v/>
      </c>
      <c r="AB136" t="n">
        <v>0.235</v>
      </c>
      <c r="AC136" s="5">
        <f>IF(AB136&gt;4,1,0)+IF(AB136&gt;10,0.7,0)</f>
        <v/>
      </c>
      <c r="AD136" t="n">
        <v>372.9</v>
      </c>
      <c r="AE136" t="n">
        <v>73.95</v>
      </c>
      <c r="AF136" t="n">
        <v>293.27</v>
      </c>
      <c r="AG136" s="6">
        <f>IF(G136&lt;52,0,0.7)+IF(G136&lt;34,0,0.7)+IF(G136&lt;1,0,0.7)+IF(P136&gt;14.56,0,1)+IF(R136&lt;9,0.5,0)+IF(R136&lt;33.8,0.5,0)+IF(R136&lt;50,0.5,0)+IF(R136&lt;80,0.5,0)+IF(S136=5,0,S136)+IF(V136&gt;0,1,-1)+IF(AE136&lt;10.56,0,1)-IF(AE136&lt;3,1,0)-IF(AE136&lt;1,1,0)</f>
        <v/>
      </c>
      <c r="AH136" s="5">
        <f>AG136+IF(X136&lt;1.35,0,1)+IF(Y136&lt;1.35,0,1)+IF(Y136&lt;0.7,-1,0)+AC136+AA136</f>
        <v/>
      </c>
      <c r="AI136" s="5" t="n">
        <v>17.205</v>
      </c>
      <c r="AJ136" s="5">
        <f>IF(AI136&gt;12.7,IF(AI136&gt;15.8,0.93,0.98),1)</f>
        <v/>
      </c>
      <c r="AK136" s="5">
        <f>(1.5*AG136+AH136)*AJ136*AQ136</f>
        <v/>
      </c>
      <c r="AL136" s="4">
        <f>D136</f>
        <v/>
      </c>
      <c r="AM136" s="8">
        <f>B136</f>
        <v/>
      </c>
      <c r="AN136" t="n">
        <v>30</v>
      </c>
      <c r="AO136" s="61">
        <f>IF(Z136&lt;2.81,0,IF(AK136&gt;13.7,IF(Z136&lt;140,1,0),0))</f>
        <v/>
      </c>
      <c r="AP136" s="7">
        <f>IF(AK136&gt;13.93,IF(Z136&lt;300,IF(Z136&lt;35,IF(Z136&lt;6,3,2),1),0),0)</f>
        <v/>
      </c>
      <c r="AQ136" s="5" t="n">
        <v>1</v>
      </c>
      <c r="AR136" s="7">
        <f>IF(AO136=1,IF(AO136=AL136,1,0),5)</f>
        <v/>
      </c>
      <c r="AS136" s="5" t="n">
        <v>555</v>
      </c>
      <c r="AT136" s="5" t="n">
        <v>410</v>
      </c>
      <c r="AU136" s="5" t="n">
        <v>546</v>
      </c>
      <c r="AV136" s="5">
        <f>(AT136+AU136)/2</f>
        <v/>
      </c>
      <c r="AW136" s="5" t="n">
        <v>565</v>
      </c>
      <c r="AX136" s="4">
        <f>IF(AW136&gt;AV136,1,0)</f>
        <v/>
      </c>
      <c r="AY136" s="4">
        <f>(100*(AU136-AS136)/AS136)</f>
        <v/>
      </c>
      <c r="AZ136" s="4">
        <f>IF(AY136&lt;-50,-4,IF(AY136&lt;-20,-2,IF(AY136&lt;0,-1.5,IF(AY136=0,0,IF(AY136&lt;10,1.5,IF(AY136&lt;20,2,IF(AY136&gt;19,2.5,2.5)))))))</f>
        <v/>
      </c>
      <c r="BA136" s="7" t="n"/>
    </row>
    <row r="137" ht="12.75" customHeight="1">
      <c r="A137" t="inlineStr">
        <is>
          <t>https://www.chittorgarh.com/ipo/safety-controls-and-devices-ipo/2328/</t>
        </is>
      </c>
      <c r="B137" t="inlineStr">
        <is>
          <t>Safety Controls  Pric</t>
        </is>
      </c>
      <c r="C137" t="inlineStr">
        <is>
          <t>2026</t>
        </is>
      </c>
      <c r="D137" s="11" t="n">
        <v>1</v>
      </c>
      <c r="E137" t="n">
        <v>33.84</v>
      </c>
      <c r="F137" t="n">
        <v>42.17</v>
      </c>
      <c r="G137" s="5">
        <f>100*(F137-E137)/F137</f>
        <v/>
      </c>
      <c r="H137" t="n">
        <v>120.28</v>
      </c>
      <c r="I137" t="n">
        <v>8.99</v>
      </c>
      <c r="J137" t="n">
        <v>12.64</v>
      </c>
      <c r="K137" t="n">
        <v>6.5</v>
      </c>
      <c r="L137" t="n">
        <v>21.17</v>
      </c>
      <c r="M137" t="n">
        <v>17.27</v>
      </c>
      <c r="N137" t="n">
        <v>24.04</v>
      </c>
      <c r="O137" t="n">
        <v>103.5</v>
      </c>
      <c r="P137" s="5">
        <f>O137/I137</f>
        <v/>
      </c>
      <c r="Q137" t="n">
        <v>12.3</v>
      </c>
      <c r="R137" s="2" t="n">
        <v>15.51</v>
      </c>
      <c r="S137" s="6" t="n">
        <v>-0.5</v>
      </c>
      <c r="T137" t="n">
        <v>48</v>
      </c>
      <c r="U137" t="n">
        <v>0</v>
      </c>
      <c r="V137" t="n">
        <v>1</v>
      </c>
      <c r="W137" t="n">
        <v>1</v>
      </c>
      <c r="X137" t="n">
        <v>1.3133</v>
      </c>
      <c r="Y137" t="n">
        <v>2.4519</v>
      </c>
      <c r="Z137" t="n">
        <v>0.7625</v>
      </c>
      <c r="AA137" s="5">
        <f>IF(X137&lt;50,IF(Y137&gt;(2.3*X137),0,1),1)-IF(Z137&gt;Y137,1.7,0)</f>
        <v/>
      </c>
      <c r="AB137" t="n">
        <v>0.235</v>
      </c>
      <c r="AC137" s="5">
        <f>IF(AB137&gt;4,1,0)+IF(AB137&gt;10,0.7,0)</f>
        <v/>
      </c>
      <c r="AD137" t="n">
        <v>124.19</v>
      </c>
      <c r="AE137" t="n">
        <v>126.48</v>
      </c>
      <c r="AF137" t="n">
        <v>141.25</v>
      </c>
      <c r="AG137" s="6">
        <f>IF(G137&lt;52,0,0.7)+IF(G137&lt;34,0,0.7)+IF(G137&lt;1,0,0.7)+IF(P137&gt;14.56,0,1)+IF(R137&lt;9,0.5,0)+IF(R137&lt;33.8,0.5,0)+IF(R137&lt;50,0.5,0)+IF(R137&lt;80,0.5,0)+IF(S137=5,0,S137)+IF(V137&gt;0,1,-1)+IF(AE137&lt;10.56,0,1)-IF(AE137&lt;3,1,0)-IF(AE137&lt;1,1,0)</f>
        <v/>
      </c>
      <c r="AH137" s="5">
        <f>AG137+IF(X137&lt;1.35,0,1)+IF(Y137&lt;1.35,0,1)+IF(Y137&lt;0.7,-1,0)+AC137+AA137</f>
        <v/>
      </c>
      <c r="AI137" s="5" t="n">
        <v>17.205</v>
      </c>
      <c r="AJ137" s="5">
        <f>IF(AI137&gt;12.7,IF(AI137&gt;15.8,0.93,0.98),1)</f>
        <v/>
      </c>
      <c r="AK137" s="5">
        <f>(1.5*AG137+AH137)*AJ137*AQ137</f>
        <v/>
      </c>
      <c r="AL137" s="4">
        <f>D137</f>
        <v/>
      </c>
      <c r="AM137" s="8">
        <f>B137</f>
        <v/>
      </c>
      <c r="AN137" t="n">
        <v>8</v>
      </c>
      <c r="AO137" s="61">
        <f>IF(Z137&lt;2.81,0,IF(AK137&gt;13.7,IF(Z137&lt;140,1,0),0))</f>
        <v/>
      </c>
      <c r="AP137" s="7">
        <f>IF(AK137&gt;13.93,IF(Z137&lt;300,IF(Z137&lt;35,IF(Z137&lt;6,3,2),1),0),0)</f>
        <v/>
      </c>
      <c r="AQ137" s="5" t="n">
        <v>1</v>
      </c>
      <c r="AR137" s="7">
        <f>IF(AO137=1,IF(AO137=AL137,1,0),5)</f>
        <v/>
      </c>
      <c r="AS137" s="5" t="n">
        <v>80</v>
      </c>
      <c r="AT137" s="5" t="n">
        <v>36</v>
      </c>
      <c r="AU137" s="5" t="n">
        <v>52</v>
      </c>
      <c r="AV137" s="5">
        <f>(AT137+AU137)/2</f>
        <v/>
      </c>
      <c r="AW137" s="5" t="n">
        <v>83</v>
      </c>
      <c r="AX137" s="4">
        <f>IF(AW137&gt;AV137,1,0)</f>
        <v/>
      </c>
      <c r="AY137" s="4">
        <f>(100*(AU137-AS137)/AS137)</f>
        <v/>
      </c>
      <c r="AZ137" s="4">
        <f>IF(AY137&lt;-50,-4,IF(AY137&lt;-20,-2,IF(AY137&lt;0,-1.5,IF(AY137=0,0,IF(AY137&lt;10,1.5,IF(AY137&lt;20,2,IF(AY137&gt;19,2.5,2.5)))))))</f>
        <v/>
      </c>
      <c r="BA137" s="7" t="n">
        <v>83</v>
      </c>
    </row>
    <row r="138" ht="12.75" customHeight="1">
      <c r="A138" t="inlineStr">
        <is>
          <t>https://www.chittorgarh.com/ipo/mehul-telecom-ipo/2536/</t>
        </is>
      </c>
      <c r="B138" t="inlineStr">
        <is>
          <t>Mehul Telecom  Price,</t>
        </is>
      </c>
      <c r="C138" t="inlineStr">
        <is>
          <t>2026</t>
        </is>
      </c>
      <c r="D138" s="11" t="n">
        <v>1</v>
      </c>
      <c r="E138" t="n">
        <v>0.07000000000000001</v>
      </c>
      <c r="F138" t="n">
        <v>17.1</v>
      </c>
      <c r="G138" s="5">
        <f>100*(F138-E138)/F138</f>
        <v/>
      </c>
      <c r="H138" t="n">
        <v>0.1</v>
      </c>
      <c r="I138" t="n">
        <v>5.74</v>
      </c>
      <c r="J138" t="n">
        <v>4.65</v>
      </c>
      <c r="K138" t="n">
        <v>7.53</v>
      </c>
      <c r="L138" t="n">
        <v>34.27</v>
      </c>
      <c r="M138" t="n">
        <v>8.02</v>
      </c>
      <c r="N138" t="n">
        <v>6.39</v>
      </c>
      <c r="O138" t="n">
        <v>136</v>
      </c>
      <c r="P138" s="5">
        <f>O138/I138</f>
        <v/>
      </c>
      <c r="Q138" t="n">
        <v>13.02</v>
      </c>
      <c r="R138" s="2" t="n">
        <v>10.86</v>
      </c>
      <c r="S138" s="6" t="n">
        <v>1</v>
      </c>
      <c r="T138" t="n">
        <v>27.73</v>
      </c>
      <c r="U138" t="n">
        <v>0</v>
      </c>
      <c r="V138" t="n">
        <v>1</v>
      </c>
      <c r="W138" t="n">
        <v>1</v>
      </c>
      <c r="X138" t="n">
        <v>33</v>
      </c>
      <c r="Y138" t="n">
        <v>70</v>
      </c>
      <c r="Z138" t="n">
        <v>37.41</v>
      </c>
      <c r="AA138" s="5">
        <f>IF(X138&lt;50,IF(Y138&gt;(2.3*X138),0,1),1)-IF(Z138&gt;Y138,1.7,0)</f>
        <v/>
      </c>
      <c r="AB138" t="n">
        <v>0</v>
      </c>
      <c r="AC138" s="5">
        <f>IF(AB138&gt;4,1,0)+IF(AB138&gt;10,0.7,0)</f>
        <v/>
      </c>
      <c r="AD138" t="n">
        <v>-57500</v>
      </c>
      <c r="AE138" t="n">
        <v>14</v>
      </c>
      <c r="AF138" t="n">
        <v>18900</v>
      </c>
      <c r="AG138" s="6">
        <f>IF(G138&lt;52,0,0.7)+IF(G138&lt;34,0,0.7)+IF(G138&lt;1,0,0.7)+IF(P138&gt;14.56,0,1)+IF(R138&lt;9,0.5,0)+IF(R138&lt;33.8,0.5,0)+IF(R138&lt;50,0.5,0)+IF(R138&lt;80,0.5,0)+IF(S138=5,0,S138)+IF(V138&gt;0,1,-1)+IF(AE138&lt;10.56,0,1)-IF(AE138&lt;3,1,0)-IF(AE138&lt;1,1,0)</f>
        <v/>
      </c>
      <c r="AH138" s="5">
        <f>AG138+IF(X138&lt;1.35,0,1)+IF(Y138&lt;1.35,0,1)+IF(Y138&lt;0.7,-1,0)+AC138+AA138</f>
        <v/>
      </c>
      <c r="AI138" s="5" t="n">
        <v>17.205</v>
      </c>
      <c r="AJ138" s="5">
        <f>IF(AI138&gt;12.7,IF(AI138&gt;15.8,0.93,0.98),1)</f>
        <v/>
      </c>
      <c r="AK138" s="5">
        <f>(1.5*AG138+AH138)*AJ138*AQ138</f>
        <v/>
      </c>
      <c r="AL138" s="4">
        <f>D138</f>
        <v/>
      </c>
      <c r="AM138" s="8">
        <f>B138</f>
        <v/>
      </c>
      <c r="AN138" t="n">
        <v>21</v>
      </c>
      <c r="AO138" s="61">
        <f>IF(Z138&lt;2.81,0,IF(AK138&gt;13.7,IF(Z138&lt;140,1,0),0))</f>
        <v/>
      </c>
      <c r="AP138" s="7">
        <f>IF(AK138&gt;13.93,IF(Z138&lt;300,IF(Z138&lt;35,IF(Z138&lt;6,3,2),1),0),0)</f>
        <v/>
      </c>
      <c r="AQ138" s="5" t="n">
        <v>1</v>
      </c>
      <c r="AR138" s="7">
        <f>IF(AO138=1,IF(AO138=AL138,1,0),5)</f>
        <v/>
      </c>
      <c r="AS138" s="5" t="n">
        <v>98</v>
      </c>
      <c r="AT138" s="5" t="n">
        <v>95</v>
      </c>
      <c r="AU138" s="5" t="n">
        <v>113</v>
      </c>
      <c r="AV138" s="5">
        <f>(AT138+AU138)/2</f>
        <v/>
      </c>
      <c r="AW138" s="5" t="n">
        <v>108</v>
      </c>
      <c r="AX138" s="4">
        <f>IF(AW138&gt;AV138,1,0)</f>
        <v/>
      </c>
      <c r="AY138" s="4">
        <f>(100*(AU138-AS138)/AS138)</f>
        <v/>
      </c>
      <c r="AZ138" s="4">
        <f>IF(AY138&lt;-50,-4,IF(AY138&lt;-20,-2,IF(AY138&lt;0,-1.5,IF(AY138=0,0,IF(AY138&lt;10,1.5,IF(AY138&lt;20,2,IF(AY138&gt;19,2.5,2.5)))))))</f>
        <v/>
      </c>
      <c r="BA138" s="7" t="n"/>
    </row>
    <row r="139" ht="12.75" customHeight="1">
      <c r="A139" t="inlineStr">
        <is>
          <t>https://www.chittorgarh.com/ipo/emiac-technologies-ipo/2766/</t>
        </is>
      </c>
      <c r="B139" t="inlineStr">
        <is>
          <t>Emiac Technologies  P</t>
        </is>
      </c>
      <c r="C139" t="inlineStr">
        <is>
          <t>2026</t>
        </is>
      </c>
      <c r="D139" s="11" t="n">
        <v>1</v>
      </c>
      <c r="E139" t="n">
        <v>0.01</v>
      </c>
      <c r="F139" t="n">
        <v>9.029999999999999</v>
      </c>
      <c r="G139" s="5">
        <f>100*(F139-E139)/F139</f>
        <v/>
      </c>
      <c r="H139" t="n">
        <v>16.94</v>
      </c>
      <c r="I139" t="n">
        <v>4.22</v>
      </c>
      <c r="J139" t="n">
        <v>32.2</v>
      </c>
      <c r="K139" t="n">
        <v>4.69</v>
      </c>
      <c r="L139" t="n">
        <v>40.26</v>
      </c>
      <c r="M139" t="n">
        <v>5.92</v>
      </c>
      <c r="N139" t="n">
        <v>43.81</v>
      </c>
      <c r="O139" t="n">
        <v>20.06</v>
      </c>
      <c r="P139" s="5">
        <f>O139/I139</f>
        <v/>
      </c>
      <c r="Q139" t="n">
        <v>20.91</v>
      </c>
      <c r="R139" s="2" t="n">
        <v>13.19</v>
      </c>
      <c r="S139" s="6" t="n">
        <v>-0.5</v>
      </c>
      <c r="T139" t="n">
        <v>31.75</v>
      </c>
      <c r="U139" t="n">
        <v>0</v>
      </c>
      <c r="V139" t="n">
        <v>1</v>
      </c>
      <c r="W139" t="n">
        <v>0</v>
      </c>
      <c r="X139" t="n">
        <v>1.0231</v>
      </c>
      <c r="Y139" t="n">
        <v>70</v>
      </c>
      <c r="Z139" t="n">
        <v>3.7385</v>
      </c>
      <c r="AA139" s="5">
        <f>IF(X139&lt;50,IF(Y139&gt;(2.3*X139),0,1),1)-IF(Z139&gt;Y139,1.7,0)</f>
        <v/>
      </c>
      <c r="AB139" t="n">
        <v>0</v>
      </c>
      <c r="AC139" s="5">
        <f>IF(AB139&gt;4,1,0)+IF(AB139&gt;10,0.7,0)</f>
        <v/>
      </c>
      <c r="AD139" t="n">
        <v>402.38</v>
      </c>
      <c r="AE139" t="n">
        <v>272.86</v>
      </c>
      <c r="AF139" t="n">
        <v>589.3099999999999</v>
      </c>
      <c r="AG139" s="6">
        <f>IF(G139&lt;52,0,0.7)+IF(G139&lt;34,0,0.7)+IF(G139&lt;1,0,0.7)+IF(P139&gt;14.56,0,1)+IF(R139&lt;9,0.5,0)+IF(R139&lt;33.8,0.5,0)+IF(R139&lt;50,0.5,0)+IF(R139&lt;80,0.5,0)+IF(S139=5,0,S139)+IF(V139&gt;0,1,-1)+IF(AE139&lt;10.56,0,1)-IF(AE139&lt;3,1,0)-IF(AE139&lt;1,1,0)</f>
        <v/>
      </c>
      <c r="AH139" s="5">
        <f>AG139+IF(X139&lt;1.35,0,1)+IF(Y139&lt;1.35,0,1)+IF(Y139&lt;0.7,-1,0)+AC139+AA139</f>
        <v/>
      </c>
      <c r="AI139" s="5" t="n">
        <v>18.59</v>
      </c>
      <c r="AJ139" s="5">
        <f>IF(AI139&gt;12.7,IF(AI139&gt;15.8,0.93,0.98),1)</f>
        <v/>
      </c>
      <c r="AK139" s="5">
        <f>(1.5*AG139+AH139)*AJ139*AQ139</f>
        <v/>
      </c>
      <c r="AL139" s="4">
        <f>D139</f>
        <v/>
      </c>
      <c r="AM139" s="8">
        <f>B139</f>
        <v/>
      </c>
      <c r="AN139" t="n">
        <v>8</v>
      </c>
      <c r="AO139" s="61">
        <f>IF(Z139&lt;2.81,0,IF(AK139&gt;13.7,IF(Z139&lt;140,1,0),0))</f>
        <v/>
      </c>
      <c r="AP139" s="7">
        <f>IF(AK139&gt;13.93,IF(Z139&lt;300,IF(Z139&lt;35,IF(Z139&lt;6,3,2),1),0),0)</f>
        <v/>
      </c>
      <c r="AQ139" s="5" t="n">
        <v>1</v>
      </c>
      <c r="AR139" s="7">
        <f>IF(AO139=1,IF(AO139=AL139,1,0),5)</f>
        <v/>
      </c>
      <c r="AS139" s="5" t="n">
        <v>98</v>
      </c>
      <c r="AT139" s="5" t="n">
        <v>74</v>
      </c>
      <c r="AU139" s="5" t="n">
        <v>104</v>
      </c>
      <c r="AV139" s="5">
        <f>(AT139+AU139)/2</f>
        <v/>
      </c>
      <c r="AW139" s="5" t="n">
        <v>107.8</v>
      </c>
      <c r="AX139" s="4">
        <f>IF(AW139&gt;AV139,1,0)</f>
        <v/>
      </c>
      <c r="AY139" s="4">
        <f>(100*(AU139-AS139)/AS139)</f>
        <v/>
      </c>
      <c r="AZ139" s="4">
        <f>IF(AY139&lt;-50,-4,IF(AY139&lt;-20,-2,IF(AY139&lt;0,-1.5,IF(AY139=0,0,IF(AY139&lt;10,1.5,IF(AY139&lt;20,2,IF(AY139&gt;19,2.5,2.5)))))))</f>
        <v/>
      </c>
      <c r="BA139" s="7" t="n"/>
    </row>
    <row r="140" ht="12.75" customHeight="1">
      <c r="A140" t="inlineStr">
        <is>
          <t>https://www.chittorgarh.com/ipo/adisoft-technologies-ipo/2788/</t>
        </is>
      </c>
      <c r="B140" t="inlineStr">
        <is>
          <t xml:space="preserve">Adisoft Technologies </t>
        </is>
      </c>
      <c r="C140" t="inlineStr">
        <is>
          <t>2026</t>
        </is>
      </c>
      <c r="D140" s="11" t="n">
        <v>1</v>
      </c>
      <c r="E140" t="n">
        <v>28.42</v>
      </c>
      <c r="F140" t="n">
        <v>49.25</v>
      </c>
      <c r="G140" s="5">
        <f>100*(F140-E140)/F140</f>
        <v/>
      </c>
      <c r="H140" t="n">
        <v>111.01</v>
      </c>
      <c r="I140" t="n">
        <v>16.11</v>
      </c>
      <c r="J140" t="n">
        <v>6.89</v>
      </c>
      <c r="K140" t="n">
        <v>13.41</v>
      </c>
      <c r="L140" t="n">
        <v>7.39</v>
      </c>
      <c r="M140" t="n">
        <v>21.66</v>
      </c>
      <c r="N140" t="n">
        <v>10.76</v>
      </c>
      <c r="O140" t="n">
        <v>133.02</v>
      </c>
      <c r="P140" s="5">
        <f>O140/I140</f>
        <v/>
      </c>
      <c r="Q140" t="n">
        <v>12.82</v>
      </c>
      <c r="R140" s="2" t="n">
        <v>43.8</v>
      </c>
      <c r="S140" s="6" t="n">
        <v>-0.5</v>
      </c>
      <c r="T140" t="n">
        <v>74.09999999999999</v>
      </c>
      <c r="U140" t="n">
        <v>0</v>
      </c>
      <c r="V140" t="n">
        <v>1</v>
      </c>
      <c r="W140" t="n">
        <v>1</v>
      </c>
      <c r="X140" t="n">
        <v>45</v>
      </c>
      <c r="Y140" t="n">
        <v>70</v>
      </c>
      <c r="Z140" t="n">
        <v>41</v>
      </c>
      <c r="AA140" s="5">
        <f>IF(X140&lt;50,IF(Y140&gt;(2.3*X140),0,1),1)-IF(Z140&gt;Y140,1.7,0)</f>
        <v/>
      </c>
      <c r="AB140" t="n">
        <v>12.21</v>
      </c>
      <c r="AC140" s="5">
        <f>IF(AB140&gt;4,1,0)+IF(AB140&gt;10,0.7,0)</f>
        <v/>
      </c>
      <c r="AD140" t="n">
        <v>36.99</v>
      </c>
      <c r="AE140" t="n">
        <v>27.73</v>
      </c>
      <c r="AF140" t="n">
        <v>48.61</v>
      </c>
      <c r="AG140" s="6">
        <f>IF(G140&lt;52,0,0.7)+IF(G140&lt;34,0,0.7)+IF(G140&lt;1,0,0.7)+IF(P140&gt;14.56,0,1)+IF(R140&lt;9,0.5,0)+IF(R140&lt;33.8,0.5,0)+IF(R140&lt;50,0.5,0)+IF(R140&lt;80,0.5,0)+IF(S140=5,0,S140)+IF(V140&gt;0,1,-1)+IF(AE140&lt;10.56,0,1)-IF(AE140&lt;3,1,0)-IF(AE140&lt;1,1,0)</f>
        <v/>
      </c>
      <c r="AH140" s="5">
        <f>AG140+IF(X140&lt;1.35,0,1)+IF(Y140&lt;1.35,0,1)+IF(Y140&lt;0.7,-1,0)+AC140+AA140</f>
        <v/>
      </c>
      <c r="AI140" s="5" t="n">
        <v>18.46</v>
      </c>
      <c r="AJ140" s="5">
        <f>IF(AI140&gt;12.7,IF(AI140&gt;15.8,0.93,0.98),1)</f>
        <v/>
      </c>
      <c r="AK140" s="5">
        <f>(1.5*AG140+AH140)*AJ140*AQ140</f>
        <v/>
      </c>
      <c r="AL140" s="4">
        <f>D140</f>
        <v/>
      </c>
      <c r="AM140" s="8">
        <f>B140</f>
        <v/>
      </c>
      <c r="AN140" t="n">
        <v>26</v>
      </c>
      <c r="AO140" s="61">
        <f>IF(Z140&lt;2.81,0,IF(AK140&gt;13.7,IF(Z140&lt;140,1,0),0))</f>
        <v/>
      </c>
      <c r="AP140" s="7">
        <f>IF(AK140&gt;13.93,IF(Z140&lt;300,IF(Z140&lt;35,IF(Z140&lt;6,3,2),1),0),0)</f>
        <v/>
      </c>
      <c r="AQ140" s="5" t="n">
        <v>0.95</v>
      </c>
      <c r="AR140" s="7">
        <f>IF(AO140=1,IF(AO140=AL140,1,0),5)</f>
        <v/>
      </c>
      <c r="AS140" s="5" t="n">
        <v>172</v>
      </c>
      <c r="AT140" s="5" t="n">
        <v>79</v>
      </c>
      <c r="AU140" s="5" t="n">
        <v>119</v>
      </c>
      <c r="AV140" s="5">
        <f>(AT140+AU140)/2</f>
        <v/>
      </c>
      <c r="AW140" s="5" t="n">
        <v>205</v>
      </c>
      <c r="AX140" s="4">
        <f>IF(AW140&gt;AV140,1,0)</f>
        <v/>
      </c>
      <c r="AY140" s="4">
        <f>(100*(AU140-AS140)/AS140)</f>
        <v/>
      </c>
      <c r="AZ140" s="4">
        <f>IF(AY140&lt;-50,-4,IF(AY140&lt;-20,-2,IF(AY140&lt;0,-1.5,IF(AY140=0,0,IF(AY140&lt;10,1.5,IF(AY140&lt;20,2,IF(AY140&gt;19,2.5,2.5)))))))</f>
        <v/>
      </c>
      <c r="BA140" s="7" t="n"/>
    </row>
    <row r="141" ht="12.75" customHeight="1">
      <c r="A141" t="inlineStr">
        <is>
          <t>https://www.chittorgarh.com/ipo/amba-auto-sales-services-ipo/2644/</t>
        </is>
      </c>
      <c r="B141" t="inlineStr">
        <is>
          <t>Amba Auto Sales &amp;amp;</t>
        </is>
      </c>
      <c r="C141" t="inlineStr">
        <is>
          <t>2026</t>
        </is>
      </c>
      <c r="D141" s="11" t="n">
        <v>0</v>
      </c>
      <c r="E141" t="n">
        <v>55.22</v>
      </c>
      <c r="F141" t="n">
        <v>15.14</v>
      </c>
      <c r="G141" s="5">
        <f>100*(F141-E141)/F141</f>
        <v/>
      </c>
      <c r="H141" t="n">
        <v>91.12</v>
      </c>
      <c r="I141" t="n">
        <v>7.78</v>
      </c>
      <c r="J141" t="n">
        <v>5.94</v>
      </c>
      <c r="K141" t="n">
        <v>5.76</v>
      </c>
      <c r="L141" t="n">
        <v>57.61</v>
      </c>
      <c r="M141" t="n">
        <v>17.48</v>
      </c>
      <c r="N141" t="n">
        <v>10.97</v>
      </c>
      <c r="O141" t="n">
        <v>242.46</v>
      </c>
      <c r="P141" s="5">
        <f>O141/I141</f>
        <v/>
      </c>
      <c r="Q141" t="n">
        <v>23.44</v>
      </c>
      <c r="R141" s="2" t="n">
        <v>15.32</v>
      </c>
      <c r="S141" s="6" t="n">
        <v>-0.5</v>
      </c>
      <c r="T141" t="n">
        <v>65.12</v>
      </c>
      <c r="U141" t="n">
        <v>0</v>
      </c>
      <c r="V141" t="n">
        <v>0</v>
      </c>
      <c r="W141" t="n">
        <v>1</v>
      </c>
      <c r="X141" t="n">
        <v>1.7522</v>
      </c>
      <c r="Y141" t="n">
        <v>70</v>
      </c>
      <c r="Z141" t="n">
        <v>0.702</v>
      </c>
      <c r="AA141" s="5">
        <f>IF(X141&lt;50,IF(Y141&gt;(2.3*X141),0,1),1)-IF(Z141&gt;Y141,1.7,0)</f>
        <v/>
      </c>
      <c r="AB141" t="n">
        <v>0</v>
      </c>
      <c r="AC141" s="5">
        <f>IF(AB141&gt;4,1,0)+IF(AB141&gt;10,0.7,0)</f>
        <v/>
      </c>
      <c r="AD141" t="n">
        <v>169.2</v>
      </c>
      <c r="AE141" t="n">
        <v>14.73</v>
      </c>
      <c r="AF141" t="n">
        <v>105.43</v>
      </c>
      <c r="AG141" s="6">
        <f>IF(G141&lt;52,0,0.7)+IF(G141&lt;34,0,0.7)+IF(G141&lt;1,0,0.7)+IF(P141&gt;14.56,0,1)+IF(R141&lt;9,0.5,0)+IF(R141&lt;33.8,0.5,0)+IF(R141&lt;50,0.5,0)+IF(R141&lt;80,0.5,0)+IF(S141=5,0,S141)+IF(V141&gt;0,1,-1)+IF(AE141&lt;10.56,0,1)-IF(AE141&lt;3,1,0)-IF(AE141&lt;1,1,0)</f>
        <v/>
      </c>
      <c r="AH141" s="5">
        <f>AG141+IF(X141&lt;1.35,0,1)+IF(Y141&lt;1.35,0,1)+IF(Y141&lt;0.7,-1,0)+AC141+AA141</f>
        <v/>
      </c>
      <c r="AI141" s="5" t="n">
        <v>17.9075</v>
      </c>
      <c r="AJ141" s="5">
        <f>IF(AI141&gt;12.7,IF(AI141&gt;15.8,0.93,0.98),1)</f>
        <v/>
      </c>
      <c r="AK141" s="5">
        <f>(1.5*AG141+AH141)*AJ141*AQ141</f>
        <v/>
      </c>
      <c r="AL141" s="4">
        <f>D141</f>
        <v/>
      </c>
      <c r="AM141" s="8">
        <f>B141</f>
        <v/>
      </c>
      <c r="AN141" t="n">
        <v>29</v>
      </c>
      <c r="AO141" s="61">
        <f>IF(Z141&lt;2.81,0,IF(AK141&gt;13.7,IF(Z141&lt;140,1,0),0))</f>
        <v/>
      </c>
      <c r="AP141" s="7">
        <f>IF(AK141&gt;13.93,IF(Z141&lt;300,IF(Z141&lt;35,IF(Z141&lt;6,3,2),1),0),0)</f>
        <v/>
      </c>
      <c r="AQ141" s="5" t="n">
        <v>1</v>
      </c>
      <c r="AR141" s="7">
        <f>IF(AO141=1,IF(AO141=AL141,1,0),5)</f>
        <v/>
      </c>
      <c r="AS141" s="5" t="n">
        <v>135</v>
      </c>
      <c r="AT141" s="5" t="n">
        <v>114</v>
      </c>
      <c r="AU141" s="5" t="n">
        <v>149</v>
      </c>
      <c r="AV141" s="5">
        <f>(AT141+AU141)/2</f>
        <v/>
      </c>
      <c r="AW141" s="5" t="n">
        <v>134.5</v>
      </c>
      <c r="AX141" s="4">
        <f>IF(AW141&gt;AV141,1,0)</f>
        <v/>
      </c>
      <c r="AY141" s="4">
        <f>(100*(AU141-AS141)/AS141)</f>
        <v/>
      </c>
      <c r="AZ141" s="4">
        <f>IF(AY141&lt;-50,-4,IF(AY141&lt;-20,-2,IF(AY141&lt;0,-1.5,IF(AY141=0,0,IF(AY141&lt;10,1.5,IF(AY141&lt;20,2,IF(AY141&gt;19,2.5,2.5)))))))</f>
        <v/>
      </c>
      <c r="BA141" s="7" t="n"/>
    </row>
    <row r="142" ht="12.75" customHeight="1">
      <c r="A142" t="inlineStr">
        <is>
          <t>https://www.chittorgarh.com/ipo/value-360-communications-ipo/2552/</t>
        </is>
      </c>
      <c r="B142" t="inlineStr">
        <is>
          <t>Value 360 Communicati</t>
        </is>
      </c>
      <c r="C142" t="inlineStr">
        <is>
          <t>2026</t>
        </is>
      </c>
      <c r="D142" s="11" t="n">
        <v>0</v>
      </c>
      <c r="E142" t="n">
        <v>10.68</v>
      </c>
      <c r="F142" t="n">
        <v>25.17</v>
      </c>
      <c r="G142" s="5">
        <f>100*(F142-E142)/F142</f>
        <v/>
      </c>
      <c r="H142" t="n">
        <v>52.96</v>
      </c>
      <c r="I142" t="n">
        <v>5.79</v>
      </c>
      <c r="J142" t="n">
        <v>13.83</v>
      </c>
      <c r="K142" t="n">
        <v>4.72</v>
      </c>
      <c r="L142" t="n">
        <v>21.25</v>
      </c>
      <c r="M142" t="n">
        <v>11.82</v>
      </c>
      <c r="N142" t="n">
        <v>26.41</v>
      </c>
      <c r="O142" t="n">
        <v>54.74</v>
      </c>
      <c r="P142" s="5">
        <f>O142/I142</f>
        <v/>
      </c>
      <c r="Q142" t="n">
        <v>20.74</v>
      </c>
      <c r="R142" s="2" t="n">
        <v>17.25</v>
      </c>
      <c r="S142" s="6" t="n">
        <v>1</v>
      </c>
      <c r="T142" t="n">
        <v>41.69</v>
      </c>
      <c r="U142" t="n">
        <v>4.159999999999997</v>
      </c>
      <c r="V142" t="n">
        <v>0</v>
      </c>
      <c r="W142" t="n">
        <v>1</v>
      </c>
      <c r="X142" t="n">
        <v>17</v>
      </c>
      <c r="Y142" t="n">
        <v>70</v>
      </c>
      <c r="Z142" t="n">
        <v>0.77</v>
      </c>
      <c r="AA142" s="5">
        <f>IF(X142&lt;50,IF(Y142&gt;(2.3*X142),0,1),1)-IF(Z142&gt;Y142,1.7,0)</f>
        <v/>
      </c>
      <c r="AB142" t="n">
        <v>0</v>
      </c>
      <c r="AC142" s="5">
        <f>IF(AB142&gt;4,1,0)+IF(AB142&gt;10,0.7,0)</f>
        <v/>
      </c>
      <c r="AD142" t="n">
        <v>40.53</v>
      </c>
      <c r="AE142" t="n">
        <v>7.76</v>
      </c>
      <c r="AF142" t="n">
        <v>121.57</v>
      </c>
      <c r="AG142" s="6">
        <f>IF(G142&lt;52,0,0.7)+IF(G142&lt;34,0,0.7)+IF(G142&lt;1,0,0.7)+IF(P142&gt;14.56,0,1)+IF(R142&lt;9,0.5,0)+IF(R142&lt;33.8,0.5,0)+IF(R142&lt;50,0.5,0)+IF(R142&lt;80,0.5,0)+IF(S142=5,0,S142)+IF(V142&gt;0,1,-1)+IF(AE142&lt;10.56,0,1)-IF(AE142&lt;3,1,0)-IF(AE142&lt;1,1,0)</f>
        <v/>
      </c>
      <c r="AH142" s="5">
        <f>AG142+IF(X142&lt;1.35,0,1)+IF(Y142&lt;1.35,0,1)+IF(Y142&lt;0.7,-1,0)+AC142+AA142</f>
        <v/>
      </c>
      <c r="AI142" s="5" t="n">
        <v>16.6775</v>
      </c>
      <c r="AJ142" s="5">
        <f>IF(AI142&gt;12.7,IF(AI142&gt;15.8,0.93,0.98),1)</f>
        <v/>
      </c>
      <c r="AK142" s="5">
        <f>(1.5*AG142+AH142)*AJ142*AQ142</f>
        <v/>
      </c>
      <c r="AL142" s="4">
        <f>D142</f>
        <v/>
      </c>
      <c r="AM142" s="8">
        <f>B142</f>
        <v/>
      </c>
      <c r="AN142" t="n">
        <v>4</v>
      </c>
      <c r="AO142" s="61">
        <f>IF(Z142&lt;2.81,0,IF(AK142&gt;13.7,IF(Z142&lt;140,1,0),0))</f>
        <v/>
      </c>
      <c r="AP142" s="7">
        <f>IF(AK142&gt;13.93,IF(Z142&lt;300,IF(Z142&lt;35,IF(Z142&lt;6,3,2),1),0),0)</f>
        <v/>
      </c>
      <c r="AQ142" s="5" t="n">
        <v>1</v>
      </c>
      <c r="AR142" s="7">
        <f>IF(AO142=1,IF(AO142=AL142,1,0),5)</f>
        <v/>
      </c>
      <c r="AS142" s="5" t="n">
        <v>98</v>
      </c>
      <c r="AT142" s="5" t="n">
        <v>98</v>
      </c>
      <c r="AU142" s="5" t="n">
        <v>98</v>
      </c>
      <c r="AV142" s="5">
        <f>(AT142+AU142)/2</f>
        <v/>
      </c>
      <c r="AW142" s="5" t="n">
        <v>78</v>
      </c>
      <c r="AX142" s="4">
        <f>IF(AW142&gt;AV142,1,0)</f>
        <v/>
      </c>
      <c r="AY142" s="4">
        <f>(100*(AU142-AS142)/AS142)</f>
        <v/>
      </c>
      <c r="AZ142" s="4">
        <f>IF(AY142&lt;-50,-4,IF(AY142&lt;-20,-2,IF(AY142&lt;0,-1.5,IF(AY142=0,0,IF(AY142&lt;10,1.5,IF(AY142&lt;20,2,IF(AY142&gt;19,2.5,2.5)))))))</f>
        <v/>
      </c>
      <c r="BA142" s="7" t="n"/>
      <c r="BB142" s="51" t="n">
        <v>71</v>
      </c>
    </row>
    <row r="143" ht="12.75" customHeight="1">
      <c r="A143" t="inlineStr">
        <is>
          <t>https://www.chittorgarh.com/ipo/recode-studios-ipo/2825/</t>
        </is>
      </c>
      <c r="B143" t="inlineStr">
        <is>
          <t>Recode Studios  Price</t>
        </is>
      </c>
      <c r="C143" t="inlineStr">
        <is>
          <t>2026</t>
        </is>
      </c>
      <c r="D143" s="11" t="n">
        <v>1</v>
      </c>
      <c r="E143" t="n">
        <v>7.56</v>
      </c>
      <c r="F143" t="n">
        <v>8.77</v>
      </c>
      <c r="G143" s="5">
        <f>100*(F143-E143)/F143</f>
        <v/>
      </c>
      <c r="H143" t="n">
        <v>23.18</v>
      </c>
      <c r="I143" t="n">
        <v>3.3</v>
      </c>
      <c r="J143" t="n">
        <v>15.79</v>
      </c>
      <c r="K143" t="n">
        <v>4.06</v>
      </c>
      <c r="L143" t="n">
        <v>68.11</v>
      </c>
      <c r="M143" t="n">
        <v>6.13</v>
      </c>
      <c r="N143" t="n">
        <v>23.24</v>
      </c>
      <c r="O143" t="n">
        <v>47.94</v>
      </c>
      <c r="P143" s="5">
        <f>O143/I143</f>
        <v/>
      </c>
      <c r="Q143" t="n">
        <v>38.94</v>
      </c>
      <c r="R143" s="2" t="n">
        <v>13.92</v>
      </c>
      <c r="S143" s="6" t="n">
        <v>1</v>
      </c>
      <c r="T143" t="n">
        <v>44.59</v>
      </c>
      <c r="U143" t="n">
        <v>5.040000000000006</v>
      </c>
      <c r="V143" t="n">
        <v>1</v>
      </c>
      <c r="W143" t="n">
        <v>1</v>
      </c>
      <c r="X143" t="n">
        <v>3.52</v>
      </c>
      <c r="Y143" t="n">
        <v>70</v>
      </c>
      <c r="Z143" t="n">
        <v>15.43</v>
      </c>
      <c r="AA143" s="5">
        <f>IF(X143&lt;50,IF(Y143&gt;(2.3*X143),0,1),1)-IF(Z143&gt;Y143,1.7,0)</f>
        <v/>
      </c>
      <c r="AB143" t="n">
        <v>27.85</v>
      </c>
      <c r="AC143" s="5">
        <f>IF(AB143&gt;4,1,0)+IF(AB143&gt;10,0.7,0)</f>
        <v/>
      </c>
      <c r="AD143" t="n">
        <v>1122.22</v>
      </c>
      <c r="AE143" t="n">
        <v>29.81</v>
      </c>
      <c r="AF143" t="n">
        <v>60.33</v>
      </c>
      <c r="AG143" s="6">
        <f>IF(G143&lt;52,0,0.7)+IF(G143&lt;34,0,0.7)+IF(G143&lt;1,0,0.7)+IF(P143&gt;14.56,0,1)+IF(R143&lt;9,0.5,0)+IF(R143&lt;33.8,0.5,0)+IF(R143&lt;50,0.5,0)+IF(R143&lt;80,0.5,0)+IF(S143=5,0,S143)+IF(V143&gt;0,1,-1)+IF(AE143&lt;10.56,0,1)-IF(AE143&lt;3,1,0)-IF(AE143&lt;1,1,0)</f>
        <v/>
      </c>
      <c r="AH143" s="5">
        <f>AG143+IF(X143&lt;1.35,0,1)+IF(Y143&lt;1.35,0,1)+IF(Y143&lt;0.7,-1,0)+AC143+AA143</f>
        <v/>
      </c>
      <c r="AI143" s="5" t="n">
        <v>16.6775</v>
      </c>
      <c r="AJ143" s="5">
        <f>IF(AI143&gt;12.7,IF(AI143&gt;15.8,0.93,0.98),1)</f>
        <v/>
      </c>
      <c r="AK143" s="5">
        <f>(1.5*AG143+AH143)*AJ143*AQ143</f>
        <v/>
      </c>
      <c r="AL143" s="4">
        <f>D143</f>
        <v/>
      </c>
      <c r="AM143" s="8">
        <f>B143</f>
        <v/>
      </c>
      <c r="AN143" t="n">
        <v>11</v>
      </c>
      <c r="AO143" s="61">
        <f>IF(Z143&lt;2.81,0,IF(AK143&gt;13.7,IF(Z143&lt;140,1,0),0))</f>
        <v/>
      </c>
      <c r="AP143" s="7">
        <f>IF(AK143&gt;13.93,IF(Z143&lt;300,IF(Z143&lt;35,IF(Z143&lt;6,3,2),1),0),0)</f>
        <v/>
      </c>
      <c r="AQ143" s="5" t="n">
        <v>0.95</v>
      </c>
      <c r="AR143" s="7">
        <f>IF(AO143=1,IF(AO143=AL143,1,0),5)</f>
        <v/>
      </c>
      <c r="AS143" s="5" t="n">
        <v>158</v>
      </c>
      <c r="AT143" s="5" t="n">
        <v>153</v>
      </c>
      <c r="AU143" s="5" t="n">
        <v>170</v>
      </c>
      <c r="AV143" s="5">
        <f>(AT143+AU143)/2</f>
        <v/>
      </c>
      <c r="AW143" s="5" t="n">
        <v>213</v>
      </c>
      <c r="AX143" s="4">
        <f>IF(AW143&gt;AV143,1,0)</f>
        <v/>
      </c>
      <c r="AY143" s="4">
        <f>(100*(AU143-AS143)/AS143)</f>
        <v/>
      </c>
      <c r="AZ143" s="4">
        <f>IF(AY143&lt;-50,-4,IF(AY143&lt;-20,-2,IF(AY143&lt;0,-1.5,IF(AY143=0,0,IF(AY143&lt;10,1.5,IF(AY143&lt;20,2,IF(AY143&gt;19,2.5,2.5)))))))</f>
        <v/>
      </c>
      <c r="BA143" s="7" t="n"/>
    </row>
    <row r="144" ht="12.75" customHeight="1">
      <c r="A144" t="inlineStr">
        <is>
          <t>https://www.chittorgarh.com/ipo/simca-advertising-ipo/2512/</t>
        </is>
      </c>
      <c r="B144" t="inlineStr">
        <is>
          <t>Simca Advertising  Pr</t>
        </is>
      </c>
      <c r="C144" t="inlineStr">
        <is>
          <t>2026</t>
        </is>
      </c>
      <c r="D144" s="11" t="n">
        <v>0</v>
      </c>
      <c r="E144" t="n">
        <v>0.28</v>
      </c>
      <c r="F144" t="n">
        <v>17.37</v>
      </c>
      <c r="G144" s="5">
        <f>100*(F144-E144)/F144</f>
        <v/>
      </c>
      <c r="H144" t="n">
        <v>36.67</v>
      </c>
      <c r="I144" t="n">
        <v>9.98</v>
      </c>
      <c r="J144" t="n">
        <v>13.73</v>
      </c>
      <c r="K144" t="n">
        <v>11.34</v>
      </c>
      <c r="L144" t="n">
        <v>38.08</v>
      </c>
      <c r="M144" t="n">
        <v>13.49</v>
      </c>
      <c r="N144" t="n">
        <v>18.48</v>
      </c>
      <c r="O144" t="n">
        <v>75.09</v>
      </c>
      <c r="P144" s="5">
        <f>O144/I144</f>
        <v/>
      </c>
      <c r="Q144" t="n">
        <v>16.14</v>
      </c>
      <c r="R144" s="2" t="n">
        <v>15.39</v>
      </c>
      <c r="S144" s="6" t="n">
        <v>-0.5</v>
      </c>
      <c r="T144" t="n">
        <v>58.04</v>
      </c>
      <c r="U144" t="n">
        <v>0</v>
      </c>
      <c r="V144" t="n">
        <v>0</v>
      </c>
      <c r="W144" t="n">
        <v>1</v>
      </c>
      <c r="X144" t="n">
        <v>70</v>
      </c>
      <c r="Y144" t="n">
        <v>70</v>
      </c>
      <c r="Z144" t="n">
        <v>70</v>
      </c>
      <c r="AA144" s="5">
        <f>IF(X144&lt;50,IF(Y144&gt;(2.3*X144),0,1),1)-IF(Z144&gt;Y144,1.7,0)</f>
        <v/>
      </c>
      <c r="AB144" t="n">
        <v>12.57</v>
      </c>
      <c r="AC144" s="5">
        <f>IF(AB144&gt;4,1,0)+IF(AB144&gt;10,0.7,0)</f>
        <v/>
      </c>
      <c r="AD144" t="n">
        <v>72.66</v>
      </c>
      <c r="AE144" t="n">
        <v>52.28</v>
      </c>
      <c r="AF144" t="n">
        <v>135.05</v>
      </c>
      <c r="AG144" s="6">
        <f>IF(G144&lt;52,0,0.7)+IF(G144&lt;34,0,0.7)+IF(G144&lt;1,0,0.7)+IF(P144&gt;14.56,0,1)+IF(R144&lt;9,0.5,0)+IF(R144&lt;33.8,0.5,0)+IF(R144&lt;50,0.5,0)+IF(R144&lt;80,0.5,0)+IF(S144=5,0,S144)+IF(V144&gt;0,1,-1)+IF(AE144&lt;10.56,0,1)-IF(AE144&lt;3,1,0)-IF(AE144&lt;1,1,0)</f>
        <v/>
      </c>
      <c r="AH144" s="5">
        <f>AG144+IF(X144&lt;1.35,0,1)+IF(Y144&lt;1.35,0,1)+IF(Y144&lt;0.7,-1,0)+AC144+AA144</f>
        <v/>
      </c>
      <c r="AI144" s="5" t="n">
        <v>16.6775</v>
      </c>
      <c r="AJ144" s="5">
        <f>IF(AI144&gt;12.7,IF(AI144&gt;15.8,0.93,0.98),1)</f>
        <v/>
      </c>
      <c r="AK144" s="5">
        <f>(1.5*AG144+AH144)*AJ144*AQ144</f>
        <v/>
      </c>
      <c r="AL144" s="4">
        <f>D144</f>
        <v/>
      </c>
      <c r="AM144" s="8">
        <f>B144</f>
        <v/>
      </c>
      <c r="AN144" t="n">
        <v>12</v>
      </c>
      <c r="AO144" s="61">
        <f>IF(Z144&lt;2.81,0,IF(AK144&gt;13.7,IF(Z144&lt;140,1,0),0))</f>
        <v/>
      </c>
      <c r="AP144" s="7">
        <f>IF(AK144&gt;13.93,IF(Z144&lt;300,IF(Z144&lt;35,IF(Z144&lt;6,3,2),1),0),0)</f>
        <v/>
      </c>
      <c r="AQ144" s="5" t="n">
        <v>0.95</v>
      </c>
      <c r="AR144" s="7">
        <f>IF(AO144=1,IF(AO144=AL144,1,0),5)</f>
        <v/>
      </c>
      <c r="AS144" s="5" t="n">
        <v>183</v>
      </c>
      <c r="AT144" s="5" t="n">
        <v>119</v>
      </c>
      <c r="AU144" s="5" t="n">
        <v>143</v>
      </c>
      <c r="AV144" s="5">
        <f>(AT144+AU144)/2</f>
        <v/>
      </c>
      <c r="AW144" s="5" t="n">
        <v>156</v>
      </c>
      <c r="AX144" s="4">
        <f>IF(AW144&gt;AV144,1,0)</f>
        <v/>
      </c>
      <c r="AY144" s="4">
        <f>(100*(AU144-AS144)/AS144)</f>
        <v/>
      </c>
      <c r="AZ144" s="4">
        <f>IF(AY144&lt;-50,-4,IF(AY144&lt;-20,-2,IF(AY144&lt;0,-1.5,IF(AY144=0,0,IF(AY144&lt;10,1.5,IF(AY144&lt;20,2,IF(AY144&gt;19,2.5,2.5)))))))</f>
        <v/>
      </c>
      <c r="BA144" s="7" t="n"/>
    </row>
    <row r="145" ht="12.75" customHeight="1">
      <c r="A145" t="inlineStr">
        <is>
          <t>https://www.chittorgarh.com/ipo/goldline-pharmaceutical-ipo/2773/</t>
        </is>
      </c>
      <c r="B145" t="inlineStr">
        <is>
          <t>Goldline Pharmaceutic</t>
        </is>
      </c>
      <c r="C145" t="inlineStr">
        <is>
          <t>2026</t>
        </is>
      </c>
      <c r="D145" s="11" t="n">
        <v>1</v>
      </c>
      <c r="E145" t="n">
        <v>11.03</v>
      </c>
      <c r="F145" t="n">
        <v>10.35</v>
      </c>
      <c r="G145" s="5">
        <f>100*(F145-E145)/F145</f>
        <v/>
      </c>
      <c r="H145" t="n">
        <v>26.28</v>
      </c>
      <c r="I145" t="n">
        <v>2.83</v>
      </c>
      <c r="J145" t="n">
        <v>10.38</v>
      </c>
      <c r="K145" t="n">
        <v>4.11</v>
      </c>
      <c r="L145" t="n">
        <v>21.02</v>
      </c>
      <c r="M145" t="n">
        <v>5.83</v>
      </c>
      <c r="N145" t="n">
        <v>19.41</v>
      </c>
      <c r="O145" t="n">
        <v>28.06</v>
      </c>
      <c r="P145" s="5">
        <f>O145/I145</f>
        <v/>
      </c>
      <c r="Q145" t="n">
        <v>10.47</v>
      </c>
      <c r="R145" s="2" t="n">
        <v>13.93</v>
      </c>
      <c r="S145" s="6" t="n">
        <v>-1</v>
      </c>
      <c r="T145" t="n">
        <v>11.61</v>
      </c>
      <c r="U145" t="n">
        <v>0</v>
      </c>
      <c r="V145" t="n">
        <v>1</v>
      </c>
      <c r="W145" t="n">
        <v>1</v>
      </c>
      <c r="X145" t="n">
        <v>180.22</v>
      </c>
      <c r="Y145" t="n">
        <v>1662.04</v>
      </c>
      <c r="Z145" t="n">
        <v>881.15</v>
      </c>
      <c r="AA145" s="5">
        <f>IF(X145&lt;50,IF(Y145&gt;(2.3*X145),0,1),1)-IF(Z145&gt;Y145,1.7,0)</f>
        <v/>
      </c>
      <c r="AB145" t="n">
        <v>34.88</v>
      </c>
      <c r="AC145" s="5">
        <f>IF(AB145&gt;4,1,0)+IF(AB145&gt;10,0.7,0)</f>
        <v/>
      </c>
      <c r="AD145" t="n">
        <v>56.35</v>
      </c>
      <c r="AE145" t="n">
        <v>19.05</v>
      </c>
      <c r="AF145" t="n">
        <v>31.68</v>
      </c>
      <c r="AG145" s="6">
        <f>IF(G145&lt;52,0,0.7)+IF(G145&lt;34,0,0.7)+IF(G145&lt;1,0,0.7)+IF(P145&gt;14.56,0,1)+IF(R145&lt;9,0.5,0)+IF(R145&lt;33.8,0.5,0)+IF(R145&lt;50,0.5,0)+IF(R145&lt;80,0.5,0)+IF(S145=5,0,S145)+IF(V145&gt;0,1,-1)+IF(AE145&lt;10.56,0,1)-IF(AE145&lt;3,1,0)-IF(AE145&lt;1,1,0)</f>
        <v/>
      </c>
      <c r="AH145" s="5">
        <f>AG145+IF(X145&lt;1.35,0,1)+IF(Y145&lt;1.35,0,1)+IF(Y145&lt;0.7,-1,0)+AC145+AA145</f>
        <v/>
      </c>
      <c r="AI145" s="5" t="n">
        <v>17.7975</v>
      </c>
      <c r="AJ145" s="5">
        <f>IF(AI145&gt;12.7,IF(AI145&gt;15.8,0.93,0.98),1)</f>
        <v/>
      </c>
      <c r="AK145" s="5">
        <f>(1.5*AG145+AH145)*AJ145*AQ145</f>
        <v/>
      </c>
      <c r="AL145" s="4">
        <f>D145</f>
        <v/>
      </c>
      <c r="AM145" s="8">
        <f>B145</f>
        <v/>
      </c>
      <c r="AN145" t="n">
        <v>14</v>
      </c>
      <c r="AO145" s="61">
        <f>IF(Z145&lt;2.81,0,IF(AK145&gt;13.7,IF(Z145&lt;140,1,0),0))</f>
        <v/>
      </c>
      <c r="AP145" s="7">
        <f>IF(AK145&gt;13.93,IF(Z145&lt;300,IF(Z145&lt;35,IF(Z145&lt;6,3,2),1),0),0)</f>
        <v/>
      </c>
      <c r="AQ145" s="5" t="n">
        <v>1</v>
      </c>
      <c r="AR145" s="7">
        <f>IF(AO145=1,IF(AO145=AL145,1,0),5)</f>
        <v/>
      </c>
      <c r="AS145" s="5" t="n">
        <v>43</v>
      </c>
      <c r="AT145" s="5" t="n">
        <v>46</v>
      </c>
      <c r="AU145" s="5" t="n">
        <v>53</v>
      </c>
      <c r="AV145" s="5">
        <f>(AT145+AU145)/2</f>
        <v/>
      </c>
      <c r="AW145" s="5" t="n">
        <v>59.75</v>
      </c>
      <c r="AX145" s="4">
        <f>IF(AW145&gt;AV145,1,0)</f>
        <v/>
      </c>
      <c r="AY145" s="4">
        <f>(100*(AU145-AS145)/AS145)</f>
        <v/>
      </c>
      <c r="AZ145" s="4">
        <f>IF(AY145&lt;-50,-4,IF(AY145&lt;-20,-2,IF(AY145&lt;0,-1.5,IF(AY145=0,0,IF(AY145&lt;10,1.5,IF(AY145&lt;20,2,IF(AY145&gt;19,2.5,2.5)))))))</f>
        <v/>
      </c>
      <c r="BA145" s="7" t="n"/>
    </row>
    <row r="146" ht="12.75" customHeight="1">
      <c r="A146" t="inlineStr">
        <is>
          <t>https://www.chittorgarh.com/ipo/rfbl-flexi-pack-ipo/2962/</t>
        </is>
      </c>
      <c r="B146" t="inlineStr">
        <is>
          <t>RFBL Flexi Pack  Pric</t>
        </is>
      </c>
      <c r="C146" t="inlineStr">
        <is>
          <t>2026</t>
        </is>
      </c>
      <c r="D146" s="11" t="n">
        <v>1</v>
      </c>
      <c r="E146" t="n">
        <v>18.88</v>
      </c>
      <c r="F146" t="n">
        <v>18</v>
      </c>
      <c r="G146" s="5">
        <f>100*(F146-E146)/F146</f>
        <v/>
      </c>
      <c r="H146" t="n">
        <v>46.94</v>
      </c>
      <c r="I146" t="n">
        <v>8.33</v>
      </c>
      <c r="J146" t="n">
        <v>5.51</v>
      </c>
      <c r="K146" t="n">
        <v>5.13</v>
      </c>
      <c r="L146" t="n">
        <v>19.26</v>
      </c>
      <c r="M146" t="n">
        <v>12.57</v>
      </c>
      <c r="N146" t="n">
        <v>8.550000000000001</v>
      </c>
      <c r="O146" t="n">
        <v>135.46</v>
      </c>
      <c r="P146" s="5">
        <f>O146/I146</f>
        <v/>
      </c>
      <c r="Q146" t="n">
        <v>9.75</v>
      </c>
      <c r="R146" s="2" t="n">
        <v>15.19</v>
      </c>
      <c r="S146" s="6" t="n">
        <v>-1</v>
      </c>
      <c r="T146" t="n">
        <v>35.33</v>
      </c>
      <c r="U146" t="n">
        <v>0</v>
      </c>
      <c r="V146" t="n">
        <v>0</v>
      </c>
      <c r="W146" t="n">
        <v>1</v>
      </c>
      <c r="X146" t="n">
        <v>124.39</v>
      </c>
      <c r="Y146" t="n">
        <v>24.12</v>
      </c>
      <c r="Z146" t="n">
        <v>11.36</v>
      </c>
      <c r="AA146" s="5">
        <f>IF(X146&lt;50,IF(Y146&gt;(2.3*X146),0,1),1)-IF(Z146&gt;Y146,1.7,0)</f>
        <v/>
      </c>
      <c r="AB146" t="n">
        <v>4</v>
      </c>
      <c r="AC146" s="5">
        <f>IF(AB146&gt;4,1,0)+IF(AB146&gt;10,0.7,0)</f>
        <v/>
      </c>
      <c r="AD146" t="n">
        <v>43.87</v>
      </c>
      <c r="AE146" t="n">
        <v>69.41</v>
      </c>
      <c r="AF146" t="n">
        <v>85.95</v>
      </c>
      <c r="AG146" s="6">
        <f>IF(G146&lt;52,0,0.7)+IF(G146&lt;34,0,0.7)+IF(G146&lt;1,0,0.7)+IF(P146&gt;14.56,0,1)+IF(R146&lt;9,0.5,0)+IF(R146&lt;33.8,0.5,0)+IF(R146&lt;50,0.5,0)+IF(R146&lt;80,0.5,0)+IF(S146=5,0,S146)+IF(V146&gt;0,1,-1)+IF(AE146&lt;10.56,0,1)-IF(AE146&lt;3,1,0)-IF(AE146&lt;1,1,0)</f>
        <v/>
      </c>
      <c r="AH146" s="5">
        <f>AG146+IF(X146&lt;1.35,0,1)+IF(Y146&lt;1.35,0,1)+IF(Y146&lt;0.7,-1,0)+AC146+AA146</f>
        <v/>
      </c>
      <c r="AI146" s="5" t="n">
        <v>17.815</v>
      </c>
      <c r="AJ146" s="5">
        <f>IF(AI146&gt;12.7,IF(AI146&gt;15.8,0.93,0.98),1)</f>
        <v/>
      </c>
      <c r="AK146" s="5">
        <f>(1.5*AG146+AH146)*AJ146*AQ146</f>
        <v/>
      </c>
      <c r="AL146" s="4">
        <f>D146</f>
        <v/>
      </c>
      <c r="AM146" s="8">
        <f>B146</f>
        <v/>
      </c>
      <c r="AN146" t="n">
        <v>14</v>
      </c>
      <c r="AO146" s="61">
        <f>IF(Z146&lt;2.81,0,IF(AK146&gt;13.7,IF(Z146&lt;140,1,0),0))</f>
        <v/>
      </c>
      <c r="AP146" s="7">
        <f>IF(AK146&gt;13.93,IF(Z146&lt;300,IF(Z146&lt;35,IF(Z146&lt;6,3,2),1),0),0)</f>
        <v/>
      </c>
      <c r="AQ146" s="5" t="n">
        <v>1</v>
      </c>
      <c r="AR146" s="7">
        <f>IF(AO146=1,IF(AO146=AL146,1,0),5)</f>
        <v/>
      </c>
      <c r="AS146" s="5" t="n">
        <v>50</v>
      </c>
      <c r="AT146" s="5" t="n">
        <v>23</v>
      </c>
      <c r="AU146" s="5" t="n">
        <v>30</v>
      </c>
      <c r="AV146" s="5">
        <f>(AT146+AU146)/2</f>
        <v/>
      </c>
      <c r="AW146" s="5" t="n">
        <v>52.5</v>
      </c>
      <c r="AX146" s="4">
        <f>IF(AW146&gt;AV146,1,0)</f>
        <v/>
      </c>
      <c r="AY146" s="4">
        <f>(100*(AU146-AS146)/AS146)</f>
        <v/>
      </c>
      <c r="AZ146" s="4">
        <f>IF(AY146&lt;-50,-4,IF(AY146&lt;-20,-2,IF(AY146&lt;0,-1.5,IF(AY146=0,0,IF(AY146&lt;10,1.5,IF(AY146&lt;20,2,IF(AY146&gt;19,2.5,2.5)))))))</f>
        <v/>
      </c>
      <c r="BA146" s="7" t="n"/>
    </row>
    <row r="147" ht="12.75" customHeight="1">
      <c r="A147" t="inlineStr">
        <is>
          <t>https://www.chittorgarh.com/ipo/nfp-sampoorna-foods-ipo/2397/</t>
        </is>
      </c>
      <c r="B147" t="inlineStr">
        <is>
          <t xml:space="preserve">NFP Sampoorna Foods  </t>
        </is>
      </c>
      <c r="C147" t="inlineStr">
        <is>
          <t>2026</t>
        </is>
      </c>
      <c r="D147" s="11" t="n">
        <v>0</v>
      </c>
      <c r="E147" t="n">
        <v>11.36</v>
      </c>
      <c r="F147" t="n">
        <v>9.02</v>
      </c>
      <c r="G147" s="5">
        <f>100*(F147-E147)/F147</f>
        <v/>
      </c>
      <c r="H147" t="n">
        <v>27.03</v>
      </c>
      <c r="I147" t="n">
        <v>2.67</v>
      </c>
      <c r="J147" t="n">
        <v>9.460000000000001</v>
      </c>
      <c r="K147" t="n">
        <v>3.27</v>
      </c>
      <c r="L147" t="n">
        <v>28.21</v>
      </c>
      <c r="M147" t="n">
        <v>4.69</v>
      </c>
      <c r="N147" t="n">
        <v>18.01</v>
      </c>
      <c r="O147" t="n">
        <v>35.76</v>
      </c>
      <c r="P147" s="5">
        <f>O147/I147</f>
        <v/>
      </c>
      <c r="Q147" t="n">
        <v>16.81</v>
      </c>
      <c r="R147" s="2" t="n">
        <v>13.28</v>
      </c>
      <c r="S147" s="6" t="n">
        <v>-1</v>
      </c>
      <c r="T147" t="n">
        <v>24.53</v>
      </c>
      <c r="U147" t="n">
        <v>0</v>
      </c>
      <c r="V147" t="n">
        <v>0</v>
      </c>
      <c r="W147" t="n">
        <v>1</v>
      </c>
      <c r="X147" t="n">
        <v>1</v>
      </c>
      <c r="Y147" t="n">
        <v>0.8</v>
      </c>
      <c r="Z147" t="n">
        <v>2.8</v>
      </c>
      <c r="AA147" s="5">
        <f>IF(X147&lt;50,IF(Y147&gt;(2.3*X147),0,1),1)-IF(Z147&gt;Y147,1.7,0)</f>
        <v/>
      </c>
      <c r="AB147" t="n">
        <v>0</v>
      </c>
      <c r="AC147" s="5">
        <f>IF(AB147&gt;4,1,0)+IF(AB147&gt;10,0.7,0)</f>
        <v/>
      </c>
      <c r="AD147" t="n">
        <v>1680</v>
      </c>
      <c r="AE147" t="n">
        <v>496</v>
      </c>
      <c r="AF147" t="n">
        <v>42.27</v>
      </c>
      <c r="AG147" s="6">
        <f>IF(G147&lt;52,0,0.7)+IF(G147&lt;34,0,0.7)+IF(G147&lt;1,0,0.7)+IF(P147&gt;14.56,0,1)+IF(R147&lt;9,0.5,0)+IF(R147&lt;33.8,0.5,0)+IF(R147&lt;50,0.5,0)+IF(R147&lt;80,0.5,0)+IF(S147=5,0,S147)+IF(V147&gt;0,1,-1)+IF(AE147&lt;10.56,0,1)-IF(AE147&lt;3,1,0)-IF(AE147&lt;1,1,0)</f>
        <v/>
      </c>
      <c r="AH147" s="5">
        <f>AG147+IF(X147&lt;1.35,0,1)+IF(Y147&lt;1.35,0,1)+IF(Y147&lt;0.7,-1,0)+AC147+AA147</f>
        <v/>
      </c>
      <c r="AI147" s="5" t="n">
        <v>17.7925</v>
      </c>
      <c r="AJ147" s="5">
        <f>IF(AI147&gt;12.7,IF(AI147&gt;15.8,0.93,0.98),1)</f>
        <v/>
      </c>
      <c r="AK147" s="5">
        <f>(1.5*AG147+AH147)*AJ147*AQ147</f>
        <v/>
      </c>
      <c r="AL147" s="4">
        <f>D147</f>
        <v/>
      </c>
      <c r="AM147" s="8">
        <f>B147</f>
        <v/>
      </c>
      <c r="AN147" t="n">
        <v>20</v>
      </c>
      <c r="AO147" s="61">
        <f>IF(Z147&lt;2.81,0,IF(AK147&gt;13.7,IF(Z147&lt;140,1,0),0))</f>
        <v/>
      </c>
      <c r="AP147" s="7">
        <f>IF(AK147&gt;13.93,IF(Z147&lt;300,IF(Z147&lt;35,IF(Z147&lt;6,3,2),1),0),0)</f>
        <v/>
      </c>
      <c r="AQ147" s="5" t="n">
        <v>1</v>
      </c>
      <c r="AR147" s="7">
        <f>IF(AO147=1,IF(AO147=AL147,1,0),5)</f>
        <v/>
      </c>
      <c r="AS147" s="5" t="n">
        <v>55</v>
      </c>
      <c r="AT147" s="5" t="n">
        <v>55</v>
      </c>
      <c r="AU147" s="5" t="n">
        <v>55</v>
      </c>
      <c r="AV147" s="5">
        <f>(AT147+AU147)/2</f>
        <v/>
      </c>
      <c r="AW147" s="5" t="n">
        <v>54.5</v>
      </c>
      <c r="AX147" s="4">
        <f>IF(AW147&gt;AV147,1,0)</f>
        <v/>
      </c>
      <c r="AY147" s="4">
        <f>(100*(AU147-AS147)/AS147)</f>
        <v/>
      </c>
      <c r="AZ147" s="4">
        <f>IF(AY147&lt;-50,-4,IF(AY147&lt;-20,-2,IF(AY147&lt;0,-1.5,IF(AY147=0,0,IF(AY147&lt;10,1.5,IF(AY147&lt;20,2,IF(AY147&gt;19,2.5,2.5)))))))</f>
        <v/>
      </c>
      <c r="BA147" s="7" t="n"/>
    </row>
    <row r="148" ht="12.75" customHeight="1">
      <c r="A148" t="inlineStr">
        <is>
          <t>https://www.chittorgarh.com/ipo/teamtech-formwork-solutions-ipo/2964/</t>
        </is>
      </c>
      <c r="B148" t="inlineStr">
        <is>
          <t>Teamtech Formwork Sol</t>
        </is>
      </c>
      <c r="C148" t="inlineStr">
        <is>
          <t>2026</t>
        </is>
      </c>
      <c r="D148" s="11" t="n">
        <v>1</v>
      </c>
      <c r="E148" t="n">
        <v>11.1</v>
      </c>
      <c r="F148" t="n">
        <v>21.63</v>
      </c>
      <c r="G148" s="5">
        <f>100*(F148-E148)/F148</f>
        <v/>
      </c>
      <c r="H148" t="n">
        <v>40</v>
      </c>
      <c r="I148" t="n">
        <v>7.84</v>
      </c>
      <c r="J148" t="n">
        <v>21.6</v>
      </c>
      <c r="K148" t="n">
        <v>5.26</v>
      </c>
      <c r="L148" t="n">
        <v>42.26</v>
      </c>
      <c r="M148" t="n">
        <v>9.24</v>
      </c>
      <c r="N148" t="n">
        <v>32.61</v>
      </c>
      <c r="O148" t="n">
        <v>32.98</v>
      </c>
      <c r="P148" s="5">
        <f>O148/I148</f>
        <v/>
      </c>
      <c r="Q148" t="n">
        <v>11.97</v>
      </c>
      <c r="R148" s="2" t="n">
        <v>16.29</v>
      </c>
      <c r="S148" s="6" t="n">
        <v>-0.5</v>
      </c>
      <c r="T148" t="n">
        <v>50.15</v>
      </c>
      <c r="U148" t="n">
        <v>0</v>
      </c>
      <c r="V148" t="n">
        <v>1</v>
      </c>
      <c r="W148" t="n">
        <v>1</v>
      </c>
      <c r="X148" t="n">
        <v>0.66</v>
      </c>
      <c r="Y148" t="n">
        <v>0.59</v>
      </c>
      <c r="Z148" t="n">
        <v>0.72</v>
      </c>
      <c r="AA148" s="5">
        <f>IF(X148&lt;50,IF(Y148&gt;(2.3*X148),0,1),1)-IF(Z148&gt;Y148,1.7,0)</f>
        <v/>
      </c>
      <c r="AB148" t="n">
        <v>0</v>
      </c>
      <c r="AC148" s="5">
        <f>IF(AB148&gt;4,1,0)+IF(AB148&gt;10,0.7,0)</f>
        <v/>
      </c>
      <c r="AD148" t="n">
        <v>1.95</v>
      </c>
      <c r="AE148" t="n">
        <v>8.81</v>
      </c>
      <c r="AF148" t="n">
        <v>56.85</v>
      </c>
      <c r="AG148" s="6">
        <f>IF(G148&lt;52,0,0.7)+IF(G148&lt;34,0,0.7)+IF(G148&lt;1,0,0.7)+IF(P148&gt;14.56,0,1)+IF(R148&lt;9,0.5,0)+IF(R148&lt;33.8,0.5,0)+IF(R148&lt;50,0.5,0)+IF(R148&lt;80,0.5,0)+IF(S148=5,0,S148)+IF(V148&gt;0,1,-1)+IF(AE148&lt;10.56,0,1)-IF(AE148&lt;3,1,0)-IF(AE148&lt;1,1,0)</f>
        <v/>
      </c>
      <c r="AH148" s="5">
        <f>AG148+IF(X148&lt;1.35,0,1)+IF(Y148&lt;1.35,0,1)+IF(Y148&lt;0.7,-1,0)+AC148+AA148</f>
        <v/>
      </c>
      <c r="AI148" s="5" t="n">
        <v>17.7825</v>
      </c>
      <c r="AJ148" s="5">
        <f>IF(AI148&gt;12.7,IF(AI148&gt;15.8,0.93,0.98),1)</f>
        <v/>
      </c>
      <c r="AK148" s="5">
        <f>(1.5*AG148+AH148)*AJ148*AQ148</f>
        <v/>
      </c>
      <c r="AL148" s="4">
        <f>D148</f>
        <v/>
      </c>
      <c r="AM148" s="8">
        <f>B148</f>
        <v/>
      </c>
      <c r="AN148" t="n">
        <v>19</v>
      </c>
      <c r="AO148" s="61">
        <f>IF(Z148&lt;2.81,0,IF(AK148&gt;13.7,IF(Z148&lt;140,1,0),0))</f>
        <v/>
      </c>
      <c r="AP148" s="7">
        <f>IF(AK148&gt;13.93,IF(Z148&lt;300,IF(Z148&lt;35,IF(Z148&lt;6,3,2),1),0),0)</f>
        <v/>
      </c>
      <c r="AQ148" s="5" t="n">
        <v>0.95</v>
      </c>
      <c r="AR148" s="7">
        <f>IF(AO148=1,IF(AO148=AL148,1,0),5)</f>
        <v/>
      </c>
      <c r="AS148" s="5" t="n">
        <v>63</v>
      </c>
      <c r="AT148" s="5" t="n">
        <v>63</v>
      </c>
      <c r="AU148" s="5" t="n">
        <v>63</v>
      </c>
      <c r="AV148" s="5">
        <f>(AT148+AU148)/2</f>
        <v/>
      </c>
      <c r="AW148" s="5" t="n">
        <v>75</v>
      </c>
      <c r="AX148" s="4">
        <f>IF(AW148&gt;AV148,1,0)</f>
        <v/>
      </c>
      <c r="AY148" s="4">
        <f>(100*(AU148-AS148)/AS148)</f>
        <v/>
      </c>
      <c r="AZ148" s="4">
        <f>IF(AY148&lt;-50,-4,IF(AY148&lt;-20,-2,IF(AY148&lt;0,-1.5,IF(AY148=0,0,IF(AY148&lt;10,1.5,IF(AY148&lt;20,2,IF(AY148&gt;19,2.5,2.5)))))))</f>
        <v/>
      </c>
      <c r="BA148" s="7" t="n"/>
    </row>
    <row r="149" ht="12.75" customHeight="1">
      <c r="A149" t="inlineStr">
        <is>
          <t>https://www.chittorgarh.com/ipo/vegorama-punjabi-angithi-ipo/2477/</t>
        </is>
      </c>
      <c r="B149" t="inlineStr">
        <is>
          <t>Vegorama Punjabi Angi</t>
        </is>
      </c>
      <c r="C149" t="inlineStr">
        <is>
          <t>2026</t>
        </is>
      </c>
      <c r="D149" s="11" t="n">
        <v>1</v>
      </c>
      <c r="E149" t="n">
        <v>5.05</v>
      </c>
      <c r="F149" t="n">
        <v>14.34</v>
      </c>
      <c r="G149" s="5">
        <f>100*(F149-E149)/F149</f>
        <v/>
      </c>
      <c r="H149" t="n">
        <v>24.77</v>
      </c>
      <c r="I149" t="n">
        <v>8.220000000000001</v>
      </c>
      <c r="J149" t="n">
        <v>8.6</v>
      </c>
      <c r="K149" t="n">
        <v>6.51</v>
      </c>
      <c r="L149" t="n">
        <v>47.93</v>
      </c>
      <c r="M149" t="n">
        <v>10.86</v>
      </c>
      <c r="N149" t="n">
        <v>11.81</v>
      </c>
      <c r="O149" t="n">
        <v>102.06</v>
      </c>
      <c r="P149" s="5">
        <f>O149/I149</f>
        <v/>
      </c>
      <c r="Q149" t="n">
        <v>11.82</v>
      </c>
      <c r="R149" s="2" t="n">
        <v>10.61</v>
      </c>
      <c r="S149" s="6" t="n">
        <v>-0.5</v>
      </c>
      <c r="T149" t="n">
        <v>38.38</v>
      </c>
      <c r="U149" t="n">
        <v>7.680000000000003</v>
      </c>
      <c r="V149" t="n">
        <v>1</v>
      </c>
      <c r="W149" t="n">
        <v>1</v>
      </c>
      <c r="X149" t="n">
        <v>27</v>
      </c>
      <c r="Y149" t="n">
        <v>63</v>
      </c>
      <c r="Z149" t="n">
        <v>27</v>
      </c>
      <c r="AA149" s="5">
        <f>IF(X149&lt;50,IF(Y149&gt;(2.3*X149),0,1),1)-IF(Z149&gt;Y149,1.7,0)</f>
        <v/>
      </c>
      <c r="AB149" t="n">
        <v>6.49</v>
      </c>
      <c r="AC149" s="5">
        <f>IF(AB149&gt;4,1,0)+IF(AB149&gt;10,0.7,0)</f>
        <v/>
      </c>
      <c r="AD149" t="n">
        <v>77.16</v>
      </c>
      <c r="AE149" t="n">
        <v>53.77</v>
      </c>
      <c r="AF149" t="n">
        <v>134.31</v>
      </c>
      <c r="AG149" s="6">
        <f>IF(G149&lt;52,0,0.7)+IF(G149&lt;34,0,0.7)+IF(G149&lt;1,0,0.7)+IF(P149&gt;14.56,0,1)+IF(R149&lt;9,0.5,0)+IF(R149&lt;33.8,0.5,0)+IF(R149&lt;50,0.5,0)+IF(R149&lt;80,0.5,0)+IF(S149=5,0,S149)+IF(V149&gt;0,1,-1)+IF(AE149&lt;10.56,0,1)-IF(AE149&lt;3,1,0)-IF(AE149&lt;1,1,0)</f>
        <v/>
      </c>
      <c r="AH149" s="5">
        <f>AG149+IF(X149&lt;1.35,0,1)+IF(Y149&lt;1.35,0,1)+IF(Y149&lt;0.7,-1,0)+AC149+AA149</f>
        <v/>
      </c>
      <c r="AI149" s="5" t="n">
        <v>17.7825</v>
      </c>
      <c r="AJ149" s="5">
        <f>IF(AI149&gt;12.7,IF(AI149&gt;15.8,0.93,0.98),1)</f>
        <v/>
      </c>
      <c r="AK149" s="5">
        <f>(1.5*AG149+AH149)*AJ149*AQ149</f>
        <v/>
      </c>
      <c r="AL149" s="4">
        <f>D149</f>
        <v/>
      </c>
      <c r="AM149" s="8">
        <f>B149</f>
        <v/>
      </c>
      <c r="AN149" t="n">
        <v>22</v>
      </c>
      <c r="AO149" s="61">
        <f>IF(Z149&lt;2.81,0,IF(AK149&gt;13.7,IF(Z149&lt;140,1,0),0))</f>
        <v/>
      </c>
      <c r="AP149" s="7">
        <f>IF(AK149&gt;13.93,IF(Z149&lt;300,IF(Z149&lt;35,IF(Z149&lt;6,3,2),1),0),0)</f>
        <v/>
      </c>
      <c r="AQ149" s="5" t="n">
        <v>1</v>
      </c>
      <c r="AR149" s="7">
        <f>IF(AO149=1,IF(AO149=AL149,1,0),5)</f>
        <v/>
      </c>
      <c r="AS149" s="5" t="n">
        <v>77</v>
      </c>
      <c r="AT149" s="5" t="n">
        <v>87</v>
      </c>
      <c r="AU149" s="5" t="n">
        <v>108</v>
      </c>
      <c r="AV149" s="5">
        <f>(AT149+AU149)/2</f>
        <v/>
      </c>
      <c r="AW149" s="5" t="n">
        <v>118</v>
      </c>
      <c r="AX149" s="4">
        <f>IF(AW149&gt;AV149,1,0)</f>
        <v/>
      </c>
      <c r="AY149" s="4">
        <f>(100*(AU149-AS149)/AS149)</f>
        <v/>
      </c>
      <c r="AZ149" s="4">
        <f>IF(AY149&lt;-50,-4,IF(AY149&lt;-20,-2,IF(AY149&lt;0,-1.5,IF(AY149=0,0,IF(AY149&lt;10,1.5,IF(AY149&lt;20,2,IF(AY149&gt;19,2.5,2.5)))))))</f>
        <v/>
      </c>
      <c r="BA149" s="7" t="n"/>
    </row>
    <row r="150" ht="12.75" customHeight="1">
      <c r="A150" t="inlineStr">
        <is>
          <t>https://www.chittorgarh.com/ipo/harikanta-overseas-ipo/2697/</t>
        </is>
      </c>
      <c r="B150" t="inlineStr">
        <is>
          <t>Harikanta Overseas  P</t>
        </is>
      </c>
      <c r="C150" t="inlineStr">
        <is>
          <t>2026</t>
        </is>
      </c>
      <c r="D150" s="11" t="n">
        <v>0</v>
      </c>
      <c r="E150" t="n">
        <v>3.26</v>
      </c>
      <c r="F150" t="n">
        <v>13.79</v>
      </c>
      <c r="G150" s="5">
        <f>100*(F150-E150)/F150</f>
        <v/>
      </c>
      <c r="H150" t="n">
        <v>23.12</v>
      </c>
      <c r="I150" t="n">
        <v>4.47</v>
      </c>
      <c r="J150" t="n">
        <v>19.5</v>
      </c>
      <c r="K150" t="n">
        <v>6.21</v>
      </c>
      <c r="L150" t="n">
        <v>31.15</v>
      </c>
      <c r="M150" t="n">
        <v>6.72</v>
      </c>
      <c r="N150" t="n">
        <v>27.97</v>
      </c>
      <c r="O150" t="n">
        <v>35.5</v>
      </c>
      <c r="P150" s="5">
        <f>O150/I150</f>
        <v/>
      </c>
      <c r="Q150" t="n">
        <v>15.46</v>
      </c>
      <c r="R150" s="2" t="n">
        <v>12.42</v>
      </c>
      <c r="S150" s="6" t="n">
        <v>-1</v>
      </c>
      <c r="T150" t="n">
        <v>25.63</v>
      </c>
      <c r="U150" t="n">
        <v>0</v>
      </c>
      <c r="V150" t="n">
        <v>0</v>
      </c>
      <c r="W150" t="n">
        <v>0</v>
      </c>
      <c r="X150" t="n">
        <v>21</v>
      </c>
      <c r="Y150" t="n">
        <v>0.7</v>
      </c>
      <c r="Z150" t="n">
        <v>0.66</v>
      </c>
      <c r="AA150" s="5">
        <f>IF(X150&lt;50,IF(Y150&gt;(2.3*X150),0,1),1)-IF(Z150&gt;Y150,1.7,0)</f>
        <v/>
      </c>
      <c r="AB150" t="n">
        <v>0</v>
      </c>
      <c r="AC150" s="5">
        <f>IF(AB150&gt;4,1,0)+IF(AB150&gt;10,0.7,0)</f>
        <v/>
      </c>
      <c r="AD150" t="n">
        <v>0</v>
      </c>
      <c r="AE150" t="n">
        <v>0</v>
      </c>
      <c r="AF150" t="n">
        <v>0</v>
      </c>
      <c r="AG150" s="6">
        <f>IF(G150&lt;52,0,0.7)+IF(G150&lt;34,0,0.7)+IF(G150&lt;1,0,0.7)+IF(P150&gt;14.56,0,1)+IF(R150&lt;9,0.5,0)+IF(R150&lt;33.8,0.5,0)+IF(R150&lt;50,0.5,0)+IF(R150&lt;80,0.5,0)+IF(S150=5,0,S150)+IF(V150&gt;0,1,-1)+IF(AE150&lt;10.56,0,1)-IF(AE150&lt;3,1,0)-IF(AE150&lt;1,1,0)</f>
        <v/>
      </c>
      <c r="AH150" s="5">
        <f>AG150+IF(X150&lt;1.35,0,1)+IF(Y150&lt;1.35,0,1)+IF(Y150&lt;0.7,-1,0)+AC150+AA150</f>
        <v/>
      </c>
      <c r="AI150" s="5" t="n">
        <v>17.7625</v>
      </c>
      <c r="AJ150" s="5">
        <f>IF(AI150&gt;12.7,IF(AI150&gt;15.8,0.93,0.98),1)</f>
        <v/>
      </c>
      <c r="AK150" s="5">
        <f>(1.5*AG150+AH150)*AJ150*AQ150</f>
        <v/>
      </c>
      <c r="AL150" s="4">
        <f>D150</f>
        <v/>
      </c>
      <c r="AM150" s="8">
        <f>B150</f>
        <v/>
      </c>
      <c r="AN150" t="n">
        <v>22</v>
      </c>
      <c r="AO150" s="61">
        <f>IF(Z150&lt;2.81,0,IF(AK150&gt;13.7,IF(Z150&lt;140,1,0),0))</f>
        <v/>
      </c>
      <c r="AP150" s="7">
        <f>IF(AK150&gt;13.93,IF(Z150&lt;300,IF(Z150&lt;35,IF(Z150&lt;6,3,2),1),0),0)</f>
        <v/>
      </c>
      <c r="AQ150" s="5" t="n">
        <v>1</v>
      </c>
      <c r="AR150" s="7">
        <f>IF(AO150=1,IF(AO150=AL150,1,0),5)</f>
        <v/>
      </c>
      <c r="AS150" s="5" t="n">
        <v>91</v>
      </c>
      <c r="AT150" s="5" t="n">
        <v>91</v>
      </c>
      <c r="AU150" s="5" t="n">
        <v>91</v>
      </c>
      <c r="AV150" s="5">
        <f>(AT150+AU150)/2</f>
        <v/>
      </c>
      <c r="AW150" s="5" t="n">
        <v>79.75</v>
      </c>
      <c r="AX150" s="4">
        <f>IF(AW150&gt;AV150,1,0)</f>
        <v/>
      </c>
      <c r="AY150" s="4">
        <f>(100*(AU150-AS150)/AS150)</f>
        <v/>
      </c>
      <c r="AZ150" s="4">
        <f>IF(AY150&lt;-50,-4,IF(AY150&lt;-20,-2,IF(AY150&lt;0,-1.5,IF(AY150=0,0,IF(AY150&lt;10,1.5,IF(AY150&lt;20,2,IF(AY150&gt;19,2.5,2.5)))))))</f>
        <v/>
      </c>
      <c r="BA150" s="7" t="n"/>
    </row>
    <row r="151" ht="12.75" customHeight="1">
      <c r="A151" t="inlineStr">
        <is>
          <t>https://www.chittorgarh.com/ipo/bio-medica-laboratories-ipo/2564/</t>
        </is>
      </c>
      <c r="B151" t="inlineStr">
        <is>
          <t>Bio Medica Laboratori</t>
        </is>
      </c>
      <c r="C151" t="inlineStr">
        <is>
          <t>2026</t>
        </is>
      </c>
      <c r="D151" t="n">
        <v>0</v>
      </c>
      <c r="E151" t="n">
        <v>15.01</v>
      </c>
      <c r="F151" t="n">
        <v>14.73</v>
      </c>
      <c r="G151" s="5">
        <f>100*(F151-E151)/F151</f>
        <v/>
      </c>
      <c r="H151" t="n">
        <v>39.12</v>
      </c>
      <c r="I151" t="n">
        <v>9.789999999999999</v>
      </c>
      <c r="J151" t="n">
        <v>30.35</v>
      </c>
      <c r="K151" t="n">
        <v>10.67</v>
      </c>
      <c r="L151" t="n">
        <v>54.41</v>
      </c>
      <c r="M151" t="n">
        <v>15.21</v>
      </c>
      <c r="N151" t="n">
        <v>47.11</v>
      </c>
      <c r="O151" t="n">
        <v>38.33</v>
      </c>
      <c r="P151" s="5">
        <f>O151/I151</f>
        <v/>
      </c>
      <c r="Q151" t="n">
        <v>13.03</v>
      </c>
      <c r="R151" s="2" t="n">
        <v>13.45</v>
      </c>
      <c r="S151" s="6" t="n">
        <v>-1</v>
      </c>
      <c r="T151" t="n">
        <v>52.43</v>
      </c>
      <c r="U151" t="n">
        <v>5.240000000000002</v>
      </c>
      <c r="V151" t="n">
        <v>0</v>
      </c>
      <c r="W151" t="n">
        <v>1</v>
      </c>
      <c r="X151" t="n">
        <v>15.9</v>
      </c>
      <c r="Y151" t="n">
        <v>1.3</v>
      </c>
      <c r="Z151" t="n">
        <v>2.92</v>
      </c>
      <c r="AA151" s="5">
        <f>IF(X151&lt;50,IF(Y151&gt;(2.3*X151),0,1),1)-IF(Z151&gt;Y151,1.7,0)</f>
        <v/>
      </c>
      <c r="AB151" t="n">
        <v>0</v>
      </c>
      <c r="AC151" s="5">
        <f>IF(AB151&gt;4,1,0)+IF(AB151&gt;10,0.7,0)</f>
        <v/>
      </c>
      <c r="AD151" t="n">
        <v>291.6</v>
      </c>
      <c r="AE151" t="n">
        <v>149.87</v>
      </c>
      <c r="AF151" t="n">
        <v>198.18</v>
      </c>
      <c r="AG151" s="6">
        <f>IF(G151&lt;52,0,0.7)+IF(G151&lt;34,0,0.7)+IF(G151&lt;1,0,0.7)+IF(P151&gt;14.56,0,1)+IF(R151&lt;9,0.5,0)+IF(R151&lt;33.8,0.5,0)+IF(R151&lt;50,0.5,0)+IF(R151&lt;80,0.5,0)+IF(S151=5,0,S151)+IF(V151&gt;0,1,-1)+IF(AE151&lt;10.56,0,1)-IF(AE151&lt;3,1,0)-IF(AE151&lt;1,1,0)</f>
        <v/>
      </c>
      <c r="AH151" s="5">
        <f>AG151+IF(X151&lt;1.35,0,1)+IF(Y151&lt;1.35,0,1)+IF(Y151&lt;0.7,-1,0)+AC151+AA151</f>
        <v/>
      </c>
      <c r="AI151" s="5" t="n">
        <v>17.765</v>
      </c>
      <c r="AJ151" s="5">
        <f>IF(AI151&gt;12.7,IF(AI151&gt;15.8,0.93,0.98),1)</f>
        <v/>
      </c>
      <c r="AK151" s="5">
        <f>(1.5*AG151+AH151)*AJ151*AQ151</f>
        <v/>
      </c>
      <c r="AL151" s="4">
        <f>D151</f>
        <v/>
      </c>
      <c r="AM151" s="8">
        <f>B151</f>
        <v/>
      </c>
      <c r="AN151" t="n">
        <v>25</v>
      </c>
      <c r="AO151" s="61">
        <f>IF(Z151&lt;2.81,0,IF(AK151&gt;13.7,IF(Z151&lt;140,1,0),0))</f>
        <v/>
      </c>
      <c r="AP151" s="7">
        <f>IF(AK151&gt;13.93,IF(Z151&lt;300,IF(Z151&lt;35,IF(Z151&lt;6,3,2),1),0),0)</f>
        <v/>
      </c>
      <c r="AQ151" s="5" t="n">
        <v>1</v>
      </c>
      <c r="AR151" s="7">
        <f>IF(AO151=1,IF(AO151=AL151,1,0),5)</f>
        <v/>
      </c>
      <c r="AS151" s="5" t="n">
        <v>139</v>
      </c>
      <c r="AT151" s="5" t="n">
        <v>113</v>
      </c>
      <c r="AU151" s="5" t="n">
        <v>123</v>
      </c>
      <c r="AV151" s="5">
        <f>(AT151+AU151)/2</f>
        <v/>
      </c>
      <c r="AW151" s="5" t="n">
        <v>111</v>
      </c>
      <c r="AX151" s="4">
        <f>IF(AW151&gt;AV151,1,0)</f>
        <v/>
      </c>
      <c r="AY151" s="4">
        <f>(100*(AU151-AS151)/AS151)</f>
        <v/>
      </c>
      <c r="AZ151" s="4">
        <f>IF(AY151&lt;-50,-4,IF(AY151&lt;-20,-2,IF(AY151&lt;0,-1.5,IF(AY151=0,0,IF(AY151&lt;10,1.5,IF(AY151&lt;20,2,IF(AY151&gt;19,2.5,2.5)))))))</f>
        <v/>
      </c>
      <c r="BA151" s="7" t="n"/>
    </row>
    <row r="152" ht="12.75" customHeight="1">
      <c r="A152" t="inlineStr">
        <is>
          <t>https://www.chittorgarh.com/ipo/autofurnish-ipo/2738/</t>
        </is>
      </c>
      <c r="B152" t="inlineStr">
        <is>
          <t>Autofurnish  Price, G</t>
        </is>
      </c>
      <c r="C152" t="inlineStr">
        <is>
          <t>2026</t>
        </is>
      </c>
      <c r="D152" s="11" t="n">
        <v>1</v>
      </c>
      <c r="E152" t="n">
        <v>0</v>
      </c>
      <c r="F152" t="n">
        <v>14.71</v>
      </c>
      <c r="G152" s="5">
        <f>100*(F152-E152)/F152</f>
        <v/>
      </c>
      <c r="H152" t="n">
        <v>23.28</v>
      </c>
      <c r="I152" t="n">
        <v>3.5</v>
      </c>
      <c r="J152" t="n">
        <v>9.99</v>
      </c>
      <c r="K152" t="n">
        <v>3.52</v>
      </c>
      <c r="L152" t="n">
        <v>16.09</v>
      </c>
      <c r="M152" t="n">
        <v>5.11</v>
      </c>
      <c r="N152" t="n">
        <v>16.93</v>
      </c>
      <c r="O152" t="n">
        <v>33.88</v>
      </c>
      <c r="P152" s="5">
        <f>O152/I152</f>
        <v/>
      </c>
      <c r="Q152" t="n">
        <v>11.64</v>
      </c>
      <c r="R152" s="2" t="n">
        <v>14.7</v>
      </c>
      <c r="S152" s="6" t="n">
        <v>-0.5</v>
      </c>
      <c r="T152" t="n">
        <v>14.6</v>
      </c>
      <c r="U152" t="n">
        <v>0</v>
      </c>
      <c r="V152" t="n">
        <v>0</v>
      </c>
      <c r="W152" t="n">
        <v>1</v>
      </c>
      <c r="X152" t="n">
        <v>1.17</v>
      </c>
      <c r="Y152" t="n">
        <v>1.17</v>
      </c>
      <c r="Z152" t="n">
        <v>1.17</v>
      </c>
      <c r="AA152" s="5">
        <f>IF(X152&lt;50,IF(Y152&gt;(2.3*X152),0,1),1)-IF(Z152&gt;Y152,1.7,0)</f>
        <v/>
      </c>
      <c r="AB152" t="n">
        <v>0</v>
      </c>
      <c r="AC152" s="5">
        <f>IF(AB152&gt;4,1,0)+IF(AB152&gt;10,0.7,0)</f>
        <v/>
      </c>
      <c r="AD152" t="n">
        <v>114.72</v>
      </c>
      <c r="AE152" t="n">
        <v>112.81</v>
      </c>
      <c r="AF152" t="n">
        <v>62.18</v>
      </c>
      <c r="AG152" s="6">
        <f>IF(G152&lt;52,0,0.7)+IF(G152&lt;34,0,0.7)+IF(G152&lt;1,0,0.7)+IF(P152&gt;14.56,0,1)+IF(R152&lt;9,0.5,0)+IF(R152&lt;33.8,0.5,0)+IF(R152&lt;50,0.5,0)+IF(R152&lt;80,0.5,0)+IF(S152=5,0,S152)+IF(V152&gt;0,1,-1)+IF(AE152&lt;10.56,0,1)-IF(AE152&lt;3,1,0)-IF(AE152&lt;1,1,0)</f>
        <v/>
      </c>
      <c r="AH152" s="5">
        <f>AG152+IF(X152&lt;1.35,0,1)+IF(Y152&lt;1.35,0,1)+IF(Y152&lt;0.7,-1,0)+AC152+AA152</f>
        <v/>
      </c>
      <c r="AI152" s="5" t="n">
        <v>17.745</v>
      </c>
      <c r="AJ152" s="5">
        <f>IF(AI152&gt;12.7,IF(AI152&gt;15.8,0.93,0.98),1)</f>
        <v/>
      </c>
      <c r="AK152" s="5">
        <f>(1.5*AG152+AH152)*AJ152*AQ152</f>
        <v/>
      </c>
      <c r="AL152" s="4">
        <f>D152</f>
        <v/>
      </c>
      <c r="AM152" s="8">
        <f>B152</f>
        <v/>
      </c>
      <c r="AN152" t="n">
        <v>25</v>
      </c>
      <c r="AO152" s="61">
        <f>IF(Z152&lt;2.81,0,IF(AK152&gt;13.7,IF(Z152&lt;140,1,0),0))</f>
        <v/>
      </c>
      <c r="AP152" s="7">
        <f>IF(AK152&gt;13.93,IF(Z152&lt;300,IF(Z152&lt;35,IF(Z152&lt;6,3,2),1),0),0)</f>
        <v/>
      </c>
      <c r="AQ152" s="5" t="n">
        <v>1</v>
      </c>
      <c r="AR152" s="7">
        <f>IF(AO152=1,IF(AO152=AL152,1,0),5)</f>
        <v/>
      </c>
      <c r="AS152" s="5" t="n">
        <v>41</v>
      </c>
      <c r="AT152" s="5" t="n">
        <v>25</v>
      </c>
      <c r="AU152" s="5" t="n">
        <v>28</v>
      </c>
      <c r="AV152" s="5">
        <f>(AT152+AU152)/2</f>
        <v/>
      </c>
      <c r="AW152" s="5" t="n">
        <v>43</v>
      </c>
      <c r="AX152" s="4">
        <f>IF(AW152&gt;AV152,1,0)</f>
        <v/>
      </c>
      <c r="AY152" s="4">
        <f>(100*(AU152-AS152)/AS152)</f>
        <v/>
      </c>
      <c r="AZ152" s="4">
        <f>IF(AY152&lt;-50,-4,IF(AY152&lt;-20,-2,IF(AY152&lt;0,-1.5,IF(AY152=0,0,IF(AY152&lt;10,1.5,IF(AY152&lt;20,2,IF(AY152&gt;19,2.5,2.5)))))))</f>
        <v/>
      </c>
      <c r="BA152" s="7" t="n"/>
    </row>
    <row r="153" ht="12.75" customHeight="1">
      <c r="A153" t="inlineStr">
        <is>
          <t>https://www.chittorgarh.com/ipo/q-line-biotec-ipo/2745/</t>
        </is>
      </c>
      <c r="B153" t="inlineStr">
        <is>
          <t>Q-Line Biotec  Price,</t>
        </is>
      </c>
      <c r="C153" t="inlineStr">
        <is>
          <t>2026</t>
        </is>
      </c>
      <c r="D153" s="11" t="n">
        <v>1</v>
      </c>
      <c r="E153" t="n">
        <v>164.95</v>
      </c>
      <c r="F153" t="n">
        <v>189.95</v>
      </c>
      <c r="G153" s="5">
        <f>100*(F153-E153)/F153</f>
        <v/>
      </c>
      <c r="H153" t="n">
        <v>455.49</v>
      </c>
      <c r="I153" t="n">
        <v>28.13</v>
      </c>
      <c r="J153" t="n">
        <v>16.65</v>
      </c>
      <c r="K153" t="n">
        <v>0</v>
      </c>
      <c r="L153" t="n">
        <v>16.88</v>
      </c>
      <c r="M153" t="n">
        <v>71.31999999999999</v>
      </c>
      <c r="N153" t="n">
        <v>27.64</v>
      </c>
      <c r="O153" t="n">
        <v>322.58</v>
      </c>
      <c r="P153" s="5">
        <f>O153/I153</f>
        <v/>
      </c>
      <c r="Q153" t="n">
        <v>0</v>
      </c>
      <c r="R153" s="2" t="n">
        <v>0</v>
      </c>
      <c r="S153" s="6" t="n">
        <v>-0.5</v>
      </c>
      <c r="T153" t="n">
        <v>214.48</v>
      </c>
      <c r="U153" t="n">
        <v>0</v>
      </c>
      <c r="V153" t="n">
        <v>1</v>
      </c>
      <c r="W153" t="n">
        <v>1</v>
      </c>
      <c r="X153" t="n">
        <v>124</v>
      </c>
      <c r="Y153" t="n">
        <v>145</v>
      </c>
      <c r="Z153" t="n">
        <v>71.44</v>
      </c>
      <c r="AA153" s="5">
        <f>IF(X153&lt;50,IF(Y153&gt;(2.3*X153),0,1),1)-IF(Z153&gt;Y153,1.7,0)</f>
        <v/>
      </c>
      <c r="AB153" t="n">
        <v>41.11</v>
      </c>
      <c r="AC153" s="5">
        <f>IF(AB153&gt;4,1,0)+IF(AB153&gt;10,0.7,0)</f>
        <v/>
      </c>
      <c r="AD153" t="n">
        <v>-18.32</v>
      </c>
      <c r="AE153" t="n">
        <v>56.25</v>
      </c>
      <c r="AF153" t="n">
        <v>17.39</v>
      </c>
      <c r="AG153" s="6">
        <f>IF(G153&lt;52,0,0.7)+IF(G153&lt;34,0,0.7)+IF(G153&lt;1,0,0.7)+IF(P153&gt;14.56,0,1)+IF(R153&lt;9,0.5,0)+IF(R153&lt;33.8,0.5,0)+IF(R153&lt;50,0.5,0)+IF(R153&lt;80,0.5,0)+IF(S153=5,0,S153)+IF(V153&gt;0,1,-1)+IF(AE153&lt;10.56,0,1)-IF(AE153&lt;3,1,0)-IF(AE153&lt;1,1,0)</f>
        <v/>
      </c>
      <c r="AH153" s="5">
        <f>AG153+IF(X153&lt;1.35,0,1)+IF(Y153&lt;1.35,0,1)+IF(Y153&lt;0.7,-1,0)+AC153+AA153</f>
        <v/>
      </c>
      <c r="AI153" s="5" t="n">
        <v>17.7525</v>
      </c>
      <c r="AJ153" s="5">
        <f>IF(AI153&gt;12.7,IF(AI153&gt;15.8,0.93,0.98),1)</f>
        <v/>
      </c>
      <c r="AK153" s="5">
        <f>(1.5*AG153+AH153)*AJ153*AQ153</f>
        <v/>
      </c>
      <c r="AL153" s="4">
        <f>D153</f>
        <v/>
      </c>
      <c r="AM153" s="8">
        <f>B153</f>
        <v/>
      </c>
      <c r="AN153" t="n">
        <v>25</v>
      </c>
      <c r="AO153" s="61">
        <f>IF(Z153&lt;2.81,0,IF(AK153&gt;13.7,IF(Z153&lt;140,1,0),0))</f>
        <v/>
      </c>
      <c r="AP153" s="7">
        <f>IF(AK153&gt;13.93,IF(Z153&lt;300,IF(Z153&lt;35,IF(Z153&lt;6,3,2),1),0),0)</f>
        <v/>
      </c>
      <c r="AQ153" s="5" t="n">
        <v>0.95</v>
      </c>
      <c r="AR153" s="7">
        <f>IF(AO153=1,IF(AO153=AL153,1,0),5)</f>
        <v/>
      </c>
      <c r="AS153" s="5" t="n">
        <v>343</v>
      </c>
      <c r="AT153" s="5" t="n">
        <v>262</v>
      </c>
      <c r="AU153" s="5" t="n">
        <v>310</v>
      </c>
      <c r="AV153" s="5">
        <f>(AT153+AU153)/2</f>
        <v/>
      </c>
      <c r="AW153" s="5" t="n">
        <v>452</v>
      </c>
      <c r="AX153" s="4">
        <f>IF(AW153&gt;AV153,1,0)</f>
        <v/>
      </c>
      <c r="AY153" s="4">
        <f>(100*(AU153-AS153)/AS153)</f>
        <v/>
      </c>
      <c r="AZ153" s="4">
        <f>IF(AY153&lt;-50,-4,IF(AY153&lt;-20,-2,IF(AY153&lt;0,-1.5,IF(AY153=0,0,IF(AY153&lt;10,1.5,IF(AY153&lt;20,2,IF(AY153&gt;19,2.5,2.5)))))))</f>
        <v/>
      </c>
      <c r="BA153" s="7" t="n"/>
    </row>
    <row r="154" ht="12.75" customHeight="1">
      <c r="A154" t="inlineStr">
        <is>
          <t>https://www.chittorgarh.com/ipo/m-r-maniveni-ipo/2627/</t>
        </is>
      </c>
      <c r="B154" t="inlineStr">
        <is>
          <t xml:space="preserve">M R Maniveni  Price, </t>
        </is>
      </c>
      <c r="C154" t="inlineStr">
        <is>
          <t>2026</t>
        </is>
      </c>
      <c r="D154" s="11" t="n">
        <v>0</v>
      </c>
      <c r="E154" t="n">
        <v>20.46</v>
      </c>
      <c r="F154" t="n">
        <v>18.59</v>
      </c>
      <c r="G154" s="5">
        <f>100*(F154-E154)/F154</f>
        <v/>
      </c>
      <c r="H154" t="n">
        <v>41.12</v>
      </c>
      <c r="I154" t="n">
        <v>4.13</v>
      </c>
      <c r="J154" t="n">
        <v>2.87</v>
      </c>
      <c r="K154" t="n">
        <v>2.87</v>
      </c>
      <c r="L154" t="n">
        <v>16.48</v>
      </c>
      <c r="M154" t="n">
        <v>7.82</v>
      </c>
      <c r="N154" t="n">
        <v>5.74</v>
      </c>
      <c r="O154" t="n">
        <v>203.52</v>
      </c>
      <c r="P154" s="5">
        <f>O154/I154</f>
        <v/>
      </c>
      <c r="Q154" t="n">
        <v>18.11</v>
      </c>
      <c r="R154" s="2" t="n">
        <v>22.87</v>
      </c>
      <c r="S154" s="6" t="n">
        <v>-0.5</v>
      </c>
      <c r="T154" t="n">
        <v>27.04</v>
      </c>
      <c r="U154" t="n">
        <v>0</v>
      </c>
      <c r="V154" t="n">
        <v>1</v>
      </c>
      <c r="W154" t="n">
        <v>0</v>
      </c>
      <c r="X154" t="n">
        <v>1</v>
      </c>
      <c r="Y154" t="n">
        <v>1.88</v>
      </c>
      <c r="Z154" t="n">
        <v>2.09</v>
      </c>
      <c r="AA154" s="5">
        <f>IF(X154&lt;50,IF(Y154&gt;(2.3*X154),0,1),1)-IF(Z154&gt;Y154,1.7,0)</f>
        <v/>
      </c>
      <c r="AB154" t="n">
        <v>0</v>
      </c>
      <c r="AC154" s="5">
        <f>IF(AB154&gt;4,1,0)+IF(AB154&gt;10,0.7,0)</f>
        <v/>
      </c>
      <c r="AD154" t="n">
        <v>89.45</v>
      </c>
      <c r="AE154" t="n">
        <v>31.3</v>
      </c>
      <c r="AF154" t="n">
        <v>50.4</v>
      </c>
      <c r="AG154" s="6">
        <f>IF(G154&lt;52,0,0.7)+IF(G154&lt;34,0,0.7)+IF(G154&lt;1,0,0.7)+IF(P154&gt;14.56,0,1)+IF(R154&lt;9,0.5,0)+IF(R154&lt;33.8,0.5,0)+IF(R154&lt;50,0.5,0)+IF(R154&lt;80,0.5,0)+IF(S154=5,0,S154)+IF(V154&gt;0,1,-1)+IF(AE154&lt;10.56,0,1)-IF(AE154&lt;3,1,0)-IF(AE154&lt;1,1,0)</f>
        <v/>
      </c>
      <c r="AH154" s="5">
        <f>AG154+IF(X154&lt;1.35,0,1)+IF(Y154&lt;1.35,0,1)+IF(Y154&lt;0.7,-1,0)+AC154+AA154</f>
        <v/>
      </c>
      <c r="AI154" s="5" t="n">
        <v>17.7525</v>
      </c>
      <c r="AJ154" s="5">
        <f>IF(AI154&gt;12.7,IF(AI154&gt;15.8,0.93,0.98),1)</f>
        <v/>
      </c>
      <c r="AK154" s="5">
        <f>(1.5*AG154+AH154)*AJ154*AQ154</f>
        <v/>
      </c>
      <c r="AL154" s="4">
        <f>D154</f>
        <v/>
      </c>
      <c r="AM154" s="8">
        <f>B154</f>
        <v/>
      </c>
      <c r="AN154" t="n">
        <v>26</v>
      </c>
      <c r="AO154" s="61">
        <f>IF(Z154&lt;2.81,0,IF(AK154&gt;13.7,IF(Z154&lt;140,1,0),0))</f>
        <v/>
      </c>
      <c r="AP154" s="7">
        <f>IF(AK154&gt;13.93,IF(Z154&lt;300,IF(Z154&lt;35,IF(Z154&lt;6,3,2),1),0),0)</f>
        <v/>
      </c>
      <c r="AQ154" s="5" t="n">
        <v>1</v>
      </c>
      <c r="AR154" s="7">
        <f>IF(AO154=1,IF(AO154=AL154,1,0),5)</f>
        <v/>
      </c>
      <c r="AS154" s="5" t="n">
        <v>52</v>
      </c>
      <c r="AT154" s="5" t="n">
        <v>52</v>
      </c>
      <c r="AU154" s="5" t="n">
        <v>52</v>
      </c>
      <c r="AV154" s="5">
        <f>(AT154+AU154)/2</f>
        <v/>
      </c>
      <c r="AW154" s="5" t="n">
        <v>42.55</v>
      </c>
      <c r="AX154" s="4">
        <f>IF(AW154&gt;AV154,1,0)</f>
        <v/>
      </c>
      <c r="AY154" s="4">
        <f>(100*(AU154-AS154)/AS154)</f>
        <v/>
      </c>
      <c r="AZ154" s="4">
        <f>IF(AY154&lt;-50,-4,IF(AY154&lt;-20,-2,IF(AY154&lt;0,-1.5,IF(AY154=0,0,IF(AY154&lt;10,1.5,IF(AY154&lt;20,2,IF(AY154&gt;19,2.5,2.5)))))))</f>
        <v/>
      </c>
      <c r="BA154" s="7" t="n"/>
    </row>
    <row r="155" ht="12.75" customHeight="1">
      <c r="A155" t="inlineStr">
        <is>
          <t>https://www.chittorgarh.com/ipo/yaashvi-jewellers-ipo/2820/</t>
        </is>
      </c>
      <c r="B155" t="inlineStr">
        <is>
          <t>Yaashvi Jewellers  Pr</t>
        </is>
      </c>
      <c r="C155" t="inlineStr">
        <is>
          <t>2026</t>
        </is>
      </c>
      <c r="D155" s="11" t="n">
        <v>1</v>
      </c>
      <c r="E155" t="n">
        <v>43.11</v>
      </c>
      <c r="F155" t="n">
        <v>24.15</v>
      </c>
      <c r="G155" s="5">
        <f>100*(F155-E155)/F155</f>
        <v/>
      </c>
      <c r="H155" t="n">
        <v>70.94</v>
      </c>
      <c r="I155" t="n">
        <v>11.28</v>
      </c>
      <c r="J155" t="n">
        <v>4.08</v>
      </c>
      <c r="K155" t="n">
        <v>14.82</v>
      </c>
      <c r="L155" t="n">
        <v>54.07</v>
      </c>
      <c r="M155" t="n">
        <v>18.33</v>
      </c>
      <c r="N155" t="n">
        <v>6.67</v>
      </c>
      <c r="O155" t="n">
        <v>297.76</v>
      </c>
      <c r="P155" s="5">
        <f>O155/I155</f>
        <v/>
      </c>
      <c r="Q155" t="n">
        <v>5.6</v>
      </c>
      <c r="R155" s="2" t="n">
        <v>8</v>
      </c>
      <c r="S155" s="6" t="n">
        <v>-1</v>
      </c>
      <c r="T155" t="n">
        <v>43.88</v>
      </c>
      <c r="U155" t="n">
        <v>0</v>
      </c>
      <c r="V155" t="n">
        <v>0</v>
      </c>
      <c r="W155" t="n">
        <v>1</v>
      </c>
      <c r="X155" t="n">
        <v>3.4</v>
      </c>
      <c r="Y155" t="n">
        <v>3.4</v>
      </c>
      <c r="Z155" t="n">
        <v>1.76</v>
      </c>
      <c r="AA155" s="5">
        <f>IF(X155&lt;50,IF(Y155&gt;(2.3*X155),0,1),1)-IF(Z155&gt;Y155,1.7,0)</f>
        <v/>
      </c>
      <c r="AB155" t="n">
        <v>0</v>
      </c>
      <c r="AC155" s="5">
        <f>IF(AB155&gt;4,1,0)+IF(AB155&gt;10,0.7,0)</f>
        <v/>
      </c>
      <c r="AD155" t="n">
        <v>475.51</v>
      </c>
      <c r="AE155" t="n">
        <v>48.19</v>
      </c>
      <c r="AF155" t="n">
        <v>176</v>
      </c>
      <c r="AG155" s="6">
        <f>IF(G155&lt;52,0,0.7)+IF(G155&lt;34,0,0.7)+IF(G155&lt;1,0,0.7)+IF(P155&gt;14.56,0,1)+IF(R155&lt;9,0.5,0)+IF(R155&lt;33.8,0.5,0)+IF(R155&lt;50,0.5,0)+IF(R155&lt;80,0.5,0)+IF(S155=5,0,S155)+IF(V155&gt;0,1,-1)+IF(AE155&lt;10.56,0,1)-IF(AE155&lt;3,1,0)-IF(AE155&lt;1,1,0)</f>
        <v/>
      </c>
      <c r="AH155" s="5">
        <f>AG155+IF(X155&lt;1.35,0,1)+IF(Y155&lt;1.35,0,1)+IF(Y155&lt;0.7,-1,0)+AC155+AA155</f>
        <v/>
      </c>
      <c r="AI155" s="5" t="n">
        <v>17.725</v>
      </c>
      <c r="AJ155" s="5">
        <f>IF(AI155&gt;12.7,IF(AI155&gt;15.8,0.93,0.98),1)</f>
        <v/>
      </c>
      <c r="AK155" s="5">
        <f>(1.5*AG155+AH155)*AJ155*AQ155</f>
        <v/>
      </c>
      <c r="AL155" s="4">
        <f>D155</f>
        <v/>
      </c>
      <c r="AM155" s="8">
        <f>B155</f>
        <v/>
      </c>
      <c r="AN155" t="n">
        <v>27</v>
      </c>
      <c r="AO155" s="61">
        <f>IF(Z155&lt;2.81,0,IF(AK155&gt;13.7,IF(Z155&lt;140,1,0),0))</f>
        <v/>
      </c>
      <c r="AP155" s="7">
        <f>IF(AK155&gt;13.93,IF(Z155&lt;300,IF(Z155&lt;35,IF(Z155&lt;6,3,2),1),0),0)</f>
        <v/>
      </c>
      <c r="AQ155" s="5" t="n">
        <v>1</v>
      </c>
      <c r="AR155" s="7">
        <f>IF(AO155=1,IF(AO155=AL155,1,0),5)</f>
        <v/>
      </c>
      <c r="AS155" s="5" t="n">
        <v>83</v>
      </c>
      <c r="AT155" s="5" t="n">
        <v>83</v>
      </c>
      <c r="AU155" s="5" t="n">
        <v>83</v>
      </c>
      <c r="AV155" s="5">
        <f>(AT155+AU155)/2</f>
        <v/>
      </c>
      <c r="AW155" s="5" t="n">
        <v>1</v>
      </c>
      <c r="AX155" s="4">
        <f>IF(AW155&gt;AV155,1,0)</f>
        <v/>
      </c>
      <c r="AY155" s="4">
        <f>(100*(AU155-AS155)/AS155)</f>
        <v/>
      </c>
      <c r="AZ155" s="4">
        <f>IF(AY155&lt;-50,-4,IF(AY155&lt;-20,-2,IF(AY155&lt;0,-1.5,IF(AY155=0,0,IF(AY155&lt;10,1.5,IF(AY155&lt;20,2,IF(AY155&gt;19,2.5,2.5)))))))</f>
        <v/>
      </c>
      <c r="BA155" s="7" t="n"/>
    </row>
    <row r="156" ht="12.75" customHeight="1">
      <c r="A156" t="inlineStr">
        <is>
          <t>https://www.chittorgarh.com/ipo/rajnandini-fashion-india-ipo/2729/</t>
        </is>
      </c>
      <c r="B156" t="inlineStr">
        <is>
          <t>Rajnandini Fashion In</t>
        </is>
      </c>
      <c r="C156" t="inlineStr">
        <is>
          <t>2026</t>
        </is>
      </c>
      <c r="D156" s="11" t="n">
        <v>0</v>
      </c>
      <c r="E156" t="n">
        <v>8.84</v>
      </c>
      <c r="F156" t="n">
        <v>9.289999999999999</v>
      </c>
      <c r="G156" s="5">
        <f>100*(F156-E156)/F156</f>
        <v/>
      </c>
      <c r="H156" t="n">
        <v>25.35</v>
      </c>
      <c r="I156" t="n">
        <v>5.05</v>
      </c>
      <c r="J156" t="n">
        <v>16.45</v>
      </c>
      <c r="K156" t="n">
        <v>6.75</v>
      </c>
      <c r="L156" t="n">
        <v>74.59</v>
      </c>
      <c r="M156" t="n">
        <v>7.48</v>
      </c>
      <c r="N156" t="n">
        <v>24.38</v>
      </c>
      <c r="O156" t="n">
        <v>31.27</v>
      </c>
      <c r="P156" s="5">
        <f>O156/I156</f>
        <v/>
      </c>
      <c r="Q156" t="n">
        <v>9.33</v>
      </c>
      <c r="R156" s="2" t="n">
        <v>12.94</v>
      </c>
      <c r="S156" s="6" t="n">
        <v>-0.5</v>
      </c>
      <c r="T156" t="n">
        <v>18.21</v>
      </c>
      <c r="U156" t="n">
        <v>0</v>
      </c>
      <c r="V156" t="n">
        <v>0</v>
      </c>
      <c r="W156" t="n">
        <v>1</v>
      </c>
      <c r="X156" t="n">
        <v>54</v>
      </c>
      <c r="Y156" t="n">
        <v>269</v>
      </c>
      <c r="Z156" t="n">
        <v>109</v>
      </c>
      <c r="AA156" s="5">
        <f>IF(X156&lt;50,IF(Y156&gt;(2.3*X156),0,1),1)-IF(Z156&gt;Y156,1.7,0)</f>
        <v/>
      </c>
      <c r="AB156" t="n">
        <v>15.87</v>
      </c>
      <c r="AC156" s="5">
        <f>IF(AB156&gt;4,1,0)+IF(AB156&gt;10,0.7,0)</f>
        <v/>
      </c>
      <c r="AD156" t="n">
        <v>120.52</v>
      </c>
      <c r="AE156" t="n">
        <v>32.5</v>
      </c>
      <c r="AF156" t="n">
        <v>119.1</v>
      </c>
      <c r="AG156" s="6">
        <f>IF(G156&lt;52,0,0.7)+IF(G156&lt;34,0,0.7)+IF(G156&lt;1,0,0.7)+IF(P156&gt;14.56,0,1)+IF(R156&lt;9,0.5,0)+IF(R156&lt;33.8,0.5,0)+IF(R156&lt;50,0.5,0)+IF(R156&lt;80,0.5,0)+IF(S156=5,0,S156)+IF(V156&gt;0,1,-1)+IF(AE156&lt;10.56,0,1)-IF(AE156&lt;3,1,0)-IF(AE156&lt;1,1,0)</f>
        <v/>
      </c>
      <c r="AH156" s="5">
        <f>AG156+IF(X156&lt;1.35,0,1)+IF(Y156&lt;1.35,0,1)+IF(Y156&lt;0.7,-1,0)+AC156+AA156</f>
        <v/>
      </c>
      <c r="AI156" s="5" t="n">
        <v>15.8875</v>
      </c>
      <c r="AJ156" s="5">
        <f>IF(AI156&gt;12.7,IF(AI156&gt;15.8,0.93,0.98),1)</f>
        <v/>
      </c>
      <c r="AK156" s="5">
        <f>(1.5*AG156+AH156)*AJ156*AQ156</f>
        <v/>
      </c>
      <c r="AL156" s="4">
        <f>D156</f>
        <v/>
      </c>
      <c r="AM156" s="8">
        <f>B156</f>
        <v/>
      </c>
      <c r="AN156" t="n">
        <v>29</v>
      </c>
      <c r="AO156" s="61">
        <f>IF(Z156&lt;2.81,0,IF(AK156&gt;13.7,IF(Z156&lt;140,1,0),0))</f>
        <v/>
      </c>
      <c r="AP156" s="7">
        <f>IF(AK156&gt;13.93,IF(Z156&lt;300,IF(Z156&lt;35,IF(Z156&lt;6,3,2),1),0),0)</f>
        <v/>
      </c>
      <c r="AQ156" s="5" t="n">
        <v>0.95</v>
      </c>
      <c r="AR156" s="7">
        <f>IF(AO156=1,IF(AO156=AL156,1,0),5)</f>
        <v/>
      </c>
      <c r="AS156" s="5" t="n">
        <v>63</v>
      </c>
      <c r="AT156" s="5" t="n">
        <v>66</v>
      </c>
      <c r="AU156" s="5" t="n">
        <v>80</v>
      </c>
      <c r="AV156" s="5">
        <f>(AT156+AU156)/2</f>
        <v/>
      </c>
      <c r="AW156" s="5" t="n">
        <v>63</v>
      </c>
      <c r="AX156" s="4">
        <f>IF(AW156&gt;AV156,1,0)</f>
        <v/>
      </c>
      <c r="AY156" s="4">
        <f>(100*(AU156-AS156)/AS156)</f>
        <v/>
      </c>
      <c r="AZ156" s="4">
        <f>IF(AY156&lt;-50,-4,IF(AY156&lt;-20,-2,IF(AY156&lt;0,-1.5,IF(AY156=0,0,IF(AY156&lt;10,1.5,IF(AY156&lt;20,2,IF(AY156&gt;19,2.5,2.5)))))))</f>
        <v/>
      </c>
      <c r="BA156" s="7" t="n"/>
    </row>
    <row r="157" ht="12.75" customHeight="1">
      <c r="A157" t="inlineStr">
        <is>
          <t>https://www.chittorgarh.com/ipo/smr-jewels-ipo/2597/</t>
        </is>
      </c>
      <c r="B157" t="inlineStr">
        <is>
          <t>SMR Jewels  Price, GM</t>
        </is>
      </c>
      <c r="C157" t="inlineStr">
        <is>
          <t>2026</t>
        </is>
      </c>
      <c r="D157" s="11" t="n">
        <v>0</v>
      </c>
      <c r="E157" t="n">
        <v>8.57</v>
      </c>
      <c r="F157" t="n">
        <v>24.14</v>
      </c>
      <c r="G157" s="5">
        <f>100*(F157-E157)/F157</f>
        <v/>
      </c>
      <c r="H157" t="n">
        <v>43.35</v>
      </c>
      <c r="I157" t="n">
        <v>10.41</v>
      </c>
      <c r="J157" t="n">
        <v>6.01</v>
      </c>
      <c r="K157" t="n">
        <v>7.11</v>
      </c>
      <c r="L157" t="n">
        <v>55.52</v>
      </c>
      <c r="M157" t="n">
        <v>15.17</v>
      </c>
      <c r="N157" t="n">
        <v>8.65</v>
      </c>
      <c r="O157" t="n">
        <v>263.25</v>
      </c>
      <c r="P157" s="5">
        <f>O157/I157</f>
        <v/>
      </c>
      <c r="Q157" t="n">
        <v>19</v>
      </c>
      <c r="R157" s="2" t="n">
        <v>10.18</v>
      </c>
      <c r="S157" s="6" t="n">
        <v>1</v>
      </c>
      <c r="T157" t="n">
        <v>67.23</v>
      </c>
      <c r="U157" t="n">
        <v>13.23</v>
      </c>
      <c r="V157" t="n">
        <v>1</v>
      </c>
      <c r="W157" t="n">
        <v>1</v>
      </c>
      <c r="X157" t="n">
        <v>2.35</v>
      </c>
      <c r="Y157" t="n">
        <v>0.03</v>
      </c>
      <c r="Z157" t="n">
        <v>0.21</v>
      </c>
      <c r="AA157" s="5">
        <f>IF(X157&lt;50,IF(Y157&gt;(2.3*X157),0,1),1)-IF(Z157&gt;Y157,1.7,0)</f>
        <v/>
      </c>
      <c r="AB157" t="n">
        <v>0</v>
      </c>
      <c r="AC157" s="5">
        <f>IF(AB157&gt;4,1,0)+IF(AB157&gt;10,0.7,0)</f>
        <v/>
      </c>
      <c r="AD157" t="n">
        <v>170.39</v>
      </c>
      <c r="AE157" t="n">
        <v>111.41</v>
      </c>
      <c r="AF157" t="n">
        <v>394.67</v>
      </c>
      <c r="AG157" s="6">
        <f>IF(G157&lt;52,0,0.7)+IF(G157&lt;34,0,0.7)+IF(G157&lt;1,0,0.7)+IF(P157&gt;14.56,0,1)+IF(R157&lt;9,0.5,0)+IF(R157&lt;33.8,0.5,0)+IF(R157&lt;50,0.5,0)+IF(R157&lt;80,0.5,0)+IF(S157=5,0,S157)+IF(V157&gt;0,1,-1)+IF(AE157&lt;10.56,0,1)-IF(AE157&lt;3,1,0)-IF(AE157&lt;1,1,0)</f>
        <v/>
      </c>
      <c r="AH157" s="5">
        <f>AG157+IF(X157&lt;1.35,0,1)+IF(Y157&lt;1.35,0,1)+IF(Y157&lt;0.7,-1,0)+AC157+AA157</f>
        <v/>
      </c>
      <c r="AI157" s="5" t="n">
        <v>15.905</v>
      </c>
      <c r="AJ157" s="5">
        <f>IF(AI157&gt;12.7,IF(AI157&gt;15.8,0.93,0.98),1)</f>
        <v/>
      </c>
      <c r="AK157" s="5">
        <f>(1.5*AG157+AH157)*AJ157*AQ157</f>
        <v/>
      </c>
      <c r="AL157" s="4">
        <f>D157</f>
        <v/>
      </c>
      <c r="AM157" s="8">
        <f>B157</f>
        <v/>
      </c>
      <c r="AN157" t="n">
        <v>3</v>
      </c>
      <c r="AO157" s="61">
        <f>IF(Z157&lt;2.81,0,IF(AK157&gt;13.7,IF(Z157&lt;140,1,0),0))</f>
        <v/>
      </c>
      <c r="AP157" s="7">
        <f>IF(AK157&gt;13.93,IF(Z157&lt;300,IF(Z157&lt;35,IF(Z157&lt;6,3,2),1),0),0)</f>
        <v/>
      </c>
      <c r="AQ157" s="5" t="n">
        <v>1</v>
      </c>
      <c r="AR157" s="7">
        <f>IF(AO157=1,IF(AO157=AL157,1,0),5)</f>
        <v/>
      </c>
      <c r="AS157" s="5" t="n">
        <v>128</v>
      </c>
      <c r="AT157" s="5" t="n">
        <v>119</v>
      </c>
      <c r="AU157" s="5" t="n">
        <v>146</v>
      </c>
      <c r="AV157" s="5">
        <f>(AT157+AU157)/2</f>
        <v/>
      </c>
      <c r="AW157" s="5" t="n">
        <v>1</v>
      </c>
      <c r="AX157" s="4">
        <f>IF(AW157&gt;AV157,1,0)</f>
        <v/>
      </c>
      <c r="AY157" s="4">
        <f>(100*(AU157-AS157)/AS157)</f>
        <v/>
      </c>
      <c r="AZ157" s="4">
        <f>IF(AY157&lt;-50,-4,IF(AY157&lt;-20,-2,IF(AY157&lt;0,-1.5,IF(AY157=0,0,IF(AY157&lt;10,1.5,IF(AY157&lt;20,2,IF(AY157&gt;19,2.5,2.5)))))))</f>
        <v/>
      </c>
      <c r="BA157" s="7" t="n"/>
    </row>
    <row r="158" ht="12.75" customHeight="1">
      <c r="A158" t="inlineStr">
        <is>
          <t>https://www.chittorgarh.com/ipo/aureate-tradde-ipo/2817/</t>
        </is>
      </c>
      <c r="B158" t="inlineStr">
        <is>
          <t>Aureate Tradde  Price</t>
        </is>
      </c>
      <c r="C158" t="inlineStr">
        <is>
          <t>2026</t>
        </is>
      </c>
      <c r="D158" s="11" t="n">
        <v>1</v>
      </c>
      <c r="E158" t="n">
        <v>32.17</v>
      </c>
      <c r="F158" t="n">
        <v>12.95</v>
      </c>
      <c r="G158" s="5">
        <f>100*(F158-E158)/F158</f>
        <v/>
      </c>
      <c r="H158" t="n">
        <v>83.11</v>
      </c>
      <c r="I158" t="n">
        <v>2.57</v>
      </c>
      <c r="J158" t="n">
        <v>4.28</v>
      </c>
      <c r="K158" t="n">
        <v>2.83</v>
      </c>
      <c r="L158" t="n">
        <v>28.87</v>
      </c>
      <c r="M158" t="n">
        <v>5.07</v>
      </c>
      <c r="N158" t="n">
        <v>7.2</v>
      </c>
      <c r="O158" t="n">
        <v>176.62</v>
      </c>
      <c r="P158" s="5">
        <f>O158/I158</f>
        <v/>
      </c>
      <c r="Q158" t="n">
        <v>24.71</v>
      </c>
      <c r="R158" s="2" t="n">
        <v>15.64</v>
      </c>
      <c r="S158" s="6" t="n">
        <v>0</v>
      </c>
      <c r="T158" t="n">
        <v>27.29</v>
      </c>
      <c r="U158" t="n">
        <v>0</v>
      </c>
      <c r="V158" t="n">
        <v>0</v>
      </c>
      <c r="W158" t="n">
        <v>0</v>
      </c>
      <c r="X158" t="n">
        <v>0</v>
      </c>
      <c r="Y158" t="n">
        <v>0.3</v>
      </c>
      <c r="Z158" t="n">
        <v>1.77</v>
      </c>
      <c r="AA158" s="5">
        <f>IF(X158&lt;50,IF(Y158&gt;(2.3*X158),0,1),1)-IF(Z158&gt;Y158,1.7,0)</f>
        <v/>
      </c>
      <c r="AB158" t="n">
        <v>10</v>
      </c>
      <c r="AC158" s="5">
        <f>IF(AB158&gt;4,1,0)+IF(AB158&gt;10,0.7,0)</f>
        <v/>
      </c>
      <c r="AD158" t="n">
        <v>77.23999999999999</v>
      </c>
      <c r="AE158" t="n">
        <v>2.57</v>
      </c>
      <c r="AF158" t="n">
        <v>22.29</v>
      </c>
      <c r="AG158" s="6">
        <f>IF(G158&lt;52,0,0.7)+IF(G158&lt;34,0,0.7)+IF(G158&lt;1,0,0.7)+IF(P158&gt;14.56,0,1)+IF(R158&lt;9,0.5,0)+IF(R158&lt;33.8,0.5,0)+IF(R158&lt;50,0.5,0)+IF(R158&lt;80,0.5,0)+IF(S158=5,0,S158)+IF(V158&gt;0,1,-1)+IF(AE158&lt;10.56,0,1)-IF(AE158&lt;3,1,0)-IF(AE158&lt;1,1,0)</f>
        <v/>
      </c>
      <c r="AH158" s="5">
        <f>AG158+IF(X158&lt;1.35,0,1)+IF(Y158&lt;1.35,0,1)+IF(Y158&lt;0.7,-1,0)+AC158+AA158</f>
        <v/>
      </c>
      <c r="AI158" s="5" t="n">
        <v>15.605</v>
      </c>
      <c r="AJ158" s="5">
        <f>IF(AI158&gt;12.7,IF(AI158&gt;15.8,0.93,0.98),1)</f>
        <v/>
      </c>
      <c r="AK158" s="5">
        <f>(1.5*AG158+AH158)*AJ158*AQ158</f>
        <v/>
      </c>
      <c r="AL158" s="4">
        <f>D158</f>
        <v/>
      </c>
      <c r="AM158" s="8">
        <f>B158</f>
        <v/>
      </c>
      <c r="AN158" t="n">
        <v>2</v>
      </c>
      <c r="AO158" s="61">
        <f>IF(Z158&lt;2.81,0,IF(AK158&gt;13.7,IF(Z158&lt;140,1,0),0))</f>
        <v/>
      </c>
      <c r="AP158" s="7">
        <f>IF(AK158&gt;13.93,IF(Z158&lt;300,IF(Z158&lt;35,IF(Z158&lt;6,3,2),1),0),0)</f>
        <v/>
      </c>
      <c r="AQ158" s="5" t="n">
        <v>1</v>
      </c>
      <c r="AR158" s="7">
        <f>IF(AO158=1,IF(AO158=AL158,1,0),5)</f>
        <v/>
      </c>
      <c r="AS158" s="5" t="n">
        <v>70</v>
      </c>
      <c r="AT158" s="5" t="n">
        <v>53</v>
      </c>
      <c r="AU158" s="5" t="n">
        <v>67</v>
      </c>
      <c r="AV158" s="5">
        <f>(AT158+AU158)/2</f>
        <v/>
      </c>
      <c r="AW158" s="5" t="n">
        <v>1</v>
      </c>
      <c r="AX158" s="4">
        <f>IF(AW158&gt;AV158,1,0)</f>
        <v/>
      </c>
      <c r="AY158" s="4">
        <f>(100*(AU158-AS158)/AS158)</f>
        <v/>
      </c>
      <c r="AZ158" s="4">
        <f>IF(AY158&lt;-50,-4,IF(AY158&lt;-20,-2,IF(AY158&lt;0,-1.5,IF(AY158=0,0,IF(AY158&lt;10,1.5,IF(AY158&lt;20,2,IF(AY158&gt;19,2.5,2.5)))))))</f>
        <v/>
      </c>
      <c r="BA158" s="7" t="n"/>
    </row>
    <row r="159" ht="12.75" customHeight="1">
      <c r="A159" t="inlineStr">
        <is>
          <t>https://www.chittorgarh.com/ipo/merritronix-ipo/2961/</t>
        </is>
      </c>
      <c r="B159" t="inlineStr">
        <is>
          <t>Merritronix  Price, G</t>
        </is>
      </c>
      <c r="C159" t="inlineStr">
        <is>
          <t>2026</t>
        </is>
      </c>
      <c r="D159" s="11" t="n">
        <v>1</v>
      </c>
      <c r="E159" t="n">
        <v>18.57</v>
      </c>
      <c r="F159" t="n">
        <v>16.23</v>
      </c>
      <c r="G159" s="5">
        <f>100*(F159-E159)/F159</f>
        <v/>
      </c>
      <c r="H159" t="n">
        <v>74.18000000000001</v>
      </c>
      <c r="I159" t="n">
        <v>8.66</v>
      </c>
      <c r="J159" t="n">
        <v>10.33</v>
      </c>
      <c r="K159" t="n">
        <v>12.6</v>
      </c>
      <c r="L159" t="n">
        <v>46.03</v>
      </c>
      <c r="M159" t="n">
        <v>15.18</v>
      </c>
      <c r="N159" t="n">
        <v>17.42</v>
      </c>
      <c r="O159" t="n">
        <v>114.04</v>
      </c>
      <c r="P159" s="5">
        <f>O159/I159</f>
        <v/>
      </c>
      <c r="Q159" t="n">
        <v>11.83</v>
      </c>
      <c r="R159" s="2" t="n">
        <v>16.18</v>
      </c>
      <c r="S159" s="6" t="n">
        <v>0</v>
      </c>
      <c r="T159" t="n">
        <v>70.03</v>
      </c>
      <c r="U159" t="n">
        <v>0</v>
      </c>
      <c r="V159" t="n">
        <v>1</v>
      </c>
      <c r="W159" t="n">
        <v>1</v>
      </c>
      <c r="X159" t="n">
        <v>0</v>
      </c>
      <c r="Y159" t="n">
        <v>65</v>
      </c>
      <c r="Z159" t="n">
        <v>38</v>
      </c>
      <c r="AA159" s="5">
        <f>IF(X159&lt;50,IF(Y159&gt;(2.3*X159),0,1),1)-IF(Z159&gt;Y159,1.7,0)</f>
        <v/>
      </c>
      <c r="AB159" t="n">
        <v>60.4</v>
      </c>
      <c r="AC159" s="5">
        <f>IF(AB159&gt;4,1,0)+IF(AB159&gt;10,0.7,0)</f>
        <v/>
      </c>
      <c r="AD159" t="n">
        <v>183.93</v>
      </c>
      <c r="AE159" t="n">
        <v>32.59</v>
      </c>
      <c r="AF159" t="n">
        <v>114.12</v>
      </c>
      <c r="AG159" s="6">
        <f>IF(G159&lt;52,0,0.7)+IF(G159&lt;34,0,0.7)+IF(G159&lt;1,0,0.7)+IF(P159&gt;14.56,0,1)+IF(R159&lt;9,0.5,0)+IF(R159&lt;33.8,0.5,0)+IF(R159&lt;50,0.5,0)+IF(R159&lt;80,0.5,0)+IF(S159=5,0,S159)+IF(V159&gt;0,1,-1)+IF(AE159&lt;10.56,0,1)-IF(AE159&lt;3,1,0)-IF(AE159&lt;1,1,0)</f>
        <v/>
      </c>
      <c r="AH159" s="5">
        <f>AG159+IF(X159&lt;1.35,0,1)+IF(Y159&lt;1.35,0,1)+IF(Y159&lt;0.7,-1,0)+AC159+AA159</f>
        <v/>
      </c>
      <c r="AI159" s="5" t="n">
        <v>15.5975</v>
      </c>
      <c r="AJ159" s="5">
        <f>IF(AI159&gt;12.7,IF(AI159&gt;15.8,0.93,0.98),1)</f>
        <v/>
      </c>
      <c r="AK159" s="5">
        <f>(1.5*AG159+AH159)*AJ159*AQ159</f>
        <v/>
      </c>
      <c r="AL159" s="4">
        <f>D159</f>
        <v/>
      </c>
      <c r="AM159" s="8">
        <f>B159</f>
        <v/>
      </c>
      <c r="AN159" t="n">
        <v>3</v>
      </c>
      <c r="AO159" s="61">
        <f>IF(Z159&lt;2.81,0,IF(AK159&gt;13.7,IF(Z159&lt;140,1,0),0))</f>
        <v/>
      </c>
      <c r="AP159" s="7">
        <f>IF(AK159&gt;13.93,IF(Z159&lt;300,IF(Z159&lt;35,IF(Z159&lt;6,3,2),1),0),0)</f>
        <v/>
      </c>
      <c r="AQ159" s="5" t="n">
        <v>1</v>
      </c>
      <c r="AR159" s="7">
        <f>IF(AO159=1,IF(AO159=AL159,1,0),5)</f>
        <v/>
      </c>
      <c r="AS159" s="5" t="n">
        <v>149</v>
      </c>
      <c r="AT159" s="5" t="n">
        <v>230</v>
      </c>
      <c r="AU159" s="5" t="n">
        <v>368</v>
      </c>
      <c r="AV159" s="5">
        <f>(AT159+AU159)/2</f>
        <v/>
      </c>
      <c r="AW159" s="5" t="n">
        <v>1</v>
      </c>
      <c r="AX159" s="4">
        <f>IF(AW159&gt;AV159,1,0)</f>
        <v/>
      </c>
      <c r="AY159" s="4">
        <f>(100*(AU159-AS159)/AS159)</f>
        <v/>
      </c>
      <c r="AZ159" s="4">
        <f>IF(AY159&lt;-50,-4,IF(AY159&lt;-20,-2,IF(AY159&lt;0,-1.5,IF(AY159=0,0,IF(AY159&lt;10,1.5,IF(AY159&lt;20,2,IF(AY159&gt;19,2.5,2.5)))))))</f>
        <v/>
      </c>
      <c r="BA159" s="7" t="n"/>
    </row>
    <row r="160" ht="12.75" customHeight="1">
      <c r="A160" t="inlineStr">
        <is>
          <t>https://www.chittorgarh.com/ipo/uhm-vacation-ipo/2841/</t>
        </is>
      </c>
      <c r="B160" t="inlineStr">
        <is>
          <t xml:space="preserve">UHM Vacation  Price, </t>
        </is>
      </c>
      <c r="C160" t="inlineStr">
        <is>
          <t>2026</t>
        </is>
      </c>
      <c r="D160" s="11" t="n">
        <v>0</v>
      </c>
      <c r="E160" t="n">
        <v>0.48</v>
      </c>
      <c r="F160" t="n">
        <v>20.96</v>
      </c>
      <c r="G160" s="5">
        <f>100*(F160-E160)/F160</f>
        <v/>
      </c>
      <c r="H160" t="n">
        <v>39.06</v>
      </c>
      <c r="I160" t="n">
        <v>7.18</v>
      </c>
      <c r="J160" t="n">
        <v>17.8</v>
      </c>
      <c r="K160" t="n">
        <v>14.67</v>
      </c>
      <c r="L160" t="n">
        <v>31.56</v>
      </c>
      <c r="M160" t="n">
        <v>8.26</v>
      </c>
      <c r="N160" t="n">
        <v>20.32</v>
      </c>
      <c r="O160" t="n">
        <v>40.2</v>
      </c>
      <c r="P160" s="5">
        <f>O160/I160</f>
        <v/>
      </c>
      <c r="Q160" t="n">
        <v>11.32</v>
      </c>
      <c r="R160" s="2" t="n">
        <v>15.36</v>
      </c>
      <c r="S160" s="6" t="n">
        <v>0</v>
      </c>
      <c r="T160" t="n">
        <v>36.02</v>
      </c>
      <c r="U160" t="n">
        <v>6.980000000000004</v>
      </c>
      <c r="V160" t="n">
        <v>0</v>
      </c>
      <c r="W160" t="n">
        <v>0</v>
      </c>
      <c r="X160" t="n">
        <v>1</v>
      </c>
      <c r="Y160" t="n">
        <v>0.36</v>
      </c>
      <c r="Z160" t="n">
        <v>0.93</v>
      </c>
      <c r="AA160" s="5">
        <f>IF(X160&lt;50,IF(Y160&gt;(2.3*X160),0,1),1)-IF(Z160&gt;Y160,1.7,0)</f>
        <v/>
      </c>
      <c r="AB160" t="n">
        <v>20.48</v>
      </c>
      <c r="AC160" s="5">
        <f>IF(AB160&gt;4,1,0)+IF(AB160&gt;10,0.7,0)</f>
        <v/>
      </c>
      <c r="AD160" t="n">
        <v>36.24</v>
      </c>
      <c r="AE160" t="n">
        <v>31.12</v>
      </c>
      <c r="AF160" t="n">
        <v>52.77</v>
      </c>
      <c r="AG160" s="6">
        <f>IF(G160&lt;52,0,0.7)+IF(G160&lt;34,0,0.7)+IF(G160&lt;1,0,0.7)+IF(P160&gt;14.56,0,1)+IF(R160&lt;9,0.5,0)+IF(R160&lt;33.8,0.5,0)+IF(R160&lt;50,0.5,0)+IF(R160&lt;80,0.5,0)+IF(S160=5,0,S160)+IF(V160&gt;0,1,-1)+IF(AE160&lt;10.56,0,1)-IF(AE160&lt;3,1,0)-IF(AE160&lt;1,1,0)</f>
        <v/>
      </c>
      <c r="AH160" s="5">
        <f>AG160+IF(X160&lt;1.35,0,1)+IF(Y160&lt;1.35,0,1)+IF(Y160&lt;0.7,-1,0)+AC160+AA160</f>
        <v/>
      </c>
      <c r="AI160" s="5" t="n">
        <v>16.93</v>
      </c>
      <c r="AJ160" s="5">
        <f>IF(AI160&gt;12.7,IF(AI160&gt;15.8,0.93,0.98),1)</f>
        <v/>
      </c>
      <c r="AK160" s="5">
        <f>(1.5*AG160+AH160)*AJ160*AQ160</f>
        <v/>
      </c>
      <c r="AL160" s="4">
        <f>D160</f>
        <v/>
      </c>
      <c r="AM160" s="8">
        <f>B160</f>
        <v/>
      </c>
      <c r="AN160" t="n">
        <v>8</v>
      </c>
      <c r="AO160" s="61">
        <f>IF(Z160&lt;2.81,0,IF(AK160&gt;13.7,IF(Z160&lt;140,1,0),0))</f>
        <v/>
      </c>
      <c r="AP160" s="7">
        <f>IF(AK160&gt;13.93,IF(Z160&lt;300,IF(Z160&lt;35,IF(Z160&lt;6,3,2),1),0),0)</f>
        <v/>
      </c>
      <c r="AQ160" s="5" t="n">
        <v>1</v>
      </c>
      <c r="AR160" s="7">
        <f>IF(AO160=1,IF(AO160=AL160,1,0),5)</f>
        <v/>
      </c>
      <c r="AS160" s="5" t="n">
        <v>166</v>
      </c>
      <c r="AT160" s="5" t="n">
        <v>132</v>
      </c>
      <c r="AU160" s="5" t="n">
        <v>158</v>
      </c>
      <c r="AV160" s="5">
        <f>(AT160+AU160)/2</f>
        <v/>
      </c>
      <c r="AW160" s="5" t="n">
        <v>1</v>
      </c>
      <c r="AX160" s="4">
        <f>IF(AW160&gt;AV160,1,0)</f>
        <v/>
      </c>
      <c r="AY160" s="4">
        <f>(100*(AU160-AS160)/AS160)</f>
        <v/>
      </c>
      <c r="AZ160" s="4">
        <f>IF(AY160&lt;-50,-4,IF(AY160&lt;-20,-2,IF(AY160&lt;0,-1.5,IF(AY160=0,0,IF(AY160&lt;10,1.5,IF(AY160&lt;20,2,IF(AY160&gt;19,2.5,2.5)))))))</f>
        <v/>
      </c>
      <c r="BA160" s="7" t="n"/>
    </row>
    <row r="161" ht="12.75" customHeight="1">
      <c r="A161" t="inlineStr">
        <is>
          <t>https://www.chittorgarh.com/ipo/vahh-chemicals-ipo/2802/</t>
        </is>
      </c>
      <c r="B161" t="inlineStr">
        <is>
          <t>Vahh Chemicals  Price</t>
        </is>
      </c>
      <c r="C161" t="inlineStr">
        <is>
          <t>2026</t>
        </is>
      </c>
      <c r="D161" s="11" t="n">
        <v>1</v>
      </c>
      <c r="E161" t="n">
        <v>11.25</v>
      </c>
      <c r="F161" t="n">
        <v>6.87</v>
      </c>
      <c r="G161" s="5">
        <f>100*(F161-E161)/F161</f>
        <v/>
      </c>
      <c r="H161" t="n">
        <v>39.28</v>
      </c>
      <c r="I161" t="n">
        <v>2.58</v>
      </c>
      <c r="J161" t="n">
        <v>11.79</v>
      </c>
      <c r="K161" t="n">
        <v>8.390000000000001</v>
      </c>
      <c r="L161" t="n">
        <v>34.11</v>
      </c>
      <c r="M161" t="n">
        <v>4.68</v>
      </c>
      <c r="N161" t="n">
        <v>19.06</v>
      </c>
      <c r="O161" t="n">
        <v>23.75</v>
      </c>
      <c r="P161" s="5">
        <f>O161/I161</f>
        <v/>
      </c>
      <c r="Q161" t="n">
        <v>7.15</v>
      </c>
      <c r="R161" s="2" t="n">
        <v>9.789999999999999</v>
      </c>
      <c r="S161" s="6" t="n">
        <v>0</v>
      </c>
      <c r="T161" t="n">
        <v>13.45</v>
      </c>
      <c r="U161" t="n">
        <v>0</v>
      </c>
      <c r="V161" t="n">
        <v>0</v>
      </c>
      <c r="W161" t="n">
        <v>1</v>
      </c>
      <c r="X161" t="n">
        <v>0</v>
      </c>
      <c r="Y161" t="n">
        <v>4.28</v>
      </c>
      <c r="Z161" t="n">
        <v>8.68</v>
      </c>
      <c r="AA161" s="5">
        <f>IF(X161&lt;50,IF(Y161&gt;(2.3*X161),0,1),1)-IF(Z161&gt;Y161,1.7,0)</f>
        <v/>
      </c>
      <c r="AB161" t="n">
        <v>20</v>
      </c>
      <c r="AC161" s="5">
        <f>IF(AB161&gt;4,1,0)+IF(AB161&gt;10,0.7,0)</f>
        <v/>
      </c>
      <c r="AD161" t="n">
        <v>0</v>
      </c>
      <c r="AE161" t="n">
        <v>0</v>
      </c>
      <c r="AF161" t="n">
        <v>0</v>
      </c>
      <c r="AG161" s="6">
        <f>IF(G161&lt;52,0,0.7)+IF(G161&lt;34,0,0.7)+IF(G161&lt;1,0,0.7)+IF(P161&gt;14.56,0,1)+IF(R161&lt;9,0.5,0)+IF(R161&lt;33.8,0.5,0)+IF(R161&lt;50,0.5,0)+IF(R161&lt;80,0.5,0)+IF(S161=5,0,S161)+IF(V161&gt;0,1,-1)+IF(AE161&lt;10.56,0,1)-IF(AE161&lt;3,1,0)-IF(AE161&lt;1,1,0)</f>
        <v/>
      </c>
      <c r="AH161" s="5">
        <f>AG161+IF(X161&lt;1.35,0,1)+IF(Y161&lt;1.35,0,1)+IF(Y161&lt;0.7,-1,0)+AC161+AA161</f>
        <v/>
      </c>
      <c r="AI161" s="5" t="n">
        <v>16.9325</v>
      </c>
      <c r="AJ161" s="5">
        <f>IF(AI161&gt;12.7,IF(AI161&gt;15.8,0.93,0.98),1)</f>
        <v/>
      </c>
      <c r="AK161" s="5">
        <f>(1.5*AG161+AH161)*AJ161*AQ161</f>
        <v/>
      </c>
      <c r="AL161" s="4">
        <f>D161</f>
        <v/>
      </c>
      <c r="AM161" s="8">
        <f>B161</f>
        <v/>
      </c>
      <c r="AN161" t="n">
        <v>8</v>
      </c>
      <c r="AO161" s="61">
        <f>IF(Z161&lt;2.81,0,IF(AK161&gt;13.7,IF(Z161&lt;140,1,0),0))</f>
        <v/>
      </c>
      <c r="AP161" s="7">
        <f>IF(AK161&gt;13.93,IF(Z161&lt;300,IF(Z161&lt;35,IF(Z161&lt;6,3,2),1),0),0)</f>
        <v/>
      </c>
      <c r="AQ161" s="5" t="n">
        <v>1</v>
      </c>
      <c r="AR161" s="7">
        <f>IF(AO161=1,IF(AO161=AL161,1,0),5)</f>
        <v/>
      </c>
      <c r="AS161" s="5" t="n">
        <v>60</v>
      </c>
      <c r="AT161" s="5" t="n">
        <v>58</v>
      </c>
      <c r="AU161" s="5" t="n">
        <v>64</v>
      </c>
      <c r="AV161" s="5">
        <f>(AT161+AU161)/2</f>
        <v/>
      </c>
      <c r="AW161" s="5" t="n">
        <v>1</v>
      </c>
      <c r="AX161" s="4">
        <f>IF(AW161&gt;AV161,1,0)</f>
        <v/>
      </c>
      <c r="AY161" s="4">
        <f>(100*(AU161-AS161)/AS161)</f>
        <v/>
      </c>
      <c r="AZ161" s="4">
        <f>IF(AY161&lt;-50,-4,IF(AY161&lt;-20,-2,IF(AY161&lt;0,-1.5,IF(AY161=0,0,IF(AY161&lt;10,1.5,IF(AY161&lt;20,2,IF(AY161&gt;19,2.5,2.5)))))))</f>
        <v/>
      </c>
      <c r="BA161" s="7" t="n"/>
    </row>
    <row r="162" ht="12.75" customHeight="1">
      <c r="A162" t="inlineStr">
        <is>
          <t>https://www.chittorgarh.com/ipo/genxai-analytics-ipo/2801/</t>
        </is>
      </c>
      <c r="B162" t="inlineStr">
        <is>
          <t>Genxai Analytics  Pri</t>
        </is>
      </c>
      <c r="C162" t="inlineStr">
        <is>
          <t>2026</t>
        </is>
      </c>
      <c r="D162" s="11" t="n">
        <v>0</v>
      </c>
      <c r="E162" t="n">
        <v>7.27</v>
      </c>
      <c r="F162" t="n">
        <v>11.03</v>
      </c>
      <c r="G162" s="5">
        <f>100*(F162-E162)/F162</f>
        <v/>
      </c>
      <c r="H162" t="n">
        <v>23.61</v>
      </c>
      <c r="I162" t="n">
        <v>6.55</v>
      </c>
      <c r="J162" t="n">
        <v>16.58</v>
      </c>
      <c r="K162" t="n">
        <v>4.96</v>
      </c>
      <c r="L162" t="n">
        <v>0</v>
      </c>
      <c r="M162" t="n">
        <v>10.03</v>
      </c>
      <c r="N162" t="n">
        <v>29.52</v>
      </c>
      <c r="O162" t="n">
        <v>28.88</v>
      </c>
      <c r="P162" s="5">
        <f>O162/I162</f>
        <v/>
      </c>
      <c r="Q162" t="n">
        <v>23.41</v>
      </c>
      <c r="R162" s="2" t="n">
        <v>11.73</v>
      </c>
      <c r="S162" s="6" t="n">
        <v>0</v>
      </c>
      <c r="T162" t="n">
        <v>54.84</v>
      </c>
      <c r="U162" t="n">
        <v>0</v>
      </c>
      <c r="V162" t="n">
        <v>1</v>
      </c>
      <c r="W162" t="n">
        <v>1</v>
      </c>
      <c r="X162" t="n">
        <v>0.5</v>
      </c>
      <c r="Y162" t="n">
        <v>1.24</v>
      </c>
      <c r="Z162" t="n">
        <v>0.42</v>
      </c>
      <c r="AA162" s="5">
        <f>IF(X162&lt;50,IF(Y162&gt;(2.3*X162),0,1),1)-IF(Z162&gt;Y162,1.7,0)</f>
        <v/>
      </c>
      <c r="AB162" t="n">
        <v>2.59</v>
      </c>
      <c r="AC162" s="5">
        <f>IF(AB162&gt;4,1,0)+IF(AB162&gt;10,0.7,0)</f>
        <v/>
      </c>
      <c r="AD162" t="n">
        <v>147.17</v>
      </c>
      <c r="AE162" t="n">
        <v>19.29</v>
      </c>
      <c r="AF162" t="n">
        <v>148.98</v>
      </c>
      <c r="AG162" s="6">
        <f>IF(G162&lt;52,0,0.7)+IF(G162&lt;34,0,0.7)+IF(G162&lt;1,0,0.7)+IF(P162&gt;14.56,0,1)+IF(R162&lt;9,0.5,0)+IF(R162&lt;33.8,0.5,0)+IF(R162&lt;50,0.5,0)+IF(R162&lt;80,0.5,0)+IF(S162=5,0,S162)+IF(V162&gt;0,1,-1)+IF(AE162&lt;10.56,0,1)-IF(AE162&lt;3,1,0)-IF(AE162&lt;1,1,0)</f>
        <v/>
      </c>
      <c r="AH162" s="5">
        <f>AG162+IF(X162&lt;1.35,0,1)+IF(Y162&lt;1.35,0,1)+IF(Y162&lt;0.7,-1,0)+AC162+AA162</f>
        <v/>
      </c>
      <c r="AI162" s="5" t="n">
        <v>16.9225</v>
      </c>
      <c r="AJ162" s="5">
        <f>IF(AI162&gt;12.7,IF(AI162&gt;15.8,0.93,0.98),1)</f>
        <v/>
      </c>
      <c r="AK162" s="5">
        <f>(1.5*AG162+AH162)*AJ162*AQ162</f>
        <v/>
      </c>
      <c r="AL162" s="4">
        <f>D162</f>
        <v/>
      </c>
      <c r="AM162" s="8">
        <f>B162</f>
        <v/>
      </c>
      <c r="AN162" t="n">
        <v>9</v>
      </c>
      <c r="AO162" s="61">
        <f>IF(Z162&lt;2.81,0,IF(AK162&gt;13.7,IF(Z162&lt;140,1,0),0))</f>
        <v/>
      </c>
      <c r="AP162" s="7">
        <f>IF(AK162&gt;13.93,IF(Z162&lt;300,IF(Z162&lt;35,IF(Z162&lt;6,3,2),1),0),0)</f>
        <v/>
      </c>
      <c r="AQ162" s="5" t="n">
        <v>0.95</v>
      </c>
      <c r="AR162" s="7">
        <f>IF(AO162=1,IF(AO162=AL162,1,0),5)</f>
        <v/>
      </c>
      <c r="AS162" s="5" t="n">
        <v>1</v>
      </c>
      <c r="AT162" s="5" t="n">
        <v>1</v>
      </c>
      <c r="AU162" s="5" t="n">
        <v>1</v>
      </c>
      <c r="AV162" s="5">
        <f>(AT162+AU162)/2</f>
        <v/>
      </c>
      <c r="AW162" s="5" t="n">
        <v>1</v>
      </c>
      <c r="AX162" s="4">
        <f>IF(AW162&gt;AV162,1,0)</f>
        <v/>
      </c>
      <c r="AY162" s="4">
        <f>(100*(AU162-AS162)/AS162)</f>
        <v/>
      </c>
      <c r="AZ162" s="4">
        <f>IF(AY162&lt;-50,-4,IF(AY162&lt;-20,-2,IF(AY162&lt;0,-1.5,IF(AY162=0,0,IF(AY162&lt;10,1.5,IF(AY162&lt;20,2,IF(AY162&gt;19,2.5,2.5)))))))</f>
        <v/>
      </c>
      <c r="BA162" s="7" t="n"/>
    </row>
    <row r="163" ht="12.75" customHeight="1">
      <c r="A163" t="inlineStr">
        <is>
          <t>https://www.chittorgarh.com/ipo/utkal-speciality-ipo/2638/</t>
        </is>
      </c>
      <c r="B163" t="inlineStr">
        <is>
          <t>Utkal Speciality  Pri</t>
        </is>
      </c>
      <c r="C163" t="inlineStr">
        <is>
          <t>2026</t>
        </is>
      </c>
      <c r="D163" s="11" t="n">
        <v>0</v>
      </c>
      <c r="E163" t="n">
        <v>17.37</v>
      </c>
      <c r="F163" t="n">
        <v>21.64</v>
      </c>
      <c r="G163" s="5">
        <f>100*(F163-E163)/F163</f>
        <v/>
      </c>
      <c r="H163" t="n">
        <v>44.04</v>
      </c>
      <c r="I163" t="n">
        <v>6.68</v>
      </c>
      <c r="J163" t="n">
        <v>13.79</v>
      </c>
      <c r="K163" t="n">
        <v>4.67</v>
      </c>
      <c r="L163" t="n">
        <v>22.5</v>
      </c>
      <c r="M163" t="n">
        <v>9.220000000000001</v>
      </c>
      <c r="N163" t="n">
        <v>19.51</v>
      </c>
      <c r="O163" t="n">
        <v>50.28</v>
      </c>
      <c r="P163" s="5">
        <f>O163/I163</f>
        <v/>
      </c>
      <c r="Q163" t="n">
        <v>14.12</v>
      </c>
      <c r="R163" s="2" t="n">
        <v>17.63</v>
      </c>
      <c r="S163" s="6" t="n">
        <v>0</v>
      </c>
      <c r="T163" t="n">
        <v>34.54</v>
      </c>
      <c r="U163" t="n">
        <v>0</v>
      </c>
      <c r="V163" t="n">
        <v>0</v>
      </c>
      <c r="W163" t="n">
        <v>1</v>
      </c>
      <c r="X163" t="n">
        <v>20</v>
      </c>
      <c r="Y163" t="n">
        <v>20</v>
      </c>
      <c r="Z163" t="n">
        <v>10</v>
      </c>
      <c r="AA163" s="5">
        <f>IF(X163&lt;50,IF(Y163&gt;(2.3*X163),0,1),1)-IF(Z163&gt;Y163,1.7,0)</f>
        <v/>
      </c>
      <c r="AB163" t="n">
        <v>0</v>
      </c>
      <c r="AC163" s="5">
        <f>IF(AB163&gt;4,1,0)+IF(AB163&gt;10,0.7,0)</f>
        <v/>
      </c>
      <c r="AD163" t="n">
        <v>106.17</v>
      </c>
      <c r="AE163" t="n">
        <v>13.88</v>
      </c>
      <c r="AF163" t="n">
        <v>117.49</v>
      </c>
      <c r="AG163" s="6">
        <f>IF(G163&lt;52,0,0.7)+IF(G163&lt;34,0,0.7)+IF(G163&lt;1,0,0.7)+IF(P163&gt;14.56,0,1)+IF(R163&lt;9,0.5,0)+IF(R163&lt;33.8,0.5,0)+IF(R163&lt;50,0.5,0)+IF(R163&lt;80,0.5,0)+IF(S163=5,0,S163)+IF(V163&gt;0,1,-1)+IF(AE163&lt;10.56,0,1)-IF(AE163&lt;3,1,0)-IF(AE163&lt;1,1,0)</f>
        <v/>
      </c>
      <c r="AH163" s="5">
        <f>AG163+IF(X163&lt;1.35,0,1)+IF(Y163&lt;1.35,0,1)+IF(Y163&lt;0.7,-1,0)+AC163+AA163</f>
        <v/>
      </c>
      <c r="AI163" s="5" t="n">
        <v>15.7875</v>
      </c>
      <c r="AJ163" s="5">
        <f>IF(AI163&gt;12.7,IF(AI163&gt;15.8,0.93,0.98),1)</f>
        <v/>
      </c>
      <c r="AK163" s="5">
        <f>(1.5*AG163+AH163)*AJ163*AQ163</f>
        <v/>
      </c>
      <c r="AL163" s="4">
        <f>D163</f>
        <v/>
      </c>
      <c r="AM163" s="8">
        <f>B163</f>
        <v/>
      </c>
      <c r="AN163" t="n">
        <v>12</v>
      </c>
      <c r="AO163" s="61">
        <f>IF(Z163&lt;2.81,0,IF(AK163&gt;13.7,IF(Z163&lt;140,1,0),0))</f>
        <v/>
      </c>
      <c r="AP163" s="7">
        <f>IF(AK163&gt;13.93,IF(Z163&lt;300,IF(Z163&lt;35,IF(Z163&lt;6,3,2),1),0),0)</f>
        <v/>
      </c>
      <c r="AQ163" s="5" t="n">
        <v>1</v>
      </c>
      <c r="AR163" s="7">
        <f>IF(AO163=1,IF(AO163=AL163,1,0),5)</f>
        <v/>
      </c>
      <c r="AS163" s="5" t="n">
        <v>1</v>
      </c>
      <c r="AT163" s="5" t="n">
        <v>1</v>
      </c>
      <c r="AU163" s="5" t="n">
        <v>1</v>
      </c>
      <c r="AV163" s="5">
        <f>(AT163+AU163)/2</f>
        <v/>
      </c>
      <c r="AW163" s="5" t="n">
        <v>1</v>
      </c>
      <c r="AX163" s="4">
        <f>IF(AW163&gt;AV163,1,0)</f>
        <v/>
      </c>
      <c r="AY163" s="4">
        <f>(100*(AU163-AS163)/AS163)</f>
        <v/>
      </c>
      <c r="AZ163" s="4">
        <f>IF(AY163&lt;-50,-4,IF(AY163&lt;-20,-2,IF(AY163&lt;0,-1.5,IF(AY163=0,0,IF(AY163&lt;10,1.5,IF(AY163&lt;20,2,IF(AY163&gt;19,2.5,2.5)))))))</f>
        <v/>
      </c>
      <c r="BA163" s="7" t="n"/>
    </row>
    <row r="164" ht="12.75" customHeight="1">
      <c r="A164" t="inlineStr">
        <is>
          <t>https://www.chittorgarh.com/ipo/susan-electricals-india-ipo/2872/</t>
        </is>
      </c>
      <c r="B164" t="inlineStr">
        <is>
          <t>Susan Electricals Ind</t>
        </is>
      </c>
      <c r="C164" t="inlineStr">
        <is>
          <t>2026</t>
        </is>
      </c>
      <c r="D164" s="11" t="n">
        <v>1</v>
      </c>
      <c r="E164" t="n">
        <v>45.27</v>
      </c>
      <c r="F164" t="n">
        <v>17.98</v>
      </c>
      <c r="G164" s="5">
        <f>100*(F164-E164)/F164</f>
        <v/>
      </c>
      <c r="H164" t="n">
        <v>73.68000000000001</v>
      </c>
      <c r="I164" t="n">
        <v>5.65</v>
      </c>
      <c r="J164" t="n">
        <v>5.16</v>
      </c>
      <c r="K164" t="n">
        <v>3.63</v>
      </c>
      <c r="L164" t="n">
        <v>34.36</v>
      </c>
      <c r="M164" t="n">
        <v>12</v>
      </c>
      <c r="N164" t="n">
        <v>10.36</v>
      </c>
      <c r="O164" t="n">
        <v>136.05</v>
      </c>
      <c r="P164" s="5">
        <f>O164/I164</f>
        <v/>
      </c>
      <c r="Q164" t="n">
        <v>0</v>
      </c>
      <c r="R164" s="2" t="n">
        <v>0</v>
      </c>
      <c r="S164" s="6" t="n">
        <v>0</v>
      </c>
      <c r="T164" t="n">
        <v>70.38</v>
      </c>
      <c r="U164" t="n">
        <v>10.16</v>
      </c>
      <c r="V164" t="n">
        <v>0</v>
      </c>
      <c r="W164" t="n">
        <v>1</v>
      </c>
      <c r="X164" t="n">
        <v>20</v>
      </c>
      <c r="Y164" t="n">
        <v>20</v>
      </c>
      <c r="Z164" t="n">
        <v>10</v>
      </c>
      <c r="AA164" s="5">
        <f>IF(X164&lt;50,IF(Y164&gt;(2.3*X164),0,1),1)-IF(Z164&gt;Y164,1.7,0)</f>
        <v/>
      </c>
      <c r="AB164" t="n">
        <v>10</v>
      </c>
      <c r="AC164" s="5">
        <f>IF(AB164&gt;4,1,0)+IF(AB164&gt;10,0.7,0)</f>
        <v/>
      </c>
      <c r="AD164" t="n">
        <v>643.42</v>
      </c>
      <c r="AE164" t="n">
        <v>31.34</v>
      </c>
      <c r="AF164" t="n">
        <v>189.53</v>
      </c>
      <c r="AG164" s="6">
        <f>IF(G164&lt;52,0,0.7)+IF(G164&lt;34,0,0.7)+IF(G164&lt;1,0,0.7)+IF(P164&gt;14.56,0,1)+IF(R164&lt;9,0.5,0)+IF(R164&lt;33.8,0.5,0)+IF(R164&lt;50,0.5,0)+IF(R164&lt;80,0.5,0)+IF(S164=5,0,S164)+IF(V164&gt;0,1,-1)+IF(AE164&lt;10.56,0,1)-IF(AE164&lt;3,1,0)-IF(AE164&lt;1,1,0)</f>
        <v/>
      </c>
      <c r="AH164" s="5">
        <f>AG164+IF(X164&lt;1.35,0,1)+IF(Y164&lt;1.35,0,1)+IF(Y164&lt;0.7,-1,0)+AC164+AA164</f>
        <v/>
      </c>
      <c r="AI164" s="5" t="n">
        <v>16.355</v>
      </c>
      <c r="AJ164" s="5">
        <f>IF(AI164&gt;12.7,IF(AI164&gt;15.8,0.93,0.98),1)</f>
        <v/>
      </c>
      <c r="AK164" s="5">
        <f>(1.5*AG164+AH164)*AJ164*AQ164</f>
        <v/>
      </c>
      <c r="AL164" s="4">
        <f>D164</f>
        <v/>
      </c>
      <c r="AM164" s="8">
        <f>B164</f>
        <v/>
      </c>
      <c r="AN164" t="n">
        <v>15</v>
      </c>
      <c r="AO164" s="61">
        <f>IF(Z164&lt;2.81,0,IF(AK164&gt;13.7,IF(Z164&lt;140,1,0),0))</f>
        <v/>
      </c>
      <c r="AP164" s="7">
        <f>IF(AK164&gt;13.93,IF(Z164&lt;300,IF(Z164&lt;35,IF(Z164&lt;6,3,2),1),0),0)</f>
        <v/>
      </c>
      <c r="AQ164" s="5" t="n">
        <v>1</v>
      </c>
      <c r="AR164" s="7">
        <f>IF(AO164=1,IF(AO164=AL164,1,0),5)</f>
        <v/>
      </c>
      <c r="AS164" s="5" t="n">
        <v>1</v>
      </c>
      <c r="AT164" s="5" t="n">
        <v>1</v>
      </c>
      <c r="AU164" s="5" t="n">
        <v>1</v>
      </c>
      <c r="AV164" s="5">
        <f>(AT164+AU164)/2</f>
        <v/>
      </c>
      <c r="AW164" s="5" t="n">
        <v>1</v>
      </c>
      <c r="AX164" s="4">
        <f>IF(AW164&gt;AV164,1,0)</f>
        <v/>
      </c>
      <c r="AY164" s="4">
        <f>(100*(AU164-AS164)/AS164)</f>
        <v/>
      </c>
      <c r="AZ164" s="4">
        <f>IF(AY164&lt;-50,-4,IF(AY164&lt;-20,-2,IF(AY164&lt;0,-1.5,IF(AY164=0,0,IF(AY164&lt;10,1.5,IF(AY164&lt;20,2,IF(AY164&gt;19,2.5,2.5)))))))</f>
        <v/>
      </c>
      <c r="BA164" s="7" t="n"/>
    </row>
    <row r="165" ht="12.75" customHeight="1">
      <c r="A165" t="inlineStr">
        <is>
          <t>https://www.chittorgarh.com/ipo/horizon-reclaim-india-ipo/2937/</t>
        </is>
      </c>
      <c r="B165" t="inlineStr">
        <is>
          <t>Horizon Reclaim (Indi</t>
        </is>
      </c>
      <c r="C165" t="inlineStr">
        <is>
          <t>2026</t>
        </is>
      </c>
      <c r="D165" s="11" t="n">
        <v>1</v>
      </c>
      <c r="E165" t="n">
        <v>10.03</v>
      </c>
      <c r="F165" t="n">
        <v>14.33</v>
      </c>
      <c r="G165" s="5">
        <f>100*(F165-E165)/F165</f>
        <v/>
      </c>
      <c r="H165" t="n">
        <v>26.08</v>
      </c>
      <c r="I165" t="n">
        <v>7.07</v>
      </c>
      <c r="J165" t="n">
        <v>21.25</v>
      </c>
      <c r="K165" t="n">
        <v>7.37</v>
      </c>
      <c r="L165" t="n">
        <v>53.63</v>
      </c>
      <c r="M165" t="n">
        <v>10.46</v>
      </c>
      <c r="N165" t="n">
        <v>32.64</v>
      </c>
      <c r="O165" t="n">
        <v>36.39</v>
      </c>
      <c r="P165" s="5">
        <f>O165/I165</f>
        <v/>
      </c>
      <c r="Q165" t="n">
        <v>13.97</v>
      </c>
      <c r="R165" s="2" t="n">
        <v>19.14</v>
      </c>
      <c r="S165" s="6" t="n">
        <v>0</v>
      </c>
      <c r="T165" t="n">
        <v>54.27</v>
      </c>
      <c r="U165" t="n">
        <v>0</v>
      </c>
      <c r="V165" t="n">
        <v>1</v>
      </c>
      <c r="W165" t="n">
        <v>1</v>
      </c>
      <c r="X165" t="n">
        <v>20</v>
      </c>
      <c r="Y165" t="n">
        <v>20</v>
      </c>
      <c r="Z165" t="n">
        <v>10</v>
      </c>
      <c r="AA165" s="5">
        <f>IF(X165&lt;50,IF(Y165&gt;(2.3*X165),0,1),1)-IF(Z165&gt;Y165,1.7,0)</f>
        <v/>
      </c>
      <c r="AB165" t="n">
        <v>4.85</v>
      </c>
      <c r="AC165" s="5">
        <f>IF(AB165&gt;4,1,0)+IF(AB165&gt;10,0.7,0)</f>
        <v/>
      </c>
      <c r="AD165" t="n">
        <v>895.77</v>
      </c>
      <c r="AE165" t="n">
        <v>78.03</v>
      </c>
      <c r="AF165" t="n">
        <v>97.38</v>
      </c>
      <c r="AG165" s="6">
        <f>IF(G165&lt;52,0,0.7)+IF(G165&lt;34,0,0.7)+IF(G165&lt;1,0,0.7)+IF(P165&gt;14.56,0,1)+IF(R165&lt;9,0.5,0)+IF(R165&lt;33.8,0.5,0)+IF(R165&lt;50,0.5,0)+IF(R165&lt;80,0.5,0)+IF(S165=5,0,S165)+IF(V165&gt;0,1,-1)+IF(AE165&lt;10.56,0,1)-IF(AE165&lt;3,1,0)-IF(AE165&lt;1,1,0)</f>
        <v/>
      </c>
      <c r="AH165" s="5">
        <f>AG165+IF(X165&lt;1.35,0,1)+IF(Y165&lt;1.35,0,1)+IF(Y165&lt;0.7,-1,0)+AC165+AA165</f>
        <v/>
      </c>
      <c r="AI165" s="5" t="n">
        <v>17.0475</v>
      </c>
      <c r="AJ165" s="5">
        <f>IF(AI165&gt;12.7,IF(AI165&gt;15.8,0.93,0.98),1)</f>
        <v/>
      </c>
      <c r="AK165" s="5">
        <f>(1.5*AG165+AH165)*AJ165*AQ165</f>
        <v/>
      </c>
      <c r="AL165" s="4">
        <f>D165</f>
        <v/>
      </c>
      <c r="AM165" s="8">
        <f>B165</f>
        <v/>
      </c>
      <c r="AN165" t="n">
        <v>16</v>
      </c>
      <c r="AO165" s="61">
        <f>IF(Z165&lt;2.81,0,IF(AK165&gt;13.7,IF(Z165&lt;140,1,0),0))</f>
        <v/>
      </c>
      <c r="AP165" s="7">
        <f>IF(AK165&gt;13.93,IF(Z165&lt;300,IF(Z165&lt;35,IF(Z165&lt;6,3,2),1),0),0)</f>
        <v/>
      </c>
      <c r="AQ165" s="5" t="n">
        <v>1</v>
      </c>
      <c r="AR165" s="7">
        <f>IF(AO165=1,IF(AO165=AL165,1,0),5)</f>
        <v/>
      </c>
      <c r="AS165" s="5" t="n">
        <v>1</v>
      </c>
      <c r="AT165" s="5" t="n">
        <v>1</v>
      </c>
      <c r="AU165" s="5" t="n">
        <v>1</v>
      </c>
      <c r="AV165" s="5">
        <f>(AT165+AU165)/2</f>
        <v/>
      </c>
      <c r="AW165" s="5" t="n">
        <v>1</v>
      </c>
      <c r="AX165" s="4">
        <f>IF(AW165&gt;AV165,1,0)</f>
        <v/>
      </c>
      <c r="AY165" s="4">
        <f>(100*(AU165-AS165)/AS165)</f>
        <v/>
      </c>
      <c r="AZ165" s="4">
        <f>IF(AY165&lt;-50,-4,IF(AY165&lt;-20,-2,IF(AY165&lt;0,-1.5,IF(AY165=0,0,IF(AY165&lt;10,1.5,IF(AY165&lt;20,2,IF(AY165&gt;19,2.5,2.5)))))))</f>
        <v/>
      </c>
      <c r="BA165" s="7" t="n"/>
    </row>
    <row r="166" ht="12.75" customHeight="1">
      <c r="A166" t="inlineStr">
        <is>
          <t>https://www.chittorgarh.com/ipo/crazy-snacks-ipo/2133/</t>
        </is>
      </c>
      <c r="B166" t="inlineStr">
        <is>
          <t xml:space="preserve">Crazy Snacks  Price, </t>
        </is>
      </c>
      <c r="C166" t="inlineStr">
        <is>
          <t>2026</t>
        </is>
      </c>
      <c r="D166" s="11" t="n">
        <v>1</v>
      </c>
      <c r="E166" t="n">
        <v>63.26</v>
      </c>
      <c r="F166" t="n">
        <v>36.82</v>
      </c>
      <c r="G166" s="5">
        <f>100*(F166-E166)/F166</f>
        <v/>
      </c>
      <c r="H166" t="n">
        <v>109.82</v>
      </c>
      <c r="I166" t="n">
        <v>6.33</v>
      </c>
      <c r="J166" t="n">
        <v>0</v>
      </c>
      <c r="K166" t="n">
        <v>3.53</v>
      </c>
      <c r="L166" t="n">
        <v>15</v>
      </c>
      <c r="M166" t="n">
        <v>0</v>
      </c>
      <c r="N166" t="n">
        <v>0</v>
      </c>
      <c r="O166" t="n">
        <v>111.63</v>
      </c>
      <c r="P166" s="5">
        <f>O166/I166</f>
        <v/>
      </c>
      <c r="Q166" t="n">
        <v>11.9</v>
      </c>
      <c r="R166" s="2" t="n">
        <v>12.57</v>
      </c>
      <c r="S166" s="6" t="n">
        <v>0</v>
      </c>
      <c r="T166" t="n">
        <v>0</v>
      </c>
      <c r="U166" t="n">
        <v>0</v>
      </c>
      <c r="V166" t="n">
        <v>0</v>
      </c>
      <c r="W166" t="n">
        <v>1</v>
      </c>
      <c r="X166" t="n">
        <v>4.75</v>
      </c>
      <c r="Y166" t="n">
        <v>1.08</v>
      </c>
      <c r="Z166" t="n">
        <v>1.26</v>
      </c>
      <c r="AA166" s="5">
        <f>IF(X166&lt;50,IF(Y166&gt;(2.3*X166),0,1),1)-IF(Z166&gt;Y166,1.7,0)</f>
        <v/>
      </c>
      <c r="AB166" t="n">
        <v>0</v>
      </c>
      <c r="AC166" s="5">
        <f>IF(AB166&gt;4,1,0)+IF(AB166&gt;10,0.7,0)</f>
        <v/>
      </c>
      <c r="AD166" t="n">
        <v>18.98</v>
      </c>
      <c r="AE166" t="n">
        <v>-13.52</v>
      </c>
      <c r="AF166" t="n">
        <v>17.82</v>
      </c>
      <c r="AG166" s="6">
        <f>IF(G166&lt;52,0,0.7)+IF(G166&lt;34,0,0.7)+IF(G166&lt;1,0,0.7)+IF(P166&gt;14.56,0,1)+IF(R166&lt;9,0.5,0)+IF(R166&lt;33.8,0.5,0)+IF(R166&lt;50,0.5,0)+IF(R166&lt;80,0.5,0)+IF(S166=5,0,S166)+IF(V166&gt;0,1,-1)+IF(AE166&lt;10.56,0,1)-IF(AE166&lt;3,1,0)-IF(AE166&lt;1,1,0)</f>
        <v/>
      </c>
      <c r="AH166" s="5">
        <f>AG166+IF(X166&lt;1.35,0,1)+IF(Y166&lt;1.35,0,1)+IF(Y166&lt;0.7,-1,0)+AC166+AA166</f>
        <v/>
      </c>
      <c r="AI166" s="5" t="n">
        <v>13.27</v>
      </c>
      <c r="AJ166" s="5">
        <f>IF(AI166&gt;12.7,IF(AI166&gt;15.8,0.93,0.98),1)</f>
        <v/>
      </c>
      <c r="AK166" s="5">
        <f>(1.5*AG166+AH166)*AJ166*AQ166</f>
        <v/>
      </c>
      <c r="AL166" s="4">
        <f>D166</f>
        <v/>
      </c>
      <c r="AM166" s="8">
        <f>B166</f>
        <v/>
      </c>
      <c r="AN166" t="n">
        <v>30</v>
      </c>
      <c r="AO166" s="61">
        <f>IF(Z166&lt;2.81,0,IF(AK166&gt;13.7,IF(Z166&lt;140,1,0),0))</f>
        <v/>
      </c>
      <c r="AP166" s="7">
        <f>IF(AK166&gt;13.93,IF(Z166&lt;300,IF(Z166&lt;35,IF(Z166&lt;6,3,2),1),0),0)</f>
        <v/>
      </c>
      <c r="AQ166" s="5" t="n">
        <v>1</v>
      </c>
      <c r="AR166" s="7">
        <f>IF(AO166=1,IF(AO166=AL166,1,0),5)</f>
        <v/>
      </c>
      <c r="AS166" s="5" t="n">
        <v>1</v>
      </c>
      <c r="AT166" s="5" t="n">
        <v>1</v>
      </c>
      <c r="AU166" s="5" t="n">
        <v>1</v>
      </c>
      <c r="AV166" s="5">
        <f>(AT166+AU166)/2</f>
        <v/>
      </c>
      <c r="AW166" s="5" t="n">
        <v>1</v>
      </c>
      <c r="AX166" s="4">
        <f>IF(AW166&gt;AV166,1,0)</f>
        <v/>
      </c>
      <c r="AY166" s="4">
        <f>(100*(AU166-AS166)/AS166)</f>
        <v/>
      </c>
      <c r="AZ166" s="4">
        <f>IF(AY166&lt;-50,-4,IF(AY166&lt;-20,-2,IF(AY166&lt;0,-1.5,IF(AY166=0,0,IF(AY166&lt;10,1.5,IF(AY166&lt;20,2,IF(AY166&gt;19,2.5,2.5)))))))</f>
        <v/>
      </c>
      <c r="BA166" s="7" t="n"/>
    </row>
    <row r="167" ht="12.75" customHeight="1">
      <c r="A167" t="inlineStr">
        <is>
          <t>https://www.chittorgarh.com/ipo/adon-agro-commodities-ipo/2467/</t>
        </is>
      </c>
      <c r="B167" t="inlineStr">
        <is>
          <t>Adon Agro Commodities</t>
        </is>
      </c>
      <c r="C167" t="inlineStr">
        <is>
          <t>2026</t>
        </is>
      </c>
      <c r="D167" s="11" t="n">
        <v>1</v>
      </c>
      <c r="E167" t="n">
        <v>4.74</v>
      </c>
      <c r="F167" t="n">
        <v>12.17</v>
      </c>
      <c r="G167" s="5">
        <f>100*(F167-E167)/F167</f>
        <v/>
      </c>
      <c r="H167" t="n">
        <v>39.11</v>
      </c>
      <c r="I167" t="n">
        <v>7.22</v>
      </c>
      <c r="J167" t="n">
        <v>7.5</v>
      </c>
      <c r="K167" t="n">
        <v>4.32</v>
      </c>
      <c r="L167" t="n">
        <v>88.16</v>
      </c>
      <c r="M167" t="n">
        <v>10.45</v>
      </c>
      <c r="N167" t="n">
        <v>10.89</v>
      </c>
      <c r="O167" t="n">
        <v>103.04</v>
      </c>
      <c r="P167" s="5">
        <f>O167/I167</f>
        <v/>
      </c>
      <c r="Q167" t="n">
        <v>16.22</v>
      </c>
      <c r="R167" s="2" t="n">
        <v>6.42</v>
      </c>
      <c r="S167" s="6" t="n">
        <v>0</v>
      </c>
      <c r="T167" t="n">
        <v>44.03</v>
      </c>
      <c r="U167" t="n">
        <v>0</v>
      </c>
      <c r="V167" t="n">
        <v>0</v>
      </c>
      <c r="W167" t="n">
        <v>1</v>
      </c>
      <c r="X167" t="n">
        <v>22.47</v>
      </c>
      <c r="Y167" t="n">
        <v>1.41</v>
      </c>
      <c r="Z167" t="n">
        <v>0.84</v>
      </c>
      <c r="AA167" s="5">
        <f>IF(X167&lt;50,IF(Y167&gt;(2.3*X167),0,1),1)-IF(Z167&gt;Y167,1.7,0)</f>
        <v/>
      </c>
      <c r="AB167" t="n">
        <v>0</v>
      </c>
      <c r="AC167" s="5">
        <f>IF(AB167&gt;4,1,0)+IF(AB167&gt;10,0.7,0)</f>
        <v/>
      </c>
      <c r="AD167" t="n">
        <v>303.35</v>
      </c>
      <c r="AE167" t="n">
        <v>41.31</v>
      </c>
      <c r="AF167" t="n">
        <v>145.86</v>
      </c>
      <c r="AG167" s="6">
        <f>IF(G167&lt;52,0,0.7)+IF(G167&lt;34,0,0.7)+IF(G167&lt;1,0,0.7)+IF(P167&gt;14.56,0,1)+IF(R167&lt;9,0.5,0)+IF(R167&lt;33.8,0.5,0)+IF(R167&lt;50,0.5,0)+IF(R167&lt;80,0.5,0)+IF(S167=5,0,S167)+IF(V167&gt;0,1,-1)+IF(AE167&lt;10.56,0,1)-IF(AE167&lt;3,1,0)-IF(AE167&lt;1,1,0)</f>
        <v/>
      </c>
      <c r="AH167" s="5">
        <f>AG167+IF(X167&lt;1.35,0,1)+IF(Y167&lt;1.35,0,1)+IF(Y167&lt;0.7,-1,0)+AC167+AA167</f>
        <v/>
      </c>
      <c r="AI167" s="5" t="n">
        <v>13.27</v>
      </c>
      <c r="AJ167" s="5">
        <f>IF(AI167&gt;12.7,IF(AI167&gt;15.8,0.93,0.98),1)</f>
        <v/>
      </c>
      <c r="AK167" s="5">
        <f>(1.5*AG167+AH167)*AJ167*AQ167</f>
        <v/>
      </c>
      <c r="AL167" s="4">
        <f>D167</f>
        <v/>
      </c>
      <c r="AM167" s="8">
        <f>B167</f>
        <v/>
      </c>
      <c r="AN167" t="n">
        <v>1</v>
      </c>
      <c r="AO167" s="61">
        <f>IF(Z167&lt;2.81,0,IF(AK167&gt;13.7,IF(Z167&lt;140,1,0),0))</f>
        <v/>
      </c>
      <c r="AP167" s="7">
        <f>IF(AK167&gt;13.93,IF(Z167&lt;300,IF(Z167&lt;35,IF(Z167&lt;6,3,2),1),0),0)</f>
        <v/>
      </c>
      <c r="AQ167" s="5" t="n">
        <v>1</v>
      </c>
      <c r="AR167" s="7">
        <f>IF(AO167=1,IF(AO167=AL167,1,0),5)</f>
        <v/>
      </c>
      <c r="AS167" s="5" t="n">
        <v>1</v>
      </c>
      <c r="AT167" s="5" t="n">
        <v>1</v>
      </c>
      <c r="AU167" s="5" t="n">
        <v>1</v>
      </c>
      <c r="AV167" s="5">
        <f>(AT167+AU167)/2</f>
        <v/>
      </c>
      <c r="AW167" s="5" t="n">
        <v>1</v>
      </c>
      <c r="AX167" s="4">
        <f>IF(AW167&gt;AV167,1,0)</f>
        <v/>
      </c>
      <c r="AY167" s="4">
        <f>(100*(AU167-AS167)/AS167)</f>
        <v/>
      </c>
      <c r="AZ167" s="4">
        <f>IF(AY167&lt;-50,-4,IF(AY167&lt;-20,-2,IF(AY167&lt;0,-1.5,IF(AY167=0,0,IF(AY167&lt;10,1.5,IF(AY167&lt;20,2,IF(AY167&gt;19,2.5,2.5)))))))</f>
        <v/>
      </c>
      <c r="BA167" s="7" t="n"/>
    </row>
    <row r="168" ht="12.75" customHeight="1">
      <c r="A168" t="inlineStr">
        <is>
          <t>https://www.chittorgarh.com/ipo/kratikal-tech-ipo/2844/</t>
        </is>
      </c>
      <c r="B168" t="inlineStr">
        <is>
          <t>Kratikal Tech  Price,</t>
        </is>
      </c>
      <c r="C168" t="inlineStr">
        <is>
          <t>2026</t>
        </is>
      </c>
      <c r="D168" s="11" t="n">
        <v>1</v>
      </c>
      <c r="E168" t="n">
        <v>0.01</v>
      </c>
      <c r="F168" t="n">
        <v>11.13</v>
      </c>
      <c r="G168" s="5">
        <f>100*(F168-E168)/F168</f>
        <v/>
      </c>
      <c r="H168" t="n">
        <v>15.58</v>
      </c>
      <c r="I168" t="n">
        <v>3.81</v>
      </c>
      <c r="J168" t="n">
        <v>16.73</v>
      </c>
      <c r="K168" t="n">
        <v>7.53</v>
      </c>
      <c r="L168" t="n">
        <v>34.95</v>
      </c>
      <c r="M168" t="n">
        <v>5.51</v>
      </c>
      <c r="N168" t="n">
        <v>24.73</v>
      </c>
      <c r="O168" t="n">
        <v>21.15</v>
      </c>
      <c r="P168" s="5">
        <f>O168/I168</f>
        <v/>
      </c>
      <c r="Q168" t="n">
        <v>17.94</v>
      </c>
      <c r="R168" s="2" t="n">
        <v>24.4</v>
      </c>
      <c r="S168" s="6" t="n">
        <v>0</v>
      </c>
      <c r="T168" t="n">
        <v>39.69</v>
      </c>
      <c r="U168" t="n">
        <v>0</v>
      </c>
      <c r="V168" t="n">
        <v>1</v>
      </c>
      <c r="W168" t="n">
        <v>1</v>
      </c>
      <c r="X168" t="n">
        <v>145.82</v>
      </c>
      <c r="Y168" t="n">
        <v>324.64</v>
      </c>
      <c r="Z168" t="n">
        <v>218.48</v>
      </c>
      <c r="AA168" s="5">
        <f>IF(X168&lt;50,IF(Y168&gt;(2.3*X168),0,1),1)-IF(Z168&gt;Y168,1.7,0)</f>
        <v/>
      </c>
      <c r="AB168" t="n">
        <v>0</v>
      </c>
      <c r="AC168" s="5">
        <f>IF(AB168&gt;4,1,0)+IF(AB168&gt;10,0.7,0)</f>
        <v/>
      </c>
      <c r="AD168" t="n">
        <v>19.06</v>
      </c>
      <c r="AE168" t="n">
        <v>59.26</v>
      </c>
      <c r="AF168" t="n">
        <v>69.66</v>
      </c>
      <c r="AG168" s="6">
        <f>IF(G168&lt;52,0,0.7)+IF(G168&lt;34,0,0.7)+IF(G168&lt;1,0,0.7)+IF(P168&gt;14.56,0,1)+IF(R168&lt;9,0.5,0)+IF(R168&lt;33.8,0.5,0)+IF(R168&lt;50,0.5,0)+IF(R168&lt;80,0.5,0)+IF(S168=5,0,S168)+IF(V168&gt;0,1,-1)+IF(AE168&lt;10.56,0,1)-IF(AE168&lt;3,1,0)-IF(AE168&lt;1,1,0)</f>
        <v/>
      </c>
      <c r="AH168" s="5">
        <f>AG168+IF(X168&lt;1.35,0,1)+IF(Y168&lt;1.35,0,1)+IF(Y168&lt;0.7,-1,0)+AC168+AA168</f>
        <v/>
      </c>
      <c r="AI168" s="5" t="n">
        <v>13.27</v>
      </c>
      <c r="AJ168" s="5">
        <f>IF(AI168&gt;12.7,IF(AI168&gt;15.8,0.93,0.98),1)</f>
        <v/>
      </c>
      <c r="AK168" s="5">
        <f>(1.5*AG168+AH168)*AJ168*AQ168</f>
        <v/>
      </c>
      <c r="AL168" s="4">
        <f>D168</f>
        <v/>
      </c>
      <c r="AM168" s="8">
        <f>B168</f>
        <v/>
      </c>
      <c r="AN168" s="96" t="n">
        <v>2</v>
      </c>
      <c r="AO168" s="61">
        <f>IF(Z168&lt;2.81,0,IF(AK168&gt;13.7,IF(Z168&lt;140,1,0),0))</f>
        <v/>
      </c>
      <c r="AP168" s="7">
        <f>IF(AK168&gt;13.93,IF(Z168&lt;300,IF(Z168&lt;35,IF(Z168&lt;6,3,2),1),0),0)</f>
        <v/>
      </c>
      <c r="AQ168" s="5" t="n">
        <v>0.95</v>
      </c>
      <c r="AR168" s="7">
        <f>IF(AO168=1,IF(AO168=AL168,1,0),5)</f>
        <v/>
      </c>
      <c r="AS168" s="5" t="n">
        <v>1</v>
      </c>
      <c r="AT168" s="5" t="n">
        <v>1</v>
      </c>
      <c r="AU168" s="5" t="n">
        <v>1</v>
      </c>
      <c r="AV168" s="5">
        <f>(AT168+AU168)/2</f>
        <v/>
      </c>
      <c r="AW168" s="5" t="n">
        <v>1</v>
      </c>
      <c r="AX168" s="4">
        <f>IF(AW168&gt;AV168,1,0)</f>
        <v/>
      </c>
      <c r="AY168" s="4">
        <f>(100*(AU168-AS168)/AS168)</f>
        <v/>
      </c>
      <c r="AZ168" s="4">
        <f>IF(AY168&lt;-50,-4,IF(AY168&lt;-20,-2,IF(AY168&lt;0,-1.5,IF(AY168=0,0,IF(AY168&lt;10,1.5,IF(AY168&lt;20,2,IF(AY168&gt;19,2.5,2.5)))))))</f>
        <v/>
      </c>
      <c r="BA168" s="7" t="n"/>
    </row>
    <row r="169" ht="12.75" customHeight="1">
      <c r="A169" t="inlineStr">
        <is>
          <t>https://www.chittorgarh.com/ipo/vinit-mobile-ipo/2831/</t>
        </is>
      </c>
      <c r="B169" t="inlineStr">
        <is>
          <t xml:space="preserve">Vinit Mobile  Price, </t>
        </is>
      </c>
      <c r="C169" t="inlineStr">
        <is>
          <t>2026</t>
        </is>
      </c>
      <c r="D169" t="n">
        <v>0</v>
      </c>
      <c r="E169" t="n">
        <v>3.04</v>
      </c>
      <c r="F169" t="n">
        <v>4.6</v>
      </c>
      <c r="G169" s="5">
        <f>100*(F169-E169)/F169</f>
        <v/>
      </c>
      <c r="H169" t="n">
        <v>13.34</v>
      </c>
      <c r="I169" t="n">
        <v>3.9</v>
      </c>
      <c r="J169" t="n">
        <v>9.119999999999999</v>
      </c>
      <c r="K169" t="n">
        <v>9.73</v>
      </c>
      <c r="L169" t="n">
        <v>52.61</v>
      </c>
      <c r="M169" t="n">
        <v>5.72</v>
      </c>
      <c r="N169" t="n">
        <v>13.6</v>
      </c>
      <c r="O169" t="n">
        <v>60.63</v>
      </c>
      <c r="P169" s="5">
        <f>O169/I169</f>
        <v/>
      </c>
      <c r="Q169" t="n">
        <v>16.24</v>
      </c>
      <c r="R169" s="2" t="n">
        <v>14.31</v>
      </c>
      <c r="S169" s="6" t="n">
        <v>0</v>
      </c>
      <c r="T169" t="n">
        <v>34.13</v>
      </c>
      <c r="U169" t="n">
        <v>0</v>
      </c>
      <c r="V169" t="n">
        <v>0</v>
      </c>
      <c r="W169" t="n">
        <v>0</v>
      </c>
      <c r="X169" t="n">
        <v>1</v>
      </c>
      <c r="Y169" t="n">
        <v>0.8</v>
      </c>
      <c r="Z169" t="n">
        <v>2.18</v>
      </c>
      <c r="AA169" s="5">
        <f>IF(X169&lt;50,IF(Y169&gt;(2.3*X169),0,1),1)-IF(Z169&gt;Y169,1.7,0)</f>
        <v/>
      </c>
      <c r="AC169" s="5">
        <f>IF(AB169&gt;4,1,0)+IF(AB169&gt;10,0.7,0)</f>
        <v/>
      </c>
      <c r="AD169" t="n">
        <v>441.67</v>
      </c>
      <c r="AE169" t="n">
        <v>112.07</v>
      </c>
      <c r="AF169" t="n">
        <v>557.14</v>
      </c>
      <c r="AG169" s="6">
        <f>IF(G169&lt;52,0,0.7)+IF(G169&lt;34,0,0.7)+IF(G169&lt;1,0,0.7)+IF(P169&gt;14.56,0,1)+IF(R169&lt;9,0.5,0)+IF(R169&lt;33.8,0.5,0)+IF(R169&lt;50,0.5,0)+IF(R169&lt;80,0.5,0)+IF(S169=5,0,S169)+IF(V169&gt;0,1,-1)+IF(AE169&lt;10.56,0,1)-IF(AE169&lt;3,1,0)-IF(AE169&lt;1,1,0)</f>
        <v/>
      </c>
      <c r="AH169" s="5">
        <f>AG169+IF(X169&lt;1.35,0,1)+IF(Y169&lt;1.35,0,1)+IF(Y169&lt;0.7,-1,0)+AC169+AA169</f>
        <v/>
      </c>
      <c r="AI169" s="5" t="n">
        <v>13.27</v>
      </c>
      <c r="AJ169" s="5">
        <f>IF(AI169&gt;12.7,IF(AI169&gt;15.8,0.93,0.98),1)</f>
        <v/>
      </c>
      <c r="AK169" s="5">
        <f>(1.5*AG169+AH169)*AJ169*AQ169</f>
        <v/>
      </c>
      <c r="AL169" s="4">
        <f>D169</f>
        <v/>
      </c>
      <c r="AM169" s="8">
        <f>B169</f>
        <v/>
      </c>
      <c r="AN169" s="96" t="n">
        <v>2</v>
      </c>
      <c r="AO169" s="61">
        <f>IF(Z169&lt;2.81,0,IF(AK169&gt;13.7,IF(Z169&lt;140,1,0),0))</f>
        <v/>
      </c>
      <c r="AP169" s="7">
        <f>IF(AK169&gt;13.93,IF(Z169&lt;300,IF(Z169&lt;35,IF(Z169&lt;6,3,2),1),0),0)</f>
        <v/>
      </c>
      <c r="AQ169" s="5" t="n">
        <v>1</v>
      </c>
      <c r="AR169" s="7">
        <f>IF(AO169=1,IF(AO169=AL169,1,0),5)</f>
        <v/>
      </c>
      <c r="AS169" s="5" t="n">
        <v>1</v>
      </c>
      <c r="AT169" s="5" t="n">
        <v>1</v>
      </c>
      <c r="AU169" s="5" t="n">
        <v>1</v>
      </c>
      <c r="AV169" s="5">
        <f>(AT169+AU169)/2</f>
        <v/>
      </c>
      <c r="AW169" s="5" t="n">
        <v>1</v>
      </c>
      <c r="AX169" s="4">
        <f>IF(AW169&gt;AV169,1,0)</f>
        <v/>
      </c>
      <c r="AY169" s="4">
        <f>(100*(AU169-AS169)/AS169)</f>
        <v/>
      </c>
      <c r="AZ169" s="4">
        <f>IF(AY169&lt;-50,-4,IF(AY169&lt;-20,-2,IF(AY169&lt;0,-1.5,IF(AY169=0,0,IF(AY169&lt;10,1.5,IF(AY169&lt;20,2,IF(AY169&gt;19,2.5,2.5)))))))</f>
        <v/>
      </c>
      <c r="BA169" s="7" t="n"/>
    </row>
    <row r="170" ht="12.75" customHeight="1">
      <c r="A170" t="inlineStr">
        <is>
          <t>https://www.chittorgarh.com/ipo/sampark-india-logistics-ipo/2711/</t>
        </is>
      </c>
      <c r="B170" t="inlineStr">
        <is>
          <t>Sampark India Logisti</t>
        </is>
      </c>
      <c r="C170" t="inlineStr">
        <is>
          <t>2026</t>
        </is>
      </c>
      <c r="D170" s="11" t="n">
        <v>1</v>
      </c>
      <c r="E170" t="n">
        <v>33.55</v>
      </c>
      <c r="F170" t="n">
        <v>37.61</v>
      </c>
      <c r="G170" s="5">
        <f>100*(F170-E170)/F170</f>
        <v/>
      </c>
      <c r="H170" t="n">
        <v>110.45</v>
      </c>
      <c r="I170" t="n">
        <v>8.76</v>
      </c>
      <c r="J170" t="n">
        <v>4.14</v>
      </c>
      <c r="K170" t="n">
        <v>9.710000000000001</v>
      </c>
      <c r="L170" t="n">
        <v>14.39</v>
      </c>
      <c r="M170" t="n">
        <v>16.16</v>
      </c>
      <c r="N170" t="n">
        <v>8.48</v>
      </c>
      <c r="O170" t="n">
        <v>201.62</v>
      </c>
      <c r="P170" s="5">
        <f>O170/I170</f>
        <v/>
      </c>
      <c r="Q170" t="n">
        <v>8.65</v>
      </c>
      <c r="R170" s="2" t="n">
        <v>12.22</v>
      </c>
      <c r="S170" s="6" t="n">
        <v>0</v>
      </c>
      <c r="T170" t="n">
        <v>27.22</v>
      </c>
      <c r="U170" t="n">
        <v>0</v>
      </c>
      <c r="V170" t="n">
        <v>1</v>
      </c>
      <c r="W170" t="n">
        <v>1</v>
      </c>
      <c r="X170" t="n">
        <v>1.55</v>
      </c>
      <c r="Y170" t="n">
        <v>10.11</v>
      </c>
      <c r="Z170" t="n">
        <v>4.65</v>
      </c>
      <c r="AA170" s="5">
        <f>IF(X170&lt;50,IF(Y170&gt;(2.3*X170),0,1),1)-IF(Z170&gt;Y170,1.7,0)</f>
        <v/>
      </c>
      <c r="AB170" t="n">
        <v>0</v>
      </c>
      <c r="AC170" s="5">
        <f>IF(AB170&gt;4,1,0)+IF(AB170&gt;10,0.7,0)</f>
        <v/>
      </c>
      <c r="AD170" t="n">
        <v>37.52</v>
      </c>
      <c r="AE170" t="n">
        <v>10.4</v>
      </c>
      <c r="AF170" t="n">
        <v>30.36</v>
      </c>
      <c r="AG170" s="6">
        <f>IF(G170&lt;52,0,0.7)+IF(G170&lt;34,0,0.7)+IF(G170&lt;1,0,0.7)+IF(P170&gt;14.56,0,1)+IF(R170&lt;9,0.5,0)+IF(R170&lt;33.8,0.5,0)+IF(R170&lt;50,0.5,0)+IF(R170&lt;80,0.5,0)+IF(S170=5,0,S170)+IF(V170&gt;0,1,-1)+IF(AE170&lt;10.56,0,1)-IF(AE170&lt;3,1,0)-IF(AE170&lt;1,1,0)</f>
        <v/>
      </c>
      <c r="AH170" s="5">
        <f>AG170+IF(X170&lt;1.35,0,1)+IF(Y170&lt;1.35,0,1)+IF(Y170&lt;0.7,-1,0)+AC170+AA170</f>
        <v/>
      </c>
      <c r="AI170" s="5" t="n">
        <v>13.27</v>
      </c>
      <c r="AJ170" s="5">
        <f>IF(AI170&gt;12.7,IF(AI170&gt;15.8,0.93,0.98),1)</f>
        <v/>
      </c>
      <c r="AK170" s="5">
        <f>(1.5*AG170+AH170)*AJ170*AQ170</f>
        <v/>
      </c>
      <c r="AL170" s="4">
        <f>D170</f>
        <v/>
      </c>
      <c r="AM170" s="8">
        <f>B170</f>
        <v/>
      </c>
      <c r="AN170" s="96" t="n">
        <v>2</v>
      </c>
      <c r="AO170" s="61">
        <f>IF(Z170&lt;2.81,0,IF(AK170&gt;13.7,IF(Z170&lt;140,1,0),0))</f>
        <v/>
      </c>
      <c r="AP170" s="7">
        <f>IF(AK170&gt;13.93,IF(Z170&lt;300,IF(Z170&lt;35,IF(Z170&lt;6,3,2),1),0),0)</f>
        <v/>
      </c>
      <c r="AQ170" s="5" t="n">
        <v>1</v>
      </c>
      <c r="AR170" s="7">
        <f>IF(AO170=1,IF(AO170=AL170,1,0),5)</f>
        <v/>
      </c>
      <c r="AS170" s="5" t="n">
        <v>1</v>
      </c>
      <c r="AT170" s="5" t="n">
        <v>1</v>
      </c>
      <c r="AU170" s="5" t="n">
        <v>1</v>
      </c>
      <c r="AV170" s="5">
        <f>(AT170+AU170)/2</f>
        <v/>
      </c>
      <c r="AW170" s="5" t="n">
        <v>1</v>
      </c>
      <c r="AX170" s="4">
        <f>IF(AW170&gt;AV170,1,0)</f>
        <v/>
      </c>
      <c r="AY170" s="4">
        <f>(100*(AU170-AS170)/AS170)</f>
        <v/>
      </c>
      <c r="AZ170" s="4">
        <f>IF(AY170&lt;-50,-4,IF(AY170&lt;-20,-2,IF(AY170&lt;0,-1.5,IF(AY170=0,0,IF(AY170&lt;10,1.5,IF(AY170&lt;20,2,IF(AY170&gt;19,2.5,2.5)))))))</f>
        <v/>
      </c>
      <c r="BA170" s="7" t="n"/>
    </row>
    <row r="171" ht="12.75" customHeight="1">
      <c r="A171" t="inlineStr">
        <is>
          <t>https://www.chittorgarh.com/ipo/seemax-resources-ipo/2707/</t>
        </is>
      </c>
      <c r="B171" t="inlineStr">
        <is>
          <t>Seemax Resources  Pri</t>
        </is>
      </c>
      <c r="C171" t="inlineStr">
        <is>
          <t>2026</t>
        </is>
      </c>
      <c r="D171" t="n">
        <v>0</v>
      </c>
      <c r="E171" t="n">
        <v>9.68</v>
      </c>
      <c r="F171" t="n">
        <v>5.72</v>
      </c>
      <c r="G171" s="5">
        <f>100*(F171-E171)/F171</f>
        <v/>
      </c>
      <c r="H171" t="n">
        <v>18.46</v>
      </c>
      <c r="I171" t="n">
        <v>2.24</v>
      </c>
      <c r="J171" t="n">
        <v>19.52</v>
      </c>
      <c r="K171" t="n">
        <v>7.46</v>
      </c>
      <c r="L171" t="n">
        <v>32.8</v>
      </c>
      <c r="M171" t="n">
        <v>4.85</v>
      </c>
      <c r="N171" t="n">
        <v>30.55</v>
      </c>
      <c r="O171" t="n">
        <v>14.46</v>
      </c>
      <c r="P171" s="5">
        <f>O171/I171</f>
        <v/>
      </c>
      <c r="Q171" t="n">
        <v>18.91</v>
      </c>
      <c r="R171" s="2" t="n">
        <v>20.74</v>
      </c>
      <c r="S171" s="6" t="n">
        <v>0</v>
      </c>
      <c r="T171" t="n">
        <v>19.74</v>
      </c>
      <c r="U171" t="n">
        <v>0</v>
      </c>
      <c r="V171" t="n">
        <v>0</v>
      </c>
      <c r="W171" t="n">
        <v>1</v>
      </c>
      <c r="X171" t="n">
        <v>17.19</v>
      </c>
      <c r="Y171" t="n">
        <v>4.08</v>
      </c>
      <c r="Z171" t="n">
        <v>1.52</v>
      </c>
      <c r="AA171" s="5">
        <f>IF(X171&lt;50,IF(Y171&gt;(2.3*X171),0,1),1)-IF(Z171&gt;Y171,1.7,0)</f>
        <v/>
      </c>
      <c r="AB171" t="n">
        <v>0</v>
      </c>
      <c r="AC171" s="5">
        <f>IF(AB171&gt;4,1,0)+IF(AB171&gt;10,0.7,0)</f>
        <v/>
      </c>
      <c r="AD171" t="n">
        <v>56.64</v>
      </c>
      <c r="AE171" t="n">
        <v>26.73</v>
      </c>
      <c r="AF171" t="n">
        <v>64.37</v>
      </c>
      <c r="AG171" s="6">
        <f>IF(G171&lt;52,0,0.7)+IF(G171&lt;34,0,0.7)+IF(G171&lt;1,0,0.7)+IF(P171&gt;14.56,0,1)+IF(R171&lt;9,0.5,0)+IF(R171&lt;33.8,0.5,0)+IF(R171&lt;50,0.5,0)+IF(R171&lt;80,0.5,0)+IF(S171=5,0,S171)+IF(V171&gt;0,1,-1)+IF(AE171&lt;10.56,0,1)-IF(AE171&lt;3,1,0)-IF(AE171&lt;1,1,0)</f>
        <v/>
      </c>
      <c r="AH171" s="5">
        <f>AG171+IF(X171&lt;1.35,0,1)+IF(Y171&lt;1.35,0,1)+IF(Y171&lt;0.7,-1,0)+AC171+AA171</f>
        <v/>
      </c>
      <c r="AI171" s="5" t="n">
        <v>13.27</v>
      </c>
      <c r="AJ171" s="5">
        <f>IF(AI171&gt;12.7,IF(AI171&gt;15.8,0.93,0.98),1)</f>
        <v/>
      </c>
      <c r="AK171" s="5">
        <f>(1.5*AG171+AH171)*AJ171*AQ171</f>
        <v/>
      </c>
      <c r="AL171" s="4">
        <f>D171</f>
        <v/>
      </c>
      <c r="AM171" s="8">
        <f>B171</f>
        <v/>
      </c>
      <c r="AN171" s="96" t="n">
        <v>2</v>
      </c>
      <c r="AO171" s="61">
        <f>IF(Z171&lt;2.81,0,IF(AK171&gt;13.7,IF(Z171&lt;140,1,0),0))</f>
        <v/>
      </c>
      <c r="AP171" s="7">
        <f>IF(AK171&gt;13.93,IF(Z171&lt;300,IF(Z171&lt;35,IF(Z171&lt;6,3,2),1),0),0)</f>
        <v/>
      </c>
      <c r="AQ171" s="5" t="n">
        <v>1</v>
      </c>
      <c r="AR171" s="7">
        <f>IF(AO171=1,IF(AO171=AL171,1,0),5)</f>
        <v/>
      </c>
      <c r="AS171" s="5" t="n">
        <v>1</v>
      </c>
      <c r="AT171" s="5" t="n">
        <v>1</v>
      </c>
      <c r="AU171" s="5" t="n">
        <v>1</v>
      </c>
      <c r="AV171" s="5">
        <f>(AT171+AU171)/2</f>
        <v/>
      </c>
      <c r="AW171" s="5" t="n">
        <v>1</v>
      </c>
      <c r="AX171" s="4">
        <f>IF(AW171&gt;AV171,1,0)</f>
        <v/>
      </c>
      <c r="AY171" s="4">
        <f>(100*(AU171-AS171)/AS171)</f>
        <v/>
      </c>
      <c r="AZ171" s="4">
        <f>IF(AY171&lt;-50,-4,IF(AY171&lt;-20,-2,IF(AY171&lt;0,-1.5,IF(AY171=0,0,IF(AY171&lt;10,1.5,IF(AY171&lt;20,2,IF(AY171&gt;19,2.5,2.5)))))))</f>
        <v/>
      </c>
      <c r="BA171" s="7" t="n"/>
    </row>
    <row r="172" ht="12.75" customHeight="1">
      <c r="A172" t="inlineStr">
        <is>
          <t>https://www.chittorgarh.com/ipo/atharva-polyplast-ipo/2653/</t>
        </is>
      </c>
      <c r="B172" t="inlineStr">
        <is>
          <t>Atharva Polyplast  Pr</t>
        </is>
      </c>
      <c r="C172" t="inlineStr">
        <is>
          <t>2026</t>
        </is>
      </c>
      <c r="D172" s="11" t="n">
        <v>1</v>
      </c>
      <c r="E172" t="n">
        <v>7.91</v>
      </c>
      <c r="F172" t="n">
        <v>13.01</v>
      </c>
      <c r="G172" s="5">
        <f>100*(F172-E172)/F172</f>
        <v/>
      </c>
      <c r="H172" t="n">
        <v>30.88</v>
      </c>
      <c r="I172" t="n">
        <v>5.29</v>
      </c>
      <c r="J172" t="n">
        <v>11.14</v>
      </c>
      <c r="K172" t="n">
        <v>4.28</v>
      </c>
      <c r="L172" t="n">
        <v>30.74</v>
      </c>
      <c r="M172" t="n">
        <v>9.19</v>
      </c>
      <c r="N172" t="n">
        <v>19.71</v>
      </c>
      <c r="O172" t="n">
        <v>49.06</v>
      </c>
      <c r="P172" s="5">
        <f>O172/I172</f>
        <v/>
      </c>
      <c r="Q172" t="n">
        <v>14.02</v>
      </c>
      <c r="R172" s="2" t="n">
        <v>17.83</v>
      </c>
      <c r="S172" s="6" t="n">
        <v>0</v>
      </c>
      <c r="T172" t="n">
        <v>27</v>
      </c>
      <c r="U172" t="n">
        <v>0</v>
      </c>
      <c r="V172" t="n">
        <v>1</v>
      </c>
      <c r="W172" t="n">
        <v>1</v>
      </c>
      <c r="X172" t="n">
        <v>3.58</v>
      </c>
      <c r="Y172" t="n">
        <v>18.91</v>
      </c>
      <c r="Z172" t="n">
        <v>11.32</v>
      </c>
      <c r="AA172" s="5">
        <f>IF(X172&lt;50,IF(Y172&gt;(2.3*X172),0,1),1)-IF(Z172&gt;Y172,1.7,0)</f>
        <v/>
      </c>
      <c r="AB172" t="n">
        <v>0</v>
      </c>
      <c r="AC172" s="5">
        <f>IF(AB172&gt;4,1,0)+IF(AB172&gt;10,0.7,0)</f>
        <v/>
      </c>
      <c r="AD172" t="n">
        <v>164.5</v>
      </c>
      <c r="AE172" t="n">
        <v>13.85</v>
      </c>
      <c r="AF172" t="n">
        <v>68.52</v>
      </c>
      <c r="AG172" s="6">
        <f>IF(G172&lt;52,0,0.7)+IF(G172&lt;34,0,0.7)+IF(G172&lt;1,0,0.7)+IF(P172&gt;14.56,0,1)+IF(R172&lt;9,0.5,0)+IF(R172&lt;33.8,0.5,0)+IF(R172&lt;50,0.5,0)+IF(R172&lt;80,0.5,0)+IF(S172=5,0,S172)+IF(V172&gt;0,1,-1)+IF(AE172&lt;10.56,0,1)-IF(AE172&lt;3,1,0)-IF(AE172&lt;1,1,0)</f>
        <v/>
      </c>
      <c r="AH172" s="5">
        <f>AG172+IF(X172&lt;1.35,0,1)+IF(Y172&lt;1.35,0,1)+IF(Y172&lt;0.7,-1,0)+AC172+AA172</f>
        <v/>
      </c>
      <c r="AI172" s="5" t="n">
        <v>13.27</v>
      </c>
      <c r="AJ172" s="5">
        <f>IF(AI172&gt;12.7,IF(AI172&gt;15.8,0.93,0.98),1)</f>
        <v/>
      </c>
      <c r="AK172" s="5">
        <f>(1.5*AG172+AH172)*AJ172*AQ172</f>
        <v/>
      </c>
      <c r="AL172" s="4">
        <f>D172</f>
        <v/>
      </c>
      <c r="AM172" s="8">
        <f>B172</f>
        <v/>
      </c>
      <c r="AN172" s="96" t="n">
        <v>2</v>
      </c>
      <c r="AO172" s="61">
        <f>IF(Z172&lt;2.81,0,IF(AK172&gt;13.7,IF(Z172&lt;140,1,0),0))</f>
        <v/>
      </c>
      <c r="AP172" s="7">
        <f>IF(AK172&gt;13.93,IF(Z172&lt;300,IF(Z172&lt;35,IF(Z172&lt;6,3,2),1),0),0)</f>
        <v/>
      </c>
      <c r="AQ172" s="5" t="n">
        <v>1</v>
      </c>
      <c r="AR172" s="7">
        <f>IF(AO172=1,IF(AO172=AL172,1,0),5)</f>
        <v/>
      </c>
      <c r="AS172" s="5" t="n">
        <v>1</v>
      </c>
      <c r="AT172" s="5" t="n">
        <v>1</v>
      </c>
      <c r="AU172" s="5" t="n">
        <v>1</v>
      </c>
      <c r="AV172" s="5">
        <f>(AT172+AU172)/2</f>
        <v/>
      </c>
      <c r="AW172" s="5" t="n">
        <v>1</v>
      </c>
      <c r="AX172" s="4">
        <f>IF(AW172&gt;AV172,1,0)</f>
        <v/>
      </c>
      <c r="AY172" s="4">
        <f>(100*(AU172-AS172)/AS172)</f>
        <v/>
      </c>
      <c r="AZ172" s="4">
        <f>IF(AY172&lt;-50,-4,IF(AY172&lt;-20,-2,IF(AY172&lt;0,-1.5,IF(AY172=0,0,IF(AY172&lt;10,1.5,IF(AY172&lt;20,2,IF(AY172&gt;19,2.5,2.5)))))))</f>
        <v/>
      </c>
      <c r="BA172" s="7" t="n"/>
    </row>
    <row r="173" ht="12.75" customHeight="1">
      <c r="A173" t="inlineStr">
        <is>
          <t>https://www.chittorgarh.com/ipo/teja-engineering-industries-ipo/2308/</t>
        </is>
      </c>
      <c r="B173" t="inlineStr">
        <is>
          <t>Teja Engineering Indu</t>
        </is>
      </c>
      <c r="C173" t="inlineStr">
        <is>
          <t>2026</t>
        </is>
      </c>
      <c r="D173" t="n">
        <v>1</v>
      </c>
      <c r="E173" t="n">
        <v>12.85</v>
      </c>
      <c r="F173" t="n">
        <v>12.61</v>
      </c>
      <c r="G173" s="5">
        <f>100*(F173-E173)/F173</f>
        <v/>
      </c>
      <c r="H173" t="n">
        <v>33.09</v>
      </c>
      <c r="I173" t="n">
        <v>4.02</v>
      </c>
      <c r="J173" t="n">
        <v>7.37</v>
      </c>
      <c r="K173" t="n">
        <v>8.51</v>
      </c>
      <c r="L173" t="n">
        <v>32.94</v>
      </c>
      <c r="M173" t="n">
        <v>6.86</v>
      </c>
      <c r="N173" t="n">
        <v>13.02</v>
      </c>
      <c r="O173" t="n">
        <v>55.23</v>
      </c>
      <c r="P173" s="5">
        <f>O173/I173</f>
        <v/>
      </c>
      <c r="Q173" t="n">
        <v>25.85</v>
      </c>
      <c r="R173" s="2" t="n">
        <v>26.44</v>
      </c>
      <c r="S173" s="6" t="n">
        <v>0</v>
      </c>
      <c r="T173" t="n">
        <v>37.36</v>
      </c>
      <c r="U173" t="n">
        <v>0</v>
      </c>
      <c r="V173" t="n">
        <v>0</v>
      </c>
      <c r="W173" t="n">
        <v>1</v>
      </c>
      <c r="X173" t="n">
        <v>0</v>
      </c>
      <c r="Y173" t="n">
        <v>1.81</v>
      </c>
      <c r="Z173" t="n">
        <v>0.32</v>
      </c>
      <c r="AA173" s="5">
        <f>IF(X173&lt;50,IF(Y173&gt;(2.3*X173),0,1),1)-IF(Z173&gt;Y173,1.7,0)</f>
        <v/>
      </c>
      <c r="AB173" t="n">
        <v>0</v>
      </c>
      <c r="AC173" s="5">
        <f>IF(AB173&gt;4,1,0)+IF(AB173&gt;10,0.7,0)</f>
        <v/>
      </c>
      <c r="AD173" t="n">
        <v>86.11</v>
      </c>
      <c r="AE173" t="n">
        <v>74.67</v>
      </c>
      <c r="AF173" t="n">
        <v>89.62</v>
      </c>
      <c r="AG173" s="6">
        <f>IF(G173&lt;52,0,0.7)+IF(G173&lt;34,0,0.7)+IF(G173&lt;1,0,0.7)+IF(P173&gt;14.56,0,1)+IF(R173&lt;9,0.5,0)+IF(R173&lt;33.8,0.5,0)+IF(R173&lt;50,0.5,0)+IF(R173&lt;80,0.5,0)+IF(S173=5,0,S173)+IF(V173&gt;0,1,-1)+IF(AE173&lt;10.56,0,1)-IF(AE173&lt;3,1,0)-IF(AE173&lt;1,1,0)</f>
        <v/>
      </c>
      <c r="AH173" s="5">
        <f>AG173+IF(X173&lt;1.35,0,1)+IF(Y173&lt;1.35,0,1)+IF(Y173&lt;0.7,-1,0)+AC173+AA173</f>
        <v/>
      </c>
      <c r="AI173" s="5" t="n">
        <v>13.27</v>
      </c>
      <c r="AJ173" s="5">
        <f>IF(AI173&gt;12.7,IF(AI173&gt;15.8,0.93,0.98),1)</f>
        <v/>
      </c>
      <c r="AK173" s="5">
        <f>(1.5*AG173+AH173)*AJ173*AQ173</f>
        <v/>
      </c>
      <c r="AL173" s="4">
        <f>D173</f>
        <v/>
      </c>
      <c r="AM173" s="8">
        <f>B173</f>
        <v/>
      </c>
      <c r="AN173" t="n">
        <v>2</v>
      </c>
      <c r="AO173" s="61">
        <f>IF(Z173&lt;2.81,0,IF(AK173&gt;13.7,IF(Z173&lt;140,1,0),0))</f>
        <v/>
      </c>
      <c r="AP173" s="7">
        <f>IF(AK173&gt;13.93,IF(Z173&lt;300,IF(Z173&lt;35,IF(Z173&lt;6,3,2),1),0),0)</f>
        <v/>
      </c>
      <c r="AQ173" s="5" t="n">
        <v>1</v>
      </c>
      <c r="AR173" s="7">
        <f>IF(AO173=1,IF(AO173=AL173,1,0),5)</f>
        <v/>
      </c>
      <c r="AS173" s="5" t="n">
        <v>1</v>
      </c>
      <c r="AT173" s="5" t="n">
        <v>1</v>
      </c>
      <c r="AU173" s="5" t="n">
        <v>1</v>
      </c>
      <c r="AV173" s="5">
        <f>(AT173+AU173)/2</f>
        <v/>
      </c>
      <c r="AW173" s="5" t="n">
        <v>1</v>
      </c>
      <c r="AX173" s="4">
        <f>IF(AW173&gt;AV173,1,0)</f>
        <v/>
      </c>
      <c r="AY173" s="4">
        <f>(100*(AU173-AS173)/AS173)</f>
        <v/>
      </c>
      <c r="AZ173" s="4">
        <f>IF(AY173&lt;-50,-4,IF(AY173&lt;-20,-2,IF(AY173&lt;0,-1.5,IF(AY173=0,0,IF(AY173&lt;10,1.5,IF(AY173&lt;20,2,IF(AY173&gt;19,2.5,2.5)))))))</f>
        <v/>
      </c>
      <c r="BA173" s="7" t="n"/>
    </row>
    <row r="174" ht="12.75" customHeight="1">
      <c r="A174" t="inlineStr">
        <is>
          <t>https://www.chittorgarh.com/ipo/ic-electricals-ipo/2754/</t>
        </is>
      </c>
      <c r="B174" t="inlineStr">
        <is>
          <t>IC Electricals  Price</t>
        </is>
      </c>
      <c r="C174" t="inlineStr">
        <is>
          <t>2026</t>
        </is>
      </c>
      <c r="D174" s="11" t="n">
        <v>1</v>
      </c>
      <c r="E174" t="n">
        <v>55.79</v>
      </c>
      <c r="F174" t="n">
        <v>51.71</v>
      </c>
      <c r="G174" s="5">
        <f>100*(F174-E174)/F174</f>
        <v/>
      </c>
      <c r="H174" t="n">
        <v>160.04</v>
      </c>
      <c r="I174" t="n">
        <v>9.41</v>
      </c>
      <c r="J174" t="n">
        <v>9.84</v>
      </c>
      <c r="K174" t="n">
        <v>10.5</v>
      </c>
      <c r="L174" t="n">
        <v>23.88</v>
      </c>
      <c r="M174" t="n">
        <v>18.34</v>
      </c>
      <c r="N174" t="n">
        <v>17.83</v>
      </c>
      <c r="O174" t="n">
        <v>122.39</v>
      </c>
      <c r="P174" s="5">
        <f>O174/I174</f>
        <v/>
      </c>
      <c r="Q174" t="n">
        <v>9.42</v>
      </c>
      <c r="R174" s="2" t="n">
        <v>12.82</v>
      </c>
      <c r="S174" s="6" t="n">
        <v>0</v>
      </c>
      <c r="T174" t="n">
        <v>47.91</v>
      </c>
      <c r="U174" t="n">
        <v>0</v>
      </c>
      <c r="V174" t="n">
        <v>1</v>
      </c>
      <c r="W174" t="n">
        <v>1</v>
      </c>
      <c r="X174" t="n">
        <v>241.75</v>
      </c>
      <c r="Y174" t="n">
        <v>764.38</v>
      </c>
      <c r="Z174" t="n">
        <v>372.51</v>
      </c>
      <c r="AA174" s="5">
        <f>IF(X174&lt;50,IF(Y174&gt;(2.3*X174),0,1),1)-IF(Z174&gt;Y174,1.7,0)</f>
        <v/>
      </c>
      <c r="AB174" t="n">
        <v>0</v>
      </c>
      <c r="AC174" s="5">
        <f>IF(AB174&gt;4,1,0)+IF(AB174&gt;10,0.7,0)</f>
        <v/>
      </c>
      <c r="AD174" t="n">
        <v>103.68</v>
      </c>
      <c r="AE174" t="n">
        <v>22.7</v>
      </c>
      <c r="AF174" t="n">
        <v>55.66</v>
      </c>
      <c r="AG174" s="6">
        <f>IF(G174&lt;52,0,0.7)+IF(G174&lt;34,0,0.7)+IF(G174&lt;1,0,0.7)+IF(P174&gt;14.56,0,1)+IF(R174&lt;9,0.5,0)+IF(R174&lt;33.8,0.5,0)+IF(R174&lt;50,0.5,0)+IF(R174&lt;80,0.5,0)+IF(S174=5,0,S174)+IF(V174&gt;0,1,-1)+IF(AE174&lt;10.56,0,1)-IF(AE174&lt;3,1,0)-IF(AE174&lt;1,1,0)</f>
        <v/>
      </c>
      <c r="AH174" s="5">
        <f>AG174+IF(X174&lt;1.35,0,1)+IF(Y174&lt;1.35,0,1)+IF(Y174&lt;0.7,-1,0)+AC174+AA174</f>
        <v/>
      </c>
      <c r="AI174" s="5" t="n">
        <v>13.27</v>
      </c>
      <c r="AJ174" s="5">
        <f>IF(AI174&gt;12.7,IF(AI174&gt;15.8,0.93,0.98),1)</f>
        <v/>
      </c>
      <c r="AK174" s="5">
        <f>(1.5*AG174+AH174)*AJ174*AQ174</f>
        <v/>
      </c>
      <c r="AL174" s="4">
        <f>D174</f>
        <v/>
      </c>
      <c r="AM174" s="8">
        <f>B174</f>
        <v/>
      </c>
      <c r="AN174" t="n">
        <v>7</v>
      </c>
      <c r="AO174" s="61">
        <f>IF(Z174&lt;2.81,0,IF(AK174&gt;13.7,IF(Z174&lt;140,1,0),0))</f>
        <v/>
      </c>
      <c r="AP174" s="7">
        <f>IF(AK174&gt;13.93,IF(Z174&lt;300,IF(Z174&lt;35,IF(Z174&lt;6,3,2),1),0),0)</f>
        <v/>
      </c>
      <c r="AQ174" s="5" t="n">
        <v>1</v>
      </c>
      <c r="AR174" s="7">
        <f>IF(AO174=1,IF(AO174=AL174,1,0),5)</f>
        <v/>
      </c>
      <c r="AS174" s="5" t="n">
        <v>1</v>
      </c>
      <c r="AT174" s="5" t="n">
        <v>1</v>
      </c>
      <c r="AU174" s="5" t="n">
        <v>1</v>
      </c>
      <c r="AV174" s="5">
        <f>(AT174+AU174)/2</f>
        <v/>
      </c>
      <c r="AW174" s="5" t="n">
        <v>1</v>
      </c>
      <c r="AX174" s="4">
        <f>IF(AW174&gt;AV174,1,0)</f>
        <v/>
      </c>
      <c r="AY174" s="4">
        <f>(100*(AU174-AS174)/AS174)</f>
        <v/>
      </c>
      <c r="AZ174" s="4">
        <f>IF(AY174&lt;-50,-4,IF(AY174&lt;-20,-2,IF(AY174&lt;0,-1.5,IF(AY174=0,0,IF(AY174&lt;10,1.5,IF(AY174&lt;20,2,IF(AY174&gt;19,2.5,2.5)))))))</f>
        <v/>
      </c>
      <c r="BA174" s="7" t="n"/>
    </row>
    <row r="175" ht="12.75" customHeight="1">
      <c r="A175" t="inlineStr">
        <is>
          <t>https://www.chittorgarh.com/ipo/devson-catalyst-ipo/2943/</t>
        </is>
      </c>
      <c r="B175" t="inlineStr">
        <is>
          <t>Devson Catalyst  Pric</t>
        </is>
      </c>
      <c r="C175" t="inlineStr">
        <is>
          <t>2026</t>
        </is>
      </c>
      <c r="D175" t="n">
        <v>1</v>
      </c>
      <c r="E175" t="n">
        <v>2.78</v>
      </c>
      <c r="F175" t="n">
        <v>20.98</v>
      </c>
      <c r="G175" s="5">
        <f>100*(F175-E175)/F175</f>
        <v/>
      </c>
      <c r="H175" t="n">
        <v>27.38</v>
      </c>
      <c r="I175" t="n">
        <v>7.67</v>
      </c>
      <c r="J175" t="n">
        <v>0</v>
      </c>
      <c r="K175" t="n">
        <v>12.22</v>
      </c>
      <c r="L175" t="n">
        <v>45.97</v>
      </c>
      <c r="M175" t="n">
        <v>10.93</v>
      </c>
      <c r="N175" t="n">
        <v>29.49</v>
      </c>
      <c r="O175" t="n">
        <v>53.54</v>
      </c>
      <c r="P175" s="5">
        <f>O175/I175</f>
        <v/>
      </c>
      <c r="Q175" t="n">
        <v>9.66</v>
      </c>
      <c r="R175" s="2" t="n">
        <v>12.81</v>
      </c>
      <c r="S175" s="6" t="n">
        <v>0</v>
      </c>
      <c r="T175" t="n">
        <v>42.34</v>
      </c>
      <c r="U175" t="n">
        <v>2.950000000000003</v>
      </c>
      <c r="V175" t="n">
        <v>1</v>
      </c>
      <c r="W175" t="n">
        <v>1</v>
      </c>
      <c r="X175" t="n">
        <v>168.56</v>
      </c>
      <c r="Y175" t="n">
        <v>211.19</v>
      </c>
      <c r="Z175" t="n">
        <v>244.08</v>
      </c>
      <c r="AA175" s="5">
        <f>IF(X175&lt;50,IF(Y175&gt;(2.3*X175),0,1),1)-IF(Z175&gt;Y175,1.7,0)</f>
        <v/>
      </c>
      <c r="AB175" t="n">
        <v>43.22</v>
      </c>
      <c r="AC175" s="5">
        <f>IF(AB175&gt;4,1,0)+IF(AB175&gt;10,0.7,0)</f>
        <v/>
      </c>
      <c r="AD175" t="n">
        <v>87.98999999999999</v>
      </c>
      <c r="AE175" t="n">
        <v>22.38</v>
      </c>
      <c r="AF175" t="n">
        <v>57.04</v>
      </c>
      <c r="AG175" s="6">
        <f>IF(G175&lt;52,0,0.7)+IF(G175&lt;34,0,0.7)+IF(G175&lt;1,0,0.7)+IF(P175&gt;14.56,0,1)+IF(R175&lt;9,0.5,0)+IF(R175&lt;33.8,0.5,0)+IF(R175&lt;50,0.5,0)+IF(R175&lt;80,0.5,0)+IF(S175=5,0,S175)+IF(V175&gt;0,1,-1)+IF(AE175&lt;10.56,0,1)-IF(AE175&lt;3,1,0)-IF(AE175&lt;1,1,0)</f>
        <v/>
      </c>
      <c r="AH175" s="5">
        <f>AG175+IF(X175&lt;1.35,0,1)+IF(Y175&lt;1.35,0,1)+IF(Y175&lt;0.7,-1,0)+AC175+AA175</f>
        <v/>
      </c>
      <c r="AI175" s="5" t="n">
        <v>13.27</v>
      </c>
      <c r="AJ175" s="5">
        <f>IF(AI175&gt;12.7,IF(AI175&gt;15.8,0.93,0.98),1)</f>
        <v/>
      </c>
      <c r="AK175" s="5">
        <f>(1.5*AG175+AH175)*AJ175*AQ175</f>
        <v/>
      </c>
      <c r="AL175" s="4">
        <f>D175</f>
        <v/>
      </c>
      <c r="AM175" s="8">
        <f>B175</f>
        <v/>
      </c>
      <c r="AN175" s="96" t="n">
        <v>13</v>
      </c>
      <c r="AO175" s="61">
        <f>IF(Z175&lt;2.81,0,IF(AK175&gt;13.7,IF(Z175&lt;140,1,0),0))</f>
        <v/>
      </c>
      <c r="AP175" s="7">
        <f>IF(AK175&gt;13.93,IF(Z175&lt;300,IF(Z175&lt;35,IF(Z175&lt;6,3,2),1),0),0)</f>
        <v/>
      </c>
      <c r="AQ175" s="5" t="n">
        <v>1</v>
      </c>
      <c r="AR175" s="7">
        <f>IF(AO175=1,IF(AO175=AL175,1,0),5)</f>
        <v/>
      </c>
      <c r="AS175" s="5" t="n">
        <v>1</v>
      </c>
      <c r="AT175" s="5" t="n">
        <v>1</v>
      </c>
      <c r="AU175" s="5" t="n">
        <v>1</v>
      </c>
      <c r="AV175" s="5">
        <f>(AT175+AU175)/2</f>
        <v/>
      </c>
      <c r="AW175" s="5" t="n">
        <v>1</v>
      </c>
      <c r="AX175" s="4">
        <f>IF(AW175&gt;AV175,1,0)</f>
        <v/>
      </c>
      <c r="AY175" s="4">
        <f>(100*(AU175-AS175)/AS175)</f>
        <v/>
      </c>
      <c r="AZ175" s="4">
        <f>IF(AY175&lt;-50,-4,IF(AY175&lt;-20,-2,IF(AY175&lt;0,-1.5,IF(AY175=0,0,IF(AY175&lt;10,1.5,IF(AY175&lt;20,2,IF(AY175&gt;19,2.5,2.5)))))))</f>
        <v/>
      </c>
      <c r="BA175" s="7" t="n"/>
    </row>
    <row r="176" ht="12.75" customHeight="1">
      <c r="A176" t="inlineStr">
        <is>
          <t>https://www.chittorgarh.com/ipo/happy-steels-ipo/2864/</t>
        </is>
      </c>
      <c r="B176" t="inlineStr">
        <is>
          <t xml:space="preserve">Happy Steels  Price, </t>
        </is>
      </c>
      <c r="C176" t="inlineStr">
        <is>
          <t>2026</t>
        </is>
      </c>
      <c r="D176" t="n">
        <v>1</v>
      </c>
      <c r="E176" t="n">
        <v>34.21</v>
      </c>
      <c r="F176" t="n">
        <v>32.88</v>
      </c>
      <c r="G176" s="5">
        <f>100*(F176-E176)/F176</f>
        <v/>
      </c>
      <c r="H176" t="n">
        <v>78.62</v>
      </c>
      <c r="I176" t="n">
        <v>2.34</v>
      </c>
      <c r="J176" t="n">
        <v>7.5</v>
      </c>
      <c r="K176" t="n">
        <v>6.77</v>
      </c>
      <c r="L176" t="n">
        <v>19.49</v>
      </c>
      <c r="M176" t="n">
        <v>8.49</v>
      </c>
      <c r="N176" t="n">
        <v>16.14</v>
      </c>
      <c r="O176" t="n">
        <v>82.52</v>
      </c>
      <c r="P176" s="5">
        <f>O176/I176</f>
        <v/>
      </c>
      <c r="Q176" t="n">
        <v>9.76</v>
      </c>
      <c r="R176" s="2" t="n">
        <v>13.28</v>
      </c>
      <c r="S176" s="6" t="n">
        <v>0</v>
      </c>
      <c r="T176" t="n">
        <v>25</v>
      </c>
      <c r="U176" t="n">
        <v>0</v>
      </c>
      <c r="V176" t="n">
        <v>1</v>
      </c>
      <c r="W176" t="n">
        <v>1</v>
      </c>
      <c r="X176" t="n">
        <v>59.01</v>
      </c>
      <c r="Y176" t="n">
        <v>83.26000000000001</v>
      </c>
      <c r="Z176" t="n">
        <v>73.25</v>
      </c>
      <c r="AA176" s="5">
        <f>IF(X176&lt;50,IF(Y176&gt;(2.3*X176),0,1),1)-IF(Z176&gt;Y176,1.7,0)</f>
        <v/>
      </c>
      <c r="AB176" t="n">
        <v>18.18</v>
      </c>
      <c r="AC176" s="5">
        <f>IF(AB176&gt;4,1,0)+IF(AB176&gt;10,0.7,0)</f>
        <v/>
      </c>
      <c r="AD176" t="n">
        <v>-50.11</v>
      </c>
      <c r="AE176" t="n">
        <v>0.34</v>
      </c>
      <c r="AF176" t="n">
        <v>7.66</v>
      </c>
      <c r="AG176" s="6">
        <f>IF(G176&lt;52,0,0.7)+IF(G176&lt;34,0,0.7)+IF(G176&lt;1,0,0.7)+IF(P176&gt;14.56,0,1)+IF(R176&lt;9,0.5,0)+IF(R176&lt;33.8,0.5,0)+IF(R176&lt;50,0.5,0)+IF(R176&lt;80,0.5,0)+IF(S176=5,0,S176)+IF(V176&gt;0,1,-1)+IF(AE176&lt;10.56,0,1)-IF(AE176&lt;3,1,0)-IF(AE176&lt;1,1,0)</f>
        <v/>
      </c>
      <c r="AH176" s="5">
        <f>AG176+IF(X176&lt;1.35,0,1)+IF(Y176&lt;1.35,0,1)+IF(Y176&lt;0.7,-1,0)+AC176+AA176</f>
        <v/>
      </c>
      <c r="AI176" s="5" t="n">
        <v>13.27</v>
      </c>
      <c r="AJ176" s="5">
        <f>IF(AI176&gt;12.7,IF(AI176&gt;15.8,0.93,0.98),1)</f>
        <v/>
      </c>
      <c r="AK176" s="5">
        <f>(1.5*AG176+AH176)*AJ176*AQ176</f>
        <v/>
      </c>
      <c r="AL176" s="4">
        <f>D176</f>
        <v/>
      </c>
      <c r="AM176" s="8">
        <f>B176</f>
        <v/>
      </c>
      <c r="AN176" s="96" t="n">
        <v>13</v>
      </c>
      <c r="AO176" s="61">
        <f>IF(Z176&lt;2.81,0,IF(AK176&gt;13.7,IF(Z176&lt;140,1,0),0))</f>
        <v/>
      </c>
      <c r="AP176" s="7">
        <f>IF(AK176&gt;13.93,IF(Z176&lt;300,IF(Z176&lt;35,IF(Z176&lt;6,3,2),1),0),0)</f>
        <v/>
      </c>
      <c r="AQ176" s="5" t="n">
        <v>0.95</v>
      </c>
      <c r="AR176" s="7">
        <f>IF(AO176=1,IF(AO176=AL176,1,0),5)</f>
        <v/>
      </c>
      <c r="AS176" s="5" t="n">
        <v>1</v>
      </c>
      <c r="AT176" s="5" t="n">
        <v>1</v>
      </c>
      <c r="AU176" s="5" t="n">
        <v>1</v>
      </c>
      <c r="AV176" s="5">
        <f>(AT176+AU176)/2</f>
        <v/>
      </c>
      <c r="AW176" s="5" t="n">
        <v>1</v>
      </c>
      <c r="AX176" s="4">
        <f>IF(AW176&gt;AV176,1,0)</f>
        <v/>
      </c>
      <c r="AY176" s="4">
        <f>(100*(AU176-AS176)/AS176)</f>
        <v/>
      </c>
      <c r="AZ176" s="4">
        <f>IF(AY176&lt;-50,-4,IF(AY176&lt;-20,-2,IF(AY176&lt;0,-1.5,IF(AY176=0,0,IF(AY176&lt;10,1.5,IF(AY176&lt;20,2,IF(AY176&gt;19,2.5,2.5)))))))</f>
        <v/>
      </c>
      <c r="BA176" s="7" t="n"/>
    </row>
    <row r="177" ht="12.75" customHeight="1">
      <c r="A177" t="inlineStr">
        <is>
          <t>https://www.chittorgarh.com/ipo/millworks-technologies-ipo/2866/</t>
        </is>
      </c>
      <c r="B177" t="inlineStr">
        <is>
          <t>Millworks Technologie</t>
        </is>
      </c>
      <c r="C177" t="inlineStr">
        <is>
          <t>2026</t>
        </is>
      </c>
      <c r="D177" t="n">
        <v>1</v>
      </c>
      <c r="E177" t="n">
        <v>9.630000000000001</v>
      </c>
      <c r="F177" t="n">
        <v>23.31</v>
      </c>
      <c r="G177" s="5">
        <f>100*(F177-E177)/F177</f>
        <v/>
      </c>
      <c r="H177" t="n">
        <v>39.82</v>
      </c>
      <c r="I177" t="n">
        <v>5.25</v>
      </c>
      <c r="J177" t="n">
        <v>24.91</v>
      </c>
      <c r="K177" t="n">
        <v>29.02</v>
      </c>
      <c r="L177" t="n">
        <v>69.94</v>
      </c>
      <c r="M177" t="n">
        <v>7.89</v>
      </c>
      <c r="N177" t="n">
        <v>36.71</v>
      </c>
      <c r="O177" t="n">
        <v>22.42</v>
      </c>
      <c r="P177" s="5">
        <f>O177/I177</f>
        <v/>
      </c>
      <c r="Q177" t="n">
        <v>11.4</v>
      </c>
      <c r="R177" s="2" t="n">
        <v>15.73</v>
      </c>
      <c r="S177" s="6" t="n">
        <v>0</v>
      </c>
      <c r="T177" t="n">
        <v>160.34</v>
      </c>
      <c r="U177" t="n">
        <v>0</v>
      </c>
      <c r="V177" t="n">
        <v>1</v>
      </c>
      <c r="W177" t="n">
        <v>1</v>
      </c>
      <c r="X177" t="n">
        <v>0.22</v>
      </c>
      <c r="Y177" t="n">
        <v>68.31999999999999</v>
      </c>
      <c r="Z177" t="n">
        <v>71.73</v>
      </c>
      <c r="AA177" s="5">
        <f>IF(X177&lt;50,IF(Y177&gt;(2.3*X177),0,1),1)-IF(Z177&gt;Y177,1.7,0)</f>
        <v/>
      </c>
      <c r="AB177" t="n">
        <v>90.63</v>
      </c>
      <c r="AC177" s="5">
        <f>IF(AB177&gt;4,1,0)+IF(AB177&gt;10,0.7,0)</f>
        <v/>
      </c>
      <c r="AD177" t="n">
        <v>169.23</v>
      </c>
      <c r="AE177" t="n">
        <v>138.51</v>
      </c>
      <c r="AF177" t="n">
        <v>900.4299999999999</v>
      </c>
      <c r="AG177" s="6">
        <f>IF(G177&lt;52,0,0.7)+IF(G177&lt;34,0,0.7)+IF(G177&lt;1,0,0.7)+IF(P177&gt;14.56,0,1)+IF(R177&lt;9,0.5,0)+IF(R177&lt;33.8,0.5,0)+IF(R177&lt;50,0.5,0)+IF(R177&lt;80,0.5,0)+IF(S177=5,0,S177)+IF(V177&gt;0,1,-1)+IF(AE177&lt;10.56,0,1)-IF(AE177&lt;3,1,0)-IF(AE177&lt;1,1,0)</f>
        <v/>
      </c>
      <c r="AH177" s="5">
        <f>AG177+IF(X177&lt;1.35,0,1)+IF(Y177&lt;1.35,0,1)+IF(Y177&lt;0.7,-1,0)+AC177+AA177</f>
        <v/>
      </c>
      <c r="AI177" s="5" t="n">
        <v>13.27</v>
      </c>
      <c r="AJ177" s="5">
        <f>IF(AI177&gt;12.7,IF(AI177&gt;15.8,0.93,0.98),1)</f>
        <v/>
      </c>
      <c r="AK177" s="5">
        <f>(1.5*AG177+AH177)*AJ177*AQ177</f>
        <v/>
      </c>
      <c r="AL177" s="4">
        <f>D177</f>
        <v/>
      </c>
      <c r="AM177" s="8">
        <f>B177</f>
        <v/>
      </c>
      <c r="AN177" t="n">
        <v>16</v>
      </c>
      <c r="AO177" s="61">
        <f>IF(Z177&lt;2.81,0,IF(AK177&gt;13.7,IF(Z177&lt;140,1,0),0))</f>
        <v/>
      </c>
      <c r="AP177" s="7">
        <f>IF(AK177&gt;13.93,IF(Z177&lt;300,IF(Z177&lt;35,IF(Z177&lt;6,3,2),1),0),0)</f>
        <v/>
      </c>
      <c r="AQ177" s="5" t="n">
        <v>0.95</v>
      </c>
      <c r="AR177" s="7">
        <f>IF(AO177=1,IF(AO177=AL177,1,0),5)</f>
        <v/>
      </c>
      <c r="AS177" s="5" t="n">
        <v>1</v>
      </c>
      <c r="AT177" s="5" t="n">
        <v>1</v>
      </c>
      <c r="AU177" s="5" t="n">
        <v>1</v>
      </c>
      <c r="AV177" s="5">
        <f>(AT177+AU177)/2</f>
        <v/>
      </c>
      <c r="AW177" s="5" t="n">
        <v>1</v>
      </c>
      <c r="AX177" s="4">
        <f>IF(AW177&gt;AV177,1,0)</f>
        <v/>
      </c>
      <c r="AY177" s="4">
        <f>(100*(AU177-AS177)/AS177)</f>
        <v/>
      </c>
      <c r="AZ177" s="4">
        <f>IF(AY177&lt;-50,-4,IF(AY177&lt;-20,-2,IF(AY177&lt;0,-1.5,IF(AY177=0,0,IF(AY177&lt;10,1.5,IF(AY177&lt;20,2,IF(AY177&gt;19,2.5,2.5)))))))</f>
        <v/>
      </c>
      <c r="BA177" s="7" t="n"/>
    </row>
    <row r="178" ht="12.75" customHeight="1">
      <c r="A178" t="inlineStr">
        <is>
          <t>https://www.chittorgarh.com/ipo/sotefin-bharat-ipo/2836/</t>
        </is>
      </c>
      <c r="B178" t="inlineStr">
        <is>
          <t>Sotefin Bharat  Price</t>
        </is>
      </c>
      <c r="C178" t="inlineStr">
        <is>
          <t>2026</t>
        </is>
      </c>
      <c r="D178" t="n">
        <v>1</v>
      </c>
      <c r="E178" t="n">
        <v>12.16</v>
      </c>
      <c r="F178" t="n">
        <v>50.63</v>
      </c>
      <c r="G178" s="5">
        <f>100*(F178-E178)/F178</f>
        <v/>
      </c>
      <c r="H178" t="n">
        <v>98.68000000000001</v>
      </c>
      <c r="I178" t="n">
        <v>11.31</v>
      </c>
      <c r="J178" t="n">
        <v>14.88</v>
      </c>
      <c r="K178" t="n">
        <v>13</v>
      </c>
      <c r="L178" t="n">
        <v>26.98</v>
      </c>
      <c r="M178" t="n">
        <v>18.46</v>
      </c>
      <c r="N178" t="n">
        <v>25.55</v>
      </c>
      <c r="O178" t="n">
        <v>94.15000000000001</v>
      </c>
      <c r="P178" s="5">
        <f>O178/I178</f>
        <v/>
      </c>
      <c r="Q178" t="n">
        <v>14.38</v>
      </c>
      <c r="R178" s="2" t="n">
        <v>19.55</v>
      </c>
      <c r="S178" s="6" t="n">
        <v>0</v>
      </c>
      <c r="T178" t="n">
        <v>89.76000000000001</v>
      </c>
      <c r="U178" t="n">
        <v>0</v>
      </c>
      <c r="V178" t="n">
        <v>1</v>
      </c>
      <c r="W178" t="n">
        <v>1</v>
      </c>
      <c r="X178" t="n">
        <v>1.67</v>
      </c>
      <c r="Y178" t="n">
        <v>4.69</v>
      </c>
      <c r="Z178" t="n">
        <v>2.93</v>
      </c>
      <c r="AA178" s="5">
        <f>IF(X178&lt;50,IF(Y178&gt;(2.3*X178),0,1),1)-IF(Z178&gt;Y178,1.7,0)</f>
        <v/>
      </c>
      <c r="AB178" t="n">
        <v>6.95</v>
      </c>
      <c r="AC178" s="5">
        <f>IF(AB178&gt;4,1,0)+IF(AB178&gt;10,0.7,0)</f>
        <v/>
      </c>
      <c r="AD178" t="n">
        <v>80.95999999999999</v>
      </c>
      <c r="AE178" t="n">
        <v>65.55</v>
      </c>
      <c r="AF178" t="n">
        <v>130.98</v>
      </c>
      <c r="AG178" s="6">
        <f>IF(G178&lt;52,0,0.7)+IF(G178&lt;34,0,0.7)+IF(G178&lt;1,0,0.7)+IF(P178&gt;14.56,0,1)+IF(R178&lt;9,0.5,0)+IF(R178&lt;33.8,0.5,0)+IF(R178&lt;50,0.5,0)+IF(R178&lt;80,0.5,0)+IF(S178=5,0,S178)+IF(V178&gt;0,1,-1)+IF(AE178&lt;10.56,0,1)-IF(AE178&lt;3,1,0)-IF(AE178&lt;1,1,0)</f>
        <v/>
      </c>
      <c r="AH178" s="5">
        <f>AG178+IF(X178&lt;1.35,0,1)+IF(Y178&lt;1.35,0,1)+IF(Y178&lt;0.7,-1,0)+AC178+AA178</f>
        <v/>
      </c>
      <c r="AI178" s="5" t="n">
        <v>12.98</v>
      </c>
      <c r="AJ178" s="5">
        <f>IF(AI178&gt;12.7,IF(AI178&gt;15.8,0.93,0.98),1)</f>
        <v/>
      </c>
      <c r="AK178" s="5">
        <f>(1.5*AG178+AH178)*AJ178*AQ178</f>
        <v/>
      </c>
      <c r="AL178" s="4">
        <f>D178</f>
        <v/>
      </c>
      <c r="AM178" s="8">
        <f>B178</f>
        <v/>
      </c>
      <c r="AN178" t="n">
        <v>20</v>
      </c>
      <c r="AO178" s="61">
        <f>IF(Z178&lt;2.81,0,IF(AK178&gt;13.7,IF(Z178&lt;140,1,0),0))</f>
        <v/>
      </c>
      <c r="AP178" s="7">
        <f>IF(AK178&gt;13.93,IF(Z178&lt;300,IF(Z178&lt;35,IF(Z178&lt;6,3,2),1),0),0)</f>
        <v/>
      </c>
      <c r="AQ178" s="5" t="n">
        <v>1</v>
      </c>
      <c r="AR178" s="7">
        <f>IF(AO178=1,IF(AO178=AL178,1,0),5)</f>
        <v/>
      </c>
      <c r="AS178" s="5" t="n">
        <v>1</v>
      </c>
      <c r="AT178" s="5" t="n">
        <v>1</v>
      </c>
      <c r="AU178" s="5" t="n">
        <v>1</v>
      </c>
      <c r="AV178" s="5">
        <f>(AT178+AU178)/2</f>
        <v/>
      </c>
      <c r="AW178" s="5" t="n">
        <v>1</v>
      </c>
      <c r="AX178" s="4">
        <f>IF(AW178&gt;AV178,1,0)</f>
        <v/>
      </c>
      <c r="AY178" s="4">
        <f>(100*(AU178-AS178)/AS178)</f>
        <v/>
      </c>
      <c r="AZ178" s="4">
        <f>IF(AY178&lt;-50,-4,IF(AY178&lt;-20,-2,IF(AY178&lt;0,-1.5,IF(AY178=0,0,IF(AY178&lt;10,1.5,IF(AY178&lt;20,2,IF(AY178&gt;19,2.5,2.5)))))))</f>
        <v/>
      </c>
      <c r="BA178" s="7" t="n"/>
    </row>
    <row r="179" ht="12.75" customHeight="1">
      <c r="A179" t="inlineStr">
        <is>
          <t>https://www.chittorgarh.com/ipo/gulf-lloyds-ipo/2953/</t>
        </is>
      </c>
      <c r="B179" t="inlineStr">
        <is>
          <t>Gulf Lloyds  Price, G</t>
        </is>
      </c>
      <c r="C179" t="inlineStr">
        <is>
          <t>2026</t>
        </is>
      </c>
      <c r="D179" t="n">
        <v>0</v>
      </c>
      <c r="E179" t="n">
        <v>0</v>
      </c>
      <c r="F179" t="n">
        <v>0</v>
      </c>
      <c r="G179" s="5">
        <f>100*(F179-E179)/F179</f>
        <v/>
      </c>
      <c r="H179" t="n">
        <v>0</v>
      </c>
      <c r="I179" t="n">
        <v>0</v>
      </c>
      <c r="J179" t="n">
        <v>0</v>
      </c>
      <c r="K179" t="n">
        <v>8.76</v>
      </c>
      <c r="L179" t="n">
        <v>37.49</v>
      </c>
      <c r="M179" t="n">
        <v>0</v>
      </c>
      <c r="N179" t="n">
        <v>21.97</v>
      </c>
      <c r="O179" t="n">
        <v>0</v>
      </c>
      <c r="P179" s="5">
        <f>O179/I179</f>
        <v/>
      </c>
      <c r="Q179" t="n">
        <v>11.41</v>
      </c>
      <c r="R179" s="2" t="n">
        <v>15.64</v>
      </c>
      <c r="S179" s="6" t="n">
        <v>-0.5</v>
      </c>
      <c r="T179" t="n">
        <v>18.19</v>
      </c>
      <c r="U179" t="n">
        <v>0</v>
      </c>
      <c r="V179" t="n">
        <v>0</v>
      </c>
      <c r="W179" t="n">
        <v>1</v>
      </c>
      <c r="X179" t="n">
        <v>0</v>
      </c>
      <c r="Y179" t="n">
        <v>2.86</v>
      </c>
      <c r="Z179" t="n">
        <v>18.83</v>
      </c>
      <c r="AA179" s="5">
        <f>IF(X179&lt;50,IF(Y179&gt;(2.3*X179),0,1),1)-IF(Z179&gt;Y179,1.7,0)</f>
        <v/>
      </c>
      <c r="AB179" t="n">
        <v>0</v>
      </c>
      <c r="AC179" s="5">
        <f>IF(AB179&gt;4,1,0)+IF(AB179&gt;10,0.7,0)</f>
        <v/>
      </c>
      <c r="AD179" t="n">
        <v>0</v>
      </c>
      <c r="AE179" t="n">
        <v>0</v>
      </c>
      <c r="AF179" t="n">
        <v>0</v>
      </c>
      <c r="AG179" s="6">
        <f>IF(G179&lt;52,0,0.7)+IF(G179&lt;34,0,0.7)+IF(G179&lt;1,0,0.7)+IF(P179&gt;14.56,0,1)+IF(R179&lt;9,0.5,0)+IF(R179&lt;33.8,0.5,0)+IF(R179&lt;50,0.5,0)+IF(R179&lt;80,0.5,0)+IF(S179=5,0,S179)+IF(V179&gt;0,1,-1)+IF(AE179&lt;10.56,0,1)-IF(AE179&lt;3,1,0)-IF(AE179&lt;1,1,0)</f>
        <v/>
      </c>
      <c r="AH179" s="5">
        <f>AG179+IF(X179&lt;1.35,0,1)+IF(Y179&lt;1.35,0,1)+IF(Y179&lt;0.7,-1,0)+AC179+AA179</f>
        <v/>
      </c>
      <c r="AI179" s="5" t="n">
        <v>12.66</v>
      </c>
      <c r="AJ179" s="5">
        <f>IF(AI179&gt;12.7,IF(AI179&gt;15.8,0.93,0.98),1)</f>
        <v/>
      </c>
      <c r="AK179" s="5">
        <f>(1.5*AG179+AH179)*AJ179*AQ179</f>
        <v/>
      </c>
      <c r="AL179" s="4">
        <f>D179</f>
        <v/>
      </c>
      <c r="AM179" s="8">
        <f>B179</f>
        <v/>
      </c>
      <c r="AN179" t="n">
        <v>22</v>
      </c>
      <c r="AO179" s="61">
        <f>IF(Z179&lt;2.81,0,IF(AK179&gt;13.7,IF(Z179&lt;140,1,0),0))</f>
        <v/>
      </c>
      <c r="AP179" s="7">
        <f>IF(AK179&gt;13.93,IF(Z179&lt;300,IF(Z179&lt;35,IF(Z179&lt;6,3,2),1),0),0)</f>
        <v/>
      </c>
      <c r="AQ179" s="5" t="n">
        <v>1</v>
      </c>
      <c r="AR179" s="7">
        <f>IF(AO179=1,IF(AO179=AL179,1,0),5)</f>
        <v/>
      </c>
      <c r="AS179" s="5" t="n">
        <v>1</v>
      </c>
      <c r="AT179" s="5" t="n">
        <v>1</v>
      </c>
      <c r="AU179" s="5" t="n">
        <v>1</v>
      </c>
      <c r="AV179" s="5">
        <f>(AT179+AU179)/2</f>
        <v/>
      </c>
      <c r="AW179" s="5" t="n">
        <v>1</v>
      </c>
      <c r="AX179" s="4">
        <f>IF(AW179&gt;AV179,1,0)</f>
        <v/>
      </c>
      <c r="AY179" s="4">
        <f>(100*(AU179-AS179)/AS179)</f>
        <v/>
      </c>
      <c r="AZ179" s="4">
        <f>IF(AY179&lt;-50,-4,IF(AY179&lt;-20,-2,IF(AY179&lt;0,-1,IF(AY179=0,0,IF(AY179&lt;10,1.5,IF(AY179&lt;20,2,IF(AY179&gt;19,2.5,2.5)))))))</f>
        <v/>
      </c>
      <c r="BA179" s="7" t="n"/>
    </row>
    <row r="180" ht="12.75" customHeight="1">
      <c r="A180" t="inlineStr">
        <is>
          <t>https://www.chittorgarh.com/ipo/metalic-technoforge-ipo/2993/</t>
        </is>
      </c>
      <c r="B180" t="inlineStr">
        <is>
          <t xml:space="preserve">Metalic Technoforge  </t>
        </is>
      </c>
      <c r="C180" t="inlineStr">
        <is>
          <t>2026</t>
        </is>
      </c>
      <c r="D180" t="n">
        <v>1</v>
      </c>
      <c r="E180" t="n">
        <v>27.97</v>
      </c>
      <c r="F180" t="n">
        <v>17.4</v>
      </c>
      <c r="G180" s="5">
        <f>100*(F180-E180)/F180</f>
        <v/>
      </c>
      <c r="H180" t="n">
        <v>65.09999999999999</v>
      </c>
      <c r="I180" t="n">
        <v>9.029999999999999</v>
      </c>
      <c r="J180" t="n">
        <v>12.14</v>
      </c>
      <c r="K180" t="n">
        <v>7.07</v>
      </c>
      <c r="L180" t="n">
        <v>71.87</v>
      </c>
      <c r="M180" t="n">
        <v>16.08</v>
      </c>
      <c r="N180" t="n">
        <v>21.62</v>
      </c>
      <c r="O180" t="n">
        <v>75.64</v>
      </c>
      <c r="P180" s="5">
        <f>O180/I180</f>
        <v/>
      </c>
      <c r="Q180" t="n">
        <v>10.9</v>
      </c>
      <c r="R180" s="2" t="n">
        <v>14.94</v>
      </c>
      <c r="S180" s="6" t="n">
        <v>-1</v>
      </c>
      <c r="T180" t="n">
        <v>49.96</v>
      </c>
      <c r="U180" t="n">
        <v>0</v>
      </c>
      <c r="V180" t="n">
        <v>1</v>
      </c>
      <c r="W180" t="n">
        <v>1</v>
      </c>
      <c r="X180" t="n">
        <v>4.58</v>
      </c>
      <c r="Y180" t="n">
        <v>9.6</v>
      </c>
      <c r="Z180" t="n">
        <v>7</v>
      </c>
      <c r="AA180" s="5">
        <f>IF(X180&lt;50,IF(Y180&gt;(2.3*X180),0,1),1)-IF(Z180&gt;Y180,1.7,0)</f>
        <v/>
      </c>
      <c r="AB180" t="n">
        <v>10.52</v>
      </c>
      <c r="AC180" s="5">
        <f>IF(AB180&gt;4,1,0)+IF(AB180&gt;10,0.7,0)</f>
        <v/>
      </c>
      <c r="AD180" t="n">
        <v>111.97</v>
      </c>
      <c r="AE180" t="n">
        <v>46.87</v>
      </c>
      <c r="AF180" t="n">
        <v>125.39</v>
      </c>
      <c r="AG180" s="6">
        <f>IF(G180&lt;52,0,0.7)+IF(G180&lt;34,0,0.7)+IF(G180&lt;1,0,0.7)+IF(P180&gt;14.56,0,1)+IF(R180&lt;9,0.5,0)+IF(R180&lt;33.8,0.5,0)+IF(R180&lt;50,0.5,0)+IF(R180&lt;80,0.5,0)+IF(S180=5,0,S180)+IF(V180&gt;0,1,-1)+IF(AE180&lt;10.56,0,1)-IF(AE180&lt;3,1,0)-IF(AE180&lt;1,1,0)</f>
        <v/>
      </c>
      <c r="AH180" s="5">
        <f>AG180+IF(X180&lt;1.35,0,1)+IF(Y180&lt;1.35,0,1)+IF(Y180&lt;0.7,-1,0)+AC180+AA180</f>
        <v/>
      </c>
      <c r="AI180" s="5" t="n">
        <v>12.66</v>
      </c>
      <c r="AJ180" s="5">
        <f>IF(AI180&gt;12.7,IF(AI180&gt;15.8,0.93,0.98),1)</f>
        <v/>
      </c>
      <c r="AK180" s="5">
        <f>(1.5*AG180+AH180)*AJ180*AQ180</f>
        <v/>
      </c>
      <c r="AL180" s="4">
        <f>D180</f>
        <v/>
      </c>
      <c r="AM180" s="8">
        <f>B180</f>
        <v/>
      </c>
      <c r="AN180" t="n">
        <v>23</v>
      </c>
      <c r="AO180" s="61">
        <f>IF(Z180&lt;2.81,0,IF(AK180&gt;13.7,IF(Z180&lt;140,1,0),0))</f>
        <v/>
      </c>
      <c r="AP180" s="7">
        <f>IF(AK180&gt;13.93,IF(Z180&lt;300,IF(Z180&lt;35,IF(Z180&lt;6,3,2),1),0),0)</f>
        <v/>
      </c>
      <c r="AQ180" s="5" t="n">
        <v>0.95</v>
      </c>
      <c r="AR180" s="7">
        <f>IF(AO180=1,IF(AO180=AL180,1,0),5)</f>
        <v/>
      </c>
      <c r="AS180" s="5" t="n">
        <v>1</v>
      </c>
      <c r="AT180" s="5" t="n">
        <v>1</v>
      </c>
      <c r="AU180" s="5" t="n">
        <v>1</v>
      </c>
      <c r="AV180" s="5">
        <f>(AT180+AU180)/2</f>
        <v/>
      </c>
      <c r="AW180" s="5" t="n">
        <v>1</v>
      </c>
      <c r="AX180" s="4">
        <f>IF(AW180&gt;AV180,1,0)</f>
        <v/>
      </c>
      <c r="AY180" s="4">
        <f>(100*(AU180-AS180)/AS180)</f>
        <v/>
      </c>
      <c r="AZ180" s="4">
        <f>IF(AY180&lt;-50,-4,IF(AY180&lt;-20,-2,IF(AY180&lt;0,-1,IF(AY180=0,0,IF(AY180&lt;10,1.5,IF(AY180&lt;20,2,IF(AY180&gt;19,2.5,2.5)))))))</f>
        <v/>
      </c>
      <c r="BA180" s="7" t="n"/>
    </row>
    <row r="181" ht="12.75" customHeight="1">
      <c r="A181" t="inlineStr">
        <is>
          <t>https://www.chittorgarh.com/ipo/shree-balaji-mala-ipo/2706/</t>
        </is>
      </c>
      <c r="B181" t="inlineStr">
        <is>
          <t>Shree Balaji Mala  Pr</t>
        </is>
      </c>
      <c r="C181" t="inlineStr">
        <is>
          <t>2026</t>
        </is>
      </c>
      <c r="D181" t="n">
        <v>1</v>
      </c>
      <c r="E181" t="n">
        <v>48.75</v>
      </c>
      <c r="F181" t="n">
        <v>21.65</v>
      </c>
      <c r="G181" s="5">
        <f>100*(F181-E181)/F181</f>
        <v/>
      </c>
      <c r="H181" t="n">
        <v>138.88</v>
      </c>
      <c r="I181" t="n">
        <v>4.95</v>
      </c>
      <c r="J181" t="n">
        <v>0</v>
      </c>
      <c r="K181" t="n">
        <v>8.130000000000001</v>
      </c>
      <c r="L181" t="n">
        <v>0</v>
      </c>
      <c r="M181" t="n">
        <v>13.2</v>
      </c>
      <c r="N181" t="n">
        <v>0</v>
      </c>
      <c r="O181" t="n">
        <v>193.44</v>
      </c>
      <c r="P181" s="5">
        <f>O181/I181</f>
        <v/>
      </c>
      <c r="Q181" t="n">
        <v>8.619999999999999</v>
      </c>
      <c r="R181" s="2" t="n">
        <v>11.84</v>
      </c>
      <c r="S181" s="6" t="n">
        <v>-0.5</v>
      </c>
      <c r="T181" t="n">
        <v>18.9</v>
      </c>
      <c r="U181" t="n">
        <v>0</v>
      </c>
      <c r="V181" t="n">
        <v>1</v>
      </c>
      <c r="W181" t="n">
        <v>1</v>
      </c>
      <c r="X181" t="n">
        <v>113.55</v>
      </c>
      <c r="Y181" t="n">
        <v>193.75</v>
      </c>
      <c r="Z181" t="n">
        <v>228.24</v>
      </c>
      <c r="AA181" s="5">
        <f>IF(X181&lt;50,IF(Y181&gt;(2.3*X181),0,1),1)-IF(Z181&gt;Y181,1.7,0)</f>
        <v/>
      </c>
      <c r="AB181" t="n">
        <v>0</v>
      </c>
      <c r="AC181" s="5">
        <f>IF(AB181&gt;4,1,0)+IF(AB181&gt;10,0.7,0)</f>
        <v/>
      </c>
      <c r="AD181" t="n">
        <v>101.22</v>
      </c>
      <c r="AE181" t="n">
        <v>-1.25</v>
      </c>
      <c r="AF181" t="n">
        <v>29.64</v>
      </c>
      <c r="AG181" s="6">
        <f>IF(G181&lt;52,0,0.7)+IF(G181&lt;34,0,0.7)+IF(G181&lt;1,0,0.7)+IF(P181&gt;14.56,0,1)+IF(R181&lt;9,0.5,0)+IF(R181&lt;33.8,0.5,0)+IF(R181&lt;50,0.5,0)+IF(R181&lt;80,0.5,0)+IF(S181=5,0,S181)+IF(V181&gt;0,1,-1)+IF(AE181&lt;10.56,0,1)-IF(AE181&lt;3,1,0)-IF(AE181&lt;1,1,0)</f>
        <v/>
      </c>
      <c r="AH181" s="5">
        <f>AG181+IF(X181&lt;1.35,0,1)+IF(Y181&lt;1.35,0,1)+IF(Y181&lt;0.7,-1,0)+AC181+AA181</f>
        <v/>
      </c>
      <c r="AI181" s="5" t="n">
        <v>12.66</v>
      </c>
      <c r="AJ181" s="5">
        <f>IF(AI181&gt;12.7,IF(AI181&gt;15.8,0.93,0.98),1)</f>
        <v/>
      </c>
      <c r="AK181" s="5">
        <f>(1.5*AG181+AH181)*AJ181*AQ181</f>
        <v/>
      </c>
      <c r="AL181" s="4">
        <f>D181</f>
        <v/>
      </c>
      <c r="AM181" s="8">
        <f>B181</f>
        <v/>
      </c>
      <c r="AN181" t="n">
        <v>24</v>
      </c>
      <c r="AO181" s="61">
        <f>IF(Z181&lt;2.81,0,IF(AK181&gt;13.7,IF(Z181&lt;140,1,0),0))</f>
        <v/>
      </c>
      <c r="AP181" s="7">
        <f>IF(AK181&gt;13.93,IF(Z181&lt;300,IF(Z181&lt;35,IF(Z181&lt;6,3,2),1),0),0)</f>
        <v/>
      </c>
      <c r="AQ181" s="5" t="n">
        <v>1</v>
      </c>
      <c r="AR181" s="7">
        <f>IF(AO181=1,IF(AO181=AL181,1,0),5)</f>
        <v/>
      </c>
      <c r="AS181" s="5" t="n">
        <v>1</v>
      </c>
      <c r="AT181" s="5" t="n">
        <v>1</v>
      </c>
      <c r="AU181" s="5" t="n">
        <v>1</v>
      </c>
      <c r="AV181" s="5">
        <f>(AT181+AU181)/2</f>
        <v/>
      </c>
      <c r="AW181" s="5" t="n">
        <v>1</v>
      </c>
      <c r="AX181" s="4">
        <f>IF(AW181&gt;AV181,1,0)</f>
        <v/>
      </c>
      <c r="AY181" s="4">
        <f>(100*(AU181-AS181)/AS181)</f>
        <v/>
      </c>
      <c r="AZ181" s="4">
        <f>IF(AY181&lt;-50,-4,IF(AY181&lt;-20,-2,IF(AY181&lt;0,-1,IF(AY181=0,0,IF(AY181&lt;10,1.5,IF(AY181&lt;20,2,IF(AY181&gt;19,2.5,2.5)))))))</f>
        <v/>
      </c>
      <c r="BA181" s="7" t="n"/>
    </row>
    <row r="182" ht="12.75" customHeight="1">
      <c r="A182" t="inlineStr">
        <is>
          <t>https://www.chittorgarh.com/ipo/silverstorm-parks-resorts-ipo/2824/</t>
        </is>
      </c>
      <c r="B182" t="inlineStr">
        <is>
          <t>Silverstorm Parks &amp;am</t>
        </is>
      </c>
      <c r="C182" t="inlineStr">
        <is>
          <t>2026</t>
        </is>
      </c>
      <c r="D182" t="n">
        <v>0</v>
      </c>
      <c r="E182" t="n">
        <v>29.95</v>
      </c>
      <c r="F182" t="n">
        <v>50.47</v>
      </c>
      <c r="G182" s="5">
        <f>100*(F182-E182)/F182</f>
        <v/>
      </c>
      <c r="H182" t="n">
        <v>151.6</v>
      </c>
      <c r="I182" t="n">
        <v>9.710000000000001</v>
      </c>
      <c r="J182" t="n">
        <v>42.59</v>
      </c>
      <c r="K182" t="n">
        <v>11.59</v>
      </c>
      <c r="L182" t="n">
        <v>30.98</v>
      </c>
      <c r="M182" t="n">
        <v>16.56</v>
      </c>
      <c r="N182" t="n">
        <v>67.37</v>
      </c>
      <c r="O182" t="n">
        <v>31.64</v>
      </c>
      <c r="P182" s="5">
        <f>O182/I182</f>
        <v/>
      </c>
      <c r="Q182" t="n">
        <v>11.47</v>
      </c>
      <c r="R182" s="2" t="n">
        <v>15.79</v>
      </c>
      <c r="S182" s="6" t="n">
        <v>0</v>
      </c>
      <c r="T182" t="n">
        <v>82.43000000000001</v>
      </c>
      <c r="U182" t="n">
        <v>0</v>
      </c>
      <c r="V182" t="n">
        <v>1</v>
      </c>
      <c r="W182" t="n">
        <v>1</v>
      </c>
      <c r="X182" t="n">
        <v>0.99</v>
      </c>
      <c r="Y182" t="n">
        <v>1.55</v>
      </c>
      <c r="Z182" t="n">
        <v>0.68</v>
      </c>
      <c r="AA182" s="5">
        <f>IF(X182&lt;50,IF(Y182&gt;(2.3*X182),0,1),1)-IF(Z182&gt;Y182,1.7,0)</f>
        <v/>
      </c>
      <c r="AB182" t="n">
        <v>0</v>
      </c>
      <c r="AC182" s="5">
        <f>IF(AB182&gt;4,1,0)+IF(AB182&gt;10,0.7,0)</f>
        <v/>
      </c>
      <c r="AD182" t="n">
        <v>901.03</v>
      </c>
      <c r="AE182" t="n">
        <v>65.56999999999999</v>
      </c>
      <c r="AF182" t="n">
        <v>116.98</v>
      </c>
      <c r="AG182" s="6">
        <f>IF(G182&lt;52,0,0.7)+IF(G182&lt;34,0,0.7)+IF(G182&lt;1,0,0.7)+IF(P182&gt;14.56,0,1)+IF(R182&lt;9,0.5,0)+IF(R182&lt;33.8,0.5,0)+IF(R182&lt;50,0.5,0)+IF(R182&lt;80,0.5,0)+IF(S182=5,0,S182)+IF(V182&gt;0,1,-1)+IF(AE182&lt;10.56,0,1)-IF(AE182&lt;3,1,0)-IF(AE182&lt;1,1,0)</f>
        <v/>
      </c>
      <c r="AH182" s="5">
        <f>AG182+IF(X182&lt;1.35,0,1)+IF(Y182&lt;1.35,0,1)+IF(Y182&lt;0.7,-1,0)+AC182+AA182</f>
        <v/>
      </c>
      <c r="AI182" s="5" t="n">
        <v>12.67</v>
      </c>
      <c r="AJ182" s="5">
        <f>IF(AI182&gt;12.7,IF(AI182&gt;15.8,0.93,0.98),1)</f>
        <v/>
      </c>
      <c r="AK182" s="5">
        <f>(1.5*AG182+AH182)*AJ182*AQ182</f>
        <v/>
      </c>
      <c r="AL182" s="4">
        <f>D182</f>
        <v/>
      </c>
      <c r="AM182" s="8">
        <f>B182</f>
        <v/>
      </c>
      <c r="AN182" t="n">
        <v>28</v>
      </c>
      <c r="AO182" s="61">
        <f>IF(Z182&lt;2.81,0,IF(AK182&gt;13.7,IF(Z182&lt;140,1,0),0))</f>
        <v/>
      </c>
      <c r="AP182" s="7">
        <f>IF(AK182&gt;13.93,IF(Z182&lt;300,IF(Z182&lt;35,IF(Z182&lt;6,3,2),1),0),0)</f>
        <v/>
      </c>
      <c r="AQ182" s="5" t="n">
        <v>1</v>
      </c>
      <c r="AR182" s="7">
        <f>IF(AO182=1,IF(AO182=AL182,1,0),5)</f>
        <v/>
      </c>
      <c r="AS182" s="5" t="n">
        <v>1</v>
      </c>
      <c r="AT182" s="5" t="n">
        <v>1</v>
      </c>
      <c r="AU182" s="5" t="n">
        <v>1</v>
      </c>
      <c r="AV182" s="5">
        <f>(AT182+AU182)/2</f>
        <v/>
      </c>
      <c r="AW182" s="5" t="n">
        <v>1</v>
      </c>
      <c r="AX182" s="4">
        <f>IF(AW182&gt;AV182,1,0)</f>
        <v/>
      </c>
      <c r="AY182" s="4">
        <f>(100*(AU182-AS182)/AS182)</f>
        <v/>
      </c>
      <c r="AZ182" s="4">
        <f>IF(AY182&lt;-50,-4,IF(AY182&lt;-20,-2,IF(AY182&lt;0,-1,IF(AY182=0,0,IF(AY182&lt;10,1.5,IF(AY182&lt;20,2,IF(AY182&gt;19,2.5,2.5)))))))</f>
        <v/>
      </c>
      <c r="BA182" s="7" t="n"/>
    </row>
    <row r="183" ht="12.75" customHeight="1">
      <c r="A183" t="inlineStr">
        <is>
          <t>https://www.chittorgarh.com/ipo/propshop-events-exhibitions-ipo/2732/</t>
        </is>
      </c>
      <c r="B183" t="inlineStr">
        <is>
          <t>Propshop Events &amp;amp;</t>
        </is>
      </c>
      <c r="C183" t="inlineStr">
        <is>
          <t>2026</t>
        </is>
      </c>
      <c r="D183" t="n">
        <v>0</v>
      </c>
      <c r="E183" t="n">
        <v>0.63</v>
      </c>
      <c r="F183" t="n">
        <v>11.32</v>
      </c>
      <c r="G183" s="5">
        <f>100*(F183-E183)/F183</f>
        <v/>
      </c>
      <c r="H183" t="n">
        <v>18.46</v>
      </c>
      <c r="I183" t="n">
        <v>6.32</v>
      </c>
      <c r="J183" t="n">
        <v>10.81</v>
      </c>
      <c r="K183" t="n">
        <v>5.6</v>
      </c>
      <c r="L183" t="n">
        <v>44.42</v>
      </c>
      <c r="M183" t="n">
        <v>8.550000000000001</v>
      </c>
      <c r="N183" t="n">
        <v>14.93</v>
      </c>
      <c r="O183" t="n">
        <v>51.59</v>
      </c>
      <c r="P183" s="5">
        <f>O183/I183</f>
        <v/>
      </c>
      <c r="Q183" t="n">
        <v>12.32</v>
      </c>
      <c r="R183" s="2" t="n">
        <v>14.32</v>
      </c>
      <c r="S183" s="6" t="n">
        <v>-0.5</v>
      </c>
      <c r="T183" t="n">
        <v>28.57</v>
      </c>
      <c r="U183" t="n">
        <v>5.52</v>
      </c>
      <c r="V183" t="n">
        <v>0</v>
      </c>
      <c r="W183" t="n">
        <v>1</v>
      </c>
      <c r="X183" t="n">
        <v>1.22</v>
      </c>
      <c r="Y183" t="n">
        <v>0.74</v>
      </c>
      <c r="Z183" t="n">
        <v>1.4</v>
      </c>
      <c r="AA183" s="5">
        <f>IF(X183&lt;50,IF(Y183&gt;(2.3*X183),0,1),1)-IF(Z183&gt;Y183,1.7,0)</f>
        <v/>
      </c>
      <c r="AB183" t="n">
        <v>0</v>
      </c>
      <c r="AC183" s="5">
        <f>IF(AB183&gt;4,1,0)+IF(AB183&gt;10,0.7,0)</f>
        <v/>
      </c>
      <c r="AD183" t="n">
        <v>188.58</v>
      </c>
      <c r="AE183" t="n">
        <v>68.76000000000001</v>
      </c>
      <c r="AF183" t="n">
        <v>171.46</v>
      </c>
      <c r="AG183" s="6">
        <f>IF(G183&lt;52,0,0.7)+IF(G183&lt;34,0,0.7)+IF(G183&lt;1,0,0.7)+IF(P183&gt;14.56,0,1)+IF(R183&lt;9,0.5,0)+IF(R183&lt;33.8,0.5,0)+IF(R183&lt;50,0.5,0)+IF(R183&lt;80,0.5,0)+IF(S183=5,0,S183)+IF(V183&gt;0,1,-1)+IF(AE183&lt;10.56,0,1)-IF(AE183&lt;3,1,0)-IF(AE183&lt;1,1,0)</f>
        <v/>
      </c>
      <c r="AH183" s="5">
        <f>AG183+IF(X183&lt;1.35,0,1)+IF(Y183&lt;1.35,0,1)+IF(Y183&lt;0.7,-1,0)+AC183+AA183</f>
        <v/>
      </c>
      <c r="AI183" s="5" t="n">
        <v>12.0075</v>
      </c>
      <c r="AJ183" s="5">
        <f>IF(AI183&gt;12.7,IF(AI183&gt;15.8,0.93,0.98),1)</f>
        <v/>
      </c>
      <c r="AK183" s="5">
        <f>(1.5*AG183+AH183)*AJ183*AQ183</f>
        <v/>
      </c>
      <c r="AL183" s="4">
        <f>D183</f>
        <v/>
      </c>
      <c r="AM183" s="8">
        <f>B183</f>
        <v/>
      </c>
      <c r="AN183" t="n">
        <v>29</v>
      </c>
      <c r="AO183" s="61">
        <f>IF(Z183&lt;2.81,0,IF(AK183&gt;13.7,IF(Z183&lt;140,1,0),0))</f>
        <v/>
      </c>
      <c r="AP183" s="7">
        <f>IF(AK183&gt;13.93,IF(Z183&lt;300,IF(Z183&lt;35,IF(Z183&lt;6,3,2),1),0),0)</f>
        <v/>
      </c>
      <c r="AQ183" s="5" t="n">
        <v>1</v>
      </c>
      <c r="AR183" s="7">
        <f>IF(AO183=1,IF(AO183=AL183,1,0),5)</f>
        <v/>
      </c>
      <c r="AS183" s="5" t="n">
        <v>1</v>
      </c>
      <c r="AT183" s="5" t="n">
        <v>1</v>
      </c>
      <c r="AU183" s="5" t="n">
        <v>1</v>
      </c>
      <c r="AV183" s="5">
        <f>(AT183+AU183)/2</f>
        <v/>
      </c>
      <c r="AW183" s="5" t="n">
        <v>1</v>
      </c>
      <c r="AX183" s="4">
        <f>IF(AW183&gt;AV183,1,0)</f>
        <v/>
      </c>
      <c r="AY183" s="4">
        <f>(100*(AU183-AS183)/AS183)</f>
        <v/>
      </c>
      <c r="AZ183" s="4">
        <f>IF(AY183&lt;-50,-4,IF(AY183&lt;-20,-2,IF(AY183&lt;0,-1,IF(AY183=0,0,IF(AY183&lt;10,1.5,IF(AY183&lt;20,2,IF(AY183&gt;19,2.5,2.5)))))))</f>
        <v/>
      </c>
      <c r="BA183" s="7" t="n"/>
    </row>
    <row r="184" ht="12.75" customHeight="1">
      <c r="A184" t="inlineStr">
        <is>
          <t>https://www.chittorgarh.com/ipo/advance-technoforge-ipo/2307/</t>
        </is>
      </c>
      <c r="B184" t="inlineStr">
        <is>
          <t xml:space="preserve">Advance Technoforge  </t>
        </is>
      </c>
      <c r="C184" t="inlineStr">
        <is>
          <t>2026</t>
        </is>
      </c>
      <c r="D184" t="n">
        <v>0</v>
      </c>
      <c r="E184" t="n">
        <v>17.51</v>
      </c>
      <c r="F184" t="n">
        <v>9.56</v>
      </c>
      <c r="G184" s="5">
        <f>100*(F184-E184)/F184</f>
        <v/>
      </c>
      <c r="H184" t="n">
        <v>39.51</v>
      </c>
      <c r="I184" t="n">
        <v>2.7</v>
      </c>
      <c r="J184" t="n">
        <v>8.109999999999999</v>
      </c>
      <c r="K184" t="n">
        <v>6.24</v>
      </c>
      <c r="L184" t="n">
        <v>30.33</v>
      </c>
      <c r="M184" t="n">
        <v>5.52</v>
      </c>
      <c r="N184" t="n">
        <v>16.69</v>
      </c>
      <c r="O184" t="n">
        <v>51.16</v>
      </c>
      <c r="P184" s="5">
        <f>O184/I184</f>
        <v/>
      </c>
      <c r="Q184" t="n">
        <v>15.22</v>
      </c>
      <c r="R184" s="2" t="n">
        <v>21.16</v>
      </c>
      <c r="S184" s="6" t="n">
        <v>-1</v>
      </c>
      <c r="T184" t="n">
        <v>24.03</v>
      </c>
      <c r="U184" t="n">
        <v>0</v>
      </c>
      <c r="V184" t="n">
        <v>0</v>
      </c>
      <c r="W184" t="n">
        <v>0</v>
      </c>
      <c r="X184" t="n">
        <v>0</v>
      </c>
      <c r="Y184" t="n">
        <v>0.36</v>
      </c>
      <c r="Z184" t="n">
        <v>2.33</v>
      </c>
      <c r="AA184" s="5">
        <f>IF(X184&lt;50,IF(Y184&gt;(2.3*X184),0,1),1)-IF(Z184&gt;Y184,1.7,0)</f>
        <v/>
      </c>
      <c r="AB184" t="n">
        <v>1.05</v>
      </c>
      <c r="AC184" s="5">
        <f>IF(AB184&gt;4,1,0)+IF(AB184&gt;10,0.7,0)</f>
        <v/>
      </c>
      <c r="AD184" t="n">
        <v>58.82</v>
      </c>
      <c r="AE184" t="n">
        <v>6.05</v>
      </c>
      <c r="AF184" t="n">
        <v>37.95</v>
      </c>
      <c r="AG184" s="6">
        <f>IF(G184&lt;52,0,0.7)+IF(G184&lt;34,0,0.7)+IF(G184&lt;1,0,0.7)+IF(P184&gt;14.56,0,1)+IF(R184&lt;9,0.5,0)+IF(R184&lt;33.8,0.5,0)+IF(R184&lt;50,0.5,0)+IF(R184&lt;80,0.5,0)+IF(S184=5,0,S184)+IF(V184&gt;0,1,-1)+IF(AE184&lt;10.56,0,1)-IF(AE184&lt;3,1,0)-IF(AE184&lt;1,1,0)</f>
        <v/>
      </c>
      <c r="AH184" s="5">
        <f>AG184+IF(X184&lt;1.35,0,1)+IF(Y184&lt;1.35,0,1)+IF(Y184&lt;0.7,-1,0)+AC184+AA184</f>
        <v/>
      </c>
      <c r="AI184" s="5" t="n">
        <v>12.0075</v>
      </c>
      <c r="AJ184" s="5">
        <f>IF(AI184&gt;12.7,IF(AI184&gt;15.8,0.93,0.98),1)</f>
        <v/>
      </c>
      <c r="AK184" s="5">
        <f>(1.5*AG184+AH184)*AJ184*AQ184</f>
        <v/>
      </c>
      <c r="AL184" s="4">
        <f>D184</f>
        <v/>
      </c>
      <c r="AM184" s="8">
        <f>B184</f>
        <v/>
      </c>
      <c r="AN184" t="n">
        <v>29</v>
      </c>
      <c r="AO184" s="61">
        <f>IF(Z184&lt;2.81,0,IF(AK184&gt;13.7,IF(Z184&lt;140,1,0),0))</f>
        <v/>
      </c>
      <c r="AP184" s="7">
        <f>IF(AK184&gt;13.93,IF(Z184&lt;300,IF(Z184&lt;35,IF(Z184&lt;6,3,2),1),0),0)</f>
        <v/>
      </c>
      <c r="AQ184" s="5" t="n">
        <v>0.95</v>
      </c>
      <c r="AR184" s="7">
        <f>IF(AO184=1,IF(AO184=AL184,1,0),5)</f>
        <v/>
      </c>
      <c r="AS184" s="5" t="n">
        <v>1</v>
      </c>
      <c r="AT184" s="5" t="n">
        <v>1</v>
      </c>
      <c r="AU184" s="5" t="n">
        <v>1</v>
      </c>
      <c r="AV184" s="5">
        <f>(AT184+AU184)/2</f>
        <v/>
      </c>
      <c r="AW184" s="5" t="n">
        <v>1</v>
      </c>
      <c r="AX184" s="4">
        <f>IF(AW184&gt;AV184,1,0)</f>
        <v/>
      </c>
      <c r="AY184" s="4">
        <f>(100*(AU184-AS184)/AS184)</f>
        <v/>
      </c>
      <c r="AZ184" s="4">
        <f>IF(AY184&lt;-50,-4,IF(AY184&lt;-20,-2,IF(AY184&lt;0,-1,IF(AY184=0,0,IF(AY184&lt;10,1.5,IF(AY184&lt;20,2,IF(AY184&gt;19,2.5,2.5)))))))</f>
        <v/>
      </c>
      <c r="BA184" s="7" t="n"/>
    </row>
    <row r="185" ht="12.75" customHeight="1">
      <c r="A185" t="inlineStr">
        <is>
          <t>https://www.chittorgarh.com/ipo/poojaa-precision-engg-ipo/2954/</t>
        </is>
      </c>
      <c r="B185" t="inlineStr">
        <is>
          <t>Poojaa Precision Engg</t>
        </is>
      </c>
      <c r="C185" t="inlineStr">
        <is>
          <t>2026</t>
        </is>
      </c>
      <c r="D185" t="n">
        <v>1</v>
      </c>
      <c r="E185" t="n">
        <v>19.54</v>
      </c>
      <c r="F185" t="n">
        <v>86.2</v>
      </c>
      <c r="G185" s="5">
        <f>100*(F185-E185)/F185</f>
        <v/>
      </c>
      <c r="H185" t="n">
        <v>135.92</v>
      </c>
      <c r="I185" t="n">
        <v>23.93</v>
      </c>
      <c r="J185" t="n">
        <v>10.52</v>
      </c>
      <c r="K185" t="n">
        <v>21.12</v>
      </c>
      <c r="L185" t="n">
        <v>28.18</v>
      </c>
      <c r="M185" t="n">
        <v>39.89</v>
      </c>
      <c r="N185" t="n">
        <v>17.62</v>
      </c>
      <c r="O185" t="n">
        <v>222.8</v>
      </c>
      <c r="P185" s="5">
        <f>O185/I185</f>
        <v/>
      </c>
      <c r="Q185" t="n">
        <v>14.25</v>
      </c>
      <c r="R185" s="2" t="n">
        <v>19.43</v>
      </c>
      <c r="S185" s="6" t="n">
        <v>-1</v>
      </c>
      <c r="T185" t="n">
        <v>159.83</v>
      </c>
      <c r="U185" t="n">
        <v>0</v>
      </c>
      <c r="V185" t="n">
        <v>1</v>
      </c>
      <c r="W185" t="n">
        <v>1</v>
      </c>
      <c r="X185" t="n">
        <v>10.95</v>
      </c>
      <c r="Y185" t="n">
        <v>148.17</v>
      </c>
      <c r="Z185" t="n">
        <v>137.26</v>
      </c>
      <c r="AA185" s="5">
        <f>IF(X185&lt;50,IF(Y185&gt;(2.3*X185),0,1),1)-IF(Z185&gt;Y185,1.7,0)</f>
        <v/>
      </c>
      <c r="AB185" t="n">
        <v>39.87</v>
      </c>
      <c r="AC185" s="5">
        <f>IF(AB185&gt;4,1,0)+IF(AB185&gt;10,0.7,0)</f>
        <v/>
      </c>
      <c r="AD185" t="n">
        <v>48.63</v>
      </c>
      <c r="AE185" t="n">
        <v>27.61</v>
      </c>
      <c r="AF185" t="n">
        <v>32.96</v>
      </c>
      <c r="AG185" s="6">
        <f>IF(G185&lt;52,0,0.7)+IF(G185&lt;34,0,0.7)+IF(G185&lt;1,0,0.7)+IF(P185&gt;14.56,0,1)+IF(R185&lt;9,0.5,0)+IF(R185&lt;33.8,0.5,0)+IF(R185&lt;50,0.5,0)+IF(R185&lt;80,0.5,0)+IF(S185=5,0,S185)+IF(V185&gt;0,1,-1)+IF(AE185&lt;10.56,0,1)-IF(AE185&lt;3,1,0)-IF(AE185&lt;1,1,0)</f>
        <v/>
      </c>
      <c r="AH185" s="5">
        <f>AG185+IF(X185&lt;1.35,0,1)+IF(Y185&lt;1.35,0,1)+IF(Y185&lt;0.7,-1,0)+AC185+AA185</f>
        <v/>
      </c>
      <c r="AI185" s="5" t="n">
        <v>12.115</v>
      </c>
      <c r="AJ185" s="5">
        <f>IF(AI185&gt;12.7,IF(AI185&gt;15.8,0.93,0.98),1)</f>
        <v/>
      </c>
      <c r="AK185" s="5">
        <f>(1.5*AG185+AH185)*AJ185*AQ185</f>
        <v/>
      </c>
      <c r="AL185" s="4">
        <f>D185</f>
        <v/>
      </c>
      <c r="AM185" s="8">
        <f>B185</f>
        <v/>
      </c>
      <c r="AN185" t="n">
        <v>30</v>
      </c>
      <c r="AO185" s="61">
        <f>IF(Z185&lt;2.81,0,IF(AK185&gt;13.7,IF(Z185&lt;140,1,0),0))</f>
        <v/>
      </c>
      <c r="AP185" s="7">
        <f>IF(AK185&gt;13.93,IF(Z185&lt;300,IF(Z185&lt;35,IF(Z185&lt;6,3,2),1),0),0)</f>
        <v/>
      </c>
      <c r="AQ185" s="5" t="n">
        <v>1</v>
      </c>
      <c r="AR185" s="7">
        <f>IF(AO185=1,IF(AO185=AL185,1,0),5)</f>
        <v/>
      </c>
      <c r="AS185" s="5" t="n">
        <v>1</v>
      </c>
      <c r="AT185" s="5" t="n">
        <v>1</v>
      </c>
      <c r="AU185" s="5" t="n">
        <v>1</v>
      </c>
      <c r="AV185" s="5">
        <f>(AT185+AU185)/2</f>
        <v/>
      </c>
      <c r="AW185" s="5" t="n">
        <v>1</v>
      </c>
      <c r="AX185" s="4">
        <f>IF(AW185&gt;AV185,1,0)</f>
        <v/>
      </c>
      <c r="AY185" s="4">
        <f>(100*(AU185-AS185)/AS185)</f>
        <v/>
      </c>
      <c r="AZ185" s="4">
        <f>IF(AY185&lt;-50,-4,IF(AY185&lt;-20,-2,IF(AY185&lt;0,-1,IF(AY185=0,0,IF(AY185&lt;10,1.5,IF(AY185&lt;20,2,IF(AY185&gt;19,2.5,2.5)))))))</f>
        <v/>
      </c>
      <c r="BA185" s="7" t="n"/>
    </row>
    <row r="186" ht="12.75" customHeight="1">
      <c r="A186" t="inlineStr">
        <is>
          <t>https://www.chittorgarh.com/ipo/hr-hygiene-products-ipo/2713/</t>
        </is>
      </c>
      <c r="B186" t="inlineStr">
        <is>
          <t>H.R. Hygiene Products</t>
        </is>
      </c>
      <c r="C186" t="inlineStr">
        <is>
          <t>2026</t>
        </is>
      </c>
      <c r="D186" t="n">
        <v>1</v>
      </c>
      <c r="E186" t="n">
        <v>21.19</v>
      </c>
      <c r="F186" t="n">
        <v>31.44</v>
      </c>
      <c r="G186" s="5">
        <f>100*(F186-E186)/F186</f>
        <v/>
      </c>
      <c r="H186" t="n">
        <v>90.56</v>
      </c>
      <c r="I186" t="n">
        <v>9.08</v>
      </c>
      <c r="J186" t="n">
        <v>8.73</v>
      </c>
      <c r="K186" t="n">
        <v>6.41</v>
      </c>
      <c r="L186" t="n">
        <v>30.9</v>
      </c>
      <c r="M186" t="n">
        <v>14.77</v>
      </c>
      <c r="N186" t="n">
        <v>13.07</v>
      </c>
      <c r="O186" t="n">
        <v>115.15</v>
      </c>
      <c r="P186" s="5">
        <f>O186/I186</f>
        <v/>
      </c>
      <c r="Q186" t="n">
        <v>13.73</v>
      </c>
      <c r="R186" s="2" t="n">
        <v>17.53</v>
      </c>
      <c r="S186" s="6" t="n">
        <v>-0.5</v>
      </c>
      <c r="T186" t="n">
        <v>53.95</v>
      </c>
      <c r="U186" t="n">
        <v>10.78</v>
      </c>
      <c r="V186" t="n">
        <v>1</v>
      </c>
      <c r="W186" t="n">
        <v>1</v>
      </c>
      <c r="X186" t="n">
        <v>1.7</v>
      </c>
      <c r="Y186" t="n">
        <v>2.35</v>
      </c>
      <c r="Z186" t="n">
        <v>1.99</v>
      </c>
      <c r="AA186" s="5">
        <f>IF(X186&lt;50,IF(Y186&gt;(2.3*X186),0,1),1)-IF(Z186&gt;Y186,1.7,0)</f>
        <v/>
      </c>
      <c r="AB186" t="n">
        <v>2.27</v>
      </c>
      <c r="AC186" s="5">
        <f>IF(AB186&gt;4,1,0)+IF(AB186&gt;10,0.7,0)</f>
        <v/>
      </c>
      <c r="AD186" t="n">
        <v>94.84999999999999</v>
      </c>
      <c r="AE186" t="n">
        <v>34.95</v>
      </c>
      <c r="AF186" t="n">
        <v>432.88</v>
      </c>
      <c r="AG186" s="6">
        <f>IF(G186&lt;52,0,0.7)+IF(G186&lt;34,0,0.7)+IF(G186&lt;1,0,0.7)+IF(P186&gt;14.56,0,1)+IF(R186&lt;9,0.5,0)+IF(R186&lt;33.8,0.5,0)+IF(R186&lt;50,0.5,0)+IF(R186&lt;80,0.5,0)+IF(S186=5,0,S186)+IF(V186&gt;0,1,-1)+IF(AE186&lt;10.56,0,1)-IF(AE186&lt;3,1,0)-IF(AE186&lt;1,1,0)</f>
        <v/>
      </c>
      <c r="AH186" s="5">
        <f>AG186+IF(X186&lt;1.35,0,1)+IF(Y186&lt;1.35,0,1)+IF(Y186&lt;0.7,-1,0)+AC186+AA186</f>
        <v/>
      </c>
      <c r="AI186" s="5" t="n">
        <v>12.14</v>
      </c>
      <c r="AJ186" s="5">
        <f>IF(AI186&gt;12.7,IF(AI186&gt;15.8,0.93,0.98),1)</f>
        <v/>
      </c>
      <c r="AK186" s="5">
        <f>(1.5*AG186+AH186)*AJ186*AQ186</f>
        <v/>
      </c>
      <c r="AL186" s="4">
        <f>D186</f>
        <v/>
      </c>
      <c r="AM186" s="8">
        <f>B186</f>
        <v/>
      </c>
      <c r="AN186" s="128" t="n">
        <v>31</v>
      </c>
      <c r="AO186" s="61">
        <f>IF(Z186&lt;2.81,0,IF(AK186&gt;13.7,IF(Z186&lt;140,1,0),0))</f>
        <v/>
      </c>
      <c r="AP186" s="7">
        <f>IF(AK186&gt;13.93,IF(Z186&lt;300,IF(Z186&lt;35,IF(Z186&lt;6,3,2),1),0),0)</f>
        <v/>
      </c>
      <c r="AQ186" s="5" t="n">
        <v>1</v>
      </c>
      <c r="AR186" s="7">
        <f>IF(AO186=1,IF(AO186=AL186,1,0),5)</f>
        <v/>
      </c>
      <c r="AS186" s="5" t="n">
        <v>1</v>
      </c>
      <c r="AT186" s="5" t="n">
        <v>1</v>
      </c>
      <c r="AU186" s="5" t="n">
        <v>1</v>
      </c>
      <c r="AV186" s="5">
        <f>(AT186+AU186)/2</f>
        <v/>
      </c>
      <c r="AW186" s="5" t="n">
        <v>1</v>
      </c>
      <c r="AX186" s="4">
        <f>IF(AW186&gt;AV186,1,0)</f>
        <v/>
      </c>
      <c r="AY186" s="4">
        <f>(100*(AU186-AS186)/AS186)</f>
        <v/>
      </c>
      <c r="AZ186" s="4">
        <f>IF(AY186&lt;-50,-4,IF(AY186&lt;-20,-2,IF(AY186&lt;0,-1,IF(AY186=0,0,IF(AY186&lt;10,1.5,IF(AY186&lt;20,2,IF(AY186&gt;19,2.5,2.5)))))))</f>
        <v/>
      </c>
      <c r="BA186" s="7" t="n"/>
    </row>
    <row r="187" ht="12.75" customHeight="1">
      <c r="A187" t="inlineStr">
        <is>
          <t>https://www.chittorgarh.com/ipo/dhaval-packaging-ipo/2835/</t>
        </is>
      </c>
      <c r="B187" t="inlineStr">
        <is>
          <t>Dhaval Packaging  Pri</t>
        </is>
      </c>
      <c r="C187" t="inlineStr">
        <is>
          <t>2026</t>
        </is>
      </c>
      <c r="D187" t="n">
        <v>1</v>
      </c>
      <c r="E187" t="n">
        <v>16.55</v>
      </c>
      <c r="F187" t="n">
        <v>20.16</v>
      </c>
      <c r="G187" s="5">
        <f>100*(F187-E187)/F187</f>
        <v/>
      </c>
      <c r="H187" t="n">
        <v>47.89</v>
      </c>
      <c r="I187" t="n">
        <v>6.04</v>
      </c>
      <c r="J187" t="n">
        <v>11.32</v>
      </c>
      <c r="K187" t="n">
        <v>8.050000000000001</v>
      </c>
      <c r="L187" t="n">
        <v>24.03</v>
      </c>
      <c r="M187" t="n">
        <v>10.22</v>
      </c>
      <c r="N187" t="n">
        <v>19.77</v>
      </c>
      <c r="O187" t="n">
        <v>52.43</v>
      </c>
      <c r="P187" s="5">
        <f>O187/I187</f>
        <v/>
      </c>
      <c r="Q187" t="n">
        <v>12.05</v>
      </c>
      <c r="R187" s="2" t="n">
        <v>16.58</v>
      </c>
      <c r="S187" s="6" t="n">
        <v>-0.5</v>
      </c>
      <c r="T187" t="n">
        <v>36.36</v>
      </c>
      <c r="U187" t="n">
        <v>0</v>
      </c>
      <c r="V187" t="n">
        <v>1</v>
      </c>
      <c r="W187" t="n">
        <v>1</v>
      </c>
      <c r="X187" t="n">
        <v>1.06</v>
      </c>
      <c r="Y187" t="n">
        <v>9.4</v>
      </c>
      <c r="Z187" t="n">
        <v>6.79</v>
      </c>
      <c r="AA187" s="5">
        <f>IF(X187&lt;50,IF(Y187&gt;(2.3*X187),0,1),1)-IF(Z187&gt;Y187,1.7,0)</f>
        <v/>
      </c>
      <c r="AB187" t="n">
        <v>0</v>
      </c>
      <c r="AC187" s="5">
        <f>IF(AB187&gt;4,1,0)+IF(AB187&gt;10,0.7,0)</f>
        <v/>
      </c>
      <c r="AD187" t="n">
        <v>289.68</v>
      </c>
      <c r="AE187" t="n">
        <v>9.050000000000001</v>
      </c>
      <c r="AF187" t="n">
        <v>391.71</v>
      </c>
      <c r="AG187" s="6">
        <f>IF(G187&lt;52,0,0.7)+IF(G187&lt;34,0,0.7)+IF(G187&lt;1,0,0.7)+IF(P187&gt;14.56,0,1)+IF(R187&lt;9,0.5,0)+IF(R187&lt;33.8,0.5,0)+IF(R187&lt;50,0.5,0)+IF(R187&lt;80,0.5,0)+IF(S187=5,0,S187)+IF(V187&gt;0,1,-1)+IF(AE187&lt;10.56,0,1)-IF(AE187&lt;3,1,0)-IF(AE187&lt;1,1,0)</f>
        <v/>
      </c>
      <c r="AH187" s="5">
        <f>AG187+IF(X187&lt;1.35,0,1)+IF(Y187&lt;1.35,0,1)+IF(Y187&lt;0.7,-1,0)+AC187+AA187</f>
        <v/>
      </c>
      <c r="AI187" s="5" t="n">
        <v>11.9825</v>
      </c>
      <c r="AJ187" s="5">
        <f>IF(AI187&gt;12.7,IF(AI187&gt;15.8,0.93,0.98),1)</f>
        <v/>
      </c>
      <c r="AK187" s="5">
        <f>(1.5*AG187+AH187)*AJ187*AQ187</f>
        <v/>
      </c>
      <c r="AL187" s="4">
        <f>D187</f>
        <v/>
      </c>
      <c r="AM187" s="8">
        <f>B187</f>
        <v/>
      </c>
      <c r="AN187" t="n">
        <v>3</v>
      </c>
      <c r="AO187" s="61">
        <f>IF(Z187&lt;2.81,0,IF(AK187&gt;13.7,IF(Z187&lt;140,1,0),0))</f>
        <v/>
      </c>
      <c r="AP187" s="7">
        <f>IF(AK187&gt;13.93,IF(Z187&lt;300,IF(Z187&lt;35,IF(Z187&lt;6,3,2),1),0),0)</f>
        <v/>
      </c>
      <c r="AQ187" s="5" t="n">
        <v>1</v>
      </c>
      <c r="AR187" s="7">
        <f>IF(AO187=1,IF(AO187=AL187,1,0),5)</f>
        <v/>
      </c>
      <c r="AS187" s="5" t="n">
        <v>1</v>
      </c>
      <c r="AT187" s="5" t="n">
        <v>1</v>
      </c>
      <c r="AU187" s="5" t="n">
        <v>1</v>
      </c>
      <c r="AV187" s="5">
        <f>(AT187+AU187)/2</f>
        <v/>
      </c>
      <c r="AW187" s="5" t="n">
        <v>1</v>
      </c>
      <c r="AX187" s="4">
        <f>IF(AW187&gt;AV187,1,0)</f>
        <v/>
      </c>
      <c r="AY187" s="4">
        <f>(100*(AU187-AS187)/AS187)</f>
        <v/>
      </c>
      <c r="AZ187" s="4">
        <f>IF(AY187&lt;-50,-4,IF(AY187&lt;-20,-2,IF(AY187&lt;0,-1,IF(AY187=0,0,IF(AY187&lt;10,1.5,IF(AY187&lt;20,2,IF(AY187&gt;19,2.5,2.5)))))))</f>
        <v/>
      </c>
      <c r="BA187" s="7" t="n"/>
    </row>
    <row r="188" ht="12.75" customHeight="1">
      <c r="A188" t="inlineStr">
        <is>
          <t>https://www.chittorgarh.com/ipo/oneindig-technologies-ipo/2646/</t>
        </is>
      </c>
      <c r="B188" t="inlineStr">
        <is>
          <t>Oneindig Technologies</t>
        </is>
      </c>
      <c r="C188" t="inlineStr">
        <is>
          <t>2026</t>
        </is>
      </c>
      <c r="D188" t="n">
        <v>1</v>
      </c>
      <c r="E188" t="n">
        <v>6.96</v>
      </c>
      <c r="F188" t="n">
        <v>14.68</v>
      </c>
      <c r="G188" s="5">
        <f>100*(F188-E188)/F188</f>
        <v/>
      </c>
      <c r="H188" t="n">
        <v>35.53</v>
      </c>
      <c r="I188" t="n">
        <v>4.17</v>
      </c>
      <c r="J188" t="n">
        <v>0</v>
      </c>
      <c r="K188" t="n">
        <v>5.18</v>
      </c>
      <c r="L188" t="n">
        <v>34.89</v>
      </c>
      <c r="M188" t="n">
        <v>6.87</v>
      </c>
      <c r="N188" t="n">
        <v>18.31</v>
      </c>
      <c r="O188" t="n">
        <v>46.14</v>
      </c>
      <c r="P188" s="5">
        <f>O188/I188</f>
        <v/>
      </c>
      <c r="Q188" t="n">
        <v>18.53</v>
      </c>
      <c r="R188" s="2" t="n">
        <v>14.18</v>
      </c>
      <c r="S188" s="6" t="n">
        <v>-0.5</v>
      </c>
      <c r="T188" t="n">
        <v>27.65</v>
      </c>
      <c r="U188" t="n">
        <v>0</v>
      </c>
      <c r="V188" t="n">
        <v>1</v>
      </c>
      <c r="W188" t="n">
        <v>1</v>
      </c>
      <c r="X188" t="n">
        <v>1.04</v>
      </c>
      <c r="Y188" t="n">
        <v>0.66</v>
      </c>
      <c r="Z188" t="n">
        <v>1.06</v>
      </c>
      <c r="AA188" s="5">
        <f>IF(X188&lt;50,IF(Y188&gt;(2.3*X188),0,1),1)-IF(Z188&gt;Y188,1.7,0)</f>
        <v/>
      </c>
      <c r="AB188" t="n">
        <v>0</v>
      </c>
      <c r="AC188" s="5">
        <f>IF(AB188&gt;4,1,0)+IF(AB188&gt;10,0.7,0)</f>
        <v/>
      </c>
      <c r="AD188" t="n">
        <v>0</v>
      </c>
      <c r="AE188" t="n">
        <v>0</v>
      </c>
      <c r="AF188" t="n">
        <v>0</v>
      </c>
      <c r="AG188" s="6">
        <f>IF(G188&lt;52,0,0.7)+IF(G188&lt;34,0,0.7)+IF(G188&lt;1,0,0.7)+IF(P188&gt;14.56,0,1)+IF(R188&lt;9,0.5,0)+IF(R188&lt;33.8,0.5,0)+IF(R188&lt;50,0.5,0)+IF(R188&lt;80,0.5,0)+IF(S188=5,0,S188)+IF(V188&gt;0,1,-1)+IF(AE188&lt;10.56,0,1)-IF(AE188&lt;3,1,0)-IF(AE188&lt;1,1,0)</f>
        <v/>
      </c>
      <c r="AH188" s="5">
        <f>AG188+IF(X188&lt;1.35,0,1)+IF(Y188&lt;1.35,0,1)+IF(Y188&lt;0.7,-1,0)+AC188+AA188</f>
        <v/>
      </c>
      <c r="AI188" s="5" t="n">
        <v>11.9825</v>
      </c>
      <c r="AJ188" s="5">
        <f>IF(AI188&gt;12.7,IF(AI188&gt;15.8,0.93,0.98),1)</f>
        <v/>
      </c>
      <c r="AK188" s="5">
        <f>(1.5*AG188+AH188)*AJ188*AQ188</f>
        <v/>
      </c>
      <c r="AL188" s="4">
        <f>D188</f>
        <v/>
      </c>
      <c r="AM188" s="8">
        <f>B188</f>
        <v/>
      </c>
      <c r="AN188" t="n">
        <v>3</v>
      </c>
      <c r="AO188" s="61">
        <f>IF(Z188&lt;2.81,0,IF(AK188&gt;13.7,IF(Z188&lt;140,1,0),0))</f>
        <v/>
      </c>
      <c r="AP188" s="7">
        <f>IF(AK188&gt;13.93,IF(Z188&lt;300,IF(Z188&lt;35,IF(Z188&lt;6,3,2),1),0),0)</f>
        <v/>
      </c>
      <c r="AQ188" s="5" t="n">
        <v>0.95</v>
      </c>
      <c r="AR188" s="7">
        <f>IF(AO188=1,IF(AO188=AL188,1,0),5)</f>
        <v/>
      </c>
      <c r="AS188" s="5" t="n">
        <v>1</v>
      </c>
      <c r="AT188" s="5" t="n">
        <v>1</v>
      </c>
      <c r="AU188" s="5" t="n">
        <v>1</v>
      </c>
      <c r="AV188" s="5">
        <f>(AT188+AU188)/2</f>
        <v/>
      </c>
      <c r="AW188" s="5" t="n">
        <v>1</v>
      </c>
      <c r="AX188" s="4">
        <f>IF(AW188&gt;AV188,1,0)</f>
        <v/>
      </c>
      <c r="AY188" s="4">
        <f>(100*(AU188-AS188)/AS188)</f>
        <v/>
      </c>
      <c r="AZ188" s="4">
        <f>IF(AY188&lt;-50,-4,IF(AY188&lt;-20,-2,IF(AY188&lt;0,-1,IF(AY188=0,0,IF(AY188&lt;10,1.5,IF(AY188&lt;20,2,IF(AY188&gt;19,2.5,2.5)))))))</f>
        <v/>
      </c>
      <c r="BA188" s="7" t="n"/>
    </row>
    <row r="189" ht="12.75" customHeight="1">
      <c r="A189" t="inlineStr">
        <is>
          <t>https://www.chittorgarh.com/ipo/fusion-klassroom-edutech-ipo/2867/</t>
        </is>
      </c>
      <c r="B189" t="inlineStr">
        <is>
          <t>Fusion Klassroom Edut</t>
        </is>
      </c>
      <c r="C189" t="inlineStr">
        <is>
          <t>2026</t>
        </is>
      </c>
      <c r="D189" t="n">
        <v>1</v>
      </c>
      <c r="E189" t="n">
        <v>1.01</v>
      </c>
      <c r="F189" t="n">
        <v>10.03</v>
      </c>
      <c r="G189" s="5">
        <f>100*(F189-E189)/F189</f>
        <v/>
      </c>
      <c r="H189" t="n">
        <v>12.06</v>
      </c>
      <c r="I189" t="n">
        <v>2.9</v>
      </c>
      <c r="J189" t="n">
        <v>32.99</v>
      </c>
      <c r="K189" t="n">
        <v>10.37</v>
      </c>
      <c r="L189" t="n">
        <v>53.45</v>
      </c>
      <c r="M189" t="n">
        <v>4.06</v>
      </c>
      <c r="N189" t="n">
        <v>56.38</v>
      </c>
      <c r="O189" t="n">
        <v>10.11</v>
      </c>
      <c r="P189" s="5">
        <f>O189/I189</f>
        <v/>
      </c>
      <c r="Q189" t="n">
        <v>15.33</v>
      </c>
      <c r="R189" s="2" t="n">
        <v>19.49</v>
      </c>
      <c r="S189" s="6" t="n">
        <v>-0.5</v>
      </c>
      <c r="T189" t="n">
        <v>39.04</v>
      </c>
      <c r="U189" t="n">
        <v>7.41</v>
      </c>
      <c r="V189" t="n">
        <v>1</v>
      </c>
      <c r="W189" t="n">
        <v>1</v>
      </c>
      <c r="X189" t="n">
        <v>1</v>
      </c>
      <c r="Y189" t="n">
        <v>1.11</v>
      </c>
      <c r="Z189" t="n">
        <v>1.66</v>
      </c>
      <c r="AA189" s="5">
        <f>IF(X189&lt;50,IF(Y189&gt;(2.3*X189),0,1),1)-IF(Z189&gt;Y189,1.7,0)</f>
        <v/>
      </c>
      <c r="AB189" t="n">
        <v>0</v>
      </c>
      <c r="AC189" s="5">
        <f>IF(AB189&gt;4,1,0)+IF(AB189&gt;10,0.7,0)</f>
        <v/>
      </c>
      <c r="AD189" t="n">
        <v>752.9400000000001</v>
      </c>
      <c r="AE189" t="n">
        <v>118.83</v>
      </c>
      <c r="AF189" t="n">
        <v>155.87</v>
      </c>
      <c r="AG189" s="6">
        <f>IF(G189&lt;52,0,0.7)+IF(G189&lt;34,0,0.7)+IF(G189&lt;1,0,0.7)+IF(P189&gt;14.56,0,1)+IF(R189&lt;9,0.5,0)+IF(R189&lt;33.8,0.5,0)+IF(R189&lt;50,0.5,0)+IF(R189&lt;80,0.5,0)+IF(S189=5,0,S189)+IF(V189&gt;0,1,-1)+IF(AE189&lt;10.56,0,1)-IF(AE189&lt;3,1,0)-IF(AE189&lt;1,1,0)</f>
        <v/>
      </c>
      <c r="AH189" s="5">
        <f>AG189+IF(X189&lt;1.35,0,1)+IF(Y189&lt;1.35,0,1)+IF(Y189&lt;0.7,-1,0)+AC189+AA189</f>
        <v/>
      </c>
      <c r="AI189" s="5" t="n">
        <v>12.2825</v>
      </c>
      <c r="AJ189" s="5">
        <f>IF(AI189&gt;12.7,IF(AI189&gt;15.8,0.93,0.98),1)</f>
        <v/>
      </c>
      <c r="AK189" s="5">
        <f>(1.5*AG189+AH189)*AJ189*AQ189</f>
        <v/>
      </c>
      <c r="AL189" s="4">
        <f>D189</f>
        <v/>
      </c>
      <c r="AM189" s="8">
        <f>B189</f>
        <v/>
      </c>
      <c r="AN189" t="n">
        <v>4</v>
      </c>
      <c r="AO189" s="61">
        <f>IF(Z189&lt;2.81,0,IF(AK189&gt;13.7,IF(Z189&lt;140,1,0),0))</f>
        <v/>
      </c>
      <c r="AP189" s="7">
        <f>IF(AK189&gt;13.93,IF(Z189&lt;300,IF(Z189&lt;35,IF(Z189&lt;6,3,2),1),0),0)</f>
        <v/>
      </c>
      <c r="AQ189" s="5" t="n">
        <v>0.95</v>
      </c>
      <c r="AR189" s="7">
        <f>IF(AO189=1,IF(AO189=AL189,1,0),5)</f>
        <v/>
      </c>
      <c r="AS189" s="5" t="n">
        <v>1</v>
      </c>
      <c r="AT189" s="5" t="n">
        <v>1</v>
      </c>
      <c r="AU189" s="5" t="n">
        <v>1</v>
      </c>
      <c r="AV189" s="5">
        <f>(AT189+AU189)/2</f>
        <v/>
      </c>
      <c r="AW189" s="5" t="n">
        <v>1</v>
      </c>
      <c r="AX189" s="4">
        <f>IF(AW189&gt;AV189,1,0)</f>
        <v/>
      </c>
      <c r="AY189" s="4">
        <f>(100*(AU189-AS189)/AS189)</f>
        <v/>
      </c>
      <c r="AZ189" s="4">
        <f>IF(AY189&lt;-50,-4,IF(AY189&lt;-20,-2,IF(AY189&lt;0,-1,IF(AY189=0,0,IF(AY189&lt;10,1.5,IF(AY189&lt;20,2,IF(AY189&gt;19,2.5,2.5)))))))</f>
        <v/>
      </c>
      <c r="BA189" s="7" t="n"/>
    </row>
    <row r="190" ht="12.75" customHeight="1">
      <c r="A190" t="inlineStr">
        <is>
          <t>https://www.chittorgarh.com/ipo/anawil-wire-engieering-ipo/2618/</t>
        </is>
      </c>
      <c r="B190" t="inlineStr">
        <is>
          <t>Anawil Wire &amp;amp; Eng</t>
        </is>
      </c>
      <c r="C190" t="inlineStr">
        <is>
          <t>2026</t>
        </is>
      </c>
      <c r="D190" t="n">
        <v>1</v>
      </c>
      <c r="E190" t="n">
        <v>55.11</v>
      </c>
      <c r="F190" t="n">
        <v>40.08</v>
      </c>
      <c r="G190" s="5">
        <f>100*(F190-E190)/F190</f>
        <v/>
      </c>
      <c r="H190" t="n">
        <v>114.42</v>
      </c>
      <c r="I190" t="n">
        <v>12.31</v>
      </c>
      <c r="J190" t="n">
        <v>25.57</v>
      </c>
      <c r="K190" t="n">
        <v>18.58</v>
      </c>
      <c r="L190" t="n">
        <v>56.53</v>
      </c>
      <c r="M190" t="n">
        <v>29.98</v>
      </c>
      <c r="N190" t="n">
        <v>42.64</v>
      </c>
      <c r="O190" t="n">
        <v>79.40000000000001</v>
      </c>
      <c r="P190" s="5">
        <f>O190/I190</f>
        <v/>
      </c>
      <c r="Q190" t="n">
        <v>14.53</v>
      </c>
      <c r="R190" s="2" t="n">
        <v>18.43</v>
      </c>
      <c r="S190" s="6" t="n">
        <v>-0.5</v>
      </c>
      <c r="T190" t="n">
        <v>177.81</v>
      </c>
      <c r="U190" t="n">
        <v>35.12</v>
      </c>
      <c r="V190" t="n">
        <v>1</v>
      </c>
      <c r="W190" t="n">
        <v>1</v>
      </c>
      <c r="X190" t="n">
        <v>7.09</v>
      </c>
      <c r="Y190" t="n">
        <v>4.25</v>
      </c>
      <c r="Z190" t="n">
        <v>6.6</v>
      </c>
      <c r="AA190" s="5">
        <f>IF(X190&lt;50,IF(Y190&gt;(2.3*X190),0,1),1)-IF(Z190&gt;Y190,1.7,0)</f>
        <v/>
      </c>
      <c r="AB190" t="n">
        <v>29.63</v>
      </c>
      <c r="AC190" s="5">
        <f>IF(AB190&gt;4,1,0)+IF(AB190&gt;10,0.7,0)</f>
        <v/>
      </c>
      <c r="AD190" t="n">
        <v>180.41</v>
      </c>
      <c r="AE190" t="n">
        <v>46.82</v>
      </c>
      <c r="AF190" t="n">
        <v>44.33</v>
      </c>
      <c r="AG190" s="6">
        <f>IF(G190&lt;52,0,0.7)+IF(G190&lt;34,0,0.7)+IF(G190&lt;1,0,0.7)+IF(P190&gt;14.56,0,1)+IF(R190&lt;9,0.5,0)+IF(R190&lt;33.8,0.5,0)+IF(R190&lt;50,0.5,0)+IF(R190&lt;80,0.5,0)+IF(S190=5,0,S190)+IF(V190&gt;0,1,-1)+IF(AE190&lt;10.56,0,1)-IF(AE190&lt;3,1,0)-IF(AE190&lt;1,1,0)</f>
        <v/>
      </c>
      <c r="AH190" s="5">
        <f>AG190+IF(X190&lt;1.35,0,1)+IF(Y190&lt;1.35,0,1)+IF(Y190&lt;0.7,-1,0)+AC190+AA190</f>
        <v/>
      </c>
      <c r="AI190" s="5" t="n">
        <v>12.2775</v>
      </c>
      <c r="AJ190" s="5">
        <f>IF(AI190&gt;12.7,IF(AI190&gt;15.8,0.93,0.98),1)</f>
        <v/>
      </c>
      <c r="AK190" s="5">
        <f>(1.5*AG190+AH190)*AJ190*AQ190</f>
        <v/>
      </c>
      <c r="AL190" s="4">
        <f>D190</f>
        <v/>
      </c>
      <c r="AM190" s="8">
        <f>B190</f>
        <v/>
      </c>
      <c r="AN190" t="n">
        <v>5</v>
      </c>
      <c r="AO190" s="61">
        <f>IF(Z190&lt;2.81,0,IF(AK190&gt;13.7,IF(Z190&lt;140,1,0),0))</f>
        <v/>
      </c>
      <c r="AP190" s="7">
        <f>IF(AK190&gt;13.93,IF(Z190&lt;300,IF(Z190&lt;35,IF(Z190&lt;6,3,2),1),0),0)</f>
        <v/>
      </c>
      <c r="AQ190" s="5" t="n">
        <v>1</v>
      </c>
      <c r="AR190" s="7">
        <f>IF(AO190=1,IF(AO190=AL190,1,0),5)</f>
        <v/>
      </c>
      <c r="AS190" s="5" t="n">
        <v>1</v>
      </c>
      <c r="AT190" s="5" t="n">
        <v>1</v>
      </c>
      <c r="AU190" s="5" t="n">
        <v>1</v>
      </c>
      <c r="AV190" s="5">
        <f>(AT190+AU190)/2</f>
        <v/>
      </c>
      <c r="AW190" s="5" t="n">
        <v>1</v>
      </c>
      <c r="AX190" s="4">
        <f>IF(AW190&gt;AV190,1,0)</f>
        <v/>
      </c>
      <c r="AY190" s="4">
        <f>(100*(AU190-AS190)/AS190)</f>
        <v/>
      </c>
      <c r="AZ190" s="4">
        <f>IF(AY190&lt;-50,-4,IF(AY190&lt;-20,-2,IF(AY190&lt;0,-1,IF(AY190=0,0,IF(AY190&lt;10,1.5,IF(AY190&lt;20,2,IF(AY190&gt;19,2.5,2.5)))))))</f>
        <v/>
      </c>
      <c r="BA190" s="7" t="n"/>
    </row>
    <row r="191" ht="12.75" customHeight="1">
      <c r="A191" t="inlineStr">
        <is>
          <t>https://www.chittorgarh.com/ipo/aegeus-technologies-ipo/2837/</t>
        </is>
      </c>
      <c r="B191" t="inlineStr">
        <is>
          <t xml:space="preserve">Aegeus Technologies  </t>
        </is>
      </c>
      <c r="C191" t="inlineStr">
        <is>
          <t>2026</t>
        </is>
      </c>
      <c r="D191" t="n">
        <v>1</v>
      </c>
      <c r="E191" t="n">
        <v>4.1</v>
      </c>
      <c r="F191" t="n">
        <v>11.42</v>
      </c>
      <c r="G191" s="5">
        <f>100*(F191-E191)/F191</f>
        <v/>
      </c>
      <c r="H191" t="n">
        <v>22.09</v>
      </c>
      <c r="I191" t="n">
        <v>1.39</v>
      </c>
      <c r="J191" t="n">
        <v>9.81</v>
      </c>
      <c r="K191" t="n">
        <v>6.57</v>
      </c>
      <c r="L191" t="n">
        <v>29.93</v>
      </c>
      <c r="M191" t="n">
        <v>3.13</v>
      </c>
      <c r="N191" t="n">
        <v>15.82</v>
      </c>
      <c r="O191" t="n">
        <v>21.9</v>
      </c>
      <c r="P191" s="5">
        <f>O191/I191</f>
        <v/>
      </c>
      <c r="Q191" t="n">
        <v>15.98</v>
      </c>
      <c r="R191" s="2" t="n">
        <v>21.88</v>
      </c>
      <c r="S191" s="6" t="n">
        <v>-0.5</v>
      </c>
      <c r="T191" t="n">
        <v>23.71</v>
      </c>
      <c r="U191" t="n">
        <v>0</v>
      </c>
      <c r="V191" t="n">
        <v>1</v>
      </c>
      <c r="W191" t="n">
        <v>1</v>
      </c>
      <c r="X191" t="n">
        <v>0.74</v>
      </c>
      <c r="Y191" t="n">
        <v>4.5</v>
      </c>
      <c r="Z191" t="n">
        <v>4.21</v>
      </c>
      <c r="AA191" s="5">
        <f>IF(X191&lt;50,IF(Y191&gt;(2.3*X191),0,1),1)-IF(Z191&gt;Y191,1.7,0)</f>
        <v/>
      </c>
      <c r="AB191" t="n">
        <v>11.43</v>
      </c>
      <c r="AC191" s="5">
        <f>IF(AB191&gt;4,1,0)+IF(AB191&gt;10,0.7,0)</f>
        <v/>
      </c>
      <c r="AD191" t="n">
        <v>49.46</v>
      </c>
      <c r="AE191" t="n">
        <v>43.32</v>
      </c>
      <c r="AF191" t="n">
        <v>95.88</v>
      </c>
      <c r="AG191" s="6">
        <f>IF(G191&lt;52,0,0.7)+IF(G191&lt;34,0,0.7)+IF(G191&lt;1,0,0.7)+IF(P191&gt;14.56,0,1)+IF(R191&lt;9,0.5,0)+IF(R191&lt;33.8,0.5,0)+IF(R191&lt;50,0.5,0)+IF(R191&lt;80,0.5,0)+IF(S191=5,0,S191)+IF(V191&gt;0,1,-1)+IF(AE191&lt;10.56,0,1)-IF(AE191&lt;3,1,0)-IF(AE191&lt;1,1,0)</f>
        <v/>
      </c>
      <c r="AH191" s="5">
        <f>AG191+IF(X191&lt;1.35,0,1)+IF(Y191&lt;1.35,0,1)+IF(Y191&lt;0.7,-1,0)+AC191+AA191</f>
        <v/>
      </c>
      <c r="AI191" s="5" t="n">
        <v>12.1575</v>
      </c>
      <c r="AJ191" s="5">
        <f>IF(AI191&gt;12.7,IF(AI191&gt;15.8,0.93,0.98),1)</f>
        <v/>
      </c>
      <c r="AK191" s="5">
        <f>(1.5*AG191+AH191)*AJ191*AQ191</f>
        <v/>
      </c>
      <c r="AL191" s="4">
        <f>D191</f>
        <v/>
      </c>
      <c r="AM191" s="8">
        <f>B191</f>
        <v/>
      </c>
      <c r="AN191" t="n">
        <v>6</v>
      </c>
      <c r="AO191" s="61">
        <f>IF(Z191&lt;2.81,0,IF(AK191&gt;13.7,IF(Z191&lt;140,1,0),0))</f>
        <v/>
      </c>
      <c r="AP191" s="7">
        <f>IF(AK191&gt;13.93,IF(Z191&lt;300,IF(Z191&lt;35,IF(Z191&lt;6,3,2),1),0),0)</f>
        <v/>
      </c>
      <c r="AQ191" s="5" t="n">
        <v>0.95</v>
      </c>
      <c r="AR191" s="7">
        <f>IF(AO191=1,IF(AO191=AL191,1,0),5)</f>
        <v/>
      </c>
      <c r="AS191" s="5" t="n">
        <v>1</v>
      </c>
      <c r="AT191" s="5" t="n">
        <v>1</v>
      </c>
      <c r="AU191" s="5" t="n">
        <v>1</v>
      </c>
      <c r="AV191" s="5">
        <f>(AT191+AU191)/2</f>
        <v/>
      </c>
      <c r="AW191" s="5" t="n">
        <v>1</v>
      </c>
      <c r="AX191" s="4">
        <f>IF(AW191&gt;AV191,1,0)</f>
        <v/>
      </c>
      <c r="AY191" s="4">
        <f>(100*(AU191-AS191)/AS191)</f>
        <v/>
      </c>
      <c r="AZ191" s="4">
        <f>IF(AY191&lt;-50,-4,IF(AY191&lt;-20,-2,IF(AY191&lt;0,-1,IF(AY191=0,0,IF(AY191&lt;10,1.5,IF(AY191&lt;20,2,IF(AY191&gt;19,2.5,2.5)))))))</f>
        <v/>
      </c>
      <c r="BA191" s="7" t="n"/>
    </row>
    <row r="192" ht="12.75" customHeight="1">
      <c r="A192" t="inlineStr">
        <is>
          <t>https://www.chittorgarh.com/ipo/gv-electricals-ipo/2985/</t>
        </is>
      </c>
      <c r="B192" t="inlineStr">
        <is>
          <t>G.V. Electricals  Pri</t>
        </is>
      </c>
      <c r="C192" t="inlineStr">
        <is>
          <t>2026</t>
        </is>
      </c>
      <c r="D192" t="n">
        <v>1</v>
      </c>
      <c r="E192" t="n">
        <v>7.84</v>
      </c>
      <c r="F192" t="n">
        <v>23.2</v>
      </c>
      <c r="G192" s="5">
        <f>100*(F192-E192)/F192</f>
        <v/>
      </c>
      <c r="H192" t="n">
        <v>51.43</v>
      </c>
      <c r="I192" t="n">
        <v>4.66</v>
      </c>
      <c r="J192" t="n">
        <v>6.69</v>
      </c>
      <c r="K192" t="n">
        <v>12.64</v>
      </c>
      <c r="L192" t="n">
        <v>36.81</v>
      </c>
      <c r="M192" t="n">
        <v>8.039999999999999</v>
      </c>
      <c r="N192" t="n">
        <v>10.9</v>
      </c>
      <c r="O192" t="n">
        <v>131.36</v>
      </c>
      <c r="P192" s="5">
        <f>O192/I192</f>
        <v/>
      </c>
      <c r="Q192" t="n">
        <v>10.28</v>
      </c>
      <c r="R192" s="2" t="n">
        <v>14.01</v>
      </c>
      <c r="S192" s="6" t="n">
        <v>-0.5</v>
      </c>
      <c r="T192" t="n">
        <v>42.25</v>
      </c>
      <c r="U192" t="n">
        <v>3.25</v>
      </c>
      <c r="V192" t="n">
        <v>1</v>
      </c>
      <c r="W192" t="n">
        <v>1</v>
      </c>
      <c r="X192" t="n">
        <v>71.64</v>
      </c>
      <c r="Y192" t="n">
        <v>258.88</v>
      </c>
      <c r="Z192" t="n">
        <v>148.84</v>
      </c>
      <c r="AA192" s="5">
        <f>IF(X192&lt;50,IF(Y192&gt;(2.3*X192),0,1),1)-IF(Z192&gt;Y192,1.7,0)</f>
        <v/>
      </c>
      <c r="AB192" t="n">
        <v>0</v>
      </c>
      <c r="AC192" s="5">
        <f>IF(AB192&gt;4,1,0)+IF(AB192&gt;10,0.7,0)</f>
        <v/>
      </c>
      <c r="AD192" t="n">
        <v>66.43000000000001</v>
      </c>
      <c r="AE192" t="n">
        <v>17.25</v>
      </c>
      <c r="AF192" t="n">
        <v>36.07</v>
      </c>
      <c r="AG192" s="6">
        <f>IF(G192&lt;52,0,0.7)+IF(G192&lt;34,0,0.7)+IF(G192&lt;1,0,0.7)+IF(P192&gt;14.56,0,1)+IF(R192&lt;9,0.5,0)+IF(R192&lt;33.8,0.5,0)+IF(R192&lt;50,0.5,0)+IF(R192&lt;80,0.5,0)+IF(S192=5,0,S192)+IF(V192&gt;0,1,-1)+IF(AE192&lt;10.56,0,1)-IF(AE192&lt;3,1,0)-IF(AE192&lt;1,1,0)</f>
        <v/>
      </c>
      <c r="AH192" s="5">
        <f>AG192+IF(X192&lt;1.35,0,1)+IF(Y192&lt;1.35,0,1)+IF(Y192&lt;0.7,-1,0)+AC192+AA192</f>
        <v/>
      </c>
      <c r="AI192" s="5" t="n">
        <v>12.1575</v>
      </c>
      <c r="AJ192" s="5">
        <f>IF(AI192&gt;12.7,IF(AI192&gt;15.8,0.93,0.98),1)</f>
        <v/>
      </c>
      <c r="AK192" s="5">
        <f>(1.5*AG192+AH192)*AJ192*AQ192</f>
        <v/>
      </c>
      <c r="AL192" s="4">
        <f>D192</f>
        <v/>
      </c>
      <c r="AM192" s="8">
        <f>B192</f>
        <v/>
      </c>
      <c r="AN192" t="n">
        <v>7</v>
      </c>
      <c r="AO192" s="61">
        <f>IF(Z192&lt;2.81,0,IF(AK192&gt;13.7,IF(Z192&lt;140,1,0),0))</f>
        <v/>
      </c>
      <c r="AP192" s="7">
        <f>IF(AK192&gt;13.93,IF(Z192&lt;300,IF(Z192&lt;35,IF(Z192&lt;6,3,2),1),0),0)</f>
        <v/>
      </c>
      <c r="AQ192" s="5" t="n">
        <v>1</v>
      </c>
      <c r="AR192" s="7">
        <f>IF(AO192=1,IF(AO192=AL192,1,0),5)</f>
        <v/>
      </c>
      <c r="AS192" s="5" t="n">
        <v>1</v>
      </c>
      <c r="AT192" s="5" t="n">
        <v>1</v>
      </c>
      <c r="AU192" s="5" t="n">
        <v>1</v>
      </c>
      <c r="AV192" s="5">
        <f>(AT192+AU192)/2</f>
        <v/>
      </c>
      <c r="AW192" s="5" t="n">
        <v>1</v>
      </c>
      <c r="AX192" s="4">
        <f>IF(AW192&gt;AV192,1,0)</f>
        <v/>
      </c>
      <c r="AY192" s="4">
        <f>(100*(AU192-AS192)/AS192)</f>
        <v/>
      </c>
      <c r="AZ192" s="4">
        <f>IF(AY192&lt;-50,-4,IF(AY192&lt;-20,-2,IF(AY192&lt;0,-1,IF(AY192=0,0,IF(AY192&lt;10,1.5,IF(AY192&lt;20,2,IF(AY192&gt;19,2.5,2.5)))))))</f>
        <v/>
      </c>
      <c r="BA192" s="7" t="n"/>
    </row>
    <row r="193" ht="12.75" customHeight="1">
      <c r="A193" t="inlineStr">
        <is>
          <t>https://www.chittorgarh.com/ipo/lapl-automotive-ipo/2300/</t>
        </is>
      </c>
      <c r="B193" t="inlineStr">
        <is>
          <t>LAPL Automotive  Pric</t>
        </is>
      </c>
      <c r="C193" t="inlineStr">
        <is>
          <t>2026</t>
        </is>
      </c>
      <c r="D193" t="n">
        <v>1</v>
      </c>
      <c r="E193" t="n">
        <v>15.79</v>
      </c>
      <c r="F193" t="n">
        <v>16.63</v>
      </c>
      <c r="G193" s="5" t="n">
        <v>5.05</v>
      </c>
      <c r="H193" t="n">
        <v>44.34</v>
      </c>
      <c r="I193" t="n">
        <v>5.03</v>
      </c>
      <c r="J193" t="n">
        <v>9.25</v>
      </c>
      <c r="K193" t="n">
        <v>9.49</v>
      </c>
      <c r="L193" t="n">
        <v>41.2</v>
      </c>
      <c r="M193" t="n">
        <v>9.94</v>
      </c>
      <c r="N193" t="n">
        <v>16.75</v>
      </c>
      <c r="O193" t="n">
        <v>67.06999999999999</v>
      </c>
      <c r="P193" s="5" t="n">
        <v>13.33</v>
      </c>
      <c r="Q193" t="n">
        <v>9.91</v>
      </c>
      <c r="R193" s="2" t="n">
        <v>13.66</v>
      </c>
      <c r="S193" s="6" t="n">
        <v>-0.5</v>
      </c>
      <c r="T193" t="n">
        <v>32.4</v>
      </c>
      <c r="U193" t="n">
        <v>0</v>
      </c>
      <c r="V193" t="n">
        <v>1</v>
      </c>
      <c r="W193" t="n">
        <v>1</v>
      </c>
      <c r="X193" t="n">
        <v>200.23</v>
      </c>
      <c r="Y193" t="n">
        <v>433.26</v>
      </c>
      <c r="Z193" t="n">
        <v>387.78</v>
      </c>
      <c r="AA193" s="5" t="n">
        <v>1</v>
      </c>
      <c r="AB193" t="n">
        <v>50</v>
      </c>
      <c r="AC193" s="5" t="n">
        <v>1</v>
      </c>
      <c r="AD193" t="n">
        <v>131.8</v>
      </c>
      <c r="AE193" t="n">
        <v>9.9</v>
      </c>
      <c r="AF193" t="n">
        <v>43.49</v>
      </c>
      <c r="AG193" s="6">
        <f>IF(G193&lt;52,0,0.7)+IF(G193&lt;34,0,0.7)+IF(G193&lt;1,0,0.7)+IF(P193&gt;14.56,0,1)+IF(R193&lt;9,0.5,0)+IF(R193&lt;33.8,0.5,0)+IF(R193&lt;50,0.5,0)+IF(R193&lt;80,0.5,0)+IF(S193=5,0,S193)+IF(V193&gt;0,1,-1)+IF(AE193&lt;10.56,0,1)-IF(AE193&lt;3,1,0)-IF(AE193&lt;1,1,0)</f>
        <v/>
      </c>
      <c r="AH193" s="5">
        <f>AG193+IF(X193&lt;1.35,0,1)+IF(Y193&lt;1.35,0,1)+IF(Y193&lt;0.7,-1,0)+AC193+AA193</f>
        <v/>
      </c>
      <c r="AI193" s="5" t="n">
        <v>11.69</v>
      </c>
      <c r="AJ193" s="5">
        <f>IF(AI193&gt;12.7,IF(AI193&gt;15.8,0.93,0.98),1)</f>
        <v/>
      </c>
      <c r="AK193" s="5">
        <f>(1.5*AG193+AH193)*AJ193*AQ193</f>
        <v/>
      </c>
      <c r="AL193" s="4">
        <f>D193</f>
        <v/>
      </c>
      <c r="AM193" s="8">
        <f>B193</f>
        <v/>
      </c>
      <c r="AN193" t="n">
        <v>10</v>
      </c>
      <c r="AO193" s="61">
        <f>IF(Z193&lt;2.81,0,IF(AK193&gt;13.7,IF(Z193&lt;140,1,0),0))</f>
        <v/>
      </c>
      <c r="AP193" s="7">
        <f>IF(AK193&gt;13.93,IF(Z193&lt;300,IF(Z193&lt;35,IF(Z193&lt;6,3,2),1),0),0)</f>
        <v/>
      </c>
      <c r="AQ193" s="5" t="n">
        <v>1</v>
      </c>
      <c r="AR193" s="7">
        <f>IF(AO193=1,IF(AO193=AL193,1,0),5)</f>
        <v/>
      </c>
      <c r="AS193" s="5" t="n">
        <v>1</v>
      </c>
      <c r="AT193" s="5" t="n">
        <v>1</v>
      </c>
      <c r="AU193" s="5" t="n">
        <v>1</v>
      </c>
      <c r="AV193" s="5">
        <f>(AT193+AU193)/2</f>
        <v/>
      </c>
      <c r="AW193" s="5" t="n">
        <v>1</v>
      </c>
      <c r="AX193" s="4">
        <f>IF(AW193&gt;AV193,1,0)</f>
        <v/>
      </c>
      <c r="AY193" s="4">
        <f>(100*(AU193-AS193)/AS193)</f>
        <v/>
      </c>
      <c r="AZ193" s="4">
        <f>IF(AY193&lt;-50,-4,IF(AY193&lt;-20,-2,IF(AY193&lt;0,-1,IF(AY193=0,0,IF(AY193&lt;10,1.5,IF(AY193&lt;20,2,IF(AY193&gt;19,2.5,2.5)))))))</f>
        <v/>
      </c>
      <c r="BA193" s="7" t="n"/>
    </row>
    <row r="194" ht="12.75" customHeight="1">
      <c r="A194" t="inlineStr">
        <is>
          <t>https://www.chittorgarh.com/ipo/optimystix-entertainment-ipo/2755/</t>
        </is>
      </c>
      <c r="B194" t="inlineStr">
        <is>
          <t>Optimystix Entertainm</t>
        </is>
      </c>
      <c r="C194" t="inlineStr">
        <is>
          <t>2026</t>
        </is>
      </c>
      <c r="D194" t="n">
        <v>1</v>
      </c>
      <c r="E194" t="n">
        <v>0</v>
      </c>
      <c r="F194" t="n">
        <v>97.19</v>
      </c>
      <c r="G194" s="5" t="n">
        <v>100</v>
      </c>
      <c r="H194" t="n">
        <v>138.93</v>
      </c>
      <c r="I194" t="n">
        <v>17.24</v>
      </c>
      <c r="J194" t="n">
        <v>17.81</v>
      </c>
      <c r="K194" t="n">
        <v>13.16</v>
      </c>
      <c r="L194" t="n">
        <v>18.23</v>
      </c>
      <c r="M194" t="n">
        <v>23.93</v>
      </c>
      <c r="N194" t="n">
        <v>23.04</v>
      </c>
      <c r="O194" t="n">
        <v>125.07</v>
      </c>
      <c r="P194" s="5" t="n">
        <v>7.25</v>
      </c>
      <c r="Q194" t="n">
        <v>13.3</v>
      </c>
      <c r="R194" s="2" t="n">
        <v>16.94</v>
      </c>
      <c r="S194" s="6" t="n">
        <v>-0.5</v>
      </c>
      <c r="T194" t="n">
        <v>108.5</v>
      </c>
      <c r="U194" t="n">
        <v>21</v>
      </c>
      <c r="V194" t="n">
        <v>1</v>
      </c>
      <c r="W194" t="n">
        <v>1</v>
      </c>
      <c r="X194" t="n">
        <v>1.84</v>
      </c>
      <c r="Y194" t="n">
        <v>1.85</v>
      </c>
      <c r="Z194" t="n">
        <v>2.26</v>
      </c>
      <c r="AA194" s="5" t="n">
        <v>1</v>
      </c>
      <c r="AB194" t="n">
        <v>0</v>
      </c>
      <c r="AC194" s="5" t="n">
        <v>0</v>
      </c>
      <c r="AD194" t="n">
        <v>157.7</v>
      </c>
      <c r="AE194" t="n">
        <v>127.44</v>
      </c>
      <c r="AF194" t="n">
        <v>62.91</v>
      </c>
      <c r="AG194" s="6">
        <f>IF(G194&lt;52,0,0.7)+IF(G194&lt;34,0,0.7)+IF(G194&lt;1,0,0.7)+IF(P194&gt;14.56,0,1)+IF(R194&lt;9,0.5,0)+IF(R194&lt;33.8,0.5,0)+IF(R194&lt;50,0.5,0)+IF(R194&lt;80,0.5,0)+IF(S194=5,0,S194)+IF(V194&gt;0,1,-1)+IF(AE194&lt;10.56,0,1)-IF(AE194&lt;3,1,0)-IF(AE194&lt;1,1,0)</f>
        <v/>
      </c>
      <c r="AH194" s="5">
        <f>AG194+IF(X194&lt;1.35,0,1)+IF(Y194&lt;1.35,0,1)+IF(Y194&lt;0.7,-1,0)+AC194+AA194</f>
        <v/>
      </c>
      <c r="AI194" s="5" t="n">
        <v>11.4875</v>
      </c>
      <c r="AJ194" s="5">
        <f>IF(AI194&gt;12.7,IF(AI194&gt;15.8,0.93,0.98),1)</f>
        <v/>
      </c>
      <c r="AK194" s="5">
        <f>(1.5*AG194+AH194)*AJ194*AQ194</f>
        <v/>
      </c>
      <c r="AL194" s="4">
        <f>D194</f>
        <v/>
      </c>
      <c r="AM194" s="8">
        <f>B194</f>
        <v/>
      </c>
      <c r="AN194" t="n">
        <v>11</v>
      </c>
      <c r="AO194" s="61">
        <f>IF(Z194&lt;2.81,0,IF(AK194&gt;13.7,IF(Z194&lt;140,1,0),0))</f>
        <v/>
      </c>
      <c r="AP194" s="7">
        <f>IF(AK194&gt;13.93,IF(Z194&lt;300,IF(Z194&lt;35,IF(Z194&lt;6,3,2),1),0),0)</f>
        <v/>
      </c>
      <c r="AQ194" s="5" t="n">
        <v>0.95</v>
      </c>
      <c r="AR194" s="7">
        <f>IF(AO194=1,IF(AO194=AL194,1,0),5)</f>
        <v/>
      </c>
      <c r="AS194" s="5" t="n">
        <v>1</v>
      </c>
      <c r="AT194" s="5" t="n">
        <v>1</v>
      </c>
      <c r="AU194" s="5" t="n">
        <v>1</v>
      </c>
      <c r="AV194" s="5">
        <f>(AT194+AU194)/2</f>
        <v/>
      </c>
      <c r="AW194" s="5" t="n">
        <v>1</v>
      </c>
      <c r="AX194" s="4">
        <f>IF(AW194&gt;AV194,1,0)</f>
        <v/>
      </c>
      <c r="AY194" s="4">
        <f>(100*(AU194-AS194)/AS194)</f>
        <v/>
      </c>
      <c r="AZ194" s="4">
        <f>IF(AY194&lt;-50,-4,IF(AY194&lt;-20,-2,IF(AY194&lt;0,-1,IF(AY194=0,0,IF(AY194&lt;10,1.5,IF(AY194&lt;20,2,IF(AY194&gt;19,2.5,2.5)))))))</f>
        <v/>
      </c>
      <c r="BA194" s="7" t="n"/>
    </row>
    <row r="195" ht="12.75" customHeight="1">
      <c r="A195" t="inlineStr">
        <is>
          <t>https://www.chittorgarh.com/ipo/sham-foam-ipo/2869/</t>
        </is>
      </c>
      <c r="B195" t="inlineStr">
        <is>
          <t>Sham Foam  Price, GMP</t>
        </is>
      </c>
      <c r="C195" t="inlineStr">
        <is>
          <t>2026</t>
        </is>
      </c>
      <c r="D195" t="n">
        <v>0</v>
      </c>
      <c r="E195" t="n">
        <v>9.220000000000001</v>
      </c>
      <c r="F195" t="n">
        <v>12.46</v>
      </c>
      <c r="G195" s="5">
        <f>100*(F195-E195)/F195</f>
        <v/>
      </c>
      <c r="H195" t="n">
        <v>36.58</v>
      </c>
      <c r="I195" t="n">
        <v>3.58</v>
      </c>
      <c r="J195" t="n">
        <v>9.369999999999999</v>
      </c>
      <c r="K195" t="n">
        <v>10.33</v>
      </c>
      <c r="L195" t="n">
        <v>51.53</v>
      </c>
      <c r="M195" t="n">
        <v>4.69</v>
      </c>
      <c r="N195" t="n">
        <v>11.91</v>
      </c>
      <c r="O195" t="n">
        <v>81.62</v>
      </c>
      <c r="P195" s="5">
        <f>O195/I195</f>
        <v/>
      </c>
      <c r="Q195" t="n">
        <v>12.58</v>
      </c>
      <c r="R195" s="2" t="n">
        <v>17.26</v>
      </c>
      <c r="S195" s="6" t="n">
        <v>-1</v>
      </c>
      <c r="T195" t="n">
        <v>40.48</v>
      </c>
      <c r="U195" t="n">
        <v>0</v>
      </c>
      <c r="V195" t="n">
        <v>0</v>
      </c>
      <c r="W195" t="n">
        <v>1</v>
      </c>
      <c r="X195" t="n">
        <v>0</v>
      </c>
      <c r="Y195" t="n">
        <v>2.17</v>
      </c>
      <c r="Z195" t="n">
        <v>2.62</v>
      </c>
      <c r="AA195" s="5">
        <f>IF(X195&lt;50,IF(Y195&gt;(2.3*X195),0,1),1)-IF(Z195&gt;Y195,1.7,0)</f>
        <v/>
      </c>
      <c r="AB195" t="n">
        <v>3.08</v>
      </c>
      <c r="AC195" s="5">
        <f>IF(AB195&gt;4,1,0)+IF(AB195&gt;10,0.7,0)</f>
        <v/>
      </c>
      <c r="AD195" t="n">
        <v>20.54</v>
      </c>
      <c r="AE195" t="n">
        <v>10.46</v>
      </c>
      <c r="AF195" t="n">
        <v>40.32</v>
      </c>
      <c r="AG195" s="6">
        <f>IF(G195&lt;52,0,0.7)+IF(G195&lt;34,0,0.7)+IF(G195&lt;1,0,0.7)+IF(P195&gt;14.56,0,1)+IF(R195&lt;9,0.5,0)+IF(R195&lt;33.8,0.5,0)+IF(R195&lt;50,0.5,0)+IF(R195&lt;80,0.5,0)+IF(S195=5,0,S195)+IF(V195&gt;0,1,-1)+IF(AE195&lt;10.56,0,1)-IF(AE195&lt;3,1,0)-IF(AE195&lt;1,1,0)</f>
        <v/>
      </c>
      <c r="AH195" s="5">
        <f>AG195+IF(X195&lt;1.35,0,1)+IF(Y195&lt;1.35,0,1)+IF(Y195&lt;0.7,-1,0)+AC195+AA195</f>
        <v/>
      </c>
      <c r="AI195" s="5" t="n">
        <v>11.3525</v>
      </c>
      <c r="AJ195" s="5">
        <f>IF(AI195&gt;12.7,IF(AI195&gt;15.8,0.93,0.98),1)</f>
        <v/>
      </c>
      <c r="AK195" s="5">
        <f>(1.5*AG195+AH195)*AJ195*AQ195</f>
        <v/>
      </c>
      <c r="AL195" s="4">
        <f>D195</f>
        <v/>
      </c>
      <c r="AM195" s="8">
        <f>B195</f>
        <v/>
      </c>
      <c r="AN195" t="n">
        <v>13</v>
      </c>
      <c r="AO195" s="61">
        <f>IF(Z195&lt;2.81,0,IF(AK195&gt;13.7,IF(Z195&lt;140,1,0),0))</f>
        <v/>
      </c>
      <c r="AP195" s="7">
        <f>IF(AK195&gt;13.93,IF(Z195&lt;300,IF(Z195&lt;35,IF(Z195&lt;6,3,2),1),0),0)</f>
        <v/>
      </c>
      <c r="AQ195" s="5" t="n">
        <v>1</v>
      </c>
      <c r="AR195" s="7">
        <f>IF(AO195=1,IF(AO195=AL195,1,0),5)</f>
        <v/>
      </c>
      <c r="AS195" s="5" t="n">
        <v>1</v>
      </c>
      <c r="AT195" s="5" t="n">
        <v>1</v>
      </c>
      <c r="AU195" s="5" t="n">
        <v>1</v>
      </c>
      <c r="AV195" s="5">
        <f>(AT195+AU195)/2</f>
        <v/>
      </c>
      <c r="AW195" s="5" t="n">
        <v>1</v>
      </c>
      <c r="AX195" s="4">
        <f>IF(AW195&gt;AV195,1,0)</f>
        <v/>
      </c>
      <c r="AY195" s="4">
        <f>(100*(AU195-AS195)/AS195)</f>
        <v/>
      </c>
      <c r="AZ195" s="4">
        <f>IF(AY195&lt;-50,-4,IF(AY195&lt;-20,-2,IF(AY195&lt;0,-1,IF(AY195=0,0,IF(AY195&lt;10,1.5,IF(AY195&lt;20,2,IF(AY195&gt;19,2.5,2.5)))))))</f>
        <v/>
      </c>
      <c r="BA195" s="7" t="n"/>
    </row>
    <row r="196" ht="12.75" customHeight="1">
      <c r="A196" t="inlineStr">
        <is>
          <t>https://www.chittorgarh.com/ipo/fascinate-textiles-ipo/2734/</t>
        </is>
      </c>
      <c r="B196" t="inlineStr">
        <is>
          <t>Fascinate Textiles  P</t>
        </is>
      </c>
      <c r="C196" t="inlineStr">
        <is>
          <t>2026</t>
        </is>
      </c>
      <c r="D196" t="n">
        <v>0</v>
      </c>
      <c r="E196" t="n">
        <v>18.21</v>
      </c>
      <c r="F196" t="n">
        <v>10.45</v>
      </c>
      <c r="G196" s="5" t="n">
        <v>-74.26000000000001</v>
      </c>
      <c r="H196" t="n">
        <v>42.26</v>
      </c>
      <c r="I196" t="n">
        <v>5.81</v>
      </c>
      <c r="J196" t="n">
        <v>12.89</v>
      </c>
      <c r="K196" t="n">
        <v>14.62</v>
      </c>
      <c r="L196" t="n">
        <v>72.08</v>
      </c>
      <c r="M196" t="n">
        <v>10.01</v>
      </c>
      <c r="N196" t="n">
        <v>20.5</v>
      </c>
      <c r="O196" t="n">
        <v>60.28</v>
      </c>
      <c r="P196" s="5" t="n">
        <v>10.38</v>
      </c>
      <c r="Q196" t="n">
        <v>10.33</v>
      </c>
      <c r="R196" s="2" t="n">
        <v>13.79</v>
      </c>
      <c r="S196" s="6" t="n">
        <v>-0.5</v>
      </c>
      <c r="T196" t="n">
        <v>64.83</v>
      </c>
      <c r="U196" t="n">
        <v>12.62</v>
      </c>
      <c r="V196" t="n">
        <v>1</v>
      </c>
      <c r="W196" t="n">
        <v>1</v>
      </c>
      <c r="X196" t="n">
        <v>22.74</v>
      </c>
      <c r="Y196" t="n">
        <v>1.06</v>
      </c>
      <c r="Z196" t="n">
        <v>1.37</v>
      </c>
      <c r="AA196" s="5" t="n">
        <v>1</v>
      </c>
      <c r="AB196" t="n">
        <v>0</v>
      </c>
      <c r="AC196" s="5" t="n">
        <v>0</v>
      </c>
      <c r="AD196" t="n">
        <v>1110.42</v>
      </c>
      <c r="AE196" t="n">
        <v>108.58</v>
      </c>
      <c r="AF196" t="n">
        <v>134.83</v>
      </c>
      <c r="AG196" s="6" t="n">
        <v>4</v>
      </c>
      <c r="AH196" s="5" t="n">
        <v>6</v>
      </c>
      <c r="AI196" s="5" t="n">
        <v>11.1325</v>
      </c>
      <c r="AJ196" s="5">
        <f>IF(AI196&gt;12.7,IF(AI196&gt;15.8,0.93,0.98),1)</f>
        <v/>
      </c>
      <c r="AK196" s="5">
        <f>(1.5*AG196+AH196)*AJ196*AQ196</f>
        <v/>
      </c>
      <c r="AL196" s="4">
        <f>D196</f>
        <v/>
      </c>
      <c r="AM196" s="8">
        <f>B196</f>
        <v/>
      </c>
      <c r="AN196" t="n">
        <v>19</v>
      </c>
      <c r="AO196" s="61">
        <f>IF(Z196&lt;2.81,0,IF(AK196&gt;13.7,IF(Z196&lt;140,1,0),0))</f>
        <v/>
      </c>
      <c r="AP196" s="7">
        <f>IF(AK196&gt;13.93,IF(Z196&lt;300,IF(Z196&lt;35,IF(Z196&lt;6,3,2),1),0),0)</f>
        <v/>
      </c>
      <c r="AQ196" s="5" t="n">
        <v>1</v>
      </c>
      <c r="AR196" s="7">
        <f>IF(AO196=1,IF(AO196=AL196,1,0),5)</f>
        <v/>
      </c>
      <c r="AS196" s="5" t="n">
        <v>1</v>
      </c>
      <c r="AT196" s="5" t="n">
        <v>1</v>
      </c>
      <c r="AU196" s="5" t="n">
        <v>1</v>
      </c>
      <c r="AV196" s="5">
        <f>(AT196+AU196)/2</f>
        <v/>
      </c>
      <c r="AW196" s="5" t="n">
        <v>1</v>
      </c>
      <c r="AX196" s="4">
        <f>IF(AW196&gt;AV196,1,0)</f>
        <v/>
      </c>
      <c r="AY196" s="4">
        <f>(100*(AU196-AS196)/AS196)</f>
        <v/>
      </c>
      <c r="AZ196" s="4">
        <f>IF(AY196&lt;-50,-4,IF(AY196&lt;-20,-2,IF(AY196&lt;0,-1,IF(AY196=0,0,IF(AY196&lt;10,1.5,IF(AY196&lt;20,2,IF(AY196&gt;19,2.5,2.5)))))))</f>
        <v/>
      </c>
      <c r="BA196" s="7" t="n"/>
    </row>
    <row r="197" ht="12.75" customHeight="1">
      <c r="A197" t="inlineStr">
        <is>
          <t>https://www.chittorgarh.com/ipo/pramodini-medicare-ipo/3088/</t>
        </is>
      </c>
      <c r="B197" t="inlineStr">
        <is>
          <t>Pramodini Medicare  P</t>
        </is>
      </c>
      <c r="C197" t="inlineStr">
        <is>
          <t>2026</t>
        </is>
      </c>
      <c r="D197" t="n">
        <v>1</v>
      </c>
      <c r="E197" t="n">
        <v>10.81</v>
      </c>
      <c r="F197" t="n">
        <v>35.77</v>
      </c>
      <c r="G197" s="5">
        <f>100*(F197-E197)/F197</f>
        <v/>
      </c>
      <c r="H197" t="n">
        <v>56.45</v>
      </c>
      <c r="I197" t="n">
        <v>11.14</v>
      </c>
      <c r="J197" t="n">
        <v>27.9</v>
      </c>
      <c r="K197" t="n">
        <v>10.41</v>
      </c>
      <c r="L197" t="n">
        <v>39.08</v>
      </c>
      <c r="M197" t="n">
        <v>20.97</v>
      </c>
      <c r="N197" t="n">
        <v>49.61</v>
      </c>
      <c r="O197" t="n">
        <v>38.55</v>
      </c>
      <c r="P197" s="5">
        <f>O197/I197</f>
        <v/>
      </c>
      <c r="Q197" t="n">
        <v>11.34</v>
      </c>
      <c r="R197" s="2" t="n">
        <v>14.97</v>
      </c>
      <c r="S197" s="6" t="n">
        <v>1</v>
      </c>
      <c r="T197" t="n">
        <v>69.04000000000001</v>
      </c>
      <c r="U197" t="n">
        <v>5.900000000000006</v>
      </c>
      <c r="V197" t="n">
        <v>1</v>
      </c>
      <c r="W197" t="n">
        <v>1</v>
      </c>
      <c r="X197" t="n">
        <v>3.66</v>
      </c>
      <c r="Y197" t="n">
        <v>4.96</v>
      </c>
      <c r="Z197" t="n">
        <v>3.49</v>
      </c>
      <c r="AA197" s="5">
        <f>IF(X197&lt;50,IF(Y197&gt;(2.3*X197),0,1),1)-IF(Z197&gt;Y197,1.7,0)</f>
        <v/>
      </c>
      <c r="AB197" t="n">
        <v>0</v>
      </c>
      <c r="AC197" s="5">
        <f>IF(AB197&gt;4,1,0)+IF(AB197&gt;10,0.7,0)</f>
        <v/>
      </c>
      <c r="AD197" t="n">
        <v>56.02</v>
      </c>
      <c r="AE197" t="n">
        <v>7.71</v>
      </c>
      <c r="AF197" t="n">
        <v>44.53</v>
      </c>
      <c r="AG197" s="6">
        <f>IF(G197&lt;52,0,0.7)+IF(G197&lt;34,0,0.7)+IF(G197&lt;1,0,0.7)+IF(P197&gt;14.56,0,1)+IF(R197&lt;9,0.5,0)+IF(R197&lt;33.8,0.5,0)+IF(R197&lt;50,0.5,0)+IF(R197&lt;80,0.5,0)+IF(S197=5,0,S197)+IF(V197&gt;0,1,-1)+IF(AE197&lt;10.56,0,1)-IF(AE197&lt;3,1,0)-IF(AE197&lt;1,1,0)</f>
        <v/>
      </c>
      <c r="AH197" s="5">
        <f>AG197+IF(X197&lt;1.35,0,1)+IF(Y197&lt;1.35,0,1)+IF(Y197&lt;0.7,-1,0)+AC197+AA197</f>
        <v/>
      </c>
      <c r="AI197" s="5" t="n">
        <v>11.35</v>
      </c>
      <c r="AJ197" s="5">
        <f>IF(AI197&gt;12.7,IF(AI197&gt;15.8,0.93,0.98),1)</f>
        <v/>
      </c>
      <c r="AK197" s="5">
        <f>(1.5*AG197+AH197)*AJ197*AQ197</f>
        <v/>
      </c>
      <c r="AL197" s="4">
        <f>D197</f>
        <v/>
      </c>
      <c r="AM197" s="8">
        <f>B197</f>
        <v/>
      </c>
      <c r="AN197" t="n">
        <v>14</v>
      </c>
      <c r="AO197" s="61">
        <f>IF(Z197&lt;2.81,0,IF(AK197&gt;13.7,IF(Z197&lt;140,1,0),0))</f>
        <v/>
      </c>
      <c r="AP197" s="7">
        <f>IF(AK197&gt;13.93,IF(Z197&lt;300,IF(Z197&lt;35,IF(Z197&lt;6,3,2),1),0),0)</f>
        <v/>
      </c>
      <c r="AQ197" s="5" t="n">
        <v>1</v>
      </c>
      <c r="AR197" s="7">
        <f>IF(AO197=1,IF(AO197=AL197,1,0),5)</f>
        <v/>
      </c>
      <c r="AS197" s="5" t="n">
        <v>1</v>
      </c>
      <c r="AT197" s="5" t="n">
        <v>1</v>
      </c>
      <c r="AU197" s="5" t="n">
        <v>1</v>
      </c>
      <c r="AV197" s="5">
        <f>(AT197+AU197)/2</f>
        <v/>
      </c>
      <c r="AW197" s="5" t="n">
        <v>1</v>
      </c>
      <c r="AX197" s="4">
        <f>IF(AW197&gt;AV197,1,0)</f>
        <v/>
      </c>
      <c r="AY197" s="4">
        <f>(100*(AU197-AS197)/AS197)</f>
        <v/>
      </c>
      <c r="AZ197" s="4">
        <f>IF(AY197&lt;-50,-4,IF(AY197&lt;-20,-2,IF(AY197&lt;0,-1,IF(AY197=0,0,IF(AY197&lt;10,1.5,IF(AY197&lt;20,2,IF(AY197&gt;19,2.5,2.5)))))))</f>
        <v/>
      </c>
      <c r="BA197" s="7" t="n"/>
    </row>
    <row r="198" ht="12.75" customHeight="1">
      <c r="A198" t="inlineStr">
        <is>
          <t>https://www.chittorgarh.com/ipo/credent-connect-ipo/2991/</t>
        </is>
      </c>
      <c r="B198" t="inlineStr">
        <is>
          <t>Credent Connect  Pric</t>
        </is>
      </c>
      <c r="C198" t="inlineStr">
        <is>
          <t>2026</t>
        </is>
      </c>
      <c r="D198" t="n">
        <v>1</v>
      </c>
      <c r="E198" t="n">
        <v>7.42</v>
      </c>
      <c r="F198" t="n">
        <v>15.9</v>
      </c>
      <c r="G198" s="5">
        <f>100*(F198-E198)/F198</f>
        <v/>
      </c>
      <c r="H198" t="n">
        <v>29.5</v>
      </c>
      <c r="I198" t="n">
        <v>2.25</v>
      </c>
      <c r="J198" t="n">
        <v>8.609999999999999</v>
      </c>
      <c r="K198" t="n">
        <v>13.92</v>
      </c>
      <c r="L198" t="n">
        <v>61.81</v>
      </c>
      <c r="M198" t="n">
        <v>4.99</v>
      </c>
      <c r="N198" t="n">
        <v>13.29</v>
      </c>
      <c r="O198" t="n">
        <v>78.23</v>
      </c>
      <c r="P198" s="5">
        <f>O198/I198</f>
        <v/>
      </c>
      <c r="Q198" t="n">
        <v>13.58</v>
      </c>
      <c r="R198" s="2" t="n">
        <v>18.68</v>
      </c>
      <c r="S198" s="6" t="n">
        <v>-0.5</v>
      </c>
      <c r="T198" t="n">
        <v>0</v>
      </c>
      <c r="U198" t="n">
        <v>0</v>
      </c>
      <c r="V198" t="n">
        <v>1</v>
      </c>
      <c r="W198" t="n">
        <v>1</v>
      </c>
      <c r="X198" t="n">
        <v>95.42</v>
      </c>
      <c r="Y198" t="n">
        <v>199.48</v>
      </c>
      <c r="Z198" t="n">
        <v>120.16</v>
      </c>
      <c r="AA198" s="5">
        <f>IF(X198&lt;50,IF(Y198&gt;(2.3*X198),0,1),1)-IF(Z198&gt;Y198,1.7,0)</f>
        <v/>
      </c>
      <c r="AB198" t="n">
        <v>29.1</v>
      </c>
      <c r="AC198" s="5">
        <f>IF(AB198&gt;4,1,0)+IF(AB198&gt;10,0.7,0)</f>
        <v/>
      </c>
      <c r="AD198" t="n">
        <v>-15.41</v>
      </c>
      <c r="AE198" t="n">
        <v>2.91</v>
      </c>
      <c r="AF198" t="n">
        <v>16.4</v>
      </c>
      <c r="AG198" s="6">
        <f>IF(G198&lt;52,0,0.7)+IF(G198&lt;34,0,0.7)+IF(G198&lt;1,0,0.7)+IF(P198&gt;14.56,0,1)+IF(R198&lt;9,0.5,0)+IF(R198&lt;33.8,0.5,0)+IF(R198&lt;50,0.5,0)+IF(R198&lt;80,0.5,0)+IF(S198=5,0,S198)+IF(V198&gt;0,1,-1)+IF(AE198&lt;10.56,0,1)-IF(AE198&lt;3,1,0)-IF(AE198&lt;1,1,0)</f>
        <v/>
      </c>
      <c r="AH198" s="5">
        <f>AG198+IF(X198&lt;1.35,0,1)+IF(Y198&lt;1.35,0,1)+IF(Y198&lt;0.7,-1,0)+AC198+AA198</f>
        <v/>
      </c>
      <c r="AI198" s="5" t="n">
        <v>11.335</v>
      </c>
      <c r="AJ198" s="5">
        <f>IF(AI198&gt;12.7,IF(AI198&gt;15.8,0.93,0.98),1)</f>
        <v/>
      </c>
      <c r="AK198" s="5">
        <f>(1.5*AG198+AH198)*AJ198*AQ198</f>
        <v/>
      </c>
      <c r="AL198" s="4">
        <f>D198</f>
        <v/>
      </c>
      <c r="AM198" s="8">
        <f>B198</f>
        <v/>
      </c>
      <c r="AN198" t="n">
        <v>13</v>
      </c>
      <c r="AO198" s="61">
        <f>IF(Z198&lt;2.81,0,IF(AK198&gt;13.7,IF(Z198&lt;140,1,0),0))</f>
        <v/>
      </c>
      <c r="AP198" s="7">
        <f>IF(AK198&gt;13.93,IF(Z198&lt;300,IF(Z198&lt;35,IF(Z198&lt;6,3,2),1),0),0)</f>
        <v/>
      </c>
      <c r="AQ198" s="5" t="n">
        <v>1</v>
      </c>
      <c r="AR198" s="7">
        <f>IF(AO198=1,IF(AO198=AL198,1,0),5)</f>
        <v/>
      </c>
      <c r="AS198" s="5" t="n">
        <v>1</v>
      </c>
      <c r="AT198" s="5" t="n">
        <v>1</v>
      </c>
      <c r="AU198" s="5" t="n">
        <v>1</v>
      </c>
      <c r="AV198" s="5">
        <f>(AT198+AU198)/2</f>
        <v/>
      </c>
      <c r="AW198" s="5" t="n">
        <v>1</v>
      </c>
      <c r="AX198" s="4">
        <f>IF(AW198&gt;AV198,1,0)</f>
        <v/>
      </c>
      <c r="AY198" s="4">
        <f>(100*(AU198-AS198)/AS198)</f>
        <v/>
      </c>
      <c r="AZ198" s="4">
        <f>IF(AY198&lt;-50,-4,IF(AY198&lt;-20,-2,IF(AY198&lt;0,-1,IF(AY198=0,0,IF(AY198&lt;10,1.5,IF(AY198&lt;20,2,IF(AY198&gt;19,2.5,2.5)))))))</f>
        <v/>
      </c>
      <c r="BA198" s="7" t="n"/>
    </row>
    <row r="199" ht="12.75" customHeight="1">
      <c r="A199" t="inlineStr">
        <is>
          <t>https://www.chittorgarh.com/ipo/technocrats-plasma-systems-ipo/2840/</t>
        </is>
      </c>
      <c r="B199" t="inlineStr">
        <is>
          <t>Technocrats Plasma Sy</t>
        </is>
      </c>
      <c r="C199" t="inlineStr">
        <is>
          <t>2026</t>
        </is>
      </c>
      <c r="D199" t="n">
        <v>1</v>
      </c>
      <c r="E199" t="n">
        <v>10.24</v>
      </c>
      <c r="F199" t="n">
        <v>14.24</v>
      </c>
      <c r="G199" s="5" t="n">
        <v>28.09</v>
      </c>
      <c r="H199" t="n">
        <v>36.72</v>
      </c>
      <c r="I199" t="n">
        <v>8.109999999999999</v>
      </c>
      <c r="J199" t="n">
        <v>11.37</v>
      </c>
      <c r="K199" t="n">
        <v>11.6</v>
      </c>
      <c r="L199" t="n">
        <v>56.1</v>
      </c>
      <c r="M199" t="n">
        <v>8.59</v>
      </c>
      <c r="N199" t="n">
        <v>20.02</v>
      </c>
      <c r="O199" t="n">
        <v>49.44</v>
      </c>
      <c r="P199" s="5" t="n">
        <v>6.1</v>
      </c>
      <c r="Q199" t="n">
        <v>11.38</v>
      </c>
      <c r="R199" s="2" t="n">
        <v>15.47</v>
      </c>
      <c r="S199" s="6" t="n">
        <v>-1</v>
      </c>
      <c r="T199" t="n">
        <v>60.98</v>
      </c>
      <c r="U199" t="n">
        <v>0</v>
      </c>
      <c r="V199" t="n">
        <v>1</v>
      </c>
      <c r="W199" t="n">
        <v>1</v>
      </c>
      <c r="X199" t="n">
        <v>169.54</v>
      </c>
      <c r="Y199" t="n">
        <v>311.97</v>
      </c>
      <c r="Z199" t="n">
        <v>176.05</v>
      </c>
      <c r="AA199" s="5" t="n">
        <v>1</v>
      </c>
      <c r="AB199" t="n">
        <v>44.7</v>
      </c>
      <c r="AC199" s="5" t="n">
        <v>1</v>
      </c>
      <c r="AD199" t="n">
        <v>266.97</v>
      </c>
      <c r="AE199" t="n">
        <v>678.58</v>
      </c>
      <c r="AF199" t="n">
        <v>280.75</v>
      </c>
      <c r="AG199" s="6" t="n">
        <v>4.7</v>
      </c>
      <c r="AH199" s="5" t="n">
        <v>8.699999999999999</v>
      </c>
      <c r="AI199" s="5" t="n">
        <v>10.665</v>
      </c>
      <c r="AJ199" s="5">
        <f>IF(AI199&gt;12.7,IF(AI199&gt;15.8,0.93,0.98),1)</f>
        <v/>
      </c>
      <c r="AK199" s="5">
        <f>(1.5*AG199+AH199)*AJ199*AQ199</f>
        <v/>
      </c>
      <c r="AL199" s="4">
        <f>D199</f>
        <v/>
      </c>
      <c r="AM199" s="8">
        <f>B199</f>
        <v/>
      </c>
      <c r="AN199" t="n">
        <v>18</v>
      </c>
      <c r="AO199" s="61">
        <f>IF(Z199&lt;2.81,0,IF(AK199&gt;13.7,IF(Z199&lt;140,1,0),0))</f>
        <v/>
      </c>
      <c r="AP199" s="7">
        <f>IF(AK199&gt;13.93,IF(Z199&lt;300,IF(Z199&lt;35,IF(Z199&lt;6,3,2),1),0),0)</f>
        <v/>
      </c>
      <c r="AQ199" s="5" t="n">
        <v>0.95</v>
      </c>
      <c r="AR199" s="7">
        <f>IF(AO199=1,IF(AO199=AL199,1,0),5)</f>
        <v/>
      </c>
      <c r="AS199" s="5" t="n">
        <v>1</v>
      </c>
      <c r="AT199" s="5" t="n">
        <v>1</v>
      </c>
      <c r="AU199" s="5" t="n">
        <v>1</v>
      </c>
      <c r="AV199" s="5">
        <f>(AT199+AU199)/2</f>
        <v/>
      </c>
      <c r="AW199" s="5" t="n">
        <v>1</v>
      </c>
      <c r="AX199" s="4">
        <f>IF(AW199&gt;AV199,1,0)</f>
        <v/>
      </c>
      <c r="AY199" s="4">
        <f>(100*(AU199-AS199)/AS199)</f>
        <v/>
      </c>
      <c r="AZ199" s="4">
        <f>IF(AY199&lt;-50,-4,IF(AY199&lt;-20,-2,IF(AY199&lt;0,-1,IF(AY199=0,0,IF(AY199&lt;10,1.5,IF(AY199&lt;20,2,IF(AY199&gt;19,2.5,2.5)))))))</f>
        <v/>
      </c>
      <c r="BA199" s="7" t="n"/>
    </row>
    <row r="200" ht="12.75" customHeight="1">
      <c r="A200" t="inlineStr">
        <is>
          <t>https://www.chittorgarh.com/ipo/ens-enterprises-ipo/2792/</t>
        </is>
      </c>
      <c r="B200" t="inlineStr">
        <is>
          <t>ENS Enterprises  Pric</t>
        </is>
      </c>
      <c r="C200" t="inlineStr">
        <is>
          <t>2026</t>
        </is>
      </c>
      <c r="D200" t="n">
        <v>1</v>
      </c>
      <c r="E200" t="n">
        <v>0</v>
      </c>
      <c r="F200" t="n">
        <v>10.04</v>
      </c>
      <c r="G200" s="5" t="n">
        <v>100</v>
      </c>
      <c r="H200" t="n">
        <v>20.24</v>
      </c>
      <c r="I200" t="n">
        <v>3.7</v>
      </c>
      <c r="J200" t="n">
        <v>16.35</v>
      </c>
      <c r="K200" t="n">
        <v>8.4</v>
      </c>
      <c r="L200" t="n">
        <v>98.97</v>
      </c>
      <c r="M200" t="n">
        <v>5.48</v>
      </c>
      <c r="N200" t="n">
        <v>22.78</v>
      </c>
      <c r="O200" t="n">
        <v>28.62</v>
      </c>
      <c r="P200" s="5" t="n">
        <v>7.74</v>
      </c>
      <c r="Q200" t="n">
        <v>10.95</v>
      </c>
      <c r="R200" s="2" t="n">
        <v>14.89</v>
      </c>
      <c r="S200" s="6" t="n">
        <v>-1</v>
      </c>
      <c r="T200" t="n">
        <v>33.14</v>
      </c>
      <c r="U200" t="n">
        <v>0</v>
      </c>
      <c r="V200" t="n">
        <v>1</v>
      </c>
      <c r="W200" t="n">
        <v>1</v>
      </c>
      <c r="X200" t="n">
        <v>9.44</v>
      </c>
      <c r="Y200" t="n">
        <v>22.89</v>
      </c>
      <c r="Z200" t="n">
        <v>11.02</v>
      </c>
      <c r="AA200" s="5" t="n">
        <v>0</v>
      </c>
      <c r="AB200" t="n">
        <v>36.17</v>
      </c>
      <c r="AC200" s="5" t="n">
        <v>1</v>
      </c>
      <c r="AD200" t="n">
        <v>311.11</v>
      </c>
      <c r="AE200" t="n">
        <v>182.81</v>
      </c>
      <c r="AF200" t="n">
        <v>428.42</v>
      </c>
      <c r="AG200" s="6" t="n">
        <v>6.1</v>
      </c>
      <c r="AH200" s="5" t="n">
        <v>9.1</v>
      </c>
      <c r="AI200" s="5" t="n">
        <v>10.665</v>
      </c>
      <c r="AJ200" s="5">
        <f>IF(AI200&gt;12.7,IF(AI200&gt;15.8,0.93,0.98),1)</f>
        <v/>
      </c>
      <c r="AK200" s="5">
        <f>(1.5*AG200+AH200)*AJ200*AQ200</f>
        <v/>
      </c>
      <c r="AL200" s="4">
        <f>D200</f>
        <v/>
      </c>
      <c r="AM200" s="8">
        <f>B200</f>
        <v/>
      </c>
      <c r="AN200" t="n">
        <v>18</v>
      </c>
      <c r="AO200" s="61">
        <f>IF(Z200&lt;2.81,0,IF(AK200&gt;13.7,IF(Z200&lt;140,1,0),0))</f>
        <v/>
      </c>
      <c r="AP200" s="7">
        <f>IF(AK200&gt;13.93,IF(Z200&lt;300,IF(Z200&lt;35,IF(Z200&lt;6,3,2),1),0),0)</f>
        <v/>
      </c>
      <c r="AQ200" s="5" t="n">
        <v>0.95</v>
      </c>
      <c r="AR200" s="7">
        <f>IF(AO200=1,IF(AO200=AL200,1,0),5)</f>
        <v/>
      </c>
      <c r="AS200" s="5" t="n">
        <v>1</v>
      </c>
      <c r="AT200" s="5" t="n">
        <v>1</v>
      </c>
      <c r="AU200" s="5" t="n">
        <v>1</v>
      </c>
      <c r="AV200" s="5">
        <f>(AT200+AU200)/2</f>
        <v/>
      </c>
      <c r="AW200" s="5" t="n">
        <v>1</v>
      </c>
      <c r="AX200" s="4">
        <f>IF(AW200&gt;AV200,1,0)</f>
        <v/>
      </c>
      <c r="AY200" s="4">
        <f>(100*(AU200-AS200)/AS200)</f>
        <v/>
      </c>
      <c r="AZ200" s="4">
        <f>IF(AY200&lt;-50,-4,IF(AY200&lt;-20,-2,IF(AY200&lt;0,-1,IF(AY200=0,0,IF(AY200&lt;10,1.5,IF(AY200&lt;20,2,IF(AY200&gt;19,2.5,2.5)))))))</f>
        <v/>
      </c>
      <c r="BA200" s="7" t="n"/>
    </row>
    <row r="201" ht="12.75" customHeight="1">
      <c r="A201" t="inlineStr">
        <is>
          <t>https://www.chittorgarh.com/ipo/skytech-infinite-platform-ipo/2739/</t>
        </is>
      </c>
      <c r="B201" t="inlineStr">
        <is>
          <t>Skytech Infinite Plat</t>
        </is>
      </c>
      <c r="C201" t="inlineStr">
        <is>
          <t>2026</t>
        </is>
      </c>
      <c r="D201" t="n">
        <v>0</v>
      </c>
      <c r="E201" t="n">
        <v>5.39</v>
      </c>
      <c r="F201" t="n">
        <v>14.81</v>
      </c>
      <c r="G201" s="5" t="n">
        <v>63.61</v>
      </c>
      <c r="H201" t="n">
        <v>30.05</v>
      </c>
      <c r="I201" t="n">
        <v>3.71</v>
      </c>
      <c r="J201" t="n">
        <v>8.140000000000001</v>
      </c>
      <c r="K201" t="n">
        <v>6.12</v>
      </c>
      <c r="L201" t="n">
        <v>0</v>
      </c>
      <c r="M201" t="n">
        <v>6.13</v>
      </c>
      <c r="N201" t="n">
        <v>12.87</v>
      </c>
      <c r="O201" t="n">
        <v>45.21</v>
      </c>
      <c r="P201" s="5" t="n">
        <v>12.19</v>
      </c>
      <c r="Q201" t="n">
        <v>0</v>
      </c>
      <c r="R201" s="2" t="n">
        <v>0</v>
      </c>
      <c r="S201" s="6" t="n">
        <v>-0.5</v>
      </c>
      <c r="T201" t="n">
        <v>22.68</v>
      </c>
      <c r="U201" t="n">
        <v>0</v>
      </c>
      <c r="V201" t="n">
        <v>1</v>
      </c>
      <c r="W201" t="n">
        <v>1</v>
      </c>
      <c r="X201" t="n">
        <v>1.06</v>
      </c>
      <c r="Y201" t="n">
        <v>0.72</v>
      </c>
      <c r="Z201" t="n">
        <v>3.36</v>
      </c>
      <c r="AA201" s="5" t="n">
        <v>1</v>
      </c>
      <c r="AB201" t="n">
        <v>1.3</v>
      </c>
      <c r="AC201" s="5" t="n">
        <v>0</v>
      </c>
      <c r="AD201" t="n">
        <v>174.81</v>
      </c>
      <c r="AE201" t="n">
        <v>2.4</v>
      </c>
      <c r="AF201" t="n">
        <v>33.42</v>
      </c>
      <c r="AG201" s="6" t="n">
        <v>5.1</v>
      </c>
      <c r="AH201" s="5" t="n">
        <v>6.1</v>
      </c>
      <c r="AI201" s="5" t="n">
        <v>10.665</v>
      </c>
      <c r="AJ201" s="5">
        <f>IF(AI201&gt;12.7,IF(AI201&gt;15.8,0.93,0.98),1)</f>
        <v/>
      </c>
      <c r="AK201" s="5">
        <f>(1.5*AG201+AH201)*AJ201*AQ201</f>
        <v/>
      </c>
      <c r="AL201" s="4">
        <f>D201</f>
        <v/>
      </c>
      <c r="AM201" s="8">
        <f>B201</f>
        <v/>
      </c>
      <c r="AN201" t="n">
        <v>18</v>
      </c>
      <c r="AO201" s="61">
        <f>IF(Z201&lt;2.81,0,IF(AK201&gt;13.7,IF(Z201&lt;140,1,0),0))</f>
        <v/>
      </c>
      <c r="AP201" s="7">
        <f>IF(AK201&gt;13.93,IF(Z201&lt;300,IF(Z201&lt;35,IF(Z201&lt;6,3,2),1),0),0)</f>
        <v/>
      </c>
      <c r="AQ201" s="5" t="n">
        <v>0.95</v>
      </c>
      <c r="AR201" s="7">
        <f>IF(AO201=1,IF(AO201=AL201,1,0),5)</f>
        <v/>
      </c>
      <c r="AS201" s="5" t="n">
        <v>1</v>
      </c>
      <c r="AT201" s="5" t="n">
        <v>1</v>
      </c>
      <c r="AU201" s="5" t="n">
        <v>1</v>
      </c>
      <c r="AV201" s="5">
        <f>(AT201+AU201)/2</f>
        <v/>
      </c>
      <c r="AW201" s="5" t="n">
        <v>1</v>
      </c>
      <c r="AX201" s="4">
        <f>IF(AW201&gt;AV201,1,0)</f>
        <v/>
      </c>
      <c r="AY201" s="4">
        <f>(100*(AU201-AS201)/AS201)</f>
        <v/>
      </c>
      <c r="AZ201" s="4">
        <f>IF(AY201&lt;-50,-4,IF(AY201&lt;-20,-2,IF(AY201&lt;0,-1,IF(AY201=0,0,IF(AY201&lt;10,1.5,IF(AY201&lt;20,2,IF(AY201&gt;19,2.5,2.5)))))))</f>
        <v/>
      </c>
      <c r="BA201" s="7" t="n"/>
    </row>
    <row r="202" ht="12.75" customHeight="1">
      <c r="A202" t="inlineStr">
        <is>
          <t>https://www.chittorgarh.com/ipo/dhanwel-hybrid-seeds-ipo/2846/</t>
        </is>
      </c>
      <c r="B202" t="inlineStr">
        <is>
          <t xml:space="preserve">Dhanwel Hybrid Seeds </t>
        </is>
      </c>
      <c r="C202" t="inlineStr">
        <is>
          <t>2026</t>
        </is>
      </c>
      <c r="D202" t="n">
        <v>1</v>
      </c>
      <c r="E202" t="n">
        <v>5.97</v>
      </c>
      <c r="F202" t="n">
        <v>13.27</v>
      </c>
      <c r="G202" s="5" t="n">
        <v>55.01</v>
      </c>
      <c r="H202" t="n">
        <v>21.07</v>
      </c>
      <c r="I202" t="n">
        <v>2.16</v>
      </c>
      <c r="J202" t="n">
        <v>8.199999999999999</v>
      </c>
      <c r="K202" t="n">
        <v>9.550000000000001</v>
      </c>
      <c r="L202" t="n">
        <v>37.15</v>
      </c>
      <c r="M202" t="n">
        <v>3.66</v>
      </c>
      <c r="N202" t="n">
        <v>12.38</v>
      </c>
      <c r="O202" t="n">
        <v>44.13</v>
      </c>
      <c r="P202" s="5" t="n">
        <v>20.43</v>
      </c>
      <c r="Q202" t="n">
        <v>10.37</v>
      </c>
      <c r="R202" s="2" t="n">
        <v>14.74</v>
      </c>
      <c r="S202" s="6" t="n">
        <v>-1</v>
      </c>
      <c r="T202" t="n">
        <v>26.73</v>
      </c>
      <c r="U202" t="n">
        <v>0</v>
      </c>
      <c r="V202" t="n">
        <v>0</v>
      </c>
      <c r="W202" t="n">
        <v>1</v>
      </c>
      <c r="X202" t="n">
        <v>0</v>
      </c>
      <c r="Y202" t="n">
        <v>0.13</v>
      </c>
      <c r="Z202" t="n">
        <v>1.91</v>
      </c>
      <c r="AA202" s="5" t="n">
        <v>0</v>
      </c>
      <c r="AB202" t="n">
        <v>1.01</v>
      </c>
      <c r="AC202" s="5" t="n">
        <v>0</v>
      </c>
      <c r="AD202" t="n">
        <v>13.09</v>
      </c>
      <c r="AE202" t="n">
        <v>24.34</v>
      </c>
      <c r="AF202" t="n">
        <v>263.56</v>
      </c>
      <c r="AG202" s="6" t="n">
        <v>4.1</v>
      </c>
      <c r="AH202" s="5" t="n">
        <v>4.1</v>
      </c>
      <c r="AI202" s="5" t="n">
        <v>11.1325</v>
      </c>
      <c r="AJ202" s="5">
        <f>IF(AI202&gt;12.7,IF(AI202&gt;15.8,0.93,0.98),1)</f>
        <v/>
      </c>
      <c r="AK202" s="5">
        <f>(1.5*AG202+AH202)*AJ202*AQ202</f>
        <v/>
      </c>
      <c r="AL202" s="4">
        <f>D202</f>
        <v/>
      </c>
      <c r="AM202" s="8">
        <f>B202</f>
        <v/>
      </c>
      <c r="AN202" t="n">
        <v>21</v>
      </c>
      <c r="AO202" s="61">
        <f>IF(Z202&lt;2.81,0,IF(AK202&gt;13.7,IF(Z202&lt;140,1,0),0))</f>
        <v/>
      </c>
      <c r="AP202" s="7">
        <f>IF(AK202&gt;13.93,IF(Z202&lt;300,IF(Z202&lt;35,IF(Z202&lt;6,3,2),1),0),0)</f>
        <v/>
      </c>
      <c r="AQ202" s="5" t="n">
        <v>1</v>
      </c>
      <c r="AR202" s="7">
        <f>IF(AO202=1,IF(AO202=AL202,1,0),5)</f>
        <v/>
      </c>
      <c r="AS202" s="5" t="n">
        <v>1</v>
      </c>
      <c r="AT202" s="5" t="n">
        <v>1</v>
      </c>
      <c r="AU202" s="5" t="n">
        <v>1</v>
      </c>
      <c r="AV202" s="5">
        <f>(AT202+AU202)/2</f>
        <v/>
      </c>
      <c r="AW202" s="5" t="n">
        <v>1</v>
      </c>
      <c r="AX202" s="4">
        <f>IF(AW202&gt;AV202,1,0)</f>
        <v/>
      </c>
      <c r="AY202" s="4">
        <f>(100*(AU202-AS202)/AS202)</f>
        <v/>
      </c>
      <c r="AZ202" s="4">
        <f>IF(AY202&lt;-50,-4,IF(AY202&lt;-20,-2,IF(AY202&lt;0,-1,IF(AY202=0,0,IF(AY202&lt;10,1.5,IF(AY202&lt;20,2,IF(AY202&gt;19,2.5,2.5)))))))</f>
        <v/>
      </c>
      <c r="BA202" s="7" t="n"/>
    </row>
    <row r="203" ht="12.75" customHeight="1">
      <c r="A203" t="inlineStr">
        <is>
          <t>https://www.chittorgarh.com/ipo/mopshop-distribution-ipo/2769/</t>
        </is>
      </c>
      <c r="B203" t="inlineStr">
        <is>
          <t xml:space="preserve">Mopshop Distribution </t>
        </is>
      </c>
      <c r="C203" t="inlineStr">
        <is>
          <t>2026</t>
        </is>
      </c>
      <c r="D203" t="n">
        <v>0</v>
      </c>
      <c r="E203" t="n">
        <v>5.14</v>
      </c>
      <c r="F203" t="n">
        <v>6.74</v>
      </c>
      <c r="G203" s="5" t="n">
        <v>23.74</v>
      </c>
      <c r="H203" t="n">
        <v>23.81</v>
      </c>
      <c r="I203" t="n">
        <v>3.48</v>
      </c>
      <c r="J203" t="n">
        <v>11.61</v>
      </c>
      <c r="K203" t="n">
        <v>6.21</v>
      </c>
      <c r="L203" t="n">
        <v>43.43</v>
      </c>
      <c r="M203" t="n">
        <v>1.39</v>
      </c>
      <c r="N203" t="n">
        <v>17.84</v>
      </c>
      <c r="O203" t="n">
        <v>42</v>
      </c>
      <c r="P203" s="5" t="n">
        <v>12.07</v>
      </c>
      <c r="Q203" t="n">
        <v>22.22</v>
      </c>
      <c r="R203" s="2" t="n">
        <v>28.57</v>
      </c>
      <c r="S203" s="6" t="n">
        <v>-1</v>
      </c>
      <c r="T203" t="n">
        <v>27.26</v>
      </c>
      <c r="U203" t="n">
        <v>5.180000000000003</v>
      </c>
      <c r="V203" t="n">
        <v>0</v>
      </c>
      <c r="W203" t="n">
        <v>1</v>
      </c>
      <c r="X203" t="n">
        <v>0</v>
      </c>
      <c r="Y203" t="n">
        <v>0.12</v>
      </c>
      <c r="Z203" t="n">
        <v>2.42</v>
      </c>
      <c r="AA203" s="5" t="n">
        <v>0</v>
      </c>
      <c r="AB203" t="n">
        <v>0.72</v>
      </c>
      <c r="AC203" s="5" t="n">
        <v>0</v>
      </c>
      <c r="AD203" t="n">
        <v>145.07</v>
      </c>
      <c r="AE203" t="n">
        <v>10.94</v>
      </c>
      <c r="AF203" t="n">
        <v>130.82</v>
      </c>
      <c r="AG203" s="6" t="n">
        <v>3.7</v>
      </c>
      <c r="AH203" s="5" t="n">
        <v>3.7</v>
      </c>
      <c r="AI203" s="5" t="n">
        <v>11.2725</v>
      </c>
      <c r="AJ203" s="5">
        <f>IF(AI203&gt;12.7,IF(AI203&gt;15.8,0.93,0.98),1)</f>
        <v/>
      </c>
      <c r="AK203" s="5">
        <f>(1.5*AG203+AH203)*AJ203*AQ203</f>
        <v/>
      </c>
      <c r="AL203" s="4">
        <f>D203</f>
        <v/>
      </c>
      <c r="AM203" s="8">
        <f>B203</f>
        <v/>
      </c>
      <c r="AN203" t="n">
        <v>21</v>
      </c>
      <c r="AO203" s="61">
        <f>IF(Z203&lt;2.81,0,IF(AK203&gt;13.7,IF(Z203&lt;140,1,0),0))</f>
        <v/>
      </c>
      <c r="AP203" s="7">
        <f>IF(AK203&gt;13.93,IF(Z203&lt;300,IF(Z203&lt;35,IF(Z203&lt;6,3,2),1),0),0)</f>
        <v/>
      </c>
      <c r="AQ203" s="5" t="n">
        <v>1</v>
      </c>
      <c r="AR203" s="7">
        <f>IF(AO203=1,IF(AO203=AL203,1,0),5)</f>
        <v/>
      </c>
      <c r="AS203" s="5" t="n">
        <v>1</v>
      </c>
      <c r="AT203" s="5" t="n">
        <v>1</v>
      </c>
      <c r="AU203" s="5" t="n">
        <v>1</v>
      </c>
      <c r="AV203" s="5">
        <f>(AT203+AU203)/2</f>
        <v/>
      </c>
      <c r="AW203" s="5" t="n">
        <v>1</v>
      </c>
      <c r="AX203" s="4">
        <f>IF(AW203&gt;AV203,1,0)</f>
        <v/>
      </c>
      <c r="AY203" s="4">
        <f>(100*(AU203-AS203)/AS203)</f>
        <v/>
      </c>
      <c r="AZ203" s="4">
        <f>IF(AY203&lt;-50,-4,IF(AY203&lt;-20,-2,IF(AY203&lt;0,-1,IF(AY203=0,0,IF(AY203&lt;10,1.5,IF(AY203&lt;20,2,IF(AY203&gt;19,2.5,2.5)))))))</f>
        <v/>
      </c>
      <c r="BA203" s="7" t="n"/>
    </row>
    <row r="204" ht="12.75" customHeight="1">
      <c r="A204" t="inlineStr">
        <is>
          <t>https://www.chittorgarh.com/ipo/abh-healthcare-ipo/2517/</t>
        </is>
      </c>
      <c r="B204" t="inlineStr">
        <is>
          <t>ABH Healthcare  Price</t>
        </is>
      </c>
      <c r="C204" t="inlineStr">
        <is>
          <t>2026</t>
        </is>
      </c>
      <c r="D204" t="n">
        <v>0</v>
      </c>
      <c r="E204" t="n">
        <v>0</v>
      </c>
      <c r="F204" t="n">
        <v>0</v>
      </c>
      <c r="G204" s="5" t="n">
        <v>0</v>
      </c>
      <c r="H204" t="n">
        <v>0</v>
      </c>
      <c r="I204" t="n">
        <v>0</v>
      </c>
      <c r="J204" t="n">
        <v>4</v>
      </c>
      <c r="K204" t="n">
        <v>0</v>
      </c>
      <c r="L204" t="n">
        <v>30.33</v>
      </c>
      <c r="M204" t="n">
        <v>0</v>
      </c>
      <c r="N204" t="n">
        <v>16.66</v>
      </c>
      <c r="O204" t="n">
        <v>0</v>
      </c>
      <c r="P204" s="5" t="n">
        <v>0</v>
      </c>
      <c r="Q204" t="n">
        <v>0</v>
      </c>
      <c r="R204" s="2" t="n">
        <v>0</v>
      </c>
      <c r="S204" s="6" t="n">
        <v>1</v>
      </c>
      <c r="T204" t="n">
        <v>34.98</v>
      </c>
      <c r="U204" t="n">
        <v>0</v>
      </c>
      <c r="V204" t="n">
        <v>0</v>
      </c>
      <c r="W204" t="n">
        <v>1</v>
      </c>
      <c r="X204" t="n">
        <v>3.45</v>
      </c>
      <c r="Y204" t="n">
        <v>0.3</v>
      </c>
      <c r="Z204" t="n">
        <v>0.49</v>
      </c>
      <c r="AA204" s="5" t="n">
        <v>1</v>
      </c>
      <c r="AB204" t="n">
        <v>0</v>
      </c>
      <c r="AC204" s="5" t="n">
        <v>0</v>
      </c>
      <c r="AD204" t="n">
        <v>-100</v>
      </c>
      <c r="AE204" t="n">
        <v>-100</v>
      </c>
      <c r="AF204" t="n">
        <v>-100</v>
      </c>
      <c r="AG204" s="6" t="n">
        <v>2</v>
      </c>
      <c r="AH204" s="5" t="n">
        <v>4</v>
      </c>
      <c r="AI204" s="5" t="n">
        <v>11.235</v>
      </c>
      <c r="AJ204" s="5">
        <f>IF(AI204&gt;12.7,IF(AI204&gt;15.8,0.93,0.98),1)</f>
        <v/>
      </c>
      <c r="AK204" s="5">
        <f>(1.5*AG204+AH204)*AJ204*AQ204</f>
        <v/>
      </c>
      <c r="AL204" s="4">
        <f>D204</f>
        <v/>
      </c>
      <c r="AM204" s="8">
        <f>B204</f>
        <v/>
      </c>
      <c r="AN204" t="n">
        <v>26</v>
      </c>
      <c r="AO204" s="61">
        <f>IF(Z204&lt;2.81,0,IF(AK204&gt;13.7,IF(Z204&lt;140,1,0),0))</f>
        <v/>
      </c>
      <c r="AP204" s="7">
        <f>IF(AK204&gt;13.93,IF(Z204&lt;300,IF(Z204&lt;35,IF(Z204&lt;6,3,2),1),0),0)</f>
        <v/>
      </c>
      <c r="AQ204" s="5" t="n">
        <v>1</v>
      </c>
      <c r="AR204" s="7">
        <f>IF(AO204=1,IF(AO204=AL204,1,0),5)</f>
        <v/>
      </c>
      <c r="AS204" s="5" t="n">
        <v>1</v>
      </c>
      <c r="AT204" s="5" t="n">
        <v>1</v>
      </c>
      <c r="AU204" s="5" t="n">
        <v>1</v>
      </c>
      <c r="AV204" s="5">
        <f>(AT204+AU204)/2</f>
        <v/>
      </c>
      <c r="AW204" s="5" t="n">
        <v>1</v>
      </c>
      <c r="AX204" s="4">
        <f>IF(AW204&gt;AV204,1,0)</f>
        <v/>
      </c>
      <c r="AY204" s="4">
        <f>(100*(AU204-AS204)/AS204)</f>
        <v/>
      </c>
      <c r="AZ204" s="4">
        <f>IF(AY204&lt;-50,-4,IF(AY204&lt;-20,-2,IF(AY204&lt;0,-1,IF(AY204=0,0,IF(AY204&lt;10,1.5,IF(AY204&lt;20,2,IF(AY204&gt;19,2.5,2.5)))))))</f>
        <v/>
      </c>
      <c r="BA204" s="7" t="n"/>
    </row>
    <row r="205" ht="12.75" customHeight="1">
      <c r="A205" t="inlineStr">
        <is>
          <t>https://www.chittorgarh.com/ipo/sumax-engineering-ipo/2977/</t>
        </is>
      </c>
      <c r="B205" t="inlineStr">
        <is>
          <t>Sumax Engineering  Pr</t>
        </is>
      </c>
      <c r="C205" t="inlineStr">
        <is>
          <t>2026</t>
        </is>
      </c>
      <c r="D205" t="n">
        <v>1</v>
      </c>
      <c r="E205" t="n">
        <v>7.75</v>
      </c>
      <c r="F205" t="n">
        <v>48.84</v>
      </c>
      <c r="G205" s="5">
        <f>100*(F205-E205)/F205</f>
        <v/>
      </c>
      <c r="H205" t="n">
        <v>66.14</v>
      </c>
      <c r="I205" t="n">
        <v>9.98</v>
      </c>
      <c r="J205" t="n">
        <v>8.640000000000001</v>
      </c>
      <c r="K205" t="n">
        <v>8.66</v>
      </c>
      <c r="L205" t="n">
        <v>23.1</v>
      </c>
      <c r="M205" t="n">
        <v>15.03</v>
      </c>
      <c r="N205" t="n">
        <v>12.86</v>
      </c>
      <c r="O205" t="n">
        <v>147.18</v>
      </c>
      <c r="P205" s="5">
        <f>O205/I205</f>
        <v/>
      </c>
      <c r="Q205" t="n">
        <v>11.66</v>
      </c>
      <c r="R205" s="2" t="n">
        <v>15.05</v>
      </c>
      <c r="S205" s="6" t="n">
        <v>-0.5</v>
      </c>
      <c r="T205" t="n">
        <v>53.4</v>
      </c>
      <c r="U205" t="n">
        <v>10.06</v>
      </c>
      <c r="V205" t="n">
        <v>1</v>
      </c>
      <c r="W205" t="n">
        <v>1</v>
      </c>
      <c r="X205" t="n">
        <v>0</v>
      </c>
      <c r="Y205" t="n">
        <v>0</v>
      </c>
      <c r="Z205" t="n">
        <v>0</v>
      </c>
      <c r="AA205" s="5">
        <f>IF(X205&lt;50,IF(Y205&gt;(2.3*X205),0,1),1)-IF(Z205&gt;Y205,1.7,0)</f>
        <v/>
      </c>
      <c r="AB205" t="n">
        <v>36.84</v>
      </c>
      <c r="AC205" s="5">
        <f>IF(AB205&gt;4,1,0)+IF(AB205&gt;10,0.7,0)</f>
        <v/>
      </c>
      <c r="AD205" t="n">
        <v>34.32</v>
      </c>
      <c r="AE205" t="n">
        <v>11.89</v>
      </c>
      <c r="AF205" t="n">
        <v>25.68</v>
      </c>
      <c r="AG205" s="6">
        <f>IF(G205&lt;52,0,0.7)+IF(G205&lt;34,0,0.7)+IF(G205&lt;1,0,0.7)+IF(P205&gt;14.56,0,1)+IF(R205&lt;9,0.5,0)+IF(R205&lt;33.8,0.5,0)+IF(R205&lt;50,0.5,0)+IF(R205&lt;80,0.5,0)+IF(S205=5,0,S205)+IF(V205&gt;0,1,-1)+IF(AE205&lt;10.56,0,1)-IF(AE205&lt;3,1,0)-IF(AE205&lt;1,1,0)</f>
        <v/>
      </c>
      <c r="AH205" s="5">
        <f>AG205+IF(X205&lt;1.35,0,1)+IF(Y205&lt;1.35,0,1)+IF(Y205&lt;0.7,-1,0)+AC205+AA205</f>
        <v/>
      </c>
      <c r="AI205" s="5" t="n">
        <v>11.325</v>
      </c>
      <c r="AJ205" s="5">
        <f>IF(AI205&gt;12.7,IF(AI205&gt;15.8,0.93,0.98),1)</f>
        <v/>
      </c>
      <c r="AK205" s="5">
        <f>(1.5*AG205+AH205)*AJ205*AQ205</f>
        <v/>
      </c>
      <c r="AL205" s="4">
        <f>D205</f>
        <v/>
      </c>
      <c r="AM205" s="8">
        <f>B205</f>
        <v/>
      </c>
      <c r="AN205" t="n">
        <v>28</v>
      </c>
      <c r="AO205" s="61">
        <f>IF(Z205&lt;2.81,0,IF(AK205&gt;13.7,IF(Z205&lt;140,1,0),0))</f>
        <v/>
      </c>
      <c r="AP205" s="7">
        <f>IF(AK205&gt;13.93,IF(Z205&lt;300,IF(Z205&lt;35,IF(Z205&lt;6,3,2),1),0),0)</f>
        <v/>
      </c>
      <c r="AQ205" s="5" t="n">
        <v>1</v>
      </c>
      <c r="AR205" s="7">
        <f>IF(AO205=1,IF(AO205=AL205,1,0),5)</f>
        <v/>
      </c>
      <c r="AS205" s="5" t="n">
        <v>1</v>
      </c>
      <c r="AT205" s="5" t="n">
        <v>1</v>
      </c>
      <c r="AU205" s="5" t="n">
        <v>1</v>
      </c>
      <c r="AV205" s="5">
        <f>(AT205+AU205)/2</f>
        <v/>
      </c>
      <c r="AW205" s="5" t="n">
        <v>1</v>
      </c>
      <c r="AX205" s="4">
        <f>IF(AW205&gt;AV205,1,0)</f>
        <v/>
      </c>
      <c r="AY205" s="4">
        <f>(100*(AU205-AS205)/AS205)</f>
        <v/>
      </c>
      <c r="AZ205" s="4">
        <f>IF(AY205&lt;-50,-4,IF(AY205&lt;-20,-2,IF(AY205&lt;0,-1,IF(AY205=0,0,IF(AY205&lt;10,1.5,IF(AY205&lt;20,2,IF(AY205&gt;19,2.5,2.5)))))))</f>
        <v/>
      </c>
      <c r="BA205" s="7" t="n"/>
    </row>
    <row r="206" ht="12.75" customHeight="1">
      <c r="A206" t="inlineStr">
        <is>
          <t>https://www.chittorgarh.com/ipo/madhur-knit-ipo/2783/</t>
        </is>
      </c>
      <c r="B206" t="inlineStr">
        <is>
          <t>Madhur Knit  Price, G</t>
        </is>
      </c>
      <c r="C206" t="inlineStr">
        <is>
          <t>2026</t>
        </is>
      </c>
      <c r="D206" t="n">
        <v>1</v>
      </c>
      <c r="E206" t="n">
        <v>67.2</v>
      </c>
      <c r="F206" t="n">
        <v>29.49</v>
      </c>
      <c r="G206" s="5" t="n">
        <v>-127.87</v>
      </c>
      <c r="H206" t="n">
        <v>122.59</v>
      </c>
      <c r="I206" t="n">
        <v>11.03</v>
      </c>
      <c r="J206" t="n">
        <v>6.43</v>
      </c>
      <c r="K206" t="n">
        <v>8.23</v>
      </c>
      <c r="L206" t="n">
        <v>37.42</v>
      </c>
      <c r="M206" t="n">
        <v>23.28</v>
      </c>
      <c r="N206" t="n">
        <v>13.56</v>
      </c>
      <c r="O206" t="n">
        <v>171.76</v>
      </c>
      <c r="P206" s="5" t="n">
        <v>15.57</v>
      </c>
      <c r="Q206" t="n">
        <v>12.15</v>
      </c>
      <c r="R206" s="2" t="n">
        <v>13.35</v>
      </c>
      <c r="S206" s="6" t="n">
        <v>-0.5</v>
      </c>
      <c r="T206" t="n">
        <v>27</v>
      </c>
      <c r="U206" t="n">
        <v>0</v>
      </c>
      <c r="V206" t="n">
        <v>1</v>
      </c>
      <c r="W206" t="n">
        <v>1</v>
      </c>
      <c r="X206" t="n">
        <v>0.99</v>
      </c>
      <c r="Y206" t="n">
        <v>0.32</v>
      </c>
      <c r="Z206" t="n">
        <v>0.4</v>
      </c>
      <c r="AA206" s="5" t="n">
        <v>1</v>
      </c>
      <c r="AB206" t="n">
        <v>16</v>
      </c>
      <c r="AC206" s="5" t="n">
        <v>1</v>
      </c>
      <c r="AD206" t="n">
        <v>548.8200000000001</v>
      </c>
      <c r="AE206" t="n">
        <v>58.44</v>
      </c>
      <c r="AF206" t="n">
        <v>81.59</v>
      </c>
      <c r="AG206" s="6" t="n">
        <v>3</v>
      </c>
      <c r="AH206" s="5" t="n">
        <v>5</v>
      </c>
      <c r="AI206" s="5" t="n">
        <v>11.235</v>
      </c>
      <c r="AJ206" s="5">
        <f>IF(AI206&gt;12.7,IF(AI206&gt;15.8,0.93,0.98),1)</f>
        <v/>
      </c>
      <c r="AK206" s="5">
        <f>(1.5*AG206+AH206)*AJ206*AQ206</f>
        <v/>
      </c>
      <c r="AL206" s="4">
        <f>D206</f>
        <v/>
      </c>
      <c r="AM206" s="8">
        <f>B206</f>
        <v/>
      </c>
      <c r="AN206" t="n">
        <v>27</v>
      </c>
      <c r="AO206" s="61">
        <f>IF(Z206&lt;2.81,0,IF(AK206&gt;13.7,IF(Z206&lt;140,1,0),0))</f>
        <v/>
      </c>
      <c r="AP206" s="7">
        <f>IF(AK206&gt;13.93,IF(Z206&lt;300,IF(Z206&lt;35,IF(Z206&lt;6,3,2),1),0),0)</f>
        <v/>
      </c>
      <c r="AQ206" s="5" t="n">
        <v>1</v>
      </c>
      <c r="AR206" s="7">
        <f>IF(AO206=1,IF(AO206=AL206,1,0),5)</f>
        <v/>
      </c>
      <c r="AS206" s="5" t="n">
        <v>1</v>
      </c>
      <c r="AT206" s="5" t="n">
        <v>1</v>
      </c>
      <c r="AU206" s="5" t="n">
        <v>1</v>
      </c>
      <c r="AV206" s="5">
        <f>(AT206+AU206)/2</f>
        <v/>
      </c>
      <c r="AW206" s="5" t="n">
        <v>1</v>
      </c>
      <c r="AX206" s="4">
        <f>IF(AW206&gt;AV206,1,0)</f>
        <v/>
      </c>
      <c r="AY206" s="4">
        <f>(100*(AU206-AS206)/AS206)</f>
        <v/>
      </c>
      <c r="AZ206" s="4">
        <f>IF(AY206&lt;-50,-4,IF(AY206&lt;-20,-2,IF(AY206&lt;0,-1,IF(AY206=0,0,IF(AY206&lt;10,1.5,IF(AY206&lt;20,2,IF(AY206&gt;19,2.5,2.5)))))))</f>
        <v/>
      </c>
      <c r="BA206" s="7" t="n"/>
    </row>
    <row r="207" ht="12.75" customHeight="1">
      <c r="A207" t="inlineStr">
        <is>
          <t>https://www.chittorgarh.com/ipo/qt-foods-ipo/3145/</t>
        </is>
      </c>
      <c r="B207" t="inlineStr">
        <is>
          <t>Q&amp;amp;T Foods  Price,</t>
        </is>
      </c>
      <c r="C207" t="inlineStr">
        <is>
          <t>2026</t>
        </is>
      </c>
      <c r="D207" t="n">
        <v>1</v>
      </c>
      <c r="E207" t="n">
        <v>10.11</v>
      </c>
      <c r="F207" t="n">
        <v>7.04</v>
      </c>
      <c r="G207" s="5">
        <f>100*(F207-E207)/F207</f>
        <v/>
      </c>
      <c r="H207" t="n">
        <v>19.68</v>
      </c>
      <c r="I207" t="n">
        <v>2.74</v>
      </c>
      <c r="J207" t="n">
        <v>9.49</v>
      </c>
      <c r="K207" t="n">
        <v>10.84</v>
      </c>
      <c r="L207" t="n">
        <v>53.95</v>
      </c>
      <c r="M207" t="n">
        <v>4.82</v>
      </c>
      <c r="N207" t="n">
        <v>15.27</v>
      </c>
      <c r="O207" t="n">
        <v>46.83</v>
      </c>
      <c r="P207" s="5">
        <f>O207/I207</f>
        <v/>
      </c>
      <c r="Q207" t="n">
        <v>10.61</v>
      </c>
      <c r="R207" s="2" t="n">
        <v>15.65</v>
      </c>
      <c r="S207" s="6" t="n">
        <v>-0.5</v>
      </c>
      <c r="T207" t="n">
        <v>26.23</v>
      </c>
      <c r="U207" t="n">
        <v>0</v>
      </c>
      <c r="V207" t="n">
        <v>0</v>
      </c>
      <c r="W207" t="n">
        <v>0</v>
      </c>
      <c r="X207" t="n">
        <v>0</v>
      </c>
      <c r="Y207" t="n">
        <v>0.2</v>
      </c>
      <c r="Z207" t="n">
        <v>2.64</v>
      </c>
      <c r="AA207" s="5">
        <f>IF(X207&lt;50,IF(Y207&gt;(2.3*X207),0,1),1)-IF(Z207&gt;Y207,1.7,0)</f>
        <v/>
      </c>
      <c r="AB207" t="n">
        <v>0.87</v>
      </c>
      <c r="AC207" s="5">
        <f>IF(AB207&gt;4,1,0)+IF(AB207&gt;10,0.7,0)</f>
        <v/>
      </c>
      <c r="AD207" t="n">
        <v>39.8</v>
      </c>
      <c r="AE207" t="n">
        <v>16.43</v>
      </c>
      <c r="AF207" t="n">
        <v>188.52</v>
      </c>
      <c r="AG207" s="6">
        <f>IF(G207&lt;52,0,0.7)+IF(G207&lt;34,0,0.7)+IF(G207&lt;1,0,0.7)+IF(P207&gt;14.56,0,1)+IF(R207&lt;9,0.5,0)+IF(R207&lt;33.8,0.5,0)+IF(R207&lt;50,0.5,0)+IF(R207&lt;80,0.5,0)+IF(S207=5,0,S207)+IF(V207&gt;0,1,-1)+IF(AE207&lt;10.56,0,1)-IF(AE207&lt;3,1,0)-IF(AE207&lt;1,1,0)</f>
        <v/>
      </c>
      <c r="AH207" s="5">
        <f>AG207+IF(X207&lt;1.35,0,1)+IF(Y207&lt;1.35,0,1)+IF(Y207&lt;0.7,-1,0)+AC207+AA207</f>
        <v/>
      </c>
      <c r="AI207" s="5" t="n">
        <v>11.3225</v>
      </c>
      <c r="AJ207" s="5">
        <f>IF(AI207&gt;12.7,IF(AI207&gt;15.8,0.93,0.98),1)</f>
        <v/>
      </c>
      <c r="AK207" s="5">
        <f>(1.5*AG207+AH207)*AJ207*AQ207</f>
        <v/>
      </c>
      <c r="AL207" s="4">
        <f>D207</f>
        <v/>
      </c>
      <c r="AM207" s="8">
        <f>B207</f>
        <v/>
      </c>
      <c r="AN207" t="n">
        <v>14</v>
      </c>
      <c r="AO207" s="61">
        <f>IF(Z207&lt;2.81,0,IF(AK207&gt;13.7,IF(Z207&lt;140,1,0),0))</f>
        <v/>
      </c>
      <c r="AP207" s="7">
        <f>IF(AK207&gt;13.93,IF(Z207&lt;300,IF(Z207&lt;35,IF(Z207&lt;6,3,2),1),0),0)</f>
        <v/>
      </c>
      <c r="AQ207" s="5" t="n">
        <v>1</v>
      </c>
      <c r="AR207" s="7">
        <f>IF(AO207=1,IF(AO207=AL207,1,0),5)</f>
        <v/>
      </c>
      <c r="AS207" s="5" t="n">
        <v>1</v>
      </c>
      <c r="AT207" s="5" t="n">
        <v>1</v>
      </c>
      <c r="AU207" s="5" t="n">
        <v>1</v>
      </c>
      <c r="AV207" s="5">
        <f>(AT207+AU207)/2</f>
        <v/>
      </c>
      <c r="AW207" s="5" t="n">
        <v>1</v>
      </c>
      <c r="AX207" s="4">
        <f>IF(AW207&gt;AV207,1,0)</f>
        <v/>
      </c>
      <c r="AY207" s="4">
        <f>(100*(AU207-AS207)/AS207)</f>
        <v/>
      </c>
      <c r="AZ207" s="4">
        <f>IF(AY207&lt;-50,-4,IF(AY207&lt;-20,-2,IF(AY207&lt;0,-1,IF(AY207=0,0,IF(AY207&lt;10,1.5,IF(AY207&lt;20,2,IF(AY207&gt;19,2.5,2.5)))))))</f>
        <v/>
      </c>
      <c r="BA207" s="7" t="n"/>
    </row>
    <row r="208" ht="12.75" customHeight="1">
      <c r="A208" t="inlineStr">
        <is>
          <t>https://www.chittorgarh.com/ipo/madhur-knit-ipo/2783/</t>
        </is>
      </c>
      <c r="B208" t="inlineStr">
        <is>
          <t>Madhur Knit  Price, G</t>
        </is>
      </c>
      <c r="C208" t="inlineStr">
        <is>
          <t>2026</t>
        </is>
      </c>
      <c r="D208" t="n">
        <v>1</v>
      </c>
      <c r="E208" t="n">
        <v>67.2</v>
      </c>
      <c r="F208" t="n">
        <v>29.49</v>
      </c>
      <c r="G208" s="5" t="n">
        <v>-127.87</v>
      </c>
      <c r="H208" t="n">
        <v>122.59</v>
      </c>
      <c r="I208" t="n">
        <v>11.03</v>
      </c>
      <c r="J208" t="n">
        <v>6.34</v>
      </c>
      <c r="K208" t="n">
        <v>8.23</v>
      </c>
      <c r="L208" t="n">
        <v>28.33</v>
      </c>
      <c r="M208" t="n">
        <v>23.28</v>
      </c>
      <c r="N208" t="n">
        <v>13.19</v>
      </c>
      <c r="O208" t="n">
        <v>171.76</v>
      </c>
      <c r="P208" s="5" t="n">
        <v>15.57</v>
      </c>
      <c r="Q208" t="n">
        <v>12.15</v>
      </c>
      <c r="R208" s="2" t="n">
        <v>13.91</v>
      </c>
      <c r="S208" s="6" t="n">
        <v>-0.5</v>
      </c>
      <c r="T208" t="n">
        <v>53.27</v>
      </c>
      <c r="U208" t="n">
        <v>0</v>
      </c>
      <c r="V208" t="n">
        <v>1</v>
      </c>
      <c r="W208" t="n">
        <v>1</v>
      </c>
      <c r="X208" t="n">
        <v>0.99</v>
      </c>
      <c r="Y208" t="n">
        <v>0.32</v>
      </c>
      <c r="Z208" t="n">
        <v>0.4</v>
      </c>
      <c r="AA208" s="5" t="n">
        <v>1</v>
      </c>
      <c r="AB208" t="n">
        <v>16</v>
      </c>
      <c r="AC208" s="5" t="n">
        <v>1</v>
      </c>
      <c r="AD208" t="n">
        <v>548.8200000000001</v>
      </c>
      <c r="AE208" t="n">
        <v>58.44</v>
      </c>
      <c r="AF208" t="n">
        <v>81.59</v>
      </c>
      <c r="AG208" s="6" t="n">
        <v>3</v>
      </c>
      <c r="AH208" s="5" t="n">
        <v>5</v>
      </c>
      <c r="AI208" s="5" t="n">
        <v>11.235</v>
      </c>
      <c r="AJ208" s="5">
        <f>IF(AI208&gt;12.7,IF(AI208&gt;15.8,0.93,0.98),1)</f>
        <v/>
      </c>
      <c r="AK208" s="5">
        <f>(1.5*AG208+AH208)*AJ208*AQ208</f>
        <v/>
      </c>
      <c r="AL208" s="4">
        <f>D208</f>
        <v/>
      </c>
      <c r="AM208" s="8">
        <f>B208</f>
        <v/>
      </c>
      <c r="AN208" t="n">
        <v>27</v>
      </c>
      <c r="AO208" s="61">
        <f>IF(Z208&lt;2.81,0,IF(AK208&gt;13.7,IF(Z208&lt;140,1,0),0))</f>
        <v/>
      </c>
      <c r="AP208" s="7">
        <f>IF(AK208&gt;13.93,IF(Z208&lt;300,IF(Z208&lt;35,IF(Z208&lt;6,3,2),1),0),0)</f>
        <v/>
      </c>
      <c r="AQ208" s="5" t="n">
        <v>1</v>
      </c>
      <c r="AR208" s="7">
        <f>IF(AO208=1,IF(AO208=AL208,1,0),5)</f>
        <v/>
      </c>
      <c r="AS208" s="5" t="n">
        <v>1</v>
      </c>
      <c r="AT208" s="5" t="n">
        <v>1</v>
      </c>
      <c r="AU208" s="5" t="n">
        <v>1</v>
      </c>
      <c r="AV208" s="5">
        <f>(AT208+AU208)/2</f>
        <v/>
      </c>
      <c r="AW208" s="5" t="n">
        <v>1</v>
      </c>
      <c r="AX208" s="4">
        <f>IF(AW208&gt;AV208,1,0)</f>
        <v/>
      </c>
      <c r="AY208" s="4">
        <f>(100*(AU208-AS208)/AS208)</f>
        <v/>
      </c>
      <c r="AZ208" s="4">
        <f>IF(AY208&lt;-50,-4,IF(AY208&lt;-20,-2,IF(AY208&lt;0,-1,IF(AY208=0,0,IF(AY208&lt;10,1.5,IF(AY208&lt;20,2,IF(AY208&gt;19,2.5,2.5)))))))</f>
        <v/>
      </c>
      <c r="BA208" s="7" t="n"/>
    </row>
    <row r="209" ht="12.75" customHeight="1">
      <c r="A209" t="inlineStr">
        <is>
          <t>https://www.chittorgarh.com/ipo/kwick-forensic-solutions-ipo/2757/</t>
        </is>
      </c>
      <c r="B209" t="inlineStr">
        <is>
          <t>Kwick Forensic Soluti</t>
        </is>
      </c>
      <c r="C209" t="inlineStr">
        <is>
          <t>2026</t>
        </is>
      </c>
      <c r="D209" t="n">
        <v>1</v>
      </c>
      <c r="E209" t="n">
        <v>3.26</v>
      </c>
      <c r="F209" t="n">
        <v>27.9</v>
      </c>
      <c r="G209" s="5">
        <f>100*(F209-E209)/F209</f>
        <v/>
      </c>
      <c r="H209" t="n">
        <v>46.79</v>
      </c>
      <c r="I209" t="n">
        <v>8.56</v>
      </c>
      <c r="J209" t="n">
        <v>12.78</v>
      </c>
      <c r="K209" t="n">
        <v>8</v>
      </c>
      <c r="L209" t="n">
        <v>38.98</v>
      </c>
      <c r="M209" t="n">
        <v>12.25</v>
      </c>
      <c r="N209" t="n">
        <v>18.03</v>
      </c>
      <c r="O209" t="n">
        <v>65.08</v>
      </c>
      <c r="P209" s="5">
        <f>O209/I209</f>
        <v/>
      </c>
      <c r="Q209" t="n">
        <v>11.25</v>
      </c>
      <c r="R209" s="2" t="n">
        <v>14.29</v>
      </c>
      <c r="S209" s="6" t="n">
        <v>-0.5</v>
      </c>
      <c r="T209" t="n">
        <v>50.77</v>
      </c>
      <c r="U209" t="n">
        <v>0</v>
      </c>
      <c r="V209" t="n">
        <v>1</v>
      </c>
      <c r="W209" t="n">
        <v>1</v>
      </c>
      <c r="X209" t="n">
        <v>224.32</v>
      </c>
      <c r="Y209" t="n">
        <v>318.53</v>
      </c>
      <c r="Z209" t="n">
        <v>313.18</v>
      </c>
      <c r="AA209" s="5">
        <f>IF(X209&lt;50,IF(Y209&gt;(2.3*X209),0,1),1)-IF(Z209&gt;Y209,1.7,0)</f>
        <v/>
      </c>
      <c r="AB209" t="n">
        <v>0</v>
      </c>
      <c r="AC209" s="5">
        <f>IF(AB209&gt;4,1,0)+IF(AB209&gt;10,0.7,0)</f>
        <v/>
      </c>
      <c r="AD209" t="n">
        <v>202.47</v>
      </c>
      <c r="AE209" t="n">
        <v>115.07</v>
      </c>
      <c r="AF209" t="n">
        <v>182.96</v>
      </c>
      <c r="AG209" s="6">
        <f>IF(G209&lt;52,0,0.7)+IF(G209&lt;34,0,0.7)+IF(G209&lt;1,0,0.7)+IF(P209&gt;14.56,0,1)+IF(R209&lt;9,0.5,0)+IF(R209&lt;33.8,0.5,0)+IF(R209&lt;50,0.5,0)+IF(R209&lt;80,0.5,0)+IF(S209=5,0,S209)+IF(V209&gt;0,1,-1)+IF(AE209&lt;10.56,0,1)-IF(AE209&lt;3,1,0)-IF(AE209&lt;1,1,0)</f>
        <v/>
      </c>
      <c r="AH209" s="5">
        <f>AG209+IF(X209&lt;1.35,0,1)+IF(Y209&lt;1.35,0,1)+IF(Y209&lt;0.7,-1,0)+AC209+AA209</f>
        <v/>
      </c>
      <c r="AI209" s="5" t="n">
        <v>12.3825</v>
      </c>
      <c r="AJ209" s="5">
        <f>IF(AI209&gt;12.7,IF(AI209&gt;15.8,0.93,0.98),1)</f>
        <v/>
      </c>
      <c r="AK209" s="5">
        <f>(1.5*AG209+AH209)*AJ209*AQ209</f>
        <v/>
      </c>
      <c r="AL209" s="4">
        <f>D209</f>
        <v/>
      </c>
      <c r="AM209" s="8">
        <f>B209</f>
        <v/>
      </c>
      <c r="AN209" t="n">
        <v>31</v>
      </c>
      <c r="AO209" s="61">
        <f>IF(Z209&lt;2.81,0,IF(AK209&gt;13.7,IF(Z209&lt;140,1,0),0))</f>
        <v/>
      </c>
      <c r="AP209" s="7">
        <f>IF(AK209&gt;13.93,IF(Z209&lt;300,IF(Z209&lt;35,IF(Z209&lt;6,3,2),1),0),0)</f>
        <v/>
      </c>
      <c r="AQ209" s="5" t="n">
        <v>0.95</v>
      </c>
      <c r="AR209" s="7">
        <f>IF(AO209=1,IF(AO209=AL209,1,0),5)</f>
        <v/>
      </c>
      <c r="AS209" s="5" t="n">
        <v>1</v>
      </c>
      <c r="AT209" s="5" t="n">
        <v>1</v>
      </c>
      <c r="AU209" s="5" t="n">
        <v>1</v>
      </c>
      <c r="AV209" s="5">
        <f>(AT209+AU209)/2</f>
        <v/>
      </c>
      <c r="AW209" s="5" t="n">
        <v>1</v>
      </c>
      <c r="AX209" s="4">
        <f>IF(AW209&gt;AV209,1,0)</f>
        <v/>
      </c>
      <c r="AY209" s="4">
        <f>(100*(AU209-AS209)/AS209)</f>
        <v/>
      </c>
      <c r="AZ209" s="4">
        <f>IF(AY209&lt;-50,-4,IF(AY209&lt;-20,-2,IF(AY209&lt;0,-1,IF(AY209=0,0,IF(AY209&lt;10,1.5,IF(AY209&lt;20,2,IF(AY209&gt;19,2.5,2.5)))))))</f>
        <v/>
      </c>
      <c r="BA209" s="7" t="n"/>
    </row>
    <row r="210" ht="12.75" customHeight="1">
      <c r="A210" t="inlineStr">
        <is>
          <t>https://www.chittorgarh.com/ipo/complete-sports-and-management-ipo/3182/</t>
        </is>
      </c>
      <c r="B210" t="inlineStr">
        <is>
          <t>Complete Sports &amp;amp;</t>
        </is>
      </c>
      <c r="C210" t="inlineStr">
        <is>
          <t>2026</t>
        </is>
      </c>
      <c r="D210" t="n">
        <v>1</v>
      </c>
      <c r="E210" t="n">
        <v>2.19</v>
      </c>
      <c r="F210" t="n">
        <v>0</v>
      </c>
      <c r="G210" s="5">
        <f>100*(F210-E210)/F210</f>
        <v/>
      </c>
      <c r="H210" t="n">
        <v>69.78</v>
      </c>
      <c r="I210" t="n">
        <v>11.41</v>
      </c>
      <c r="J210" t="n">
        <v>15.81</v>
      </c>
      <c r="K210" t="n">
        <v>12.11</v>
      </c>
      <c r="L210" t="n">
        <v>53.55</v>
      </c>
      <c r="M210" t="n">
        <v>0</v>
      </c>
      <c r="N210" t="n">
        <v>13.39</v>
      </c>
      <c r="O210" t="n">
        <v>111.42</v>
      </c>
      <c r="P210" s="5">
        <f>O210/I210</f>
        <v/>
      </c>
      <c r="Q210" t="n">
        <v>11.15</v>
      </c>
      <c r="R210" s="2" t="n">
        <v>15.27</v>
      </c>
      <c r="S210" s="6" t="n">
        <v>-0.5</v>
      </c>
      <c r="T210" t="n">
        <v>74.93000000000001</v>
      </c>
      <c r="U210" t="n">
        <v>0</v>
      </c>
      <c r="V210" t="n">
        <v>1</v>
      </c>
      <c r="W210" t="n">
        <v>1</v>
      </c>
      <c r="X210" t="n">
        <v>7.34</v>
      </c>
      <c r="Y210" t="n">
        <v>2.66</v>
      </c>
      <c r="Z210" t="n">
        <v>1.57</v>
      </c>
      <c r="AA210" s="5">
        <f>IF(X210&lt;50,IF(Y210&gt;(2.3*X210),0,1),1)-IF(Z210&gt;Y210,1.7,0)</f>
        <v/>
      </c>
      <c r="AB210" t="n">
        <v>0</v>
      </c>
      <c r="AC210" s="5">
        <f>IF(AB210&gt;4,1,0)+IF(AB210&gt;10,0.7,0)</f>
        <v/>
      </c>
      <c r="AD210" t="n">
        <v>0</v>
      </c>
      <c r="AE210" t="n">
        <v>0</v>
      </c>
      <c r="AF210" t="n">
        <v>0</v>
      </c>
      <c r="AG210" s="6">
        <f>IF(G210&lt;52,0,0.7)+IF(G210&lt;34,0,0.7)+IF(G210&lt;1,0,0.7)+IF(P210&gt;14.56,0,1)+IF(R210&lt;9,0.5,0)+IF(R210&lt;33.8,0.5,0)+IF(R210&lt;50,0.5,0)+IF(R210&lt;80,0.5,0)+IF(S210=5,0,S210)+IF(V210&gt;0,1,-1)+IF(AE210&lt;10.56,0,1)-IF(AE210&lt;3,1,0)-IF(AE210&lt;1,1,0)</f>
        <v/>
      </c>
      <c r="AH210" s="5">
        <f>AG210+IF(X210&lt;1.35,0,1)+IF(Y210&lt;1.35,0,1)+IF(Y210&lt;0.7,-1,0)+AC210+AA210</f>
        <v/>
      </c>
      <c r="AI210" s="5" t="n">
        <v>12.38</v>
      </c>
      <c r="AJ210" s="5">
        <f>IF(AI210&gt;12.7,IF(AI210&gt;15.8,0.93,0.98),1)</f>
        <v/>
      </c>
      <c r="AK210" s="5">
        <f>(1.5*AG210+AH210)*AJ210*AQ210</f>
        <v/>
      </c>
      <c r="AL210" s="4">
        <f>D210</f>
        <v/>
      </c>
      <c r="AM210" s="8">
        <f>B210</f>
        <v/>
      </c>
      <c r="AN210" t="n">
        <v>1</v>
      </c>
      <c r="AO210" s="61">
        <f>IF(Z210&lt;2.81,0,IF(AK210&gt;13.7,IF(Z210&lt;140,1,0),0))</f>
        <v/>
      </c>
      <c r="AP210" s="7">
        <f>IF(AK210&gt;13.93,IF(Z210&lt;300,IF(Z210&lt;35,IF(Z210&lt;6,3,2),1),0),0)</f>
        <v/>
      </c>
      <c r="AQ210" s="5" t="n">
        <v>1</v>
      </c>
      <c r="AR210" s="7">
        <f>IF(AO210=1,IF(AO210=AL210,1,0),5)</f>
        <v/>
      </c>
      <c r="AS210" s="5" t="n">
        <v>1</v>
      </c>
      <c r="AT210" s="5" t="n">
        <v>1</v>
      </c>
      <c r="AU210" s="5" t="n">
        <v>1</v>
      </c>
      <c r="AV210" s="5">
        <f>(AT210+AU210)/2</f>
        <v/>
      </c>
      <c r="AW210" s="5" t="n">
        <v>1</v>
      </c>
      <c r="AX210" s="4">
        <f>IF(AW210&gt;AV210,1,0)</f>
        <v/>
      </c>
      <c r="AY210" s="4">
        <f>(100*(AU210-AS210)/AS210)</f>
        <v/>
      </c>
      <c r="AZ210" s="4">
        <f>IF(AY210&lt;-50,-4,IF(AY210&lt;-20,-2,IF(AY210&lt;0,-1,IF(AY210=0,0,IF(AY210&lt;10,1.5,IF(AY210&lt;20,2,IF(AY210&gt;19,2.5,2.5)))))))</f>
        <v/>
      </c>
      <c r="BA210" s="7">
        <f>#REF!+(#REF!*AB210)/100</f>
        <v/>
      </c>
    </row>
    <row r="211" ht="12.75" customHeight="1">
      <c r="A211" t="inlineStr">
        <is>
          <t>https://www.chittorgarh.com/ipo/paluck-technologies-ipo/2702/</t>
        </is>
      </c>
      <c r="B211" t="inlineStr">
        <is>
          <t xml:space="preserve">Paluck Technologies  </t>
        </is>
      </c>
      <c r="C211" t="inlineStr">
        <is>
          <t>2026</t>
        </is>
      </c>
      <c r="D211" t="n">
        <v>0</v>
      </c>
      <c r="E211" t="n">
        <v>17.49</v>
      </c>
      <c r="F211" t="n">
        <v>31.82</v>
      </c>
      <c r="G211" s="5">
        <f>100*(F211-E211)/F211</f>
        <v/>
      </c>
      <c r="H211" t="n">
        <v>66.98</v>
      </c>
      <c r="I211" t="n">
        <v>9.630000000000001</v>
      </c>
      <c r="J211" t="n">
        <v>13.18</v>
      </c>
      <c r="K211" t="n">
        <v>6.91</v>
      </c>
      <c r="L211" t="n">
        <v>30.31</v>
      </c>
      <c r="M211" t="n">
        <v>18.99</v>
      </c>
      <c r="N211" t="n">
        <v>22.79</v>
      </c>
      <c r="O211" t="n">
        <v>102.9</v>
      </c>
      <c r="P211" s="5">
        <f>O211/I211</f>
        <v/>
      </c>
      <c r="Q211" t="n">
        <v>6.95</v>
      </c>
      <c r="R211" s="2" t="n">
        <v>6.62</v>
      </c>
      <c r="S211" s="6" t="n">
        <v>-0.5</v>
      </c>
      <c r="T211" t="n">
        <v>33</v>
      </c>
      <c r="U211" t="n">
        <v>0</v>
      </c>
      <c r="V211" t="n">
        <v>1</v>
      </c>
      <c r="W211" t="n">
        <v>1</v>
      </c>
      <c r="X211" t="n">
        <v>83.89</v>
      </c>
      <c r="Y211" t="n">
        <v>286.74</v>
      </c>
      <c r="Z211" t="n">
        <v>372.67</v>
      </c>
      <c r="AA211" s="5">
        <f>IF(X211&lt;50,IF(Y211&gt;(2.3*X211),0,1),1)-IF(Z211&gt;Y211,1.7,0)</f>
        <v/>
      </c>
      <c r="AB211" t="n">
        <v>0</v>
      </c>
      <c r="AC211" s="5">
        <f>IF(AB211&gt;4,1,0)+IF(AB211&gt;10,0.7,0)</f>
        <v/>
      </c>
      <c r="AD211" t="n">
        <v>180.76</v>
      </c>
      <c r="AE211" t="n">
        <v>1.14</v>
      </c>
      <c r="AF211" t="n">
        <v>72.19</v>
      </c>
      <c r="AG211" s="6">
        <f>IF(G211&lt;52,0,0.7)+IF(G211&lt;34,0,0.7)+IF(G211&lt;1,0,0.7)+IF(P211&gt;14.56,0,1)+IF(R211&lt;9,0.5,0)+IF(R211&lt;33.8,0.5,0)+IF(R211&lt;50,0.5,0)+IF(R211&lt;80,0.5,0)+IF(S211=5,0,S211)+IF(V211&gt;0,1,-1)+IF(AE211&lt;10.56,0,1)-IF(AE211&lt;3,1,0)-IF(AE211&lt;1,1,0)</f>
        <v/>
      </c>
      <c r="AH211" s="5">
        <f>AG211+IF(X211&lt;1.35,0,1)+IF(Y211&lt;1.35,0,1)+IF(Y211&lt;0.7,-1,0)+AC211+AA211</f>
        <v/>
      </c>
      <c r="AI211" s="5" t="n">
        <v>12.365</v>
      </c>
      <c r="AJ211" s="5">
        <f>IF(AI211&gt;12.7,IF(AI211&gt;15.8,0.93,0.98),1)</f>
        <v/>
      </c>
      <c r="AK211" s="5">
        <f>(1.5*AG211+AH211)*AJ211*AQ211</f>
        <v/>
      </c>
      <c r="AL211" s="4">
        <f>D211</f>
        <v/>
      </c>
      <c r="AM211" s="8">
        <f>B211</f>
        <v/>
      </c>
      <c r="AN211" t="n">
        <v>1</v>
      </c>
      <c r="AO211" s="61">
        <f>IF(Z211&lt;2.81,0,IF(AK211&gt;13.7,IF(Z211&lt;140,1,0),0))</f>
        <v/>
      </c>
      <c r="AP211" s="7">
        <f>IF(AK211&gt;13.93,IF(Z211&lt;300,IF(Z211&lt;35,IF(Z211&lt;6,3,2),1),0),0)</f>
        <v/>
      </c>
      <c r="AQ211" s="5" t="n">
        <v>0.95</v>
      </c>
      <c r="AR211" s="7">
        <f>IF(AO211=1,IF(AO211=AL211,1,0),5)</f>
        <v/>
      </c>
      <c r="AS211" s="5" t="n">
        <v>1</v>
      </c>
      <c r="AT211" s="5" t="n">
        <v>1</v>
      </c>
      <c r="AU211" s="5" t="n">
        <v>1</v>
      </c>
      <c r="AV211" s="5">
        <f>(AT211+AU211)/2</f>
        <v/>
      </c>
      <c r="AW211" s="5" t="n">
        <v>1</v>
      </c>
      <c r="AX211" s="4">
        <f>IF(AW211&gt;AV211,1,0)</f>
        <v/>
      </c>
      <c r="AY211" s="4">
        <f>(100*(AU211-AS211)/AS211)</f>
        <v/>
      </c>
      <c r="AZ211" s="4">
        <f>IF(AY211&lt;-50,-4,IF(AY211&lt;-20,-2,IF(AY211&lt;0,-1,IF(AY211=0,0,IF(AY211&lt;10,1.5,IF(AY211&lt;20,2,IF(AY211&gt;19,2.5,2.5)))))))</f>
        <v/>
      </c>
      <c r="BA211" s="7">
        <f>#REF!+(#REF!*AB211)/100</f>
        <v/>
      </c>
    </row>
    <row r="212" ht="12.75" customHeight="1">
      <c r="A212" t="inlineStr">
        <is>
          <t>https://www.chittorgarh.com/ipo/ashutosh-fibre-ipo/2751/</t>
        </is>
      </c>
      <c r="B212" t="inlineStr">
        <is>
          <t>Ashutosh Fibre  Price</t>
        </is>
      </c>
      <c r="C212" t="inlineStr">
        <is>
          <t>2026</t>
        </is>
      </c>
      <c r="D212" t="n">
        <v>1</v>
      </c>
      <c r="E212" t="n">
        <v>57.44</v>
      </c>
      <c r="F212" t="n">
        <v>35.85</v>
      </c>
      <c r="G212" s="5">
        <f>100*(F212-E212)/F212</f>
        <v/>
      </c>
      <c r="H212" t="n">
        <v>104.6</v>
      </c>
      <c r="I212" t="n">
        <v>8.51</v>
      </c>
      <c r="J212" t="n">
        <v>13.67</v>
      </c>
      <c r="K212" t="n">
        <v>10.19</v>
      </c>
      <c r="L212" t="n">
        <v>0</v>
      </c>
      <c r="M212" t="n">
        <v>17.84</v>
      </c>
      <c r="N212" t="n">
        <v>26.47</v>
      </c>
      <c r="O212" t="n">
        <v>114.97</v>
      </c>
      <c r="P212" s="5">
        <f>O212/I212</f>
        <v/>
      </c>
      <c r="Q212" t="n">
        <v>9.029999999999999</v>
      </c>
      <c r="R212" s="2" t="n">
        <v>12.55</v>
      </c>
      <c r="S212" s="6" t="n">
        <v>-1</v>
      </c>
      <c r="T212" t="n">
        <v>56.35</v>
      </c>
      <c r="U212" t="n">
        <v>0</v>
      </c>
      <c r="V212" t="n">
        <v>1</v>
      </c>
      <c r="W212" t="n">
        <v>1</v>
      </c>
      <c r="X212" t="n">
        <v>143.93</v>
      </c>
      <c r="Y212" t="n">
        <v>200.85</v>
      </c>
      <c r="Z212" t="n">
        <v>99.16</v>
      </c>
      <c r="AA212" s="5">
        <f>IF(X212&lt;50,IF(Y212&gt;(2.3*X212),0,1),1)-IF(Z212&gt;Y212,1.7,0)</f>
        <v/>
      </c>
      <c r="AB212" t="n">
        <v>0</v>
      </c>
      <c r="AC212" s="5">
        <f>IF(AB212&gt;4,1,0)+IF(AB212&gt;10,0.7,0)</f>
        <v/>
      </c>
      <c r="AD212" t="n">
        <v>20.71</v>
      </c>
      <c r="AE212" t="n">
        <v>4.62</v>
      </c>
      <c r="AF212" t="n">
        <v>30.13</v>
      </c>
      <c r="AG212" s="6">
        <f>IF(G212&lt;52,0,0.7)+IF(G212&lt;34,0,0.7)+IF(G212&lt;1,0,0.7)+IF(P212&gt;14.56,0,1)+IF(R212&lt;9,0.5,0)+IF(R212&lt;33.8,0.5,0)+IF(R212&lt;50,0.5,0)+IF(R212&lt;80,0.5,0)+IF(S212=5,0,S212)+IF(V212&gt;0,1,-1)+IF(AE212&lt;10.56,0,1)-IF(AE212&lt;3,1,0)-IF(AE212&lt;1,1,0)</f>
        <v/>
      </c>
      <c r="AH212" s="5">
        <f>AG212+IF(X212&lt;1.35,0,1)+IF(Y212&lt;1.35,0,1)+IF(Y212&lt;0.7,-1,0)+AC212+AA212</f>
        <v/>
      </c>
      <c r="AI212" s="5" t="n">
        <v>12.3625</v>
      </c>
      <c r="AJ212" s="5">
        <f>IF(AI212&gt;12.7,IF(AI212&gt;15.8,0.93,0.98),1)</f>
        <v/>
      </c>
      <c r="AK212" s="5">
        <f>(1.5*AG212+AH212)*AJ212*AQ212</f>
        <v/>
      </c>
      <c r="AL212" s="4">
        <f>D212</f>
        <v/>
      </c>
      <c r="AM212" s="8">
        <f>B212</f>
        <v/>
      </c>
      <c r="AN212" t="n">
        <v>2</v>
      </c>
      <c r="AO212" s="61">
        <f>IF(Z212&lt;2.81,0,IF(AK212&gt;13.7,IF(Z212&lt;140,1,0),0))</f>
        <v/>
      </c>
      <c r="AP212" s="7">
        <f>IF(AK212&gt;13.93,IF(Z212&lt;300,IF(Z212&lt;35,IF(Z212&lt;6,3,2),1),0),0)</f>
        <v/>
      </c>
      <c r="AQ212" s="5" t="n">
        <v>1</v>
      </c>
      <c r="AR212" s="7">
        <f>IF(AO212=1,IF(AO212=AL212,1,0),5)</f>
        <v/>
      </c>
      <c r="AS212" s="5" t="n">
        <v>1</v>
      </c>
      <c r="AT212" s="5" t="n">
        <v>1</v>
      </c>
      <c r="AU212" s="5" t="n">
        <v>1</v>
      </c>
      <c r="AV212" s="5">
        <f>(AT212+AU212)/2</f>
        <v/>
      </c>
      <c r="AW212" s="5" t="n">
        <v>1</v>
      </c>
      <c r="AX212" s="4">
        <f>IF(AW212&gt;AV212,1,0)</f>
        <v/>
      </c>
      <c r="AY212" s="4">
        <f>(100*(AU212-AS212)/AS212)</f>
        <v/>
      </c>
      <c r="AZ212" s="4">
        <f>IF(AY212&lt;-50,-4,IF(AY212&lt;-20,-2,IF(AY212&lt;0,-1,IF(AY212=0,0,IF(AY212&lt;10,1.5,IF(AY212&lt;20,2,IF(AY212&gt;19,2.5,2.5)))))))</f>
        <v/>
      </c>
      <c r="BA212" s="7">
        <f>#REF!+(#REF!*AB212)/100</f>
        <v/>
      </c>
    </row>
    <row r="213" ht="12.75" customHeight="1">
      <c r="A213" t="inlineStr">
        <is>
          <t>https://www.chittorgarh.com/ipo/shanti-inorganics-ipo/2736/</t>
        </is>
      </c>
      <c r="B213" t="inlineStr">
        <is>
          <t>Shanti Inorganics  Pr</t>
        </is>
      </c>
      <c r="C213" t="inlineStr">
        <is>
          <t>2026</t>
        </is>
      </c>
      <c r="D213" t="n">
        <v>1</v>
      </c>
      <c r="E213" t="n">
        <v>25.38</v>
      </c>
      <c r="F213" t="n">
        <v>25.6</v>
      </c>
      <c r="G213" s="5">
        <f>100*(F213-E213)/F213</f>
        <v/>
      </c>
      <c r="H213" t="n">
        <v>66.04000000000001</v>
      </c>
      <c r="I213" t="n">
        <v>7.99</v>
      </c>
      <c r="J213" t="n">
        <v>15.53</v>
      </c>
      <c r="K213" t="n">
        <v>8.84</v>
      </c>
      <c r="L213" t="n">
        <v>5.05</v>
      </c>
      <c r="M213" t="n">
        <v>12.06</v>
      </c>
      <c r="N213" t="n">
        <v>25.16</v>
      </c>
      <c r="O213" t="n">
        <v>58.46</v>
      </c>
      <c r="P213" s="5">
        <f>O213/I213</f>
        <v/>
      </c>
      <c r="Q213" t="n">
        <v>9.390000000000001</v>
      </c>
      <c r="R213" s="2" t="n">
        <v>9.539999999999999</v>
      </c>
      <c r="S213" s="6" t="n">
        <v>-0.5</v>
      </c>
      <c r="T213" t="n">
        <v>47.24</v>
      </c>
      <c r="U213" t="n">
        <v>0</v>
      </c>
      <c r="V213" t="n">
        <v>1</v>
      </c>
      <c r="W213" t="n">
        <v>1</v>
      </c>
      <c r="X213" t="n">
        <v>130.97</v>
      </c>
      <c r="Y213" t="n">
        <v>195.53</v>
      </c>
      <c r="Z213" t="n">
        <v>125.72</v>
      </c>
      <c r="AA213" s="5">
        <f>IF(X213&lt;50,IF(Y213&gt;(2.3*X213),0,1),1)-IF(Z213&gt;Y213,1.7,0)</f>
        <v/>
      </c>
      <c r="AB213" t="n">
        <v>0</v>
      </c>
      <c r="AC213" s="5">
        <f>IF(AB213&gt;4,1,0)+IF(AB213&gt;10,0.7,0)</f>
        <v/>
      </c>
      <c r="AD213" t="n">
        <v>56.05</v>
      </c>
      <c r="AE213" t="n">
        <v>29.74</v>
      </c>
      <c r="AF213" t="n">
        <v>45.45</v>
      </c>
      <c r="AG213" s="6">
        <f>IF(G213&lt;52,0,0.7)+IF(G213&lt;34,0,0.7)+IF(G213&lt;1,0,0.7)+IF(P213&gt;14.56,0,1)+IF(R213&lt;9,0.5,0)+IF(R213&lt;33.8,0.5,0)+IF(R213&lt;50,0.5,0)+IF(R213&lt;80,0.5,0)+IF(S213=5,0,S213)+IF(V213&gt;0,1,-1)+IF(AE213&lt;10.56,0,1)-IF(AE213&lt;3,1,0)-IF(AE213&lt;1,1,0)</f>
        <v/>
      </c>
      <c r="AH213" s="5">
        <f>AG213+IF(X213&lt;1.35,0,1)+IF(Y213&lt;1.35,0,1)+IF(Y213&lt;0.7,-1,0)+AC213+AA213</f>
        <v/>
      </c>
      <c r="AI213" s="5" t="n">
        <v>12.3675</v>
      </c>
      <c r="AJ213" s="5">
        <f>IF(AI213&gt;12.7,IF(AI213&gt;15.8,0.93,0.98),1)</f>
        <v/>
      </c>
      <c r="AK213" s="5">
        <f>(1.5*AG213+AH213)*AJ213*AQ213</f>
        <v/>
      </c>
      <c r="AL213" s="4">
        <f>D213</f>
        <v/>
      </c>
      <c r="AM213" s="8">
        <f>B213</f>
        <v/>
      </c>
      <c r="AN213" t="n">
        <v>2</v>
      </c>
      <c r="AO213" s="61">
        <f>IF(Z213&lt;2.81,0,IF(AK213&gt;13.7,IF(Z213&lt;140,1,0),0))</f>
        <v/>
      </c>
      <c r="AP213" s="7">
        <f>IF(AK213&gt;13.93,IF(Z213&lt;300,IF(Z213&lt;35,IF(Z213&lt;6,3,2),1),0),0)</f>
        <v/>
      </c>
      <c r="AQ213" s="5" t="n">
        <v>1</v>
      </c>
      <c r="AR213" s="7">
        <f>IF(AO213=1,IF(AO213=AL213,1,0),5)</f>
        <v/>
      </c>
      <c r="AS213" s="5" t="n">
        <v>1</v>
      </c>
      <c r="AT213" s="5" t="n">
        <v>1</v>
      </c>
      <c r="AU213" s="5" t="n">
        <v>1</v>
      </c>
      <c r="AV213" s="5">
        <f>(AT213+AU213)/2</f>
        <v/>
      </c>
      <c r="AW213" s="5" t="n">
        <v>1</v>
      </c>
      <c r="AX213" s="4">
        <f>IF(AW213&gt;AV213,1,0)</f>
        <v/>
      </c>
      <c r="AY213" s="4">
        <f>(100*(AU213-AS213)/AS213)</f>
        <v/>
      </c>
      <c r="AZ213" s="4">
        <f>IF(AY213&lt;-50,-4,IF(AY213&lt;-20,-2,IF(AY213&lt;0,-1,IF(AY213=0,0,IF(AY213&lt;10,1.5,IF(AY213&lt;20,2,IF(AY213&gt;19,2.5,2.5)))))))</f>
        <v/>
      </c>
      <c r="BA213" s="7">
        <f>#REF!+(#REF!*AB213)/100</f>
        <v/>
      </c>
    </row>
    <row r="214" ht="12.75" customHeight="1">
      <c r="A214" t="inlineStr">
        <is>
          <t>https://www.chittorgarh.com/ipo/phychem-technologies-ipo/2730/</t>
        </is>
      </c>
      <c r="B214" t="inlineStr">
        <is>
          <t xml:space="preserve">Phychem Technologies </t>
        </is>
      </c>
      <c r="C214" t="inlineStr">
        <is>
          <t>2026</t>
        </is>
      </c>
      <c r="D214" t="n">
        <v>1</v>
      </c>
      <c r="E214" t="n">
        <v>4.59</v>
      </c>
      <c r="F214" t="n">
        <v>9.699999999999999</v>
      </c>
      <c r="G214" s="5">
        <f>100*(F214-E214)/F214</f>
        <v/>
      </c>
      <c r="H214" t="n">
        <v>20.75</v>
      </c>
      <c r="I214" t="n">
        <v>2.84</v>
      </c>
      <c r="J214" t="n">
        <v>7.24</v>
      </c>
      <c r="K214" t="n">
        <v>5.42</v>
      </c>
      <c r="L214" t="n">
        <v>34.82</v>
      </c>
      <c r="M214" t="n">
        <v>4.37</v>
      </c>
      <c r="N214" t="n">
        <v>10.78</v>
      </c>
      <c r="O214" t="n">
        <v>51.11</v>
      </c>
      <c r="P214" s="5">
        <f>O214/I214</f>
        <v/>
      </c>
      <c r="Q214" t="n">
        <v>9.960000000000001</v>
      </c>
      <c r="R214" s="2" t="n">
        <v>13.53</v>
      </c>
      <c r="S214" s="6" t="n">
        <v>-0.5</v>
      </c>
      <c r="T214" t="n">
        <v>14.58</v>
      </c>
      <c r="U214" t="n">
        <v>0</v>
      </c>
      <c r="V214" t="n">
        <v>1</v>
      </c>
      <c r="W214" t="n">
        <v>1</v>
      </c>
      <c r="X214" t="n">
        <v>4.31</v>
      </c>
      <c r="Y214" t="n">
        <v>42.41</v>
      </c>
      <c r="Z214" t="n">
        <v>20.76</v>
      </c>
      <c r="AA214" s="5">
        <f>IF(X214&lt;50,IF(Y214&gt;(2.3*X214),0,1),1)-IF(Z214&gt;Y214,1.7,0)</f>
        <v/>
      </c>
      <c r="AB214" t="n">
        <v>0</v>
      </c>
      <c r="AC214" s="5">
        <f>IF(AB214&gt;4,1,0)+IF(AB214&gt;10,0.7,0)</f>
        <v/>
      </c>
      <c r="AD214" t="n">
        <v>68.05</v>
      </c>
      <c r="AE214" t="n">
        <v>7.4</v>
      </c>
      <c r="AF214" t="n">
        <v>41.4</v>
      </c>
      <c r="AG214" s="6">
        <f>IF(G214&lt;52,0,0.7)+IF(G214&lt;34,0,0.7)+IF(G214&lt;1,0,0.7)+IF(P214&gt;14.56,0,1)+IF(R214&lt;9,0.5,0)+IF(R214&lt;33.8,0.5,0)+IF(R214&lt;50,0.5,0)+IF(R214&lt;80,0.5,0)+IF(S214=5,0,S214)+IF(V214&gt;0,1,-1)+IF(AE214&lt;10.56,0,1)-IF(AE214&lt;3,1,0)-IF(AE214&lt;1,1,0)</f>
        <v/>
      </c>
      <c r="AH214" s="5">
        <f>AG214+IF(X214&lt;1.35,0,1)+IF(Y214&lt;1.35,0,1)+IF(Y214&lt;0.7,-1,0)+AC214+AA214</f>
        <v/>
      </c>
      <c r="AI214" s="5" t="n">
        <v>12.365</v>
      </c>
      <c r="AJ214" s="5">
        <f>IF(AI214&gt;12.7,IF(AI214&gt;15.8,0.93,0.98),1)</f>
        <v/>
      </c>
      <c r="AK214" s="5">
        <f>(1.5*AG214+AH214)*AJ214*AQ214</f>
        <v/>
      </c>
      <c r="AL214" s="4">
        <f>D214</f>
        <v/>
      </c>
      <c r="AM214" s="8">
        <f>B214</f>
        <v/>
      </c>
      <c r="AN214" t="n">
        <v>2</v>
      </c>
      <c r="AO214" s="61">
        <f>IF(Z214&lt;2.81,0,IF(AK214&gt;13.7,IF(Z214&lt;140,1,0),0))</f>
        <v/>
      </c>
      <c r="AP214" s="7">
        <f>IF(AK214&gt;13.93,IF(Z214&lt;300,IF(Z214&lt;35,IF(Z214&lt;6,3,2),1),0),0)</f>
        <v/>
      </c>
      <c r="AQ214" s="5" t="n">
        <v>0.95</v>
      </c>
      <c r="AR214" s="7">
        <f>IF(AO214=1,IF(AO214=AL214,1,0),5)</f>
        <v/>
      </c>
      <c r="AS214" s="5" t="n">
        <v>1</v>
      </c>
      <c r="AT214" s="5" t="n">
        <v>1</v>
      </c>
      <c r="AU214" s="5" t="n">
        <v>1</v>
      </c>
      <c r="AV214" s="5">
        <f>(AT214+AU214)/2</f>
        <v/>
      </c>
      <c r="AW214" s="5" t="n">
        <v>1</v>
      </c>
      <c r="AX214" s="4">
        <f>IF(AW214&gt;AV214,1,0)</f>
        <v/>
      </c>
      <c r="AY214" s="4">
        <f>(100*(AU214-AS214)/AS214)</f>
        <v/>
      </c>
      <c r="AZ214" s="4">
        <f>IF(AY214&lt;-50,-4,IF(AY214&lt;-20,-2,IF(AY214&lt;0,-1,IF(AY214=0,0,IF(AY214&lt;10,1.5,IF(AY214&lt;20,2,IF(AY214&gt;19,2.5,2.5)))))))</f>
        <v/>
      </c>
      <c r="BA214" s="7">
        <f>#REF!+(#REF!*AB214)/100</f>
        <v/>
      </c>
    </row>
    <row r="215" ht="12.75" customHeight="1">
      <c r="A215" t="inlineStr">
        <is>
          <t>https://www.chittorgarh.com/ipo/fly-hi-maritime-ipo/2845/</t>
        </is>
      </c>
      <c r="B215" t="inlineStr">
        <is>
          <t>Fly-Hi Maritime  Pric</t>
        </is>
      </c>
      <c r="C215" t="inlineStr">
        <is>
          <t>2026</t>
        </is>
      </c>
      <c r="D215" t="n">
        <v>0</v>
      </c>
      <c r="E215" t="n">
        <v>10.03</v>
      </c>
      <c r="F215" t="n">
        <v>9.529999999999999</v>
      </c>
      <c r="G215" s="5">
        <f>100*(F215-E215)/F215</f>
        <v/>
      </c>
      <c r="H215" t="n">
        <v>23</v>
      </c>
      <c r="I215" t="n">
        <v>3.44</v>
      </c>
      <c r="J215" t="n">
        <v>13.58</v>
      </c>
      <c r="K215" t="n">
        <v>8.41</v>
      </c>
      <c r="L215" t="n">
        <v>61.29</v>
      </c>
      <c r="M215" t="n">
        <v>5.27</v>
      </c>
      <c r="N215" t="n">
        <v>20.14</v>
      </c>
      <c r="O215" t="n">
        <v>45.75</v>
      </c>
      <c r="P215" s="5">
        <f>O215/I215</f>
        <v/>
      </c>
      <c r="Q215" t="n">
        <v>12.13</v>
      </c>
      <c r="R215" s="2" t="n">
        <v>17.17</v>
      </c>
      <c r="S215" s="6" t="n">
        <v>-0.5</v>
      </c>
      <c r="T215" t="n">
        <v>52.63</v>
      </c>
      <c r="U215" t="n">
        <v>0</v>
      </c>
      <c r="V215" t="n">
        <v>0</v>
      </c>
      <c r="W215" t="n">
        <v>1</v>
      </c>
      <c r="X215" t="n">
        <v>0</v>
      </c>
      <c r="Y215" t="n">
        <v>0.58</v>
      </c>
      <c r="Z215" t="n">
        <v>3.66</v>
      </c>
      <c r="AA215" s="5">
        <f>IF(X215&lt;50,IF(Y215&gt;(2.3*X215),0,1),1)-IF(Z215&gt;Y215,1.7,0)</f>
        <v/>
      </c>
      <c r="AB215" t="n">
        <v>0</v>
      </c>
      <c r="AC215" s="5">
        <f>IF(AB215&gt;4,1,0)+IF(AB215&gt;10,0.7,0)</f>
        <v/>
      </c>
      <c r="AD215" t="n">
        <v>89.01000000000001</v>
      </c>
      <c r="AE215" t="n">
        <v>0.75</v>
      </c>
      <c r="AF215" t="n">
        <v>56.49</v>
      </c>
      <c r="AG215" s="6">
        <f>IF(G215&lt;52,0,0.7)+IF(G215&lt;34,0,0.7)+IF(G215&lt;1,0,0.7)+IF(P215&gt;14.56,0,1)+IF(R215&lt;9,0.5,0)+IF(R215&lt;33.8,0.5,0)+IF(R215&lt;50,0.5,0)+IF(R215&lt;80,0.5,0)+IF(S215=5,0,S215)+IF(V215&gt;0,1,-1)+IF(AE215&lt;10.56,0,1)-IF(AE215&lt;3,1,0)-IF(AE215&lt;1,1,0)</f>
        <v/>
      </c>
      <c r="AH215" s="5">
        <f>AG215+IF(X215&lt;1.35,0,1)+IF(Y215&lt;1.35,0,1)+IF(Y215&lt;0.7,-1,0)+AC215+AA215</f>
        <v/>
      </c>
      <c r="AI215" s="5" t="n">
        <v>12.37</v>
      </c>
      <c r="AJ215" s="5">
        <f>IF(AI215&gt;12.7,IF(AI215&gt;15.8,0.93,0.98),1)</f>
        <v/>
      </c>
      <c r="AK215" s="5">
        <f>(1.5*AG215+AH215)*AJ215*AQ215</f>
        <v/>
      </c>
      <c r="AL215" s="4">
        <f>D215</f>
        <v/>
      </c>
      <c r="AM215" s="8">
        <f>B215</f>
        <v/>
      </c>
      <c r="AN215" t="n">
        <v>3</v>
      </c>
      <c r="AO215" s="61">
        <f>IF(Z215&lt;2.81,0,IF(AK215&gt;13.7,IF(Z215&lt;140,1,0),0))</f>
        <v/>
      </c>
      <c r="AP215" s="7">
        <f>IF(AK215&gt;13.93,IF(Z215&lt;300,IF(Z215&lt;35,IF(Z215&lt;6,3,2),1),0),0)</f>
        <v/>
      </c>
      <c r="AQ215" s="5" t="n">
        <v>1</v>
      </c>
      <c r="AR215" s="7">
        <f>IF(AO215=1,IF(AO215=AL215,1,0),5)</f>
        <v/>
      </c>
      <c r="AS215" s="5" t="n">
        <v>1</v>
      </c>
      <c r="AT215" s="5" t="n">
        <v>1</v>
      </c>
      <c r="AU215" s="5" t="n">
        <v>1</v>
      </c>
      <c r="AV215" s="5">
        <f>(AT215+AU215)/2</f>
        <v/>
      </c>
      <c r="AW215" s="5" t="n">
        <v>1</v>
      </c>
      <c r="AX215" s="4">
        <f>IF(AW215&gt;AV215,1,0)</f>
        <v/>
      </c>
      <c r="AY215" s="4">
        <f>(100*(AU215-AS215)/AS215)</f>
        <v/>
      </c>
      <c r="AZ215" s="4">
        <f>IF(AY215&lt;-50,-4,IF(AY215&lt;-20,-2,IF(AY215&lt;0,-1,IF(AY215=0,0,IF(AY215&lt;10,1.5,IF(AY215&lt;20,2,IF(AY215&gt;19,2.5,2.5)))))))</f>
        <v/>
      </c>
      <c r="BA215" s="7">
        <f>#REF!+(#REF!*AB215)/100</f>
        <v/>
      </c>
    </row>
    <row r="216" ht="12.75" customHeight="1">
      <c r="A216" t="inlineStr">
        <is>
          <t>https://www.chittorgarh.com/ipo/farm-peace-ipo/2632/</t>
        </is>
      </c>
      <c r="B216" t="inlineStr">
        <is>
          <t>Farm Peace  Price, GM</t>
        </is>
      </c>
      <c r="C216" t="inlineStr">
        <is>
          <t>2026</t>
        </is>
      </c>
      <c r="D216" t="n">
        <v>1</v>
      </c>
      <c r="E216" t="n">
        <v>2.46</v>
      </c>
      <c r="F216" t="n">
        <v>35.95</v>
      </c>
      <c r="G216" s="5">
        <f>100*(F216-E216)/F216</f>
        <v/>
      </c>
      <c r="H216" t="n">
        <v>69.31999999999999</v>
      </c>
      <c r="I216" t="n">
        <v>6.66</v>
      </c>
      <c r="J216" t="n">
        <v>8.41</v>
      </c>
      <c r="K216" t="n">
        <v>4.97</v>
      </c>
      <c r="L216" t="n">
        <v>18.96</v>
      </c>
      <c r="M216" t="n">
        <v>9.26</v>
      </c>
      <c r="N216" t="n">
        <v>13.74</v>
      </c>
      <c r="O216" t="n">
        <v>79.98</v>
      </c>
      <c r="P216" s="5">
        <f>O216/I216</f>
        <v/>
      </c>
      <c r="Q216" t="n">
        <v>11.87</v>
      </c>
      <c r="R216" s="2" t="n">
        <v>16.12</v>
      </c>
      <c r="S216" s="6" t="n">
        <v>-0.5</v>
      </c>
      <c r="T216" t="n">
        <v>32</v>
      </c>
      <c r="U216" t="n">
        <v>0</v>
      </c>
      <c r="V216" t="n">
        <v>0</v>
      </c>
      <c r="W216" t="n">
        <v>1</v>
      </c>
      <c r="X216" t="n">
        <v>0</v>
      </c>
      <c r="Y216" t="n">
        <v>1.73</v>
      </c>
      <c r="Z216" t="n">
        <v>0.59</v>
      </c>
      <c r="AA216" s="5">
        <f>IF(X216&lt;50,IF(Y216&gt;(2.3*X216),0,1),1)-IF(Z216&gt;Y216,1.7,0)</f>
        <v/>
      </c>
      <c r="AB216" t="n">
        <v>0</v>
      </c>
      <c r="AC216" s="5">
        <f>IF(AB216&gt;4,1,0)+IF(AB216&gt;10,0.7,0)</f>
        <v/>
      </c>
      <c r="AD216" t="n">
        <v>8.119999999999999</v>
      </c>
      <c r="AE216" t="n">
        <v>27.46</v>
      </c>
      <c r="AF216" t="n">
        <v>297.68</v>
      </c>
      <c r="AG216" s="6">
        <f>IF(G216&lt;52,0,0.7)+IF(G216&lt;34,0,0.7)+IF(G216&lt;1,0,0.7)+IF(P216&gt;14.56,0,1)+IF(R216&lt;9,0.5,0)+IF(R216&lt;33.8,0.5,0)+IF(R216&lt;50,0.5,0)+IF(R216&lt;80,0.5,0)+IF(S216=5,0,S216)+IF(V216&gt;0,1,-1)+IF(AE216&lt;10.56,0,1)-IF(AE216&lt;3,1,0)-IF(AE216&lt;1,1,0)</f>
        <v/>
      </c>
      <c r="AH216" s="5">
        <f>AG216+IF(X216&lt;1.35,0,1)+IF(Y216&lt;1.35,0,1)+IF(Y216&lt;0.7,-1,0)+AC216+AA216</f>
        <v/>
      </c>
      <c r="AI216" s="5" t="n">
        <v>12.3525</v>
      </c>
      <c r="AJ216" s="5">
        <f>IF(AI216&gt;12.7,IF(AI216&gt;15.8,0.93,0.98),1)</f>
        <v/>
      </c>
      <c r="AK216" s="5">
        <f>(1.5*AG216+AH216)*AJ216*AQ216</f>
        <v/>
      </c>
      <c r="AL216" s="4">
        <f>D216</f>
        <v/>
      </c>
      <c r="AM216" s="8">
        <f>B216</f>
        <v/>
      </c>
      <c r="AN216" t="n">
        <v>3</v>
      </c>
      <c r="AO216" s="61">
        <f>IF(Z216&lt;2.81,0,IF(AK216&gt;13.7,IF(Z216&lt;140,1,0),0))</f>
        <v/>
      </c>
      <c r="AP216" s="7">
        <f>IF(AK216&gt;13.93,IF(Z216&lt;300,IF(Z216&lt;35,IF(Z216&lt;6,3,2),1),0),0)</f>
        <v/>
      </c>
      <c r="AQ216" s="5" t="n">
        <v>1</v>
      </c>
      <c r="AR216" s="7">
        <f>IF(AO216=1,IF(AO216=AL216,1,0),5)</f>
        <v/>
      </c>
      <c r="AS216" s="5" t="n">
        <v>1</v>
      </c>
      <c r="AT216" s="5" t="n">
        <v>1</v>
      </c>
      <c r="AU216" s="5" t="n">
        <v>1</v>
      </c>
      <c r="AV216" s="5">
        <f>(AT216+AU216)/2</f>
        <v/>
      </c>
      <c r="AW216" s="5" t="n">
        <v>1</v>
      </c>
      <c r="AX216" s="4">
        <f>IF(AW216&gt;AV216,1,0)</f>
        <v/>
      </c>
      <c r="AY216" s="4">
        <f>(100*(AU216-AS216)/AS216)</f>
        <v/>
      </c>
      <c r="AZ216" s="4">
        <f>IF(AY216&lt;-50,-4,IF(AY216&lt;-20,-2,IF(AY216&lt;0,-1,IF(AY216=0,0,IF(AY216&lt;10,1.5,IF(AY216&lt;20,2,IF(AY216&gt;19,2.5,2.5)))))))</f>
        <v/>
      </c>
      <c r="BA216" s="7">
        <f>#REF!+(#REF!*AB216)/100</f>
        <v/>
      </c>
    </row>
    <row r="217" ht="12.75" customHeight="1">
      <c r="A217" t="inlineStr">
        <is>
          <t>https://www.chittorgarh.com/ipo/qualiance-international-ipo/2979/</t>
        </is>
      </c>
      <c r="B217" t="inlineStr">
        <is>
          <t>Qualiance Internation</t>
        </is>
      </c>
      <c r="C217" t="inlineStr">
        <is>
          <t>2026</t>
        </is>
      </c>
      <c r="D217" t="n">
        <v>1</v>
      </c>
      <c r="E217" t="n">
        <v>29.71</v>
      </c>
      <c r="F217" t="n">
        <v>13.82</v>
      </c>
      <c r="G217" s="5">
        <f>100*(F217-E217)/F217</f>
        <v/>
      </c>
      <c r="H217" t="n">
        <v>57.53</v>
      </c>
      <c r="I217" t="n">
        <v>4.9</v>
      </c>
      <c r="J217" t="n">
        <v>15.44</v>
      </c>
      <c r="K217" t="n">
        <v>11.99</v>
      </c>
      <c r="L217" t="n">
        <v>61.56</v>
      </c>
      <c r="M217" t="n">
        <v>7.97</v>
      </c>
      <c r="N217" t="n">
        <v>21.74</v>
      </c>
      <c r="O217" t="n">
        <v>55.06</v>
      </c>
      <c r="P217" s="5">
        <f>O217/I217</f>
        <v/>
      </c>
      <c r="Q217" t="n">
        <v>10.59</v>
      </c>
      <c r="R217" s="2" t="n">
        <v>14.4</v>
      </c>
      <c r="S217" s="6" t="n">
        <v>-1</v>
      </c>
      <c r="T217" t="n">
        <v>45.11</v>
      </c>
      <c r="U217" t="n">
        <v>0</v>
      </c>
      <c r="V217" t="n">
        <v>1</v>
      </c>
      <c r="W217" t="n">
        <v>1</v>
      </c>
      <c r="X217" t="n">
        <v>299.6</v>
      </c>
      <c r="Y217" t="n">
        <v>699.59</v>
      </c>
      <c r="Z217" t="n">
        <v>447.13</v>
      </c>
      <c r="AA217" s="5">
        <f>IF(X217&lt;50,IF(Y217&gt;(2.3*X217),0,1),1)-IF(Z217&gt;Y217,1.7,0)</f>
        <v/>
      </c>
      <c r="AB217" t="n">
        <v>0</v>
      </c>
      <c r="AC217" s="5">
        <f>IF(AB217&gt;4,1,0)+IF(AB217&gt;10,0.7,0)</f>
        <v/>
      </c>
      <c r="AD217" t="n">
        <v>72.54000000000001</v>
      </c>
      <c r="AE217" t="n">
        <v>44.36</v>
      </c>
      <c r="AF217" t="n">
        <v>54.93</v>
      </c>
      <c r="AG217" s="6">
        <f>IF(G217&lt;52,0,0.7)+IF(G217&lt;34,0,0.7)+IF(G217&lt;1,0,0.7)+IF(P217&gt;14.56,0,1)+IF(R217&lt;9,0.5,0)+IF(R217&lt;33.8,0.5,0)+IF(R217&lt;50,0.5,0)+IF(R217&lt;80,0.5,0)+IF(S217=5,0,S217)+IF(V217&gt;0,1,-1)+IF(AE217&lt;10.56,0,1)-IF(AE217&lt;3,1,0)-IF(AE217&lt;1,1,0)</f>
        <v/>
      </c>
      <c r="AH217" s="5">
        <f>AG217+IF(X217&lt;1.35,0,1)+IF(Y217&lt;1.35,0,1)+IF(Y217&lt;0.7,-1,0)+AC217+AA217</f>
        <v/>
      </c>
      <c r="AI217" s="5" t="n">
        <v>12.3475</v>
      </c>
      <c r="AJ217" s="5">
        <f>IF(AI217&gt;12.7,IF(AI217&gt;15.8,0.93,0.98),1)</f>
        <v/>
      </c>
      <c r="AK217" s="5">
        <f>(1.5*AG217+AH217)*AJ217*AQ217</f>
        <v/>
      </c>
      <c r="AL217" s="4">
        <f>D217</f>
        <v/>
      </c>
      <c r="AM217" s="8">
        <f>B217</f>
        <v/>
      </c>
      <c r="AN217" t="n">
        <v>8</v>
      </c>
      <c r="AO217" s="61">
        <f>IF(Z217&lt;2.81,0,IF(AK217&gt;13.7,IF(Z217&lt;140,1,0),0))</f>
        <v/>
      </c>
      <c r="AP217" s="7">
        <f>IF(AK217&gt;13.93,IF(Z217&lt;300,IF(Z217&lt;35,IF(Z217&lt;6,3,2),1),0),0)</f>
        <v/>
      </c>
      <c r="AQ217" s="5" t="n">
        <v>1</v>
      </c>
      <c r="AR217" s="7">
        <f>IF(AO217=1,IF(AO217=AL217,1,0),5)</f>
        <v/>
      </c>
      <c r="AS217" s="5" t="n">
        <v>1</v>
      </c>
      <c r="AT217" s="5" t="n">
        <v>1</v>
      </c>
      <c r="AU217" s="5" t="n">
        <v>1</v>
      </c>
      <c r="AV217" s="5">
        <f>(AT217+AU217)/2</f>
        <v/>
      </c>
      <c r="AW217" s="5" t="n">
        <v>1</v>
      </c>
      <c r="AX217" s="4">
        <f>IF(AW217&gt;AV217,1,0)</f>
        <v/>
      </c>
      <c r="AY217" s="4">
        <f>(100*(AU217-AS217)/AS217)</f>
        <v/>
      </c>
      <c r="AZ217" s="4">
        <f>IF(AY217&lt;-50,-4,IF(AY217&lt;-20,-2,IF(AY217&lt;0,-1,IF(AY217=0,0,IF(AY217&lt;10,1.5,IF(AY217&lt;20,2,IF(AY217&gt;19,2.5,2.5)))))))</f>
        <v/>
      </c>
      <c r="BA217" s="7">
        <f>#REF!+(#REF!*AB217)/100</f>
        <v/>
      </c>
    </row>
    <row r="218" ht="12.75" customHeight="1">
      <c r="A218" t="inlineStr">
        <is>
          <t>https://www.chittorgarh.com/ipo/apana-logistics-ipo/2762/</t>
        </is>
      </c>
      <c r="B218" t="inlineStr">
        <is>
          <t>Apana Logistics  Pric</t>
        </is>
      </c>
      <c r="C218" t="inlineStr">
        <is>
          <t>2026</t>
        </is>
      </c>
      <c r="D218" t="n">
        <v>1</v>
      </c>
      <c r="E218" t="n">
        <v>8</v>
      </c>
      <c r="F218" t="n">
        <v>14.41</v>
      </c>
      <c r="G218" s="5" t="n">
        <v>44.48</v>
      </c>
      <c r="H218" t="n">
        <v>28.95</v>
      </c>
      <c r="I218" t="n">
        <v>3.11</v>
      </c>
      <c r="J218" t="n">
        <v>19.01</v>
      </c>
      <c r="K218" t="n">
        <v>4.96</v>
      </c>
      <c r="L218" t="n">
        <v>33.82</v>
      </c>
      <c r="M218" t="n">
        <v>6.15</v>
      </c>
      <c r="N218" t="n">
        <v>36.69</v>
      </c>
      <c r="O218" t="n">
        <v>21.61</v>
      </c>
      <c r="P218" s="5" t="n">
        <v>6.95</v>
      </c>
      <c r="Q218" t="n">
        <v>12.1</v>
      </c>
      <c r="R218" s="2" t="n">
        <v>17.91</v>
      </c>
      <c r="S218" s="6" t="n">
        <v>-1</v>
      </c>
      <c r="T218" t="n">
        <v>34.14</v>
      </c>
      <c r="U218" t="n">
        <v>0</v>
      </c>
      <c r="V218" t="n">
        <v>0</v>
      </c>
      <c r="W218" t="n">
        <v>1</v>
      </c>
      <c r="X218" t="n">
        <v>0</v>
      </c>
      <c r="Y218" t="n">
        <v>0.28</v>
      </c>
      <c r="Z218" t="n">
        <v>2.23</v>
      </c>
      <c r="AA218" s="5" t="n">
        <v>0</v>
      </c>
      <c r="AB218" t="n">
        <v>0</v>
      </c>
      <c r="AC218" s="5" t="n">
        <v>0</v>
      </c>
      <c r="AD218" t="n">
        <v>3.67</v>
      </c>
      <c r="AE218" t="n">
        <v>6.3</v>
      </c>
      <c r="AF218" t="n">
        <v>21.4</v>
      </c>
      <c r="AG218" s="6" t="n">
        <v>3.4</v>
      </c>
      <c r="AH218" s="5" t="n">
        <v>3.4</v>
      </c>
      <c r="AI218" s="5" t="n">
        <v>12.3025</v>
      </c>
      <c r="AJ218" s="5">
        <f>IF(AI218&gt;12.7,IF(AI218&gt;15.8,0.93,0.98),1)</f>
        <v/>
      </c>
      <c r="AK218" s="5">
        <f>(1.5*AG218+AH218)*AJ218*AQ218</f>
        <v/>
      </c>
      <c r="AL218" s="4">
        <f>D218</f>
        <v/>
      </c>
      <c r="AM218" s="8">
        <f>B218</f>
        <v/>
      </c>
      <c r="AN218" t="n">
        <v>9</v>
      </c>
      <c r="AO218" s="61">
        <f>IF(Z218&lt;2.81,0,IF(AK218&gt;13.7,IF(Z218&lt;140,1,0),0))</f>
        <v/>
      </c>
      <c r="AP218" s="7">
        <f>IF(AK218&gt;13.93,IF(Z218&lt;300,IF(Z218&lt;35,IF(Z218&lt;6,3,2),1),0),0)</f>
        <v/>
      </c>
      <c r="AQ218" s="5" t="n">
        <v>1</v>
      </c>
      <c r="AR218" s="7">
        <f>IF(AO218=1,IF(AO218=AL218,1,0),5)</f>
        <v/>
      </c>
      <c r="AS218" s="5" t="n">
        <v>1</v>
      </c>
      <c r="AT218" s="5" t="n">
        <v>1</v>
      </c>
      <c r="AU218" s="5" t="n">
        <v>1</v>
      </c>
      <c r="AV218" s="5">
        <f>(AT218+AU218)/2</f>
        <v/>
      </c>
      <c r="AW218" s="5" t="n">
        <v>1</v>
      </c>
      <c r="AX218" s="4">
        <f>IF(AW218&gt;AV218,1,0)</f>
        <v/>
      </c>
      <c r="AY218" s="4">
        <f>(100*(AU218-AS218)/AS218)</f>
        <v/>
      </c>
      <c r="AZ218" s="4">
        <f>IF(AY218&lt;-50,-4,IF(AY218&lt;-20,-2,IF(AY218&lt;0,-1,IF(AY218=0,0,IF(AY218&lt;10,1.5,IF(AY218&lt;20,2,IF(AY218&gt;19,2.5,2.5)))))))</f>
        <v/>
      </c>
      <c r="BA218" s="7">
        <f>#REF!+(#REF!*AB218)/100</f>
        <v/>
      </c>
    </row>
    <row r="219" ht="12.75" customHeight="1">
      <c r="A219" t="inlineStr">
        <is>
          <t>https://www.chittorgarh.com/ipo/infrax-renewable-ipo/3163/</t>
        </is>
      </c>
      <c r="B219" t="inlineStr">
        <is>
          <t>Infrax Renewable  Pri</t>
        </is>
      </c>
      <c r="C219" t="inlineStr">
        <is>
          <t>2026</t>
        </is>
      </c>
      <c r="D219" t="n">
        <v>1</v>
      </c>
      <c r="E219" t="n">
        <v>3.02</v>
      </c>
      <c r="F219" t="n">
        <v>1.89</v>
      </c>
      <c r="G219" s="5" t="n">
        <v>-59.79</v>
      </c>
      <c r="H219" t="n">
        <v>8.24</v>
      </c>
      <c r="I219" t="n">
        <v>2.85</v>
      </c>
      <c r="J219" t="n">
        <v>10.94</v>
      </c>
      <c r="K219" t="n">
        <v>9.289999999999999</v>
      </c>
      <c r="L219" t="n">
        <v>115.54</v>
      </c>
      <c r="M219" t="n">
        <v>4.5</v>
      </c>
      <c r="N219" t="n">
        <v>15.62</v>
      </c>
      <c r="O219" t="n">
        <v>30.48</v>
      </c>
      <c r="P219" s="5" t="n">
        <v>10.69</v>
      </c>
      <c r="Q219" t="n">
        <v>11.19</v>
      </c>
      <c r="R219" s="2" t="n">
        <v>14.5</v>
      </c>
      <c r="S219" s="6" t="n">
        <v>-1</v>
      </c>
      <c r="T219" t="n">
        <v>40.88</v>
      </c>
      <c r="U219" t="n">
        <v>0</v>
      </c>
      <c r="V219" t="n">
        <v>0</v>
      </c>
      <c r="W219" t="n">
        <v>1</v>
      </c>
      <c r="X219" t="n">
        <v>0</v>
      </c>
      <c r="Y219" t="n">
        <v>0.79</v>
      </c>
      <c r="Z219" t="n">
        <v>1.39</v>
      </c>
      <c r="AA219" s="5" t="n">
        <v>0</v>
      </c>
      <c r="AB219" t="n">
        <v>0</v>
      </c>
      <c r="AC219" s="5" t="n">
        <v>0</v>
      </c>
      <c r="AD219" t="n">
        <v>196.88</v>
      </c>
      <c r="AE219" t="n">
        <v>215.53</v>
      </c>
      <c r="AF219" t="n">
        <v>35</v>
      </c>
      <c r="AG219" s="6" t="n">
        <v>3</v>
      </c>
      <c r="AH219" s="5" t="n">
        <v>3</v>
      </c>
      <c r="AI219" s="5" t="n">
        <v>12.3125</v>
      </c>
      <c r="AJ219" s="5">
        <f>IF(AI219&gt;12.7,IF(AI219&gt;15.8,0.93,0.98),1)</f>
        <v/>
      </c>
      <c r="AK219" s="5">
        <f>(1.5*AG219+AH219)*AJ219*AQ219</f>
        <v/>
      </c>
      <c r="AL219" s="4">
        <f>D219</f>
        <v/>
      </c>
      <c r="AM219" s="8">
        <f>B219</f>
        <v/>
      </c>
      <c r="AN219" t="n">
        <v>9</v>
      </c>
      <c r="AO219" s="61">
        <f>IF(Z219&lt;2.81,0,IF(AK219&gt;13.7,IF(Z219&lt;140,1,0),0))</f>
        <v/>
      </c>
      <c r="AP219" s="7">
        <f>IF(AK219&gt;13.93,IF(Z219&lt;300,IF(Z219&lt;35,IF(Z219&lt;6,3,2),1),0),0)</f>
        <v/>
      </c>
      <c r="AQ219" s="5" t="n">
        <v>1</v>
      </c>
      <c r="AR219" s="7">
        <f>IF(AO219=1,IF(AO219=AL219,1,0),5)</f>
        <v/>
      </c>
      <c r="AS219" s="5" t="n">
        <v>1</v>
      </c>
      <c r="AT219" s="5" t="n">
        <v>1</v>
      </c>
      <c r="AU219" s="5" t="n">
        <v>1</v>
      </c>
      <c r="AV219" s="5">
        <f>(AT219+AU219)/2</f>
        <v/>
      </c>
      <c r="AW219" s="5" t="n">
        <v>1</v>
      </c>
      <c r="AX219" s="4">
        <f>IF(AW219&gt;AV219,1,0)</f>
        <v/>
      </c>
      <c r="AY219" s="4">
        <f>(100*(AU219-AS219)/AS219)</f>
        <v/>
      </c>
      <c r="AZ219" s="4">
        <f>IF(AY219&lt;-50,-4,IF(AY219&lt;-20,-2,IF(AY219&lt;0,-1,IF(AY219=0,0,IF(AY219&lt;10,1.5,IF(AY219&lt;20,2,IF(AY219&gt;19,2.5,2.5)))))))</f>
        <v/>
      </c>
      <c r="BA219" s="7">
        <f>#REF!+(#REF!*AB219)/100</f>
        <v/>
      </c>
    </row>
    <row r="220" ht="12.75" customHeight="1">
      <c r="A220" t="inlineStr">
        <is>
          <t>https://www.chittorgarh.com/ipo/vinod-texworld-ipo/2718/</t>
        </is>
      </c>
      <c r="B220" t="inlineStr">
        <is>
          <t>Vinod Texworld  Price</t>
        </is>
      </c>
      <c r="C220" t="inlineStr">
        <is>
          <t>2026</t>
        </is>
      </c>
      <c r="D220" t="n">
        <v>1</v>
      </c>
      <c r="E220" t="n">
        <v>66.28</v>
      </c>
      <c r="F220" t="n">
        <v>32.4</v>
      </c>
      <c r="G220" s="5" t="n">
        <v>-104.57</v>
      </c>
      <c r="H220" t="n">
        <v>177.68</v>
      </c>
      <c r="I220" t="n">
        <v>9.23</v>
      </c>
      <c r="J220" t="n">
        <v>3.04</v>
      </c>
      <c r="K220" t="n">
        <v>8.970000000000001</v>
      </c>
      <c r="L220" t="n">
        <v>24.31</v>
      </c>
      <c r="M220" t="n">
        <v>20.96</v>
      </c>
      <c r="N220" t="n">
        <v>6.66</v>
      </c>
      <c r="O220" t="n">
        <v>335.74</v>
      </c>
      <c r="P220" s="5" t="n">
        <v>36.37</v>
      </c>
      <c r="Q220" t="n">
        <v>10.48</v>
      </c>
      <c r="R220" s="2" t="n">
        <v>14.6</v>
      </c>
      <c r="S220" s="6" t="n">
        <v>-1</v>
      </c>
      <c r="T220" t="n">
        <v>42.83</v>
      </c>
      <c r="U220" t="n">
        <v>0</v>
      </c>
      <c r="V220" t="n">
        <v>0</v>
      </c>
      <c r="W220" t="n">
        <v>1</v>
      </c>
      <c r="X220" t="n">
        <v>0</v>
      </c>
      <c r="Y220" t="n">
        <v>0.26</v>
      </c>
      <c r="Z220" t="n">
        <v>2.59</v>
      </c>
      <c r="AA220" s="5" t="n">
        <v>0</v>
      </c>
      <c r="AB220" t="n">
        <v>1.06</v>
      </c>
      <c r="AC220" s="5" t="n">
        <v>0</v>
      </c>
      <c r="AD220" t="n">
        <v>68.12</v>
      </c>
      <c r="AE220" t="n">
        <v>23.59</v>
      </c>
      <c r="AF220" t="n">
        <v>39.9</v>
      </c>
      <c r="AG220" s="6" t="n">
        <v>2</v>
      </c>
      <c r="AH220" s="5" t="n">
        <v>2</v>
      </c>
      <c r="AI220" s="5" t="n">
        <v>12.3325</v>
      </c>
      <c r="AJ220" s="5">
        <f>IF(AI220&gt;12.7,IF(AI220&gt;15.8,0.93,0.98),1)</f>
        <v/>
      </c>
      <c r="AK220" s="5">
        <f>(1.5*AG220+AH220)*AJ220*AQ220</f>
        <v/>
      </c>
      <c r="AL220" s="4">
        <f>D220</f>
        <v/>
      </c>
      <c r="AM220" s="8">
        <f>B220</f>
        <v/>
      </c>
      <c r="AN220" t="n">
        <v>9</v>
      </c>
      <c r="AO220" s="61">
        <f>IF(Z220&lt;2.81,0,IF(AK220&gt;13.7,IF(Z220&lt;140,1,0),0))</f>
        <v/>
      </c>
      <c r="AP220" s="7">
        <f>IF(AK220&gt;13.93,IF(Z220&lt;300,IF(Z220&lt;35,IF(Z220&lt;6,3,2),1),0),0)</f>
        <v/>
      </c>
      <c r="AQ220" s="5" t="n">
        <v>1</v>
      </c>
      <c r="AR220" s="7">
        <f>IF(AO220=1,IF(AO220=AL220,1,0),5)</f>
        <v/>
      </c>
      <c r="AS220" s="5" t="n">
        <v>1</v>
      </c>
      <c r="AT220" s="5" t="n">
        <v>1</v>
      </c>
      <c r="AU220" s="5" t="n">
        <v>1</v>
      </c>
      <c r="AV220" s="5">
        <f>(AT220+AU220)/2</f>
        <v/>
      </c>
      <c r="AW220" s="5" t="n">
        <v>1</v>
      </c>
      <c r="AX220" s="4">
        <f>IF(AW220&gt;AV220,1,0)</f>
        <v/>
      </c>
      <c r="AY220" s="4">
        <f>(100*(AU220-AS220)/AS220)</f>
        <v/>
      </c>
      <c r="AZ220" s="4">
        <f>IF(AY220&lt;-50,-4,IF(AY220&lt;-20,-2,IF(AY220&lt;0,-1,IF(AY220=0,0,IF(AY220&lt;10,1.5,IF(AY220&lt;20,2,IF(AY220&gt;19,2.5,2.5)))))))</f>
        <v/>
      </c>
      <c r="BA220" s="7">
        <f>#REF!+(#REF!*AB220)/100</f>
        <v/>
      </c>
    </row>
    <row r="221" ht="12.75" customHeight="1">
      <c r="A221" t="inlineStr">
        <is>
          <t>https://www.chittorgarh.com/ipo/amtech-esters-ipo/2207/</t>
        </is>
      </c>
      <c r="B221" t="inlineStr">
        <is>
          <t>Amtech Esters  Price,</t>
        </is>
      </c>
      <c r="C221" t="inlineStr">
        <is>
          <t>2026</t>
        </is>
      </c>
      <c r="D221" t="n">
        <v>1</v>
      </c>
      <c r="E221" t="n">
        <v>3.99</v>
      </c>
      <c r="F221" t="n">
        <v>15.36</v>
      </c>
      <c r="G221" s="5" t="n">
        <v>74.02</v>
      </c>
      <c r="H221" t="n">
        <v>27.86</v>
      </c>
      <c r="I221" t="n">
        <v>3.72</v>
      </c>
      <c r="J221" t="n">
        <v>10.28</v>
      </c>
      <c r="K221" t="n">
        <v>6.55</v>
      </c>
      <c r="L221" t="n">
        <v>24.17</v>
      </c>
      <c r="M221" t="n">
        <v>6.5</v>
      </c>
      <c r="N221" t="n">
        <v>18.41</v>
      </c>
      <c r="O221" t="n">
        <v>36.97</v>
      </c>
      <c r="P221" s="5" t="n">
        <v>9.94</v>
      </c>
      <c r="Q221" t="n">
        <v>0</v>
      </c>
      <c r="R221" s="2" t="n">
        <v>0</v>
      </c>
      <c r="S221" s="6" t="n">
        <v>-0.5</v>
      </c>
      <c r="T221" t="n">
        <v>17.88</v>
      </c>
      <c r="U221" t="n">
        <v>0</v>
      </c>
      <c r="V221" t="n">
        <v>1</v>
      </c>
      <c r="W221" t="n">
        <v>1</v>
      </c>
      <c r="X221" t="n">
        <v>9.77</v>
      </c>
      <c r="Y221" t="n">
        <v>17.65</v>
      </c>
      <c r="Z221" t="n">
        <v>16.93</v>
      </c>
      <c r="AA221" s="5" t="n">
        <v>1</v>
      </c>
      <c r="AB221" t="n">
        <v>9.33</v>
      </c>
      <c r="AC221" s="5" t="n">
        <v>1</v>
      </c>
      <c r="AD221" t="n">
        <v>30.99</v>
      </c>
      <c r="AE221" t="n">
        <v>35.72</v>
      </c>
      <c r="AF221" t="n">
        <v>31.96</v>
      </c>
      <c r="AG221" s="6" t="n">
        <v>6.1</v>
      </c>
      <c r="AH221" s="5" t="n">
        <v>10.1</v>
      </c>
      <c r="AI221" s="5" t="n">
        <v>12.3075</v>
      </c>
      <c r="AJ221" s="5">
        <f>IF(AI221&gt;12.7,IF(AI221&gt;15.8,0.93,0.98),1)</f>
        <v/>
      </c>
      <c r="AK221" s="5">
        <f>(1.5*AG221+AH221)*AJ221*AQ221</f>
        <v/>
      </c>
      <c r="AL221" s="4">
        <f>D221</f>
        <v/>
      </c>
      <c r="AM221" s="8">
        <f>B221</f>
        <v/>
      </c>
      <c r="AN221" t="n">
        <v>9</v>
      </c>
      <c r="AO221" s="61">
        <f>IF(Z221&lt;2.81,0,IF(AK221&gt;13.7,IF(Z221&lt;140,1,0),0))</f>
        <v/>
      </c>
      <c r="AP221" s="7">
        <f>IF(AK221&gt;13.93,IF(Z221&lt;300,IF(Z221&lt;35,IF(Z221&lt;6,3,2),1),0),0)</f>
        <v/>
      </c>
      <c r="AQ221" s="5" t="n">
        <v>0.95</v>
      </c>
      <c r="AR221" s="7">
        <f>IF(AO221=1,IF(AO221=AL221,1,0),5)</f>
        <v/>
      </c>
      <c r="AS221" s="5" t="n">
        <v>1</v>
      </c>
      <c r="AT221" s="5" t="n">
        <v>1</v>
      </c>
      <c r="AU221" s="5" t="n">
        <v>1</v>
      </c>
      <c r="AV221" s="5">
        <f>(AT221+AU221)/2</f>
        <v/>
      </c>
      <c r="AW221" s="5" t="n">
        <v>1</v>
      </c>
      <c r="AX221" s="4">
        <f>IF(AW221&gt;AV221,1,0)</f>
        <v/>
      </c>
      <c r="AY221" s="4">
        <f>(100*(AU221-AS221)/AS221)</f>
        <v/>
      </c>
      <c r="AZ221" s="4">
        <f>IF(AY221&lt;-50,-4,IF(AY221&lt;-20,-2,IF(AY221&lt;0,-1,IF(AY221=0,0,IF(AY221&lt;10,1.5,IF(AY221&lt;20,2,IF(AY221&gt;19,2.5,2.5)))))))</f>
        <v/>
      </c>
      <c r="BA221" s="7">
        <f>#REF!+(#REF!*AB221)/100</f>
        <v/>
      </c>
    </row>
    <row r="222" ht="12.75" customHeight="1">
      <c r="A222" t="inlineStr">
        <is>
          <t>https://www.chittorgarh.com/ipo/maharaja-speedex-ipo/3089/</t>
        </is>
      </c>
      <c r="B222" t="inlineStr">
        <is>
          <t>Maharaja &amp;amp; Speede</t>
        </is>
      </c>
      <c r="C222" t="inlineStr">
        <is>
          <t>2026</t>
        </is>
      </c>
      <c r="D222" t="n">
        <v>1</v>
      </c>
      <c r="E222" t="n">
        <v>18.04</v>
      </c>
      <c r="F222" t="n">
        <v>11.39</v>
      </c>
      <c r="G222" s="5" t="n">
        <v>-58.38</v>
      </c>
      <c r="H222" t="n">
        <v>47.67</v>
      </c>
      <c r="I222" t="n">
        <v>5.57</v>
      </c>
      <c r="J222" t="n">
        <v>12.51</v>
      </c>
      <c r="K222" t="n">
        <v>11.89</v>
      </c>
      <c r="L222" t="n">
        <v>0</v>
      </c>
      <c r="M222" t="n">
        <v>10.61</v>
      </c>
      <c r="N222" t="n">
        <v>18.36</v>
      </c>
      <c r="O222" t="n">
        <v>93.59999999999999</v>
      </c>
      <c r="P222" s="5" t="n">
        <v>16.8</v>
      </c>
      <c r="Q222" t="n">
        <v>15.64</v>
      </c>
      <c r="R222" s="2" t="n">
        <v>19.81</v>
      </c>
      <c r="S222" t="n">
        <v>-0.5</v>
      </c>
      <c r="T222" t="n">
        <v>80.13</v>
      </c>
      <c r="U222" t="n">
        <v>0</v>
      </c>
      <c r="V222" t="n">
        <v>1</v>
      </c>
      <c r="W222" t="n">
        <v>1</v>
      </c>
      <c r="X222" t="n">
        <v>17.57</v>
      </c>
      <c r="Y222" t="n">
        <v>19.2</v>
      </c>
      <c r="Z222" t="n">
        <v>12.1</v>
      </c>
      <c r="AA222" s="5" t="n">
        <v>1</v>
      </c>
      <c r="AB222" t="n">
        <v>10.75</v>
      </c>
      <c r="AC222" s="5" t="n">
        <v>1</v>
      </c>
      <c r="AD222" t="n">
        <v>415.74</v>
      </c>
      <c r="AE222" t="n">
        <v>52.42</v>
      </c>
      <c r="AF222" t="n">
        <v>129.18</v>
      </c>
      <c r="AG222" s="6" t="n">
        <v>3</v>
      </c>
      <c r="AH222" s="5" t="n">
        <v>7</v>
      </c>
      <c r="AI222" s="5" t="n">
        <v>13.3975</v>
      </c>
      <c r="AJ222" s="5">
        <f>IF(AI222&gt;12.7,IF(AI222&gt;15.8,0.93,0.98),1)</f>
        <v/>
      </c>
      <c r="AK222" s="5">
        <f>(1.5*AG222+AH222)*AJ222*AQ222</f>
        <v/>
      </c>
      <c r="AL222" s="4">
        <f>D222</f>
        <v/>
      </c>
      <c r="AM222" s="8">
        <f>B222</f>
        <v/>
      </c>
      <c r="AN222" t="n">
        <v>15</v>
      </c>
      <c r="AO222" s="61">
        <f>IF(Z222&lt;2.81,0,IF(AK222&gt;13.7,IF(Z222&lt;140,1,0),0))</f>
        <v/>
      </c>
      <c r="AP222" s="7">
        <f>IF(AK222&gt;13.93,IF(Z222&lt;300,IF(Z222&lt;35,IF(Z222&lt;6,3,2),1),0),0)</f>
        <v/>
      </c>
      <c r="AQ222" s="5" t="n">
        <v>1</v>
      </c>
      <c r="AR222" s="7">
        <f>IF(AO222=1,IF(AO222=AL222,1,0),5)</f>
        <v/>
      </c>
      <c r="AS222" s="5" t="n">
        <v>1</v>
      </c>
      <c r="AT222" s="5" t="n">
        <v>1</v>
      </c>
      <c r="AU222" s="5" t="n">
        <v>1</v>
      </c>
      <c r="AV222" s="5">
        <f>(AT222+AU222)/2</f>
        <v/>
      </c>
      <c r="AW222" s="5" t="n">
        <v>1</v>
      </c>
      <c r="AX222" s="4">
        <f>IF(AW222&gt;AV222,1,0)</f>
        <v/>
      </c>
      <c r="AY222" s="4">
        <f>(100*(AU222-AS222)/AS222)</f>
        <v/>
      </c>
      <c r="AZ222" s="4">
        <f>IF(AY222&lt;-50,-4,IF(AY222&lt;-20,-2,IF(AY222&lt;0,-1,IF(AY222=0,0,IF(AY222&lt;10,1.5,IF(AY222&lt;20,2,IF(AY222&gt;19,2.5,2.5)))))))</f>
        <v/>
      </c>
      <c r="BA222" s="7">
        <f>#REF!+(#REF!*AB222)/100</f>
        <v/>
      </c>
    </row>
    <row r="223" ht="12.75" customHeight="1">
      <c r="A223" t="inlineStr">
        <is>
          <t>https://www.chittorgarh.com/ipo/om-galaxy-ipo/2987/</t>
        </is>
      </c>
      <c r="B223" t="inlineStr">
        <is>
          <t>Om Galaxy  Price, GMP</t>
        </is>
      </c>
      <c r="C223" t="inlineStr">
        <is>
          <t>2026</t>
        </is>
      </c>
      <c r="D223" t="n">
        <v>1</v>
      </c>
      <c r="E223" t="n">
        <v>25.13</v>
      </c>
      <c r="F223" t="n">
        <v>66.01000000000001</v>
      </c>
      <c r="G223" s="5" t="n">
        <v>61.93</v>
      </c>
      <c r="H223" t="n">
        <v>142.81</v>
      </c>
      <c r="I223" t="n">
        <v>15.92</v>
      </c>
      <c r="J223" t="n">
        <v>13.42</v>
      </c>
      <c r="K223" t="n">
        <v>7.49</v>
      </c>
      <c r="L223" t="n">
        <v>22.13</v>
      </c>
      <c r="M223" t="n">
        <v>29.36</v>
      </c>
      <c r="N223" t="n">
        <v>26.33</v>
      </c>
      <c r="O223" t="n">
        <v>113.13</v>
      </c>
      <c r="P223" s="5" t="n">
        <v>7.11</v>
      </c>
      <c r="Q223" t="n">
        <v>12.02</v>
      </c>
      <c r="R223" s="2" t="n">
        <v>18.33</v>
      </c>
      <c r="S223" t="n">
        <v>-0.5</v>
      </c>
      <c r="T223" t="n">
        <v>105</v>
      </c>
      <c r="U223" t="n">
        <v>0</v>
      </c>
      <c r="V223" t="n">
        <v>1</v>
      </c>
      <c r="W223" t="n">
        <v>1</v>
      </c>
      <c r="X223" t="n">
        <v>3.51</v>
      </c>
      <c r="Y223" t="n">
        <v>0.71</v>
      </c>
      <c r="Z223" t="n">
        <v>0.43</v>
      </c>
      <c r="AA223" s="5" t="n">
        <v>1</v>
      </c>
      <c r="AB223" t="n">
        <v>0</v>
      </c>
      <c r="AC223" s="5" t="n">
        <v>0</v>
      </c>
      <c r="AD223" t="n">
        <v>32.23</v>
      </c>
      <c r="AE223" t="n">
        <v>7.62</v>
      </c>
      <c r="AF223" t="n">
        <v>32.31</v>
      </c>
      <c r="AG223" s="6" t="n">
        <v>5.1</v>
      </c>
      <c r="AH223" s="5" t="n">
        <v>7.1</v>
      </c>
      <c r="AI223" s="5" t="n">
        <v>13.395</v>
      </c>
      <c r="AJ223" s="5">
        <f>IF(AI223&gt;12.7,IF(AI223&gt;15.8,0.93,0.98),1)</f>
        <v/>
      </c>
      <c r="AK223" s="5">
        <f>(1.5*AG223+AH223)*AJ223*AQ223</f>
        <v/>
      </c>
      <c r="AL223" s="4">
        <f>D223</f>
        <v/>
      </c>
      <c r="AM223" s="8">
        <f>B223</f>
        <v/>
      </c>
      <c r="AN223" t="n">
        <v>15</v>
      </c>
      <c r="AO223" s="61">
        <f>IF(Z223&lt;2.81,0,IF(AK223&gt;13.7,IF(Z223&lt;140,1,0),0))</f>
        <v/>
      </c>
      <c r="AP223" s="7">
        <f>IF(AK223&gt;13.93,IF(Z223&lt;300,IF(Z223&lt;35,IF(Z223&lt;6,3,2),1),0),0)</f>
        <v/>
      </c>
      <c r="AQ223" s="5" t="n">
        <v>1</v>
      </c>
      <c r="AR223" s="7">
        <f>IF(AO223=1,IF(AO223=AL223,1,0),5)</f>
        <v/>
      </c>
      <c r="AS223" s="5" t="n">
        <v>1</v>
      </c>
      <c r="AT223" s="5" t="n">
        <v>1</v>
      </c>
      <c r="AU223" s="5" t="n">
        <v>1</v>
      </c>
      <c r="AV223" s="5">
        <f>(AT223+AU223)/2</f>
        <v/>
      </c>
      <c r="AW223" s="5" t="n">
        <v>1</v>
      </c>
      <c r="AX223" s="4">
        <f>IF(AW223&gt;AV223,1,0)</f>
        <v/>
      </c>
      <c r="AY223" s="4">
        <f>(100*(AU223-AS223)/AS223)</f>
        <v/>
      </c>
      <c r="AZ223" s="4">
        <f>IF(AY223&lt;-50,-4,IF(AY223&lt;-20,-2,IF(AY223&lt;0,-1,IF(AY223=0,0,IF(AY223&lt;10,1.5,IF(AY223&lt;20,2,IF(AY223&gt;19,2.5,2.5)))))))</f>
        <v/>
      </c>
      <c r="BA223" s="7">
        <f>#REF!+(#REF!*AB223)/100</f>
        <v/>
      </c>
    </row>
    <row r="224" ht="12.75" customHeight="1">
      <c r="A224" t="inlineStr">
        <is>
          <t>https://www.chittorgarh.com/ipo/raksan-transformers-ipo/2767/</t>
        </is>
      </c>
      <c r="B224" t="inlineStr">
        <is>
          <t xml:space="preserve">Raksan Transformers  </t>
        </is>
      </c>
      <c r="C224" t="inlineStr">
        <is>
          <t>2026</t>
        </is>
      </c>
      <c r="D224" t="n">
        <v>1</v>
      </c>
      <c r="E224" t="n">
        <v>23.51</v>
      </c>
      <c r="F224" t="n">
        <v>44.07</v>
      </c>
      <c r="G224" s="5" t="n">
        <v>46.65</v>
      </c>
      <c r="H224" t="n">
        <v>117.9</v>
      </c>
      <c r="I224" t="n">
        <v>20.38</v>
      </c>
      <c r="J224" t="n">
        <v>9.25</v>
      </c>
      <c r="K224" t="n">
        <v>20.39</v>
      </c>
      <c r="L224" t="n">
        <v>55.32</v>
      </c>
      <c r="M224" t="n">
        <v>29.51</v>
      </c>
      <c r="N224" t="n">
        <v>12.87</v>
      </c>
      <c r="O224" t="n">
        <v>324.78</v>
      </c>
      <c r="P224" s="5" t="n">
        <v>15.94</v>
      </c>
      <c r="Q224" t="n">
        <v>13.39</v>
      </c>
      <c r="R224" s="2" t="n">
        <v>16.98</v>
      </c>
      <c r="S224" t="n">
        <v>-1</v>
      </c>
      <c r="T224" t="n">
        <v>150.5</v>
      </c>
      <c r="U224" t="n">
        <v>0</v>
      </c>
      <c r="V224" t="n">
        <v>1</v>
      </c>
      <c r="W224" t="n">
        <v>1</v>
      </c>
      <c r="X224" t="n">
        <v>28.54</v>
      </c>
      <c r="Y224" t="n">
        <v>29.78</v>
      </c>
      <c r="Z224" t="n">
        <v>15.03</v>
      </c>
      <c r="AA224" s="5" t="n">
        <v>1</v>
      </c>
      <c r="AB224" t="n">
        <v>18.32</v>
      </c>
      <c r="AC224" s="5" t="n">
        <v>1</v>
      </c>
      <c r="AD224" t="n">
        <v>168.51</v>
      </c>
      <c r="AE224" t="n">
        <v>99.84</v>
      </c>
      <c r="AF224" t="n">
        <v>85.95</v>
      </c>
      <c r="AG224" s="6" t="n">
        <v>4.4</v>
      </c>
      <c r="AH224" s="5" t="n">
        <v>8.4</v>
      </c>
      <c r="AI224" s="5" t="n">
        <v>13.39</v>
      </c>
      <c r="AJ224" s="5">
        <f>IF(AI224&gt;12.7,IF(AI224&gt;15.8,0.93,0.98),1)</f>
        <v/>
      </c>
      <c r="AK224" s="5">
        <f>(1.5*AG224+AH224)*AJ224*AQ224</f>
        <v/>
      </c>
      <c r="AL224" s="4">
        <f>D224</f>
        <v/>
      </c>
      <c r="AM224" s="8">
        <f>B224</f>
        <v/>
      </c>
      <c r="AN224" t="n">
        <v>15</v>
      </c>
      <c r="AO224" s="61">
        <f>IF(Z224&lt;2.81,0,IF(AK224&gt;13.7,IF(Z224&lt;140,1,0),0))</f>
        <v/>
      </c>
      <c r="AP224" s="7">
        <f>IF(AK224&gt;13.93,IF(Z224&lt;300,IF(Z224&lt;35,IF(Z224&lt;6,3,2),1),0),0)</f>
        <v/>
      </c>
      <c r="AQ224" s="5" t="n">
        <v>1</v>
      </c>
      <c r="AR224" s="7">
        <f>IF(AO224=1,IF(AO224=AL224,1,0),5)</f>
        <v/>
      </c>
      <c r="AS224" s="5" t="n">
        <v>1</v>
      </c>
      <c r="AT224" s="5" t="n">
        <v>1</v>
      </c>
      <c r="AU224" s="5" t="n">
        <v>1</v>
      </c>
      <c r="AV224" s="5">
        <f>(AT224+AU224)/2</f>
        <v/>
      </c>
      <c r="AW224" s="5" t="n">
        <v>1</v>
      </c>
      <c r="AX224" s="4">
        <f>IF(AW224&gt;AV224,1,0)</f>
        <v/>
      </c>
      <c r="AY224" s="4">
        <f>(100*(AU224-AS224)/AS224)</f>
        <v/>
      </c>
      <c r="AZ224" s="4">
        <f>IF(AY224&lt;-50,-4,IF(AY224&lt;-20,-2,IF(AY224&lt;0,-1,IF(AY224=0,0,IF(AY224&lt;10,1.5,IF(AY224&lt;20,2,IF(AY224&gt;19,2.5,2.5)))))))</f>
        <v/>
      </c>
      <c r="BA224" s="7">
        <f>#REF!+(#REF!*AB224)/100</f>
        <v/>
      </c>
    </row>
    <row r="225" ht="12.75" customHeight="1">
      <c r="A225" t="inlineStr">
        <is>
          <t>https://www.chittorgarh.com/ipo/panchatv-bharat-ipo/2373/</t>
        </is>
      </c>
      <c r="B225" t="inlineStr">
        <is>
          <t>Panchatv Bharat  Pric</t>
        </is>
      </c>
      <c r="C225" t="inlineStr">
        <is>
          <t>2026</t>
        </is>
      </c>
      <c r="D225" t="n">
        <v>0</v>
      </c>
      <c r="E225" t="n">
        <v>7.74</v>
      </c>
      <c r="F225" t="n">
        <v>9.050000000000001</v>
      </c>
      <c r="G225" s="5" t="n">
        <v>14.48</v>
      </c>
      <c r="H225" t="n">
        <v>27.16</v>
      </c>
      <c r="I225" t="n">
        <v>2.83</v>
      </c>
      <c r="J225" t="n">
        <v>7.09</v>
      </c>
      <c r="K225" t="n">
        <v>9.84</v>
      </c>
      <c r="L225" t="n">
        <v>89.98999999999999</v>
      </c>
      <c r="M225" t="n">
        <v>4.55</v>
      </c>
      <c r="N225" t="n">
        <v>11.32</v>
      </c>
      <c r="O225" t="n">
        <v>48.99</v>
      </c>
      <c r="P225" s="5" t="n">
        <v>17.31</v>
      </c>
      <c r="Q225" t="n">
        <v>14.23</v>
      </c>
      <c r="R225" s="2" t="n">
        <v>20.32</v>
      </c>
      <c r="S225" t="n">
        <v>-0.5</v>
      </c>
      <c r="T225" t="n">
        <v>24.58</v>
      </c>
      <c r="U225" t="n">
        <v>0</v>
      </c>
      <c r="V225" t="n">
        <v>0</v>
      </c>
      <c r="W225" t="n">
        <v>1</v>
      </c>
      <c r="X225" t="n">
        <v>0</v>
      </c>
      <c r="Y225" t="n">
        <v>0.23</v>
      </c>
      <c r="Z225" t="n">
        <v>1.58</v>
      </c>
      <c r="AA225" s="5" t="n">
        <v>0</v>
      </c>
      <c r="AB225" t="n">
        <v>15</v>
      </c>
      <c r="AC225" s="5" t="n">
        <v>1</v>
      </c>
      <c r="AD225" t="n">
        <v>40.1</v>
      </c>
      <c r="AE225" t="n">
        <v>24.62</v>
      </c>
      <c r="AF225" t="n">
        <v>166.96</v>
      </c>
      <c r="AG225" s="6" t="n">
        <v>2.7</v>
      </c>
      <c r="AH225" s="5" t="n">
        <v>3.7</v>
      </c>
      <c r="AI225" s="5" t="n">
        <v>13.4075</v>
      </c>
      <c r="AJ225" s="5">
        <f>IF(AI225&gt;12.7,IF(AI225&gt;15.8,0.93,0.98),1)</f>
        <v/>
      </c>
      <c r="AK225" s="5">
        <f>(1.5*AG225+AH225)*AJ225*AQ225</f>
        <v/>
      </c>
      <c r="AL225" s="4">
        <f>D225</f>
        <v/>
      </c>
      <c r="AM225" s="8">
        <f>B225</f>
        <v/>
      </c>
      <c r="AN225" t="n">
        <v>15</v>
      </c>
      <c r="AO225" s="61">
        <f>IF(Z225&lt;2.81,0,IF(AK225&gt;13.7,IF(Z225&lt;140,1,0),0))</f>
        <v/>
      </c>
      <c r="AP225" s="7">
        <f>IF(AK225&gt;13.93,IF(Z225&lt;300,IF(Z225&lt;35,IF(Z225&lt;6,3,2),1),0),0)</f>
        <v/>
      </c>
      <c r="AQ225" s="5" t="n">
        <v>1</v>
      </c>
      <c r="AR225" s="7">
        <f>IF(AO225=1,IF(AO225=AL225,1,0),5)</f>
        <v/>
      </c>
      <c r="AS225" s="5" t="n">
        <v>1</v>
      </c>
      <c r="AT225" s="5" t="n">
        <v>1</v>
      </c>
      <c r="AU225" s="5" t="n">
        <v>1</v>
      </c>
      <c r="AV225" s="5">
        <f>(AT225+AU225)/2</f>
        <v/>
      </c>
      <c r="AW225" s="5" t="n">
        <v>1</v>
      </c>
      <c r="AX225" s="4">
        <f>IF(AW225&gt;AV225,1,0)</f>
        <v/>
      </c>
      <c r="AY225" s="4">
        <f>(100*(AU225-AS225)/AS225)</f>
        <v/>
      </c>
      <c r="AZ225" s="4">
        <f>IF(AY225&lt;-50,-4,IF(AY225&lt;-20,-2,IF(AY225&lt;0,-1,IF(AY225=0,0,IF(AY225&lt;10,1.5,IF(AY225&lt;20,2,IF(AY225&gt;19,2.5,2.5)))))))</f>
        <v/>
      </c>
      <c r="BA225" s="7">
        <f>#REF!+(#REF!*AB225)/100</f>
        <v/>
      </c>
    </row>
    <row r="226" ht="12.75" customHeight="1">
      <c r="A226" t="inlineStr">
        <is>
          <t>https://www.chittorgarh.com/ipo/injecto-polymers-ipo/2625/</t>
        </is>
      </c>
      <c r="B226" t="inlineStr">
        <is>
          <t>Injecto Polymers  Pri</t>
        </is>
      </c>
      <c r="C226" t="inlineStr">
        <is>
          <t>2026</t>
        </is>
      </c>
      <c r="D226" t="n">
        <v>0</v>
      </c>
      <c r="E226" t="n">
        <v>101.11</v>
      </c>
      <c r="F226" t="n">
        <v>47.33</v>
      </c>
      <c r="G226" s="5" t="n">
        <v>-113.63</v>
      </c>
      <c r="H226" t="n">
        <v>170.57</v>
      </c>
      <c r="I226" t="n">
        <v>8.109999999999999</v>
      </c>
      <c r="J226" t="n">
        <v>4.26</v>
      </c>
      <c r="K226" t="n">
        <v>10.55</v>
      </c>
      <c r="L226" t="n">
        <v>28.94</v>
      </c>
      <c r="M226" t="n">
        <v>22.57</v>
      </c>
      <c r="N226" t="n">
        <v>10.13</v>
      </c>
      <c r="O226" t="n">
        <v>261.85</v>
      </c>
      <c r="P226" s="5" t="n">
        <v>32.29</v>
      </c>
      <c r="Q226" t="n">
        <v>9.48</v>
      </c>
      <c r="R226" s="2" t="n">
        <v>12.99</v>
      </c>
      <c r="S226" t="n">
        <v>-1</v>
      </c>
      <c r="T226" t="n">
        <v>56.12</v>
      </c>
      <c r="U226" t="n">
        <v>0</v>
      </c>
      <c r="V226" t="n">
        <v>1</v>
      </c>
      <c r="W226" t="n">
        <v>1</v>
      </c>
      <c r="X226" t="n">
        <v>1.02</v>
      </c>
      <c r="Y226" t="n">
        <v>0.18</v>
      </c>
      <c r="Z226" t="n">
        <v>0.64</v>
      </c>
      <c r="AA226" s="5" t="n">
        <v>1</v>
      </c>
      <c r="AB226" t="n">
        <v>0</v>
      </c>
      <c r="AC226" s="5" t="n">
        <v>0</v>
      </c>
      <c r="AD226" t="n">
        <v>82.66</v>
      </c>
      <c r="AE226" t="n">
        <v>138.48</v>
      </c>
      <c r="AF226" t="n">
        <v>123.04</v>
      </c>
      <c r="AG226" s="6" t="n">
        <v>3</v>
      </c>
      <c r="AH226" s="5" t="n">
        <v>4</v>
      </c>
      <c r="AI226" t="n">
        <v>13.4</v>
      </c>
      <c r="AJ226" s="5">
        <f>IF(AI226&gt;12.7,IF(AI226&gt;15.8,0.93,0.98),1)</f>
        <v/>
      </c>
      <c r="AK226" s="5">
        <f>(1.5*AG226+AH226)*AJ226*AQ226</f>
        <v/>
      </c>
      <c r="AL226" s="4">
        <f>D226</f>
        <v/>
      </c>
      <c r="AM226" s="8">
        <f>B226</f>
        <v/>
      </c>
      <c r="AN226" t="n">
        <v>16</v>
      </c>
      <c r="AO226" s="61">
        <f>IF(Z226&lt;2.81,0,IF(AK226&gt;13.7,IF(Z226&lt;140,1,0),0))</f>
        <v/>
      </c>
      <c r="AP226" s="7">
        <f>IF(AK226&gt;13.93,IF(Z226&lt;300,IF(Z226&lt;35,IF(Z226&lt;6,3,2),1),0),0)</f>
        <v/>
      </c>
      <c r="AQ226" s="5" t="n">
        <v>1</v>
      </c>
      <c r="AR226" s="7">
        <f>IF(AO226=1,IF(AO226=AL226,1,0),5)</f>
        <v/>
      </c>
      <c r="AS226" s="5" t="n">
        <v>1</v>
      </c>
      <c r="AT226" s="5" t="n">
        <v>1</v>
      </c>
      <c r="AU226" s="5" t="n">
        <v>1</v>
      </c>
      <c r="AV226" s="5">
        <f>(AT226+AU226)/2</f>
        <v/>
      </c>
      <c r="AW226" s="5" t="n">
        <v>1</v>
      </c>
      <c r="AX226" s="4">
        <f>IF(AW226&gt;AV226,1,0)</f>
        <v/>
      </c>
      <c r="AY226" s="4">
        <f>(100*(AU226-AS226)/AS226)</f>
        <v/>
      </c>
      <c r="AZ226" s="4">
        <f>IF(AY226&lt;-50,-4,IF(AY226&lt;-20,-2,IF(AY226&lt;0,-1,IF(AY226=0,0,IF(AY226&lt;10,1.5,IF(AY226&lt;20,2,IF(AY226&gt;19,2.5,2.5)))))))</f>
        <v/>
      </c>
      <c r="BA226" s="7">
        <f>#REF!+(#REF!*AB226)/100</f>
        <v/>
      </c>
    </row>
    <row r="227" ht="12.75" customHeight="1">
      <c r="A227" t="inlineStr">
        <is>
          <t>https://www.chittorgarh.com/ipo/century-business-media-ipo/2604/</t>
        </is>
      </c>
      <c r="B227" t="inlineStr">
        <is>
          <t>Century Business Medi</t>
        </is>
      </c>
      <c r="C227" t="inlineStr">
        <is>
          <t>2026</t>
        </is>
      </c>
      <c r="D227" t="n">
        <v>1</v>
      </c>
      <c r="E227" t="n">
        <v>5.5</v>
      </c>
      <c r="F227" t="n">
        <v>12.47</v>
      </c>
      <c r="G227" s="5" t="n">
        <v>55.89</v>
      </c>
      <c r="H227" t="n">
        <v>22.37</v>
      </c>
      <c r="I227" t="n">
        <v>4.7</v>
      </c>
      <c r="J227" t="n">
        <v>11.96</v>
      </c>
      <c r="K227" t="n">
        <v>8.609999999999999</v>
      </c>
      <c r="L227" t="n">
        <v>36.44</v>
      </c>
      <c r="M227" t="n">
        <v>7.18</v>
      </c>
      <c r="N227" t="n">
        <v>18.47</v>
      </c>
      <c r="O227" t="n">
        <v>36.91</v>
      </c>
      <c r="P227" s="5" t="n">
        <v>7.85</v>
      </c>
      <c r="Q227" t="n">
        <v>8.59</v>
      </c>
      <c r="R227" s="2" t="n">
        <v>11.67</v>
      </c>
      <c r="S227" t="n">
        <v>-1</v>
      </c>
      <c r="T227" t="n">
        <v>17.11</v>
      </c>
      <c r="U227" t="n">
        <v>0</v>
      </c>
      <c r="V227" t="n">
        <v>1</v>
      </c>
      <c r="W227" t="n">
        <v>1</v>
      </c>
      <c r="X227" t="n">
        <v>3.51</v>
      </c>
      <c r="Y227" t="n">
        <v>0.41</v>
      </c>
      <c r="Z227" t="n">
        <v>0.48</v>
      </c>
      <c r="AA227" s="5" t="n">
        <v>1</v>
      </c>
      <c r="AB227" t="n">
        <v>0</v>
      </c>
      <c r="AC227" s="5" t="n">
        <v>0</v>
      </c>
      <c r="AD227" t="n">
        <v>27.72</v>
      </c>
      <c r="AE227" t="n">
        <v>14.38</v>
      </c>
      <c r="AF227" t="n">
        <v>60.7</v>
      </c>
      <c r="AG227" s="6" t="n">
        <v>6.1</v>
      </c>
      <c r="AH227" s="5" t="n">
        <v>8.1</v>
      </c>
      <c r="AI227" t="n">
        <v>13.405</v>
      </c>
      <c r="AJ227" s="5">
        <f>IF(AI227&gt;12.7,IF(AI227&gt;15.8,0.93,0.98),1)</f>
        <v/>
      </c>
      <c r="AK227" s="5">
        <f>(1.5*AG227+AH227)*AJ227*AQ227</f>
        <v/>
      </c>
      <c r="AL227" s="4">
        <f>D227</f>
        <v/>
      </c>
      <c r="AM227" s="8">
        <f>B227</f>
        <v/>
      </c>
      <c r="AN227" t="n">
        <v>16</v>
      </c>
      <c r="AO227" s="61">
        <f>IF(Z227&lt;2.81,0,IF(AK227&gt;13.7,IF(Z227&lt;140,1,0),0))</f>
        <v/>
      </c>
      <c r="AP227" s="7">
        <f>IF(AK227&gt;13.93,IF(Z227&lt;300,IF(Z227&lt;35,IF(Z227&lt;6,3,2),1),0),0)</f>
        <v/>
      </c>
      <c r="AQ227" t="n">
        <v>0.95</v>
      </c>
      <c r="AR227" s="7">
        <f>IF(AO227=1,IF(AO227=AL227,1,0),5)</f>
        <v/>
      </c>
      <c r="AS227" s="5" t="n">
        <v>1</v>
      </c>
      <c r="AT227" s="5" t="n">
        <v>1</v>
      </c>
      <c r="AU227" s="5" t="n">
        <v>1</v>
      </c>
      <c r="AV227" s="5">
        <f>(AT227+AU227)/2</f>
        <v/>
      </c>
      <c r="AW227" s="5" t="n">
        <v>1</v>
      </c>
      <c r="AX227" s="4">
        <f>IF(AW227&gt;AV227,1,0)</f>
        <v/>
      </c>
      <c r="AY227" s="4">
        <f>(100*(AU227-AS227)/AS227)</f>
        <v/>
      </c>
      <c r="AZ227" s="4">
        <f>IF(AY227&lt;-50,-4,IF(AY227&lt;-20,-2,IF(AY227&lt;0,-1,IF(AY227=0,0,IF(AY227&lt;10,1.5,IF(AY227&lt;20,2,IF(AY227&gt;19,2.5,2.5)))))))</f>
        <v/>
      </c>
      <c r="BA227" s="7">
        <f>#REF!+(#REF!*AB227)/100</f>
        <v/>
      </c>
    </row>
    <row r="228" ht="15" customHeight="1">
      <c r="A228" t="inlineStr">
        <is>
          <t>https://www.chittorgarh.com/ipo/vama-wovenfab-ipo/2709/</t>
        </is>
      </c>
      <c r="B228" t="inlineStr">
        <is>
          <t>Vama Wovenfab  Price,</t>
        </is>
      </c>
      <c r="C228" t="inlineStr">
        <is>
          <t>2026</t>
        </is>
      </c>
      <c r="D228" t="n">
        <v>1</v>
      </c>
      <c r="E228" t="n">
        <v>16.94</v>
      </c>
      <c r="F228" t="n">
        <v>17.15</v>
      </c>
      <c r="G228" s="5" t="n">
        <v>1.22</v>
      </c>
      <c r="H228" t="n">
        <v>67.47</v>
      </c>
      <c r="I228" t="n">
        <v>6.84</v>
      </c>
      <c r="J228" t="n">
        <v>5.38</v>
      </c>
      <c r="K228" t="n">
        <v>30.9</v>
      </c>
      <c r="L228" t="n">
        <v>50.37</v>
      </c>
      <c r="M228" t="n">
        <v>10.37</v>
      </c>
      <c r="N228" t="n">
        <v>8.32</v>
      </c>
      <c r="O228" t="n">
        <v>77.76000000000001</v>
      </c>
      <c r="P228" s="5" t="n">
        <v>11.37</v>
      </c>
      <c r="Q228" t="n">
        <v>11.04</v>
      </c>
      <c r="R228" s="2" t="n">
        <v>15.33</v>
      </c>
      <c r="S228" t="n">
        <v>-0.5</v>
      </c>
      <c r="T228" t="n">
        <v>49.54</v>
      </c>
      <c r="U228" t="n">
        <v>0</v>
      </c>
      <c r="V228" t="n">
        <v>0</v>
      </c>
      <c r="W228" t="n">
        <v>1</v>
      </c>
      <c r="X228" t="n">
        <v>0</v>
      </c>
      <c r="Y228" t="n">
        <v>0.01</v>
      </c>
      <c r="Z228" t="n">
        <v>0.01</v>
      </c>
      <c r="AA228" s="5" t="n">
        <v>0</v>
      </c>
      <c r="AB228" t="n">
        <v>2.93</v>
      </c>
      <c r="AC228" s="5" t="n">
        <v>0</v>
      </c>
      <c r="AD228" t="n">
        <v>160.08</v>
      </c>
      <c r="AE228" t="n">
        <v>179.01</v>
      </c>
      <c r="AF228" t="n">
        <v>89.5</v>
      </c>
      <c r="AG228" s="6" t="n">
        <v>3.7</v>
      </c>
      <c r="AH228" s="5" t="n">
        <v>3.7</v>
      </c>
      <c r="AI228" t="n">
        <v>13.4025</v>
      </c>
      <c r="AJ228" s="5">
        <f>IF(AI228&gt;12.7,IF(AI228&gt;15.8,0.93,0.98),1)</f>
        <v/>
      </c>
      <c r="AK228" s="5">
        <f>(1.5*AG228+AH228)*AJ228*AQ228</f>
        <v/>
      </c>
      <c r="AL228" s="4">
        <f>D228</f>
        <v/>
      </c>
      <c r="AM228" s="8">
        <f>B228</f>
        <v/>
      </c>
      <c r="AN228" t="n">
        <v>17</v>
      </c>
      <c r="AO228" s="61">
        <f>IF(Z228&lt;2.81,0,IF(AK228&gt;13.7,IF(Z228&lt;140,1,0),0))</f>
        <v/>
      </c>
      <c r="AP228" s="7">
        <f>IF(AK228&gt;13.93,IF(Z228&lt;300,IF(Z228&lt;35,IF(Z228&lt;6,3,2),1),0),0)</f>
        <v/>
      </c>
      <c r="AQ228" t="n">
        <v>1</v>
      </c>
      <c r="AR228" s="7">
        <f>IF(AO228=1,IF(AO228=AL228,1,0),5)</f>
        <v/>
      </c>
      <c r="AS228" s="5" t="n">
        <v>1</v>
      </c>
      <c r="AT228" s="5" t="n">
        <v>1</v>
      </c>
      <c r="AU228" s="5" t="n">
        <v>1</v>
      </c>
      <c r="AV228" s="5">
        <f>(AT228+AU228)/2</f>
        <v/>
      </c>
      <c r="AW228" s="5" t="n">
        <v>1</v>
      </c>
      <c r="AX228" s="5" t="n"/>
      <c r="AY228" s="4">
        <f>(100*(AU228-AS228)/AS228)</f>
        <v/>
      </c>
      <c r="AZ228" s="4">
        <f>IF(AY228&lt;-50,-4,IF(AY228&lt;-20,-2,IF(AY228&lt;0,-1,IF(AY228=0,0,IF(AY228&lt;10,1.5,IF(AY228&lt;20,2,IF(AY228&gt;19,2.5,2.5)))))))</f>
        <v/>
      </c>
      <c r="BA228" s="7">
        <f>#REF!+(#REF!*AB228)/100</f>
        <v/>
      </c>
    </row>
    <row r="229" ht="15" customHeight="1">
      <c r="A229" t="inlineStr">
        <is>
          <t>https://www.chittorgarh.com/ipo/shakti-polytarp-ipo/2427/</t>
        </is>
      </c>
      <c r="B229" t="inlineStr">
        <is>
          <t>Shakti Polytarp  Pric</t>
        </is>
      </c>
      <c r="C229" t="inlineStr">
        <is>
          <t>2026</t>
        </is>
      </c>
      <c r="D229" t="n">
        <v>0</v>
      </c>
      <c r="E229" t="n">
        <v>48</v>
      </c>
      <c r="F229" t="n">
        <v>17.8</v>
      </c>
      <c r="G229" s="5" t="n">
        <v>-169.66</v>
      </c>
      <c r="H229" t="n">
        <v>71.39</v>
      </c>
      <c r="I229" t="n">
        <v>4.97</v>
      </c>
      <c r="J229" t="n">
        <v>4.66</v>
      </c>
      <c r="K229" t="n">
        <v>8</v>
      </c>
      <c r="L229" t="n">
        <v>44.04</v>
      </c>
      <c r="M229" t="n">
        <v>10.69</v>
      </c>
      <c r="N229" t="n">
        <v>8.94</v>
      </c>
      <c r="O229" t="n">
        <v>166.5</v>
      </c>
      <c r="P229" s="5" t="n">
        <v>33.5</v>
      </c>
      <c r="Q229" t="n">
        <v>7.38</v>
      </c>
      <c r="R229" s="2" t="n">
        <v>10.05</v>
      </c>
      <c r="S229" t="n">
        <v>-1</v>
      </c>
      <c r="T229" t="n">
        <v>26.93</v>
      </c>
      <c r="U229" t="n">
        <v>0</v>
      </c>
      <c r="V229" t="n">
        <v>1</v>
      </c>
      <c r="W229" t="n">
        <v>1</v>
      </c>
      <c r="X229" t="n">
        <v>0</v>
      </c>
      <c r="Y229" t="n">
        <v>0.88</v>
      </c>
      <c r="Z229" t="n">
        <v>0.08</v>
      </c>
      <c r="AA229" s="5" t="n">
        <v>0</v>
      </c>
      <c r="AB229" t="n">
        <v>0</v>
      </c>
      <c r="AC229" s="5" t="n">
        <v>0</v>
      </c>
      <c r="AD229" t="n">
        <v>407.14</v>
      </c>
      <c r="AE229" t="n">
        <v>167.56</v>
      </c>
      <c r="AF229" t="n">
        <v>64.20999999999999</v>
      </c>
      <c r="AG229" s="6" t="n">
        <v>3</v>
      </c>
      <c r="AH229" s="5" t="n">
        <v>3</v>
      </c>
      <c r="AI229" t="n">
        <v>13.4025</v>
      </c>
      <c r="AJ229" s="5">
        <f>IF(AI229&gt;12.7,IF(AI229&gt;15.8,0.93,0.98),1)</f>
        <v/>
      </c>
      <c r="AK229" s="5">
        <f>(1.5*AG229+AH229)*AJ229*AQ229</f>
        <v/>
      </c>
      <c r="AL229" s="4">
        <f>D229</f>
        <v/>
      </c>
      <c r="AM229" s="8">
        <f>B229</f>
        <v/>
      </c>
      <c r="AN229" t="n">
        <v>17</v>
      </c>
      <c r="AO229" s="61">
        <f>IF(Z229&lt;2.81,0,IF(AK229&gt;13.7,IF(Z229&lt;140,1,0),0))</f>
        <v/>
      </c>
      <c r="AP229" s="7">
        <f>IF(AK229&gt;13.93,IF(Z229&lt;300,IF(Z229&lt;35,IF(Z229&lt;6,3,2),1),0),0)</f>
        <v/>
      </c>
      <c r="AQ229" t="n">
        <v>1</v>
      </c>
      <c r="AR229" s="7">
        <f>IF(AO229=1,IF(AO229=AL229,1,0),5)</f>
        <v/>
      </c>
      <c r="AS229" s="5" t="n">
        <v>1</v>
      </c>
      <c r="AT229" s="5" t="n">
        <v>1</v>
      </c>
      <c r="AU229" s="5" t="n">
        <v>1</v>
      </c>
      <c r="AV229" s="5">
        <f>(AT229+AU229)/2</f>
        <v/>
      </c>
      <c r="AW229" s="5" t="n">
        <v>1</v>
      </c>
      <c r="AX229" s="5" t="n"/>
      <c r="AY229" s="4">
        <f>(100*(AU229-AS229)/AS229)</f>
        <v/>
      </c>
      <c r="AZ229" s="4">
        <f>IF(AY229&lt;-50,-4,IF(AY229&lt;-20,-2,IF(AY229&lt;0,-1,IF(AY229=0,0,IF(AY229&lt;10,1.5,IF(AY229&lt;20,2,IF(AY229&gt;19,2.5,2.5)))))))</f>
        <v/>
      </c>
      <c r="BA229" s="7">
        <f>#REF!+(#REF!*AB229)/100</f>
        <v/>
      </c>
    </row>
    <row r="230" ht="15" customHeight="1">
      <c r="A230" t="inlineStr">
        <is>
          <t>https://www.chittorgarh.com/ipo/quanto-agroworld-ipo/2390/</t>
        </is>
      </c>
      <c r="B230" t="inlineStr">
        <is>
          <t>Quanto Agroworld  Pri</t>
        </is>
      </c>
      <c r="C230" t="inlineStr">
        <is>
          <t>2026</t>
        </is>
      </c>
      <c r="D230" t="n">
        <v>0</v>
      </c>
      <c r="E230" t="n">
        <v>5.3</v>
      </c>
      <c r="F230" t="n">
        <v>25.62</v>
      </c>
      <c r="G230" s="5" t="n">
        <v>79.31</v>
      </c>
      <c r="H230" t="n">
        <v>33.43</v>
      </c>
      <c r="I230" t="n">
        <v>6.63</v>
      </c>
      <c r="J230" t="n">
        <v>20.78</v>
      </c>
      <c r="K230" t="n">
        <v>6.52</v>
      </c>
      <c r="L230" t="n">
        <v>24.68</v>
      </c>
      <c r="M230" t="n">
        <v>9.279999999999999</v>
      </c>
      <c r="N230" t="n">
        <v>29.54</v>
      </c>
      <c r="O230" t="n">
        <v>16.49</v>
      </c>
      <c r="P230" s="5" t="n">
        <v>2.49</v>
      </c>
      <c r="Q230" t="n">
        <v>10.28</v>
      </c>
      <c r="R230" s="2" t="n">
        <v>13.99</v>
      </c>
      <c r="S230" t="n">
        <v>-0.5</v>
      </c>
      <c r="T230" t="n">
        <v>31.02</v>
      </c>
      <c r="U230" t="n">
        <v>0</v>
      </c>
      <c r="V230" t="n">
        <v>0</v>
      </c>
      <c r="W230" t="n">
        <v>1</v>
      </c>
      <c r="X230" t="n">
        <v>0</v>
      </c>
      <c r="Y230" t="n">
        <v>0</v>
      </c>
      <c r="Z230" t="n">
        <v>0.03</v>
      </c>
      <c r="AA230" s="5" t="n">
        <v>1</v>
      </c>
      <c r="AB230" t="n">
        <v>0</v>
      </c>
      <c r="AC230" s="5" t="n">
        <v>0</v>
      </c>
      <c r="AD230" t="n">
        <v>23.46</v>
      </c>
      <c r="AE230" t="n">
        <v>5.98</v>
      </c>
      <c r="AF230" t="n">
        <v>34.77</v>
      </c>
      <c r="AG230" s="6" t="n">
        <v>4.1</v>
      </c>
      <c r="AH230" s="5" t="n">
        <v>5.1</v>
      </c>
      <c r="AI230" t="n">
        <v>13.41</v>
      </c>
      <c r="AJ230" s="5">
        <f>IF(AI230&gt;12.7,IF(AI230&gt;15.8,0.93,0.98),1)</f>
        <v/>
      </c>
      <c r="AK230" s="5">
        <f>(1.5*AG230+AH230)*AJ230*AQ230</f>
        <v/>
      </c>
      <c r="AL230" s="4">
        <f>D230</f>
        <v/>
      </c>
      <c r="AM230" s="8">
        <f>B230</f>
        <v/>
      </c>
      <c r="AN230" t="n">
        <v>17</v>
      </c>
      <c r="AO230" s="61">
        <f>IF(Z230&lt;2.81,0,IF(AK230&gt;13.7,IF(Z230&lt;140,1,0),0))</f>
        <v/>
      </c>
      <c r="AP230" s="7">
        <f>IF(AK230&gt;13.93,IF(Z230&lt;300,IF(Z230&lt;35,IF(Z230&lt;6,3,2),1),0),0)</f>
        <v/>
      </c>
      <c r="AQ230" t="n">
        <v>1</v>
      </c>
      <c r="AR230" s="7">
        <f>IF(AO230=1,IF(AO230=AL230,1,0),5)</f>
        <v/>
      </c>
      <c r="AS230" s="5" t="n">
        <v>1</v>
      </c>
      <c r="AT230" s="5" t="n">
        <v>1</v>
      </c>
      <c r="AU230" s="5" t="n">
        <v>1</v>
      </c>
      <c r="AV230" s="5">
        <f>(AT230+AU230)/2</f>
        <v/>
      </c>
      <c r="AW230" s="5" t="n">
        <v>1</v>
      </c>
      <c r="AX230" s="5" t="n"/>
      <c r="AY230" s="4">
        <f>(100*(AU230-AS230)/AS230)</f>
        <v/>
      </c>
      <c r="AZ230" s="4">
        <f>IF(AY230&lt;-50,-4,IF(AY230&lt;-20,-2,IF(AY230&lt;0,-1,IF(AY230=0,0,IF(AY230&lt;10,1.5,IF(AY230&lt;20,2,IF(AY230&gt;19,2.5,2.5)))))))</f>
        <v/>
      </c>
      <c r="BA230" s="7">
        <f>#REF!+(#REF!*AB230)/100</f>
        <v/>
      </c>
    </row>
    <row r="231" ht="15" customHeight="1">
      <c r="A231" t="inlineStr">
        <is>
          <t>https://www.chittorgarh.com/ipo/spectraa-technology-solutions-ipo/2950/</t>
        </is>
      </c>
      <c r="B231" t="inlineStr">
        <is>
          <t>SpectraA Technology S</t>
        </is>
      </c>
      <c r="C231" t="inlineStr">
        <is>
          <t>2026</t>
        </is>
      </c>
      <c r="D231" t="n">
        <v>1</v>
      </c>
      <c r="E231" t="n">
        <v>17.21</v>
      </c>
      <c r="F231" t="n">
        <v>13.12</v>
      </c>
      <c r="G231" s="5">
        <f>100*(F231-E231)/F231</f>
        <v/>
      </c>
      <c r="H231" t="n">
        <v>100</v>
      </c>
      <c r="I231" t="n">
        <v>4.91</v>
      </c>
      <c r="J231" t="n">
        <v>11.42</v>
      </c>
      <c r="K231" t="n">
        <v>11.45</v>
      </c>
      <c r="L231" t="n">
        <v>60.95</v>
      </c>
      <c r="M231" t="n">
        <v>10.13</v>
      </c>
      <c r="N231" t="n">
        <v>19.04</v>
      </c>
      <c r="O231" t="n">
        <v>75.53</v>
      </c>
      <c r="P231" s="5">
        <f>O231/I231</f>
        <v/>
      </c>
      <c r="Q231" t="n">
        <v>10.31</v>
      </c>
      <c r="R231" s="2" t="n">
        <v>13.63</v>
      </c>
      <c r="S231" t="n">
        <v>-0.5</v>
      </c>
      <c r="T231" t="n">
        <v>42.52</v>
      </c>
      <c r="U231" t="n">
        <v>0</v>
      </c>
      <c r="V231" t="n">
        <v>1</v>
      </c>
      <c r="W231" t="n">
        <v>1</v>
      </c>
      <c r="X231" t="n">
        <v>0</v>
      </c>
      <c r="Y231" t="n">
        <v>0</v>
      </c>
      <c r="Z231" t="n">
        <v>0</v>
      </c>
      <c r="AA231" s="5">
        <f>IF(X231&lt;50,IF(Y231&gt;(2.3*X231),0,1),1)-IF(Z231&gt;Y231,1.7,0)</f>
        <v/>
      </c>
      <c r="AB231" t="n">
        <v>22.88</v>
      </c>
      <c r="AC231" s="5">
        <f>IF(AB231&gt;4,1,0)+IF(AB231&gt;10,0.7,0)</f>
        <v/>
      </c>
      <c r="AD231" t="n">
        <v>145.5</v>
      </c>
      <c r="AE231" t="n">
        <v>-15.78</v>
      </c>
      <c r="AF231" t="n">
        <v>60.39</v>
      </c>
      <c r="AG231" s="6">
        <f>IF(G231&lt;52,0,0.7)+IF(G231&lt;34,0,0.7)+IF(G231&lt;1,0,0.7)+IF(P231&gt;14.56,0,1)+IF(R231&lt;9,0.5,0)+IF(R231&lt;33.8,0.5,0)+IF(R231&lt;50,0.5,0)+IF(R231&lt;80,0.5,0)+IF(S231=5,0,S231)+IF(V231&gt;0,1,-1)+IF(AE231&lt;10.56,0,1)-IF(AE231&lt;3,1,0)-IF(AE231&lt;1,1,0)</f>
        <v/>
      </c>
      <c r="AH231" s="5">
        <f>AG231+IF(X231&lt;1.35,0,1)+IF(Y231&lt;1.35,0,1)+IF(Y231&lt;0.7,-1,0)+AC231+AA231</f>
        <v/>
      </c>
      <c r="AI231" t="n">
        <v>12.285</v>
      </c>
      <c r="AJ231" s="5">
        <f>IF(AI231&gt;12.7,IF(AI231&gt;15.8,0.93,0.98),1)</f>
        <v/>
      </c>
      <c r="AK231" s="5">
        <f>(1.5*AG231+AH231)*AJ231*AQ231</f>
        <v/>
      </c>
      <c r="AL231" s="4">
        <f>D231</f>
        <v/>
      </c>
      <c r="AM231" s="8">
        <f>B231</f>
        <v/>
      </c>
      <c r="AN231" t="n">
        <v>21</v>
      </c>
      <c r="AO231" s="61">
        <f>IF(Z231&lt;2.81,0,IF(AK231&gt;13.7,IF(Z231&lt;140,1,0),0))</f>
        <v/>
      </c>
      <c r="AP231" s="7">
        <f>IF(AK231&gt;13.93,IF(Z231&lt;300,IF(Z231&lt;35,IF(Z231&lt;6,3,2),1),0),0)</f>
        <v/>
      </c>
      <c r="AQ231" t="n">
        <v>0.95</v>
      </c>
      <c r="AR231" s="7">
        <f>IF(AO231=1,IF(AO231=AL231,1,0),5)</f>
        <v/>
      </c>
      <c r="AS231" s="5" t="n">
        <v>1</v>
      </c>
      <c r="AT231" s="5" t="n">
        <v>1</v>
      </c>
      <c r="AU231" s="5" t="n">
        <v>1</v>
      </c>
      <c r="AV231" s="5">
        <f>(AT231+AU231)/2</f>
        <v/>
      </c>
      <c r="AW231" s="5" t="n">
        <v>1</v>
      </c>
      <c r="AX231" s="5" t="n"/>
      <c r="AY231" s="4">
        <f>(100*(AU231-AS231)/AS231)</f>
        <v/>
      </c>
      <c r="AZ231" s="4">
        <f>IF(AY231&lt;-50,-4,IF(AY231&lt;-20,-2,IF(AY231&lt;0,-1,IF(AY231=0,0,IF(AY231&lt;10,1.5,IF(AY231&lt;20,2,IF(AY231&gt;19,2.5,2.5)))))))</f>
        <v/>
      </c>
      <c r="BA231" s="7">
        <f>#REF!+(#REF!*AB231)/100</f>
        <v/>
      </c>
    </row>
    <row r="232" ht="14.25" customHeight="1">
      <c r="A232" t="inlineStr">
        <is>
          <t>https://www.chittorgarh.com/ipo/kheria-autocomp-ipo/2760/</t>
        </is>
      </c>
      <c r="B232" t="inlineStr">
        <is>
          <t>Kheria Autocomp  Pric</t>
        </is>
      </c>
      <c r="C232" t="inlineStr">
        <is>
          <t>2026</t>
        </is>
      </c>
      <c r="D232" t="n">
        <v>1</v>
      </c>
      <c r="E232" t="n">
        <v>30.9</v>
      </c>
      <c r="F232" t="n">
        <v>28.24</v>
      </c>
      <c r="G232" s="5">
        <f>100*(F232-E232)/F232</f>
        <v/>
      </c>
      <c r="H232" t="n">
        <v>81.79000000000001</v>
      </c>
      <c r="I232" t="n">
        <v>8.24</v>
      </c>
      <c r="J232" t="n">
        <v>9.52</v>
      </c>
      <c r="K232" t="n">
        <v>10.15</v>
      </c>
      <c r="L232" t="n">
        <v>33.72</v>
      </c>
      <c r="M232" t="n">
        <v>16.18</v>
      </c>
      <c r="N232" t="n">
        <v>19.08</v>
      </c>
      <c r="O232" t="n">
        <v>92.31</v>
      </c>
      <c r="P232" s="5">
        <f>O232/I232</f>
        <v/>
      </c>
      <c r="Q232" t="n">
        <v>9.949999999999999</v>
      </c>
      <c r="R232" s="2" t="n">
        <v>14.01</v>
      </c>
      <c r="S232" t="n">
        <v>-1</v>
      </c>
      <c r="T232" t="n">
        <v>46.44</v>
      </c>
      <c r="U232" t="n">
        <v>0</v>
      </c>
      <c r="V232" t="n">
        <v>1</v>
      </c>
      <c r="W232" t="n">
        <v>1</v>
      </c>
      <c r="X232" t="n">
        <v>0</v>
      </c>
      <c r="Y232" t="n">
        <v>0</v>
      </c>
      <c r="Z232" t="n">
        <v>0</v>
      </c>
      <c r="AA232" s="5">
        <f>IF(X232&lt;50,IF(Y232&gt;(2.3*X232),0,1),1)-IF(Z232&gt;Y232,1.7,0)</f>
        <v/>
      </c>
      <c r="AB232" t="n">
        <v>0</v>
      </c>
      <c r="AC232" s="5">
        <f>IF(AB232&gt;4,1,0)+IF(AB232&gt;10,0.7,0)</f>
        <v/>
      </c>
      <c r="AD232" t="n">
        <v>148.94</v>
      </c>
      <c r="AE232" t="n">
        <v>47.93</v>
      </c>
      <c r="AF232" t="n">
        <v>41.2</v>
      </c>
      <c r="AG232" s="6">
        <f>IF(G232&lt;52,0,0.7)+IF(G232&lt;34,0,0.7)+IF(G232&lt;1,0,0.7)+IF(P232&gt;14.56,0,1)+IF(R232&lt;9,0.5,0)+IF(R232&lt;33.8,0.5,0)+IF(R232&lt;50,0.5,0)+IF(R232&lt;80,0.5,0)+IF(S232=5,0,S232)+IF(V232&gt;0,1,-1)+IF(AE232&lt;10.56,0,1)-IF(AE232&lt;3,1,0)-IF(AE232&lt;1,1,0)</f>
        <v/>
      </c>
      <c r="AH232" s="5">
        <f>AG232+IF(X232&lt;1.35,0,1)+IF(Y232&lt;1.35,0,1)+IF(Y232&lt;0.7,-1,0)+AC232+AA232</f>
        <v/>
      </c>
      <c r="AI232" t="n">
        <v>12.285</v>
      </c>
      <c r="AJ232" s="5">
        <f>IF(AI232&gt;12.7,IF(AI232&gt;15.8,0.93,0.98),1)</f>
        <v/>
      </c>
      <c r="AK232" s="5">
        <f>(1.5*AG232+AH232)*AJ232*AQ232</f>
        <v/>
      </c>
      <c r="AL232" s="4">
        <f>D232</f>
        <v/>
      </c>
      <c r="AM232" s="8">
        <f>B232</f>
        <v/>
      </c>
      <c r="AN232" t="n">
        <v>21</v>
      </c>
      <c r="AO232" s="61">
        <f>IF(Z232&lt;2.81,0,IF(AK232&gt;13.7,IF(Z232&lt;140,1,0),0))</f>
        <v/>
      </c>
      <c r="AP232" s="7">
        <f>IF(AK232&gt;13.93,IF(Z232&lt;300,IF(Z232&lt;35,IF(Z232&lt;6,3,2),1),0),0)</f>
        <v/>
      </c>
      <c r="AQ232" t="n">
        <v>1</v>
      </c>
      <c r="AR232" s="7">
        <f>IF(AO232=1,IF(AO232=AL232,1,0),5)</f>
        <v/>
      </c>
      <c r="AV232" s="5">
        <f>(AT232+AU232)/2</f>
        <v/>
      </c>
      <c r="AZ232" s="4">
        <f>IF(AY232&lt;-50,-4,IF(AY232&lt;-20,-2,IF(AY232&lt;0,-1,IF(AY232=0,0,IF(AY232&lt;10,1.5,IF(AY232&lt;20,2,IF(AY232&gt;19,2.5,2.5)))))))</f>
        <v/>
      </c>
      <c r="BA232" s="7">
        <f>#REF!+(#REF!*AB232)/100</f>
        <v/>
      </c>
    </row>
    <row r="233" ht="14.25" customHeight="1">
      <c r="A233" t="inlineStr">
        <is>
          <t>https://www.chittorgarh.com/ipo/axiom-gas-engineering-ipo/2193/</t>
        </is>
      </c>
      <c r="B233" t="inlineStr">
        <is>
          <t>Axiom Gas Engineering</t>
        </is>
      </c>
      <c r="C233" t="inlineStr">
        <is>
          <t>2026</t>
        </is>
      </c>
      <c r="D233" t="n">
        <v>1</v>
      </c>
      <c r="E233" t="n">
        <v>16.3</v>
      </c>
      <c r="F233" t="n">
        <v>23.83</v>
      </c>
      <c r="G233" s="5">
        <f>100*(F233-E233)/F233</f>
        <v/>
      </c>
      <c r="H233" t="n">
        <v>60.83</v>
      </c>
      <c r="I233" t="n">
        <v>7.75</v>
      </c>
      <c r="J233" t="n">
        <v>9.380000000000001</v>
      </c>
      <c r="K233" t="n">
        <v>3.64</v>
      </c>
      <c r="L233" t="n">
        <v>28.4</v>
      </c>
      <c r="M233" t="n">
        <v>13.29</v>
      </c>
      <c r="N233" t="n">
        <v>15.36</v>
      </c>
      <c r="O233" t="n">
        <v>89.84999999999999</v>
      </c>
      <c r="P233" s="5">
        <f>O233/I233</f>
        <v/>
      </c>
      <c r="Q233" t="n">
        <v>14.56</v>
      </c>
      <c r="R233" s="2" t="n">
        <v>19.85</v>
      </c>
      <c r="S233" t="n">
        <v>-0.5</v>
      </c>
      <c r="T233" t="n">
        <v>49.81</v>
      </c>
      <c r="U233" t="n">
        <v>0</v>
      </c>
      <c r="V233" t="n">
        <v>1</v>
      </c>
      <c r="W233" t="n">
        <v>1</v>
      </c>
      <c r="X233" t="n">
        <v>0</v>
      </c>
      <c r="Y233" t="n">
        <v>0</v>
      </c>
      <c r="Z233" t="n">
        <v>0</v>
      </c>
      <c r="AA233" s="5">
        <f>IF(X233&lt;50,IF(Y233&gt;(2.3*X233),0,1),1)-IF(Z233&gt;Y233,1.7,0)</f>
        <v/>
      </c>
      <c r="AB233" t="n">
        <v>0</v>
      </c>
      <c r="AC233" s="5">
        <f>IF(AB233&gt;4,1,0)+IF(AB233&gt;10,0.7,0)</f>
        <v/>
      </c>
      <c r="AD233" t="n">
        <v>35.02</v>
      </c>
      <c r="AE233" t="n">
        <v>20.54</v>
      </c>
      <c r="AF233" t="n">
        <v>72.06</v>
      </c>
      <c r="AG233" s="6">
        <f>IF(G233&lt;52,0,0.7)+IF(G233&lt;34,0,0.7)+IF(G233&lt;1,0,0.7)+IF(P233&gt;14.56,0,1)+IF(R233&lt;9,0.5,0)+IF(R233&lt;33.8,0.5,0)+IF(R233&lt;50,0.5,0)+IF(R233&lt;80,0.5,0)+IF(S233=5,0,S233)+IF(V233&gt;0,1,-1)+IF(AE233&lt;10.56,0,1)-IF(AE233&lt;3,1,0)-IF(AE233&lt;1,1,0)</f>
        <v/>
      </c>
      <c r="AH233" s="5">
        <f>AG233+IF(X233&lt;1.35,0,1)+IF(Y233&lt;1.35,0,1)+IF(Y233&lt;0.7,-1,0)+AC233+AA233</f>
        <v/>
      </c>
      <c r="AI233" t="n">
        <v>12.285</v>
      </c>
      <c r="AJ233" s="5">
        <f>IF(AI233&gt;12.7,IF(AI233&gt;15.8,0.93,0.98),1)</f>
        <v/>
      </c>
      <c r="AK233" s="5">
        <f>(1.5*AG233+AH233)*AJ233*AQ233</f>
        <v/>
      </c>
      <c r="AL233" s="4">
        <f>D233</f>
        <v/>
      </c>
      <c r="AM233" s="8">
        <f>B233</f>
        <v/>
      </c>
      <c r="AN233" t="n">
        <v>22</v>
      </c>
      <c r="AO233" s="61">
        <f>IF(Z233&lt;2.81,0,IF(AK233&gt;13.7,IF(Z233&lt;140,1,0),0))</f>
        <v/>
      </c>
      <c r="AP233" s="7">
        <f>IF(AK233&gt;13.93,IF(Z233&lt;300,IF(Z233&lt;35,IF(Z233&lt;6,3,2),1),0),0)</f>
        <v/>
      </c>
      <c r="AQ233" t="n">
        <v>1</v>
      </c>
      <c r="AR233" s="7">
        <f>IF(AO233=1,IF(AO233=AL233,1,0),5)</f>
        <v/>
      </c>
      <c r="AV233" s="5">
        <f>(AT233+AU233)/2</f>
        <v/>
      </c>
      <c r="AZ233" s="4">
        <f>IF(AY233&lt;-50,-4,IF(AY233&lt;-20,-2,IF(AY233&lt;0,-1,IF(AY233=0,0,IF(AY233&lt;10,1.5,IF(AY233&lt;20,2,IF(AY233&gt;19,2.5,2.5)))))))</f>
        <v/>
      </c>
    </row>
    <row r="234" ht="17.25" customHeight="1">
      <c r="A234" t="inlineStr">
        <is>
          <t>https://www.chittorgarh.com/ipo/robokidz-eduventures-ipo/3205/</t>
        </is>
      </c>
      <c r="B234" t="inlineStr">
        <is>
          <t xml:space="preserve">Robokidz Eduventures </t>
        </is>
      </c>
      <c r="C234" t="inlineStr">
        <is>
          <t>2026</t>
        </is>
      </c>
      <c r="E234" t="n">
        <v>15.34</v>
      </c>
      <c r="F234" t="n">
        <v>10.61</v>
      </c>
      <c r="G234" s="5">
        <f>100*(F234-E234)/F234</f>
        <v/>
      </c>
      <c r="H234" t="n">
        <v>34.16</v>
      </c>
      <c r="I234" t="n">
        <v>4.98</v>
      </c>
      <c r="J234" t="n">
        <v>10.79</v>
      </c>
      <c r="K234" t="n">
        <v>12.69</v>
      </c>
      <c r="L234" t="n">
        <v>56.46</v>
      </c>
      <c r="M234" t="n">
        <v>9</v>
      </c>
      <c r="N234" t="n">
        <v>17.77</v>
      </c>
      <c r="O234" t="n">
        <v>59.16</v>
      </c>
      <c r="P234" s="5">
        <f>O234/I234</f>
        <v/>
      </c>
      <c r="Q234" t="n">
        <v>8.35</v>
      </c>
      <c r="R234" s="2" t="n">
        <v>11.45</v>
      </c>
      <c r="S234" t="n">
        <v>-0.5</v>
      </c>
      <c r="T234" t="n">
        <v>31.09</v>
      </c>
      <c r="U234" t="n">
        <v>0</v>
      </c>
      <c r="V234" t="n">
        <v>1</v>
      </c>
      <c r="W234" t="n">
        <v>1</v>
      </c>
      <c r="X234" t="n">
        <v>0</v>
      </c>
      <c r="Y234" t="n">
        <v>0</v>
      </c>
      <c r="Z234" t="n">
        <v>0</v>
      </c>
      <c r="AA234" s="5">
        <f>IF(X234&lt;50,IF(Y234&gt;(2.3*X234),0,1),1)-IF(Z234&gt;Y234,1.7,0)</f>
        <v/>
      </c>
      <c r="AB234" t="n">
        <v>0</v>
      </c>
      <c r="AC234" s="5">
        <f>IF(AB234&gt;4,1,0)+IF(AB234&gt;10,0.7,0)</f>
        <v/>
      </c>
      <c r="AD234" t="n">
        <v>105.79</v>
      </c>
      <c r="AE234" t="n">
        <v>54.42</v>
      </c>
      <c r="AF234" t="n">
        <v>142.24</v>
      </c>
      <c r="AG234" s="6">
        <f>IF(G234&lt;52,0,0.7)+IF(G234&lt;34,0,0.7)+IF(G234&lt;1,0,0.7)+IF(P234&gt;14.56,0,1)+IF(R234&lt;9,0.5,0)+IF(R234&lt;33.8,0.5,0)+IF(R234&lt;50,0.5,0)+IF(R234&lt;80,0.5,0)+IF(S234=5,0,S234)+IF(V234&gt;0,1,-1)+IF(AE234&lt;10.56,0,1)-IF(AE234&lt;3,1,0)-IF(AE234&lt;1,1,0)</f>
        <v/>
      </c>
      <c r="AH234" s="5">
        <f>AG234+IF(X234&lt;1.35,0,1)+IF(Y234&lt;1.35,0,1)+IF(Y234&lt;0.7,-1,0)+AC234+AA234</f>
        <v/>
      </c>
      <c r="AI234" t="n">
        <v>12.285</v>
      </c>
      <c r="AJ234" s="5">
        <f>IF(AI234&gt;12.7,IF(AI234&gt;15.8,0.93,0.98),1)</f>
        <v/>
      </c>
      <c r="AK234" s="5">
        <f>(1.5*AG234+AH234)*AJ234*AQ234</f>
        <v/>
      </c>
      <c r="AL234" s="4">
        <f>D234</f>
        <v/>
      </c>
      <c r="AM234" s="8">
        <f>B234</f>
        <v/>
      </c>
      <c r="AN234" t="n">
        <v>23</v>
      </c>
      <c r="AO234" s="61">
        <f>IF(Z234&lt;2.81,0,IF(AK234&gt;13.7,IF(Z234&lt;140,1,0),0))</f>
        <v/>
      </c>
      <c r="AP234" s="7">
        <f>IF(AK234&gt;13.93,IF(Z234&lt;300,IF(Z234&lt;35,IF(Z234&lt;6,3,2),1),0),0)</f>
        <v/>
      </c>
      <c r="AQ234" t="n">
        <v>1</v>
      </c>
      <c r="AR234" s="7">
        <f>IF(AO234=1,IF(AO234=AL234,1,0),5)</f>
        <v/>
      </c>
      <c r="AV234" s="5">
        <f>(AT234+AU234)/2</f>
        <v/>
      </c>
      <c r="AZ234" s="4">
        <f>IF(AY234&lt;-50,-4,IF(AY234&lt;-20,-2,IF(AY234&lt;0,-1,IF(AY234=0,0,IF(AY234&lt;10,1.5,IF(AY234&lt;20,2,IF(AY234&gt;19,2.5,2.5)))))))</f>
        <v/>
      </c>
    </row>
    <row r="235" ht="15" customHeight="1">
      <c r="A235" t="inlineStr">
        <is>
          <t>https://www.chittorgarh.com/ipo/skoffset-ipo/3150/</t>
        </is>
      </c>
      <c r="B235" t="inlineStr">
        <is>
          <t>S.K.Offset  Price, GM</t>
        </is>
      </c>
      <c r="C235" t="inlineStr">
        <is>
          <t>2026</t>
        </is>
      </c>
      <c r="E235" t="n">
        <v>32.35</v>
      </c>
      <c r="F235" t="n">
        <v>7.2</v>
      </c>
      <c r="G235" s="5" t="n">
        <v>-349.31</v>
      </c>
      <c r="H235" t="n">
        <v>55.77</v>
      </c>
      <c r="I235" t="n">
        <v>1.54</v>
      </c>
      <c r="J235" t="n">
        <v>11.22</v>
      </c>
      <c r="K235" t="n">
        <v>13.8</v>
      </c>
      <c r="L235" t="n">
        <v>37.82</v>
      </c>
      <c r="M235" t="n">
        <v>5.62</v>
      </c>
      <c r="N235" t="n">
        <v>21.27</v>
      </c>
      <c r="O235" t="n">
        <v>48.65</v>
      </c>
      <c r="P235" s="5" t="n">
        <v>31.59</v>
      </c>
      <c r="Q235" t="n">
        <v>9.06</v>
      </c>
      <c r="R235" s="2" t="n">
        <v>12.94</v>
      </c>
      <c r="S235" t="n">
        <v>-0.5</v>
      </c>
      <c r="T235" t="n">
        <v>29.06</v>
      </c>
      <c r="U235" t="n">
        <v>0</v>
      </c>
      <c r="V235" t="n">
        <v>1</v>
      </c>
      <c r="W235" t="n">
        <v>1</v>
      </c>
      <c r="X235" t="n">
        <v>0.5</v>
      </c>
      <c r="Y235" t="n">
        <v>0</v>
      </c>
      <c r="Z235" t="n">
        <v>0.01</v>
      </c>
      <c r="AA235" s="5" t="n">
        <v>1</v>
      </c>
      <c r="AB235" t="n">
        <v>0</v>
      </c>
      <c r="AC235" s="5" t="n">
        <v>0</v>
      </c>
      <c r="AD235" t="n">
        <v>113.89</v>
      </c>
      <c r="AE235" t="n">
        <v>108.71</v>
      </c>
      <c r="AF235" t="n">
        <v>57.21</v>
      </c>
      <c r="AG235" s="6" t="n">
        <v>3</v>
      </c>
      <c r="AH235" s="5" t="n">
        <v>4</v>
      </c>
      <c r="AI235" t="n">
        <v>10.295</v>
      </c>
      <c r="AJ235" s="5">
        <f>IF(AI235&gt;12.7,IF(AI235&gt;15.8,0.93,0.98),1)</f>
        <v/>
      </c>
      <c r="AK235" s="5">
        <f>(1.5*AG235+AH235)*AJ235*AQ235</f>
        <v/>
      </c>
      <c r="AL235" s="4">
        <f>D235</f>
        <v/>
      </c>
      <c r="AM235" s="8">
        <f>B235</f>
        <v/>
      </c>
      <c r="AN235" t="n">
        <v>25</v>
      </c>
      <c r="AO235" s="61">
        <f>IF(Z235&lt;2.81,0,IF(AK235&gt;13.7,IF(Z235&lt;140,1,0),0))</f>
        <v/>
      </c>
      <c r="AP235" s="7">
        <f>IF(AK235&gt;13.93,IF(Z235&lt;300,IF(Z235&lt;35,IF(Z235&lt;6,3,2),1),0),0)</f>
        <v/>
      </c>
      <c r="AQ235" t="n">
        <v>1</v>
      </c>
      <c r="AR235" s="7">
        <f>IF(AO235=1,IF(AO235=AL235,1,0),5)</f>
        <v/>
      </c>
      <c r="AV235" s="5">
        <f>(AT235+AU235)/2</f>
        <v/>
      </c>
      <c r="AZ235" s="4">
        <f>IF(AY235&lt;-50,-4,IF(AY235&lt;-20,-2,IF(AY235&lt;0,-1,IF(AY235=0,0,IF(AY235&lt;10,1.5,IF(AY235&lt;20,2,IF(AY235&gt;19,2.5,2.5)))))))</f>
        <v/>
      </c>
    </row>
    <row r="236" ht="21" customHeight="1">
      <c r="A236" t="inlineStr">
        <is>
          <t>https://www.chittorgarh.com/ipo/maharaja-speedex-ipo/3089/</t>
        </is>
      </c>
      <c r="B236" t="inlineStr">
        <is>
          <t>Maharaja &amp;amp; Speede</t>
        </is>
      </c>
      <c r="C236" t="inlineStr">
        <is>
          <t>2026</t>
        </is>
      </c>
      <c r="D236" t="n">
        <v>1</v>
      </c>
      <c r="E236" t="n">
        <v>18.04</v>
      </c>
      <c r="F236" t="n">
        <v>11.39</v>
      </c>
      <c r="G236" s="5">
        <f>100*(F236-E236)/F236</f>
        <v/>
      </c>
      <c r="H236" t="n">
        <v>47.67</v>
      </c>
      <c r="I236" t="n">
        <v>5.57</v>
      </c>
      <c r="J236" t="n">
        <v>12.51</v>
      </c>
      <c r="K236" t="n">
        <v>11.89</v>
      </c>
      <c r="L236" t="n">
        <v>0</v>
      </c>
      <c r="M236" t="n">
        <v>10.61</v>
      </c>
      <c r="N236" t="n">
        <v>18.36</v>
      </c>
      <c r="O236" t="n">
        <v>93.59999999999999</v>
      </c>
      <c r="P236" s="5">
        <f>O236/I236</f>
        <v/>
      </c>
      <c r="Q236" t="n">
        <v>15.64</v>
      </c>
      <c r="R236" s="2" t="n">
        <v>19.81</v>
      </c>
      <c r="S236" t="n">
        <v>-0.5</v>
      </c>
      <c r="T236" t="n">
        <v>80.13</v>
      </c>
      <c r="U236" t="n">
        <v>0</v>
      </c>
      <c r="V236" t="n">
        <v>1</v>
      </c>
      <c r="W236" t="n">
        <v>1</v>
      </c>
      <c r="X236" t="n">
        <v>0.1</v>
      </c>
      <c r="Y236" t="n">
        <v>0.85</v>
      </c>
      <c r="Z236" t="n">
        <v>0.5600000000000001</v>
      </c>
      <c r="AA236" s="5">
        <f>IF(X236&lt;50,IF(Y236&gt;(2.3*X236),0,1),1)-IF(Z236&gt;Y236,1.7,0)</f>
        <v/>
      </c>
      <c r="AB236" t="n">
        <v>21.51</v>
      </c>
      <c r="AC236" s="5">
        <f>IF(AB236&gt;4,1,0)+IF(AB236&gt;10,0.7,0)</f>
        <v/>
      </c>
      <c r="AD236" t="n">
        <v>415.74</v>
      </c>
      <c r="AE236" t="n">
        <v>52.42</v>
      </c>
      <c r="AF236" t="n">
        <v>129.18</v>
      </c>
      <c r="AG236" s="6">
        <f>IF(G236&lt;52,0,0.7)+IF(G236&lt;34,0,0.7)+IF(G236&lt;1,0,0.7)+IF(P236&gt;14.56,0,1)+IF(R236&lt;9,0.5,0)+IF(R236&lt;33.8,0.5,0)+IF(R236&lt;50,0.5,0)+IF(R236&lt;80,0.5,0)+IF(S236=5,0,S236)+IF(V236&gt;0,1,-1)+IF(AE236&lt;10.56,0,1)-IF(AE236&lt;3,1,0)-IF(AE236&lt;1,1,0)</f>
        <v/>
      </c>
      <c r="AH236" s="5">
        <f>AG236+IF(X236&lt;1.35,0,1)+IF(Y236&lt;1.35,0,1)+IF(Y236&lt;0.7,-1,0)+AC236+AA236</f>
        <v/>
      </c>
      <c r="AI236" t="n">
        <v>12.285</v>
      </c>
      <c r="AJ236" s="5">
        <f>IF(AI236&gt;12.7,IF(AI236&gt;15.8,0.93,0.98),1)</f>
        <v/>
      </c>
      <c r="AK236" s="5">
        <f>(1.5*AG236+AH236)*AJ236*AQ236</f>
        <v/>
      </c>
      <c r="AL236" s="4">
        <f>D236</f>
        <v/>
      </c>
      <c r="AM236" s="8">
        <f>B236</f>
        <v/>
      </c>
      <c r="AN236" t="n">
        <v>10</v>
      </c>
      <c r="AO236" s="61">
        <f>IF(Z236&lt;2.81,0,IF(AK236&gt;13.7,IF(Z236&lt;140,1,0),0))</f>
        <v/>
      </c>
      <c r="AP236" s="7">
        <f>IF(AK236&gt;13.93,IF(Z236&lt;300,IF(Z236&lt;35,IF(Z236&lt;6,3,2),1),0),0)</f>
        <v/>
      </c>
      <c r="AQ236" t="n">
        <v>1</v>
      </c>
      <c r="AR236" s="7">
        <f>IF(AO236=1,IF(AO236=AL236,1,0),5)</f>
        <v/>
      </c>
      <c r="AV236" s="5">
        <f>(AT236+AU236)/2</f>
        <v/>
      </c>
      <c r="AZ236" s="4">
        <f>IF(AY236&lt;-50,-4,IF(AY236&lt;-20,-2,IF(AY236&lt;0,-1,IF(AY236=0,0,IF(AY236&lt;10,1.5,IF(AY236&lt;20,2,IF(AY236&gt;19,2.5,2.5)))))))</f>
        <v/>
      </c>
    </row>
    <row r="237" ht="12.75" customHeight="1">
      <c r="A237" t="inlineStr">
        <is>
          <t>https://www.chittorgarh.com/ipo/om-galaxy-ipo/2987/</t>
        </is>
      </c>
      <c r="B237" t="inlineStr">
        <is>
          <t>Om Galaxy  Price, GMP</t>
        </is>
      </c>
      <c r="C237" t="inlineStr">
        <is>
          <t>2026</t>
        </is>
      </c>
      <c r="D237" t="n">
        <v>1</v>
      </c>
      <c r="E237" t="n">
        <v>25.13</v>
      </c>
      <c r="F237" t="n">
        <v>66.01000000000001</v>
      </c>
      <c r="G237" s="5">
        <f>100*(F237-E237)/F237</f>
        <v/>
      </c>
      <c r="H237" t="n">
        <v>142.81</v>
      </c>
      <c r="I237" t="n">
        <v>15.92</v>
      </c>
      <c r="J237" t="n">
        <v>13.42</v>
      </c>
      <c r="K237" t="n">
        <v>7.49</v>
      </c>
      <c r="L237" t="n">
        <v>22.13</v>
      </c>
      <c r="M237" t="n">
        <v>29.36</v>
      </c>
      <c r="N237" t="n">
        <v>26.33</v>
      </c>
      <c r="O237" t="n">
        <v>113.13</v>
      </c>
      <c r="P237" s="5">
        <f>O237/I237</f>
        <v/>
      </c>
      <c r="Q237" t="n">
        <v>12.02</v>
      </c>
      <c r="R237" t="n">
        <v>18.33</v>
      </c>
      <c r="S237" t="n">
        <v>-0.5</v>
      </c>
      <c r="T237" t="n">
        <v>105</v>
      </c>
      <c r="U237" t="n">
        <v>0</v>
      </c>
      <c r="V237" t="n">
        <v>1</v>
      </c>
      <c r="W237" t="n">
        <v>1</v>
      </c>
      <c r="X237" t="n">
        <v>3.11</v>
      </c>
      <c r="Y237" t="n">
        <v>0.4</v>
      </c>
      <c r="Z237" t="n">
        <v>0.1</v>
      </c>
      <c r="AA237" s="5">
        <f>IF(X237&lt;50,IF(Y237&gt;(2.3*X237),0,1),1)-IF(Z237&gt;Y237,1.7,0)</f>
        <v/>
      </c>
      <c r="AB237" t="n">
        <v>0</v>
      </c>
      <c r="AC237" s="5">
        <f>IF(AB237&gt;4,1,0)+IF(AB237&gt;10,0.7,0)</f>
        <v/>
      </c>
      <c r="AD237" t="n">
        <v>32.23</v>
      </c>
      <c r="AE237" t="n">
        <v>7.62</v>
      </c>
      <c r="AF237" t="n">
        <v>32.31</v>
      </c>
      <c r="AG237" s="6">
        <f>IF(G237&lt;52,0,0.7)+IF(G237&lt;34,0,0.7)+IF(G237&lt;1,0,0.7)+IF(P237&gt;14.56,0,1)+IF(R237&lt;9,0.5,0)+IF(R237&lt;33.8,0.5,0)+IF(R237&lt;50,0.5,0)+IF(R237&lt;80,0.5,0)+IF(S237=5,0,S237)+IF(V237&gt;0,1,-1)+IF(AE237&lt;10.56,0,1)-IF(AE237&lt;3,1,0)-IF(AE237&lt;1,1,0)</f>
        <v/>
      </c>
      <c r="AH237" s="5">
        <f>AG237+IF(X237&lt;1.35,0,1)+IF(Y237&lt;1.35,0,1)+IF(Y237&lt;0.7,-1,0)+AC237+AA237</f>
        <v/>
      </c>
      <c r="AI237" t="n">
        <v>12.285</v>
      </c>
      <c r="AJ237" s="5">
        <f>IF(AI237&gt;12.7,IF(AI237&gt;15.8,0.93,0.98),1)</f>
        <v/>
      </c>
      <c r="AK237" s="5">
        <f>(1.5*AG237+AH237)*AJ237*AQ237</f>
        <v/>
      </c>
      <c r="AL237" s="4">
        <f>D237</f>
        <v/>
      </c>
      <c r="AM237" s="8">
        <f>B237</f>
        <v/>
      </c>
      <c r="AN237" t="n">
        <v>10</v>
      </c>
      <c r="AO237" s="61">
        <f>IF(Z237&lt;2.81,0,IF(AK237&gt;13.7,IF(Z237&lt;140,1,0),0))</f>
        <v/>
      </c>
      <c r="AP237" s="7">
        <f>IF(AK237&gt;13.93,IF(Z237&lt;300,IF(Z237&lt;35,IF(Z237&lt;6,3,2),1),0),0)</f>
        <v/>
      </c>
      <c r="AQ237" t="n">
        <v>1</v>
      </c>
      <c r="AR237" s="7">
        <f>IF(AO237=1,IF(AO237=AL237,1,0),5)</f>
        <v/>
      </c>
      <c r="AV237" s="5">
        <f>(AT237+AU237)/2</f>
        <v/>
      </c>
      <c r="AZ237" s="4">
        <f>IF(AY237&lt;-50,-4,IF(AY237&lt;-20,-2,IF(AY237&lt;0,-1,IF(AY237=0,0,IF(AY237&lt;10,1.5,IF(AY237&lt;20,2,IF(AY237&gt;19,2.5,2.5)))))))</f>
        <v/>
      </c>
    </row>
    <row r="238" ht="12.75" customHeight="1">
      <c r="A238" t="inlineStr">
        <is>
          <t>https://www.chittorgarh.com/ipo/fx-multitech-ipo/2849/</t>
        </is>
      </c>
      <c r="B238" t="inlineStr">
        <is>
          <t xml:space="preserve">FX Multitech  Price, </t>
        </is>
      </c>
      <c r="C238" t="inlineStr">
        <is>
          <t>2026</t>
        </is>
      </c>
      <c r="E238" t="n">
        <v>17.32</v>
      </c>
      <c r="F238" t="n">
        <v>26.35</v>
      </c>
      <c r="G238" s="5" t="n">
        <v>34.27</v>
      </c>
      <c r="H238" t="n">
        <v>61.12</v>
      </c>
      <c r="I238" t="n">
        <v>9.640000000000001</v>
      </c>
      <c r="J238" t="n">
        <v>9.6</v>
      </c>
      <c r="K238" t="n">
        <v>10.68</v>
      </c>
      <c r="L238" t="n">
        <v>37.63</v>
      </c>
      <c r="M238" t="n">
        <v>14.17</v>
      </c>
      <c r="N238" t="n">
        <v>15.35</v>
      </c>
      <c r="O238" t="n">
        <v>102.34</v>
      </c>
      <c r="P238" s="5" t="n">
        <v>10.62</v>
      </c>
      <c r="Q238" t="n">
        <v>10.86</v>
      </c>
      <c r="R238" t="n">
        <v>14.43</v>
      </c>
      <c r="S238" t="n">
        <v>-0.5</v>
      </c>
      <c r="T238" t="n">
        <v>45.24</v>
      </c>
      <c r="U238" t="n">
        <v>0</v>
      </c>
      <c r="V238" t="n">
        <v>1</v>
      </c>
      <c r="W238" t="n">
        <v>1</v>
      </c>
      <c r="X238" t="n">
        <v>0.19</v>
      </c>
      <c r="Y238" t="n">
        <v>3.68</v>
      </c>
      <c r="Z238" t="n">
        <v>1.17</v>
      </c>
      <c r="AA238" s="5" t="n">
        <v>0</v>
      </c>
      <c r="AB238" t="n">
        <v>0</v>
      </c>
      <c r="AC238" s="5" t="n">
        <v>0</v>
      </c>
      <c r="AD238" t="n">
        <v>130.62</v>
      </c>
      <c r="AE238" t="n">
        <v>48.88</v>
      </c>
      <c r="AF238" t="n">
        <v>57.69</v>
      </c>
      <c r="AG238" s="6" t="n">
        <v>5.4</v>
      </c>
      <c r="AH238" s="5" t="n">
        <v>6.4</v>
      </c>
      <c r="AI238" t="n">
        <v>10.2975</v>
      </c>
      <c r="AJ238" s="5">
        <f>IF(AI238&gt;12.7,IF(AI238&gt;15.8,0.93,0.98),1)</f>
        <v/>
      </c>
      <c r="AK238" s="5">
        <f>(1.5*AG238+AH238)*AJ238*AQ238</f>
        <v/>
      </c>
      <c r="AL238" s="4">
        <f>D238</f>
        <v/>
      </c>
      <c r="AM238" s="8">
        <f>B238</f>
        <v/>
      </c>
      <c r="AN238" t="n">
        <v>21</v>
      </c>
      <c r="AO238" s="61">
        <f>IF(Z238&lt;2.81,0,IF(AK238&gt;13.7,IF(Z238&lt;140,1,0),0))</f>
        <v/>
      </c>
      <c r="AP238" s="7">
        <f>IF(AK238&gt;13.93,IF(Z238&lt;300,IF(Z238&lt;35,IF(Z238&lt;6,3,2),1),0),0)</f>
        <v/>
      </c>
      <c r="AQ238" t="n">
        <v>0.95</v>
      </c>
      <c r="AR238" s="7">
        <f>IF(AO238=1,IF(AO238=AL238,1,0),5)</f>
        <v/>
      </c>
      <c r="AV238" s="5">
        <f>(AT238+AU238)/2</f>
        <v/>
      </c>
      <c r="AZ238" s="4">
        <f>IF(AY238&lt;-50,-4,IF(AY238&lt;-20,-2,IF(AY238&lt;0,-1,IF(AY238=0,0,IF(AY238&lt;10,1.5,IF(AY238&lt;20,2,IF(AY238&gt;19,2.5,2.5)))))))</f>
        <v/>
      </c>
    </row>
    <row r="239" ht="12.75" customHeight="1">
      <c r="A239" t="inlineStr">
        <is>
          <t>https://www.chittorgarh.com/ipo/vivekanand-cotspin-ipo/2062/</t>
        </is>
      </c>
      <c r="B239" t="inlineStr">
        <is>
          <t>Vivekanand Cotspin  P</t>
        </is>
      </c>
      <c r="C239" t="inlineStr">
        <is>
          <t>2026</t>
        </is>
      </c>
      <c r="E239" t="n">
        <v>54.76</v>
      </c>
      <c r="F239" t="n">
        <v>17.26</v>
      </c>
      <c r="G239" s="5" t="n">
        <v>-217.27</v>
      </c>
      <c r="H239" t="n">
        <v>87.53</v>
      </c>
      <c r="I239" t="n">
        <v>4.07</v>
      </c>
      <c r="J239" t="n">
        <v>0.9</v>
      </c>
      <c r="K239" t="n">
        <v>2.27</v>
      </c>
      <c r="L239" t="n">
        <v>15.96</v>
      </c>
      <c r="M239" t="n">
        <v>14.59</v>
      </c>
      <c r="N239" t="n">
        <v>3.7</v>
      </c>
      <c r="O239" t="n">
        <v>290.94</v>
      </c>
      <c r="P239" s="5" t="n">
        <v>71.48</v>
      </c>
      <c r="Q239" t="n">
        <v>16.3</v>
      </c>
      <c r="R239" t="n">
        <v>22.84</v>
      </c>
      <c r="S239" t="n">
        <v>-0.5</v>
      </c>
      <c r="T239" t="n">
        <v>22.2</v>
      </c>
      <c r="U239" t="n">
        <v>0</v>
      </c>
      <c r="V239" t="n">
        <v>1</v>
      </c>
      <c r="W239" t="n">
        <v>1</v>
      </c>
      <c r="X239" t="n">
        <v>1.26</v>
      </c>
      <c r="Y239" t="n">
        <v>1.82</v>
      </c>
      <c r="Z239" t="n">
        <v>1.13</v>
      </c>
      <c r="AA239" s="5" t="n">
        <v>1</v>
      </c>
      <c r="AB239" t="n">
        <v>0</v>
      </c>
      <c r="AC239" s="5" t="n">
        <v>0</v>
      </c>
      <c r="AD239" t="n">
        <v>21.49</v>
      </c>
      <c r="AE239" t="n">
        <v>-18.74</v>
      </c>
      <c r="AF239" t="n">
        <v>-16.29</v>
      </c>
      <c r="AG239" s="6" t="n">
        <v>2</v>
      </c>
      <c r="AH239" s="5" t="n">
        <v>4</v>
      </c>
      <c r="AI239" t="n">
        <v>10.2975</v>
      </c>
      <c r="AJ239" s="5">
        <f>IF(AI239&gt;12.7,IF(AI239&gt;15.8,0.93,0.98),1)</f>
        <v/>
      </c>
      <c r="AK239" s="5">
        <f>(1.5*AG239+AH239)*AJ239*AQ239</f>
        <v/>
      </c>
      <c r="AL239" s="4">
        <f>D239</f>
        <v/>
      </c>
      <c r="AM239" s="8">
        <f>B239</f>
        <v/>
      </c>
      <c r="AN239" t="n">
        <v>21</v>
      </c>
      <c r="AO239" s="61">
        <f>IF(Z239&lt;2.81,0,IF(AK239&gt;13.7,IF(Z239&lt;140,1,0),0))</f>
        <v/>
      </c>
      <c r="AP239" s="7">
        <f>IF(AK239&gt;13.93,IF(Z239&lt;300,IF(Z239&lt;35,IF(Z239&lt;6,3,2),1),0),0)</f>
        <v/>
      </c>
      <c r="AQ239" t="n">
        <v>1</v>
      </c>
      <c r="AR239" s="7">
        <f>IF(AO239=1,IF(AO239=AL239,1,0),5)</f>
        <v/>
      </c>
      <c r="AV239" s="5">
        <f>(AT239+AU239)/2</f>
        <v/>
      </c>
      <c r="AZ239" s="4">
        <f>IF(AY239&lt;-50,-4,IF(AY239&lt;-20,-2,IF(AY239&lt;0,-1,IF(AY239=0,0,IF(AY239&lt;10,1.5,IF(AY239&lt;20,2,IF(AY239&gt;19,2.5,2.5)))))))</f>
        <v/>
      </c>
    </row>
    <row r="240" ht="12.75" customHeight="1">
      <c r="A240" t="inlineStr">
        <is>
          <t>https://www.chittorgarh.com/ipo/anand-seamless-ipo/3080/</t>
        </is>
      </c>
      <c r="B240" t="inlineStr">
        <is>
          <t>Anand Seamless  Price</t>
        </is>
      </c>
      <c r="C240" t="inlineStr">
        <is>
          <t>2026</t>
        </is>
      </c>
      <c r="E240" t="n">
        <v>21.22</v>
      </c>
      <c r="F240" t="n">
        <v>14.05</v>
      </c>
      <c r="G240" s="5" t="n">
        <v>-51.03</v>
      </c>
      <c r="H240" t="n">
        <v>52.4</v>
      </c>
      <c r="I240" t="n">
        <v>2.65</v>
      </c>
      <c r="J240" t="n">
        <v>9.31</v>
      </c>
      <c r="K240" t="n">
        <v>6.5</v>
      </c>
      <c r="L240" t="n">
        <v>16.57</v>
      </c>
      <c r="M240" t="n">
        <v>5.9</v>
      </c>
      <c r="N240" t="n">
        <v>16.09</v>
      </c>
      <c r="O240" t="n">
        <v>33.64</v>
      </c>
      <c r="P240" s="5" t="n">
        <v>12.69</v>
      </c>
      <c r="Q240" t="n">
        <v>11.08</v>
      </c>
      <c r="R240" t="n">
        <v>15.72</v>
      </c>
      <c r="S240" t="n">
        <v>-1</v>
      </c>
      <c r="T240" t="n">
        <v>25.52</v>
      </c>
      <c r="U240" t="n">
        <v>0</v>
      </c>
      <c r="V240" t="n">
        <v>0</v>
      </c>
      <c r="W240" t="n">
        <v>1</v>
      </c>
      <c r="X240" t="n">
        <v>0</v>
      </c>
      <c r="Y240" t="n">
        <v>1.13</v>
      </c>
      <c r="Z240" t="n">
        <v>0.12</v>
      </c>
      <c r="AA240" s="5" t="n">
        <v>0</v>
      </c>
      <c r="AB240" t="n">
        <v>0</v>
      </c>
      <c r="AC240" s="5" t="n">
        <v>0</v>
      </c>
      <c r="AD240" t="n">
        <v>-21.13</v>
      </c>
      <c r="AE240" t="n">
        <v>-9.08</v>
      </c>
      <c r="AF240" t="n">
        <v>23.25</v>
      </c>
      <c r="AG240" s="6" t="n">
        <v>2</v>
      </c>
      <c r="AH240" s="5" t="n">
        <v>2</v>
      </c>
      <c r="AI240" t="n">
        <v>10.2975</v>
      </c>
      <c r="AJ240" s="5">
        <f>IF(AI240&gt;12.7,IF(AI240&gt;15.8,0.93,0.98),1)</f>
        <v/>
      </c>
      <c r="AK240" s="5">
        <f>(1.5*AG240+AH240)*AJ240*AQ240</f>
        <v/>
      </c>
      <c r="AL240" s="4">
        <f>D240</f>
        <v/>
      </c>
      <c r="AM240" s="8">
        <f>B240</f>
        <v/>
      </c>
      <c r="AN240" t="n">
        <v>24</v>
      </c>
      <c r="AO240" s="61">
        <f>IF(Z240&lt;2.81,0,IF(AK240&gt;13.7,IF(Z240&lt;140,1,0),0))</f>
        <v/>
      </c>
      <c r="AP240" s="7">
        <f>IF(AK240&gt;13.93,IF(Z240&lt;300,IF(Z240&lt;35,IF(Z240&lt;6,3,2),1),0),0)</f>
        <v/>
      </c>
      <c r="AQ240" t="n">
        <v>1</v>
      </c>
      <c r="AR240" s="7">
        <f>IF(AO240=1,IF(AO240=AL240,1,0),5)</f>
        <v/>
      </c>
      <c r="AV240" s="5">
        <f>(AT240+AU240)/2</f>
        <v/>
      </c>
      <c r="AZ240" s="4">
        <f>IF(AY240&lt;-50,-4,IF(AY240&lt;-20,-2,IF(AY240&lt;0,-1,IF(AY240=0,0,IF(AY240&lt;10,1.5,IF(AY240&lt;20,2,IF(AY240&gt;19,2.5,2.5)))))))</f>
        <v/>
      </c>
    </row>
    <row r="241" ht="12.75" customHeight="1">
      <c r="A241" t="inlineStr">
        <is>
          <t>https://www.chittorgarh.com/ipo/himalaya-nutravedics-ipo/2970/</t>
        </is>
      </c>
      <c r="B241" t="inlineStr">
        <is>
          <t xml:space="preserve">Himalaya Nutravedics </t>
        </is>
      </c>
      <c r="C241" t="inlineStr">
        <is>
          <t>2026</t>
        </is>
      </c>
      <c r="E241" t="n">
        <v>1.76</v>
      </c>
      <c r="F241" t="n">
        <v>6.75</v>
      </c>
      <c r="G241" s="5" t="n">
        <v>73.93000000000001</v>
      </c>
      <c r="H241" t="n">
        <v>10.82</v>
      </c>
      <c r="I241" t="n">
        <v>2.23</v>
      </c>
      <c r="J241" t="n">
        <v>17.16</v>
      </c>
      <c r="K241" t="n">
        <v>11.72</v>
      </c>
      <c r="L241" t="n">
        <v>63.87</v>
      </c>
      <c r="M241" t="n">
        <v>2.99</v>
      </c>
      <c r="N241" t="n">
        <v>18.82</v>
      </c>
      <c r="O241" t="n">
        <v>21</v>
      </c>
      <c r="P241" s="5" t="n">
        <v>9.42</v>
      </c>
      <c r="Q241" t="n">
        <v>9.039999999999999</v>
      </c>
      <c r="R241" t="n">
        <v>12.63</v>
      </c>
      <c r="S241" t="n">
        <v>-0.5</v>
      </c>
      <c r="T241" t="n">
        <v>26.5</v>
      </c>
      <c r="U241" t="n">
        <v>0</v>
      </c>
      <c r="V241" t="n">
        <v>1</v>
      </c>
      <c r="W241" t="n">
        <v>1</v>
      </c>
      <c r="X241" t="n">
        <v>0</v>
      </c>
      <c r="Y241" t="n">
        <v>0.31</v>
      </c>
      <c r="Z241" t="n">
        <v>0.45</v>
      </c>
      <c r="AA241" s="5" t="n">
        <v>0</v>
      </c>
      <c r="AB241" t="n">
        <v>0</v>
      </c>
      <c r="AC241" s="5" t="n">
        <v>0</v>
      </c>
      <c r="AD241" t="n">
        <v>418.6</v>
      </c>
      <c r="AE241" t="n">
        <v>45.53</v>
      </c>
      <c r="AF241" t="n">
        <v>403.73</v>
      </c>
      <c r="AG241" s="6" t="n">
        <v>6.1</v>
      </c>
      <c r="AH241" s="5" t="n">
        <v>6.1</v>
      </c>
      <c r="AI241" t="n">
        <v>10.2975</v>
      </c>
      <c r="AJ241" s="5">
        <f>IF(AI241&gt;12.7,IF(AI241&gt;15.8,0.93,0.98),1)</f>
        <v/>
      </c>
      <c r="AK241" s="5">
        <f>(1.5*AG241+AH241)*AJ241*AQ241</f>
        <v/>
      </c>
      <c r="AL241" s="4">
        <f>D241</f>
        <v/>
      </c>
      <c r="AM241" s="8">
        <f>B241</f>
        <v/>
      </c>
      <c r="AN241" t="n">
        <v>24</v>
      </c>
      <c r="AO241" s="61">
        <f>IF(Z241&lt;2.81,0,IF(AK241&gt;13.7,IF(Z241&lt;140,1,0),0))</f>
        <v/>
      </c>
      <c r="AP241" s="7">
        <f>IF(AK241&gt;13.93,IF(Z241&lt;300,IF(Z241&lt;35,IF(Z241&lt;6,3,2),1),0),0)</f>
        <v/>
      </c>
      <c r="AQ241" t="n">
        <v>1</v>
      </c>
      <c r="AR241" s="7">
        <f>IF(AO241=1,IF(AO241=AL241,1,0),5)</f>
        <v/>
      </c>
      <c r="AV241" s="5">
        <f>(AT241+AU241)/2</f>
        <v/>
      </c>
      <c r="AZ241" s="4">
        <f>IF(AY241&lt;-50,-4,IF(AY241&lt;-20,-2,IF(AY241&lt;0,-1,IF(AY241=0,0,IF(AY241&lt;10,1.5,IF(AY241&lt;20,2,IF(AY241&gt;19,2.5,2.5)))))))</f>
        <v/>
      </c>
    </row>
    <row r="242" ht="12.75" customHeight="1">
      <c r="A242" t="inlineStr">
        <is>
          <t>https://www.chittorgarh.com/ipo/unitec-fibres-ipo/3171/</t>
        </is>
      </c>
      <c r="B242" t="inlineStr">
        <is>
          <t>Unitec Fibres  Price,</t>
        </is>
      </c>
      <c r="C242" t="inlineStr">
        <is>
          <t>2026</t>
        </is>
      </c>
      <c r="E242" t="n">
        <v>36.64</v>
      </c>
      <c r="F242" t="n">
        <v>57.4</v>
      </c>
      <c r="G242" s="5" t="n">
        <v>36.17</v>
      </c>
      <c r="H242" t="n">
        <v>122.96</v>
      </c>
      <c r="I242" t="n">
        <v>8.220000000000001</v>
      </c>
      <c r="J242" t="n">
        <v>3.39</v>
      </c>
      <c r="K242" t="n">
        <v>7.23</v>
      </c>
      <c r="L242" t="n">
        <v>12.41</v>
      </c>
      <c r="M242" t="n">
        <v>17.45</v>
      </c>
      <c r="N242" t="n">
        <v>7.03</v>
      </c>
      <c r="O242" t="n">
        <v>227.13</v>
      </c>
      <c r="P242" s="5" t="n">
        <v>27.63</v>
      </c>
      <c r="Q242" t="n">
        <v>12.17</v>
      </c>
      <c r="R242" t="n">
        <v>16.7</v>
      </c>
      <c r="S242" t="n">
        <v>-0.5</v>
      </c>
      <c r="T242" t="n">
        <v>34.47</v>
      </c>
      <c r="U242" t="n">
        <v>0</v>
      </c>
      <c r="V242" t="n">
        <v>1</v>
      </c>
      <c r="W242" t="n">
        <v>1</v>
      </c>
      <c r="X242" t="n">
        <v>0</v>
      </c>
      <c r="Y242" t="n">
        <v>0.06</v>
      </c>
      <c r="Z242" t="n">
        <v>0.05</v>
      </c>
      <c r="AA242" s="5" t="n">
        <v>0</v>
      </c>
      <c r="AB242" t="n">
        <v>0</v>
      </c>
      <c r="AC242" s="5" t="n">
        <v>0</v>
      </c>
      <c r="AD242" t="n">
        <v>10.78</v>
      </c>
      <c r="AE242" t="n">
        <v>10.8</v>
      </c>
      <c r="AF242" t="n">
        <v>16.71</v>
      </c>
      <c r="AG242" s="6" t="n">
        <v>4.4</v>
      </c>
      <c r="AH242" s="5" t="n">
        <v>4.4</v>
      </c>
      <c r="AI242" t="n">
        <v>10.2775</v>
      </c>
      <c r="AJ242" s="5">
        <f>IF(AI242&gt;12.7,IF(AI242&gt;15.8,0.93,0.98),1)</f>
        <v/>
      </c>
      <c r="AK242" s="5">
        <f>(1.5*AG242+AH242)*AJ242*AQ242</f>
        <v/>
      </c>
      <c r="AL242" s="4">
        <f>D242</f>
        <v/>
      </c>
      <c r="AM242" s="8">
        <f>B242</f>
        <v/>
      </c>
      <c r="AN242" t="n">
        <v>25</v>
      </c>
      <c r="AO242" s="61">
        <f>IF(Z242&lt;2.81,0,IF(AK242&gt;13.7,IF(Z242&lt;140,1,0),0))</f>
        <v/>
      </c>
      <c r="AP242" s="7">
        <f>IF(AK242&gt;13.93,IF(Z242&lt;300,IF(Z242&lt;35,IF(Z242&lt;6,3,2),1),0),0)</f>
        <v/>
      </c>
      <c r="AQ242" t="n">
        <v>1</v>
      </c>
      <c r="AR242" s="7">
        <f>IF(AO242=1,IF(AO242=AL242,1,0),5)</f>
        <v/>
      </c>
      <c r="AV242" s="5">
        <f>(AT242+AU242)/2</f>
        <v/>
      </c>
      <c r="AZ242" s="4">
        <f>IF(AY242&lt;-50,-4,IF(AY242&lt;-20,-2,IF(AY242&lt;0,-1,IF(AY242=0,0,IF(AY242&lt;10,1.5,IF(AY242&lt;20,2,IF(AY242&gt;19,2.5,2.5)))))))</f>
        <v/>
      </c>
    </row>
    <row r="243" ht="12.75" customHeight="1">
      <c r="A243" t="inlineStr">
        <is>
          <t>https://www.chittorgarh.com/ipo/liqvd-digital-ipo/2750/</t>
        </is>
      </c>
      <c r="B243" t="inlineStr">
        <is>
          <t>Liqvd Digital  Price,</t>
        </is>
      </c>
      <c r="C243" t="inlineStr">
        <is>
          <t>2026</t>
        </is>
      </c>
      <c r="E243" t="n">
        <v>0</v>
      </c>
      <c r="F243" t="n">
        <v>0</v>
      </c>
      <c r="G243" s="5" t="n">
        <v>0</v>
      </c>
      <c r="H243" t="n">
        <v>0</v>
      </c>
      <c r="I243" t="n">
        <v>0</v>
      </c>
      <c r="J243" t="n">
        <v>13.32</v>
      </c>
      <c r="K243" t="n">
        <v>5.03</v>
      </c>
      <c r="L243" t="n">
        <v>25.36</v>
      </c>
      <c r="M243" t="n">
        <v>0</v>
      </c>
      <c r="N243" t="n">
        <v>18.69</v>
      </c>
      <c r="O243" t="n">
        <v>0</v>
      </c>
      <c r="P243" s="5" t="n">
        <v>0</v>
      </c>
      <c r="Q243" t="n">
        <v>10.74</v>
      </c>
      <c r="R243" t="n">
        <v>14.96</v>
      </c>
      <c r="S243" t="n">
        <v>-1</v>
      </c>
      <c r="T243" t="n">
        <v>39.01</v>
      </c>
      <c r="U243" t="n">
        <v>0</v>
      </c>
      <c r="V243" t="n">
        <v>0</v>
      </c>
      <c r="W243" t="n">
        <v>1</v>
      </c>
      <c r="X243" t="n">
        <v>1</v>
      </c>
      <c r="Y243" t="n">
        <v>1.31</v>
      </c>
      <c r="Z243" t="n">
        <v>0.02</v>
      </c>
      <c r="AA243" s="5" t="n">
        <v>1</v>
      </c>
      <c r="AB243" t="n">
        <v>0</v>
      </c>
      <c r="AC243" s="5" t="n">
        <v>0</v>
      </c>
      <c r="AD243" t="n">
        <v>0</v>
      </c>
      <c r="AE243" t="n">
        <v>0</v>
      </c>
      <c r="AF243" t="n">
        <v>0</v>
      </c>
      <c r="AG243" s="6" t="n">
        <v>2</v>
      </c>
      <c r="AH243" s="5" t="n">
        <v>3</v>
      </c>
      <c r="AI243" t="n">
        <v>10.2875</v>
      </c>
      <c r="AJ243" s="5">
        <f>IF(AI243&gt;12.7,IF(AI243&gt;15.8,0.93,0.98),1)</f>
        <v/>
      </c>
      <c r="AK243" s="5">
        <f>(1.5*AG243+AH243)*AJ243*AQ243</f>
        <v/>
      </c>
      <c r="AL243" s="4">
        <f>D243</f>
        <v/>
      </c>
      <c r="AM243" s="8">
        <f>B243</f>
        <v/>
      </c>
      <c r="AN243" t="n">
        <v>25</v>
      </c>
      <c r="AO243" s="61">
        <f>IF(Z243&lt;2.81,0,IF(AK243&gt;13.7,IF(Z243&lt;140,1,0),0))</f>
        <v/>
      </c>
      <c r="AP243" s="7">
        <f>IF(AK243&gt;13.93,IF(Z243&lt;300,IF(Z243&lt;35,IF(Z243&lt;6,3,2),1),0),0)</f>
        <v/>
      </c>
      <c r="AQ243" t="n">
        <v>0.95</v>
      </c>
      <c r="AR243" s="7">
        <f>IF(AO243=1,IF(AO243=AL243,1,0),5)</f>
        <v/>
      </c>
      <c r="AV243" s="5">
        <f>(AT243+AU243)/2</f>
        <v/>
      </c>
      <c r="AZ243" s="4">
        <f>IF(AY243&lt;-50,-4,IF(AY243&lt;-20,-2,IF(AY243&lt;0,-1,IF(AY243=0,0,IF(AY243&lt;10,1.5,IF(AY243&lt;20,2,IF(AY243&gt;19,2.5,2.5)))))))</f>
        <v/>
      </c>
    </row>
    <row r="244" ht="12.75" customHeight="1">
      <c r="A244" t="inlineStr">
        <is>
          <t>https://www.chittorgarh.com/ipo/pooja-logistics-ipo/2724/</t>
        </is>
      </c>
      <c r="B244" t="inlineStr">
        <is>
          <t>Pooja Logistics  Pric</t>
        </is>
      </c>
      <c r="C244" t="inlineStr">
        <is>
          <t>2026</t>
        </is>
      </c>
      <c r="E244" t="n">
        <v>29</v>
      </c>
      <c r="F244" t="n">
        <v>25.85</v>
      </c>
      <c r="G244" s="5" t="n">
        <v>-12.19</v>
      </c>
      <c r="H244" t="n">
        <v>70.06</v>
      </c>
      <c r="I244" t="n">
        <v>11.02</v>
      </c>
      <c r="J244" t="n">
        <v>7.41</v>
      </c>
      <c r="K244" t="n">
        <v>11.82</v>
      </c>
      <c r="L244" t="n">
        <v>0</v>
      </c>
      <c r="M244" t="n">
        <v>23.09</v>
      </c>
      <c r="N244" t="n">
        <v>15.52</v>
      </c>
      <c r="O244" t="n">
        <v>150.49</v>
      </c>
      <c r="P244" s="5" t="n">
        <v>13.66</v>
      </c>
      <c r="Q244" t="n">
        <v>9.73</v>
      </c>
      <c r="R244" t="n">
        <v>13.31</v>
      </c>
      <c r="S244" t="n">
        <v>-1</v>
      </c>
      <c r="T244" t="n">
        <v>44.23</v>
      </c>
      <c r="U244" t="n">
        <v>0</v>
      </c>
      <c r="V244" t="n">
        <v>1</v>
      </c>
      <c r="W244" t="n">
        <v>1</v>
      </c>
      <c r="X244" t="n">
        <v>0</v>
      </c>
      <c r="Y244" t="n">
        <v>0.19</v>
      </c>
      <c r="Z244" t="n">
        <v>0.38</v>
      </c>
      <c r="AA244" s="5" t="n">
        <v>0</v>
      </c>
      <c r="AB244" t="n">
        <v>0</v>
      </c>
      <c r="AC244" s="5" t="n">
        <v>0</v>
      </c>
      <c r="AD244" t="n">
        <v>92.31999999999999</v>
      </c>
      <c r="AE244" t="n">
        <v>20.26</v>
      </c>
      <c r="AF244" t="n">
        <v>74.31</v>
      </c>
      <c r="AG244" s="6" t="n">
        <v>4</v>
      </c>
      <c r="AH244" s="5" t="n">
        <v>4</v>
      </c>
      <c r="AI244" t="n">
        <v>10.2975</v>
      </c>
      <c r="AJ244" s="5">
        <f>IF(AI244&gt;12.7,IF(AI244&gt;15.8,0.93,0.98),1)</f>
        <v/>
      </c>
      <c r="AK244" s="5">
        <f>(1.5*AG244+AH244)*AJ244*AQ244</f>
        <v/>
      </c>
      <c r="AL244" s="4">
        <f>D244</f>
        <v/>
      </c>
      <c r="AM244" s="8">
        <f>B244</f>
        <v/>
      </c>
      <c r="AN244" t="n">
        <v>25</v>
      </c>
      <c r="AO244" s="61">
        <f>IF(Z244&lt;2.81,0,IF(AK244&gt;13.7,IF(Z244&lt;140,1,0),0))</f>
        <v/>
      </c>
      <c r="AP244" s="7">
        <f>IF(AK244&gt;13.93,IF(Z244&lt;300,IF(Z244&lt;35,IF(Z244&lt;6,3,2),1),0),0)</f>
        <v/>
      </c>
      <c r="AQ244" t="n">
        <v>1</v>
      </c>
      <c r="AR244" s="7">
        <f>IF(AO244=1,IF(AO244=AL244,1,0),5)</f>
        <v/>
      </c>
      <c r="AV244" s="5">
        <f>(AT244+AU244)/2</f>
        <v/>
      </c>
      <c r="AZ244" s="4">
        <f>IF(AY244&lt;-50,-4,IF(AY244&lt;-20,-2,IF(AY244&lt;0,-1,IF(AY244=0,0,IF(AY244&lt;10,1.5,IF(AY244&lt;20,2,IF(AY244&gt;19,2.5,2.5)))))))</f>
        <v/>
      </c>
    </row>
    <row r="245" ht="12.75" customHeight="1">
      <c r="A245" t="inlineStr">
        <is>
          <t>https://www.chittorgarh.com/ipo/core-integra-consulting-ipo/2605/</t>
        </is>
      </c>
      <c r="B245" t="inlineStr">
        <is>
          <t>Coreintegra Consultin</t>
        </is>
      </c>
      <c r="C245" t="inlineStr">
        <is>
          <t>2026</t>
        </is>
      </c>
      <c r="E245" t="n">
        <v>0</v>
      </c>
      <c r="F245" t="n">
        <v>22.89</v>
      </c>
      <c r="G245" s="5" t="n">
        <v>100</v>
      </c>
      <c r="H245" t="n">
        <v>56.8</v>
      </c>
      <c r="I245" t="n">
        <v>3.46</v>
      </c>
      <c r="J245" t="n">
        <v>0.87</v>
      </c>
      <c r="K245" t="n">
        <v>5.88</v>
      </c>
      <c r="L245" t="n">
        <v>17.94</v>
      </c>
      <c r="M245" t="n">
        <v>4.2</v>
      </c>
      <c r="N245" t="n">
        <v>1.17</v>
      </c>
      <c r="O245" t="n">
        <v>404.39</v>
      </c>
      <c r="P245" s="5" t="n">
        <v>116.88</v>
      </c>
      <c r="Q245" t="n">
        <v>13.27</v>
      </c>
      <c r="R245" t="n">
        <v>18.14</v>
      </c>
      <c r="S245" t="n">
        <v>-0.5</v>
      </c>
      <c r="T245" t="n">
        <v>21.99</v>
      </c>
      <c r="U245" t="n">
        <v>0</v>
      </c>
      <c r="V245" t="n">
        <v>0</v>
      </c>
      <c r="W245" t="n">
        <v>1</v>
      </c>
      <c r="X245" t="n">
        <v>1.05</v>
      </c>
      <c r="Y245" t="n">
        <v>0</v>
      </c>
      <c r="Z245" t="n">
        <v>0.02</v>
      </c>
      <c r="AA245" s="5" t="n">
        <v>1</v>
      </c>
      <c r="AB245" t="n">
        <v>0</v>
      </c>
      <c r="AC245" s="5" t="n">
        <v>0</v>
      </c>
      <c r="AD245" t="n">
        <v>-29.96</v>
      </c>
      <c r="AE245" t="n">
        <v>9.76</v>
      </c>
      <c r="AF245" t="n">
        <v>17.81</v>
      </c>
      <c r="AG245" s="6" t="n">
        <v>3.1</v>
      </c>
      <c r="AH245" s="5" t="n">
        <v>4.1</v>
      </c>
      <c r="AI245" t="n">
        <v>10.2975</v>
      </c>
      <c r="AJ245" s="5">
        <f>IF(AI245&gt;12.7,IF(AI245&gt;15.8,0.93,0.98),1)</f>
        <v/>
      </c>
      <c r="AK245" s="5">
        <f>(1.5*AG245+AH245)*AJ245*AQ245</f>
        <v/>
      </c>
      <c r="AL245" s="4">
        <f>D245</f>
        <v/>
      </c>
      <c r="AM245" s="8">
        <f>B245</f>
        <v/>
      </c>
      <c r="AN245" t="n">
        <v>25</v>
      </c>
      <c r="AO245" s="61">
        <f>IF(Z245&lt;2.81,0,IF(AK245&gt;13.7,IF(Z245&lt;140,1,0),0))</f>
        <v/>
      </c>
      <c r="AP245" s="7">
        <f>IF(AK245&gt;13.93,IF(Z245&lt;140,IF(Z245&lt;35,IF(Z245&lt;6,3,2),1),0),0)</f>
        <v/>
      </c>
      <c r="AQ245" t="n">
        <v>0.95</v>
      </c>
      <c r="AR245" s="7">
        <f>IF(AO245=1,IF(AO245=AL245,1,0),5)</f>
        <v/>
      </c>
      <c r="AV245" s="5">
        <f>(AT245+AU245)/2</f>
        <v/>
      </c>
      <c r="AZ245" s="4">
        <f>IF(AY245&lt;-50,-4,IF(AY245&lt;-20,-2,IF(AY245&lt;0,-1,IF(AY245=0,0,IF(AY245&lt;10,1.5,IF(AY245&lt;20,2,IF(AY245&gt;19,2.5,2.5)))))))</f>
        <v/>
      </c>
    </row>
    <row r="246" ht="12.75" customHeight="1">
      <c r="A246" t="inlineStr">
        <is>
          <t>https://www.chittorgarh.com/ipo/green-asia-impex-ipo/2963/</t>
        </is>
      </c>
      <c r="B246" t="inlineStr">
        <is>
          <t>Green Asia Impex  Pri</t>
        </is>
      </c>
      <c r="C246" t="inlineStr">
        <is>
          <t>2026</t>
        </is>
      </c>
      <c r="E246" t="n">
        <v>74.92</v>
      </c>
      <c r="F246" t="n">
        <v>25.81</v>
      </c>
      <c r="G246" s="5">
        <f>100*(F246-E246)/F246</f>
        <v/>
      </c>
      <c r="H246" t="n">
        <v>177.95</v>
      </c>
      <c r="I246" t="n">
        <v>10.35</v>
      </c>
      <c r="J246" t="n">
        <v>3.07</v>
      </c>
      <c r="K246" t="n">
        <v>10.1</v>
      </c>
      <c r="L246" t="n">
        <v>50.16</v>
      </c>
      <c r="M246" t="n">
        <v>20.74</v>
      </c>
      <c r="N246" t="n">
        <v>6.14</v>
      </c>
      <c r="O246" t="n">
        <v>339.65</v>
      </c>
      <c r="P246" s="5">
        <f>O246/I246</f>
        <v/>
      </c>
      <c r="Q246" t="n">
        <v>8.91</v>
      </c>
      <c r="R246" t="n">
        <v>12.31</v>
      </c>
      <c r="S246" t="n">
        <v>-1</v>
      </c>
      <c r="T246" t="n">
        <v>60.1</v>
      </c>
      <c r="U246" t="n">
        <v>0</v>
      </c>
      <c r="V246" t="n">
        <v>0</v>
      </c>
      <c r="W246" t="n">
        <v>1</v>
      </c>
      <c r="X246" t="n">
        <v>0</v>
      </c>
      <c r="Y246" t="n">
        <v>0</v>
      </c>
      <c r="Z246" t="n">
        <v>0</v>
      </c>
      <c r="AA246" s="5">
        <f>IF(X246&lt;50,IF(Y246&gt;(2.3*X246),0,1),1)-IF(Z246&gt;Y246,1.7,0)</f>
        <v/>
      </c>
      <c r="AB246" t="n">
        <v>0</v>
      </c>
      <c r="AC246" s="5">
        <f>IF(AB246&gt;4,1,0)+IF(AB246&gt;10,0.7,0)</f>
        <v/>
      </c>
      <c r="AD246" t="n">
        <v>55.41</v>
      </c>
      <c r="AE246" t="n">
        <v>6.76</v>
      </c>
      <c r="AF246" t="n">
        <v>66.95</v>
      </c>
      <c r="AG246" s="6">
        <f>IF(G246&lt;52,0,0.7)+IF(G246&lt;34,0,0.7)+IF(G246&lt;1,0,0.7)+IF(P246&gt;14.56,0,1)+IF(R246&lt;9,0.5,0)+IF(R246&lt;33.8,0.5,0)+IF(R246&lt;50,0.5,0)+IF(R246&lt;80,0.5,0)+IF(S246=5,0,S246)+IF(V246&gt;0,1,-1)+IF(AE246&lt;10.56,0,1)-IF(AE246&lt;3,1,0)-IF(AE246&lt;1,1,0)</f>
        <v/>
      </c>
      <c r="AH246" s="5">
        <f>AG246+IF(X246&lt;1.35,0,1)+IF(Y246&lt;1.35,0,1)+IF(Y246&lt;0.7,-1,0)+AC246+AA246</f>
        <v/>
      </c>
      <c r="AI246" t="n">
        <v>10.2775</v>
      </c>
      <c r="AJ246" s="5">
        <f>IF(AI246&gt;12.7,IF(AI246&gt;15.8,0.93,0.98),1)</f>
        <v/>
      </c>
      <c r="AK246" s="5">
        <f>(1.5*AG246+AH246)*AJ246*AQ246</f>
        <v/>
      </c>
      <c r="AL246" s="4">
        <f>D246</f>
        <v/>
      </c>
      <c r="AM246" s="8">
        <f>B246</f>
        <v/>
      </c>
      <c r="AN246" t="n">
        <v>28</v>
      </c>
      <c r="AO246" s="61">
        <f>IF(Z246&lt;2.81,0,IF(AK246&gt;13.7,IF(Z246&lt;140,1,0),0))</f>
        <v/>
      </c>
      <c r="AP246" s="7">
        <f>IF(AK246&gt;13.93,IF(Z246&lt;140,IF(Z246&lt;35,IF(Z246&lt;6,3,2),1),0),0)</f>
        <v/>
      </c>
      <c r="AQ246" t="n">
        <v>1</v>
      </c>
      <c r="AR246" s="7">
        <f>IF(AO246=1,IF(AO246=AL246,1,0),5)</f>
        <v/>
      </c>
      <c r="AV246" s="5">
        <f>(AT246+AU246)/2</f>
        <v/>
      </c>
      <c r="AZ246" s="4">
        <f>IF(AY246&lt;-50,-4,IF(AY246&lt;-20,-2,IF(AY246&lt;0,-1,IF(AY246=0,0,IF(AY246&lt;10,1.5,IF(AY246&lt;20,2,IF(AY246&gt;19,2.5,2.5)))))))</f>
        <v/>
      </c>
    </row>
    <row r="247" ht="12.75" customHeight="1">
      <c r="A247" t="inlineStr">
        <is>
          <t>https://www.chittorgarh.com/ipo/peshwa-wheat-ipo/2809/</t>
        </is>
      </c>
      <c r="B247" t="inlineStr">
        <is>
          <t xml:space="preserve">Peshwa Wheat  Price, </t>
        </is>
      </c>
      <c r="C247" t="inlineStr">
        <is>
          <t>2026</t>
        </is>
      </c>
      <c r="E247" t="n">
        <v>22.6</v>
      </c>
      <c r="F247" t="n">
        <v>27.26</v>
      </c>
      <c r="G247" s="5">
        <f>100*(F247-E247)/F247</f>
        <v/>
      </c>
      <c r="H247" t="n">
        <v>65.95</v>
      </c>
      <c r="I247" t="n">
        <v>11.84</v>
      </c>
      <c r="J247" t="n">
        <v>7.32</v>
      </c>
      <c r="K247" t="n">
        <v>11.51</v>
      </c>
      <c r="L247" t="n">
        <v>44.96</v>
      </c>
      <c r="M247" t="n">
        <v>18.05</v>
      </c>
      <c r="N247" t="n">
        <v>10.53</v>
      </c>
      <c r="O247" t="n">
        <v>171.55</v>
      </c>
      <c r="P247" s="5">
        <f>O247/I247</f>
        <v/>
      </c>
      <c r="Q247" t="n">
        <v>8.77</v>
      </c>
      <c r="R247" t="n">
        <v>12.15</v>
      </c>
      <c r="S247" t="n">
        <v>-0.5</v>
      </c>
      <c r="T247" t="n">
        <v>53.52</v>
      </c>
      <c r="U247" t="n">
        <v>0</v>
      </c>
      <c r="V247" t="n">
        <v>0</v>
      </c>
      <c r="W247" t="n">
        <v>1</v>
      </c>
      <c r="X247" t="n">
        <v>0</v>
      </c>
      <c r="Y247" t="n">
        <v>0</v>
      </c>
      <c r="Z247" t="n">
        <v>0</v>
      </c>
      <c r="AA247" s="5">
        <f>IF(X247&lt;50,IF(Y247&gt;(2.3*X247),0,1),1)-IF(Z247&gt;Y247,1.7,0)</f>
        <v/>
      </c>
      <c r="AB247" t="n">
        <v>0</v>
      </c>
      <c r="AC247" s="5">
        <f>IF(AB247&gt;4,1,0)+IF(AB247&gt;10,0.7,0)</f>
        <v/>
      </c>
      <c r="AD247" t="n">
        <v>127.26</v>
      </c>
      <c r="AE247" t="n">
        <v>291.58</v>
      </c>
      <c r="AF247" t="n">
        <v>76.78</v>
      </c>
      <c r="AG247" s="6">
        <f>IF(G247&lt;52,0,0.7)+IF(G247&lt;34,0,0.7)+IF(G247&lt;1,0,0.7)+IF(P247&gt;14.56,0,1)+IF(R247&lt;9,0.5,0)+IF(R247&lt;33.8,0.5,0)+IF(R247&lt;50,0.5,0)+IF(R247&lt;80,0.5,0)+IF(S247=5,0,S247)+IF(V247&gt;0,1,-1)+IF(AE247&lt;10.56,0,1)-IF(AE247&lt;3,1,0)-IF(AE247&lt;1,1,0)</f>
        <v/>
      </c>
      <c r="AH247" s="5">
        <f>AG247+IF(X247&lt;1.35,0,1)+IF(Y247&lt;1.35,0,1)+IF(Y247&lt;0.7,-1,0)+AC247+AA247</f>
        <v/>
      </c>
      <c r="AI247" t="n">
        <v>10.2675</v>
      </c>
      <c r="AJ247" s="5">
        <f>IF(AI247&gt;12.7,IF(AI247&gt;15.8,0.93,0.98),1)</f>
        <v/>
      </c>
      <c r="AK247" s="5">
        <f>(1.5*AG247+AH247)*AJ247*AQ247</f>
        <v/>
      </c>
      <c r="AL247" s="4">
        <f>D247</f>
        <v/>
      </c>
      <c r="AM247" s="8">
        <f>B247</f>
        <v/>
      </c>
      <c r="AN247" t="n">
        <v>28</v>
      </c>
      <c r="AO247" s="61">
        <f>IF(Z247&lt;2.81,0,IF(AK247&gt;13.7,IF(Z247&lt;140,1,0),0))</f>
        <v/>
      </c>
      <c r="AP247" s="7">
        <f>IF(AK247&gt;13.93,IF(Z247&lt;140,IF(Z247&lt;35,IF(Z247&lt;6,3,2),1),0),0)</f>
        <v/>
      </c>
      <c r="AQ247" t="n">
        <v>1</v>
      </c>
      <c r="AR247" s="7">
        <f>IF(AO247=1,IF(AO247=AL247,1,0),5)</f>
        <v/>
      </c>
      <c r="AV247" s="5">
        <f>(AT247+AU247)/2</f>
        <v/>
      </c>
      <c r="AZ247" s="4">
        <f>IF(AY247&lt;-50,-4,IF(AY247&lt;-20,-2,IF(AY247&lt;0,-1,IF(AY247=0,0,IF(AY247&lt;10,1.5,IF(AY247&lt;20,2,IF(AY247&gt;19,2.5,2.5)))))))</f>
        <v/>
      </c>
    </row>
    <row r="248" ht="12.75" customHeight="1">
      <c r="A248" t="inlineStr">
        <is>
          <t>https://www.chittorgarh.com/ipo/roopa-screen-ipo/2651/</t>
        </is>
      </c>
      <c r="B248" t="inlineStr">
        <is>
          <t xml:space="preserve">Roopa Screen  Price, </t>
        </is>
      </c>
      <c r="C248" t="inlineStr">
        <is>
          <t>2026</t>
        </is>
      </c>
      <c r="E248" t="n">
        <v>7.03</v>
      </c>
      <c r="F248" t="n">
        <v>9.890000000000001</v>
      </c>
      <c r="G248" s="5">
        <f>100*(F248-E248)/F248</f>
        <v/>
      </c>
      <c r="H248" t="n">
        <v>22.47</v>
      </c>
      <c r="I248" t="n">
        <v>4.69</v>
      </c>
      <c r="J248" t="n">
        <v>12.78</v>
      </c>
      <c r="K248" t="n">
        <v>8.039999999999999</v>
      </c>
      <c r="L248" t="n">
        <v>49.37</v>
      </c>
      <c r="M248" t="n">
        <v>8.130000000000001</v>
      </c>
      <c r="N248" t="n">
        <v>19.72</v>
      </c>
      <c r="O248" t="n">
        <v>45.63</v>
      </c>
      <c r="P248" s="5">
        <f>O248/I248</f>
        <v/>
      </c>
      <c r="Q248" t="n">
        <v>7.96</v>
      </c>
      <c r="R248" t="n">
        <v>10.92</v>
      </c>
      <c r="S248" t="n">
        <v>-0.5</v>
      </c>
      <c r="T248" t="n">
        <v>19.2</v>
      </c>
      <c r="U248" t="n">
        <v>0</v>
      </c>
      <c r="V248" t="n">
        <v>1</v>
      </c>
      <c r="W248" t="n">
        <v>1</v>
      </c>
      <c r="X248" t="n">
        <v>0</v>
      </c>
      <c r="Y248" t="n">
        <v>0</v>
      </c>
      <c r="Z248" t="n">
        <v>0</v>
      </c>
      <c r="AA248" s="5">
        <f>IF(X248&lt;50,IF(Y248&gt;(2.3*X248),0,1),1)-IF(Z248&gt;Y248,1.7,0)</f>
        <v/>
      </c>
      <c r="AB248" t="n">
        <v>21.88</v>
      </c>
      <c r="AC248" s="5">
        <f>IF(AB248&gt;4,1,0)+IF(AB248&gt;10,0.7,0)</f>
        <v/>
      </c>
      <c r="AD248" t="n">
        <v>212.67</v>
      </c>
      <c r="AE248" t="n">
        <v>27.28</v>
      </c>
      <c r="AF248" t="n">
        <v>89.83</v>
      </c>
      <c r="AG248" s="6">
        <f>IF(G248&lt;52,0,0.7)+IF(G248&lt;34,0,0.7)+IF(G248&lt;1,0,0.7)+IF(P248&gt;14.56,0,1)+IF(R248&lt;9,0.5,0)+IF(R248&lt;33.8,0.5,0)+IF(R248&lt;50,0.5,0)+IF(R248&lt;80,0.5,0)+IF(S248=5,0,S248)+IF(V248&gt;0,1,-1)+IF(AE248&lt;10.56,0,1)-IF(AE248&lt;3,1,0)-IF(AE248&lt;1,1,0)</f>
        <v/>
      </c>
      <c r="AH248" s="5">
        <f>AG248+IF(X248&lt;1.35,0,1)+IF(Y248&lt;1.35,0,1)+IF(Y248&lt;0.7,-1,0)+AC248+AA248</f>
        <v/>
      </c>
      <c r="AI248" t="n">
        <v>10.2675</v>
      </c>
      <c r="AJ248" s="5">
        <f>IF(AI248&gt;12.7,IF(AI248&gt;15.8,0.93,0.98),1)</f>
        <v/>
      </c>
      <c r="AK248" s="5">
        <f>(1.5*AG248+AH248)*AJ248*AQ248</f>
        <v/>
      </c>
      <c r="AL248" s="4">
        <f>D248</f>
        <v/>
      </c>
      <c r="AM248" s="8">
        <f>B248</f>
        <v/>
      </c>
      <c r="AN248" t="n">
        <v>28</v>
      </c>
      <c r="AO248" s="61">
        <f>IF(Z248&lt;2.81,0,IF(AK248&gt;13.7,IF(Z248&lt;140,1,0),0))</f>
        <v/>
      </c>
      <c r="AP248" s="7">
        <f>IF(AK248&gt;13.93,IF(Z248&lt;140,IF(Z248&lt;35,IF(Z248&lt;6,3,2),1),0),0)</f>
        <v/>
      </c>
      <c r="AQ248" t="n">
        <v>1</v>
      </c>
      <c r="AR248" s="7">
        <f>IF(AO248=1,IF(AO248=AL248,1,0),5)</f>
        <v/>
      </c>
      <c r="AV248" s="5">
        <f>(AT248+AU248)/2</f>
        <v/>
      </c>
      <c r="AZ248" s="4">
        <f>IF(AY248&lt;-50,-4,IF(AY248&lt;-20,-2,IF(AY248&lt;0,-1,IF(AY248=0,0,IF(AY248&lt;10,1.5,IF(AY248&lt;20,2,IF(AY248&gt;19,2.5,2.5)))))))</f>
        <v/>
      </c>
    </row>
    <row r="249" ht="12.75" customHeight="1">
      <c r="A249" t="inlineStr">
        <is>
          <t>https://www.chittorgarh.com/ipo/bench-mark-infotech-services-ipo/3212/</t>
        </is>
      </c>
      <c r="B249" t="inlineStr">
        <is>
          <t>Bench Mark Infotech S</t>
        </is>
      </c>
      <c r="C249" t="inlineStr">
        <is>
          <t>2026</t>
        </is>
      </c>
      <c r="E249" t="n">
        <v>0.78</v>
      </c>
      <c r="F249" t="n">
        <v>16.33</v>
      </c>
      <c r="G249" s="5">
        <f>100*(F249-E249)/F249</f>
        <v/>
      </c>
      <c r="H249" t="n">
        <v>60.39</v>
      </c>
      <c r="I249" t="n">
        <v>5.83</v>
      </c>
      <c r="J249" t="n">
        <v>16.88</v>
      </c>
      <c r="K249" t="n">
        <v>9.4</v>
      </c>
      <c r="L249" t="n">
        <v>47.65</v>
      </c>
      <c r="M249" t="n">
        <v>8.279999999999999</v>
      </c>
      <c r="N249" t="n">
        <v>21.97</v>
      </c>
      <c r="O249" t="n">
        <v>50.8</v>
      </c>
      <c r="P249" s="5">
        <f>O249/I249</f>
        <v/>
      </c>
      <c r="Q249" t="n">
        <v>11.7</v>
      </c>
      <c r="R249" t="n">
        <v>15.36</v>
      </c>
      <c r="S249" t="n">
        <v>-1</v>
      </c>
      <c r="T249" t="n">
        <v>42.44</v>
      </c>
      <c r="U249" t="n">
        <v>0</v>
      </c>
      <c r="V249" t="n">
        <v>1</v>
      </c>
      <c r="W249" t="n">
        <v>1</v>
      </c>
      <c r="X249" t="n">
        <v>0</v>
      </c>
      <c r="Y249" t="n">
        <v>0</v>
      </c>
      <c r="Z249" t="n">
        <v>0</v>
      </c>
      <c r="AA249" s="5">
        <f>IF(X249&lt;50,IF(Y249&gt;(2.3*X249),0,1),1)-IF(Z249&gt;Y249,1.7,0)</f>
        <v/>
      </c>
      <c r="AB249" t="n">
        <v>10.91</v>
      </c>
      <c r="AC249" s="5">
        <f>IF(AB249&gt;4,1,0)+IF(AB249&gt;10,0.7,0)</f>
        <v/>
      </c>
      <c r="AD249" t="n">
        <v>293.92</v>
      </c>
      <c r="AE249" t="n">
        <v>46.14</v>
      </c>
      <c r="AF249" t="n">
        <v>55.52</v>
      </c>
      <c r="AG249" s="6">
        <f>IF(G249&lt;52,0,0.7)+IF(G249&lt;34,0,0.7)+IF(G249&lt;1,0,0.7)+IF(P249&gt;14.56,0,1)+IF(R249&lt;9,0.5,0)+IF(R249&lt;33.8,0.5,0)+IF(R249&lt;50,0.5,0)+IF(R249&lt;80,0.5,0)+IF(S249=5,0,S249)+IF(V249&gt;0,1,-1)+IF(AE249&lt;10.56,0,1)-IF(AE249&lt;3,1,0)-IF(AE249&lt;1,1,0)</f>
        <v/>
      </c>
      <c r="AH249" s="5">
        <f>AG249+IF(X249&lt;1.35,0,1)+IF(Y249&lt;1.35,0,1)+IF(Y249&lt;0.7,-1,0)+AC249+AA249</f>
        <v/>
      </c>
      <c r="AI249" t="n">
        <v>10.2675</v>
      </c>
      <c r="AJ249" s="5">
        <f>IF(AI249&gt;12.7,IF(AI249&gt;15.8,0.93,0.98),1)</f>
        <v/>
      </c>
      <c r="AK249" s="5">
        <f>(1.5*AG249+AH249)*AJ249*AQ249</f>
        <v/>
      </c>
      <c r="AL249" s="4">
        <f>D249</f>
        <v/>
      </c>
      <c r="AM249" s="8">
        <f>B249</f>
        <v/>
      </c>
      <c r="AN249" t="n">
        <v>29</v>
      </c>
      <c r="AO249" s="61">
        <f>IF(Z249&lt;2.81,0,IF(AK249&gt;13.7,IF(Z249&lt;140,1,0),0))</f>
        <v/>
      </c>
      <c r="AP249" s="7">
        <f>IF(AK249&gt;13.93,IF(Z249&lt;140,IF(Z249&lt;35,IF(Z249&lt;6,3,2),1),0),0)</f>
        <v/>
      </c>
      <c r="AQ249" t="n">
        <v>0.95</v>
      </c>
      <c r="AR249" s="7">
        <f>IF(AO249=1,IF(AO249=AL249,1,0),5)</f>
        <v/>
      </c>
      <c r="AV249" s="5">
        <f>(AT249+AU249)/2</f>
        <v/>
      </c>
      <c r="AZ249" s="4">
        <f>IF(AY249&lt;-50,-4,IF(AY249&lt;-20,-2,IF(AY249&lt;0,-1,IF(AY249=0,0,IF(AY249&lt;10,1.5,IF(AY249&lt;20,2,IF(AY249&gt;19,2.5,2.5)))))))</f>
        <v/>
      </c>
    </row>
    <row r="250" ht="12.75" customHeight="1">
      <c r="A250" t="inlineStr">
        <is>
          <t>https://www.chittorgarh.com/ipo/shree-tnb-polymers-ipo/3095/</t>
        </is>
      </c>
      <c r="B250" t="inlineStr">
        <is>
          <t>Shree TNB Polymers  P</t>
        </is>
      </c>
      <c r="C250" t="inlineStr">
        <is>
          <t>2026</t>
        </is>
      </c>
      <c r="E250" t="n">
        <v>38.5</v>
      </c>
      <c r="F250" t="n">
        <v>48.55</v>
      </c>
      <c r="G250" s="5">
        <f>100*(F250-E250)/F250</f>
        <v/>
      </c>
      <c r="H250" t="n">
        <v>127.38</v>
      </c>
      <c r="I250" t="n">
        <v>5.77</v>
      </c>
      <c r="J250" t="n">
        <v>3.6</v>
      </c>
      <c r="K250" t="n">
        <v>4.65</v>
      </c>
      <c r="L250" t="n">
        <v>13.69</v>
      </c>
      <c r="M250" t="n">
        <v>15.47</v>
      </c>
      <c r="N250" t="n">
        <v>9.69</v>
      </c>
      <c r="O250" t="n">
        <v>175.7</v>
      </c>
      <c r="P250" s="5">
        <f>O250/I250</f>
        <v/>
      </c>
      <c r="Q250" t="n">
        <v>11.18</v>
      </c>
      <c r="R250" t="n">
        <v>15.57</v>
      </c>
      <c r="S250" t="n">
        <v>-1</v>
      </c>
      <c r="T250" t="n">
        <v>31.2</v>
      </c>
      <c r="U250" t="n">
        <v>0</v>
      </c>
      <c r="V250" t="n">
        <v>1</v>
      </c>
      <c r="W250" t="n">
        <v>1</v>
      </c>
      <c r="X250" t="n">
        <v>0</v>
      </c>
      <c r="Y250" t="n">
        <v>0</v>
      </c>
      <c r="Z250" t="n">
        <v>0</v>
      </c>
      <c r="AA250" s="5">
        <f>IF(X250&lt;50,IF(Y250&gt;(2.3*X250),0,1),1)-IF(Z250&gt;Y250,1.7,0)</f>
        <v/>
      </c>
      <c r="AB250" t="n">
        <v>0</v>
      </c>
      <c r="AC250" s="5">
        <f>IF(AB250&gt;4,1,0)+IF(AB250&gt;10,0.7,0)</f>
        <v/>
      </c>
      <c r="AD250" t="n">
        <v>14.71</v>
      </c>
      <c r="AE250" t="n">
        <v>-15.52</v>
      </c>
      <c r="AF250" t="n">
        <v>41.92</v>
      </c>
      <c r="AG250" s="6">
        <f>IF(G250&lt;52,0,0.7)+IF(G250&lt;34,0,0.7)+IF(G250&lt;1,0,0.7)+IF(P250&gt;14.56,0,1)+IF(R250&lt;9,0.5,0)+IF(R250&lt;33.8,0.5,0)+IF(R250&lt;50,0.5,0)+IF(R250&lt;80,0.5,0)+IF(S250=5,0,S250)+IF(V250&gt;0,1,-1)+IF(AE250&lt;10.56,0,1)-IF(AE250&lt;3,1,0)-IF(AE250&lt;1,1,0)</f>
        <v/>
      </c>
      <c r="AH250" s="5">
        <f>AG250+IF(X250&lt;1.35,0,1)+IF(Y250&lt;1.35,0,1)+IF(Y250&lt;0.7,-1,0)+AC250+AA250</f>
        <v/>
      </c>
      <c r="AI250" t="n">
        <v>10.2675</v>
      </c>
      <c r="AJ250" s="5">
        <f>IF(AI250&gt;12.7,IF(AI250&gt;15.8,0.93,0.98),1)</f>
        <v/>
      </c>
      <c r="AK250" s="5">
        <f>(1.5*AG250+AH250)*AJ250*AQ250</f>
        <v/>
      </c>
      <c r="AL250" s="4">
        <f>D250</f>
        <v/>
      </c>
      <c r="AM250" s="8">
        <f>B250</f>
        <v/>
      </c>
      <c r="AN250" t="n">
        <v>29</v>
      </c>
      <c r="AO250" s="61">
        <f>IF(Z250&lt;2.81,0,IF(AK250&gt;13.7,IF(Z250&lt;140,1,0),0))</f>
        <v/>
      </c>
      <c r="AP250" s="7">
        <f>IF(AK250&gt;13.93,IF(Z250&lt;140,IF(Z250&lt;35,IF(Z250&lt;6,3,2),1),0),0)</f>
        <v/>
      </c>
      <c r="AQ250" t="n">
        <v>1</v>
      </c>
      <c r="AR250" s="7">
        <f>IF(AO250=1,IF(AO250=AL250,1,0),5)</f>
        <v/>
      </c>
      <c r="AV250" s="5">
        <f>(AT250+AU250)/2</f>
        <v/>
      </c>
      <c r="AZ250" s="4">
        <f>IF(AY250&lt;-50,-4,IF(AY250&lt;-20,-2,IF(AY250&lt;0,-1,IF(AY250=0,0,IF(AY250&lt;10,1.5,IF(AY250&lt;20,2,IF(AY250&gt;19,2.5,2.5)))))))</f>
        <v/>
      </c>
    </row>
    <row r="251" ht="12.75" customHeight="1">
      <c r="A251" t="inlineStr">
        <is>
          <t>https://www.chittorgarh.com/ipo/dudani-retail-ipo/2998/</t>
        </is>
      </c>
      <c r="B251" t="inlineStr">
        <is>
          <t>Dudani Retail  Price,</t>
        </is>
      </c>
      <c r="C251" t="inlineStr">
        <is>
          <t>2026</t>
        </is>
      </c>
      <c r="E251" t="n">
        <v>4.03</v>
      </c>
      <c r="F251" t="n">
        <v>8.4</v>
      </c>
      <c r="G251" s="5">
        <f>100*(F251-E251)/F251</f>
        <v/>
      </c>
      <c r="H251" t="n">
        <v>14.28</v>
      </c>
      <c r="I251" t="n">
        <v>1.78</v>
      </c>
      <c r="J251" t="n">
        <v>7.73</v>
      </c>
      <c r="K251" t="n">
        <v>2.82</v>
      </c>
      <c r="L251" t="n">
        <v>18.46</v>
      </c>
      <c r="M251" t="n">
        <v>2.86</v>
      </c>
      <c r="N251" t="n">
        <v>12.07</v>
      </c>
      <c r="O251" t="n">
        <v>25.29</v>
      </c>
      <c r="P251" s="5">
        <f>O251/I251</f>
        <v/>
      </c>
      <c r="Q251" t="n">
        <v>10.28</v>
      </c>
      <c r="R251" t="n">
        <v>15.85</v>
      </c>
      <c r="S251" t="n">
        <v>-1</v>
      </c>
      <c r="T251" t="n">
        <v>10.54</v>
      </c>
      <c r="U251" t="n">
        <v>0</v>
      </c>
      <c r="V251" t="n">
        <v>0</v>
      </c>
      <c r="W251" t="n">
        <v>1</v>
      </c>
      <c r="X251" t="n">
        <v>0</v>
      </c>
      <c r="Y251" t="n">
        <v>0</v>
      </c>
      <c r="Z251" t="n">
        <v>0</v>
      </c>
      <c r="AA251" s="5">
        <f>IF(X251&lt;50,IF(Y251&gt;(2.3*X251),0,1),1)-IF(Z251&gt;Y251,1.7,0)</f>
        <v/>
      </c>
      <c r="AB251" t="n">
        <v>0</v>
      </c>
      <c r="AC251" s="5">
        <f>IF(AB251&gt;4,1,0)+IF(AB251&gt;10,0.7,0)</f>
        <v/>
      </c>
      <c r="AD251" t="n">
        <v>79.8</v>
      </c>
      <c r="AE251" t="n">
        <v>0.64</v>
      </c>
      <c r="AF251" t="n">
        <v>26.89</v>
      </c>
      <c r="AG251" s="6">
        <f>IF(G251&lt;52,0,0.7)+IF(G251&lt;34,0,0.7)+IF(G251&lt;1,0,0.7)+IF(P251&gt;14.56,0,1)+IF(R251&lt;9,0.5,0)+IF(R251&lt;33.8,0.5,0)+IF(R251&lt;50,0.5,0)+IF(R251&lt;80,0.5,0)+IF(S251=5,0,S251)+IF(V251&gt;0,1,-1)+IF(AE251&lt;10.56,0,1)-IF(AE251&lt;3,1,0)-IF(AE251&lt;1,1,0)</f>
        <v/>
      </c>
      <c r="AH251" s="5">
        <f>AG251+IF(X251&lt;1.35,0,1)+IF(Y251&lt;1.35,0,1)+IF(Y251&lt;0.7,-1,0)+AC251+AA251</f>
        <v/>
      </c>
      <c r="AI251" t="n">
        <v>10.28</v>
      </c>
      <c r="AJ251" s="5">
        <f>IF(AI251&gt;12.7,IF(AI251&gt;15.8,0.93,0.98),1)</f>
        <v/>
      </c>
      <c r="AK251" s="5">
        <f>(1.5*AG251+AH251)*AJ251*AQ251</f>
        <v/>
      </c>
      <c r="AL251" s="4">
        <f>D251</f>
        <v/>
      </c>
      <c r="AM251" s="8">
        <f>B251</f>
        <v/>
      </c>
      <c r="AN251" t="n">
        <v>29</v>
      </c>
      <c r="AO251" s="61">
        <f>IF(Z251&lt;2.81,0,IF(AK251&gt;13.7,IF(Z251&lt;140,1,0),0))</f>
        <v/>
      </c>
      <c r="AP251" s="7">
        <f>IF(AK251&gt;13.93,IF(Z251&lt;140,IF(Z251&lt;35,IF(Z251&lt;6,3,2),1),0),0)</f>
        <v/>
      </c>
      <c r="AQ251" t="n">
        <v>0.95</v>
      </c>
      <c r="AR251" s="7">
        <f>IF(AO251=1,IF(AO251=AL251,1,0),5)</f>
        <v/>
      </c>
      <c r="AV251" s="5">
        <f>(AT251+AU251)/2</f>
        <v/>
      </c>
      <c r="AZ251" s="4">
        <f>IF(AY251&lt;-50,-4,IF(AY251&lt;-20,-2,IF(AY251&lt;0,-1,IF(AY251=0,0,IF(AY251&lt;10,1.5,IF(AY251&lt;20,2,IF(AY251&gt;19,2.5,2.5)))))))</f>
        <v/>
      </c>
    </row>
    <row r="252" ht="12.75" customHeight="1">
      <c r="A252" t="inlineStr">
        <is>
          <t>https://www.chittorgarh.com/ipo/himalayan-solar-ipo/2716/</t>
        </is>
      </c>
      <c r="B252" t="inlineStr">
        <is>
          <t>Himalayan Solar  Pric</t>
        </is>
      </c>
      <c r="C252" t="inlineStr">
        <is>
          <t>2026</t>
        </is>
      </c>
      <c r="E252" t="n">
        <v>26.95</v>
      </c>
      <c r="F252" t="n">
        <v>26.46</v>
      </c>
      <c r="G252" s="5">
        <f>100*(F252-E252)/F252</f>
        <v/>
      </c>
      <c r="H252" t="n">
        <v>93.81999999999999</v>
      </c>
      <c r="I252" t="n">
        <v>16.43</v>
      </c>
      <c r="J252" t="n">
        <v>12.13</v>
      </c>
      <c r="K252" t="n">
        <v>12.74</v>
      </c>
      <c r="L252" t="n">
        <v>56</v>
      </c>
      <c r="M252" t="n">
        <v>23.58</v>
      </c>
      <c r="N252" t="n">
        <v>17.05</v>
      </c>
      <c r="O252" t="n">
        <v>143.14</v>
      </c>
      <c r="P252" s="5">
        <f>O252/I252</f>
        <v/>
      </c>
      <c r="Q252" t="n">
        <v>8.08</v>
      </c>
      <c r="R252" t="n">
        <v>11.02</v>
      </c>
      <c r="S252" t="n">
        <v>-1</v>
      </c>
      <c r="T252" t="n">
        <v>68.03</v>
      </c>
      <c r="U252" t="n">
        <v>0</v>
      </c>
      <c r="V252" t="n">
        <v>1</v>
      </c>
      <c r="W252" t="n">
        <v>1</v>
      </c>
      <c r="X252" t="n">
        <v>0</v>
      </c>
      <c r="Y252" t="n">
        <v>0.31</v>
      </c>
      <c r="Z252" t="n">
        <v>0.45</v>
      </c>
      <c r="AA252" s="5">
        <f>IF(X252&lt;50,IF(Y252&gt;(2.3*X252),0,1),1)-IF(Z252&gt;Y252,1.7,0)</f>
        <v/>
      </c>
      <c r="AB252" t="n">
        <v>0</v>
      </c>
      <c r="AC252" s="5">
        <f>IF(AB252&gt;4,1,0)+IF(AB252&gt;10,0.7,0)</f>
        <v/>
      </c>
      <c r="AD252" t="n">
        <v>231.92</v>
      </c>
      <c r="AE252" t="n">
        <v>3.24</v>
      </c>
      <c r="AF252" t="n">
        <v>156.15</v>
      </c>
      <c r="AG252" s="6">
        <f>IF(G252&lt;52,0,0.7)+IF(G252&lt;34,0,0.7)+IF(G252&lt;1,0,0.7)+IF(P252&gt;14.56,0,1)+IF(R252&lt;9,0.5,0)+IF(R252&lt;33.8,0.5,0)+IF(R252&lt;50,0.5,0)+IF(R252&lt;80,0.5,0)+IF(S252=5,0,S252)+IF(V252&gt;0,1,-1)+IF(AE252&lt;10.56,0,1)-IF(AE252&lt;3,1,0)-IF(AE252&lt;1,1,0)</f>
        <v/>
      </c>
      <c r="AH252" s="5">
        <f>AG252+IF(X252&lt;1.35,0,1)+IF(Y252&lt;1.35,0,1)+IF(Y252&lt;0.7,-1,0)+AC252+AA252</f>
        <v/>
      </c>
      <c r="AI252" t="n">
        <v>10.28</v>
      </c>
      <c r="AJ252" s="5">
        <f>IF(AI252&gt;12.7,IF(AI252&gt;15.8,0.93,0.98),1)</f>
        <v/>
      </c>
      <c r="AK252" s="5">
        <f>(1.5*AG252+AH252)*AJ252*AQ252</f>
        <v/>
      </c>
      <c r="AL252" s="4">
        <f>D252</f>
        <v/>
      </c>
      <c r="AM252" s="8">
        <f>B252</f>
        <v/>
      </c>
      <c r="AN252" t="n">
        <v>29</v>
      </c>
      <c r="AO252" s="61">
        <f>IF(Z252&lt;2.81,0,IF(AK252&gt;13.7,IF(Z252&lt;140,1,0),0))</f>
        <v/>
      </c>
      <c r="AP252" s="7">
        <f>IF(AK252&gt;13.93,IF(Z252&lt;140,IF(Z252&lt;35,IF(Z252&lt;6,3,2),1),0),0)</f>
        <v/>
      </c>
      <c r="AQ252" t="n">
        <v>1</v>
      </c>
      <c r="AR252" s="7">
        <f>IF(AO252=1,IF(AO252=AL252,1,0),5)</f>
        <v/>
      </c>
      <c r="AV252" s="5">
        <f>(AT252+AU252)/2</f>
        <v/>
      </c>
      <c r="AZ252" s="4">
        <f>IF(AY252&lt;-50,-4,IF(AY252&lt;-20,-2,IF(AY252&lt;0,-1,IF(AY252=0,0,IF(AY252&lt;10,1.5,IF(AY252&lt;20,2,IF(AY252&gt;19,2.5,2.5)))))))</f>
        <v/>
      </c>
    </row>
    <row r="253" ht="12.75" customHeight="1">
      <c r="A253" t="inlineStr">
        <is>
          <t>https://www.chittorgarh.com/ipo/sai-urja-indo-ipo/2655/</t>
        </is>
      </c>
      <c r="B253" t="inlineStr">
        <is>
          <t>Sai Urja Indo  Price,</t>
        </is>
      </c>
      <c r="C253" t="inlineStr">
        <is>
          <t>2026</t>
        </is>
      </c>
      <c r="E253" t="n">
        <v>5.35</v>
      </c>
      <c r="F253" t="n">
        <v>7.76</v>
      </c>
      <c r="G253" s="5">
        <f>100*(F253-E253)/F253</f>
        <v/>
      </c>
      <c r="H253" t="n">
        <v>21.11</v>
      </c>
      <c r="I253" t="n">
        <v>3.13</v>
      </c>
      <c r="J253" t="n">
        <v>4.98</v>
      </c>
      <c r="K253" t="n">
        <v>5.39</v>
      </c>
      <c r="L253" t="n">
        <v>42.44</v>
      </c>
      <c r="M253" t="n">
        <v>5.14</v>
      </c>
      <c r="N253" t="n">
        <v>7.65</v>
      </c>
      <c r="O253" t="n">
        <v>65.81999999999999</v>
      </c>
      <c r="P253" s="5">
        <f>O253/I253</f>
        <v/>
      </c>
      <c r="Q253" t="n">
        <v>20.96</v>
      </c>
      <c r="R253" t="n">
        <v>27.56</v>
      </c>
      <c r="S253" t="n">
        <v>-0.5</v>
      </c>
      <c r="T253" t="n">
        <v>24.95</v>
      </c>
      <c r="U253" t="n">
        <v>0</v>
      </c>
      <c r="V253" t="n">
        <v>1</v>
      </c>
      <c r="W253" t="n">
        <v>1</v>
      </c>
      <c r="X253" t="n">
        <v>0</v>
      </c>
      <c r="Y253" t="n">
        <v>0</v>
      </c>
      <c r="Z253" t="n">
        <v>0</v>
      </c>
      <c r="AA253" s="5">
        <f>IF(X253&lt;50,IF(Y253&gt;(2.3*X253),0,1),1)-IF(Z253&gt;Y253,1.7,0)</f>
        <v/>
      </c>
      <c r="AB253" t="n">
        <v>0</v>
      </c>
      <c r="AC253" s="5">
        <f>IF(AB253&gt;4,1,0)+IF(AB253&gt;10,0.7,0)</f>
        <v/>
      </c>
      <c r="AD253" t="n">
        <v>125.18</v>
      </c>
      <c r="AE253" t="n">
        <v>43.46</v>
      </c>
      <c r="AF253" t="n">
        <v>64.41</v>
      </c>
      <c r="AG253" s="6">
        <f>IF(G253&lt;52,0,0.7)+IF(G253&lt;34,0,0.7)+IF(G253&lt;1,0,0.7)+IF(P253&gt;14.56,0,1)+IF(R253&lt;9,0.5,0)+IF(R253&lt;33.8,0.5,0)+IF(R253&lt;50,0.5,0)+IF(R253&lt;80,0.5,0)+IF(S253=5,0,S253)+IF(V253&gt;0,1,-1)+IF(AE253&lt;10.56,0,1)-IF(AE253&lt;3,1,0)-IF(AE253&lt;1,1,0)</f>
        <v/>
      </c>
      <c r="AH253" s="5">
        <f>AG253+IF(X253&lt;1.35,0,1)+IF(Y253&lt;1.35,0,1)+IF(Y253&lt;0.7,-1,0)+AC253+AA253</f>
        <v/>
      </c>
      <c r="AI253" t="n">
        <v>10.2825</v>
      </c>
      <c r="AJ253" s="5">
        <f>IF(AI253&gt;12.7,IF(AI253&gt;15.8,0.93,0.98),1)</f>
        <v/>
      </c>
      <c r="AK253" s="5">
        <f>(1.5*AG253+AH253)*AJ253*AQ253</f>
        <v/>
      </c>
      <c r="AL253" s="4">
        <f>D253</f>
        <v/>
      </c>
      <c r="AM253" s="8">
        <f>B253</f>
        <v/>
      </c>
      <c r="AN253" t="n">
        <v>29</v>
      </c>
      <c r="AO253" s="61">
        <f>IF(Z253&lt;2.81,0,IF(AK253&gt;13.7,IF(Z253&lt;140,1,0),0))</f>
        <v/>
      </c>
      <c r="AP253" s="7">
        <f>IF(AK253&gt;13.93,IF(Z253&lt;140,IF(Z253&lt;35,IF(Z253&lt;6,3,2),1),0),0)</f>
        <v/>
      </c>
      <c r="AQ253" t="n">
        <v>0.95</v>
      </c>
      <c r="AR253" s="7">
        <f>IF(AO253=1,IF(AO253=AL253,1,0),5)</f>
        <v/>
      </c>
      <c r="AV253" s="5">
        <f>(AT253+AU253)/2</f>
        <v/>
      </c>
      <c r="AZ253" s="4">
        <f>IF(AY253&lt;-50,-4,IF(AY253&lt;-20,-2,IF(AY253&lt;0,-1,IF(AY253=0,0,IF(AY253&lt;10,1.5,IF(AY253&lt;20,2,IF(AY253&gt;19,2.5,2.5)))))))</f>
        <v/>
      </c>
    </row>
    <row r="254" ht="12.75" customHeight="1">
      <c r="A254" t="inlineStr">
        <is>
          <t>https://www.chittorgarh.com/ipo/acme-universal-safezone-9-ipo/3206/</t>
        </is>
      </c>
      <c r="B254" t="inlineStr">
        <is>
          <t>Acme Universal Safezo</t>
        </is>
      </c>
      <c r="C254" t="inlineStr">
        <is>
          <t>2026</t>
        </is>
      </c>
      <c r="E254" t="n">
        <v>49.65</v>
      </c>
      <c r="F254" t="n">
        <v>46.91</v>
      </c>
      <c r="G254" s="5">
        <f>100*(F254-E254)/F254</f>
        <v/>
      </c>
      <c r="H254" t="n">
        <v>133.7</v>
      </c>
      <c r="I254" t="n">
        <v>0.8</v>
      </c>
      <c r="J254" t="n">
        <v>2.84</v>
      </c>
      <c r="K254" t="n">
        <v>4.17</v>
      </c>
      <c r="L254" t="n">
        <v>0</v>
      </c>
      <c r="M254" t="n">
        <v>9.85</v>
      </c>
      <c r="N254" t="n">
        <v>7.36</v>
      </c>
      <c r="O254" t="n">
        <v>191.31</v>
      </c>
      <c r="P254" s="5">
        <f>O254/I254</f>
        <v/>
      </c>
      <c r="Q254" t="n">
        <v>17.03</v>
      </c>
      <c r="R254" t="n">
        <v>23.13</v>
      </c>
      <c r="S254" t="n">
        <v>-1</v>
      </c>
      <c r="T254" t="n">
        <v>35.93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s="5">
        <f>IF(X254&lt;50,IF(Y254&gt;(2.3*X254),0,1),1)-IF(Z254&gt;Y254,1.7,0)</f>
        <v/>
      </c>
      <c r="AB254" t="n">
        <v>0</v>
      </c>
      <c r="AC254" s="5">
        <f>IF(AB254&gt;4,1,0)+IF(AB254&gt;10,0.7,0)</f>
        <v/>
      </c>
      <c r="AD254" t="n">
        <v>-89.42</v>
      </c>
      <c r="AE254" t="n">
        <v>5.31</v>
      </c>
      <c r="AF254" t="n">
        <v>11.8</v>
      </c>
      <c r="AG254" s="6">
        <f>IF(G254&lt;52,0,0.7)+IF(G254&lt;34,0,0.7)+IF(G254&lt;1,0,0.7)+IF(P254&gt;14.56,0,1)+IF(R254&lt;9,0.5,0)+IF(R254&lt;33.8,0.5,0)+IF(R254&lt;50,0.5,0)+IF(R254&lt;80,0.5,0)+IF(S254=5,0,S254)+IF(V254&gt;0,1,-1)+IF(AE254&lt;10.56,0,1)-IF(AE254&lt;3,1,0)-IF(AE254&lt;1,1,0)</f>
        <v/>
      </c>
      <c r="AH254" s="5">
        <f>AG254+IF(X254&lt;1.35,0,1)+IF(Y254&lt;1.35,0,1)+IF(Y254&lt;0.7,-1,0)+AC254+AA254</f>
        <v/>
      </c>
      <c r="AI254" t="n">
        <v>10.28</v>
      </c>
      <c r="AJ254" s="5">
        <f>IF(AI254&gt;12.7,IF(AI254&gt;15.8,0.93,0.98),1)</f>
        <v/>
      </c>
      <c r="AK254" s="5">
        <f>(1.5*AG254+AH254)*AJ254*AQ254</f>
        <v/>
      </c>
      <c r="AL254" s="4">
        <f>D254</f>
        <v/>
      </c>
      <c r="AM254" s="8">
        <f>B254</f>
        <v/>
      </c>
      <c r="AN254" t="n">
        <v>30</v>
      </c>
      <c r="AO254" s="61">
        <f>IF(Z254&lt;2.81,0,IF(AK254&gt;13.7,IF(Z254&lt;140,1,0),0))</f>
        <v/>
      </c>
      <c r="AP254" s="7">
        <f>IF(AK254&gt;13.93,IF(Z254&lt;140,IF(Z254&lt;35,IF(Z254&lt;6,3,2),1),0),0)</f>
        <v/>
      </c>
      <c r="AQ254" t="n">
        <v>1</v>
      </c>
      <c r="AR254" s="7">
        <f>IF(AO254=1,IF(AO254=AL254,1,0),5)</f>
        <v/>
      </c>
      <c r="AV254" s="5">
        <f>(AT254+AU254)/2</f>
        <v/>
      </c>
      <c r="AZ254" s="4">
        <f>IF(AY254&lt;-50,-4,IF(AY254&lt;-20,-2,IF(AY254&lt;0,-1,IF(AY254=0,0,IF(AY254&lt;10,1.5,IF(AY254&lt;20,2,IF(AY254&gt;19,2.5,2.5)))))))</f>
        <v/>
      </c>
    </row>
    <row r="255" ht="12.75" customHeight="1">
      <c r="A255" t="inlineStr">
        <is>
          <t>https://www.chittorgarh.com/ipo/shivchem-agro-ipo/2695/</t>
        </is>
      </c>
      <c r="B255" t="inlineStr">
        <is>
          <t>Shivchem Agro  Price,</t>
        </is>
      </c>
      <c r="C255" t="inlineStr">
        <is>
          <t>2026</t>
        </is>
      </c>
      <c r="E255" t="n">
        <v>8.26</v>
      </c>
      <c r="F255" t="n">
        <v>9.58</v>
      </c>
      <c r="G255" s="5">
        <f>100*(F255-E255)/F255</f>
        <v/>
      </c>
      <c r="H255" t="n">
        <v>36.16</v>
      </c>
      <c r="I255" t="n">
        <v>2.51</v>
      </c>
      <c r="J255" t="n">
        <v>9.15</v>
      </c>
      <c r="K255" t="n">
        <v>0</v>
      </c>
      <c r="L255" t="n">
        <v>45.33</v>
      </c>
      <c r="M255" t="n">
        <v>4.26</v>
      </c>
      <c r="N255" t="n">
        <v>15.5</v>
      </c>
      <c r="O255" t="n">
        <v>27.5</v>
      </c>
      <c r="P255" s="5">
        <f>O255/I255</f>
        <v/>
      </c>
      <c r="Q255" t="n">
        <v>0</v>
      </c>
      <c r="R255" t="n">
        <v>0</v>
      </c>
      <c r="S255" t="n">
        <v>-0.5</v>
      </c>
      <c r="T255" t="n">
        <v>14.01</v>
      </c>
      <c r="U255" t="n">
        <v>0</v>
      </c>
      <c r="V255" t="n">
        <v>0</v>
      </c>
      <c r="W255" t="n">
        <v>1</v>
      </c>
      <c r="X255" t="n">
        <v>0</v>
      </c>
      <c r="Y255" t="n">
        <v>0</v>
      </c>
      <c r="Z255" t="n">
        <v>0</v>
      </c>
      <c r="AA255" s="5">
        <f>IF(X255&lt;50,IF(Y255&gt;(2.3*X255),0,1),1)-IF(Z255&gt;Y255,1.7,0)</f>
        <v/>
      </c>
      <c r="AB255" t="n">
        <v>0</v>
      </c>
      <c r="AC255" s="5">
        <f>IF(AB255&gt;4,1,0)+IF(AB255&gt;10,0.7,0)</f>
        <v/>
      </c>
      <c r="AD255" t="n">
        <v>94.56999999999999</v>
      </c>
      <c r="AE255" t="n">
        <v>151.14</v>
      </c>
      <c r="AF255" t="n">
        <v>538.67</v>
      </c>
      <c r="AG255" s="6">
        <f>IF(G255&lt;52,0,0.7)+IF(G255&lt;34,0,0.7)+IF(G255&lt;1,0,0.7)+IF(P255&gt;14.56,0,1)+IF(R255&lt;9,0.5,0)+IF(R255&lt;33.8,0.5,0)+IF(R255&lt;50,0.5,0)+IF(R255&lt;80,0.5,0)+IF(S255=5,0,S255)+IF(V255&gt;0,1,-1)+IF(AE255&lt;10.56,0,1)-IF(AE255&lt;3,1,0)-IF(AE255&lt;1,1,0)</f>
        <v/>
      </c>
      <c r="AH255" s="5">
        <f>AG255+IF(X255&lt;1.35,0,1)+IF(Y255&lt;1.35,0,1)+IF(Y255&lt;0.7,-1,0)+AC255+AA255</f>
        <v/>
      </c>
      <c r="AI255" t="n">
        <v>10.27</v>
      </c>
      <c r="AJ255" s="5">
        <f>IF(AI255&gt;12.7,IF(AI255&gt;15.8,0.93,0.98),1)</f>
        <v/>
      </c>
      <c r="AK255" s="5">
        <f>(1.5*AG255+AH255)*AJ255*AQ255</f>
        <v/>
      </c>
      <c r="AL255" s="4">
        <f>D255</f>
        <v/>
      </c>
      <c r="AM255" s="8">
        <f>B255</f>
        <v/>
      </c>
      <c r="AN255" t="n">
        <v>30</v>
      </c>
      <c r="AO255" s="61">
        <f>IF(Z255&lt;2.81,0,IF(AK255&gt;13.7,IF(Z255&lt;140,1,0),0))</f>
        <v/>
      </c>
      <c r="AP255" s="7">
        <f>IF(AK255&gt;13.93,IF(Z255&lt;140,IF(Z255&lt;35,IF(Z255&lt;6,3,2),1),0),0)</f>
        <v/>
      </c>
      <c r="AQ255" t="n">
        <v>1</v>
      </c>
      <c r="AR255" s="7">
        <f>IF(AO255=1,IF(AO255=AL255,1,0),5)</f>
        <v/>
      </c>
      <c r="AV255" s="5">
        <f>(AT255+AU255)/2</f>
        <v/>
      </c>
      <c r="AZ255" s="4">
        <f>IF(AY255&lt;-50,-4,IF(AY255&lt;-20,-2,IF(AY255&lt;0,-1,IF(AY255=0,0,IF(AY255&lt;10,1.5,IF(AY255&lt;20,2,IF(AY255&gt;19,2.5,2.5)))))))</f>
        <v/>
      </c>
    </row>
    <row r="256" ht="12.75" customHeight="1">
      <c r="A256" t="inlineStr">
        <is>
          <t>https://www.chittorgarh.com/ipo/pind-hospitality-ipo/2197/</t>
        </is>
      </c>
      <c r="B256" t="inlineStr">
        <is>
          <t>Pind Hospitality  Pri</t>
        </is>
      </c>
      <c r="C256" t="inlineStr">
        <is>
          <t>2026</t>
        </is>
      </c>
      <c r="E256" t="n">
        <v>0</v>
      </c>
      <c r="F256" t="n">
        <v>12.25</v>
      </c>
      <c r="G256" s="5">
        <f>100*(F256-E256)/F256</f>
        <v/>
      </c>
      <c r="H256" t="n">
        <v>28.33</v>
      </c>
      <c r="I256" t="n">
        <v>2.56</v>
      </c>
      <c r="J256" t="n">
        <v>9.300000000000001</v>
      </c>
      <c r="K256" t="n">
        <v>5.41</v>
      </c>
      <c r="L256" t="n">
        <v>15.65</v>
      </c>
      <c r="M256" t="n">
        <v>3.69</v>
      </c>
      <c r="N256" t="n">
        <v>16.14</v>
      </c>
      <c r="O256" t="n">
        <v>23.17</v>
      </c>
      <c r="P256" s="5">
        <f>O256/I256</f>
        <v/>
      </c>
      <c r="Q256" t="n">
        <v>18.3</v>
      </c>
      <c r="R256" t="n">
        <v>26.12</v>
      </c>
      <c r="S256" t="n">
        <v>-1</v>
      </c>
      <c r="T256" t="n">
        <v>17.82</v>
      </c>
      <c r="U256" t="n">
        <v>0</v>
      </c>
      <c r="V256" t="n">
        <v>0</v>
      </c>
      <c r="W256" t="n">
        <v>1</v>
      </c>
      <c r="X256" t="n">
        <v>0</v>
      </c>
      <c r="Y256" t="n">
        <v>0</v>
      </c>
      <c r="Z256" t="n">
        <v>0</v>
      </c>
      <c r="AA256" s="5">
        <f>IF(X256&lt;50,IF(Y256&gt;(2.3*X256),0,1),1)-IF(Z256&gt;Y256,1.7,0)</f>
        <v/>
      </c>
      <c r="AB256" t="n">
        <v>0</v>
      </c>
      <c r="AC256" s="5">
        <f>IF(AB256&gt;4,1,0)+IF(AB256&gt;10,0.7,0)</f>
        <v/>
      </c>
      <c r="AD256" t="n">
        <v>15.84</v>
      </c>
      <c r="AE256" t="n">
        <v>11.02</v>
      </c>
      <c r="AF256" t="n">
        <v>26.42</v>
      </c>
      <c r="AG256" s="6">
        <f>IF(G256&lt;52,0,0.7)+IF(G256&lt;34,0,0.7)+IF(G256&lt;1,0,0.7)+IF(P256&gt;14.56,0,1)+IF(R256&lt;9,0.5,0)+IF(R256&lt;33.8,0.5,0)+IF(R256&lt;50,0.5,0)+IF(R256&lt;80,0.5,0)+IF(S256=5,0,S256)+IF(V256&gt;0,1,-1)+IF(AE256&lt;10.56,0,1)-IF(AE256&lt;3,1,0)-IF(AE256&lt;1,1,0)</f>
        <v/>
      </c>
      <c r="AH256" s="5">
        <f>AG256+IF(X256&lt;1.35,0,1)+IF(Y256&lt;1.35,0,1)+IF(Y256&lt;0.7,-1,0)+AC256+AA256</f>
        <v/>
      </c>
      <c r="AI256" t="n">
        <v>10.27</v>
      </c>
      <c r="AJ256" s="5">
        <f>IF(AI256&gt;12.7,IF(AI256&gt;15.8,0.93,0.98),1)</f>
        <v/>
      </c>
      <c r="AK256" s="5">
        <f>(1.5*AG256+AH256)*AJ256*AQ256</f>
        <v/>
      </c>
      <c r="AL256" s="4">
        <f>D256</f>
        <v/>
      </c>
      <c r="AM256" s="8">
        <f>B256</f>
        <v/>
      </c>
      <c r="AN256" t="n">
        <v>30</v>
      </c>
      <c r="AO256" s="61">
        <f>IF(Z256&lt;2.81,0,IF(AK256&gt;13.7,IF(Z256&lt;140,1,0),0))</f>
        <v/>
      </c>
      <c r="AP256" s="7">
        <f>IF(AK256&gt;13.93,IF(Z256&lt;140,IF(Z256&lt;35,IF(Z256&lt;6,3,2),1),0),0)</f>
        <v/>
      </c>
      <c r="AQ256" t="n">
        <v>1</v>
      </c>
      <c r="AR256" s="7">
        <f>IF(AO256=1,IF(AO256=AL256,1,0),5)</f>
        <v/>
      </c>
      <c r="AV256" s="5">
        <f>(AT256+AU256)/2</f>
        <v/>
      </c>
      <c r="AZ256" s="4">
        <f>IF(AY256&lt;-50,-4,IF(AY256&lt;-20,-2,IF(AY256&lt;0,-1,IF(AY256=0,0,IF(AY256&lt;10,1.5,IF(AY256&lt;20,2,IF(AY256&gt;19,2.5,2.5)))))))</f>
        <v/>
      </c>
    </row>
    <row r="257" ht="12.75" customHeight="1">
      <c r="A257" t="inlineStr">
        <is>
          <t>https://www.chittorgarh.com/ipo/black-opal-consultants-ipo/2798/</t>
        </is>
      </c>
      <c r="B257" t="inlineStr">
        <is>
          <t>Black Opal Consultant</t>
        </is>
      </c>
      <c r="C257" t="inlineStr">
        <is>
          <t>2026</t>
        </is>
      </c>
      <c r="E257" t="n">
        <v>2.03</v>
      </c>
      <c r="F257" t="n">
        <v>204.11</v>
      </c>
      <c r="G257" s="5">
        <f>100*(F257-E257)/F257</f>
        <v/>
      </c>
      <c r="H257" t="n">
        <v>224.43</v>
      </c>
      <c r="I257" t="n">
        <v>114.81</v>
      </c>
      <c r="J257" t="n">
        <v>34.94</v>
      </c>
      <c r="K257" t="n">
        <v>0</v>
      </c>
      <c r="L257" t="n">
        <v>56.25</v>
      </c>
      <c r="M257" t="n">
        <v>154.69</v>
      </c>
      <c r="N257" t="n">
        <v>47.07</v>
      </c>
      <c r="O257" t="n">
        <v>330.43</v>
      </c>
      <c r="P257" s="5">
        <f>O257/I257</f>
        <v/>
      </c>
      <c r="Q257" t="n">
        <v>0</v>
      </c>
      <c r="R257" t="n">
        <v>0</v>
      </c>
      <c r="S257" t="n">
        <v>-0.5</v>
      </c>
      <c r="T257" t="n">
        <v>55.08</v>
      </c>
      <c r="U257" t="n">
        <v>0</v>
      </c>
      <c r="V257" t="n">
        <v>0</v>
      </c>
      <c r="W257" t="n">
        <v>1</v>
      </c>
      <c r="X257" t="n">
        <v>0</v>
      </c>
      <c r="Y257" t="n">
        <v>0</v>
      </c>
      <c r="Z257" t="n">
        <v>0</v>
      </c>
      <c r="AA257" s="5">
        <f>IF(X257&lt;50,IF(Y257&gt;(2.3*X257),0,1),1)-IF(Z257&gt;Y257,1.7,0)</f>
        <v/>
      </c>
      <c r="AB257" t="n">
        <v>0</v>
      </c>
      <c r="AC257" s="5">
        <f>IF(AB257&gt;4,1,0)+IF(AB257&gt;10,0.7,0)</f>
        <v/>
      </c>
      <c r="AD257" t="n">
        <v>165.58</v>
      </c>
      <c r="AE257" t="n">
        <v>66</v>
      </c>
      <c r="AF257" t="n">
        <v>128.57</v>
      </c>
      <c r="AG257" s="6">
        <f>IF(G257&lt;52,0,0.7)+IF(G257&lt;34,0,0.7)+IF(G257&lt;1,0,0.7)+IF(P257&gt;14.56,0,1)+IF(R257&lt;9,0.5,0)+IF(R257&lt;33.8,0.5,0)+IF(R257&lt;50,0.5,0)+IF(R257&lt;80,0.5,0)+IF(S257=5,0,S257)+IF(V257&gt;0,1,-1)+IF(AE257&lt;10.56,0,1)-IF(AE257&lt;3,1,0)-IF(AE257&lt;1,1,0)</f>
        <v/>
      </c>
      <c r="AH257" s="5">
        <f>AG257+IF(X257&lt;1.35,0,1)+IF(Y257&lt;1.35,0,1)+IF(Y257&lt;0.7,-1,0)+AC257+AA257</f>
        <v/>
      </c>
      <c r="AI257" t="n">
        <v>10.2675</v>
      </c>
      <c r="AJ257" s="5">
        <f>IF(AI257&gt;12.7,IF(AI257&gt;15.8,0.93,0.98),1)</f>
        <v/>
      </c>
      <c r="AK257" s="5">
        <f>(1.5*AG257+AH257)*AJ257*AQ257</f>
        <v/>
      </c>
      <c r="AL257" s="4">
        <f>D257</f>
        <v/>
      </c>
      <c r="AM257" s="8">
        <f>B257</f>
        <v/>
      </c>
      <c r="AN257" t="n">
        <v>1</v>
      </c>
      <c r="AO257" s="61">
        <f>IF(Z257&lt;2.81,0,IF(AK257&gt;13.7,IF(Z257&lt;140,1,0),0))</f>
        <v/>
      </c>
      <c r="AP257" s="7">
        <f>IF(AK257&gt;13.93,IF(Z257&lt;140,IF(Z257&lt;35,IF(Z257&lt;6,3,2),1),0),0)</f>
        <v/>
      </c>
      <c r="AQ257" t="n">
        <v>1</v>
      </c>
      <c r="AR257" s="7">
        <f>IF(AO257=1,IF(AO257=AL257,1,0),5)</f>
        <v/>
      </c>
      <c r="AV257" s="5">
        <f>(AT257+AU257)/2</f>
        <v/>
      </c>
      <c r="AZ257" s="4">
        <f>IF(AY257&lt;-50,-4,IF(AY257&lt;-20,-2,IF(AY257&lt;0,-1,IF(AY257=0,0,IF(AY257&lt;10,1.5,IF(AY257&lt;20,2,IF(AY257&gt;19,2.5,2.5)))))))</f>
        <v/>
      </c>
    </row>
    <row r="258" ht="12.75" customHeight="1">
      <c r="A258" t="inlineStr">
        <is>
          <t>https://www.chittorgarh.com/ipo/everestims-technologies-ipo/2063/</t>
        </is>
      </c>
      <c r="B258" t="inlineStr">
        <is>
          <t>EverestIMS Technologi</t>
        </is>
      </c>
      <c r="C258" t="inlineStr">
        <is>
          <t>2026</t>
        </is>
      </c>
      <c r="E258" t="n">
        <v>0</v>
      </c>
      <c r="F258" t="n">
        <v>47.41</v>
      </c>
      <c r="G258" s="5">
        <f>100*(F258-E258)/F258</f>
        <v/>
      </c>
      <c r="H258" t="n">
        <v>67.81999999999999</v>
      </c>
      <c r="I258" t="n">
        <v>14.08</v>
      </c>
      <c r="J258" t="n">
        <v>23.66</v>
      </c>
      <c r="K258" t="n">
        <v>7.71</v>
      </c>
      <c r="L258" t="n">
        <v>40.3</v>
      </c>
      <c r="M258" t="n">
        <v>22.64</v>
      </c>
      <c r="N258" t="n">
        <v>0</v>
      </c>
      <c r="O258" t="n">
        <v>57.78</v>
      </c>
      <c r="P258" s="5">
        <f>O258/I258</f>
        <v/>
      </c>
      <c r="Q258" t="n">
        <v>11.02</v>
      </c>
      <c r="R258" t="n">
        <v>14</v>
      </c>
      <c r="S258" t="n">
        <v>-0.5</v>
      </c>
      <c r="T258" t="n">
        <v>48.46</v>
      </c>
      <c r="U258" t="n">
        <v>0</v>
      </c>
      <c r="V258" t="n">
        <v>1</v>
      </c>
      <c r="W258" t="n">
        <v>1</v>
      </c>
      <c r="X258" t="n">
        <v>0</v>
      </c>
      <c r="Y258" t="n">
        <v>0</v>
      </c>
      <c r="Z258" t="n">
        <v>0</v>
      </c>
      <c r="AA258" s="5">
        <f>IF(X258&lt;50,IF(Y258&gt;(2.3*X258),0,1),1)-IF(Z258&gt;Y258,1.7,0)</f>
        <v/>
      </c>
      <c r="AB258" t="n">
        <v>0</v>
      </c>
      <c r="AC258" s="5">
        <f>IF(AB258&gt;4,1,0)+IF(AB258&gt;10,0.7,0)</f>
        <v/>
      </c>
      <c r="AD258" t="n">
        <v>30.01</v>
      </c>
      <c r="AE258" t="n">
        <v>26.65</v>
      </c>
      <c r="AF258" t="n">
        <v>47.14</v>
      </c>
      <c r="AG258" s="6">
        <f>IF(G258&lt;52,0,0.7)+IF(G258&lt;34,0,0.7)+IF(G258&lt;1,0,0.7)+IF(P258&gt;14.56,0,1)+IF(R258&lt;9,0.5,0)+IF(R258&lt;33.8,0.5,0)+IF(R258&lt;50,0.5,0)+IF(R258&lt;80,0.5,0)+IF(S258=5,0,S258)+IF(V258&gt;0,1,-1)+IF(AE258&lt;10.56,0,1)-IF(AE258&lt;3,1,0)-IF(AE258&lt;1,1,0)</f>
        <v/>
      </c>
      <c r="AH258" s="5">
        <f>AG258+IF(X258&lt;1.35,0,1)+IF(Y258&lt;1.35,0,1)+IF(Y258&lt;0.7,-1,0)+AC258+AA258</f>
        <v/>
      </c>
      <c r="AI258" t="n">
        <v>10.2825</v>
      </c>
      <c r="AJ258" s="5">
        <f>IF(AI258&gt;12.7,IF(AI258&gt;15.8,0.93,0.98),1)</f>
        <v/>
      </c>
      <c r="AK258" s="5">
        <f>(1.5*AG258+AH258)*AJ258*AQ258</f>
        <v/>
      </c>
      <c r="AL258" s="4">
        <f>D258</f>
        <v/>
      </c>
      <c r="AM258" s="8">
        <f>B258</f>
        <v/>
      </c>
      <c r="AN258" t="n">
        <v>5</v>
      </c>
      <c r="AO258" s="61">
        <f>IF(Z258&lt;2.81,0,IF(AK258&gt;13.7,IF(Z258&lt;140,1,0),0))</f>
        <v/>
      </c>
      <c r="AP258" s="7">
        <f>IF(AK258&gt;13.93,IF(Z258&lt;140,IF(Z258&lt;35,IF(Z258&lt;6,3,2),1),0),0)</f>
        <v/>
      </c>
      <c r="AQ258" t="n">
        <v>0.95</v>
      </c>
      <c r="AR258" s="7">
        <f>IF(AO258=1,IF(AO258=AL258,1,0),5)</f>
        <v/>
      </c>
      <c r="AV258" s="5">
        <f>(AT258+AU258)/2</f>
        <v/>
      </c>
      <c r="AZ258" s="4">
        <f>IF(AY258&lt;-50,-4,IF(AY258&lt;-20,-2,IF(AY258&lt;0,-1,IF(AY258=0,0,IF(AY258&lt;10,1.5,IF(AY258&lt;20,2,IF(AY258&gt;19,2.5,2.5)))))))</f>
        <v/>
      </c>
    </row>
    <row r="259" ht="12.75" customHeight="1">
      <c r="A259" t="inlineStr">
        <is>
          <t>https://www.chittorgarh.com/ipo/omara-ventures-india-ipo/3194/</t>
        </is>
      </c>
      <c r="B259" t="inlineStr">
        <is>
          <t xml:space="preserve">Omara Ventures India </t>
        </is>
      </c>
      <c r="C259" t="inlineStr">
        <is>
          <t>2026</t>
        </is>
      </c>
      <c r="E259" t="n">
        <v>13.95</v>
      </c>
      <c r="F259" t="n">
        <v>3.16</v>
      </c>
      <c r="G259" s="5">
        <f>100*(F259-E259)/F259</f>
        <v/>
      </c>
      <c r="H259" t="n">
        <v>29.46</v>
      </c>
      <c r="I259" t="n">
        <v>2.73</v>
      </c>
      <c r="J259" t="n">
        <v>20.42</v>
      </c>
      <c r="K259" t="n">
        <v>31.11</v>
      </c>
      <c r="L259" t="n">
        <v>74.78</v>
      </c>
      <c r="M259" t="n">
        <v>4.87</v>
      </c>
      <c r="N259" t="n">
        <v>31.45</v>
      </c>
      <c r="O259" t="n">
        <v>23.52</v>
      </c>
      <c r="P259" s="5">
        <f>O259/I259</f>
        <v/>
      </c>
      <c r="Q259" t="n">
        <v>10</v>
      </c>
      <c r="R259" t="n">
        <v>14.48</v>
      </c>
      <c r="S259" t="n">
        <v>-1</v>
      </c>
      <c r="T259" t="n">
        <v>41.99</v>
      </c>
      <c r="U259" t="n">
        <v>0</v>
      </c>
      <c r="V259" t="n">
        <v>0</v>
      </c>
      <c r="W259" t="n">
        <v>1</v>
      </c>
      <c r="X259" t="n">
        <v>0</v>
      </c>
      <c r="Y259" t="n">
        <v>0</v>
      </c>
      <c r="Z259" t="n">
        <v>0</v>
      </c>
      <c r="AA259" s="5">
        <f>IF(X259&lt;50,IF(Y259&gt;(2.3*X259),0,1),1)-IF(Z259&gt;Y259,1.7,0)</f>
        <v/>
      </c>
      <c r="AB259" t="n">
        <v>0</v>
      </c>
      <c r="AC259" s="5">
        <f>IF(AB259&gt;4,1,0)+IF(AB259&gt;10,0.7,0)</f>
        <v/>
      </c>
      <c r="AD259" t="n">
        <v>780.65</v>
      </c>
      <c r="AE259" t="n">
        <v>1.42</v>
      </c>
      <c r="AF259" t="n">
        <v>634.88</v>
      </c>
      <c r="AG259" s="6">
        <f>IF(G259&lt;52,0,0.7)+IF(G259&lt;34,0,0.7)+IF(G259&lt;1,0,0.7)+IF(P259&gt;14.56,0,1)+IF(R259&lt;9,0.5,0)+IF(R259&lt;33.8,0.5,0)+IF(R259&lt;50,0.5,0)+IF(R259&lt;80,0.5,0)+IF(S259=5,0,S259)+IF(V259&gt;0,1,-1)+IF(AE259&lt;10.56,0,1)-IF(AE259&lt;3,1,0)-IF(AE259&lt;1,1,0)</f>
        <v/>
      </c>
      <c r="AH259" s="5">
        <f>AG259+IF(X259&lt;1.35,0,1)+IF(Y259&lt;1.35,0,1)+IF(Y259&lt;0.7,-1,0)+AC259+AA259</f>
        <v/>
      </c>
      <c r="AI259" t="n">
        <v>10.285</v>
      </c>
      <c r="AJ259" s="5">
        <f>IF(AI259&gt;12.7,IF(AI259&gt;15.8,0.93,0.98),1)</f>
        <v/>
      </c>
      <c r="AK259" s="5">
        <f>(1.5*AG259+AH259)*AJ259*AQ259</f>
        <v/>
      </c>
      <c r="AL259" s="4">
        <f>D259</f>
        <v/>
      </c>
      <c r="AM259" s="8">
        <f>B259</f>
        <v/>
      </c>
      <c r="AN259" t="n">
        <v>5</v>
      </c>
      <c r="AO259" s="61">
        <f>IF(Z259&lt;2.81,0,IF(AK259&gt;13.7,IF(Z259&lt;140,1,0),0))</f>
        <v/>
      </c>
      <c r="AP259" s="7">
        <f>IF(AK259&gt;13.93,IF(Z259&lt;140,IF(Z259&lt;35,IF(Z259&lt;6,3,2),1),0),0)</f>
        <v/>
      </c>
      <c r="AQ259" t="n">
        <v>1</v>
      </c>
      <c r="AR259" s="7">
        <f>IF(AO259=1,IF(AO259=AL259,1,0),5)</f>
        <v/>
      </c>
      <c r="AV259" s="5">
        <f>(AT259+AU259)/2</f>
        <v/>
      </c>
      <c r="AZ259" s="4">
        <f>IF(AY259&lt;-50,-4,IF(AY259&lt;-20,-2,IF(AY259&lt;0,-1,IF(AY259=0,0,IF(AY259&lt;10,1.5,IF(AY259&lt;20,2,IF(AY259&gt;19,2.5,2.5)))))))</f>
        <v/>
      </c>
    </row>
    <row r="260" ht="12.75" customHeight="1">
      <c r="G260" s="5">
        <f>100*(F260-E260)/F260</f>
        <v/>
      </c>
      <c r="P260" s="5">
        <f>O260/I260</f>
        <v/>
      </c>
      <c r="Y260" t="n">
        <v>70</v>
      </c>
      <c r="AA260" s="5">
        <f>IF(X260&lt;50,IF(Y260&gt;(2.3*X260),0,1),1)-IF(Z260&gt;Y260,1.7,0)</f>
        <v/>
      </c>
      <c r="AC260" s="5">
        <f>IF(AB260&gt;4,1,0)+IF(AB260&gt;10,0.7,0)</f>
        <v/>
      </c>
      <c r="AG260" s="6">
        <f>IF(G260&lt;52,0,0.7)+IF(G260&lt;34,0,0.7)+IF(G260&lt;1,0,0.7)+IF(P260&gt;14.56,0,1)+IF(R260&lt;9,0.5,0)+IF(R260&lt;33.8,0.5,0)+IF(R260&lt;50,0.5,0)+IF(R260&lt;80,0.5,0)+IF(S260=5,0,S260)+IF(V260&gt;0,1,-1)+IF(AE260&lt;10.56,0,1)-IF(AE260&lt;3,1,0)-IF(AE260&lt;1,1,0)</f>
        <v/>
      </c>
      <c r="AH260" s="5">
        <f>AG260+IF(X260&lt;1.35,0,1)+IF(Y260&lt;1.35,0,1)+IF(Y260&lt;0.7,-1,0)+AC260+AA260</f>
        <v/>
      </c>
      <c r="AJ260" s="5">
        <f>IF(AI260&gt;12.7,IF(AI260&gt;15.8,0.93,0.98),1)</f>
        <v/>
      </c>
      <c r="AK260" s="5">
        <f>(1.5*AG260+AH260)*AJ260*AQ260</f>
        <v/>
      </c>
      <c r="AL260" s="4">
        <f>D260</f>
        <v/>
      </c>
      <c r="AM260" s="8">
        <f>B260</f>
        <v/>
      </c>
      <c r="AO260" s="61">
        <f>IF(Z260&lt;2.81,0,IF(AK260&gt;13.7,IF(Z260&lt;140,1,0),0))</f>
        <v/>
      </c>
      <c r="AP260" s="7">
        <f>IF(AK260&gt;13.93,IF(Z260&lt;140,IF(Z260&lt;35,IF(Z260&lt;6,3,2),1),0),0)</f>
        <v/>
      </c>
      <c r="AR260" s="7">
        <f>IF(AO260=1,IF(AO260=AL260,1,0),5)</f>
        <v/>
      </c>
      <c r="AV260" s="5">
        <f>(AT260+AU260)/2</f>
        <v/>
      </c>
      <c r="AZ260" s="4">
        <f>IF(AY260&lt;-50,-4,IF(AY260&lt;-20,-2,IF(AY260&lt;0,-1,IF(AY260=0,0,IF(AY260&lt;10,1.5,IF(AY260&lt;20,2,IF(AY260&gt;19,2.5,2.5)))))))</f>
        <v/>
      </c>
    </row>
    <row r="261" ht="12.75" customHeight="1">
      <c r="G261" s="5">
        <f>100*(F261-E261)/F261</f>
        <v/>
      </c>
      <c r="P261" s="5">
        <f>O261/I261</f>
        <v/>
      </c>
      <c r="Y261" t="n">
        <v>70</v>
      </c>
      <c r="AA261" s="5">
        <f>IF(X261&lt;50,IF(Y261&gt;(2.3*X261),0,1),1)-IF(Z261&gt;Y261,1.7,0)</f>
        <v/>
      </c>
      <c r="AC261" s="5">
        <f>IF(AB261&gt;4,1,0)+IF(AB261&gt;10,0.7,0)</f>
        <v/>
      </c>
      <c r="AG261" s="6">
        <f>IF(G261&lt;52,0,0.7)+IF(G261&lt;34,0,0.7)+IF(G261&lt;1,0,0.7)+IF(P261&gt;14.56,0,1)+IF(R261&lt;9,0.5,0)+IF(R261&lt;33.8,0.5,0)+IF(R261&lt;50,0.5,0)+IF(R261&lt;80,0.5,0)+IF(S261=5,0,S261)+IF(V261&gt;0,1,-1)+IF(AE261&lt;10.56,0,1)-IF(AE261&lt;3,1,0)-IF(AE261&lt;1,1,0)</f>
        <v/>
      </c>
      <c r="AH261" s="5">
        <f>AG261+IF(X261&lt;1.35,0,1)+IF(Y261&lt;1.35,0,1)+IF(Y261&lt;0.7,-1,0)+AC261+AA261</f>
        <v/>
      </c>
      <c r="AJ261" s="5">
        <f>IF(AI261&gt;12.7,IF(AI261&gt;15.8,0.93,0.98),1)</f>
        <v/>
      </c>
      <c r="AK261" s="5">
        <f>(1.5*AG261+AH261)*AJ261*AQ261</f>
        <v/>
      </c>
      <c r="AL261" s="4">
        <f>D261</f>
        <v/>
      </c>
      <c r="AM261" s="8">
        <f>B261</f>
        <v/>
      </c>
      <c r="AO261" s="61">
        <f>IF(Z261&lt;2.81,0,IF(AK261&gt;13.7,IF(Z261&lt;140,1,0),0))</f>
        <v/>
      </c>
      <c r="AP261" s="7">
        <f>IF(AK261&gt;13.93,IF(Z261&lt;140,IF(Z261&lt;35,IF(Z261&lt;6,3,2),1),0),0)</f>
        <v/>
      </c>
      <c r="AR261" s="7">
        <f>IF(AO261=1,IF(AO261=AL261,1,0),5)</f>
        <v/>
      </c>
      <c r="AV261" s="5">
        <f>(AT261+AU261)/2</f>
        <v/>
      </c>
      <c r="AZ261" s="4">
        <f>IF(AY261&lt;-50,-4,IF(AY261&lt;-20,-2,IF(AY261&lt;0,-1,IF(AY261=0,0,IF(AY261&lt;10,1.5,IF(AY261&lt;20,2,IF(AY261&gt;19,2.5,2.5)))))))</f>
        <v/>
      </c>
    </row>
    <row r="262" ht="12.75" customHeight="1">
      <c r="G262" s="5">
        <f>100*(F262-E262)/F262</f>
        <v/>
      </c>
      <c r="P262" s="5">
        <f>O262/I262</f>
        <v/>
      </c>
      <c r="Y262" t="n">
        <v>70</v>
      </c>
      <c r="AA262" s="5">
        <f>IF(X262&lt;50,IF(Y262&gt;(2.3*X262),0,1),1)-IF(Z262&gt;Y262,1.7,0)</f>
        <v/>
      </c>
      <c r="AC262" s="5">
        <f>IF(AB262&gt;4,1,0)+IF(AB262&gt;10,0.7,0)</f>
        <v/>
      </c>
      <c r="AG262" s="6">
        <f>IF(G262&lt;52,0,0.7)+IF(G262&lt;34,0,0.7)+IF(G262&lt;1,0,0.7)+IF(P262&gt;14.56,0,1)+IF(R262&lt;9,0.5,0)+IF(R262&lt;33.8,0.5,0)+IF(R262&lt;50,0.5,0)+IF(R262&lt;80,0.5,0)+IF(S262=5,0,S262)+IF(V262&gt;0,1,-1)+IF(AE262&lt;10.56,0,1)-IF(AE262&lt;3,1,0)-IF(AE262&lt;1,1,0)</f>
        <v/>
      </c>
      <c r="AH262" s="5">
        <f>AG262+IF(X262&lt;1.35,0,1)+IF(Y262&lt;1.35,0,1)+IF(Y262&lt;0.7,-1,0)+AC262+AA262</f>
        <v/>
      </c>
      <c r="AJ262" s="5">
        <f>IF(AI262&gt;12.7,IF(AI262&gt;15.8,0.93,0.98),1)</f>
        <v/>
      </c>
      <c r="AK262" s="5">
        <f>(1.5*AG262+AH262)*AJ262*AQ262</f>
        <v/>
      </c>
      <c r="AL262" s="4">
        <f>D262</f>
        <v/>
      </c>
      <c r="AM262" s="8">
        <f>B262</f>
        <v/>
      </c>
      <c r="AO262" s="61">
        <f>IF(Z262&lt;2.81,0,IF(AK262&gt;13.7,IF(Z262&lt;140,1,0),0))</f>
        <v/>
      </c>
      <c r="AP262" s="7">
        <f>IF(AK262&gt;13.93,IF(Z262&lt;140,IF(Z262&lt;35,IF(Z262&lt;6,3,2),1),0),0)</f>
        <v/>
      </c>
      <c r="AR262" s="7">
        <f>IF(AO262=1,IF(AO262=AL262,1,0),5)</f>
        <v/>
      </c>
      <c r="AV262" s="5">
        <f>(AT262+AU262)/2</f>
        <v/>
      </c>
      <c r="AZ262" s="4">
        <f>IF(AY262&lt;-50,-4,IF(AY262&lt;-20,-2,IF(AY262&lt;0,-1,IF(AY262=0,0,IF(AY262&lt;10,1.5,IF(AY262&lt;20,2,IF(AY262&gt;19,2.5,2.5)))))))</f>
        <v/>
      </c>
    </row>
    <row r="263" ht="12.75" customHeight="1">
      <c r="G263" s="5">
        <f>100*(F263-E263)/F263</f>
        <v/>
      </c>
      <c r="P263" s="5">
        <f>O263/I263</f>
        <v/>
      </c>
      <c r="Y263" t="n">
        <v>70</v>
      </c>
      <c r="AA263" s="5">
        <f>IF(X263&lt;50,IF(Y263&gt;(2.3*X263),0,1),1)-IF(Z263&gt;Y263,1.7,0)</f>
        <v/>
      </c>
      <c r="AC263" s="5">
        <f>IF(AB263&gt;4,1,0)+IF(AB263&gt;10,0.7,0)</f>
        <v/>
      </c>
      <c r="AG263" s="6">
        <f>IF(G263&lt;52,0,0.7)+IF(G263&lt;34,0,0.7)+IF(G263&lt;1,0,0.7)+IF(P263&gt;14.56,0,1)+IF(R263&lt;9,0.5,0)+IF(R263&lt;33.8,0.5,0)+IF(R263&lt;50,0.5,0)+IF(R263&lt;80,0.5,0)+IF(S263=5,0,S263)+IF(V263&gt;0,1,-1)+IF(AE263&lt;10.56,0,1)-IF(AE263&lt;3,1,0)-IF(AE263&lt;1,1,0)</f>
        <v/>
      </c>
      <c r="AH263" s="5">
        <f>AG263+IF(X263&lt;1.35,0,1)+IF(Y263&lt;1.35,0,1)+IF(Y263&lt;0.7,-1,0)+AC263+AA263</f>
        <v/>
      </c>
      <c r="AJ263" s="5">
        <f>IF(AI263&gt;12.7,IF(AI263&gt;15.8,0.93,0.98),1)</f>
        <v/>
      </c>
      <c r="AK263" s="5">
        <f>(1.5*AG263+AH263)*AJ263*AQ263</f>
        <v/>
      </c>
      <c r="AL263" s="4">
        <f>D263</f>
        <v/>
      </c>
      <c r="AM263" s="8">
        <f>B263</f>
        <v/>
      </c>
      <c r="AO263" s="61">
        <f>IF(Z263&lt;2.81,0,IF(AK263&gt;13.7,IF(Z263&lt;140,1,0),0))</f>
        <v/>
      </c>
      <c r="AP263" s="7">
        <f>IF(AK263&gt;13.93,IF(Z263&lt;140,IF(Z263&lt;35,IF(Z263&lt;6,3,2),1),0),0)</f>
        <v/>
      </c>
      <c r="AR263" s="7">
        <f>IF(AO263=1,IF(AO263=AL263,1,0),5)</f>
        <v/>
      </c>
      <c r="AV263" s="5">
        <f>(AT263+AU263)/2</f>
        <v/>
      </c>
      <c r="AZ263" s="4">
        <f>IF(AY263&lt;-50,-4,IF(AY263&lt;-20,-2,IF(AY263&lt;0,-1,IF(AY263=0,0,IF(AY263&lt;10,1.5,IF(AY263&lt;20,2,IF(AY263&gt;19,2.5,2.5)))))))</f>
        <v/>
      </c>
    </row>
    <row r="264" ht="12.75" customHeight="1">
      <c r="G264" s="5">
        <f>100*(F264-E264)/F264</f>
        <v/>
      </c>
      <c r="P264" s="5">
        <f>O264/I264</f>
        <v/>
      </c>
      <c r="Y264" t="n">
        <v>70</v>
      </c>
      <c r="AA264" s="5">
        <f>IF(X264&lt;50,IF(Y264&gt;(2.3*X264),0,1),1)-IF(Z264&gt;Y264,1.7,0)</f>
        <v/>
      </c>
      <c r="AC264" s="5">
        <f>IF(AB264&gt;4,1,0)+IF(AB264&gt;10,0.7,0)</f>
        <v/>
      </c>
      <c r="AG264" s="6">
        <f>IF(G264&lt;52,0,0.7)+IF(G264&lt;34,0,0.7)+IF(G264&lt;1,0,0.7)+IF(P264&gt;14.56,0,1)+IF(R264&lt;9,0.5,0)+IF(R264&lt;33.8,0.5,0)+IF(R264&lt;50,0.5,0)+IF(R264&lt;80,0.5,0)+IF(S264=5,0,S264)+IF(V264&gt;0,1,-1)+IF(AE264&lt;10.56,0,1)-IF(AE264&lt;3,1,0)-IF(AE264&lt;1,1,0)</f>
        <v/>
      </c>
      <c r="AH264" s="5">
        <f>AG264+IF(X264&lt;1.35,0,1)+IF(Y264&lt;1.35,0,1)+IF(Y264&lt;0.7,-1,0)+AC264+AA264</f>
        <v/>
      </c>
      <c r="AJ264" s="5">
        <f>IF(AI264&gt;12.7,IF(AI264&gt;15.8,0.93,0.98),1)</f>
        <v/>
      </c>
      <c r="AK264" s="5">
        <f>(1.5*AG264+AH264)*AJ264*AQ264</f>
        <v/>
      </c>
      <c r="AL264" s="4">
        <f>D264</f>
        <v/>
      </c>
      <c r="AM264" s="8">
        <f>B264</f>
        <v/>
      </c>
      <c r="AO264" s="61">
        <f>IF(Z264&lt;2.81,0,IF(AK264&gt;13.7,IF(Z264&lt;140,1,0),0))</f>
        <v/>
      </c>
      <c r="AP264" s="7">
        <f>IF(AK264&gt;13.93,IF(Z264&lt;140,IF(Z264&lt;35,IF(Z264&lt;6,3,2),1),0),0)</f>
        <v/>
      </c>
      <c r="AR264" s="7">
        <f>IF(AO264=1,IF(AO264=AL264,1,0),5)</f>
        <v/>
      </c>
      <c r="AV264" s="5">
        <f>(AT264+AU264)/2</f>
        <v/>
      </c>
      <c r="AZ264" s="4">
        <f>IF(AY264&lt;-50,-4,IF(AY264&lt;-20,-2,IF(AY264&lt;0,-1,IF(AY264=0,0,IF(AY264&lt;10,1.5,IF(AY264&lt;20,2,IF(AY264&gt;19,2.5,2.5)))))))</f>
        <v/>
      </c>
    </row>
    <row r="265" ht="12.75" customHeight="1">
      <c r="G265" s="5">
        <f>100*(F265-E265)/F265</f>
        <v/>
      </c>
      <c r="P265" s="5">
        <f>O265/I265</f>
        <v/>
      </c>
      <c r="Y265" t="n">
        <v>70</v>
      </c>
      <c r="AA265" s="5">
        <f>IF(X265&lt;50,IF(Y265&gt;(2.3*X265),0,1),1)-IF(Z265&gt;Y265,1.7,0)</f>
        <v/>
      </c>
      <c r="AC265" s="5">
        <f>IF(AB265&gt;4,1,0)+IF(AB265&gt;10,0.7,0)</f>
        <v/>
      </c>
      <c r="AG265" s="6">
        <f>IF(G265&lt;52,0,0.7)+IF(G265&lt;34,0,0.7)+IF(G265&lt;1,0,0.7)+IF(P265&gt;14.56,0,1)+IF(R265&lt;9,0.5,0)+IF(R265&lt;33.8,0.5,0)+IF(R265&lt;50,0.5,0)+IF(R265&lt;80,0.5,0)+IF(S265=5,0,S265)+IF(V265&gt;0,1,-1)+IF(AE265&lt;10.56,0,1)-IF(AE265&lt;3,1,0)-IF(AE265&lt;1,1,0)</f>
        <v/>
      </c>
      <c r="AH265" s="5">
        <f>AG265+IF(X265&lt;1.35,0,1)+IF(Y265&lt;1.35,0,1)+IF(Y265&lt;0.7,-1,0)+AC265+AA265</f>
        <v/>
      </c>
      <c r="AJ265" s="5">
        <f>IF(AI265&gt;12.7,IF(AI265&gt;15.8,0.93,0.98),1)</f>
        <v/>
      </c>
      <c r="AK265" s="5">
        <f>(1.5*AG265+AH265)*AJ265*AQ265</f>
        <v/>
      </c>
      <c r="AL265" s="4">
        <f>D265</f>
        <v/>
      </c>
      <c r="AM265" s="8">
        <f>B265</f>
        <v/>
      </c>
      <c r="AO265" s="61">
        <f>IF(Z265&lt;2.81,0,IF(AK265&gt;13.7,IF(Z265&lt;140,1,0),0))</f>
        <v/>
      </c>
      <c r="AP265" s="7">
        <f>IF(AK265&gt;13.93,IF(Z265&lt;140,IF(Z265&lt;35,IF(Z265&lt;6,3,2),1),0),0)</f>
        <v/>
      </c>
      <c r="AR265" s="7">
        <f>IF(AO265=1,IF(AO265=AL265,1,0),5)</f>
        <v/>
      </c>
      <c r="AV265" s="5">
        <f>(AT265+AU265)/2</f>
        <v/>
      </c>
      <c r="AZ265" s="4">
        <f>IF(AY265&lt;-50,-4,IF(AY265&lt;-20,-2,IF(AY265&lt;0,-1,IF(AY265=0,0,IF(AY265&lt;10,1.5,IF(AY265&lt;20,2,IF(AY265&gt;19,2.5,2.5)))))))</f>
        <v/>
      </c>
    </row>
    <row r="266" ht="12.75" customHeight="1">
      <c r="G266" s="5">
        <f>100*(F266-E266)/F266</f>
        <v/>
      </c>
      <c r="P266" s="5">
        <f>O266/I266</f>
        <v/>
      </c>
      <c r="Y266" t="n">
        <v>70</v>
      </c>
      <c r="AA266" s="5">
        <f>IF(X266&lt;50,IF(Y266&gt;(2.3*X266),0,1),1)-IF(Z266&gt;Y266,1.7,0)</f>
        <v/>
      </c>
      <c r="AC266" s="5">
        <f>IF(AB266&gt;4,1,0)+IF(AB266&gt;10,0.7,0)</f>
        <v/>
      </c>
      <c r="AG266" s="6">
        <f>IF(G266&lt;52,0,0.7)+IF(G266&lt;34,0,0.7)+IF(G266&lt;1,0,0.7)+IF(P266&gt;14.56,0,1)+IF(R266&lt;9,0.5,0)+IF(R266&lt;33.8,0.5,0)+IF(R266&lt;50,0.5,0)+IF(R266&lt;80,0.5,0)+IF(S266=5,0,S266)+IF(V266&gt;0,1,-1)+IF(AE266&lt;10.56,0,1)-IF(AE266&lt;3,1,0)-IF(AE266&lt;1,1,0)</f>
        <v/>
      </c>
      <c r="AH266" s="5">
        <f>AG266+IF(X266&lt;1.35,0,1)+IF(Y266&lt;1.35,0,1)+IF(Y266&lt;0.7,-1,0)+AC266+AA266</f>
        <v/>
      </c>
      <c r="AJ266" s="5">
        <f>IF(AI266&gt;12.7,IF(AI266&gt;15.8,0.93,0.98),1)</f>
        <v/>
      </c>
      <c r="AK266" s="5">
        <f>(1.5*AG266+AH266)*AJ266*AQ266</f>
        <v/>
      </c>
      <c r="AL266" s="4">
        <f>D266</f>
        <v/>
      </c>
      <c r="AM266" s="8">
        <f>B266</f>
        <v/>
      </c>
      <c r="AO266" s="61">
        <f>IF(Z266&lt;2.81,0,IF(AK266&gt;13.7,IF(Z266&lt;140,1,0),0))</f>
        <v/>
      </c>
      <c r="AP266" s="7">
        <f>IF(AK266&gt;13.93,IF(Z266&lt;140,IF(Z266&lt;35,IF(Z266&lt;6,3,2),1),0),0)</f>
        <v/>
      </c>
      <c r="AR266" s="7">
        <f>IF(AO266=1,IF(AO266=AL266,1,0),5)</f>
        <v/>
      </c>
      <c r="AV266" s="5">
        <f>(AT266+AU266)/2</f>
        <v/>
      </c>
      <c r="AZ266" s="4">
        <f>IF(AY266&lt;-50,-4,IF(AY266&lt;-20,-2,IF(AY266&lt;0,-1,IF(AY266=0,0,IF(AY266&lt;10,1.5,IF(AY266&lt;20,2,IF(AY266&gt;19,2.5,2.5)))))))</f>
        <v/>
      </c>
    </row>
    <row r="267" ht="12.75" customHeight="1">
      <c r="G267" s="5">
        <f>100*(F267-E267)/F267</f>
        <v/>
      </c>
      <c r="P267" s="5">
        <f>O267/I267</f>
        <v/>
      </c>
      <c r="Y267" t="n">
        <v>70</v>
      </c>
      <c r="AA267" s="5">
        <f>IF(X267&lt;50,IF(Y267&gt;(2.3*X267),0,1),1)-IF(Z267&gt;Y267,1.7,0)</f>
        <v/>
      </c>
      <c r="AC267" s="5">
        <f>IF(AB267&gt;4,1,0)+IF(AB267&gt;10,0.7,0)</f>
        <v/>
      </c>
      <c r="AG267" s="6">
        <f>IF(G267&lt;52,0,0.7)+IF(G267&lt;34,0,0.7)+IF(G267&lt;1,0,0.7)+IF(P267&gt;14.56,0,1)+IF(R267&lt;9,0.5,0)+IF(R267&lt;33.8,0.5,0)+IF(R267&lt;50,0.5,0)+IF(R267&lt;80,0.5,0)+IF(S267=5,0,S267)+IF(V267&gt;0,1,-1)+IF(AE267&lt;10.56,0,1)-IF(AE267&lt;3,1,0)-IF(AE267&lt;1,1,0)</f>
        <v/>
      </c>
      <c r="AH267" s="5">
        <f>AG267+IF(X267&lt;1.35,0,1)+IF(Y267&lt;1.35,0,1)+IF(Y267&lt;0.7,-1,0)+AC267+AA267</f>
        <v/>
      </c>
      <c r="AJ267" s="5">
        <f>IF(AI267&gt;12.7,IF(AI267&gt;15.8,0.93,0.98),1)</f>
        <v/>
      </c>
      <c r="AK267" s="5">
        <f>(1.5*AG267+AH267)*AJ267*AQ267</f>
        <v/>
      </c>
      <c r="AL267" s="4">
        <f>D267</f>
        <v/>
      </c>
      <c r="AM267" s="8">
        <f>B267</f>
        <v/>
      </c>
      <c r="AO267" s="61">
        <f>IF(Z267&lt;2.81,0,IF(AK267&gt;13.7,IF(Z267&lt;140,1,0),0))</f>
        <v/>
      </c>
      <c r="AP267" s="7">
        <f>IF(AK267&gt;13.93,IF(Z267&lt;140,IF(Z267&lt;35,IF(Z267&lt;6,3,2),1),0),0)</f>
        <v/>
      </c>
      <c r="AR267" s="7">
        <f>IF(AO267=1,IF(AO267=AL267,1,0),5)</f>
        <v/>
      </c>
      <c r="AV267" s="5">
        <f>(AT267+AU267)/2</f>
        <v/>
      </c>
      <c r="AZ267" s="4">
        <f>IF(AY267&lt;-50,-4,IF(AY267&lt;-20,-2,IF(AY267&lt;0,-1,IF(AY267=0,0,IF(AY267&lt;10,1.5,IF(AY267&lt;20,2,IF(AY267&gt;19,2.5,2.5)))))))</f>
        <v/>
      </c>
    </row>
    <row r="268" ht="12.75" customHeight="1">
      <c r="G268" s="5">
        <f>100*(F268-E268)/F268</f>
        <v/>
      </c>
      <c r="P268" s="5">
        <f>O268/I268</f>
        <v/>
      </c>
      <c r="Y268" t="n">
        <v>70</v>
      </c>
      <c r="AA268" s="5">
        <f>IF(X268&lt;50,IF(Y268&gt;(2.3*X268),0,1),1)-IF(Z268&gt;Y268,1.7,0)</f>
        <v/>
      </c>
      <c r="AC268" s="5">
        <f>IF(AB268&gt;4,1,0)+IF(AB268&gt;10,0.7,0)</f>
        <v/>
      </c>
      <c r="AG268" s="6">
        <f>IF(G268&lt;52,0,0.7)+IF(G268&lt;34,0,0.7)+IF(G268&lt;1,0,0.7)+IF(P268&gt;14.56,0,1)+IF(R268&lt;9,0.5,0)+IF(R268&lt;33.8,0.5,0)+IF(R268&lt;50,0.5,0)+IF(R268&lt;80,0.5,0)+IF(S268=5,0,S268)+IF(V268&gt;0,1,-1)+IF(AE268&lt;10.56,0,1)-IF(AE268&lt;3,1,0)-IF(AE268&lt;1,1,0)</f>
        <v/>
      </c>
      <c r="AH268" s="5">
        <f>AG268+IF(X268&lt;1.35,0,1)+IF(Y268&lt;1.35,0,1)+IF(Y268&lt;0.7,-1,0)+AC268+AA268</f>
        <v/>
      </c>
      <c r="AJ268" s="5">
        <f>IF(AI268&gt;12.7,IF(AI268&gt;15.8,0.93,0.98),1)</f>
        <v/>
      </c>
      <c r="AK268" s="5">
        <f>(1.5*AG268+AH268)*AJ268*AQ268</f>
        <v/>
      </c>
      <c r="AL268" s="4">
        <f>D268</f>
        <v/>
      </c>
      <c r="AM268" s="8">
        <f>B268</f>
        <v/>
      </c>
      <c r="AO268" s="61">
        <f>IF(Z268&lt;2.81,0,IF(AK268&gt;13.7,IF(Z268&lt;140,1,0),0))</f>
        <v/>
      </c>
      <c r="AP268" s="7">
        <f>IF(AK268&gt;13.93,IF(Z268&lt;140,IF(Z268&lt;35,IF(Z268&lt;6,3,2),1),0),0)</f>
        <v/>
      </c>
      <c r="AR268" s="7">
        <f>IF(AO268=1,IF(AO268=AL268,1,0),5)</f>
        <v/>
      </c>
      <c r="AV268" s="5">
        <f>(AT268+AU268)/2</f>
        <v/>
      </c>
      <c r="AZ268" s="4">
        <f>IF(AY268&lt;-50,-4,IF(AY268&lt;-20,-2,IF(AY268&lt;0,-1,IF(AY268=0,0,IF(AY268&lt;10,1.5,IF(AY268&lt;20,2,IF(AY268&gt;19,2.5,2.5)))))))</f>
        <v/>
      </c>
    </row>
    <row r="269" ht="12.75" customHeight="1">
      <c r="G269" s="5">
        <f>100*(F269-E269)/F269</f>
        <v/>
      </c>
      <c r="P269" s="5">
        <f>O269/I269</f>
        <v/>
      </c>
      <c r="Y269" t="n">
        <v>70</v>
      </c>
      <c r="AA269" s="5">
        <f>IF(X269&lt;50,IF(Y269&gt;(2.3*X269),0,1),1)-IF(Z269&gt;Y269,1.7,0)</f>
        <v/>
      </c>
      <c r="AC269" s="5">
        <f>IF(AB269&gt;4,1,0)+IF(AB269&gt;10,0.7,0)</f>
        <v/>
      </c>
      <c r="AG269" s="6">
        <f>IF(G269&lt;52,0,0.7)+IF(G269&lt;34,0,0.7)+IF(G269&lt;1,0,0.7)+IF(P269&gt;14.56,0,1)+IF(R269&lt;9,0.5,0)+IF(R269&lt;33.8,0.5,0)+IF(R269&lt;50,0.5,0)+IF(R269&lt;80,0.5,0)+IF(S269=5,0,S269)+IF(V269&gt;0,1,-1)+IF(AE269&lt;10.56,0,1)-IF(AE269&lt;3,1,0)-IF(AE269&lt;1,1,0)</f>
        <v/>
      </c>
      <c r="AH269" s="5">
        <f>AG269+IF(X269&lt;1.35,0,1)+IF(Y269&lt;1.35,0,1)+IF(Y269&lt;0.7,-1,0)+AC269+AA269</f>
        <v/>
      </c>
      <c r="AJ269" s="5">
        <f>IF(AI269&gt;12.7,IF(AI269&gt;15.8,0.93,0.98),1)</f>
        <v/>
      </c>
      <c r="AK269" s="5">
        <f>(1.5*AG269+AH269)*AJ269*AQ269</f>
        <v/>
      </c>
      <c r="AL269" s="4">
        <f>D269</f>
        <v/>
      </c>
      <c r="AM269" s="8">
        <f>B269</f>
        <v/>
      </c>
      <c r="AO269" s="61">
        <f>IF(Z269&lt;2.81,0,IF(AK269&gt;13.7,IF(Z269&lt;140,1,0),0))</f>
        <v/>
      </c>
      <c r="AP269" s="7">
        <f>IF(AK269&gt;13.93,IF(Z269&lt;140,IF(Z269&lt;35,IF(Z269&lt;6,3,2),1),0),0)</f>
        <v/>
      </c>
      <c r="AR269" s="7">
        <f>IF(AO269=1,IF(AO269=AL269,1,0),5)</f>
        <v/>
      </c>
      <c r="AV269" s="5">
        <f>(AT269+AU269)/2</f>
        <v/>
      </c>
      <c r="AZ269" s="4">
        <f>IF(AY269&lt;-50,-4,IF(AY269&lt;-20,-2,IF(AY269&lt;0,-1,IF(AY269=0,0,IF(AY269&lt;10,1.5,IF(AY269&lt;20,2,IF(AY269&gt;19,2.5,2.5)))))))</f>
        <v/>
      </c>
    </row>
    <row r="270" ht="12.75" customHeight="1">
      <c r="G270" s="5">
        <f>100*(F270-E270)/F270</f>
        <v/>
      </c>
      <c r="P270" s="5">
        <f>O270/I270</f>
        <v/>
      </c>
      <c r="Y270" t="n">
        <v>70</v>
      </c>
      <c r="AA270" s="5">
        <f>IF(X270&lt;50,IF(Y270&gt;(2.3*X270),0,1),1)-IF(Z270&gt;Y270,1.7,0)</f>
        <v/>
      </c>
      <c r="AC270" s="5">
        <f>IF(AB270&gt;4,1,0)+IF(AB270&gt;10,0.7,0)</f>
        <v/>
      </c>
      <c r="AG270" s="6">
        <f>IF(G270&lt;52,0,0.7)+IF(G270&lt;34,0,0.7)+IF(G270&lt;1,0,0.7)+IF(P270&gt;14.56,0,1)+IF(R270&lt;9,0.5,0)+IF(R270&lt;33.8,0.5,0)+IF(R270&lt;50,0.5,0)+IF(R270&lt;80,0.5,0)+IF(S270=5,0,S270)+IF(V270&gt;0,1,-1)+IF(AE270&lt;10.56,0,1)-IF(AE270&lt;3,1,0)-IF(AE270&lt;1,1,0)</f>
        <v/>
      </c>
      <c r="AH270" s="5">
        <f>AG270+IF(X270&lt;1.35,0,1)+IF(Y270&lt;1.35,0,1)+IF(Y270&lt;0.7,-1,0)+AC270+AA270</f>
        <v/>
      </c>
      <c r="AJ270" s="5">
        <f>IF(AI270&gt;12.7,IF(AI270&gt;15.8,0.93,0.98),1)</f>
        <v/>
      </c>
      <c r="AK270" s="5">
        <f>(1.5*AG270+AH270)*AJ270*AQ270</f>
        <v/>
      </c>
      <c r="AL270" s="4">
        <f>D270</f>
        <v/>
      </c>
      <c r="AM270" s="8">
        <f>B270</f>
        <v/>
      </c>
      <c r="AO270" s="61">
        <f>IF(Z270&lt;2.81,0,IF(AK270&gt;13.7,IF(Z270&lt;140,1,0),0))</f>
        <v/>
      </c>
      <c r="AP270" s="7">
        <f>IF(AK270&gt;13.93,IF(Z270&lt;140,IF(Z270&lt;35,IF(Z270&lt;6,3,2),1),0),0)</f>
        <v/>
      </c>
      <c r="AR270" s="7">
        <f>IF(AO270=1,IF(AO270=AL270,1,0),5)</f>
        <v/>
      </c>
      <c r="AV270" s="5">
        <f>(AT270+AU270)/2</f>
        <v/>
      </c>
      <c r="AZ270" s="4">
        <f>IF(AY270&lt;-50,-4,IF(AY270&lt;-20,-2,IF(AY270&lt;0,-1,IF(AY270=0,0,IF(AY270&lt;10,1.5,IF(AY270&lt;20,2,IF(AY270&gt;19,2.5,2.5)))))))</f>
        <v/>
      </c>
    </row>
    <row r="271" ht="12.75" customHeight="1">
      <c r="G271" s="5">
        <f>100*(F271-E271)/F271</f>
        <v/>
      </c>
      <c r="P271" s="5">
        <f>O271/I271</f>
        <v/>
      </c>
      <c r="Y271" t="n">
        <v>70</v>
      </c>
      <c r="AA271" s="5">
        <f>IF(X271&lt;50,IF(Y271&gt;(2.3*X271),0,1),1)-IF(Z271&gt;Y271,1.7,0)</f>
        <v/>
      </c>
      <c r="AC271" s="5">
        <f>IF(AB271&gt;4,1,0)+IF(AB271&gt;10,0.7,0)</f>
        <v/>
      </c>
      <c r="AG271" s="6">
        <f>IF(G271&lt;52,0,0.7)+IF(G271&lt;34,0,0.7)+IF(G271&lt;1,0,0.7)+IF(P271&gt;14.56,0,1)+IF(R271&lt;9,0.5,0)+IF(R271&lt;33.8,0.5,0)+IF(R271&lt;50,0.5,0)+IF(R271&lt;80,0.5,0)+IF(S271=5,0,S271)+IF(V271&gt;0,1,-1)+IF(AE271&lt;10.56,0,1)-IF(AE271&lt;3,1,0)-IF(AE271&lt;1,1,0)</f>
        <v/>
      </c>
      <c r="AH271" s="5">
        <f>AG271+IF(X271&lt;1.35,0,1)+IF(Y271&lt;1.35,0,1)+IF(Y271&lt;0.7,-1,0)+AC271+AA271</f>
        <v/>
      </c>
      <c r="AJ271" s="5">
        <f>IF(AI271&gt;12.7,IF(AI271&gt;15.8,0.93,0.98),1)</f>
        <v/>
      </c>
      <c r="AK271" s="5">
        <f>(1.5*AG271+AH271)*AJ271*AQ271</f>
        <v/>
      </c>
      <c r="AL271" s="4">
        <f>D271</f>
        <v/>
      </c>
      <c r="AM271" s="8">
        <f>B271</f>
        <v/>
      </c>
      <c r="AO271" s="61">
        <f>IF(Z271&lt;2.81,0,IF(AK271&gt;13.7,IF(Z271&lt;140,1,0),0))</f>
        <v/>
      </c>
      <c r="AP271" s="7">
        <f>IF(AK271&gt;13.93,IF(Z271&lt;140,IF(Z271&lt;35,IF(Z271&lt;6,3,2),1),0),0)</f>
        <v/>
      </c>
      <c r="AR271" s="7">
        <f>IF(AO271=1,IF(AO271=AL271,1,0),5)</f>
        <v/>
      </c>
      <c r="AV271" s="5">
        <f>(AT271+AU271)/2</f>
        <v/>
      </c>
      <c r="AZ271" s="4">
        <f>IF(AY271&lt;-50,-4,IF(AY271&lt;-20,-2,IF(AY271&lt;0,-1,IF(AY271=0,0,IF(AY271&lt;10,1.5,IF(AY271&lt;20,2,IF(AY271&gt;19,2.5,2.5)))))))</f>
        <v/>
      </c>
    </row>
    <row r="272" ht="12.75" customHeight="1">
      <c r="G272" s="5">
        <f>100*(F272-E272)/F272</f>
        <v/>
      </c>
      <c r="P272" s="5">
        <f>O272/I272</f>
        <v/>
      </c>
      <c r="Y272" t="n">
        <v>70</v>
      </c>
      <c r="AA272" s="5">
        <f>IF(X272&lt;50,IF(Y272&gt;(2.3*X272),0,1),1)-IF(Z272&gt;Y272,1.7,0)</f>
        <v/>
      </c>
      <c r="AC272" s="5">
        <f>IF(AB272&gt;4,1,0)+IF(AB272&gt;10,0.7,0)</f>
        <v/>
      </c>
      <c r="AG272" s="6">
        <f>IF(G272&lt;52,0,0.7)+IF(G272&lt;34,0,0.7)+IF(G272&lt;1,0,0.7)+IF(P272&gt;14.56,0,1)+IF(R272&lt;9,0.5,0)+IF(R272&lt;33.8,0.5,0)+IF(R272&lt;50,0.5,0)+IF(R272&lt;80,0.5,0)+IF(S272=5,0,S272)+IF(V272&gt;0,1,-1)+IF(AE272&lt;10.56,0,1)-IF(AE272&lt;3,1,0)-IF(AE272&lt;1,1,0)</f>
        <v/>
      </c>
      <c r="AH272" s="5">
        <f>AG272+IF(X272&lt;1.35,0,1)+IF(Y272&lt;1.35,0,1)+IF(Y272&lt;0.7,-1,0)+AC272+AA272</f>
        <v/>
      </c>
      <c r="AJ272" s="5">
        <f>IF(AI272&gt;12.7,IF(AI272&gt;15.8,0.93,0.98),1)</f>
        <v/>
      </c>
      <c r="AK272" s="5">
        <f>(1.5*AG272+AH272)*AJ272*AQ272</f>
        <v/>
      </c>
      <c r="AL272" s="4">
        <f>D272</f>
        <v/>
      </c>
      <c r="AM272" s="8">
        <f>B272</f>
        <v/>
      </c>
      <c r="AO272" s="61">
        <f>IF(Z272&lt;2.81,0,IF(AK272&gt;13.7,IF(Z272&lt;140,1,0),0))</f>
        <v/>
      </c>
      <c r="AP272" s="7">
        <f>IF(AK272&gt;13.93,IF(Z272&lt;140,IF(Z272&lt;35,IF(Z272&lt;6,3,2),1),0),0)</f>
        <v/>
      </c>
      <c r="AR272" s="7">
        <f>IF(AO272=1,IF(AO272=AL272,1,0),5)</f>
        <v/>
      </c>
      <c r="AV272" s="5">
        <f>(AT272+AU272)/2</f>
        <v/>
      </c>
      <c r="AZ272" s="4">
        <f>IF(AY272&lt;-50,-4,IF(AY272&lt;-20,-2,IF(AY272&lt;0,-1,IF(AY272=0,0,IF(AY272&lt;10,1.5,IF(AY272&lt;20,2,IF(AY272&gt;19,2.5,2.5)))))))</f>
        <v/>
      </c>
    </row>
    <row r="273" ht="12.75" customHeight="1">
      <c r="G273" s="5">
        <f>100*(F273-E273)/F273</f>
        <v/>
      </c>
      <c r="P273" s="5">
        <f>O273/I273</f>
        <v/>
      </c>
      <c r="Y273" t="n">
        <v>70</v>
      </c>
      <c r="AA273" s="5">
        <f>IF(X273&lt;50,IF(Y273&gt;(2.3*X273),0,1),1)-IF(Z273&gt;Y273,1.7,0)</f>
        <v/>
      </c>
      <c r="AC273" s="5">
        <f>IF(AB273&gt;4,1,0)+IF(AB273&gt;10,0.7,0)</f>
        <v/>
      </c>
      <c r="AG273" s="6">
        <f>IF(G273&lt;52,0,0.7)+IF(G273&lt;34,0,0.7)+IF(G273&lt;1,0,0.7)+IF(P273&gt;14.56,0,1)+IF(R273&lt;9,0.5,0)+IF(R273&lt;33.8,0.5,0)+IF(R273&lt;50,0.5,0)+IF(R273&lt;80,0.5,0)+IF(S273=5,0,S273)+IF(V273&gt;0,1,-1)+IF(AE273&lt;10.56,0,1)-IF(AE273&lt;3,1,0)-IF(AE273&lt;1,1,0)</f>
        <v/>
      </c>
      <c r="AH273" s="5">
        <f>AG273+IF(X273&lt;1.35,0,1)+IF(Y273&lt;1.35,0,1)+IF(Y273&lt;0.7,-1,0)+AC273+AA273</f>
        <v/>
      </c>
      <c r="AJ273" s="5">
        <f>IF(AI273&gt;12.7,IF(AI273&gt;15.8,0.93,0.98),1)</f>
        <v/>
      </c>
      <c r="AK273" s="5">
        <f>(1.5*AG273+AH273)*AJ273*AQ273</f>
        <v/>
      </c>
      <c r="AL273" s="4">
        <f>D273</f>
        <v/>
      </c>
      <c r="AM273" s="8">
        <f>B273</f>
        <v/>
      </c>
      <c r="AO273" s="61">
        <f>IF(Z273&lt;2.81,0,IF(AK273&gt;13.7,IF(Z273&lt;140,1,0),0))</f>
        <v/>
      </c>
      <c r="AP273" s="7">
        <f>IF(AK273&gt;13.93,IF(Z273&lt;140,IF(Z273&lt;35,IF(Z273&lt;6,3,2),1),0),0)</f>
        <v/>
      </c>
      <c r="AR273" s="7">
        <f>IF(AO273=1,IF(AO273=AL273,1,0),5)</f>
        <v/>
      </c>
      <c r="AV273" s="5">
        <f>(AT273+AU273)/2</f>
        <v/>
      </c>
      <c r="AZ273" s="4">
        <f>IF(AY273&lt;-50,-4,IF(AY273&lt;-20,-2,IF(AY273&lt;0,-1,IF(AY273=0,0,IF(AY273&lt;10,1.5,IF(AY273&lt;20,2,IF(AY273&gt;19,2.5,2.5)))))))</f>
        <v/>
      </c>
    </row>
    <row r="274" ht="12.75" customHeight="1">
      <c r="G274" s="5">
        <f>100*(F274-E274)/F274</f>
        <v/>
      </c>
      <c r="P274" s="5">
        <f>O274/I274</f>
        <v/>
      </c>
      <c r="Y274" t="n">
        <v>70</v>
      </c>
      <c r="AA274" s="5">
        <f>IF(X274&lt;50,IF(Y274&gt;(2.3*X274),0,1),1)-IF(Z274&gt;Y274,1.7,0)</f>
        <v/>
      </c>
      <c r="AC274" s="5">
        <f>IF(AB274&gt;4,1,0)+IF(AB274&gt;10,0.7,0)</f>
        <v/>
      </c>
      <c r="AG274" s="6">
        <f>IF(G274&lt;52,0,0.7)+IF(G274&lt;34,0,0.7)+IF(G274&lt;1,0,0.7)+IF(P274&gt;14.56,0,1)+IF(R274&lt;9,0.5,0)+IF(R274&lt;33.8,0.5,0)+IF(R274&lt;50,0.5,0)+IF(R274&lt;80,0.5,0)+IF(S274=5,0,S274)+IF(V274&gt;0,1,-1)+IF(AE274&lt;10.56,0,1)-IF(AE274&lt;3,1,0)-IF(AE274&lt;1,1,0)</f>
        <v/>
      </c>
      <c r="AH274" s="5">
        <f>AG274+IF(X274&lt;1.35,0,1)+IF(Y274&lt;1.35,0,1)+IF(Y274&lt;0.7,-1,0)+AC274+AA274</f>
        <v/>
      </c>
      <c r="AJ274" s="5">
        <f>IF(AI274&gt;12.7,IF(AI274&gt;15.8,0.93,0.98),1)</f>
        <v/>
      </c>
      <c r="AK274" s="5">
        <f>(1.5*AG274+AH274)*AJ274*AQ274</f>
        <v/>
      </c>
      <c r="AL274" s="4">
        <f>D274</f>
        <v/>
      </c>
      <c r="AM274" s="8">
        <f>B274</f>
        <v/>
      </c>
      <c r="AO274" s="61">
        <f>IF(Z274&lt;2.81,0,IF(AK274&gt;13.7,IF(Z274&lt;140,1,0),0))</f>
        <v/>
      </c>
      <c r="AP274" s="7">
        <f>IF(AK274&gt;13.93,IF(Z274&lt;140,IF(Z274&lt;35,IF(Z274&lt;6,3,2),1),0),0)</f>
        <v/>
      </c>
      <c r="AR274" s="7">
        <f>IF(AO274=1,IF(AO274=AL274,1,0),5)</f>
        <v/>
      </c>
      <c r="AV274" s="5">
        <f>(AT274+AU274)/2</f>
        <v/>
      </c>
      <c r="AZ274" s="4">
        <f>IF(AY274&lt;-50,-4,IF(AY274&lt;-20,-2,IF(AY274&lt;0,-1,IF(AY274=0,0,IF(AY274&lt;10,1.5,IF(AY274&lt;20,2,IF(AY274&gt;19,2.5,2.5)))))))</f>
        <v/>
      </c>
    </row>
    <row r="275" ht="12.75" customHeight="1">
      <c r="G275" s="5">
        <f>100*(F275-E275)/F275</f>
        <v/>
      </c>
      <c r="P275" s="5">
        <f>O275/I275</f>
        <v/>
      </c>
      <c r="Y275" t="n">
        <v>70</v>
      </c>
      <c r="AA275" s="5">
        <f>IF(X275&lt;50,IF(Y275&gt;(2.3*X275),0,1),1)-IF(Z275&gt;Y275,1.7,0)</f>
        <v/>
      </c>
      <c r="AC275" s="5">
        <f>IF(AB275&gt;4,1,0)+IF(AB275&gt;10,0.7,0)</f>
        <v/>
      </c>
      <c r="AG275" s="6">
        <f>IF(G275&lt;52,0,0.7)+IF(G275&lt;34,0,0.7)+IF(G275&lt;1,0,0.7)+IF(P275&gt;14.56,0,1)+IF(R275&lt;9,0.5,0)+IF(R275&lt;33.8,0.5,0)+IF(R275&lt;50,0.5,0)+IF(R275&lt;80,0.5,0)+IF(S275=5,0,S275)+IF(V275&gt;0,1,-1)+IF(AE275&lt;10.56,0,1)-IF(AE275&lt;3,1,0)-IF(AE275&lt;1,1,0)</f>
        <v/>
      </c>
      <c r="AH275" s="5">
        <f>AG275+IF(X275&lt;1.35,0,1)+IF(Y275&lt;1.35,0,1)+IF(Y275&lt;0.7,-1,0)+AC275+AA275</f>
        <v/>
      </c>
      <c r="AJ275" s="5">
        <f>IF(AI275&gt;12.7,IF(AI275&gt;15.8,0.93,0.98),1)</f>
        <v/>
      </c>
      <c r="AK275" s="5">
        <f>(1.5*AG275+AH275)*AJ275*AQ275</f>
        <v/>
      </c>
      <c r="AL275" s="4">
        <f>D275</f>
        <v/>
      </c>
      <c r="AM275" s="8">
        <f>B275</f>
        <v/>
      </c>
      <c r="AO275" s="61">
        <f>IF(Z275&lt;2.81,0,IF(AK275&gt;13.7,IF(Z275&lt;140,1,0),0))</f>
        <v/>
      </c>
      <c r="AP275" s="7">
        <f>IF(AK275&gt;13.93,IF(Z275&lt;140,IF(Z275&lt;35,IF(Z275&lt;6,3,2),1),0),0)</f>
        <v/>
      </c>
      <c r="AR275" s="7">
        <f>IF(AO275=1,IF(AO275=AL275,1,0),5)</f>
        <v/>
      </c>
      <c r="AV275" s="5">
        <f>(AT275+AU275)/2</f>
        <v/>
      </c>
      <c r="AZ275" s="4">
        <f>IF(AY275&lt;-50,-4,IF(AY275&lt;-20,-2,IF(AY275&lt;0,-1,IF(AY275=0,0,IF(AY275&lt;10,1.5,IF(AY275&lt;20,2,IF(AY275&gt;19,2.5,2.5)))))))</f>
        <v/>
      </c>
    </row>
    <row r="276" ht="12.75" customHeight="1">
      <c r="G276" s="5">
        <f>100*(F276-E276)/F276</f>
        <v/>
      </c>
      <c r="P276" s="5">
        <f>O276/I276</f>
        <v/>
      </c>
      <c r="Y276" t="n">
        <v>70</v>
      </c>
      <c r="AA276" s="5">
        <f>IF(X276&lt;50,IF(Y276&gt;(2.3*X276),0,1),1)-IF(Z276&gt;Y276,1.7,0)</f>
        <v/>
      </c>
      <c r="AC276" s="5">
        <f>IF(AB276&gt;4,1,0)+IF(AB276&gt;10,0.7,0)</f>
        <v/>
      </c>
      <c r="AG276" s="6">
        <f>IF(G276&lt;52,0,0.7)+IF(G276&lt;34,0,0.7)+IF(G276&lt;1,0,0.7)+IF(P276&gt;14.56,0,1)+IF(R276&lt;9,0.5,0)+IF(R276&lt;33.8,0.5,0)+IF(R276&lt;50,0.5,0)+IF(R276&lt;80,0.5,0)+IF(S276=5,0,S276)+IF(V276&gt;0,1,-1)+IF(AE276&lt;10.56,0,1)-IF(AE276&lt;3,1,0)-IF(AE276&lt;1,1,0)</f>
        <v/>
      </c>
      <c r="AH276" s="5">
        <f>AG276+IF(X276&lt;1.35,0,1)+IF(Y276&lt;1.35,0,1)+IF(Y276&lt;0.7,-1,0)+AC276+AA276</f>
        <v/>
      </c>
      <c r="AJ276" s="5">
        <f>IF(AI276&gt;12.7,IF(AI276&gt;15.8,0.93,0.98),1)</f>
        <v/>
      </c>
      <c r="AK276" s="5">
        <f>(1.5*AG276+AH276)*AJ276*AQ276</f>
        <v/>
      </c>
      <c r="AL276" s="4">
        <f>D276</f>
        <v/>
      </c>
      <c r="AM276" s="8">
        <f>B276</f>
        <v/>
      </c>
      <c r="AO276" s="61">
        <f>IF(Z276&lt;2.81,0,IF(AK276&gt;13.7,IF(Z276&lt;140,1,0),0))</f>
        <v/>
      </c>
      <c r="AP276" s="7">
        <f>IF(AK276&gt;13.93,IF(Z276&lt;140,IF(Z276&lt;35,IF(Z276&lt;6,3,2),1),0),0)</f>
        <v/>
      </c>
      <c r="AR276" s="7">
        <f>IF(AO276=1,IF(AO276=AL276,1,0),5)</f>
        <v/>
      </c>
      <c r="AV276" s="5">
        <f>(AT276+AU276)/2</f>
        <v/>
      </c>
      <c r="AZ276" s="4">
        <f>IF(AY276&lt;-50,-4,IF(AY276&lt;-20,-2,IF(AY276&lt;0,-1,IF(AY276=0,0,IF(AY276&lt;10,1.5,IF(AY276&lt;20,2,IF(AY276&gt;19,2.5,2.5)))))))</f>
        <v/>
      </c>
    </row>
    <row r="277" ht="12.75" customHeight="1">
      <c r="G277" s="5">
        <f>100*(F277-E277)/F277</f>
        <v/>
      </c>
      <c r="P277" s="5">
        <f>O277/I277</f>
        <v/>
      </c>
      <c r="Y277" t="n">
        <v>70</v>
      </c>
      <c r="AA277" s="5">
        <f>IF(X277&lt;50,IF(Y277&gt;(2.3*X277),0,1),1)-IF(Z277&gt;Y277,1.7,0)</f>
        <v/>
      </c>
      <c r="AC277" s="5">
        <f>IF(AB277&gt;4,1,0)+IF(AB277&gt;10,0.7,0)</f>
        <v/>
      </c>
      <c r="AG277" s="6">
        <f>IF(G277&lt;52,0,0.7)+IF(G277&lt;34,0,0.7)+IF(G277&lt;1,0,0.7)+IF(P277&gt;14.56,0,1)+IF(R277&lt;9,0.5,0)+IF(R277&lt;33.8,0.5,0)+IF(R277&lt;50,0.5,0)+IF(R277&lt;80,0.5,0)+IF(S277=5,0,S277)+IF(V277&gt;0,1,-1)+IF(AE277&lt;10.56,0,1)-IF(AE277&lt;3,1,0)-IF(AE277&lt;1,1,0)</f>
        <v/>
      </c>
      <c r="AH277" s="5">
        <f>AG277+IF(X277&lt;1.35,0,1)+IF(Y277&lt;1.35,0,1)+IF(Y277&lt;0.7,-1,0)+AC277+AA277</f>
        <v/>
      </c>
      <c r="AJ277" s="5">
        <f>IF(AI277&gt;12.7,IF(AI277&gt;15.8,0.93,0.98),1)</f>
        <v/>
      </c>
      <c r="AK277" s="5">
        <f>(1.5*AG277+AH277)*AJ277*AQ277</f>
        <v/>
      </c>
      <c r="AL277" s="4">
        <f>D277</f>
        <v/>
      </c>
      <c r="AM277" s="8">
        <f>B277</f>
        <v/>
      </c>
      <c r="AO277" s="61">
        <f>IF(Z277&lt;2.81,0,IF(AK277&gt;13.7,IF(Z277&lt;140,1,0),0))</f>
        <v/>
      </c>
      <c r="AP277" s="7">
        <f>IF(AK277&gt;13.93,IF(Z277&lt;140,IF(Z277&lt;35,IF(Z277&lt;6,3,2),1),0),0)</f>
        <v/>
      </c>
      <c r="AR277" s="7">
        <f>IF(AO277=1,IF(AO277=AL277,1,0),5)</f>
        <v/>
      </c>
      <c r="AV277" s="5">
        <f>(AT277+AU277)/2</f>
        <v/>
      </c>
      <c r="AZ277" s="4">
        <f>IF(AY277&lt;-50,-4,IF(AY277&lt;-20,-2,IF(AY277&lt;0,-1,IF(AY277=0,0,IF(AY277&lt;10,1.5,IF(AY277&lt;20,2,IF(AY277&gt;19,2.5,2.5)))))))</f>
        <v/>
      </c>
    </row>
    <row r="278" ht="12.75" customHeight="1">
      <c r="G278" s="5">
        <f>100*(F278-E278)/F278</f>
        <v/>
      </c>
      <c r="P278" s="5">
        <f>O278/I278</f>
        <v/>
      </c>
      <c r="Y278" t="n">
        <v>70</v>
      </c>
      <c r="AA278" s="5">
        <f>IF(X278&lt;50,IF(Y278&gt;(2.3*X278),0,1),1)-IF(Z278&gt;Y278,1.7,0)</f>
        <v/>
      </c>
      <c r="AC278" s="5">
        <f>IF(AB278&gt;4,1,0)+IF(AB278&gt;10,0.7,0)</f>
        <v/>
      </c>
      <c r="AG278" s="6">
        <f>IF(G278&lt;52,0,0.7)+IF(G278&lt;34,0,0.7)+IF(G278&lt;1,0,0.7)+IF(P278&gt;14.56,0,1)+IF(R278&lt;9,0.5,0)+IF(R278&lt;33.8,0.5,0)+IF(R278&lt;50,0.5,0)+IF(R278&lt;80,0.5,0)+IF(S278=5,0,S278)+IF(V278&gt;0,1,-1)+IF(AE278&lt;10.56,0,1)-IF(AE278&lt;3,1,0)-IF(AE278&lt;1,1,0)</f>
        <v/>
      </c>
      <c r="AH278" s="5">
        <f>AG278+IF(X278&lt;1.35,0,1)+IF(Y278&lt;1.35,0,1)+IF(Y278&lt;0.7,-1,0)+AC278+AA278</f>
        <v/>
      </c>
      <c r="AJ278" s="5">
        <f>IF(AI278&gt;12.7,IF(AI278&gt;15.8,0.93,0.98),1)</f>
        <v/>
      </c>
      <c r="AK278" s="5">
        <f>(1.5*AG278+AH278)*AJ278*AQ278</f>
        <v/>
      </c>
      <c r="AL278" s="4">
        <f>D278</f>
        <v/>
      </c>
      <c r="AM278" s="8">
        <f>B278</f>
        <v/>
      </c>
      <c r="AO278" s="61">
        <f>IF(Z278&lt;2.81,0,IF(AK278&gt;13.7,IF(Z278&lt;140,1,0),0))</f>
        <v/>
      </c>
      <c r="AP278" s="7">
        <f>IF(AK278&gt;13.93,IF(Z278&lt;140,IF(Z278&lt;35,IF(Z278&lt;6,3,2),1),0),0)</f>
        <v/>
      </c>
      <c r="AR278" s="7">
        <f>IF(AO278=1,IF(AO278=AL278,1,0),5)</f>
        <v/>
      </c>
      <c r="AV278" s="5">
        <f>(AT278+AU278)/2</f>
        <v/>
      </c>
      <c r="AZ278" s="4">
        <f>IF(AY278&lt;-50,-4,IF(AY278&lt;-20,-2,IF(AY278&lt;0,-1,IF(AY278=0,0,IF(AY278&lt;10,1.5,IF(AY278&lt;20,2,IF(AY278&gt;19,2.5,2.5)))))))</f>
        <v/>
      </c>
    </row>
    <row r="279" ht="12.75" customHeight="1">
      <c r="G279" s="5">
        <f>100*(F279-E279)/F279</f>
        <v/>
      </c>
      <c r="P279" s="5">
        <f>O279/I279</f>
        <v/>
      </c>
      <c r="Y279" t="n">
        <v>70</v>
      </c>
      <c r="AA279" s="5">
        <f>IF(X279&lt;50,IF(Y279&gt;(2.3*X279),0,1),1)-IF(Z279&gt;Y279,1.7,0)</f>
        <v/>
      </c>
      <c r="AC279" s="5">
        <f>IF(AB279&gt;4,1,0)+IF(AB279&gt;10,0.7,0)</f>
        <v/>
      </c>
      <c r="AG279" s="6">
        <f>IF(G279&lt;52,0,0.7)+IF(G279&lt;34,0,0.7)+IF(G279&lt;1,0,0.7)+IF(P279&gt;14.56,0,1)+IF(R279&lt;9,0.5,0)+IF(R279&lt;33.8,0.5,0)+IF(R279&lt;50,0.5,0)+IF(R279&lt;80,0.5,0)+IF(S279=5,0,S279)+IF(V279&gt;0,1,-1)+IF(AE279&lt;10.56,0,1)-IF(AE279&lt;3,1,0)-IF(AE279&lt;1,1,0)</f>
        <v/>
      </c>
      <c r="AH279" s="5">
        <f>AG279+IF(X279&lt;1.35,0,1)+IF(Y279&lt;1.35,0,1)+IF(Y279&lt;0.7,-1,0)+AC279+AA279</f>
        <v/>
      </c>
      <c r="AJ279" s="5">
        <f>IF(AI279&gt;12.7,IF(AI279&gt;15.8,0.93,0.98),1)</f>
        <v/>
      </c>
      <c r="AK279" s="5">
        <f>(1.5*AG279+AH279)*AJ279*AQ279</f>
        <v/>
      </c>
      <c r="AL279" s="4">
        <f>D279</f>
        <v/>
      </c>
      <c r="AM279" s="8">
        <f>B279</f>
        <v/>
      </c>
      <c r="AO279" s="61">
        <f>IF(Z279&lt;2.81,0,IF(AK279&gt;13.7,IF(Z279&lt;140,1,0),0))</f>
        <v/>
      </c>
      <c r="AP279" s="7">
        <f>IF(AK279&gt;13.93,IF(Z279&lt;140,IF(Z279&lt;35,IF(Z279&lt;6,3,2),1),0),0)</f>
        <v/>
      </c>
      <c r="AR279" s="7">
        <f>IF(AO279=1,IF(AO279=AL279,1,0),5)</f>
        <v/>
      </c>
      <c r="AV279" s="5">
        <f>(AT279+AU279)/2</f>
        <v/>
      </c>
      <c r="AZ279" s="4">
        <f>IF(AY279&lt;-50,-4,IF(AY279&lt;-20,-2,IF(AY279&lt;0,-1,IF(AY279=0,0,IF(AY279&lt;10,1.5,IF(AY279&lt;20,2,IF(AY279&gt;19,2.5,2.5)))))))</f>
        <v/>
      </c>
    </row>
    <row r="280" ht="12.75" customHeight="1">
      <c r="G280" s="5">
        <f>100*(F280-E280)/F280</f>
        <v/>
      </c>
      <c r="P280" s="5">
        <f>O280/I280</f>
        <v/>
      </c>
      <c r="Y280" t="n">
        <v>70</v>
      </c>
      <c r="AA280" s="5">
        <f>IF(X280&lt;50,IF(Y280&gt;(2.3*X280),0,1),1)-IF(Z280&gt;Y280,1.7,0)</f>
        <v/>
      </c>
      <c r="AC280" s="5">
        <f>IF(AB280&gt;4,1,0)+IF(AB280&gt;10,0.7,0)</f>
        <v/>
      </c>
      <c r="AG280" s="6">
        <f>IF(G280&lt;52,0,0.7)+IF(G280&lt;34,0,0.7)+IF(G280&lt;1,0,0.7)+IF(P280&gt;14.56,0,1)+IF(R280&lt;9,0.5,0)+IF(R280&lt;33.8,0.5,0)+IF(R280&lt;50,0.5,0)+IF(R280&lt;80,0.5,0)+IF(S280=5,0,S280)+IF(V280&gt;0,1,-1)+IF(AE280&lt;10.56,0,1)-IF(AE280&lt;3,1,0)-IF(AE280&lt;1,1,0)</f>
        <v/>
      </c>
      <c r="AH280" s="5">
        <f>AG280+IF(X280&lt;1.35,0,1)+IF(Y280&lt;1.35,0,1)+IF(Y280&lt;0.7,-1,0)+AC280+AA280</f>
        <v/>
      </c>
      <c r="AJ280" s="5">
        <f>IF(AI280&gt;12.7,IF(AI280&gt;15.8,0.93,0.98),1)</f>
        <v/>
      </c>
      <c r="AK280" s="5">
        <f>(1.5*AG280+AH280)*AJ280*AQ280</f>
        <v/>
      </c>
      <c r="AL280" s="4">
        <f>D280</f>
        <v/>
      </c>
      <c r="AM280" s="8">
        <f>B280</f>
        <v/>
      </c>
      <c r="AO280" s="61">
        <f>IF(Z280&lt;2.81,0,IF(AK280&gt;13.7,IF(Z280&lt;140,1,0),0))</f>
        <v/>
      </c>
      <c r="AP280" s="7">
        <f>IF(AK280&gt;13.93,IF(Z280&lt;140,IF(Z280&lt;35,IF(Z280&lt;6,3,2),1),0),0)</f>
        <v/>
      </c>
      <c r="AR280" s="7">
        <f>IF(AO280=1,IF(AO280=AL280,1,0),5)</f>
        <v/>
      </c>
      <c r="AV280" s="5">
        <f>(AT280+AU280)/2</f>
        <v/>
      </c>
      <c r="AZ280" s="4">
        <f>IF(AY280&lt;-50,-4,IF(AY280&lt;-20,-2,IF(AY280&lt;0,-1,IF(AY280=0,0,IF(AY280&lt;10,1.5,IF(AY280&lt;20,2,IF(AY280&gt;19,2.5,2.5)))))))</f>
        <v/>
      </c>
    </row>
    <row r="281" ht="12.75" customHeight="1">
      <c r="G281" s="5">
        <f>100*(F281-E281)/F281</f>
        <v/>
      </c>
      <c r="P281" s="5">
        <f>O281/I281</f>
        <v/>
      </c>
      <c r="Y281" t="n">
        <v>70</v>
      </c>
      <c r="AA281" s="5">
        <f>IF(X281&lt;50,IF(Y281&gt;(2.3*X281),0,1),1)-IF(Z281&gt;Y281,1.7,0)</f>
        <v/>
      </c>
      <c r="AC281" s="5">
        <f>IF(AB281&gt;4,1,0)+IF(AB281&gt;10,0.7,0)</f>
        <v/>
      </c>
      <c r="AG281" s="6">
        <f>IF(G281&lt;52,0,0.7)+IF(G281&lt;34,0,0.7)+IF(G281&lt;1,0,0.7)+IF(P281&gt;14.56,0,1)+IF(R281&lt;9,0.5,0)+IF(R281&lt;33.8,0.5,0)+IF(R281&lt;50,0.5,0)+IF(R281&lt;80,0.5,0)+IF(S281=5,0,S281)+IF(V281&gt;0,1,-1)+IF(AE281&lt;10.56,0,1)-IF(AE281&lt;3,1,0)-IF(AE281&lt;1,1,0)</f>
        <v/>
      </c>
      <c r="AH281" s="5">
        <f>AG281+IF(X281&lt;1.35,0,1)+IF(Y281&lt;1.35,0,1)+IF(Y281&lt;0.7,-1,0)+AC281+AA281</f>
        <v/>
      </c>
      <c r="AJ281" s="5">
        <f>IF(AI281&gt;12.7,IF(AI281&gt;15.8,0.93,0.98),1)</f>
        <v/>
      </c>
      <c r="AK281" s="5">
        <f>(1.5*AG281+AH281)*AJ281*AQ281</f>
        <v/>
      </c>
      <c r="AL281" s="4">
        <f>D281</f>
        <v/>
      </c>
      <c r="AM281" s="8">
        <f>B281</f>
        <v/>
      </c>
      <c r="AO281" s="61">
        <f>IF(Z281&lt;2.81,0,IF(AK281&gt;13.7,IF(Z281&lt;140,1,0),0))</f>
        <v/>
      </c>
      <c r="AP281" s="7">
        <f>IF(AK281&gt;13.93,IF(Z281&lt;140,IF(Z281&lt;35,IF(Z281&lt;6,3,2),1),0),0)</f>
        <v/>
      </c>
      <c r="AR281" s="7">
        <f>IF(AO281=1,IF(AO281=AL281,1,0),5)</f>
        <v/>
      </c>
      <c r="AV281" s="5">
        <f>(AT281+AU281)/2</f>
        <v/>
      </c>
      <c r="AZ281" s="4">
        <f>IF(AY281&lt;-50,-4,IF(AY281&lt;-20,-2,IF(AY281&lt;0,-1,IF(AY281=0,0,IF(AY281&lt;10,1.5,IF(AY281&lt;20,2,IF(AY281&gt;19,2.5,2.5)))))))</f>
        <v/>
      </c>
    </row>
    <row r="282" ht="12.75" customHeight="1">
      <c r="G282" s="5">
        <f>100*(F282-E282)/F282</f>
        <v/>
      </c>
      <c r="P282" s="5">
        <f>O282/I282</f>
        <v/>
      </c>
      <c r="Y282" t="n">
        <v>70</v>
      </c>
      <c r="AA282" s="5">
        <f>IF(X282&lt;50,IF(Y282&gt;(2.3*X282),0,1),1)-IF(Z282&gt;Y282,1.7,0)</f>
        <v/>
      </c>
      <c r="AC282" s="5">
        <f>IF(AB282&gt;4,1,0)+IF(AB282&gt;10,0.7,0)</f>
        <v/>
      </c>
      <c r="AG282" s="6">
        <f>IF(G282&lt;52,0,0.7)+IF(G282&lt;34,0,0.7)+IF(G282&lt;1,0,0.7)+IF(P282&gt;14.56,0,1)+IF(R282&lt;9,0.5,0)+IF(R282&lt;33.8,0.5,0)+IF(R282&lt;50,0.5,0)+IF(R282&lt;80,0.5,0)+IF(S282=5,0,S282)+IF(V282&gt;0,1,-1)+IF(AE282&lt;10.56,0,1)-IF(AE282&lt;3,1,0)-IF(AE282&lt;1,1,0)</f>
        <v/>
      </c>
      <c r="AH282" s="5">
        <f>AG282+IF(X282&lt;1.35,0,1)+IF(Y282&lt;1.35,0,1)+IF(Y282&lt;0.7,-1,0)+AC282+AA282</f>
        <v/>
      </c>
      <c r="AJ282" s="5">
        <f>IF(AI282&gt;12.7,IF(AI282&gt;15.8,0.93,0.98),1)</f>
        <v/>
      </c>
      <c r="AK282" s="5">
        <f>(1.5*AG282+AH282)*AJ282*AQ282</f>
        <v/>
      </c>
      <c r="AL282" s="4">
        <f>D282</f>
        <v/>
      </c>
      <c r="AM282" s="8">
        <f>B282</f>
        <v/>
      </c>
      <c r="AO282" s="61">
        <f>IF(Z282&lt;2.81,0,IF(AK282&gt;13.7,IF(Z282&lt;140,1,0),0))</f>
        <v/>
      </c>
      <c r="AP282" s="7">
        <f>IF(AK282&gt;13.93,IF(Z282&lt;140,IF(Z282&lt;35,IF(Z282&lt;6,3,2),1),0),0)</f>
        <v/>
      </c>
      <c r="AR282" s="7">
        <f>IF(AO282=1,IF(AO282=AL282,1,0),5)</f>
        <v/>
      </c>
      <c r="AV282" s="5">
        <f>(AT282+AU282)/2</f>
        <v/>
      </c>
      <c r="AZ282" s="4">
        <f>IF(AY282&lt;-50,-4,IF(AY282&lt;-20,-2,IF(AY282&lt;0,-1,IF(AY282=0,0,IF(AY282&lt;10,1.5,IF(AY282&lt;20,2,IF(AY282&gt;19,2.5,2.5)))))))</f>
        <v/>
      </c>
    </row>
    <row r="283" ht="12.75" customHeight="1">
      <c r="G283" s="5">
        <f>100*(F283-E283)/F283</f>
        <v/>
      </c>
      <c r="P283" s="5">
        <f>O283/I283</f>
        <v/>
      </c>
      <c r="Y283" t="n">
        <v>70</v>
      </c>
      <c r="AA283" s="5">
        <f>IF(X283&lt;50,IF(Y283&gt;(2.3*X283),0,1),1)-IF(Z283&gt;Y283,1.7,0)</f>
        <v/>
      </c>
      <c r="AC283" s="5">
        <f>IF(AB283&gt;4,1,0)+IF(AB283&gt;10,0.7,0)</f>
        <v/>
      </c>
      <c r="AG283" s="6">
        <f>IF(G283&lt;52,0,0.7)+IF(G283&lt;34,0,0.7)+IF(G283&lt;1,0,0.7)+IF(P283&gt;14.56,0,1)+IF(R283&lt;9,0.5,0)+IF(R283&lt;33.8,0.5,0)+IF(R283&lt;50,0.5,0)+IF(R283&lt;80,0.5,0)+IF(S283=5,0,S283)+IF(V283&gt;0,1,-1)+IF(AE283&lt;10.56,0,1)-IF(AE283&lt;3,1,0)-IF(AE283&lt;1,1,0)</f>
        <v/>
      </c>
      <c r="AH283" s="5">
        <f>AG283+IF(X283&lt;1.35,0,1)+IF(Y283&lt;1.35,0,1)+IF(Y283&lt;0.7,-1,0)+AC283+AA283</f>
        <v/>
      </c>
      <c r="AJ283" s="5">
        <f>IF(AI283&gt;12.7,IF(AI283&gt;15.8,0.93,0.98),1)</f>
        <v/>
      </c>
      <c r="AK283" s="5">
        <f>(1.5*AG283+AH283)*AJ283*AQ283</f>
        <v/>
      </c>
      <c r="AL283" s="4">
        <f>D283</f>
        <v/>
      </c>
      <c r="AM283" s="8">
        <f>B283</f>
        <v/>
      </c>
      <c r="AO283" s="61">
        <f>IF(Z283&lt;2.81,0,IF(AK283&gt;13.7,IF(Z283&lt;140,1,0),0))</f>
        <v/>
      </c>
      <c r="AP283" s="7">
        <f>IF(AK283&gt;13.93,IF(Z283&lt;140,IF(Z283&lt;35,IF(Z283&lt;6,3,2),1),0),0)</f>
        <v/>
      </c>
      <c r="AR283" s="7">
        <f>IF(AO283=1,IF(AO283=AL283,1,0),5)</f>
        <v/>
      </c>
      <c r="AV283" s="5">
        <f>(AT283+AU283)/2</f>
        <v/>
      </c>
      <c r="AZ283" s="4">
        <f>IF(AY283&lt;-50,-4,IF(AY283&lt;-20,-2,IF(AY283&lt;0,-1,IF(AY283=0,0,IF(AY283&lt;10,1.5,IF(AY283&lt;20,2,IF(AY283&gt;19,2.5,2.5)))))))</f>
        <v/>
      </c>
    </row>
    <row r="284" ht="12.75" customHeight="1">
      <c r="G284" s="5">
        <f>100*(F284-E284)/F284</f>
        <v/>
      </c>
      <c r="P284" s="5">
        <f>O284/I284</f>
        <v/>
      </c>
      <c r="Y284" t="n">
        <v>70</v>
      </c>
      <c r="AA284" s="5">
        <f>IF(X284&lt;50,IF(Y284&gt;(2.3*X284),0,1),1)-IF(Z284&gt;Y284,1.7,0)</f>
        <v/>
      </c>
      <c r="AC284" s="5">
        <f>IF(AB284&gt;4,1,0)+IF(AB284&gt;10,0.7,0)</f>
        <v/>
      </c>
      <c r="AG284" s="6">
        <f>IF(G284&lt;52,0,0.7)+IF(G284&lt;34,0,0.7)+IF(G284&lt;1,0,0.7)+IF(P284&gt;14.56,0,1)+IF(R284&lt;9,0.5,0)+IF(R284&lt;33.8,0.5,0)+IF(R284&lt;50,0.5,0)+IF(R284&lt;80,0.5,0)+IF(S284=5,0,S284)+IF(V284&gt;0,1,-1)+IF(AE284&lt;10.56,0,1)-IF(AE284&lt;3,1,0)-IF(AE284&lt;1,1,0)</f>
        <v/>
      </c>
      <c r="AH284" s="5">
        <f>AG284+IF(X284&lt;1.35,0,1)+IF(Y284&lt;1.35,0,1)+IF(Y284&lt;0.7,-1,0)+AC284+AA284</f>
        <v/>
      </c>
      <c r="AJ284" s="5">
        <f>IF(AI284&gt;12.7,IF(AI284&gt;15.8,0.93,0.98),1)</f>
        <v/>
      </c>
      <c r="AK284" s="5">
        <f>(1.5*AG284+AH284)*AJ284*AQ284</f>
        <v/>
      </c>
      <c r="AL284" s="4">
        <f>D284</f>
        <v/>
      </c>
      <c r="AM284" s="8">
        <f>B284</f>
        <v/>
      </c>
      <c r="AO284" s="61">
        <f>IF(Z284&lt;2.81,0,IF(AK284&gt;13.7,IF(Z284&lt;140,1,0),0))</f>
        <v/>
      </c>
      <c r="AP284" s="7">
        <f>IF(AK284&gt;13.93,IF(Z284&lt;140,IF(Z284&lt;35,IF(Z284&lt;6,3,2),1),0),0)</f>
        <v/>
      </c>
      <c r="AR284" s="7">
        <f>IF(AO284=1,IF(AO284=AL284,1,0),5)</f>
        <v/>
      </c>
      <c r="AV284" s="5">
        <f>(AT284+AU284)/2</f>
        <v/>
      </c>
      <c r="AZ284" s="4">
        <f>IF(AY284&lt;-50,-4,IF(AY284&lt;-20,-2,IF(AY284&lt;0,-1,IF(AY284=0,0,IF(AY284&lt;10,1.5,IF(AY284&lt;20,2,IF(AY284&gt;19,2.5,2.5)))))))</f>
        <v/>
      </c>
    </row>
    <row r="285" ht="12.75" customHeight="1">
      <c r="G285" s="5">
        <f>100*(F285-E285)/F285</f>
        <v/>
      </c>
      <c r="P285" s="5">
        <f>O285/I285</f>
        <v/>
      </c>
      <c r="Y285" t="n">
        <v>70</v>
      </c>
      <c r="AA285" s="5">
        <f>IF(X285&lt;50,IF(Y285&gt;(2.3*X285),0,1),1)-IF(Z285&gt;Y285,1.7,0)</f>
        <v/>
      </c>
      <c r="AC285" s="5">
        <f>IF(AB285&gt;4,1,0)+IF(AB285&gt;10,0.7,0)</f>
        <v/>
      </c>
      <c r="AG285" s="6">
        <f>IF(G285&lt;52,0,0.7)+IF(G285&lt;34,0,0.7)+IF(G285&lt;1,0,0.7)+IF(P285&gt;14.56,0,1)+IF(R285&lt;9,0.5,0)+IF(R285&lt;33.8,0.5,0)+IF(R285&lt;50,0.5,0)+IF(R285&lt;80,0.5,0)+IF(S285=5,0,S285)+IF(V285&gt;0,1,-1)+IF(AE285&lt;10.56,0,1)-IF(AE285&lt;3,1,0)-IF(AE285&lt;1,1,0)</f>
        <v/>
      </c>
      <c r="AH285" s="5">
        <f>AG285+IF(X285&lt;1.35,0,1)+IF(Y285&lt;1.35,0,1)+IF(Y285&lt;0.7,-1,0)+AC285+AA285</f>
        <v/>
      </c>
      <c r="AJ285" s="5">
        <f>IF(AI285&gt;12.7,IF(AI285&gt;15.8,0.93,0.98),1)</f>
        <v/>
      </c>
      <c r="AK285" s="5">
        <f>(1.5*AG285+AH285)*AJ285*AQ285</f>
        <v/>
      </c>
      <c r="AL285" s="4">
        <f>D285</f>
        <v/>
      </c>
      <c r="AM285" s="8">
        <f>B285</f>
        <v/>
      </c>
      <c r="AO285" s="61">
        <f>IF(Z285&lt;2.81,0,IF(AK285&gt;13.7,IF(Z285&lt;140,1,0),0))</f>
        <v/>
      </c>
      <c r="AP285" s="7">
        <f>IF(AK285&gt;13.93,IF(Z285&lt;140,IF(Z285&lt;35,IF(Z285&lt;6,3,2),1),0),0)</f>
        <v/>
      </c>
      <c r="AR285" s="7">
        <f>IF(AO285=1,IF(AO285=AL285,1,0),5)</f>
        <v/>
      </c>
      <c r="AV285" s="5">
        <f>(AT285+AU285)/2</f>
        <v/>
      </c>
      <c r="AZ285" s="4">
        <f>IF(AY285&lt;-50,-4,IF(AY285&lt;-20,-2,IF(AY285&lt;0,-1,IF(AY285=0,0,IF(AY285&lt;10,1.5,IF(AY285&lt;20,2,IF(AY285&gt;19,2.5,2.5)))))))</f>
        <v/>
      </c>
    </row>
    <row r="286" ht="12.75" customHeight="1">
      <c r="G286" s="5">
        <f>100*(F286-E286)/F286</f>
        <v/>
      </c>
      <c r="P286" s="5">
        <f>O286/I286</f>
        <v/>
      </c>
      <c r="Y286" t="n">
        <v>70</v>
      </c>
      <c r="AA286" s="5">
        <f>IF(X286&lt;50,IF(Y286&gt;(2.3*X286),0,1),1)-IF(Z286&gt;Y286,1.7,0)</f>
        <v/>
      </c>
      <c r="AC286" s="5">
        <f>IF(AB286&gt;4,1,0)+IF(AB286&gt;10,0.7,0)</f>
        <v/>
      </c>
      <c r="AG286" s="6">
        <f>IF(G286&lt;52,0,0.7)+IF(G286&lt;34,0,0.7)+IF(G286&lt;1,0,0.7)+IF(P286&gt;14.56,0,1)+IF(R286&lt;9,0.5,0)+IF(R286&lt;33.8,0.5,0)+IF(R286&lt;50,0.5,0)+IF(R286&lt;80,0.5,0)+IF(S286=5,0,S286)+IF(V286&gt;0,1,-1)+IF(AE286&lt;10.56,0,1)-IF(AE286&lt;3,1,0)-IF(AE286&lt;1,1,0)</f>
        <v/>
      </c>
      <c r="AH286" s="5">
        <f>AG286+IF(X286&lt;1.35,0,1)+IF(Y286&lt;1.35,0,1)+IF(Y286&lt;0.7,-1,0)+AC286+AA286</f>
        <v/>
      </c>
      <c r="AJ286" s="5">
        <f>IF(AI286&gt;12.7,IF(AI286&gt;15.8,0.93,0.98),1)</f>
        <v/>
      </c>
      <c r="AK286" s="5">
        <f>(1.5*AG286+AH286)*AJ286*AQ286</f>
        <v/>
      </c>
      <c r="AL286" s="4">
        <f>D286</f>
        <v/>
      </c>
      <c r="AM286" s="8">
        <f>B286</f>
        <v/>
      </c>
      <c r="AO286" s="61">
        <f>IF(Z286&lt;2.81,0,IF(AK286&gt;13.7,IF(Z286&lt;140,1,0),0))</f>
        <v/>
      </c>
      <c r="AP286" s="7">
        <f>IF(AK286&gt;13.93,IF(Z286&lt;140,IF(Z286&lt;35,IF(Z286&lt;6,3,2),1),0),0)</f>
        <v/>
      </c>
      <c r="AR286" s="7">
        <f>IF(AO286=1,IF(AO286=AL286,1,0),5)</f>
        <v/>
      </c>
      <c r="AV286" s="5">
        <f>(AT286+AU286)/2</f>
        <v/>
      </c>
      <c r="AZ286" s="4">
        <f>IF(AY286&lt;-50,-4,IF(AY286&lt;-20,-2,IF(AY286&lt;0,-1,IF(AY286=0,0,IF(AY286&lt;10,1.5,IF(AY286&lt;20,2,IF(AY286&gt;19,2.5,2.5)))))))</f>
        <v/>
      </c>
    </row>
    <row r="287" ht="12.75" customHeight="1">
      <c r="G287" s="5">
        <f>100*(F287-E287)/F287</f>
        <v/>
      </c>
      <c r="P287" s="5">
        <f>O287/I287</f>
        <v/>
      </c>
      <c r="Y287" t="n">
        <v>70</v>
      </c>
      <c r="AA287" s="5">
        <f>IF(X287&lt;50,IF(Y287&gt;(2.3*X287),0,1),1)-IF(Z287&gt;Y287,1.7,0)</f>
        <v/>
      </c>
      <c r="AC287" s="5">
        <f>IF(AB287&gt;4,1,0)+IF(AB287&gt;10,0.7,0)</f>
        <v/>
      </c>
      <c r="AG287" s="6">
        <f>IF(G287&lt;52,0,0.7)+IF(G287&lt;34,0,0.7)+IF(G287&lt;1,0,0.7)+IF(P287&gt;14.56,0,1)+IF(R287&lt;9,0.5,0)+IF(R287&lt;33.8,0.5,0)+IF(R287&lt;50,0.5,0)+IF(R287&lt;80,0.5,0)+IF(S287=5,0,S287)+IF(V287&gt;0,1,-1)+IF(AE287&lt;10.56,0,1)-IF(AE287&lt;3,1,0)-IF(AE287&lt;1,1,0)</f>
        <v/>
      </c>
      <c r="AH287" s="5">
        <f>AG287+IF(X287&lt;1.35,0,1)+IF(Y287&lt;1.35,0,1)+IF(Y287&lt;0.7,-1,0)+AC287+AA287</f>
        <v/>
      </c>
      <c r="AJ287" s="5">
        <f>IF(AI287&gt;12.7,IF(AI287&gt;15.8,0.93,0.98),1)</f>
        <v/>
      </c>
      <c r="AK287" s="5">
        <f>(1.5*AG287+AH287)*AJ287*AQ287</f>
        <v/>
      </c>
      <c r="AL287" s="4">
        <f>D287</f>
        <v/>
      </c>
      <c r="AM287" s="8">
        <f>B287</f>
        <v/>
      </c>
      <c r="AO287" s="61">
        <f>IF(Z287&lt;2.81,0,IF(AK287&gt;13.7,IF(Z287&lt;140,1,0),0))</f>
        <v/>
      </c>
      <c r="AP287" s="7">
        <f>IF(AK287&gt;13.93,IF(Z287&lt;140,IF(Z287&lt;35,IF(Z287&lt;6,3,2),1),0),0)</f>
        <v/>
      </c>
      <c r="AR287" s="7">
        <f>IF(AO287=1,IF(AO287=AL287,1,0),5)</f>
        <v/>
      </c>
      <c r="AV287" s="5">
        <f>(AT287+AU287)/2</f>
        <v/>
      </c>
      <c r="AZ287" s="4">
        <f>IF(AY287&lt;-50,-4,IF(AY287&lt;-20,-2,IF(AY287&lt;0,-1,IF(AY287=0,0,IF(AY287&lt;10,1.5,IF(AY287&lt;20,2,IF(AY287&gt;19,2.5,2.5)))))))</f>
        <v/>
      </c>
    </row>
    <row r="288" ht="12.75" customHeight="1">
      <c r="G288" s="5">
        <f>100*(F288-E288)/F288</f>
        <v/>
      </c>
      <c r="P288" s="5">
        <f>O288/I288</f>
        <v/>
      </c>
      <c r="Y288" t="n">
        <v>70</v>
      </c>
      <c r="AA288" s="5">
        <f>IF(X288&lt;50,IF(Y288&gt;(2.3*X288),0,1),1)-IF(Z288&gt;Y288,1.7,0)</f>
        <v/>
      </c>
      <c r="AC288" s="5">
        <f>IF(AB288&gt;4,1,0)+IF(AB288&gt;10,0.7,0)</f>
        <v/>
      </c>
      <c r="AG288" s="6">
        <f>IF(G288&lt;52,0,0.7)+IF(G288&lt;34,0,0.7)+IF(G288&lt;1,0,0.7)+IF(P288&gt;14.56,0,1)+IF(R288&lt;9,0.5,0)+IF(R288&lt;33.8,0.5,0)+IF(R288&lt;50,0.5,0)+IF(R288&lt;80,0.5,0)+IF(S288=5,0,S288)+IF(V288&gt;0,1,-1)+IF(AE288&lt;10.56,0,1)-IF(AE288&lt;3,1,0)-IF(AE288&lt;1,1,0)</f>
        <v/>
      </c>
      <c r="AH288" s="5">
        <f>AG288+IF(X288&lt;1.35,0,1)+IF(Y288&lt;1.35,0,1)+IF(Y288&lt;0.7,-1,0)+AC288+AA288</f>
        <v/>
      </c>
      <c r="AJ288" s="5">
        <f>IF(AI288&gt;12.7,IF(AI288&gt;15.8,0.93,0.98),1)</f>
        <v/>
      </c>
      <c r="AK288" s="5">
        <f>(1.5*AG288+AH288)*AJ288*AQ288</f>
        <v/>
      </c>
      <c r="AL288" s="4">
        <f>D288</f>
        <v/>
      </c>
      <c r="AM288" s="8">
        <f>B288</f>
        <v/>
      </c>
      <c r="AO288" s="61">
        <f>IF(Z288&lt;2.81,0,IF(AK288&gt;13.7,IF(Z288&lt;140,1,0),0))</f>
        <v/>
      </c>
      <c r="AP288" s="7">
        <f>IF(AK288&gt;13.93,IF(Z288&lt;140,IF(Z288&lt;35,IF(Z288&lt;6,3,2),1),0),0)</f>
        <v/>
      </c>
      <c r="AR288" s="7">
        <f>IF(AO288=1,IF(AO288=AL288,1,0),5)</f>
        <v/>
      </c>
      <c r="AV288" s="5">
        <f>(AT288+AU288)/2</f>
        <v/>
      </c>
      <c r="AZ288" s="4">
        <f>IF(AY288&lt;-50,-4,IF(AY288&lt;-20,-2,IF(AY288&lt;0,-1,IF(AY288=0,0,IF(AY288&lt;10,1.5,IF(AY288&lt;20,2,IF(AY288&gt;19,2.5,2.5)))))))</f>
        <v/>
      </c>
    </row>
    <row r="289" ht="12.75" customHeight="1">
      <c r="G289" s="5">
        <f>100*(F289-E289)/F289</f>
        <v/>
      </c>
      <c r="P289" s="5">
        <f>O289/I289</f>
        <v/>
      </c>
      <c r="Y289" t="n">
        <v>70</v>
      </c>
      <c r="AA289" s="5">
        <f>IF(X289&lt;50,IF(Y289&gt;(2.3*X289),0,1),1)-IF(Z289&gt;Y289,1.7,0)</f>
        <v/>
      </c>
      <c r="AC289" s="5">
        <f>IF(AB289&gt;4,1,0)+IF(AB289&gt;10,0.7,0)</f>
        <v/>
      </c>
      <c r="AG289" s="6">
        <f>IF(G289&lt;52,0,0.7)+IF(G289&lt;34,0,0.7)+IF(G289&lt;1,0,0.7)+IF(P289&gt;14.56,0,1)+IF(R289&lt;9,0.5,0)+IF(R289&lt;33.8,0.5,0)+IF(R289&lt;50,0.5,0)+IF(R289&lt;80,0.5,0)+IF(S289=5,0,S289)+IF(V289&gt;0,1,-1)+IF(AE289&lt;10.56,0,1)-IF(AE289&lt;3,1,0)-IF(AE289&lt;1,1,0)</f>
        <v/>
      </c>
      <c r="AH289" s="5">
        <f>AG289+IF(X289&lt;1.35,0,1)+IF(Y289&lt;1.35,0,1)+IF(Y289&lt;0.7,-1,0)+AC289+AA289</f>
        <v/>
      </c>
      <c r="AJ289" s="5">
        <f>IF(AI289&gt;12.7,IF(AI289&gt;15.8,0.93,0.98),1)</f>
        <v/>
      </c>
      <c r="AK289" s="5">
        <f>(1.5*AG289+AH289)*AJ289*AQ289</f>
        <v/>
      </c>
      <c r="AL289" s="4">
        <f>D289</f>
        <v/>
      </c>
      <c r="AM289" s="8">
        <f>B289</f>
        <v/>
      </c>
      <c r="AO289" s="61">
        <f>IF(Z289&lt;2.81,0,IF(AK289&gt;13.7,IF(Z289&lt;140,1,0),0))</f>
        <v/>
      </c>
      <c r="AP289" s="7">
        <f>IF(AK289&gt;13.93,IF(Z289&lt;140,IF(Z289&lt;35,IF(Z289&lt;6,3,2),1),0),0)</f>
        <v/>
      </c>
      <c r="AR289" s="7">
        <f>IF(AO289=1,IF(AO289=AL289,1,0),5)</f>
        <v/>
      </c>
      <c r="AV289" s="5">
        <f>(AT289+AU289)/2</f>
        <v/>
      </c>
      <c r="AZ289" s="4">
        <f>IF(AY289&lt;-50,-4,IF(AY289&lt;-20,-2,IF(AY289&lt;0,-1,IF(AY289=0,0,IF(AY289&lt;10,1.5,IF(AY289&lt;20,2,IF(AY289&gt;19,2.5,2.5)))))))</f>
        <v/>
      </c>
    </row>
    <row r="290" ht="12.75" customHeight="1">
      <c r="G290" s="5">
        <f>100*(F290-E290)/F290</f>
        <v/>
      </c>
      <c r="P290" s="5">
        <f>O290/I290</f>
        <v/>
      </c>
      <c r="Y290" t="n">
        <v>70</v>
      </c>
      <c r="AA290" s="5">
        <f>IF(X290&lt;50,IF(Y290&gt;(2.3*X290),0,1),1)-IF(Z290&gt;Y290,1.7,0)</f>
        <v/>
      </c>
      <c r="AC290" s="5">
        <f>IF(AB290&gt;4,1,0)+IF(AB290&gt;10,0.7,0)</f>
        <v/>
      </c>
      <c r="AG290" s="6">
        <f>IF(G290&lt;52,0,0.7)+IF(G290&lt;34,0,0.7)+IF(G290&lt;1,0,0.7)+IF(P290&gt;14.56,0,1)+IF(R290&lt;9,0.5,0)+IF(R290&lt;33.8,0.5,0)+IF(R290&lt;50,0.5,0)+IF(R290&lt;80,0.5,0)+IF(S290=5,0,S290)+IF(V290&gt;0,1,-1)+IF(AE290&lt;10.56,0,1)-IF(AE290&lt;3,1,0)-IF(AE290&lt;1,1,0)</f>
        <v/>
      </c>
      <c r="AH290" s="5">
        <f>AG290+IF(X290&lt;1.35,0,1)+IF(Y290&lt;1.35,0,1)+IF(Y290&lt;0.7,-1,0)+AC290+AA290</f>
        <v/>
      </c>
      <c r="AJ290" s="5">
        <f>IF(AI290&gt;12.7,IF(AI290&gt;15.8,0.93,0.98),1)</f>
        <v/>
      </c>
      <c r="AK290" s="5">
        <f>(1.5*AG290+AH290)*AJ290*AQ290</f>
        <v/>
      </c>
      <c r="AL290" s="4">
        <f>D290</f>
        <v/>
      </c>
      <c r="AM290" s="8">
        <f>B290</f>
        <v/>
      </c>
      <c r="AO290" s="61">
        <f>IF(Z290&lt;2.81,0,IF(AK290&gt;13.7,IF(Z290&lt;140,1,0),0))</f>
        <v/>
      </c>
      <c r="AP290" s="7">
        <f>IF(AK290&gt;13.93,IF(Z290&lt;140,IF(Z290&lt;35,IF(Z290&lt;6,3,2),1),0),0)</f>
        <v/>
      </c>
      <c r="AR290" s="7">
        <f>IF(AO290=1,IF(AO290=AL290,1,0),5)</f>
        <v/>
      </c>
      <c r="AV290" s="5">
        <f>(AT290+AU290)/2</f>
        <v/>
      </c>
      <c r="AZ290" s="4">
        <f>IF(AY290&lt;-50,-4,IF(AY290&lt;-20,-2,IF(AY290&lt;0,-1,IF(AY290=0,0,IF(AY290&lt;10,1.5,IF(AY290&lt;20,2,IF(AY290&gt;19,2.5,2.5)))))))</f>
        <v/>
      </c>
    </row>
    <row r="291" ht="12.75" customHeight="1">
      <c r="G291" s="5">
        <f>100*(F291-E291)/F291</f>
        <v/>
      </c>
      <c r="P291" s="5">
        <f>O291/I291</f>
        <v/>
      </c>
      <c r="Y291" t="n">
        <v>70</v>
      </c>
      <c r="AA291" s="5">
        <f>IF(X291&lt;50,IF(Y291&gt;(2.3*X291),0,1),1)-IF(Z291&gt;Y291,1.7,0)</f>
        <v/>
      </c>
      <c r="AC291" s="5">
        <f>IF(AB291&gt;4,1,0)+IF(AB291&gt;10,0.7,0)</f>
        <v/>
      </c>
      <c r="AG291" s="6">
        <f>IF(G291&lt;52,0,0.7)+IF(G291&lt;34,0,0.7)+IF(G291&lt;1,0,0.7)+IF(P291&gt;14.56,0,1)+IF(R291&lt;9,0.5,0)+IF(R291&lt;33.8,0.5,0)+IF(R291&lt;50,0.5,0)+IF(R291&lt;80,0.5,0)+IF(S291=5,0,S291)+IF(V291&gt;0,1,-1)+IF(AE291&lt;10.56,0,1)-IF(AE291&lt;3,1,0)-IF(AE291&lt;1,1,0)</f>
        <v/>
      </c>
      <c r="AH291" s="5">
        <f>AG291+IF(X291&lt;1.35,0,1)+IF(Y291&lt;1.35,0,1)+IF(Y291&lt;0.7,-1,0)+AC291+AA291</f>
        <v/>
      </c>
      <c r="AJ291" s="5">
        <f>IF(AI291&gt;12.7,IF(AI291&gt;15.8,0.93,0.98),1)</f>
        <v/>
      </c>
      <c r="AK291" s="5">
        <f>(1.5*AG291+AH291)*AJ291*AQ291</f>
        <v/>
      </c>
      <c r="AL291" s="4">
        <f>D291</f>
        <v/>
      </c>
      <c r="AM291" s="8">
        <f>B291</f>
        <v/>
      </c>
      <c r="AO291" s="61">
        <f>IF(Z291&lt;2.81,0,IF(AK291&gt;13.7,IF(Z291&lt;140,1,0),0))</f>
        <v/>
      </c>
      <c r="AP291" s="7">
        <f>IF(AK291&gt;13.93,IF(Z291&lt;140,IF(Z291&lt;35,IF(Z291&lt;6,3,2),1),0),0)</f>
        <v/>
      </c>
      <c r="AR291" s="7">
        <f>IF(AO291=1,IF(AO291=AL291,1,0),5)</f>
        <v/>
      </c>
      <c r="AV291" s="5">
        <f>(AT291+AU291)/2</f>
        <v/>
      </c>
      <c r="AZ291" s="4">
        <f>IF(AY291&lt;-50,-4,IF(AY291&lt;-20,-2,IF(AY291&lt;0,-1,IF(AY291=0,0,IF(AY291&lt;10,1.5,IF(AY291&lt;20,2,IF(AY291&gt;19,2.5,2.5)))))))</f>
        <v/>
      </c>
    </row>
    <row r="292" ht="12.75" customHeight="1">
      <c r="G292" s="5">
        <f>100*(F292-E292)/F292</f>
        <v/>
      </c>
      <c r="P292" s="5">
        <f>O292/I292</f>
        <v/>
      </c>
      <c r="Y292" t="n">
        <v>70</v>
      </c>
      <c r="AA292" s="5">
        <f>IF(X292&lt;50,IF(Y292&gt;(2.3*X292),0,1),1)-IF(Z292&gt;Y292,1.7,0)</f>
        <v/>
      </c>
      <c r="AC292" s="5">
        <f>IF(AB292&gt;4,1,0)+IF(AB292&gt;10,0.7,0)</f>
        <v/>
      </c>
      <c r="AG292" s="6">
        <f>IF(G292&lt;52,0,0.7)+IF(G292&lt;34,0,0.7)+IF(G292&lt;1,0,0.7)+IF(P292&gt;14.56,0,1)+IF(R292&lt;9,0.5,0)+IF(R292&lt;33.8,0.5,0)+IF(R292&lt;50,0.5,0)+IF(R292&lt;80,0.5,0)+IF(S292=5,0,S292)+IF(V292&gt;0,1,-1)+IF(AE292&lt;10.56,0,1)-IF(AE292&lt;3,1,0)-IF(AE292&lt;1,1,0)</f>
        <v/>
      </c>
      <c r="AH292" s="5">
        <f>AG292+IF(X292&lt;1.35,0,1)+IF(Y292&lt;1.35,0,1)+IF(Y292&lt;0.7,-1,0)+AC292+AA292</f>
        <v/>
      </c>
      <c r="AJ292" s="5">
        <f>IF(AI292&gt;12.7,IF(AI292&gt;15.8,0.93,0.98),1)</f>
        <v/>
      </c>
      <c r="AK292" s="5">
        <f>(1.5*AG292+AH292)*AJ292*AQ292</f>
        <v/>
      </c>
      <c r="AL292" s="4">
        <f>D292</f>
        <v/>
      </c>
      <c r="AM292" s="8">
        <f>B292</f>
        <v/>
      </c>
      <c r="AO292" s="61">
        <f>IF(Z292&lt;2.81,0,IF(AK292&gt;13.7,IF(Z292&lt;140,1,0),0))</f>
        <v/>
      </c>
      <c r="AP292" s="7">
        <f>IF(AK292&gt;13.93,IF(Z292&lt;140,IF(Z292&lt;35,IF(Z292&lt;6,3,2),1),0),0)</f>
        <v/>
      </c>
      <c r="AR292" s="7">
        <f>IF(AO292=1,IF(AO292=AL292,1,0),5)</f>
        <v/>
      </c>
      <c r="AV292" s="5">
        <f>(AT292+AU292)/2</f>
        <v/>
      </c>
      <c r="AZ292" s="4">
        <f>IF(AY292&lt;-50,-4,IF(AY292&lt;-20,-2,IF(AY292&lt;0,-1,IF(AY292=0,0,IF(AY292&lt;10,1.5,IF(AY292&lt;20,2,IF(AY292&gt;19,2.5,2.5)))))))</f>
        <v/>
      </c>
    </row>
    <row r="293" ht="12.75" customHeight="1">
      <c r="G293" s="5">
        <f>100*(F293-E293)/F293</f>
        <v/>
      </c>
      <c r="P293" s="5">
        <f>O293/I293</f>
        <v/>
      </c>
      <c r="Y293" t="n">
        <v>70</v>
      </c>
      <c r="AA293" s="5">
        <f>IF(X293&lt;50,IF(Y293&gt;(2.3*X293),0,1),1)-IF(Z293&gt;Y293,1.7,0)</f>
        <v/>
      </c>
      <c r="AC293" s="5">
        <f>IF(AB293&gt;4,1,0)+IF(AB293&gt;10,0.7,0)</f>
        <v/>
      </c>
      <c r="AG293" s="6">
        <f>IF(G293&lt;52,0,0.7)+IF(G293&lt;34,0,0.7)+IF(G293&lt;1,0,0.7)+IF(P293&gt;14.56,0,1)+IF(R293&lt;9,0.5,0)+IF(R293&lt;33.8,0.5,0)+IF(R293&lt;50,0.5,0)+IF(R293&lt;80,0.5,0)+IF(S293=5,0,S293)+IF(V293&gt;0,1,-1)+IF(AE293&lt;10.56,0,1)-IF(AE293&lt;3,1,0)-IF(AE293&lt;1,1,0)</f>
        <v/>
      </c>
      <c r="AH293" s="5">
        <f>AG293+IF(X293&lt;1.35,0,1)+IF(Y293&lt;1.35,0,1)+IF(Y293&lt;0.7,-1,0)+AC293+AA293</f>
        <v/>
      </c>
      <c r="AJ293" s="5">
        <f>IF(AI293&gt;12.7,IF(AI293&gt;15.8,0.93,0.98),1)</f>
        <v/>
      </c>
      <c r="AK293" s="5">
        <f>(1.5*AG293+AH293)*AJ293*AQ293</f>
        <v/>
      </c>
      <c r="AL293" s="4">
        <f>D293</f>
        <v/>
      </c>
      <c r="AM293" s="8">
        <f>B293</f>
        <v/>
      </c>
      <c r="AO293" s="61">
        <f>IF(Z293&lt;2.81,0,IF(AK293&gt;13.7,IF(Z293&lt;140,1,0),0))</f>
        <v/>
      </c>
      <c r="AP293" s="7">
        <f>IF(AK293&gt;13.93,IF(Z293&lt;140,IF(Z293&lt;35,IF(Z293&lt;6,3,2),1),0),0)</f>
        <v/>
      </c>
      <c r="AR293" s="7">
        <f>IF(AO293=1,IF(AO293=AL293,1,0),5)</f>
        <v/>
      </c>
      <c r="AV293" s="5">
        <f>(AT293+AU293)/2</f>
        <v/>
      </c>
      <c r="AZ293" s="4">
        <f>IF(AY293&lt;-50,-4,IF(AY293&lt;-20,-2,IF(AY293&lt;0,-1,IF(AY293=0,0,IF(AY293&lt;10,1.5,IF(AY293&lt;20,2,IF(AY293&gt;19,2.5,2.5)))))))</f>
        <v/>
      </c>
    </row>
    <row r="294" ht="12.75" customHeight="1">
      <c r="G294" s="5">
        <f>100*(F294-E294)/F294</f>
        <v/>
      </c>
      <c r="P294" s="5">
        <f>O294/I294</f>
        <v/>
      </c>
      <c r="Y294" t="n">
        <v>70</v>
      </c>
      <c r="AA294" s="5">
        <f>IF(X294&lt;50,IF(Y294&gt;(2.3*X294),0,1),1)-IF(Z294&gt;Y294,1.7,0)</f>
        <v/>
      </c>
      <c r="AC294" s="5">
        <f>IF(AB294&gt;4,1,0)+IF(AB294&gt;10,0.7,0)</f>
        <v/>
      </c>
      <c r="AG294" s="6">
        <f>IF(G294&lt;52,0,0.7)+IF(G294&lt;34,0,0.7)+IF(G294&lt;1,0,0.7)+IF(P294&gt;14.56,0,1)+IF(R294&lt;9,0.5,0)+IF(R294&lt;33.8,0.5,0)+IF(R294&lt;50,0.5,0)+IF(R294&lt;80,0.5,0)+IF(S294=5,0,S294)+IF(V294&gt;0,1,-1)+IF(AE294&lt;10.56,0,1)-IF(AE294&lt;3,1,0)-IF(AE294&lt;1,1,0)</f>
        <v/>
      </c>
      <c r="AH294" s="5">
        <f>AG294+IF(X294&lt;1.35,0,1)+IF(Y294&lt;1.35,0,1)+IF(Y294&lt;0.7,-1,0)+AC294+AA294</f>
        <v/>
      </c>
      <c r="AJ294" s="5">
        <f>IF(AI294&gt;12.7,IF(AI294&gt;15.8,0.93,0.98),1)</f>
        <v/>
      </c>
      <c r="AK294" s="5">
        <f>(1.5*AG294+AH294)*AJ294*AQ294</f>
        <v/>
      </c>
      <c r="AL294" s="4">
        <f>D294</f>
        <v/>
      </c>
      <c r="AM294" s="8">
        <f>B294</f>
        <v/>
      </c>
      <c r="AO294" s="61">
        <f>IF(Z294&lt;2.81,0,IF(AK294&gt;13.7,IF(Z294&lt;140,1,0),0))</f>
        <v/>
      </c>
      <c r="AP294" s="7">
        <f>IF(AK294&gt;13.93,IF(Z294&lt;140,IF(Z294&lt;35,IF(Z294&lt;6,3,2),1),0),0)</f>
        <v/>
      </c>
      <c r="AR294" s="7">
        <f>IF(AO294=1,IF(AO294=AL294,1,0),5)</f>
        <v/>
      </c>
      <c r="AV294" s="5">
        <f>(AT294+AU294)/2</f>
        <v/>
      </c>
      <c r="AZ294" s="4">
        <f>IF(AY294&lt;-50,-4,IF(AY294&lt;-20,-2,IF(AY294&lt;0,-1,IF(AY294=0,0,IF(AY294&lt;10,1.5,IF(AY294&lt;20,2,IF(AY294&gt;19,2.5,2.5)))))))</f>
        <v/>
      </c>
    </row>
    <row r="295" ht="12.75" customHeight="1">
      <c r="G295" s="5">
        <f>100*(F295-E295)/F295</f>
        <v/>
      </c>
      <c r="P295" s="5">
        <f>O295/I295</f>
        <v/>
      </c>
      <c r="Y295" t="n">
        <v>70</v>
      </c>
      <c r="AA295" s="5">
        <f>IF(X295&lt;50,IF(Y295&gt;(2.3*X295),0,1),1)-IF(Z295&gt;Y295,1.7,0)</f>
        <v/>
      </c>
      <c r="AC295" s="5">
        <f>IF(AB295&gt;4,1,0)+IF(AB295&gt;10,0.7,0)</f>
        <v/>
      </c>
      <c r="AG295" s="6">
        <f>IF(G295&lt;52,0,0.7)+IF(G295&lt;34,0,0.7)+IF(G295&lt;1,0,0.7)+IF(P295&gt;14.56,0,1)+IF(R295&lt;9,0.5,0)+IF(R295&lt;33.8,0.5,0)+IF(R295&lt;50,0.5,0)+IF(R295&lt;80,0.5,0)+IF(S295=5,0,S295)+IF(V295&gt;0,1,-1)+IF(AE295&lt;10.56,0,1)-IF(AE295&lt;3,1,0)-IF(AE295&lt;1,1,0)</f>
        <v/>
      </c>
      <c r="AH295" s="5">
        <f>AG295+IF(X295&lt;1.35,0,1)+IF(Y295&lt;1.35,0,1)+IF(Y295&lt;0.7,-1,0)+AC295+AA295</f>
        <v/>
      </c>
      <c r="AJ295" s="5">
        <f>IF(AI295&gt;12.7,IF(AI295&gt;15.8,0.93,0.98),1)</f>
        <v/>
      </c>
      <c r="AK295" s="5">
        <f>(1.5*AG295+AH295)*AJ295*AQ295</f>
        <v/>
      </c>
      <c r="AL295" s="4">
        <f>D295</f>
        <v/>
      </c>
      <c r="AM295" s="8">
        <f>B295</f>
        <v/>
      </c>
      <c r="AO295" s="61">
        <f>IF(Z295&lt;2.81,0,IF(AK295&gt;13.7,IF(Z295&lt;140,1,0),0))</f>
        <v/>
      </c>
      <c r="AP295" s="7">
        <f>IF(AK295&gt;13.93,IF(Z295&lt;140,IF(Z295&lt;35,IF(Z295&lt;6,3,2),1),0),0)</f>
        <v/>
      </c>
      <c r="AR295" s="7">
        <f>IF(AO295=1,IF(AO295=AL295,1,0),5)</f>
        <v/>
      </c>
      <c r="AV295" s="5">
        <f>(AT295+AU295)/2</f>
        <v/>
      </c>
      <c r="AZ295" s="4">
        <f>IF(AY295&lt;-50,-4,IF(AY295&lt;-20,-2,IF(AY295&lt;0,-1,IF(AY295=0,0,IF(AY295&lt;10,1.5,IF(AY295&lt;20,2,IF(AY295&gt;19,2.5,2.5)))))))</f>
        <v/>
      </c>
    </row>
    <row r="296" ht="12.75" customHeight="1">
      <c r="G296" s="5">
        <f>100*(F296-E296)/F296</f>
        <v/>
      </c>
      <c r="P296" s="5">
        <f>O296/I296</f>
        <v/>
      </c>
      <c r="Y296" t="n">
        <v>70</v>
      </c>
      <c r="AA296" s="5">
        <f>IF(X296&lt;50,IF(Y296&gt;(2.3*X296),0,1),1)-IF(Z296&gt;Y296,1.7,0)</f>
        <v/>
      </c>
      <c r="AC296" s="5">
        <f>IF(AB296&gt;4,1,0)+IF(AB296&gt;10,0.7,0)</f>
        <v/>
      </c>
      <c r="AG296" s="6">
        <f>IF(G296&lt;52,0,0.7)+IF(G296&lt;34,0,0.7)+IF(G296&lt;1,0,0.7)+IF(P296&gt;14.56,0,1)+IF(R296&lt;9,0.5,0)+IF(R296&lt;33.8,0.5,0)+IF(R296&lt;50,0.5,0)+IF(R296&lt;80,0.5,0)+IF(S296=5,0,S296)+IF(V296&gt;0,1,-1)+IF(AE296&lt;10.56,0,1)-IF(AE296&lt;3,1,0)-IF(AE296&lt;1,1,0)</f>
        <v/>
      </c>
      <c r="AH296" s="5">
        <f>AG296+IF(X296&lt;1.35,0,1)+IF(Y296&lt;1.35,0,1)+IF(Y296&lt;0.7,-1,0)+AC296+AA296</f>
        <v/>
      </c>
      <c r="AJ296" s="5">
        <f>IF(AI296&gt;12.7,IF(AI296&gt;15.8,0.93,0.98),1)</f>
        <v/>
      </c>
      <c r="AK296" s="5">
        <f>(1.5*AG296+AH296)*AJ296*AQ296</f>
        <v/>
      </c>
      <c r="AL296" s="4">
        <f>D296</f>
        <v/>
      </c>
      <c r="AM296" s="8">
        <f>B296</f>
        <v/>
      </c>
      <c r="AO296" s="61">
        <f>IF(Z296&lt;2.81,0,IF(AK296&gt;13.7,IF(Z296&lt;140,1,0),0))</f>
        <v/>
      </c>
      <c r="AP296" s="7">
        <f>IF(AK296&gt;13.93,IF(Z296&lt;140,IF(Z296&lt;35,IF(Z296&lt;6,3,2),1),0),0)</f>
        <v/>
      </c>
      <c r="AR296" s="7">
        <f>IF(AO296=1,IF(AO296=AL296,1,0),5)</f>
        <v/>
      </c>
      <c r="AV296" s="5">
        <f>(AT296+AU296)/2</f>
        <v/>
      </c>
      <c r="AZ296" s="4">
        <f>IF(AY296&lt;-50,-4,IF(AY296&lt;-20,-2,IF(AY296&lt;0,-1,IF(AY296=0,0,IF(AY296&lt;10,1.5,IF(AY296&lt;20,2,IF(AY296&gt;19,2.5,2.5)))))))</f>
        <v/>
      </c>
    </row>
    <row r="297" ht="12.75" customHeight="1">
      <c r="G297" s="5">
        <f>100*(F297-E297)/F297</f>
        <v/>
      </c>
      <c r="P297" s="5">
        <f>O297/I297</f>
        <v/>
      </c>
      <c r="Y297" t="n">
        <v>70</v>
      </c>
      <c r="AA297" s="5">
        <f>IF(X297&lt;50,IF(Y297&gt;(2.3*X297),0,1),1)-IF(Z297&gt;Y297,1.7,0)</f>
        <v/>
      </c>
      <c r="AC297" s="5">
        <f>IF(AB297&gt;4,1,0)+IF(AB297&gt;10,0.7,0)</f>
        <v/>
      </c>
      <c r="AG297" s="6">
        <f>IF(G297&lt;52,0,0.7)+IF(G297&lt;34,0,0.7)+IF(G297&lt;1,0,0.7)+IF(P297&gt;14.56,0,1)+IF(R297&lt;9,0.5,0)+IF(R297&lt;33.8,0.5,0)+IF(R297&lt;50,0.5,0)+IF(R297&lt;80,0.5,0)+IF(S297=5,0,S297)+IF(V297&gt;0,1,-1)+IF(AE297&lt;10.56,0,1)-IF(AE297&lt;3,1,0)-IF(AE297&lt;1,1,0)</f>
        <v/>
      </c>
      <c r="AH297" s="5">
        <f>AG297+IF(X297&lt;1.35,0,1)+IF(Y297&lt;1.35,0,1)+IF(Y297&lt;0.7,-1,0)+AC297+AA297</f>
        <v/>
      </c>
      <c r="AJ297" s="5">
        <f>IF(AI297&gt;12.7,IF(AI297&gt;15.8,0.93,0.98),1)</f>
        <v/>
      </c>
      <c r="AK297" s="5">
        <f>(1.5*AG297+AH297)*AJ297*AQ297</f>
        <v/>
      </c>
      <c r="AL297" s="4">
        <f>D297</f>
        <v/>
      </c>
      <c r="AM297" s="8">
        <f>B297</f>
        <v/>
      </c>
      <c r="AO297" s="61">
        <f>IF(Z297&lt;2.81,0,IF(AK297&gt;13.7,IF(Z297&lt;140,1,0),0))</f>
        <v/>
      </c>
      <c r="AP297" s="7">
        <f>IF(AK297&gt;13.93,IF(Z297&lt;140,IF(Z297&lt;35,IF(Z297&lt;6,3,2),1),0),0)</f>
        <v/>
      </c>
      <c r="AR297" s="7">
        <f>IF(AO297=1,IF(AO297=AL297,1,0),5)</f>
        <v/>
      </c>
      <c r="AV297" s="5">
        <f>(AT297+AU297)/2</f>
        <v/>
      </c>
      <c r="AZ297" s="4">
        <f>IF(AY297&lt;-50,-4,IF(AY297&lt;-20,-2,IF(AY297&lt;0,-1,IF(AY297=0,0,IF(AY297&lt;10,1.5,IF(AY297&lt;20,2,IF(AY297&gt;19,2.5,2.5)))))))</f>
        <v/>
      </c>
    </row>
    <row r="298" ht="12.75" customHeight="1">
      <c r="G298" s="5">
        <f>100*(F298-E298)/F298</f>
        <v/>
      </c>
      <c r="P298" s="5">
        <f>O298/I298</f>
        <v/>
      </c>
      <c r="Y298" t="n">
        <v>70</v>
      </c>
      <c r="AA298" s="5">
        <f>IF(X298&lt;50,IF(Y298&gt;(2.3*X298),0,1),1)-IF(Z298&gt;Y298,1.7,0)</f>
        <v/>
      </c>
      <c r="AC298" s="5">
        <f>IF(AB298&gt;4,1,0)+IF(AB298&gt;10,0.7,0)</f>
        <v/>
      </c>
      <c r="AG298" s="6">
        <f>IF(G298&lt;52,0,0.7)+IF(G298&lt;34,0,0.7)+IF(G298&lt;1,0,0.7)+IF(P298&gt;14.56,0,1)+IF(R298&lt;9,0.5,0)+IF(R298&lt;33.8,0.5,0)+IF(R298&lt;50,0.5,0)+IF(R298&lt;80,0.5,0)+IF(S298=5,0,S298)+IF(V298&gt;0,1,-1)+IF(AE298&lt;10.56,0,1)-IF(AE298&lt;3,1,0)-IF(AE298&lt;1,1,0)</f>
        <v/>
      </c>
      <c r="AH298" s="5">
        <f>AG298+IF(X298&lt;1.35,0,1)+IF(Y298&lt;1.35,0,1)+IF(Y298&lt;0.7,-1,0)+AC298+AA298</f>
        <v/>
      </c>
      <c r="AJ298" s="5">
        <f>IF(AI298&gt;12.7,IF(AI298&gt;15.8,0.93,0.98),1)</f>
        <v/>
      </c>
      <c r="AK298" s="5">
        <f>(1.5*AG298+AH298)*AJ298*AQ298</f>
        <v/>
      </c>
      <c r="AL298" s="4">
        <f>D298</f>
        <v/>
      </c>
      <c r="AM298" s="8">
        <f>B298</f>
        <v/>
      </c>
      <c r="AO298" s="61">
        <f>IF(Z298&lt;2.81,0,IF(AK298&gt;13.7,IF(Z298&lt;140,1,0),0))</f>
        <v/>
      </c>
      <c r="AP298" s="7">
        <f>IF(AK298&gt;13.93,IF(Z298&lt;140,IF(Z298&lt;35,IF(Z298&lt;6,3,2),1),0),0)</f>
        <v/>
      </c>
      <c r="AR298" s="7">
        <f>IF(AO298=1,IF(AO298=AL298,1,0),5)</f>
        <v/>
      </c>
      <c r="AV298" s="5">
        <f>(AT298+AU298)/2</f>
        <v/>
      </c>
      <c r="AZ298" s="4">
        <f>IF(AY298&lt;-50,-4,IF(AY298&lt;-20,-2,IF(AY298&lt;0,-1,IF(AY298=0,0,IF(AY298&lt;10,1.5,IF(AY298&lt;20,2,IF(AY298&gt;19,2.5,2.5)))))))</f>
        <v/>
      </c>
    </row>
    <row r="299" ht="12.75" customHeight="1">
      <c r="G299" s="5">
        <f>100*(F299-E299)/F299</f>
        <v/>
      </c>
      <c r="P299" s="5">
        <f>O299/I299</f>
        <v/>
      </c>
      <c r="Y299" t="n">
        <v>70</v>
      </c>
      <c r="AA299" s="5">
        <f>IF(X299&lt;50,IF(Y299&gt;(2.3*X299),0,1),1)-IF(Z299&gt;Y299,1.7,0)</f>
        <v/>
      </c>
      <c r="AC299" s="5">
        <f>IF(AB299&gt;4,1,0)+IF(AB299&gt;10,0.7,0)</f>
        <v/>
      </c>
      <c r="AG299" s="6">
        <f>IF(G299&lt;52,0,0.7)+IF(G299&lt;34,0,0.7)+IF(G299&lt;1,0,0.7)+IF(P299&gt;14.56,0,1)+IF(R299&lt;9,0.5,0)+IF(R299&lt;33.8,0.5,0)+IF(R299&lt;50,0.5,0)+IF(R299&lt;80,0.5,0)+IF(S299=5,0,S299)+IF(V299&gt;0,1,-1)+IF(AE299&lt;10.56,0,1)-IF(AE299&lt;3,1,0)-IF(AE299&lt;1,1,0)</f>
        <v/>
      </c>
      <c r="AH299" s="5">
        <f>AG299+IF(X299&lt;1.35,0,1)+IF(Y299&lt;1.35,0,1)+IF(Y299&lt;0.7,-1,0)+AC299+AA299</f>
        <v/>
      </c>
      <c r="AJ299" s="5">
        <f>IF(AI299&gt;12.7,IF(AI299&gt;15.8,0.93,0.98),1)</f>
        <v/>
      </c>
      <c r="AK299" s="5">
        <f>(1.5*AG299+AH299)*AJ299*AQ299</f>
        <v/>
      </c>
      <c r="AL299" s="4">
        <f>D299</f>
        <v/>
      </c>
      <c r="AM299" s="8">
        <f>B299</f>
        <v/>
      </c>
      <c r="AO299" s="61">
        <f>IF(Z299&lt;2.81,0,IF(AK299&gt;13.7,IF(Z299&lt;140,1,0),0))</f>
        <v/>
      </c>
      <c r="AP299" s="7">
        <f>IF(AK299&gt;13.93,IF(Z299&lt;140,IF(Z299&lt;35,IF(Z299&lt;6,3,2),1),0),0)</f>
        <v/>
      </c>
      <c r="AR299" s="7">
        <f>IF(AO299=1,IF(AO299=AL299,1,0),5)</f>
        <v/>
      </c>
      <c r="AV299" s="5">
        <f>(AT299+AU299)/2</f>
        <v/>
      </c>
      <c r="AZ299" s="4">
        <f>IF(AY299&lt;-50,-4,IF(AY299&lt;-20,-2,IF(AY299&lt;0,-1,IF(AY299=0,0,IF(AY299&lt;10,1.5,IF(AY299&lt;20,2,IF(AY299&gt;19,2.5,2.5)))))))</f>
        <v/>
      </c>
    </row>
    <row r="300" ht="12.75" customHeight="1">
      <c r="G300" s="5">
        <f>100*(F300-E300)/F300</f>
        <v/>
      </c>
      <c r="P300" s="5">
        <f>O300/I300</f>
        <v/>
      </c>
      <c r="Y300" t="n">
        <v>70</v>
      </c>
      <c r="AA300" s="5">
        <f>IF(X300&lt;50,IF(Y300&gt;(2.3*X300),0,1),1)-IF(Z300&gt;Y300,1.7,0)</f>
        <v/>
      </c>
      <c r="AC300" s="5">
        <f>IF(AB300&gt;4,1,0)+IF(AB300&gt;10,0.7,0)</f>
        <v/>
      </c>
      <c r="AG300" s="6">
        <f>IF(G300&lt;52,0,0.7)+IF(G300&lt;34,0,0.7)+IF(G300&lt;1,0,0.7)+IF(P300&gt;14.56,0,1)+IF(R300&lt;9,0.5,0)+IF(R300&lt;33.8,0.5,0)+IF(R300&lt;50,0.5,0)+IF(R300&lt;80,0.5,0)+IF(S300=5,0,S300)+IF(V300&gt;0,1,-1)+IF(AE300&lt;10.56,0,1)-IF(AE300&lt;3,1,0)-IF(AE300&lt;1,1,0)</f>
        <v/>
      </c>
      <c r="AH300" s="5">
        <f>AG300+IF(X300&lt;1.35,0,1)+IF(Y300&lt;1.35,0,1)+IF(Y300&lt;0.7,-1,0)+AC300+AA300</f>
        <v/>
      </c>
      <c r="AJ300" s="5">
        <f>IF(AI300&gt;12.7,IF(AI300&gt;15.8,0.93,0.98),1)</f>
        <v/>
      </c>
      <c r="AK300" s="5">
        <f>(1.5*AG300+AH300)*AJ300*AQ300</f>
        <v/>
      </c>
      <c r="AL300" s="4">
        <f>D300</f>
        <v/>
      </c>
      <c r="AM300" s="8">
        <f>B300</f>
        <v/>
      </c>
      <c r="AO300" s="61">
        <f>IF(Z300&lt;2.81,0,IF(AK300&gt;13.7,IF(Z300&lt;140,1,0),0))</f>
        <v/>
      </c>
      <c r="AP300" s="7">
        <f>IF(AK300&gt;13.93,IF(Z300&lt;140,IF(Z300&lt;35,IF(Z300&lt;6,3,2),1),0),0)</f>
        <v/>
      </c>
      <c r="AR300" s="7">
        <f>IF(AO300=1,IF(AO300=AL300,1,0),5)</f>
        <v/>
      </c>
      <c r="AV300" s="5">
        <f>(AT300+AU300)/2</f>
        <v/>
      </c>
      <c r="AZ300" s="4">
        <f>IF(AY300&lt;-50,-4,IF(AY300&lt;-20,-2,IF(AY300&lt;0,-1,IF(AY300=0,0,IF(AY300&lt;10,1.5,IF(AY300&lt;20,2,IF(AY300&gt;19,2.5,2.5)))))))</f>
        <v/>
      </c>
    </row>
    <row r="301" ht="12.75" customHeight="1">
      <c r="G301" s="5">
        <f>100*(F301-E301)/F301</f>
        <v/>
      </c>
      <c r="P301" s="5">
        <f>O301/I301</f>
        <v/>
      </c>
      <c r="Y301" t="n">
        <v>70</v>
      </c>
      <c r="AA301" s="5">
        <f>IF(X301&lt;50,IF(Y301&gt;(2.3*X301),0,1),1)-IF(Z301&gt;Y301,1.7,0)</f>
        <v/>
      </c>
      <c r="AC301" s="5">
        <f>IF(AB301&gt;4,1,0)+IF(AB301&gt;10,0.7,0)</f>
        <v/>
      </c>
      <c r="AG301" s="6">
        <f>IF(G301&lt;52,0,0.7)+IF(G301&lt;34,0,0.7)+IF(G301&lt;1,0,0.7)+IF(P301&gt;14.56,0,1)+IF(R301&lt;9,0.5,0)+IF(R301&lt;33.8,0.5,0)+IF(R301&lt;50,0.5,0)+IF(R301&lt;80,0.5,0)+IF(S301=5,0,S301)+IF(V301&gt;0,1,-1)+IF(AE301&lt;10.56,0,1)-IF(AE301&lt;3,1,0)-IF(AE301&lt;1,1,0)</f>
        <v/>
      </c>
      <c r="AH301" s="5">
        <f>AG301+IF(X301&lt;1.35,0,1)+IF(Y301&lt;1.35,0,1)+IF(Y301&lt;0.7,-1,0)+AC301+AA301</f>
        <v/>
      </c>
      <c r="AJ301" s="5">
        <f>IF(AI301&gt;12.7,IF(AI301&gt;15.8,0.93,0.98),1)</f>
        <v/>
      </c>
      <c r="AK301" s="5">
        <f>(1.5*AG301+AH301)*AJ301*AQ301</f>
        <v/>
      </c>
      <c r="AL301" s="4">
        <f>D301</f>
        <v/>
      </c>
      <c r="AM301" s="8">
        <f>B301</f>
        <v/>
      </c>
      <c r="AO301" s="61">
        <f>IF(Z301&lt;2.81,0,IF(AK301&gt;13.7,IF(Z301&lt;140,1,0),0))</f>
        <v/>
      </c>
      <c r="AP301" s="7">
        <f>IF(AK301&gt;13.93,IF(Z301&lt;140,IF(Z301&lt;35,IF(Z301&lt;6,3,2),1),0),0)</f>
        <v/>
      </c>
      <c r="AR301" s="7">
        <f>IF(AO301=1,IF(AO301=AL301,1,0),5)</f>
        <v/>
      </c>
      <c r="AV301" s="5">
        <f>(AT301+AU301)/2</f>
        <v/>
      </c>
      <c r="AZ301" s="4">
        <f>IF(AY301&lt;-50,-4,IF(AY301&lt;-20,-2,IF(AY301&lt;0,-1,IF(AY301=0,0,IF(AY301&lt;10,1.5,IF(AY301&lt;20,2,IF(AY301&gt;19,2.5,2.5)))))))</f>
        <v/>
      </c>
    </row>
    <row r="302" ht="12.75" customHeight="1">
      <c r="G302" s="5">
        <f>100*(F302-E302)/F302</f>
        <v/>
      </c>
      <c r="P302" s="5">
        <f>O302/I302</f>
        <v/>
      </c>
      <c r="Y302" t="n">
        <v>70</v>
      </c>
      <c r="AA302" s="5">
        <f>IF(X302&lt;50,IF(Y302&gt;(2.3*X302),0,1),1)-IF(Z302&gt;Y302,1.7,0)</f>
        <v/>
      </c>
      <c r="AC302" s="5">
        <f>IF(AB302&gt;4,1,0)+IF(AB302&gt;10,0.7,0)</f>
        <v/>
      </c>
      <c r="AG302" s="6">
        <f>IF(G302&lt;52,0,0.7)+IF(G302&lt;34,0,0.7)+IF(G302&lt;1,0,0.7)+IF(P302&gt;14.56,0,1)+IF(R302&lt;9,0.5,0)+IF(R302&lt;33.8,0.5,0)+IF(R302&lt;50,0.5,0)+IF(R302&lt;80,0.5,0)+IF(S302=5,0,S302)+IF(V302&gt;0,1,-1)+IF(AE302&lt;10.56,0,1)-IF(AE302&lt;3,1,0)-IF(AE302&lt;1,1,0)</f>
        <v/>
      </c>
      <c r="AH302" s="5">
        <f>AG302+IF(X302&lt;1.35,0,1)+IF(Y302&lt;1.35,0,1)+IF(Y302&lt;0.7,-1,0)+AC302+AA302</f>
        <v/>
      </c>
      <c r="AJ302" s="5">
        <f>IF(AI302&gt;12.7,IF(AI302&gt;15.8,0.93,0.98),1)</f>
        <v/>
      </c>
      <c r="AK302" s="5">
        <f>(1.5*AG302+AH302)*AJ302*AQ302</f>
        <v/>
      </c>
      <c r="AL302" s="4">
        <f>D302</f>
        <v/>
      </c>
      <c r="AM302" s="8">
        <f>B302</f>
        <v/>
      </c>
      <c r="AO302" s="61">
        <f>IF(Z302&lt;2.81,0,IF(AK302&gt;13.7,IF(Z302&lt;140,1,0),0))</f>
        <v/>
      </c>
      <c r="AP302" s="7">
        <f>IF(AK302&gt;13.93,IF(Z302&lt;140,IF(Z302&lt;35,IF(Z302&lt;6,3,2),1),0),0)</f>
        <v/>
      </c>
      <c r="AR302" s="7">
        <f>IF(AO302=1,IF(AO302=AL302,1,0),5)</f>
        <v/>
      </c>
      <c r="AV302" s="5">
        <f>(AT302+AU302)/2</f>
        <v/>
      </c>
      <c r="AZ302" s="4">
        <f>IF(AY302&lt;-50,-4,IF(AY302&lt;-20,-2,IF(AY302&lt;0,-1,IF(AY302=0,0,IF(AY302&lt;10,1.5,IF(AY302&lt;20,2,IF(AY302&gt;19,2.5,2.5)))))))</f>
        <v/>
      </c>
    </row>
    <row r="303" ht="12.75" customHeight="1">
      <c r="G303" s="5">
        <f>100*(F303-E303)/F303</f>
        <v/>
      </c>
      <c r="P303" s="5">
        <f>O303/I303</f>
        <v/>
      </c>
      <c r="Y303" t="n">
        <v>70</v>
      </c>
      <c r="AA303" s="5">
        <f>IF(X303&lt;50,IF(Y303&gt;(2.3*X303),0,1),1)-IF(Z303&gt;Y303,1.7,0)</f>
        <v/>
      </c>
      <c r="AC303" s="5">
        <f>IF(AB303&gt;4,1,0)+IF(AB303&gt;10,0.7,0)</f>
        <v/>
      </c>
      <c r="AG303" s="6">
        <f>IF(G303&lt;52,0,0.7)+IF(G303&lt;34,0,0.7)+IF(G303&lt;1,0,0.7)+IF(P303&gt;14.56,0,1)+IF(R303&lt;9,0.5,0)+IF(R303&lt;33.8,0.5,0)+IF(R303&lt;50,0.5,0)+IF(R303&lt;80,0.5,0)+IF(S303=5,0,S303)+IF(V303&gt;0,1,-1)+IF(AE303&lt;10.56,0,1)-IF(AE303&lt;3,1,0)-IF(AE303&lt;1,1,0)</f>
        <v/>
      </c>
      <c r="AH303" s="5">
        <f>AG303+IF(X303&lt;1.35,0,1)+IF(Y303&lt;1.35,0,1)+IF(Y303&lt;0.7,-1,0)+AC303+AA303</f>
        <v/>
      </c>
      <c r="AJ303" s="5">
        <f>IF(AI303&gt;12.7,IF(AI303&gt;15.8,0.93,0.98),1)</f>
        <v/>
      </c>
      <c r="AK303" s="5">
        <f>(1.5*AG303+AH303)*AJ303*AQ303</f>
        <v/>
      </c>
      <c r="AL303" s="4">
        <f>D303</f>
        <v/>
      </c>
      <c r="AM303" s="8">
        <f>B303</f>
        <v/>
      </c>
      <c r="AO303" s="61">
        <f>IF(Z303&lt;2.81,0,IF(AK303&gt;13.7,IF(Z303&lt;140,1,0),0))</f>
        <v/>
      </c>
      <c r="AP303" s="7">
        <f>IF(AK303&gt;13.93,IF(Z303&lt;140,IF(Z303&lt;35,IF(Z303&lt;6,3,2),1),0),0)</f>
        <v/>
      </c>
      <c r="AR303" s="7">
        <f>IF(AO303=1,IF(AO303=AL303,1,0),5)</f>
        <v/>
      </c>
      <c r="AV303" s="5">
        <f>(AT303+AU303)/2</f>
        <v/>
      </c>
      <c r="AZ303" s="4">
        <f>IF(AY303&lt;-50,-4,IF(AY303&lt;-20,-2,IF(AY303&lt;0,-1,IF(AY303=0,0,IF(AY303&lt;10,1.5,IF(AY303&lt;20,2,IF(AY303&gt;19,2.5,2.5)))))))</f>
        <v/>
      </c>
    </row>
    <row r="304" ht="12.75" customHeight="1">
      <c r="G304" s="5">
        <f>100*(F304-E304)/F304</f>
        <v/>
      </c>
      <c r="P304" s="5">
        <f>O304/I304</f>
        <v/>
      </c>
      <c r="Y304" t="n">
        <v>70</v>
      </c>
      <c r="AA304" s="5">
        <f>IF(X304&lt;50,IF(Y304&gt;(2.3*X304),0,1),1)-IF(Z304&gt;Y304,1.7,0)</f>
        <v/>
      </c>
      <c r="AC304" s="5">
        <f>IF(AB304&gt;4,1,0)+IF(AB304&gt;10,0.7,0)</f>
        <v/>
      </c>
      <c r="AG304" s="6">
        <f>IF(G304&lt;52,0,0.7)+IF(G304&lt;34,0,0.7)+IF(G304&lt;1,0,0.7)+IF(P304&gt;14.56,0,1)+IF(R304&lt;9,0.5,0)+IF(R304&lt;33.8,0.5,0)+IF(R304&lt;50,0.5,0)+IF(R304&lt;80,0.5,0)+IF(S304=5,0,S304)+IF(V304&gt;0,1,-1)+IF(AE304&lt;10.56,0,1)-IF(AE304&lt;3,1,0)-IF(AE304&lt;1,1,0)</f>
        <v/>
      </c>
      <c r="AH304" s="5">
        <f>AG304+IF(X304&lt;1.35,0,1)+IF(Y304&lt;1.35,0,1)+IF(Y304&lt;0.7,-1,0)+AC304+AA304</f>
        <v/>
      </c>
      <c r="AJ304" s="5">
        <f>IF(AI304&gt;12.7,IF(AI304&gt;15.8,0.93,0.98),1)</f>
        <v/>
      </c>
      <c r="AK304" s="5">
        <f>(1.5*AG304+AH304)*AJ304*AQ304</f>
        <v/>
      </c>
      <c r="AL304" s="4">
        <f>D304</f>
        <v/>
      </c>
      <c r="AM304" s="8">
        <f>B304</f>
        <v/>
      </c>
      <c r="AO304" s="61">
        <f>IF(Z304&lt;2.81,0,IF(AK304&gt;13.7,IF(Z304&lt;140,1,0),0))</f>
        <v/>
      </c>
      <c r="AP304" s="7">
        <f>IF(AK304&gt;13.93,IF(Z304&lt;140,IF(Z304&lt;35,IF(Z304&lt;6,3,2),1),0),0)</f>
        <v/>
      </c>
      <c r="AR304" s="7">
        <f>IF(AO304=1,IF(AO304=AL304,1,0),5)</f>
        <v/>
      </c>
      <c r="AV304" s="5">
        <f>(AT304+AU304)/2</f>
        <v/>
      </c>
      <c r="AZ304" s="4">
        <f>IF(AY304&lt;-50,-4,IF(AY304&lt;-20,-2,IF(AY304&lt;0,-1,IF(AY304=0,0,IF(AY304&lt;10,1.5,IF(AY304&lt;20,2,IF(AY304&gt;19,2.5,2.5)))))))</f>
        <v/>
      </c>
    </row>
    <row r="305" ht="12.75" customHeight="1">
      <c r="G305" s="5">
        <f>100*(F305-E305)/F305</f>
        <v/>
      </c>
      <c r="P305" s="5">
        <f>O305/I305</f>
        <v/>
      </c>
      <c r="Y305" t="n">
        <v>70</v>
      </c>
      <c r="AA305" s="5">
        <f>IF(X305&lt;50,IF(Y305&gt;(2.3*X305),0,1),1)-IF(Z305&gt;Y305,1.7,0)</f>
        <v/>
      </c>
      <c r="AC305" s="5">
        <f>IF(AB305&gt;4,1,0)+IF(AB305&gt;10,0.7,0)</f>
        <v/>
      </c>
      <c r="AG305" s="6">
        <f>IF(G305&lt;52,0,0.7)+IF(G305&lt;34,0,0.7)+IF(G305&lt;1,0,0.7)+IF(P305&gt;14.56,0,1)+IF(R305&lt;9,0.5,0)+IF(R305&lt;33.8,0.5,0)+IF(R305&lt;50,0.5,0)+IF(R305&lt;80,0.5,0)+IF(S305=5,0,S305)+IF(V305&gt;0,1,-1)+IF(AE305&lt;10.56,0,1)-IF(AE305&lt;3,1,0)-IF(AE305&lt;1,1,0)</f>
        <v/>
      </c>
      <c r="AH305" s="5">
        <f>AG305+IF(X305&lt;1.35,0,1)+IF(Y305&lt;1.35,0,1)+IF(Y305&lt;0.7,-1,0)+AC305+AA305</f>
        <v/>
      </c>
      <c r="AJ305" s="5">
        <f>IF(AI305&gt;12.7,IF(AI305&gt;15.8,0.93,0.98),1)</f>
        <v/>
      </c>
      <c r="AK305" s="5">
        <f>(1.5*AG305+AH305)*AJ305*AQ305</f>
        <v/>
      </c>
      <c r="AL305" s="4">
        <f>D305</f>
        <v/>
      </c>
      <c r="AM305" s="8">
        <f>B305</f>
        <v/>
      </c>
      <c r="AO305" s="61">
        <f>IF(Z305&lt;2.81,0,IF(AK305&gt;13.7,IF(Z305&lt;140,1,0),0))</f>
        <v/>
      </c>
      <c r="AP305" s="7">
        <f>IF(AK305&gt;13.93,IF(Z305&lt;140,IF(Z305&lt;35,IF(Z305&lt;6,3,2),1),0),0)</f>
        <v/>
      </c>
      <c r="AR305" s="7">
        <f>IF(AO305=1,IF(AO305=AL305,1,0),5)</f>
        <v/>
      </c>
      <c r="AV305" s="5">
        <f>(AT305+AU305)/2</f>
        <v/>
      </c>
      <c r="AZ305" s="4">
        <f>IF(AY305&lt;-50,-4,IF(AY305&lt;-20,-2,IF(AY305&lt;0,-1,IF(AY305=0,0,IF(AY305&lt;10,1.5,IF(AY305&lt;20,2,IF(AY305&gt;19,2.5,2.5)))))))</f>
        <v/>
      </c>
    </row>
    <row r="306" ht="12.75" customHeight="1">
      <c r="G306" s="5">
        <f>100*(F306-E306)/F306</f>
        <v/>
      </c>
      <c r="P306" s="5">
        <f>O306/I306</f>
        <v/>
      </c>
      <c r="Y306" t="n">
        <v>70</v>
      </c>
      <c r="AA306" s="5">
        <f>IF(X306&lt;50,IF(Y306&gt;(2.3*X306),0,1),1)-IF(Z306&gt;Y306,1.7,0)</f>
        <v/>
      </c>
      <c r="AC306" s="5">
        <f>IF(AB306&gt;4,1,0)+IF(AB306&gt;10,0.7,0)</f>
        <v/>
      </c>
      <c r="AG306" s="6">
        <f>IF(G306&lt;52,0,0.7)+IF(G306&lt;34,0,0.7)+IF(G306&lt;1,0,0.7)+IF(P306&gt;14.56,0,1)+IF(R306&lt;9,0.5,0)+IF(R306&lt;33.8,0.5,0)+IF(R306&lt;50,0.5,0)+IF(R306&lt;80,0.5,0)+IF(S306=5,0,S306)+IF(V306&gt;0,1,-1)+IF(AE306&lt;10.56,0,1)-IF(AE306&lt;3,1,0)-IF(AE306&lt;1,1,0)</f>
        <v/>
      </c>
      <c r="AH306" s="5">
        <f>AG306+IF(X306&lt;1.35,0,1)+IF(Y306&lt;1.35,0,1)+IF(Y306&lt;0.7,-1,0)+AC306+AA306</f>
        <v/>
      </c>
      <c r="AJ306" s="5">
        <f>IF(AI306&gt;12.7,IF(AI306&gt;15.8,0.93,0.98),1)</f>
        <v/>
      </c>
      <c r="AK306" s="5">
        <f>(1.5*AG306+AH306)*AJ306*AQ306</f>
        <v/>
      </c>
      <c r="AL306" s="4">
        <f>D306</f>
        <v/>
      </c>
      <c r="AM306" s="8">
        <f>B306</f>
        <v/>
      </c>
      <c r="AO306" s="61">
        <f>IF(Z306&lt;2.81,0,IF(AK306&gt;13.7,IF(Z306&lt;140,1,0),0))</f>
        <v/>
      </c>
      <c r="AP306" s="7">
        <f>IF(AK306&gt;13.93,IF(Z306&lt;140,IF(Z306&lt;35,IF(Z306&lt;6,3,2),1),0),0)</f>
        <v/>
      </c>
      <c r="AR306" s="7">
        <f>IF(AO306=1,IF(AO306=AL306,1,0),5)</f>
        <v/>
      </c>
      <c r="AV306" s="5">
        <f>(AT306+AU306)/2</f>
        <v/>
      </c>
      <c r="AZ306" s="4">
        <f>IF(AY306&lt;-50,-4,IF(AY306&lt;-20,-2,IF(AY306&lt;0,-1,IF(AY306=0,0,IF(AY306&lt;10,1.5,IF(AY306&lt;20,2,IF(AY306&gt;19,2.5,2.5)))))))</f>
        <v/>
      </c>
    </row>
    <row r="307" ht="12.75" customHeight="1">
      <c r="G307" s="5">
        <f>100*(F307-E307)/F307</f>
        <v/>
      </c>
      <c r="P307" s="5">
        <f>O307/I307</f>
        <v/>
      </c>
      <c r="Y307" t="n">
        <v>70</v>
      </c>
      <c r="AA307" s="5">
        <f>IF(X307&lt;50,IF(Y307&gt;(2.3*X307),0,1),1)-IF(Z307&gt;Y307,1.7,0)</f>
        <v/>
      </c>
      <c r="AC307" s="5">
        <f>IF(AB307&gt;4,1,0)+IF(AB307&gt;10,0.7,0)</f>
        <v/>
      </c>
      <c r="AG307" s="6">
        <f>IF(G307&lt;52,0,0.7)+IF(G307&lt;34,0,0.7)+IF(G307&lt;1,0,0.7)+IF(P307&gt;14.56,0,1)+IF(R307&lt;9,0.5,0)+IF(R307&lt;33.8,0.5,0)+IF(R307&lt;50,0.5,0)+IF(R307&lt;80,0.5,0)+IF(S307=5,0,S307)+IF(V307&gt;0,1,-1)+IF(AE307&lt;10.56,0,1)-IF(AE307&lt;3,1,0)-IF(AE307&lt;1,1,0)</f>
        <v/>
      </c>
      <c r="AH307" s="5">
        <f>AG307+IF(X307&lt;1.35,0,1)+IF(Y307&lt;1.35,0,1)+IF(Y307&lt;0.7,-1,0)+AC307+AA307</f>
        <v/>
      </c>
      <c r="AJ307" s="5">
        <f>IF(AI307&gt;12.7,IF(AI307&gt;15.8,0.93,0.98),1)</f>
        <v/>
      </c>
      <c r="AK307" s="5">
        <f>(1.5*AG307+AH307)*AJ307*AQ307</f>
        <v/>
      </c>
      <c r="AL307" s="4">
        <f>D307</f>
        <v/>
      </c>
      <c r="AM307" s="8">
        <f>B307</f>
        <v/>
      </c>
      <c r="AO307" s="61">
        <f>IF(Z307&lt;2.81,0,IF(AK307&gt;13.7,IF(Z307&lt;140,1,0),0))</f>
        <v/>
      </c>
      <c r="AP307" s="7">
        <f>IF(AK307&gt;13.93,IF(Z307&lt;140,IF(Z307&lt;35,IF(Z307&lt;6,3,2),1),0),0)</f>
        <v/>
      </c>
      <c r="AR307" s="7">
        <f>IF(AO307=1,IF(AO307=AL307,1,0),5)</f>
        <v/>
      </c>
      <c r="AV307" s="5">
        <f>(AT307+AU307)/2</f>
        <v/>
      </c>
      <c r="AZ307" s="4">
        <f>IF(AY307&lt;-50,-4,IF(AY307&lt;-20,-2,IF(AY307&lt;0,-1,IF(AY307=0,0,IF(AY307&lt;10,1.5,IF(AY307&lt;20,2,IF(AY307&gt;19,2.5,2.5)))))))</f>
        <v/>
      </c>
    </row>
    <row r="308" ht="12.75" customHeight="1">
      <c r="G308" s="5">
        <f>100*(F308-E308)/F308</f>
        <v/>
      </c>
      <c r="P308" s="5">
        <f>O308/I308</f>
        <v/>
      </c>
      <c r="Y308" t="n">
        <v>70</v>
      </c>
      <c r="AA308" s="5">
        <f>IF(X308&lt;50,IF(Y308&gt;(2.3*X308),0,1),1)-IF(Z308&gt;Y308,1.7,0)</f>
        <v/>
      </c>
      <c r="AC308" s="5">
        <f>IF(AB308&gt;4,1,0)+IF(AB308&gt;10,0.7,0)</f>
        <v/>
      </c>
      <c r="AG308" s="6">
        <f>IF(G308&lt;52,0,0.7)+IF(G308&lt;34,0,0.7)+IF(G308&lt;1,0,0.7)+IF(P308&gt;14.56,0,1)+IF(R308&lt;9,0.5,0)+IF(R308&lt;33.8,0.5,0)+IF(R308&lt;50,0.5,0)+IF(R308&lt;80,0.5,0)+IF(S308=5,0,S308)+IF(V308&gt;0,1,-1)+IF(AE308&lt;10.56,0,1)-IF(AE308&lt;3,1,0)-IF(AE308&lt;1,1,0)</f>
        <v/>
      </c>
      <c r="AH308" s="5">
        <f>AG308+IF(X308&lt;1.35,0,1)+IF(Y308&lt;1.35,0,1)+IF(Y308&lt;0.7,-1,0)+AC308+AA308</f>
        <v/>
      </c>
      <c r="AJ308" s="5">
        <f>IF(AI308&gt;12.7,IF(AI308&gt;15.8,0.93,0.98),1)</f>
        <v/>
      </c>
      <c r="AK308" s="5">
        <f>(1.5*AG308+AH308)*AJ308*AQ308</f>
        <v/>
      </c>
      <c r="AL308" s="4">
        <f>D308</f>
        <v/>
      </c>
      <c r="AM308" s="8">
        <f>B308</f>
        <v/>
      </c>
      <c r="AO308" s="61">
        <f>IF(Z308&lt;2.81,0,IF(AK308&gt;13.7,IF(Z308&lt;140,1,0),0))</f>
        <v/>
      </c>
      <c r="AP308" s="7">
        <f>IF(AK308&gt;13.93,IF(Z308&lt;140,IF(Z308&lt;35,IF(Z308&lt;6,3,2),1),0),0)</f>
        <v/>
      </c>
      <c r="AR308" s="7">
        <f>IF(AO308=1,IF(AO308=AL308,1,0),5)</f>
        <v/>
      </c>
      <c r="AV308" s="5">
        <f>(AT308+AU308)/2</f>
        <v/>
      </c>
      <c r="AZ308" s="4">
        <f>IF(AY308&lt;-50,-4,IF(AY308&lt;-20,-2,IF(AY308&lt;0,-1,IF(AY308=0,0,IF(AY308&lt;10,1.5,IF(AY308&lt;20,2,IF(AY308&gt;19,2.5,2.5)))))))</f>
        <v/>
      </c>
    </row>
    <row r="309" ht="12.75" customHeight="1">
      <c r="G309" s="5">
        <f>100*(F309-E309)/F309</f>
        <v/>
      </c>
      <c r="P309" s="5">
        <f>O309/I309</f>
        <v/>
      </c>
      <c r="Y309" t="n">
        <v>70</v>
      </c>
      <c r="AA309" s="5">
        <f>IF(X309&lt;50,IF(Y309&gt;(2.3*X309),0,1),1)-IF(Z309&gt;Y309,1.7,0)</f>
        <v/>
      </c>
      <c r="AC309" s="5">
        <f>IF(AB309&gt;4,1,0)+IF(AB309&gt;10,0.7,0)</f>
        <v/>
      </c>
      <c r="AG309" s="6">
        <f>IF(G309&lt;52,0,0.7)+IF(G309&lt;34,0,0.7)+IF(G309&lt;1,0,0.7)+IF(P309&gt;14.56,0,1)+IF(R309&lt;9,0.5,0)+IF(R309&lt;33.8,0.5,0)+IF(R309&lt;50,0.5,0)+IF(R309&lt;80,0.5,0)+IF(S309=5,0,S309)+IF(V309&gt;0,1,-1)+IF(AE309&lt;10.56,0,1)-IF(AE309&lt;3,1,0)-IF(AE309&lt;1,1,0)</f>
        <v/>
      </c>
      <c r="AH309" s="5">
        <f>AG309+IF(X309&lt;1.35,0,1)+IF(Y309&lt;1.35,0,1)+IF(Y309&lt;0.7,-1,0)+AC309+AA309</f>
        <v/>
      </c>
      <c r="AJ309" s="5">
        <f>IF(AI309&gt;12.7,IF(AI309&gt;15.8,0.93,0.98),1)</f>
        <v/>
      </c>
      <c r="AK309" s="5">
        <f>(1.5*AG309+AH309)*AJ309*AQ309</f>
        <v/>
      </c>
      <c r="AL309" s="4">
        <f>D309</f>
        <v/>
      </c>
      <c r="AM309" s="8">
        <f>B309</f>
        <v/>
      </c>
      <c r="AO309" s="61">
        <f>IF(Z309&lt;2.81,0,IF(AK309&gt;13.7,IF(Z309&lt;140,1,0),0))</f>
        <v/>
      </c>
      <c r="AP309" s="7">
        <f>IF(AK309&gt;13.93,IF(Z309&lt;140,IF(Z309&lt;35,IF(Z309&lt;6,3,2),1),0),0)</f>
        <v/>
      </c>
      <c r="AR309" s="7">
        <f>IF(AO309=1,IF(AO309=AL309,1,0),5)</f>
        <v/>
      </c>
      <c r="AV309" s="5">
        <f>(AT309+AU309)/2</f>
        <v/>
      </c>
      <c r="AZ309" s="4">
        <f>IF(AY309&lt;-50,-4,IF(AY309&lt;-20,-2,IF(AY309&lt;0,-1,IF(AY309=0,0,IF(AY309&lt;10,1.5,IF(AY309&lt;20,2,IF(AY309&gt;19,2.5,2.5)))))))</f>
        <v/>
      </c>
    </row>
    <row r="310" ht="12.75" customHeight="1">
      <c r="G310" s="5">
        <f>100*(F310-E310)/F310</f>
        <v/>
      </c>
      <c r="P310" s="5">
        <f>O310/I310</f>
        <v/>
      </c>
      <c r="Y310" t="n">
        <v>70</v>
      </c>
      <c r="AA310" s="5">
        <f>IF(X310&lt;50,IF(Y310&gt;(2.3*X310),0,1),1)-IF(Z310&gt;Y310,1.7,0)</f>
        <v/>
      </c>
      <c r="AC310" s="5">
        <f>IF(AB310&gt;4,1,0)+IF(AB310&gt;10,0.7,0)</f>
        <v/>
      </c>
      <c r="AG310" s="6">
        <f>IF(G310&lt;52,0,0.7)+IF(G310&lt;34,0,0.7)+IF(G310&lt;1,0,0.7)+IF(P310&gt;14.56,0,1)+IF(R310&lt;9,0.5,0)+IF(R310&lt;33.8,0.5,0)+IF(R310&lt;50,0.5,0)+IF(R310&lt;80,0.5,0)+IF(S310=5,0,S310)+IF(V310&gt;0,1,-1)+IF(AE310&lt;10.56,0,1)-IF(AE310&lt;3,1,0)-IF(AE310&lt;1,1,0)</f>
        <v/>
      </c>
      <c r="AH310" s="5">
        <f>AG310+IF(X310&lt;1.35,0,1)+IF(Y310&lt;1.35,0,1)+IF(Y310&lt;0.7,-1,0)+AC310+AA310</f>
        <v/>
      </c>
      <c r="AJ310" s="5">
        <f>IF(AI310&gt;12.7,IF(AI310&gt;15.8,0.93,0.98),1)</f>
        <v/>
      </c>
      <c r="AK310" s="5">
        <f>(1.5*AG310+AH310)*AJ310*AQ310</f>
        <v/>
      </c>
      <c r="AL310" s="4">
        <f>D310</f>
        <v/>
      </c>
      <c r="AM310" s="8">
        <f>B310</f>
        <v/>
      </c>
      <c r="AO310" s="61">
        <f>IF(Z310&lt;2.81,0,IF(AK310&gt;13.7,IF(Z310&lt;140,1,0),0))</f>
        <v/>
      </c>
      <c r="AP310" s="7">
        <f>IF(AK310&gt;13.93,IF(Z310&lt;140,IF(Z310&lt;35,IF(Z310&lt;6,3,2),1),0),0)</f>
        <v/>
      </c>
      <c r="AR310" s="7">
        <f>IF(AO310=1,IF(AO310=AL310,1,0),5)</f>
        <v/>
      </c>
      <c r="AV310" s="5">
        <f>(AT310+AU310)/2</f>
        <v/>
      </c>
      <c r="AZ310" s="4">
        <f>IF(AY310&lt;-50,-4,IF(AY310&lt;-20,-2,IF(AY310&lt;0,-1,IF(AY310=0,0,IF(AY310&lt;10,1.5,IF(AY310&lt;20,2,IF(AY310&gt;19,2.5,2.5)))))))</f>
        <v/>
      </c>
    </row>
    <row r="311" ht="12.75" customHeight="1">
      <c r="G311" s="5">
        <f>100*(F311-E311)/F311</f>
        <v/>
      </c>
      <c r="P311" s="5">
        <f>O311/I311</f>
        <v/>
      </c>
      <c r="Y311" t="n">
        <v>70</v>
      </c>
      <c r="AA311" s="5">
        <f>IF(X311&lt;50,IF(Y311&gt;(2.3*X311),0,1),1)-IF(Z311&gt;Y311,1.7,0)</f>
        <v/>
      </c>
      <c r="AC311" s="5">
        <f>IF(AB311&gt;4,1,0)+IF(AB311&gt;10,0.7,0)</f>
        <v/>
      </c>
      <c r="AG311" s="6">
        <f>IF(G311&lt;52,0,0.7)+IF(G311&lt;34,0,0.7)+IF(G311&lt;1,0,0.7)+IF(P311&gt;14.56,0,1)+IF(R311&lt;9,0.5,0)+IF(R311&lt;33.8,0.5,0)+IF(R311&lt;50,0.5,0)+IF(R311&lt;80,0.5,0)+IF(S311=5,0,S311)+IF(V311&gt;0,1,-1)+IF(AE311&lt;10.56,0,1)-IF(AE311&lt;3,1,0)-IF(AE311&lt;1,1,0)</f>
        <v/>
      </c>
      <c r="AH311" s="5">
        <f>AG311+IF(X311&lt;1.35,0,1)+IF(Y311&lt;1.35,0,1)+IF(Y311&lt;0.7,-1,0)+AC311+AA311</f>
        <v/>
      </c>
      <c r="AJ311" s="5">
        <f>IF(AI311&gt;12.7,IF(AI311&gt;15.8,0.93,0.98),1)</f>
        <v/>
      </c>
      <c r="AK311" s="5">
        <f>(1.5*AG311+AH311)*AJ311*AQ311</f>
        <v/>
      </c>
      <c r="AL311" s="4">
        <f>D311</f>
        <v/>
      </c>
      <c r="AM311" s="8">
        <f>B311</f>
        <v/>
      </c>
      <c r="AO311" s="61">
        <f>IF(Z311&lt;2.81,0,IF(AK311&gt;13.7,IF(Z311&lt;140,1,0),0))</f>
        <v/>
      </c>
      <c r="AP311" s="7">
        <f>IF(AK311&gt;13.93,IF(Z311&lt;140,IF(Z311&lt;35,IF(Z311&lt;6,3,2),1),0),0)</f>
        <v/>
      </c>
      <c r="AR311" s="7">
        <f>IF(AO311=1,IF(AO311=AL311,1,0),5)</f>
        <v/>
      </c>
      <c r="AV311" s="5">
        <f>(AT311+AU311)/2</f>
        <v/>
      </c>
      <c r="AZ311" s="4">
        <f>IF(AY311&lt;-50,-4,IF(AY311&lt;-20,-2,IF(AY311&lt;0,-1,IF(AY311=0,0,IF(AY311&lt;10,1.5,IF(AY311&lt;20,2,IF(AY311&gt;19,2.5,2.5)))))))</f>
        <v/>
      </c>
    </row>
    <row r="312" ht="12.75" customHeight="1">
      <c r="G312" s="5">
        <f>100*(F312-E312)/F312</f>
        <v/>
      </c>
      <c r="P312" s="5">
        <f>O312/I312</f>
        <v/>
      </c>
      <c r="Y312" t="n">
        <v>70</v>
      </c>
      <c r="AA312" s="5">
        <f>IF(X312&lt;50,IF(Y312&gt;(2.3*X312),0,1),1)-IF(Z312&gt;Y312,1.7,0)</f>
        <v/>
      </c>
      <c r="AC312" s="5">
        <f>IF(AB312&gt;4,1,0)+IF(AB312&gt;10,0.7,0)</f>
        <v/>
      </c>
      <c r="AG312" s="6">
        <f>IF(G312&lt;52,0,0.7)+IF(G312&lt;34,0,0.7)+IF(G312&lt;1,0,0.7)+IF(P312&gt;14.56,0,1)+IF(R312&lt;9,0.5,0)+IF(R312&lt;33.8,0.5,0)+IF(R312&lt;50,0.5,0)+IF(R312&lt;80,0.5,0)+IF(S312=5,0,S312)+IF(V312&gt;0,1,-1)+IF(AE312&lt;10.56,0,1)-IF(AE312&lt;3,1,0)-IF(AE312&lt;1,1,0)</f>
        <v/>
      </c>
      <c r="AH312" s="5">
        <f>AG312+IF(X312&lt;1.35,0,1)+IF(Y312&lt;1.35,0,1)+IF(Y312&lt;0.7,-1,0)+AC312+AA312</f>
        <v/>
      </c>
      <c r="AJ312" s="5">
        <f>IF(AI312&gt;12.7,IF(AI312&gt;15.8,0.93,0.98),1)</f>
        <v/>
      </c>
      <c r="AK312" s="5">
        <f>(1.5*AG312+AH312)*AJ312*AQ312</f>
        <v/>
      </c>
      <c r="AL312" s="4">
        <f>D312</f>
        <v/>
      </c>
      <c r="AM312" s="8">
        <f>B312</f>
        <v/>
      </c>
      <c r="AO312" s="61">
        <f>IF(Z312&lt;2.81,0,IF(AK312&gt;13.7,IF(Z312&lt;140,1,0),0))</f>
        <v/>
      </c>
      <c r="AP312" s="7">
        <f>IF(AK312&gt;13.93,IF(Z312&lt;140,IF(Z312&lt;35,IF(Z312&lt;6,3,2),1),0),0)</f>
        <v/>
      </c>
      <c r="AR312" s="7">
        <f>IF(AO312=1,IF(AO312=AL312,1,0),5)</f>
        <v/>
      </c>
      <c r="AV312" s="5">
        <f>(AT312+AU312)/2</f>
        <v/>
      </c>
      <c r="AZ312" s="4">
        <f>IF(AY312&lt;-50,-4,IF(AY312&lt;-20,-2,IF(AY312&lt;0,-1,IF(AY312=0,0,IF(AY312&lt;10,1.5,IF(AY312&lt;20,2,IF(AY312&gt;19,2.5,2.5)))))))</f>
        <v/>
      </c>
    </row>
    <row r="313" ht="12.75" customHeight="1">
      <c r="G313" s="5">
        <f>100*(F313-E313)/F313</f>
        <v/>
      </c>
      <c r="P313" s="5">
        <f>O313/I313</f>
        <v/>
      </c>
      <c r="Y313" t="n">
        <v>70</v>
      </c>
      <c r="AA313" s="5">
        <f>IF(X313&lt;50,IF(Y313&gt;(2.3*X313),0,1),1)-IF(Z313&gt;Y313,1.7,0)</f>
        <v/>
      </c>
      <c r="AC313" s="5">
        <f>IF(AB313&gt;4,1,0)+IF(AB313&gt;10,0.7,0)</f>
        <v/>
      </c>
      <c r="AG313" s="6">
        <f>IF(G313&lt;52,0,0.7)+IF(G313&lt;34,0,0.7)+IF(G313&lt;1,0,0.7)+IF(P313&gt;14.56,0,1)+IF(R313&lt;9,0.5,0)+IF(R313&lt;33.8,0.5,0)+IF(R313&lt;50,0.5,0)+IF(R313&lt;80,0.5,0)+IF(S313=5,0,S313)+IF(V313&gt;0,1,-1)+IF(AE313&lt;10.56,0,1)-IF(AE313&lt;3,1,0)-IF(AE313&lt;1,1,0)</f>
        <v/>
      </c>
      <c r="AH313" s="5">
        <f>AG313+IF(X313&lt;1.35,0,1)+IF(Y313&lt;1.35,0,1)+IF(Y313&lt;0.7,-1,0)+AC313+AA313</f>
        <v/>
      </c>
      <c r="AJ313" s="5">
        <f>IF(AI313&gt;12.7,IF(AI313&gt;15.8,0.93,0.98),1)</f>
        <v/>
      </c>
      <c r="AK313" s="5">
        <f>(1.5*AG313+AH313)*AJ313*AQ313</f>
        <v/>
      </c>
      <c r="AL313" s="4">
        <f>D313</f>
        <v/>
      </c>
      <c r="AM313" s="8">
        <f>B313</f>
        <v/>
      </c>
      <c r="AO313" s="61">
        <f>IF(Z313&lt;2.81,0,IF(AK313&gt;13.7,IF(Z313&lt;140,1,0),0))</f>
        <v/>
      </c>
      <c r="AP313" s="7">
        <f>IF(AK313&gt;13.93,IF(Z313&lt;140,IF(Z313&lt;35,IF(Z313&lt;6,3,2),1),0),0)</f>
        <v/>
      </c>
      <c r="AR313" s="7">
        <f>IF(AO313=1,IF(AO313=AL313,1,0),5)</f>
        <v/>
      </c>
      <c r="AV313" s="5">
        <f>(AT313+AU313)/2</f>
        <v/>
      </c>
      <c r="AZ313" s="4">
        <f>IF(AY313&lt;-50,-4,IF(AY313&lt;-20,-2,IF(AY313&lt;0,-1,IF(AY313=0,0,IF(AY313&lt;10,1.5,IF(AY313&lt;20,2,IF(AY313&gt;19,2.5,2.5)))))))</f>
        <v/>
      </c>
    </row>
    <row r="314" ht="12.75" customHeight="1">
      <c r="G314" s="5">
        <f>100*(F314-E314)/F314</f>
        <v/>
      </c>
      <c r="P314" s="5">
        <f>O314/I314</f>
        <v/>
      </c>
      <c r="Y314" t="n">
        <v>70</v>
      </c>
      <c r="AA314" s="5">
        <f>IF(X314&lt;50,IF(Y314&gt;(2.3*X314),0,1),1)-IF(Z314&gt;Y314,1.7,0)</f>
        <v/>
      </c>
      <c r="AC314" s="5">
        <f>IF(AB314&gt;4,1,0)+IF(AB314&gt;10,0.7,0)</f>
        <v/>
      </c>
      <c r="AG314" s="6">
        <f>IF(G314&lt;52,0,0.7)+IF(G314&lt;34,0,0.7)+IF(G314&lt;1,0,0.7)+IF(P314&gt;14.56,0,1)+IF(R314&lt;9,0.5,0)+IF(R314&lt;33.8,0.5,0)+IF(R314&lt;50,0.5,0)+IF(R314&lt;80,0.5,0)+IF(S314=5,0,S314)+IF(V314&gt;0,1,-1)+IF(AE314&lt;10.56,0,1)-IF(AE314&lt;3,1,0)-IF(AE314&lt;1,1,0)</f>
        <v/>
      </c>
      <c r="AH314" s="5">
        <f>AG314+IF(X314&lt;1.35,0,1)+IF(Y314&lt;1.35,0,1)+IF(Y314&lt;0.7,-1,0)+AC314+AA314</f>
        <v/>
      </c>
      <c r="AJ314" s="5">
        <f>IF(AI314&gt;12.7,IF(AI314&gt;15.8,0.93,0.98),1)</f>
        <v/>
      </c>
      <c r="AK314" s="5">
        <f>(1.5*AG314+AH314)*AJ314*AQ314</f>
        <v/>
      </c>
      <c r="AL314" s="4">
        <f>D314</f>
        <v/>
      </c>
      <c r="AM314" s="8">
        <f>B314</f>
        <v/>
      </c>
      <c r="AO314" s="61">
        <f>IF(Z314&lt;2.81,0,IF(AK314&gt;13.7,IF(Z314&lt;140,1,0),0))</f>
        <v/>
      </c>
      <c r="AP314" s="7">
        <f>IF(AK314&gt;13.93,IF(Z314&lt;140,IF(Z314&lt;35,IF(Z314&lt;6,3,2),1),0),0)</f>
        <v/>
      </c>
      <c r="AR314" s="7">
        <f>IF(AO314=1,IF(AO314=AL314,1,0),5)</f>
        <v/>
      </c>
      <c r="AV314" s="5">
        <f>(AT314+AU314)/2</f>
        <v/>
      </c>
      <c r="AZ314" s="4">
        <f>IF(AY314&lt;-50,-4,IF(AY314&lt;-20,-2,IF(AY314&lt;0,-1,IF(AY314=0,0,IF(AY314&lt;10,1.5,IF(AY314&lt;20,2,IF(AY314&gt;19,2.5,2.5)))))))</f>
        <v/>
      </c>
    </row>
    <row r="315" ht="12.75" customHeight="1">
      <c r="G315" s="5">
        <f>100*(F315-E315)/F315</f>
        <v/>
      </c>
      <c r="P315" s="5">
        <f>O315/I315</f>
        <v/>
      </c>
      <c r="Y315" t="n">
        <v>70</v>
      </c>
      <c r="AA315" s="5">
        <f>IF(X315&lt;50,IF(Y315&gt;(2.3*X315),0,1),1)-IF(Z315&gt;Y315,1.7,0)</f>
        <v/>
      </c>
      <c r="AC315" s="5">
        <f>IF(AB315&gt;4,1,0)+IF(AB315&gt;10,0.7,0)</f>
        <v/>
      </c>
      <c r="AG315" s="6">
        <f>IF(G315&lt;52,0,0.7)+IF(G315&lt;34,0,0.7)+IF(G315&lt;1,0,0.7)+IF(P315&gt;14.56,0,1)+IF(R315&lt;9,0.5,0)+IF(R315&lt;33.8,0.5,0)+IF(R315&lt;50,0.5,0)+IF(R315&lt;80,0.5,0)+IF(S315=5,0,S315)+IF(V315&gt;0,1,-1)+IF(AE315&lt;10.56,0,1)-IF(AE315&lt;3,1,0)-IF(AE315&lt;1,1,0)</f>
        <v/>
      </c>
      <c r="AH315" s="5">
        <f>AG315+IF(X315&lt;1.35,0,1)+IF(Y315&lt;1.35,0,1)+IF(Y315&lt;0.7,-1,0)+AC315+AA315</f>
        <v/>
      </c>
      <c r="AJ315" s="5">
        <f>IF(AI315&gt;12.7,IF(AI315&gt;15.8,0.93,0.98),1)</f>
        <v/>
      </c>
      <c r="AK315" s="5">
        <f>(1.5*AG315+AH315)*AJ315*AQ315</f>
        <v/>
      </c>
      <c r="AL315" s="4">
        <f>D315</f>
        <v/>
      </c>
      <c r="AM315" s="8">
        <f>B315</f>
        <v/>
      </c>
      <c r="AO315" s="61">
        <f>IF(Z315&lt;2.81,0,IF(AK315&gt;13.7,IF(Z315&lt;140,1,0),0))</f>
        <v/>
      </c>
      <c r="AP315" s="7">
        <f>IF(AK315&gt;13.93,IF(Z315&lt;140,IF(Z315&lt;35,IF(Z315&lt;6,3,2),1),0),0)</f>
        <v/>
      </c>
      <c r="AR315" s="7">
        <f>IF(AO315=1,IF(AO315=AL315,1,0),5)</f>
        <v/>
      </c>
      <c r="AV315" s="5">
        <f>(AT315+AU315)/2</f>
        <v/>
      </c>
      <c r="AZ315" s="4">
        <f>IF(AY315&lt;-50,-4,IF(AY315&lt;-20,-2,IF(AY315&lt;0,-1,IF(AY315=0,0,IF(AY315&lt;10,1.5,IF(AY315&lt;20,2,IF(AY315&gt;19,2.5,2.5)))))))</f>
        <v/>
      </c>
    </row>
    <row r="316" ht="12.75" customHeight="1">
      <c r="G316" s="5">
        <f>100*(F316-E316)/F316</f>
        <v/>
      </c>
      <c r="P316" s="5">
        <f>O316/I316</f>
        <v/>
      </c>
      <c r="Y316" t="n">
        <v>70</v>
      </c>
      <c r="AA316" s="5">
        <f>IF(X316&lt;50,IF(Y316&gt;(2.3*X316),0,1),1)-IF(Z316&gt;Y316,1.7,0)</f>
        <v/>
      </c>
      <c r="AC316" s="5">
        <f>IF(AB316&gt;4,1,0)+IF(AB316&gt;10,0.7,0)</f>
        <v/>
      </c>
      <c r="AG316" s="6">
        <f>IF(G316&lt;52,0,0.7)+IF(G316&lt;34,0,0.7)+IF(G316&lt;1,0,0.7)+IF(P316&gt;14.56,0,1)+IF(R316&lt;9,0.5,0)+IF(R316&lt;33.8,0.5,0)+IF(R316&lt;50,0.5,0)+IF(R316&lt;80,0.5,0)+IF(S316=5,0,S316)+IF(V316&gt;0,1,-1)+IF(AE316&lt;10.56,0,1)-IF(AE316&lt;3,1,0)-IF(AE316&lt;1,1,0)</f>
        <v/>
      </c>
      <c r="AH316" s="5">
        <f>AG316+IF(X316&lt;1.35,0,1)+IF(Y316&lt;1.35,0,1)+IF(Y316&lt;0.7,-1,0)+AC316+AA316</f>
        <v/>
      </c>
      <c r="AJ316" s="5">
        <f>IF(AI316&gt;12.7,IF(AI316&gt;15.8,0.93,0.98),1)</f>
        <v/>
      </c>
      <c r="AK316" s="5">
        <f>(1.5*AG316+AH316)*AJ316*AQ316</f>
        <v/>
      </c>
      <c r="AL316" s="4">
        <f>D316</f>
        <v/>
      </c>
      <c r="AM316" s="8">
        <f>B316</f>
        <v/>
      </c>
      <c r="AO316" s="61">
        <f>IF(Z316&lt;2.81,0,IF(AK316&gt;13.7,IF(Z316&lt;140,1,0),0))</f>
        <v/>
      </c>
      <c r="AP316" s="7">
        <f>IF(AK316&gt;13.93,IF(Z316&lt;140,IF(Z316&lt;35,IF(Z316&lt;6,3,2),1),0),0)</f>
        <v/>
      </c>
      <c r="AR316" s="7">
        <f>IF(AO316=1,IF(AO316=AL316,1,0),5)</f>
        <v/>
      </c>
      <c r="AV316" s="5">
        <f>(AT316+AU316)/2</f>
        <v/>
      </c>
      <c r="AZ316" s="4">
        <f>IF(AY316&lt;-50,-4,IF(AY316&lt;-20,-2,IF(AY316&lt;0,-1,IF(AY316=0,0,IF(AY316&lt;10,1.5,IF(AY316&lt;20,2,IF(AY316&gt;19,2.5,2.5)))))))</f>
        <v/>
      </c>
    </row>
    <row r="317" ht="12.75" customHeight="1">
      <c r="G317" s="5">
        <f>100*(F317-E317)/F317</f>
        <v/>
      </c>
      <c r="P317" s="5">
        <f>O317/I317</f>
        <v/>
      </c>
      <c r="Y317" t="n">
        <v>70</v>
      </c>
      <c r="AA317" s="5">
        <f>IF(X317&lt;50,IF(Y317&gt;(2.3*X317),0,1),1)-IF(Z317&gt;Y317,1.7,0)</f>
        <v/>
      </c>
      <c r="AC317" s="5">
        <f>IF(AB317&gt;4,1,0)+IF(AB317&gt;10,0.7,0)</f>
        <v/>
      </c>
      <c r="AG317" s="6">
        <f>IF(G317&lt;52,0,0.7)+IF(G317&lt;34,0,0.7)+IF(G317&lt;1,0,0.7)+IF(P317&gt;14.56,0,1)+IF(R317&lt;9,0.5,0)+IF(R317&lt;33.8,0.5,0)+IF(R317&lt;50,0.5,0)+IF(R317&lt;80,0.5,0)+IF(S317=5,0,S317)+IF(V317&gt;0,1,-1)+IF(AE317&lt;10.56,0,1)-IF(AE317&lt;3,1,0)-IF(AE317&lt;1,1,0)</f>
        <v/>
      </c>
      <c r="AH317" s="5">
        <f>AG317+IF(X317&lt;1.35,0,1)+IF(Y317&lt;1.35,0,1)+IF(Y317&lt;0.7,-1,0)+AC317+AA317</f>
        <v/>
      </c>
      <c r="AJ317" s="5">
        <f>IF(AI317&gt;12.7,IF(AI317&gt;15.8,0.93,0.98),1)</f>
        <v/>
      </c>
      <c r="AK317" s="5">
        <f>(1.5*AG317+AH317)*AJ317*AQ317</f>
        <v/>
      </c>
      <c r="AL317" s="4">
        <f>D317</f>
        <v/>
      </c>
      <c r="AM317" s="8">
        <f>B317</f>
        <v/>
      </c>
      <c r="AO317" s="61">
        <f>IF(Z317&lt;2.81,0,IF(AK317&gt;13.7,IF(Z317&lt;140,1,0),0))</f>
        <v/>
      </c>
      <c r="AP317" s="7">
        <f>IF(AK317&gt;13.93,IF(Z317&lt;140,IF(Z317&lt;35,IF(Z317&lt;6,3,2),1),0),0)</f>
        <v/>
      </c>
      <c r="AR317" s="7">
        <f>IF(AO317=1,IF(AO317=AL317,1,0),5)</f>
        <v/>
      </c>
      <c r="AV317" s="5">
        <f>(AT317+AU317)/2</f>
        <v/>
      </c>
      <c r="AZ317" s="4">
        <f>IF(AY317&lt;-50,-4,IF(AY317&lt;-20,-2,IF(AY317&lt;0,-1,IF(AY317=0,0,IF(AY317&lt;10,1.5,IF(AY317&lt;20,2,IF(AY317&gt;19,2.5,2.5)))))))</f>
        <v/>
      </c>
    </row>
    <row r="318" ht="12.75" customHeight="1">
      <c r="G318" s="5">
        <f>100*(F318-E318)/F318</f>
        <v/>
      </c>
      <c r="P318" s="5">
        <f>O318/I318</f>
        <v/>
      </c>
      <c r="Y318" t="n">
        <v>70</v>
      </c>
      <c r="AA318" s="5">
        <f>IF(X318&lt;50,IF(Y318&gt;(2.3*X318),0,1),1)-IF(Z318&gt;Y318,1.7,0)</f>
        <v/>
      </c>
      <c r="AC318" s="5">
        <f>IF(AB318&gt;4,1,0)+IF(AB318&gt;10,0.7,0)</f>
        <v/>
      </c>
      <c r="AG318" s="6">
        <f>IF(G318&lt;52,0,0.7)+IF(G318&lt;34,0,0.7)+IF(G318&lt;1,0,0.7)+IF(P318&gt;14.56,0,1)+IF(R318&lt;9,0.5,0)+IF(R318&lt;33.8,0.5,0)+IF(R318&lt;50,0.5,0)+IF(R318&lt;80,0.5,0)+IF(S318=5,0,S318)+IF(V318&gt;0,1,-1)+IF(AE318&lt;10.56,0,1)-IF(AE318&lt;3,1,0)-IF(AE318&lt;1,1,0)</f>
        <v/>
      </c>
      <c r="AH318" s="5">
        <f>AG318+IF(X318&lt;1.35,0,1)+IF(Y318&lt;1.35,0,1)+IF(Y318&lt;0.7,-1,0)+AC318+AA318</f>
        <v/>
      </c>
      <c r="AJ318" s="5">
        <f>IF(AI318&gt;12.7,IF(AI318&gt;15.8,0.93,0.98),1)</f>
        <v/>
      </c>
      <c r="AK318" s="5">
        <f>(1.5*AG318+AH318)*AJ318*AQ318</f>
        <v/>
      </c>
      <c r="AL318" s="4">
        <f>D318</f>
        <v/>
      </c>
      <c r="AM318" s="8">
        <f>B318</f>
        <v/>
      </c>
      <c r="AO318" s="61">
        <f>IF(Z318&lt;2.81,0,IF(AK318&gt;13.7,IF(Z318&lt;140,1,0),0))</f>
        <v/>
      </c>
      <c r="AP318" s="7">
        <f>IF(AK318&gt;13.93,IF(Z318&lt;140,IF(Z318&lt;35,IF(Z318&lt;6,3,2),1),0),0)</f>
        <v/>
      </c>
      <c r="AR318" s="7">
        <f>IF(AO318=1,IF(AO318=AL318,1,0),5)</f>
        <v/>
      </c>
      <c r="AV318" s="5">
        <f>(AT318+AU318)/2</f>
        <v/>
      </c>
      <c r="AZ318" s="4">
        <f>IF(AY318&lt;-50,-4,IF(AY318&lt;-20,-2,IF(AY318&lt;0,-1,IF(AY318=0,0,IF(AY318&lt;10,1.5,IF(AY318&lt;20,2,IF(AY318&gt;19,2.5,2.5)))))))</f>
        <v/>
      </c>
    </row>
    <row r="319" ht="12.75" customHeight="1">
      <c r="G319" s="5">
        <f>100*(F319-E319)/F319</f>
        <v/>
      </c>
      <c r="P319" s="5">
        <f>O319/I319</f>
        <v/>
      </c>
      <c r="Y319" t="n">
        <v>70</v>
      </c>
      <c r="AA319" s="5">
        <f>IF(X319&lt;50,IF(Y319&gt;(2.3*X319),0,1),1)-IF(Z319&gt;Y319,1.7,0)</f>
        <v/>
      </c>
      <c r="AC319" s="5">
        <f>IF(AB319&gt;4,1,0)+IF(AB319&gt;10,0.7,0)</f>
        <v/>
      </c>
      <c r="AG319" s="6">
        <f>IF(G319&lt;52,0,0.7)+IF(G319&lt;34,0,0.7)+IF(G319&lt;1,0,0.7)+IF(P319&gt;14.56,0,1)+IF(R319&lt;9,0.5,0)+IF(R319&lt;33.8,0.5,0)+IF(R319&lt;50,0.5,0)+IF(R319&lt;80,0.5,0)+IF(S319=5,0,S319)+IF(V319&gt;0,1,-1)+IF(AE319&lt;10.56,0,1)-IF(AE319&lt;3,1,0)-IF(AE319&lt;1,1,0)</f>
        <v/>
      </c>
      <c r="AH319" s="5">
        <f>AG319+IF(X319&lt;1.35,0,1)+IF(Y319&lt;1.35,0,1)+IF(Y319&lt;0.7,-1,0)+AC319+AA319</f>
        <v/>
      </c>
      <c r="AJ319" s="5">
        <f>IF(AI319&gt;12.7,IF(AI319&gt;15.8,0.93,0.98),1)</f>
        <v/>
      </c>
      <c r="AK319" s="5">
        <f>(1.5*AG319+AH319)*AJ319*AQ319</f>
        <v/>
      </c>
      <c r="AL319" s="4">
        <f>D319</f>
        <v/>
      </c>
      <c r="AM319" s="8">
        <f>B319</f>
        <v/>
      </c>
      <c r="AO319" s="61">
        <f>IF(Z319&lt;2.81,0,IF(AK319&gt;13.7,IF(Z319&lt;140,1,0),0))</f>
        <v/>
      </c>
      <c r="AP319" s="7">
        <f>IF(AK319&gt;13.93,IF(Z319&lt;140,IF(Z319&lt;35,IF(Z319&lt;6,3,2),1),0),0)</f>
        <v/>
      </c>
      <c r="AR319" s="7">
        <f>IF(AO319=1,IF(AO319=AL319,1,0),5)</f>
        <v/>
      </c>
      <c r="AV319" s="5">
        <f>(AT319+AU319)/2</f>
        <v/>
      </c>
      <c r="AZ319" s="4">
        <f>IF(AY319&lt;-50,-4,IF(AY319&lt;-20,-2,IF(AY319&lt;0,-1,IF(AY319=0,0,IF(AY319&lt;10,1.5,IF(AY319&lt;20,2,IF(AY319&gt;19,2.5,2.5)))))))</f>
        <v/>
      </c>
    </row>
    <row r="320" ht="12.75" customHeight="1">
      <c r="G320" s="5">
        <f>100*(F320-E320)/F320</f>
        <v/>
      </c>
      <c r="P320" s="5">
        <f>O320/I320</f>
        <v/>
      </c>
      <c r="Y320" t="n">
        <v>70</v>
      </c>
      <c r="AA320" s="5">
        <f>IF(X320&lt;50,IF(Y320&gt;(2.3*X320),0,1),1)-IF(Z320&gt;Y320,1.7,0)</f>
        <v/>
      </c>
      <c r="AC320" s="5">
        <f>IF(AB320&gt;4,1,0)+IF(AB320&gt;10,0.7,0)</f>
        <v/>
      </c>
      <c r="AG320" s="6">
        <f>IF(G320&lt;52,0,0.7)+IF(G320&lt;34,0,0.7)+IF(G320&lt;1,0,0.7)+IF(P320&gt;14.56,0,1)+IF(R320&lt;9,0.5,0)+IF(R320&lt;33.8,0.5,0)+IF(R320&lt;50,0.5,0)+IF(R320&lt;80,0.5,0)+IF(S320=5,0,S320)+IF(V320&gt;0,1,-1)+IF(AE320&lt;10.56,0,1)-IF(AE320&lt;3,1,0)-IF(AE320&lt;1,1,0)</f>
        <v/>
      </c>
      <c r="AH320" s="5">
        <f>AG320+IF(X320&lt;1.35,0,1)+IF(Y320&lt;1.35,0,1)+IF(Y320&lt;0.7,-1,0)+AC320+AA320</f>
        <v/>
      </c>
      <c r="AJ320" s="5">
        <f>IF(AI320&gt;12.7,IF(AI320&gt;15.8,0.93,0.98),1)</f>
        <v/>
      </c>
      <c r="AK320" s="5">
        <f>(1.5*AG320+AH320)*AJ320*AQ320</f>
        <v/>
      </c>
      <c r="AL320" s="4">
        <f>D320</f>
        <v/>
      </c>
      <c r="AM320" s="8">
        <f>B320</f>
        <v/>
      </c>
      <c r="AO320" s="61">
        <f>IF(Z320&lt;2.81,0,IF(AK320&gt;13.7,IF(Z320&lt;140,1,0),0))</f>
        <v/>
      </c>
      <c r="AP320" s="7">
        <f>IF(AK320&gt;13.93,IF(Z320&lt;140,IF(Z320&lt;35,IF(Z320&lt;6,3,2),1),0),0)</f>
        <v/>
      </c>
      <c r="AR320" s="7">
        <f>IF(AO320=1,IF(AO320=AL320,1,0),5)</f>
        <v/>
      </c>
      <c r="AV320" s="5">
        <f>(AT320+AU320)/2</f>
        <v/>
      </c>
      <c r="AZ320" s="4">
        <f>IF(AY320&lt;-50,-4,IF(AY320&lt;-20,-2,IF(AY320&lt;0,-1,IF(AY320=0,0,IF(AY320&lt;10,1.5,IF(AY320&lt;20,2,IF(AY320&gt;19,2.5,2.5)))))))</f>
        <v/>
      </c>
    </row>
    <row r="321" ht="12.75" customHeight="1">
      <c r="G321" s="5">
        <f>100*(F321-E321)/F321</f>
        <v/>
      </c>
      <c r="P321" s="5">
        <f>O321/I321</f>
        <v/>
      </c>
      <c r="Y321" t="n">
        <v>70</v>
      </c>
      <c r="AA321" s="5">
        <f>IF(X321&lt;50,IF(Y321&gt;(2.3*X321),0,1),1)-IF(Z321&gt;Y321,1.7,0)</f>
        <v/>
      </c>
      <c r="AC321" s="5">
        <f>IF(AB321&gt;4,1,0)+IF(AB321&gt;10,0.7,0)</f>
        <v/>
      </c>
      <c r="AG321" s="6">
        <f>IF(G321&lt;52,0,0.7)+IF(G321&lt;34,0,0.7)+IF(G321&lt;1,0,0.7)+IF(P321&gt;14.56,0,1)+IF(R321&lt;9,0.5,0)+IF(R321&lt;33.8,0.5,0)+IF(R321&lt;50,0.5,0)+IF(R321&lt;80,0.5,0)+IF(S321=5,0,S321)+IF(V321&gt;0,1,-1)+IF(AE321&lt;10.56,0,1)-IF(AE321&lt;3,1,0)-IF(AE321&lt;1,1,0)</f>
        <v/>
      </c>
      <c r="AH321" s="5">
        <f>AG321+IF(X321&lt;1.35,0,1)+IF(Y321&lt;1.35,0,1)+IF(Y321&lt;0.7,-1,0)+AC321+AA321</f>
        <v/>
      </c>
      <c r="AJ321" s="5">
        <f>IF(AI321&gt;12.7,IF(AI321&gt;15.8,0.93,0.98),1)</f>
        <v/>
      </c>
      <c r="AK321" s="5">
        <f>(1.5*AG321+AH321)*AJ321*AQ321</f>
        <v/>
      </c>
      <c r="AL321" s="4">
        <f>D321</f>
        <v/>
      </c>
      <c r="AM321" s="8">
        <f>B321</f>
        <v/>
      </c>
      <c r="AO321" s="61">
        <f>IF(Z321&lt;2.81,0,IF(AK321&gt;13.7,IF(Z321&lt;140,1,0),0))</f>
        <v/>
      </c>
      <c r="AP321" s="7">
        <f>IF(AK321&gt;13.93,IF(Z321&lt;140,IF(Z321&lt;35,IF(Z321&lt;6,3,2),1),0),0)</f>
        <v/>
      </c>
      <c r="AR321" s="7">
        <f>IF(AO321=1,IF(AO321=AL321,1,0),5)</f>
        <v/>
      </c>
      <c r="AV321" s="5">
        <f>(AT321+AU321)/2</f>
        <v/>
      </c>
      <c r="AZ321" s="4">
        <f>IF(AY321&lt;-50,-4,IF(AY321&lt;-20,-2,IF(AY321&lt;0,-1,IF(AY321=0,0,IF(AY321&lt;10,1.5,IF(AY321&lt;20,2,IF(AY321&gt;19,2.5,2.5)))))))</f>
        <v/>
      </c>
    </row>
    <row r="322" ht="12.75" customHeight="1">
      <c r="G322" s="5">
        <f>100*(F322-E322)/F322</f>
        <v/>
      </c>
      <c r="P322" s="5">
        <f>O322/I322</f>
        <v/>
      </c>
      <c r="Y322" t="n">
        <v>70</v>
      </c>
      <c r="AA322" s="5">
        <f>IF(X322&lt;50,IF(Y322&gt;(2.3*X322),0,1),1)-IF(Z322&gt;Y322,1.7,0)</f>
        <v/>
      </c>
      <c r="AC322" s="5">
        <f>IF(AB322&gt;4,1,0)+IF(AB322&gt;10,0.7,0)</f>
        <v/>
      </c>
      <c r="AG322" s="6">
        <f>IF(G322&lt;52,0,0.7)+IF(G322&lt;34,0,0.7)+IF(G322&lt;1,0,0.7)+IF(P322&gt;14.56,0,1)+IF(R322&lt;9,0.5,0)+IF(R322&lt;33.8,0.5,0)+IF(R322&lt;50,0.5,0)+IF(R322&lt;80,0.5,0)+IF(S322=5,0,S322)+IF(V322&gt;0,1,-1)+IF(AE322&lt;10.56,0,1)-IF(AE322&lt;3,1,0)-IF(AE322&lt;1,1,0)</f>
        <v/>
      </c>
      <c r="AH322" s="5">
        <f>AG322+IF(X322&lt;1.35,0,1)+IF(Y322&lt;1.35,0,1)+IF(Y322&lt;0.7,-1,0)+AC322+AA322</f>
        <v/>
      </c>
      <c r="AJ322" s="5">
        <f>IF(AI322&gt;12.7,IF(AI322&gt;15.8,0.93,0.98),1)</f>
        <v/>
      </c>
      <c r="AK322" s="5">
        <f>(1.5*AG322+AH322)*AJ322*AQ322</f>
        <v/>
      </c>
      <c r="AL322" s="4">
        <f>D322</f>
        <v/>
      </c>
      <c r="AM322" s="8">
        <f>B322</f>
        <v/>
      </c>
      <c r="AO322" s="61">
        <f>IF(Z322&lt;2.81,0,IF(AK322&gt;13.7,IF(Z322&lt;140,1,0),0))</f>
        <v/>
      </c>
      <c r="AP322" s="7">
        <f>IF(AK322&gt;13.93,IF(Z322&lt;140,IF(Z322&lt;35,IF(Z322&lt;6,3,2),1),0),0)</f>
        <v/>
      </c>
      <c r="AR322" s="7">
        <f>IF(AO322=1,IF(AO322=AL322,1,0),5)</f>
        <v/>
      </c>
      <c r="AV322" s="5">
        <f>(AT322+AU322)/2</f>
        <v/>
      </c>
      <c r="AZ322" s="4">
        <f>IF(AY322&lt;-50,-4,IF(AY322&lt;-20,-2,IF(AY322&lt;0,-1,IF(AY322=0,0,IF(AY322&lt;10,1.5,IF(AY322&lt;20,2,IF(AY322&gt;19,2.5,2.5)))))))</f>
        <v/>
      </c>
    </row>
    <row r="323" ht="12.75" customHeight="1">
      <c r="G323" s="5">
        <f>100*(F323-E323)/F323</f>
        <v/>
      </c>
      <c r="P323" s="5">
        <f>O323/I323</f>
        <v/>
      </c>
      <c r="Y323" t="n">
        <v>70</v>
      </c>
      <c r="AA323" s="5">
        <f>IF(X323&lt;50,IF(Y323&gt;(2.3*X323),0,1),1)-IF(Z323&gt;Y323,1.7,0)</f>
        <v/>
      </c>
      <c r="AC323" s="5">
        <f>IF(AB323&gt;4,1,0)+IF(AB323&gt;10,0.7,0)</f>
        <v/>
      </c>
      <c r="AG323" s="6">
        <f>IF(G323&lt;52,0,0.7)+IF(G323&lt;34,0,0.7)+IF(G323&lt;1,0,0.7)+IF(P323&gt;14.56,0,1)+IF(R323&lt;9,0.5,0)+IF(R323&lt;33.8,0.5,0)+IF(R323&lt;50,0.5,0)+IF(R323&lt;80,0.5,0)+IF(S323=5,0,S323)+IF(V323&gt;0,1,-1)+IF(AE323&lt;10.56,0,1)-IF(AE323&lt;3,1,0)-IF(AE323&lt;1,1,0)</f>
        <v/>
      </c>
      <c r="AH323" s="5">
        <f>AG323+IF(X323&lt;1.35,0,1)+IF(Y323&lt;1.35,0,1)+IF(Y323&lt;0.7,-1,0)+AC323+AA323</f>
        <v/>
      </c>
      <c r="AJ323" s="5">
        <f>IF(AI323&gt;12.7,IF(AI323&gt;15.8,0.93,0.98),1)</f>
        <v/>
      </c>
      <c r="AK323" s="5">
        <f>(1.5*AG323+AH323)*AJ323*AQ323</f>
        <v/>
      </c>
      <c r="AL323" s="4">
        <f>D323</f>
        <v/>
      </c>
      <c r="AM323" s="8">
        <f>B323</f>
        <v/>
      </c>
      <c r="AO323" s="61">
        <f>IF(Z323&lt;2.81,0,IF(AK323&gt;13.7,IF(Z323&lt;140,1,0),0))</f>
        <v/>
      </c>
      <c r="AP323" s="7">
        <f>IF(AK323&gt;13.93,IF(Z323&lt;140,IF(Z323&lt;35,IF(Z323&lt;6,3,2),1),0),0)</f>
        <v/>
      </c>
      <c r="AR323" s="7">
        <f>IF(AO323=1,IF(AO323=AL323,1,0),5)</f>
        <v/>
      </c>
      <c r="AV323" s="5">
        <f>(AT323+AU323)/2</f>
        <v/>
      </c>
      <c r="AZ323" s="4">
        <f>IF(AY323&lt;-50,-4,IF(AY323&lt;-20,-2,IF(AY323&lt;0,-1,IF(AY323=0,0,IF(AY323&lt;10,1.5,IF(AY323&lt;20,2,IF(AY323&gt;19,2.5,2.5)))))))</f>
        <v/>
      </c>
    </row>
    <row r="324" ht="12.75" customHeight="1">
      <c r="G324" s="5">
        <f>100*(F324-E324)/F324</f>
        <v/>
      </c>
      <c r="P324" s="5">
        <f>O324/I324</f>
        <v/>
      </c>
      <c r="Y324" t="n">
        <v>70</v>
      </c>
      <c r="AA324" s="5">
        <f>IF(X324&lt;50,IF(Y324&gt;(2.3*X324),0,1),1)-IF(Z324&gt;Y324,1.7,0)</f>
        <v/>
      </c>
      <c r="AC324" s="5">
        <f>IF(AB324&gt;4,1,0)+IF(AB324&gt;10,0.7,0)</f>
        <v/>
      </c>
      <c r="AG324" s="6">
        <f>IF(G324&lt;52,0,0.7)+IF(G324&lt;34,0,0.7)+IF(G324&lt;1,0,0.7)+IF(P324&gt;14.56,0,1)+IF(R324&lt;9,0.5,0)+IF(R324&lt;33.8,0.5,0)+IF(R324&lt;50,0.5,0)+IF(R324&lt;80,0.5,0)+IF(S324=5,0,S324)+IF(V324&gt;0,1,-1)+IF(AE324&lt;10.56,0,1)-IF(AE324&lt;3,1,0)-IF(AE324&lt;1,1,0)</f>
        <v/>
      </c>
      <c r="AH324" s="5">
        <f>AG324+IF(X324&lt;1.35,0,1)+IF(Y324&lt;1.35,0,1)+IF(Y324&lt;0.7,-1,0)+AC324+AA324</f>
        <v/>
      </c>
      <c r="AJ324" s="5">
        <f>IF(AI324&gt;12.7,IF(AI324&gt;15.8,0.93,0.98),1)</f>
        <v/>
      </c>
      <c r="AK324" s="5">
        <f>(1.5*AG324+AH324)*AJ324*AQ324</f>
        <v/>
      </c>
      <c r="AL324" s="4">
        <f>D324</f>
        <v/>
      </c>
      <c r="AM324" s="8">
        <f>B324</f>
        <v/>
      </c>
      <c r="AO324" s="61">
        <f>IF(Z324&lt;2.81,0,IF(AK324&gt;13.7,IF(Z324&lt;140,1,0),0))</f>
        <v/>
      </c>
      <c r="AP324" s="7">
        <f>IF(AK324&gt;13.93,IF(Z324&lt;140,IF(Z324&lt;35,IF(Z324&lt;6,3,2),1),0),0)</f>
        <v/>
      </c>
      <c r="AR324" s="7">
        <f>IF(AO324=1,IF(AO324=AL324,1,0),5)</f>
        <v/>
      </c>
      <c r="AV324" s="5">
        <f>(AT324+AU324)/2</f>
        <v/>
      </c>
      <c r="AZ324" s="4">
        <f>IF(AY324&lt;-50,-4,IF(AY324&lt;-20,-2,IF(AY324&lt;0,-1,IF(AY324=0,0,IF(AY324&lt;10,1.5,IF(AY324&lt;20,2,IF(AY324&gt;19,2.5,2.5)))))))</f>
        <v/>
      </c>
    </row>
    <row r="325" ht="12.75" customHeight="1">
      <c r="G325" s="5">
        <f>100*(F325-E325)/F325</f>
        <v/>
      </c>
      <c r="P325" s="5">
        <f>O325/I325</f>
        <v/>
      </c>
      <c r="Y325" t="n">
        <v>70</v>
      </c>
      <c r="AA325" s="5">
        <f>IF(X325&lt;50,IF(Y325&gt;(2.3*X325),0,1),1)-IF(Z325&gt;Y325,1.7,0)</f>
        <v/>
      </c>
      <c r="AC325" s="5">
        <f>IF(AB325&gt;4,1,0)+IF(AB325&gt;10,0.7,0)</f>
        <v/>
      </c>
      <c r="AG325" s="6">
        <f>IF(G325&lt;52,0,0.7)+IF(G325&lt;34,0,0.7)+IF(G325&lt;1,0,0.7)+IF(P325&gt;14.56,0,1)+IF(R325&lt;9,0.5,0)+IF(R325&lt;33.8,0.5,0)+IF(R325&lt;50,0.5,0)+IF(R325&lt;80,0.5,0)+IF(S325=5,0,S325)+IF(V325&gt;0,1,-1)+IF(AE325&lt;10.56,0,1)-IF(AE325&lt;3,1,0)-IF(AE325&lt;1,1,0)</f>
        <v/>
      </c>
      <c r="AH325" s="5">
        <f>AG325+IF(X325&lt;1.35,0,1)+IF(Y325&lt;1.35,0,1)+IF(Y325&lt;0.7,-1,0)+AC325+AA325</f>
        <v/>
      </c>
      <c r="AJ325" s="5">
        <f>IF(AI325&gt;12.7,IF(AI325&gt;15.8,0.93,0.98),1)</f>
        <v/>
      </c>
      <c r="AK325" s="5">
        <f>(1.5*AG325+AH325)*AJ325*AQ325</f>
        <v/>
      </c>
      <c r="AL325" s="4">
        <f>D325</f>
        <v/>
      </c>
      <c r="AM325" s="8">
        <f>B325</f>
        <v/>
      </c>
      <c r="AO325" s="61">
        <f>IF(Z325&lt;2.81,0,IF(AK325&gt;13.7,IF(Z325&lt;140,1,0),0))</f>
        <v/>
      </c>
      <c r="AP325" s="7">
        <f>IF(AK325&gt;13.93,IF(Z325&lt;140,IF(Z325&lt;35,IF(Z325&lt;6,3,2),1),0),0)</f>
        <v/>
      </c>
      <c r="AR325" s="7">
        <f>IF(AO325=1,IF(AO325=AL325,1,0),5)</f>
        <v/>
      </c>
      <c r="AV325" s="5">
        <f>(AT325+AU325)/2</f>
        <v/>
      </c>
      <c r="AZ325" s="4">
        <f>IF(AY325&lt;-50,-4,IF(AY325&lt;-20,-2,IF(AY325&lt;0,-1,IF(AY325=0,0,IF(AY325&lt;10,1.5,IF(AY325&lt;20,2,IF(AY325&gt;19,2.5,2.5)))))))</f>
        <v/>
      </c>
    </row>
    <row r="326" ht="12.75" customHeight="1">
      <c r="G326" s="5">
        <f>100*(F326-E326)/F326</f>
        <v/>
      </c>
      <c r="P326" s="5">
        <f>O326/I326</f>
        <v/>
      </c>
      <c r="Y326" t="n">
        <v>70</v>
      </c>
      <c r="AA326" s="5">
        <f>IF(X326&lt;50,IF(Y326&gt;(2.3*X326),0,1),1)-IF(Z326&gt;Y326,1.7,0)</f>
        <v/>
      </c>
      <c r="AC326" s="5">
        <f>IF(AB326&gt;4,1,0)+IF(AB326&gt;10,0.7,0)</f>
        <v/>
      </c>
      <c r="AG326" s="6">
        <f>IF(G326&lt;52,0,0.7)+IF(G326&lt;34,0,0.7)+IF(G326&lt;1,0,0.7)+IF(P326&gt;14.56,0,1)+IF(R326&lt;9,0.5,0)+IF(R326&lt;33.8,0.5,0)+IF(R326&lt;50,0.5,0)+IF(R326&lt;80,0.5,0)+IF(S326=5,0,S326)+IF(V326&gt;0,1,-1)+IF(AE326&lt;10.56,0,1)-IF(AE326&lt;3,1,0)-IF(AE326&lt;1,1,0)</f>
        <v/>
      </c>
      <c r="AH326" s="5">
        <f>AG326+IF(X326&lt;1.35,0,1)+IF(Y326&lt;1.35,0,1)+IF(Y326&lt;0.7,-1,0)+AC326+AA326</f>
        <v/>
      </c>
      <c r="AJ326" s="5">
        <f>IF(AI326&gt;12.7,IF(AI326&gt;15.8,0.93,0.98),1)</f>
        <v/>
      </c>
      <c r="AK326" s="5">
        <f>(1.5*AG326+AH326)*AJ326*AQ326</f>
        <v/>
      </c>
      <c r="AL326" s="4">
        <f>D326</f>
        <v/>
      </c>
      <c r="AM326" s="8">
        <f>B326</f>
        <v/>
      </c>
      <c r="AO326" s="61">
        <f>IF(Z326&lt;2.81,0,IF(AK326&gt;13.7,IF(Z326&lt;140,1,0),0))</f>
        <v/>
      </c>
      <c r="AP326" s="7">
        <f>IF(AK326&gt;13.93,IF(Z326&lt;140,IF(Z326&lt;35,IF(Z326&lt;6,3,2),1),0),0)</f>
        <v/>
      </c>
      <c r="AR326" s="7">
        <f>IF(AO326=1,IF(AO326=AL326,1,0),5)</f>
        <v/>
      </c>
      <c r="AV326" s="5">
        <f>(AT326+AU326)/2</f>
        <v/>
      </c>
      <c r="AZ326" s="4">
        <f>IF(AY326&lt;-50,-4,IF(AY326&lt;-20,-2,IF(AY326&lt;0,-1,IF(AY326=0,0,IF(AY326&lt;10,1.5,IF(AY326&lt;20,2,IF(AY326&gt;19,2.5,2.5)))))))</f>
        <v/>
      </c>
    </row>
    <row r="327" ht="12.75" customHeight="1">
      <c r="G327" s="5">
        <f>100*(F327-E327)/F327</f>
        <v/>
      </c>
      <c r="P327" s="5">
        <f>O327/I327</f>
        <v/>
      </c>
      <c r="Y327" t="n">
        <v>70</v>
      </c>
      <c r="AA327" s="5">
        <f>IF(X327&lt;50,IF(Y327&gt;(2.3*X327),0,1),1)-IF(Z327&gt;Y327,1.7,0)</f>
        <v/>
      </c>
      <c r="AC327" s="5">
        <f>IF(AB327&gt;4,1,0)+IF(AB327&gt;10,0.7,0)</f>
        <v/>
      </c>
      <c r="AG327" s="6">
        <f>IF(G327&lt;52,0,0.7)+IF(G327&lt;34,0,0.7)+IF(G327&lt;1,0,0.7)+IF(P327&gt;14.56,0,1)+IF(R327&lt;9,0.5,0)+IF(R327&lt;33.8,0.5,0)+IF(R327&lt;50,0.5,0)+IF(R327&lt;80,0.5,0)+IF(S327=5,0,S327)+IF(V327&gt;0,1,-1)+IF(AE327&lt;10.56,0,1)-IF(AE327&lt;3,1,0)-IF(AE327&lt;1,1,0)</f>
        <v/>
      </c>
      <c r="AH327" s="5">
        <f>AG327+IF(X327&lt;1.35,0,1)+IF(Y327&lt;1.35,0,1)+IF(Y327&lt;0.7,-1,0)+AC327+AA327</f>
        <v/>
      </c>
      <c r="AJ327" s="5">
        <f>IF(AI327&gt;12.7,IF(AI327&gt;15.8,0.93,0.98),1)</f>
        <v/>
      </c>
      <c r="AK327" s="5">
        <f>(1.5*AG327+AH327)*AJ327*AQ327</f>
        <v/>
      </c>
      <c r="AL327" s="4">
        <f>D327</f>
        <v/>
      </c>
      <c r="AM327" s="8">
        <f>B327</f>
        <v/>
      </c>
      <c r="AO327" s="61">
        <f>IF(Z327&lt;2.81,0,IF(AK327&gt;13.7,IF(Z327&lt;140,1,0),0))</f>
        <v/>
      </c>
      <c r="AP327" s="7">
        <f>IF(AK327&gt;13.93,IF(Z327&lt;140,IF(Z327&lt;35,IF(Z327&lt;6,3,2),1),0),0)</f>
        <v/>
      </c>
      <c r="AR327" s="7">
        <f>IF(AO327=1,IF(AO327=AL327,1,0),5)</f>
        <v/>
      </c>
      <c r="AV327" s="5">
        <f>(AT327+AU327)/2</f>
        <v/>
      </c>
      <c r="AZ327" s="4">
        <f>IF(AY327&lt;-50,-4,IF(AY327&lt;-20,-2,IF(AY327&lt;0,-1,IF(AY327=0,0,IF(AY327&lt;10,1.5,IF(AY327&lt;20,2,IF(AY327&gt;19,2.5,2.5)))))))</f>
        <v/>
      </c>
    </row>
    <row r="328" ht="12.75" customHeight="1">
      <c r="G328" s="5">
        <f>100*(F328-E328)/F328</f>
        <v/>
      </c>
      <c r="P328" s="5">
        <f>O328/I328</f>
        <v/>
      </c>
      <c r="Y328" t="n">
        <v>70</v>
      </c>
      <c r="AA328" s="5">
        <f>IF(X328&lt;50,IF(Y328&gt;(2.3*X328),0,1),1)-IF(Z328&gt;Y328,1.7,0)</f>
        <v/>
      </c>
      <c r="AC328" s="5">
        <f>IF(AB328&gt;4,1,0)+IF(AB328&gt;10,0.7,0)</f>
        <v/>
      </c>
      <c r="AG328" s="6">
        <f>IF(G328&lt;52,0,0.7)+IF(G328&lt;34,0,0.7)+IF(G328&lt;1,0,0.7)+IF(P328&gt;14.56,0,1)+IF(R328&lt;9,0.5,0)+IF(R328&lt;33.8,0.5,0)+IF(R328&lt;50,0.5,0)+IF(R328&lt;80,0.5,0)+IF(S328=5,0,S328)+IF(V328&gt;0,1,-1)+IF(AE328&lt;10.56,0,1)-IF(AE328&lt;3,1,0)-IF(AE328&lt;1,1,0)</f>
        <v/>
      </c>
      <c r="AH328" s="5">
        <f>AG328+IF(X328&lt;1.35,0,1)+IF(Y328&lt;1.35,0,1)+IF(Y328&lt;0.7,-1,0)+AC328+AA328</f>
        <v/>
      </c>
      <c r="AJ328" s="5">
        <f>IF(AI328&gt;12.7,IF(AI328&gt;15.8,0.93,0.98),1)</f>
        <v/>
      </c>
      <c r="AK328" s="5">
        <f>(1.5*AG328+AH328)*AJ328*AQ328</f>
        <v/>
      </c>
      <c r="AL328" s="4">
        <f>D328</f>
        <v/>
      </c>
      <c r="AM328" s="8">
        <f>B328</f>
        <v/>
      </c>
      <c r="AO328" s="61">
        <f>IF(Z328&lt;2.81,0,IF(AK328&gt;13.7,IF(Z328&lt;140,1,0),0))</f>
        <v/>
      </c>
      <c r="AP328" s="7">
        <f>IF(AK328&gt;13.93,IF(Z328&lt;140,IF(Z328&lt;35,IF(Z328&lt;6,3,2),1),0),0)</f>
        <v/>
      </c>
      <c r="AR328" s="7">
        <f>IF(AO328=1,IF(AO328=AL328,1,0),5)</f>
        <v/>
      </c>
      <c r="AV328" s="5">
        <f>(AT328+AU328)/2</f>
        <v/>
      </c>
      <c r="AZ328" s="4">
        <f>IF(AY328&lt;-50,-4,IF(AY328&lt;-20,-2,IF(AY328&lt;0,-1,IF(AY328=0,0,IF(AY328&lt;10,1.5,IF(AY328&lt;20,2,IF(AY328&gt;19,2.5,2.5)))))))</f>
        <v/>
      </c>
    </row>
    <row r="329" ht="12.75" customHeight="1">
      <c r="G329" s="5">
        <f>100*(F329-E329)/F329</f>
        <v/>
      </c>
      <c r="P329" s="5">
        <f>O329/I329</f>
        <v/>
      </c>
      <c r="Y329" t="n">
        <v>70</v>
      </c>
      <c r="AA329" s="5">
        <f>IF(X329&lt;50,IF(Y329&gt;(2.3*X329),0,1),1)-IF(Z329&gt;Y329,1.7,0)</f>
        <v/>
      </c>
      <c r="AC329" s="5">
        <f>IF(AB329&gt;4,1,0)+IF(AB329&gt;10,0.7,0)</f>
        <v/>
      </c>
      <c r="AG329" s="6">
        <f>IF(G329&lt;52,0,0.7)+IF(G329&lt;34,0,0.7)+IF(G329&lt;1,0,0.7)+IF(P329&gt;14.56,0,1)+IF(R329&lt;9,0.5,0)+IF(R329&lt;33.8,0.5,0)+IF(R329&lt;50,0.5,0)+IF(R329&lt;80,0.5,0)+IF(S329=5,0,S329)+IF(V329&gt;0,1,-1)+IF(AE329&lt;10.56,0,1)-IF(AE329&lt;3,1,0)-IF(AE329&lt;1,1,0)</f>
        <v/>
      </c>
      <c r="AH329" s="5">
        <f>AG329+IF(X329&lt;1.35,0,1)+IF(Y329&lt;1.35,0,1)+IF(Y329&lt;0.7,-1,0)+AC329+AA329</f>
        <v/>
      </c>
      <c r="AJ329" s="5">
        <f>IF(AI329&gt;12.7,IF(AI329&gt;15.8,0.93,0.98),1)</f>
        <v/>
      </c>
      <c r="AK329" s="5">
        <f>(1.5*AG329+AH329)*AJ329*AQ329</f>
        <v/>
      </c>
      <c r="AL329" s="4">
        <f>D329</f>
        <v/>
      </c>
      <c r="AM329" s="8">
        <f>B329</f>
        <v/>
      </c>
      <c r="AO329" s="61">
        <f>IF(Z329&lt;2.81,0,IF(AK329&gt;13.7,IF(Z329&lt;140,1,0),0))</f>
        <v/>
      </c>
      <c r="AP329" s="7">
        <f>IF(AK329&gt;13.93,IF(Z329&lt;140,IF(Z329&lt;35,IF(Z329&lt;6,3,2),1),0),0)</f>
        <v/>
      </c>
      <c r="AR329" s="7">
        <f>IF(AO329=1,IF(AO329=AL329,1,0),5)</f>
        <v/>
      </c>
      <c r="AV329" s="5">
        <f>(AT329+AU329)/2</f>
        <v/>
      </c>
      <c r="AZ329" s="4">
        <f>IF(AY329&lt;-50,-4,IF(AY329&lt;-20,-2,IF(AY329&lt;0,-1,IF(AY329=0,0,IF(AY329&lt;10,1.5,IF(AY329&lt;20,2,IF(AY329&gt;19,2.5,2.5)))))))</f>
        <v/>
      </c>
    </row>
    <row r="330" ht="12.75" customHeight="1">
      <c r="G330" s="5">
        <f>100*(F330-E330)/F330</f>
        <v/>
      </c>
      <c r="P330" s="5">
        <f>O330/I330</f>
        <v/>
      </c>
      <c r="Y330" t="n">
        <v>70</v>
      </c>
      <c r="AA330" s="5">
        <f>IF(X330&lt;50,IF(Y330&gt;(2.3*X330),0,1),1)-IF(Z330&gt;Y330,1.7,0)</f>
        <v/>
      </c>
      <c r="AC330" s="5">
        <f>IF(AB330&gt;4,1,0)+IF(AB330&gt;10,0.7,0)</f>
        <v/>
      </c>
      <c r="AG330" s="6">
        <f>IF(G330&lt;52,0,0.7)+IF(G330&lt;34,0,0.7)+IF(G330&lt;1,0,0.7)+IF(P330&gt;14.56,0,1)+IF(R330&lt;9,0.5,0)+IF(R330&lt;33.8,0.5,0)+IF(R330&lt;50,0.5,0)+IF(R330&lt;80,0.5,0)+IF(S330=5,0,S330)+IF(V330&gt;0,1,-1)+IF(AE330&lt;10.56,0,1)-IF(AE330&lt;3,1,0)-IF(AE330&lt;1,1,0)</f>
        <v/>
      </c>
      <c r="AH330" s="5">
        <f>AG330+IF(X330&lt;1.35,0,1)+IF(Y330&lt;1.35,0,1)+IF(Y330&lt;0.7,-1,0)+AC330+AA330</f>
        <v/>
      </c>
      <c r="AJ330" s="5">
        <f>IF(AI330&gt;12.7,IF(AI330&gt;15.8,0.93,0.98),1)</f>
        <v/>
      </c>
      <c r="AK330" s="5">
        <f>(1.5*AG330+AH330)*AJ330*AQ330</f>
        <v/>
      </c>
      <c r="AL330" s="4">
        <f>D330</f>
        <v/>
      </c>
      <c r="AM330" s="8">
        <f>B330</f>
        <v/>
      </c>
      <c r="AO330" s="61">
        <f>IF(Z330&lt;2.81,0,IF(AK330&gt;13.7,IF(Z330&lt;140,1,0),0))</f>
        <v/>
      </c>
      <c r="AP330" s="7">
        <f>IF(AK330&gt;13.93,IF(Z330&lt;140,IF(Z330&lt;35,IF(Z330&lt;6,3,2),1),0),0)</f>
        <v/>
      </c>
      <c r="AR330" s="7">
        <f>IF(AO330=1,IF(AO330=AL330,1,0),5)</f>
        <v/>
      </c>
      <c r="AV330" s="5">
        <f>(AT330+AU330)/2</f>
        <v/>
      </c>
      <c r="AZ330" s="4">
        <f>IF(AY330&lt;-50,-4,IF(AY330&lt;-20,-2,IF(AY330&lt;0,-1,IF(AY330=0,0,IF(AY330&lt;10,1.5,IF(AY330&lt;20,2,IF(AY330&gt;19,2.5,2.5)))))))</f>
        <v/>
      </c>
    </row>
    <row r="331" ht="12.75" customHeight="1">
      <c r="G331" s="5">
        <f>100*(F331-E331)/F331</f>
        <v/>
      </c>
      <c r="P331" s="5">
        <f>O331/I331</f>
        <v/>
      </c>
      <c r="Y331" t="n">
        <v>70</v>
      </c>
      <c r="AA331" s="5">
        <f>IF(X331&lt;50,IF(Y331&gt;(2.3*X331),0,1),1)-IF(Z331&gt;Y331,1.7,0)</f>
        <v/>
      </c>
      <c r="AC331" s="5">
        <f>IF(AB331&gt;4,1,0)+IF(AB331&gt;10,0.7,0)</f>
        <v/>
      </c>
      <c r="AG331" s="6">
        <f>IF(G331&lt;52,0,0.7)+IF(G331&lt;34,0,0.7)+IF(G331&lt;1,0,0.7)+IF(P331&gt;14.56,0,1)+IF(R331&lt;9,0.5,0)+IF(R331&lt;33.8,0.5,0)+IF(R331&lt;50,0.5,0)+IF(R331&lt;80,0.5,0)+IF(S331=5,0,S331)+IF(V331&gt;0,1,-1)+IF(AE331&lt;10.56,0,1)-IF(AE331&lt;3,1,0)-IF(AE331&lt;1,1,0)</f>
        <v/>
      </c>
      <c r="AH331" s="5">
        <f>AG331+IF(X331&lt;1.35,0,1)+IF(Y331&lt;1.35,0,1)+IF(Y331&lt;0.7,-1,0)+AC331+AA331</f>
        <v/>
      </c>
      <c r="AJ331" s="5">
        <f>IF(AI331&gt;12.7,IF(AI331&gt;15.8,0.93,0.98),1)</f>
        <v/>
      </c>
      <c r="AK331" s="5">
        <f>(1.5*AG331+AH331)*AJ331*AQ331</f>
        <v/>
      </c>
      <c r="AL331" s="4">
        <f>D331</f>
        <v/>
      </c>
      <c r="AM331" s="8">
        <f>B331</f>
        <v/>
      </c>
      <c r="AO331" s="61">
        <f>IF(Z331&lt;2.81,0,IF(AK331&gt;13.7,IF(Z331&lt;140,1,0),0))</f>
        <v/>
      </c>
      <c r="AP331" s="7">
        <f>IF(AK331&gt;13.93,IF(Z331&lt;140,IF(Z331&lt;35,IF(Z331&lt;6,3,2),1),0),0)</f>
        <v/>
      </c>
      <c r="AR331" s="7">
        <f>IF(AO331=1,IF(AO331=AL331,1,0),5)</f>
        <v/>
      </c>
      <c r="AV331" s="5">
        <f>(AT331+AU331)/2</f>
        <v/>
      </c>
      <c r="AZ331" s="4">
        <f>IF(AY331&lt;-50,-4,IF(AY331&lt;-20,-2,IF(AY331&lt;0,-1,IF(AY331=0,0,IF(AY331&lt;10,1.5,IF(AY331&lt;20,2,IF(AY331&gt;19,2.5,2.5)))))))</f>
        <v/>
      </c>
    </row>
    <row r="332" ht="12.75" customHeight="1">
      <c r="G332" s="5">
        <f>100*(F332-E332)/F332</f>
        <v/>
      </c>
      <c r="P332" s="5">
        <f>O332/I332</f>
        <v/>
      </c>
      <c r="Y332" t="n">
        <v>70</v>
      </c>
      <c r="AA332" s="5">
        <f>IF(X332&lt;50,IF(Y332&gt;(2.3*X332),0,1),1)-IF(Z332&gt;Y332,1.7,0)</f>
        <v/>
      </c>
      <c r="AC332" s="5">
        <f>IF(AB332&gt;4,1,0)+IF(AB332&gt;10,0.7,0)</f>
        <v/>
      </c>
      <c r="AG332" s="6">
        <f>IF(G332&lt;52,0,0.7)+IF(G332&lt;34,0,0.7)+IF(G332&lt;1,0,0.7)+IF(P332&gt;14.56,0,1)+IF(R332&lt;9,0.5,0)+IF(R332&lt;33.8,0.5,0)+IF(R332&lt;50,0.5,0)+IF(R332&lt;80,0.5,0)+IF(S332=5,0,S332)+IF(V332&gt;0,1,-1)+IF(AE332&lt;10.56,0,1)-IF(AE332&lt;3,1,0)-IF(AE332&lt;1,1,0)</f>
        <v/>
      </c>
      <c r="AH332" s="5">
        <f>AG332+IF(X332&lt;1.35,0,1)+IF(Y332&lt;1.35,0,1)+IF(Y332&lt;0.7,-1,0)+AC332+AA332</f>
        <v/>
      </c>
      <c r="AJ332" s="5">
        <f>IF(AI332&gt;12.7,IF(AI332&gt;15.8,0.93,0.98),1)</f>
        <v/>
      </c>
      <c r="AK332" s="5">
        <f>(1.5*AG332+AH332)*AJ332*AQ332</f>
        <v/>
      </c>
      <c r="AL332" s="4">
        <f>D332</f>
        <v/>
      </c>
      <c r="AM332" s="8">
        <f>B332</f>
        <v/>
      </c>
      <c r="AO332" s="61">
        <f>IF(Z332&lt;2.81,0,IF(AK332&gt;13.7,IF(Z332&lt;140,1,0),0))</f>
        <v/>
      </c>
      <c r="AP332" s="7">
        <f>IF(AK332&gt;13.93,IF(Z332&lt;140,IF(Z332&lt;35,IF(Z332&lt;6,3,2),1),0),0)</f>
        <v/>
      </c>
      <c r="AR332" s="7">
        <f>IF(AO332=1,IF(AO332=AL332,1,0),5)</f>
        <v/>
      </c>
      <c r="AV332" s="5">
        <f>(AT332+AU332)/2</f>
        <v/>
      </c>
      <c r="AZ332" s="4">
        <f>IF(AY332&lt;-50,-4,IF(AY332&lt;-20,-2,IF(AY332&lt;0,-1,IF(AY332=0,0,IF(AY332&lt;10,1.5,IF(AY332&lt;20,2,IF(AY332&gt;19,2.5,2.5)))))))</f>
        <v/>
      </c>
    </row>
    <row r="333" ht="12.75" customHeight="1">
      <c r="G333" s="5">
        <f>100*(F333-E333)/F333</f>
        <v/>
      </c>
      <c r="P333" s="5">
        <f>O333/I333</f>
        <v/>
      </c>
      <c r="Y333" t="n">
        <v>70</v>
      </c>
      <c r="AA333" s="5">
        <f>IF(X333&lt;50,IF(Y333&gt;(2.3*X333),0,1),1)-IF(Z333&gt;Y333,1.7,0)</f>
        <v/>
      </c>
      <c r="AC333" s="5">
        <f>IF(AB333&gt;4,1,0)+IF(AB333&gt;10,0.7,0)</f>
        <v/>
      </c>
      <c r="AG333" s="6">
        <f>IF(G333&lt;52,0,0.7)+IF(G333&lt;34,0,0.7)+IF(G333&lt;1,0,0.7)+IF(P333&gt;14.56,0,1)+IF(R333&lt;9,0.5,0)+IF(R333&lt;33.8,0.5,0)+IF(R333&lt;50,0.5,0)+IF(R333&lt;80,0.5,0)+IF(S333=5,0,S333)+IF(V333&gt;0,1,-1)+IF(AE333&lt;10.56,0,1)-IF(AE333&lt;3,1,0)-IF(AE333&lt;1,1,0)</f>
        <v/>
      </c>
      <c r="AH333" s="5">
        <f>AG333+IF(X333&lt;1.35,0,1)+IF(Y333&lt;1.35,0,1)+IF(Y333&lt;0.7,-1,0)+AC333+AA333</f>
        <v/>
      </c>
      <c r="AJ333" s="5">
        <f>IF(AI333&gt;12.7,IF(AI333&gt;15.8,0.93,0.98),1)</f>
        <v/>
      </c>
      <c r="AK333" s="5">
        <f>(1.5*AG333+AH333)*AJ333*AQ333</f>
        <v/>
      </c>
      <c r="AL333" s="4">
        <f>D333</f>
        <v/>
      </c>
      <c r="AM333" s="8">
        <f>B333</f>
        <v/>
      </c>
      <c r="AO333" s="61">
        <f>IF(Z333&lt;2.81,0,IF(AK333&gt;13.7,IF(Z333&lt;140,1,0),0))</f>
        <v/>
      </c>
      <c r="AP333" s="7">
        <f>IF(AK333&gt;13.93,IF(Z333&lt;140,IF(Z333&lt;35,IF(Z333&lt;6,3,2),1),0),0)</f>
        <v/>
      </c>
      <c r="AR333" s="7">
        <f>IF(AO333=1,IF(AO333=AL333,1,0),5)</f>
        <v/>
      </c>
      <c r="AV333" s="5">
        <f>(AT333+AU333)/2</f>
        <v/>
      </c>
      <c r="AZ333" s="4">
        <f>IF(AY333&lt;-50,-4,IF(AY333&lt;-20,-2,IF(AY333&lt;0,-1,IF(AY333=0,0,IF(AY333&lt;10,1.5,IF(AY333&lt;20,2,IF(AY333&gt;19,2.5,2.5)))))))</f>
        <v/>
      </c>
    </row>
    <row r="334" ht="12.75" customHeight="1">
      <c r="G334" s="5">
        <f>100*(F334-E334)/F334</f>
        <v/>
      </c>
      <c r="P334" s="5">
        <f>O334/I334</f>
        <v/>
      </c>
      <c r="Y334" t="n">
        <v>70</v>
      </c>
      <c r="AA334" s="5">
        <f>IF(X334&lt;50,IF(Y334&gt;(2.3*X334),0,1),1)-IF(Z334&gt;Y334,1.7,0)</f>
        <v/>
      </c>
      <c r="AC334" s="5">
        <f>IF(AB334&gt;4,1,0)+IF(AB334&gt;10,0.7,0)</f>
        <v/>
      </c>
      <c r="AG334" s="6">
        <f>IF(G334&lt;52,0,0.7)+IF(G334&lt;34,0,0.7)+IF(G334&lt;1,0,0.7)+IF(P334&gt;14.56,0,1)+IF(R334&lt;9,0.5,0)+IF(R334&lt;33.8,0.5,0)+IF(R334&lt;50,0.5,0)+IF(R334&lt;80,0.5,0)+IF(S334=5,0,S334)+IF(V334&gt;0,1,-1)+IF(AE334&lt;10.56,0,1)-IF(AE334&lt;3,1,0)-IF(AE334&lt;1,1,0)</f>
        <v/>
      </c>
      <c r="AH334" s="5">
        <f>AG334+IF(X334&lt;1.35,0,1)+IF(Y334&lt;1.35,0,1)+IF(Y334&lt;0.7,-1,0)+AC334+AA334</f>
        <v/>
      </c>
      <c r="AJ334" s="5">
        <f>IF(AI334&gt;12.7,IF(AI334&gt;15.8,0.93,0.98),1)</f>
        <v/>
      </c>
      <c r="AK334" s="5">
        <f>(1.5*AG334+AH334)*AJ334*AQ334</f>
        <v/>
      </c>
      <c r="AL334" s="4">
        <f>D334</f>
        <v/>
      </c>
      <c r="AM334" s="8">
        <f>B334</f>
        <v/>
      </c>
      <c r="AO334" s="61">
        <f>IF(Z334&lt;2.81,0,IF(AK334&gt;13.7,IF(Z334&lt;140,1,0),0))</f>
        <v/>
      </c>
      <c r="AP334" s="7">
        <f>IF(AK334&gt;13.93,IF(Z334&lt;140,IF(Z334&lt;35,IF(Z334&lt;6,3,2),1),0),0)</f>
        <v/>
      </c>
      <c r="AR334" s="7">
        <f>IF(AO334=1,IF(AO334=AL334,1,0),5)</f>
        <v/>
      </c>
      <c r="AV334" s="5">
        <f>(AT334+AU334)/2</f>
        <v/>
      </c>
      <c r="AZ334" s="4">
        <f>IF(AY334&lt;-50,-4,IF(AY334&lt;-20,-2,IF(AY334&lt;0,-1,IF(AY334=0,0,IF(AY334&lt;10,1.5,IF(AY334&lt;20,2,IF(AY334&gt;19,2.5,2.5)))))))</f>
        <v/>
      </c>
    </row>
    <row r="335" ht="12.75" customHeight="1">
      <c r="G335" s="5">
        <f>100*(F335-E335)/F335</f>
        <v/>
      </c>
      <c r="P335" s="5">
        <f>O335/I335</f>
        <v/>
      </c>
      <c r="Y335" t="n">
        <v>70</v>
      </c>
      <c r="AA335" s="5">
        <f>IF(X335&lt;50,IF(Y335&gt;(2.3*X335),0,1),1)-IF(Z335&gt;Y335,1.7,0)</f>
        <v/>
      </c>
      <c r="AC335" s="5">
        <f>IF(AB335&gt;4,1,0)+IF(AB335&gt;10,0.7,0)</f>
        <v/>
      </c>
      <c r="AG335" s="6">
        <f>IF(G335&lt;52,0,0.7)+IF(G335&lt;34,0,0.7)+IF(G335&lt;1,0,0.7)+IF(P335&gt;14.56,0,1)+IF(R335&lt;9,0.5,0)+IF(R335&lt;33.8,0.5,0)+IF(R335&lt;50,0.5,0)+IF(R335&lt;80,0.5,0)+IF(S335=5,0,S335)+IF(V335&gt;0,1,-1)+IF(AE335&lt;10.56,0,1)-IF(AE335&lt;3,1,0)-IF(AE335&lt;1,1,0)</f>
        <v/>
      </c>
      <c r="AH335" s="5">
        <f>AG335+IF(X335&lt;1.35,0,1)+IF(Y335&lt;1.35,0,1)+IF(Y335&lt;0.7,-1,0)+AC335+AA335</f>
        <v/>
      </c>
      <c r="AJ335" s="5">
        <f>IF(AI335&gt;12.7,IF(AI335&gt;15.8,0.93,0.98),1)</f>
        <v/>
      </c>
      <c r="AK335" s="5">
        <f>(1.5*AG335+AH335)*AJ335*AQ335</f>
        <v/>
      </c>
      <c r="AL335" s="4">
        <f>D335</f>
        <v/>
      </c>
      <c r="AM335" s="8">
        <f>B335</f>
        <v/>
      </c>
      <c r="AO335" s="61">
        <f>IF(Z335&lt;2.81,0,IF(AK335&gt;13.7,IF(Z335&lt;140,1,0),0))</f>
        <v/>
      </c>
      <c r="AP335" s="7">
        <f>IF(AK335&gt;13.93,IF(Z335&lt;140,IF(Z335&lt;35,IF(Z335&lt;6,3,2),1),0),0)</f>
        <v/>
      </c>
      <c r="AR335" s="7">
        <f>IF(AO335=1,IF(AO335=AL335,1,0),5)</f>
        <v/>
      </c>
      <c r="AV335" s="5">
        <f>(AT335+AU335)/2</f>
        <v/>
      </c>
      <c r="AZ335" s="4">
        <f>IF(AY335&lt;-50,-4,IF(AY335&lt;-20,-2,IF(AY335&lt;0,-1,IF(AY335=0,0,IF(AY335&lt;10,1.5,IF(AY335&lt;20,2,IF(AY335&gt;19,2.5,2.5)))))))</f>
        <v/>
      </c>
    </row>
    <row r="336" ht="12.75" customHeight="1">
      <c r="G336" s="5">
        <f>100*(F336-E336)/F336</f>
        <v/>
      </c>
      <c r="P336" s="5">
        <f>O336/I336</f>
        <v/>
      </c>
      <c r="Y336" t="n">
        <v>70</v>
      </c>
      <c r="AA336" s="5">
        <f>IF(X336&lt;50,IF(Y336&gt;(2.3*X336),0,1),1)-IF(Z336&gt;Y336,1.7,0)</f>
        <v/>
      </c>
      <c r="AC336" s="5">
        <f>IF(AB336&gt;4,1,0)+IF(AB336&gt;10,0.7,0)</f>
        <v/>
      </c>
      <c r="AG336" s="6">
        <f>IF(G336&lt;52,0,0.7)+IF(G336&lt;34,0,0.7)+IF(G336&lt;1,0,0.7)+IF(P336&gt;14.56,0,1)+IF(R336&lt;9,0.5,0)+IF(R336&lt;33.8,0.5,0)+IF(R336&lt;50,0.5,0)+IF(R336&lt;80,0.5,0)+IF(S336=5,0,S336)+IF(V336&gt;0,1,-1)+IF(AE336&lt;10.56,0,1)-IF(AE336&lt;3,1,0)-IF(AE336&lt;1,1,0)</f>
        <v/>
      </c>
      <c r="AH336" s="5">
        <f>AG336+IF(X336&lt;1.35,0,1)+IF(Y336&lt;1.35,0,1)+IF(Y336&lt;0.7,-1,0)+AC336+AA336</f>
        <v/>
      </c>
      <c r="AJ336" s="5">
        <f>IF(AI336&gt;12.7,IF(AI336&gt;15.8,0.93,0.98),1)</f>
        <v/>
      </c>
      <c r="AK336" s="5">
        <f>(1.5*AG336+AH336)*AJ336*AQ336</f>
        <v/>
      </c>
      <c r="AL336" s="4">
        <f>D336</f>
        <v/>
      </c>
      <c r="AM336" s="8">
        <f>B336</f>
        <v/>
      </c>
      <c r="AO336" s="61">
        <f>IF(Z336&lt;2.81,0,IF(AK336&gt;13.7,IF(Z336&lt;140,1,0),0))</f>
        <v/>
      </c>
      <c r="AP336" s="7">
        <f>IF(AK336&gt;13.93,IF(Z336&lt;140,IF(Z336&lt;35,IF(Z336&lt;6,3,2),1),0),0)</f>
        <v/>
      </c>
      <c r="AR336" s="7">
        <f>IF(AO336=1,IF(AO336=AL336,1,0),5)</f>
        <v/>
      </c>
      <c r="AV336" s="5">
        <f>(AT336+AU336)/2</f>
        <v/>
      </c>
      <c r="AZ336" s="4">
        <f>IF(AY336&lt;-50,-4,IF(AY336&lt;-20,-2,IF(AY336&lt;0,-1,IF(AY336=0,0,IF(AY336&lt;10,1.5,IF(AY336&lt;20,2,IF(AY336&gt;19,2.5,2.5)))))))</f>
        <v/>
      </c>
    </row>
    <row r="337" ht="12.75" customHeight="1">
      <c r="G337" s="5">
        <f>100*(F337-E337)/F337</f>
        <v/>
      </c>
      <c r="P337" s="5">
        <f>O337/I337</f>
        <v/>
      </c>
      <c r="Y337" t="n">
        <v>70</v>
      </c>
      <c r="AA337" s="5">
        <f>IF(X337&lt;50,IF(Y337&gt;(2.3*X337),0,1),1)-IF(Z337&gt;Y337,1.7,0)</f>
        <v/>
      </c>
      <c r="AC337" s="5">
        <f>IF(AB337&gt;4,1,0)+IF(AB337&gt;10,0.7,0)</f>
        <v/>
      </c>
      <c r="AG337" s="6">
        <f>IF(G337&lt;52,0,0.7)+IF(G337&lt;34,0,0.7)+IF(G337&lt;1,0,0.7)+IF(P337&gt;14.56,0,1)+IF(R337&lt;9,0.5,0)+IF(R337&lt;33.8,0.5,0)+IF(R337&lt;50,0.5,0)+IF(R337&lt;80,0.5,0)+IF(S337=5,0,S337)+IF(V337&gt;0,1,-1)+IF(AE337&lt;10.56,0,1)-IF(AE337&lt;3,1,0)-IF(AE337&lt;1,1,0)</f>
        <v/>
      </c>
      <c r="AH337" s="5">
        <f>AG337+IF(X337&lt;1.35,0,1)+IF(Y337&lt;1.35,0,1)+IF(Y337&lt;0.7,-1,0)+AC337+AA337</f>
        <v/>
      </c>
      <c r="AJ337" s="5">
        <f>IF(AI337&gt;12.7,IF(AI337&gt;15.8,0.93,0.98),1)</f>
        <v/>
      </c>
      <c r="AK337" s="5">
        <f>(1.5*AG337+AH337)*AJ337*AQ337</f>
        <v/>
      </c>
      <c r="AL337" s="4">
        <f>D337</f>
        <v/>
      </c>
      <c r="AM337" s="8">
        <f>B337</f>
        <v/>
      </c>
      <c r="AO337" s="61">
        <f>IF(Z337&lt;2.81,0,IF(AK337&gt;13.7,IF(Z337&lt;140,1,0),0))</f>
        <v/>
      </c>
      <c r="AP337" s="7">
        <f>IF(AK337&gt;13.93,IF(Z337&lt;140,IF(Z337&lt;35,IF(Z337&lt;6,3,2),1),0),0)</f>
        <v/>
      </c>
      <c r="AR337" s="7">
        <f>IF(AO337=1,IF(AO337=AL337,1,0),5)</f>
        <v/>
      </c>
      <c r="AV337" s="5">
        <f>(AT337+AU337)/2</f>
        <v/>
      </c>
      <c r="AZ337" s="4">
        <f>IF(AY337&lt;-50,-4,IF(AY337&lt;-20,-2,IF(AY337&lt;0,-1,IF(AY337=0,0,IF(AY337&lt;10,1.5,IF(AY337&lt;20,2,IF(AY337&gt;19,2.5,2.5)))))))</f>
        <v/>
      </c>
    </row>
    <row r="338" ht="12.75" customHeight="1">
      <c r="G338" s="5">
        <f>100*(F338-E338)/F338</f>
        <v/>
      </c>
      <c r="P338" s="5">
        <f>O338/I338</f>
        <v/>
      </c>
      <c r="Y338" t="n">
        <v>70</v>
      </c>
      <c r="AA338" s="5">
        <f>IF(X338&lt;50,IF(Y338&gt;(2.3*X338),0,1),1)-IF(Z338&gt;Y338,1.7,0)</f>
        <v/>
      </c>
      <c r="AC338" s="5">
        <f>IF(AB338&gt;4,1,0)+IF(AB338&gt;10,0.7,0)</f>
        <v/>
      </c>
      <c r="AG338" s="6">
        <f>IF(G338&lt;52,0,0.7)+IF(G338&lt;34,0,0.7)+IF(G338&lt;1,0,0.7)+IF(P338&gt;14.56,0,1)+IF(R338&lt;9,0.5,0)+IF(R338&lt;33.8,0.5,0)+IF(R338&lt;50,0.5,0)+IF(R338&lt;80,0.5,0)+IF(S338=5,0,S338)+IF(V338&gt;0,1,-1)+IF(AE338&lt;10.56,0,1)-IF(AE338&lt;3,1,0)-IF(AE338&lt;1,1,0)</f>
        <v/>
      </c>
      <c r="AH338" s="5">
        <f>AG338+IF(X338&lt;1.35,0,1)+IF(Y338&lt;1.35,0,1)+IF(Y338&lt;0.7,-1,0)+AC338+AA338</f>
        <v/>
      </c>
      <c r="AJ338" s="5">
        <f>IF(AI338&gt;12.7,IF(AI338&gt;15.8,0.93,0.98),1)</f>
        <v/>
      </c>
      <c r="AK338" s="5">
        <f>(1.5*AG338+AH338)*AJ338*AQ338</f>
        <v/>
      </c>
      <c r="AL338" s="4">
        <f>D338</f>
        <v/>
      </c>
      <c r="AM338" s="8">
        <f>B338</f>
        <v/>
      </c>
      <c r="AO338" s="61">
        <f>IF(Z338&lt;2.81,0,IF(AK338&gt;13.7,IF(Z338&lt;140,1,0),0))</f>
        <v/>
      </c>
      <c r="AP338" s="7">
        <f>IF(AK338&gt;13.93,IF(Z338&lt;140,IF(Z338&lt;35,IF(Z338&lt;6,3,2),1),0),0)</f>
        <v/>
      </c>
      <c r="AR338" s="7">
        <f>IF(AO338=1,IF(AO338=AL338,1,0),5)</f>
        <v/>
      </c>
      <c r="AZ338" s="4">
        <f>IF(AY338&lt;-50,-4,IF(AY338&lt;-20,-2,IF(AY338&lt;0,-1,IF(AY338=0,0,IF(AY338&lt;10,1.5,IF(AY338&lt;20,2,IF(AY338&gt;19,2.5,2.5)))))))</f>
        <v/>
      </c>
    </row>
    <row r="339" ht="12.75" customHeight="1">
      <c r="G339" s="5">
        <f>100*(F339-E339)/F339</f>
        <v/>
      </c>
      <c r="P339" s="5">
        <f>O339/I339</f>
        <v/>
      </c>
      <c r="Y339" t="n">
        <v>70</v>
      </c>
      <c r="AA339" s="5">
        <f>IF(X339&lt;50,IF(Y339&gt;(2.3*X339),0,1),1)-IF(Z339&gt;Y339,1.7,0)</f>
        <v/>
      </c>
      <c r="AC339" s="5">
        <f>IF(AB339&gt;4,1,0)+IF(AB339&gt;10,0.7,0)</f>
        <v/>
      </c>
      <c r="AG339" s="6">
        <f>IF(G339&lt;52,0,0.7)+IF(G339&lt;34,0,0.7)+IF(G339&lt;1,0,0.7)+IF(P339&gt;14.56,0,1)+IF(R339&lt;9,0.5,0)+IF(R339&lt;33.8,0.5,0)+IF(R339&lt;50,0.5,0)+IF(R339&lt;80,0.5,0)+IF(S339=5,0,S339)+IF(V339&gt;0,1,-1)+IF(AE339&lt;10.56,0,1)-IF(AE339&lt;3,1,0)-IF(AE339&lt;1,1,0)</f>
        <v/>
      </c>
      <c r="AH339" s="5">
        <f>AG339+IF(X339&lt;1.35,0,1)+IF(Y339&lt;1.35,0,1)+IF(Y339&lt;0.7,-1,0)+AC339+AA339</f>
        <v/>
      </c>
      <c r="AJ339" s="5">
        <f>IF(AI339&gt;12.7,IF(AI339&gt;15.8,0.93,0.98),1)</f>
        <v/>
      </c>
      <c r="AK339" s="5">
        <f>(1.5*AG339+AH339)*AJ339*AQ339</f>
        <v/>
      </c>
      <c r="AL339" s="4">
        <f>D339</f>
        <v/>
      </c>
      <c r="AM339" s="8">
        <f>B339</f>
        <v/>
      </c>
      <c r="AO339" s="61">
        <f>IF(Z339&lt;2.81,0,IF(AK339&gt;13.7,IF(Z339&lt;140,1,0),0))</f>
        <v/>
      </c>
      <c r="AP339" s="7">
        <f>IF(AK339&gt;13.93,IF(Z339&lt;140,IF(Z339&lt;35,IF(Z339&lt;6,3,2),1),0),0)</f>
        <v/>
      </c>
      <c r="AR339" s="7">
        <f>IF(AO339=1,IF(AO339=AL339,1,0),5)</f>
        <v/>
      </c>
      <c r="AZ339" s="4">
        <f>IF(AY339&lt;-50,-4,IF(AY339&lt;-20,-2,IF(AY339&lt;0,-1,IF(AY339=0,0,IF(AY339&lt;10,1.5,IF(AY339&lt;20,2,IF(AY339&gt;19,2.5,2.5)))))))</f>
        <v/>
      </c>
    </row>
    <row r="340" ht="12.75" customHeight="1">
      <c r="G340" s="5">
        <f>100*(F340-E340)/F340</f>
        <v/>
      </c>
      <c r="P340" s="5">
        <f>O340/I340</f>
        <v/>
      </c>
      <c r="Y340" t="n">
        <v>70</v>
      </c>
      <c r="AA340" s="5">
        <f>IF(X340&lt;50,IF(Y340&gt;(2.3*X340),0,1),1)-IF(Z340&gt;Y340,1.7,0)</f>
        <v/>
      </c>
      <c r="AC340" s="5">
        <f>IF(AB340&gt;4,1,0)+IF(AB340&gt;10,0.7,0)</f>
        <v/>
      </c>
      <c r="AG340" s="6">
        <f>IF(G340&lt;52,0,0.7)+IF(G340&lt;34,0,0.7)+IF(G340&lt;1,0,0.7)+IF(P340&gt;14.56,0,1)+IF(R340&lt;9,0.5,0)+IF(R340&lt;33.8,0.5,0)+IF(R340&lt;50,0.5,0)+IF(R340&lt;80,0.5,0)+IF(S340=5,0,S340)+IF(V340&gt;0,1,-1)+IF(AE340&lt;10.56,0,1)-IF(AE340&lt;3,1,0)-IF(AE340&lt;1,1,0)</f>
        <v/>
      </c>
      <c r="AH340" s="5">
        <f>AG340+IF(X340&lt;1.35,0,1)+IF(Y340&lt;1.35,0,1)+IF(Y340&lt;0.7,-1,0)+AC340+AA340</f>
        <v/>
      </c>
      <c r="AJ340" s="5">
        <f>IF(AI340&gt;12.7,IF(AI340&gt;15.8,0.93,0.98),1)</f>
        <v/>
      </c>
      <c r="AK340" s="5">
        <f>(1.5*AG340+AH340)*AJ340*AQ340</f>
        <v/>
      </c>
      <c r="AL340" s="4">
        <f>D340</f>
        <v/>
      </c>
      <c r="AM340" s="8">
        <f>B340</f>
        <v/>
      </c>
      <c r="AO340" s="61">
        <f>IF(Z340&lt;2.81,0,IF(AK340&gt;13.7,IF(Z340&lt;140,1,0),0))</f>
        <v/>
      </c>
      <c r="AP340" s="7">
        <f>IF(AK340&gt;13.93,IF(Z340&lt;140,IF(Z340&lt;35,IF(Z340&lt;6,3,2),1),0),0)</f>
        <v/>
      </c>
      <c r="AR340" s="7">
        <f>IF(AO340=1,IF(AO340=AL340,1,0),5)</f>
        <v/>
      </c>
      <c r="AZ340" s="4">
        <f>IF(AY340&lt;-50,-4,IF(AY340&lt;-20,-2,IF(AY340&lt;0,-1,IF(AY340=0,0,IF(AY340&lt;10,1.5,IF(AY340&lt;20,2,IF(AY340&gt;19,2.5,2.5)))))))</f>
        <v/>
      </c>
    </row>
    <row r="341" ht="12.75" customHeight="1">
      <c r="G341" s="5">
        <f>100*(F341-E341)/F341</f>
        <v/>
      </c>
      <c r="P341" s="5">
        <f>O341/I341</f>
        <v/>
      </c>
      <c r="Y341" t="n">
        <v>70</v>
      </c>
      <c r="AA341" s="5">
        <f>IF(X341&lt;50,IF(Y341&gt;(2.3*X341),0,1),1)-IF(Z341&gt;Y341,1.7,0)</f>
        <v/>
      </c>
      <c r="AC341" s="5">
        <f>IF(AB341&gt;4,1,0)+IF(AB341&gt;10,0.7,0)</f>
        <v/>
      </c>
      <c r="AG341" s="6">
        <f>IF(G341&lt;52,0,0.7)+IF(G341&lt;34,0,0.7)+IF(G341&lt;1,0,0.7)+IF(P341&gt;14.56,0,1)+IF(R341&lt;9,0.5,0)+IF(R341&lt;33.8,0.5,0)+IF(R341&lt;50,0.5,0)+IF(R341&lt;80,0.5,0)+IF(S341=5,0,S341)+IF(V341&gt;0,1,-1)+IF(AE341&lt;10.56,0,1)-IF(AE341&lt;3,1,0)-IF(AE341&lt;1,1,0)</f>
        <v/>
      </c>
      <c r="AH341" s="5">
        <f>AG341+IF(X341&lt;1.35,0,1)+IF(Y341&lt;1.35,0,1)+IF(Y341&lt;0.7,-1,0)+AC341+AA341</f>
        <v/>
      </c>
      <c r="AJ341" s="5">
        <f>IF(AI341&gt;12.7,IF(AI341&gt;15.8,0.93,0.98),1)</f>
        <v/>
      </c>
      <c r="AK341" s="5">
        <f>(1.5*AG341+AH341)*AJ341*AQ341</f>
        <v/>
      </c>
      <c r="AL341" s="4">
        <f>D341</f>
        <v/>
      </c>
      <c r="AM341" s="8">
        <f>B341</f>
        <v/>
      </c>
      <c r="AO341" s="61">
        <f>IF(Z341&lt;2.81,0,IF(AK341&gt;13.7,IF(Z341&lt;140,1,0),0))</f>
        <v/>
      </c>
      <c r="AP341" s="7">
        <f>IF(AK341&gt;13.93,IF(Z341&lt;140,IF(Z341&lt;35,IF(Z341&lt;6,3,2),1),0),0)</f>
        <v/>
      </c>
      <c r="AR341" s="7">
        <f>IF(AO341=1,IF(AO341=AL341,1,0),5)</f>
        <v/>
      </c>
      <c r="AZ341" s="4">
        <f>IF(AY341&lt;-50,-4,IF(AY341&lt;-20,-2,IF(AY341&lt;0,-1,IF(AY341=0,0,IF(AY341&lt;10,1.5,IF(AY341&lt;20,2,IF(AY341&gt;19,2.5,2.5)))))))</f>
        <v/>
      </c>
    </row>
    <row r="342" ht="12.75" customHeight="1">
      <c r="G342" s="5">
        <f>100*(F342-E342)/F342</f>
        <v/>
      </c>
      <c r="P342" s="5">
        <f>O342/I342</f>
        <v/>
      </c>
      <c r="Y342" t="n">
        <v>70</v>
      </c>
      <c r="AA342" s="5">
        <f>IF(X342&lt;50,IF(Y342&gt;(2.3*X342),0,1),1)-IF(Z342&gt;Y342,1.7,0)</f>
        <v/>
      </c>
      <c r="AC342" s="5">
        <f>IF(AB342&gt;4,1,0)+IF(AB342&gt;10,0.7,0)</f>
        <v/>
      </c>
      <c r="AG342" s="6">
        <f>IF(G342&lt;52,0,0.7)+IF(G342&lt;34,0,0.7)+IF(G342&lt;1,0,0.7)+IF(P342&gt;14.56,0,1)+IF(R342&lt;9,0.5,0)+IF(R342&lt;33.8,0.5,0)+IF(R342&lt;50,0.5,0)+IF(R342&lt;80,0.5,0)+IF(S342=5,0,S342)+IF(V342&gt;0,1,-1)+IF(AE342&lt;10.56,0,1)-IF(AE342&lt;3,1,0)-IF(AE342&lt;1,1,0)</f>
        <v/>
      </c>
      <c r="AH342" s="5">
        <f>AG342+IF(X342&lt;1.35,0,1)+IF(Y342&lt;1.35,0,1)+IF(Y342&lt;0.7,-1,0)+AC342+AA342</f>
        <v/>
      </c>
      <c r="AJ342" s="5">
        <f>IF(AI342&gt;12.7,IF(AI342&gt;15.8,0.93,0.98),1)</f>
        <v/>
      </c>
      <c r="AK342" s="5">
        <f>(1.5*AG342+AH342)*AJ342*AQ342</f>
        <v/>
      </c>
      <c r="AL342" s="4">
        <f>D342</f>
        <v/>
      </c>
      <c r="AM342" s="8">
        <f>B342</f>
        <v/>
      </c>
      <c r="AO342" s="61">
        <f>IF(Z342&lt;2.81,0,IF(AK342&gt;13.7,IF(Z342&lt;140,1,0),0))</f>
        <v/>
      </c>
      <c r="AP342" s="7">
        <f>IF(AK342&gt;13.93,IF(Z342&lt;140,IF(Z342&lt;35,IF(Z342&lt;6,3,2),1),0),0)</f>
        <v/>
      </c>
      <c r="AR342" s="7">
        <f>IF(AO342=1,IF(AO342=AL342,1,0),5)</f>
        <v/>
      </c>
      <c r="AZ342" s="4">
        <f>IF(AY342&lt;-50,-4,IF(AY342&lt;-20,-2,IF(AY342&lt;0,-1,IF(AY342=0,0,IF(AY342&lt;10,1.5,IF(AY342&lt;20,2,IF(AY342&gt;19,2.5,2.5)))))))</f>
        <v/>
      </c>
    </row>
    <row r="343" ht="12.75" customHeight="1">
      <c r="G343" s="5">
        <f>100*(F343-E343)/F343</f>
        <v/>
      </c>
      <c r="P343" s="5">
        <f>O343/I343</f>
        <v/>
      </c>
      <c r="Y343" t="n">
        <v>70</v>
      </c>
      <c r="AA343" s="5">
        <f>IF(X343&lt;50,IF(Y343&gt;(2.3*X343),0,1),1)-IF(Z343&gt;Y343,1.7,0)</f>
        <v/>
      </c>
      <c r="AC343" s="5">
        <f>IF(AB343&gt;4,1,0)+IF(AB343&gt;10,0.7,0)</f>
        <v/>
      </c>
      <c r="AG343" s="6">
        <f>IF(G343&lt;52,0,0.7)+IF(G343&lt;34,0,0.7)+IF(G343&lt;1,0,0.7)+IF(P343&gt;14.56,0,1)+IF(R343&lt;9,0.5,0)+IF(R343&lt;33.8,0.5,0)+IF(R343&lt;50,0.5,0)+IF(R343&lt;80,0.5,0)+IF(S343=5,0,S343)+IF(V343&gt;0,1,-1)+IF(AE343&lt;10.56,0,1)-IF(AE343&lt;3,1,0)-IF(AE343&lt;1,1,0)</f>
        <v/>
      </c>
      <c r="AH343" s="5">
        <f>AG343+IF(X343&lt;1.35,0,1)+IF(Y343&lt;1.35,0,1)+IF(Y343&lt;0.7,-1,0)+AC343+AA343</f>
        <v/>
      </c>
      <c r="AJ343" s="5">
        <f>IF(AI343&gt;12.7,IF(AI343&gt;15.8,0.93,0.98),1)</f>
        <v/>
      </c>
      <c r="AK343" s="5">
        <f>(1.5*AG343+AH343)*AJ343*AQ343</f>
        <v/>
      </c>
      <c r="AL343" s="4">
        <f>D343</f>
        <v/>
      </c>
      <c r="AM343" s="8">
        <f>B343</f>
        <v/>
      </c>
      <c r="AO343" s="61">
        <f>IF(Z343&lt;2.81,0,IF(AK343&gt;13.7,IF(Z343&lt;140,1,0),0))</f>
        <v/>
      </c>
      <c r="AP343" s="7">
        <f>IF(AK343&gt;13.93,IF(Z343&lt;140,IF(Z343&lt;35,IF(Z343&lt;6,3,2),1),0),0)</f>
        <v/>
      </c>
      <c r="AR343" s="7">
        <f>IF(AO343=1,IF(AO343=AL343,1,0),5)</f>
        <v/>
      </c>
      <c r="AZ343" s="4">
        <f>IF(AY343&lt;-50,-4,IF(AY343&lt;-20,-2,IF(AY343&lt;0,-1,IF(AY343=0,0,IF(AY343&lt;10,1.5,IF(AY343&lt;20,2,IF(AY343&gt;19,2.5,2.5)))))))</f>
        <v/>
      </c>
    </row>
    <row r="344" ht="12.75" customHeight="1">
      <c r="G344" s="5">
        <f>100*(F344-E344)/F344</f>
        <v/>
      </c>
      <c r="P344" s="5">
        <f>O344/I344</f>
        <v/>
      </c>
      <c r="Y344" t="n">
        <v>70</v>
      </c>
      <c r="AA344" s="5">
        <f>IF(X344&lt;50,IF(Y344&gt;(2.3*X344),0,1),1)-IF(Z344&gt;Y344,1.7,0)</f>
        <v/>
      </c>
      <c r="AC344" s="5">
        <f>IF(AB344&gt;4,1,0)+IF(AB344&gt;10,0.7,0)</f>
        <v/>
      </c>
      <c r="AG344" s="6">
        <f>IF(G344&lt;52,0,0.7)+IF(G344&lt;34,0,0.7)+IF(G344&lt;1,0,0.7)+IF(P344&gt;14.56,0,1)+IF(R344&lt;9,0.5,0)+IF(R344&lt;33.8,0.5,0)+IF(R344&lt;50,0.5,0)+IF(R344&lt;80,0.5,0)+IF(S344=5,0,S344)+IF(V344&gt;0,1,-1)+IF(AE344&lt;10.56,0,1)-IF(AE344&lt;3,1,0)-IF(AE344&lt;1,1,0)</f>
        <v/>
      </c>
      <c r="AH344" s="5">
        <f>AG344+IF(X344&lt;1.35,0,1)+IF(Y344&lt;1.35,0,1)+IF(Y344&lt;0.7,-1,0)+AC344+AA344</f>
        <v/>
      </c>
      <c r="AJ344" s="5">
        <f>IF(AI344&gt;12.7,IF(AI344&gt;15.8,0.93,0.98),1)</f>
        <v/>
      </c>
      <c r="AK344" s="5">
        <f>(1.5*AG344+AH344)*AJ344*AQ344</f>
        <v/>
      </c>
      <c r="AL344" s="4">
        <f>D344</f>
        <v/>
      </c>
      <c r="AM344" s="8">
        <f>B344</f>
        <v/>
      </c>
      <c r="AO344" s="61">
        <f>IF(Z344&lt;2.81,0,IF(AK344&gt;13.7,IF(Z344&lt;140,1,0),0))</f>
        <v/>
      </c>
      <c r="AP344" s="7">
        <f>IF(AK344&gt;13.93,IF(Z344&lt;140,IF(Z344&lt;35,IF(Z344&lt;6,3,2),1),0),0)</f>
        <v/>
      </c>
      <c r="AR344" s="7">
        <f>IF(AO344=1,IF(AO344=AL344,1,0),5)</f>
        <v/>
      </c>
      <c r="AZ344" s="4">
        <f>IF(AY344&lt;-50,-4,IF(AY344&lt;-20,-2,IF(AY344&lt;0,-1,IF(AY344=0,0,IF(AY344&lt;10,1.5,IF(AY344&lt;20,2,IF(AY344&gt;19,2.5,2.5)))))))</f>
        <v/>
      </c>
    </row>
    <row r="345" ht="12.75" customHeight="1">
      <c r="G345" s="5">
        <f>100*(F345-E345)/F345</f>
        <v/>
      </c>
      <c r="P345" s="5">
        <f>O345/I345</f>
        <v/>
      </c>
      <c r="Y345" t="n">
        <v>70</v>
      </c>
      <c r="AA345" s="5">
        <f>IF(X345&lt;50,IF(Y345&gt;(2.3*X345),0,1),1)-IF(Z345&gt;Y345,1.7,0)</f>
        <v/>
      </c>
      <c r="AC345" s="5">
        <f>IF(AB345&gt;4,1,0)+IF(AB345&gt;10,0.7,0)</f>
        <v/>
      </c>
      <c r="AG345" s="6">
        <f>IF(G345&lt;52,0,0.7)+IF(G345&lt;34,0,0.7)+IF(G345&lt;1,0,0.7)+IF(P345&gt;14.56,0,1)+IF(R345&lt;9,0.5,0)+IF(R345&lt;33.8,0.5,0)+IF(R345&lt;50,0.5,0)+IF(R345&lt;80,0.5,0)+IF(S345=5,0,S345)+IF(V345&gt;0,1,-1)+IF(AE345&lt;10.56,0,1)-IF(AE345&lt;3,1,0)-IF(AE345&lt;1,1,0)</f>
        <v/>
      </c>
      <c r="AH345" s="5">
        <f>AG345+IF(X345&lt;1.35,0,1)+IF(Y345&lt;1.35,0,1)+IF(Y345&lt;0.7,-1,0)+AC345+AA345</f>
        <v/>
      </c>
      <c r="AJ345" s="5">
        <f>IF(AI345&gt;12.7,IF(AI345&gt;15.8,0.93,0.98),1)</f>
        <v/>
      </c>
      <c r="AK345" s="5">
        <f>(1.5*AG345+AH345)*AJ345*AQ345</f>
        <v/>
      </c>
      <c r="AL345" s="4">
        <f>D345</f>
        <v/>
      </c>
      <c r="AM345" s="8">
        <f>B345</f>
        <v/>
      </c>
      <c r="AO345" s="61">
        <f>IF(Z345&lt;2.81,0,IF(AK345&gt;13.7,IF(Z345&lt;140,1,0),0))</f>
        <v/>
      </c>
      <c r="AP345" s="7">
        <f>IF(AK345&gt;13.93,IF(Z345&lt;140,IF(Z345&lt;35,IF(Z345&lt;6,3,2),1),0),0)</f>
        <v/>
      </c>
      <c r="AR345" s="7">
        <f>IF(AO345=1,IF(AO345=AL345,1,0),5)</f>
        <v/>
      </c>
      <c r="AZ345" s="4">
        <f>IF(AY345&lt;-50,-4,IF(AY345&lt;-20,-2,IF(AY345&lt;0,-1,IF(AY345=0,0,IF(AY345&lt;10,1.5,IF(AY345&lt;20,2,IF(AY345&gt;19,2.5,2.5)))))))</f>
        <v/>
      </c>
    </row>
    <row r="346" ht="12.75" customHeight="1">
      <c r="G346" s="5">
        <f>100*(F346-E346)/F346</f>
        <v/>
      </c>
      <c r="P346" s="5">
        <f>O346/I346</f>
        <v/>
      </c>
      <c r="Y346" t="n">
        <v>70</v>
      </c>
      <c r="AA346" s="5">
        <f>IF(X346&lt;50,IF(Y346&gt;(2.3*X346),0,1),1)-IF(Z346&gt;Y346,1.7,0)</f>
        <v/>
      </c>
      <c r="AC346" s="5">
        <f>IF(AB346&gt;4,1,0)+IF(AB346&gt;10,0.7,0)</f>
        <v/>
      </c>
      <c r="AG346" s="6">
        <f>IF(G346&lt;52,0,0.7)+IF(G346&lt;34,0,0.7)+IF(G346&lt;1,0,0.7)+IF(P346&gt;14.56,0,1)+IF(R346&lt;9,0.5,0)+IF(R346&lt;33.8,0.5,0)+IF(R346&lt;50,0.5,0)+IF(R346&lt;80,0.5,0)+IF(S346=5,0,S346)+IF(V346&gt;0,1,-1)+IF(AE346&lt;10.56,0,1)-IF(AE346&lt;3,1,0)-IF(AE346&lt;1,1,0)</f>
        <v/>
      </c>
      <c r="AH346" s="5">
        <f>AG346+IF(X346&lt;1.35,0,1)+IF(Y346&lt;1.35,0,1)+IF(Y346&lt;0.7,-1,0)+AC346+AA346</f>
        <v/>
      </c>
      <c r="AJ346" s="5">
        <f>IF(AI346&gt;12.7,IF(AI346&gt;15.8,0.93,0.98),1)</f>
        <v/>
      </c>
      <c r="AK346" s="5">
        <f>(1.5*AG346+AH346)*AJ346*AQ346</f>
        <v/>
      </c>
      <c r="AL346" s="4">
        <f>D346</f>
        <v/>
      </c>
      <c r="AM346" s="8">
        <f>B346</f>
        <v/>
      </c>
      <c r="AO346" s="61">
        <f>IF(Z346&lt;2.81,0,IF(AK346&gt;13.7,IF(Z346&lt;140,1,0),0))</f>
        <v/>
      </c>
      <c r="AP346" s="7">
        <f>IF(AK346&gt;13.93,IF(Z346&lt;140,IF(Z346&lt;35,IF(Z346&lt;6,3,2),1),0),0)</f>
        <v/>
      </c>
      <c r="AR346" s="7">
        <f>IF(AO346=1,IF(AO346=AL346,1,0),5)</f>
        <v/>
      </c>
      <c r="AZ346" s="4">
        <f>IF(AY346&lt;-50,-4,IF(AY346&lt;-20,-2,IF(AY346&lt;0,-1,IF(AY346=0,0,IF(AY346&lt;10,1.5,IF(AY346&lt;20,2,IF(AY346&gt;19,2.5,2.5)))))))</f>
        <v/>
      </c>
    </row>
    <row r="347" ht="12.75" customHeight="1">
      <c r="G347" s="5">
        <f>100*(F347-E347)/F347</f>
        <v/>
      </c>
      <c r="P347" s="5">
        <f>O347/I347</f>
        <v/>
      </c>
      <c r="Y347" t="n">
        <v>70</v>
      </c>
      <c r="AA347" s="5">
        <f>IF(X347&lt;50,IF(Y347&gt;(2.3*X347),0,1),1)-IF(Z347&gt;Y347,1.7,0)</f>
        <v/>
      </c>
      <c r="AC347" s="5">
        <f>IF(AB347&gt;4,1,0)+IF(AB347&gt;10,0.7,0)</f>
        <v/>
      </c>
      <c r="AG347" s="6">
        <f>IF(G347&lt;52,0,0.7)+IF(G347&lt;34,0,0.7)+IF(G347&lt;1,0,0.7)+IF(P347&gt;14.56,0,1)+IF(R347&lt;9,0.5,0)+IF(R347&lt;33.8,0.5,0)+IF(R347&lt;50,0.5,0)+IF(R347&lt;80,0.5,0)+IF(S347=5,0,S347)+IF(V347&gt;0,1,-1)+IF(AE347&lt;10.56,0,1)-IF(AE347&lt;3,1,0)-IF(AE347&lt;1,1,0)</f>
        <v/>
      </c>
      <c r="AH347" s="5">
        <f>AG347+IF(X347&lt;1.35,0,1)+IF(Y347&lt;1.35,0,1)+IF(Y347&lt;0.7,-1,0)+AC347+AA347</f>
        <v/>
      </c>
      <c r="AJ347" s="5">
        <f>IF(AI347&gt;12.7,IF(AI347&gt;15.8,0.93,0.98),1)</f>
        <v/>
      </c>
      <c r="AK347" s="5">
        <f>(1.5*AG347+AH347)*AJ347*AQ347</f>
        <v/>
      </c>
      <c r="AL347" s="4">
        <f>D347</f>
        <v/>
      </c>
      <c r="AM347" s="8">
        <f>B347</f>
        <v/>
      </c>
      <c r="AO347" s="61">
        <f>IF(Z347&lt;2.81,0,IF(AK347&gt;13.7,IF(Z347&lt;140,1,0),0))</f>
        <v/>
      </c>
      <c r="AP347" s="7">
        <f>IF(AK347&gt;13.93,IF(Z347&lt;140,IF(Z347&lt;35,IF(Z347&lt;6,3,2),1),0),0)</f>
        <v/>
      </c>
      <c r="AR347" s="7">
        <f>IF(AO347=1,IF(AO347=AL347,1,0),5)</f>
        <v/>
      </c>
      <c r="AZ347" s="4">
        <f>IF(AY347&lt;-50,-4,IF(AY347&lt;-20,-2,IF(AY347&lt;0,-1,IF(AY347=0,0,IF(AY347&lt;10,1.5,IF(AY347&lt;20,2,IF(AY347&gt;19,2.5,2.5)))))))</f>
        <v/>
      </c>
    </row>
    <row r="348" ht="12.75" customHeight="1">
      <c r="G348" s="5">
        <f>100*(F348-E348)/F348</f>
        <v/>
      </c>
      <c r="P348" s="5">
        <f>O348/I348</f>
        <v/>
      </c>
      <c r="Y348" t="n">
        <v>70</v>
      </c>
      <c r="AA348" s="5">
        <f>IF(X348&lt;50,IF(Y348&gt;(2.3*X348),0,1),1)-IF(Z348&gt;Y348,1.7,0)</f>
        <v/>
      </c>
      <c r="AC348" s="5">
        <f>IF(AB348&gt;4,1,0)+IF(AB348&gt;10,0.7,0)</f>
        <v/>
      </c>
      <c r="AG348" s="6">
        <f>IF(G348&lt;52,0,0.7)+IF(G348&lt;34,0,0.7)+IF(G348&lt;1,0,0.7)+IF(P348&gt;14.56,0,1)+IF(R348&lt;9,0.5,0)+IF(R348&lt;33.8,0.5,0)+IF(R348&lt;50,0.5,0)+IF(R348&lt;80,0.5,0)+IF(S348=5,0,S348)+IF(V348&gt;0,1,-1)+IF(AE348&lt;10.56,0,1)-IF(AE348&lt;3,1,0)-IF(AE348&lt;1,1,0)</f>
        <v/>
      </c>
      <c r="AH348" s="5">
        <f>AG348+IF(X348&lt;1.35,0,1)+IF(Y348&lt;1.35,0,1)+IF(Y348&lt;0.7,-1,0)+AC348+AA348</f>
        <v/>
      </c>
      <c r="AJ348" s="5">
        <f>IF(AI348&gt;12.7,IF(AI348&gt;15.8,0.93,0.98),1)</f>
        <v/>
      </c>
      <c r="AK348" s="5">
        <f>(1.5*AG348+AH348)*AJ348*AQ348</f>
        <v/>
      </c>
      <c r="AL348" s="4">
        <f>D348</f>
        <v/>
      </c>
      <c r="AM348" s="8">
        <f>B348</f>
        <v/>
      </c>
      <c r="AO348" s="61">
        <f>IF(Z348&lt;2.81,0,IF(AK348&gt;13.7,IF(Z348&lt;140,1,0),0))</f>
        <v/>
      </c>
      <c r="AP348" s="7">
        <f>IF(AK348&gt;13.93,IF(Z348&lt;140,IF(Z348&lt;35,IF(Z348&lt;6,3,2),1),0),0)</f>
        <v/>
      </c>
      <c r="AR348" s="7">
        <f>IF(AO348=1,IF(AO348=AL348,1,0),5)</f>
        <v/>
      </c>
      <c r="AZ348" s="4">
        <f>IF(AY348&lt;-50,-4,IF(AY348&lt;-20,-2,IF(AY348&lt;0,-1,IF(AY348=0,0,IF(AY348&lt;10,1.5,IF(AY348&lt;20,2,IF(AY348&gt;19,2.5,2.5)))))))</f>
        <v/>
      </c>
    </row>
    <row r="349" ht="12.75" customHeight="1">
      <c r="G349" s="5">
        <f>100*(F349-E349)/F349</f>
        <v/>
      </c>
      <c r="P349" s="5">
        <f>O349/I349</f>
        <v/>
      </c>
      <c r="Y349" t="n">
        <v>70</v>
      </c>
      <c r="AA349" s="5">
        <f>IF(X349&lt;50,IF(Y349&gt;(2.3*X349),0,1),1)-IF(Z349&gt;Y349,1.7,0)</f>
        <v/>
      </c>
      <c r="AC349" s="5">
        <f>IF(AB349&gt;4,1,0)+IF(AB349&gt;10,0.7,0)</f>
        <v/>
      </c>
      <c r="AG349" s="6">
        <f>IF(G349&lt;52,0,0.7)+IF(G349&lt;34,0,0.7)+IF(G349&lt;1,0,0.7)+IF(P349&gt;14.56,0,1)+IF(R349&lt;9,0.5,0)+IF(R349&lt;33.8,0.5,0)+IF(R349&lt;50,0.5,0)+IF(R349&lt;80,0.5,0)+IF(S349=5,0,S349)+IF(V349&gt;0,1,-1)+IF(AE349&lt;10.56,0,1)-IF(AE349&lt;3,1,0)-IF(AE349&lt;1,1,0)</f>
        <v/>
      </c>
      <c r="AH349" s="5">
        <f>AG349+IF(X349&lt;1.35,0,1)+IF(Y349&lt;1.35,0,1)+IF(Y349&lt;0.7,-1,0)+AC349+AA349</f>
        <v/>
      </c>
      <c r="AJ349" s="5">
        <f>IF(AI349&gt;12.7,IF(AI349&gt;15.8,0.93,0.98),1)</f>
        <v/>
      </c>
      <c r="AK349" s="5">
        <f>(1.5*AG349+AH349)*AJ349*AQ349</f>
        <v/>
      </c>
      <c r="AL349" s="4">
        <f>D349</f>
        <v/>
      </c>
      <c r="AM349" s="8">
        <f>B349</f>
        <v/>
      </c>
      <c r="AO349" s="61">
        <f>IF(Z349&lt;2.81,0,IF(AK349&gt;13.7,IF(Z349&lt;140,1,0),0))</f>
        <v/>
      </c>
      <c r="AP349" s="7">
        <f>IF(AK349&gt;13.93,IF(Z349&lt;140,IF(Z349&lt;35,IF(Z349&lt;6,3,2),1),0),0)</f>
        <v/>
      </c>
      <c r="AR349" s="7">
        <f>IF(AO349=1,IF(AO349=AL349,1,0),5)</f>
        <v/>
      </c>
      <c r="AZ349" s="4">
        <f>IF(AY349&lt;-50,-4,IF(AY349&lt;-20,-2,IF(AY349&lt;0,-1,IF(AY349=0,0,IF(AY349&lt;10,1.5,IF(AY349&lt;20,2,IF(AY349&gt;19,2.5,2.5)))))))</f>
        <v/>
      </c>
    </row>
    <row r="350" ht="12.75" customHeight="1">
      <c r="G350" s="5">
        <f>100*(F350-E350)/F350</f>
        <v/>
      </c>
      <c r="P350" s="5">
        <f>O350/I350</f>
        <v/>
      </c>
      <c r="Y350" t="n">
        <v>70</v>
      </c>
      <c r="AA350" s="5">
        <f>IF(X350&lt;50,IF(Y350&gt;(2.3*X350),0,1),1)-IF(Z350&gt;Y350,1.7,0)</f>
        <v/>
      </c>
      <c r="AC350" s="5">
        <f>IF(AB350&gt;4,1,0)+IF(AB350&gt;10,0.7,0)</f>
        <v/>
      </c>
      <c r="AG350" s="6">
        <f>IF(G350&lt;52,0,0.7)+IF(G350&lt;34,0,0.7)+IF(G350&lt;1,0,0.7)+IF(P350&gt;14.56,0,1)+IF(R350&lt;9,0.5,0)+IF(R350&lt;33.8,0.5,0)+IF(R350&lt;50,0.5,0)+IF(R350&lt;80,0.5,0)+IF(S350=5,0,S350)+IF(V350&gt;0,1,-1)+IF(AE350&lt;10.56,0,1)-IF(AE350&lt;3,1,0)-IF(AE350&lt;1,1,0)</f>
        <v/>
      </c>
      <c r="AH350" s="5">
        <f>AG350+IF(X350&lt;1.35,0,1)+IF(Y350&lt;1.35,0,1)+IF(Y350&lt;0.7,-1,0)+AC350+AA350</f>
        <v/>
      </c>
      <c r="AJ350" s="5">
        <f>IF(AI350&gt;12.7,IF(AI350&gt;15.8,0.93,0.98),1)</f>
        <v/>
      </c>
      <c r="AK350" s="5">
        <f>(1.5*AG350+AH350)*AJ350*AQ350</f>
        <v/>
      </c>
      <c r="AL350" s="4">
        <f>D350</f>
        <v/>
      </c>
      <c r="AM350" s="8">
        <f>B350</f>
        <v/>
      </c>
      <c r="AO350" s="61">
        <f>IF(Z350&lt;2.81,0,IF(AK350&gt;13.7,IF(Z350&lt;140,1,0),0))</f>
        <v/>
      </c>
      <c r="AP350" s="7">
        <f>IF(AK350&gt;13.93,IF(Z350&lt;140,IF(Z350&lt;35,IF(Z350&lt;6,3,2),1),0),0)</f>
        <v/>
      </c>
      <c r="AR350" s="7">
        <f>IF(AO350=1,IF(AO350=AL350,1,0),5)</f>
        <v/>
      </c>
      <c r="AZ350" s="4">
        <f>IF(AY350&lt;-50,-4,IF(AY350&lt;-20,-2,IF(AY350&lt;0,-1,IF(AY350=0,0,IF(AY350&lt;10,1.5,IF(AY350&lt;20,2,IF(AY350&gt;19,2.5,2.5)))))))</f>
        <v/>
      </c>
    </row>
    <row r="351" ht="12.75" customHeight="1">
      <c r="G351" s="5">
        <f>100*(F351-E351)/F351</f>
        <v/>
      </c>
      <c r="P351" s="5">
        <f>O351/I351</f>
        <v/>
      </c>
      <c r="Y351" t="n">
        <v>70</v>
      </c>
      <c r="AA351" s="5">
        <f>IF(X351&lt;50,IF(Y351&gt;(2.3*X351),0,1),1)-IF(Z351&gt;Y351,1.7,0)</f>
        <v/>
      </c>
      <c r="AC351" s="5">
        <f>IF(AB351&gt;4,1,0)+IF(AB351&gt;10,0.7,0)</f>
        <v/>
      </c>
      <c r="AG351" s="6">
        <f>IF(G351&lt;52,0,0.7)+IF(G351&lt;34,0,0.7)+IF(G351&lt;1,0,0.7)+IF(P351&gt;14.56,0,1)+IF(R351&lt;9,0.5,0)+IF(R351&lt;33.8,0.5,0)+IF(R351&lt;50,0.5,0)+IF(R351&lt;80,0.5,0)+IF(S351=5,0,S351)+IF(V351&gt;0,1,-1)+IF(AE351&lt;10.56,0,1)-IF(AE351&lt;3,1,0)-IF(AE351&lt;1,1,0)</f>
        <v/>
      </c>
      <c r="AH351" s="5">
        <f>AG351+IF(X351&lt;1.35,0,1)+IF(Y351&lt;1.35,0,1)+IF(Y351&lt;0.7,-1,0)+AC351+AA351</f>
        <v/>
      </c>
      <c r="AJ351" s="5">
        <f>IF(AI351&gt;12.7,IF(AI351&gt;15.8,0.93,0.98),1)</f>
        <v/>
      </c>
      <c r="AK351" s="5">
        <f>(1.5*AG351+AH351)*AJ351*AQ351</f>
        <v/>
      </c>
      <c r="AL351" s="4">
        <f>D351</f>
        <v/>
      </c>
      <c r="AM351" s="8">
        <f>B351</f>
        <v/>
      </c>
      <c r="AO351" s="61">
        <f>IF(Z351&lt;2.81,0,IF(AK351&gt;13.7,IF(Z351&lt;140,1,0),0))</f>
        <v/>
      </c>
      <c r="AP351" s="7">
        <f>IF(AK351&gt;13.93,IF(Z351&lt;140,IF(Z351&lt;35,IF(Z351&lt;6,3,2),1),0),0)</f>
        <v/>
      </c>
      <c r="AR351" s="7">
        <f>IF(AO351=1,IF(AO351=AL351,1,0),5)</f>
        <v/>
      </c>
      <c r="AZ351" s="4">
        <f>IF(AY351&lt;-50,-4,IF(AY351&lt;-20,-2,IF(AY351&lt;0,-1,IF(AY351=0,0,IF(AY351&lt;10,1.5,IF(AY351&lt;20,2,IF(AY351&gt;19,2.5,2.5)))))))</f>
        <v/>
      </c>
    </row>
    <row r="352" ht="12.75" customHeight="1">
      <c r="G352" s="5">
        <f>100*(F352-E352)/F352</f>
        <v/>
      </c>
      <c r="P352" s="5">
        <f>O352/I352</f>
        <v/>
      </c>
      <c r="Y352" t="n">
        <v>70</v>
      </c>
      <c r="AA352" s="5">
        <f>IF(X352&lt;50,IF(Y352&gt;(2.3*X352),0,1),1)-IF(Z352&gt;Y352,1.7,0)</f>
        <v/>
      </c>
      <c r="AC352" s="5">
        <f>IF(AB352&gt;4,1,0)+IF(AB352&gt;10,0.7,0)</f>
        <v/>
      </c>
      <c r="AG352" s="6">
        <f>IF(G352&lt;52,0,0.7)+IF(G352&lt;34,0,0.7)+IF(G352&lt;1,0,0.7)+IF(P352&gt;14.56,0,1)+IF(R352&lt;9,0.5,0)+IF(R352&lt;33.8,0.5,0)+IF(R352&lt;50,0.5,0)+IF(R352&lt;80,0.5,0)+IF(S352=5,0,S352)+IF(V352&gt;0,1,-1)+IF(AE352&lt;10.56,0,1)-IF(AE352&lt;3,1,0)-IF(AE352&lt;1,1,0)</f>
        <v/>
      </c>
      <c r="AH352" s="5">
        <f>AG352+IF(X352&lt;1.35,0,1)+IF(Y352&lt;1.35,0,1)+IF(Y352&lt;0.7,-1,0)+AC352+AA352</f>
        <v/>
      </c>
      <c r="AJ352" s="5">
        <f>IF(AI352&gt;12.7,IF(AI352&gt;15.8,0.93,0.98),1)</f>
        <v/>
      </c>
      <c r="AK352" s="5">
        <f>(1.5*AG352+AH352)*AJ352*AQ352</f>
        <v/>
      </c>
      <c r="AL352" s="4">
        <f>D352</f>
        <v/>
      </c>
      <c r="AM352" s="8">
        <f>B352</f>
        <v/>
      </c>
      <c r="AO352" s="61">
        <f>IF(Z352&lt;2.81,0,IF(AK352&gt;13.7,IF(Z352&lt;140,1,0),0))</f>
        <v/>
      </c>
      <c r="AP352" s="7">
        <f>IF(AK352&gt;13.93,IF(Z352&lt;140,IF(Z352&lt;35,IF(Z352&lt;6,3,2),1),0),0)</f>
        <v/>
      </c>
      <c r="AR352" s="7">
        <f>IF(AO352=1,IF(AO352=AL352,1,0),5)</f>
        <v/>
      </c>
      <c r="AZ352" s="4">
        <f>IF(AY352&lt;-50,-4,IF(AY352&lt;-20,-2,IF(AY352&lt;0,-1,IF(AY352=0,0,IF(AY352&lt;10,1.5,IF(AY352&lt;20,2,IF(AY352&gt;19,2.5,2.5)))))))</f>
        <v/>
      </c>
    </row>
    <row r="353" ht="12.75" customHeight="1">
      <c r="G353" s="5">
        <f>100*(F353-E353)/F353</f>
        <v/>
      </c>
      <c r="P353" s="5">
        <f>O353/I353</f>
        <v/>
      </c>
      <c r="Y353" t="n">
        <v>70</v>
      </c>
      <c r="AA353" s="5">
        <f>IF(X353&lt;50,IF(Y353&gt;(2.3*X353),0,1),1)-IF(Z353&gt;Y353,1.7,0)</f>
        <v/>
      </c>
      <c r="AC353" s="5">
        <f>IF(AB353&gt;4,1,0)+IF(AB353&gt;10,0.7,0)</f>
        <v/>
      </c>
      <c r="AG353" s="6">
        <f>IF(G353&lt;52,0,0.7)+IF(G353&lt;34,0,0.7)+IF(G353&lt;1,0,0.7)+IF(P353&gt;14.56,0,1)+IF(R353&lt;9,0.5,0)+IF(R353&lt;33.8,0.5,0)+IF(R353&lt;50,0.5,0)+IF(R353&lt;80,0.5,0)+IF(S353=5,0,S353)+IF(V353&gt;0,1,-1)+IF(AE353&lt;10.56,0,1)-IF(AE353&lt;3,1,0)-IF(AE353&lt;1,1,0)</f>
        <v/>
      </c>
      <c r="AH353" s="5">
        <f>AG353+IF(X353&lt;1.35,0,1)+IF(Y353&lt;1.35,0,1)+IF(Y353&lt;0.7,-1,0)+AC353+AA353</f>
        <v/>
      </c>
      <c r="AJ353" s="5">
        <f>IF(AI353&gt;12.7,IF(AI353&gt;15.8,0.93,0.98),1)</f>
        <v/>
      </c>
      <c r="AK353" s="5">
        <f>(1.5*AG353+AH353)*AJ353*AQ353</f>
        <v/>
      </c>
      <c r="AL353" s="4">
        <f>D353</f>
        <v/>
      </c>
      <c r="AM353" s="8">
        <f>B353</f>
        <v/>
      </c>
      <c r="AO353" s="61">
        <f>IF(Z353&lt;2.81,0,IF(AK353&gt;13.7,IF(Z353&lt;140,1,0),0))</f>
        <v/>
      </c>
      <c r="AP353" s="7">
        <f>IF(AK353&gt;13.93,IF(Z353&lt;140,IF(Z353&lt;35,IF(Z353&lt;6,3,2),1),0),0)</f>
        <v/>
      </c>
      <c r="AR353" s="7">
        <f>IF(AO353=1,IF(AO353=AL353,1,0),5)</f>
        <v/>
      </c>
      <c r="AZ353" s="4">
        <f>IF(AY353&lt;-50,-4,IF(AY353&lt;-20,-2,IF(AY353&lt;0,-1,IF(AY353=0,0,IF(AY353&lt;10,1.5,IF(AY353&lt;20,2,IF(AY353&gt;19,2.5,2.5)))))))</f>
        <v/>
      </c>
    </row>
    <row r="354" ht="12.75" customHeight="1">
      <c r="G354" s="5">
        <f>100*(F354-E354)/F354</f>
        <v/>
      </c>
      <c r="P354" s="5">
        <f>O354/I354</f>
        <v/>
      </c>
      <c r="Y354" t="n">
        <v>70</v>
      </c>
      <c r="AA354" s="5">
        <f>IF(X354&lt;50,IF(Y354&gt;(2.3*X354),0,1),1)-IF(Z354&gt;Y354,1.7,0)</f>
        <v/>
      </c>
      <c r="AC354" s="5">
        <f>IF(AB354&gt;4,1,0)+IF(AB354&gt;10,0.7,0)</f>
        <v/>
      </c>
      <c r="AG354" s="6">
        <f>IF(G354&lt;52,0,0.7)+IF(G354&lt;34,0,0.7)+IF(G354&lt;1,0,0.7)+IF(P354&gt;14.56,0,1)+IF(R354&lt;9,0.5,0)+IF(R354&lt;33.8,0.5,0)+IF(R354&lt;50,0.5,0)+IF(R354&lt;80,0.5,0)+IF(S354=5,0,S354)+IF(V354&gt;0,1,-1)+IF(AE354&lt;10.56,0,1)-IF(AE354&lt;3,1,0)-IF(AE354&lt;1,1,0)</f>
        <v/>
      </c>
      <c r="AH354" s="5">
        <f>AG354+IF(X354&lt;1.35,0,1)+IF(Y354&lt;1.35,0,1)+IF(Y354&lt;0.7,-1,0)+AC354+AA354</f>
        <v/>
      </c>
      <c r="AJ354" s="5">
        <f>IF(AI354&gt;12.7,IF(AI354&gt;15.8,0.93,0.98),1)</f>
        <v/>
      </c>
      <c r="AK354" s="5">
        <f>(1.5*AG354+AH354)*AJ354*AQ354</f>
        <v/>
      </c>
      <c r="AL354" s="4">
        <f>D354</f>
        <v/>
      </c>
      <c r="AM354" s="8">
        <f>B354</f>
        <v/>
      </c>
      <c r="AO354" s="61">
        <f>IF(Z354&lt;2.81,0,IF(AK354&gt;13.7,IF(Z354&lt;140,1,0),0))</f>
        <v/>
      </c>
      <c r="AP354" s="7">
        <f>IF(AK354&gt;13.93,IF(Z354&lt;140,IF(Z354&lt;35,IF(Z354&lt;6,3,2),1),0),0)</f>
        <v/>
      </c>
      <c r="AR354" s="7">
        <f>IF(AO354=1,IF(AO354=AL354,1,0),5)</f>
        <v/>
      </c>
      <c r="AZ354" s="4">
        <f>IF(AY354&lt;-50,-4,IF(AY354&lt;-20,-2,IF(AY354&lt;0,-1,IF(AY354=0,0,IF(AY354&lt;10,1.5,IF(AY354&lt;20,2.5,IF(AY354&gt;19,3,3)))))))</f>
        <v/>
      </c>
    </row>
    <row r="355" ht="12.75" customHeight="1">
      <c r="G355" s="5">
        <f>100*(F355-E355)/F355</f>
        <v/>
      </c>
      <c r="P355" s="5">
        <f>O355/I355</f>
        <v/>
      </c>
      <c r="Y355" t="n">
        <v>70</v>
      </c>
      <c r="AA355" s="5">
        <f>IF(X355&lt;50,IF(Y355&gt;(2.3*X355),0,1),1)-IF(Z355&gt;Y355,1.7,0)</f>
        <v/>
      </c>
      <c r="AC355" s="5">
        <f>IF(AB355&gt;4,1,0)+IF(AB355&gt;10,0.7,0)</f>
        <v/>
      </c>
      <c r="AG355" s="6">
        <f>IF(G355&lt;52,0,0.7)+IF(G355&lt;34,0,0.7)+IF(G355&lt;1,0,0.7)+IF(P355&gt;14.56,0,1)+IF(R355&lt;9,0.5,0)+IF(R355&lt;33.8,0.5,0)+IF(R355&lt;50,0.5,0)+IF(R355&lt;80,0.5,0)+IF(S355=5,0,S355)+IF(V355&gt;0,1,-1)+IF(AE355&lt;10.56,0,1)-IF(AE355&lt;3,1,0)-IF(AE355&lt;1,1,0)</f>
        <v/>
      </c>
      <c r="AH355" s="5">
        <f>AG355+IF(X355&lt;1.35,0,1)+IF(Y355&lt;1.35,0,1)+IF(Y355&lt;0.7,-1,0)+AC355+AA355</f>
        <v/>
      </c>
      <c r="AJ355" s="5">
        <f>IF(AI355&gt;12.7,IF(AI355&gt;15.8,0.93,0.98),1)</f>
        <v/>
      </c>
      <c r="AK355" s="5">
        <f>(1.5*AG355+AH355)*AJ355*AQ355</f>
        <v/>
      </c>
      <c r="AL355" s="4">
        <f>D355</f>
        <v/>
      </c>
      <c r="AM355" s="8">
        <f>B355</f>
        <v/>
      </c>
      <c r="AO355" s="61">
        <f>IF(Z355&lt;2.81,0,IF(AK355&gt;13.7,IF(Z355&lt;140,1,0),0))</f>
        <v/>
      </c>
      <c r="AP355" s="7">
        <f>IF(AK355&gt;13.93,IF(Z355&lt;140,IF(Z355&lt;35,IF(Z355&lt;6,3,2),1),0),0)</f>
        <v/>
      </c>
      <c r="AR355" s="7">
        <f>IF(AO355=1,IF(AO355=AL355,1,0),5)</f>
        <v/>
      </c>
      <c r="AZ355" s="4">
        <f>IF(AY355&lt;-50,-4,IF(AY355&lt;-20,-2,IF(AY355&lt;0,-1,IF(AY355=0,0,IF(AY355&lt;10,1.5,IF(AY355&lt;20,2.5,IF(AY355&gt;19,3,3)))))))</f>
        <v/>
      </c>
    </row>
    <row r="356" ht="12.75" customHeight="1">
      <c r="G356" s="5">
        <f>100*(F356-E356)/F356</f>
        <v/>
      </c>
      <c r="P356" s="5">
        <f>O356/I356</f>
        <v/>
      </c>
      <c r="Y356" t="n">
        <v>70</v>
      </c>
      <c r="AA356" s="5">
        <f>IF(X356&lt;50,IF(Y356&gt;(2.3*X356),0,1),1)-IF(Z356&gt;Y356,1.7,0)</f>
        <v/>
      </c>
      <c r="AC356" s="5">
        <f>IF(AB356&gt;4,1,0)+IF(AB356&gt;10,0.7,0)</f>
        <v/>
      </c>
      <c r="AG356" s="6">
        <f>IF(G356&lt;52,0,0.7)+IF(G356&lt;34,0,0.7)+IF(G356&lt;1,0,0.7)+IF(P356&gt;14.56,0,1)+IF(R356&lt;9,0.5,0)+IF(R356&lt;33.8,0.5,0)+IF(R356&lt;50,0.5,0)+IF(R356&lt;80,0.5,0)+IF(S356=5,0,S356)+IF(V356&gt;0,1,-1)+IF(AE356&lt;10.56,0,1)-IF(AE356&lt;3,1,0)-IF(AE356&lt;1,1,0)</f>
        <v/>
      </c>
      <c r="AH356" s="5">
        <f>AG356+IF(X356&lt;1.35,0,1)+IF(Y356&lt;1.35,0,1)+IF(Y356&lt;0.7,-1,0)+AC356+AA356</f>
        <v/>
      </c>
      <c r="AJ356" s="5">
        <f>IF(AI356&gt;12.7,IF(AI356&gt;15.8,0.93,0.98),1)</f>
        <v/>
      </c>
      <c r="AK356" s="5">
        <f>(1.5*AG356+AH356)*AJ356*AQ356</f>
        <v/>
      </c>
      <c r="AL356" s="4">
        <f>D356</f>
        <v/>
      </c>
      <c r="AM356" s="8">
        <f>B356</f>
        <v/>
      </c>
      <c r="AO356" s="61">
        <f>IF(Z356&lt;2.81,0,IF(AK356&gt;13.7,IF(Z356&lt;140,1,0),0))</f>
        <v/>
      </c>
      <c r="AP356" s="7">
        <f>IF(AK356&gt;13.93,IF(Z356&lt;140,IF(Z356&lt;35,IF(Z356&lt;6,3,2),1),0),0)</f>
        <v/>
      </c>
      <c r="AR356" s="7">
        <f>IF(AL356=AO356,1,0)</f>
        <v/>
      </c>
      <c r="AZ356" s="4">
        <f>IF(AY356&lt;-50,-4,IF(AY356&lt;-20,-2,IF(AY356&lt;0,-1,IF(AY356=0,0,IF(AY356&lt;10,1.5,IF(AY356&lt;20,2.5,IF(AY356&gt;19,3,3)))))))</f>
        <v/>
      </c>
    </row>
    <row r="357" ht="12.75" customHeight="1">
      <c r="G357" s="5">
        <f>100*(F357-E357)/F357</f>
        <v/>
      </c>
      <c r="P357" s="5">
        <f>O357/I357</f>
        <v/>
      </c>
      <c r="Y357" t="n">
        <v>70</v>
      </c>
      <c r="AA357" s="5">
        <f>IF(X357&lt;50,IF(Y357&gt;(2.3*X357),0,1),1)-IF(Z357&gt;Y357,1.7,0)</f>
        <v/>
      </c>
      <c r="AC357" s="5">
        <f>IF(AB357&gt;4,1,0)+IF(AB357&gt;10,0.7,0)</f>
        <v/>
      </c>
      <c r="AG357" s="6">
        <f>IF(G357&lt;52,0,0.7)+IF(G357&lt;34,0,0.7)+IF(G357&lt;1,0,0.7)+IF(P357&gt;14.56,0,1)+IF(R357&lt;9,0.5,0)+IF(R357&lt;33.8,0.5,0)+IF(R357&lt;50,0.5,0)+IF(R357&lt;80,0.5,0)+IF(S357=5,0,S357)+IF(V357&gt;0,1,-1)+IF(AE357&lt;10.56,0,1)-IF(AE357&lt;3,1,0)-IF(AE357&lt;1,1,0)</f>
        <v/>
      </c>
      <c r="AH357" s="5">
        <f>AG357+IF(X357&lt;1.35,0,1)+IF(Y357&lt;1.35,0,1)+IF(Y357&lt;0.7,-1,0)+AC357+AA357</f>
        <v/>
      </c>
      <c r="AJ357" s="5">
        <f>IF(AI357&gt;12.7,IF(AI357&gt;15.8,0.93,0.98),1)</f>
        <v/>
      </c>
      <c r="AK357" s="5">
        <f>(1.5*AG357+AH357)*AJ357*AQ357</f>
        <v/>
      </c>
      <c r="AL357" s="4">
        <f>D357</f>
        <v/>
      </c>
      <c r="AM357" s="8">
        <f>B357</f>
        <v/>
      </c>
      <c r="AO357" s="61">
        <f>IF(Z357&lt;2.81,0,IF(AK357&gt;13.7,IF(Z357&lt;140,1,0),0))</f>
        <v/>
      </c>
      <c r="AP357" s="7">
        <f>IF(AK357&gt;13.93,IF(Z357&lt;140,IF(Z357&lt;35,IF(Z357&lt;6,3,2),1),0),0)</f>
        <v/>
      </c>
      <c r="AR357" s="7">
        <f>IF(AL357=AO357,1,0)</f>
        <v/>
      </c>
      <c r="AZ357" s="4">
        <f>IF(AY357&lt;-50,-4,IF(AY357&lt;-20,-2,IF(AY357&lt;0,-1,IF(AY357=0,0,IF(AY357&lt;10,1.5,IF(AY357&lt;20,2.5,IF(AY357&gt;19,3,3)))))))</f>
        <v/>
      </c>
    </row>
    <row r="358" ht="12.75" customHeight="1">
      <c r="G358" s="5">
        <f>100*(F358-E358)/F358</f>
        <v/>
      </c>
      <c r="P358" s="5">
        <f>O358/I358</f>
        <v/>
      </c>
      <c r="Y358" t="n">
        <v>70</v>
      </c>
      <c r="AA358" s="5">
        <f>IF(X358&lt;50,IF(Y358&gt;(2.3*X358),0,1),1)-IF(Z358&gt;Y358,1.7,0)</f>
        <v/>
      </c>
      <c r="AC358" s="5">
        <f>IF(AB358&gt;4,1,0)+IF(AB358&gt;10,0.7,0)</f>
        <v/>
      </c>
      <c r="AG358" s="6">
        <f>IF(G358&lt;52,0,0.7)+IF(G358&lt;34,0,0.7)+IF(G358&lt;1,0,0.7)+IF(P358&gt;14.56,0,1)+IF(R358&lt;9,0.5,0)+IF(R358&lt;33.8,0.5,0)+IF(R358&lt;50,0.5,0)+IF(R358&lt;80,0.5,0)+IF(S358=5,0,S358)+IF(V358&gt;0,1,-1)+IF(AE358&lt;10.56,0,1)-IF(AE358&lt;3,1,0)-IF(AE358&lt;1,1,0)</f>
        <v/>
      </c>
      <c r="AH358" s="5">
        <f>AG358+IF(X358&lt;1.35,0,1)+IF(Y358&lt;1.35,0,1)+IF(Y358&lt;0.7,-1,0)+AC358+AA358</f>
        <v/>
      </c>
      <c r="AJ358" s="5">
        <f>IF(AI358&gt;12.7,IF(AI358&gt;15.8,0.93,0.98),1)</f>
        <v/>
      </c>
      <c r="AK358" s="5">
        <f>(1.5*AG358+AH358)*AJ358*AQ358</f>
        <v/>
      </c>
      <c r="AL358" s="4">
        <f>D358</f>
        <v/>
      </c>
      <c r="AM358" s="8">
        <f>B358</f>
        <v/>
      </c>
      <c r="AO358" s="61">
        <f>IF(Z358&lt;2.81,0,IF(AK358&gt;13.7,IF(Z358&lt;140,1,0),0))</f>
        <v/>
      </c>
    </row>
    <row r="359" ht="12.75" customHeight="1">
      <c r="G359" s="5">
        <f>100*(F359-E359)/F359</f>
        <v/>
      </c>
      <c r="P359" s="5">
        <f>O359/I359</f>
        <v/>
      </c>
      <c r="Y359" t="n">
        <v>70</v>
      </c>
      <c r="AA359" s="5">
        <f>IF(X359&lt;50,IF(Y359&gt;(2.3*X359),0,1),1)-IF(Z359&gt;Y359,1.7,0)</f>
        <v/>
      </c>
      <c r="AC359" s="5">
        <f>IF(AB359&gt;4,1,0)+IF(AB359&gt;10,0.7,0)</f>
        <v/>
      </c>
      <c r="AG359" s="6">
        <f>IF(G359&lt;52,0,0.7)+IF(G359&lt;34,0,0.7)+IF(G359&lt;1,0,0.7)+IF(P359&gt;14.56,0,1)+IF(R359&lt;9,0.5,0)+IF(R359&lt;33.8,0.5,0)+IF(R359&lt;50,0.5,0)+IF(R359&lt;80,0.5,0)+IF(S359=5,0,S359)+IF(V359&gt;0,1,-1)+IF(AE359&lt;10.56,0,1)-IF(AE359&lt;3,1,0)-IF(AE359&lt;1,1,0)</f>
        <v/>
      </c>
      <c r="AH359" s="5">
        <f>AG359+IF(X359&lt;1.35,0,1)+IF(Y359&lt;1.35,0,1)+IF(Y359&lt;0.7,-1,0)+AC359+AA359</f>
        <v/>
      </c>
      <c r="AJ359" s="5">
        <f>IF(AI359&gt;12.7,IF(AI359&gt;15.8,0.93,0.98),1)</f>
        <v/>
      </c>
      <c r="AK359" s="5">
        <f>(1.5*AG359+AH359)*AJ359*AQ359</f>
        <v/>
      </c>
      <c r="AL359" s="4">
        <f>D359</f>
        <v/>
      </c>
      <c r="AM359" s="8">
        <f>B359</f>
        <v/>
      </c>
      <c r="AO359" s="61">
        <f>IF(Z359&lt;2.81,0,IF(AK359&gt;13.7,IF(Z359&lt;140,1,0),0))</f>
        <v/>
      </c>
    </row>
    <row r="360" ht="12.75" customHeight="1">
      <c r="G360" s="5">
        <f>100*(F360-E360)/F360</f>
        <v/>
      </c>
      <c r="P360" s="5">
        <f>O360/I360</f>
        <v/>
      </c>
      <c r="Y360" t="n">
        <v>70</v>
      </c>
      <c r="AA360" s="5">
        <f>IF(X360&lt;50,IF(Y360&gt;(2.3*X360),0,1),1)-IF(Z360&gt;Y360,1.7,0)</f>
        <v/>
      </c>
      <c r="AC360" s="5">
        <f>IF(AB360&gt;4,1,0)+IF(AB360&gt;10,0.7,0)</f>
        <v/>
      </c>
      <c r="AG360" s="6">
        <f>IF(G360&lt;52,0,0.7)+IF(G360&lt;34,0,0.7)+IF(G360&lt;1,0,0.7)+IF(P360&gt;14.56,0,1)+IF(R360&lt;9,0.5,0)+IF(R360&lt;33.8,0.5,0)+IF(R360&lt;50,0.5,0)+IF(R360&lt;80,0.5,0)+IF(S360=5,0,S360)+IF(V360&gt;0,1,-1)+IF(AE360&lt;10.56,0,1)-IF(AE360&lt;3,1,0)-IF(AE360&lt;1,1,0)</f>
        <v/>
      </c>
      <c r="AH360" s="5">
        <f>AG360+IF(X360&lt;1.35,0,1)+IF(Y360&lt;1.35,0,1)+IF(Y360&lt;0.7,-1,0)+AC360+AA360</f>
        <v/>
      </c>
      <c r="AJ360" s="5">
        <f>IF(AI360&gt;12.7,IF(AI360&gt;15.8,0.93,0.98),1)</f>
        <v/>
      </c>
      <c r="AK360" s="5">
        <f>(1.5*AG360+AH360)*AJ360*AQ360</f>
        <v/>
      </c>
      <c r="AL360" s="4">
        <f>D360</f>
        <v/>
      </c>
      <c r="AM360" s="8">
        <f>B360</f>
        <v/>
      </c>
      <c r="AO360" s="61">
        <f>IF(Z360&lt;2.81,0,IF(AK360&gt;13.7,IF(Z360&lt;140,1,0),0))</f>
        <v/>
      </c>
    </row>
    <row r="361" ht="12.75" customHeight="1">
      <c r="G361" s="5">
        <f>100*(F361-E361)/F361</f>
        <v/>
      </c>
      <c r="P361" s="5">
        <f>O361/I361</f>
        <v/>
      </c>
      <c r="Y361" t="n">
        <v>70</v>
      </c>
      <c r="AA361" s="5">
        <f>IF(X361&lt;50,IF(Y361&gt;(2.3*X361),0,1),1)-IF(Z361&gt;Y361,1.7,0)</f>
        <v/>
      </c>
      <c r="AC361" s="5">
        <f>IF(AB361&gt;4,1,0)+IF(AB361&gt;10,0.7,0)</f>
        <v/>
      </c>
      <c r="AG361" s="6">
        <f>IF(G361&lt;52,0,0.7)+IF(G361&lt;34,0,0.7)+IF(G361&lt;1,0,0.7)+IF(P361&gt;14.56,0,1)+IF(R361&lt;9,0.5,0)+IF(R361&lt;33.8,0.5,0)+IF(R361&lt;50,0.5,0)+IF(R361&lt;80,0.5,0)+IF(S361=5,0,S361)+IF(V361&gt;0,1,-1)+IF(AE361&lt;10.56,0,1)-IF(AE361&lt;3,1,0)-IF(AE361&lt;1,1,0)</f>
        <v/>
      </c>
      <c r="AH361" s="5">
        <f>AG361+IF(X361&lt;1.35,0,1)+IF(Y361&lt;1.35,0,1)+IF(Y361&lt;0.7,-1,0)+AC361+AA361</f>
        <v/>
      </c>
      <c r="AJ361" s="5">
        <f>IF(AI361&gt;12.7,IF(AI361&gt;15.8,0.93,0.98),1)</f>
        <v/>
      </c>
      <c r="AK361" s="5">
        <f>(1.5*AG361+AH361)*AJ361*AQ361</f>
        <v/>
      </c>
      <c r="AL361" s="4">
        <f>D361</f>
        <v/>
      </c>
      <c r="AM361" s="8">
        <f>B361</f>
        <v/>
      </c>
      <c r="AO361" s="61">
        <f>IF(Z361&lt;2.81,0,IF(AK361&gt;13.7,IF(Z361&lt;140,1,0),0))</f>
        <v/>
      </c>
    </row>
    <row r="362" ht="12.75" customHeight="1">
      <c r="G362" s="5">
        <f>100*(F362-E362)/F362</f>
        <v/>
      </c>
      <c r="P362" s="5">
        <f>O362/I362</f>
        <v/>
      </c>
      <c r="Y362" t="n">
        <v>70</v>
      </c>
      <c r="AA362" s="5">
        <f>IF(X362&lt;50,IF(Y362&gt;(2.3*X362),0,1),1)-IF(Z362&gt;Y362,1.7,0)</f>
        <v/>
      </c>
      <c r="AC362" s="5">
        <f>IF(AB362&gt;4,1,0)+IF(AB362&gt;10,0.7,0)</f>
        <v/>
      </c>
      <c r="AG362" s="6">
        <f>IF(G362&lt;52,0,0.7)+IF(G362&lt;34,0,0.7)+IF(G362&lt;1,0,0.7)+IF(P362&gt;14.56,0,1)+IF(R362&lt;9,0.5,0)+IF(R362&lt;33.8,0.5,0)+IF(R362&lt;50,0.5,0)+IF(R362&lt;80,0.5,0)+IF(S362=5,0,S362)+IF(V362&gt;0,1,-1)+IF(AE362&lt;10.56,0,1)-IF(AE362&lt;3,1,0)-IF(AE362&lt;1,1,0)</f>
        <v/>
      </c>
      <c r="AH362" s="5">
        <f>AG362+IF(X362&lt;1.35,0,1)+IF(Y362&lt;1.35,0,1)+IF(Y362&lt;0.7,-1,0)+AC362+AA362</f>
        <v/>
      </c>
      <c r="AJ362" s="5">
        <f>IF(AI362&gt;12.7,IF(AI362&gt;15.8,0.93,0.98),1)</f>
        <v/>
      </c>
      <c r="AK362" s="5">
        <f>(1.5*AG362+AH362)*AJ362*AQ362</f>
        <v/>
      </c>
      <c r="AL362" s="4">
        <f>D362</f>
        <v/>
      </c>
      <c r="AM362" s="8">
        <f>B362</f>
        <v/>
      </c>
      <c r="AO362" s="61">
        <f>IF(Z362&lt;2.81,0,IF(AK362&gt;13.7,IF(Z362&lt;140,1,0),0))</f>
        <v/>
      </c>
    </row>
    <row r="363" ht="12.75" customHeight="1">
      <c r="G363" s="5">
        <f>100*(F363-E363)/F363</f>
        <v/>
      </c>
      <c r="P363" s="5">
        <f>O363/I363</f>
        <v/>
      </c>
      <c r="Y363" t="n">
        <v>70</v>
      </c>
      <c r="AA363" s="5">
        <f>IF(X363&lt;50,IF(Y363&gt;(2.3*X363),0,1),1)-IF(Z363&gt;Y363,1.7,0)</f>
        <v/>
      </c>
      <c r="AC363" s="5">
        <f>IF(AB363&gt;4,1,0)+IF(AB363&gt;10,0.7,0)</f>
        <v/>
      </c>
      <c r="AG363" s="6">
        <f>IF(G363&lt;52,0,0.7)+IF(G363&lt;34,0,0.7)+IF(G363&lt;1,0,0.7)+IF(P363&gt;14.56,0,1)+IF(R363&lt;9,0.5,0)+IF(R363&lt;33.8,0.5,0)+IF(R363&lt;50,0.5,0)+IF(R363&lt;80,0.5,0)+IF(S363=5,0,S363)+IF(V363&gt;0,1,-1)+IF(AE363&lt;10.56,0,1)-IF(AE363&lt;3,1,0)-IF(AE363&lt;1,1,0)</f>
        <v/>
      </c>
      <c r="AH363" s="5">
        <f>AG363+IF(X363&lt;1.35,0,1)+IF(Y363&lt;1.35,0,1)+IF(Y363&lt;0.7,-1,0)+AC363+AA363</f>
        <v/>
      </c>
      <c r="AJ363" s="5">
        <f>IF(AI363&gt;12.7,IF(AI363&gt;15.8,0.93,0.98),1)</f>
        <v/>
      </c>
      <c r="AK363" s="5">
        <f>(1.5*AG363+AH363)*AJ363*AQ363</f>
        <v/>
      </c>
      <c r="AL363" s="4">
        <f>D363</f>
        <v/>
      </c>
      <c r="AM363" s="8">
        <f>B363</f>
        <v/>
      </c>
      <c r="AO363" s="61">
        <f>IF(Z363&lt;2.81,0,IF(AK363&gt;13.7,IF(Z363&lt;140,1,0),0))</f>
        <v/>
      </c>
    </row>
    <row r="364" ht="12.75" customHeight="1">
      <c r="G364" s="5">
        <f>100*(F364-E364)/F364</f>
        <v/>
      </c>
      <c r="P364" s="5">
        <f>O364/I364</f>
        <v/>
      </c>
      <c r="AA364" s="5">
        <f>IF(X364&lt;50,IF(Y364&gt;(2.3*X364),0,1),1)-IF(Z364&gt;Y364,1.7,0)</f>
        <v/>
      </c>
      <c r="AC364" s="5">
        <f>IF(AB364&gt;4,1,0)+IF(AB364&gt;10,0.7,0)</f>
        <v/>
      </c>
      <c r="AG364" s="6">
        <f>IF(G364&lt;52,0,0.7)+IF(G364&lt;34,0,0.7)+IF(G364&lt;1,0,0.7)+IF(P364&gt;14.56,0,1)+IF(R364&lt;9,0.5,0)+IF(R364&lt;33.8,0.5,0)+IF(R364&lt;50,0.5,0)+IF(R364&lt;80,0.5,0)+IF(S364=5,0,S364)+IF(V364&gt;0,1,-1)+IF(AE364&lt;10.56,0,1)-IF(AE364&lt;3,1,0)-IF(AE364&lt;1,1,0)</f>
        <v/>
      </c>
      <c r="AH364" s="5">
        <f>AG364+IF(X364&lt;1.35,0,1)+IF(Y364&lt;1.35,0,1)+IF(Y364&lt;0.7,-1,0)+AC364+AA364</f>
        <v/>
      </c>
      <c r="AJ364" s="5">
        <f>IF(AI364&gt;12.7,IF(AI364&gt;15.8,0.93,0.98),1)</f>
        <v/>
      </c>
      <c r="AK364" s="5">
        <f>(1.5*AG364+AH364)*AJ364*AQ364</f>
        <v/>
      </c>
      <c r="AL364" s="4">
        <f>D364</f>
        <v/>
      </c>
      <c r="AM364" s="8">
        <f>B364</f>
        <v/>
      </c>
      <c r="AO364" s="61">
        <f>IF(Z364&lt;2.81,0,IF(AK364&gt;13.7,IF(Z364&lt;140,1,0),0))</f>
        <v/>
      </c>
    </row>
    <row r="365" ht="12.75" customHeight="1">
      <c r="G365" s="5">
        <f>100*(F365-E365)/F365</f>
        <v/>
      </c>
      <c r="P365" s="5">
        <f>O365/I365</f>
        <v/>
      </c>
      <c r="AA365" s="5">
        <f>IF(X365&lt;50,IF(Y365&gt;(2.3*X365),0,1),1)-IF(Z365&gt;Y365,1.7,0)</f>
        <v/>
      </c>
      <c r="AC365" s="5">
        <f>IF(AB365&gt;4,1,0)+IF(AB365&gt;10,0.7,0)</f>
        <v/>
      </c>
      <c r="AG365" s="6">
        <f>IF(G365&lt;52,0,0.7)+IF(G365&lt;34,0,0.7)+IF(G365&lt;1,0,0.7)+IF(P365&gt;14.56,0,1)+IF(R365&lt;9,0.5,0)+IF(R365&lt;33.8,0.5,0)+IF(R365&lt;50,0.5,0)+IF(R365&lt;80,0.5,0)+IF(S365=5,0,S365)+IF(V365&gt;0,1,-1)+IF(AE365&lt;10.56,0,1)-IF(AE365&lt;3,1,0)-IF(AE365&lt;1,1,0)</f>
        <v/>
      </c>
      <c r="AH365" s="5">
        <f>AG365+IF(X365&lt;1.35,0,1)+IF(Y365&lt;1.35,0,1)+IF(Y365&lt;0.7,-1,0)+AC365+AA365</f>
        <v/>
      </c>
      <c r="AJ365" s="5">
        <f>IF(AI365&gt;12.7,IF(AI365&gt;15.8,0.93,0.98),1)</f>
        <v/>
      </c>
      <c r="AK365" s="5">
        <f>(1.5*AG365+AH365)*AJ365*AQ365</f>
        <v/>
      </c>
      <c r="AL365" s="4">
        <f>D365</f>
        <v/>
      </c>
      <c r="AM365" s="8">
        <f>B365</f>
        <v/>
      </c>
      <c r="AO365" s="61">
        <f>IF(Z365&lt;2.81,0,IF(AK365&gt;13.7,IF(Z365&lt;140,1,0),0))</f>
        <v/>
      </c>
    </row>
    <row r="366" ht="12.75" customHeight="1">
      <c r="G366" s="5">
        <f>100*(F366-E366)/F366</f>
        <v/>
      </c>
      <c r="P366" s="5">
        <f>O366/I366</f>
        <v/>
      </c>
      <c r="AA366" s="5">
        <f>IF(X366&lt;50,IF(Y366&gt;(2.3*X366),0,1),1)-IF(Z366&gt;Y366,1.7,0)</f>
        <v/>
      </c>
      <c r="AC366" s="5">
        <f>IF(AB366&gt;4,1,0)+IF(AB366&gt;10,0.7,0)</f>
        <v/>
      </c>
      <c r="AG366" s="6">
        <f>IF(G366&lt;52,0,0.7)+IF(G366&lt;34,0,0.7)+IF(G366&lt;1,0,0.7)+IF(P366&gt;14.56,0,1)+IF(R366&lt;9,0.5,0)+IF(R366&lt;33.8,0.5,0)+IF(R366&lt;50,0.5,0)+IF(R366&lt;80,0.5,0)+IF(S366=5,0,S366)+IF(V366&gt;0,1,-1)+IF(AE366&lt;10.56,0,1)-IF(AE366&lt;3,1,0)-IF(AE366&lt;1,1,0)</f>
        <v/>
      </c>
      <c r="AH366" s="5">
        <f>AG366+IF(X366&lt;1.35,0,1)+IF(Y366&lt;1.35,0,1)+IF(Y366&lt;0.7,-1,0)+AC366+AA366</f>
        <v/>
      </c>
      <c r="AJ366" s="5">
        <f>IF(AI366&gt;12.7,IF(AI366&gt;15.8,0.93,0.98),1)</f>
        <v/>
      </c>
      <c r="AK366" s="5">
        <f>(1.5*AG366+AH366)*AJ366*AQ366</f>
        <v/>
      </c>
      <c r="AL366" s="4">
        <f>D366</f>
        <v/>
      </c>
      <c r="AM366" s="8">
        <f>B366</f>
        <v/>
      </c>
      <c r="AO366" s="61">
        <f>IF(Z366&lt;2.81,0,IF(AK366&gt;13.7,IF(Z366&lt;140,1,0),0))</f>
        <v/>
      </c>
    </row>
    <row r="367" ht="12.75" customHeight="1">
      <c r="G367" s="5">
        <f>100*(F367-E367)/F367</f>
        <v/>
      </c>
      <c r="P367" s="5">
        <f>O367/I367</f>
        <v/>
      </c>
      <c r="AA367" s="5">
        <f>IF(X367&lt;50,IF(Y367&gt;(2.3*X367),0,1),1)-IF(Z367&gt;Y367,1.7,0)</f>
        <v/>
      </c>
      <c r="AC367" s="5">
        <f>IF(AB367&gt;4,1,0)+IF(AB367&gt;10,0.7,0)</f>
        <v/>
      </c>
      <c r="AG367" s="6">
        <f>IF(G367&lt;52,0,0.7)+IF(G367&lt;34,0,0.7)+IF(G367&lt;1,0,0.7)+IF(P367&gt;14.56,0,1)+IF(R367&lt;9,0.5,0)+IF(R367&lt;33.8,0.5,0)+IF(R367&lt;50,0.5,0)+IF(R367&lt;80,0.5,0)+IF(S367=5,0,S367)+IF(V367&gt;0,1,-1)+IF(AE367&lt;10.56,0,1)-IF(AE367&lt;3,1,0)-IF(AE367&lt;1,1,0)</f>
        <v/>
      </c>
      <c r="AH367" s="5">
        <f>AG367+IF(X367&lt;1.35,0,1)+IF(Y367&lt;1.35,0,1)+IF(Y367&lt;0.7,-1,0)+AC367+AA367</f>
        <v/>
      </c>
      <c r="AJ367" s="5">
        <f>IF(AI367&gt;12.7,IF(AI367&gt;15.8,0.93,0.98),1)</f>
        <v/>
      </c>
      <c r="AK367" s="5">
        <f>(1.5*AG367+AH367)*AJ367*AQ367</f>
        <v/>
      </c>
      <c r="AL367" s="4">
        <f>D367</f>
        <v/>
      </c>
      <c r="AM367" s="8">
        <f>B367</f>
        <v/>
      </c>
      <c r="AO367" s="61">
        <f>IF(Z367&lt;2.81,0,IF(AK367&gt;13.7,IF(Z367&lt;140,1,0),0))</f>
        <v/>
      </c>
    </row>
    <row r="368" ht="12.75" customHeight="1">
      <c r="G368" s="5">
        <f>100*(F368-E368)/F368</f>
        <v/>
      </c>
      <c r="P368" s="5">
        <f>O368/I368</f>
        <v/>
      </c>
      <c r="AA368" s="5">
        <f>IF(X368&lt;50,IF(Y368&gt;(2.3*X368),0,1),1)-IF(Z368&gt;Y368,1.7,0)</f>
        <v/>
      </c>
      <c r="AC368" s="5">
        <f>IF(AB368&gt;4,1,0)+IF(AB368&gt;10,0.7,0)</f>
        <v/>
      </c>
      <c r="AG368" s="6">
        <f>IF(G368&lt;52,0,0.7)+IF(G368&lt;34,0,0.7)+IF(G368&lt;1,0,0.7)+IF(P368&gt;14.56,0,1)+IF(R368&lt;9,0.5,0)+IF(R368&lt;33.8,0.5,0)+IF(R368&lt;50,0.5,0)+IF(R368&lt;80,0.5,0)+IF(S368=5,0,S368)+IF(V368&gt;0,1,-1)+IF(AE368&lt;10.56,0,1)-IF(AE368&lt;3,1,0)-IF(AE368&lt;1,1,0)</f>
        <v/>
      </c>
      <c r="AH368" s="5">
        <f>AG368+IF(X368&lt;1.35,0,1)+IF(Y368&lt;1.35,0,1)+IF(Y368&lt;0.7,-1,0)+AC368+AA368</f>
        <v/>
      </c>
      <c r="AJ368" s="5">
        <f>IF(AI368&gt;12.7,IF(AI368&gt;15.8,0.93,0.98),1)</f>
        <v/>
      </c>
      <c r="AK368" s="5">
        <f>(1.5*AG368+AH368)*AJ368*AQ368</f>
        <v/>
      </c>
      <c r="AL368" s="4">
        <f>D368</f>
        <v/>
      </c>
      <c r="AM368" s="8">
        <f>B368</f>
        <v/>
      </c>
      <c r="AO368" s="61">
        <f>IF(Z368&lt;2.81,0,IF(AK368&gt;13.7,IF(Z368&lt;140,1,0),0))</f>
        <v/>
      </c>
    </row>
    <row r="369" ht="12.75" customHeight="1">
      <c r="G369" s="5">
        <f>100*(F369-E369)/F369</f>
        <v/>
      </c>
      <c r="P369" s="5">
        <f>O369/I369</f>
        <v/>
      </c>
      <c r="AA369" s="5">
        <f>IF(X369&lt;50,IF(Y369&gt;(2.3*X369),0,1),1)-IF(Z369&gt;Y369,1.7,0)</f>
        <v/>
      </c>
      <c r="AC369" s="5">
        <f>IF(AB369&gt;4,1,0)+IF(AB369&gt;10,0.7,0)</f>
        <v/>
      </c>
      <c r="AG369" s="6">
        <f>IF(G369&lt;52,0,0.7)+IF(G369&lt;34,0,0.7)+IF(G369&lt;1,0,0.7)+IF(P369&gt;14.56,0,1)+IF(R369&lt;9,0.5,0)+IF(R369&lt;33.8,0.5,0)+IF(R369&lt;50,0.5,0)+IF(R369&lt;80,0.5,0)+IF(S369=5,0,S369)+IF(V369&gt;0,1,-1)+IF(AE369&lt;10.56,0,1)-IF(AE369&lt;3,1,0)-IF(AE369&lt;1,1,0)</f>
        <v/>
      </c>
      <c r="AH369" s="5">
        <f>AG369+IF(X369&lt;1.35,0,1)+IF(Y369&lt;1.35,0,1)+IF(Y369&lt;0.7,-1,0)+AC369+AA369</f>
        <v/>
      </c>
      <c r="AJ369" s="5">
        <f>IF(AI369&gt;12.7,IF(AI369&gt;15.8,0.93,0.98),1)</f>
        <v/>
      </c>
      <c r="AK369" s="5">
        <f>(1.5*AG369+AH369)*AJ369*AQ369</f>
        <v/>
      </c>
      <c r="AL369" s="4">
        <f>D369</f>
        <v/>
      </c>
      <c r="AM369" s="8">
        <f>B369</f>
        <v/>
      </c>
      <c r="AO369" s="61">
        <f>IF(Z369&lt;2.81,0,IF(AK369&gt;13.7,IF(Z369&lt;140,1,0),0))</f>
        <v/>
      </c>
    </row>
    <row r="370" ht="12.75" customHeight="1">
      <c r="G370" s="5">
        <f>100*(F370-E370)/F370</f>
        <v/>
      </c>
      <c r="P370" s="5">
        <f>O370/I370</f>
        <v/>
      </c>
      <c r="AA370" s="5">
        <f>IF(X370&lt;50,IF(Y370&gt;(2.3*X370),0,1),1)-IF(Z370&gt;Y370,1.7,0)</f>
        <v/>
      </c>
      <c r="AC370" s="5">
        <f>IF(AB370&gt;4,1,0)+IF(AB370&gt;10,0.7,0)</f>
        <v/>
      </c>
      <c r="AG370" s="6">
        <f>IF(G370&lt;52,0,0.7)+IF(G370&lt;34,0,0.7)+IF(G370&lt;1,0,0.7)+IF(P370&gt;14.56,0,1)+IF(R370&lt;9,0.5,0)+IF(R370&lt;33.8,0.5,0)+IF(R370&lt;50,0.5,0)+IF(R370&lt;80,0.5,0)+IF(S370=5,0,S370)+IF(V370&gt;0,1,-1)+IF(AE370&lt;10.56,0,1)-IF(AE370&lt;3,1,0)-IF(AE370&lt;1,1,0)</f>
        <v/>
      </c>
      <c r="AH370" s="5">
        <f>AG370+IF(X370&lt;1.35,0,1)+IF(Y370&lt;1.35,0,1)+IF(Y370&lt;0.7,-1,0)+AC370+AA370</f>
        <v/>
      </c>
      <c r="AJ370" s="5">
        <f>IF(AI370&gt;12.7,IF(AI370&gt;15.8,0.93,0.98),1)</f>
        <v/>
      </c>
      <c r="AK370" s="5">
        <f>(1.5*AG370+AH370)*AJ370*AQ370</f>
        <v/>
      </c>
      <c r="AL370" s="4">
        <f>D370</f>
        <v/>
      </c>
      <c r="AM370" s="8">
        <f>B370</f>
        <v/>
      </c>
      <c r="AO370" s="61">
        <f>IF(Z370&lt;2.81,0,IF(AK370&gt;13.7,IF(Z370&lt;140,1,0),0))</f>
        <v/>
      </c>
    </row>
    <row r="371" ht="12.75" customHeight="1">
      <c r="G371" s="5">
        <f>100*(F371-E371)/F371</f>
        <v/>
      </c>
      <c r="P371" s="5">
        <f>O371/I371</f>
        <v/>
      </c>
      <c r="AA371" s="5">
        <f>IF(X371&lt;50,IF(Y371&gt;(2.3*X371),0,1),1)-IF(Z371&gt;Y371,1.7,0)</f>
        <v/>
      </c>
      <c r="AC371" s="5">
        <f>IF(AB371&gt;4,1,0)+IF(AB371&gt;10,0.7,0)</f>
        <v/>
      </c>
      <c r="AG371" s="6">
        <f>IF(G371&lt;52,0,0.7)+IF(G371&lt;34,0,0.7)+IF(G371&lt;1,0,0.7)+IF(P371&gt;14.56,0,1)+IF(R371&lt;9,0.5,0)+IF(R371&lt;33.8,0.5,0)+IF(R371&lt;50,0.5,0)+IF(R371&lt;80,0.5,0)+IF(S371=5,0,S371)+IF(V371&gt;0,1,-1)+IF(AE371&lt;10.56,0,1)-IF(AE371&lt;3,1,0)-IF(AE371&lt;1,1,0)</f>
        <v/>
      </c>
      <c r="AH371" s="5">
        <f>AG371+IF(X371&lt;1.35,0,1)+IF(Y371&lt;1.35,0,1)+IF(Y371&lt;0.7,-1,0)+AC371+AA371</f>
        <v/>
      </c>
      <c r="AJ371" s="5">
        <f>IF(AI371&gt;12.7,IF(AI371&gt;15.8,0.93,0.98),1)</f>
        <v/>
      </c>
      <c r="AK371" s="5">
        <f>(1.5*AG371+AH371)*AJ371*AQ371</f>
        <v/>
      </c>
      <c r="AL371" s="4">
        <f>D371</f>
        <v/>
      </c>
      <c r="AM371" s="8">
        <f>B371</f>
        <v/>
      </c>
      <c r="AO371" s="61">
        <f>IF(Z371&lt;2.81,0,IF(AK371&gt;13.7,IF(Z371&lt;140,1,0),0))</f>
        <v/>
      </c>
    </row>
    <row r="372" ht="12.75" customHeight="1">
      <c r="G372" s="5">
        <f>100*(F372-E372)/F372</f>
        <v/>
      </c>
      <c r="P372" s="5">
        <f>O372/I372</f>
        <v/>
      </c>
      <c r="AA372" s="5">
        <f>IF(X372&lt;50,IF(Y372&gt;(2.3*X372),0,1),1)-IF(Z372&gt;Y372,1.7,0)</f>
        <v/>
      </c>
      <c r="AC372" s="5">
        <f>IF(AB372&gt;4,1,0)+IF(AB372&gt;10,0.7,0)</f>
        <v/>
      </c>
      <c r="AG372" s="6">
        <f>IF(G372&lt;52,0,0.7)+IF(G372&lt;34,0,0.7)+IF(G372&lt;1,0,0.7)+IF(P372&gt;14.56,0,1)+IF(R372&lt;9,0.5,0)+IF(R372&lt;33.8,0.5,0)+IF(R372&lt;50,0.5,0)+IF(R372&lt;80,0.5,0)+IF(S372=5,0,S372)+IF(V372&gt;0,1,-1)+IF(AE372&lt;10.56,0,1)-IF(AE372&lt;3,1,0)-IF(AE372&lt;1,1,0)</f>
        <v/>
      </c>
      <c r="AH372" s="5">
        <f>AG372+IF(X372&lt;1.35,0,1)+IF(Y372&lt;1.35,0,1)+IF(Y372&lt;0.7,-1,0)+AC372+AA372</f>
        <v/>
      </c>
      <c r="AJ372" s="5">
        <f>IF(AI372&gt;12.7,IF(AI372&gt;15.8,0.93,0.98),1)</f>
        <v/>
      </c>
      <c r="AK372" s="5">
        <f>(1.5*AG372+AH372)*AJ372*AQ372</f>
        <v/>
      </c>
      <c r="AL372" s="4">
        <f>D372</f>
        <v/>
      </c>
      <c r="AM372" s="8">
        <f>B372</f>
        <v/>
      </c>
      <c r="AO372" s="61">
        <f>IF(Z372&lt;2.81,0,IF(AK372&gt;13.7,IF(Z372&lt;140,1,0),0))</f>
        <v/>
      </c>
    </row>
    <row r="373" ht="12.75" customHeight="1">
      <c r="G373" s="5">
        <f>100*(F373-E373)/F373</f>
        <v/>
      </c>
      <c r="P373" s="5">
        <f>O373/I373</f>
        <v/>
      </c>
      <c r="AA373" s="5">
        <f>IF(X373&lt;50,IF(Y373&gt;(2.3*X373),0,1),1)-IF(Z373&gt;Y373,1.7,0)</f>
        <v/>
      </c>
      <c r="AC373" s="5">
        <f>IF(AB373&gt;4,1,0)+IF(AB373&gt;10,0.7,0)</f>
        <v/>
      </c>
      <c r="AG373" s="6">
        <f>IF(G373&lt;52,0,0.7)+IF(G373&lt;34,0,0.7)+IF(G373&lt;1,0,0.7)+IF(P373&gt;14.56,0,1)+IF(R373&lt;9,0.5,0)+IF(R373&lt;33.8,0.5,0)+IF(R373&lt;50,0.5,0)+IF(R373&lt;80,0.5,0)+IF(S373=5,0,S373)+IF(V373&gt;0,1,-1)+IF(AE373&lt;10.56,0,1)-IF(AE373&lt;3,1,0)-IF(AE373&lt;1,1,0)</f>
        <v/>
      </c>
      <c r="AH373" s="5">
        <f>AG373+IF(X373&lt;1.35,0,1)+IF(Y373&lt;1.35,0,1)+IF(Y373&lt;0.7,-1,0)+AC373+AA373</f>
        <v/>
      </c>
      <c r="AJ373" s="5">
        <f>IF(AI373&gt;12.7,IF(AI373&gt;15.8,0.93,0.98),1)</f>
        <v/>
      </c>
      <c r="AK373" s="5">
        <f>(1.5*AG373+AH373)*AJ373*AQ373</f>
        <v/>
      </c>
      <c r="AL373" s="4">
        <f>D373</f>
        <v/>
      </c>
      <c r="AM373" s="8">
        <f>B373</f>
        <v/>
      </c>
      <c r="AO373" s="61">
        <f>IF(Z373&lt;2.81,0,IF(AK373&gt;13.7,IF(Z373&lt;140,1,0),0))</f>
        <v/>
      </c>
    </row>
    <row r="374" ht="12.75" customHeight="1">
      <c r="G374" s="5">
        <f>100*(F374-E374)/F374</f>
        <v/>
      </c>
      <c r="P374" s="5">
        <f>O374/I374</f>
        <v/>
      </c>
      <c r="AA374" s="5">
        <f>IF(X374&lt;50,IF(Y374&gt;(2.3*X374),0,1),1)-IF(Z374&gt;Y374,1.7,0)</f>
        <v/>
      </c>
      <c r="AC374" s="5">
        <f>IF(AB374&gt;4,1,0)+IF(AB374&gt;10,0.7,0)</f>
        <v/>
      </c>
      <c r="AG374" s="6">
        <f>IF(G374&lt;52,0,0.7)+IF(G374&lt;34,0,0.7)+IF(G374&lt;1,0,0.7)+IF(P374&gt;14.56,0,1)+IF(R374&lt;9,0.5,0)+IF(R374&lt;33.8,0.5,0)+IF(R374&lt;50,0.5,0)+IF(R374&lt;80,0.5,0)+IF(S374=5,0,S374)+IF(V374&gt;0,1,-1)+IF(AE374&lt;10.56,0,1)-IF(AE374&lt;3,1,0)-IF(AE374&lt;1,1,0)</f>
        <v/>
      </c>
      <c r="AH374" s="5">
        <f>AG374+IF(X374&lt;1.35,0,1)+IF(Y374&lt;1.35,0,1)+IF(Y374&lt;0.7,-1,0)+AC374+AA374</f>
        <v/>
      </c>
      <c r="AJ374" s="5">
        <f>IF(AI374&gt;12.7,IF(AI374&gt;15.8,0.93,0.98),1)</f>
        <v/>
      </c>
      <c r="AK374" s="5">
        <f>(1.5*AG374+AH374)*AJ374*AQ374</f>
        <v/>
      </c>
      <c r="AL374" s="4">
        <f>D374</f>
        <v/>
      </c>
      <c r="AM374" s="8">
        <f>B374</f>
        <v/>
      </c>
      <c r="AO374" s="61">
        <f>IF(Z374&lt;2.81,0,IF(AK374&gt;13.7,IF(Z374&lt;140,1,0),0))</f>
        <v/>
      </c>
    </row>
    <row r="375" ht="12.75" customHeight="1">
      <c r="G375" s="5">
        <f>100*(F375-E375)/F375</f>
        <v/>
      </c>
      <c r="P375" s="5">
        <f>O375/I375</f>
        <v/>
      </c>
      <c r="AA375" s="5">
        <f>IF(X375&lt;50,IF(Y375&gt;(2.3*X375),0,1),1)-IF(Z375&gt;Y375,1.7,0)</f>
        <v/>
      </c>
      <c r="AC375" s="5">
        <f>IF(AB375&gt;4,1,0)+IF(AB375&gt;10,0.7,0)</f>
        <v/>
      </c>
      <c r="AG375" s="6">
        <f>IF(G375&lt;52,0,0.7)+IF(G375&lt;34,0,0.7)+IF(G375&lt;1,0,0.7)+IF(P375&gt;14.56,0,1)+IF(R375&lt;9,0.5,0)+IF(R375&lt;33.8,0.5,0)+IF(R375&lt;50,0.5,0)+IF(R375&lt;80,0.5,0)+IF(S375=5,0,S375)+IF(V375&gt;0,1,-1)+IF(AE375&lt;10.56,0,1)-IF(AE375&lt;3,1,0)-IF(AE375&lt;1,1,0)</f>
        <v/>
      </c>
      <c r="AH375" s="5">
        <f>AG375+IF(X375&lt;1.35,0,1)+IF(Y375&lt;1.35,0,1)+IF(Y375&lt;0.7,-1,0)+AC375+AA375</f>
        <v/>
      </c>
      <c r="AJ375" s="5">
        <f>IF(AI375&gt;12.7,IF(AI375&gt;15.8,0.93,0.98),1)</f>
        <v/>
      </c>
      <c r="AK375" s="5">
        <f>(1.5*AG375+AH375)*AJ375*AQ375</f>
        <v/>
      </c>
      <c r="AL375" s="4">
        <f>D375</f>
        <v/>
      </c>
      <c r="AM375" s="8">
        <f>B375</f>
        <v/>
      </c>
      <c r="AO375" s="61">
        <f>IF(Z375&lt;2.81,0,IF(AK375&gt;13.7,IF(Z375&lt;140,1,0),0))</f>
        <v/>
      </c>
    </row>
    <row r="376" ht="12.75" customHeight="1">
      <c r="G376" s="5">
        <f>100*(F376-E376)/F376</f>
        <v/>
      </c>
      <c r="P376" s="5">
        <f>O376/I376</f>
        <v/>
      </c>
      <c r="AA376" s="5">
        <f>IF(X376&lt;50,IF(Y376&gt;(2.3*X376),0,1),1)-IF(Z376&gt;Y376,1.7,0)</f>
        <v/>
      </c>
      <c r="AC376" s="5">
        <f>IF(AB376&gt;4,1,0)+IF(AB376&gt;10,0.7,0)</f>
        <v/>
      </c>
      <c r="AG376" s="6">
        <f>IF(G376&lt;52,0,0.7)+IF(G376&lt;34,0,0.7)+IF(G376&lt;1,0,0.7)+IF(P376&gt;14.56,0,1)+IF(R376&lt;9,0.5,0)+IF(R376&lt;33.8,0.5,0)+IF(R376&lt;50,0.5,0)+IF(R376&lt;80,0.5,0)+IF(S376=5,0,S376)+IF(V376&gt;0,1,-1)+IF(AE376&lt;10.56,0,1)-IF(AE376&lt;3,1,0)-IF(AE376&lt;1,1,0)</f>
        <v/>
      </c>
      <c r="AH376" s="5">
        <f>AG376+IF(X376&lt;1.35,0,1)+IF(Y376&lt;1.35,0,1)+IF(Y376&lt;0.7,-1,0)+AC376+AA376</f>
        <v/>
      </c>
      <c r="AJ376" s="5">
        <f>IF(AI376&gt;12.7,IF(AI376&gt;15.8,0.93,0.98),1)</f>
        <v/>
      </c>
      <c r="AK376" s="5">
        <f>(1.5*AG376+AH376)*AJ376*AQ376</f>
        <v/>
      </c>
      <c r="AL376" s="4">
        <f>D376</f>
        <v/>
      </c>
      <c r="AM376" s="8">
        <f>B376</f>
        <v/>
      </c>
      <c r="AO376" s="61">
        <f>IF(Z376&lt;2.81,0,IF(AK376&gt;13.7,IF(Z376&lt;140,1,0),0))</f>
        <v/>
      </c>
    </row>
    <row r="377" ht="12.75" customHeight="1">
      <c r="G377" s="5">
        <f>100*(F377-E377)/F377</f>
        <v/>
      </c>
      <c r="P377" s="5">
        <f>O377/I377</f>
        <v/>
      </c>
      <c r="AA377" s="5">
        <f>IF(X377&lt;50,IF(Y377&gt;(2.3*X377),0,1),1)-IF(Z377&gt;Y377,1.7,0)</f>
        <v/>
      </c>
      <c r="AC377" s="5">
        <f>IF(AB377&gt;4,1,0)+IF(AB377&gt;10,0.7,0)</f>
        <v/>
      </c>
      <c r="AG377" s="6">
        <f>IF(G377&lt;52,0,0.7)+IF(G377&lt;34,0,0.7)+IF(G377&lt;1,0,0.7)+IF(P377&gt;14.56,0,1)+IF(R377&lt;9,0.5,0)+IF(R377&lt;33.8,0.5,0)+IF(R377&lt;50,0.5,0)+IF(R377&lt;80,0.5,0)+IF(S377=5,0,S377)+IF(V377&gt;0,1,-1)+IF(AE377&lt;10.56,0,1)-IF(AE377&lt;3,1,0)-IF(AE377&lt;1,1,0)</f>
        <v/>
      </c>
      <c r="AH377" s="5">
        <f>AG377+IF(X377&lt;1.35,0,1)+IF(Y377&lt;1.35,0,1)+IF(Y377&lt;0.7,-1,0)+AC377+AA377</f>
        <v/>
      </c>
      <c r="AJ377" s="5">
        <f>IF(AI377&gt;12.7,IF(AI377&gt;15.8,0.93,0.98),1)</f>
        <v/>
      </c>
      <c r="AK377" s="5">
        <f>(1.5*AG377+AH377)*AJ377*AQ377</f>
        <v/>
      </c>
      <c r="AL377" s="4">
        <f>D377</f>
        <v/>
      </c>
      <c r="AM377" s="8">
        <f>B377</f>
        <v/>
      </c>
      <c r="AO377" s="61">
        <f>IF(Z377&lt;2.81,0,IF(AK377&gt;13.7,IF(Z377&lt;140,1,0),0))</f>
        <v/>
      </c>
    </row>
    <row r="378" ht="12.75" customHeight="1">
      <c r="AO378" s="61">
        <f>IF(Z378&lt;2.81,0,IF(AK378&gt;13.7,IF(Z378&lt;140,1,0),0))</f>
        <v/>
      </c>
    </row>
    <row r="379" ht="12.75" customHeight="1">
      <c r="AO379" s="61">
        <f>IF(Z379&lt;2.81,0,IF(AK379&gt;13.7,IF(Z379&lt;140,1,0),0))</f>
        <v/>
      </c>
    </row>
    <row r="380" ht="12.75" customHeight="1">
      <c r="AO380" s="61">
        <f>IF(Z380&lt;2.81,0,IF(AK380&gt;13.7,IF(Z380&lt;140,1,0),0))</f>
        <v/>
      </c>
    </row>
    <row r="381" ht="12.75" customHeight="1">
      <c r="AO381" s="61">
        <f>IF(Z381&lt;2.81,0,IF(AK381&gt;13.7,IF(Z381&lt;140,1,0),0))</f>
        <v/>
      </c>
    </row>
    <row r="382" ht="12.75" customHeight="1">
      <c r="AO382" s="61">
        <f>IF(Z382&lt;2.81,0,IF(AK382&gt;13.7,IF(Z382&lt;140,1,0),0))</f>
        <v/>
      </c>
    </row>
    <row r="383" ht="12.75" customHeight="1">
      <c r="AO383" s="61">
        <f>IF(Z383&lt;2.81,0,IF(AK383&gt;13.7,IF(Z383&lt;140,1,0),0))</f>
        <v/>
      </c>
    </row>
    <row r="384" ht="12.75" customHeight="1">
      <c r="AO384" s="61">
        <f>IF(Z384&lt;2.81,0,IF(AK384&gt;13.7,IF(Z384&lt;140,1,0),0))</f>
        <v/>
      </c>
    </row>
    <row r="385" ht="12.75" customHeight="1">
      <c r="AO385" s="61">
        <f>IF(Z385&lt;2.81,0,IF(AK385&gt;13.7,IF(Z385&lt;140,1,0),0))</f>
        <v/>
      </c>
    </row>
    <row r="386" ht="12.75" customHeight="1">
      <c r="AO386" s="61">
        <f>IF(Z386&lt;2.81,0,IF(AK386&gt;13.7,IF(Z386&lt;140,1,0),0))</f>
        <v/>
      </c>
    </row>
    <row r="387" ht="12.75" customHeight="1">
      <c r="AO387" s="61">
        <f>IF(Z387&lt;2.81,0,IF(AK387&gt;13.7,IF(Z387&lt;140,1,0),0))</f>
        <v/>
      </c>
    </row>
    <row r="388" ht="12.75" customHeight="1">
      <c r="AO388" s="61">
        <f>IF(Z388&lt;2.81,0,IF(AK388&gt;13.7,IF(Z388&lt;140,1,0),0))</f>
        <v/>
      </c>
    </row>
  </sheetData>
  <autoFilter ref="AP1:AR363"/>
  <conditionalFormatting sqref="D2:D150 D152:D168 D170 D172 D174">
    <cfRule type="containsText" priority="33" operator="containsText" dxfId="12" text="neg">
      <formula>NOT(ISERROR(SEARCH("neg",D2)))</formula>
    </cfRule>
  </conditionalFormatting>
  <conditionalFormatting sqref="G2:G377">
    <cfRule type="cellIs" priority="26" operator="lessThan" dxfId="12">
      <formula>16</formula>
    </cfRule>
  </conditionalFormatting>
  <conditionalFormatting sqref="P2:P377">
    <cfRule type="cellIs" priority="27" operator="greaterThan" dxfId="12">
      <formula>14.56</formula>
    </cfRule>
  </conditionalFormatting>
  <conditionalFormatting sqref="Q2:Q134 R1:R134">
    <cfRule type="cellIs" priority="30" operator="greaterThan" dxfId="12">
      <formula>33.8</formula>
    </cfRule>
  </conditionalFormatting>
  <conditionalFormatting sqref="X2:X372">
    <cfRule type="cellIs" priority="34" operator="lessThan" dxfId="12">
      <formula>1.35</formula>
    </cfRule>
  </conditionalFormatting>
  <conditionalFormatting sqref="Z2:Z349">
    <cfRule type="cellIs" priority="6" operator="lessThan" dxfId="12">
      <formula>3.2</formula>
    </cfRule>
  </conditionalFormatting>
  <conditionalFormatting sqref="AE2:AE134">
    <cfRule type="cellIs" priority="25" operator="lessThan" dxfId="12">
      <formula>10.56</formula>
    </cfRule>
  </conditionalFormatting>
  <conditionalFormatting sqref="AG2:AG377">
    <cfRule type="cellIs" priority="31" operator="greaterThan" dxfId="40">
      <formula>5.6</formula>
    </cfRule>
  </conditionalFormatting>
  <conditionalFormatting sqref="AH2:AH377">
    <cfRule type="cellIs" priority="29" operator="greaterThan" dxfId="40">
      <formula>7.6</formula>
    </cfRule>
  </conditionalFormatting>
  <conditionalFormatting sqref="AK2:AK377">
    <cfRule type="cellIs" priority="32" operator="greaterThan" dxfId="40">
      <formula>13.7</formula>
    </cfRule>
  </conditionalFormatting>
  <conditionalFormatting sqref="AL2:AL377">
    <cfRule type="containsText" priority="11" operator="containsText" dxfId="3" text="2">
      <formula>NOT(ISERROR(SEARCH("2",AL2)))</formula>
    </cfRule>
    <cfRule type="containsText" priority="12" operator="containsText" dxfId="12" text="0">
      <formula>NOT(ISERROR(SEARCH("0",AL2)))</formula>
    </cfRule>
    <cfRule type="containsText" priority="13" operator="containsText" dxfId="37" text="1">
      <formula>NOT(ISERROR(SEARCH("1",AL2)))</formula>
    </cfRule>
  </conditionalFormatting>
  <conditionalFormatting sqref="AN2:AN139">
    <cfRule type="endsWith" priority="14" operator="endsWith" dxfId="9" text="4">
      <formula>RIGHT(AN2,LEN("4"))="4"</formula>
    </cfRule>
    <cfRule type="endsWith" priority="15" operator="endsWith" dxfId="31" text="2">
      <formula>RIGHT(AN2,LEN("2"))="2"</formula>
    </cfRule>
    <cfRule type="endsWith" priority="16" operator="endsWith" dxfId="34" text="7">
      <formula>RIGHT(AN2,LEN("7"))="7"</formula>
    </cfRule>
    <cfRule type="endsWith" priority="17" operator="endsWith" dxfId="2" text="0">
      <formula>RIGHT(AN2,LEN("0"))="0"</formula>
    </cfRule>
    <cfRule type="endsWith" priority="18" operator="endsWith" dxfId="9" text="8">
      <formula>RIGHT(AN2,LEN("8"))="8"</formula>
    </cfRule>
    <cfRule type="endsWith" priority="19" operator="endsWith" dxfId="31" text="9">
      <formula>RIGHT(AN2,LEN("9"))="9"</formula>
    </cfRule>
    <cfRule type="endsWith" priority="20" operator="endsWith" dxfId="30" text="6">
      <formula>RIGHT(AN2,LEN("6"))="6"</formula>
    </cfRule>
    <cfRule type="endsWith" priority="21" operator="endsWith" dxfId="29" text="1">
      <formula>RIGHT(AN2,LEN("1"))="1"</formula>
    </cfRule>
    <cfRule type="endsWith" priority="22" operator="endsWith" dxfId="3" text="3">
      <formula>RIGHT(AN2,LEN("3"))="3"</formula>
    </cfRule>
    <cfRule type="endsWith" priority="23" operator="endsWith" dxfId="2" text="5">
      <formula>RIGHT(AN2,LEN("5"))="5"</formula>
    </cfRule>
  </conditionalFormatting>
  <conditionalFormatting sqref="AO2:AO388 AP2:AP357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R1:AR363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conditionalFormatting sqref="BB2:BH83 BB85:BH94 BB96:BB97 BC84:BH84">
    <cfRule type="cellIs" priority="28" operator="lessThan" dxfId="21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1557"/>
  <sheetViews>
    <sheetView tabSelected="1" zoomScale="80" zoomScaleNormal="80" workbookViewId="0">
      <pane ySplit="1" topLeftCell="A71" activePane="bottomLeft" state="frozen"/>
      <selection pane="bottomLeft" activeCell="G94" sqref="G94"/>
    </sheetView>
  </sheetViews>
  <sheetFormatPr baseColWidth="8" defaultColWidth="8.6640625" defaultRowHeight="12.75" customHeight="1" outlineLevelCol="0"/>
  <cols>
    <col width="4" customWidth="1" style="52" min="1" max="1"/>
    <col width="18" customWidth="1" style="52" min="2" max="2"/>
    <col width="7.109375" customWidth="1" style="52" min="3" max="3"/>
    <col width="7" customWidth="1" style="52" min="4" max="4"/>
    <col width="7.88671875" customWidth="1" style="52" min="5" max="5"/>
    <col width="5.5546875" customWidth="1" style="52" min="6" max="6"/>
    <col width="5.6640625" customWidth="1" style="52" min="7" max="7"/>
    <col width="7.33203125" customWidth="1" style="52" min="8" max="8"/>
    <col width="5.6640625" customWidth="1" style="52" min="9" max="9"/>
    <col width="4.88671875" customWidth="1" style="52" min="10" max="10"/>
    <col width="6.109375" customWidth="1" style="52" min="11" max="11"/>
    <col width="4.109375" customWidth="1" style="52" min="12" max="12"/>
    <col width="6.5546875" customWidth="1" style="52" min="13" max="14"/>
    <col width="7.5546875" customWidth="1" style="52" min="15" max="15"/>
    <col width="7.33203125" customWidth="1" style="52" min="16" max="16"/>
    <col width="5" customWidth="1" style="52" min="17" max="17"/>
    <col width="6.109375" customWidth="1" style="52" min="18" max="18"/>
    <col width="6" customWidth="1" style="52" min="19" max="19"/>
    <col width="5.6640625" customWidth="1" style="52" min="20" max="20"/>
    <col width="5.5546875" customWidth="1" style="52" min="21" max="21"/>
    <col width="6.109375" customWidth="1" style="52" min="22" max="22"/>
    <col width="6.6640625" customWidth="1" style="52" min="23" max="24"/>
    <col width="8.33203125" customWidth="1" style="52" min="25" max="25"/>
    <col width="6.6640625" customWidth="1" style="52" min="26" max="26"/>
    <col width="5.109375" customWidth="1" style="52" min="27" max="27"/>
    <col width="4.5546875" customWidth="1" style="52" min="28" max="28"/>
    <col width="4.88671875" customWidth="1" style="52" min="29" max="29"/>
    <col width="6.5546875" customWidth="1" style="52" min="30" max="30"/>
    <col width="5.6640625" customWidth="1" style="52" min="31" max="31"/>
    <col width="6.33203125" customWidth="1" style="52" min="32" max="32"/>
    <col width="4.88671875" customWidth="1" style="52" min="33" max="36"/>
    <col width="6.77734375" customWidth="1" style="52" min="37" max="37"/>
    <col width="5.6640625" customWidth="1" style="52" min="38" max="38"/>
    <col width="19.109375" customWidth="1" style="52" min="39" max="39"/>
    <col width="4.5546875" customWidth="1" style="52" min="40" max="40"/>
    <col width="5.44140625" customWidth="1" style="52" min="41" max="41"/>
    <col width="10.88671875" customWidth="1" style="52" min="42" max="42"/>
    <col width="7" customWidth="1" style="52" min="43" max="43"/>
    <col width="5.33203125" customWidth="1" style="52" min="44" max="44"/>
    <col width="7.33203125" customWidth="1" style="52" min="45" max="45"/>
    <col width="7.5546875" customWidth="1" style="52" min="46" max="46"/>
    <col width="6.6640625" customWidth="1" style="52" min="47" max="48"/>
    <col width="6.21875" customWidth="1" style="52" min="49" max="49"/>
    <col width="8.5546875" customWidth="1" style="52" min="50" max="50"/>
    <col width="8.6640625" customWidth="1" style="52" min="51" max="80"/>
    <col width="8.6640625" customWidth="1" style="52" min="81" max="16384"/>
  </cols>
  <sheetData>
    <row r="1" ht="92.25" customHeight="1">
      <c r="A1" s="62" t="inlineStr">
        <is>
          <t>URL</t>
        </is>
      </c>
      <c r="B1" s="109" t="inlineStr">
        <is>
          <t>Company Name</t>
        </is>
      </c>
      <c r="C1" s="109" t="inlineStr">
        <is>
          <t>Year</t>
        </is>
      </c>
      <c r="D1" s="109" t="inlineStr">
        <is>
          <t>Pos/ Neg</t>
        </is>
      </c>
      <c r="E1" s="109" t="inlineStr">
        <is>
          <t>Total Borrowings</t>
        </is>
      </c>
      <c r="F1" s="109" t="inlineStr">
        <is>
          <t>Net Worth</t>
        </is>
      </c>
      <c r="G1" s="110" t="inlineStr">
        <is>
          <t>100* (Networth -Tot. Borr.) / Net Worth &lt;0</t>
        </is>
      </c>
      <c r="H1" s="109" t="inlineStr">
        <is>
          <t>Total Assets</t>
        </is>
      </c>
      <c r="I1" s="109" t="inlineStr">
        <is>
          <t>Profit After Ta</t>
        </is>
      </c>
      <c r="J1" s="109" t="inlineStr">
        <is>
          <t>PAT % (10)</t>
        </is>
      </c>
      <c r="K1" s="109" t="inlineStr">
        <is>
          <t>Earnings Per Share</t>
        </is>
      </c>
      <c r="L1" s="109" t="inlineStr">
        <is>
          <t>ROE %</t>
        </is>
      </c>
      <c r="M1" s="109" t="inlineStr">
        <is>
          <t>EBDITA</t>
        </is>
      </c>
      <c r="N1" s="109" t="inlineStr">
        <is>
          <t>bdita Margin %</t>
        </is>
      </c>
      <c r="O1" s="109" t="inlineStr">
        <is>
          <t>Total Income</t>
        </is>
      </c>
      <c r="P1" s="110" t="inlineStr">
        <is>
          <t>Total Income/Profit After Tax &gt;23</t>
        </is>
      </c>
      <c r="Q1" s="109" t="inlineStr">
        <is>
          <t>P/E before  &gt;88</t>
        </is>
      </c>
      <c r="R1" s="109" t="inlineStr">
        <is>
          <t>P/E After</t>
        </is>
      </c>
      <c r="S1" s="109" t="inlineStr">
        <is>
          <t>PE Effect</t>
        </is>
      </c>
      <c r="T1" s="109" t="inlineStr">
        <is>
          <t>Total Issue Size (20)</t>
        </is>
      </c>
      <c r="U1" s="109" t="inlineStr">
        <is>
          <t>OFS</t>
        </is>
      </c>
      <c r="V1" s="109" t="inlineStr">
        <is>
          <t>Anchor</t>
        </is>
      </c>
      <c r="W1" s="111" t="inlineStr">
        <is>
          <t>Dilip Devda Pricey/Dicey</t>
        </is>
      </c>
      <c r="X1" s="112" t="inlineStr">
        <is>
          <t>Subscription QIB &lt;16</t>
        </is>
      </c>
      <c r="Y1" s="111" t="inlineStr">
        <is>
          <t>NII &lt;11</t>
        </is>
      </c>
      <c r="Z1" s="111" t="inlineStr">
        <is>
          <t>RII &lt;1.34</t>
        </is>
      </c>
      <c r="AA1" s="113" t="inlineStr">
        <is>
          <t>If QIB&gt;NII=1,0</t>
        </is>
      </c>
      <c r="AB1" s="111" t="inlineStr">
        <is>
          <t>GMP</t>
        </is>
      </c>
      <c r="AC1" s="114" t="inlineStr">
        <is>
          <t>Effect GMP</t>
        </is>
      </c>
      <c r="AD1" s="109" t="inlineStr">
        <is>
          <t>YOY Profit (%)</t>
        </is>
      </c>
      <c r="AE1" s="109" t="inlineStr">
        <is>
          <t>YOY Total Income (%) &lt;14</t>
        </is>
      </c>
      <c r="AF1" s="109" t="inlineStr">
        <is>
          <t>YOY Net Worth (%) &lt;26</t>
        </is>
      </c>
      <c r="AG1" s="114" t="inlineStr">
        <is>
          <t>Pre Subscription &gt;5</t>
        </is>
      </c>
      <c r="AH1" s="114" t="inlineStr">
        <is>
          <t>Last Day of Close &gt;8</t>
        </is>
      </c>
      <c r="AI1" s="111" t="inlineStr">
        <is>
          <t>Vix</t>
        </is>
      </c>
      <c r="AJ1" s="114" t="inlineStr">
        <is>
          <t>Effect of Vix</t>
        </is>
      </c>
      <c r="AK1" s="114" t="inlineStr">
        <is>
          <t>Total &gt;23</t>
        </is>
      </c>
      <c r="AL1" s="110" t="inlineStr">
        <is>
          <t>Pos/ Neg</t>
        </is>
      </c>
      <c r="AM1" s="110" t="inlineStr">
        <is>
          <t>Company Name</t>
        </is>
      </c>
      <c r="AN1" s="115" t="inlineStr">
        <is>
          <t>ClosingDate (40)</t>
        </is>
      </c>
      <c r="AO1" s="115" t="inlineStr">
        <is>
          <t>Appy_or_not</t>
        </is>
      </c>
      <c r="AP1" s="116" t="inlineStr">
        <is>
          <t>Apply_priority</t>
        </is>
      </c>
      <c r="AQ1" s="115" t="inlineStr">
        <is>
          <t>Category Effect</t>
        </is>
      </c>
      <c r="AR1" s="127" t="inlineStr">
        <is>
          <t>strategy_result</t>
        </is>
      </c>
      <c r="AS1" s="115" t="inlineStr">
        <is>
          <t>Issue price</t>
        </is>
      </c>
      <c r="AT1" s="115" t="inlineStr">
        <is>
          <t>Fin_low</t>
        </is>
      </c>
      <c r="AU1" s="115" t="inlineStr">
        <is>
          <t>Fin_high</t>
        </is>
      </c>
      <c r="AV1" s="115" t="inlineStr">
        <is>
          <t>Avg</t>
        </is>
      </c>
      <c r="AW1" s="115" t="inlineStr">
        <is>
          <t>Listing_price</t>
        </is>
      </c>
      <c r="AX1" s="115" t="n"/>
      <c r="AY1" s="115" t="inlineStr">
        <is>
          <t>difference</t>
        </is>
      </c>
      <c r="AZ1" s="115" t="inlineStr">
        <is>
          <t>fin_effect</t>
        </is>
      </c>
      <c r="BA1" s="115" t="inlineStr">
        <is>
          <t>Expected Price on Listing day GMP</t>
        </is>
      </c>
      <c r="BB1" s="115" t="inlineStr">
        <is>
          <t>1st day Max price on Listing price</t>
        </is>
      </c>
      <c r="BC1" s="115" t="inlineStr">
        <is>
          <t>2nd day max price</t>
        </is>
      </c>
      <c r="BD1" s="115" t="inlineStr">
        <is>
          <t>3rd max price</t>
        </is>
      </c>
      <c r="BE1" s="115" t="inlineStr">
        <is>
          <t>All Time High</t>
        </is>
      </c>
      <c r="BF1" s="115" t="inlineStr">
        <is>
          <t>LTP</t>
        </is>
      </c>
      <c r="BG1" s="115" t="inlineStr">
        <is>
          <t xml:space="preserve">LTP GAIN </t>
        </is>
      </c>
      <c r="BH1" s="115" t="inlineStr">
        <is>
          <t>LTP Gain on Listing Pric</t>
        </is>
      </c>
    </row>
    <row r="2" ht="12.75" customHeight="1">
      <c r="B2" s="117" t="inlineStr">
        <is>
          <t>Rubicon Research</t>
        </is>
      </c>
      <c r="C2" s="50" t="n">
        <v>2025</v>
      </c>
      <c r="D2" s="50" t="n">
        <v>1</v>
      </c>
      <c r="E2" s="100" t="n">
        <v>495.77</v>
      </c>
      <c r="F2" s="100" t="n">
        <v>593.6</v>
      </c>
      <c r="G2" s="100">
        <f>100*(F2-E2)/F2</f>
        <v/>
      </c>
      <c r="H2" s="100" t="n">
        <v>1647.59</v>
      </c>
      <c r="I2" s="100" t="n">
        <v>134.36</v>
      </c>
      <c r="J2" s="100" t="n"/>
      <c r="K2" s="101" t="n">
        <v>8.199999999999999</v>
      </c>
      <c r="L2" s="101" t="n"/>
      <c r="M2" s="100" t="n">
        <v>267.9</v>
      </c>
      <c r="N2" s="100" t="n"/>
      <c r="O2" s="100" t="n">
        <v>1296</v>
      </c>
      <c r="P2" s="100">
        <f>O2/I2</f>
        <v/>
      </c>
      <c r="Q2" s="100" t="n">
        <v>59.15</v>
      </c>
      <c r="R2" s="100" t="n">
        <v>59.15</v>
      </c>
      <c r="S2" s="100" t="n">
        <v>5</v>
      </c>
      <c r="T2" s="100" t="n"/>
      <c r="U2" s="100" t="n"/>
      <c r="V2" s="100" t="n">
        <v>1</v>
      </c>
      <c r="W2" s="100" t="n">
        <v>1</v>
      </c>
      <c r="X2" s="102" t="n">
        <v>130.26</v>
      </c>
      <c r="Y2" s="101" t="n">
        <v>117.77</v>
      </c>
      <c r="Z2" s="101" t="n">
        <v>37.33</v>
      </c>
      <c r="AA2" s="103">
        <f>IF(X2&lt;33,IF(Y2&gt;(1.1*X2),0,1),1)+IF(Y2&gt;(4*X2),-1,0)</f>
        <v/>
      </c>
      <c r="AB2" s="100" t="n">
        <v>25</v>
      </c>
      <c r="AC2" s="101">
        <f>IF(AB2&gt;9,1,0)+AB2/3+IF(AB2&gt;15,1,0)+IF(AB2&gt;20,1,0)</f>
        <v/>
      </c>
      <c r="AD2" s="101" t="n">
        <v>47.57</v>
      </c>
      <c r="AE2" s="101" t="n">
        <v>48.67</v>
      </c>
      <c r="AF2" s="101" t="n">
        <v>43.82</v>
      </c>
      <c r="AG2" s="101">
        <f>IF(G2&lt;0,0,1.2)+IF(G2&lt;14,0,0.9)+IF(P2&lt;0,0.7,0)+IF(P2&lt;6.5,1,0)+IF(P2&lt;23,1,0)+IF(R2&gt;80,0,1)+S2+IF(AD2&lt;20,0,1)+IF(AE2&lt;14,0,1)+IF(AF2&lt;26,0,1)</f>
        <v/>
      </c>
      <c r="AH2" s="101">
        <f>AG2+IF(AG2&gt;6,1,0)+IF(X2&lt;17,0,1)+IF(Y2&lt;11,0,1)+IF(Z2&lt;1.35,0,1)+AC2+AA2</f>
        <v/>
      </c>
      <c r="AI2" s="101" t="n">
        <v>11</v>
      </c>
      <c r="AJ2" s="104">
        <f>IF(AI2&gt;12.8,IF(AI2&gt;15.8,0.95,0.98),1)</f>
        <v/>
      </c>
      <c r="AK2" s="101">
        <f>((AG2*2.6+AH2)*AJ2*AQ2)</f>
        <v/>
      </c>
      <c r="AL2" s="50">
        <f>D2</f>
        <v/>
      </c>
      <c r="AM2" s="97">
        <f>B2</f>
        <v/>
      </c>
      <c r="AN2" s="100" t="n"/>
      <c r="AO2" s="99">
        <f>IF(AK2&gt;23.75,IF(Z2&lt;140,1,0),0)</f>
        <v/>
      </c>
      <c r="AP2" s="100">
        <f>IF(AK2&gt;23.2,IF(Y2&lt;300,IF(Y2&lt;35,IF(Y2&lt;8,3,2),1),0),0)</f>
        <v/>
      </c>
      <c r="AQ2" s="100" t="n">
        <v>1</v>
      </c>
      <c r="AR2" s="100">
        <f>IF(AO2=1,IF(AO2=AL2,1,0),5)</f>
        <v/>
      </c>
      <c r="AS2" s="101" t="n">
        <v>1</v>
      </c>
      <c r="AT2" s="101" t="n">
        <v>1</v>
      </c>
      <c r="AU2" s="101" t="n">
        <v>1</v>
      </c>
      <c r="AV2" s="101">
        <f>(AT2+AU2)/2</f>
        <v/>
      </c>
      <c r="AW2" s="101" t="n">
        <v>1</v>
      </c>
      <c r="AX2" s="101" t="n"/>
      <c r="AY2" s="52">
        <f>(100*(AU2-AS2)/AS2)</f>
        <v/>
      </c>
      <c r="AZ2" s="52">
        <f>IF(AY2&lt;-50,-4,IF(AY2&lt;-20,-2,IF(AY2&lt;0,-1,IF(AY2=0,0,IF(AY2&lt;10,1.5,IF(AY2&lt;20,2,IF(AY2&gt;19,2.5,2.5)))))))</f>
        <v/>
      </c>
    </row>
    <row r="3" ht="12.75" customHeight="1">
      <c r="B3" s="117" t="inlineStr">
        <is>
          <t>LG Electronics</t>
        </is>
      </c>
      <c r="C3" s="50" t="n">
        <v>2025</v>
      </c>
      <c r="D3" s="50" t="n">
        <v>1</v>
      </c>
      <c r="E3" s="100" t="n">
        <v>427.8</v>
      </c>
      <c r="F3" s="100" t="n">
        <v>5970.2</v>
      </c>
      <c r="G3" s="100">
        <f>100*(F3-E3)/F3</f>
        <v/>
      </c>
      <c r="H3" s="100" t="n">
        <v>11517.1</v>
      </c>
      <c r="I3" s="100" t="n">
        <v>2203</v>
      </c>
      <c r="J3" s="100" t="n"/>
      <c r="K3" s="101" t="n">
        <v>32.5</v>
      </c>
      <c r="L3" s="101" t="n"/>
      <c r="M3" s="100" t="n">
        <v>3110</v>
      </c>
      <c r="N3" s="100" t="n"/>
      <c r="O3" s="100" t="n">
        <v>24367</v>
      </c>
      <c r="P3" s="100">
        <f>O3/I3</f>
        <v/>
      </c>
      <c r="Q3" s="100" t="n">
        <v>35</v>
      </c>
      <c r="R3" s="100" t="n">
        <v>35</v>
      </c>
      <c r="S3" s="100" t="n">
        <v>5</v>
      </c>
      <c r="T3" s="100" t="n"/>
      <c r="U3" s="100" t="n"/>
      <c r="V3" s="100" t="n">
        <v>1</v>
      </c>
      <c r="W3" s="100" t="n">
        <v>1</v>
      </c>
      <c r="X3" s="102" t="n">
        <v>166.51</v>
      </c>
      <c r="Y3" s="101" t="n">
        <v>24.68</v>
      </c>
      <c r="Z3" s="101" t="n">
        <v>3.55</v>
      </c>
      <c r="AA3" s="103">
        <f>IF(X3&lt;33,IF(Y3&gt;(1.1*X3),0,1),1)+IF(Y3&gt;(4*X3),-1,0)</f>
        <v/>
      </c>
      <c r="AB3" s="100" t="n">
        <v>40</v>
      </c>
      <c r="AC3" s="101">
        <f>IF(AB3&gt;9,1,0)+AB3/3+IF(AB3&gt;15,1,0)+IF(AB3&gt;20,1,0)</f>
        <v/>
      </c>
      <c r="AD3" s="101" t="n">
        <v>45.8</v>
      </c>
      <c r="AE3" s="101" t="n">
        <v>14.1</v>
      </c>
      <c r="AF3" s="101" t="n">
        <v>58.3</v>
      </c>
      <c r="AG3" s="101">
        <f>IF(G3&lt;0,0,1.2)+IF(G3&lt;14,0,0.9)+IF(P3&lt;0,0.7,0)+IF(P3&lt;6.5,1,0)+IF(P3&lt;23,1,0)+IF(R3&gt;80,0,1)+S3+IF(AD3&lt;20,0,1)+IF(AE3&lt;14,0,1)+IF(AF3&lt;26,0,1)</f>
        <v/>
      </c>
      <c r="AH3" s="101">
        <f>AG3+IF(AG3&gt;6,1,0)+IF(X3&lt;17,0,1)+IF(Y3&lt;11,0,1)+IF(Z3&lt;1.35,0,1)+AC3+AA3</f>
        <v/>
      </c>
      <c r="AI3" s="101" t="n">
        <v>11</v>
      </c>
      <c r="AJ3" s="104">
        <f>IF(AI3&gt;12.8,IF(AI3&gt;15.8,0.95,0.98),1)</f>
        <v/>
      </c>
      <c r="AK3" s="101">
        <f>((AG3*2.6+AH3)*AJ3*AQ3)</f>
        <v/>
      </c>
      <c r="AL3" s="50">
        <f>D3</f>
        <v/>
      </c>
      <c r="AM3" s="97">
        <f>B3</f>
        <v/>
      </c>
      <c r="AN3" s="100" t="n"/>
      <c r="AO3" s="99">
        <f>IF(AK3&gt;23.75,IF(Z3&lt;140,1,0),0)</f>
        <v/>
      </c>
      <c r="AP3" s="100">
        <f>IF(AK3&gt;23.2,IF(Y3&lt;300,IF(Y3&lt;35,IF(Y3&lt;8,3,2),1),0),0)</f>
        <v/>
      </c>
      <c r="AQ3" s="100" t="n">
        <v>1</v>
      </c>
      <c r="AR3" s="100">
        <f>IF(AO3=1,IF(AO3=AL3,1,0),5)</f>
        <v/>
      </c>
      <c r="AS3" s="101" t="n">
        <v>1</v>
      </c>
      <c r="AT3" s="101" t="n">
        <v>1</v>
      </c>
      <c r="AU3" s="101" t="n">
        <v>1</v>
      </c>
      <c r="AV3" s="101">
        <f>(AT3+AU3)/2</f>
        <v/>
      </c>
      <c r="AW3" s="101" t="n">
        <v>1</v>
      </c>
      <c r="AX3" s="101" t="n"/>
      <c r="AY3" s="52">
        <f>(100*(AU3-AS3)/AS3)</f>
        <v/>
      </c>
      <c r="AZ3" s="52">
        <f>IF(AY3&lt;-50,-4,IF(AY3&lt;-20,-2,IF(AY3&lt;0,-1,IF(AY3=0,0,IF(AY3&lt;10,1.5,IF(AY3&lt;20,2,IF(AY3&gt;19,2.5,2.5)))))))</f>
        <v/>
      </c>
    </row>
    <row r="4" ht="12.75" customHeight="1">
      <c r="B4" s="117" t="inlineStr">
        <is>
          <t>Urban Co.</t>
        </is>
      </c>
      <c r="C4" s="50" t="n">
        <v>2025</v>
      </c>
      <c r="D4" s="50" t="n">
        <v>1</v>
      </c>
      <c r="E4" s="100" t="n">
        <v>119.91</v>
      </c>
      <c r="F4" s="100" t="n">
        <v>1795.82</v>
      </c>
      <c r="G4" s="100">
        <f>100*(F4-E4)/F4</f>
        <v/>
      </c>
      <c r="H4" s="100" t="n">
        <v>2200.64</v>
      </c>
      <c r="I4" s="100" t="n">
        <v>240</v>
      </c>
      <c r="J4" s="100" t="n"/>
      <c r="K4" s="101" t="n">
        <v>1.67</v>
      </c>
      <c r="L4" s="101" t="n"/>
      <c r="M4" s="100" t="n">
        <v>-32</v>
      </c>
      <c r="N4" s="100" t="n"/>
      <c r="O4" s="100" t="n">
        <v>1144</v>
      </c>
      <c r="P4" s="100">
        <f>O4/I4</f>
        <v/>
      </c>
      <c r="Q4" s="100" t="n">
        <v>61.68</v>
      </c>
      <c r="R4" s="100" t="n">
        <v>61.68</v>
      </c>
      <c r="S4" s="100" t="n">
        <v>5</v>
      </c>
      <c r="T4" s="100" t="n"/>
      <c r="U4" s="100" t="n"/>
      <c r="V4" s="100" t="n">
        <v>1</v>
      </c>
      <c r="W4" s="100" t="n">
        <v>1</v>
      </c>
      <c r="X4" s="102" t="n">
        <v>147.35</v>
      </c>
      <c r="Y4" s="101" t="n">
        <v>77.81999999999999</v>
      </c>
      <c r="Z4" s="101" t="n">
        <v>41.49</v>
      </c>
      <c r="AA4" s="103">
        <f>IF(X4&lt;33,IF(Y4&gt;(1.1*X4),0,1),1)+IF(Y4&gt;(4*X4),-1,0)</f>
        <v/>
      </c>
      <c r="AB4" s="100" t="n">
        <v>52</v>
      </c>
      <c r="AC4" s="101">
        <f>IF(AB4&gt;9,1,0)+AB4/3+IF(AB4&gt;15,1,0)+IF(AB4&gt;20,1,0)</f>
        <v/>
      </c>
      <c r="AD4" s="101" t="n">
        <v>358</v>
      </c>
      <c r="AE4" s="101" t="n">
        <v>38</v>
      </c>
      <c r="AF4" s="101" t="n">
        <v>39</v>
      </c>
      <c r="AG4" s="101">
        <f>IF(G4&lt;0,0,1.2)+IF(G4&lt;14,0,0.9)+IF(P4&lt;0,0.7,0)+IF(P4&lt;6.5,1,0)+IF(P4&lt;23,1,0)+IF(R4&gt;80,0,1)+S4+IF(AD4&lt;20,0,1)+IF(AE4&lt;14,0,1)+IF(AF4&lt;26,0,1)</f>
        <v/>
      </c>
      <c r="AH4" s="101">
        <f>AG4+IF(AG4&gt;6,1,0)+IF(X4&lt;17,0,1)+IF(Y4&lt;11,0,1)+IF(Z4&lt;1.35,0,1)+AC4+AA4</f>
        <v/>
      </c>
      <c r="AI4" s="101" t="n">
        <v>11</v>
      </c>
      <c r="AJ4" s="104">
        <f>IF(AI4&gt;12.8,IF(AI4&gt;15.8,0.95,0.98),1)</f>
        <v/>
      </c>
      <c r="AK4" s="101">
        <f>((AG4*2.6+AH4)*AJ4*AQ4)</f>
        <v/>
      </c>
      <c r="AL4" s="50">
        <f>D4</f>
        <v/>
      </c>
      <c r="AM4" s="97">
        <f>B4</f>
        <v/>
      </c>
      <c r="AN4" s="100" t="n"/>
      <c r="AO4" s="99">
        <f>IF(AK4&gt;23.75,IF(Z4&lt;140,1,0),0)</f>
        <v/>
      </c>
      <c r="AP4" s="100">
        <f>IF(AK4&gt;23.2,IF(Y4&lt;300,IF(Y4&lt;35,IF(Y4&lt;8,3,2),1),0),0)</f>
        <v/>
      </c>
      <c r="AQ4" s="100" t="n">
        <v>1</v>
      </c>
      <c r="AR4" s="100">
        <f>IF(AO4=1,IF(AO4=AL4,1,0),5)</f>
        <v/>
      </c>
      <c r="AS4" s="101" t="n">
        <v>1</v>
      </c>
      <c r="AT4" s="101" t="n">
        <v>1</v>
      </c>
      <c r="AU4" s="101" t="n">
        <v>1</v>
      </c>
      <c r="AV4" s="101">
        <f>(AT4+AU4)/2</f>
        <v/>
      </c>
      <c r="AW4" s="101" t="n">
        <v>1</v>
      </c>
      <c r="AX4" s="101" t="n"/>
      <c r="AY4" s="52">
        <f>(100*(AU4-AS4)/AS4)</f>
        <v/>
      </c>
      <c r="AZ4" s="52">
        <f>IF(AY4&lt;-50,-4,IF(AY4&lt;-20,-2,IF(AY4&lt;0,-1,IF(AY4=0,0,IF(AY4&lt;10,1.5,IF(AY4&lt;20,2,IF(AY4&gt;19,2.5,2.5)))))))</f>
        <v/>
      </c>
    </row>
    <row r="5" ht="12.75" customHeight="1">
      <c r="B5" s="117" t="inlineStr">
        <is>
          <t>Regaal Resources</t>
        </is>
      </c>
      <c r="C5" s="50" t="n">
        <v>2025</v>
      </c>
      <c r="D5" s="50" t="n">
        <v>1</v>
      </c>
      <c r="E5" s="100" t="n">
        <v>507.05</v>
      </c>
      <c r="F5" s="100" t="n">
        <v>235.41</v>
      </c>
      <c r="G5" s="100">
        <f>100*(F5-E5)/F5</f>
        <v/>
      </c>
      <c r="H5" s="100" t="n">
        <v>860</v>
      </c>
      <c r="I5" s="100" t="n">
        <v>47.67</v>
      </c>
      <c r="J5" s="100" t="n"/>
      <c r="K5" s="101" t="n">
        <v>6.05</v>
      </c>
      <c r="L5" s="101" t="n"/>
      <c r="M5" s="100" t="n">
        <v>112.79</v>
      </c>
      <c r="N5" s="100" t="n"/>
      <c r="O5" s="100" t="n">
        <v>915.16</v>
      </c>
      <c r="P5" s="100">
        <f>O5/I5</f>
        <v/>
      </c>
      <c r="Q5" s="100" t="n">
        <v>17</v>
      </c>
      <c r="R5" s="100" t="n">
        <v>17</v>
      </c>
      <c r="S5" s="100" t="n">
        <v>5</v>
      </c>
      <c r="T5" s="100" t="n"/>
      <c r="U5" s="100" t="n"/>
      <c r="V5" s="100" t="n">
        <v>1</v>
      </c>
      <c r="W5" s="100" t="n">
        <v>1</v>
      </c>
      <c r="X5" s="102" t="n">
        <v>190.96</v>
      </c>
      <c r="Y5" s="101" t="n">
        <v>356.72</v>
      </c>
      <c r="Z5" s="101" t="n">
        <v>57.75</v>
      </c>
      <c r="AA5" s="103">
        <f>IF(X5&lt;33,IF(Y5&gt;(1.1*X5),0,1),1)+IF(Y5&gt;(4*X5),-1,0)</f>
        <v/>
      </c>
      <c r="AB5" s="100" t="n">
        <v>30</v>
      </c>
      <c r="AC5" s="101">
        <f>IF(AB5&gt;9,1,0)+AB5/3+IF(AB5&gt;15,1,0)+IF(AB5&gt;20,1,0)</f>
        <v/>
      </c>
      <c r="AD5" s="101" t="n">
        <v>115</v>
      </c>
      <c r="AE5" s="101" t="n">
        <v>52</v>
      </c>
      <c r="AF5" s="101" t="n">
        <v>86</v>
      </c>
      <c r="AG5" s="101">
        <f>IF(G5&lt;0,0,1.2)+IF(G5&lt;14,0,0.9)+IF(P5&lt;0,0.7,0)+IF(P5&lt;6.5,1,0)+IF(P5&lt;23,1,0)+IF(R5&gt;80,0,1)+S5+IF(AD5&lt;20,0,1)+IF(AE5&lt;14,0,1)+IF(AF5&lt;26,0,1)</f>
        <v/>
      </c>
      <c r="AH5" s="101">
        <f>AG5+IF(AG5&gt;6,1,0)+IF(X5&lt;17,0,1)+IF(Y5&lt;11,0,1)+IF(Z5&lt;1.35,0,1)+AC5+AA5</f>
        <v/>
      </c>
      <c r="AI5" s="101" t="n">
        <v>11</v>
      </c>
      <c r="AJ5" s="104">
        <f>IF(AI5&gt;12.8,IF(AI5&gt;15.8,0.95,0.98),1)</f>
        <v/>
      </c>
      <c r="AK5" s="101">
        <f>((AG5*2.6+AH5)*AJ5*AQ5)</f>
        <v/>
      </c>
      <c r="AL5" s="50">
        <f>D5</f>
        <v/>
      </c>
      <c r="AM5" s="97">
        <f>B5</f>
        <v/>
      </c>
      <c r="AN5" s="100" t="n"/>
      <c r="AO5" s="99">
        <f>IF(AK5&gt;23.75,IF(Z5&lt;140,1,0),0)</f>
        <v/>
      </c>
      <c r="AP5" s="100">
        <f>IF(AK5&gt;23.2,IF(Y5&lt;300,IF(Y5&lt;35,IF(Y5&lt;8,3,2),1),0),0)</f>
        <v/>
      </c>
      <c r="AQ5" s="100" t="n">
        <v>1</v>
      </c>
      <c r="AR5" s="100">
        <f>IF(AO5=1,IF(AO5=AL5,1,0),5)</f>
        <v/>
      </c>
      <c r="AS5" s="101" t="n">
        <v>1</v>
      </c>
      <c r="AT5" s="101" t="n">
        <v>1</v>
      </c>
      <c r="AU5" s="101" t="n">
        <v>1</v>
      </c>
      <c r="AV5" s="101">
        <f>(AT5+AU5)/2</f>
        <v/>
      </c>
      <c r="AW5" s="101" t="n">
        <v>1</v>
      </c>
      <c r="AX5" s="101" t="n"/>
      <c r="AY5" s="52">
        <f>(100*(AU5-AS5)/AS5)</f>
        <v/>
      </c>
      <c r="AZ5" s="52">
        <f>IF(AY5&lt;-50,-4,IF(AY5&lt;-20,-2,IF(AY5&lt;0,-1,IF(AY5=0,0,IF(AY5&lt;10,1.5,IF(AY5&lt;20,2,IF(AY5&gt;19,2.5,2.5)))))))</f>
        <v/>
      </c>
    </row>
    <row r="6" ht="12.75" customHeight="1">
      <c r="B6" s="117" t="inlineStr">
        <is>
          <t>Highway Infrastructure</t>
        </is>
      </c>
      <c r="C6" s="50" t="n">
        <v>2025</v>
      </c>
      <c r="D6" s="50" t="n">
        <v>1</v>
      </c>
      <c r="E6" s="100" t="n">
        <v>71.8</v>
      </c>
      <c r="F6" s="100" t="n">
        <v>117.72</v>
      </c>
      <c r="G6" s="100">
        <f>100*(F6-E6)/F6</f>
        <v/>
      </c>
      <c r="H6" s="100" t="n">
        <v>231.56</v>
      </c>
      <c r="I6" s="100" t="n">
        <v>22.39</v>
      </c>
      <c r="J6" s="100" t="n"/>
      <c r="K6" s="101" t="n">
        <v>3.4</v>
      </c>
      <c r="L6" s="101" t="n"/>
      <c r="M6" s="100" t="n">
        <v>40.07</v>
      </c>
      <c r="N6" s="100" t="n"/>
      <c r="O6" s="100" t="n">
        <v>495.71</v>
      </c>
      <c r="P6" s="100">
        <f>O6/I6</f>
        <v/>
      </c>
      <c r="Q6" s="100" t="n">
        <v>22.41</v>
      </c>
      <c r="R6" s="100" t="n">
        <v>22.41</v>
      </c>
      <c r="S6" s="100" t="n">
        <v>0</v>
      </c>
      <c r="T6" s="100" t="n"/>
      <c r="U6" s="100" t="n"/>
      <c r="V6" s="100" t="n">
        <v>1</v>
      </c>
      <c r="W6" s="100" t="n">
        <v>1</v>
      </c>
      <c r="X6" s="102" t="n">
        <v>6.46</v>
      </c>
      <c r="Y6" s="101" t="n">
        <v>89.09999999999999</v>
      </c>
      <c r="Z6" s="101" t="n">
        <v>70.45</v>
      </c>
      <c r="AA6" s="103">
        <f>IF(X6&lt;33,IF(Y6&gt;(1.1*X6),0,1),1)+IF(Y6&gt;(4*X6),-1,0)</f>
        <v/>
      </c>
      <c r="AB6" s="100" t="n">
        <v>34</v>
      </c>
      <c r="AC6" s="101">
        <f>IF(AB6&gt;9,1,0)+AB6/3+IF(AB6&gt;15,1,0)+IF(AB6&gt;20,1,0)</f>
        <v/>
      </c>
      <c r="AD6" s="101" t="n">
        <v>4.57</v>
      </c>
      <c r="AE6" s="101" t="n">
        <v>-13.56</v>
      </c>
      <c r="AF6" s="101" t="n">
        <v>26.37</v>
      </c>
      <c r="AG6" s="101">
        <f>IF(G6&lt;0,0,1.2)+IF(G6&lt;14,0,0.9)+IF(P6&lt;0,0.7,0)+IF(P6&lt;6.5,1,0)+IF(P6&lt;23,1,0)+IF(R6&gt;80,0,1)+S6+IF(AD6&lt;20,0,1)+IF(AE6&lt;14,0,1)+IF(AF6&lt;26,0,1)</f>
        <v/>
      </c>
      <c r="AH6" s="101">
        <f>AG6+IF(AG6&gt;6,1,0)+IF(X6&lt;17,0,1)+IF(Y6&lt;11,0,1)+IF(Z6&lt;1.35,0,1)+AC6+AA6</f>
        <v/>
      </c>
      <c r="AI6" s="101" t="n">
        <v>11</v>
      </c>
      <c r="AJ6" s="104">
        <f>IF(AI6&gt;12.8,IF(AI6&gt;15.8,0.95,0.98),1)</f>
        <v/>
      </c>
      <c r="AK6" s="101">
        <f>((AG6*2.6+AH6)*AJ6*AQ6)</f>
        <v/>
      </c>
      <c r="AL6" s="50">
        <f>D6</f>
        <v/>
      </c>
      <c r="AM6" s="97">
        <f>B6</f>
        <v/>
      </c>
      <c r="AN6" s="100" t="n"/>
      <c r="AO6" s="99">
        <f>IF(AK6&gt;23.75,IF(Z6&lt;140,1,0),0)</f>
        <v/>
      </c>
      <c r="AP6" s="100">
        <f>IF(AK6&gt;23.2,IF(Y6&lt;300,IF(Y6&lt;35,IF(Y6&lt;8,3,2),1),0),0)</f>
        <v/>
      </c>
      <c r="AQ6" s="100" t="n">
        <v>1</v>
      </c>
      <c r="AR6" s="100">
        <f>IF(AO6=1,IF(AO6=AL6,1,0),5)</f>
        <v/>
      </c>
      <c r="AS6" s="101" t="n">
        <v>1</v>
      </c>
      <c r="AT6" s="101" t="n">
        <v>1</v>
      </c>
      <c r="AU6" s="101" t="n">
        <v>1</v>
      </c>
      <c r="AV6" s="101">
        <f>(AT6+AU6)/2</f>
        <v/>
      </c>
      <c r="AW6" s="101" t="n">
        <v>1</v>
      </c>
      <c r="AX6" s="101" t="n"/>
      <c r="AY6" s="52">
        <f>(100*(AU6-AS6)/AS6)</f>
        <v/>
      </c>
      <c r="AZ6" s="52">
        <f>IF(AY6&lt;-50,-4,IF(AY6&lt;-20,-2,IF(AY6&lt;0,-1,IF(AY6=0,0,IF(AY6&lt;10,1.5,IF(AY6&lt;20,2,IF(AY6&gt;19,2.5,2.5)))))))</f>
        <v/>
      </c>
    </row>
    <row r="7" ht="12.75" customHeight="1">
      <c r="B7" s="117" t="inlineStr">
        <is>
          <t>Aditya Infotech</t>
        </is>
      </c>
      <c r="C7" s="50" t="n">
        <v>2025</v>
      </c>
      <c r="D7" s="50" t="n">
        <v>1</v>
      </c>
      <c r="E7" s="100" t="n">
        <v>412.84</v>
      </c>
      <c r="F7" s="100" t="n">
        <v>1017.67</v>
      </c>
      <c r="G7" s="100">
        <f>100*(F7-E7)/F7</f>
        <v/>
      </c>
      <c r="H7" s="100" t="n">
        <v>3174.54</v>
      </c>
      <c r="I7" s="100" t="n">
        <v>351.37</v>
      </c>
      <c r="J7" s="100" t="n"/>
      <c r="K7" s="101" t="n">
        <v>33.02</v>
      </c>
      <c r="L7" s="101" t="n"/>
      <c r="M7" s="100" t="n">
        <v>258.39</v>
      </c>
      <c r="N7" s="100" t="n"/>
      <c r="O7" s="100" t="n">
        <v>3111.87</v>
      </c>
      <c r="P7" s="100">
        <f>O7/I7</f>
        <v/>
      </c>
      <c r="Q7" s="100" t="n">
        <v>20.44</v>
      </c>
      <c r="R7" s="100" t="n">
        <v>20.44</v>
      </c>
      <c r="S7" s="100" t="n">
        <v>0</v>
      </c>
      <c r="T7" s="100" t="n"/>
      <c r="U7" s="100" t="n"/>
      <c r="V7" s="100" t="n">
        <v>1</v>
      </c>
      <c r="W7" s="100" t="n">
        <v>1</v>
      </c>
      <c r="X7" s="102" t="n">
        <v>140.5</v>
      </c>
      <c r="Y7" s="101" t="n">
        <v>75.93000000000001</v>
      </c>
      <c r="Z7" s="101" t="n">
        <v>53.81</v>
      </c>
      <c r="AA7" s="103">
        <f>IF(X7&lt;33,IF(Y7&gt;(1.1*X7),0,1),1)+IF(Y7&gt;(4*X7),-1,0)</f>
        <v/>
      </c>
      <c r="AB7" s="100" t="n">
        <v>45</v>
      </c>
      <c r="AC7" s="101">
        <f>IF(AB7&gt;9,1,0)+AB7/3+IF(AB7&gt;15,1,0)+IF(AB7&gt;20,1,0)</f>
        <v/>
      </c>
      <c r="AD7" s="101" t="n">
        <v>205</v>
      </c>
      <c r="AE7" s="101" t="n">
        <v>12</v>
      </c>
      <c r="AF7" s="101" t="n">
        <v>140</v>
      </c>
      <c r="AG7" s="101">
        <f>IF(G7&lt;0,0,1.2)+IF(G7&lt;14,0,0.9)+IF(P7&lt;0,0.7,0)+IF(P7&lt;6.5,1,0)+IF(P7&lt;23,1,0)+IF(R7&gt;80,0,1)+S7+IF(AD7&lt;20,0,1)+IF(AE7&lt;14,0,1)+IF(AF7&lt;26,0,1)</f>
        <v/>
      </c>
      <c r="AH7" s="101">
        <f>AG7+IF(AG7&gt;6,1,0)+IF(X7&lt;17,0,1)+IF(Y7&lt;11,0,1)+IF(Z7&lt;1.35,0,1)+AC7+AA7</f>
        <v/>
      </c>
      <c r="AI7" s="101" t="n">
        <v>11</v>
      </c>
      <c r="AJ7" s="104">
        <f>IF(AI7&gt;12.8,IF(AI7&gt;15.8,0.95,0.98),1)</f>
        <v/>
      </c>
      <c r="AK7" s="101">
        <f>((AG7*2.6+AH7)*AJ7*AQ7)</f>
        <v/>
      </c>
      <c r="AL7" s="50">
        <f>D7</f>
        <v/>
      </c>
      <c r="AM7" s="97">
        <f>B7</f>
        <v/>
      </c>
      <c r="AN7" s="100" t="n"/>
      <c r="AO7" s="99">
        <f>IF(AK7&gt;23.75,IF(Z7&lt;140,1,0),0)</f>
        <v/>
      </c>
      <c r="AP7" s="100">
        <f>IF(AK7&gt;23.2,IF(Y7&lt;300,IF(Y7&lt;35,IF(Y7&lt;8,3,2),1),0),0)</f>
        <v/>
      </c>
      <c r="AQ7" s="100" t="n">
        <v>1</v>
      </c>
      <c r="AR7" s="100">
        <f>IF(AO7=1,IF(AO7=AL7,1,0),5)</f>
        <v/>
      </c>
      <c r="AS7" s="101" t="n">
        <v>1</v>
      </c>
      <c r="AT7" s="101" t="n">
        <v>1</v>
      </c>
      <c r="AU7" s="101" t="n">
        <v>1</v>
      </c>
      <c r="AV7" s="101">
        <f>(AT7+AU7)/2</f>
        <v/>
      </c>
      <c r="AW7" s="101" t="n">
        <v>1</v>
      </c>
      <c r="AX7" s="101" t="n"/>
      <c r="AY7" s="52">
        <f>(100*(AU7-AS7)/AS7)</f>
        <v/>
      </c>
      <c r="AZ7" s="52">
        <f>IF(AY7&lt;-50,-4,IF(AY7&lt;-20,-2,IF(AY7&lt;0,-1,IF(AY7=0,0,IF(AY7&lt;10,1.5,IF(AY7&lt;20,2,IF(AY7&gt;19,2.5,2.5)))))))</f>
        <v/>
      </c>
    </row>
    <row r="8" ht="12.75" customHeight="1">
      <c r="B8" s="117" t="inlineStr">
        <is>
          <t>GNG Electronics</t>
        </is>
      </c>
      <c r="C8" s="50" t="n">
        <v>2025</v>
      </c>
      <c r="D8" s="50" t="n">
        <v>1</v>
      </c>
      <c r="E8" s="100" t="n">
        <v>39</v>
      </c>
      <c r="F8" s="100" t="n">
        <v>226</v>
      </c>
      <c r="G8" s="100">
        <f>100*(F8-E8)/F8</f>
        <v/>
      </c>
      <c r="H8" s="100" t="n">
        <v>719</v>
      </c>
      <c r="I8" s="100" t="n">
        <v>69</v>
      </c>
      <c r="J8" s="100" t="n"/>
      <c r="K8" s="101" t="n">
        <v>7.09</v>
      </c>
      <c r="L8" s="101" t="n"/>
      <c r="M8" s="100" t="n">
        <v>126</v>
      </c>
      <c r="N8" s="100" t="n"/>
      <c r="O8" s="100" t="n">
        <v>1411</v>
      </c>
      <c r="P8" s="100">
        <f>O8/I8</f>
        <v/>
      </c>
      <c r="Q8" s="100" t="n">
        <v>33.43</v>
      </c>
      <c r="R8" s="100" t="n">
        <v>33.43</v>
      </c>
      <c r="S8" s="100" t="n">
        <v>0</v>
      </c>
      <c r="T8" s="100" t="n"/>
      <c r="U8" s="100" t="n"/>
      <c r="V8" s="100" t="n">
        <v>1</v>
      </c>
      <c r="W8" s="100" t="n">
        <v>1</v>
      </c>
      <c r="X8" s="102" t="n">
        <v>275.75</v>
      </c>
      <c r="Y8" s="101" t="n">
        <v>264.14</v>
      </c>
      <c r="Z8" s="101" t="n">
        <v>49.01</v>
      </c>
      <c r="AA8" s="103">
        <f>IF(X8&lt;33,IF(Y8&gt;(1.1*X8),0,1),1)+IF(Y8&gt;(4*X8),-1,0)</f>
        <v/>
      </c>
      <c r="AB8" s="100" t="n">
        <v>35</v>
      </c>
      <c r="AC8" s="101">
        <f>IF(AB8&gt;9,1,0)+AB8/3+IF(AB8&gt;15,1,0)+IF(AB8&gt;20,1,0)</f>
        <v/>
      </c>
      <c r="AD8" s="101" t="n">
        <v>33</v>
      </c>
      <c r="AE8" s="101" t="n">
        <v>24</v>
      </c>
      <c r="AF8" s="101" t="n">
        <v>39</v>
      </c>
      <c r="AG8" s="101">
        <f>IF(G8&lt;0,0,1.2)+IF(G8&lt;14,0,0.9)+IF(P8&lt;0,0.7,0)+IF(P8&lt;6.5,1,0)+IF(P8&lt;23,1,0)+IF(R8&gt;80,0,1)+S8+IF(AD8&lt;20,0,1)+IF(AE8&lt;14,0,1)+IF(AF8&lt;26,0,1)</f>
        <v/>
      </c>
      <c r="AH8" s="101">
        <f>AG8+IF(AG8&gt;6,1,0)+IF(X8&lt;17,0,1)+IF(Y8&lt;11,0,1)+IF(Z8&lt;1.35,0,1)+AC8+AA8</f>
        <v/>
      </c>
      <c r="AI8" s="101" t="n">
        <v>11</v>
      </c>
      <c r="AJ8" s="104">
        <f>IF(AI8&gt;12.8,IF(AI8&gt;15.8,0.95,0.98),1)</f>
        <v/>
      </c>
      <c r="AK8" s="101">
        <f>((AG8*2.6+AH8)*AJ8*AQ8)</f>
        <v/>
      </c>
      <c r="AL8" s="50">
        <f>D8</f>
        <v/>
      </c>
      <c r="AM8" s="97">
        <f>B8</f>
        <v/>
      </c>
      <c r="AN8" s="100" t="n"/>
      <c r="AO8" s="99">
        <f>IF(AK8&gt;23.75,IF(Z8&lt;140,1,0),0)</f>
        <v/>
      </c>
      <c r="AP8" s="100">
        <f>IF(AK8&gt;23.2,IF(Y8&lt;300,IF(Y8&lt;35,IF(Y8&lt;8,3,2),1),0),0)</f>
        <v/>
      </c>
      <c r="AQ8" s="100" t="n">
        <v>1</v>
      </c>
      <c r="AR8" s="100">
        <f>IF(AO8=1,IF(AO8=AL8,1,0),5)</f>
        <v/>
      </c>
      <c r="AS8" s="101" t="n">
        <v>1</v>
      </c>
      <c r="AT8" s="101" t="n">
        <v>1</v>
      </c>
      <c r="AU8" s="101" t="n">
        <v>1</v>
      </c>
      <c r="AV8" s="101">
        <f>(AT8+AU8)/2</f>
        <v/>
      </c>
      <c r="AW8" s="101" t="n">
        <v>1</v>
      </c>
      <c r="AX8" s="101" t="n"/>
      <c r="AY8" s="52">
        <f>(100*(AU8-AS8)/AS8)</f>
        <v/>
      </c>
      <c r="AZ8" s="52">
        <f>IF(AY8&lt;-50,-4,IF(AY8&lt;-20,-2,IF(AY8&lt;0,-1,IF(AY8=0,0,IF(AY8&lt;10,1.5,IF(AY8&lt;20,2,IF(AY8&gt;19,2.5,2.5)))))))</f>
        <v/>
      </c>
    </row>
    <row r="9" ht="12.75" customHeight="1">
      <c r="B9" s="117" t="inlineStr">
        <is>
          <t>Sambhv Steel Tubes</t>
        </is>
      </c>
      <c r="C9" s="50" t="n">
        <v>2025</v>
      </c>
      <c r="D9" s="50" t="n">
        <v>1</v>
      </c>
      <c r="E9" s="100" t="n">
        <v>181.43</v>
      </c>
      <c r="F9" s="100" t="n">
        <v>438.28</v>
      </c>
      <c r="G9" s="100">
        <f>100*(F9-E9)/F9</f>
        <v/>
      </c>
      <c r="H9" s="100" t="n">
        <v>957.58</v>
      </c>
      <c r="I9" s="100" t="n">
        <v>82.44</v>
      </c>
      <c r="J9" s="100" t="n"/>
      <c r="K9" s="101" t="n">
        <v>3.79</v>
      </c>
      <c r="L9" s="101" t="n"/>
      <c r="M9" s="100" t="n">
        <v>159.87</v>
      </c>
      <c r="N9" s="100" t="n"/>
      <c r="O9" s="100" t="n">
        <v>1285.76</v>
      </c>
      <c r="P9" s="100">
        <f>O9/I9</f>
        <v/>
      </c>
      <c r="Q9" s="100" t="n">
        <v>21.63</v>
      </c>
      <c r="R9" s="100" t="n">
        <v>21.63</v>
      </c>
      <c r="S9" s="100" t="n">
        <v>0</v>
      </c>
      <c r="T9" s="100" t="n"/>
      <c r="U9" s="100" t="n"/>
      <c r="V9" s="100" t="n">
        <v>1</v>
      </c>
      <c r="W9" s="100" t="n">
        <v>1</v>
      </c>
      <c r="X9" s="102" t="n">
        <v>66.36</v>
      </c>
      <c r="Y9" s="101" t="n">
        <v>33.88</v>
      </c>
      <c r="Z9" s="101" t="n">
        <v>8.56</v>
      </c>
      <c r="AA9" s="103">
        <f>IF(X9&lt;33,IF(Y9&gt;(1.1*X9),0,1),1)+IF(Y9&gt;(4*X9),-1,0)</f>
        <v/>
      </c>
      <c r="AB9" s="100" t="n">
        <v>17</v>
      </c>
      <c r="AC9" s="101">
        <f>IF(AB9&gt;9,1,0)+AB9/3+IF(AB9&gt;15,1,0)+IF(AB9&gt;20,1,0)</f>
        <v/>
      </c>
      <c r="AD9" s="101" t="n">
        <v>36.49</v>
      </c>
      <c r="AE9" s="101" t="n">
        <v>37.17</v>
      </c>
      <c r="AF9" s="101" t="n">
        <v>108.27</v>
      </c>
      <c r="AG9" s="101">
        <f>IF(G9&lt;0,0,1.2)+IF(G9&lt;14,0,0.9)+IF(P9&lt;0,0.7,0)+IF(P9&lt;6.5,1,0)+IF(P9&lt;23,1,0)+IF(R9&gt;80,0,1)+S9+IF(AD9&lt;20,0,1)+IF(AE9&lt;14,0,1)+IF(AF9&lt;26,0,1)</f>
        <v/>
      </c>
      <c r="AH9" s="101">
        <f>AG9+IF(AG9&gt;6,1,0)+IF(X9&lt;17,0,1)+IF(Y9&lt;11,0,1)+IF(Z9&lt;1.35,0,1)+AC9+AA9</f>
        <v/>
      </c>
      <c r="AI9" s="101" t="n">
        <v>11</v>
      </c>
      <c r="AJ9" s="104">
        <f>IF(AI9&gt;12.8,IF(AI9&gt;15.8,0.95,0.98),1)</f>
        <v/>
      </c>
      <c r="AK9" s="101">
        <f>((AG9*2.6+AH9)*AJ9*AQ9)</f>
        <v/>
      </c>
      <c r="AL9" s="50">
        <f>D9</f>
        <v/>
      </c>
      <c r="AM9" s="97">
        <f>B9</f>
        <v/>
      </c>
      <c r="AN9" s="100" t="n"/>
      <c r="AO9" s="99">
        <f>IF(AK9&gt;23.75,IF(Z9&lt;140,1,0),0)</f>
        <v/>
      </c>
      <c r="AP9" s="100">
        <f>IF(AK9&gt;23.2,IF(Y9&lt;300,IF(Y9&lt;35,IF(Y9&lt;8,3,2),1),0),0)</f>
        <v/>
      </c>
      <c r="AQ9" s="100" t="n">
        <v>1</v>
      </c>
      <c r="AR9" s="100">
        <f>IF(AO9=1,IF(AO9=AL9,1,0),5)</f>
        <v/>
      </c>
      <c r="AS9" s="101" t="n">
        <v>1</v>
      </c>
      <c r="AT9" s="101" t="n">
        <v>1</v>
      </c>
      <c r="AU9" s="101" t="n">
        <v>1</v>
      </c>
      <c r="AV9" s="101">
        <f>(AT9+AU9)/2</f>
        <v/>
      </c>
      <c r="AW9" s="101" t="n">
        <v>1</v>
      </c>
      <c r="AX9" s="101" t="n"/>
      <c r="AY9" s="52">
        <f>(100*(AU9-AS9)/AS9)</f>
        <v/>
      </c>
      <c r="AZ9" s="52">
        <f>IF(AY9&lt;-50,-4,IF(AY9&lt;-20,-2,IF(AY9&lt;0,-1,IF(AY9=0,0,IF(AY9&lt;10,1.5,IF(AY9&lt;20,2,IF(AY9&gt;19,2.5,2.5)))))))</f>
        <v/>
      </c>
    </row>
    <row r="10" ht="12.75" customHeight="1">
      <c r="B10" s="117" t="inlineStr">
        <is>
          <t>Lami Dental</t>
        </is>
      </c>
      <c r="C10" s="50" t="n">
        <v>2025</v>
      </c>
      <c r="D10" s="50" t="n">
        <v>1</v>
      </c>
      <c r="E10" s="100" t="n">
        <v>42</v>
      </c>
      <c r="F10" s="100" t="n">
        <v>42</v>
      </c>
      <c r="G10" s="100">
        <f>100*(F10-E10)/F10</f>
        <v/>
      </c>
      <c r="H10" s="100" t="n">
        <v>99</v>
      </c>
      <c r="I10" s="100" t="n">
        <v>26.5</v>
      </c>
      <c r="J10" s="100" t="n"/>
      <c r="K10" s="101" t="n">
        <v>9.5</v>
      </c>
      <c r="L10" s="101" t="n"/>
      <c r="M10" s="100" t="n">
        <v>23.8</v>
      </c>
      <c r="N10" s="100" t="n"/>
      <c r="O10" s="100" t="n">
        <v>193.6</v>
      </c>
      <c r="P10" s="100">
        <f>O10/I10</f>
        <v/>
      </c>
      <c r="Q10" s="100" t="n">
        <v>45</v>
      </c>
      <c r="R10" s="100" t="n">
        <v>45</v>
      </c>
      <c r="S10" s="100" t="n">
        <v>0</v>
      </c>
      <c r="T10" s="100" t="n"/>
      <c r="U10" s="100" t="n"/>
      <c r="V10" s="100" t="n">
        <v>1</v>
      </c>
      <c r="W10" s="100" t="n">
        <v>1</v>
      </c>
      <c r="X10" s="102" t="n">
        <v>110.38</v>
      </c>
      <c r="Y10" s="101" t="n">
        <v>147.69</v>
      </c>
      <c r="Z10" s="101" t="n">
        <v>75.09999999999999</v>
      </c>
      <c r="AA10" s="103">
        <f>IF(X10&lt;33,IF(Y10&gt;(1.1*X10),0,1),1)+IF(Y10&gt;(4*X10),-1,0)</f>
        <v/>
      </c>
      <c r="AB10" s="100" t="n">
        <v>33</v>
      </c>
      <c r="AC10" s="101">
        <f>IF(AB10&gt;9,1,0)+AB10/3+IF(AB10&gt;15,1,0)+IF(AB10&gt;20,1,0)</f>
        <v/>
      </c>
      <c r="AD10" s="101" t="n">
        <v>741</v>
      </c>
      <c r="AE10" s="101" t="n">
        <v>19.8</v>
      </c>
      <c r="AF10" s="101" t="n">
        <v>133</v>
      </c>
      <c r="AG10" s="101">
        <f>IF(G10&lt;0,0,1.2)+IF(G10&lt;14,0,0.9)+IF(P10&lt;0,0.7,0)+IF(P10&lt;6.5,1,0)+IF(P10&lt;23,1,0)+IF(R10&gt;80,0,1)+S10+IF(AD10&lt;20,0,1)+IF(AE10&lt;14,0,1)+IF(AF10&lt;26,0,1)</f>
        <v/>
      </c>
      <c r="AH10" s="101">
        <f>AG10+IF(AG10&gt;6,1,0)+IF(X10&lt;17,0,1)+IF(Y10&lt;11,0,1)+IF(Z10&lt;1.35,0,1)+AC10+AA10</f>
        <v/>
      </c>
      <c r="AI10" s="101" t="n">
        <v>11</v>
      </c>
      <c r="AJ10" s="104">
        <f>IF(AI10&gt;12.8,IF(AI10&gt;15.8,0.95,0.98),1)</f>
        <v/>
      </c>
      <c r="AK10" s="101">
        <f>((AG10*2.6+AH10)*AJ10*AQ10)</f>
        <v/>
      </c>
      <c r="AL10" s="50">
        <f>D10</f>
        <v/>
      </c>
      <c r="AM10" s="97">
        <f>B10</f>
        <v/>
      </c>
      <c r="AN10" s="100" t="n"/>
      <c r="AO10" s="99">
        <f>IF(AK10&gt;23.75,IF(Z10&lt;140,1,0),0)</f>
        <v/>
      </c>
      <c r="AP10" s="100">
        <f>IF(AK10&gt;23.2,IF(Y10&lt;300,IF(Y10&lt;35,IF(Y10&lt;8,3,2),1),0),0)</f>
        <v/>
      </c>
      <c r="AQ10" s="100" t="n">
        <v>1</v>
      </c>
      <c r="AR10" s="100">
        <f>IF(AO10=1,IF(AO10=AL10,1,0),5)</f>
        <v/>
      </c>
      <c r="AS10" s="101" t="n">
        <v>1</v>
      </c>
      <c r="AT10" s="101" t="n">
        <v>1</v>
      </c>
      <c r="AU10" s="101" t="n">
        <v>1</v>
      </c>
      <c r="AV10" s="101">
        <f>(AT10+AU10)/2</f>
        <v/>
      </c>
      <c r="AW10" s="101" t="n">
        <v>1</v>
      </c>
      <c r="AX10" s="101" t="n"/>
      <c r="AY10" s="52">
        <f>(100*(AU10-AS10)/AS10)</f>
        <v/>
      </c>
      <c r="AZ10" s="52">
        <f>IF(AY10&lt;-50,-4,IF(AY10&lt;-20,-2,IF(AY10&lt;0,-1,IF(AY10=0,0,IF(AY10&lt;10,1.5,IF(AY10&lt;20,2,IF(AY10&gt;19,2.5,2.5)))))))</f>
        <v/>
      </c>
    </row>
    <row r="11" ht="12.75" customHeight="1">
      <c r="B11" s="117" t="inlineStr">
        <is>
          <t>Unimech Aerospace</t>
        </is>
      </c>
      <c r="C11" s="50" t="n">
        <v>2024</v>
      </c>
      <c r="D11" s="50" t="n">
        <v>1</v>
      </c>
      <c r="E11" s="100" t="n">
        <v>75.03</v>
      </c>
      <c r="F11" s="100" t="n">
        <v>108.6</v>
      </c>
      <c r="G11" s="100">
        <f>100*(F11-E11)/F11</f>
        <v/>
      </c>
      <c r="H11" s="100" t="n">
        <v>175.63</v>
      </c>
      <c r="I11" s="100" t="n">
        <v>58.13</v>
      </c>
      <c r="J11" s="100" t="n"/>
      <c r="K11" s="101" t="n">
        <v>13.23</v>
      </c>
      <c r="L11" s="101" t="n"/>
      <c r="M11" s="100" t="n">
        <v>79.13</v>
      </c>
      <c r="N11" s="100" t="n"/>
      <c r="O11" s="100" t="n">
        <v>208.77</v>
      </c>
      <c r="P11" s="100">
        <f>O11/I11</f>
        <v/>
      </c>
      <c r="Q11" s="100" t="n">
        <v>59.33</v>
      </c>
      <c r="R11" s="100" t="n">
        <v>59.33</v>
      </c>
      <c r="S11" s="100" t="n">
        <v>0</v>
      </c>
      <c r="T11" s="100" t="n"/>
      <c r="U11" s="100" t="n"/>
      <c r="V11" s="100" t="n">
        <v>1</v>
      </c>
      <c r="W11" s="100" t="n">
        <v>1</v>
      </c>
      <c r="X11" s="102" t="n">
        <v>116.01</v>
      </c>
      <c r="Y11" s="101" t="n">
        <v>196.78</v>
      </c>
      <c r="Z11" s="101" t="n">
        <v>44.11</v>
      </c>
      <c r="AA11" s="103">
        <f>IF(X11&lt;33,IF(Y11&gt;(1.1*X11),0,1),1)+IF(Y11&gt;(4*X11),-1,0)</f>
        <v/>
      </c>
      <c r="AB11" s="100" t="n">
        <v>79</v>
      </c>
      <c r="AC11" s="101">
        <f>IF(AB11&gt;9,1,0)+AB11/3+IF(AB11&gt;15,1,0)+IF(AB11&gt;20,1,0)</f>
        <v/>
      </c>
      <c r="AD11" s="101" t="n">
        <v>155</v>
      </c>
      <c r="AE11" s="101" t="n">
        <v>122</v>
      </c>
      <c r="AF11" s="101" t="n">
        <v>122</v>
      </c>
      <c r="AG11" s="101">
        <f>IF(G11&lt;0,0,1.2)+IF(G11&lt;14,0,0.9)+IF(P11&lt;0,0.7,0)+IF(P11&lt;6.5,1,0)+IF(P11&lt;23,1,0)+IF(R11&gt;80,0,1)+S11+IF(AD11&lt;20,0,1)+IF(AE11&lt;14,0,1)+IF(AF11&lt;26,0,1)</f>
        <v/>
      </c>
      <c r="AH11" s="101">
        <f>AG11+IF(AG11&gt;6,1,0)+IF(X11&lt;17,0,1)+IF(Y11&lt;11,0,1)+IF(Z11&lt;1.35,0,1)+AC11+AA11</f>
        <v/>
      </c>
      <c r="AI11" s="101" t="n">
        <v>11</v>
      </c>
      <c r="AJ11" s="104">
        <f>IF(AI11&gt;12.8,IF(AI11&gt;15.8,0.95,0.98),1)</f>
        <v/>
      </c>
      <c r="AK11" s="101">
        <f>((AG11*2.6+AH11)*AJ11*AQ11)</f>
        <v/>
      </c>
      <c r="AL11" s="50">
        <f>D11</f>
        <v/>
      </c>
      <c r="AM11" s="97">
        <f>B11</f>
        <v/>
      </c>
      <c r="AN11" s="100" t="n"/>
      <c r="AO11" s="99">
        <f>IF(AK11&gt;23.75,IF(Z11&lt;140,1,0),0)</f>
        <v/>
      </c>
      <c r="AP11" s="100">
        <f>IF(AK11&gt;23.2,IF(Y11&lt;300,IF(Y11&lt;35,IF(Y11&lt;8,3,2),1),0),0)</f>
        <v/>
      </c>
      <c r="AQ11" s="100" t="n">
        <v>1</v>
      </c>
      <c r="AR11" s="100">
        <f>IF(AO11=1,IF(AO11=AL11,1,0),5)</f>
        <v/>
      </c>
      <c r="AS11" s="101" t="n">
        <v>1</v>
      </c>
      <c r="AT11" s="101" t="n">
        <v>1</v>
      </c>
      <c r="AU11" s="101" t="n">
        <v>1</v>
      </c>
      <c r="AV11" s="101">
        <f>(AT11+AU11)/2</f>
        <v/>
      </c>
      <c r="AW11" s="101" t="n">
        <v>1</v>
      </c>
      <c r="AX11" s="101" t="n"/>
      <c r="AY11" s="52">
        <f>(100*(AU11-AS11)/AS11)</f>
        <v/>
      </c>
      <c r="AZ11" s="52">
        <f>IF(AY11&lt;-50,-4,IF(AY11&lt;-20,-2,IF(AY11&lt;0,-1,IF(AY11=0,0,IF(AY11&lt;10,1.5,IF(AY11&lt;20,2,IF(AY11&gt;19,2.5,2.5)))))))</f>
        <v/>
      </c>
    </row>
    <row r="12" ht="12.75" customHeight="1">
      <c r="B12" s="117" t="inlineStr">
        <is>
          <t>Senores Pharmaceuticals</t>
        </is>
      </c>
      <c r="C12" s="50" t="n">
        <v>2024</v>
      </c>
      <c r="D12" s="50" t="n">
        <v>1</v>
      </c>
      <c r="E12" s="100" t="n">
        <v>200.8</v>
      </c>
      <c r="F12" s="100" t="n">
        <v>811.9</v>
      </c>
      <c r="G12" s="100">
        <f>100*(F12-E12)/F12</f>
        <v/>
      </c>
      <c r="H12" s="100" t="n">
        <v>1091.2</v>
      </c>
      <c r="I12" s="100" t="n">
        <v>58.3</v>
      </c>
      <c r="J12" s="100" t="n"/>
      <c r="K12" s="101" t="n">
        <v>12.7</v>
      </c>
      <c r="L12" s="101" t="n"/>
      <c r="M12" s="100" t="n">
        <v>89.7</v>
      </c>
      <c r="N12" s="100" t="n"/>
      <c r="O12" s="100" t="n">
        <v>398.3</v>
      </c>
      <c r="P12" s="100">
        <f>O12/I12</f>
        <v/>
      </c>
      <c r="Q12" s="100" t="n">
        <v>55.1</v>
      </c>
      <c r="R12" s="100" t="n">
        <v>55.1</v>
      </c>
      <c r="S12" s="100" t="n">
        <v>0</v>
      </c>
      <c r="T12" s="100" t="n"/>
      <c r="U12" s="100" t="n"/>
      <c r="V12" s="100" t="n">
        <v>1</v>
      </c>
      <c r="W12" s="100" t="n">
        <v>1</v>
      </c>
      <c r="X12" s="102" t="n">
        <v>97.84</v>
      </c>
      <c r="Y12" s="101" t="n">
        <v>100.35</v>
      </c>
      <c r="Z12" s="101" t="n">
        <v>93.16</v>
      </c>
      <c r="AA12" s="103">
        <f>IF(X12&lt;33,IF(Y12&gt;(1.1*X12),0,1),1)+IF(Y12&gt;(4*X12),-1,0)</f>
        <v/>
      </c>
      <c r="AB12" s="100" t="n">
        <v>0</v>
      </c>
      <c r="AC12" s="101">
        <f>IF(AB12&gt;9,1,0)+AB12/3+IF(AB12&gt;15,1,0)+IF(AB12&gt;20,1,0)</f>
        <v/>
      </c>
      <c r="AD12" s="101" t="n">
        <v>85.7</v>
      </c>
      <c r="AE12" s="101" t="n">
        <v>85.59999999999999</v>
      </c>
      <c r="AF12" s="101" t="n">
        <v>250.5</v>
      </c>
      <c r="AG12" s="101">
        <f>IF(G12&lt;0,0,1.2)+IF(G12&lt;14,0,0.9)+IF(P12&lt;0,0.7,0)+IF(P12&lt;6.5,1,0)+IF(P12&lt;23,1,0)+IF(R12&gt;80,0,1)+S12+IF(AD12&lt;20,0,1)+IF(AE12&lt;14,0,1)+IF(AF12&lt;26,0,1)</f>
        <v/>
      </c>
      <c r="AH12" s="101">
        <f>AG12+IF(AG12&gt;6,1,0)+IF(X12&lt;17,0,1)+IF(Y12&lt;11,0,1)+IF(Z12&lt;1.35,0,1)+AC12+AA12</f>
        <v/>
      </c>
      <c r="AI12" s="101" t="n">
        <v>11</v>
      </c>
      <c r="AJ12" s="104">
        <f>IF(AI12&gt;12.8,IF(AI12&gt;15.8,0.95,0.98),1)</f>
        <v/>
      </c>
      <c r="AK12" s="101">
        <f>((AG12*2.6+AH12)*AJ12*AQ12)</f>
        <v/>
      </c>
      <c r="AL12" s="50">
        <f>D12</f>
        <v/>
      </c>
      <c r="AM12" s="97">
        <f>B12</f>
        <v/>
      </c>
      <c r="AN12" s="100" t="n"/>
      <c r="AO12" s="99">
        <f>IF(AK12&gt;23.75,IF(Z12&lt;140,1,0),0)</f>
        <v/>
      </c>
      <c r="AP12" s="100">
        <f>IF(AK12&gt;23.2,IF(Y12&lt;300,IF(Y12&lt;35,IF(Y12&lt;8,3,2),1),0),0)</f>
        <v/>
      </c>
      <c r="AQ12" s="100" t="n">
        <v>1</v>
      </c>
      <c r="AR12" s="100">
        <f>IF(AO12=1,IF(AO12=AL12,1,0),5)</f>
        <v/>
      </c>
      <c r="AS12" s="101" t="n">
        <v>1</v>
      </c>
      <c r="AT12" s="101" t="n">
        <v>1</v>
      </c>
      <c r="AU12" s="101" t="n">
        <v>1</v>
      </c>
      <c r="AV12" s="101">
        <f>(AT12+AU12)/2</f>
        <v/>
      </c>
      <c r="AW12" s="101" t="n">
        <v>1</v>
      </c>
      <c r="AX12" s="101" t="n"/>
      <c r="AY12" s="52">
        <f>(100*(AU12-AS12)/AS12)</f>
        <v/>
      </c>
      <c r="AZ12" s="52">
        <f>IF(AY12&lt;-50,-4,IF(AY12&lt;-20,-2,IF(AY12&lt;0,-1,IF(AY12=0,0,IF(AY12&lt;10,1.5,IF(AY12&lt;20,2,IF(AY12&gt;19,2.5,2.5)))))))</f>
        <v/>
      </c>
    </row>
    <row r="13" ht="12.75" customHeight="1">
      <c r="B13" s="117" t="inlineStr">
        <is>
          <t>Mamata Machinery</t>
        </is>
      </c>
      <c r="C13" s="50" t="n">
        <v>2024</v>
      </c>
      <c r="D13" s="50" t="n">
        <v>1</v>
      </c>
      <c r="E13" s="100" t="n">
        <v>11.5</v>
      </c>
      <c r="F13" s="100" t="n">
        <v>132.3</v>
      </c>
      <c r="G13" s="100">
        <f>100*(F13-E13)/F13</f>
        <v/>
      </c>
      <c r="H13" s="100" t="n">
        <v>237.4</v>
      </c>
      <c r="I13" s="100" t="n">
        <v>36.1</v>
      </c>
      <c r="J13" s="100" t="n"/>
      <c r="K13" s="101" t="n">
        <v>14.65</v>
      </c>
      <c r="L13" s="101" t="n"/>
      <c r="M13" s="100" t="n">
        <v>47.1</v>
      </c>
      <c r="N13" s="100" t="n"/>
      <c r="O13" s="100" t="n">
        <v>236.6</v>
      </c>
      <c r="P13" s="100">
        <f>O13/I13</f>
        <v/>
      </c>
      <c r="Q13" s="100" t="n">
        <v>16.59</v>
      </c>
      <c r="R13" s="100" t="n">
        <v>16.59</v>
      </c>
      <c r="S13" s="100" t="n">
        <v>0</v>
      </c>
      <c r="T13" s="100" t="n"/>
      <c r="U13" s="100" t="n"/>
      <c r="V13" s="100" t="n">
        <v>1</v>
      </c>
      <c r="W13" s="100" t="n">
        <v>1</v>
      </c>
      <c r="X13" s="102" t="n">
        <v>235.88</v>
      </c>
      <c r="Y13" s="101" t="n">
        <v>274.38</v>
      </c>
      <c r="Z13" s="101" t="n">
        <v>138.08</v>
      </c>
      <c r="AA13" s="103">
        <f>IF(X13&lt;33,IF(Y13&gt;(1.1*X13),0,1),1)+IF(Y13&gt;(4*X13),-1,0)</f>
        <v/>
      </c>
      <c r="AB13" s="100" t="n">
        <v>107</v>
      </c>
      <c r="AC13" s="101">
        <f>IF(AB13&gt;9,1,0)+AB13/3+IF(AB13&gt;15,1,0)+IF(AB13&gt;20,1,0)</f>
        <v/>
      </c>
      <c r="AD13" s="101" t="n">
        <v>60</v>
      </c>
      <c r="AE13" s="101" t="n">
        <v>18</v>
      </c>
      <c r="AF13" s="101" t="n">
        <v>4</v>
      </c>
      <c r="AG13" s="101">
        <f>IF(G13&lt;0,0,1.2)+IF(G13&lt;14,0,0.9)+IF(P13&lt;0,0.7,0)+IF(P13&lt;6.5,1,0)+IF(P13&lt;23,1,0)+IF(R13&gt;80,0,1)+S13+IF(AD13&lt;20,0,1)+IF(AE13&lt;14,0,1)+IF(AF13&lt;26,0,1)</f>
        <v/>
      </c>
      <c r="AH13" s="101">
        <f>AG13+IF(AG13&gt;6,1,0)+IF(X13&lt;17,0,1)+IF(Y13&lt;11,0,1)+IF(Z13&lt;1.35,0,1)+AC13+AA13</f>
        <v/>
      </c>
      <c r="AI13" s="101" t="n">
        <v>11</v>
      </c>
      <c r="AJ13" s="104">
        <f>IF(AI13&gt;12.8,IF(AI13&gt;15.8,0.95,0.98),1)</f>
        <v/>
      </c>
      <c r="AK13" s="101">
        <f>((AG13*2.6+AH13)*AJ13*AQ13)</f>
        <v/>
      </c>
      <c r="AL13" s="50">
        <f>D13</f>
        <v/>
      </c>
      <c r="AM13" s="97">
        <f>B13</f>
        <v/>
      </c>
      <c r="AN13" s="100" t="n"/>
      <c r="AO13" s="99">
        <f>IF(AK13&gt;23.75,IF(Z13&lt;140,1,0),0)</f>
        <v/>
      </c>
      <c r="AP13" s="100">
        <f>IF(AK13&gt;23.2,IF(Y13&lt;300,IF(Y13&lt;35,IF(Y13&lt;8,3,2),1),0),0)</f>
        <v/>
      </c>
      <c r="AQ13" s="100" t="n">
        <v>1</v>
      </c>
      <c r="AR13" s="100">
        <f>IF(AO13=1,IF(AO13=AL13,1,0),5)</f>
        <v/>
      </c>
      <c r="AS13" s="101" t="n">
        <v>1</v>
      </c>
      <c r="AT13" s="101" t="n">
        <v>1</v>
      </c>
      <c r="AU13" s="101" t="n">
        <v>1</v>
      </c>
      <c r="AV13" s="101">
        <f>(AT13+AU13)/2</f>
        <v/>
      </c>
      <c r="AW13" s="101" t="n">
        <v>1</v>
      </c>
      <c r="AX13" s="101" t="n"/>
      <c r="AY13" s="52">
        <f>(100*(AU13-AS13)/AS13)</f>
        <v/>
      </c>
      <c r="AZ13" s="52">
        <f>IF(AY13&lt;-50,-4,IF(AY13&lt;-20,-2,IF(AY13&lt;0,-1,IF(AY13=0,0,IF(AY13&lt;10,1.5,IF(AY13&lt;20,2,IF(AY13&gt;19,2.5,2.5)))))))</f>
        <v/>
      </c>
    </row>
    <row r="14" ht="12.75" customHeight="1">
      <c r="B14" s="117" t="inlineStr">
        <is>
          <t>Mobikwik</t>
        </is>
      </c>
      <c r="C14" s="50" t="n">
        <v>2024</v>
      </c>
      <c r="D14" s="50" t="n">
        <v>1</v>
      </c>
      <c r="E14" s="100" t="n">
        <v>211.7</v>
      </c>
      <c r="F14" s="100" t="n">
        <v>162.59</v>
      </c>
      <c r="G14" s="100">
        <f>100*(F14-E14)/F14</f>
        <v/>
      </c>
      <c r="H14" s="100" t="n">
        <v>854.65</v>
      </c>
      <c r="I14" s="100" t="n">
        <v>14.08</v>
      </c>
      <c r="J14" s="100" t="n"/>
      <c r="K14" s="101" t="n">
        <v>2.46</v>
      </c>
      <c r="L14" s="101" t="n"/>
      <c r="M14" s="100" t="n">
        <v>37.22</v>
      </c>
      <c r="N14" s="100" t="n"/>
      <c r="O14" s="100" t="n">
        <v>875</v>
      </c>
      <c r="P14" s="100">
        <f>O14/I14</f>
        <v/>
      </c>
      <c r="Q14" s="100" t="n">
        <v>113.32</v>
      </c>
      <c r="R14" s="100" t="n">
        <v>113.32</v>
      </c>
      <c r="S14" s="100" t="n">
        <v>0</v>
      </c>
      <c r="T14" s="100" t="n"/>
      <c r="U14" s="100" t="n"/>
      <c r="V14" s="100" t="n">
        <v>1</v>
      </c>
      <c r="W14" s="100" t="n">
        <v>1</v>
      </c>
      <c r="X14" s="102" t="n">
        <v>125</v>
      </c>
      <c r="Y14" s="101" t="n">
        <v>114.7</v>
      </c>
      <c r="Z14" s="101" t="n">
        <v>141.78</v>
      </c>
      <c r="AA14" s="103">
        <f>IF(X14&lt;33,IF(Y14&gt;(1.1*X14),0,1),1)+IF(Y14&gt;(4*X14),-1,0)</f>
        <v/>
      </c>
      <c r="AB14" s="100" t="n">
        <v>59</v>
      </c>
      <c r="AC14" s="101">
        <f>IF(AB14&gt;9,1,0)+AB14/3+IF(AB14&gt;15,1,0)+IF(AB14&gt;20,1,0)</f>
        <v/>
      </c>
      <c r="AD14" s="101" t="n">
        <v>117</v>
      </c>
      <c r="AE14" s="101" t="n">
        <v>62</v>
      </c>
      <c r="AF14" s="101" t="n">
        <v>14</v>
      </c>
      <c r="AG14" s="101">
        <f>IF(G14&lt;0,0,1.2)+IF(G14&lt;14,0,0.9)+IF(P14&lt;0,0.7,0)+IF(P14&lt;6.5,1,0)+IF(P14&lt;23,1,0)+IF(R14&gt;80,0,1)+S14+IF(AD14&lt;20,0,1)+IF(AE14&lt;14,0,1)+IF(AF14&lt;26,0,1)</f>
        <v/>
      </c>
      <c r="AH14" s="101">
        <f>AG14+IF(AG14&gt;6,1,0)+IF(X14&lt;17,0,1)+IF(Y14&lt;11,0,1)+IF(Z14&lt;1.35,0,1)+AC14+AA14</f>
        <v/>
      </c>
      <c r="AI14" s="101" t="n">
        <v>11</v>
      </c>
      <c r="AJ14" s="104">
        <f>IF(AI14&gt;12.8,IF(AI14&gt;15.8,0.95,0.98),1)</f>
        <v/>
      </c>
      <c r="AK14" s="101">
        <f>((AG14*2.6+AH14)*AJ14*AQ14)</f>
        <v/>
      </c>
      <c r="AL14" s="50">
        <f>D14</f>
        <v/>
      </c>
      <c r="AM14" s="97">
        <f>B14</f>
        <v/>
      </c>
      <c r="AN14" s="100" t="n"/>
      <c r="AO14" s="99">
        <f>IF(AK14&gt;23.75,IF(Z14&lt;140,1,0),0)</f>
        <v/>
      </c>
      <c r="AP14" s="100">
        <f>IF(AK14&gt;23.2,IF(Y14&lt;300,IF(Y14&lt;35,IF(Y14&lt;8,3,2),1),0),0)</f>
        <v/>
      </c>
      <c r="AQ14" s="100" t="n">
        <v>1</v>
      </c>
      <c r="AR14" s="100">
        <f>IF(AO14=1,IF(AO14=AL14,1,0),5)</f>
        <v/>
      </c>
      <c r="AS14" s="101" t="n">
        <v>1</v>
      </c>
      <c r="AT14" s="101" t="n">
        <v>1</v>
      </c>
      <c r="AU14" s="101" t="n">
        <v>1</v>
      </c>
      <c r="AV14" s="101">
        <f>(AT14+AU14)/2</f>
        <v/>
      </c>
      <c r="AW14" s="101" t="n">
        <v>1</v>
      </c>
      <c r="AX14" s="101" t="n"/>
      <c r="AY14" s="52">
        <f>(100*(AU14-AS14)/AS14)</f>
        <v/>
      </c>
      <c r="AZ14" s="52">
        <f>IF(AY14&lt;-50,-4,IF(AY14&lt;-20,-2,IF(AY14&lt;0,-1,IF(AY14=0,0,IF(AY14&lt;10,1.5,IF(AY14&lt;20,2,IF(AY14&gt;19,2.5,2.5)))))))</f>
        <v/>
      </c>
    </row>
    <row r="15" ht="12.75" customHeight="1">
      <c r="B15" s="117" t="inlineStr">
        <is>
          <t>Enviro Infra Engineers</t>
        </is>
      </c>
      <c r="C15" s="50" t="n">
        <v>2024</v>
      </c>
      <c r="D15" s="50" t="n">
        <v>1</v>
      </c>
      <c r="E15" s="100" t="n">
        <v>305.58</v>
      </c>
      <c r="F15" s="100" t="n">
        <v>323</v>
      </c>
      <c r="G15" s="100">
        <f>100*(F15-E15)/F15</f>
        <v/>
      </c>
      <c r="H15" s="100" t="n">
        <v>812.87</v>
      </c>
      <c r="I15" s="100" t="n">
        <v>110.54</v>
      </c>
      <c r="J15" s="100" t="n"/>
      <c r="K15" s="101" t="n">
        <v>5.95</v>
      </c>
      <c r="L15" s="101" t="n"/>
      <c r="M15" s="100" t="n">
        <v>169.32</v>
      </c>
      <c r="N15" s="100" t="n"/>
      <c r="O15" s="100" t="n">
        <v>728.92</v>
      </c>
      <c r="P15" s="100">
        <f>O15/I15</f>
        <v/>
      </c>
      <c r="Q15" s="100" t="n">
        <v>23.9</v>
      </c>
      <c r="R15" s="100" t="n">
        <v>23.9</v>
      </c>
      <c r="S15" s="100" t="n">
        <v>0</v>
      </c>
      <c r="T15" s="100" t="n"/>
      <c r="U15" s="100" t="n"/>
      <c r="V15" s="100" t="n">
        <v>1</v>
      </c>
      <c r="W15" s="100" t="n">
        <v>1</v>
      </c>
      <c r="X15" s="102" t="n">
        <v>157.05</v>
      </c>
      <c r="Y15" s="101" t="n">
        <v>153.8</v>
      </c>
      <c r="Z15" s="101" t="n">
        <v>24.48</v>
      </c>
      <c r="AA15" s="103">
        <f>IF(X15&lt;33,IF(Y15&gt;(1.1*X15),0,1),1)+IF(Y15&gt;(4*X15),-1,0)</f>
        <v/>
      </c>
      <c r="AB15" s="100" t="n">
        <v>39</v>
      </c>
      <c r="AC15" s="101">
        <f>IF(AB15&gt;9,1,0)+AB15/3+IF(AB15&gt;15,1,0)+IF(AB15&gt;20,1,0)</f>
        <v/>
      </c>
      <c r="AD15" s="101" t="n">
        <v>101</v>
      </c>
      <c r="AE15" s="101" t="n">
        <v>115.6</v>
      </c>
      <c r="AF15" s="101" t="n">
        <v>10.5</v>
      </c>
      <c r="AG15" s="101">
        <f>IF(G15&lt;0,0,1.2)+IF(G15&lt;14,0,0.9)+IF(P15&lt;0,0.7,0)+IF(P15&lt;6.5,1,0)+IF(P15&lt;23,1,0)+IF(R15&gt;80,0,1)+S15+IF(AD15&lt;20,0,1)+IF(AE15&lt;14,0,1)+IF(AF15&lt;26,0,1)</f>
        <v/>
      </c>
      <c r="AH15" s="101">
        <f>AG15+IF(AG15&gt;6,1,0)+IF(X15&lt;17,0,1)+IF(Y15&lt;11,0,1)+IF(Z15&lt;1.35,0,1)+AC15+AA15</f>
        <v/>
      </c>
      <c r="AI15" s="101" t="n">
        <v>11</v>
      </c>
      <c r="AJ15" s="104">
        <f>IF(AI15&gt;12.8,IF(AI15&gt;15.8,0.95,0.98),1)</f>
        <v/>
      </c>
      <c r="AK15" s="101">
        <f>((AG15*2.6+AH15)*AJ15*AQ15)</f>
        <v/>
      </c>
      <c r="AL15" s="50">
        <f>D15</f>
        <v/>
      </c>
      <c r="AM15" s="97">
        <f>B15</f>
        <v/>
      </c>
      <c r="AN15" s="100" t="n"/>
      <c r="AO15" s="99">
        <f>IF(AK15&gt;23.75,IF(Z15&lt;140,1,0),0)</f>
        <v/>
      </c>
      <c r="AP15" s="100">
        <f>IF(AK15&gt;23.2,IF(Y15&lt;300,IF(Y15&lt;35,IF(Y15&lt;8,3,2),1),0),0)</f>
        <v/>
      </c>
      <c r="AQ15" s="100" t="n">
        <v>1</v>
      </c>
      <c r="AR15" s="100">
        <f>IF(AO15=1,IF(AO15=AL15,1,0),5)</f>
        <v/>
      </c>
      <c r="AS15" s="101" t="n">
        <v>1</v>
      </c>
      <c r="AT15" s="101" t="n">
        <v>1</v>
      </c>
      <c r="AU15" s="101" t="n">
        <v>1</v>
      </c>
      <c r="AV15" s="101">
        <f>(AT15+AU15)/2</f>
        <v/>
      </c>
      <c r="AW15" s="101" t="n">
        <v>1</v>
      </c>
      <c r="AX15" s="101" t="n"/>
      <c r="AY15" s="52">
        <f>(100*(AU15-AS15)/AS15)</f>
        <v/>
      </c>
      <c r="AZ15" s="52">
        <f>IF(AY15&lt;-50,-4,IF(AY15&lt;-20,-2,IF(AY15&lt;0,-1,IF(AY15=0,0,IF(AY15&lt;10,1.5,IF(AY15&lt;20,2,IF(AY15&gt;19,2.5,2.5)))))))</f>
        <v/>
      </c>
    </row>
    <row r="16" ht="12.75" customHeight="1">
      <c r="B16" s="117" t="inlineStr">
        <is>
          <t>KRN Heat Echanger</t>
        </is>
      </c>
      <c r="C16" s="50" t="n">
        <v>2024</v>
      </c>
      <c r="D16" s="50" t="n">
        <v>1</v>
      </c>
      <c r="E16" s="100" t="n">
        <v>63.04</v>
      </c>
      <c r="F16" s="100" t="n">
        <v>130.28</v>
      </c>
      <c r="G16" s="100">
        <f>100*(F16-E16)/F16</f>
        <v/>
      </c>
      <c r="H16" s="100" t="n">
        <v>257.42</v>
      </c>
      <c r="I16" s="100" t="n">
        <v>39.88</v>
      </c>
      <c r="J16" s="100" t="n"/>
      <c r="K16" s="101" t="n">
        <v>8.869999999999999</v>
      </c>
      <c r="L16" s="101" t="n"/>
      <c r="M16" s="100" t="n">
        <v>59.58</v>
      </c>
      <c r="N16" s="100" t="n"/>
      <c r="O16" s="100" t="n">
        <v>313.6</v>
      </c>
      <c r="P16" s="100">
        <f>O16/I16</f>
        <v/>
      </c>
      <c r="Q16" s="100" t="n">
        <v>23</v>
      </c>
      <c r="R16" s="100" t="n">
        <v>23</v>
      </c>
      <c r="S16" s="100" t="n">
        <v>0</v>
      </c>
      <c r="T16" s="100" t="n"/>
      <c r="U16" s="100" t="n"/>
      <c r="V16" s="100" t="n">
        <v>1</v>
      </c>
      <c r="W16" s="100" t="n">
        <v>1</v>
      </c>
      <c r="X16" s="102" t="n">
        <v>223.48</v>
      </c>
      <c r="Y16" s="101" t="n">
        <v>410.11</v>
      </c>
      <c r="Z16" s="101" t="n">
        <v>88.29000000000001</v>
      </c>
      <c r="AA16" s="103">
        <f>IF(X16&lt;33,IF(Y16&gt;(1.1*X16),0,1),1)+IF(Y16&gt;(4*X16),-1,0)</f>
        <v/>
      </c>
      <c r="AB16" s="100" t="n">
        <v>106</v>
      </c>
      <c r="AC16" s="101">
        <f>IF(AB16&gt;9,1,0)+AB16/3+IF(AB16&gt;15,1,0)+IF(AB16&gt;20,1,0)</f>
        <v/>
      </c>
      <c r="AD16" s="101" t="n">
        <v>23</v>
      </c>
      <c r="AE16" s="101" t="n">
        <v>27</v>
      </c>
      <c r="AF16" s="101" t="n">
        <v>125</v>
      </c>
      <c r="AG16" s="101">
        <f>IF(G16&lt;0,0,1.2)+IF(G16&lt;14,0,0.9)+IF(P16&lt;0,0.7,0)+IF(P16&lt;6.5,1,0)+IF(P16&lt;23,1,0)+IF(R16&gt;80,0,1)+S16+IF(AD16&lt;20,0,1)+IF(AE16&lt;14,0,1)+IF(AF16&lt;26,0,1)</f>
        <v/>
      </c>
      <c r="AH16" s="101">
        <f>AG16+IF(AG16&gt;6,1,0)+IF(X16&lt;17,0,1)+IF(Y16&lt;11,0,1)+IF(Z16&lt;1.35,0,1)+AC16+AA16</f>
        <v/>
      </c>
      <c r="AI16" s="101" t="n">
        <v>11</v>
      </c>
      <c r="AJ16" s="104">
        <f>IF(AI16&gt;12.8,IF(AI16&gt;15.8,0.95,0.98),1)</f>
        <v/>
      </c>
      <c r="AK16" s="101">
        <f>((AG16*2.6+AH16)*AJ16*AQ16)</f>
        <v/>
      </c>
      <c r="AL16" s="50">
        <f>D16</f>
        <v/>
      </c>
      <c r="AM16" s="97">
        <f>B16</f>
        <v/>
      </c>
      <c r="AN16" s="100" t="n"/>
      <c r="AO16" s="99">
        <f>IF(AK16&gt;23.75,IF(Z16&lt;140,1,0),0)</f>
        <v/>
      </c>
      <c r="AP16" s="100">
        <f>IF(AK16&gt;23.2,IF(Y16&lt;300,IF(Y16&lt;35,IF(Y16&lt;8,3,2),1),0),0)</f>
        <v/>
      </c>
      <c r="AQ16" s="100" t="n">
        <v>1</v>
      </c>
      <c r="AR16" s="100">
        <f>IF(AO16=1,IF(AO16=AL16,1,0),5)</f>
        <v/>
      </c>
      <c r="AS16" s="101" t="n">
        <v>1</v>
      </c>
      <c r="AT16" s="101" t="n">
        <v>1</v>
      </c>
      <c r="AU16" s="101" t="n">
        <v>1</v>
      </c>
      <c r="AV16" s="101">
        <f>(AT16+AU16)/2</f>
        <v/>
      </c>
      <c r="AW16" s="101" t="n">
        <v>1</v>
      </c>
      <c r="AX16" s="101" t="n"/>
      <c r="AY16" s="52">
        <f>(100*(AU16-AS16)/AS16)</f>
        <v/>
      </c>
      <c r="AZ16" s="52">
        <f>IF(AY16&lt;-50,-4,IF(AY16&lt;-20,-2,IF(AY16&lt;0,-1,IF(AY16=0,0,IF(AY16&lt;10,1.5,IF(AY16&lt;20,2,IF(AY16&gt;19,2.5,2.5)))))))</f>
        <v/>
      </c>
    </row>
    <row r="17" ht="12.75" customHeight="1">
      <c r="B17" s="117" t="inlineStr">
        <is>
          <t>P N Gadgil Jewellers</t>
        </is>
      </c>
      <c r="C17" s="50" t="n">
        <v>2024</v>
      </c>
      <c r="D17" s="50" t="n">
        <v>1</v>
      </c>
      <c r="E17" s="100" t="n">
        <v>396.5</v>
      </c>
      <c r="F17" s="100" t="n">
        <v>534.38</v>
      </c>
      <c r="G17" s="100">
        <f>100*(F17-E17)/F17</f>
        <v/>
      </c>
      <c r="H17" s="100" t="n">
        <v>1464.98</v>
      </c>
      <c r="I17" s="100" t="n">
        <v>154.34</v>
      </c>
      <c r="J17" s="100" t="n"/>
      <c r="K17" s="101" t="n">
        <v>21.59</v>
      </c>
      <c r="L17" s="101" t="n"/>
      <c r="M17" s="100" t="n">
        <v>277.43</v>
      </c>
      <c r="N17" s="100" t="n"/>
      <c r="O17" s="100" t="n">
        <v>6110.95</v>
      </c>
      <c r="P17" s="100">
        <f>O17/I17</f>
        <v/>
      </c>
      <c r="Q17" s="100" t="n">
        <v>22.23</v>
      </c>
      <c r="R17" s="100" t="n">
        <v>22.23</v>
      </c>
      <c r="S17" s="100" t="n">
        <v>0</v>
      </c>
      <c r="T17" s="100" t="n"/>
      <c r="U17" s="100" t="n"/>
      <c r="V17" s="100" t="n">
        <v>1</v>
      </c>
      <c r="W17" s="100" t="n">
        <v>1</v>
      </c>
      <c r="X17" s="102" t="n">
        <v>136.85</v>
      </c>
      <c r="Y17" s="101" t="n">
        <v>56.08</v>
      </c>
      <c r="Z17" s="101" t="n">
        <v>16.58</v>
      </c>
      <c r="AA17" s="103">
        <f>IF(X17&lt;33,IF(Y17&gt;(1.1*X17),0,1),1)+IF(Y17&gt;(4*X17),-1,0)</f>
        <v/>
      </c>
      <c r="AB17" s="100" t="n">
        <v>63</v>
      </c>
      <c r="AC17" s="101">
        <f>IF(AB17&gt;9,1,0)+AB17/3+IF(AB17&gt;15,1,0)+IF(AB17&gt;20,1,0)</f>
        <v/>
      </c>
      <c r="AD17" s="101" t="n">
        <v>64.72</v>
      </c>
      <c r="AE17" s="101" t="n">
        <v>35.7</v>
      </c>
      <c r="AF17" s="101" t="n">
        <v>46.07</v>
      </c>
      <c r="AG17" s="101">
        <f>IF(G17&lt;0,0,1.2)+IF(G17&lt;14,0,0.9)+IF(P17&lt;0,0.7,0)+IF(P17&lt;6.5,1,0)+IF(P17&lt;23,1,0)+IF(R17&gt;80,0,1)+S17+IF(AD17&lt;20,0,1)+IF(AE17&lt;14,0,1)+IF(AF17&lt;26,0,1)</f>
        <v/>
      </c>
      <c r="AH17" s="101">
        <f>AG17+IF(AG17&gt;6,1,0)+IF(X17&lt;17,0,1)+IF(Y17&lt;11,0,1)+IF(Z17&lt;1.35,0,1)+AC17+AA17</f>
        <v/>
      </c>
      <c r="AI17" s="101" t="n">
        <v>11</v>
      </c>
      <c r="AJ17" s="104">
        <f>IF(AI17&gt;12.8,IF(AI17&gt;15.8,0.95,0.98),1)</f>
        <v/>
      </c>
      <c r="AK17" s="101">
        <f>((AG17*2.6+AH17)*AJ17*AQ17)</f>
        <v/>
      </c>
      <c r="AL17" s="50">
        <f>D17</f>
        <v/>
      </c>
      <c r="AM17" s="97">
        <f>B17</f>
        <v/>
      </c>
      <c r="AN17" s="100" t="n"/>
      <c r="AO17" s="99">
        <f>IF(AK17&gt;23.75,IF(Z17&lt;140,1,0),0)</f>
        <v/>
      </c>
      <c r="AP17" s="100">
        <f>IF(AK17&gt;23.2,IF(Y17&lt;300,IF(Y17&lt;35,IF(Y17&lt;8,3,2),1),0),0)</f>
        <v/>
      </c>
      <c r="AQ17" s="100" t="n">
        <v>1</v>
      </c>
      <c r="AR17" s="100">
        <f>IF(AO17=1,IF(AO17=AL17,1,0),5)</f>
        <v/>
      </c>
      <c r="AS17" s="101" t="n">
        <v>1</v>
      </c>
      <c r="AT17" s="101" t="n">
        <v>1</v>
      </c>
      <c r="AU17" s="101" t="n">
        <v>1</v>
      </c>
      <c r="AV17" s="101">
        <f>(AT17+AU17)/2</f>
        <v/>
      </c>
      <c r="AW17" s="101" t="n">
        <v>1</v>
      </c>
      <c r="AX17" s="101" t="n"/>
      <c r="AY17" s="52">
        <f>(100*(AU17-AS17)/AS17)</f>
        <v/>
      </c>
      <c r="AZ17" s="52">
        <f>IF(AY17&lt;-50,-4,IF(AY17&lt;-20,-2,IF(AY17&lt;0,-1,IF(AY17=0,0,IF(AY17&lt;10,1.5,IF(AY17&lt;20,2,IF(AY17&gt;19,2.5,2.5)))))))</f>
        <v/>
      </c>
    </row>
    <row r="18" ht="12.75" customHeight="1">
      <c r="B18" s="117" t="inlineStr">
        <is>
          <t>Premier Energies</t>
        </is>
      </c>
      <c r="C18" s="50" t="n">
        <v>2024</v>
      </c>
      <c r="D18" s="50" t="n">
        <v>1</v>
      </c>
      <c r="E18" s="100" t="n">
        <v>1392.24</v>
      </c>
      <c r="F18" s="100" t="n">
        <v>528</v>
      </c>
      <c r="G18" s="100">
        <f>100*(F18-E18)/F18</f>
        <v/>
      </c>
      <c r="H18" s="100" t="n">
        <v>3554.13</v>
      </c>
      <c r="I18" s="100" t="n">
        <v>231.36</v>
      </c>
      <c r="J18" s="100" t="n"/>
      <c r="K18" s="101" t="n">
        <v>5.13</v>
      </c>
      <c r="L18" s="101" t="n"/>
      <c r="M18" s="100" t="n">
        <v>505</v>
      </c>
      <c r="N18" s="100" t="n"/>
      <c r="O18" s="100" t="n">
        <v>3143.79</v>
      </c>
      <c r="P18" s="100">
        <f>O18/I18</f>
        <v/>
      </c>
      <c r="Q18" s="100" t="n">
        <v>87.7</v>
      </c>
      <c r="R18" s="100" t="n">
        <v>87.7</v>
      </c>
      <c r="S18" s="100" t="n">
        <v>0</v>
      </c>
      <c r="T18" s="100" t="n"/>
      <c r="U18" s="100" t="n"/>
      <c r="V18" s="100" t="n">
        <v>1</v>
      </c>
      <c r="W18" s="100" t="n">
        <v>1</v>
      </c>
      <c r="X18" s="102" t="n">
        <v>212.42</v>
      </c>
      <c r="Y18" s="101" t="n">
        <v>50.98</v>
      </c>
      <c r="Z18" s="101" t="n">
        <v>7.44</v>
      </c>
      <c r="AA18" s="103">
        <f>IF(X18&lt;33,IF(Y18&gt;(1.1*X18),0,1),1)+IF(Y18&gt;(4*X18),-1,0)</f>
        <v/>
      </c>
      <c r="AB18" s="100" t="n">
        <v>108</v>
      </c>
      <c r="AC18" s="101">
        <f>IF(AB18&gt;9,1,0)+AB18/3+IF(AB18&gt;15,1,0)+IF(AB18&gt;20,1,0)</f>
        <v/>
      </c>
      <c r="AD18" s="101" t="n">
        <v>1838</v>
      </c>
      <c r="AE18" s="101" t="n">
        <v>120</v>
      </c>
      <c r="AF18" s="101" t="n">
        <v>29</v>
      </c>
      <c r="AG18" s="101">
        <f>IF(G18&lt;0,0,1.2)+IF(G18&lt;14,0,0.9)+IF(P18&lt;0,0.7,0)+IF(P18&lt;6.5,1,0)+IF(P18&lt;23,1,0)+IF(R18&gt;80,0,1)+S18+IF(AD18&lt;20,0,1)+IF(AE18&lt;14,0,1)+IF(AF18&lt;26,0,1)</f>
        <v/>
      </c>
      <c r="AH18" s="101">
        <f>AG18+IF(AG18&gt;6,1,0)+IF(X18&lt;17,0,1)+IF(Y18&lt;11,0,1)+IF(Z18&lt;1.35,0,1)+AC18+AA18</f>
        <v/>
      </c>
      <c r="AI18" s="101" t="n">
        <v>11</v>
      </c>
      <c r="AJ18" s="104">
        <f>IF(AI18&gt;12.8,IF(AI18&gt;15.8,0.95,0.98),1)</f>
        <v/>
      </c>
      <c r="AK18" s="101">
        <f>((AG18*2.6+AH18)*AJ18*AQ18)</f>
        <v/>
      </c>
      <c r="AL18" s="50">
        <f>D18</f>
        <v/>
      </c>
      <c r="AM18" s="97">
        <f>B18</f>
        <v/>
      </c>
      <c r="AN18" s="100" t="n"/>
      <c r="AO18" s="99">
        <f>IF(AK18&gt;23.75,IF(Z18&lt;140,1,0),0)</f>
        <v/>
      </c>
      <c r="AP18" s="100">
        <f>IF(AK18&gt;23.2,IF(Y18&lt;300,IF(Y18&lt;35,IF(Y18&lt;8,3,2),1),0),0)</f>
        <v/>
      </c>
      <c r="AQ18" s="100" t="n">
        <v>1</v>
      </c>
      <c r="AR18" s="100">
        <f>IF(AO18=1,IF(AO18=AL18,1,0),5)</f>
        <v/>
      </c>
      <c r="AS18" s="101" t="n">
        <v>1</v>
      </c>
      <c r="AT18" s="101" t="n">
        <v>1</v>
      </c>
      <c r="AU18" s="101" t="n">
        <v>1</v>
      </c>
      <c r="AV18" s="101">
        <f>(AT18+AU18)/2</f>
        <v/>
      </c>
      <c r="AW18" s="101" t="n">
        <v>1</v>
      </c>
      <c r="AX18" s="101" t="n"/>
      <c r="AY18" s="52">
        <f>(100*(AU18-AS18)/AS18)</f>
        <v/>
      </c>
      <c r="AZ18" s="52">
        <f>IF(AY18&lt;-50,-4,IF(AY18&lt;-20,-2,IF(AY18&lt;0,-1,IF(AY18=0,0,IF(AY18&lt;10,1.5,IF(AY18&lt;20,2,IF(AY18&gt;19,2.5,2.5)))))))</f>
        <v/>
      </c>
    </row>
    <row r="19" ht="12.75" customHeight="1">
      <c r="B19" s="117" t="inlineStr">
        <is>
          <t>BLS E-Services</t>
        </is>
      </c>
      <c r="C19" s="50" t="n">
        <v>2024</v>
      </c>
      <c r="D19" s="50" t="n">
        <v>1</v>
      </c>
      <c r="E19" s="100" t="n">
        <v>68.01000000000001</v>
      </c>
      <c r="F19" s="100" t="n">
        <v>67</v>
      </c>
      <c r="G19" s="100">
        <f>100*(F19-E19)/F19</f>
        <v/>
      </c>
      <c r="H19" s="100" t="n">
        <v>179.47</v>
      </c>
      <c r="I19" s="100" t="n">
        <v>18.88</v>
      </c>
      <c r="J19" s="100" t="n"/>
      <c r="K19" s="101" t="n">
        <v>2.08</v>
      </c>
      <c r="L19" s="101" t="n"/>
      <c r="M19" s="100" t="n">
        <v>33.58</v>
      </c>
      <c r="N19" s="100" t="n"/>
      <c r="O19" s="100" t="n">
        <v>243.06</v>
      </c>
      <c r="P19" s="100">
        <f>O19/I19</f>
        <v/>
      </c>
      <c r="Q19" s="100" t="n">
        <v>64.90000000000001</v>
      </c>
      <c r="R19" s="100" t="n">
        <v>64.90000000000001</v>
      </c>
      <c r="S19" s="100" t="n">
        <v>0</v>
      </c>
      <c r="T19" s="100" t="n"/>
      <c r="U19" s="100" t="n"/>
      <c r="V19" s="100" t="n">
        <v>1</v>
      </c>
      <c r="W19" s="100" t="n">
        <v>1</v>
      </c>
      <c r="X19" s="102" t="n">
        <v>123.3</v>
      </c>
      <c r="Y19" s="101" t="n">
        <v>300.05</v>
      </c>
      <c r="Z19" s="101" t="n">
        <v>236.53</v>
      </c>
      <c r="AA19" s="103">
        <f>IF(X19&lt;33,IF(Y19&gt;(1.1*X19),0,1),1)+IF(Y19&gt;(4*X19),-1,0)</f>
        <v/>
      </c>
      <c r="AB19" s="100" t="n">
        <v>114</v>
      </c>
      <c r="AC19" s="101">
        <f>IF(AB19&gt;9,1,0)+AB19/3+IF(AB19&gt;15,1,0)+IF(AB19&gt;20,1,0)</f>
        <v/>
      </c>
      <c r="AD19" s="101" t="n">
        <v>251</v>
      </c>
      <c r="AE19" s="101" t="n">
        <v>183</v>
      </c>
      <c r="AF19" s="101" t="n">
        <v>235</v>
      </c>
      <c r="AG19" s="101">
        <f>IF(G19&lt;0,0,1.2)+IF(G19&lt;14,0,0.9)+IF(P19&lt;0,0.7,0)+IF(P19&lt;6.5,1,0)+IF(P19&lt;23,1,0)+IF(R19&gt;80,0,1)+S19+IF(AD19&lt;20,0,1)+IF(AE19&lt;14,0,1)+IF(AF19&lt;26,0,1)</f>
        <v/>
      </c>
      <c r="AH19" s="101">
        <f>AG19+IF(AG19&gt;6,1,0)+IF(X19&lt;17,0,1)+IF(Y19&lt;11,0,1)+IF(Z19&lt;1.35,0,1)+AC19+AA19</f>
        <v/>
      </c>
      <c r="AI19" s="101" t="n">
        <v>11</v>
      </c>
      <c r="AJ19" s="104">
        <f>IF(AI19&gt;12.8,IF(AI19&gt;15.8,0.95,0.98),1)</f>
        <v/>
      </c>
      <c r="AK19" s="101">
        <f>((AG19*2.6+AH19)*AJ19*AQ19)</f>
        <v/>
      </c>
      <c r="AL19" s="50">
        <f>D19</f>
        <v/>
      </c>
      <c r="AM19" s="97">
        <f>B19</f>
        <v/>
      </c>
      <c r="AN19" s="100" t="n"/>
      <c r="AO19" s="99">
        <f>IF(AK19&gt;23.75,IF(Z19&lt;140,1,0),0)</f>
        <v/>
      </c>
      <c r="AP19" s="100">
        <f>IF(AK19&gt;23.2,IF(Y19&lt;300,IF(Y19&lt;35,IF(Y19&lt;8,3,2),1),0),0)</f>
        <v/>
      </c>
      <c r="AQ19" s="100" t="n">
        <v>1</v>
      </c>
      <c r="AR19" s="100">
        <f>IF(AO19=1,IF(AO19=AL19,1,0),5)</f>
        <v/>
      </c>
      <c r="AS19" s="101" t="n">
        <v>1</v>
      </c>
      <c r="AT19" s="101" t="n">
        <v>1</v>
      </c>
      <c r="AU19" s="101" t="n">
        <v>1</v>
      </c>
      <c r="AV19" s="101">
        <f>(AT19+AU19)/2</f>
        <v/>
      </c>
      <c r="AW19" s="101" t="n">
        <v>1</v>
      </c>
      <c r="AX19" s="101" t="n"/>
      <c r="AY19" s="52">
        <f>(100*(AU19-AS19)/AS19)</f>
        <v/>
      </c>
      <c r="AZ19" s="52">
        <f>IF(AY19&lt;-50,-4,IF(AY19&lt;-20,-2,IF(AY19&lt;0,-1,IF(AY19=0,0,IF(AY19&lt;10,1.5,IF(AY19&lt;20,2,IF(AY19&gt;19,2.5,2.5)))))))</f>
        <v/>
      </c>
    </row>
    <row r="20" ht="12.75" customHeight="1">
      <c r="B20" s="118" t="inlineStr">
        <is>
          <t>JSW Cement</t>
        </is>
      </c>
      <c r="C20" s="50" t="n">
        <v>2025</v>
      </c>
      <c r="D20" s="50" t="n">
        <v>1</v>
      </c>
      <c r="E20" s="100" t="n">
        <v>6166.54</v>
      </c>
      <c r="F20" s="100" t="n">
        <v>2372.35</v>
      </c>
      <c r="G20" s="100">
        <f>100*(F20-E20)/F20</f>
        <v/>
      </c>
      <c r="H20" s="100" t="n">
        <v>12003.94</v>
      </c>
      <c r="I20" s="100" t="n">
        <v>-163.76</v>
      </c>
      <c r="J20" s="100" t="n"/>
      <c r="K20" s="101" t="n">
        <v>-1.16</v>
      </c>
      <c r="L20" s="101" t="n"/>
      <c r="M20" s="100" t="n">
        <v>716.84</v>
      </c>
      <c r="N20" s="100" t="n"/>
      <c r="O20" s="100" t="n">
        <v>5813.07</v>
      </c>
      <c r="P20" s="100">
        <f>O20/I20</f>
        <v/>
      </c>
      <c r="Q20" s="100" t="n">
        <v>-122.38</v>
      </c>
      <c r="R20" s="100" t="n">
        <v>-122.38</v>
      </c>
      <c r="S20" s="100" t="n">
        <v>0</v>
      </c>
      <c r="T20" s="100" t="n"/>
      <c r="U20" s="100" t="n"/>
      <c r="V20" s="100" t="n">
        <v>1</v>
      </c>
      <c r="W20" s="100" t="n">
        <v>1</v>
      </c>
      <c r="X20" s="102" t="n">
        <v>16.71</v>
      </c>
      <c r="Y20" s="101" t="n">
        <v>11.6</v>
      </c>
      <c r="Z20" s="101" t="n">
        <v>1.91</v>
      </c>
      <c r="AA20" s="103">
        <f>IF(X20&lt;33,IF(Y20&gt;(1.1*X20),0,1),1)+IF(Y20&gt;(4*X20),-1,0)</f>
        <v/>
      </c>
      <c r="AB20" s="100" t="n">
        <v>3.7</v>
      </c>
      <c r="AC20" s="101">
        <f>IF(AB20&gt;9,1,0)+AB20/3+IF(AB20&gt;15,1,0)+IF(AB20&gt;20,1,0)</f>
        <v/>
      </c>
      <c r="AD20" s="101" t="n">
        <v>-364</v>
      </c>
      <c r="AE20" s="101" t="n">
        <v>-3.56</v>
      </c>
      <c r="AF20" s="101" t="n">
        <v>-3.74</v>
      </c>
      <c r="AG20" s="101">
        <f>IF(G20&lt;0,0,1.2)+IF(G20&lt;14,0,0.9)+IF(P20&lt;0,0.7,0)+IF(P20&lt;6.5,1,0)+IF(P20&lt;23,1,0)+IF(R20&gt;80,0,1)+S20+IF(AD20&lt;20,0,1)+IF(AE20&lt;14,0,1)+IF(AF20&lt;26,0,1)</f>
        <v/>
      </c>
      <c r="AH20" s="101">
        <f>AG20+IF(AG20&gt;6,1,0)+IF(X20&lt;17,0,1)+IF(Y20&lt;11,0,1)+IF(Z20&lt;1.35,0,1)+AC20+AA20</f>
        <v/>
      </c>
      <c r="AI20" s="101" t="n">
        <v>11</v>
      </c>
      <c r="AJ20" s="104">
        <f>IF(AI20&gt;12.8,IF(AI20&gt;15.8,0.95,0.98),1)</f>
        <v/>
      </c>
      <c r="AK20" s="101">
        <f>((AG20*2.6+AH20)*AJ20*AQ20)</f>
        <v/>
      </c>
      <c r="AL20" s="50">
        <f>D20</f>
        <v/>
      </c>
      <c r="AM20" s="97">
        <f>B20</f>
        <v/>
      </c>
      <c r="AN20" s="100" t="n"/>
      <c r="AO20" s="99">
        <f>IF(AK20&gt;23.75,IF(Z20&lt;140,1,0),0)</f>
        <v/>
      </c>
      <c r="AP20" s="100">
        <f>IF(AK20&gt;23.2,IF(Y20&lt;300,IF(Y20&lt;35,IF(Y20&lt;8,3,2),1),0),0)</f>
        <v/>
      </c>
      <c r="AQ20" s="100" t="n">
        <v>1</v>
      </c>
      <c r="AR20" s="100">
        <f>IF(AO20=1,IF(AO20=AL20,1,0),5)</f>
        <v/>
      </c>
      <c r="AS20" s="101" t="n">
        <v>1</v>
      </c>
      <c r="AT20" s="101" t="n">
        <v>1</v>
      </c>
      <c r="AU20" s="101" t="n">
        <v>1</v>
      </c>
      <c r="AV20" s="101">
        <f>(AT20+AU20)/2</f>
        <v/>
      </c>
      <c r="AW20" s="101" t="n">
        <v>1</v>
      </c>
      <c r="AX20" s="101" t="n"/>
      <c r="AY20" s="52">
        <f>(100*(AU20-AS20)/AS20)</f>
        <v/>
      </c>
      <c r="AZ20" s="52">
        <f>IF(AY20&lt;-50,-4,IF(AY20&lt;-20,-2,IF(AY20&lt;0,-1,IF(AY20=0,0,IF(AY20&lt;10,1.5,IF(AY20&lt;20,2,IF(AY20&gt;19,2.5,2.5)))))))</f>
        <v/>
      </c>
    </row>
    <row r="21" ht="12.75" customHeight="1">
      <c r="B21" s="118" t="inlineStr">
        <is>
          <t>Smartworks Coworking</t>
        </is>
      </c>
      <c r="C21" s="50" t="n">
        <v>2025</v>
      </c>
      <c r="D21" s="50" t="n">
        <v>1</v>
      </c>
      <c r="E21" s="100" t="n">
        <v>397.77</v>
      </c>
      <c r="F21" s="100" t="n">
        <v>107.88</v>
      </c>
      <c r="G21" s="100">
        <f>100*(F21-E21)/F21</f>
        <v/>
      </c>
      <c r="H21" s="100" t="n">
        <v>4650.85</v>
      </c>
      <c r="I21" s="100" t="n">
        <v>-63.18</v>
      </c>
      <c r="J21" s="100" t="n"/>
      <c r="K21" s="101" t="n">
        <v>-6.18</v>
      </c>
      <c r="L21" s="101" t="n"/>
      <c r="M21" s="100" t="n">
        <v>857.26</v>
      </c>
      <c r="N21" s="100" t="n"/>
      <c r="O21" s="100" t="n">
        <v>1374.06</v>
      </c>
      <c r="P21" s="100">
        <f>O21/I21</f>
        <v/>
      </c>
      <c r="Q21" s="100" t="n">
        <v>1</v>
      </c>
      <c r="R21" s="100" t="n">
        <v>1</v>
      </c>
      <c r="S21" s="100" t="n">
        <v>0</v>
      </c>
      <c r="T21" s="100" t="n"/>
      <c r="U21" s="100" t="n"/>
      <c r="V21" s="100" t="n">
        <v>1</v>
      </c>
      <c r="W21" s="100" t="n">
        <v>1</v>
      </c>
      <c r="X21" s="102" t="n">
        <v>24.92</v>
      </c>
      <c r="Y21" s="101" t="n">
        <v>23.68</v>
      </c>
      <c r="Z21" s="101" t="n">
        <v>3.69</v>
      </c>
      <c r="AA21" s="103">
        <f>IF(X21&lt;33,IF(Y21&gt;(1.1*X21),0,1),1)+IF(Y21&gt;(4*X21),-1,0)</f>
        <v/>
      </c>
      <c r="AB21" s="100" t="n">
        <v>4</v>
      </c>
      <c r="AC21" s="101">
        <f>IF(AB21&gt;9,1,0)+AB21/3+IF(AB21&gt;15,1,0)+IF(AB21&gt;20,1,0)</f>
        <v/>
      </c>
      <c r="AD21" s="101" t="n">
        <v>-27.5</v>
      </c>
      <c r="AE21" s="101" t="n">
        <v>32.2</v>
      </c>
      <c r="AF21" s="101" t="n">
        <v>115.76</v>
      </c>
      <c r="AG21" s="101">
        <f>IF(G21&lt;0,0,1.2)+IF(G21&lt;14,0,0.9)+IF(P21&lt;0,0.7,0)+IF(P21&lt;6.5,1,0)+IF(P21&lt;23,1,0)+IF(R21&gt;80,0,1)+S21+IF(AD21&lt;20,0,1)+IF(AE21&lt;14,0,1)+IF(AF21&lt;26,0,1)</f>
        <v/>
      </c>
      <c r="AH21" s="101">
        <f>AG21+IF(AG21&gt;6,1,0)+IF(X21&lt;17,0,1)+IF(Y21&lt;11,0,1)+IF(Z21&lt;1.35,0,1)+AC21+AA21</f>
        <v/>
      </c>
      <c r="AI21" s="101" t="n">
        <v>11</v>
      </c>
      <c r="AJ21" s="104">
        <f>IF(AI21&gt;12.8,IF(AI21&gt;15.8,0.95,0.98),1)</f>
        <v/>
      </c>
      <c r="AK21" s="101">
        <f>((AG21*2.6+AH21)*AJ21*AQ21)</f>
        <v/>
      </c>
      <c r="AL21" s="50">
        <f>D21</f>
        <v/>
      </c>
      <c r="AM21" s="97">
        <f>B21</f>
        <v/>
      </c>
      <c r="AN21" s="100" t="n"/>
      <c r="AO21" s="99">
        <f>IF(AK21&gt;23.75,IF(Z21&lt;140,1,0),0)</f>
        <v/>
      </c>
      <c r="AP21" s="100">
        <f>IF(AK21&gt;23.2,IF(Y21&lt;300,IF(Y21&lt;35,IF(Y21&lt;8,3,2),1),0),0)</f>
        <v/>
      </c>
      <c r="AQ21" s="100" t="n">
        <v>1</v>
      </c>
      <c r="AR21" s="100">
        <f>IF(AO21=1,IF(AO21=AL21,1,0),5)</f>
        <v/>
      </c>
      <c r="AS21" s="101" t="n">
        <v>1</v>
      </c>
      <c r="AT21" s="101" t="n">
        <v>1</v>
      </c>
      <c r="AU21" s="101" t="n">
        <v>1</v>
      </c>
      <c r="AV21" s="101">
        <f>(AT21+AU21)/2</f>
        <v/>
      </c>
      <c r="AW21" s="101" t="n">
        <v>1</v>
      </c>
      <c r="AX21" s="101" t="n"/>
      <c r="AY21" s="52">
        <f>(100*(AU21-AS21)/AS21)</f>
        <v/>
      </c>
      <c r="AZ21" s="52">
        <f>IF(AY21&lt;-50,-4,IF(AY21&lt;-20,-2,IF(AY21&lt;0,-1,IF(AY21=0,0,IF(AY21&lt;10,1.5,IF(AY21&lt;20,2,IF(AY21&gt;19,2.5,2.5)))))))</f>
        <v/>
      </c>
    </row>
    <row r="22" ht="12.75" customHeight="1">
      <c r="B22" s="119" t="inlineStr">
        <is>
          <t>Carraro India</t>
        </is>
      </c>
      <c r="C22" s="50" t="n">
        <v>2024</v>
      </c>
      <c r="D22" s="50" t="n">
        <v>0</v>
      </c>
      <c r="E22" s="100" t="n">
        <v>213</v>
      </c>
      <c r="F22" s="100" t="n">
        <v>370</v>
      </c>
      <c r="G22" s="100">
        <f>100*(F22-E22)/F22</f>
        <v/>
      </c>
      <c r="H22" s="100" t="n">
        <v>632</v>
      </c>
      <c r="I22" s="100" t="n">
        <v>63</v>
      </c>
      <c r="J22" s="100" t="n"/>
      <c r="K22" s="101" t="n">
        <v>11</v>
      </c>
      <c r="L22" s="101" t="n"/>
      <c r="M22" s="100" t="n">
        <v>132</v>
      </c>
      <c r="N22" s="100" t="n"/>
      <c r="O22" s="100" t="n">
        <v>1789</v>
      </c>
      <c r="P22" s="100">
        <f>O22/I22</f>
        <v/>
      </c>
      <c r="Q22" s="100" t="n">
        <v>64</v>
      </c>
      <c r="R22" s="100" t="n">
        <v>64</v>
      </c>
      <c r="S22" s="100" t="n">
        <v>0</v>
      </c>
      <c r="T22" s="100" t="n"/>
      <c r="U22" s="100" t="n"/>
      <c r="V22" s="100" t="n">
        <v>1</v>
      </c>
      <c r="W22" s="100" t="n">
        <v>1</v>
      </c>
      <c r="X22" s="102" t="n">
        <v>2.33</v>
      </c>
      <c r="Y22" s="101" t="n">
        <v>0.63</v>
      </c>
      <c r="Z22" s="101" t="n">
        <v>0.75</v>
      </c>
      <c r="AA22" s="103">
        <f>IF(X22&lt;33,IF(Y22&gt;(1.1*X22),0,1),1)+IF(Y22&gt;(4*X22),-1,0)</f>
        <v/>
      </c>
      <c r="AB22" s="100" t="n">
        <v>0</v>
      </c>
      <c r="AC22" s="101">
        <f>IF(AB22&gt;9,1,0)+AB22/3+IF(AB22&gt;15,1,0)+IF(AB22&gt;20,1,0)</f>
        <v/>
      </c>
      <c r="AD22" s="101" t="n">
        <v>31</v>
      </c>
      <c r="AE22" s="101" t="n">
        <v>4</v>
      </c>
      <c r="AF22" s="101" t="n">
        <v>10</v>
      </c>
      <c r="AG22" s="101">
        <f>IF(G22&lt;0,0,1.2)+IF(G22&lt;14,0,0.9)+IF(P22&lt;0,0.7,0)+IF(P22&lt;6.5,1,0)+IF(P22&lt;23,1,0)+IF(R22&gt;80,0,1)+S22+IF(AD22&lt;20,0,1)+IF(AE22&lt;14,0,1)+IF(AF22&lt;26,0,1)</f>
        <v/>
      </c>
      <c r="AH22" s="101">
        <f>AG22+IF(AG22&gt;6,1,0)+IF(X22&lt;17,0,1)+IF(Y22&lt;11,0,1)+IF(Z22&lt;1.35,0,1)+AC22+AA22</f>
        <v/>
      </c>
      <c r="AI22" s="101" t="n">
        <v>11</v>
      </c>
      <c r="AJ22" s="104">
        <f>IF(AI22&gt;12.8,IF(AI22&gt;15.8,0.95,0.98),1)</f>
        <v/>
      </c>
      <c r="AK22" s="101">
        <f>((AG22*2.6+AH22)*AJ22*AQ22)</f>
        <v/>
      </c>
      <c r="AL22" s="50">
        <f>D22</f>
        <v/>
      </c>
      <c r="AM22" s="97">
        <f>B22</f>
        <v/>
      </c>
      <c r="AN22" s="100" t="n"/>
      <c r="AO22" s="99">
        <f>IF(AK22&gt;23.75,IF(Z22&lt;140,1,0),0)</f>
        <v/>
      </c>
      <c r="AP22" s="100">
        <f>IF(AK22&gt;23.2,IF(Y22&lt;300,IF(Y22&lt;35,IF(Y22&lt;8,3,2),1),0),0)</f>
        <v/>
      </c>
      <c r="AQ22" s="100" t="n">
        <v>1</v>
      </c>
      <c r="AR22" s="100">
        <f>IF(AO22=1,IF(AO22=AL22,1,0),5)</f>
        <v/>
      </c>
      <c r="AS22" s="101" t="n">
        <v>1</v>
      </c>
      <c r="AT22" s="101" t="n">
        <v>1</v>
      </c>
      <c r="AU22" s="101" t="n">
        <v>1</v>
      </c>
      <c r="AV22" s="101">
        <f>(AT22+AU22)/2</f>
        <v/>
      </c>
      <c r="AW22" s="101" t="n">
        <v>1</v>
      </c>
      <c r="AX22" s="101" t="n"/>
      <c r="AY22" s="52">
        <f>(100*(AU22-AS22)/AS22)</f>
        <v/>
      </c>
      <c r="AZ22" s="52">
        <f>IF(AY22&lt;-50,-4,IF(AY22&lt;-20,-2,IF(AY22&lt;0,-1,IF(AY22=0,0,IF(AY22&lt;10,1.5,IF(AY22&lt;20,2,IF(AY22&gt;19,2.5,2.5)))))))</f>
        <v/>
      </c>
    </row>
    <row r="23" ht="12.75" customHeight="1">
      <c r="B23" s="119" t="inlineStr">
        <is>
          <t>ACME Solar Holdings</t>
        </is>
      </c>
      <c r="C23" s="50" t="n">
        <v>2024</v>
      </c>
      <c r="D23" s="50" t="n">
        <v>0</v>
      </c>
      <c r="E23" s="100" t="n">
        <v>8536.35</v>
      </c>
      <c r="F23" s="100" t="n">
        <v>2590.87</v>
      </c>
      <c r="G23" s="100">
        <f>100*(F23-E23)/F23</f>
        <v/>
      </c>
      <c r="H23" s="100" t="n">
        <v>13399.8</v>
      </c>
      <c r="I23" s="100" t="n">
        <v>698</v>
      </c>
      <c r="J23" s="100" t="n"/>
      <c r="K23" s="101" t="n">
        <v>66.81</v>
      </c>
      <c r="L23" s="101" t="n"/>
      <c r="M23" s="100" t="n">
        <v>1089</v>
      </c>
      <c r="N23" s="100" t="n"/>
      <c r="O23" s="100" t="n">
        <v>1319</v>
      </c>
      <c r="P23" s="100">
        <f>O23/I23</f>
        <v/>
      </c>
      <c r="Q23" s="100" t="n">
        <v>24</v>
      </c>
      <c r="R23" s="100" t="n">
        <v>24</v>
      </c>
      <c r="S23" s="100" t="n">
        <v>0</v>
      </c>
      <c r="T23" s="100" t="n"/>
      <c r="U23" s="100" t="n"/>
      <c r="V23" s="100" t="n">
        <v>1</v>
      </c>
      <c r="W23" s="100" t="n">
        <v>1</v>
      </c>
      <c r="X23" s="102" t="n">
        <v>3.72</v>
      </c>
      <c r="Y23" s="101" t="n">
        <v>1.02</v>
      </c>
      <c r="Z23" s="101" t="n">
        <v>3.25</v>
      </c>
      <c r="AA23" s="103">
        <f>IF(X23&lt;33,IF(Y23&gt;(1.1*X23),0,1),1)+IF(Y23&gt;(4*X23),-1,0)</f>
        <v/>
      </c>
      <c r="AB23" s="100" t="n">
        <v>0</v>
      </c>
      <c r="AC23" s="101">
        <f>IF(AB23&gt;9,1,0)+AB23/3+IF(AB23&gt;15,1,0)+IF(AB23&gt;20,1,0)</f>
        <v/>
      </c>
      <c r="AD23" s="101" t="n">
        <v>0</v>
      </c>
      <c r="AE23" s="101" t="n">
        <v>1.88</v>
      </c>
      <c r="AF23" s="101" t="n">
        <v>36.4</v>
      </c>
      <c r="AG23" s="101">
        <f>IF(G23&lt;0,0,1.2)+IF(G23&lt;14,0,0.9)+IF(P23&lt;0,0.7,0)+IF(P23&lt;6.5,1,0)+IF(P23&lt;23,1,0)+IF(R23&gt;80,0,1)+S23+IF(AD23&lt;20,0,1)+IF(AE23&lt;14,0,1)+IF(AF23&lt;26,0,1)</f>
        <v/>
      </c>
      <c r="AH23" s="101">
        <f>AG23+IF(AG23&gt;6,1,0)+IF(X23&lt;17,0,1)+IF(Y23&lt;11,0,1)+IF(Z23&lt;1.35,0,1)+AC23+AA23</f>
        <v/>
      </c>
      <c r="AI23" s="101" t="n">
        <v>11</v>
      </c>
      <c r="AJ23" s="104">
        <f>IF(AI23&gt;12.8,IF(AI23&gt;15.8,0.95,0.98),1)</f>
        <v/>
      </c>
      <c r="AK23" s="101">
        <f>((AG23*2.6+AH23)*AJ23*AQ23)</f>
        <v/>
      </c>
      <c r="AL23" s="50">
        <f>D23</f>
        <v/>
      </c>
      <c r="AM23" s="97">
        <f>B23</f>
        <v/>
      </c>
      <c r="AN23" s="100" t="n"/>
      <c r="AO23" s="99">
        <f>IF(AK23&gt;23.75,IF(Z23&lt;140,1,0),0)</f>
        <v/>
      </c>
      <c r="AP23" s="100">
        <f>IF(AK23&gt;23.2,IF(Y23&lt;300,IF(Y23&lt;35,IF(Y23&lt;8,3,2),1),0),0)</f>
        <v/>
      </c>
      <c r="AQ23" s="100" t="n">
        <v>1</v>
      </c>
      <c r="AR23" s="100">
        <f>IF(AO23=1,IF(AO23=AL23,1,0),5)</f>
        <v/>
      </c>
      <c r="AS23" s="101" t="n">
        <v>1</v>
      </c>
      <c r="AT23" s="101" t="n">
        <v>1</v>
      </c>
      <c r="AU23" s="101" t="n">
        <v>1</v>
      </c>
      <c r="AV23" s="101">
        <f>(AT23+AU23)/2</f>
        <v/>
      </c>
      <c r="AW23" s="101" t="n">
        <v>1</v>
      </c>
      <c r="AX23" s="101" t="n"/>
      <c r="AY23" s="52">
        <f>(100*(AU23-AS23)/AS23)</f>
        <v/>
      </c>
      <c r="AZ23" s="52">
        <f>IF(AY23&lt;-50,-4,IF(AY23&lt;-20,-2,IF(AY23&lt;0,-1,IF(AY23=0,0,IF(AY23&lt;10,1.5,IF(AY23&lt;20,2,IF(AY23&gt;19,2.5,2.5)))))))</f>
        <v/>
      </c>
    </row>
    <row r="24" ht="12.75" customHeight="1">
      <c r="B24" s="119" t="inlineStr">
        <is>
          <t>Afcons Infrastructure</t>
        </is>
      </c>
      <c r="C24" s="50" t="n">
        <v>2024</v>
      </c>
      <c r="D24" s="50" t="n">
        <v>0</v>
      </c>
      <c r="E24" s="100" t="n">
        <v>2253.44</v>
      </c>
      <c r="F24" s="100" t="n">
        <v>3075.29</v>
      </c>
      <c r="G24" s="100">
        <f>100*(F24-E24)/F24</f>
        <v/>
      </c>
      <c r="H24" s="100" t="n">
        <v>15611.2</v>
      </c>
      <c r="I24" s="100" t="n">
        <v>449.76</v>
      </c>
      <c r="J24" s="100" t="n"/>
      <c r="K24" s="101" t="n">
        <v>13.2</v>
      </c>
      <c r="L24" s="101" t="n"/>
      <c r="M24" s="100" t="n">
        <v>1583.12</v>
      </c>
      <c r="N24" s="100" t="n"/>
      <c r="O24" s="100" t="n">
        <v>13646.88</v>
      </c>
      <c r="P24" s="100">
        <f>O24/I24</f>
        <v/>
      </c>
      <c r="Q24" s="100" t="n">
        <v>35.08</v>
      </c>
      <c r="R24" s="100" t="n">
        <v>35.08</v>
      </c>
      <c r="S24" s="100" t="n">
        <v>0</v>
      </c>
      <c r="T24" s="100" t="n"/>
      <c r="U24" s="100" t="n"/>
      <c r="V24" s="100" t="n">
        <v>1</v>
      </c>
      <c r="W24" s="100" t="n">
        <v>1</v>
      </c>
      <c r="X24" s="102" t="n">
        <v>3.99</v>
      </c>
      <c r="Y24" s="101" t="n">
        <v>5.31</v>
      </c>
      <c r="Z24" s="101" t="n">
        <v>0.99</v>
      </c>
      <c r="AA24" s="103">
        <f>IF(X24&lt;33,IF(Y24&gt;(1.1*X24),0,1),1)+IF(Y24&gt;(4*X24),-1,0)</f>
        <v/>
      </c>
      <c r="AB24" s="100" t="n">
        <v>0</v>
      </c>
      <c r="AC24" s="101">
        <f>IF(AB24&gt;9,1,0)+AB24/3+IF(AB24&gt;15,1,0)+IF(AB24&gt;20,1,0)</f>
        <v/>
      </c>
      <c r="AD24" s="101" t="n">
        <v>9.5</v>
      </c>
      <c r="AE24" s="101" t="n">
        <v>6.3</v>
      </c>
      <c r="AF24" s="101" t="n">
        <v>15.3</v>
      </c>
      <c r="AG24" s="101">
        <f>IF(G24&lt;0,0,1.2)+IF(G24&lt;14,0,0.9)+IF(P24&lt;0,0.7,0)+IF(P24&lt;6.5,1,0)+IF(P24&lt;23,1,0)+IF(R24&gt;80,0,1)+S24+IF(AD24&lt;20,0,1)+IF(AE24&lt;14,0,1)+IF(AF24&lt;26,0,1)</f>
        <v/>
      </c>
      <c r="AH24" s="101">
        <f>AG24+IF(AG24&gt;6,1,0)+IF(X24&lt;17,0,1)+IF(Y24&lt;11,0,1)+IF(Z24&lt;1.35,0,1)+AC24+AA24</f>
        <v/>
      </c>
      <c r="AI24" s="101" t="n">
        <v>11</v>
      </c>
      <c r="AJ24" s="104">
        <f>IF(AI24&gt;12.8,IF(AI24&gt;15.8,0.95,0.98),1)</f>
        <v/>
      </c>
      <c r="AK24" s="101">
        <f>((AG24*2.6+AH24)*AJ24*AQ24)</f>
        <v/>
      </c>
      <c r="AL24" s="50">
        <f>D24</f>
        <v/>
      </c>
      <c r="AM24" s="97">
        <f>B24</f>
        <v/>
      </c>
      <c r="AN24" s="100" t="n"/>
      <c r="AO24" s="99">
        <f>IF(AK24&gt;23.75,IF(Z24&lt;140,1,0),0)</f>
        <v/>
      </c>
      <c r="AP24" s="100">
        <f>IF(AK24&gt;23.2,IF(Y24&lt;300,IF(Y24&lt;35,IF(Y24&lt;8,3,2),1),0),0)</f>
        <v/>
      </c>
      <c r="AQ24" s="100" t="n">
        <v>1</v>
      </c>
      <c r="AR24" s="100">
        <f>IF(AO24=1,IF(AO24=AL24,1,0),5)</f>
        <v/>
      </c>
      <c r="AS24" s="101" t="n">
        <v>1</v>
      </c>
      <c r="AT24" s="101" t="n">
        <v>1</v>
      </c>
      <c r="AU24" s="101" t="n">
        <v>1</v>
      </c>
      <c r="AV24" s="101">
        <f>(AT24+AU24)/2</f>
        <v/>
      </c>
      <c r="AW24" s="101" t="n">
        <v>1</v>
      </c>
      <c r="AX24" s="101" t="n"/>
      <c r="AY24" s="52">
        <f>(100*(AU24-AS24)/AS24)</f>
        <v/>
      </c>
      <c r="AZ24" s="52">
        <f>IF(AY24&lt;-50,-4,IF(AY24&lt;-20,-2,IF(AY24&lt;0,-1,IF(AY24=0,0,IF(AY24&lt;10,1.5,IF(AY24&lt;20,2,IF(AY24&gt;19,2.5,2.5)))))))</f>
        <v/>
      </c>
    </row>
    <row r="25" ht="12.75" customHeight="1">
      <c r="B25" s="119" t="inlineStr">
        <is>
          <t>Godavari Biorefineries</t>
        </is>
      </c>
      <c r="C25" s="50" t="n">
        <v>2024</v>
      </c>
      <c r="D25" s="50" t="n">
        <v>0</v>
      </c>
      <c r="E25" s="100" t="n">
        <v>652</v>
      </c>
      <c r="F25" s="100" t="n">
        <v>260.25</v>
      </c>
      <c r="G25" s="100">
        <f>100*(F25-E25)/F25</f>
        <v/>
      </c>
      <c r="H25" s="100" t="n">
        <v>1554.62</v>
      </c>
      <c r="I25" s="100" t="n">
        <v>12.3</v>
      </c>
      <c r="J25" s="100" t="n"/>
      <c r="K25" s="101" t="n">
        <v>2.9</v>
      </c>
      <c r="L25" s="101" t="n"/>
      <c r="M25" s="100" t="n">
        <v>133.53</v>
      </c>
      <c r="N25" s="100" t="n"/>
      <c r="O25" s="100" t="n">
        <v>1701.06</v>
      </c>
      <c r="P25" s="100">
        <f>O25/I25</f>
        <v/>
      </c>
      <c r="Q25" s="100" t="n">
        <v>146.67</v>
      </c>
      <c r="R25" s="100" t="n">
        <v>146.67</v>
      </c>
      <c r="S25" s="100" t="n">
        <v>0</v>
      </c>
      <c r="T25" s="100" t="n"/>
      <c r="U25" s="100" t="n"/>
      <c r="V25" s="100" t="n">
        <v>1</v>
      </c>
      <c r="W25" s="100" t="n">
        <v>1</v>
      </c>
      <c r="X25" s="102" t="n">
        <v>2.76</v>
      </c>
      <c r="Y25" s="101" t="n">
        <v>0.93</v>
      </c>
      <c r="Z25" s="101" t="n">
        <v>1.76</v>
      </c>
      <c r="AA25" s="103">
        <f>IF(X25&lt;33,IF(Y25&gt;(1.1*X25),0,1),1)+IF(Y25&gt;(4*X25),-1,0)</f>
        <v/>
      </c>
      <c r="AB25" s="100" t="n">
        <v>0</v>
      </c>
      <c r="AC25" s="101">
        <f>IF(AB25&gt;9,1,0)+AB25/3+IF(AB25&gt;15,1,0)+IF(AB25&gt;20,1,0)</f>
        <v/>
      </c>
      <c r="AD25" s="101" t="n">
        <v>-37.37</v>
      </c>
      <c r="AE25" s="101" t="n">
        <v>-15.89</v>
      </c>
      <c r="AF25" s="101" t="n">
        <v>4.51</v>
      </c>
      <c r="AG25" s="101">
        <f>IF(G25&lt;0,0,1.2)+IF(G25&lt;14,0,0.9)+IF(P25&lt;0,0.7,0)+IF(P25&lt;6.5,1,0)+IF(P25&lt;23,1,0)+IF(R25&gt;80,0,1)+S25+IF(AD25&lt;20,0,1)+IF(AE25&lt;14,0,1)+IF(AF25&lt;26,0,1)</f>
        <v/>
      </c>
      <c r="AH25" s="101">
        <f>AG25+IF(AG25&gt;6,1,0)+IF(X25&lt;17,0,1)+IF(Y25&lt;11,0,1)+IF(Z25&lt;1.35,0,1)+AC25+AA25</f>
        <v/>
      </c>
      <c r="AI25" s="101" t="n">
        <v>11</v>
      </c>
      <c r="AJ25" s="104">
        <f>IF(AI25&gt;12.8,IF(AI25&gt;15.8,0.95,0.98),1)</f>
        <v/>
      </c>
      <c r="AK25" s="101">
        <f>((AG25*2.6+AH25)*AJ25*AQ25)</f>
        <v/>
      </c>
      <c r="AL25" s="50">
        <f>D25</f>
        <v/>
      </c>
      <c r="AM25" s="97">
        <f>B25</f>
        <v/>
      </c>
      <c r="AN25" s="100" t="n"/>
      <c r="AO25" s="99">
        <f>IF(AK25&gt;23.75,IF(Z25&lt;140,1,0),0)</f>
        <v/>
      </c>
      <c r="AP25" s="100">
        <f>IF(AK25&gt;23.2,IF(Y25&lt;300,IF(Y25&lt;35,IF(Y25&lt;8,3,2),1),0),0)</f>
        <v/>
      </c>
      <c r="AQ25" s="100" t="n">
        <v>1</v>
      </c>
      <c r="AR25" s="100">
        <f>IF(AO25=1,IF(AO25=AL25,1,0),5)</f>
        <v/>
      </c>
      <c r="AS25" s="101" t="n">
        <v>1</v>
      </c>
      <c r="AT25" s="101" t="n">
        <v>1</v>
      </c>
      <c r="AU25" s="101" t="n">
        <v>1</v>
      </c>
      <c r="AV25" s="101">
        <f>(AT25+AU25)/2</f>
        <v/>
      </c>
      <c r="AW25" s="101" t="n">
        <v>1</v>
      </c>
      <c r="AX25" s="101" t="n"/>
      <c r="AY25" s="52">
        <f>(100*(AU25-AS25)/AS25)</f>
        <v/>
      </c>
      <c r="AZ25" s="52">
        <f>IF(AY25&lt;-50,-4,IF(AY25&lt;-20,-2,IF(AY25&lt;0,-1,IF(AY25=0,0,IF(AY25&lt;10,1.5,IF(AY25&lt;20,2,IF(AY25&gt;19,2.5,2.5)))))))</f>
        <v/>
      </c>
    </row>
    <row r="26" ht="12.75" customHeight="1">
      <c r="B26" s="119" t="inlineStr">
        <is>
          <t>JG Chemicals</t>
        </is>
      </c>
      <c r="C26" s="50" t="n">
        <v>2024</v>
      </c>
      <c r="D26" s="50" t="n">
        <v>0</v>
      </c>
      <c r="E26" s="100" t="n">
        <v>100</v>
      </c>
      <c r="F26" s="100" t="n">
        <v>180</v>
      </c>
      <c r="G26" s="100">
        <f>100*(F26-E26)/F26</f>
        <v/>
      </c>
      <c r="H26" s="100" t="n">
        <v>400</v>
      </c>
      <c r="I26" s="100" t="n">
        <v>40.5</v>
      </c>
      <c r="J26" s="100" t="n"/>
      <c r="K26" s="101" t="n">
        <v>12.61</v>
      </c>
      <c r="L26" s="101" t="n"/>
      <c r="M26" s="100" t="n">
        <v>80</v>
      </c>
      <c r="N26" s="100" t="n"/>
      <c r="O26" s="100" t="n">
        <v>795</v>
      </c>
      <c r="P26" s="100">
        <f>O26/I26</f>
        <v/>
      </c>
      <c r="Q26" s="100" t="n">
        <v>20.08</v>
      </c>
      <c r="R26" s="100" t="n">
        <v>20.08</v>
      </c>
      <c r="S26" s="100" t="n">
        <v>0</v>
      </c>
      <c r="T26" s="100" t="n"/>
      <c r="U26" s="100" t="n"/>
      <c r="V26" s="100" t="n">
        <v>1</v>
      </c>
      <c r="W26" s="100" t="n">
        <v>1</v>
      </c>
      <c r="X26" s="102" t="n">
        <v>32.33</v>
      </c>
      <c r="Y26" s="101" t="n">
        <v>47.92</v>
      </c>
      <c r="Z26" s="101" t="n">
        <v>18.03</v>
      </c>
      <c r="AA26" s="103">
        <f>IF(X26&lt;33,IF(Y26&gt;(1.1*X26),0,1),1)+IF(Y26&gt;(4*X26),-1,0)</f>
        <v/>
      </c>
      <c r="AB26" s="100" t="n">
        <v>0</v>
      </c>
      <c r="AC26" s="101">
        <f>IF(AB26&gt;9,1,0)+AB26/3+IF(AB26&gt;15,1,0)+IF(AB26&gt;20,1,0)</f>
        <v/>
      </c>
      <c r="AD26" s="101" t="n">
        <v>-6</v>
      </c>
      <c r="AE26" s="101" t="n">
        <v>30</v>
      </c>
      <c r="AF26" s="101" t="n">
        <v>25</v>
      </c>
      <c r="AG26" s="101">
        <f>IF(G26&lt;0,0,1.2)+IF(G26&lt;14,0,0.9)+IF(P26&lt;0,0.7,0)+IF(P26&lt;6.5,1,0)+IF(P26&lt;23,1,0)+IF(R26&gt;80,0,1)+S26+IF(AD26&lt;20,0,1)+IF(AE26&lt;14,0,1)+IF(AF26&lt;26,0,1)</f>
        <v/>
      </c>
      <c r="AH26" s="101">
        <f>AG26+IF(AG26&gt;6,1,0)+IF(X26&lt;17,0,1)+IF(Y26&lt;11,0,1)+IF(Z26&lt;1.35,0,1)+AC26+AA26</f>
        <v/>
      </c>
      <c r="AI26" s="101" t="n">
        <v>11</v>
      </c>
      <c r="AJ26" s="104">
        <f>IF(AI26&gt;12.8,IF(AI26&gt;15.8,0.95,0.98),1)</f>
        <v/>
      </c>
      <c r="AK26" s="101">
        <f>((AG26*2.6+AH26)*AJ26*AQ26)</f>
        <v/>
      </c>
      <c r="AL26" s="50">
        <f>D26</f>
        <v/>
      </c>
      <c r="AM26" s="97">
        <f>B26</f>
        <v/>
      </c>
      <c r="AN26" s="100" t="n"/>
      <c r="AO26" s="99">
        <f>IF(AK26&gt;23.75,IF(Z26&lt;140,1,0),0)</f>
        <v/>
      </c>
      <c r="AP26" s="100">
        <f>IF(AK26&gt;23.2,IF(Y26&lt;300,IF(Y26&lt;35,IF(Y26&lt;8,3,2),1),0),0)</f>
        <v/>
      </c>
      <c r="AQ26" s="100" t="n">
        <v>1</v>
      </c>
      <c r="AR26" s="100">
        <f>IF(AO26=1,IF(AO26=AL26,1,0),5)</f>
        <v/>
      </c>
      <c r="AS26" s="101" t="n">
        <v>1</v>
      </c>
      <c r="AT26" s="101" t="n">
        <v>1</v>
      </c>
      <c r="AU26" s="101" t="n">
        <v>1</v>
      </c>
      <c r="AV26" s="101">
        <f>(AT26+AU26)/2</f>
        <v/>
      </c>
      <c r="AW26" s="101" t="n">
        <v>1</v>
      </c>
      <c r="AX26" s="101" t="n"/>
      <c r="AY26" s="52">
        <f>(100*(AU26-AS26)/AS26)</f>
        <v/>
      </c>
      <c r="AZ26" s="52">
        <f>IF(AY26&lt;-50,-4,IF(AY26&lt;-20,-2,IF(AY26&lt;0,-1,IF(AY26=0,0,IF(AY26&lt;10,1.5,IF(AY26&lt;20,2,IF(AY26&gt;19,2.5,2.5)))))))</f>
        <v/>
      </c>
    </row>
    <row r="27" ht="12.75" customHeight="1">
      <c r="B27" s="119" t="inlineStr">
        <is>
          <t>Gopal Snacks</t>
        </is>
      </c>
      <c r="C27" s="50" t="n">
        <v>2024</v>
      </c>
      <c r="D27" s="50" t="n">
        <v>0</v>
      </c>
      <c r="E27" s="100" t="n">
        <v>108</v>
      </c>
      <c r="F27" s="100" t="n">
        <v>346</v>
      </c>
      <c r="G27" s="100">
        <f>100*(F27-E27)/F27</f>
        <v/>
      </c>
      <c r="H27" s="100" t="n">
        <v>461</v>
      </c>
      <c r="I27" s="100" t="n">
        <v>112</v>
      </c>
      <c r="J27" s="100" t="n"/>
      <c r="K27" s="101" t="n">
        <v>9.02</v>
      </c>
      <c r="L27" s="101" t="n"/>
      <c r="M27" s="100" t="n">
        <v>196</v>
      </c>
      <c r="N27" s="100" t="n"/>
      <c r="O27" s="100" t="n">
        <v>1394</v>
      </c>
      <c r="P27" s="100">
        <f>O27/I27</f>
        <v/>
      </c>
      <c r="Q27" s="100" t="n">
        <v>44.5</v>
      </c>
      <c r="R27" s="100" t="n">
        <v>44.5</v>
      </c>
      <c r="S27" s="100" t="n">
        <v>0</v>
      </c>
      <c r="T27" s="100" t="n"/>
      <c r="U27" s="100" t="n"/>
      <c r="V27" s="100" t="n">
        <v>1</v>
      </c>
      <c r="W27" s="100" t="n">
        <v>1</v>
      </c>
      <c r="X27" s="102" t="n">
        <v>18.42</v>
      </c>
      <c r="Y27" s="101" t="n">
        <v>10</v>
      </c>
      <c r="Z27" s="101" t="n">
        <v>4.22</v>
      </c>
      <c r="AA27" s="103">
        <f>IF(X27&lt;33,IF(Y27&gt;(1.1*X27),0,1),1)+IF(Y27&gt;(4*X27),-1,0)</f>
        <v/>
      </c>
      <c r="AB27" s="100" t="n">
        <v>0</v>
      </c>
      <c r="AC27" s="101">
        <f>IF(AB27&gt;9,1,0)+AB27/3+IF(AB27&gt;15,1,0)+IF(AB27&gt;20,1,0)</f>
        <v/>
      </c>
      <c r="AD27" s="101" t="n">
        <v>170</v>
      </c>
      <c r="AE27" s="101" t="n">
        <v>3</v>
      </c>
      <c r="AF27" s="101" t="n">
        <v>19</v>
      </c>
      <c r="AG27" s="101">
        <f>IF(G27&lt;0,0,1.2)+IF(G27&lt;14,0,0.9)+IF(P27&lt;0,0.7,0)+IF(P27&lt;6.5,1,0)+IF(P27&lt;23,1,0)+IF(R27&gt;80,0,1)+S27+IF(AD27&lt;20,0,1)+IF(AE27&lt;14,0,1)+IF(AF27&lt;26,0,1)</f>
        <v/>
      </c>
      <c r="AH27" s="101">
        <f>AG27+IF(AG27&gt;6,1,0)+IF(X27&lt;17,0,1)+IF(Y27&lt;11,0,1)+IF(Z27&lt;1.35,0,1)+AC27+AA27</f>
        <v/>
      </c>
      <c r="AI27" s="101" t="n">
        <v>11</v>
      </c>
      <c r="AJ27" s="104">
        <f>IF(AI27&gt;12.8,IF(AI27&gt;15.8,0.95,0.98),1)</f>
        <v/>
      </c>
      <c r="AK27" s="101">
        <f>((AG27*2.6+AH27)*AJ27*AQ27)</f>
        <v/>
      </c>
      <c r="AL27" s="50">
        <f>D27</f>
        <v/>
      </c>
      <c r="AM27" s="97">
        <f>B27</f>
        <v/>
      </c>
      <c r="AN27" s="100" t="n"/>
      <c r="AO27" s="99">
        <f>IF(AK27&gt;23.75,IF(Z27&lt;140,1,0),0)</f>
        <v/>
      </c>
      <c r="AP27" s="100">
        <f>IF(AK27&gt;23.2,IF(Y27&lt;300,IF(Y27&lt;35,IF(Y27&lt;8,3,2),1),0),0)</f>
        <v/>
      </c>
      <c r="AQ27" s="100" t="n">
        <v>1</v>
      </c>
      <c r="AR27" s="100">
        <f>IF(AO27=1,IF(AO27=AL27,1,0),5)</f>
        <v/>
      </c>
      <c r="AS27" s="101" t="n">
        <v>1</v>
      </c>
      <c r="AT27" s="101" t="n">
        <v>1</v>
      </c>
      <c r="AU27" s="101" t="n">
        <v>1</v>
      </c>
      <c r="AV27" s="101">
        <f>(AT27+AU27)/2</f>
        <v/>
      </c>
      <c r="AW27" s="101" t="n">
        <v>1</v>
      </c>
      <c r="AX27" s="101" t="n"/>
      <c r="AY27" s="52">
        <f>(100*(AU27-AS27)/AS27)</f>
        <v/>
      </c>
      <c r="AZ27" s="52">
        <f>IF(AY27&lt;-50,-4,IF(AY27&lt;-20,-2,IF(AY27&lt;0,-1,IF(AY27=0,0,IF(AY27&lt;10,1.5,IF(AY27&lt;20,2,IF(AY27&gt;19,2.5,2.5)))))))</f>
        <v/>
      </c>
    </row>
    <row r="28" ht="12.75" customHeight="1">
      <c r="B28" s="119" t="inlineStr">
        <is>
          <t>R K SWAMY</t>
        </is>
      </c>
      <c r="C28" s="50" t="n">
        <v>2024</v>
      </c>
      <c r="D28" s="50" t="inlineStr">
        <is>
          <t>Rec</t>
        </is>
      </c>
      <c r="E28" s="100" t="n">
        <v>4.51</v>
      </c>
      <c r="F28" s="100" t="n">
        <v>140.81</v>
      </c>
      <c r="G28" s="100">
        <f>100*(F28-E28)/F28</f>
        <v/>
      </c>
      <c r="H28" s="100" t="n">
        <v>313.65</v>
      </c>
      <c r="I28" s="100" t="n">
        <v>31.26</v>
      </c>
      <c r="J28" s="100" t="n"/>
      <c r="K28" s="101" t="n">
        <v>7.03</v>
      </c>
      <c r="L28" s="101" t="n"/>
      <c r="M28" s="100" t="n">
        <v>62.91</v>
      </c>
      <c r="N28" s="100" t="n"/>
      <c r="O28" s="100" t="n">
        <v>292.61</v>
      </c>
      <c r="P28" s="100">
        <f>O28/I28</f>
        <v/>
      </c>
      <c r="Q28" s="100" t="n">
        <v>46.5</v>
      </c>
      <c r="R28" s="100" t="n">
        <v>46.5</v>
      </c>
      <c r="S28" s="100" t="n">
        <v>-0.9</v>
      </c>
      <c r="T28" s="100" t="n"/>
      <c r="U28" s="100" t="n"/>
      <c r="V28" s="100" t="n">
        <v>1</v>
      </c>
      <c r="W28" s="100" t="n">
        <v>1</v>
      </c>
      <c r="X28" s="102" t="n">
        <v>20.58</v>
      </c>
      <c r="Y28" s="101" t="n">
        <v>34.24</v>
      </c>
      <c r="Z28" s="101" t="n">
        <v>33.31</v>
      </c>
      <c r="AA28" s="103">
        <f>IF(X28&lt;33,IF(Y28&gt;(1.1*X28),0,1),1)+IF(Y28&gt;(4*X28),-1,0)</f>
        <v/>
      </c>
      <c r="AB28" s="100" t="n">
        <v>6</v>
      </c>
      <c r="AC28" s="101">
        <f>IF(AB28&gt;9,1,0)+AB28/3+IF(AB28&gt;15,1,0)+IF(AB28&gt;20,1,0)</f>
        <v/>
      </c>
      <c r="AD28" s="101" t="n">
        <v>62.29</v>
      </c>
      <c r="AE28" s="101" t="n">
        <v>24.85</v>
      </c>
      <c r="AF28" s="101" t="n">
        <v>25.58</v>
      </c>
      <c r="AG28" s="101">
        <f>IF(G28&lt;0,0,1.2)+IF(G28&lt;14,0,0.9)+IF(P28&lt;0,0.7,0)+IF(P28&lt;6.5,1,0)+IF(P28&lt;23,1,0)+IF(R28&gt;80,0,1)+S28+IF(AD28&lt;20,0,1)+IF(AE28&lt;14,0,1)+IF(AF28&lt;26,0,1)</f>
        <v/>
      </c>
      <c r="AH28" s="101">
        <f>AG28+IF(AG28&gt;6,1,0)+IF(X28&lt;17,0,1)+IF(Y28&lt;11,0,1)+IF(Z28&lt;1.35,0,1)+AC28+AA28</f>
        <v/>
      </c>
      <c r="AI28" s="101" t="n">
        <v>11</v>
      </c>
      <c r="AJ28" s="104">
        <f>IF(AI28&gt;12.8,IF(AI28&gt;15.8,0.95,0.98),1)</f>
        <v/>
      </c>
      <c r="AK28" s="101">
        <f>((AG28*2.6+AH28)*AJ28*AQ28)</f>
        <v/>
      </c>
      <c r="AL28" s="50">
        <f>D28</f>
        <v/>
      </c>
      <c r="AM28" s="97">
        <f>B28</f>
        <v/>
      </c>
      <c r="AN28" s="100" t="n"/>
      <c r="AO28" s="99">
        <f>IF(AK28&gt;23.75,IF(Z28&lt;140,1,0),0)</f>
        <v/>
      </c>
      <c r="AP28" s="100">
        <f>IF(AK28&gt;23.2,IF(Y28&lt;300,IF(Y28&lt;35,IF(Y28&lt;8,3,2),1),0),0)</f>
        <v/>
      </c>
      <c r="AQ28" s="100" t="n">
        <v>1</v>
      </c>
      <c r="AR28" s="100">
        <f>IF(AO28=1,IF(AO28=AL28,1,0),5)</f>
        <v/>
      </c>
      <c r="AS28" s="101" t="n">
        <v>1</v>
      </c>
      <c r="AT28" s="101" t="n">
        <v>1</v>
      </c>
      <c r="AU28" s="101" t="n">
        <v>1</v>
      </c>
      <c r="AV28" s="101">
        <f>(AT28+AU28)/2</f>
        <v/>
      </c>
      <c r="AW28" s="101" t="n">
        <v>1</v>
      </c>
      <c r="AX28" s="101" t="n"/>
      <c r="AY28" s="52">
        <f>(100*(AU28-AS28)/AS28)</f>
        <v/>
      </c>
      <c r="AZ28" s="52">
        <f>IF(AY28&lt;-50,-4,IF(AY28&lt;-20,-2,IF(AY28&lt;0,-1,IF(AY28=0,0,IF(AY28&lt;10,1.5,IF(AY28&lt;20,2,IF(AY28&gt;19,2.5,2.5)))))))</f>
        <v/>
      </c>
    </row>
    <row r="29" ht="12.75" customHeight="1">
      <c r="B29" s="119" t="inlineStr">
        <is>
          <t>Capital Small Finance</t>
        </is>
      </c>
      <c r="C29" s="50" t="n">
        <v>2024</v>
      </c>
      <c r="D29" s="50" t="n">
        <v>0</v>
      </c>
      <c r="E29" s="100" t="n">
        <v>472.25</v>
      </c>
      <c r="F29" s="100" t="n">
        <v>2430</v>
      </c>
      <c r="G29" s="100">
        <f>100*(F29-E29)/F29</f>
        <v/>
      </c>
      <c r="H29" s="100" t="n">
        <v>9295</v>
      </c>
      <c r="I29" s="100" t="n">
        <v>93.59999999999999</v>
      </c>
      <c r="J29" s="100" t="n"/>
      <c r="K29" s="101" t="n">
        <v>26.48</v>
      </c>
      <c r="L29" s="101" t="n"/>
      <c r="M29" s="100" t="n">
        <v>310.79</v>
      </c>
      <c r="N29" s="100" t="n"/>
      <c r="O29" s="100" t="n">
        <v>908.5</v>
      </c>
      <c r="P29" s="100">
        <f>O29/I29</f>
        <v/>
      </c>
      <c r="Q29" s="100" t="n">
        <v>17.68</v>
      </c>
      <c r="R29" s="100" t="n">
        <v>17.68</v>
      </c>
      <c r="S29" s="100" t="n">
        <v>-0.9</v>
      </c>
      <c r="T29" s="100" t="n"/>
      <c r="U29" s="100" t="n"/>
      <c r="V29" s="100" t="n">
        <v>1</v>
      </c>
      <c r="W29" s="100" t="n">
        <v>1</v>
      </c>
      <c r="X29" s="102" t="n">
        <v>1.21</v>
      </c>
      <c r="Y29" s="101" t="n">
        <v>2.25</v>
      </c>
      <c r="Z29" s="101" t="n">
        <v>1.97</v>
      </c>
      <c r="AA29" s="103">
        <f>IF(X29&lt;33,IF(Y29&gt;(1.1*X29),0,1),1)+IF(Y29&gt;(4*X29),-1,0)</f>
        <v/>
      </c>
      <c r="AB29" s="100" t="n">
        <v>0</v>
      </c>
      <c r="AC29" s="101">
        <f>IF(AB29&gt;9,1,0)+AB29/3+IF(AB29&gt;15,1,0)+IF(AB29&gt;20,1,0)</f>
        <v/>
      </c>
      <c r="AD29" s="101" t="n">
        <v>49.6</v>
      </c>
      <c r="AE29" s="101" t="n">
        <v>43.7</v>
      </c>
      <c r="AF29" s="101" t="n">
        <v>8.199999999999999</v>
      </c>
      <c r="AG29" s="101">
        <f>IF(G29&lt;0,0,1.2)+IF(G29&lt;14,0,0.9)+IF(P29&lt;0,0.7,0)+IF(P29&lt;6.5,1,0)+IF(P29&lt;23,1,0)+IF(R29&gt;80,0,1)+S29+IF(AD29&lt;20,0,1)+IF(AE29&lt;14,0,1)+IF(AF29&lt;26,0,1)</f>
        <v/>
      </c>
      <c r="AH29" s="101">
        <f>AG29+IF(AG29&gt;6,1,0)+IF(X29&lt;17,0,1)+IF(Y29&lt;11,0,1)+IF(Z29&lt;1.35,0,1)+AC29+AA29</f>
        <v/>
      </c>
      <c r="AI29" s="101" t="n">
        <v>11</v>
      </c>
      <c r="AJ29" s="104">
        <f>IF(AI29&gt;12.8,IF(AI29&gt;15.8,0.95,0.98),1)</f>
        <v/>
      </c>
      <c r="AK29" s="101">
        <f>((AG29*2.6+AH29)*AJ29*AQ29)</f>
        <v/>
      </c>
      <c r="AL29" s="50">
        <f>D29</f>
        <v/>
      </c>
      <c r="AM29" s="97">
        <f>B29</f>
        <v/>
      </c>
      <c r="AN29" s="100" t="n"/>
      <c r="AO29" s="99">
        <f>IF(AK29&gt;23.75,IF(Z29&lt;140,1,0),0)</f>
        <v/>
      </c>
      <c r="AP29" s="100">
        <f>IF(AK29&gt;23.2,IF(Y29&lt;300,IF(Y29&lt;35,IF(Y29&lt;8,3,2),1),0),0)</f>
        <v/>
      </c>
      <c r="AQ29" s="100" t="n">
        <v>1</v>
      </c>
      <c r="AR29" s="100">
        <f>IF(AO29=1,IF(AO29=AL29,1,0),5)</f>
        <v/>
      </c>
      <c r="AS29" s="101" t="n">
        <v>1</v>
      </c>
      <c r="AT29" s="101" t="n">
        <v>1</v>
      </c>
      <c r="AU29" s="101" t="n">
        <v>1</v>
      </c>
      <c r="AV29" s="101">
        <f>(AT29+AU29)/2</f>
        <v/>
      </c>
      <c r="AW29" s="101" t="n">
        <v>1</v>
      </c>
      <c r="AX29" s="101" t="n"/>
      <c r="AY29" s="52">
        <f>(100*(AU29-AS29)/AS29)</f>
        <v/>
      </c>
      <c r="AZ29" s="52">
        <f>IF(AY29&lt;-50,-4,IF(AY29&lt;-20,-2,IF(AY29&lt;0,-1,IF(AY29=0,0,IF(AY29&lt;10,1.5,IF(AY29&lt;20,2,IF(AY29&gt;19,2.5,2.5)))))))</f>
        <v/>
      </c>
    </row>
    <row r="30" ht="12.75" customHeight="1">
      <c r="B30" s="119" t="inlineStr">
        <is>
          <t>EPACK Durable</t>
        </is>
      </c>
      <c r="C30" s="50" t="n">
        <v>2024</v>
      </c>
      <c r="D30" s="50" t="n">
        <v>0</v>
      </c>
      <c r="E30" s="100" t="n">
        <v>492.45</v>
      </c>
      <c r="F30" s="100" t="n">
        <v>313.62</v>
      </c>
      <c r="G30" s="100">
        <f>100*(F30-E30)/F30</f>
        <v/>
      </c>
      <c r="H30" s="100" t="n">
        <v>1464.16</v>
      </c>
      <c r="I30" s="100" t="n">
        <v>31.97</v>
      </c>
      <c r="J30" s="100" t="n"/>
      <c r="K30" s="101" t="n">
        <v>4.64</v>
      </c>
      <c r="L30" s="101" t="n"/>
      <c r="M30" s="100" t="n">
        <v>102.52</v>
      </c>
      <c r="N30" s="100" t="n"/>
      <c r="O30" s="100" t="n">
        <v>1539</v>
      </c>
      <c r="P30" s="100">
        <f>O30/I30</f>
        <v/>
      </c>
      <c r="Q30" s="100" t="n">
        <v>49.56</v>
      </c>
      <c r="R30" s="100" t="n">
        <v>49.56</v>
      </c>
      <c r="S30" s="100" t="n">
        <v>0</v>
      </c>
      <c r="T30" s="100" t="n"/>
      <c r="U30" s="100" t="n"/>
      <c r="V30" s="100" t="n">
        <v>1</v>
      </c>
      <c r="W30" s="100" t="n">
        <v>1</v>
      </c>
      <c r="X30" s="102" t="n">
        <v>25.59</v>
      </c>
      <c r="Y30" s="101" t="n">
        <v>29.07</v>
      </c>
      <c r="Z30" s="101" t="n">
        <v>6.5</v>
      </c>
      <c r="AA30" s="103">
        <f>IF(X30&lt;33,IF(Y30&gt;(1.1*X30),0,1),1)+IF(Y30&gt;(4*X30),-1,0)</f>
        <v/>
      </c>
      <c r="AB30" s="100" t="n">
        <v>0</v>
      </c>
      <c r="AC30" s="101">
        <f>IF(AB30&gt;9,1,0)+AB30/3+IF(AB30&gt;15,1,0)+IF(AB30&gt;20,1,0)</f>
        <v/>
      </c>
      <c r="AD30" s="101" t="n">
        <v>83.39</v>
      </c>
      <c r="AE30" s="101" t="n">
        <v>66.09</v>
      </c>
      <c r="AF30" s="101" t="n">
        <v>157.3</v>
      </c>
      <c r="AG30" s="101">
        <f>IF(G30&lt;0,0,1.2)+IF(G30&lt;14,0,0.9)+IF(P30&lt;0,0.7,0)+IF(P30&lt;6.5,1,0)+IF(P30&lt;23,1,0)+IF(R30&gt;80,0,1)+S30+IF(AD30&lt;20,0,1)+IF(AE30&lt;14,0,1)+IF(AF30&lt;26,0,1)</f>
        <v/>
      </c>
      <c r="AH30" s="101">
        <f>AG30+IF(AG30&gt;6,1,0)+IF(X30&lt;17,0,1)+IF(Y30&lt;11,0,1)+IF(Z30&lt;1.35,0,1)+AC30+AA30</f>
        <v/>
      </c>
      <c r="AI30" s="101" t="n">
        <v>11</v>
      </c>
      <c r="AJ30" s="104">
        <f>IF(AI30&gt;12.8,IF(AI30&gt;15.8,0.95,0.98),1)</f>
        <v/>
      </c>
      <c r="AK30" s="101">
        <f>((AG30*2.6+AH30)*AJ30*AQ30)</f>
        <v/>
      </c>
      <c r="AL30" s="50">
        <f>D30</f>
        <v/>
      </c>
      <c r="AM30" s="97">
        <f>B30</f>
        <v/>
      </c>
      <c r="AN30" s="100" t="n"/>
      <c r="AO30" s="99">
        <f>IF(AK30&gt;23.75,IF(Z30&lt;140,1,0),0)</f>
        <v/>
      </c>
      <c r="AP30" s="100">
        <f>IF(AK30&gt;23.2,IF(Y30&lt;300,IF(Y30&lt;35,IF(Y30&lt;8,3,2),1),0),0)</f>
        <v/>
      </c>
      <c r="AQ30" s="100" t="n">
        <v>1</v>
      </c>
      <c r="AR30" s="100">
        <f>IF(AO30=1,IF(AO30=AL30,1,0),5)</f>
        <v/>
      </c>
      <c r="AS30" s="101" t="n">
        <v>1</v>
      </c>
      <c r="AT30" s="101" t="n">
        <v>1</v>
      </c>
      <c r="AU30" s="101" t="n">
        <v>1</v>
      </c>
      <c r="AV30" s="101">
        <f>(AT30+AU30)/2</f>
        <v/>
      </c>
      <c r="AW30" s="101" t="n">
        <v>1</v>
      </c>
      <c r="AX30" s="101" t="n"/>
      <c r="AY30" s="52">
        <f>(100*(AU30-AS30)/AS30)</f>
        <v/>
      </c>
      <c r="AZ30" s="52">
        <f>IF(AY30&lt;-50,-4,IF(AY30&lt;-20,-2,IF(AY30&lt;0,-1,IF(AY30=0,0,IF(AY30&lt;10,1.5,IF(AY30&lt;20,2,IF(AY30&gt;19,2.5,2.5)))))))</f>
        <v/>
      </c>
    </row>
    <row r="31" ht="12.75" customHeight="1">
      <c r="B31" s="119" t="inlineStr">
        <is>
          <t>Om Freight Forwarders</t>
        </is>
      </c>
      <c r="C31" s="50" t="n">
        <v>2025</v>
      </c>
      <c r="D31" s="50" t="n">
        <v>0</v>
      </c>
      <c r="E31" s="100" t="n">
        <v>26.95</v>
      </c>
      <c r="F31" s="100" t="n">
        <v>173.47</v>
      </c>
      <c r="G31" s="100">
        <f>100*(F31-E31)/F31</f>
        <v/>
      </c>
      <c r="H31" s="100" t="n">
        <v>312.02</v>
      </c>
      <c r="I31" s="100" t="n">
        <v>21.99</v>
      </c>
      <c r="J31" s="100" t="n"/>
      <c r="K31" s="101" t="n">
        <v>6.9</v>
      </c>
      <c r="L31" s="101" t="n"/>
      <c r="M31" s="100" t="n">
        <v>37.71</v>
      </c>
      <c r="N31" s="100" t="n"/>
      <c r="O31" s="100" t="n">
        <v>490.14</v>
      </c>
      <c r="P31" s="100">
        <f>O31/I31</f>
        <v/>
      </c>
      <c r="Q31" s="100" t="n">
        <v>19.56</v>
      </c>
      <c r="R31" s="100" t="n">
        <v>19.56</v>
      </c>
      <c r="S31" s="100" t="n">
        <v>0</v>
      </c>
      <c r="T31" s="100" t="n"/>
      <c r="U31" s="100" t="n"/>
      <c r="V31" s="100" t="n">
        <v>1</v>
      </c>
      <c r="W31" s="100" t="n">
        <v>1</v>
      </c>
      <c r="X31" s="102" t="n">
        <v>3.97</v>
      </c>
      <c r="Y31" s="101" t="n">
        <v>7.39</v>
      </c>
      <c r="Z31" s="101" t="n">
        <v>2.75</v>
      </c>
      <c r="AA31" s="103">
        <f>IF(X31&lt;33,IF(Y31&gt;(1.1*X31),0,1),1)+IF(Y31&gt;(4*X31),-1,0)</f>
        <v/>
      </c>
      <c r="AB31" s="100" t="n">
        <v>-2.5</v>
      </c>
      <c r="AC31" s="101">
        <f>IF(AB31&gt;9,1,0)+AB31/3+IF(AB31&gt;15,1,0)+IF(AB31&gt;20,1,0)</f>
        <v/>
      </c>
      <c r="AD31" s="101" t="n">
        <v>112.51</v>
      </c>
      <c r="AE31" s="101" t="n">
        <v>19.42</v>
      </c>
      <c r="AF31" s="101" t="n">
        <v>14.42</v>
      </c>
      <c r="AG31" s="101">
        <f>IF(G31&lt;0,0,1.2)+IF(G31&lt;14,0,0.9)+IF(P31&lt;0,0.7,0)+IF(P31&lt;6.5,1,0)+IF(P31&lt;23,1,0)+IF(R31&gt;80,0,1)+S31+IF(AD31&lt;20,0,1)+IF(AE31&lt;14,0,1)+IF(AF31&lt;26,0,1)</f>
        <v/>
      </c>
      <c r="AH31" s="101">
        <f>AG31+IF(AG31&gt;6,1,0)+IF(X31&lt;17,0,1)+IF(Y31&lt;11,0,1)+IF(Z31&lt;1.35,0,1)+AC31+AA31</f>
        <v/>
      </c>
      <c r="AI31" s="101" t="n">
        <v>11</v>
      </c>
      <c r="AJ31" s="104">
        <f>IF(AI31&gt;12.8,IF(AI31&gt;15.8,0.95,0.98),1)</f>
        <v/>
      </c>
      <c r="AK31" s="101">
        <f>((AG31*2.6+AH31)*AJ31*AQ31)</f>
        <v/>
      </c>
      <c r="AL31" s="50">
        <f>D31</f>
        <v/>
      </c>
      <c r="AM31" s="97">
        <f>B31</f>
        <v/>
      </c>
      <c r="AN31" s="100" t="n"/>
      <c r="AO31" s="99">
        <f>IF(AK31&gt;23.75,IF(Z31&lt;140,1,0),0)</f>
        <v/>
      </c>
      <c r="AP31" s="100">
        <f>IF(AK31&gt;23.2,IF(Y31&lt;300,IF(Y31&lt;35,IF(Y31&lt;8,3,2),1),0),0)</f>
        <v/>
      </c>
      <c r="AQ31" s="100" t="n">
        <v>1</v>
      </c>
      <c r="AR31" s="100">
        <f>IF(AO31=1,IF(AO31=AL31,1,0),5)</f>
        <v/>
      </c>
      <c r="AS31" s="101" t="n">
        <v>135</v>
      </c>
      <c r="AT31" s="101" t="n">
        <v>135</v>
      </c>
      <c r="AU31" s="101" t="n">
        <v>135</v>
      </c>
      <c r="AV31" s="101">
        <f>(AT31+AU31)/2</f>
        <v/>
      </c>
      <c r="AW31" s="101" t="n">
        <v>81.5</v>
      </c>
      <c r="AX31" s="101" t="n"/>
      <c r="AY31" s="52">
        <f>(100*(AU31-AS31)/AS31)</f>
        <v/>
      </c>
      <c r="AZ31" s="52">
        <f>IF(AY31&lt;-50,-4,IF(AY31&lt;-20,-2,IF(AY31&lt;0,-1,IF(AY31=0,0,IF(AY31&lt;10,1.5,IF(AY31&lt;20,2,IF(AY31&gt;19,2.5,2.5)))))))</f>
        <v/>
      </c>
    </row>
    <row r="32" ht="12.75" customHeight="1">
      <c r="B32" s="119" t="inlineStr">
        <is>
          <t>Glottis</t>
        </is>
      </c>
      <c r="C32" s="50" t="n">
        <v>2025</v>
      </c>
      <c r="D32" s="50" t="n">
        <v>0</v>
      </c>
      <c r="E32" s="100" t="n">
        <v>21.67</v>
      </c>
      <c r="F32" s="100" t="n">
        <v>98.5</v>
      </c>
      <c r="G32" s="100">
        <f>100*(F32-E32)/F32</f>
        <v/>
      </c>
      <c r="H32" s="100" t="n">
        <v>120.17</v>
      </c>
      <c r="I32" s="100" t="n">
        <v>56.14</v>
      </c>
      <c r="J32" s="100" t="n"/>
      <c r="K32" s="101" t="n">
        <v>7.02</v>
      </c>
      <c r="L32" s="101" t="n"/>
      <c r="M32" s="100" t="n">
        <v>78.59999999999999</v>
      </c>
      <c r="N32" s="100" t="n"/>
      <c r="O32" s="100" t="n">
        <v>942.55</v>
      </c>
      <c r="P32" s="100">
        <f>O32/I32</f>
        <v/>
      </c>
      <c r="Q32" s="100" t="n">
        <v>18.37</v>
      </c>
      <c r="R32" s="100" t="n">
        <v>18.37</v>
      </c>
      <c r="S32" s="100" t="n">
        <v>-0.9</v>
      </c>
      <c r="T32" s="100" t="n"/>
      <c r="U32" s="100" t="n"/>
      <c r="V32" s="100" t="n">
        <v>1</v>
      </c>
      <c r="W32" s="100" t="n">
        <v>1</v>
      </c>
      <c r="X32" s="102" t="n">
        <v>1.84</v>
      </c>
      <c r="Y32" s="101" t="n">
        <v>3.08</v>
      </c>
      <c r="Z32" s="101" t="n">
        <v>1.47</v>
      </c>
      <c r="AA32" s="103">
        <f>IF(X32&lt;33,IF(Y32&gt;(1.1*X32),0,1),1)+IF(Y32&gt;(4*X32),-1,0)</f>
        <v/>
      </c>
      <c r="AB32" s="100" t="n">
        <v>1</v>
      </c>
      <c r="AC32" s="101">
        <f>IF(AB32&gt;9,1,0)+AB32/3+IF(AB32&gt;15,1,0)+IF(AB32&gt;20,1,0)</f>
        <v/>
      </c>
      <c r="AD32" s="101" t="n">
        <v>81.3</v>
      </c>
      <c r="AE32" s="101" t="n">
        <v>89.3</v>
      </c>
      <c r="AF32" s="101" t="n">
        <v>80</v>
      </c>
      <c r="AG32" s="101">
        <f>IF(G32&lt;0,0,1.2)+IF(G32&lt;14,0,0.9)+IF(P32&lt;0,0.7,0)+IF(P32&lt;6.5,1,0)+IF(P32&lt;23,1,0)+IF(R32&gt;80,0,1)+S32+IF(AD32&lt;20,0,1)+IF(AE32&lt;14,0,1)+IF(AF32&lt;26,0,1)</f>
        <v/>
      </c>
      <c r="AH32" s="101">
        <f>AG32+IF(AG32&gt;6,1,0)+IF(X32&lt;17,0,1)+IF(Y32&lt;11,0,1)+IF(Z32&lt;1.35,0,1)+AC32+AA32</f>
        <v/>
      </c>
      <c r="AI32" s="101" t="n">
        <v>11</v>
      </c>
      <c r="AJ32" s="104">
        <f>IF(AI32&gt;12.8,IF(AI32&gt;15.8,0.95,0.98),1)</f>
        <v/>
      </c>
      <c r="AK32" s="101">
        <f>((AG32*2.6+AH32)*AJ32*AQ32)</f>
        <v/>
      </c>
      <c r="AL32" s="50">
        <f>D32</f>
        <v/>
      </c>
      <c r="AM32" s="97">
        <f>B32</f>
        <v/>
      </c>
      <c r="AN32" s="100" t="n"/>
      <c r="AO32" s="99">
        <f>IF(AK32&gt;23.75,IF(Z32&lt;140,1,0),0)</f>
        <v/>
      </c>
      <c r="AP32" s="100">
        <f>IF(AK32&gt;23.2,IF(Y32&lt;300,IF(Y32&lt;35,IF(Y32&lt;8,3,2),1),0),0)</f>
        <v/>
      </c>
      <c r="AQ32" s="100" t="n">
        <v>1</v>
      </c>
      <c r="AR32" s="100">
        <f>IF(AO32=1,IF(AO32=AL32,1,0),5)</f>
        <v/>
      </c>
      <c r="AS32" s="101" t="n">
        <v>129</v>
      </c>
      <c r="AT32" s="101" t="n">
        <v>129</v>
      </c>
      <c r="AU32" s="101" t="n">
        <v>129</v>
      </c>
      <c r="AV32" s="101">
        <f>(AT32+AU32)/2</f>
        <v/>
      </c>
      <c r="AW32" s="101" t="n">
        <v>84</v>
      </c>
      <c r="AX32" s="101" t="n"/>
      <c r="AY32" s="52">
        <f>(100*(AU32-AS32)/AS32)</f>
        <v/>
      </c>
      <c r="AZ32" s="52">
        <f>IF(AY32&lt;-50,-4,IF(AY32&lt;-20,-2,IF(AY32&lt;0,-1,IF(AY32=0,0,IF(AY32&lt;10,1.5,IF(AY32&lt;20,2,IF(AY32&gt;19,2.5,2.5)))))))</f>
        <v/>
      </c>
    </row>
    <row r="33" ht="12.75" customHeight="1">
      <c r="B33" s="119" t="inlineStr">
        <is>
          <t>Epack Prefab Technologies</t>
        </is>
      </c>
      <c r="C33" s="50" t="n">
        <v>2025</v>
      </c>
      <c r="D33" s="50" t="n">
        <v>0</v>
      </c>
      <c r="E33" s="100" t="n">
        <v>318.53</v>
      </c>
      <c r="F33" s="100" t="n">
        <v>353.92</v>
      </c>
      <c r="G33" s="100">
        <f>100*(F33-E33)/F33</f>
        <v/>
      </c>
      <c r="H33" s="100" t="n">
        <v>931.02</v>
      </c>
      <c r="I33" s="100" t="n">
        <v>59.3</v>
      </c>
      <c r="J33" s="100" t="n"/>
      <c r="K33" s="101" t="n">
        <v>7.65</v>
      </c>
      <c r="L33" s="101" t="n"/>
      <c r="M33" s="100" t="n">
        <v>117.79</v>
      </c>
      <c r="N33" s="100" t="n"/>
      <c r="O33" s="100" t="n">
        <v>1134</v>
      </c>
      <c r="P33" s="100">
        <f>O33/I33</f>
        <v/>
      </c>
      <c r="Q33" s="100" t="n">
        <v>26.67</v>
      </c>
      <c r="R33" s="100" t="n">
        <v>26.67</v>
      </c>
      <c r="S33" s="100" t="n">
        <v>-0.9</v>
      </c>
      <c r="T33" s="100" t="n"/>
      <c r="U33" s="100" t="n"/>
      <c r="V33" s="100" t="n">
        <v>1</v>
      </c>
      <c r="W33" s="100" t="n">
        <v>1</v>
      </c>
      <c r="X33" s="102" t="n">
        <v>5.09</v>
      </c>
      <c r="Y33" s="101" t="n">
        <v>3.79</v>
      </c>
      <c r="Z33" s="101" t="n">
        <v>1.74</v>
      </c>
      <c r="AA33" s="103">
        <f>IF(X33&lt;33,IF(Y33&gt;(1.1*X33),0,1),1)+IF(Y33&gt;(4*X33),-1,0)</f>
        <v/>
      </c>
      <c r="AB33" s="100" t="n">
        <v>1</v>
      </c>
      <c r="AC33" s="101">
        <f>IF(AB33&gt;9,1,0)+AB33/3+IF(AB33&gt;15,1,0)+IF(AB33&gt;20,1,0)</f>
        <v/>
      </c>
      <c r="AD33" s="101" t="n">
        <v>38</v>
      </c>
      <c r="AE33" s="101" t="n">
        <v>26</v>
      </c>
      <c r="AF33" s="101" t="n">
        <v>109</v>
      </c>
      <c r="AG33" s="101">
        <f>IF(G33&lt;0,0,1.2)+IF(G33&lt;14,0,0.9)+IF(P33&lt;0,0.7,0)+IF(P33&lt;6.5,1,0)+IF(P33&lt;23,1,0)+IF(R33&gt;80,0,1)+S33+IF(AD33&lt;20,0,1)+IF(AE33&lt;14,0,1)+IF(AF33&lt;26,0,1)</f>
        <v/>
      </c>
      <c r="AH33" s="101">
        <f>AG33+IF(AG33&gt;6,1,0)+IF(X33&lt;17,0,1)+IF(Y33&lt;11,0,1)+IF(Z33&lt;1.35,0,1)+AC33+AA33</f>
        <v/>
      </c>
      <c r="AI33" s="101" t="n">
        <v>11</v>
      </c>
      <c r="AJ33" s="104">
        <f>IF(AI33&gt;12.8,IF(AI33&gt;15.8,0.95,0.98),1)</f>
        <v/>
      </c>
      <c r="AK33" s="101">
        <f>((AG33*2.6+AH33)*AJ33*AQ33)</f>
        <v/>
      </c>
      <c r="AL33" s="50">
        <f>D33</f>
        <v/>
      </c>
      <c r="AM33" s="97">
        <f>B33</f>
        <v/>
      </c>
      <c r="AN33" s="100" t="n"/>
      <c r="AO33" s="99">
        <f>IF(AK33&gt;23.75,IF(Z33&lt;140,1,0),0)</f>
        <v/>
      </c>
      <c r="AP33" s="100">
        <f>IF(AK33&gt;23.2,IF(Y33&lt;300,IF(Y33&lt;35,IF(Y33&lt;8,3,2),1),0),0)</f>
        <v/>
      </c>
      <c r="AQ33" s="100" t="n">
        <v>1</v>
      </c>
      <c r="AR33" s="100">
        <f>IF(AO33=1,IF(AO33=AL33,1,0),5)</f>
        <v/>
      </c>
      <c r="AS33" s="101" t="n">
        <v>1</v>
      </c>
      <c r="AT33" s="101" t="n">
        <v>1</v>
      </c>
      <c r="AU33" s="101" t="n">
        <v>1</v>
      </c>
      <c r="AV33" s="101">
        <f>(AT33+AU33)/2</f>
        <v/>
      </c>
      <c r="AW33" s="101" t="n">
        <v>1</v>
      </c>
      <c r="AX33" s="101" t="n"/>
      <c r="AY33" s="52">
        <f>(100*(AU33-AS33)/AS33)</f>
        <v/>
      </c>
      <c r="AZ33" s="52">
        <f>IF(AY33&lt;-50,-4,IF(AY33&lt;-20,-2,IF(AY33&lt;0,-1,IF(AY33=0,0,IF(AY33&lt;10,1.5,IF(AY33&lt;20,2,IF(AY33&gt;19,2.5,2.5)))))))</f>
        <v/>
      </c>
    </row>
    <row r="34" ht="12.75" customHeight="1">
      <c r="B34" s="119" t="inlineStr">
        <is>
          <t>BMW Ventures</t>
        </is>
      </c>
      <c r="C34" s="50" t="n">
        <v>2025</v>
      </c>
      <c r="D34" s="50" t="n">
        <v>0</v>
      </c>
      <c r="E34" s="100" t="n">
        <v>428.39</v>
      </c>
      <c r="F34" s="100" t="n">
        <v>210.12</v>
      </c>
      <c r="G34" s="100">
        <f>100*(F34-E34)/F34</f>
        <v/>
      </c>
      <c r="H34" s="100" t="n">
        <v>676.09</v>
      </c>
      <c r="I34" s="100" t="n">
        <v>32.82</v>
      </c>
      <c r="J34" s="100" t="n"/>
      <c r="K34" s="101" t="n">
        <v>5.18</v>
      </c>
      <c r="L34" s="101" t="n"/>
      <c r="M34" s="100" t="n">
        <v>82</v>
      </c>
      <c r="N34" s="100" t="n"/>
      <c r="O34" s="100" t="n">
        <v>2062</v>
      </c>
      <c r="P34" s="100">
        <f>O34/I34</f>
        <v/>
      </c>
      <c r="Q34" s="100" t="n">
        <v>26.2</v>
      </c>
      <c r="R34" s="100" t="n">
        <v>26.2</v>
      </c>
      <c r="S34" s="100" t="n">
        <v>0</v>
      </c>
      <c r="T34" s="100" t="n"/>
      <c r="U34" s="100" t="n"/>
      <c r="V34" s="100" t="n">
        <v>1</v>
      </c>
      <c r="W34" s="100" t="n">
        <v>1</v>
      </c>
      <c r="X34" s="102" t="n">
        <v>0.23</v>
      </c>
      <c r="Y34" s="101" t="n">
        <v>5.62</v>
      </c>
      <c r="Z34" s="101" t="n">
        <v>17.55</v>
      </c>
      <c r="AA34" s="103">
        <f>IF(X34&lt;33,IF(Y34&gt;(1.1*X34),0,1),1)+IF(Y34&gt;(4*X34),-1,0)</f>
        <v/>
      </c>
      <c r="AB34" s="100" t="n">
        <v>0</v>
      </c>
      <c r="AC34" s="101">
        <f>IF(AB34&gt;9,1,0)+AB34/3+IF(AB34&gt;15,1,0)+IF(AB34&gt;20,1,0)</f>
        <v/>
      </c>
      <c r="AD34" s="101" t="n">
        <v>10</v>
      </c>
      <c r="AE34" s="101" t="n">
        <v>6</v>
      </c>
      <c r="AF34" s="101" t="n">
        <v>12.5</v>
      </c>
      <c r="AG34" s="101">
        <f>IF(G34&lt;0,0,1.2)+IF(G34&lt;14,0,0.9)+IF(P34&lt;0,0.7,0)+IF(P34&lt;6.5,1,0)+IF(P34&lt;23,1,0)+IF(R34&gt;80,0,1)+S34+IF(AD34&lt;20,0,1)+IF(AE34&lt;14,0,1)+IF(AF34&lt;26,0,1)</f>
        <v/>
      </c>
      <c r="AH34" s="101">
        <f>AG34+IF(AG34&gt;6,1,0)+IF(X34&lt;17,0,1)+IF(Y34&lt;11,0,1)+IF(Z34&lt;1.35,0,1)+AC34+AA34</f>
        <v/>
      </c>
      <c r="AI34" s="101" t="n">
        <v>11</v>
      </c>
      <c r="AJ34" s="104">
        <f>IF(AI34&gt;12.8,IF(AI34&gt;15.8,0.95,0.98),1)</f>
        <v/>
      </c>
      <c r="AK34" s="101">
        <f>((AG34*2.6+AH34)*AJ34*AQ34)</f>
        <v/>
      </c>
      <c r="AL34" s="50">
        <f>D34</f>
        <v/>
      </c>
      <c r="AM34" s="97">
        <f>B34</f>
        <v/>
      </c>
      <c r="AN34" s="100" t="n"/>
      <c r="AO34" s="99">
        <f>IF(AK34&gt;23.75,IF(Z34&lt;140,1,0),0)</f>
        <v/>
      </c>
      <c r="AP34" s="100">
        <f>IF(AK34&gt;23.2,IF(Y34&lt;300,IF(Y34&lt;35,IF(Y34&lt;8,3,2),1),0),0)</f>
        <v/>
      </c>
      <c r="AQ34" s="100" t="n">
        <v>1</v>
      </c>
      <c r="AR34" s="100">
        <f>IF(AO34=1,IF(AO34=AL34,1,0),5)</f>
        <v/>
      </c>
      <c r="AS34" s="101" t="n">
        <v>1</v>
      </c>
      <c r="AT34" s="101" t="n">
        <v>1</v>
      </c>
      <c r="AU34" s="101" t="n">
        <v>1</v>
      </c>
      <c r="AV34" s="101">
        <f>(AT34+AU34)/2</f>
        <v/>
      </c>
      <c r="AW34" s="101" t="n">
        <v>1</v>
      </c>
      <c r="AX34" s="101" t="n"/>
      <c r="AY34" s="52">
        <f>(100*(AU34-AS34)/AS34)</f>
        <v/>
      </c>
      <c r="AZ34" s="52">
        <f>IF(AY34&lt;-50,-4,IF(AY34&lt;-20,-2,IF(AY34&lt;0,-1,IF(AY34=0,0,IF(AY34&lt;10,1.5,IF(AY34&lt;20,2,IF(AY34&gt;19,2.5,2.5)))))))</f>
        <v/>
      </c>
    </row>
    <row r="35" ht="12.75" customHeight="1">
      <c r="B35" s="119" t="inlineStr">
        <is>
          <t>Ganesh Consumer Products</t>
        </is>
      </c>
      <c r="C35" s="50" t="n">
        <v>2025</v>
      </c>
      <c r="D35" s="50" t="n">
        <v>0</v>
      </c>
      <c r="E35" s="100" t="n">
        <v>50</v>
      </c>
      <c r="F35" s="100" t="n">
        <v>224.13</v>
      </c>
      <c r="G35" s="100">
        <f>100*(F35-E35)/F35</f>
        <v/>
      </c>
      <c r="H35" s="100" t="n">
        <v>341.74</v>
      </c>
      <c r="I35" s="100" t="n">
        <v>35.4</v>
      </c>
      <c r="J35" s="100" t="n"/>
      <c r="K35" s="101" t="n">
        <v>8.800000000000001</v>
      </c>
      <c r="L35" s="101" t="n"/>
      <c r="M35" s="100" t="n">
        <v>73.2</v>
      </c>
      <c r="N35" s="100" t="n"/>
      <c r="O35" s="100" t="n">
        <v>850.5</v>
      </c>
      <c r="P35" s="100">
        <f>O35/I35</f>
        <v/>
      </c>
      <c r="Q35" s="100" t="n">
        <v>36.7</v>
      </c>
      <c r="R35" s="100" t="n">
        <v>36.7</v>
      </c>
      <c r="S35" s="100" t="n">
        <v>0</v>
      </c>
      <c r="T35" s="100" t="n"/>
      <c r="U35" s="100" t="n"/>
      <c r="V35" s="100" t="n">
        <v>1</v>
      </c>
      <c r="W35" s="100" t="n">
        <v>1</v>
      </c>
      <c r="X35" s="102" t="n">
        <v>4.03</v>
      </c>
      <c r="Y35" s="101" t="n">
        <v>4.41</v>
      </c>
      <c r="Z35" s="101" t="n">
        <v>1.17</v>
      </c>
      <c r="AA35" s="103">
        <f>IF(X35&lt;33,IF(Y35&gt;(1.1*X35),0,1),1)+IF(Y35&gt;(4*X35),-1,0)</f>
        <v/>
      </c>
      <c r="AB35" s="100" t="n">
        <v>0</v>
      </c>
      <c r="AC35" s="101">
        <f>IF(AB35&gt;9,1,0)+AB35/3+IF(AB35&gt;15,1,0)+IF(AB35&gt;20,1,0)</f>
        <v/>
      </c>
      <c r="AD35" s="101" t="n">
        <v>31.1</v>
      </c>
      <c r="AE35" s="101" t="n">
        <v>12</v>
      </c>
      <c r="AF35" s="101" t="n">
        <v>2.5</v>
      </c>
      <c r="AG35" s="101">
        <f>IF(G35&lt;0,0,1.2)+IF(G35&lt;14,0,0.9)+IF(P35&lt;0,0.7,0)+IF(P35&lt;6.5,1,0)+IF(P35&lt;23,1,0)+IF(R35&gt;80,0,1)+S35+IF(AD35&lt;20,0,1)+IF(AE35&lt;14,0,1)+IF(AF35&lt;26,0,1)</f>
        <v/>
      </c>
      <c r="AH35" s="101">
        <f>AG35+IF(AG35&gt;6,1,0)+IF(X35&lt;17,0,1)+IF(Y35&lt;11,0,1)+IF(Z35&lt;1.35,0,1)+AC35+AA35</f>
        <v/>
      </c>
      <c r="AI35" s="101" t="n">
        <v>11</v>
      </c>
      <c r="AJ35" s="104">
        <f>IF(AI35&gt;12.8,IF(AI35&gt;15.8,0.95,0.98),1)</f>
        <v/>
      </c>
      <c r="AK35" s="101">
        <f>((AG35*2.6+AH35)*AJ35*AQ35)</f>
        <v/>
      </c>
      <c r="AL35" s="50">
        <f>D35</f>
        <v/>
      </c>
      <c r="AM35" s="97">
        <f>B35</f>
        <v/>
      </c>
      <c r="AN35" s="100" t="n"/>
      <c r="AO35" s="99">
        <f>IF(AK35&gt;23.75,IF(Z35&lt;140,1,0),0)</f>
        <v/>
      </c>
      <c r="AP35" s="100">
        <f>IF(AK35&gt;23.2,IF(Y35&lt;300,IF(Y35&lt;35,IF(Y35&lt;8,3,2),1),0),0)</f>
        <v/>
      </c>
      <c r="AQ35" s="100" t="n">
        <v>1</v>
      </c>
      <c r="AR35" s="100">
        <f>IF(AO35=1,IF(AO35=AL35,1,0),5)</f>
        <v/>
      </c>
      <c r="AS35" s="101" t="n">
        <v>1</v>
      </c>
      <c r="AT35" s="101" t="n">
        <v>1</v>
      </c>
      <c r="AU35" s="101" t="n">
        <v>1</v>
      </c>
      <c r="AV35" s="101">
        <f>(AT35+AU35)/2</f>
        <v/>
      </c>
      <c r="AW35" s="101" t="n">
        <v>1</v>
      </c>
      <c r="AX35" s="101" t="n"/>
      <c r="AY35" s="52">
        <f>(100*(AU35-AS35)/AS35)</f>
        <v/>
      </c>
      <c r="AZ35" s="52">
        <f>IF(AY35&lt;-50,-4,IF(AY35&lt;-20,-2,IF(AY35&lt;0,-1,IF(AY35=0,0,IF(AY35&lt;10,1.5,IF(AY35&lt;20,2,IF(AY35&gt;19,2.5,2.5)))))))</f>
        <v/>
      </c>
    </row>
    <row r="36" ht="12.75" customHeight="1">
      <c r="B36" s="119" t="inlineStr">
        <is>
          <t>Lami India Finance</t>
        </is>
      </c>
      <c r="C36" s="50" t="n">
        <v>2025</v>
      </c>
      <c r="D36" s="50" t="n">
        <v>0</v>
      </c>
      <c r="E36" s="100" t="n">
        <v>1137.06</v>
      </c>
      <c r="F36" s="100" t="n">
        <v>257.47</v>
      </c>
      <c r="G36" s="100">
        <f>100*(F36-E36)/F36</f>
        <v/>
      </c>
      <c r="H36" s="100" t="n">
        <v>1413</v>
      </c>
      <c r="I36" s="100" t="n">
        <v>35.91</v>
      </c>
      <c r="J36" s="100" t="n"/>
      <c r="K36" s="101" t="n">
        <v>8.779999999999999</v>
      </c>
      <c r="L36" s="101" t="n"/>
      <c r="M36" s="100" t="n">
        <v>163.88</v>
      </c>
      <c r="N36" s="100" t="n"/>
      <c r="O36" s="100" t="n">
        <v>245.71</v>
      </c>
      <c r="P36" s="100">
        <f>O36/I36</f>
        <v/>
      </c>
      <c r="Q36" s="100" t="n">
        <v>18</v>
      </c>
      <c r="R36" s="100" t="n">
        <v>18</v>
      </c>
      <c r="S36" s="100" t="n">
        <v>0</v>
      </c>
      <c r="T36" s="100" t="n"/>
      <c r="U36" s="100" t="n"/>
      <c r="V36" s="100" t="n">
        <v>1</v>
      </c>
      <c r="W36" s="100" t="n">
        <v>1</v>
      </c>
      <c r="X36" s="102" t="n">
        <v>1.2</v>
      </c>
      <c r="Y36" s="101" t="n">
        <v>1.83</v>
      </c>
      <c r="Z36" s="101" t="n">
        <v>2.2</v>
      </c>
      <c r="AA36" s="103">
        <f>IF(X36&lt;33,IF(Y36&gt;(1.1*X36),0,1),1)+IF(Y36&gt;(4*X36),-1,0)</f>
        <v/>
      </c>
      <c r="AB36" s="100" t="n">
        <v>0</v>
      </c>
      <c r="AC36" s="101">
        <f>IF(AB36&gt;9,1,0)+AB36/3+IF(AB36&gt;15,1,0)+IF(AB36&gt;20,1,0)</f>
        <v/>
      </c>
      <c r="AD36" s="101" t="n">
        <v>58.75</v>
      </c>
      <c r="AE36" s="101" t="n">
        <v>41.95</v>
      </c>
      <c r="AF36" s="101" t="n">
        <v>27.95</v>
      </c>
      <c r="AG36" s="101">
        <f>IF(G36&lt;0,0,1.2)+IF(G36&lt;14,0,0.9)+IF(P36&lt;0,0.7,0)+IF(P36&lt;6.5,1,0)+IF(P36&lt;23,1,0)+IF(R36&gt;80,0,1)+S36+IF(AD36&lt;20,0,1)+IF(AE36&lt;14,0,1)+IF(AF36&lt;26,0,1)</f>
        <v/>
      </c>
      <c r="AH36" s="101">
        <f>AG36+IF(AG36&gt;6,1,0)+IF(X36&lt;17,0,1)+IF(Y36&lt;11,0,1)+IF(Z36&lt;1.35,0,1)+AC36+AA36</f>
        <v/>
      </c>
      <c r="AI36" s="101" t="n">
        <v>11</v>
      </c>
      <c r="AJ36" s="104">
        <f>IF(AI36&gt;12.8,IF(AI36&gt;15.8,0.95,0.98),1)</f>
        <v/>
      </c>
      <c r="AK36" s="101">
        <f>((AG36*2.6+AH36)*AJ36*AQ36)</f>
        <v/>
      </c>
      <c r="AL36" s="50">
        <f>D36</f>
        <v/>
      </c>
      <c r="AM36" s="97">
        <f>B36</f>
        <v/>
      </c>
      <c r="AN36" s="100" t="n"/>
      <c r="AO36" s="99">
        <f>IF(AK36&gt;23.75,IF(Z36&lt;140,1,0),0)</f>
        <v/>
      </c>
      <c r="AP36" s="100">
        <f>IF(AK36&gt;23.2,IF(Y36&lt;300,IF(Y36&lt;35,IF(Y36&lt;8,3,2),1),0),0)</f>
        <v/>
      </c>
      <c r="AQ36" s="100" t="n">
        <v>1</v>
      </c>
      <c r="AR36" s="100">
        <f>IF(AO36=1,IF(AO36=AL36,1,0),5)</f>
        <v/>
      </c>
      <c r="AS36" s="101" t="n">
        <v>1</v>
      </c>
      <c r="AT36" s="101" t="n">
        <v>1</v>
      </c>
      <c r="AU36" s="101" t="n">
        <v>1</v>
      </c>
      <c r="AV36" s="101">
        <f>(AT36+AU36)/2</f>
        <v/>
      </c>
      <c r="AW36" s="101" t="n">
        <v>1</v>
      </c>
      <c r="AX36" s="101" t="n"/>
      <c r="AY36" s="52">
        <f>(100*(AU36-AS36)/AS36)</f>
        <v/>
      </c>
      <c r="AZ36" s="52">
        <f>IF(AY36&lt;-50,-4,IF(AY36&lt;-20,-2,IF(AY36&lt;0,-1,IF(AY36=0,0,IF(AY36&lt;10,1.5,IF(AY36&lt;20,2,IF(AY36&gt;19,2.5,2.5)))))))</f>
        <v/>
      </c>
    </row>
    <row r="37" ht="12.75" customHeight="1">
      <c r="B37" s="119" t="inlineStr">
        <is>
          <t>Brigade Hotel Ventures</t>
        </is>
      </c>
      <c r="C37" s="50" t="n">
        <v>2025</v>
      </c>
      <c r="D37" s="50" t="n">
        <v>0</v>
      </c>
      <c r="E37" s="100" t="n">
        <v>781.2</v>
      </c>
      <c r="F37" s="100" t="n">
        <v>86.90000000000001</v>
      </c>
      <c r="G37" s="100">
        <f>100*(F37-E37)/F37</f>
        <v/>
      </c>
      <c r="H37" s="100" t="n">
        <v>893.7</v>
      </c>
      <c r="I37" s="100" t="n">
        <v>23.7</v>
      </c>
      <c r="J37" s="100" t="n"/>
      <c r="K37" s="101" t="n">
        <v>0.7</v>
      </c>
      <c r="L37" s="101" t="n"/>
      <c r="M37" s="100" t="n">
        <v>164.4</v>
      </c>
      <c r="N37" s="100" t="n"/>
      <c r="O37" s="100" t="n">
        <v>468.3</v>
      </c>
      <c r="P37" s="100">
        <f>O37/I37</f>
        <v/>
      </c>
      <c r="Q37" s="100" t="n">
        <v>125</v>
      </c>
      <c r="R37" s="100" t="n">
        <v>125</v>
      </c>
      <c r="S37" s="100" t="n">
        <v>0</v>
      </c>
      <c r="T37" s="100" t="n"/>
      <c r="U37" s="100" t="n"/>
      <c r="V37" s="100" t="n">
        <v>1</v>
      </c>
      <c r="W37" s="100" t="n">
        <v>1</v>
      </c>
      <c r="X37" s="102" t="n">
        <v>5.74</v>
      </c>
      <c r="Y37" s="101" t="n">
        <v>2.03</v>
      </c>
      <c r="Z37" s="101" t="n">
        <v>6.83</v>
      </c>
      <c r="AA37" s="103">
        <f>IF(X37&lt;33,IF(Y37&gt;(1.1*X37),0,1),1)+IF(Y37&gt;(4*X37),-1,0)</f>
        <v/>
      </c>
      <c r="AB37" s="100" t="n">
        <v>0</v>
      </c>
      <c r="AC37" s="101">
        <f>IF(AB37&gt;9,1,0)+AB37/3+IF(AB37&gt;15,1,0)+IF(AB37&gt;20,1,0)</f>
        <v/>
      </c>
      <c r="AD37" s="101" t="n">
        <v>-23.8</v>
      </c>
      <c r="AE37" s="101" t="n">
        <v>16.6</v>
      </c>
      <c r="AF37" s="101" t="n">
        <v>29.6</v>
      </c>
      <c r="AG37" s="101">
        <f>IF(G37&lt;0,0,1.2)+IF(G37&lt;14,0,0.9)+IF(P37&lt;0,0.7,0)+IF(P37&lt;6.5,1,0)+IF(P37&lt;23,1,0)+IF(R37&gt;80,0,1)+S37+IF(AD37&lt;20,0,1)+IF(AE37&lt;14,0,1)+IF(AF37&lt;26,0,1)</f>
        <v/>
      </c>
      <c r="AH37" s="101">
        <f>AG37+IF(AG37&gt;6,1,0)+IF(X37&lt;17,0,1)+IF(Y37&lt;11,0,1)+IF(Z37&lt;1.35,0,1)+AC37+AA37</f>
        <v/>
      </c>
      <c r="AI37" s="101" t="n">
        <v>11</v>
      </c>
      <c r="AJ37" s="104">
        <f>IF(AI37&gt;12.8,IF(AI37&gt;15.8,0.95,0.98),1)</f>
        <v/>
      </c>
      <c r="AK37" s="101">
        <f>((AG37*2.6+AH37)*AJ37*AQ37)</f>
        <v/>
      </c>
      <c r="AL37" s="50">
        <f>D37</f>
        <v/>
      </c>
      <c r="AM37" s="97">
        <f>B37</f>
        <v/>
      </c>
      <c r="AN37" s="100" t="n"/>
      <c r="AO37" s="99">
        <f>IF(AK37&gt;23.75,IF(Z37&lt;140,1,0),0)</f>
        <v/>
      </c>
      <c r="AP37" s="100">
        <f>IF(AK37&gt;23.2,IF(Y37&lt;300,IF(Y37&lt;35,IF(Y37&lt;8,3,2),1),0),0)</f>
        <v/>
      </c>
      <c r="AQ37" s="100" t="n">
        <v>1</v>
      </c>
      <c r="AR37" s="100">
        <f>IF(AO37=1,IF(AO37=AL37,1,0),5)</f>
        <v/>
      </c>
      <c r="AS37" s="101" t="n">
        <v>1</v>
      </c>
      <c r="AT37" s="101" t="n">
        <v>1</v>
      </c>
      <c r="AU37" s="101" t="n">
        <v>1</v>
      </c>
      <c r="AV37" s="101">
        <f>(AT37+AU37)/2</f>
        <v/>
      </c>
      <c r="AW37" s="101" t="n">
        <v>1</v>
      </c>
      <c r="AX37" s="101" t="n"/>
      <c r="AY37" s="52">
        <f>(100*(AU37-AS37)/AS37)</f>
        <v/>
      </c>
      <c r="AZ37" s="52">
        <f>IF(AY37&lt;-50,-4,IF(AY37&lt;-20,-2,IF(AY37&lt;0,-1,IF(AY37=0,0,IF(AY37&lt;10,1.5,IF(AY37&lt;20,2,IF(AY37&gt;19,2.5,2.5)))))))</f>
        <v/>
      </c>
    </row>
    <row r="38" ht="12.75" customHeight="1">
      <c r="B38" s="119" t="inlineStr">
        <is>
          <t>Indiqube Spaces</t>
        </is>
      </c>
      <c r="C38" s="50" t="n">
        <v>2025</v>
      </c>
      <c r="D38" s="50" t="n">
        <v>0</v>
      </c>
      <c r="E38" s="100" t="n">
        <v>343.96</v>
      </c>
      <c r="F38" s="100" t="n">
        <v>1</v>
      </c>
      <c r="G38" s="100">
        <f>100*(F38-E38)/F38</f>
        <v/>
      </c>
      <c r="H38" s="100" t="n">
        <v>4685.12</v>
      </c>
      <c r="I38" s="100" t="n">
        <v>-139.62</v>
      </c>
      <c r="J38" s="100" t="n"/>
      <c r="K38" s="101" t="n">
        <v>-7.65</v>
      </c>
      <c r="L38" s="101" t="n"/>
      <c r="M38" s="100" t="n">
        <v>660.1900000000001</v>
      </c>
      <c r="N38" s="100" t="n"/>
      <c r="O38" s="100" t="n">
        <v>1102.93</v>
      </c>
      <c r="P38" s="100">
        <f>O38/I38</f>
        <v/>
      </c>
      <c r="Q38" s="100" t="n">
        <v>0</v>
      </c>
      <c r="R38" s="100" t="n">
        <v>0</v>
      </c>
      <c r="S38" s="100" t="n">
        <v>0</v>
      </c>
      <c r="T38" s="100" t="n"/>
      <c r="U38" s="100" t="n"/>
      <c r="V38" s="100" t="n">
        <v>1</v>
      </c>
      <c r="W38" s="100" t="n">
        <v>1</v>
      </c>
      <c r="X38" s="102" t="n">
        <v>1.49</v>
      </c>
      <c r="Y38" s="101" t="n">
        <v>1.95</v>
      </c>
      <c r="Z38" s="101" t="n">
        <v>7.53</v>
      </c>
      <c r="AA38" s="103">
        <f>IF(X38&lt;33,IF(Y38&gt;(1.1*X38),0,1),1)+IF(Y38&gt;(4*X38),-1,0)</f>
        <v/>
      </c>
      <c r="AB38" s="100" t="n">
        <v>0</v>
      </c>
      <c r="AC38" s="101">
        <f>IF(AB38&gt;9,1,0)+AB38/3+IF(AB38&gt;15,1,0)+IF(AB38&gt;20,1,0)</f>
        <v/>
      </c>
      <c r="AD38" s="101" t="n">
        <v>59</v>
      </c>
      <c r="AE38" s="101" t="n">
        <v>27</v>
      </c>
      <c r="AF38" s="101" t="n">
        <v>-102</v>
      </c>
      <c r="AG38" s="101">
        <f>IF(G38&lt;0,0,1.2)+IF(G38&lt;14,0,0.9)+IF(P38&lt;0,0.7,0)+IF(P38&lt;6.5,1,0)+IF(P38&lt;23,1,0)+IF(R38&gt;80,0,1)+S38+IF(AD38&lt;20,0,1)+IF(AE38&lt;14,0,1)+IF(AF38&lt;26,0,1)</f>
        <v/>
      </c>
      <c r="AH38" s="101">
        <f>AG38+IF(AG38&gt;6,1,0)+IF(X38&lt;17,0,1)+IF(Y38&lt;11,0,1)+IF(Z38&lt;1.35,0,1)+AC38+AA38</f>
        <v/>
      </c>
      <c r="AI38" s="101" t="n">
        <v>11</v>
      </c>
      <c r="AJ38" s="104">
        <f>IF(AI38&gt;12.8,IF(AI38&gt;15.8,0.95,0.98),1)</f>
        <v/>
      </c>
      <c r="AK38" s="101">
        <f>((AG38*2.6+AH38)*AJ38*AQ38)</f>
        <v/>
      </c>
      <c r="AL38" s="50">
        <f>D38</f>
        <v/>
      </c>
      <c r="AM38" s="97">
        <f>B38</f>
        <v/>
      </c>
      <c r="AN38" s="100" t="n"/>
      <c r="AO38" s="99">
        <f>IF(AK38&gt;23.75,IF(Z38&lt;140,1,0),0)</f>
        <v/>
      </c>
      <c r="AP38" s="100">
        <f>IF(AK38&gt;23.2,IF(Y38&lt;300,IF(Y38&lt;35,IF(Y38&lt;8,3,2),1),0),0)</f>
        <v/>
      </c>
      <c r="AQ38" s="100" t="n">
        <v>1</v>
      </c>
      <c r="AR38" s="100">
        <f>IF(AO38=1,IF(AO38=AL38,1,0),5)</f>
        <v/>
      </c>
      <c r="AS38" s="101" t="n">
        <v>1</v>
      </c>
      <c r="AT38" s="101" t="n">
        <v>1</v>
      </c>
      <c r="AU38" s="101" t="n">
        <v>1</v>
      </c>
      <c r="AV38" s="101">
        <f>(AT38+AU38)/2</f>
        <v/>
      </c>
      <c r="AW38" s="101" t="n">
        <v>1</v>
      </c>
      <c r="AX38" s="101" t="n"/>
      <c r="AY38" s="52">
        <f>(100*(AU38-AS38)/AS38)</f>
        <v/>
      </c>
      <c r="AZ38" s="52">
        <f>IF(AY38&lt;-50,-4,IF(AY38&lt;-20,-2,IF(AY38&lt;0,-1,IF(AY38=0,0,IF(AY38&lt;10,1.5,IF(AY38&lt;20,2,IF(AY38&gt;19,2.5,2.5)))))))</f>
        <v/>
      </c>
    </row>
    <row r="39" ht="12.75" customHeight="1">
      <c r="B39" s="119" t="inlineStr">
        <is>
          <t>Arisinfra Solutions</t>
        </is>
      </c>
      <c r="C39" s="50" t="n">
        <v>2025</v>
      </c>
      <c r="D39" s="50" t="n">
        <v>0</v>
      </c>
      <c r="E39" s="100" t="n">
        <v>273.98</v>
      </c>
      <c r="F39" s="100" t="n">
        <v>141.6</v>
      </c>
      <c r="G39" s="100">
        <f>100*(F39-E39)/F39</f>
        <v/>
      </c>
      <c r="H39" s="100" t="n">
        <v>492.83</v>
      </c>
      <c r="I39" s="100" t="n">
        <v>-17.29</v>
      </c>
      <c r="J39" s="100" t="n"/>
      <c r="K39" s="101" t="n">
        <v>-5.3</v>
      </c>
      <c r="L39" s="101" t="n"/>
      <c r="M39" s="100" t="n">
        <v>38.72</v>
      </c>
      <c r="N39" s="100" t="n"/>
      <c r="O39" s="100" t="n">
        <v>702.35</v>
      </c>
      <c r="P39" s="100">
        <f>O39/I39</f>
        <v/>
      </c>
      <c r="Q39" s="100" t="n">
        <v>-41.89</v>
      </c>
      <c r="R39" s="100" t="n">
        <v>-41.89</v>
      </c>
      <c r="S39" s="100" t="n">
        <v>0</v>
      </c>
      <c r="T39" s="100" t="n"/>
      <c r="U39" s="100" t="n"/>
      <c r="V39" s="100" t="n">
        <v>1</v>
      </c>
      <c r="W39" s="100" t="n">
        <v>1</v>
      </c>
      <c r="X39" s="102" t="n">
        <v>1.5</v>
      </c>
      <c r="Y39" s="101" t="n">
        <v>3.32</v>
      </c>
      <c r="Z39" s="101" t="n">
        <v>5.9</v>
      </c>
      <c r="AA39" s="103">
        <f>IF(X39&lt;33,IF(Y39&gt;(1.1*X39),0,1),1)+IF(Y39&gt;(4*X39),-1,0)</f>
        <v/>
      </c>
      <c r="AB39" s="100" t="n">
        <v>0</v>
      </c>
      <c r="AC39" s="101">
        <f>IF(AB39&gt;9,1,0)+AB39/3+IF(AB39&gt;15,1,0)+IF(AB39&gt;20,1,0)</f>
        <v/>
      </c>
      <c r="AD39" s="101" t="n">
        <v>-12</v>
      </c>
      <c r="AE39" s="101" t="n">
        <v>-7</v>
      </c>
      <c r="AF39" s="101" t="n">
        <v>35</v>
      </c>
      <c r="AG39" s="101">
        <f>IF(G39&lt;0,0,1.2)+IF(G39&lt;14,0,0.9)+IF(P39&lt;0,0.7,0)+IF(P39&lt;6.5,1,0)+IF(P39&lt;23,1,0)+IF(R39&gt;80,0,1)+S39+IF(AD39&lt;20,0,1)+IF(AE39&lt;14,0,1)+IF(AF39&lt;26,0,1)</f>
        <v/>
      </c>
      <c r="AH39" s="101">
        <f>AG39+IF(AG39&gt;6,1,0)+IF(X39&lt;17,0,1)+IF(Y39&lt;11,0,1)+IF(Z39&lt;1.35,0,1)+AC39+AA39</f>
        <v/>
      </c>
      <c r="AI39" s="101" t="n">
        <v>11</v>
      </c>
      <c r="AJ39" s="104">
        <f>IF(AI39&gt;12.8,IF(AI39&gt;15.8,0.95,0.98),1)</f>
        <v/>
      </c>
      <c r="AK39" s="101">
        <f>((AG39*2.6+AH39)*AJ39*AQ39)</f>
        <v/>
      </c>
      <c r="AL39" s="50">
        <f>D39</f>
        <v/>
      </c>
      <c r="AM39" s="97">
        <f>B39</f>
        <v/>
      </c>
      <c r="AN39" s="100" t="n"/>
      <c r="AO39" s="99">
        <f>IF(AK39&gt;23.75,IF(Z39&lt;140,1,0),0)</f>
        <v/>
      </c>
      <c r="AP39" s="100">
        <f>IF(AK39&gt;23.2,IF(Y39&lt;300,IF(Y39&lt;35,IF(Y39&lt;8,3,2),1),0),0)</f>
        <v/>
      </c>
      <c r="AQ39" s="100" t="n">
        <v>1</v>
      </c>
      <c r="AR39" s="100">
        <f>IF(AO39=1,IF(AO39=AL39,1,0),5)</f>
        <v/>
      </c>
      <c r="AS39" s="101" t="n">
        <v>1</v>
      </c>
      <c r="AT39" s="101" t="n">
        <v>1</v>
      </c>
      <c r="AU39" s="101" t="n">
        <v>1</v>
      </c>
      <c r="AV39" s="101">
        <f>(AT39+AU39)/2</f>
        <v/>
      </c>
      <c r="AW39" s="101" t="n">
        <v>1</v>
      </c>
      <c r="AX39" s="101" t="n"/>
      <c r="AY39" s="52">
        <f>(100*(AU39-AS39)/AS39)</f>
        <v/>
      </c>
      <c r="AZ39" s="52">
        <f>IF(AY39&lt;-50,-4,IF(AY39&lt;-20,-2,IF(AY39&lt;0,-1,IF(AY39=0,0,IF(AY39&lt;10,1.5,IF(AY39&lt;20,2,IF(AY39&gt;19,2.5,2.5)))))))</f>
        <v/>
      </c>
    </row>
    <row r="40" ht="12.75" customHeight="1">
      <c r="B40" s="120" t="inlineStr">
        <is>
          <t>Entero Healthcare Solutions</t>
        </is>
      </c>
      <c r="C40" s="50" t="n">
        <v>2024</v>
      </c>
      <c r="D40" s="50" t="n">
        <v>0</v>
      </c>
      <c r="E40" s="100" t="n">
        <v>0</v>
      </c>
      <c r="F40" s="100" t="n">
        <v>1626.41</v>
      </c>
      <c r="G40" s="100">
        <f>100*(F40-E40)/F40</f>
        <v/>
      </c>
      <c r="H40" s="100" t="n">
        <v>1768.58</v>
      </c>
      <c r="I40" s="100" t="n">
        <v>39.8</v>
      </c>
      <c r="J40" s="100" t="n"/>
      <c r="K40" s="101" t="n">
        <v>9.699999999999999</v>
      </c>
      <c r="L40" s="101" t="n"/>
      <c r="M40" s="100" t="n">
        <v>111.78</v>
      </c>
      <c r="N40" s="100" t="n"/>
      <c r="O40" s="100" t="n">
        <v>3922.31</v>
      </c>
      <c r="P40" s="100">
        <f>O40/I40</f>
        <v/>
      </c>
      <c r="Q40" s="100" t="n">
        <v>129.75</v>
      </c>
      <c r="R40" s="100" t="n">
        <v>129.75</v>
      </c>
      <c r="S40" s="100" t="n">
        <v>0</v>
      </c>
      <c r="T40" s="100" t="n"/>
      <c r="U40" s="100" t="n"/>
      <c r="V40" s="100" t="n">
        <v>1</v>
      </c>
      <c r="W40" s="100" t="n">
        <v>1</v>
      </c>
      <c r="X40" s="102" t="n">
        <v>2.28</v>
      </c>
      <c r="Y40" s="101" t="n">
        <v>0.22</v>
      </c>
      <c r="Z40" s="101" t="n">
        <v>1.33</v>
      </c>
      <c r="AA40" s="103">
        <f>IF(X40&lt;33,IF(Y40&gt;(1.1*X40),0,1),1)+IF(Y40&gt;(4*X40),-1,0)</f>
        <v/>
      </c>
      <c r="AB40" s="100" t="n">
        <v>0</v>
      </c>
      <c r="AC40" s="101">
        <f>IF(AB40&gt;9,1,0)+AB40/3+IF(AB40&gt;15,1,0)+IF(AB40&gt;20,1,0)</f>
        <v/>
      </c>
      <c r="AD40" s="101" t="n">
        <v>62</v>
      </c>
      <c r="AE40" s="101" t="n">
        <v>19</v>
      </c>
      <c r="AF40" s="101" t="n">
        <v>0</v>
      </c>
      <c r="AG40" s="101">
        <f>IF(G40&lt;0,0,1.2)+IF(G40&lt;14,0,0.9)+IF(P40&lt;0,0.7,0)+IF(P40&lt;6.5,1,0)+IF(P40&lt;23,1,0)+IF(R40&gt;80,0,1)+S40+IF(AD40&lt;20,0,1)+IF(AE40&lt;14,0,1)+IF(AF40&lt;26,0,1)</f>
        <v/>
      </c>
      <c r="AH40" s="101">
        <f>AG40+IF(AG40&gt;6,1,0)+IF(X40&lt;17,0,1)+IF(Y40&lt;11,0,1)+IF(Z40&lt;1.35,0,1)+AC40+AA40</f>
        <v/>
      </c>
      <c r="AI40" s="101" t="n">
        <v>11</v>
      </c>
      <c r="AJ40" s="104">
        <f>IF(AI40&gt;12.8,IF(AI40&gt;15.8,0.95,0.98),1)</f>
        <v/>
      </c>
      <c r="AK40" s="101">
        <f>((AG40*2.6+AH40)*AJ40*AQ40)</f>
        <v/>
      </c>
      <c r="AL40" s="50">
        <f>D40</f>
        <v/>
      </c>
      <c r="AM40" s="97">
        <f>B40</f>
        <v/>
      </c>
      <c r="AN40" s="100" t="n"/>
      <c r="AO40" s="99">
        <f>IF(AK40&gt;23.75,IF(Z40&lt;140,1,0),0)</f>
        <v/>
      </c>
      <c r="AP40" s="100">
        <f>IF(AK40&gt;23.2,IF(Y40&lt;300,IF(Y40&lt;35,IF(Y40&lt;8,3,2),1),0),0)</f>
        <v/>
      </c>
      <c r="AQ40" s="100" t="n">
        <v>1</v>
      </c>
      <c r="AR40" s="100">
        <f>IF(AO40=1,IF(AO40=AL40,1,0),5)</f>
        <v/>
      </c>
      <c r="AS40" s="101" t="n">
        <v>1</v>
      </c>
      <c r="AT40" s="101" t="n">
        <v>1</v>
      </c>
      <c r="AU40" s="101" t="n">
        <v>1</v>
      </c>
      <c r="AV40" s="101">
        <f>(AT40+AU40)/2</f>
        <v/>
      </c>
      <c r="AW40" s="101" t="n">
        <v>1</v>
      </c>
      <c r="AX40" s="101" t="n"/>
      <c r="AY40" s="52">
        <f>(100*(AU40-AS40)/AS40)</f>
        <v/>
      </c>
      <c r="AZ40" s="52">
        <f>IF(AY40&lt;-50,-4,IF(AY40&lt;-20,-2,IF(AY40&lt;0,-1,IF(AY40=0,0,IF(AY40&lt;10,1.5,IF(AY40&lt;20,2,IF(AY40&gt;19,2.5,2.5)))))))</f>
        <v/>
      </c>
    </row>
    <row r="41" ht="12.75" customHeight="1">
      <c r="B41" s="120" t="inlineStr">
        <is>
          <t>Deepak Builders Engineers</t>
        </is>
      </c>
      <c r="C41" s="50" t="n">
        <v>2024</v>
      </c>
      <c r="D41" s="50" t="n">
        <v>0</v>
      </c>
      <c r="E41" s="100" t="n">
        <v>1530</v>
      </c>
      <c r="F41" s="100" t="n">
        <v>1601</v>
      </c>
      <c r="G41" s="100">
        <f>100*(F41-E41)/F41</f>
        <v/>
      </c>
      <c r="H41" s="100" t="n">
        <v>5587</v>
      </c>
      <c r="I41" s="100" t="n">
        <v>60.41</v>
      </c>
      <c r="J41" s="100" t="n"/>
      <c r="K41" s="101" t="n">
        <v>16.84</v>
      </c>
      <c r="L41" s="101" t="n"/>
      <c r="M41" s="100" t="n">
        <v>117.5</v>
      </c>
      <c r="N41" s="100" t="n"/>
      <c r="O41" s="100" t="n">
        <v>511.4</v>
      </c>
      <c r="P41" s="100">
        <f>O41/I41</f>
        <v/>
      </c>
      <c r="Q41" s="100" t="n">
        <v>12.05</v>
      </c>
      <c r="R41" s="100" t="n">
        <v>12.05</v>
      </c>
      <c r="S41" s="100" t="n">
        <v>-0.9</v>
      </c>
      <c r="T41" s="100" t="n"/>
      <c r="U41" s="100" t="n"/>
      <c r="V41" s="100" t="n">
        <v>1</v>
      </c>
      <c r="W41" s="100" t="n">
        <v>1</v>
      </c>
      <c r="X41" s="102" t="n">
        <v>13.91</v>
      </c>
      <c r="Y41" s="101" t="n">
        <v>82.47</v>
      </c>
      <c r="Z41" s="101" t="n">
        <v>39.79</v>
      </c>
      <c r="AA41" s="103">
        <f>IF(X41&lt;33,IF(Y41&gt;(1.1*X41),0,1),1)+IF(Y41&gt;(4*X41),-1,0)</f>
        <v/>
      </c>
      <c r="AB41" s="100" t="n">
        <v>24</v>
      </c>
      <c r="AC41" s="101">
        <f>IF(AB41&gt;9,1,0)+AB41/3+IF(AB41&gt;15,1,0)+IF(AB41&gt;20,1,0)</f>
        <v/>
      </c>
      <c r="AD41" s="101" t="n">
        <v>182</v>
      </c>
      <c r="AE41" s="101" t="n">
        <v>18</v>
      </c>
      <c r="AF41" s="101" t="n">
        <v>59</v>
      </c>
      <c r="AG41" s="101">
        <f>IF(G41&lt;0,0,1.2)+IF(G41&lt;14,0,0.9)+IF(P41&lt;0,0.7,0)+IF(P41&lt;6.5,1,0)+IF(P41&lt;23,1,0)+IF(R41&gt;80,0,1)+S41+IF(AD41&lt;20,0,1)+IF(AE41&lt;14,0,1)+IF(AF41&lt;26,0,1)</f>
        <v/>
      </c>
      <c r="AH41" s="101">
        <f>AG41+IF(AG41&gt;6,1,0)+IF(X41&lt;17,0,1)+IF(Y41&lt;11,0,1)+IF(Z41&lt;1.35,0,1)+AC41+AA41</f>
        <v/>
      </c>
      <c r="AI41" s="101" t="n">
        <v>11</v>
      </c>
      <c r="AJ41" s="104">
        <f>IF(AI41&gt;12.8,IF(AI41&gt;15.8,0.95,0.98),1)</f>
        <v/>
      </c>
      <c r="AK41" s="101">
        <f>((AG41*2.6+AH41)*AJ41*AQ41)</f>
        <v/>
      </c>
      <c r="AL41" s="50">
        <f>D41</f>
        <v/>
      </c>
      <c r="AM41" s="97">
        <f>B41</f>
        <v/>
      </c>
      <c r="AN41" s="100" t="n"/>
      <c r="AO41" s="99">
        <f>IF(AK41&gt;23.75,IF(Z41&lt;140,1,0),0)</f>
        <v/>
      </c>
      <c r="AP41" s="100">
        <f>IF(AK41&gt;23.2,IF(Y41&lt;300,IF(Y41&lt;35,IF(Y41&lt;8,3,2),1),0),0)</f>
        <v/>
      </c>
      <c r="AQ41" s="100" t="n">
        <v>1</v>
      </c>
      <c r="AR41" s="100">
        <f>IF(AO41=1,IF(AO41=AL41,1,0),5)</f>
        <v/>
      </c>
      <c r="AS41" s="101" t="n">
        <v>1</v>
      </c>
      <c r="AT41" s="101" t="n">
        <v>1</v>
      </c>
      <c r="AU41" s="101" t="n">
        <v>1</v>
      </c>
      <c r="AV41" s="101">
        <f>(AT41+AU41)/2</f>
        <v/>
      </c>
      <c r="AW41" s="101" t="n">
        <v>1</v>
      </c>
      <c r="AX41" s="101" t="n"/>
      <c r="AY41" s="52">
        <f>(100*(AU41-AS41)/AS41)</f>
        <v/>
      </c>
      <c r="AZ41" s="52">
        <f>IF(AY41&lt;-50,-4,IF(AY41&lt;-20,-2,IF(AY41&lt;0,-1,IF(AY41=0,0,IF(AY41&lt;10,1.5,IF(AY41&lt;20,2,IF(AY41&gt;19,2.5,2.5)))))))</f>
        <v/>
      </c>
    </row>
    <row r="42" ht="12.75" customHeight="1">
      <c r="B42" s="120" t="inlineStr">
        <is>
          <t>Mangal Electrical Industries</t>
        </is>
      </c>
      <c r="C42" s="50" t="n">
        <v>2025</v>
      </c>
      <c r="D42" s="50" t="n">
        <v>0</v>
      </c>
      <c r="E42" s="100" t="n">
        <v>92.12</v>
      </c>
      <c r="F42" s="100" t="n">
        <v>114.99</v>
      </c>
      <c r="G42" s="100">
        <f>100*(F42-E42)/F42</f>
        <v/>
      </c>
      <c r="H42" s="100" t="n">
        <v>246.54</v>
      </c>
      <c r="I42" s="100" t="n">
        <v>20.95</v>
      </c>
      <c r="J42" s="100" t="n"/>
      <c r="K42" s="101" t="n">
        <v>10.22</v>
      </c>
      <c r="L42" s="101" t="n"/>
      <c r="M42" s="100" t="n">
        <v>42.63</v>
      </c>
      <c r="N42" s="100" t="n"/>
      <c r="O42" s="100" t="n">
        <v>449.48</v>
      </c>
      <c r="P42" s="100">
        <f>O42/I42</f>
        <v/>
      </c>
      <c r="Q42" s="100" t="n">
        <v>54.89</v>
      </c>
      <c r="R42" s="100" t="n">
        <v>54.89</v>
      </c>
      <c r="S42" s="100" t="n">
        <v>0</v>
      </c>
      <c r="T42" s="100" t="n"/>
      <c r="U42" s="100" t="n"/>
      <c r="V42" s="100" t="n">
        <v>1</v>
      </c>
      <c r="W42" s="100" t="n">
        <v>1</v>
      </c>
      <c r="X42" s="102" t="n">
        <v>11.09</v>
      </c>
      <c r="Y42" s="101" t="n">
        <v>19.78</v>
      </c>
      <c r="Z42" s="101" t="n">
        <v>5.09</v>
      </c>
      <c r="AA42" s="103">
        <f>IF(X42&lt;33,IF(Y42&gt;(1.1*X42),0,1),1)+IF(Y42&gt;(4*X42),-1,0)</f>
        <v/>
      </c>
      <c r="AB42" s="100" t="n">
        <v>0</v>
      </c>
      <c r="AC42" s="101">
        <f>IF(AB42&gt;9,1,0)+AB42/3+IF(AB42&gt;15,1,0)+IF(AB42&gt;20,1,0)</f>
        <v/>
      </c>
      <c r="AD42" s="101" t="n">
        <v>-15.33</v>
      </c>
      <c r="AE42" s="101" t="n">
        <v>26.88</v>
      </c>
      <c r="AF42" s="101" t="n">
        <v>22.4</v>
      </c>
      <c r="AG42" s="101">
        <f>IF(G42&lt;0,0,1.2)+IF(G42&lt;14,0,0.9)+IF(P42&lt;0,0.7,0)+IF(P42&lt;6.5,1,0)+IF(P42&lt;23,1,0)+IF(R42&gt;80,0,1)+S42+IF(AD42&lt;20,0,1)+IF(AE42&lt;14,0,1)+IF(AF42&lt;26,0,1)</f>
        <v/>
      </c>
      <c r="AH42" s="101">
        <f>AG42+IF(AG42&gt;6,1,0)+IF(X42&lt;17,0,1)+IF(Y42&lt;11,0,1)+IF(Z42&lt;1.35,0,1)+AC42+AA42</f>
        <v/>
      </c>
      <c r="AI42" s="101" t="n">
        <v>11</v>
      </c>
      <c r="AJ42" s="104">
        <f>IF(AI42&gt;12.8,IF(AI42&gt;15.8,0.95,0.98),1)</f>
        <v/>
      </c>
      <c r="AK42" s="101">
        <f>((AG42*2.6+AH42)*AJ42*AQ42)</f>
        <v/>
      </c>
      <c r="AL42" s="50">
        <f>D42</f>
        <v/>
      </c>
      <c r="AM42" s="97">
        <f>B42</f>
        <v/>
      </c>
      <c r="AN42" s="100" t="n"/>
      <c r="AO42" s="99">
        <f>IF(AK42&gt;23.75,IF(Z42&lt;140,1,0),0)</f>
        <v/>
      </c>
      <c r="AP42" s="100">
        <f>IF(AK42&gt;23.2,IF(Y42&lt;300,IF(Y42&lt;35,IF(Y42&lt;8,3,2),1),0),0)</f>
        <v/>
      </c>
      <c r="AQ42" s="100" t="n">
        <v>1</v>
      </c>
      <c r="AR42" s="100">
        <f>IF(AO42=1,IF(AO42=AL42,1,0),5)</f>
        <v/>
      </c>
      <c r="AS42" s="101" t="n">
        <v>1</v>
      </c>
      <c r="AT42" s="101" t="n">
        <v>1</v>
      </c>
      <c r="AU42" s="101" t="n">
        <v>1</v>
      </c>
      <c r="AV42" s="101">
        <f>(AT42+AU42)/2</f>
        <v/>
      </c>
      <c r="AW42" s="101" t="n">
        <v>1</v>
      </c>
      <c r="AX42" s="101" t="n"/>
      <c r="AY42" s="52">
        <f>(100*(AU42-AS42)/AS42)</f>
        <v/>
      </c>
      <c r="AZ42" s="52">
        <f>IF(AY42&lt;-50,-4,IF(AY42&lt;-20,-2,IF(AY42&lt;0,-1,IF(AY42=0,0,IF(AY42&lt;10,1.5,IF(AY42&lt;20,2,IF(AY42&gt;19,2.5,2.5)))))))</f>
        <v/>
      </c>
    </row>
    <row r="43" ht="12.75" customHeight="1">
      <c r="B43" s="97" t="inlineStr">
        <is>
          <t>Canara Robeco Asset Management</t>
        </is>
      </c>
      <c r="C43" s="50" t="n">
        <v>2025</v>
      </c>
      <c r="D43" s="50" t="n">
        <v>1</v>
      </c>
      <c r="E43" s="100" t="n">
        <v>0</v>
      </c>
      <c r="F43" s="100" t="n">
        <v>600.0599999999999</v>
      </c>
      <c r="G43" s="100">
        <f>100*(F43-E43)/F43</f>
        <v/>
      </c>
      <c r="H43" s="100" t="n">
        <v>0</v>
      </c>
      <c r="I43" s="100" t="n">
        <v>190.7</v>
      </c>
      <c r="J43" s="100" t="n"/>
      <c r="K43" s="101" t="n">
        <v>9.56</v>
      </c>
      <c r="L43" s="101" t="n"/>
      <c r="M43" s="100" t="n">
        <v>264.08</v>
      </c>
      <c r="N43" s="100" t="n"/>
      <c r="O43" s="100" t="n">
        <v>404</v>
      </c>
      <c r="P43" s="100">
        <f>O43/I43</f>
        <v/>
      </c>
      <c r="Q43" s="100" t="n">
        <v>27.82</v>
      </c>
      <c r="R43" s="100" t="n">
        <v>27.82</v>
      </c>
      <c r="S43" s="100" t="n">
        <v>0.7</v>
      </c>
      <c r="T43" s="100" t="n"/>
      <c r="U43" s="100" t="n"/>
      <c r="V43" s="100" t="n">
        <v>1</v>
      </c>
      <c r="W43" s="100" t="n">
        <v>1</v>
      </c>
      <c r="X43" s="102" t="n">
        <v>25.92</v>
      </c>
      <c r="Y43" s="101" t="n">
        <v>6.45</v>
      </c>
      <c r="Z43" s="101" t="n">
        <v>1.91</v>
      </c>
      <c r="AA43" s="103">
        <f>IF(X43&lt;33,IF(Y43&gt;(1.1*X43),0,1),1)+IF(Y43&gt;(4*X43),-1,0)</f>
        <v/>
      </c>
      <c r="AB43" s="100" t="n">
        <v>7.5</v>
      </c>
      <c r="AC43" s="101">
        <f>IF(AB43&gt;9,1,0)+AB43/3+IF(AB43&gt;15,1,0)+IF(AB43&gt;20,1,0)</f>
        <v/>
      </c>
      <c r="AD43" s="101" t="n">
        <v>26.35</v>
      </c>
      <c r="AE43" s="101" t="n">
        <v>26.94</v>
      </c>
      <c r="AF43" s="101" t="n">
        <v>32.07</v>
      </c>
      <c r="AG43" s="101">
        <f>IF(G43&lt;0,0,1.2)+IF(G43&lt;14,0,0.9)+IF(P43&lt;0,0.7,0)+IF(P43&lt;6.5,1,0)+IF(P43&lt;23,1,0)+IF(R43&gt;80,0,1)+S43+IF(AD43&lt;20,0,1)+IF(AE43&lt;14,0,1)+IF(AF43&lt;26,0,1)</f>
        <v/>
      </c>
      <c r="AH43" s="101">
        <f>AG43+IF(AG43&gt;6,1,0)+IF(X43&lt;17,0,1)+IF(Y43&lt;11,0,1)+IF(Z43&lt;1.35,0,1)+AC43+AA43</f>
        <v/>
      </c>
      <c r="AI43" s="101" t="n">
        <v>11</v>
      </c>
      <c r="AJ43" s="104">
        <f>IF(AI43&gt;12.8,IF(AI43&gt;15.8,0.95,0.98),1)</f>
        <v/>
      </c>
      <c r="AK43" s="101">
        <f>((AG43*2.6+AH43)*AJ43*AQ43)</f>
        <v/>
      </c>
      <c r="AL43" s="50">
        <f>D43</f>
        <v/>
      </c>
      <c r="AM43" s="97">
        <f>B43</f>
        <v/>
      </c>
      <c r="AN43" s="100" t="n"/>
      <c r="AO43" s="99">
        <f>IF(AK43&gt;23.75,IF(Z43&lt;140,1,0),0)</f>
        <v/>
      </c>
      <c r="AP43" s="100">
        <f>IF(AK43&gt;23.2,IF(Y43&lt;300,IF(Y43&lt;35,IF(Y43&lt;8,3,2),1),0),0)</f>
        <v/>
      </c>
      <c r="AQ43" s="100" t="n">
        <v>1</v>
      </c>
      <c r="AR43" s="100">
        <f>IF(AO43=1,IF(AO43=AL43,1,0),5)</f>
        <v/>
      </c>
      <c r="AS43" s="52" t="n">
        <v>266</v>
      </c>
      <c r="AT43" s="101" t="n">
        <v>245</v>
      </c>
      <c r="AU43" s="101" t="n">
        <v>599</v>
      </c>
      <c r="AV43" s="101">
        <f>(AT43+AU43)/2</f>
        <v/>
      </c>
      <c r="AW43" s="101" t="n">
        <v>280.25</v>
      </c>
      <c r="AX43" s="101">
        <f>(AS43+AV43+AW43)/3</f>
        <v/>
      </c>
      <c r="AY43" s="52">
        <f>(100*(AU43-AS43)/AS43)</f>
        <v/>
      </c>
      <c r="AZ43" s="52">
        <f>IF(AY43&lt;-50,-4,IF(AY43&lt;-20,-2,IF(AY43&lt;0,-1,IF(AY43=0,0,IF(AY43&lt;10,1.5,IF(AY43&lt;20,2,IF(AY43&gt;19,2.5,2.5)))))))</f>
        <v/>
      </c>
    </row>
    <row r="44" ht="12.75" customHeight="1">
      <c r="B44" s="97" t="inlineStr">
        <is>
          <t>Canara HSBC Life Insurance</t>
        </is>
      </c>
      <c r="C44" s="50" t="n">
        <v>2025</v>
      </c>
      <c r="D44" s="50" t="n">
        <v>1</v>
      </c>
      <c r="E44" s="100" t="n">
        <v>0</v>
      </c>
      <c r="F44" s="100" t="n">
        <v>1516.86</v>
      </c>
      <c r="G44" s="100">
        <f>100*(F44-E44)/F44</f>
        <v/>
      </c>
      <c r="H44" s="100" t="n">
        <v>42914</v>
      </c>
      <c r="I44" s="100" t="n">
        <v>116.98</v>
      </c>
      <c r="J44" s="100" t="n"/>
      <c r="K44" s="101" t="n">
        <v>1.23</v>
      </c>
      <c r="L44" s="101" t="n"/>
      <c r="M44" s="100" t="n">
        <v>149.91</v>
      </c>
      <c r="N44" s="100" t="n"/>
      <c r="O44" s="100" t="n">
        <v>10710</v>
      </c>
      <c r="P44" s="100">
        <f>O44/I44</f>
        <v/>
      </c>
      <c r="Q44" s="100" t="n">
        <v>86.18000000000001</v>
      </c>
      <c r="R44" s="100" t="n">
        <v>86.18000000000001</v>
      </c>
      <c r="S44" s="100" t="n">
        <v>-3</v>
      </c>
      <c r="T44" s="100" t="n"/>
      <c r="U44" s="100" t="n"/>
      <c r="V44" s="100" t="n">
        <v>1</v>
      </c>
      <c r="W44" s="100" t="n">
        <v>1</v>
      </c>
      <c r="X44" s="102" t="n">
        <v>7.05</v>
      </c>
      <c r="Y44" s="101" t="n">
        <v>0.33</v>
      </c>
      <c r="Z44" s="101" t="n">
        <v>0.42</v>
      </c>
      <c r="AA44" s="103">
        <f>IF(X44&lt;33,IF(Y44&gt;(1.1*X44),0,1),1)+IF(Y44&gt;(4*X44),-1,0)</f>
        <v/>
      </c>
      <c r="AB44" s="100" t="n">
        <v>0</v>
      </c>
      <c r="AC44" s="101">
        <f>IF(AB44&gt;9,1,0)+AB44/3+IF(AB44&gt;15,1,0)+IF(AB44&gt;20,1,0)</f>
        <v/>
      </c>
      <c r="AD44" s="101" t="n">
        <v>39</v>
      </c>
      <c r="AE44" s="101" t="n">
        <v>7</v>
      </c>
      <c r="AF44" s="101" t="n">
        <v>7</v>
      </c>
      <c r="AG44" s="101">
        <f>IF(G44&lt;0,0,1.2)+IF(G44&lt;14,0,0.9)+IF(P44&lt;0,0.7,0)+IF(P44&lt;6.5,1,0)+IF(P44&lt;23,1,0)+IF(R44&gt;80,0,1)+S44+IF(AD44&lt;20,0,1)+IF(AE44&lt;14,0,1)+IF(AF44&lt;26,0,1)</f>
        <v/>
      </c>
      <c r="AH44" s="101">
        <f>AG44+IF(AG44&gt;6,1,0)+IF(X44&lt;17,0,1)+IF(Y44&lt;11,0,1)+IF(Z44&lt;1.35,0,1)+AC44+AA44</f>
        <v/>
      </c>
      <c r="AI44" s="101" t="n">
        <v>11</v>
      </c>
      <c r="AJ44" s="104">
        <f>IF(AI44&gt;12.8,IF(AI44&gt;15.8,0.95,0.98),1)</f>
        <v/>
      </c>
      <c r="AK44" s="101">
        <f>((AG44*2.6+AH44)*AJ44*AQ44)</f>
        <v/>
      </c>
      <c r="AL44" s="50">
        <f>D44</f>
        <v/>
      </c>
      <c r="AM44" s="97">
        <f>B44</f>
        <v/>
      </c>
      <c r="AN44" s="100" t="n"/>
      <c r="AO44" s="99">
        <f>IF(AK44&gt;23.75,IF(Z44&lt;140,1,0),0)</f>
        <v/>
      </c>
      <c r="AP44" s="100">
        <f>IF(AK44&gt;23.2,IF(Y44&lt;300,IF(Y44&lt;35,IF(Y44&lt;8,3,2),1),0),0)</f>
        <v/>
      </c>
      <c r="AQ44" s="100" t="n">
        <v>1</v>
      </c>
      <c r="AR44" s="100">
        <f>IF(AO44=1,IF(AO44=AL44,1,0),5)</f>
        <v/>
      </c>
      <c r="AS44" s="101" t="n">
        <v>106</v>
      </c>
      <c r="AT44" s="101" t="n">
        <v>98</v>
      </c>
      <c r="AU44" s="101" t="n">
        <v>111</v>
      </c>
      <c r="AV44" s="101">
        <f>(AT44+AU44)/2</f>
        <v/>
      </c>
      <c r="AW44" s="101" t="n">
        <v>106</v>
      </c>
      <c r="AX44" s="101">
        <f>(AS44+AV44+AW44)/3</f>
        <v/>
      </c>
      <c r="AY44" s="52">
        <f>(100*(AU44-AS44)/AS44)</f>
        <v/>
      </c>
      <c r="AZ44" s="52">
        <f>IF(AY44&lt;-50,-4,IF(AY44&lt;-20,-2,IF(AY44&lt;0,-1,IF(AY44=0,0,IF(AY44&lt;10,1.5,IF(AY44&lt;20,2,IF(AY44&gt;19,2.5,2.5)))))))</f>
        <v/>
      </c>
    </row>
    <row r="45" ht="12.75" customHeight="1">
      <c r="B45" s="97" t="inlineStr">
        <is>
          <t>Orkla India</t>
        </is>
      </c>
      <c r="C45" s="50" t="n">
        <v>2025</v>
      </c>
      <c r="D45" s="50" t="n">
        <v>0</v>
      </c>
      <c r="E45" s="100" t="n">
        <v>0</v>
      </c>
      <c r="F45" s="100" t="n">
        <v>1853.47</v>
      </c>
      <c r="G45" s="100">
        <f>100*(F45-E45)/F45</f>
        <v/>
      </c>
      <c r="H45" s="100" t="n">
        <v>3171.3</v>
      </c>
      <c r="I45" s="100" t="n">
        <v>255.69</v>
      </c>
      <c r="J45" s="100" t="n"/>
      <c r="K45" s="101" t="n">
        <v>18.7</v>
      </c>
      <c r="L45" s="101" t="n"/>
      <c r="M45" s="100" t="n">
        <v>396.44</v>
      </c>
      <c r="N45" s="100" t="n"/>
      <c r="O45" s="100" t="n">
        <v>2394.71</v>
      </c>
      <c r="P45" s="100">
        <f>O45/I45</f>
        <v/>
      </c>
      <c r="Q45" s="100" t="n">
        <v>39.03</v>
      </c>
      <c r="R45" s="100" t="n">
        <v>39.03</v>
      </c>
      <c r="S45" s="100" t="n">
        <v>-0.5</v>
      </c>
      <c r="T45" s="100" t="n"/>
      <c r="U45" s="100" t="n"/>
      <c r="V45" s="100" t="n">
        <v>1</v>
      </c>
      <c r="W45" s="100" t="n">
        <v>1</v>
      </c>
      <c r="X45" s="102" t="n">
        <v>118</v>
      </c>
      <c r="Y45" s="101" t="n">
        <v>54.42</v>
      </c>
      <c r="Z45" s="101" t="n">
        <v>7</v>
      </c>
      <c r="AA45" s="103">
        <f>IF(X45&lt;33,IF(Y45&gt;(1.1*X45),0,1),1)+IF(Y45&gt;(4*X45),-1,0)</f>
        <v/>
      </c>
      <c r="AB45" s="100" t="n">
        <v>2.7</v>
      </c>
      <c r="AC45" s="101">
        <f>IF(AB45&gt;9,1,0)+AB45/3+IF(AB45&gt;15,1,0)+IF(AB45&gt;20,1,0)</f>
        <v/>
      </c>
      <c r="AD45" s="101" t="n">
        <v>13</v>
      </c>
      <c r="AE45" s="101" t="n">
        <v>1.6</v>
      </c>
      <c r="AF45" s="101" t="n">
        <v>-4</v>
      </c>
      <c r="AG45" s="101">
        <f>IF(G45&lt;0,0,1.2)+IF(G45&lt;14,0,0.9)+IF(P45&lt;0,0.7,0)+IF(P45&lt;6.5,1,0)+IF(P45&lt;23,1,0)+IF(R45&gt;80,0,1)+S45+IF(AD45&lt;20,0,1)+IF(AE45&lt;14,0,1)+IF(AF45&lt;26,0,1)</f>
        <v/>
      </c>
      <c r="AH45" s="101">
        <f>AG45+IF(AG45&gt;6,1,0)+IF(X45&lt;17,0,1)+IF(Y45&lt;11,0,1)+IF(Z45&lt;1.35,0,1)+AC45+AA45</f>
        <v/>
      </c>
      <c r="AI45" s="101" t="n">
        <v>11</v>
      </c>
      <c r="AJ45" s="104">
        <f>IF(AI45&gt;12.8,IF(AI45&gt;15.8,0.95,0.98),1)</f>
        <v/>
      </c>
      <c r="AK45" s="101">
        <f>((AG45*2.6+AH45)*AJ45*AQ45)</f>
        <v/>
      </c>
      <c r="AL45" s="50">
        <f>D45</f>
        <v/>
      </c>
      <c r="AM45" s="97">
        <f>B45</f>
        <v/>
      </c>
      <c r="AN45" s="100" t="n"/>
      <c r="AO45" s="99">
        <f>IF(AK45&gt;23.75,IF(Z45&lt;140,1,0),0)</f>
        <v/>
      </c>
      <c r="AP45" s="100">
        <f>IF(AK45&gt;23.2,IF(Y45&lt;300,IF(Y45&lt;35,IF(Y45&lt;8,3,2),1),0),0)</f>
        <v/>
      </c>
      <c r="AQ45" s="100" t="n">
        <v>1</v>
      </c>
      <c r="AR45" s="100">
        <f>IF(AO45=1,IF(AO45=AL45,1,0),5)</f>
        <v/>
      </c>
      <c r="AS45" s="101" t="n">
        <v>730</v>
      </c>
      <c r="AT45" s="101" t="n">
        <v>851</v>
      </c>
      <c r="AU45" s="101" t="n">
        <v>1035</v>
      </c>
      <c r="AV45" s="101">
        <f>(AT45+AU45)/2</f>
        <v/>
      </c>
      <c r="AW45" s="101" t="n">
        <v>750</v>
      </c>
      <c r="AX45" s="101">
        <f>(AS45+AV45+AW45)/3</f>
        <v/>
      </c>
      <c r="AY45" s="52">
        <f>(100*(AU45-AS45)/AS45)</f>
        <v/>
      </c>
      <c r="AZ45" s="52">
        <f>IF(AY45&lt;-50,-4,IF(AY45&lt;-20,-2,IF(AY45&lt;0,-1,IF(AY45=0,0,IF(AY45&lt;10,1.5,IF(AY45&lt;20,2,IF(AY45&gt;19,2.5,2.5)))))))</f>
        <v/>
      </c>
    </row>
    <row r="46" ht="12.75" customHeight="1">
      <c r="B46" s="97" t="inlineStr">
        <is>
          <t>Lenskart Solutions</t>
        </is>
      </c>
      <c r="C46" s="50" t="n">
        <v>2025</v>
      </c>
      <c r="D46" s="50" t="n">
        <v>1</v>
      </c>
      <c r="E46" s="100" t="n">
        <v>346</v>
      </c>
      <c r="F46" s="100" t="n">
        <v>6099</v>
      </c>
      <c r="G46" s="100">
        <f>100*(F46-E46)/F46</f>
        <v/>
      </c>
      <c r="H46" s="100" t="n">
        <v>9263</v>
      </c>
      <c r="I46" s="100" t="n">
        <v>295.6</v>
      </c>
      <c r="J46" s="100" t="n"/>
      <c r="K46" s="101" t="n">
        <v>0.8</v>
      </c>
      <c r="L46" s="101" t="n"/>
      <c r="M46" s="100" t="n">
        <v>975.5</v>
      </c>
      <c r="N46" s="100" t="n"/>
      <c r="O46" s="100" t="n">
        <v>6652.5</v>
      </c>
      <c r="P46" s="100">
        <f>O46/I46</f>
        <v/>
      </c>
      <c r="Q46" s="100" t="n">
        <v>526.4</v>
      </c>
      <c r="R46" s="100" t="n">
        <v>526.4</v>
      </c>
      <c r="S46" s="100" t="n">
        <v>-0.5</v>
      </c>
      <c r="T46" s="100" t="n"/>
      <c r="U46" s="100" t="n"/>
      <c r="V46" s="100" t="n">
        <v>1</v>
      </c>
      <c r="W46" s="100" t="n">
        <v>1</v>
      </c>
      <c r="X46" s="102" t="n">
        <v>40.36</v>
      </c>
      <c r="Y46" s="101" t="n">
        <v>20</v>
      </c>
      <c r="Z46" s="101" t="n">
        <v>7.56</v>
      </c>
      <c r="AA46" s="103">
        <f>IF(X46&lt;33,IF(Y46&gt;(1.1*X46),0,1),1)+IF(Y46&gt;(4*X46),-1,0)</f>
        <v/>
      </c>
      <c r="AB46" s="100" t="n">
        <v>2.5</v>
      </c>
      <c r="AC46" s="101">
        <f>IF(AB46&gt;9,1,0)+AB46/3+IF(AB46&gt;15,1,0)+IF(AB46&gt;20,1,0)</f>
        <v/>
      </c>
      <c r="AD46" s="101" t="n">
        <v>3031</v>
      </c>
      <c r="AE46" s="101" t="n">
        <v>22.6</v>
      </c>
      <c r="AF46" s="101" t="n">
        <v>7.9</v>
      </c>
      <c r="AG46" s="101">
        <f>IF(G46&lt;0,0,1.2)+IF(G46&lt;14,0,0.9)+IF(P46&lt;0,0.7,0)+IF(P46&lt;6.5,1,0)+IF(P46&lt;23,1,0)+IF(R46&gt;80,0,1)+S46+IF(AD46&lt;20,0,1)+IF(AE46&lt;14,0,1)+IF(AF46&lt;26,0,1)</f>
        <v/>
      </c>
      <c r="AH46" s="101">
        <f>AG46+IF(AG46&gt;6,1,0)+IF(X46&lt;17,0,1)+IF(Y46&lt;11,0,1)+IF(Z46&lt;1.35,0,1)+AC46+AA46</f>
        <v/>
      </c>
      <c r="AI46" s="101" t="n">
        <v>11</v>
      </c>
      <c r="AJ46" s="104">
        <f>IF(AI46&gt;12.8,IF(AI46&gt;15.8,0.95,0.98),1)</f>
        <v/>
      </c>
      <c r="AK46" s="101">
        <f>((AG46*2.6+AH46)*AJ46*AQ46)</f>
        <v/>
      </c>
      <c r="AL46" s="50">
        <f>D46</f>
        <v/>
      </c>
      <c r="AM46" s="97">
        <f>B46</f>
        <v/>
      </c>
      <c r="AN46" s="100" t="n"/>
      <c r="AO46" s="99">
        <f>IF(AK46&gt;23.75,IF(Z46&lt;140,1,0),0)</f>
        <v/>
      </c>
      <c r="AP46" s="100">
        <f>IF(AK46&gt;23.2,IF(Y46&lt;300,IF(Y46&lt;35,IF(Y46&lt;8,3,2),1),0),0)</f>
        <v/>
      </c>
      <c r="AQ46" s="100" t="n">
        <v>1</v>
      </c>
      <c r="AR46" s="100">
        <f>IF(AO46=1,IF(AO46=AL46,1,0),5)</f>
        <v/>
      </c>
      <c r="AS46" s="101" t="n">
        <v>402</v>
      </c>
      <c r="AT46" s="101" t="n">
        <v>480</v>
      </c>
      <c r="AU46" s="101" t="n">
        <v>500</v>
      </c>
      <c r="AV46" s="101">
        <f>(AT46+AU46)/2</f>
        <v/>
      </c>
      <c r="AW46" s="101" t="n">
        <v>395</v>
      </c>
      <c r="AX46" s="101">
        <f>(AS46+AV46+AW46)/3</f>
        <v/>
      </c>
      <c r="AY46" s="52">
        <f>(100*(AU46-AS46)/AS46)</f>
        <v/>
      </c>
      <c r="AZ46" s="52">
        <f>IF(AY46&lt;-50,-4,IF(AY46&lt;-20,-2,IF(AY46&lt;0,-1,IF(AY46=0,0,IF(AY46&lt;10,1.5,IF(AY46&lt;20,2,IF(AY46&gt;19,2.5,2.5)))))))</f>
        <v/>
      </c>
      <c r="BB46" s="52" t="n">
        <v>405</v>
      </c>
      <c r="BE46" s="52" t="n">
        <v>516</v>
      </c>
    </row>
    <row r="47" ht="12.75" customHeight="1">
      <c r="B47" s="97" t="inlineStr">
        <is>
          <t>Groww</t>
        </is>
      </c>
      <c r="C47" s="50" t="n">
        <v>2025</v>
      </c>
      <c r="D47" s="50" t="n">
        <v>1</v>
      </c>
      <c r="E47" s="100" t="n">
        <v>351.99</v>
      </c>
      <c r="F47" s="100" t="n">
        <v>4855.35</v>
      </c>
      <c r="G47" s="100">
        <f>100*(F47-E47)/F47</f>
        <v/>
      </c>
      <c r="H47" s="100" t="n">
        <v>10077.31</v>
      </c>
      <c r="I47" s="100" t="n">
        <v>1824.37</v>
      </c>
      <c r="J47" s="100" t="n"/>
      <c r="K47" s="101" t="n">
        <v>3.01</v>
      </c>
      <c r="L47" s="101" t="n"/>
      <c r="M47" s="100" t="n">
        <v>2371.01</v>
      </c>
      <c r="N47" s="100" t="n"/>
      <c r="O47" s="100" t="n">
        <v>4061.65</v>
      </c>
      <c r="P47" s="100">
        <f>O47/I47</f>
        <v/>
      </c>
      <c r="Q47" s="100" t="n">
        <v>33.26</v>
      </c>
      <c r="R47" s="100" t="n">
        <v>33.26</v>
      </c>
      <c r="S47" s="100" t="n">
        <v>-1</v>
      </c>
      <c r="T47" s="100" t="inlineStr">
        <is>
          <t xml:space="preserve"> </t>
        </is>
      </c>
      <c r="U47" s="100" t="n"/>
      <c r="V47" s="100" t="n">
        <v>1</v>
      </c>
      <c r="W47" s="100" t="n">
        <v>1</v>
      </c>
      <c r="X47" s="102" t="n">
        <v>22.3</v>
      </c>
      <c r="Y47" s="101" t="n">
        <v>14</v>
      </c>
      <c r="Z47" s="101" t="n">
        <v>9</v>
      </c>
      <c r="AA47" s="103">
        <f>IF(X47&lt;33,IF(Y47&gt;(1.1*X47),0,1),1)+IF(Y47&gt;(4*X47),-1,0)</f>
        <v/>
      </c>
      <c r="AB47" s="100" t="n">
        <v>5</v>
      </c>
      <c r="AC47" s="101">
        <f>IF(AB47&gt;9,1,0)+AB47/3+IF(AB47&gt;15,1,0)+IF(AB47&gt;20,1,0)</f>
        <v/>
      </c>
      <c r="AD47" s="101" t="n">
        <v>0</v>
      </c>
      <c r="AE47" s="101" t="n">
        <v>45.2</v>
      </c>
      <c r="AF47" s="101" t="n">
        <v>91</v>
      </c>
      <c r="AG47" s="101">
        <f>IF(G47&lt;0,0,1.2)+IF(G47&lt;14,0,0.9)+IF(P47&lt;0,0.7,0)+IF(P47&lt;6.5,1,0)+IF(P47&lt;23,1,0)+IF(R47&gt;80,0,1)+S47+IF(AD47&lt;20,0,1)+IF(AE47&lt;14,0,1)+IF(AF47&lt;26,0,1)</f>
        <v/>
      </c>
      <c r="AH47" s="101">
        <f>AG47+IF(AG47&gt;6,1,0)+IF(X47&lt;17,0,1)+IF(Y47&lt;11,0,1)+IF(Z47&lt;1.35,0,1)+AC47+AA47</f>
        <v/>
      </c>
      <c r="AI47" s="101" t="n">
        <v>11</v>
      </c>
      <c r="AJ47" s="104">
        <f>IF(AI47&gt;12.8,IF(AI47&gt;15.8,0.95,0.98),1)</f>
        <v/>
      </c>
      <c r="AK47" s="101">
        <f>((AG47*2.6+AH47)*AJ47*AQ47)</f>
        <v/>
      </c>
      <c r="AL47" s="50">
        <f>D47</f>
        <v/>
      </c>
      <c r="AM47" s="97">
        <f>B47</f>
        <v/>
      </c>
      <c r="AN47" s="100" t="n"/>
      <c r="AO47" s="99">
        <f>IF(AK47&gt;23.75,IF(Z47&lt;140,1,0),0)</f>
        <v/>
      </c>
      <c r="AP47" s="100">
        <f>IF(AK47&gt;23.2,IF(Y47&lt;300,IF(Y47&lt;35,IF(Y47&lt;8,3,2),1),0),0)</f>
        <v/>
      </c>
      <c r="AQ47" s="100" t="n">
        <v>1</v>
      </c>
      <c r="AR47" s="100">
        <f>IF(AO47=1,IF(AO47=AL47,1,0),5)</f>
        <v/>
      </c>
      <c r="AS47" s="101" t="n">
        <v>100</v>
      </c>
      <c r="AT47" s="101" t="n">
        <v>61</v>
      </c>
      <c r="AU47" s="101" t="n">
        <v>79</v>
      </c>
      <c r="AV47" s="101">
        <f>(AT47+AU47)/2</f>
        <v/>
      </c>
      <c r="AW47" s="101" t="n">
        <v>112</v>
      </c>
      <c r="AX47" s="101">
        <f>(AS47+AV47+AW47)/3</f>
        <v/>
      </c>
      <c r="AY47" s="52">
        <f>(100*(AU47-AS47)/AS47)</f>
        <v/>
      </c>
      <c r="AZ47" s="52">
        <f>IF(AY47&lt;-50,-4,IF(AY47&lt;-20,-2,IF(AY47&lt;0,-1,IF(AY47=0,0,IF(AY47&lt;10,1.5,IF(AY47&lt;20,2,IF(AY47&gt;19,2.5,2.5)))))))</f>
        <v/>
      </c>
      <c r="BB47" s="52" t="n">
        <v>135</v>
      </c>
    </row>
    <row r="48" ht="12.75" customHeight="1">
      <c r="B48" s="97" t="inlineStr">
        <is>
          <t>Pine Labs</t>
        </is>
      </c>
      <c r="C48" s="50" t="n">
        <v>2025</v>
      </c>
      <c r="D48" s="50" t="n">
        <v>1</v>
      </c>
      <c r="E48" s="100" t="n">
        <v>829.48</v>
      </c>
      <c r="F48" s="100" t="n">
        <v>3506.15</v>
      </c>
      <c r="G48" s="100">
        <f>100*(F48-E48)/F48</f>
        <v/>
      </c>
      <c r="H48" s="100" t="n">
        <v>10715.73</v>
      </c>
      <c r="I48" s="100" t="n">
        <v>-145.48</v>
      </c>
      <c r="J48" s="100" t="n"/>
      <c r="K48" s="101" t="n">
        <v>0</v>
      </c>
      <c r="L48" s="101" t="n"/>
      <c r="M48" s="100" t="n">
        <v>234.51</v>
      </c>
      <c r="N48" s="100" t="n"/>
      <c r="O48" s="100" t="n">
        <v>2274.27</v>
      </c>
      <c r="P48" s="100">
        <f>O48/I48</f>
        <v/>
      </c>
      <c r="Q48" s="100" t="n">
        <v>0</v>
      </c>
      <c r="R48" s="100" t="n">
        <v>0</v>
      </c>
      <c r="S48" s="100" t="n">
        <v>0</v>
      </c>
      <c r="T48" s="100" t="n"/>
      <c r="U48" s="100" t="n"/>
      <c r="V48" s="100" t="n">
        <v>1</v>
      </c>
      <c r="W48" s="100" t="n">
        <v>1</v>
      </c>
      <c r="X48" s="102" t="n">
        <v>3.97</v>
      </c>
      <c r="Y48" s="101" t="n">
        <v>0.3</v>
      </c>
      <c r="Z48" s="101" t="n">
        <v>1.27</v>
      </c>
      <c r="AA48" s="103">
        <f>IF(X48&lt;33,IF(Y48&gt;(1.1*X48),0,1),1)+IF(Y48&gt;(4*X48),-1,0)</f>
        <v/>
      </c>
      <c r="AB48" s="100" t="n">
        <v>2.5</v>
      </c>
      <c r="AC48" s="101">
        <f>IF(AB48&gt;9,1,0)+AB48/3+IF(AB48&gt;15,1,0)+IF(AB48&gt;20,1,0)</f>
        <v/>
      </c>
      <c r="AD48" s="101" t="n">
        <v>57.47</v>
      </c>
      <c r="AE48" s="101" t="n">
        <v>28.5</v>
      </c>
      <c r="AF48" s="101" t="n">
        <v>-1</v>
      </c>
      <c r="AG48" s="101">
        <f>IF(G48&lt;0,0,1.2)+IF(G48&lt;14,0,0.9)+IF(P48&lt;0,0.7,0)+IF(P48&lt;6.5,1,0)+IF(P48&lt;23,1,0)+IF(R48&gt;80,0,1)+S48+IF(AD48&lt;20,0,1)+IF(AE48&lt;14,0,1)+IF(AF48&lt;26,0,1)</f>
        <v/>
      </c>
      <c r="AH48" s="101">
        <f>AG48+IF(AG48&gt;6,1,0)+IF(X48&lt;17,0,1)+IF(Y48&lt;11,0,1)+IF(Z48&lt;1.35,0,1)+AC48+AA48</f>
        <v/>
      </c>
      <c r="AI48" s="101" t="n">
        <v>11</v>
      </c>
      <c r="AJ48" s="104">
        <f>IF(AI48&gt;12.8,IF(AI48&gt;15.8,0.95,0.98),1)</f>
        <v/>
      </c>
      <c r="AK48" s="101">
        <f>((AG48*2.6+AH48)*AJ48*AQ48)</f>
        <v/>
      </c>
      <c r="AL48" s="50">
        <f>D48</f>
        <v/>
      </c>
      <c r="AM48" s="97">
        <f>B48</f>
        <v/>
      </c>
      <c r="AN48" s="133" t="n"/>
      <c r="AO48" s="132">
        <f>IF(AK48&gt;23.75,IF(Z48&lt;140,1,0),0)</f>
        <v/>
      </c>
      <c r="AP48" s="133">
        <f>IF(AK48&gt;23.2,IF(Y48&lt;300,IF(Y48&lt;35,IF(Y48&lt;8,3,2),1),0),0)</f>
        <v/>
      </c>
      <c r="AQ48" s="133" t="n">
        <v>1</v>
      </c>
      <c r="AR48" s="133">
        <f>IF(AO48=1,IF(AO48=AL48,1,0),5)</f>
        <v/>
      </c>
      <c r="AS48" s="134" t="n">
        <v>221</v>
      </c>
      <c r="AT48" s="134" t="n">
        <v>202</v>
      </c>
      <c r="AU48" s="134" t="n">
        <v>304</v>
      </c>
      <c r="AV48" s="134">
        <f>(AT48+AU48)/2</f>
        <v/>
      </c>
      <c r="AW48" s="134" t="n">
        <v>242</v>
      </c>
      <c r="AX48" s="101">
        <f>(AS48+AV48+AW48)/3</f>
        <v/>
      </c>
      <c r="AY48" s="52">
        <f>(100*(AU48-AS48)/AS48)</f>
        <v/>
      </c>
      <c r="AZ48" s="52">
        <f>IF(AY48&lt;-50,-4,IF(AY48&lt;-20,-2,IF(AY48&lt;0,-1,IF(AY48=0,0,IF(AY48&lt;10,1.5,IF(AY48&lt;20,2,IF(AY48&gt;19,2.5,2.5)))))))</f>
        <v/>
      </c>
    </row>
    <row r="49" ht="12.75" customHeight="1">
      <c r="B49" s="97" t="inlineStr">
        <is>
          <t>Emmvee Photovoltaic</t>
        </is>
      </c>
      <c r="C49" s="50" t="n">
        <v>2025</v>
      </c>
      <c r="D49" s="50" t="n">
        <v>1</v>
      </c>
      <c r="E49" s="100" t="n">
        <v>1949.69</v>
      </c>
      <c r="F49" s="100" t="n">
        <v>531.41</v>
      </c>
      <c r="G49" s="100">
        <f>100*(F49-E49)/F49</f>
        <v/>
      </c>
      <c r="H49" s="100" t="n">
        <v>2629.95</v>
      </c>
      <c r="I49" s="100" t="n">
        <v>369.01</v>
      </c>
      <c r="J49" s="100" t="n"/>
      <c r="K49" s="101" t="n">
        <v>6.22</v>
      </c>
      <c r="L49" s="101" t="n"/>
      <c r="M49" s="100" t="n">
        <v>721.9400000000001</v>
      </c>
      <c r="N49" s="100" t="n"/>
      <c r="O49" s="100" t="n">
        <v>2335.61</v>
      </c>
      <c r="P49" s="100">
        <f>O49/I49</f>
        <v/>
      </c>
      <c r="Q49" s="100" t="n">
        <v>40</v>
      </c>
      <c r="R49" s="100" t="n">
        <v>40</v>
      </c>
      <c r="S49" s="100" t="n">
        <v>0.7</v>
      </c>
      <c r="T49" s="100" t="n"/>
      <c r="U49" s="100" t="n"/>
      <c r="V49" s="100" t="n">
        <v>1</v>
      </c>
      <c r="W49" s="100" t="n">
        <v>1</v>
      </c>
      <c r="X49" s="102" t="n">
        <v>1.2</v>
      </c>
      <c r="Y49" s="101" t="n">
        <v>1</v>
      </c>
      <c r="Z49" s="101" t="n">
        <v>1.1</v>
      </c>
      <c r="AA49" s="103">
        <f>IF(X49&lt;33,IF(Y49&gt;(1.1*X49),0,1),1)+IF(Y49&gt;(4*X49),-1,0)</f>
        <v/>
      </c>
      <c r="AB49" s="100" t="n">
        <v>0</v>
      </c>
      <c r="AC49" s="101">
        <f>IF(AB49&gt;9,1,0)+AB49/3+IF(AB49&gt;15,1,0)+IF(AB49&gt;20,1,0)</f>
        <v/>
      </c>
      <c r="AD49" s="101" t="n">
        <v>1177</v>
      </c>
      <c r="AE49" s="101" t="n">
        <v>145</v>
      </c>
      <c r="AF49" s="101" t="n">
        <v>218</v>
      </c>
      <c r="AG49" s="101">
        <f>IF(G49&lt;0,0,1.2)+IF(G49&lt;14,0,0.9)+IF(P49&lt;0,0.7,0)+IF(P49&lt;6.5,1,0)+IF(P49&lt;23,1,0)+IF(R49&gt;80,0,1)+S49+IF(AD49&lt;20,0,1)+IF(AE49&lt;14,0,1)+IF(AF49&lt;26,0,1)</f>
        <v/>
      </c>
      <c r="AH49" s="101">
        <f>AG49+IF(AG49&gt;6,1,0)+IF(X49&lt;17,0,1)+IF(Y49&lt;11,0,1)+IF(Z49&lt;1.35,0,1)+AC49+AA49</f>
        <v/>
      </c>
      <c r="AI49" s="101" t="n">
        <v>11</v>
      </c>
      <c r="AJ49" s="104">
        <f>IF(AI49&gt;12.8,IF(AI49&gt;15.8,0.95,0.98),1)</f>
        <v/>
      </c>
      <c r="AK49" s="101">
        <f>((AG49*2.6+AH49)*AJ49*AQ49)</f>
        <v/>
      </c>
      <c r="AL49" s="50">
        <f>D49</f>
        <v/>
      </c>
      <c r="AM49" s="97">
        <f>B49</f>
        <v/>
      </c>
      <c r="AN49" s="100" t="n"/>
      <c r="AO49" s="99">
        <f>IF(AK49&gt;23.75,IF(Z49&lt;140,1,0),0)</f>
        <v/>
      </c>
      <c r="AP49" s="100">
        <f>IF(AK49&gt;23.2,IF(Y49&lt;300,IF(Y49&lt;35,IF(Y49&lt;8,3,2),1),0),0)</f>
        <v/>
      </c>
      <c r="AQ49" s="100" t="n">
        <v>1</v>
      </c>
      <c r="AR49" s="100">
        <f>IF(AO49=1,IF(AO49=AL49,1,0),5)</f>
        <v/>
      </c>
      <c r="AS49" s="101" t="n">
        <v>217</v>
      </c>
      <c r="AT49" s="101" t="n">
        <v>313</v>
      </c>
      <c r="AU49" s="101" t="n">
        <v>365</v>
      </c>
      <c r="AV49" s="101">
        <f>(AT49+AU49)/2</f>
        <v/>
      </c>
      <c r="AW49" s="101" t="n">
        <v>217</v>
      </c>
      <c r="AX49" s="101">
        <f>(AS49+AV49+AW49)/3</f>
        <v/>
      </c>
      <c r="AY49" s="52">
        <f>(100*(AU49-AS49)/AS49)</f>
        <v/>
      </c>
      <c r="AZ49" s="52">
        <f>IF(AY49&lt;-50,-4,IF(AY49&lt;-20,-2,IF(AY49&lt;0,-1,IF(AY49=0,0,IF(AY49&lt;10,1.5,IF(AY49&lt;20,2,IF(AY49&gt;19,2.5,2.5)))))))</f>
        <v/>
      </c>
      <c r="BB49" s="52" t="n">
        <v>219</v>
      </c>
      <c r="BE49" s="52" t="n">
        <v>351</v>
      </c>
    </row>
    <row r="50" ht="12.75" customHeight="1">
      <c r="B50" s="97" t="inlineStr">
        <is>
          <t>PhysicsWallah</t>
        </is>
      </c>
      <c r="C50" s="50" t="n">
        <v>2025</v>
      </c>
      <c r="D50" s="50" t="n">
        <v>1</v>
      </c>
      <c r="E50" s="100" t="n">
        <v>0.33</v>
      </c>
      <c r="F50" s="100" t="n">
        <v>1524.55</v>
      </c>
      <c r="G50" s="100">
        <f>100*(F50-E50)/F50</f>
        <v/>
      </c>
      <c r="H50" s="100" t="n">
        <v>4156.38</v>
      </c>
      <c r="I50" s="100" t="n">
        <v>-243.26</v>
      </c>
      <c r="J50" s="100" t="n"/>
      <c r="K50" s="101" t="n">
        <v>-0.86</v>
      </c>
      <c r="L50" s="101" t="n"/>
      <c r="M50" s="100" t="n">
        <v>193.19</v>
      </c>
      <c r="N50" s="100" t="n"/>
      <c r="O50" s="100" t="n">
        <v>2886.64</v>
      </c>
      <c r="P50" s="100">
        <f>O50/I50</f>
        <v/>
      </c>
      <c r="Q50" s="100" t="n">
        <v>-62.06</v>
      </c>
      <c r="R50" s="100" t="n">
        <v>-62.06</v>
      </c>
      <c r="S50" s="100" t="n">
        <v>-0.5</v>
      </c>
      <c r="T50" s="100" t="n"/>
      <c r="U50" s="100" t="n"/>
      <c r="V50" s="100" t="n">
        <v>1</v>
      </c>
      <c r="W50" s="100" t="n">
        <v>1</v>
      </c>
      <c r="X50" s="102" t="n">
        <v>3</v>
      </c>
      <c r="Y50" s="101" t="n">
        <v>0.5</v>
      </c>
      <c r="Z50" s="101" t="n">
        <v>1.14</v>
      </c>
      <c r="AA50" s="103">
        <f>IF(X50&lt;33,IF(Y50&gt;(1.1*X50),0,1),1)+IF(Y50&gt;(4*X50),-1,0)</f>
        <v/>
      </c>
      <c r="AB50" s="100" t="n">
        <v>0</v>
      </c>
      <c r="AC50" s="101">
        <f>IF(AB50&gt;9,1,0)+AB50/3+IF(AB50&gt;15,1,0)+IF(AB50&gt;20,1,0)</f>
        <v/>
      </c>
      <c r="AD50" s="101" t="n">
        <v>78.48999999999999</v>
      </c>
      <c r="AE50" s="101" t="n">
        <v>48.76</v>
      </c>
      <c r="AF50" s="101" t="n">
        <v>222.37</v>
      </c>
      <c r="AG50" s="101">
        <f>IF(G50&lt;0,0,1.2)+IF(G50&lt;14,0,0.9)+IF(P50&lt;0,0.7,0)+IF(P50&lt;6.5,1,0)+IF(P50&lt;23,1,0)+IF(R50&gt;80,0,1)+S50+IF(AD50&lt;20,0,1)+IF(AE50&lt;14,0,1)+IF(AF50&lt;26,0,1)</f>
        <v/>
      </c>
      <c r="AH50" s="101">
        <f>AG50+IF(AG50&gt;6,1,0)+IF(X50&lt;17,0,1)+IF(Y50&lt;11,0,1)+IF(Z50&lt;1.35,0,1)+AC50+AA50</f>
        <v/>
      </c>
      <c r="AI50" s="101" t="n">
        <v>11</v>
      </c>
      <c r="AJ50" s="104">
        <f>IF(AI50&gt;12.8,IF(AI50&gt;15.8,0.95,0.98),1)</f>
        <v/>
      </c>
      <c r="AK50" s="101">
        <f>((AG50*2.6+AH50)*AJ50*AQ50)</f>
        <v/>
      </c>
      <c r="AL50" s="50">
        <f>D50</f>
        <v/>
      </c>
      <c r="AM50" s="97">
        <f>B50</f>
        <v/>
      </c>
      <c r="AN50" s="100" t="n"/>
      <c r="AO50" s="99">
        <f>IF(AK50&gt;23.75,IF(Z50&lt;140,1,0),0)</f>
        <v/>
      </c>
      <c r="AP50" s="100">
        <f>IF(AK50&gt;23.2,IF(Y50&lt;300,IF(Y50&lt;35,IF(Y50&lt;8,3,2),1),0),0)</f>
        <v/>
      </c>
      <c r="AQ50" s="100" t="n">
        <v>1</v>
      </c>
      <c r="AR50" s="100">
        <f>IF(AO50=1,IF(AO50=AL50,1,0),5)</f>
        <v/>
      </c>
      <c r="AS50" s="101" t="n">
        <v>109</v>
      </c>
      <c r="AT50" s="101" t="n">
        <v>99</v>
      </c>
      <c r="AU50" s="101" t="n">
        <v>150</v>
      </c>
      <c r="AV50" s="101">
        <f>(AT50+AU50)/2</f>
        <v/>
      </c>
      <c r="AW50" s="101" t="n">
        <v>145</v>
      </c>
      <c r="AX50" s="101">
        <f>(AS50+AV50+AW50)/3</f>
        <v/>
      </c>
      <c r="AY50" s="52">
        <f>(100*(AU50-AS50)/AS50)</f>
        <v/>
      </c>
      <c r="AZ50" s="52">
        <f>IF(AY50&lt;-50,-4,IF(AY50&lt;-20,-2,IF(AY50&lt;0,-1,IF(AY50=0,0,IF(AY50&lt;10,1.5,IF(AY50&lt;20,2,IF(AY50&gt;19,2.5,2.5)))))))</f>
        <v/>
      </c>
      <c r="BB50" s="52" t="n">
        <v>155</v>
      </c>
    </row>
    <row r="51" ht="12.75" customHeight="1">
      <c r="B51" s="97" t="inlineStr">
        <is>
          <t>Studds Accessories</t>
        </is>
      </c>
      <c r="C51" s="50" t="n">
        <v>2025</v>
      </c>
      <c r="D51" s="50" t="n">
        <v>1</v>
      </c>
      <c r="E51" s="100" t="n">
        <v>2.9</v>
      </c>
      <c r="F51" s="100" t="n">
        <v>449.5</v>
      </c>
      <c r="G51" s="100">
        <f>100*(F51-E51)/F51</f>
        <v/>
      </c>
      <c r="H51" s="100" t="n">
        <v>556.7</v>
      </c>
      <c r="I51" s="100" t="n">
        <v>69.59999999999999</v>
      </c>
      <c r="J51" s="100" t="n"/>
      <c r="K51" s="101" t="n">
        <v>17.7</v>
      </c>
      <c r="L51" s="101" t="n"/>
      <c r="M51" s="100" t="n">
        <v>104.8</v>
      </c>
      <c r="N51" s="100" t="n"/>
      <c r="O51" s="100" t="n">
        <v>583.8</v>
      </c>
      <c r="P51" s="100">
        <f>O51/I51</f>
        <v/>
      </c>
      <c r="Q51" s="100" t="n">
        <v>33.1</v>
      </c>
      <c r="R51" s="100" t="n">
        <v>33.1</v>
      </c>
      <c r="S51" s="100" t="n">
        <v>-0.6</v>
      </c>
      <c r="T51" s="100" t="n"/>
      <c r="U51" s="100" t="n"/>
      <c r="V51" s="100" t="n">
        <v>1</v>
      </c>
      <c r="W51" s="100" t="n">
        <v>1</v>
      </c>
      <c r="X51" s="102" t="n">
        <v>159.99</v>
      </c>
      <c r="Y51" s="101" t="n">
        <v>76.98999999999999</v>
      </c>
      <c r="Z51" s="101" t="n">
        <v>22.09</v>
      </c>
      <c r="AA51" s="103">
        <f>IF(X51&lt;33,IF(Y51&gt;(1.1*X51),0,1),1)+IF(Y51&gt;(4*X51),-1,0)</f>
        <v/>
      </c>
      <c r="AB51" s="100" t="n">
        <v>3.4</v>
      </c>
      <c r="AC51" s="101">
        <f>IF(AB51&gt;9,1,0)+AB51/3+IF(AB51&gt;15,1,0)+IF(AB51&gt;20,1,0)</f>
        <v/>
      </c>
      <c r="AD51" s="101" t="n">
        <v>21.7</v>
      </c>
      <c r="AE51" s="101" t="n">
        <v>10.4</v>
      </c>
      <c r="AF51" s="101" t="n">
        <v>16</v>
      </c>
      <c r="AG51" s="101">
        <f>IF(G51&lt;0,0,1.2)+IF(G51&lt;14,0,0.9)+IF(P51&lt;0,0.7,0)+IF(P51&lt;6.5,1,0)+IF(P51&lt;23,1,0)+IF(R51&gt;80,0,1)+S51+IF(AD51&lt;20,0,1)+IF(AE51&lt;14,0,1)+IF(AF51&lt;26,0,1)</f>
        <v/>
      </c>
      <c r="AH51" s="101">
        <f>AG51+IF(AG51&gt;6,1,0)+IF(X51&lt;17,0,1)+IF(Y51&lt;11,0,1)+IF(Z51&lt;1.35,0,1)+AC51+AA51</f>
        <v/>
      </c>
      <c r="AI51" s="101" t="n">
        <v>11</v>
      </c>
      <c r="AJ51" s="104">
        <f>IF(AI51&gt;12.8,IF(AI51&gt;15.8,0.95,0.98),1)</f>
        <v/>
      </c>
      <c r="AK51" s="101">
        <f>((AG51*2.6+AH51)*AJ51*AQ51)</f>
        <v/>
      </c>
      <c r="AL51" s="50">
        <f>D51</f>
        <v/>
      </c>
      <c r="AM51" s="97">
        <f>B51</f>
        <v/>
      </c>
      <c r="AN51" s="100" t="n"/>
      <c r="AO51" s="99">
        <f>IF(AK51&gt;23.75,IF(Z51&lt;140,1,0),0)</f>
        <v/>
      </c>
      <c r="AP51" s="100">
        <f>IF(AK51&gt;23.2,IF(Y51&lt;300,IF(Y51&lt;35,IF(Y51&lt;8,3,2),1),0),0)</f>
        <v/>
      </c>
      <c r="AQ51" s="100" t="n">
        <v>1</v>
      </c>
      <c r="AR51" s="100">
        <f>IF(AO51=1,IF(AO51=AL51,1,0),5)</f>
        <v/>
      </c>
      <c r="AS51" s="101" t="n">
        <v>585</v>
      </c>
      <c r="AT51" s="101" t="n">
        <v>557</v>
      </c>
      <c r="AU51" s="101" t="n">
        <v>680</v>
      </c>
      <c r="AV51" s="101">
        <f>(AT51+AU51)/2</f>
        <v/>
      </c>
      <c r="AW51" s="101" t="n">
        <v>565</v>
      </c>
      <c r="AX51" s="101">
        <f>(AS51+AV51+AW51)/3</f>
        <v/>
      </c>
      <c r="AY51" s="52">
        <f>(100*(AU51-AS51)/AS51)</f>
        <v/>
      </c>
      <c r="AZ51" s="52">
        <f>IF(AY51&lt;-50,-4,IF(AY51&lt;-20,-2,IF(AY51&lt;0,-1,IF(AY51=0,0,IF(AY51&lt;10,1.5,IF(AY51&lt;20,2,IF(AY51&gt;19,2.5,2.5)))))))</f>
        <v/>
      </c>
      <c r="BB51" s="52" t="n">
        <v>565</v>
      </c>
    </row>
    <row r="52" ht="12.75" customHeight="1">
      <c r="B52" s="97" t="inlineStr">
        <is>
          <t>Tenneco Clean Air</t>
        </is>
      </c>
      <c r="C52" s="50" t="n">
        <v>2025</v>
      </c>
      <c r="D52" s="50" t="n">
        <v>1</v>
      </c>
      <c r="E52" s="100" t="n">
        <v>0</v>
      </c>
      <c r="F52" s="100" t="n">
        <v>12550.93</v>
      </c>
      <c r="G52" s="100">
        <f>100*(F52-E52)/F52</f>
        <v/>
      </c>
      <c r="H52" s="100" t="n">
        <v>28315.84</v>
      </c>
      <c r="I52" s="100" t="n">
        <v>5531.43</v>
      </c>
      <c r="J52" s="100" t="n"/>
      <c r="K52" s="101" t="n">
        <v>13.68</v>
      </c>
      <c r="L52" s="101" t="n"/>
      <c r="M52" s="100" t="n">
        <v>8152.39</v>
      </c>
      <c r="N52" s="100" t="n"/>
      <c r="O52" s="100" t="n">
        <v>48904.3</v>
      </c>
      <c r="P52" s="100">
        <f>O52/I52</f>
        <v/>
      </c>
      <c r="Q52" s="100" t="n">
        <v>14.73</v>
      </c>
      <c r="R52" s="100" t="n">
        <v>14.73</v>
      </c>
      <c r="S52" s="100" t="n">
        <v>-0.9</v>
      </c>
      <c r="T52" s="100" t="n"/>
      <c r="U52" s="100" t="n"/>
      <c r="V52" s="100" t="n">
        <v>1</v>
      </c>
      <c r="W52" s="100" t="n">
        <v>1</v>
      </c>
      <c r="X52" s="102" t="n">
        <v>175</v>
      </c>
      <c r="Y52" s="101" t="n">
        <v>43</v>
      </c>
      <c r="Z52" s="101" t="n">
        <v>5</v>
      </c>
      <c r="AA52" s="103">
        <f>IF(X52&lt;33,IF(Y52&gt;(1.1*X52),0,1),1)+IF(Y52&gt;(4*X52),-1,0)</f>
        <v/>
      </c>
      <c r="AB52" s="100" t="n">
        <v>26</v>
      </c>
      <c r="AC52" s="101">
        <f>IF(AB52&gt;9,1,0)+AB52/3+IF(AB52&gt;15,1,0)+IF(AB52&gt;20,1,0)</f>
        <v/>
      </c>
      <c r="AD52" s="101" t="n">
        <v>32.72</v>
      </c>
      <c r="AE52" s="101" t="n">
        <v>-10.56</v>
      </c>
      <c r="AF52" s="101" t="n">
        <v>12.39</v>
      </c>
      <c r="AG52" s="101">
        <f>IF(G52&lt;0,0,1.2)+IF(G52&lt;14,0,0.9)+IF(P52&lt;0,0.7,0)+IF(P52&lt;6.5,1,0)+IF(P52&lt;23,1,0)+IF(R52&gt;80,0,1)+S52+IF(AD52&lt;20,0,1)+IF(AE52&lt;14,0,1)+IF(AF52&lt;26,0,1)</f>
        <v/>
      </c>
      <c r="AH52" s="101">
        <f>AG52+IF(AG52&gt;6,1,0)+IF(X52&lt;17,0,1)+IF(Y52&lt;11,0,1)+IF(Z52&lt;1.35,0,1)+AC52+AA52</f>
        <v/>
      </c>
      <c r="AI52" s="101" t="n">
        <v>11</v>
      </c>
      <c r="AJ52" s="104">
        <f>IF(AI52&gt;12.8,IF(AI52&gt;15.8,0.95,0.98),1)</f>
        <v/>
      </c>
      <c r="AK52" s="101">
        <f>((AG52*2.6+AH52)*AJ52*AQ52)</f>
        <v/>
      </c>
      <c r="AL52" s="50">
        <f>D52</f>
        <v/>
      </c>
      <c r="AM52" s="97">
        <f>B52</f>
        <v/>
      </c>
      <c r="AN52" s="100" t="n"/>
      <c r="AO52" s="99">
        <f>IF(AK52&gt;23.75,IF(Z52&lt;140,1,0),0)</f>
        <v/>
      </c>
      <c r="AP52" s="100">
        <f>IF(AK52&gt;23.2,IF(Y52&lt;300,IF(Y52&lt;35,IF(Y52&lt;8,3,2),1),0),0)</f>
        <v/>
      </c>
      <c r="AQ52" s="100" t="n">
        <v>1</v>
      </c>
      <c r="AR52" s="100">
        <f>IF(AO52=1,IF(AO52=AL52,1,0),5)</f>
        <v/>
      </c>
      <c r="AS52" s="101" t="n">
        <v>397</v>
      </c>
      <c r="AT52" s="101" t="n">
        <v>500</v>
      </c>
      <c r="AU52" s="101" t="n">
        <v>666</v>
      </c>
      <c r="AV52" s="101">
        <f>(AT52+AU52)/2</f>
        <v/>
      </c>
      <c r="AW52" s="101" t="n">
        <v>505</v>
      </c>
      <c r="AX52" s="101">
        <f>(AS52+AV52+AW52)/3</f>
        <v/>
      </c>
      <c r="AY52" s="52">
        <f>(100*(AU52-AS52)/AS52)</f>
        <v/>
      </c>
      <c r="AZ52" s="52">
        <f>IF(AY52&lt;-50,-4,IF(AY52&lt;-20,-2,IF(AY52&lt;0,-1,IF(AY52=0,0,IF(AY52&lt;10,1.5,IF(AY52&lt;20,2,IF(AY52&gt;19,2.5,2.5)))))))</f>
        <v/>
      </c>
      <c r="BB52" s="52" t="n">
        <v>505</v>
      </c>
    </row>
    <row r="53" ht="12.75" customHeight="1">
      <c r="B53" s="97" t="inlineStr">
        <is>
          <t>Fujiyama Power Systems</t>
        </is>
      </c>
      <c r="C53" s="50" t="n">
        <v>2025</v>
      </c>
      <c r="D53" s="50" t="n">
        <v>1</v>
      </c>
      <c r="E53" s="100" t="n">
        <v>346.22</v>
      </c>
      <c r="F53" s="100" t="n">
        <v>396.82</v>
      </c>
      <c r="G53" s="100">
        <f>100*(F53-E53)/F53</f>
        <v/>
      </c>
      <c r="H53" s="100" t="n">
        <v>1013.96</v>
      </c>
      <c r="I53" s="100" t="n">
        <v>156.34</v>
      </c>
      <c r="J53" s="100" t="n"/>
      <c r="K53" s="101" t="n">
        <v>5.58</v>
      </c>
      <c r="L53" s="101" t="n"/>
      <c r="M53" s="100" t="n">
        <v>248.52</v>
      </c>
      <c r="N53" s="100" t="n"/>
      <c r="O53" s="100" t="n">
        <v>1550.09</v>
      </c>
      <c r="P53" s="100">
        <f>O53/I53</f>
        <v/>
      </c>
      <c r="Q53" s="100" t="n">
        <v>40.85</v>
      </c>
      <c r="R53" s="100" t="n">
        <v>40.85</v>
      </c>
      <c r="S53" s="100" t="n">
        <v>0.7</v>
      </c>
      <c r="T53" s="100" t="n"/>
      <c r="U53" s="100" t="n"/>
      <c r="V53" s="100" t="n">
        <v>1</v>
      </c>
      <c r="W53" s="100" t="n">
        <v>1</v>
      </c>
      <c r="X53" s="102" t="n">
        <v>5.24</v>
      </c>
      <c r="Y53" s="101" t="n">
        <v>0.87</v>
      </c>
      <c r="Z53" s="101" t="n">
        <v>0.88</v>
      </c>
      <c r="AA53" s="103">
        <f>IF(X53&lt;33,IF(Y53&gt;(1.1*X53),0,1),1)+IF(Y53&gt;(4*X53),-1,0)</f>
        <v/>
      </c>
      <c r="AB53" s="100" t="n">
        <v>1.3</v>
      </c>
      <c r="AC53" s="101">
        <f>IF(AB53&gt;9,1,0)+AB53/3+IF(AB53&gt;15,1,0)+IF(AB53&gt;20,1,0)</f>
        <v/>
      </c>
      <c r="AD53" s="101" t="n">
        <v>245</v>
      </c>
      <c r="AE53" s="101" t="n">
        <v>67</v>
      </c>
      <c r="AF53" s="101" t="n">
        <v>66</v>
      </c>
      <c r="AG53" s="101">
        <f>IF(G53&lt;0,0,1.2)+IF(G53&lt;14,0,0.9)+IF(P53&lt;0,0.7,0)+IF(P53&lt;6.5,1,0)+IF(P53&lt;23,1,0)+IF(R53&gt;80,0,1)+S53+IF(AD53&lt;20,0,1)+IF(AE53&lt;14,0,1)+IF(AF53&lt;26,0,1)</f>
        <v/>
      </c>
      <c r="AH53" s="101">
        <f>AG53+IF(AG53&gt;6,1,0)+IF(X53&lt;17,0,1)+IF(Y53&lt;11,0,1)+IF(Z53&lt;1.35,0,1)+AC53+AA53</f>
        <v/>
      </c>
      <c r="AI53" s="101" t="n">
        <v>11</v>
      </c>
      <c r="AJ53" s="104">
        <f>IF(AI53&gt;12.8,IF(AI53&gt;15.8,0.95,0.98),1)</f>
        <v/>
      </c>
      <c r="AK53" s="101">
        <f>((AG53*2.6+AH53)*AJ53*AQ53)</f>
        <v/>
      </c>
      <c r="AL53" s="50">
        <f>D53</f>
        <v/>
      </c>
      <c r="AM53" s="97">
        <f>B53</f>
        <v/>
      </c>
      <c r="AN53" s="100" t="n"/>
      <c r="AO53" s="99">
        <f>IF(AK53&gt;23.75,IF(Z53&lt;140,1,0),0)</f>
        <v/>
      </c>
      <c r="AP53" s="100">
        <f>IF(AK53&gt;23.2,IF(Y53&lt;300,IF(Y53&lt;35,IF(Y53&lt;8,3,2),1),0),0)</f>
        <v/>
      </c>
      <c r="AQ53" s="100" t="n">
        <v>1</v>
      </c>
      <c r="AR53" s="100">
        <f>IF(AO53=1,IF(AO53=AL53,1,0),5)</f>
        <v/>
      </c>
      <c r="AS53" s="101" t="n">
        <v>228</v>
      </c>
      <c r="AT53" s="101" t="n">
        <v>238</v>
      </c>
      <c r="AU53" s="101" t="n">
        <v>309</v>
      </c>
      <c r="AV53" s="101">
        <f>(AT53+AU53)/2</f>
        <v/>
      </c>
      <c r="AW53" s="101" t="n">
        <v>220</v>
      </c>
      <c r="AX53" s="101">
        <f>(AS53+AV53+AW53)/3</f>
        <v/>
      </c>
      <c r="AY53" s="52">
        <f>(100*(AU53-AS53)/AS53)</f>
        <v/>
      </c>
      <c r="AZ53" s="52">
        <f>IF(AY53&lt;-50,-4,IF(AY53&lt;-20,-2,IF(AY53&lt;0,-1,IF(AY53=0,0,IF(AY53&lt;10,1.5,IF(AY53&lt;20,2,IF(AY53&gt;19,2.5,2.5)))))))</f>
        <v/>
      </c>
      <c r="BB53" s="52" t="n">
        <v>220</v>
      </c>
    </row>
    <row r="54" ht="12.75" customHeight="1">
      <c r="B54" s="97" t="inlineStr">
        <is>
          <t>Capillary Technologies</t>
        </is>
      </c>
      <c r="C54" s="50" t="n">
        <v>2025</v>
      </c>
      <c r="D54" s="50" t="n">
        <v>1</v>
      </c>
      <c r="E54" s="100" t="n">
        <v>100.09</v>
      </c>
      <c r="F54" s="100" t="n">
        <v>481.42</v>
      </c>
      <c r="G54" s="100">
        <f>100*(F54-E54)/F54</f>
        <v/>
      </c>
      <c r="H54" s="100" t="n">
        <v>838.65</v>
      </c>
      <c r="I54" s="100" t="n">
        <v>13.28</v>
      </c>
      <c r="J54" s="100" t="n"/>
      <c r="K54" s="101" t="n">
        <v>1.81</v>
      </c>
      <c r="L54" s="101" t="n"/>
      <c r="M54" s="100" t="n">
        <v>78.56999999999999</v>
      </c>
      <c r="N54" s="100" t="n"/>
      <c r="O54" s="100" t="n">
        <v>598.26</v>
      </c>
      <c r="P54" s="100">
        <f>O54/I54</f>
        <v/>
      </c>
      <c r="Q54" s="100" t="n">
        <v>10</v>
      </c>
      <c r="R54" s="100" t="n">
        <v>10</v>
      </c>
      <c r="S54" s="100" t="n">
        <v>-1</v>
      </c>
      <c r="T54" s="100" t="n"/>
      <c r="U54" s="100" t="n"/>
      <c r="V54" s="100" t="n">
        <v>1</v>
      </c>
      <c r="W54" s="100" t="n">
        <v>1</v>
      </c>
      <c r="X54" s="102" t="n">
        <v>45</v>
      </c>
      <c r="Y54" s="101" t="n">
        <v>70</v>
      </c>
      <c r="Z54" s="101" t="n">
        <v>16</v>
      </c>
      <c r="AA54" s="103">
        <f>IF(X54&lt;33,IF(Y54&gt;(1.1*X54),0,1),1)+IF(Y54&gt;(4*X54),-1,0)</f>
        <v/>
      </c>
      <c r="AB54" s="100" t="n">
        <v>14</v>
      </c>
      <c r="AC54" s="101">
        <f>IF(AB54&gt;9,1,0)+AB54/3+IF(AB54&gt;15,1,0)+IF(AB54&gt;20,1,0)</f>
        <v/>
      </c>
      <c r="AD54" s="101" t="n">
        <v>20</v>
      </c>
      <c r="AE54" s="101" t="n">
        <v>20</v>
      </c>
      <c r="AF54" s="101" t="n">
        <v>6.48</v>
      </c>
      <c r="AG54" s="101">
        <f>IF(G54&lt;0,0,1.2)+IF(G54&lt;14,0,0.9)+IF(P54&lt;0,0.7,0)+IF(P54&lt;6.5,1,0)+IF(P54&lt;23,1,0)+IF(R54&gt;80,0,1)+S54+IF(AD54&lt;20,0,1)+IF(AE54&lt;14,0,1)+IF(AF54&lt;26,0,1)</f>
        <v/>
      </c>
      <c r="AH54" s="101">
        <f>AG54+IF(AG54&gt;6,1,0)+IF(X54&lt;17,0,1)+IF(Y54&lt;11,0,1)+IF(Z54&lt;1.35,0,1)+AC54+AA54</f>
        <v/>
      </c>
      <c r="AI54" s="101" t="n">
        <v>11</v>
      </c>
      <c r="AJ54" s="104">
        <f>IF(AI54&gt;12.8,IF(AI54&gt;15.8,0.95,0.98),1)</f>
        <v/>
      </c>
      <c r="AK54" s="101">
        <f>((AG54*2.6+AH54)*AJ54*AQ54)</f>
        <v/>
      </c>
      <c r="AL54" s="50">
        <f>D54</f>
        <v/>
      </c>
      <c r="AM54" s="97">
        <f>B54</f>
        <v/>
      </c>
      <c r="AN54" s="100" t="n"/>
      <c r="AO54" s="99">
        <f>IF(AK54&gt;23.75,IF(Z54&lt;140,1,0),0)</f>
        <v/>
      </c>
      <c r="AP54" s="100">
        <f>IF(AK54&gt;23.2,IF(Y54&lt;300,IF(Y54&lt;35,IF(Y54&lt;8,3,2),1),0),0)</f>
        <v/>
      </c>
      <c r="AQ54" s="100" t="n">
        <v>1</v>
      </c>
      <c r="AR54" s="100">
        <f>IF(AO54=1,IF(AO54=AL54,1,0),5)</f>
        <v/>
      </c>
      <c r="AS54" s="101" t="n">
        <v>577</v>
      </c>
      <c r="AT54" s="101" t="n">
        <v>520</v>
      </c>
      <c r="AU54" s="101" t="n">
        <v>650</v>
      </c>
      <c r="AV54" s="101">
        <f>(AT54+AU54)/2</f>
        <v/>
      </c>
      <c r="AW54" s="101" t="n">
        <v>571</v>
      </c>
      <c r="AX54" s="101">
        <f>(AS54+AV54+AW54)/3</f>
        <v/>
      </c>
      <c r="AY54" s="52">
        <f>(100*(AU54-AS54)/AS54)</f>
        <v/>
      </c>
      <c r="AZ54" s="52">
        <f>IF(AY54&lt;-50,-4,IF(AY54&lt;-20,-2,IF(AY54&lt;0,-1,IF(AY54=0,0,IF(AY54&lt;10,1.5,IF(AY54&lt;20,2,IF(AY54&gt;19,2.5,2.5)))))))</f>
        <v/>
      </c>
      <c r="BB54" s="52" t="n">
        <v>606.9</v>
      </c>
    </row>
    <row r="55" ht="12.75" customHeight="1">
      <c r="B55" s="97" t="inlineStr">
        <is>
          <t>Ecelsoft Technologies</t>
        </is>
      </c>
      <c r="C55" s="50" t="n">
        <v>2025</v>
      </c>
      <c r="D55" s="50" t="n">
        <v>1</v>
      </c>
      <c r="E55" s="100" t="n">
        <v>76.73</v>
      </c>
      <c r="F55" s="100" t="n">
        <v>297.3</v>
      </c>
      <c r="G55" s="100">
        <f>100*(F55-E55)/F55</f>
        <v/>
      </c>
      <c r="H55" s="100" t="n">
        <v>421.03</v>
      </c>
      <c r="I55" s="100" t="n">
        <v>12.75</v>
      </c>
      <c r="J55" s="100" t="n"/>
      <c r="K55" s="101" t="n">
        <v>3.45</v>
      </c>
      <c r="L55" s="101" t="n"/>
      <c r="M55" s="100" t="n">
        <v>54.97</v>
      </c>
      <c r="N55" s="100" t="n"/>
      <c r="O55" s="100" t="n">
        <v>198.3</v>
      </c>
      <c r="P55" s="100">
        <f>O55/I55</f>
        <v/>
      </c>
      <c r="Q55" s="100" t="n">
        <v>34</v>
      </c>
      <c r="R55" s="100" t="n">
        <v>34</v>
      </c>
      <c r="S55" s="100" t="n">
        <v>-1</v>
      </c>
      <c r="T55" s="100" t="n"/>
      <c r="U55" s="100" t="n"/>
      <c r="V55" s="100" t="n">
        <v>1</v>
      </c>
      <c r="W55" s="100" t="n">
        <v>1</v>
      </c>
      <c r="X55" s="102" t="n">
        <v>50</v>
      </c>
      <c r="Y55" s="101" t="n">
        <v>106</v>
      </c>
      <c r="Z55" s="101" t="n">
        <v>16</v>
      </c>
      <c r="AA55" s="103">
        <f>IF(X55&lt;33,IF(Y55&gt;(1.1*X55),0,1),1)+IF(Y55&gt;(4*X55),-1,0)</f>
        <v/>
      </c>
      <c r="AB55" s="100" t="n">
        <v>6</v>
      </c>
      <c r="AC55" s="101">
        <f>IF(AB55&gt;9,1,0)+AB55/3+IF(AB55&gt;15,1,0)+IF(AB55&gt;20,1,0)</f>
        <v/>
      </c>
      <c r="AD55" s="101" t="n">
        <v>200</v>
      </c>
      <c r="AE55" s="101" t="n">
        <v>24</v>
      </c>
      <c r="AF55" s="101" t="n">
        <v>27</v>
      </c>
      <c r="AG55" s="101">
        <f>IF(G55&lt;0,0,1.2)+IF(G55&lt;14,0,0.9)+IF(P55&lt;0,0.7,0)+IF(P55&lt;6.5,1,0)+IF(P55&lt;23,1,0)+IF(R55&gt;80,0,1)+S55+IF(AD55&lt;20,0,1)+IF(AE55&lt;14,0,1)+IF(AF55&lt;26,0,1)</f>
        <v/>
      </c>
      <c r="AH55" s="101">
        <f>AG55+IF(AG55&gt;6,1,0)+IF(X55&lt;17,0,1)+IF(Y55&lt;11,0,1)+IF(Z55&lt;1.35,0,1)+AC55+AA55</f>
        <v/>
      </c>
      <c r="AI55" s="101" t="n">
        <v>11</v>
      </c>
      <c r="AJ55" s="104">
        <f>IF(AI55&gt;12.8,IF(AI55&gt;15.8,0.95,0.98),1)</f>
        <v/>
      </c>
      <c r="AK55" s="101">
        <f>((AG55*2.6+AH55)*AJ55*AQ55)</f>
        <v/>
      </c>
      <c r="AL55" s="50">
        <f>D55</f>
        <v/>
      </c>
      <c r="AM55" s="97">
        <f>B55</f>
        <v/>
      </c>
      <c r="AN55" s="100" t="n"/>
      <c r="AO55" s="99">
        <f>IF(AK55&gt;23.75,IF(Z55&lt;140,1,0),0)</f>
        <v/>
      </c>
      <c r="AP55" s="100">
        <f>IF(AK55&gt;23.2,IF(Y55&lt;300,IF(Y55&lt;35,IF(Y55&lt;8,3,2),1),0),0)</f>
        <v/>
      </c>
      <c r="AQ55" s="100" t="n">
        <v>1</v>
      </c>
      <c r="AR55" s="100">
        <f>IF(AO55=1,IF(AO55=AL55,1,0),5)</f>
        <v/>
      </c>
      <c r="AS55" s="101" t="n">
        <v>120</v>
      </c>
      <c r="AT55" s="101" t="n">
        <v>104</v>
      </c>
      <c r="AU55" s="101" t="n">
        <v>121</v>
      </c>
      <c r="AV55" s="101">
        <f>(AT55+AU55)/2</f>
        <v/>
      </c>
      <c r="AW55" s="101" t="n">
        <v>135</v>
      </c>
      <c r="AX55" s="101">
        <f>(AS55+AV55+AW55)/3</f>
        <v/>
      </c>
      <c r="AY55" s="52">
        <f>(100*(AU55-AS55)/AS55)</f>
        <v/>
      </c>
      <c r="AZ55" s="52">
        <f>IF(AY55&lt;-50,-4,IF(AY55&lt;-20,-2,IF(AY55&lt;0,-1,IF(AY55=0,0,IF(AY55&lt;10,1.5,IF(AY55&lt;20,2,IF(AY55&gt;19,2.5,2.5)))))))</f>
        <v/>
      </c>
      <c r="BC55" s="52" t="n">
        <v>135</v>
      </c>
    </row>
    <row r="56" ht="12.75" customHeight="1">
      <c r="B56" s="97" t="inlineStr">
        <is>
          <t>Sudeep Pharma</t>
        </is>
      </c>
      <c r="C56" s="50" t="n">
        <v>2025</v>
      </c>
      <c r="D56" s="50" t="n">
        <v>1</v>
      </c>
      <c r="E56" s="100" t="n">
        <v>135.25</v>
      </c>
      <c r="F56" s="100" t="n">
        <v>497.53</v>
      </c>
      <c r="G56" s="100">
        <f>100*(F56-E56)/F56</f>
        <v/>
      </c>
      <c r="H56" s="100" t="n">
        <v>717.17</v>
      </c>
      <c r="I56" s="100" t="n">
        <v>138.69</v>
      </c>
      <c r="J56" s="100" t="n"/>
      <c r="K56" s="101" t="n">
        <v>12.46</v>
      </c>
      <c r="L56" s="101" t="n"/>
      <c r="M56" s="100" t="n">
        <v>190</v>
      </c>
      <c r="N56" s="100" t="n"/>
      <c r="O56" s="100" t="n">
        <v>502</v>
      </c>
      <c r="P56" s="100">
        <f>O56/I56</f>
        <v/>
      </c>
      <c r="Q56" s="100" t="n">
        <v>47.61</v>
      </c>
      <c r="R56" s="100" t="n">
        <v>47.61</v>
      </c>
      <c r="S56" s="100" t="n">
        <v>-0.5</v>
      </c>
      <c r="T56" s="100" t="n"/>
      <c r="U56" s="100" t="n"/>
      <c r="V56" s="100" t="n">
        <v>1</v>
      </c>
      <c r="W56" s="100" t="n">
        <v>1</v>
      </c>
      <c r="X56" s="102" t="n">
        <v>213</v>
      </c>
      <c r="Y56" s="101" t="n">
        <v>116</v>
      </c>
      <c r="Z56" s="101" t="n">
        <v>15</v>
      </c>
      <c r="AA56" s="103">
        <f>IF(X56&lt;33,IF(Y56&gt;(1.1*X56),0,1),1)+IF(Y56&gt;(4*X56),-1,0)</f>
        <v/>
      </c>
      <c r="AB56" s="100" t="n">
        <v>19</v>
      </c>
      <c r="AC56" s="101">
        <f>IF(AB56&gt;9,1,0)+AB56/3+IF(AB56&gt;15,1,0)+IF(AB56&gt;20,1,0)</f>
        <v/>
      </c>
      <c r="AD56" s="101" t="n">
        <v>4</v>
      </c>
      <c r="AE56" s="101" t="n">
        <v>10</v>
      </c>
      <c r="AF56" s="101" t="n">
        <v>39</v>
      </c>
      <c r="AG56" s="101">
        <f>IF(G56&lt;0,0,1.2)+IF(G56&lt;14,0,0.9)+IF(P56&lt;0,0.7,0)+IF(P56&lt;6.5,1,0)+IF(P56&lt;23,1,0)+IF(R56&gt;80,0,1)+S56+IF(AD56&lt;20,0,1)+IF(AE56&lt;14,0,1)+IF(AF56&lt;26,0,1)</f>
        <v/>
      </c>
      <c r="AH56" s="101">
        <f>AG56+IF(AG56&gt;6,1,0)+IF(X56&lt;17,0,1)+IF(Y56&lt;11,0,1)+IF(Z56&lt;1.35,0,1)+AC56+AA56</f>
        <v/>
      </c>
      <c r="AI56" s="101" t="n">
        <v>11</v>
      </c>
      <c r="AJ56" s="104">
        <f>IF(AI56&gt;12.8,IF(AI56&gt;15.8,0.95,0.98),1)</f>
        <v/>
      </c>
      <c r="AK56" s="101">
        <f>((AG56*2.6+AH56)*AJ56*AQ56)</f>
        <v/>
      </c>
      <c r="AL56" s="50">
        <f>D56</f>
        <v/>
      </c>
      <c r="AM56" s="97">
        <f>B56</f>
        <v/>
      </c>
      <c r="AN56" s="100" t="n">
        <v>25</v>
      </c>
      <c r="AO56" s="99">
        <f>IF(AK56&gt;23.75,IF(Z56&lt;140,1,0),0)</f>
        <v/>
      </c>
      <c r="AP56" s="100">
        <f>IF(AK56&gt;23.2,IF(Y56&lt;300,IF(Y56&lt;35,IF(Y56&lt;8,3,2),1),0),0)</f>
        <v/>
      </c>
      <c r="AQ56" s="100" t="n">
        <v>1</v>
      </c>
      <c r="AR56" s="100">
        <f>IF(AO56=1,IF(AO56=AL56,1,0),5)</f>
        <v/>
      </c>
      <c r="AS56" s="101" t="n">
        <v>593</v>
      </c>
      <c r="AT56" s="101" t="n">
        <v>500</v>
      </c>
      <c r="AU56" s="101" t="n">
        <v>665</v>
      </c>
      <c r="AV56" s="101">
        <f>(AT56+AU56)/2</f>
        <v/>
      </c>
      <c r="AW56" s="101" t="n">
        <v>730</v>
      </c>
      <c r="AX56" s="101">
        <f>(AS56+AV56+AW56)/3</f>
        <v/>
      </c>
      <c r="AY56" s="52">
        <f>(100*(AU56-AS56)/AS56)</f>
        <v/>
      </c>
      <c r="AZ56" s="52">
        <f>IF(AY56&lt;-50,-4,IF(AY56&lt;-20,-2,IF(AY56&lt;0,-1,IF(AY56=0,0,IF(AY56&lt;10,1.5,IF(AY56&lt;20,2,IF(AY56&gt;19,2.5,2.5)))))))</f>
        <v/>
      </c>
      <c r="BB56" s="52" t="n">
        <v>774</v>
      </c>
    </row>
    <row r="57" ht="12.75" customHeight="1">
      <c r="B57" s="98" t="inlineStr">
        <is>
          <t>Aequs</t>
        </is>
      </c>
      <c r="C57" s="50" t="n">
        <v>2025</v>
      </c>
      <c r="D57" s="50" t="n">
        <v>1</v>
      </c>
      <c r="E57" s="100" t="n">
        <v>437.04</v>
      </c>
      <c r="F57" s="100" t="n">
        <v>716.92</v>
      </c>
      <c r="G57" s="100">
        <f>100*(F57-E57)/F57</f>
        <v/>
      </c>
      <c r="H57" s="100" t="n">
        <v>1859.84</v>
      </c>
      <c r="I57" s="100" t="n">
        <v>-102.35</v>
      </c>
      <c r="J57" s="100" t="n"/>
      <c r="K57" s="100" t="n">
        <v>-1.8</v>
      </c>
      <c r="L57" s="100" t="n"/>
      <c r="M57" s="50" t="n">
        <v>107.97</v>
      </c>
      <c r="N57" s="50" t="n"/>
      <c r="O57" s="100" t="n">
        <v>924.61</v>
      </c>
      <c r="P57" s="100">
        <f>O57/I57</f>
        <v/>
      </c>
      <c r="Q57" s="100" t="n">
        <v>46</v>
      </c>
      <c r="R57" s="100" t="n">
        <v>46</v>
      </c>
      <c r="S57" s="100" t="n">
        <v>-0.5</v>
      </c>
      <c r="T57" s="100" t="n"/>
      <c r="U57" s="100" t="n"/>
      <c r="V57" s="100" t="n">
        <v>1</v>
      </c>
      <c r="W57" s="100" t="n">
        <v>1</v>
      </c>
      <c r="X57" s="105" t="n">
        <v>20</v>
      </c>
      <c r="Y57" s="50" t="n">
        <v>20</v>
      </c>
      <c r="Z57" s="50" t="n">
        <v>20</v>
      </c>
      <c r="AA57" s="103">
        <f>IF(X57&lt;33,IF(Y57&gt;(1.1*X57),0,1),1)+IF(Y57&gt;(4*X57),-1,0)</f>
        <v/>
      </c>
      <c r="AB57" s="100" t="n">
        <v>35</v>
      </c>
      <c r="AC57" s="101">
        <f>IF(AB57&gt;9,1,0)+AB57/3+IF(AB57&gt;15,1,0)+IF(AB57&gt;20,1,0)</f>
        <v/>
      </c>
      <c r="AD57" s="50" t="n">
        <v>-620</v>
      </c>
      <c r="AE57" s="50" t="n">
        <v>-4</v>
      </c>
      <c r="AF57" s="50" t="n">
        <v>-12</v>
      </c>
      <c r="AG57" s="101">
        <f>IF(G57&lt;0,0,1.2)+IF(G57&lt;14,0,0.9)+IF(P57&lt;0,0.7,0)+IF(P57&lt;6.5,1,0)+IF(P57&lt;23,1,0)+IF(R57&gt;80,0,1)+S57+IF(AD57&lt;20,0,1)+IF(AE57&lt;14,0,1)+IF(AF57&lt;26,0,1)</f>
        <v/>
      </c>
      <c r="AH57" s="101">
        <f>AG57+IF(AG57&gt;6,1,0)+IF(X57&lt;17,0,1)+IF(Y57&lt;11,0,1)+IF(Z57&lt;1.35,0,1)+AC57+AA57</f>
        <v/>
      </c>
      <c r="AI57" s="101" t="n">
        <v>11</v>
      </c>
      <c r="AJ57" s="104">
        <f>IF(AI57&gt;12.8,IF(AI57&gt;15.8,0.95,0.98),1)</f>
        <v/>
      </c>
      <c r="AK57" s="101">
        <f>((AG57*2.6+AH57)*AJ57*AQ57)</f>
        <v/>
      </c>
      <c r="AL57" s="50">
        <f>D57</f>
        <v/>
      </c>
      <c r="AM57" s="97">
        <f>B57</f>
        <v/>
      </c>
      <c r="AN57" s="131" t="n">
        <v>5</v>
      </c>
      <c r="AO57" s="132">
        <f>IF(AK57&gt;23.75,IF(Z57&lt;140,1,0),0)</f>
        <v/>
      </c>
      <c r="AP57" s="133">
        <f>IF(AK57&gt;23.2,IF(Y57&lt;300,IF(Y57&lt;35,IF(Y57&lt;8,3,2),1),0),0)</f>
        <v/>
      </c>
      <c r="AQ57" s="133" t="n">
        <v>1</v>
      </c>
      <c r="AR57" s="133">
        <f>IF(AO57=1,IF(AO57=AL57,1,0),5)</f>
        <v/>
      </c>
      <c r="AS57" s="130" t="n">
        <v>124</v>
      </c>
      <c r="AT57" s="130" t="n">
        <v>33</v>
      </c>
      <c r="AU57" s="130" t="n">
        <v>43</v>
      </c>
      <c r="AV57" s="134">
        <f>(AT57+AU57)/2</f>
        <v/>
      </c>
      <c r="AW57" s="130" t="n">
        <v>140</v>
      </c>
      <c r="AX57" s="101">
        <f>(AS57+AV57+AW57)/3</f>
        <v/>
      </c>
      <c r="AY57" s="52">
        <f>(100*(AU57-AS57)/AS57)</f>
        <v/>
      </c>
      <c r="AZ57" s="52">
        <f>IF(AY57&lt;-50,-4,IF(AY57&lt;-20,-2,IF(AY57&lt;0,-1,IF(AY57=0,0,IF(AY57&lt;10,1.5,IF(AY57&lt;20,2,IF(AY57&gt;19,2.5,2.5)))))))</f>
        <v/>
      </c>
      <c r="BB57" s="52" t="n">
        <v>151</v>
      </c>
    </row>
    <row r="58" ht="12.75" customHeight="1">
      <c r="B58" s="98" t="inlineStr">
        <is>
          <t>Meesho</t>
        </is>
      </c>
      <c r="C58" s="50" t="n">
        <v>2025</v>
      </c>
      <c r="D58" s="50" t="n">
        <v>1</v>
      </c>
      <c r="E58" s="100" t="n">
        <v>0</v>
      </c>
      <c r="F58" s="100" t="n">
        <v>1203.62</v>
      </c>
      <c r="G58" s="100">
        <f>100*(F58-E58)/F58</f>
        <v/>
      </c>
      <c r="H58" s="100" t="n">
        <v>7226.09</v>
      </c>
      <c r="I58" s="100" t="n">
        <v>-3941.71</v>
      </c>
      <c r="J58" s="100" t="n"/>
      <c r="K58" s="100" t="n">
        <v>-9.98</v>
      </c>
      <c r="L58" s="100" t="n"/>
      <c r="M58" s="50" t="n">
        <v>-593.76</v>
      </c>
      <c r="N58" s="50" t="n"/>
      <c r="O58" s="100" t="n">
        <v>10015.48</v>
      </c>
      <c r="P58" s="100">
        <f>O58/I58</f>
        <v/>
      </c>
      <c r="Q58" s="100" t="n">
        <v>56</v>
      </c>
      <c r="R58" s="100" t="n">
        <v>56</v>
      </c>
      <c r="S58" s="100" t="n">
        <v>-0.5</v>
      </c>
      <c r="T58" s="100" t="n"/>
      <c r="U58" s="100" t="n"/>
      <c r="V58" s="100" t="n">
        <v>1</v>
      </c>
      <c r="W58" s="100" t="n">
        <v>1</v>
      </c>
      <c r="X58" s="105" t="n">
        <v>20</v>
      </c>
      <c r="Y58" s="50" t="n">
        <v>20</v>
      </c>
      <c r="Z58" s="50" t="n">
        <v>20</v>
      </c>
      <c r="AA58" s="103">
        <f>IF(X58&lt;33,IF(Y58&gt;(1.1*X58),0,1),1)+IF(Y58&gt;(4*X58),-1,0)</f>
        <v/>
      </c>
      <c r="AB58" s="100" t="n">
        <v>38</v>
      </c>
      <c r="AC58" s="101">
        <f>IF(AB58&gt;9,1,0)+AB58/3+IF(AB58&gt;15,1,0)+IF(AB58&gt;20,1,0)</f>
        <v/>
      </c>
      <c r="AD58" s="50" t="n">
        <v>-1103</v>
      </c>
      <c r="AE58" s="50" t="n">
        <v>23</v>
      </c>
      <c r="AF58" s="50" t="n">
        <v>11.11</v>
      </c>
      <c r="AG58" s="101">
        <f>IF(G58&lt;0,0,1.2)+IF(G58&lt;14,0,0.9)+IF(P58&lt;0,0.7,0)+IF(P58&lt;6.5,1,0)+IF(P58&lt;23,1,0)+IF(R58&gt;80,0,1)+S58+IF(AD58&lt;20,0,1)+IF(AE58&lt;14,0,1)+IF(AF58&lt;26,0,1)</f>
        <v/>
      </c>
      <c r="AH58" s="101">
        <f>AG58+IF(AG58&gt;6,1,0)+IF(X58&lt;17,0,1)+IF(Y58&lt;11,0,1)+IF(Z58&lt;1.35,0,1)+AC58+AA58</f>
        <v/>
      </c>
      <c r="AI58" s="101" t="n">
        <v>11</v>
      </c>
      <c r="AJ58" s="104">
        <f>IF(AI58&gt;12.8,IF(AI58&gt;15.8,0.95,0.98),1)</f>
        <v/>
      </c>
      <c r="AK58" s="101">
        <f>((AG58*2.6+AH58)*AJ58*AQ58)</f>
        <v/>
      </c>
      <c r="AL58" s="50">
        <f>D58</f>
        <v/>
      </c>
      <c r="AM58" s="97">
        <f>B58</f>
        <v/>
      </c>
      <c r="AN58" s="131" t="n">
        <v>5</v>
      </c>
      <c r="AO58" s="132">
        <f>IF(AK58&gt;23.75,IF(Z58&lt;140,1,0),0)</f>
        <v/>
      </c>
      <c r="AP58" s="133">
        <f>IF(AK58&gt;23.2,IF(Y58&lt;300,IF(Y58&lt;35,IF(Y58&lt;8,3,2),1),0),0)</f>
        <v/>
      </c>
      <c r="AQ58" s="133" t="n">
        <v>1</v>
      </c>
      <c r="AR58" s="133">
        <f>IF(AO58=1,IF(AO58=AL58,1,0),5)</f>
        <v/>
      </c>
      <c r="AS58" s="130" t="n">
        <v>111</v>
      </c>
      <c r="AT58" s="130" t="n">
        <v>94</v>
      </c>
      <c r="AU58" s="130" t="n">
        <v>136</v>
      </c>
      <c r="AV58" s="134">
        <f>(AT58+AU58)/2</f>
        <v/>
      </c>
      <c r="AW58" s="130" t="n">
        <v>162</v>
      </c>
      <c r="AX58" s="101">
        <f>(AS58+AV58+AW58)/3</f>
        <v/>
      </c>
      <c r="AY58" s="52">
        <f>(100*(AU58-AS58)/AS58)</f>
        <v/>
      </c>
      <c r="AZ58" s="52">
        <f>IF(AY58&lt;-50,-4,IF(AY58&lt;-20,-2,IF(AY58&lt;0,-1,IF(AY58=0,0,IF(AY58&lt;10,1.5,IF(AY58&lt;20,2,IF(AY58&gt;19,2.5,2.5)))))))</f>
        <v/>
      </c>
      <c r="BB58" s="52" t="n">
        <v>170</v>
      </c>
    </row>
    <row r="59" ht="12.75" customHeight="1">
      <c r="A59" s="52" t="inlineStr">
        <is>
          <t>https://www.chittorgarh.com/ipo/ksh-international-ipo/2454/</t>
        </is>
      </c>
      <c r="B59" s="98" t="inlineStr">
        <is>
          <t>Vidya Wires</t>
        </is>
      </c>
      <c r="C59" s="50" t="n">
        <v>2025</v>
      </c>
      <c r="D59" s="50" t="n">
        <v>1</v>
      </c>
      <c r="E59" s="100" t="n">
        <v>146.38</v>
      </c>
      <c r="F59" s="100" t="n">
        <v>166.34</v>
      </c>
      <c r="G59" s="100">
        <f>100*(F59-E59)/F59</f>
        <v/>
      </c>
      <c r="H59" s="100" t="n">
        <v>331.33</v>
      </c>
      <c r="I59" s="100" t="n">
        <v>40.87</v>
      </c>
      <c r="J59" s="100" t="n"/>
      <c r="K59" s="100" t="n">
        <v>2.55</v>
      </c>
      <c r="L59" s="100" t="n"/>
      <c r="M59" s="50" t="n">
        <v>64.45</v>
      </c>
      <c r="N59" s="50" t="n"/>
      <c r="O59" s="100" t="n">
        <v>1491.45</v>
      </c>
      <c r="P59" s="100">
        <f>O59/I59</f>
        <v/>
      </c>
      <c r="Q59" s="100" t="n">
        <v>20.39</v>
      </c>
      <c r="R59" s="100" t="n">
        <v>20.39</v>
      </c>
      <c r="S59" s="100" t="n">
        <v>-0.5</v>
      </c>
      <c r="T59" s="100" t="n"/>
      <c r="U59" s="100" t="n"/>
      <c r="V59" s="100" t="n">
        <v>1</v>
      </c>
      <c r="W59" s="100" t="n">
        <v>1</v>
      </c>
      <c r="X59" s="105" t="n">
        <v>6</v>
      </c>
      <c r="Y59" s="50" t="n">
        <v>55</v>
      </c>
      <c r="Z59" s="50" t="n">
        <v>30</v>
      </c>
      <c r="AA59" s="103">
        <f>IF(X59&lt;33,IF(Y59&gt;(1.1*X59),0,1),1)+IF(Y59&gt;(4*X59),-1,0)</f>
        <v/>
      </c>
      <c r="AB59" s="100" t="n">
        <v>19</v>
      </c>
      <c r="AC59" s="101">
        <f>IF(AB59&gt;9,1,0)+AB59/3+IF(AB59&gt;15,1,0)+IF(AB59&gt;20,1,0)</f>
        <v/>
      </c>
      <c r="AD59" s="50" t="n">
        <v>59</v>
      </c>
      <c r="AE59" s="50" t="n">
        <v>25</v>
      </c>
      <c r="AF59" s="50" t="n">
        <v>60</v>
      </c>
      <c r="AG59" s="101">
        <f>IF(G59&lt;0,0,1.2)+IF(G59&lt;14,0,0.9)+IF(P59&lt;0,0.7,0)+IF(P59&lt;6.5,1,0)+IF(P59&lt;23,1,0)+IF(R59&gt;80,0,1)+S59+IF(AD59&lt;20,0,1)+IF(AE59&lt;14,0,1)+IF(AF59&lt;26,0,1)</f>
        <v/>
      </c>
      <c r="AH59" s="101">
        <f>AG59+IF(AG59&gt;6,1,0)+IF(X59&lt;17,0,1)+IF(Y59&lt;11,0,1)+IF(Z59&lt;1.35,0,1)+AC59+AA59</f>
        <v/>
      </c>
      <c r="AI59" s="101" t="n">
        <v>11</v>
      </c>
      <c r="AJ59" s="104">
        <f>IF(AI59&gt;12.8,IF(AI59&gt;15.8,0.95,0.98),1)</f>
        <v/>
      </c>
      <c r="AK59" s="101">
        <f>((AG59*2.6+AH59)*AJ59*AQ59)</f>
        <v/>
      </c>
      <c r="AL59" s="50">
        <f>D59</f>
        <v/>
      </c>
      <c r="AM59" s="97">
        <f>B59</f>
        <v/>
      </c>
      <c r="AN59" s="106" t="n">
        <v>5</v>
      </c>
      <c r="AO59" s="99">
        <f>IF(AK59&gt;23.75,IF(Z59&lt;140,1,0),0)</f>
        <v/>
      </c>
      <c r="AP59" s="100">
        <f>IF(AK59&gt;23.2,IF(Y59&lt;300,IF(Y59&lt;35,IF(Y59&lt;8,3,2),1),0),0)</f>
        <v/>
      </c>
      <c r="AQ59" s="100" t="n">
        <v>1</v>
      </c>
      <c r="AR59" s="100">
        <f>IF(AO59=1,IF(AO59=AL59,1,0),5)</f>
        <v/>
      </c>
      <c r="AS59" s="50" t="n">
        <v>52</v>
      </c>
      <c r="AT59" s="50" t="n">
        <v>50</v>
      </c>
      <c r="AU59" s="50" t="n">
        <v>67</v>
      </c>
      <c r="AV59" s="101">
        <f>(AT59+AU59)/2</f>
        <v/>
      </c>
      <c r="AW59" s="50" t="n">
        <v>52</v>
      </c>
      <c r="AX59" s="101">
        <f>(AS59+AV59+AW59)/3</f>
        <v/>
      </c>
      <c r="AY59" s="52">
        <f>(100*(AU59-AS59)/AS59)</f>
        <v/>
      </c>
      <c r="AZ59" s="52">
        <f>IF(AY59&lt;-50,-4,IF(AY59&lt;-20,-2,IF(AY59&lt;0,-1,IF(AY59=0,0,IF(AY59&lt;10,1.5,IF(AY59&lt;20,2,IF(AY59&gt;19,2.5,2.5)))))))</f>
        <v/>
      </c>
      <c r="BC59" s="52" t="n">
        <v>54</v>
      </c>
    </row>
    <row r="60" ht="12.75" customHeight="1">
      <c r="A60" s="52" t="inlineStr">
        <is>
          <t>https://www.chittorgarh.com/ipo/gujarat-kidney-and-super-speciality-ipo/2289/</t>
        </is>
      </c>
      <c r="B60" s="98" t="inlineStr">
        <is>
          <t>Wakefit Innovations</t>
        </is>
      </c>
      <c r="C60" s="50" t="n">
        <v>2025</v>
      </c>
      <c r="D60" s="50" t="n">
        <v>1</v>
      </c>
      <c r="E60" s="100" t="n">
        <v>0</v>
      </c>
      <c r="F60" s="100" t="n">
        <v>520</v>
      </c>
      <c r="G60" s="100">
        <f>100*(F60-E60)/F60</f>
        <v/>
      </c>
      <c r="H60" s="100" t="n">
        <v>1050</v>
      </c>
      <c r="I60" s="100" t="n">
        <v>-35</v>
      </c>
      <c r="J60" s="100" t="n"/>
      <c r="K60" s="100" t="n"/>
      <c r="L60" s="100" t="n"/>
      <c r="M60" s="50" t="n">
        <v>90.83</v>
      </c>
      <c r="N60" s="50" t="n"/>
      <c r="O60" s="100" t="n">
        <v>1305</v>
      </c>
      <c r="P60" s="100">
        <f>O60/I60</f>
        <v/>
      </c>
      <c r="Q60" s="100" t="n">
        <v>50</v>
      </c>
      <c r="R60" s="100" t="n">
        <v>50</v>
      </c>
      <c r="S60" s="100" t="n">
        <v>0</v>
      </c>
      <c r="T60" s="100" t="n"/>
      <c r="U60" s="100" t="n"/>
      <c r="V60" s="100" t="n">
        <v>1</v>
      </c>
      <c r="W60" s="100" t="n">
        <v>1</v>
      </c>
      <c r="X60" s="105" t="n">
        <v>2.25</v>
      </c>
      <c r="Y60" s="50" t="n">
        <v>0.82</v>
      </c>
      <c r="Z60" s="50" t="n">
        <v>2.76</v>
      </c>
      <c r="AA60" s="103">
        <f>IF(X60&lt;33,IF(Y60&gt;(1.1*X60),0,1),1)+IF(Y60&gt;(4*X60),-1,0)</f>
        <v/>
      </c>
      <c r="AB60" s="100" t="n">
        <v>0</v>
      </c>
      <c r="AC60" s="101">
        <f>IF(AB60&gt;9,1,0)+AB60/3+IF(AB60&gt;15,1,0)+IF(AB60&gt;20,1,0)</f>
        <v/>
      </c>
      <c r="AD60" s="50" t="n">
        <v>-132.45</v>
      </c>
      <c r="AE60" s="50" t="n">
        <v>35.33</v>
      </c>
      <c r="AF60" s="50" t="n">
        <v>-4.2</v>
      </c>
      <c r="AG60" s="101">
        <f>IF(G60&lt;0,0,1.2)+IF(G60&lt;14,0,0.9)+IF(P60&lt;0,0.7,0)+IF(P60&lt;6.5,1,0)+IF(P60&lt;23,1,0)+IF(R60&gt;80,0,1)+S60+IF(AD60&lt;20,0,1)+IF(AE60&lt;14,0,1)+IF(AF60&lt;26,0,1)</f>
        <v/>
      </c>
      <c r="AH60" s="101">
        <f>AG60+IF(AG60&gt;6,1,0)+IF(X60&lt;17,0,1)+IF(Y60&lt;11,0,1)+IF(Z60&lt;1.35,0,1)+AC60+AA60</f>
        <v/>
      </c>
      <c r="AI60" s="101" t="n">
        <v>11</v>
      </c>
      <c r="AJ60" s="104">
        <f>IF(AI60&gt;12.8,IF(AI60&gt;15.8,0.95,0.98),1)</f>
        <v/>
      </c>
      <c r="AK60" s="101">
        <f>((AG60*2.6+AH60)*AJ60*AQ60)</f>
        <v/>
      </c>
      <c r="AL60" s="50">
        <f>D60</f>
        <v/>
      </c>
      <c r="AM60" s="97">
        <f>B60</f>
        <v/>
      </c>
      <c r="AN60" s="106" t="n">
        <v>10</v>
      </c>
      <c r="AO60" s="99">
        <f>IF(AK60&gt;23.75,IF(Z60&lt;140,1,0),0)</f>
        <v/>
      </c>
      <c r="AP60" s="100">
        <f>IF(AK60&gt;23.2,IF(Y60&lt;300,IF(Y60&lt;35,IF(Y60&lt;8,3,2),1),0),0)</f>
        <v/>
      </c>
      <c r="AQ60" s="100" t="n">
        <v>1</v>
      </c>
      <c r="AR60" s="100">
        <f>IF(AO60=1,IF(AO60=AL60,1,0),5)</f>
        <v/>
      </c>
      <c r="AS60" s="50" t="n">
        <v>195</v>
      </c>
      <c r="AT60" s="50" t="n">
        <v>109</v>
      </c>
      <c r="AU60" s="50" t="n">
        <v>131</v>
      </c>
      <c r="AV60" s="101">
        <f>(AT60+AU60)/2</f>
        <v/>
      </c>
      <c r="AW60" s="50" t="n">
        <v>195</v>
      </c>
      <c r="AX60" s="101">
        <f>(AS60+AV60+AW60)/3</f>
        <v/>
      </c>
      <c r="AY60" s="52">
        <f>(100*(AU60-AS60)/AS60)</f>
        <v/>
      </c>
      <c r="AZ60" s="52">
        <f>IF(AY60&lt;-50,-4,IF(AY60&lt;-20,-2,IF(AY60&lt;0,-1,IF(AY60=0,0,IF(AY60&lt;10,1.5,IF(AY60&lt;20,2,IF(AY60&gt;19,2.5,2.5)))))))</f>
        <v/>
      </c>
    </row>
    <row r="61" ht="12.75" customHeight="1">
      <c r="B61" s="98" t="inlineStr">
        <is>
          <t>ICICI Prudential AMC</t>
        </is>
      </c>
      <c r="C61" s="50" t="n">
        <v>2025</v>
      </c>
      <c r="D61" s="50" t="n">
        <v>1</v>
      </c>
      <c r="E61" s="100" t="n">
        <v>0</v>
      </c>
      <c r="F61" s="100" t="n">
        <v>3516.94</v>
      </c>
      <c r="G61" s="100">
        <f>100*(F61-E61)/F61</f>
        <v/>
      </c>
      <c r="H61" s="100" t="n">
        <v>4383.68</v>
      </c>
      <c r="I61" s="100" t="n">
        <v>2650.66</v>
      </c>
      <c r="J61" s="100" t="n"/>
      <c r="K61" s="100" t="n">
        <v>53.63</v>
      </c>
      <c r="L61" s="100" t="n"/>
      <c r="M61" s="50" t="n">
        <v>3636.99</v>
      </c>
      <c r="N61" s="50" t="n"/>
      <c r="O61" s="100" t="n">
        <v>4979.67</v>
      </c>
      <c r="P61" s="100">
        <f>O61/I61</f>
        <v/>
      </c>
      <c r="Q61" s="100" t="n">
        <v>40.37</v>
      </c>
      <c r="R61" s="100" t="n">
        <v>40.37</v>
      </c>
      <c r="S61" s="100" t="n">
        <v>0</v>
      </c>
      <c r="T61" s="100" t="n"/>
      <c r="U61" s="100" t="n"/>
      <c r="V61" s="100" t="n">
        <v>1</v>
      </c>
      <c r="W61" s="100" t="n">
        <v>1</v>
      </c>
      <c r="X61" s="105" t="n">
        <v>21.59</v>
      </c>
      <c r="Y61" s="50" t="n">
        <v>16.75</v>
      </c>
      <c r="Z61" s="50" t="n">
        <v>2.77</v>
      </c>
      <c r="AA61" s="103">
        <f>IF(X61&lt;33,IF(Y61&gt;(1.1*X61),0,1),1)+IF(Y61&gt;(4*X61),-1,0)</f>
        <v/>
      </c>
      <c r="AB61" s="100" t="n">
        <v>15.52</v>
      </c>
      <c r="AC61" s="101">
        <f>IF(AB61&gt;9,1,0)+AB61/3+IF(AB61&gt;15,1,0)+IF(AB61&gt;20,1,0)</f>
        <v/>
      </c>
      <c r="AD61" s="50" t="n">
        <v>100</v>
      </c>
      <c r="AE61" s="50" t="n">
        <v>32</v>
      </c>
      <c r="AF61" s="50" t="n">
        <v>10.97</v>
      </c>
      <c r="AG61" s="101">
        <f>IF(G61&lt;0,0,1.2)+IF(G61&lt;14,0,0.9)+IF(P61&lt;0,0.7,0)+IF(P61&lt;6.5,1,0)+IF(P61&lt;23,1,0)+IF(R61&gt;80,0,1)+S61+IF(AD61&lt;20,0,1)+IF(AE61&lt;14,0,1)+IF(AF61&lt;26,0,1)</f>
        <v/>
      </c>
      <c r="AH61" s="101">
        <f>AG61+IF(AG61&gt;6,1,0)+IF(X61&lt;17,0,1)+IF(Y61&lt;11,0,1)+IF(Z61&lt;1.35,0,1)+AC61+AA61</f>
        <v/>
      </c>
      <c r="AI61" s="101" t="n">
        <v>11</v>
      </c>
      <c r="AJ61" s="104">
        <f>IF(AI61&gt;12.8,IF(AI61&gt;15.8,0.95,0.98),1)</f>
        <v/>
      </c>
      <c r="AK61" s="101">
        <f>((AG61*2.6+AH61)*AJ61*AQ61)</f>
        <v/>
      </c>
      <c r="AL61" s="50">
        <f>D61</f>
        <v/>
      </c>
      <c r="AM61" s="97">
        <f>B61</f>
        <v/>
      </c>
      <c r="AN61" s="106" t="n">
        <v>16</v>
      </c>
      <c r="AO61" s="99">
        <f>IF(AK61&gt;23.75,IF(Z61&lt;140,1,0),0)</f>
        <v/>
      </c>
      <c r="AP61" s="100">
        <f>IF(AK61&gt;23.2,IF(Y61&lt;300,IF(Y61&lt;35,IF(Y61&lt;8,3,2),1),0),0)</f>
        <v/>
      </c>
      <c r="AQ61" s="100" t="n">
        <v>1</v>
      </c>
      <c r="AR61" s="100">
        <f>IF(AO61=1,IF(AO61=AL61,1,0),5)</f>
        <v/>
      </c>
      <c r="AS61" s="50" t="n">
        <v>2165</v>
      </c>
      <c r="AT61" s="50" t="n">
        <v>2618</v>
      </c>
      <c r="AU61" s="50" t="n">
        <v>3273</v>
      </c>
      <c r="AV61" s="101">
        <f>(AT61+AU61)/2</f>
        <v/>
      </c>
      <c r="AW61" s="50" t="n">
        <v>2600</v>
      </c>
      <c r="AX61" s="101">
        <f>(AS61+AV61+AW61)/3</f>
        <v/>
      </c>
      <c r="AY61" s="52">
        <f>(100*(AU61-AS61)/AS61)</f>
        <v/>
      </c>
      <c r="AZ61" s="52">
        <f>IF(AY61&lt;-50,-4,IF(AY61&lt;-20,-2,IF(AY61&lt;0,-1,IF(AY61=0,0,IF(AY61&lt;10,1.5,IF(AY61&lt;20,2,IF(AY61&gt;19,2.5,2.5)))))))</f>
        <v/>
      </c>
    </row>
    <row r="62" ht="12.75" customHeight="1">
      <c r="B62" s="98" t="inlineStr">
        <is>
          <t>KSH International</t>
        </is>
      </c>
      <c r="C62" s="50" t="n">
        <v>2025</v>
      </c>
      <c r="D62" s="50" t="n">
        <v>0</v>
      </c>
      <c r="E62" s="100" t="n">
        <v>360.05</v>
      </c>
      <c r="F62" s="100" t="n">
        <v>298.55</v>
      </c>
      <c r="G62" s="100">
        <f>100*(F62-E62)/F62</f>
        <v/>
      </c>
      <c r="H62" s="100" t="n">
        <v>744.91</v>
      </c>
      <c r="I62" s="100" t="n">
        <v>67.98999999999999</v>
      </c>
      <c r="J62" s="100" t="n"/>
      <c r="K62" s="100" t="n">
        <v>11.97</v>
      </c>
      <c r="L62" s="100" t="n"/>
      <c r="M62" s="50" t="n">
        <v>122.53</v>
      </c>
      <c r="N62" s="50" t="n"/>
      <c r="O62" s="100" t="n">
        <v>1938.19</v>
      </c>
      <c r="P62" s="100">
        <f>O62/I62</f>
        <v/>
      </c>
      <c r="Q62" s="100" t="n">
        <v>32</v>
      </c>
      <c r="R62" s="100" t="n">
        <v>32</v>
      </c>
      <c r="S62" s="100" t="n">
        <v>0</v>
      </c>
      <c r="T62" s="100" t="n"/>
      <c r="U62" s="100" t="n"/>
      <c r="V62" s="100" t="n">
        <v>1</v>
      </c>
      <c r="W62" s="100" t="n">
        <v>1</v>
      </c>
      <c r="X62" s="105" t="n">
        <v>1.12</v>
      </c>
      <c r="Y62" s="50" t="n">
        <v>0.44</v>
      </c>
      <c r="Z62" s="50" t="n">
        <v>0.91</v>
      </c>
      <c r="AA62" s="103">
        <f>IF(X62&lt;33,IF(Y62&gt;(1.1*X62),0,1),1)+IF(Y62&gt;(4*X62),-1,0)</f>
        <v/>
      </c>
      <c r="AB62" s="100" t="n">
        <v>0</v>
      </c>
      <c r="AC62" s="101">
        <f>IF(AB62&gt;9,1,0)+AB62/3+IF(AB62&gt;15,1,0)+IF(AB62&gt;20,1,0)</f>
        <v/>
      </c>
      <c r="AD62" s="50" t="n">
        <v>78.95999999999999</v>
      </c>
      <c r="AE62" s="50" t="n">
        <v>82</v>
      </c>
      <c r="AF62" s="50" t="n">
        <v>39</v>
      </c>
      <c r="AG62" s="101">
        <f>IF(G62&lt;0,0,1.2)+IF(G62&lt;14,0,0.9)+IF(P62&lt;0,0.7,0)+IF(P62&lt;6.5,1,0)+IF(P62&lt;23,1,0)+IF(R62&gt;80,0,1)+S62+IF(AD62&lt;20,0,1)+IF(AE62&lt;14,0,1)+IF(AF62&lt;26,0,1)</f>
        <v/>
      </c>
      <c r="AH62" s="101">
        <f>AG62+IF(AG62&gt;6,1,0)+IF(X62&lt;17,0,1)+IF(Y62&lt;11,0,1)+IF(Z62&lt;1.35,0,1)+AC62+AA62</f>
        <v/>
      </c>
      <c r="AI62" s="101" t="n">
        <v>11</v>
      </c>
      <c r="AJ62" s="104">
        <f>IF(AI62&gt;12.8,IF(AI62&gt;15.8,0.95,0.98),1)</f>
        <v/>
      </c>
      <c r="AK62" s="101">
        <f>((AG62*2.6+AH62)*AJ62*AQ62)</f>
        <v/>
      </c>
      <c r="AL62" s="50">
        <f>D62</f>
        <v/>
      </c>
      <c r="AM62" s="97">
        <f>B62</f>
        <v/>
      </c>
      <c r="AN62" s="106" t="n">
        <v>18</v>
      </c>
      <c r="AO62" s="99">
        <f>IF(AK62&gt;23.75,IF(Z62&lt;140,1,0),0)</f>
        <v/>
      </c>
      <c r="AP62" s="100">
        <f>IF(AK62&gt;23.2,IF(Y62&lt;300,IF(Y62&lt;35,IF(Y62&lt;8,3,2),1),0),0)</f>
        <v/>
      </c>
      <c r="AQ62" s="100" t="n">
        <v>1</v>
      </c>
      <c r="AR62" s="100">
        <f>IF(AO62=1,IF(AO62=AL62,1,0),5)</f>
        <v/>
      </c>
      <c r="AS62" s="50" t="n">
        <v>384</v>
      </c>
      <c r="AT62" s="50" t="n">
        <v>295</v>
      </c>
      <c r="AU62" s="50" t="n">
        <v>335</v>
      </c>
      <c r="AV62" s="101">
        <f>(AT62+AU62)/2</f>
        <v/>
      </c>
      <c r="AW62" s="50" t="n">
        <v>370</v>
      </c>
      <c r="AX62" s="101">
        <f>(AS62+AV62+AW62)/3</f>
        <v/>
      </c>
      <c r="AY62" s="52">
        <f>(100*(AU62-AS62)/AS62)</f>
        <v/>
      </c>
      <c r="AZ62" s="52">
        <f>IF(AY62&lt;-50,-4,IF(AY62&lt;-20,-2,IF(AY62&lt;0,-1,IF(AY62=0,0,IF(AY62&lt;10,1.5,IF(AY62&lt;20,2,IF(AY62&gt;19,2.5,2.5)))))))</f>
        <v/>
      </c>
    </row>
    <row r="63" ht="12.75" customHeight="1">
      <c r="B63" s="98" t="inlineStr">
        <is>
          <t>Gujarat Kidney</t>
        </is>
      </c>
      <c r="C63" s="50" t="n">
        <v>2025</v>
      </c>
      <c r="D63" s="50" t="n">
        <v>1</v>
      </c>
      <c r="E63" s="100" t="n">
        <v>3.88</v>
      </c>
      <c r="F63" s="100" t="n">
        <v>25.71</v>
      </c>
      <c r="G63" s="100">
        <f>100*(F63-E63)/F63</f>
        <v/>
      </c>
      <c r="H63" s="100" t="n">
        <v>55.34</v>
      </c>
      <c r="I63" s="100" t="n">
        <v>9.5</v>
      </c>
      <c r="J63" s="100" t="n"/>
      <c r="K63" s="100" t="n">
        <v>1.85</v>
      </c>
      <c r="L63" s="100" t="n"/>
      <c r="M63" s="50" t="n">
        <v>16.55</v>
      </c>
      <c r="N63" s="50" t="n"/>
      <c r="O63" s="50" t="n">
        <v>40.4</v>
      </c>
      <c r="P63" s="100">
        <f>O63/I63</f>
        <v/>
      </c>
      <c r="Q63" s="100" t="n">
        <v>62</v>
      </c>
      <c r="R63" s="100" t="n">
        <v>62</v>
      </c>
      <c r="S63" s="100" t="n">
        <v>0</v>
      </c>
      <c r="T63" s="100" t="n"/>
      <c r="U63" s="100" t="n"/>
      <c r="V63" s="100" t="n">
        <v>1</v>
      </c>
      <c r="W63" s="100" t="n">
        <v>1</v>
      </c>
      <c r="X63" s="105" t="n">
        <v>1.06</v>
      </c>
      <c r="Y63" s="50" t="n">
        <v>5.73</v>
      </c>
      <c r="Z63" s="50" t="n">
        <v>19.04</v>
      </c>
      <c r="AA63" s="103">
        <f>IF(X63&lt;33,IF(Y63&gt;(1.1*X63),0,1),1)+IF(Y63&gt;(4*X63),-1,0)</f>
        <v/>
      </c>
      <c r="AB63" s="100" t="n">
        <v>0</v>
      </c>
      <c r="AC63" s="101">
        <f>IF(AB63&gt;9,1,0)+AB63/3+IF(AB63&gt;15,1,0)+IF(AB63&gt;20,1,0)</f>
        <v/>
      </c>
      <c r="AD63" s="50" t="n">
        <v>454</v>
      </c>
      <c r="AE63" s="50" t="n">
        <v>637</v>
      </c>
      <c r="AF63" s="50" t="n">
        <v>138</v>
      </c>
      <c r="AG63" s="101">
        <f>IF(G63&lt;0,0,1.2)+IF(G63&lt;14,0,0.9)+IF(P63&lt;0,0.7,0)+IF(P63&lt;6.5,1,0)+IF(P63&lt;23,1,0)+IF(R63&gt;80,0,1)+S63+IF(AD63&lt;20,0,1)+IF(AE63&lt;14,0,1)+IF(AF63&lt;26,0,1)</f>
        <v/>
      </c>
      <c r="AH63" s="101">
        <f>AG63+IF(AG63&gt;6,1,0)+IF(X63&lt;17,0,1)+IF(Y63&lt;11,0,1)+IF(Z63&lt;1.35,0,1)+AC63+AA63</f>
        <v/>
      </c>
      <c r="AI63" s="101" t="n">
        <v>11</v>
      </c>
      <c r="AJ63" s="104">
        <f>IF(AI63&gt;12.8,IF(AI63&gt;15.8,0.95,0.98),1)</f>
        <v/>
      </c>
      <c r="AK63" s="101">
        <f>((AG63*2.6+AH63)*AJ63*AQ63)</f>
        <v/>
      </c>
      <c r="AL63" s="50">
        <f>D63</f>
        <v/>
      </c>
      <c r="AM63" s="97">
        <f>B63</f>
        <v/>
      </c>
      <c r="AN63" s="106" t="n">
        <v>24</v>
      </c>
      <c r="AO63" s="99">
        <f>IF(AK63&gt;23.75,IF(Z63&lt;140,1,0),0)</f>
        <v/>
      </c>
      <c r="AP63" s="100">
        <f>IF(AK63&gt;23.2,IF(Y63&lt;300,IF(Y63&lt;35,IF(Y63&lt;8,3,2),1),0),0)</f>
        <v/>
      </c>
      <c r="AQ63" s="100" t="n">
        <v>1</v>
      </c>
      <c r="AR63" s="100">
        <f>IF(AO63=1,IF(AO63=AL63,1,0),5)</f>
        <v/>
      </c>
      <c r="AS63" s="50" t="n">
        <v>114</v>
      </c>
      <c r="AT63" s="50" t="n">
        <v>76</v>
      </c>
      <c r="AU63" s="50" t="n">
        <v>94</v>
      </c>
      <c r="AV63" s="101">
        <f>(AT63+AU63)/2</f>
        <v/>
      </c>
      <c r="AW63" s="50" t="n">
        <v>120</v>
      </c>
      <c r="AX63" s="101">
        <f>(AS63+AV63+AW63)/3</f>
        <v/>
      </c>
      <c r="AY63" s="52">
        <f>(100*(AU63-AS63)/AS63)</f>
        <v/>
      </c>
      <c r="AZ63" s="52">
        <f>IF(AY63&lt;-50,-4,IF(AY63&lt;-20,-2,IF(AY63&lt;0,-1,IF(AY63=0,0,IF(AY63&lt;10,1.5,IF(AY63&lt;20,2,IF(AY63&gt;19,2.5,2.5)))))))</f>
        <v/>
      </c>
      <c r="BB63" s="52" t="n">
        <v>121</v>
      </c>
    </row>
    <row r="64" ht="12.75" customHeight="1">
      <c r="A64" s="52" t="inlineStr">
        <is>
          <t>https://www.chittorgarh.com/ipo/bharat-coking-coal-ipo/2462/</t>
        </is>
      </c>
      <c r="B64" s="62" t="inlineStr">
        <is>
          <t>Bharat Coking Coal D</t>
        </is>
      </c>
      <c r="C64" s="52" t="inlineStr">
        <is>
          <t>2026</t>
        </is>
      </c>
      <c r="D64" s="50" t="n">
        <v>1</v>
      </c>
      <c r="E64" s="52" t="n">
        <v>0</v>
      </c>
      <c r="F64" s="52" t="n">
        <v>6551.23</v>
      </c>
      <c r="G64" s="100">
        <f>100*(F64-E64)/F64</f>
        <v/>
      </c>
      <c r="H64" s="52" t="n">
        <v>17283.48</v>
      </c>
      <c r="I64" s="52" t="n">
        <v>1240.19</v>
      </c>
      <c r="J64" s="52" t="n">
        <v>1.96</v>
      </c>
      <c r="K64" s="52" t="n">
        <v>2.66</v>
      </c>
      <c r="L64" s="52" t="n">
        <v>0</v>
      </c>
      <c r="M64" s="52" t="n">
        <v>2356.06</v>
      </c>
      <c r="N64" s="52" t="n">
        <v>7.29</v>
      </c>
      <c r="O64" s="52" t="n">
        <v>14401.63</v>
      </c>
      <c r="P64" s="100">
        <f>O64/I64</f>
        <v/>
      </c>
      <c r="Q64" s="52" t="n">
        <v>8.640000000000001</v>
      </c>
      <c r="R64" s="52" t="n">
        <v>43.23</v>
      </c>
      <c r="S64" s="100" t="n">
        <v>0</v>
      </c>
      <c r="T64" s="52" t="n">
        <v>1068.78</v>
      </c>
      <c r="U64" s="52" t="n">
        <v>0</v>
      </c>
      <c r="V64" s="52" t="n">
        <v>1</v>
      </c>
      <c r="W64" s="52" t="n">
        <v>1</v>
      </c>
      <c r="X64" s="52" t="n">
        <v>310.81</v>
      </c>
      <c r="Y64" s="52" t="n">
        <v>240.49</v>
      </c>
      <c r="Z64" s="52" t="n">
        <v>49.37</v>
      </c>
      <c r="AA64" s="103">
        <f>IF(X64&lt;33,IF(Y64&gt;(1.1*X64),0,1),1)+IF(Y64&gt;(4*X64),-1,0)</f>
        <v/>
      </c>
      <c r="AB64" s="52" t="n">
        <v>80</v>
      </c>
      <c r="AC64" s="101">
        <f>IF(AB64&gt;9,1,0)+AB64/3+IF(AB64&gt;15,1,0)+IF(AB64&gt;20,1,0)</f>
        <v/>
      </c>
      <c r="AD64" s="52" t="n">
        <v>-20.73</v>
      </c>
      <c r="AE64" s="52" t="n">
        <v>-1.71</v>
      </c>
      <c r="AF64" s="52" t="n">
        <v>22.33</v>
      </c>
      <c r="AG64" s="101">
        <f>IF(G64&lt;0,0,1.2)+IF(G64&lt;14,0,0.9)+IF(P64&lt;0,0.7,0)+IF(P64&lt;6.5,1,0)+IF(P64&lt;23,1,0)+IF(R64&gt;80,0,1)+S64+IF(AD64&lt;20,0,1)+IF(AE64&lt;14,0,1)+IF(AF64&lt;26,0,1)</f>
        <v/>
      </c>
      <c r="AH64" s="101">
        <f>AG64+IF(AG64&gt;6,1,0)+IF(X64&lt;17,0,1)+IF(Y64&lt;11,0,1)+IF(Z64&lt;1.35,0,1)+AC64+AA64</f>
        <v/>
      </c>
      <c r="AI64" s="101" t="n">
        <v>11</v>
      </c>
      <c r="AJ64" s="104">
        <f>IF(AI64&gt;12.8,IF(AI64&gt;15.8,0.95,0.98),1)</f>
        <v/>
      </c>
      <c r="AK64" s="101">
        <f>((AG64*2.6+AH64)*AJ64*AQ64)</f>
        <v/>
      </c>
      <c r="AL64" s="50">
        <f>D64</f>
        <v/>
      </c>
      <c r="AM64" s="97">
        <f>B64</f>
        <v/>
      </c>
      <c r="AN64" s="52" t="n">
        <v>13</v>
      </c>
      <c r="AO64" s="99">
        <f>IF(AK64&gt;23.75,IF(Z64&lt;140,1,0),0)</f>
        <v/>
      </c>
      <c r="AP64" s="100">
        <f>IF(AK64&gt;23.2,IF(Y64&lt;300,IF(Y64&lt;35,IF(Y64&lt;8,3,2),1),0),0)</f>
        <v/>
      </c>
      <c r="AQ64" s="100" t="n">
        <v>1</v>
      </c>
      <c r="AR64" s="100">
        <f>IF(AO64=1,IF(AO64=AL64,1,0),5)</f>
        <v/>
      </c>
      <c r="AS64" s="52" t="n">
        <v>23</v>
      </c>
      <c r="AT64" s="52" t="n">
        <v>18</v>
      </c>
      <c r="AU64" s="52" t="n">
        <v>19</v>
      </c>
      <c r="AV64" s="101">
        <f>(AT64+AU64)/2</f>
        <v/>
      </c>
      <c r="AW64" s="52" t="n">
        <v>45</v>
      </c>
      <c r="AX64" s="101">
        <f>(AS64+AV64+AW64)/3</f>
        <v/>
      </c>
      <c r="AY64" s="52">
        <f>(100*(AU64-AS64)/AS64)</f>
        <v/>
      </c>
      <c r="AZ64" s="52">
        <f>IF(AY64&lt;-50,-4,IF(AY64&lt;-20,-2,IF(AY64&lt;0,-1,IF(AY64=0,0,IF(AY64&lt;10,1.5,IF(AY64&lt;20,2,IF(AY64&gt;19,2.5,2.5)))))))</f>
        <v/>
      </c>
      <c r="BB64" s="52" t="n">
        <v>466</v>
      </c>
    </row>
    <row r="65" ht="12.75" customHeight="1">
      <c r="A65" s="52" t="inlineStr">
        <is>
          <t>https://www.chittorgarh.com/ipo/amagi-media-labs-ipo/2549/</t>
        </is>
      </c>
      <c r="B65" s="62" t="inlineStr">
        <is>
          <t>Amagi Media Labs Dat</t>
        </is>
      </c>
      <c r="C65" s="52" t="inlineStr">
        <is>
          <t>2026</t>
        </is>
      </c>
      <c r="D65" s="50" t="n">
        <v>1</v>
      </c>
      <c r="E65" s="52" t="n">
        <v>0</v>
      </c>
      <c r="F65" s="52" t="n">
        <v>509.45</v>
      </c>
      <c r="G65" s="100">
        <f>100*(F65-E65)/F65</f>
        <v/>
      </c>
      <c r="H65" s="52" t="n">
        <v>1425</v>
      </c>
      <c r="I65" s="52" t="n">
        <v>-68.70999999999999</v>
      </c>
      <c r="J65" s="52" t="n">
        <v>0.88</v>
      </c>
      <c r="K65" s="52" t="n">
        <v>-3.55</v>
      </c>
      <c r="L65" s="52" t="n">
        <v>0</v>
      </c>
      <c r="M65" s="52" t="n">
        <v>23.49</v>
      </c>
      <c r="N65" s="52" t="n">
        <v>8.26</v>
      </c>
      <c r="O65" s="52" t="n">
        <v>1223.31</v>
      </c>
      <c r="P65" s="100">
        <f>O65/I65</f>
        <v/>
      </c>
      <c r="Q65" s="52" t="n">
        <v>-101.78</v>
      </c>
      <c r="R65" s="52" t="n">
        <v>603.54</v>
      </c>
      <c r="S65" s="100" t="n">
        <v>0</v>
      </c>
      <c r="T65" s="52" t="n">
        <v>1788.62</v>
      </c>
      <c r="U65" s="52" t="n">
        <v>972.62</v>
      </c>
      <c r="V65" s="52" t="n">
        <v>1</v>
      </c>
      <c r="W65" s="52" t="n">
        <v>1</v>
      </c>
      <c r="X65" s="52" t="n">
        <v>33.13</v>
      </c>
      <c r="Y65" s="52" t="n">
        <v>38.26</v>
      </c>
      <c r="Z65" s="52" t="n">
        <v>9.539999999999999</v>
      </c>
      <c r="AA65" s="103">
        <f>IF(X65&lt;33,IF(Y65&gt;(1.1*X65),0,1),1)+IF(Y65&gt;(4*X65),-1,0)</f>
        <v/>
      </c>
      <c r="AB65" s="52" t="n">
        <v>0.235</v>
      </c>
      <c r="AC65" s="101">
        <f>IF(AB65&gt;9,1,0)+AB65/3+IF(AB65&gt;15,1,0)+IF(AB65&gt;20,1,0)</f>
        <v/>
      </c>
      <c r="AD65" s="52" t="n">
        <v>-71.95999999999999</v>
      </c>
      <c r="AE65" s="52" t="n">
        <v>29.83</v>
      </c>
      <c r="AF65" s="52" t="n">
        <v>2.55</v>
      </c>
      <c r="AG65" s="101">
        <f>IF(G65&lt;0,0,1.2)+IF(G65&lt;14,0,0.9)+IF(P65&lt;0,0.7,0)+IF(P65&lt;6.5,1,0)+IF(P65&lt;23,1,0)+IF(R65&gt;80,0,1)+S65+IF(AD65&lt;20,0,1)+IF(AE65&lt;14,0,1)+IF(AF65&lt;26,0,1)</f>
        <v/>
      </c>
      <c r="AH65" s="101">
        <f>AG65+IF(AG65&gt;6,1,0)+IF(X65&lt;17,0,1)+IF(Y65&lt;11,0,1)+IF(Z65&lt;1.35,0,1)+AC65+AA65</f>
        <v/>
      </c>
      <c r="AI65" s="101" t="n">
        <v>11</v>
      </c>
      <c r="AJ65" s="104">
        <f>IF(AI65&gt;12.8,IF(AI65&gt;15.8,0.95,0.98),1)</f>
        <v/>
      </c>
      <c r="AK65" s="101">
        <f>((AG65*2.6+AH65)*AJ65*AQ65)</f>
        <v/>
      </c>
      <c r="AL65" s="50">
        <f>D65</f>
        <v/>
      </c>
      <c r="AM65" s="97">
        <f>B65</f>
        <v/>
      </c>
      <c r="AN65" s="52" t="n">
        <v>16</v>
      </c>
      <c r="AO65" s="99">
        <f>IF(AK65&gt;23.75,IF(Z65&lt;140,1,0),0)</f>
        <v/>
      </c>
      <c r="AP65" s="100">
        <f>IF(AK65&gt;23.2,IF(Y65&lt;300,IF(Y65&lt;35,IF(Y65&lt;8,3,2),1),0),0)</f>
        <v/>
      </c>
      <c r="AQ65" s="100" t="n">
        <v>1</v>
      </c>
      <c r="AR65" s="100">
        <f>IF(AO65=1,IF(AO65=AL65,1,0),5)</f>
        <v/>
      </c>
      <c r="AS65" s="52" t="n">
        <v>361</v>
      </c>
      <c r="AT65" s="52" t="n">
        <v>380</v>
      </c>
      <c r="AU65" s="52" t="n">
        <v>415</v>
      </c>
      <c r="AV65" s="101">
        <f>(AT65+AU65)/2</f>
        <v/>
      </c>
      <c r="AW65" s="52" t="n">
        <v>318</v>
      </c>
      <c r="AX65" s="101">
        <f>(AS65+AV65+AW65)/3</f>
        <v/>
      </c>
      <c r="AY65" s="52">
        <f>(100*(AU65-AS65)/AS65)</f>
        <v/>
      </c>
      <c r="AZ65" s="52">
        <f>IF(AY65&lt;-50,-4,IF(AY65&lt;-20,-2,IF(AY65&lt;0,-1,IF(AY65=0,0,IF(AY65&lt;10,1.5,IF(AY65&lt;20,2,IF(AY65&gt;19,2.5,2.5)))))))</f>
        <v/>
      </c>
    </row>
    <row r="66" ht="12.75" customHeight="1">
      <c r="A66" s="52" t="inlineStr">
        <is>
          <t>https://www.chittorgarh.com/ipo/shadowfax-technologies-ipo/2526/</t>
        </is>
      </c>
      <c r="B66" s="62" t="inlineStr">
        <is>
          <t>Shadowfax Technologi</t>
        </is>
      </c>
      <c r="C66" s="52" t="inlineStr">
        <is>
          <t>2026</t>
        </is>
      </c>
      <c r="D66" s="50" t="n">
        <v>0</v>
      </c>
      <c r="E66" s="52" t="n">
        <v>132.23</v>
      </c>
      <c r="F66" s="52" t="n">
        <v>660.4299999999999</v>
      </c>
      <c r="G66" s="100">
        <f>100*(F66-E66)/F66</f>
        <v/>
      </c>
      <c r="H66" s="52" t="n">
        <v>1259.26</v>
      </c>
      <c r="I66" s="52" t="n">
        <v>6.06</v>
      </c>
      <c r="J66" s="52" t="n">
        <v>0</v>
      </c>
      <c r="K66" s="52" t="n">
        <v>0.12</v>
      </c>
      <c r="L66" s="52" t="n">
        <v>0</v>
      </c>
      <c r="M66" s="52" t="n">
        <v>56.19</v>
      </c>
      <c r="N66" s="52" t="n">
        <v>2.86</v>
      </c>
      <c r="O66" s="52" t="n">
        <v>2514.66</v>
      </c>
      <c r="P66" s="100">
        <f>O66/I66</f>
        <v/>
      </c>
      <c r="Q66" s="52" t="n">
        <v>1017.96</v>
      </c>
      <c r="R66" s="52" t="n">
        <v>170.39</v>
      </c>
      <c r="S66" s="100" t="n">
        <v>0</v>
      </c>
      <c r="T66" s="52" t="n">
        <v>1907.27</v>
      </c>
      <c r="U66" s="52" t="n">
        <v>907.27</v>
      </c>
      <c r="V66" s="52" t="n">
        <v>1</v>
      </c>
      <c r="W66" s="52" t="n">
        <v>1</v>
      </c>
      <c r="X66" s="52" t="n">
        <v>4</v>
      </c>
      <c r="Y66" s="52" t="n">
        <v>0.88</v>
      </c>
      <c r="Z66" s="52" t="n">
        <v>2.43</v>
      </c>
      <c r="AA66" s="103">
        <f>IF(X66&lt;33,IF(Y66&gt;(1.1*X66),0,1),1)+IF(Y66&gt;(4*X66),-1,0)</f>
        <v/>
      </c>
      <c r="AB66" s="52" t="n">
        <v>0</v>
      </c>
      <c r="AC66" s="101">
        <f>IF(AB66&gt;9,1,0)+AB66/3+IF(AB66&gt;15,1,0)+IF(AB66&gt;20,1,0)</f>
        <v/>
      </c>
      <c r="AD66" s="52" t="n">
        <v>-151.01</v>
      </c>
      <c r="AE66" s="52" t="n">
        <v>32.6</v>
      </c>
      <c r="AF66" s="52" t="n">
        <v>56.58</v>
      </c>
      <c r="AG66" s="101">
        <f>IF(G66&lt;0,0,1.2)+IF(G66&lt;14,0,0.9)+IF(P66&lt;0,0.7,0)+IF(P66&lt;6.5,1,0)+IF(P66&lt;23,1,0)+IF(R66&gt;80,0,1)+S66+IF(AD66&lt;20,0,1)+IF(AE66&lt;14,0,1)+IF(AF66&lt;26,0,1)</f>
        <v/>
      </c>
      <c r="AH66" s="101">
        <f>AG66+IF(AG66&gt;6,1,0)+IF(X66&lt;17,0,1)+IF(Y66&lt;11,0,1)+IF(Z66&lt;1.35,0,1)+AC66+AA66</f>
        <v/>
      </c>
      <c r="AI66" s="101" t="n">
        <v>13</v>
      </c>
      <c r="AJ66" s="104">
        <f>IF(AI66&gt;12.8,IF(AI66&gt;15.8,0.95,0.98),1)</f>
        <v/>
      </c>
      <c r="AK66" s="101">
        <f>((AG66*2.6+AH66)*AJ66*AQ66)</f>
        <v/>
      </c>
      <c r="AL66" s="50">
        <f>D66</f>
        <v/>
      </c>
      <c r="AM66" s="97">
        <f>B66</f>
        <v/>
      </c>
      <c r="AN66" s="52" t="n">
        <v>22</v>
      </c>
      <c r="AO66" s="99">
        <f>IF(AK66&gt;23.75,IF(Z66&lt;140,1,0),0)</f>
        <v/>
      </c>
      <c r="AP66" s="100">
        <f>IF(AK66&gt;23.2,IF(Y66&lt;300,IF(Y66&lt;35,IF(Y66&lt;8,3,2),1),0),0)</f>
        <v/>
      </c>
      <c r="AQ66" s="100" t="n">
        <v>1</v>
      </c>
      <c r="AR66" s="100">
        <f>IF(AO66=1,IF(AO66=AL66,1,0),5)</f>
        <v/>
      </c>
      <c r="AS66" s="52" t="n">
        <v>124</v>
      </c>
      <c r="AT66" s="52" t="n">
        <v>47</v>
      </c>
      <c r="AU66" s="52" t="n">
        <v>62</v>
      </c>
      <c r="AV66" s="101">
        <f>(AT66+AU66)/2</f>
        <v/>
      </c>
      <c r="AW66" s="52" t="n">
        <v>112</v>
      </c>
      <c r="AX66" s="101">
        <f>(AS66+AV66+AW66)/3</f>
        <v/>
      </c>
      <c r="AY66" s="52">
        <f>(100*(AU66-AS66)/AS66)</f>
        <v/>
      </c>
      <c r="AZ66" s="52">
        <f>IF(AY66&lt;-50,-4,IF(AY66&lt;-20,-2,IF(AY66&lt;0,-1,IF(AY66=0,0,IF(AY66&lt;10,1.5,IF(AY66&lt;20,2,IF(AY66&gt;19,2.5,2.5)))))))</f>
        <v/>
      </c>
    </row>
    <row r="67" ht="12.75" customHeight="1">
      <c r="A67" s="52" t="inlineStr">
        <is>
          <t>https://www.chittorgarh.com/ipo/fractal-analytics-ipo/2569/</t>
        </is>
      </c>
      <c r="B67" s="62" t="inlineStr">
        <is>
          <t>Fractal Analytics Da</t>
        </is>
      </c>
      <c r="C67" s="52" t="inlineStr">
        <is>
          <t>2026</t>
        </is>
      </c>
      <c r="D67" s="50" t="n">
        <v>0</v>
      </c>
      <c r="E67" s="52" t="n">
        <v>266.2</v>
      </c>
      <c r="F67" s="52" t="n">
        <v>1748.3</v>
      </c>
      <c r="G67" s="100">
        <f>100*(F67-E67)/F67</f>
        <v/>
      </c>
      <c r="H67" s="52" t="n">
        <v>2857.6</v>
      </c>
      <c r="I67" s="52" t="n">
        <v>220.6</v>
      </c>
      <c r="J67" s="52" t="n">
        <v>4.5</v>
      </c>
      <c r="K67" s="52" t="n">
        <v>13.74</v>
      </c>
      <c r="L67" s="52" t="n">
        <v>0</v>
      </c>
      <c r="M67" s="52" t="n">
        <v>398</v>
      </c>
      <c r="N67" s="52" t="n">
        <v>11.9</v>
      </c>
      <c r="O67" s="52" t="n">
        <v>2816.2</v>
      </c>
      <c r="P67" s="100">
        <f>O67/I67</f>
        <v/>
      </c>
      <c r="Q67" s="52" t="n">
        <v>65.5</v>
      </c>
      <c r="R67" s="52" t="n">
        <v>109.12</v>
      </c>
      <c r="S67" s="100" t="n">
        <v>0</v>
      </c>
      <c r="T67" s="52" t="n">
        <v>2833.9</v>
      </c>
      <c r="U67" s="52" t="n">
        <v>1810.4</v>
      </c>
      <c r="V67" s="52" t="n">
        <v>1</v>
      </c>
      <c r="W67" s="52" t="n">
        <v>1</v>
      </c>
      <c r="X67" s="52" t="n">
        <v>4.41</v>
      </c>
      <c r="Y67" s="52" t="n">
        <v>1.11</v>
      </c>
      <c r="Z67" s="52" t="n">
        <v>1.1</v>
      </c>
      <c r="AA67" s="103">
        <f>IF(X67&lt;33,IF(Y67&gt;(1.1*X67),0,1),1)+IF(Y67&gt;(4*X67),-1,0)</f>
        <v/>
      </c>
      <c r="AB67" s="52" t="n">
        <v>0</v>
      </c>
      <c r="AC67" s="101">
        <f>IF(AB67&gt;9,1,0)+AB67/3+IF(AB67&gt;15,1,0)+IF(AB67&gt;20,1,0)</f>
        <v/>
      </c>
      <c r="AD67" s="52" t="n">
        <v>-503.29</v>
      </c>
      <c r="AE67" s="52" t="n">
        <v>25.62</v>
      </c>
      <c r="AF67" s="52" t="n">
        <v>25.15</v>
      </c>
      <c r="AG67" s="101">
        <f>IF(G67&lt;0,0,1.2)+IF(G67&lt;14,0,0.9)+IF(P67&lt;0,0.7,0)+IF(P67&lt;6.5,1,0)+IF(P67&lt;23,1,0)+IF(R67&gt;80,0,1)+S67+IF(AD67&lt;20,0,1)+IF(AE67&lt;14,0,1)+IF(AF67&lt;26,0,1)</f>
        <v/>
      </c>
      <c r="AH67" s="101">
        <f>AG67+IF(AG67&gt;6,1,0)+IF(X67&lt;17,0,1)+IF(Y67&lt;11,0,1)+IF(Z67&lt;1.35,0,1)+AC67+AA67</f>
        <v/>
      </c>
      <c r="AI67" s="101" t="n">
        <v>11</v>
      </c>
      <c r="AJ67" s="104">
        <f>IF(AI67&gt;12.8,IF(AI67&gt;15.8,0.95,0.98),1)</f>
        <v/>
      </c>
      <c r="AK67" s="101">
        <f>((AG67*2.6+AH67)*AJ67*AQ67)</f>
        <v/>
      </c>
      <c r="AL67" s="50">
        <f>D67</f>
        <v/>
      </c>
      <c r="AM67" s="97">
        <f>B67</f>
        <v/>
      </c>
      <c r="AN67" s="107" t="n">
        <v>11</v>
      </c>
      <c r="AO67" s="99">
        <f>IF(AK67&gt;23.75,IF(Z67&lt;140,1,0),0)</f>
        <v/>
      </c>
      <c r="AP67" s="100">
        <f>IF(AK67&gt;23.2,IF(Y67&lt;300,IF(Y67&lt;35,IF(Y67&lt;8,3,2),1),0),0)</f>
        <v/>
      </c>
      <c r="AQ67" s="100" t="n">
        <v>1</v>
      </c>
      <c r="AR67" s="100">
        <f>IF(AO67=1,IF(AO67=AL67,1,0),5)</f>
        <v/>
      </c>
      <c r="AS67" s="52" t="n">
        <v>900</v>
      </c>
      <c r="AT67" s="52" t="n">
        <v>801</v>
      </c>
      <c r="AU67" s="52" t="n">
        <v>801</v>
      </c>
      <c r="AV67" s="101">
        <f>(AT67+AU67)/2</f>
        <v/>
      </c>
      <c r="AW67" s="52" t="n">
        <v>876</v>
      </c>
      <c r="AX67" s="101">
        <f>(AS67+AV67+AW67)/3</f>
        <v/>
      </c>
      <c r="AY67" s="52">
        <f>(100*(AU67-AS67)/AS67)</f>
        <v/>
      </c>
      <c r="AZ67" s="52">
        <f>IF(AY67&lt;-50,-4,IF(AY67&lt;-20,-2,IF(AY67&lt;0,-1,IF(AY67=0,0,IF(AY67&lt;10,1.5,IF(AY67&lt;20,2,IF(AY67&gt;19,2.5,2.5)))))))</f>
        <v/>
      </c>
    </row>
    <row r="68" ht="12.75" customHeight="1">
      <c r="A68" s="52" t="inlineStr">
        <is>
          <t>https://www.chittorgarh.com/ipo/aye-finance-ipo/2026/</t>
        </is>
      </c>
      <c r="B68" s="62" t="inlineStr">
        <is>
          <t>Aye Finance Date, Pr</t>
        </is>
      </c>
      <c r="C68" s="52" t="inlineStr">
        <is>
          <t>2026</t>
        </is>
      </c>
      <c r="D68" s="50" t="n">
        <v>0</v>
      </c>
      <c r="E68" s="52" t="n">
        <v>4526.33</v>
      </c>
      <c r="F68" s="52" t="n">
        <v>1658.87</v>
      </c>
      <c r="G68" s="100">
        <f>100*(F68-E68)/F68</f>
        <v/>
      </c>
      <c r="H68" s="52" t="n">
        <v>6338.63</v>
      </c>
      <c r="I68" s="52" t="n">
        <v>175.25</v>
      </c>
      <c r="J68" s="52" t="n">
        <v>0</v>
      </c>
      <c r="K68" s="52" t="n">
        <v>9.140000000000001</v>
      </c>
      <c r="L68" s="52" t="n">
        <v>7.63</v>
      </c>
      <c r="M68" s="52" t="n">
        <v>0</v>
      </c>
      <c r="N68" s="52" t="n">
        <v>0</v>
      </c>
      <c r="O68" s="52" t="n">
        <v>1504.99</v>
      </c>
      <c r="P68" s="100">
        <f>O68/I68</f>
        <v/>
      </c>
      <c r="Q68" s="52" t="n">
        <v>14.11</v>
      </c>
      <c r="R68" s="52" t="n">
        <v>24.64</v>
      </c>
      <c r="S68" s="100" t="n">
        <v>0</v>
      </c>
      <c r="T68" s="52" t="n">
        <v>1010</v>
      </c>
      <c r="U68" s="52" t="n">
        <v>300</v>
      </c>
      <c r="V68" s="52" t="n">
        <v>1</v>
      </c>
      <c r="W68" s="52" t="n">
        <v>1</v>
      </c>
      <c r="X68" s="52" t="n">
        <v>0.74</v>
      </c>
      <c r="Y68" s="52" t="n">
        <v>0.04</v>
      </c>
      <c r="Z68" s="52" t="n">
        <v>0.71</v>
      </c>
      <c r="AA68" s="103">
        <f>IF(X68&lt;33,IF(Y68&gt;(1.1*X68),0,1),1)+IF(Y68&gt;(4*X68),-1,0)</f>
        <v/>
      </c>
      <c r="AB68" s="52" t="n">
        <v>0</v>
      </c>
      <c r="AC68" s="101">
        <f>IF(AB68&gt;9,1,0)+AB68/3+IF(AB68&gt;15,1,0)+IF(AB68&gt;20,1,0)</f>
        <v/>
      </c>
      <c r="AD68" s="52" t="n">
        <v>2.08</v>
      </c>
      <c r="AE68" s="52" t="n">
        <v>40.42</v>
      </c>
      <c r="AF68" s="52" t="n">
        <v>34.58</v>
      </c>
      <c r="AG68" s="101">
        <f>IF(G68&lt;0,0,1.2)+IF(G68&lt;14,0,0.9)+IF(P68&lt;0,0.7,0)+IF(P68&lt;6.5,1,0)+IF(P68&lt;23,1,0)+IF(R68&gt;80,0,1)+S68+IF(AD68&lt;20,0,1)+IF(AE68&lt;14,0,1)+IF(AF68&lt;26,0,1)</f>
        <v/>
      </c>
      <c r="AH68" s="101">
        <f>AG68+IF(AG68&gt;6,1,0)+IF(X68&lt;17,0,1)+IF(Y68&lt;11,0,1)+IF(Z68&lt;1.35,0,1)+AC68+AA68</f>
        <v/>
      </c>
      <c r="AI68" s="101" t="n">
        <v>12</v>
      </c>
      <c r="AJ68" s="104">
        <f>IF(AI68&gt;12.8,IF(AI68&gt;15.8,0.95,0.98),1)</f>
        <v/>
      </c>
      <c r="AK68" s="101">
        <f>((AG68*2.6+AH68)*AJ68*AQ68)</f>
        <v/>
      </c>
      <c r="AL68" s="50">
        <f>D68</f>
        <v/>
      </c>
      <c r="AM68" s="97">
        <f>B68</f>
        <v/>
      </c>
      <c r="AN68" s="107" t="n">
        <v>11</v>
      </c>
      <c r="AO68" s="99">
        <f>IF(AK68&gt;23.75,IF(Z68&lt;140,1,0),0)</f>
        <v/>
      </c>
      <c r="AP68" s="100">
        <f>IF(AK68&gt;23.2,IF(Y68&lt;300,IF(Y68&lt;35,IF(Y68&lt;8,3,2),1),0),0)</f>
        <v/>
      </c>
      <c r="AQ68" s="100" t="n">
        <v>1</v>
      </c>
      <c r="AR68" s="100">
        <f>IF(AO68=1,IF(AO68=AL68,1,0),5)</f>
        <v/>
      </c>
      <c r="AS68" s="52" t="n">
        <v>129</v>
      </c>
      <c r="AT68" s="52" t="n">
        <v>63</v>
      </c>
      <c r="AU68" s="52" t="n">
        <v>74</v>
      </c>
      <c r="AV68" s="101">
        <f>(AT68+AU68)/2</f>
        <v/>
      </c>
      <c r="AW68" s="52" t="n">
        <v>129</v>
      </c>
      <c r="AX68" s="101">
        <f>(AS68+AV68+AW68)/3</f>
        <v/>
      </c>
      <c r="AY68" s="52">
        <f>(100*(AU68-AS68)/AS68)</f>
        <v/>
      </c>
      <c r="AZ68" s="52">
        <f>IF(AY68&lt;-50,-4,IF(AY68&lt;-20,-2,IF(AY68&lt;0,-1,IF(AY68=0,0,IF(AY68&lt;10,1.5,IF(AY68&lt;20,2,IF(AY68&gt;19,2.5,2.5)))))))</f>
        <v/>
      </c>
    </row>
    <row r="69" ht="12.75" customHeight="1">
      <c r="A69" s="52" t="inlineStr">
        <is>
          <t>https://www.chittorgarh.com/ipo/gaudium-ivf-ipo/2019/</t>
        </is>
      </c>
      <c r="B69" s="62" t="inlineStr">
        <is>
          <t>Gaudium IVF Date, Pr</t>
        </is>
      </c>
      <c r="C69" s="52" t="inlineStr">
        <is>
          <t>2026</t>
        </is>
      </c>
      <c r="D69" s="52" t="n">
        <v>1</v>
      </c>
      <c r="E69" s="52" t="n">
        <v>18.93</v>
      </c>
      <c r="F69" s="52" t="n">
        <v>46.3</v>
      </c>
      <c r="G69" s="100">
        <f>100*(F69-E69)/F69</f>
        <v/>
      </c>
      <c r="H69" s="52" t="n">
        <v>88.51000000000001</v>
      </c>
      <c r="I69" s="52" t="n">
        <v>19.13</v>
      </c>
      <c r="J69" s="52" t="n">
        <v>25.14</v>
      </c>
      <c r="K69" s="52" t="n">
        <v>3.12</v>
      </c>
      <c r="L69" s="52" t="n">
        <v>21.25</v>
      </c>
      <c r="M69" s="52" t="n">
        <v>28.63</v>
      </c>
      <c r="N69" s="52" t="n">
        <v>38.29</v>
      </c>
      <c r="O69" s="52" t="n">
        <v>70.95999999999999</v>
      </c>
      <c r="P69" s="100">
        <f>O69/I69</f>
        <v/>
      </c>
      <c r="Q69" s="52" t="n">
        <v>25.36</v>
      </c>
      <c r="R69" s="52" t="n">
        <v>22.99</v>
      </c>
      <c r="S69" s="100" t="n">
        <v>0</v>
      </c>
      <c r="T69" s="52" t="n">
        <v>165</v>
      </c>
      <c r="U69" s="52" t="n">
        <v>75</v>
      </c>
      <c r="V69" s="52" t="n">
        <v>1</v>
      </c>
      <c r="W69" s="52" t="n">
        <v>1</v>
      </c>
      <c r="X69" s="52" t="n">
        <v>0</v>
      </c>
      <c r="Y69" s="52" t="n">
        <v>0</v>
      </c>
      <c r="Z69" s="52" t="n">
        <v>2</v>
      </c>
      <c r="AA69" s="103">
        <f>IF(X69&lt;33,IF(Y69&gt;(1.1*X69),0,1),1)+IF(Y69&gt;(4*X69),-1,0)</f>
        <v/>
      </c>
      <c r="AB69" s="52" t="n">
        <v>5.06</v>
      </c>
      <c r="AC69" s="101">
        <f>IF(AB69&gt;9,1,0)+AB69/3+IF(AB69&gt;15,1,0)+IF(AB69&gt;20,1,0)</f>
        <v/>
      </c>
      <c r="AD69" s="52" t="n">
        <v>85.37</v>
      </c>
      <c r="AE69" s="52" t="n">
        <v>47.37</v>
      </c>
      <c r="AF69" s="52" t="n">
        <v>71.55</v>
      </c>
      <c r="AG69" s="101">
        <f>IF(G69&lt;0,0,1.2)+IF(G69&lt;14,0,0.9)+IF(P69&lt;0,0.7,0)+IF(P69&lt;6.5,1,0)+IF(P69&lt;23,1,0)+IF(R69&gt;80,0,1)+S69+IF(AD69&lt;20,0,1)+IF(AE69&lt;14,0,1)+IF(AF69&lt;26,0,1)</f>
        <v/>
      </c>
      <c r="AH69" s="101">
        <f>AG69+IF(AG69&gt;6,1,0)+IF(X69&lt;17,0,1)+IF(Y69&lt;11,0,1)+IF(Z69&lt;1.35,0,1)+AC69+AA69</f>
        <v/>
      </c>
      <c r="AI69" s="101" t="n">
        <v>13</v>
      </c>
      <c r="AJ69" s="104">
        <f>IF(AI69&gt;12.8,IF(AI69&gt;15.8,0.95,0.98),1)</f>
        <v/>
      </c>
      <c r="AK69" s="101">
        <f>((AG69*2.6+AH69)*AJ69*AQ69)</f>
        <v/>
      </c>
      <c r="AL69" s="50">
        <f>D69</f>
        <v/>
      </c>
      <c r="AM69" s="97">
        <f>B69</f>
        <v/>
      </c>
      <c r="AN69" s="107" t="n">
        <v>24</v>
      </c>
      <c r="AO69" s="99">
        <f>IF(AK69&gt;23.75,IF(Z69&lt;140,1,0),0)</f>
        <v/>
      </c>
      <c r="AP69" s="100">
        <f>IF(AK69&gt;23.2,IF(Y69&lt;300,IF(Y69&lt;35,IF(Y69&lt;8,3,2),1),0),0)</f>
        <v/>
      </c>
      <c r="AQ69" s="100" t="n">
        <v>1</v>
      </c>
      <c r="AR69" s="100">
        <f>IF(AO69=1,IF(AO69=AL69,1,0),5)</f>
        <v/>
      </c>
      <c r="AS69" s="52" t="n">
        <v>79</v>
      </c>
      <c r="AT69" s="52" t="n">
        <v>79</v>
      </c>
      <c r="AU69" s="52" t="n">
        <v>89</v>
      </c>
      <c r="AV69" s="101">
        <f>(AT69+AU69)/2</f>
        <v/>
      </c>
      <c r="AW69" s="52" t="n">
        <v>83</v>
      </c>
      <c r="AX69" s="101">
        <f>(AS69+AV69+AW69)/3</f>
        <v/>
      </c>
      <c r="AY69" s="52">
        <f>(100*(AU69-AS69)/AS69)</f>
        <v/>
      </c>
      <c r="AZ69" s="52">
        <f>IF(AY69&lt;-50,-4,IF(AY69&lt;-20,-2,IF(AY69&lt;0,-1,IF(AY69=0,0,IF(AY69&lt;10,1.5,IF(AY69&lt;20,2,IF(AY69&gt;19,2.5,2.5)))))))</f>
        <v/>
      </c>
      <c r="BB69" s="52" t="n">
        <v>83</v>
      </c>
    </row>
    <row r="70" ht="12.75" customHeight="1">
      <c r="A70" s="52" t="inlineStr">
        <is>
          <t>https://www.chittorgarh.com/ipo/shree-ram-twistex-ipo/2502/</t>
        </is>
      </c>
      <c r="B70" s="62" t="inlineStr">
        <is>
          <t>Shree Ram Twistex Da</t>
        </is>
      </c>
      <c r="C70" s="52" t="inlineStr">
        <is>
          <t>2026</t>
        </is>
      </c>
      <c r="D70" s="52" t="n">
        <v>0</v>
      </c>
      <c r="E70" s="52" t="n">
        <v>62.48</v>
      </c>
      <c r="F70" s="52" t="n">
        <v>74.03</v>
      </c>
      <c r="G70" s="100">
        <f>100*(F70-E70)/F70</f>
        <v/>
      </c>
      <c r="H70" s="52" t="n">
        <v>194.2</v>
      </c>
      <c r="I70" s="52" t="n">
        <v>8</v>
      </c>
      <c r="J70" s="52" t="n">
        <v>5.3</v>
      </c>
      <c r="K70" s="52" t="n">
        <v>2.72</v>
      </c>
      <c r="L70" s="52" t="n">
        <v>0</v>
      </c>
      <c r="M70" s="52" t="n">
        <v>21.85</v>
      </c>
      <c r="N70" s="52" t="n">
        <v>12.9</v>
      </c>
      <c r="O70" s="52" t="n">
        <v>256.32</v>
      </c>
      <c r="P70" s="100">
        <f>O70/I70</f>
        <v/>
      </c>
      <c r="Q70" s="52" t="n">
        <v>38.21</v>
      </c>
      <c r="R70" s="52" t="n">
        <v>29.69</v>
      </c>
      <c r="S70" s="100" t="n">
        <v>-0.9</v>
      </c>
      <c r="T70" s="52" t="n">
        <v>110.24</v>
      </c>
      <c r="U70" s="52" t="n">
        <v>0</v>
      </c>
      <c r="V70" s="52" t="n">
        <v>0</v>
      </c>
      <c r="W70" s="52" t="n">
        <v>0</v>
      </c>
      <c r="X70" s="52" t="n">
        <v>3.94</v>
      </c>
      <c r="Y70" s="52" t="n">
        <v>220</v>
      </c>
      <c r="Z70" s="52" t="n">
        <v>75</v>
      </c>
      <c r="AA70" s="103">
        <f>IF(X70&lt;33,IF(Y70&gt;(1.1*X70),0,1),1)+IF(Y70&gt;(4*X70),-1,0)</f>
        <v/>
      </c>
      <c r="AB70" s="52" t="n">
        <v>0</v>
      </c>
      <c r="AC70" s="101">
        <f>IF(AB70&gt;9,1,0)+AB70/3+IF(AB70&gt;15,1,0)+IF(AB70&gt;20,1,0)</f>
        <v/>
      </c>
      <c r="AD70" s="52" t="n">
        <v>22.14</v>
      </c>
      <c r="AE70" s="52" t="n">
        <v>10.62</v>
      </c>
      <c r="AF70" s="52" t="n">
        <v>10.82</v>
      </c>
      <c r="AG70" s="101">
        <f>IF(G70&lt;0,0,1.2)+IF(G70&lt;14,0,0.9)+IF(P70&lt;0,0.7,0)+IF(P70&lt;6.5,1,0)+IF(P70&lt;23,1,0)+IF(R70&gt;80,0,1)+S70+IF(AD70&lt;20,0,1)+IF(AE70&lt;14,0,1)+IF(AF70&lt;26,0,1)</f>
        <v/>
      </c>
      <c r="AH70" s="101">
        <f>AG70+IF(AG70&gt;6,1,0)+IF(X70&lt;17,0,1)+IF(Y70&lt;11,0,1)+IF(Z70&lt;1.35,0,1)+AC70+AA70</f>
        <v/>
      </c>
      <c r="AI70" s="101" t="n">
        <v>14</v>
      </c>
      <c r="AJ70" s="104">
        <f>IF(AI70&gt;12.8,IF(AI70&gt;15.8,0.95,0.98),1)</f>
        <v/>
      </c>
      <c r="AK70" s="101">
        <f>((AG70*2.6+AH70)*AJ70*AQ70)</f>
        <v/>
      </c>
      <c r="AL70" s="50">
        <f>D70</f>
        <v/>
      </c>
      <c r="AM70" s="97">
        <f>B70</f>
        <v/>
      </c>
      <c r="AN70" s="107" t="n">
        <v>25</v>
      </c>
      <c r="AO70" s="99">
        <f>IF(AK70&gt;23.75,IF(Z70&lt;140,1,0),0)</f>
        <v/>
      </c>
      <c r="AP70" s="100">
        <f>IF(AK70&gt;23.2,IF(Y70&lt;300,IF(Y70&lt;35,IF(Y70&lt;8,3,2),1),0),0)</f>
        <v/>
      </c>
      <c r="AQ70" s="100" t="n">
        <v>1</v>
      </c>
      <c r="AR70" s="100">
        <f>IF(AO70=1,IF(AO70=AL70,1,0),5)</f>
        <v/>
      </c>
      <c r="AS70" s="52" t="n">
        <v>104</v>
      </c>
      <c r="AT70" s="52" t="n">
        <v>32</v>
      </c>
      <c r="AU70" s="52" t="n">
        <v>38</v>
      </c>
      <c r="AV70" s="101">
        <f>(AT70+AU70)/2</f>
        <v/>
      </c>
      <c r="AW70" s="52" t="n">
        <v>68</v>
      </c>
      <c r="AX70" s="101">
        <f>(AS70+AV70+AW70)/3</f>
        <v/>
      </c>
      <c r="AY70" s="52">
        <f>(100*(AU70-AS70)/AS70)</f>
        <v/>
      </c>
      <c r="AZ70" s="52">
        <f>IF(AY70&lt;-50,-4,IF(AY70&lt;-20,-2,IF(AY70&lt;0,-1,IF(AY70=0,0,IF(AY70&lt;10,1.5,IF(AY70&lt;20,2,IF(AY70&gt;19,2.5,2.5)))))))</f>
        <v/>
      </c>
      <c r="BB70" s="52" t="n">
        <v>75</v>
      </c>
    </row>
    <row r="71" ht="12.75" customHeight="1">
      <c r="A71" s="52" t="inlineStr">
        <is>
          <t>https://www.chittorgarh.com/ipo/clean-max-enviro-energy-solutions-ipo/2573/</t>
        </is>
      </c>
      <c r="B71" s="62" t="inlineStr">
        <is>
          <t>Clean Max Enviro Ene</t>
        </is>
      </c>
      <c r="C71" s="52" t="inlineStr">
        <is>
          <t>2026</t>
        </is>
      </c>
      <c r="D71" s="52" t="n">
        <v>0</v>
      </c>
      <c r="E71" s="52" t="n">
        <v>7973.7</v>
      </c>
      <c r="F71" s="52" t="n">
        <v>2545.44</v>
      </c>
      <c r="G71" s="100">
        <f>100*(F71-E71)/F71</f>
        <v/>
      </c>
      <c r="H71" s="52" t="n">
        <v>13279.25</v>
      </c>
      <c r="I71" s="52" t="n">
        <v>19.43</v>
      </c>
      <c r="J71" s="52" t="n">
        <v>0</v>
      </c>
      <c r="K71" s="52" t="n">
        <v>1.84</v>
      </c>
      <c r="L71" s="52" t="n">
        <v>0.43</v>
      </c>
      <c r="M71" s="52" t="n">
        <v>1015.07</v>
      </c>
      <c r="N71" s="52" t="n">
        <v>0</v>
      </c>
      <c r="O71" s="52" t="n">
        <v>1610.34</v>
      </c>
      <c r="P71" s="100">
        <f>O71/I71</f>
        <v/>
      </c>
      <c r="Q71" s="52" t="n">
        <v>634.34</v>
      </c>
      <c r="R71" s="52" t="n">
        <v>324.28</v>
      </c>
      <c r="S71" s="100" t="n">
        <v>0</v>
      </c>
      <c r="T71" s="52" t="n">
        <v>3100</v>
      </c>
      <c r="U71" s="52" t="n">
        <v>1900</v>
      </c>
      <c r="V71" s="52" t="n">
        <v>1</v>
      </c>
      <c r="W71" s="52" t="n">
        <v>1</v>
      </c>
      <c r="X71" s="52" t="n">
        <v>1.42</v>
      </c>
      <c r="Y71" s="52" t="n">
        <v>0.48</v>
      </c>
      <c r="Z71" s="52" t="n">
        <v>0.05</v>
      </c>
      <c r="AA71" s="103">
        <f>IF(X71&lt;33,IF(Y71&gt;(1.1*X71),0,1),1)+IF(Y71&gt;(4*X71),-1,0)</f>
        <v/>
      </c>
      <c r="AB71" s="52" t="n">
        <v>0</v>
      </c>
      <c r="AC71" s="101">
        <f>IF(AB71&gt;9,1,0)+AB71/3+IF(AB71&gt;15,1,0)+IF(AB71&gt;20,1,0)</f>
        <v/>
      </c>
      <c r="AD71" s="52" t="n">
        <v>-151.62</v>
      </c>
      <c r="AE71" s="52" t="n">
        <v>12.98</v>
      </c>
      <c r="AF71" s="52" t="n">
        <v>40.02</v>
      </c>
      <c r="AG71" s="101">
        <f>IF(G71&lt;0,0,1.2)+IF(G71&lt;14,0,0.9)+IF(P71&lt;0,0.7,0)+IF(P71&lt;6.5,1,0)+IF(P71&lt;23,1,0)+IF(R71&gt;80,0,1)+S71+IF(AD71&lt;20,0,1)+IF(AE71&lt;14,0,1)+IF(AF71&lt;26,0,1)</f>
        <v/>
      </c>
      <c r="AH71" s="101">
        <f>AG71+IF(AG71&gt;6,1,0)+IF(X71&lt;17,0,1)+IF(Y71&lt;11,0,1)+IF(Z71&lt;1.35,0,1)+AC71+AA71</f>
        <v/>
      </c>
      <c r="AI71" s="101" t="n">
        <v>14</v>
      </c>
      <c r="AJ71" s="104">
        <f>IF(AI71&gt;12.8,IF(AI71&gt;15.8,0.95,0.98),1)</f>
        <v/>
      </c>
      <c r="AK71" s="101">
        <f>((AG71*2.6+AH71)*AJ71*AQ71)</f>
        <v/>
      </c>
      <c r="AL71" s="50">
        <f>D71</f>
        <v/>
      </c>
      <c r="AM71" s="97">
        <f>B71</f>
        <v/>
      </c>
      <c r="AN71" s="107" t="n">
        <v>25</v>
      </c>
      <c r="AO71" s="99">
        <f>IF(AK71&gt;23.75,IF(Z71&lt;140,1,0),0)</f>
        <v/>
      </c>
      <c r="AP71" s="100">
        <f>IF(AK71&gt;23.2,IF(Y71&lt;300,IF(Y71&lt;35,IF(Y71&lt;8,3,2),1),0),0)</f>
        <v/>
      </c>
      <c r="AQ71" s="100" t="n">
        <v>1</v>
      </c>
      <c r="AR71" s="100">
        <f>IF(AO71=1,IF(AO71=AL71,1,0),5)</f>
        <v/>
      </c>
      <c r="AS71" s="52" t="n">
        <v>1053</v>
      </c>
      <c r="AT71" s="52" t="n">
        <v>1053</v>
      </c>
      <c r="AU71" s="52" t="n">
        <v>1053</v>
      </c>
      <c r="AV71" s="101">
        <f>(AT71+AU71)/2</f>
        <v/>
      </c>
      <c r="AW71" s="52" t="n">
        <v>960</v>
      </c>
      <c r="AX71" s="101">
        <f>(AS71+AV71+AW71)/3</f>
        <v/>
      </c>
      <c r="AY71" s="52">
        <f>(100*(AU71-AS71)/AS71)</f>
        <v/>
      </c>
      <c r="AZ71" s="52">
        <f>IF(AY71&lt;-50,-4,IF(AY71&lt;-20,-2,IF(AY71&lt;0,-1,IF(AY71=0,0,IF(AY71&lt;10,1.5,IF(AY71&lt;20,2,IF(AY71&gt;19,2.5,2.5)))))))</f>
        <v/>
      </c>
      <c r="BB71" s="52" t="n">
        <v>960</v>
      </c>
    </row>
    <row r="72" ht="12.75" customHeight="1">
      <c r="A72" s="52" t="inlineStr">
        <is>
          <t>https://www.chittorgarh.com/ipo/pngs-reva-ipo/2475/</t>
        </is>
      </c>
      <c r="B72" s="62" t="inlineStr">
        <is>
          <t>PNGS Reva Diamond Je</t>
        </is>
      </c>
      <c r="C72" s="52" t="inlineStr">
        <is>
          <t>2026</t>
        </is>
      </c>
      <c r="D72" s="52" t="n">
        <v>1</v>
      </c>
      <c r="E72" s="52" t="n">
        <v>90.65000000000001</v>
      </c>
      <c r="F72" s="52" t="n">
        <v>100.19</v>
      </c>
      <c r="G72" s="100">
        <f>100*(F72-E72)/F72</f>
        <v/>
      </c>
      <c r="H72" s="52" t="n">
        <v>226.84</v>
      </c>
      <c r="I72" s="52" t="n">
        <v>59.47</v>
      </c>
      <c r="J72" s="52" t="n">
        <v>12.85</v>
      </c>
      <c r="K72" s="52" t="n">
        <v>35.21</v>
      </c>
      <c r="L72" s="52" t="n">
        <v>18.3</v>
      </c>
      <c r="M72" s="52" t="n">
        <v>79.61</v>
      </c>
      <c r="N72" s="52" t="n">
        <v>19.65</v>
      </c>
      <c r="O72" s="52" t="n">
        <v>259.11</v>
      </c>
      <c r="P72" s="100">
        <f>O72/I72</f>
        <v/>
      </c>
      <c r="Q72" s="52" t="n">
        <v>10.96</v>
      </c>
      <c r="R72" s="52" t="n">
        <v>0</v>
      </c>
      <c r="S72" s="100" t="n">
        <v>-0.9</v>
      </c>
      <c r="T72" s="52" t="n">
        <v>380</v>
      </c>
      <c r="U72" s="52" t="n">
        <v>0</v>
      </c>
      <c r="V72" s="52" t="n">
        <v>1</v>
      </c>
      <c r="W72" s="52" t="n">
        <v>1</v>
      </c>
      <c r="X72" s="52" t="n">
        <v>1.1</v>
      </c>
      <c r="Y72" s="52" t="n">
        <v>1.57</v>
      </c>
      <c r="Z72" s="52" t="n">
        <v>1.22</v>
      </c>
      <c r="AA72" s="103">
        <f>IF(X72&lt;33,IF(Y72&gt;(1.1*X72),0,1),1)+IF(Y72&gt;(4*X72),-1,0)</f>
        <v/>
      </c>
      <c r="AB72" s="52" t="n">
        <v>0</v>
      </c>
      <c r="AC72" s="101">
        <f>IF(AB72&gt;9,1,0)+AB72/3+IF(AB72&gt;15,1,0)+IF(AB72&gt;20,1,0)</f>
        <v/>
      </c>
      <c r="AD72" s="52" t="n">
        <v>40.23</v>
      </c>
      <c r="AE72" s="52" t="n">
        <v>32.04</v>
      </c>
      <c r="AF72" s="52" t="n">
        <v>-451.54</v>
      </c>
      <c r="AG72" s="101">
        <f>IF(G72&lt;0,0,1.2)+IF(G72&lt;14,0,0.9)+IF(P72&lt;0,0.7,0)+IF(P72&lt;6.5,1,0)+IF(P72&lt;23,1,0)+IF(R72&gt;80,0,1)+S72+IF(AD72&lt;20,0,1)+IF(AE72&lt;14,0,1)+IF(AF72&lt;26,0,1)</f>
        <v/>
      </c>
      <c r="AH72" s="101">
        <f>AG72+IF(AG72&gt;6,1,0)+IF(X72&lt;17,0,1)+IF(Y72&lt;11,0,1)+IF(Z72&lt;1.35,0,1)+AC72+AA72</f>
        <v/>
      </c>
      <c r="AI72" s="101" t="n">
        <v>15</v>
      </c>
      <c r="AJ72" s="104">
        <f>IF(AI72&gt;12.8,IF(AI72&gt;15.8,0.95,0.98),1)</f>
        <v/>
      </c>
      <c r="AK72" s="101">
        <f>((AG72*2.6+AH72)*AJ72*AQ72)</f>
        <v/>
      </c>
      <c r="AL72" s="50">
        <f>D72</f>
        <v/>
      </c>
      <c r="AM72" s="97">
        <f>B72</f>
        <v/>
      </c>
      <c r="AN72" s="107" t="n">
        <v>26</v>
      </c>
      <c r="AO72" s="99">
        <f>IF(AK72&gt;23.75,IF(Z72&lt;140,1,0),0)</f>
        <v/>
      </c>
      <c r="AP72" s="100">
        <f>IF(AK72&gt;23.2,IF(Y72&lt;300,IF(Y72&lt;35,IF(Y72&lt;8,3,2),1),0),0)</f>
        <v/>
      </c>
      <c r="AQ72" s="100" t="n">
        <v>1</v>
      </c>
      <c r="AR72" s="100">
        <f>IF(AO72=1,IF(AO72=AL72,1,0),5)</f>
        <v/>
      </c>
      <c r="AS72" s="52" t="n">
        <v>386</v>
      </c>
      <c r="AT72" s="52" t="n">
        <v>305</v>
      </c>
      <c r="AU72" s="52" t="n">
        <v>305</v>
      </c>
      <c r="AV72" s="101">
        <f>(AT72+AU72)/2</f>
        <v/>
      </c>
      <c r="AW72" s="52" t="n">
        <v>375</v>
      </c>
      <c r="AX72" s="101">
        <f>(AS72+AV72+AW72)/3</f>
        <v/>
      </c>
      <c r="AY72" s="52">
        <f>(100*(AU72-AS72)/AS72)</f>
        <v/>
      </c>
      <c r="AZ72" s="52">
        <f>IF(AY72&lt;-50,-4,IF(AY72&lt;-20,-2,IF(AY72&lt;0,-1,IF(AY72=0,0,IF(AY72&lt;10,1.5,IF(AY72&lt;20,2,IF(AY72&gt;19,2.5,2.5)))))))</f>
        <v/>
      </c>
      <c r="BB72" s="52" t="n">
        <v>415</v>
      </c>
    </row>
    <row r="73" ht="12.75" customHeight="1">
      <c r="A73" s="52" t="inlineStr">
        <is>
          <t>https://www.chittorgarh.com/ipo/omnitech-engineering-ipo/2479/</t>
        </is>
      </c>
      <c r="B73" s="62" t="inlineStr">
        <is>
          <t>Omnitech Engineering</t>
        </is>
      </c>
      <c r="C73" s="52" t="inlineStr">
        <is>
          <t>2026</t>
        </is>
      </c>
      <c r="D73" s="52" t="n">
        <v>0</v>
      </c>
      <c r="E73" s="52" t="n">
        <v>330.63</v>
      </c>
      <c r="F73" s="52" t="n">
        <v>204.44</v>
      </c>
      <c r="G73" s="100">
        <f>100*(F73-E73)/F73</f>
        <v/>
      </c>
      <c r="H73" s="52" t="n">
        <v>626.33</v>
      </c>
      <c r="I73" s="52" t="n">
        <v>43.87</v>
      </c>
      <c r="J73" s="52" t="n">
        <v>11.74</v>
      </c>
      <c r="K73" s="52" t="n">
        <v>4.17</v>
      </c>
      <c r="L73" s="52" t="n">
        <v>12.07</v>
      </c>
      <c r="M73" s="52" t="n">
        <v>117.65</v>
      </c>
      <c r="N73" s="52" t="n">
        <v>30.72</v>
      </c>
      <c r="O73" s="52" t="n">
        <v>349.71</v>
      </c>
      <c r="P73" s="100">
        <f>O73/I73</f>
        <v/>
      </c>
      <c r="Q73" s="52" t="n">
        <v>54.47</v>
      </c>
      <c r="R73" s="52" t="n">
        <v>50.53</v>
      </c>
      <c r="S73" s="100" t="n">
        <v>0</v>
      </c>
      <c r="T73" s="52" t="n">
        <v>583</v>
      </c>
      <c r="U73" s="52" t="n">
        <v>165</v>
      </c>
      <c r="V73" s="52" t="n">
        <v>1</v>
      </c>
      <c r="W73" s="52" t="n">
        <v>1</v>
      </c>
      <c r="X73" s="52" t="n">
        <v>3</v>
      </c>
      <c r="Y73" s="52" t="n">
        <v>0.77</v>
      </c>
      <c r="Z73" s="52" t="n">
        <v>0.35</v>
      </c>
      <c r="AA73" s="103">
        <f>IF(X73&lt;33,IF(Y73&gt;(1.1*X73),0,1),1)+IF(Y73&gt;(4*X73),-1,0)</f>
        <v/>
      </c>
      <c r="AB73" s="52" t="n">
        <v>0</v>
      </c>
      <c r="AC73" s="101">
        <f>IF(AB73&gt;9,1,0)+AB73/3+IF(AB73&gt;15,1,0)+IF(AB73&gt;20,1,0)</f>
        <v/>
      </c>
      <c r="AD73" s="52" t="n">
        <v>131.99</v>
      </c>
      <c r="AE73" s="52" t="n">
        <v>92.2</v>
      </c>
      <c r="AF73" s="52" t="n">
        <v>159.41</v>
      </c>
      <c r="AG73" s="101">
        <f>IF(G73&lt;0,0,1.2)+IF(G73&lt;14,0,0.9)+IF(P73&lt;0,0.7,0)+IF(P73&lt;6.5,1,0)+IF(P73&lt;23,1,0)+IF(R73&gt;80,0,1)+S73+IF(AD73&lt;20,0,1)+IF(AE73&lt;14,0,1)+IF(AF73&lt;26,0,1)</f>
        <v/>
      </c>
      <c r="AH73" s="101">
        <f>AG73+IF(AG73&gt;6,1,0)+IF(X73&lt;17,0,1)+IF(Y73&lt;11,0,1)+IF(Z73&lt;1.35,0,1)+AC73+AA73</f>
        <v/>
      </c>
      <c r="AI73" s="101" t="n">
        <v>16</v>
      </c>
      <c r="AJ73" s="104">
        <f>IF(AI73&gt;12.8,IF(AI73&gt;15.8,0.95,0.98),1)</f>
        <v/>
      </c>
      <c r="AK73" s="101">
        <f>((AG73*2.6+AH73)*AJ73*AQ73)</f>
        <v/>
      </c>
      <c r="AL73" s="50">
        <f>D73</f>
        <v/>
      </c>
      <c r="AM73" s="97">
        <f>B73</f>
        <v/>
      </c>
      <c r="AN73" s="107" t="n">
        <v>27</v>
      </c>
      <c r="AO73" s="99">
        <f>IF(AK73&gt;23.75,IF(Z73&lt;140,1,0),0)</f>
        <v/>
      </c>
      <c r="AP73" s="100">
        <f>IF(AK73&gt;23.2,IF(Y73&lt;300,IF(Y73&lt;35,IF(Y73&lt;8,3,2),1),0),0)</f>
        <v/>
      </c>
      <c r="AQ73" s="100" t="n">
        <v>1</v>
      </c>
      <c r="AR73" s="100">
        <f>IF(AO73=1,IF(AO73=AL73,1,0),5)</f>
        <v/>
      </c>
      <c r="AS73" s="52" t="n">
        <v>227</v>
      </c>
      <c r="AT73" s="52" t="n">
        <v>180</v>
      </c>
      <c r="AU73" s="52" t="n">
        <v>202</v>
      </c>
      <c r="AV73" s="101">
        <f>(AT73+AU73)/2</f>
        <v/>
      </c>
      <c r="AW73" s="52" t="n">
        <v>202</v>
      </c>
      <c r="AX73" s="101">
        <f>(AS73+AV73+AW73)/3</f>
        <v/>
      </c>
      <c r="AY73" s="52">
        <f>(100*(AU73-AS73)/AS73)</f>
        <v/>
      </c>
      <c r="AZ73" s="52">
        <f>IF(AY73&lt;-50,-4,IF(AY73&lt;-20,-2,IF(AY73&lt;0,-1,IF(AY73=0,0,IF(AY73&lt;10,1.5,IF(AY73&lt;20,2,IF(AY73&gt;19,2.5,2.5)))))))</f>
        <v/>
      </c>
      <c r="BB73" s="52" t="n">
        <v>205</v>
      </c>
    </row>
    <row r="74" ht="12.75" customHeight="1">
      <c r="A74" s="52" t="inlineStr">
        <is>
          <t>https://www.chittorgarh.com/ipo/sedemac-mechatronics-ipo/2794/</t>
        </is>
      </c>
      <c r="B74" s="62" t="inlineStr">
        <is>
          <t>SEDEMAC Mechatronics</t>
        </is>
      </c>
      <c r="C74" s="52" t="inlineStr">
        <is>
          <t>2026</t>
        </is>
      </c>
      <c r="D74" s="52" t="n">
        <v>1</v>
      </c>
      <c r="E74" s="52" t="n">
        <v>49.62</v>
      </c>
      <c r="F74" s="52" t="n">
        <v>303.88</v>
      </c>
      <c r="G74" s="100">
        <f>100*(F74-E74)/F74</f>
        <v/>
      </c>
      <c r="H74" s="52" t="n">
        <v>491.16</v>
      </c>
      <c r="I74" s="52" t="n">
        <v>47.05</v>
      </c>
      <c r="J74" s="52" t="n">
        <v>7.15</v>
      </c>
      <c r="K74" s="52" t="n">
        <v>10.76</v>
      </c>
      <c r="L74" s="52" t="n">
        <v>22.01</v>
      </c>
      <c r="M74" s="52" t="n">
        <v>125.07</v>
      </c>
      <c r="N74" s="52" t="n">
        <v>19</v>
      </c>
      <c r="O74" s="52" t="n">
        <v>662.54</v>
      </c>
      <c r="P74" s="100">
        <f>O74/I74</f>
        <v/>
      </c>
      <c r="Q74" s="52" t="n">
        <v>125.69</v>
      </c>
      <c r="R74" s="52" t="n">
        <v>86.61</v>
      </c>
      <c r="S74" s="100" t="n">
        <v>0.7</v>
      </c>
      <c r="T74" s="52" t="n">
        <v>1087.45</v>
      </c>
      <c r="U74" s="52" t="n">
        <v>0</v>
      </c>
      <c r="V74" s="52" t="n">
        <v>0</v>
      </c>
      <c r="W74" s="52" t="n">
        <v>1</v>
      </c>
      <c r="X74" s="52" t="n">
        <v>7</v>
      </c>
      <c r="Y74" s="52" t="n">
        <v>0.4</v>
      </c>
      <c r="Z74" s="52" t="n">
        <v>0.5</v>
      </c>
      <c r="AA74" s="103">
        <f>IF(X74&lt;33,IF(Y74&gt;(1.1*X74),0,1),1)+IF(Y74&gt;(4*X74),-1,0)</f>
        <v/>
      </c>
      <c r="AB74" s="52" t="n">
        <v>1</v>
      </c>
      <c r="AC74" s="101">
        <f>IF(AB74&gt;9,1,0)+AB74/3+IF(AB74&gt;15,1,0)+IF(AB74&gt;20,1,0)</f>
        <v/>
      </c>
      <c r="AD74" s="52" t="n">
        <v>700.17</v>
      </c>
      <c r="AE74" s="52" t="n">
        <v>23.63</v>
      </c>
      <c r="AF74" s="52" t="n">
        <v>144.22</v>
      </c>
      <c r="AG74" s="101">
        <f>IF(G74&lt;0,0,1.2)+IF(G74&lt;14,0,0.9)+IF(P74&lt;0,0.7,0)+IF(P74&lt;6.5,1,0)+IF(P74&lt;23,1,0)+IF(R74&gt;80,0,1)+S74+IF(AD74&lt;20,0,1)+IF(AE74&lt;14,0,1)+IF(AF74&lt;26,0,1)</f>
        <v/>
      </c>
      <c r="AH74" s="101">
        <f>AG74+IF(AG74&gt;6,1,0)+IF(X74&lt;17,0,1)+IF(Y74&lt;11,0,1)+IF(Z74&lt;1.35,0,1)+AC74+AA74</f>
        <v/>
      </c>
      <c r="AI74" s="101" t="n">
        <v>17</v>
      </c>
      <c r="AJ74" s="104">
        <f>IF(AI74&gt;12.8,IF(AI74&gt;15.8,0.95,0.98),1)</f>
        <v/>
      </c>
      <c r="AK74" s="101">
        <f>((AG74*2.6+AH74)*AJ74*AQ74)</f>
        <v/>
      </c>
      <c r="AL74" s="50">
        <f>D74</f>
        <v/>
      </c>
      <c r="AM74" s="97">
        <f>B74</f>
        <v/>
      </c>
      <c r="AN74" s="52" t="n">
        <v>6</v>
      </c>
      <c r="AO74" s="99">
        <f>IF(AK74&gt;23.75,IF(Z74&lt;140,1,0),0)</f>
        <v/>
      </c>
      <c r="AP74" s="100">
        <f>IF(AK74&gt;23.2,IF(Y74&lt;300,IF(Y74&lt;35,IF(Y74&lt;8,3,2),1),0),0)</f>
        <v/>
      </c>
      <c r="AQ74" s="100" t="n">
        <v>1</v>
      </c>
      <c r="AR74" s="100">
        <f>IF(AO74=1,IF(AO74=AL74,1,0),5)</f>
        <v/>
      </c>
      <c r="AS74" s="52" t="n">
        <v>1352</v>
      </c>
      <c r="AT74" s="52" t="n">
        <v>800</v>
      </c>
      <c r="AU74" s="52" t="n">
        <v>1000</v>
      </c>
      <c r="AV74" s="101">
        <f>(AT74+AU74)/2</f>
        <v/>
      </c>
      <c r="AW74" s="52" t="n">
        <v>1535</v>
      </c>
      <c r="AX74" s="101">
        <f>(AS74+AV74+AW74)/3</f>
        <v/>
      </c>
      <c r="AY74" s="52">
        <f>(100*(AU74-AS74)/AS74)</f>
        <v/>
      </c>
      <c r="AZ74" s="52">
        <f>IF(AY74&lt;-50,-4,IF(AY74&lt;-20,-2,IF(AY74&lt;0,-1,IF(AY74=0,0,IF(AY74&lt;10,1.5,IF(AY74&lt;20,2,IF(AY74&gt;19,2.5,2.5)))))))</f>
        <v/>
      </c>
      <c r="BB74" s="52" t="n">
        <v>1589</v>
      </c>
    </row>
    <row r="75" ht="12.75" customHeight="1">
      <c r="A75" s="52" t="inlineStr">
        <is>
          <t>s</t>
        </is>
      </c>
      <c r="B75" s="62" t="inlineStr">
        <is>
          <t xml:space="preserve">Rajputana Stainless </t>
        </is>
      </c>
      <c r="C75" s="52" t="inlineStr">
        <is>
          <t>2026</t>
        </is>
      </c>
      <c r="D75" s="52" t="n">
        <v>0</v>
      </c>
      <c r="E75" s="52" t="n">
        <v>99.75</v>
      </c>
      <c r="F75" s="52" t="n">
        <v>151.95</v>
      </c>
      <c r="G75" s="100">
        <f>100*(F75-E75)/F75</f>
        <v/>
      </c>
      <c r="H75" s="52" t="n">
        <v>420.36</v>
      </c>
      <c r="I75" s="52" t="n">
        <v>39.85</v>
      </c>
      <c r="J75" s="52" t="n">
        <v>4.87</v>
      </c>
      <c r="K75" s="52" t="n">
        <v>5.78</v>
      </c>
      <c r="L75" s="52" t="n">
        <v>14.86</v>
      </c>
      <c r="M75" s="52" t="n">
        <v>73.79000000000001</v>
      </c>
      <c r="N75" s="52" t="n">
        <v>9.16</v>
      </c>
      <c r="O75" s="52" t="n">
        <v>937.49</v>
      </c>
      <c r="P75" s="100">
        <f>O75/I75</f>
        <v/>
      </c>
      <c r="Q75" s="52" t="n">
        <v>21.1</v>
      </c>
      <c r="R75" s="52" t="n">
        <v>20.88</v>
      </c>
      <c r="S75" s="100" t="n">
        <v>-0.9</v>
      </c>
      <c r="T75" s="52" t="n">
        <v>254.98</v>
      </c>
      <c r="U75" s="52" t="n">
        <v>76.25</v>
      </c>
      <c r="V75" s="52" t="n">
        <v>0</v>
      </c>
      <c r="W75" s="52" t="n">
        <v>1</v>
      </c>
      <c r="X75" s="52" t="n">
        <v>17</v>
      </c>
      <c r="Y75" s="52" t="n">
        <v>12</v>
      </c>
      <c r="Z75" s="52" t="n">
        <v>1</v>
      </c>
      <c r="AA75" s="103">
        <f>IF(X75&lt;33,IF(Y75&gt;(1.1*X75),0,1),1)+IF(Y75&gt;(4*X75),-1,0)</f>
        <v/>
      </c>
      <c r="AB75" s="52" t="n">
        <v>2</v>
      </c>
      <c r="AC75" s="101">
        <f>IF(AB75&gt;9,1,0)+AB75/3+IF(AB75&gt;15,1,0)+IF(AB75&gt;20,1,0)</f>
        <v/>
      </c>
      <c r="AD75" s="52" t="n">
        <v>25.99</v>
      </c>
      <c r="AE75" s="52" t="n">
        <v>2.4</v>
      </c>
      <c r="AF75" s="52" t="n">
        <v>35.34</v>
      </c>
      <c r="AG75" s="101">
        <f>IF(G75&lt;0,0,1.2)+IF(G75&lt;14,0,0.9)+IF(P75&lt;0,0.7,0)+IF(P75&lt;6.5,1,0)+IF(P75&lt;23,1,0)+IF(R75&gt;80,0,1)+S75+IF(AD75&lt;20,0,1)+IF(AE75&lt;14,0,1)+IF(AF75&lt;26,0,1)</f>
        <v/>
      </c>
      <c r="AH75" s="101">
        <f>AG75+IF(AG75&gt;6,1,0)+IF(X75&lt;17,0,1)+IF(Y75&lt;11,0,1)+IF(Z75&lt;1.35,0,1)+AC75+AA75</f>
        <v/>
      </c>
      <c r="AI75" s="101" t="n">
        <v>18</v>
      </c>
      <c r="AJ75" s="104">
        <f>IF(AI75&gt;12.8,IF(AI75&gt;15.8,0.95,0.98),1)</f>
        <v/>
      </c>
      <c r="AK75" s="101">
        <f>((AG75*2.6+AH75)*AJ75*AQ75)</f>
        <v/>
      </c>
      <c r="AL75" s="50">
        <f>D75</f>
        <v/>
      </c>
      <c r="AM75" s="97">
        <f>B75</f>
        <v/>
      </c>
      <c r="AN75" s="52" t="n">
        <v>11</v>
      </c>
      <c r="AO75" s="99">
        <f>IF(AK75&gt;23.75,IF(Z75&lt;140,1,0),0)</f>
        <v/>
      </c>
      <c r="AP75" s="100">
        <f>IF(AK75&gt;23.2,IF(Y75&lt;300,IF(Y75&lt;35,IF(Y75&lt;8,3,2),1),0),0)</f>
        <v/>
      </c>
      <c r="AQ75" s="100" t="n">
        <v>1</v>
      </c>
      <c r="AR75" s="100">
        <f>IF(AO75=1,IF(AO75=AL75,1,0),5)</f>
        <v/>
      </c>
      <c r="AS75" s="52" t="n">
        <v>122</v>
      </c>
      <c r="AT75" s="52" t="n">
        <v>70</v>
      </c>
      <c r="AU75" s="52" t="n">
        <v>88</v>
      </c>
      <c r="AV75" s="101">
        <f>(AT75+AU75)/2</f>
        <v/>
      </c>
      <c r="AW75" s="52" t="n">
        <v>122</v>
      </c>
      <c r="AX75" s="101">
        <f>(AS75+AV75+AW75)/3</f>
        <v/>
      </c>
      <c r="AY75" s="52">
        <f>(100*(AU75-AS75)/AS75)</f>
        <v/>
      </c>
      <c r="AZ75" s="52">
        <f>IF(AY75&lt;-50,-4,IF(AY75&lt;-20,-2,IF(AY75&lt;0,-1,IF(AY75=0,0,IF(AY75&lt;10,1.5,IF(AY75&lt;20,2,IF(AY75&gt;19,2.5,2.5)))))))</f>
        <v/>
      </c>
      <c r="BB75" s="52" t="n">
        <v>122</v>
      </c>
    </row>
    <row r="76" ht="12.75" customHeight="1">
      <c r="A76" s="52" t="inlineStr">
        <is>
          <t>https://www.chittorgarh.com/ipo/innovision-limited-ipo/2039/</t>
        </is>
      </c>
      <c r="B76" s="62" t="inlineStr">
        <is>
          <t>Innovision Date, Pri</t>
        </is>
      </c>
      <c r="C76" s="52" t="inlineStr">
        <is>
          <t>2026</t>
        </is>
      </c>
      <c r="D76" s="52" t="n">
        <v>0</v>
      </c>
      <c r="E76" s="52" t="n">
        <v>79.05</v>
      </c>
      <c r="F76" s="52" t="n">
        <v>81.88</v>
      </c>
      <c r="G76" s="100">
        <f>100*(F76-E76)/F76</f>
        <v/>
      </c>
      <c r="H76" s="52" t="n">
        <v>220.3</v>
      </c>
      <c r="I76" s="52" t="n">
        <v>29.02</v>
      </c>
      <c r="J76" s="52" t="n">
        <v>4.17</v>
      </c>
      <c r="K76" s="52" t="n">
        <v>15.36</v>
      </c>
      <c r="L76" s="52" t="n">
        <v>19.55</v>
      </c>
      <c r="M76" s="52" t="n">
        <v>51.75</v>
      </c>
      <c r="N76" s="52" t="n">
        <v>6.34</v>
      </c>
      <c r="O76" s="52" t="n">
        <v>895.95</v>
      </c>
      <c r="P76" s="100">
        <f>O76/I76</f>
        <v/>
      </c>
      <c r="Q76" s="52" t="n">
        <v>35.69</v>
      </c>
      <c r="R76" s="52" t="n">
        <v>32.26</v>
      </c>
      <c r="S76" s="100" t="n">
        <v>-0.9</v>
      </c>
      <c r="T76" s="52" t="n">
        <v>322.84</v>
      </c>
      <c r="U76" s="52" t="n">
        <v>67.84</v>
      </c>
      <c r="V76" s="52" t="n">
        <v>0</v>
      </c>
      <c r="W76" s="52" t="n">
        <v>0</v>
      </c>
      <c r="X76" s="52" t="n">
        <v>17</v>
      </c>
      <c r="Y76" s="52" t="n">
        <v>8</v>
      </c>
      <c r="Z76" s="52" t="n">
        <v>2</v>
      </c>
      <c r="AA76" s="103">
        <f>IF(X76&lt;33,IF(Y76&gt;(1.1*X76),0,1),1)+IF(Y76&gt;(4*X76),-1,0)</f>
        <v/>
      </c>
      <c r="AB76" s="52" t="n">
        <v>0.5</v>
      </c>
      <c r="AC76" s="101">
        <f>IF(AB76&gt;9,1,0)+AB76/3+IF(AB76&gt;15,1,0)+IF(AB76&gt;20,1,0)</f>
        <v/>
      </c>
      <c r="AD76" s="52" t="n">
        <v>182.57</v>
      </c>
      <c r="AE76" s="52" t="n">
        <v>74.95</v>
      </c>
      <c r="AF76" s="52" t="n">
        <v>56.41</v>
      </c>
      <c r="AG76" s="101">
        <f>IF(G76&lt;0,0,1.2)+IF(G76&lt;14,0,0.9)+IF(P76&lt;0,0.7,0)+IF(P76&lt;6.5,1,0)+IF(P76&lt;23,1,0)+IF(R76&gt;80,0,1)+S76+IF(AD76&lt;20,0,1)+IF(AE76&lt;14,0,1)+IF(AF76&lt;26,0,1)</f>
        <v/>
      </c>
      <c r="AH76" s="101">
        <f>AG76+IF(AG76&gt;6,1,0)+IF(X76&lt;17,0,1)+IF(Y76&lt;11,0,1)+IF(Z76&lt;1.35,0,1)+AC76+AA76</f>
        <v/>
      </c>
      <c r="AI76" s="101" t="n">
        <v>18</v>
      </c>
      <c r="AJ76" s="104">
        <f>IF(AI76&gt;12.8,IF(AI76&gt;15.8,0.95,0.98),1)</f>
        <v/>
      </c>
      <c r="AK76" s="101">
        <f>((AG76*2.6+AH76)*AJ76*AQ76)</f>
        <v/>
      </c>
      <c r="AL76" s="50">
        <f>D76</f>
        <v/>
      </c>
      <c r="AM76" s="97">
        <f>B76</f>
        <v/>
      </c>
      <c r="AN76" s="52" t="n">
        <v>12</v>
      </c>
      <c r="AO76" s="99">
        <f>IF(AK76&gt;23.75,IF(Z76&lt;140,1,0),0)</f>
        <v/>
      </c>
      <c r="AP76" s="100">
        <f>IF(AK76&gt;23.2,IF(Y76&lt;300,IF(Y76&lt;35,IF(Y76&lt;8,3,2),1),0),0)</f>
        <v/>
      </c>
      <c r="AQ76" s="100" t="n">
        <v>1</v>
      </c>
      <c r="AR76" s="100">
        <f>IF(AO76=1,IF(AO76=AL76,1,0),5)</f>
        <v/>
      </c>
      <c r="AS76" s="52" t="n">
        <v>519</v>
      </c>
      <c r="AT76" s="52" t="n">
        <v>170</v>
      </c>
      <c r="AU76" s="52" t="n">
        <v>220</v>
      </c>
      <c r="AV76" s="101">
        <f>(AT76+AU76)/2</f>
        <v/>
      </c>
      <c r="AW76" s="52" t="n">
        <v>467</v>
      </c>
      <c r="AX76" s="101">
        <f>(AS76+AV76+AW76)/3</f>
        <v/>
      </c>
      <c r="AY76" s="52">
        <f>(100*(AU76-AS76)/AS76)</f>
        <v/>
      </c>
      <c r="AZ76" s="52">
        <f>IF(AY76&lt;-50,-4,IF(AY76&lt;-20,-2,IF(AY76&lt;0,-1,IF(AY76=0,0,IF(AY76&lt;10,1.5,IF(AY76&lt;20,2,IF(AY76&gt;19,2.5,2.5)))))))</f>
        <v/>
      </c>
      <c r="BB76" s="52" t="n">
        <v>467</v>
      </c>
    </row>
    <row r="77" ht="12.75" customHeight="1">
      <c r="A77" s="52" t="inlineStr">
        <is>
          <t>https://www.chittorgarh.com/ipo/gsp-crop-ipo/2031/</t>
        </is>
      </c>
      <c r="B77" s="62" t="inlineStr">
        <is>
          <t>GSP Crop Science Dat</t>
        </is>
      </c>
      <c r="C77" s="52" t="inlineStr">
        <is>
          <t>2026</t>
        </is>
      </c>
      <c r="D77" s="52" t="n">
        <v>1</v>
      </c>
      <c r="E77" s="52" t="n">
        <v>295.6</v>
      </c>
      <c r="F77" s="52" t="n">
        <v>450.03</v>
      </c>
      <c r="G77" s="100">
        <f>100*(F77-E77)/F77</f>
        <v/>
      </c>
      <c r="H77" s="52" t="n">
        <v>1228.5</v>
      </c>
      <c r="I77" s="52" t="n">
        <v>81.42</v>
      </c>
      <c r="J77" s="52" t="n">
        <v>9.56</v>
      </c>
      <c r="K77" s="52" t="n">
        <v>20.87</v>
      </c>
      <c r="L77" s="52" t="n">
        <v>15.62</v>
      </c>
      <c r="M77" s="52" t="n">
        <v>164.03</v>
      </c>
      <c r="N77" s="52" t="n">
        <v>16.45</v>
      </c>
      <c r="O77" s="52" t="n">
        <v>1301.06</v>
      </c>
      <c r="P77" s="100">
        <f>O77/I77</f>
        <v/>
      </c>
      <c r="Q77" s="52" t="n">
        <v>15.34</v>
      </c>
      <c r="R77" s="52" t="n">
        <v>9.18</v>
      </c>
      <c r="S77" s="100" t="n">
        <v>0.7</v>
      </c>
      <c r="T77" s="52" t="n">
        <v>400</v>
      </c>
      <c r="U77" s="52" t="n">
        <v>160</v>
      </c>
      <c r="V77" s="52" t="n">
        <v>1</v>
      </c>
      <c r="W77" s="52" t="n">
        <v>1</v>
      </c>
      <c r="X77" s="52" t="n">
        <v>2.66</v>
      </c>
      <c r="Y77" s="52" t="n">
        <v>3.14</v>
      </c>
      <c r="Z77" s="52" t="n">
        <v>0.42</v>
      </c>
      <c r="AA77" s="103">
        <f>IF(X77&lt;33,IF(Y77&gt;(1.1*X77),0,1),1)+IF(Y77&gt;(4*X77),-1,0)</f>
        <v/>
      </c>
      <c r="AB77" s="52" t="n">
        <v>0.62</v>
      </c>
      <c r="AC77" s="101">
        <f>IF(AB77&gt;9,1,0)+AB77/3+IF(AB77&gt;15,1,0)+IF(AB77&gt;20,1,0)</f>
        <v/>
      </c>
      <c r="AD77" s="52" t="n">
        <v>46.6</v>
      </c>
      <c r="AE77" s="52" t="n">
        <v>12.33</v>
      </c>
      <c r="AF77" s="52" t="n">
        <v>21.48</v>
      </c>
      <c r="AG77" s="101">
        <f>IF(G77&lt;0,0,1.2)+IF(G77&lt;14,0,0.9)+IF(P77&lt;0,0.7,0)+IF(P77&lt;6.5,1,0)+IF(P77&lt;23,1,0)+IF(R77&gt;80,0,1)+S77+IF(AD77&lt;20,0,1)+IF(AE77&lt;14,0,1)+IF(AF77&lt;26,0,1)</f>
        <v/>
      </c>
      <c r="AH77" s="101">
        <f>AG77+IF(AG77&gt;6,1,0)+IF(X77&lt;17,0,1)+IF(Y77&lt;11,0,1)+IF(Z77&lt;1.35,0,1)+AC77+AA77</f>
        <v/>
      </c>
      <c r="AI77" s="101" t="n">
        <v>18</v>
      </c>
      <c r="AJ77" s="104">
        <f>IF(AI77&gt;12.8,IF(AI77&gt;15.8,0.95,0.98),1)</f>
        <v/>
      </c>
      <c r="AK77" s="101">
        <f>((AG77*2.6+AH77)*AJ77*AQ77)</f>
        <v/>
      </c>
      <c r="AL77" s="50">
        <f>D77</f>
        <v/>
      </c>
      <c r="AM77" s="97">
        <f>B77</f>
        <v/>
      </c>
      <c r="AN77" s="52" t="n">
        <v>18</v>
      </c>
      <c r="AO77" s="99">
        <f>IF(AK77&gt;23.75,IF(Z77&lt;140,1,0),0)</f>
        <v/>
      </c>
      <c r="AP77" s="100">
        <f>IF(AK77&gt;23.2,IF(Y77&lt;300,IF(Y77&lt;35,IF(Y77&lt;8,3,2),1),0),0)</f>
        <v/>
      </c>
      <c r="AQ77" s="100" t="n">
        <v>1</v>
      </c>
      <c r="AR77" s="100">
        <f>IF(AO77=1,IF(AO77=AL77,1,0),5)</f>
        <v/>
      </c>
      <c r="AS77" s="52" t="n">
        <v>320</v>
      </c>
      <c r="AT77" s="52" t="n">
        <v>212</v>
      </c>
      <c r="AU77" s="52" t="n">
        <v>234</v>
      </c>
      <c r="AV77" s="101">
        <f>(AT77+AU77)/2</f>
        <v/>
      </c>
      <c r="AW77" s="52" t="n">
        <v>328</v>
      </c>
      <c r="AX77" s="101">
        <f>(AS77+AV77+AW77)/3</f>
        <v/>
      </c>
      <c r="AY77" s="52">
        <f>(100*(AU77-AS77)/AS77)</f>
        <v/>
      </c>
      <c r="AZ77" s="52">
        <f>IF(AY77&lt;-50,-4,IF(AY77&lt;-20,-2,IF(AY77&lt;0,-1,IF(AY77=0,0,IF(AY77&lt;10,1.5,IF(AY77&lt;20,2,IF(AY77&gt;19,2.5,2.5)))))))</f>
        <v/>
      </c>
      <c r="BB77" s="52" t="n">
        <v>356</v>
      </c>
    </row>
    <row r="78" ht="12.75" customHeight="1">
      <c r="A78" s="52" t="inlineStr">
        <is>
          <t>https://www.chittorgarh.com/ipo/central-mine-planning-design-institute-ipo/2456/</t>
        </is>
      </c>
      <c r="B78" s="62" t="inlineStr">
        <is>
          <t>Central Mine Plannin</t>
        </is>
      </c>
      <c r="C78" s="52" t="inlineStr">
        <is>
          <t>2026</t>
        </is>
      </c>
      <c r="D78" s="52" t="n">
        <v>1</v>
      </c>
      <c r="E78" s="52" t="n">
        <v>0</v>
      </c>
      <c r="F78" s="52" t="n">
        <v>2041.85</v>
      </c>
      <c r="G78" s="100">
        <f>100*(F78-E78)/F78</f>
        <v/>
      </c>
      <c r="H78" s="52" t="n">
        <v>2682.8</v>
      </c>
      <c r="I78" s="52" t="n">
        <v>666.91</v>
      </c>
      <c r="J78" s="52" t="n">
        <v>27.6</v>
      </c>
      <c r="K78" s="52" t="n">
        <v>9.34</v>
      </c>
      <c r="L78" s="52" t="n">
        <v>0</v>
      </c>
      <c r="M78" s="52" t="n">
        <v>915.71</v>
      </c>
      <c r="N78" s="52" t="n">
        <v>38.5</v>
      </c>
      <c r="O78" s="52" t="n">
        <v>2177.53</v>
      </c>
      <c r="P78" s="100">
        <f>O78/I78</f>
        <v/>
      </c>
      <c r="Q78" s="52" t="n">
        <v>18.41</v>
      </c>
      <c r="R78" s="52" t="n">
        <v>21.65</v>
      </c>
      <c r="S78" s="100" t="n">
        <v>-0.9</v>
      </c>
      <c r="T78" s="52" t="n">
        <v>1842.12</v>
      </c>
      <c r="U78" s="52" t="n">
        <v>0</v>
      </c>
      <c r="V78" s="52" t="n">
        <v>1</v>
      </c>
      <c r="W78" s="52" t="n">
        <v>1</v>
      </c>
      <c r="X78" s="52" t="n">
        <v>3.48</v>
      </c>
      <c r="Y78" s="52" t="n">
        <v>0.35</v>
      </c>
      <c r="Z78" s="52" t="n">
        <v>0.35</v>
      </c>
      <c r="AA78" s="103">
        <f>IF(X78&lt;33,IF(Y78&gt;(1.1*X78),0,1),1)+IF(Y78&gt;(4*X78),-1,0)</f>
        <v/>
      </c>
      <c r="AB78" s="52" t="n">
        <v>4</v>
      </c>
      <c r="AC78" s="101">
        <f>IF(AB78&gt;9,1,0)+AB78/3+IF(AB78&gt;15,1,0)+IF(AB78&gt;20,1,0)</f>
        <v/>
      </c>
      <c r="AD78" s="52" t="n">
        <v>32.53</v>
      </c>
      <c r="AE78" s="52" t="n">
        <v>23.01</v>
      </c>
      <c r="AF78" s="52" t="n">
        <v>28.29</v>
      </c>
      <c r="AG78" s="101">
        <f>IF(G78&lt;0,0,1.2)+IF(G78&lt;14,0,0.9)+IF(P78&lt;0,0.7,0)+IF(P78&lt;6.5,1,0)+IF(P78&lt;23,1,0)+IF(R78&gt;80,0,1)+S78+IF(AD78&lt;20,0,1)+IF(AE78&lt;14,0,1)+IF(AF78&lt;26,0,1)</f>
        <v/>
      </c>
      <c r="AH78" s="101">
        <f>AG78+IF(AG78&gt;6,1,0)+IF(X78&lt;17,0,1)+IF(Y78&lt;11,0,1)+IF(Z78&lt;1.35,0,1)+AC78+AA78</f>
        <v/>
      </c>
      <c r="AI78" s="101" t="n">
        <v>18</v>
      </c>
      <c r="AJ78" s="104">
        <f>IF(AI78&gt;12.8,IF(AI78&gt;15.8,0.95,0.98),1)</f>
        <v/>
      </c>
      <c r="AK78" s="101">
        <f>((AG78*2.6+AH78)*AJ78*AQ78)</f>
        <v/>
      </c>
      <c r="AL78" s="50">
        <f>D78</f>
        <v/>
      </c>
      <c r="AM78" s="97">
        <f>B78</f>
        <v/>
      </c>
      <c r="AN78" s="52" t="n">
        <v>26</v>
      </c>
      <c r="AO78" s="99">
        <f>IF(AK78&gt;23.75,IF(Z78&lt;140,1,0),0)</f>
        <v/>
      </c>
      <c r="AP78" s="100">
        <f>IF(AK78&gt;23.2,IF(Y78&lt;300,IF(Y78&lt;35,IF(Y78&lt;8,3,2),1),0),0)</f>
        <v/>
      </c>
      <c r="AQ78" s="100" t="n">
        <v>1</v>
      </c>
      <c r="AR78" s="100">
        <f>IF(AO78=1,IF(AO78=AL78,1,0),5)</f>
        <v/>
      </c>
      <c r="AS78" s="52" t="n">
        <v>172</v>
      </c>
      <c r="AT78" s="52" t="n">
        <v>198</v>
      </c>
      <c r="AU78" s="52" t="n">
        <v>238</v>
      </c>
      <c r="AV78" s="101">
        <f>(AT78+AU78)/2</f>
        <v/>
      </c>
      <c r="AW78" s="52" t="n">
        <v>160</v>
      </c>
      <c r="AX78" s="101">
        <f>(AS78+AV78+AW78)/3</f>
        <v/>
      </c>
      <c r="AY78" s="52">
        <f>(100*(AU78-AS78)/AS78)</f>
        <v/>
      </c>
      <c r="AZ78" s="52">
        <f>IF(AY78&lt;-50,-4,IF(AY78&lt;-20,-2,IF(AY78&lt;0,-1,IF(AY78=0,0,IF(AY78&lt;10,1.5,IF(AY78&lt;20,2,IF(AY78&gt;19,2.5,2.5)))))))</f>
        <v/>
      </c>
      <c r="BB78" s="52" t="n">
        <v>165</v>
      </c>
    </row>
    <row r="79" ht="12.75" customHeight="1">
      <c r="A79" s="52" t="inlineStr">
        <is>
          <t>https://www.chittorgarh.com/ipo/sai-parenterals-ipo/2681/</t>
        </is>
      </c>
      <c r="B79" s="62" t="inlineStr">
        <is>
          <t>Sai Parenteral&amp;#x27;</t>
        </is>
      </c>
      <c r="C79" s="52" t="inlineStr">
        <is>
          <t>2026</t>
        </is>
      </c>
      <c r="D79" s="52" t="n">
        <v>1</v>
      </c>
      <c r="E79" s="52" t="n">
        <v>93.95</v>
      </c>
      <c r="F79" s="52" t="n">
        <v>95.78</v>
      </c>
      <c r="G79" s="100">
        <f>100*(F79-E79)/F79</f>
        <v/>
      </c>
      <c r="H79" s="52" t="n">
        <v>272.39</v>
      </c>
      <c r="I79" s="52" t="n">
        <v>14.43</v>
      </c>
      <c r="J79" s="52" t="n">
        <v>8.93</v>
      </c>
      <c r="K79" s="52" t="n">
        <v>5.43</v>
      </c>
      <c r="L79" s="52" t="n">
        <v>5.13</v>
      </c>
      <c r="M79" s="52" t="n">
        <v>39.44</v>
      </c>
      <c r="N79" s="52" t="n">
        <v>18.68</v>
      </c>
      <c r="O79" s="52" t="n">
        <v>163.74</v>
      </c>
      <c r="P79" s="100">
        <f>O79/I79</f>
        <v/>
      </c>
      <c r="Q79" s="52" t="n">
        <v>72.19</v>
      </c>
      <c r="R79" s="52" t="n">
        <v>0</v>
      </c>
      <c r="S79" s="100" t="n">
        <v>0.45</v>
      </c>
      <c r="T79" s="52" t="n">
        <v>408.79</v>
      </c>
      <c r="U79" s="52" t="n">
        <v>123.79</v>
      </c>
      <c r="V79" s="52" t="n">
        <v>1</v>
      </c>
      <c r="W79" s="52" t="n">
        <v>1</v>
      </c>
      <c r="X79" s="52" t="n">
        <v>0.6</v>
      </c>
      <c r="Y79" s="52" t="n">
        <v>1.05</v>
      </c>
      <c r="Z79" s="52" t="n">
        <v>0.05</v>
      </c>
      <c r="AA79" s="103">
        <f>IF(X79&lt;33,IF(Y79&gt;(1.1*X79),0,1),1)+IF(Y79&gt;(4*X79),-1,0)</f>
        <v/>
      </c>
      <c r="AB79" s="52" t="n">
        <v>0</v>
      </c>
      <c r="AC79" s="101">
        <f>IF(AB79&gt;9,1,0)+AB79/3+IF(AB79&gt;15,1,0)+IF(AB79&gt;20,1,0)</f>
        <v/>
      </c>
      <c r="AD79" s="52" t="n">
        <v>71.38</v>
      </c>
      <c r="AE79" s="52" t="n">
        <v>5.52</v>
      </c>
      <c r="AF79" s="52" t="n">
        <v>25.37</v>
      </c>
      <c r="AG79" s="101">
        <f>IF(G79&lt;0,0,1.2)+IF(G79&lt;14,0,0.9)+IF(P79&lt;0,0.7,0)+IF(P79&lt;6.5,1,0)+IF(P79&lt;23,1,0)+IF(R79&gt;80,0,1)+S79+IF(AD79&lt;20,0,1)+IF(AE79&lt;14,0,1)+IF(AF79&lt;26,0,1)</f>
        <v/>
      </c>
      <c r="AH79" s="101">
        <f>AG79+IF(AG79&gt;6,1,0)+IF(X79&lt;17,0,1)+IF(Y79&lt;11,0,1)+IF(Z79&lt;1.35,0,1)+AC79+AA79</f>
        <v/>
      </c>
      <c r="AI79" s="101" t="n">
        <v>18</v>
      </c>
      <c r="AJ79" s="104">
        <f>IF(AI79&gt;12.8,IF(AI79&gt;15.8,0.95,0.98),1)</f>
        <v/>
      </c>
      <c r="AK79" s="101">
        <f>((AG79*2.6+AH79)*AJ79*AQ79)</f>
        <v/>
      </c>
      <c r="AL79" s="50">
        <f>D79</f>
        <v/>
      </c>
      <c r="AM79" s="97">
        <f>B79</f>
        <v/>
      </c>
      <c r="AN79" s="52" t="n">
        <v>27</v>
      </c>
      <c r="AO79" s="99">
        <f>IF(AK79&gt;23.75,IF(Z79&lt;140,1,0),0)</f>
        <v/>
      </c>
      <c r="AP79" s="100">
        <f>IF(AK79&gt;23.2,IF(Y79&lt;300,IF(Y79&lt;35,IF(Y79&lt;8,3,2),1),0),0)</f>
        <v/>
      </c>
      <c r="AQ79" s="100" t="n">
        <v>1</v>
      </c>
      <c r="AR79" s="100">
        <f>IF(AO79=1,IF(AO79=AL79,1,0),5)</f>
        <v/>
      </c>
      <c r="AS79" s="52" t="n">
        <v>392</v>
      </c>
      <c r="AT79" s="52" t="n">
        <v>70</v>
      </c>
      <c r="AU79" s="52" t="n">
        <v>90</v>
      </c>
      <c r="AV79" s="101">
        <f>(AT79+AU79)/2</f>
        <v/>
      </c>
      <c r="AW79" s="52" t="n">
        <v>400</v>
      </c>
      <c r="AX79" s="101">
        <f>(AS79+AV79+AW79)/3</f>
        <v/>
      </c>
      <c r="AY79" s="52">
        <f>(100*(AU79-AS79)/AS79)</f>
        <v/>
      </c>
      <c r="AZ79" s="52">
        <f>IF(AY79&lt;-50,-4,IF(AY79&lt;-20,-2,IF(AY79&lt;0,-1,IF(AY79=0,0,IF(AY79&lt;10,1.5,IF(AY79&lt;20,2,IF(AY79&gt;19,2.5,2.5)))))))</f>
        <v/>
      </c>
      <c r="BB79" s="52" t="n">
        <v>406</v>
      </c>
    </row>
    <row r="80" ht="12.75" customHeight="1">
      <c r="A80" s="52" t="inlineStr">
        <is>
          <t>https://www.chittorgarh.com/ipo/amir-chand-jagdish-kumar-ipo/2501/</t>
        </is>
      </c>
      <c r="B80" s="62" t="inlineStr">
        <is>
          <t>Amir Chand Jagdish K</t>
        </is>
      </c>
      <c r="C80" s="52" t="inlineStr">
        <is>
          <t>2026</t>
        </is>
      </c>
      <c r="D80" s="52" t="n">
        <v>0</v>
      </c>
      <c r="E80" s="52" t="n">
        <v>784.0599999999999</v>
      </c>
      <c r="F80" s="52" t="n">
        <v>379.18</v>
      </c>
      <c r="G80" s="100">
        <f>100*(F80-E80)/F80</f>
        <v/>
      </c>
      <c r="H80" s="52" t="n">
        <v>1549.03</v>
      </c>
      <c r="I80" s="52" t="n">
        <v>60.82</v>
      </c>
      <c r="J80" s="52" t="n">
        <v>4.76</v>
      </c>
      <c r="K80" s="52" t="n">
        <v>7.35</v>
      </c>
      <c r="L80" s="52" t="n">
        <v>11.87</v>
      </c>
      <c r="M80" s="52" t="n">
        <v>163.65</v>
      </c>
      <c r="N80" s="52" t="n">
        <v>10.36</v>
      </c>
      <c r="O80" s="52" t="n">
        <v>2004.03</v>
      </c>
      <c r="P80" s="100">
        <f>O80/I80</f>
        <v/>
      </c>
      <c r="Q80" s="52" t="n">
        <v>28.86</v>
      </c>
      <c r="R80" s="52" t="n">
        <v>22.56</v>
      </c>
      <c r="S80" s="100" t="n">
        <v>-0.9</v>
      </c>
      <c r="T80" s="52" t="n">
        <v>440</v>
      </c>
      <c r="U80" s="52" t="n">
        <v>0</v>
      </c>
      <c r="V80" s="52" t="n">
        <v>0</v>
      </c>
      <c r="W80" s="52" t="n">
        <v>1</v>
      </c>
      <c r="X80" s="52" t="n">
        <v>5</v>
      </c>
      <c r="Y80" s="52" t="n">
        <v>9</v>
      </c>
      <c r="Z80" s="52" t="n">
        <v>1</v>
      </c>
      <c r="AA80" s="103">
        <f>IF(X80&lt;33,IF(Y80&gt;(1.1*X80),0,1),1)+IF(Y80&gt;(4*X80),-1,0)</f>
        <v/>
      </c>
      <c r="AB80" s="52" t="n">
        <v>3.77</v>
      </c>
      <c r="AC80" s="101">
        <f>IF(AB80&gt;9,1,0)+AB80/3+IF(AB80&gt;15,1,0)+IF(AB80&gt;20,1,0)</f>
        <v/>
      </c>
      <c r="AD80" s="52" t="n">
        <v>100</v>
      </c>
      <c r="AE80" s="52" t="n">
        <v>29.17</v>
      </c>
      <c r="AF80" s="52" t="n">
        <v>21.73</v>
      </c>
      <c r="AG80" s="101">
        <f>IF(G80&lt;0,0,1.2)+IF(G80&lt;14,0,0.9)+IF(P80&lt;0,0.7,0)+IF(P80&lt;6.5,1,0)+IF(P80&lt;23,1,0)+IF(R80&gt;80,0,1)+S80+IF(AD80&lt;20,0,1)+IF(AE80&lt;14,0,1)+IF(AF80&lt;26,0,1)</f>
        <v/>
      </c>
      <c r="AH80" s="101">
        <f>AG80+IF(AG80&gt;6,1,0)+IF(X80&lt;17,0,1)+IF(Y80&lt;11,0,1)+IF(Z80&lt;1.35,0,1)+AC80+AA80</f>
        <v/>
      </c>
      <c r="AI80" s="101" t="n">
        <v>21</v>
      </c>
      <c r="AJ80" s="104">
        <f>IF(AI80&gt;12.8,IF(AI80&gt;15.8,0.95,0.98),1)</f>
        <v/>
      </c>
      <c r="AK80" s="101">
        <f>((AG80*2.6+AH80)*AJ80*AQ80)</f>
        <v/>
      </c>
      <c r="AL80" s="50">
        <f>D80</f>
        <v/>
      </c>
      <c r="AM80" s="97">
        <f>B80</f>
        <v/>
      </c>
      <c r="AN80" s="52" t="n">
        <v>27</v>
      </c>
      <c r="AO80" s="99">
        <f>IF(AK80&gt;23.75,IF(Z80&lt;140,1,0),0)</f>
        <v/>
      </c>
      <c r="AP80" s="100">
        <f>IF(AK80&gt;23.2,IF(Y80&lt;300,IF(Y80&lt;35,IF(Y80&lt;8,3,2),1),0),0)</f>
        <v/>
      </c>
      <c r="AQ80" s="100" t="n">
        <v>1</v>
      </c>
      <c r="AR80" s="100">
        <f>IF(AO80=1,IF(AO80=AL80,1,0),5)</f>
        <v/>
      </c>
      <c r="AS80" s="52" t="n">
        <v>212</v>
      </c>
      <c r="AT80" s="52" t="n">
        <v>122</v>
      </c>
      <c r="AU80" s="52" t="n">
        <v>141</v>
      </c>
      <c r="AV80" s="101">
        <f>(AT80+AU80)/2</f>
        <v/>
      </c>
      <c r="AW80" s="52" t="n">
        <v>200</v>
      </c>
      <c r="AX80" s="101">
        <f>(AS80+AV80+AW80)/3</f>
        <v/>
      </c>
      <c r="AY80" s="52">
        <f>(100*(AU80-AS80)/AS80)</f>
        <v/>
      </c>
      <c r="AZ80" s="52">
        <f>IF(AY80&lt;-50,-4,IF(AY80&lt;-20,-2,IF(AY80&lt;0,-1,IF(AY80=0,0,IF(AY80&lt;10,1.5,IF(AY80&lt;20,2,IF(AY80&gt;19,2.5,2.5)))))))</f>
        <v/>
      </c>
    </row>
    <row r="81" ht="12.75" customHeight="1">
      <c r="A81" s="52" t="inlineStr">
        <is>
          <t>https://www.chittorgarh.com/ipo/powerica-ipo/2570/</t>
        </is>
      </c>
      <c r="B81" s="62" t="inlineStr">
        <is>
          <t>Powerica Date, Price</t>
        </is>
      </c>
      <c r="C81" s="52" t="inlineStr">
        <is>
          <t>2026</t>
        </is>
      </c>
      <c r="D81" s="52" t="n">
        <v>1</v>
      </c>
      <c r="E81" s="52" t="n">
        <v>300.8</v>
      </c>
      <c r="F81" s="52" t="n">
        <v>1085.6</v>
      </c>
      <c r="G81" s="100">
        <f>100*(F81-E81)/F81</f>
        <v/>
      </c>
      <c r="H81" s="52" t="n">
        <v>2414.83</v>
      </c>
      <c r="I81" s="52" t="n">
        <v>175.83</v>
      </c>
      <c r="J81" s="52" t="n">
        <v>9.119999999999999</v>
      </c>
      <c r="K81" s="52" t="n">
        <v>16.16</v>
      </c>
      <c r="L81" s="52" t="n">
        <v>11.6</v>
      </c>
      <c r="M81" s="52" t="n">
        <v>345.66</v>
      </c>
      <c r="N81" s="52" t="n">
        <v>15.23</v>
      </c>
      <c r="O81" s="52" t="n">
        <v>2710.93</v>
      </c>
      <c r="P81" s="100">
        <f>O81/I81</f>
        <v/>
      </c>
      <c r="Q81" s="52" t="n">
        <v>24.45</v>
      </c>
      <c r="R81" s="52" t="n">
        <v>18.58</v>
      </c>
      <c r="S81" s="100" t="n">
        <v>0.7</v>
      </c>
      <c r="T81" s="52" t="n">
        <v>1100</v>
      </c>
      <c r="U81" s="52" t="n">
        <v>400</v>
      </c>
      <c r="V81" s="52" t="n">
        <v>1</v>
      </c>
      <c r="W81" s="52" t="n">
        <v>1</v>
      </c>
      <c r="X81" s="52" t="n">
        <v>4.74</v>
      </c>
      <c r="Y81" s="52" t="n">
        <v>0.47</v>
      </c>
      <c r="Z81" s="52" t="n">
        <v>0.16</v>
      </c>
      <c r="AA81" s="103">
        <f>IF(X81&lt;33,IF(Y81&gt;(1.1*X81),0,1),1)+IF(Y81&gt;(4*X81),-1,0)</f>
        <v/>
      </c>
      <c r="AB81" s="52" t="n">
        <v>0.7</v>
      </c>
      <c r="AC81" s="101">
        <f>IF(AB81&gt;9,1,0)+AB81/3+IF(AB81&gt;15,1,0)+IF(AB81&gt;20,1,0)</f>
        <v/>
      </c>
      <c r="AD81" s="52" t="n">
        <v>-22.24</v>
      </c>
      <c r="AE81" s="52" t="n">
        <v>15.03</v>
      </c>
      <c r="AF81" s="52" t="n">
        <v>18.97</v>
      </c>
      <c r="AG81" s="101">
        <f>IF(G81&lt;0,0,1.2)+IF(G81&lt;14,0,0.9)+IF(P81&lt;0,0.7,0)+IF(P81&lt;6.5,1,0)+IF(P81&lt;23,1,0)+IF(R81&gt;80,0,1)+S81+IF(AD81&lt;20,0,1)+IF(AE81&lt;14,0,1)+IF(AF81&lt;26,0,1)</f>
        <v/>
      </c>
      <c r="AH81" s="101">
        <f>AG81+IF(AG81&gt;6,1,0)+IF(X81&lt;17,0,1)+IF(Y81&lt;11,0,1)+IF(Z81&lt;1.35,0,1)+AC81+AA81</f>
        <v/>
      </c>
      <c r="AI81" s="101" t="n">
        <v>20</v>
      </c>
      <c r="AJ81" s="104">
        <f>IF(AI81&gt;12.8,IF(AI81&gt;15.8,0.95,0.98),1)</f>
        <v/>
      </c>
      <c r="AK81" s="101">
        <f>((AG81*2.6+AH81)*AJ81*AQ81)</f>
        <v/>
      </c>
      <c r="AL81" s="50">
        <f>D81</f>
        <v/>
      </c>
      <c r="AM81" s="97">
        <f>B81</f>
        <v/>
      </c>
      <c r="AN81" s="52" t="n">
        <v>27</v>
      </c>
      <c r="AO81" s="99">
        <f>IF(AK81&gt;23.75,IF(Z81&lt;140,1,0),0)</f>
        <v/>
      </c>
      <c r="AP81" s="100">
        <f>IF(AK81&gt;23.2,IF(Y81&lt;300,IF(Y81&lt;35,IF(Y81&lt;8,3,2),1),0),0)</f>
        <v/>
      </c>
      <c r="AQ81" s="100" t="n">
        <v>1</v>
      </c>
      <c r="AR81" s="100">
        <f>IF(AO81=1,IF(AO81=AL81,1,0),5)</f>
        <v/>
      </c>
      <c r="AS81" s="52" t="n">
        <v>395</v>
      </c>
      <c r="AT81" s="52" t="n">
        <v>531</v>
      </c>
      <c r="AU81" s="52" t="n">
        <v>637</v>
      </c>
      <c r="AV81" s="101">
        <f>(AT81+AU81)/2</f>
        <v/>
      </c>
      <c r="AW81" s="52" t="n">
        <v>366</v>
      </c>
      <c r="AX81" s="101">
        <f>(AS81+AV81+AW81)/3</f>
        <v/>
      </c>
      <c r="AY81" s="52">
        <f>(100*(AU81-AS81)/AS81)</f>
        <v/>
      </c>
      <c r="AZ81" s="52">
        <f>IF(AY81&lt;-50,-4,IF(AY81&lt;-20,-2,IF(AY81&lt;0,-1,IF(AY81=0,0,IF(AY81&lt;10,1.5,IF(AY81&lt;20,2,IF(AY81&gt;19,2.5,2.5)))))))</f>
        <v/>
      </c>
      <c r="BB81" s="52" t="n">
        <v>396</v>
      </c>
    </row>
    <row r="82" ht="12.75" customHeight="1">
      <c r="A82" s="52" t="inlineStr">
        <is>
          <t>https://www.chittorgarh.com/ipo/om-power-transmission-ipo/2676/</t>
        </is>
      </c>
      <c r="B82" s="62" t="inlineStr">
        <is>
          <t>Om Power Transmission</t>
        </is>
      </c>
      <c r="C82" s="52" t="inlineStr">
        <is>
          <t>2026</t>
        </is>
      </c>
      <c r="D82" s="52" t="n">
        <v>1</v>
      </c>
      <c r="E82" s="52" t="n">
        <v>18.9</v>
      </c>
      <c r="F82" s="52" t="n">
        <v>72.65000000000001</v>
      </c>
      <c r="G82" s="100">
        <f>100*(F82-E82)/F82</f>
        <v/>
      </c>
      <c r="H82" s="52" t="n">
        <v>150.17</v>
      </c>
      <c r="I82" s="52" t="n">
        <v>22.08</v>
      </c>
      <c r="J82" s="52" t="n">
        <v>8.449999999999999</v>
      </c>
      <c r="K82" s="52" t="n">
        <v>8.279999999999999</v>
      </c>
      <c r="L82" s="52" t="n">
        <v>24.28</v>
      </c>
      <c r="M82" s="52" t="n">
        <v>35.66</v>
      </c>
      <c r="N82" s="52" t="n">
        <v>12.38</v>
      </c>
      <c r="O82" s="52" t="n">
        <v>281.65</v>
      </c>
      <c r="P82" s="100">
        <f>O82/I82</f>
        <v/>
      </c>
      <c r="Q82" s="52" t="n">
        <v>21.13</v>
      </c>
      <c r="R82" s="52" t="n">
        <v>19.23</v>
      </c>
      <c r="S82" s="100" t="n">
        <v>0.7</v>
      </c>
      <c r="T82" s="52" t="n">
        <v>150.06</v>
      </c>
      <c r="U82" s="52" t="n">
        <v>17.5</v>
      </c>
      <c r="V82" s="52" t="n">
        <v>1</v>
      </c>
      <c r="W82" s="52" t="n">
        <v>1</v>
      </c>
      <c r="X82" s="52" t="n">
        <v>3.6472</v>
      </c>
      <c r="Y82" s="52" t="n">
        <v>7.0624</v>
      </c>
      <c r="Z82" s="52" t="n">
        <v>1.5428</v>
      </c>
      <c r="AA82" s="103">
        <f>IF(X82&lt;33,IF(Y82&gt;(1.1*X82),0,1),1)+IF(Y82&gt;(4*X82),-1,0)</f>
        <v/>
      </c>
      <c r="AB82" s="52" t="n">
        <v>0.235</v>
      </c>
      <c r="AC82" s="101">
        <f>IF(AB82&gt;9,1,0)+AB82/3+IF(AB82&gt;15,1,0)+IF(AB82&gt;20,1,0)</f>
        <v/>
      </c>
      <c r="AD82" s="52" t="n">
        <v>197.98</v>
      </c>
      <c r="AE82" s="52" t="n">
        <v>52.75</v>
      </c>
      <c r="AF82" s="52" t="n">
        <v>43.46</v>
      </c>
      <c r="AG82" s="101">
        <f>IF(G82&lt;0,0,1.2)+IF(G82&lt;14,0,0.9)+IF(P82&lt;0,0.7,0)+IF(P82&lt;6.5,1,0)+IF(P82&lt;23,1,0)+IF(R82&gt;80,0,1)+S82+IF(AD82&lt;20,0,1)+IF(AE82&lt;14,0,1)+IF(AF82&lt;26,0,1)</f>
        <v/>
      </c>
      <c r="AH82" s="101">
        <f>AG82+IF(AG82&gt;6,1,0)+IF(X82&lt;17,0,1)+IF(Y82&lt;11,0,1)+IF(Z82&lt;1.35,0,1)+AC82+AA82</f>
        <v/>
      </c>
      <c r="AI82" s="101" t="n">
        <v>18.59</v>
      </c>
      <c r="AJ82" s="104">
        <f>IF(AI82&gt;12.8,IF(AI82&gt;15.8,0.95,0.98),1)</f>
        <v/>
      </c>
      <c r="AK82" s="101">
        <f>((AG82*2.6+AH82)*AJ82*AQ82)</f>
        <v/>
      </c>
      <c r="AL82" s="50">
        <f>D82</f>
        <v/>
      </c>
      <c r="AM82" s="97">
        <f>B82</f>
        <v/>
      </c>
      <c r="AN82" s="130" t="n">
        <v>13</v>
      </c>
      <c r="AO82" s="132">
        <f>IF(AK82&gt;23.75,IF(Z82&lt;140,1,0),0)</f>
        <v/>
      </c>
      <c r="AP82" s="133">
        <f>IF(AK82&gt;23.2,IF(Y82&lt;300,IF(Y82&lt;35,IF(Y82&lt;8,3,2),1),0),0)</f>
        <v/>
      </c>
      <c r="AQ82" s="133" t="n">
        <v>1</v>
      </c>
      <c r="AR82" s="133">
        <f>IF(AO82=1,IF(AO82=AL82,1,0),5)</f>
        <v/>
      </c>
      <c r="AS82" s="130" t="n">
        <v>175</v>
      </c>
      <c r="AT82" s="130" t="n">
        <v>165</v>
      </c>
      <c r="AU82" s="130" t="n">
        <v>230</v>
      </c>
      <c r="AV82" s="134">
        <f>(AT82+AU82)/2</f>
        <v/>
      </c>
      <c r="AW82" s="130" t="n">
        <v>178</v>
      </c>
      <c r="AX82" s="101">
        <f>(AS82+AV82+AW82)/3</f>
        <v/>
      </c>
      <c r="AY82" s="130">
        <f>(100*(AU82-AS82)/AS82)</f>
        <v/>
      </c>
      <c r="AZ82" s="52">
        <f>IF(AY82&lt;-50,-4,IF(AY82&lt;-20,-2,IF(AY82&lt;0,-1,IF(AY82=0,0,IF(AY82&lt;10,1.5,IF(AY82&lt;20,2,IF(AY82&gt;19,2.5,2.5)))))))</f>
        <v/>
      </c>
      <c r="BB82" s="52" t="n">
        <v>193</v>
      </c>
    </row>
    <row r="83" ht="12.75" customHeight="1">
      <c r="A83" s="52" t="inlineStr">
        <is>
          <t>https://www.chittorgarh.com/ipo/onemi-technology-ipo/2576/</t>
        </is>
      </c>
      <c r="B83" s="62" t="inlineStr">
        <is>
          <t>OnEMI Technology  Pri</t>
        </is>
      </c>
      <c r="C83" s="52" t="inlineStr">
        <is>
          <t>2026</t>
        </is>
      </c>
      <c r="D83" s="52" t="n">
        <v>1</v>
      </c>
      <c r="E83" s="52" t="n">
        <v>1507.58</v>
      </c>
      <c r="F83" s="52" t="n">
        <v>1005.99</v>
      </c>
      <c r="G83" s="100">
        <f>100*(F83-E83)/F83</f>
        <v/>
      </c>
      <c r="H83" s="52" t="n">
        <v>2701.1</v>
      </c>
      <c r="I83" s="52" t="n">
        <v>160.62</v>
      </c>
      <c r="J83" s="52" t="n">
        <v>0</v>
      </c>
      <c r="K83" s="52" t="n">
        <v>13.52</v>
      </c>
      <c r="L83" s="52" t="n">
        <v>23.51</v>
      </c>
      <c r="M83" s="52" t="n">
        <v>403.37</v>
      </c>
      <c r="N83" s="52" t="n">
        <v>0</v>
      </c>
      <c r="O83" s="52" t="n">
        <v>1352.69</v>
      </c>
      <c r="P83" s="100">
        <f>O83/I83</f>
        <v/>
      </c>
      <c r="Q83" s="52" t="n">
        <v>12.65</v>
      </c>
      <c r="R83" s="52" t="n">
        <v>10.84</v>
      </c>
      <c r="S83" s="100" t="n">
        <v>0</v>
      </c>
      <c r="T83" s="52" t="n">
        <v>925.92</v>
      </c>
      <c r="U83" s="52" t="n">
        <v>75.91999999999996</v>
      </c>
      <c r="V83" s="52" t="n">
        <v>1</v>
      </c>
      <c r="W83" s="52" t="n">
        <v>1</v>
      </c>
      <c r="X83" s="52" t="n">
        <v>25.97</v>
      </c>
      <c r="Y83" s="52" t="n">
        <v>6.91</v>
      </c>
      <c r="Z83" s="52" t="n">
        <v>2.13</v>
      </c>
      <c r="AA83" s="103">
        <f>IF(X83&lt;33,IF(Y83&gt;(1.1*X83),0,1),1)+IF(Y83&gt;(4*X83),-1,0)</f>
        <v/>
      </c>
      <c r="AB83" s="52" t="n">
        <v>0</v>
      </c>
      <c r="AC83" s="101">
        <f>IF(AB83&gt;9,1,0)+AB83/3+IF(AB83&gt;15,1,0)+IF(AB83&gt;20,1,0)</f>
        <v/>
      </c>
      <c r="AD83" s="52" t="n">
        <v>-18.59</v>
      </c>
      <c r="AE83" s="52" t="n">
        <v>-20.44</v>
      </c>
      <c r="AF83" s="52" t="n">
        <v>25.03</v>
      </c>
      <c r="AG83" s="101">
        <f>IF(G83&lt;0,0,1.2)+IF(G83&lt;14,0,0.9)+IF(P83&lt;0,0.7,0)+IF(P83&lt;6.5,1,0)+IF(P83&lt;23,1,0)+IF(R83&gt;80,0,1)+S83+IF(AD83&lt;20,0,1)+IF(AE83&lt;14,0,1)+IF(AF83&lt;26,0,1)</f>
        <v/>
      </c>
      <c r="AH83" s="101">
        <f>AG83+IF(AG83&gt;6,1,0)+IF(X83&lt;17,0,1)+IF(Y83&lt;11,0,1)+IF(Z83&lt;1.35,0,1)+AC83+AA83</f>
        <v/>
      </c>
      <c r="AI83" s="101" t="n">
        <v>16.205</v>
      </c>
      <c r="AJ83" s="104">
        <f>IF(AI83&gt;12.8,IF(AI83&gt;15.8,0.95,0.98),1)</f>
        <v/>
      </c>
      <c r="AK83" s="101">
        <f>((AG83*2.6+AH83)*AJ83*AQ83)</f>
        <v/>
      </c>
      <c r="AL83" s="50">
        <f>D83</f>
        <v/>
      </c>
      <c r="AM83" s="97">
        <f>B83</f>
        <v/>
      </c>
      <c r="AN83" s="52" t="n">
        <v>5</v>
      </c>
      <c r="AO83" s="99">
        <f>IF(AK83&gt;23.75,IF(Z83&lt;140,1,0),0)</f>
        <v/>
      </c>
      <c r="AP83" s="100">
        <f>IF(AK83&gt;23.2,IF(Y83&lt;300,IF(Y83&lt;35,IF(Y83&lt;8,3,2),1),0),0)</f>
        <v/>
      </c>
      <c r="AQ83" s="100" t="n">
        <v>0.95</v>
      </c>
      <c r="AR83" s="100">
        <f>IF(AO83=1,IF(AO83=AL83,1,0),5)</f>
        <v/>
      </c>
      <c r="AS83" s="52" t="n">
        <v>171</v>
      </c>
      <c r="AT83" s="52" t="n">
        <v>171</v>
      </c>
      <c r="AU83" s="52" t="n">
        <v>233</v>
      </c>
      <c r="AV83" s="101">
        <f>(AT83+AU83)/2</f>
        <v/>
      </c>
      <c r="AX83" s="101">
        <f>(AS83+AV83+AW83)/3</f>
        <v/>
      </c>
      <c r="AY83" s="52">
        <f>(100*(AU83-AS83)/AS83)</f>
        <v/>
      </c>
      <c r="AZ83" s="52">
        <f>IF(AY83&lt;-50,-4,IF(AY83&lt;-20,-2,IF(AY83&lt;0,-1,IF(AY83=0,0,IF(AY83&lt;10,1.5,IF(AY83&lt;20,2,IF(AY83&gt;19,2.5,2.5)))))))</f>
        <v/>
      </c>
      <c r="BB83" s="52" t="n">
        <v>208</v>
      </c>
    </row>
    <row r="84" ht="12.75" customHeight="1">
      <c r="A84" s="52" t="inlineStr">
        <is>
          <t>https://www.chittorgarh.com/ipo/hexagon-nutrition-ipo/2658/</t>
        </is>
      </c>
      <c r="B84" s="62" t="inlineStr">
        <is>
          <t>Hexagon Nutrition  Pr</t>
        </is>
      </c>
      <c r="C84" s="52" t="inlineStr">
        <is>
          <t>2026</t>
        </is>
      </c>
      <c r="D84" s="52" t="n">
        <v>1</v>
      </c>
      <c r="E84" s="52" t="n">
        <v>26.6</v>
      </c>
      <c r="F84" s="52" t="n">
        <v>195.6</v>
      </c>
      <c r="G84" s="100" t="n">
        <v>86.40000000000001</v>
      </c>
      <c r="H84" s="52" t="n">
        <v>261.36</v>
      </c>
      <c r="I84" s="52" t="n">
        <v>24.38</v>
      </c>
      <c r="J84" s="52" t="n">
        <v>9.81</v>
      </c>
      <c r="K84" s="52" t="n">
        <v>1.98</v>
      </c>
      <c r="L84" s="52" t="n">
        <v>13.02</v>
      </c>
      <c r="M84" s="52" t="n">
        <v>40.07</v>
      </c>
      <c r="N84" s="52" t="n">
        <v>14.03</v>
      </c>
      <c r="O84" s="52" t="n">
        <v>331.29</v>
      </c>
      <c r="P84" s="100" t="n">
        <v>13.59</v>
      </c>
      <c r="Q84" s="52" t="n">
        <v>22.69</v>
      </c>
      <c r="R84" s="52" t="n">
        <v>15.35</v>
      </c>
      <c r="S84" s="100" t="n">
        <v>0</v>
      </c>
      <c r="T84" s="52" t="n">
        <v>138.87</v>
      </c>
      <c r="U84" s="52" t="n">
        <v>0</v>
      </c>
      <c r="V84" s="52" t="n">
        <v>1</v>
      </c>
      <c r="W84" s="52" t="n">
        <v>1</v>
      </c>
      <c r="X84" s="52" t="n">
        <v>0</v>
      </c>
      <c r="Y84" s="52" t="n">
        <v>0</v>
      </c>
      <c r="Z84" s="52" t="n">
        <v>0</v>
      </c>
      <c r="AA84" s="103" t="n">
        <v>1</v>
      </c>
      <c r="AB84" s="52" t="n">
        <v>0</v>
      </c>
      <c r="AC84" s="101" t="n">
        <v>0</v>
      </c>
      <c r="AD84" s="52" t="n">
        <v>99.67</v>
      </c>
      <c r="AE84" s="52" t="n">
        <v>8.76</v>
      </c>
      <c r="AF84" s="52" t="n">
        <v>10.95</v>
      </c>
      <c r="AG84" s="101" t="n">
        <v>5.1</v>
      </c>
      <c r="AH84" s="101" t="n">
        <v>6.1</v>
      </c>
      <c r="AI84" s="101" t="n">
        <v>18.85</v>
      </c>
      <c r="AJ84" s="104">
        <f>IF(AI84&gt;12.8,IF(AI84&gt;15.8,0.95,0.98),1)</f>
        <v/>
      </c>
      <c r="AK84" s="101">
        <f>((AG84*2.6+AH84)*AJ84*AQ84)</f>
        <v/>
      </c>
      <c r="AL84" s="50">
        <f>D84</f>
        <v/>
      </c>
      <c r="AM84" s="97">
        <f>B84</f>
        <v/>
      </c>
      <c r="AN84" s="52" t="n">
        <v>9</v>
      </c>
      <c r="AO84" s="99">
        <f>IF(AK84&gt;23.75,IF(Z84&lt;140,1,0),0)</f>
        <v/>
      </c>
      <c r="AP84" s="100">
        <f>IF(AK84&gt;23.2,IF(Y84&lt;300,IF(Y84&lt;35,IF(Y84&lt;8,3,2),1),0),0)</f>
        <v/>
      </c>
      <c r="AQ84" s="100" t="n">
        <v>1</v>
      </c>
      <c r="AR84" s="100">
        <f>IF(AO84=1,IF(AO84=AL84,1,0),5)</f>
        <v/>
      </c>
      <c r="AS84" s="52" t="n">
        <v>45</v>
      </c>
      <c r="AT84" s="52" t="n">
        <v>45</v>
      </c>
      <c r="AU84" s="52" t="n">
        <v>45</v>
      </c>
      <c r="AV84" s="101">
        <f>(AT84+AU84)/2</f>
        <v/>
      </c>
      <c r="AX84" s="101">
        <f>(AS84+AV84+AW84)/3</f>
        <v/>
      </c>
      <c r="AY84" s="52">
        <f>(100*(AU84-AS84)/AS84)</f>
        <v/>
      </c>
      <c r="AZ84" s="52">
        <f>IF(AY84&lt;-50,-4,IF(AY84&lt;-20,-2,IF(AY84&lt;0,-1,IF(AY84=0,0,IF(AY84&lt;10,1.5,IF(AY84&lt;20,2,IF(AY84&gt;19,2.5,2.5)))))))</f>
        <v/>
      </c>
    </row>
    <row r="85" ht="12.75" customHeight="1">
      <c r="A85" s="52" t="inlineStr">
        <is>
          <t>https://www.chittorgarh.com/ipo/cmr-green-technologies-ipo/2586/</t>
        </is>
      </c>
      <c r="B85" s="62" t="inlineStr">
        <is>
          <t>CMR Green Technologie</t>
        </is>
      </c>
      <c r="C85" s="52" t="inlineStr">
        <is>
          <t>2026</t>
        </is>
      </c>
      <c r="D85" s="52" t="n">
        <v>1</v>
      </c>
      <c r="E85" s="52" t="n">
        <v>894.03</v>
      </c>
      <c r="F85" s="52" t="n">
        <v>458.38</v>
      </c>
      <c r="G85" s="100">
        <f>100*(F85-E85)/F85</f>
        <v/>
      </c>
      <c r="H85" s="52" t="n">
        <v>2815.86</v>
      </c>
      <c r="I85" s="52" t="n">
        <v>155.04</v>
      </c>
      <c r="J85" s="52" t="n">
        <v>2.59</v>
      </c>
      <c r="K85" s="52" t="n">
        <v>7.08</v>
      </c>
      <c r="L85" s="52" t="n">
        <v>0.1</v>
      </c>
      <c r="M85" s="52" t="n">
        <v>328.62</v>
      </c>
      <c r="N85" s="52" t="n">
        <v>5.17</v>
      </c>
      <c r="O85" s="52" t="n">
        <v>6696.66</v>
      </c>
      <c r="P85" s="100">
        <f>O85/I85</f>
        <v/>
      </c>
      <c r="Q85" s="52" t="n">
        <v>27.13</v>
      </c>
      <c r="R85" s="52" t="n">
        <v>19.42</v>
      </c>
      <c r="S85" s="100" t="n">
        <v>0</v>
      </c>
      <c r="T85" s="52" t="n">
        <v>630.88</v>
      </c>
      <c r="U85" s="52" t="n">
        <v>0</v>
      </c>
      <c r="V85" s="52" t="n">
        <v>1</v>
      </c>
      <c r="W85" s="52" t="n">
        <v>1</v>
      </c>
      <c r="X85" s="52" t="n">
        <v>16.4</v>
      </c>
      <c r="Y85" s="52" t="n">
        <v>103.26</v>
      </c>
      <c r="Z85" s="52" t="n">
        <v>17.63</v>
      </c>
      <c r="AA85" s="103">
        <f>IF(X85&lt;33,IF(Y85&gt;(1.1*X85),0,1),1)+IF(Y85&gt;(4*X85),-1,0)</f>
        <v/>
      </c>
      <c r="AB85" s="52" t="n">
        <v>40</v>
      </c>
      <c r="AC85" s="101">
        <f>IF(AB85&gt;9,1,0)+AB85/3+IF(AB85&gt;15,1,0)+IF(AB85&gt;20,1,0)</f>
        <v/>
      </c>
      <c r="AD85" s="52" t="n">
        <v>-118.49</v>
      </c>
      <c r="AE85" s="52" t="n">
        <v>12.2</v>
      </c>
      <c r="AF85" s="52" t="n">
        <v>44.35</v>
      </c>
      <c r="AG85" s="101">
        <f>IF(G85&lt;0,0,1.2)+IF(G85&lt;14,0,0.9)+IF(P85&lt;0,0.7,0)+IF(P85&lt;6.5,1,0)+IF(P85&lt;23,1,0)+IF(R85&gt;80,0,1)+S85+IF(AD85&lt;20,0,1)+IF(AE85&lt;14,0,1)+IF(AF85&lt;26,0,1)</f>
        <v/>
      </c>
      <c r="AH85" s="101">
        <f>AG85+IF(AG85&gt;6,1,0)+IF(X85&lt;17,0,1)+IF(Y85&lt;11,0,1)+IF(Z85&lt;1.35,0,1)+AC85+AA85</f>
        <v/>
      </c>
      <c r="AI85" s="101" t="n">
        <v>16.195</v>
      </c>
      <c r="AJ85" s="104">
        <f>IF(AI85&gt;12.8,IF(AI85&gt;15.8,0.95,0.98),1)</f>
        <v/>
      </c>
      <c r="AK85" s="101">
        <f>((AG85*2.6+AH85)*AJ85*AQ85)</f>
        <v/>
      </c>
      <c r="AL85" s="50">
        <f>D85</f>
        <v/>
      </c>
      <c r="AM85" s="97">
        <f>B85</f>
        <v/>
      </c>
      <c r="AN85" s="52" t="n">
        <v>5</v>
      </c>
      <c r="AO85" s="99">
        <f>IF(AK85&gt;23.75,IF(Z85&lt;140,1,0),0)</f>
        <v/>
      </c>
      <c r="AP85" s="100">
        <f>IF(AK85&gt;23.2,IF(Y85&lt;300,IF(Y85&lt;35,IF(Y85&lt;8,3,2),1),0),0)</f>
        <v/>
      </c>
      <c r="AQ85" s="100" t="n">
        <v>0.95</v>
      </c>
      <c r="AR85" s="100">
        <f>IF(AO85=1,IF(AO85=AL85,1,0),5)</f>
        <v/>
      </c>
      <c r="AS85" s="52" t="n">
        <v>192</v>
      </c>
      <c r="AT85" s="52" t="n">
        <v>216</v>
      </c>
      <c r="AU85" s="52" t="n">
        <v>243</v>
      </c>
      <c r="AV85" s="101">
        <f>(AT85+AU85)/2</f>
        <v/>
      </c>
      <c r="AX85" s="101">
        <f>(AS85+AV85+AW85)/3</f>
        <v/>
      </c>
      <c r="AY85" s="52">
        <f>(100*(AU85-AS85)/AS85)</f>
        <v/>
      </c>
      <c r="AZ85" s="52">
        <f>IF(AY85&lt;-50,-4,IF(AY85&lt;-20,-2,IF(AY85&lt;0,-1,IF(AY85=0,0,IF(AY85&lt;10,1.5,IF(AY85&lt;20,2,IF(AY85&gt;19,2.5,2.5)))))))</f>
        <v/>
      </c>
    </row>
    <row r="86" ht="12.75" customHeight="1">
      <c r="A86" s="52" t="inlineStr">
        <is>
          <t>https://www.chittorgarh.com/ipo/advit-jewels-ipo/2686/</t>
        </is>
      </c>
      <c r="B86" s="62" t="inlineStr">
        <is>
          <t xml:space="preserve">Advit Jewels  Price, </t>
        </is>
      </c>
      <c r="C86" s="52" t="inlineStr">
        <is>
          <t>2026</t>
        </is>
      </c>
      <c r="D86" s="52" t="n">
        <v>1</v>
      </c>
      <c r="E86" s="52" t="n">
        <v>74.8</v>
      </c>
      <c r="F86" s="52" t="n">
        <v>58.13</v>
      </c>
      <c r="G86" s="100">
        <f>100*(F86-E86)/F86</f>
        <v/>
      </c>
      <c r="H86" s="52" t="n">
        <v>140.85</v>
      </c>
      <c r="I86" s="52" t="n">
        <v>25.37</v>
      </c>
      <c r="J86" s="52" t="n">
        <v>20.55</v>
      </c>
      <c r="K86" s="52" t="n">
        <v>7.5</v>
      </c>
      <c r="L86" s="52" t="n">
        <v>35.89</v>
      </c>
      <c r="M86" s="52" t="n">
        <v>37.15</v>
      </c>
      <c r="N86" s="52" t="n">
        <v>29.63</v>
      </c>
      <c r="O86" s="52" t="n">
        <v>124.94</v>
      </c>
      <c r="P86" s="100">
        <f>O86/I86</f>
        <v/>
      </c>
      <c r="Q86" s="52" t="n">
        <v>18.41</v>
      </c>
      <c r="R86" s="52" t="n">
        <v>18.64</v>
      </c>
      <c r="S86" s="100" t="n">
        <v>0</v>
      </c>
      <c r="T86" s="52" t="n">
        <v>165.16</v>
      </c>
      <c r="U86" s="52" t="n">
        <v>0</v>
      </c>
      <c r="V86" s="52" t="n">
        <v>1</v>
      </c>
      <c r="W86" s="52" t="n">
        <v>1</v>
      </c>
      <c r="X86" s="52" t="n">
        <v>174.98</v>
      </c>
      <c r="Y86" s="52" t="n">
        <v>536.38</v>
      </c>
      <c r="Z86" s="52" t="n">
        <v>95.3</v>
      </c>
      <c r="AA86" s="103">
        <f>IF(X86&lt;33,IF(Y86&gt;(1.1*X86),0,1),1)+IF(Y86&gt;(4*X86),-1,0)</f>
        <v/>
      </c>
      <c r="AB86" s="52" t="n">
        <v>0</v>
      </c>
      <c r="AC86" s="101">
        <f>IF(AB86&gt;9,1,0)+AB86/3+IF(AB86&gt;15,1,0)+IF(AB86&gt;20,1,0)</f>
        <v/>
      </c>
      <c r="AD86" s="52" t="n">
        <v>72.47</v>
      </c>
      <c r="AE86" s="52" t="n">
        <v>79.90000000000001</v>
      </c>
      <c r="AF86" s="52" t="n">
        <v>77.23</v>
      </c>
      <c r="AG86" s="101">
        <f>IF(G86&lt;0,0,1.2)+IF(G86&lt;14,0,0.9)+IF(P86&lt;0,0.7,0)+IF(P86&lt;6.5,1,0)+IF(P86&lt;23,1,0)+IF(R86&gt;80,0,1)+S86+IF(AD86&lt;20,0,1)+IF(AE86&lt;14,0,1)+IF(AF86&lt;26,0,1)</f>
        <v/>
      </c>
      <c r="AH86" s="101">
        <f>AG86+IF(AG86&gt;6,1,0)+IF(X86&lt;17,0,1)+IF(Y86&lt;11,0,1)+IF(Z86&lt;1.35,0,1)+AC86+AA86</f>
        <v/>
      </c>
      <c r="AI86" s="101" t="n">
        <v>13.27</v>
      </c>
      <c r="AJ86" s="104">
        <f>IF(AI86&gt;12.8,IF(AI86&gt;15.8,0.95,0.98),1)</f>
        <v/>
      </c>
      <c r="AK86" s="101">
        <f>((AG86*2.6+AH86)*AJ86*AQ86)</f>
        <v/>
      </c>
      <c r="AL86" s="50">
        <f>D86</f>
        <v/>
      </c>
      <c r="AM86" s="97">
        <f>B86</f>
        <v/>
      </c>
      <c r="AN86" s="52" t="n">
        <v>25</v>
      </c>
      <c r="AO86" s="99">
        <f>IF(AK86&gt;23.75,IF(Z86&lt;140,1,0),0)</f>
        <v/>
      </c>
      <c r="AP86" s="100">
        <f>IF(AK86&gt;23.2,IF(Y86&lt;300,IF(Y86&lt;35,IF(Y86&lt;8,3,2),1),0),0)</f>
        <v/>
      </c>
      <c r="AQ86" s="100" t="n">
        <v>1</v>
      </c>
      <c r="AR86" s="100">
        <f>IF(AO86=1,IF(AO86=AL86,1,0),5)</f>
        <v/>
      </c>
      <c r="AV86" s="101">
        <f>(AT86+AU86)/2</f>
        <v/>
      </c>
      <c r="AX86" s="101">
        <f>(AS86+AV86+AW86)/3</f>
        <v/>
      </c>
      <c r="AY86" s="52">
        <f>(100*(AU86-AS86)/AS86)</f>
        <v/>
      </c>
      <c r="AZ86" s="52">
        <f>IF(AY86&lt;-50,-4,IF(AY86&lt;-20,-2,IF(AY86&lt;0,-1,IF(AY86=0,0,IF(AY86&lt;10,1.5,IF(AY86&lt;20,2,IF(AY86&gt;19,2.5,2.5)))))))</f>
        <v/>
      </c>
    </row>
    <row r="87" ht="12.75" customHeight="1">
      <c r="A87" s="52" t="inlineStr">
        <is>
          <t>https://www.chittorgarh.com/ipo/aastha-spintex-ipo/2678/</t>
        </is>
      </c>
      <c r="B87" s="62" t="inlineStr">
        <is>
          <t>Aastha Spintex  Price</t>
        </is>
      </c>
      <c r="C87" s="52" t="inlineStr">
        <is>
          <t>2026</t>
        </is>
      </c>
      <c r="D87" s="52" t="n">
        <v>0</v>
      </c>
      <c r="E87" s="52" t="n">
        <v>0</v>
      </c>
      <c r="F87" s="52" t="n">
        <v>121.05</v>
      </c>
      <c r="G87" s="100">
        <f>100*(F87-E87)/F87</f>
        <v/>
      </c>
      <c r="H87" s="52" t="n">
        <v>274.2</v>
      </c>
      <c r="I87" s="52" t="n">
        <v>22.92</v>
      </c>
      <c r="J87" s="52" t="n">
        <v>5.6</v>
      </c>
      <c r="K87" s="52" t="n">
        <v>7.24</v>
      </c>
      <c r="L87" s="52" t="n">
        <v>12.8</v>
      </c>
      <c r="M87" s="52" t="n">
        <v>46.36</v>
      </c>
      <c r="N87" s="52" t="n">
        <v>11.25</v>
      </c>
      <c r="O87" s="52" t="n">
        <v>352.17</v>
      </c>
      <c r="P87" s="100">
        <f>O87/I87</f>
        <v/>
      </c>
      <c r="Q87" s="52" t="n">
        <v>18.78</v>
      </c>
      <c r="R87" s="52" t="n">
        <v>25.65</v>
      </c>
      <c r="S87" s="100" t="n">
        <v>0</v>
      </c>
      <c r="T87" s="52" t="n">
        <v>170</v>
      </c>
      <c r="U87" s="52" t="n">
        <v>0</v>
      </c>
      <c r="V87" s="52" t="n">
        <v>0</v>
      </c>
      <c r="W87" s="52" t="n">
        <v>1</v>
      </c>
      <c r="X87" s="52" t="n">
        <v>3.59</v>
      </c>
      <c r="Y87" s="52" t="n">
        <v>8.289999999999999</v>
      </c>
      <c r="Z87" s="52" t="n">
        <v>2.54</v>
      </c>
      <c r="AA87" s="103">
        <f>IF(X87&lt;33,IF(Y87&gt;(1.1*X87),0,1),1)+IF(Y87&gt;(4*X87),-1,0)</f>
        <v/>
      </c>
      <c r="AB87" s="52" t="n">
        <v>0</v>
      </c>
      <c r="AC87" s="101">
        <f>IF(AB87&gt;9,1,0)+AB87/3+IF(AB87&gt;15,1,0)+IF(AB87&gt;20,1,0)</f>
        <v/>
      </c>
      <c r="AD87" s="52" t="n">
        <v>40.7</v>
      </c>
      <c r="AE87" s="52" t="n">
        <v>15.21</v>
      </c>
      <c r="AF87" s="52" t="n">
        <v>58.48</v>
      </c>
      <c r="AG87" s="101">
        <f>IF(G87&lt;0,0,1.2)+IF(G87&lt;14,0,0.9)+IF(P87&lt;0,0.7,0)+IF(P87&lt;6.5,1,0)+IF(P87&lt;23,1,0)+IF(R87&gt;80,0,1)+S87+IF(AD87&lt;20,0,1)+IF(AE87&lt;14,0,1)+IF(AF87&lt;26,0,1)</f>
        <v/>
      </c>
      <c r="AH87" s="101">
        <f>AG87+IF(AG87&gt;6,1,0)+IF(X87&lt;17,0,1)+IF(Y87&lt;11,0,1)+IF(Z87&lt;1.35,0,1)+AC87+AA87</f>
        <v/>
      </c>
      <c r="AI87" s="101" t="n">
        <v>13.27</v>
      </c>
      <c r="AJ87" s="104">
        <f>IF(AI87&gt;12.8,IF(AI87&gt;15.8,0.95,0.98),1)</f>
        <v/>
      </c>
      <c r="AK87" s="101">
        <f>((AG87*2.6+AH87)*AJ87*AQ87)</f>
        <v/>
      </c>
      <c r="AL87" s="50">
        <f>D87</f>
        <v/>
      </c>
      <c r="AM87" s="97">
        <f>B87</f>
        <v/>
      </c>
      <c r="AN87" s="52" t="n">
        <v>1</v>
      </c>
      <c r="AO87" s="99">
        <f>IF(AK87&gt;23.75,IF(Z87&lt;140,1,0),0)</f>
        <v/>
      </c>
      <c r="AP87" s="100">
        <f>IF(AK87&gt;23.2,IF(Y87&lt;300,IF(Y87&lt;35,IF(Y87&lt;8,3,2),1),0),0)</f>
        <v/>
      </c>
      <c r="AQ87" s="100" t="n">
        <v>1</v>
      </c>
      <c r="AR87" s="100">
        <f>IF(AO87=1,IF(AO87=AL87,1,0),5)</f>
        <v/>
      </c>
      <c r="AV87" s="101">
        <f>(AT87+AU87)/2</f>
        <v/>
      </c>
      <c r="AX87" s="101">
        <f>(AS87+AV87+AW87)/3</f>
        <v/>
      </c>
      <c r="AY87" s="52">
        <f>(100*(AU87-AS87)/AS87)</f>
        <v/>
      </c>
      <c r="AZ87" s="52">
        <f>IF(AY87&lt;-50,-4,IF(AY87&lt;-20,-2,IF(AY87&lt;0,-1,IF(AY87=0,0,IF(AY87&lt;10,1.5,IF(AY87&lt;20,2,IF(AY87&gt;19,2.5,2.5)))))))</f>
        <v/>
      </c>
    </row>
    <row r="88" ht="12.75" customHeight="1">
      <c r="A88" s="52" t="inlineStr">
        <is>
          <t>https://www.chittorgarh.com/ipo/knack-packaging-ipo/2592/</t>
        </is>
      </c>
      <c r="B88" s="62" t="inlineStr">
        <is>
          <t>Knack Packaging  Pric</t>
        </is>
      </c>
      <c r="C88" s="52" t="inlineStr">
        <is>
          <t>2026</t>
        </is>
      </c>
      <c r="D88" s="52" t="n">
        <v>1</v>
      </c>
      <c r="E88" s="52" t="n">
        <v>172.06</v>
      </c>
      <c r="F88" s="52" t="n">
        <v>214.71</v>
      </c>
      <c r="G88" s="100">
        <f>100*(F88-E88)/F88</f>
        <v/>
      </c>
      <c r="H88" s="52" t="n">
        <v>449.36</v>
      </c>
      <c r="I88" s="52" t="n">
        <v>73.81</v>
      </c>
      <c r="J88" s="52" t="n">
        <v>10.99</v>
      </c>
      <c r="K88" s="52" t="n">
        <v>9.27</v>
      </c>
      <c r="L88" s="52" t="n">
        <v>35.75</v>
      </c>
      <c r="M88" s="52" t="n">
        <v>144.34</v>
      </c>
      <c r="N88" s="52" t="n">
        <v>20.42</v>
      </c>
      <c r="O88" s="52" t="n">
        <v>747.38</v>
      </c>
      <c r="P88" s="100">
        <f>O88/I88</f>
        <v/>
      </c>
      <c r="Q88" s="52" t="n">
        <v>18.33</v>
      </c>
      <c r="R88" s="52" t="n">
        <v>0</v>
      </c>
      <c r="S88" s="100" t="n">
        <v>0</v>
      </c>
      <c r="T88" s="52" t="n">
        <v>439.5</v>
      </c>
      <c r="U88" s="52" t="n">
        <v>59.47000000000003</v>
      </c>
      <c r="V88" s="52" t="n">
        <v>1</v>
      </c>
      <c r="W88" s="52" t="n">
        <v>1</v>
      </c>
      <c r="X88" s="52" t="n">
        <v>160.03</v>
      </c>
      <c r="Y88" s="52" t="n">
        <v>146.57</v>
      </c>
      <c r="Z88" s="52" t="n">
        <v>21.08</v>
      </c>
      <c r="AA88" s="103">
        <f>IF(X88&lt;33,IF(Y88&gt;(1.1*X88),0,1),1)+IF(Y88&gt;(4*X88),-1,0)</f>
        <v/>
      </c>
      <c r="AB88" s="52" t="n">
        <v>0</v>
      </c>
      <c r="AC88" s="101">
        <f>IF(AB88&gt;9,1,0)+AB88/3+IF(AB88&gt;15,1,0)+IF(AB88&gt;20,1,0)</f>
        <v/>
      </c>
      <c r="AD88" s="52" t="n">
        <v>60.53</v>
      </c>
      <c r="AE88" s="52" t="n">
        <v>13.41</v>
      </c>
      <c r="AF88" s="52" t="n">
        <v>52.69</v>
      </c>
      <c r="AG88" s="101">
        <f>IF(G88&lt;0,0,1.2)+IF(G88&lt;14,0,0.9)+IF(P88&lt;0,0.7,0)+IF(P88&lt;6.5,1,0)+IF(P88&lt;23,1,0)+IF(R88&gt;80,0,1)+S88+IF(AD88&lt;20,0,1)+IF(AE88&lt;14,0,1)+IF(AF88&lt;26,0,1)</f>
        <v/>
      </c>
      <c r="AH88" s="101">
        <f>AG88+IF(AG88&gt;6,1,0)+IF(X88&lt;17,0,1)+IF(Y88&lt;11,0,1)+IF(Z88&lt;1.35,0,1)+AC88+AA88</f>
        <v/>
      </c>
      <c r="AI88" s="101" t="n">
        <v>13.27</v>
      </c>
      <c r="AJ88" s="104">
        <f>IF(AI88&gt;12.8,IF(AI88&gt;15.8,0.95,0.98),1)</f>
        <v/>
      </c>
      <c r="AK88" s="101">
        <f>((AG88*2.6+AH88)*AJ88*AQ88)</f>
        <v/>
      </c>
      <c r="AL88" s="50">
        <f>D88</f>
        <v/>
      </c>
      <c r="AM88" s="97">
        <f>B88</f>
        <v/>
      </c>
      <c r="AN88" s="52" t="n">
        <v>3</v>
      </c>
      <c r="AO88" s="99">
        <f>IF(AK88&gt;23.75,IF(Z88&lt;140,1,0),0)</f>
        <v/>
      </c>
      <c r="AP88" s="100">
        <f>IF(AK88&gt;23.2,IF(Y88&lt;300,IF(Y88&lt;35,IF(Y88&lt;8,3,2),1),0),0)</f>
        <v/>
      </c>
      <c r="AQ88" s="100" t="n">
        <v>1</v>
      </c>
      <c r="AR88" s="100">
        <f>IF(AO88=1,IF(AO88=AL88,1,0),5)</f>
        <v/>
      </c>
      <c r="AV88" s="101">
        <f>(AT88+AU88)/2</f>
        <v/>
      </c>
      <c r="AX88" s="101">
        <f>(AS88+AV88+AW88)/3</f>
        <v/>
      </c>
      <c r="AY88" s="52">
        <f>(100*(AU88-AS88)/AS88)</f>
        <v/>
      </c>
      <c r="AZ88" s="52">
        <f>IF(AY88&lt;-50,-4,IF(AY88&lt;-20,-2,IF(AY88&lt;0,-1,IF(AY88=0,0,IF(AY88&lt;10,1.5,IF(AY88&lt;20,2,IF(AY88&gt;19,2.5,2.5)))))))</f>
        <v/>
      </c>
    </row>
    <row r="89" ht="12.75" customHeight="1">
      <c r="A89" s="52" t="inlineStr">
        <is>
          <t>https://www.chittorgarh.com/ipo/kusumgar-ipo/2670/</t>
        </is>
      </c>
      <c r="B89" s="62" t="inlineStr">
        <is>
          <t>Kusumgar  Price, GMP,</t>
        </is>
      </c>
      <c r="C89" s="52" t="inlineStr">
        <is>
          <t>2026</t>
        </is>
      </c>
      <c r="D89" s="52" t="n">
        <v>1</v>
      </c>
      <c r="E89" s="52" t="n">
        <v>246.5</v>
      </c>
      <c r="F89" s="52" t="n">
        <v>257.75</v>
      </c>
      <c r="G89" s="100" t="n">
        <v>4.36</v>
      </c>
      <c r="H89" s="52" t="n">
        <v>632.4</v>
      </c>
      <c r="I89" s="52" t="n">
        <v>111.99</v>
      </c>
      <c r="J89" s="52" t="n">
        <v>13.8</v>
      </c>
      <c r="K89" s="52" t="n">
        <v>9.35</v>
      </c>
      <c r="L89" s="52" t="n">
        <v>25.82</v>
      </c>
      <c r="M89" s="52" t="n">
        <v>188.39</v>
      </c>
      <c r="N89" s="52" t="n">
        <v>27.15</v>
      </c>
      <c r="O89" s="52" t="n">
        <v>790.21</v>
      </c>
      <c r="P89" s="100" t="n">
        <v>7.06</v>
      </c>
      <c r="Q89" s="52" t="n">
        <v>44.8</v>
      </c>
      <c r="R89" s="52" t="n">
        <v>44.8</v>
      </c>
      <c r="S89" s="100" t="n">
        <v>0</v>
      </c>
      <c r="T89" s="52" t="n">
        <v>650</v>
      </c>
      <c r="U89" s="52" t="n">
        <v>0</v>
      </c>
      <c r="V89" s="52" t="n">
        <v>1</v>
      </c>
      <c r="W89" s="52" t="n">
        <v>1</v>
      </c>
      <c r="X89" s="52" t="n">
        <v>0</v>
      </c>
      <c r="Y89" s="52" t="n">
        <v>0</v>
      </c>
      <c r="Z89" s="52" t="n">
        <v>0</v>
      </c>
      <c r="AA89" s="103" t="n">
        <v>1</v>
      </c>
      <c r="AB89" s="52" t="n">
        <v>0</v>
      </c>
      <c r="AC89" s="101" t="n">
        <v>0</v>
      </c>
      <c r="AD89" s="52" t="n">
        <v>32.69</v>
      </c>
      <c r="AE89" s="52" t="n">
        <v>66.52</v>
      </c>
      <c r="AF89" s="52" t="n">
        <v>83.63</v>
      </c>
      <c r="AG89" s="101" t="n">
        <v>6.2</v>
      </c>
      <c r="AH89" s="101" t="n">
        <v>8.199999999999999</v>
      </c>
      <c r="AI89" s="101" t="n">
        <v>23.7</v>
      </c>
      <c r="AJ89" s="104">
        <f>IF(AI89&gt;12.8,IF(AI89&gt;15.8,0.95,0.98),1)</f>
        <v/>
      </c>
      <c r="AK89" s="101">
        <f>((AG89*2.6+AH89)*AJ89*AQ89)</f>
        <v/>
      </c>
      <c r="AL89" s="50">
        <f>D89</f>
        <v/>
      </c>
      <c r="AM89" s="97">
        <f>B89</f>
        <v/>
      </c>
      <c r="AN89" s="52" t="n">
        <v>10</v>
      </c>
      <c r="AO89" s="99">
        <f>IF(AK89&gt;23.75,IF(Z89&lt;140,1,0),0)</f>
        <v/>
      </c>
      <c r="AP89" s="100">
        <f>IF(AK89&gt;23.2,IF(Y89&lt;300,IF(Y89&lt;35,IF(Y89&lt;8,3,2),1),0),0)</f>
        <v/>
      </c>
      <c r="AQ89" s="100" t="n">
        <v>1</v>
      </c>
      <c r="AR89" s="100">
        <f>IF(AO89=1,IF(AO89=AL89,1,0),5)</f>
        <v/>
      </c>
      <c r="AV89" s="101">
        <f>(AT89+AU89)/2</f>
        <v/>
      </c>
      <c r="AX89" s="101">
        <f>(AS89+AV89+AW89)/3</f>
        <v/>
      </c>
      <c r="AY89" s="52">
        <f>(100*(AU89-AS89)/AS89)</f>
        <v/>
      </c>
      <c r="AZ89" s="52">
        <f>IF(AY89&lt;-50,-4,IF(AY89&lt;-20,-2,IF(AY89&lt;0,-1,IF(AY89=0,0,IF(AY89&lt;10,1.5,IF(AY89&lt;20,2,IF(AY89&gt;19,2.5,2.5)))))))</f>
        <v/>
      </c>
    </row>
    <row r="90" ht="12.75" customHeight="1">
      <c r="A90" s="52" t="inlineStr">
        <is>
          <t>https://www.chittorgarh.com/ipo/laser-power-infra-ipo/2654/</t>
        </is>
      </c>
      <c r="B90" s="62" t="inlineStr">
        <is>
          <t>Laser Power &amp;amp; Inf</t>
        </is>
      </c>
      <c r="C90" s="52" t="inlineStr">
        <is>
          <t>2026</t>
        </is>
      </c>
      <c r="D90" s="52" t="n">
        <v>1</v>
      </c>
      <c r="E90" s="52" t="n">
        <v>502.95</v>
      </c>
      <c r="F90" s="52" t="n">
        <v>574.58</v>
      </c>
      <c r="G90" s="100" t="n">
        <v>12.47</v>
      </c>
      <c r="H90" s="52" t="n">
        <v>2270.17</v>
      </c>
      <c r="I90" s="52" t="n">
        <v>106.75</v>
      </c>
      <c r="J90" s="52" t="n">
        <v>6.46</v>
      </c>
      <c r="K90" s="52" t="n">
        <v>13.18</v>
      </c>
      <c r="L90" s="52" t="n">
        <v>23.32</v>
      </c>
      <c r="M90" s="52" t="n">
        <v>250.39</v>
      </c>
      <c r="N90" s="52" t="n">
        <v>12.96</v>
      </c>
      <c r="O90" s="52" t="n">
        <v>2592.53</v>
      </c>
      <c r="P90" s="100" t="n">
        <v>24.29</v>
      </c>
      <c r="Q90" s="52" t="n">
        <v>16.24</v>
      </c>
      <c r="R90" s="52" t="n">
        <v>19.82</v>
      </c>
      <c r="S90" s="100" t="n">
        <v>0</v>
      </c>
      <c r="T90" s="52" t="n">
        <v>742</v>
      </c>
      <c r="U90" s="52" t="n">
        <v>200</v>
      </c>
      <c r="V90" s="52" t="n">
        <v>1</v>
      </c>
      <c r="W90" s="52" t="n">
        <v>1</v>
      </c>
      <c r="X90" s="52" t="n">
        <v>97.25</v>
      </c>
      <c r="Y90" s="52" t="n">
        <v>45.69</v>
      </c>
      <c r="Z90" s="52" t="n">
        <v>6.95</v>
      </c>
      <c r="AA90" s="103" t="n">
        <v>1</v>
      </c>
      <c r="AB90" s="52" t="n">
        <v>0</v>
      </c>
      <c r="AC90" s="101" t="n">
        <v>0</v>
      </c>
      <c r="AD90" s="52" t="n">
        <v>164.17</v>
      </c>
      <c r="AE90" s="52" t="n">
        <v>47</v>
      </c>
      <c r="AF90" s="52" t="n">
        <v>21.36</v>
      </c>
      <c r="AG90" s="101" t="n">
        <v>4.2</v>
      </c>
      <c r="AH90" s="101" t="n">
        <v>8.199999999999999</v>
      </c>
      <c r="AI90" s="101" t="n">
        <v>18.7</v>
      </c>
      <c r="AJ90" s="104">
        <f>IF(AI90&gt;12.8,IF(AI90&gt;15.8,0.95,0.98),1)</f>
        <v/>
      </c>
      <c r="AK90" s="101">
        <f>((AG90*2.6+AH90)*AJ90*AQ90)</f>
        <v/>
      </c>
      <c r="AL90" s="50">
        <f>D90</f>
        <v/>
      </c>
      <c r="AM90" s="97">
        <f>B90</f>
        <v/>
      </c>
      <c r="AN90" s="52" t="n">
        <v>13</v>
      </c>
      <c r="AO90" s="99">
        <f>IF(AK90&gt;23.75,IF(Z90&lt;140,1,0),0)</f>
        <v/>
      </c>
      <c r="AP90" s="100">
        <f>IF(AK90&gt;23.2,IF(Y90&lt;300,IF(Y90&lt;35,IF(Y90&lt;8,3,2),1),0),0)</f>
        <v/>
      </c>
      <c r="AQ90" s="100" t="n">
        <v>1</v>
      </c>
      <c r="AR90" s="100">
        <f>IF(AO90=1,IF(AO90=AL90,1,0),5)</f>
        <v/>
      </c>
      <c r="AV90" s="101">
        <f>(AT90+AU90)/2</f>
        <v/>
      </c>
      <c r="AX90" s="101">
        <f>(AS90+AV90+AW90)/3</f>
        <v/>
      </c>
      <c r="AY90" s="52">
        <f>(100*(AU90-AS90)/AS90)</f>
        <v/>
      </c>
      <c r="AZ90" s="52">
        <f>IF(AY90&lt;-50,-4,IF(AY90&lt;-20,-2,IF(AY90&lt;0,-1,IF(AY90=0,0,IF(AY90&lt;10,1.5,IF(AY90&lt;20,2,IF(AY90&gt;19,2.5,2.5)))))))</f>
        <v/>
      </c>
    </row>
    <row r="91" ht="12.75" customHeight="1">
      <c r="A91" s="52" t="inlineStr">
        <is>
          <t>https://www.chittorgarh.com/ipo/sbi-funds-management-ipo/2949/</t>
        </is>
      </c>
      <c r="B91" s="62" t="inlineStr">
        <is>
          <t xml:space="preserve">SBI Funds Management </t>
        </is>
      </c>
      <c r="C91" s="52" t="inlineStr">
        <is>
          <t>2026</t>
        </is>
      </c>
      <c r="D91" s="52" t="n">
        <v>1</v>
      </c>
      <c r="E91" s="52" t="n">
        <v>0</v>
      </c>
      <c r="F91" s="52" t="n">
        <v>8297.530000000001</v>
      </c>
      <c r="G91" s="100" t="n">
        <v>100</v>
      </c>
      <c r="H91" s="52" t="n">
        <v>8771.860000000001</v>
      </c>
      <c r="I91" s="52" t="n">
        <v>2540.15</v>
      </c>
      <c r="J91" s="52" t="n">
        <v>0</v>
      </c>
      <c r="K91" s="52" t="n">
        <v>15.06</v>
      </c>
      <c r="L91" s="52" t="n">
        <v>43.02</v>
      </c>
      <c r="M91" s="52" t="n">
        <v>3412.94</v>
      </c>
      <c r="N91" s="52" t="n">
        <v>92.45999999999999</v>
      </c>
      <c r="O91" s="52" t="n">
        <v>4236.15</v>
      </c>
      <c r="P91" s="100" t="n">
        <v>1.67</v>
      </c>
      <c r="Q91" s="52" t="n">
        <v>38.12</v>
      </c>
      <c r="R91" s="52" t="n">
        <v>38.12</v>
      </c>
      <c r="S91" s="100" t="n">
        <v>0</v>
      </c>
      <c r="T91" s="52" t="n">
        <v>0</v>
      </c>
      <c r="U91" s="52" t="n">
        <v>0</v>
      </c>
      <c r="V91" s="52" t="n">
        <v>1</v>
      </c>
      <c r="W91" s="52" t="n">
        <v>1</v>
      </c>
      <c r="X91" s="52" t="n">
        <v>140.11</v>
      </c>
      <c r="Y91" s="52" t="n">
        <v>22.51</v>
      </c>
      <c r="Z91" s="52" t="n">
        <v>3.76</v>
      </c>
      <c r="AA91" s="103" t="n">
        <v>1</v>
      </c>
      <c r="AB91" s="52" t="n">
        <v>0</v>
      </c>
      <c r="AC91" s="101" t="n">
        <v>0</v>
      </c>
      <c r="AD91" s="52" t="n">
        <v>22.55</v>
      </c>
      <c r="AE91" s="52" t="n">
        <v>23.64</v>
      </c>
      <c r="AF91" s="52" t="n">
        <v>22.97</v>
      </c>
      <c r="AG91" s="101" t="n">
        <v>7.1</v>
      </c>
      <c r="AH91" s="101" t="n">
        <v>12.1</v>
      </c>
      <c r="AI91" s="101" t="n">
        <v>29.85</v>
      </c>
      <c r="AJ91" s="104">
        <f>IF(AI91&gt;12.8,IF(AI91&gt;15.8,0.95,0.98),1)</f>
        <v/>
      </c>
      <c r="AK91" s="101">
        <f>((AG91*2.6+AH91)*AJ91*AQ91)</f>
        <v/>
      </c>
      <c r="AL91" s="50">
        <f>D91</f>
        <v/>
      </c>
      <c r="AM91" s="97">
        <f>B91</f>
        <v/>
      </c>
      <c r="AN91" s="82" t="n">
        <v>16</v>
      </c>
      <c r="AO91" s="99">
        <f>IF(AK91&gt;23.75,IF(Z91&lt;140,1,0),0)</f>
        <v/>
      </c>
      <c r="AP91" s="100">
        <f>IF(AK91&gt;23.2,IF(Y91&lt;300,IF(Y91&lt;35,IF(Y91&lt;8,3,2),1),0),0)</f>
        <v/>
      </c>
      <c r="AQ91" s="100" t="n">
        <v>1</v>
      </c>
      <c r="AR91" s="100">
        <f>IF(AO91=1,IF(AO91=AL91,1,0),5)</f>
        <v/>
      </c>
      <c r="AS91" s="52" t="n">
        <v>574</v>
      </c>
      <c r="AT91" s="52" t="n">
        <v>587</v>
      </c>
      <c r="AU91" s="52" t="n">
        <v>632</v>
      </c>
      <c r="AV91" s="101">
        <f>(AT91+AU91)/2</f>
        <v/>
      </c>
      <c r="AW91" s="52" t="n">
        <v>613.4</v>
      </c>
      <c r="AX91" s="101">
        <f>(AS91+AV91+AW91)/3</f>
        <v/>
      </c>
      <c r="AY91" s="52">
        <f>(100*(AU91-AS91)/AS91)</f>
        <v/>
      </c>
      <c r="AZ91" s="52">
        <f>IF(AY91&lt;-50,-4,IF(AY91&lt;-20,-2,IF(AY91&lt;0,-1,IF(AY91=0,0,IF(AY91&lt;10,1.5,IF(AY91&lt;20,2,IF(AY91&gt;19,2.5,2.5)))))))</f>
        <v/>
      </c>
      <c r="BF91" s="52" t="n">
        <v>568</v>
      </c>
    </row>
    <row r="92" ht="12.75" customHeight="1">
      <c r="A92" s="52" t="inlineStr">
        <is>
          <t>https://www.chittorgarh.com/ipo/alpine-texworld-ipo/2675/</t>
        </is>
      </c>
      <c r="B92" s="62" t="inlineStr">
        <is>
          <t>Alpine Texworld  Pric</t>
        </is>
      </c>
      <c r="C92" s="52" t="inlineStr">
        <is>
          <t>2026</t>
        </is>
      </c>
      <c r="D92" s="52" t="n">
        <v>0</v>
      </c>
      <c r="E92" s="52" t="n">
        <v>166.09</v>
      </c>
      <c r="F92" s="52" t="n">
        <v>51.13</v>
      </c>
      <c r="G92" s="100" t="n">
        <v>-224.84</v>
      </c>
      <c r="H92" s="52" t="n">
        <v>294.86</v>
      </c>
      <c r="I92" s="52" t="n">
        <v>8.630000000000001</v>
      </c>
      <c r="J92" s="52" t="n">
        <v>6.34</v>
      </c>
      <c r="K92" s="52" t="n">
        <v>8.279999999999999</v>
      </c>
      <c r="L92" s="52" t="n">
        <v>33.85</v>
      </c>
      <c r="M92" s="52" t="n">
        <v>27</v>
      </c>
      <c r="N92" s="52" t="n">
        <v>13.84</v>
      </c>
      <c r="O92" s="52" t="n">
        <v>237.66</v>
      </c>
      <c r="P92" s="100" t="n">
        <v>27.54</v>
      </c>
      <c r="Q92" s="52" t="n">
        <v>12.68</v>
      </c>
      <c r="R92" s="52" t="n">
        <v>18.49</v>
      </c>
      <c r="S92" s="100" t="n">
        <v>0</v>
      </c>
      <c r="T92" s="52" t="n">
        <v>126.25</v>
      </c>
      <c r="U92" s="52" t="n">
        <v>0</v>
      </c>
      <c r="V92" s="52" t="n">
        <v>0</v>
      </c>
      <c r="W92" s="52" t="n">
        <v>0</v>
      </c>
      <c r="X92" s="52" t="n">
        <v>0</v>
      </c>
      <c r="Y92" s="52" t="n">
        <v>0</v>
      </c>
      <c r="Z92" s="52" t="n">
        <v>0</v>
      </c>
      <c r="AA92" s="103" t="n">
        <v>1</v>
      </c>
      <c r="AB92" s="52" t="n">
        <v>0</v>
      </c>
      <c r="AC92" s="101" t="n">
        <v>0</v>
      </c>
      <c r="AD92" s="52" t="n">
        <v>0</v>
      </c>
      <c r="AE92" s="52" t="n">
        <v>0</v>
      </c>
      <c r="AF92" s="52" t="n">
        <v>0</v>
      </c>
      <c r="AG92" s="101" t="n">
        <v>1</v>
      </c>
      <c r="AH92" s="101" t="n">
        <v>2</v>
      </c>
      <c r="AI92" s="101" t="n">
        <v>4.5</v>
      </c>
      <c r="AJ92" s="104">
        <f>IF(AI92&gt;12.8,IF(AI92&gt;15.8,0.95,0.98),1)</f>
        <v/>
      </c>
      <c r="AK92" s="101">
        <f>((AG92*2.6+AH92)*AJ92*AQ92)</f>
        <v/>
      </c>
      <c r="AL92" s="50">
        <f>D92</f>
        <v/>
      </c>
      <c r="AM92" s="97">
        <f>B92</f>
        <v/>
      </c>
      <c r="AN92" s="82" t="n">
        <v>16</v>
      </c>
      <c r="AO92" s="99">
        <f>IF(AK92&gt;23.75,IF(Z92&lt;140,1,0),0)</f>
        <v/>
      </c>
      <c r="AP92" s="100">
        <f>IF(AK92&gt;23.2,IF(Y92&lt;300,IF(Y92&lt;35,IF(Y92&lt;8,3,2),1),0),0)</f>
        <v/>
      </c>
      <c r="AQ92" s="100" t="n">
        <v>1</v>
      </c>
      <c r="AR92" s="100">
        <f>IF(AO92=1,IF(AO92=AL92,1,0),5)</f>
        <v/>
      </c>
      <c r="AV92" s="101">
        <f>(AT92+AU92)/2</f>
        <v/>
      </c>
      <c r="AX92" s="101">
        <f>(AS92+AV92+AW92)/3</f>
        <v/>
      </c>
      <c r="AY92" s="52">
        <f>(100*(AU92-AS92)/AS92)</f>
        <v/>
      </c>
      <c r="AZ92" s="52">
        <f>IF(AY92&lt;-50,-4,IF(AY92&lt;-20,-2,IF(AY92&lt;0,-1,IF(AY92=0,0,IF(AY92&lt;10,1.5,IF(AY92&lt;20,2,IF(AY92&gt;19,2.5,2.5)))))))</f>
        <v/>
      </c>
    </row>
    <row r="93" ht="12.75" customHeight="1">
      <c r="A93" s="52" t="inlineStr">
        <is>
          <t>https://www.chittorgarh.com/ipo/caliber-mining-ipo/1999/</t>
        </is>
      </c>
      <c r="B93" s="62" t="inlineStr">
        <is>
          <t>Caliber Mining  Price</t>
        </is>
      </c>
      <c r="C93" s="52" t="inlineStr">
        <is>
          <t>2026</t>
        </is>
      </c>
      <c r="D93" t="n">
        <v>1</v>
      </c>
      <c r="E93" s="52" t="n">
        <v>649.27</v>
      </c>
      <c r="F93" s="52" t="n">
        <v>489.3</v>
      </c>
      <c r="G93" s="100">
        <f>100*(F93-E93)/F93</f>
        <v/>
      </c>
      <c r="H93" s="52" t="n">
        <v>1404.09</v>
      </c>
      <c r="I93" s="52" t="n">
        <v>131.55</v>
      </c>
      <c r="J93" s="52" t="n">
        <v>9.41</v>
      </c>
      <c r="K93" s="52" t="n">
        <v>28.23</v>
      </c>
      <c r="L93" s="52" t="n">
        <v>0</v>
      </c>
      <c r="M93" s="52" t="n">
        <v>349.77</v>
      </c>
      <c r="N93" s="52" t="n">
        <v>25.69</v>
      </c>
      <c r="O93" s="52" t="n">
        <v>1435.57</v>
      </c>
      <c r="P93" s="100">
        <f>O93/I93</f>
        <v/>
      </c>
      <c r="Q93" s="52" t="n">
        <v>15.02</v>
      </c>
      <c r="R93" s="52" t="n">
        <v>17.55</v>
      </c>
      <c r="S93" s="100" t="n">
        <v>0</v>
      </c>
      <c r="T93" s="52" t="n">
        <v>450</v>
      </c>
      <c r="U93" s="52" t="n">
        <v>50</v>
      </c>
      <c r="V93" s="52" t="n">
        <v>1</v>
      </c>
      <c r="W93" s="52" t="n">
        <v>1</v>
      </c>
      <c r="X93" s="52" t="n">
        <v>1.24</v>
      </c>
      <c r="Y93" s="52" t="n">
        <v>56.04</v>
      </c>
      <c r="Z93" s="52" t="n">
        <v>14.05</v>
      </c>
      <c r="AA93" s="103">
        <f>IF(X93&lt;33,IF(Y93&gt;(1.1*X93),0,1),1)+IF(Y93&gt;(4*X93),-1,0)</f>
        <v/>
      </c>
      <c r="AB93" s="52" t="n">
        <v>27.36</v>
      </c>
      <c r="AC93" s="101">
        <f>IF(AB93&gt;9,1,0)+AB93/3+IF(AB93&gt;15,1,0)+IF(AB93&gt;20,1,0)</f>
        <v/>
      </c>
      <c r="AD93" s="52" t="n">
        <v>37.17</v>
      </c>
      <c r="AE93" s="52" t="n">
        <v>49.86</v>
      </c>
      <c r="AF93" s="52" t="n">
        <v>65.34</v>
      </c>
      <c r="AG93" s="101">
        <f>IF(G93&lt;0,0,1.2)+IF(G93&lt;14,0,0.9)+IF(P93&lt;0,0.7,0)+IF(P93&lt;6.5,1,0)+IF(P93&lt;23,1,0)+IF(R93&gt;80,0,1)+S93+IF(AD93&lt;20,0,1)+IF(AE93&lt;14,0,1)+IF(AF93&lt;26,0,1)</f>
        <v/>
      </c>
      <c r="AH93" s="101">
        <f>AG93+IF(AG93&gt;6,1,0)+IF(X93&lt;17,0,1)+IF(Y93&lt;11,0,1)+IF(Z93&lt;1.35,0,1)+AC93+AA93</f>
        <v/>
      </c>
      <c r="AI93" s="101" t="n">
        <v>12.98</v>
      </c>
      <c r="AJ93" s="104">
        <f>IF(AI93&gt;12.8,IF(AI93&gt;15.8,0.95,0.98),1)</f>
        <v/>
      </c>
      <c r="AK93" s="101">
        <f>((AG93*2.6+AH93)*AJ93*AQ93)</f>
        <v/>
      </c>
      <c r="AL93" s="50">
        <f>D93</f>
        <v/>
      </c>
      <c r="AM93" s="97">
        <f>B93</f>
        <v/>
      </c>
      <c r="AN93" s="52" t="n">
        <v>21</v>
      </c>
      <c r="AO93" s="99">
        <f>IF(AK93&gt;23.75,IF(Z93&lt;140,1,0),0)</f>
        <v/>
      </c>
      <c r="AP93" s="100">
        <f>IF(AK93&gt;23.2,IF(Y93&lt;300,IF(Y93&lt;35,IF(Y93&lt;8,3,2),1),0),0)</f>
        <v/>
      </c>
      <c r="AQ93" s="100" t="n">
        <v>1</v>
      </c>
      <c r="AR93" s="100">
        <f>IF(AO93=1,IF(AO93=AL93,1,0),5)</f>
        <v/>
      </c>
      <c r="AV93" s="101">
        <f>(AT93+AU93)/2</f>
        <v/>
      </c>
      <c r="AX93" s="101">
        <f>(AS93+AV93+AW93)/3</f>
        <v/>
      </c>
      <c r="AY93" s="52">
        <f>(100*(AU93-AS93)/AS93)</f>
        <v/>
      </c>
      <c r="AZ93" s="52">
        <f>IF(AY93&lt;-50,-4,IF(AY93&lt;-20,-2,IF(AY93&lt;0,-1,IF(AY93=0,0,IF(AY93&lt;10,1.5,IF(AY93&lt;20,2,IF(AY93&gt;19,2.5,2.5)))))))</f>
        <v/>
      </c>
    </row>
    <row r="94" ht="12.75" customHeight="1">
      <c r="A94" s="52" t="inlineStr">
        <is>
          <t>https://www.chittorgarh.com/ipo/xtranet-technologies-ipo/2688/</t>
        </is>
      </c>
      <c r="B94" s="62" t="inlineStr">
        <is>
          <t xml:space="preserve">Xtranet Technologies </t>
        </is>
      </c>
      <c r="C94" s="52" t="inlineStr">
        <is>
          <t>2026</t>
        </is>
      </c>
      <c r="D94" t="n">
        <v>1</v>
      </c>
      <c r="E94" s="52" t="n">
        <v>39.24</v>
      </c>
      <c r="F94" s="52" t="n">
        <v>95.48999999999999</v>
      </c>
      <c r="G94" s="100">
        <f>100*(F94-E94)/F94</f>
        <v/>
      </c>
      <c r="H94" s="52" t="n">
        <v>321.79</v>
      </c>
      <c r="I94" s="52" t="n">
        <v>30.03</v>
      </c>
      <c r="J94" s="52" t="n">
        <v>10.88</v>
      </c>
      <c r="K94" s="52" t="n">
        <v>10.4</v>
      </c>
      <c r="L94" s="52" t="n">
        <v>44.31</v>
      </c>
      <c r="M94" s="52" t="n">
        <v>47.2</v>
      </c>
      <c r="N94" s="52" t="n">
        <v>17.1</v>
      </c>
      <c r="O94" s="52" t="n">
        <v>276.53</v>
      </c>
      <c r="P94" s="100">
        <f>O94/I94</f>
        <v/>
      </c>
      <c r="Q94" s="52" t="n">
        <v>12.21</v>
      </c>
      <c r="R94" s="52" t="n">
        <v>16.3</v>
      </c>
      <c r="S94" s="100" t="n">
        <v>0</v>
      </c>
      <c r="T94" s="52" t="n">
        <v>166.8</v>
      </c>
      <c r="U94" s="52" t="n">
        <v>0</v>
      </c>
      <c r="V94" s="52" t="n">
        <v>0</v>
      </c>
      <c r="W94" s="52" t="n">
        <v>1</v>
      </c>
      <c r="X94" s="52" t="n">
        <v>5</v>
      </c>
      <c r="Y94" s="52" t="n">
        <v>5</v>
      </c>
      <c r="Z94" s="52" t="n">
        <v>1</v>
      </c>
      <c r="AA94" s="103">
        <f>IF(X94&lt;33,IF(Y94&gt;(1.1*X94),0,1),1)+IF(Y94&gt;(4*X94),-1,0)</f>
        <v/>
      </c>
      <c r="AB94" s="52" t="n">
        <v>19.69</v>
      </c>
      <c r="AC94" s="101">
        <f>IF(AB94&gt;9,1,0)+AB94/3+IF(AB94&gt;15,1,0)+IF(AB94&gt;20,1,0)</f>
        <v/>
      </c>
      <c r="AD94" s="52" t="n">
        <v>174.5</v>
      </c>
      <c r="AE94" s="52" t="n">
        <v>18.55</v>
      </c>
      <c r="AF94" s="52" t="n">
        <v>146.24</v>
      </c>
      <c r="AG94" s="101">
        <f>IF(G94&lt;0,0,1.2)+IF(G94&lt;14,0,0.9)+IF(P94&lt;0,0.7,0)+IF(P94&lt;6.5,1,0)+IF(P94&lt;23,1,0)+IF(R94&gt;80,0,1)+S94+IF(AD94&lt;20,0,1)+IF(AE94&lt;14,0,1)+IF(AF94&lt;26,0,1)</f>
        <v/>
      </c>
      <c r="AH94" s="101">
        <f>AG94+IF(AG94&gt;6,1,0)+IF(X94&lt;17,0,1)+IF(Y94&lt;11,0,1)+IF(Z94&lt;1.35,0,1)+AC94+AA94</f>
        <v/>
      </c>
      <c r="AI94" s="101" t="n">
        <v>13.15</v>
      </c>
      <c r="AJ94" s="104">
        <f>IF(AI94&gt;12.8,IF(AI94&gt;15.8,0.95,0.98),1)</f>
        <v/>
      </c>
      <c r="AK94" s="101">
        <f>((AG94*2.6+AH94)*AJ94*AQ94)</f>
        <v/>
      </c>
      <c r="AL94" s="50">
        <f>D94</f>
        <v/>
      </c>
      <c r="AM94" s="97">
        <f>B94</f>
        <v/>
      </c>
      <c r="AN94" s="108" t="n">
        <v>27</v>
      </c>
      <c r="AO94" s="99">
        <f>IF(AK94&gt;23.75,IF(Z94&lt;140,1,0),0)</f>
        <v/>
      </c>
      <c r="AP94" s="100">
        <f>IF(AK94&gt;23.2,IF(Y94&lt;300,IF(Y94&lt;35,IF(Y94&lt;8,3,2),1),0),0)</f>
        <v/>
      </c>
      <c r="AQ94" s="100" t="n">
        <v>0.95</v>
      </c>
      <c r="AR94" s="100">
        <f>IF(AO94=1,IF(AO94=AL94,1,0),5)</f>
        <v/>
      </c>
      <c r="AV94" s="101">
        <f>(AT94+AU94)/2</f>
        <v/>
      </c>
      <c r="AX94" s="101">
        <f>(AS94+AV94+AW94)/3</f>
        <v/>
      </c>
      <c r="AY94" s="52">
        <f>(100*(AU94-AS94)/AS94)</f>
        <v/>
      </c>
      <c r="AZ94" s="52">
        <f>IF(AY94&lt;-50,-4,IF(AY94&lt;-20,-2,IF(AY94&lt;0,-1,IF(AY94=0,0,IF(AY94&lt;10,1.5,IF(AY94&lt;20,2,IF(AY94&gt;19,2.5,2.5)))))))</f>
        <v/>
      </c>
    </row>
    <row r="95" ht="12.75" customHeight="1">
      <c r="A95" s="52" t="inlineStr">
        <is>
          <t>https://www.chittorgarh.com/ipo/indo-mim-ipo/2682/</t>
        </is>
      </c>
      <c r="B95" s="62" t="inlineStr">
        <is>
          <t>Indo-MIM  Price, GMP,</t>
        </is>
      </c>
      <c r="C95" s="52" t="inlineStr">
        <is>
          <t>2026</t>
        </is>
      </c>
      <c r="D95" t="n">
        <v>1</v>
      </c>
      <c r="E95" s="52" t="n">
        <v>1247.2</v>
      </c>
      <c r="F95" s="52" t="n">
        <v>2199.43</v>
      </c>
      <c r="G95" s="100">
        <f>100*(F95-E95)/F95</f>
        <v/>
      </c>
      <c r="H95" s="52" t="n">
        <v>4140.84</v>
      </c>
      <c r="I95" s="52" t="n">
        <v>423.73</v>
      </c>
      <c r="J95" s="52" t="n">
        <v>12.72</v>
      </c>
      <c r="K95" s="52" t="n">
        <v>11.02</v>
      </c>
      <c r="L95" s="52" t="n">
        <v>21.26</v>
      </c>
      <c r="M95" s="52" t="n">
        <v>932.6</v>
      </c>
      <c r="N95" s="52" t="n">
        <v>25.54</v>
      </c>
      <c r="O95" s="52" t="n">
        <v>3373.97</v>
      </c>
      <c r="P95" s="100">
        <f>O95/I95</f>
        <v/>
      </c>
      <c r="Q95" s="52" t="n">
        <v>44.01</v>
      </c>
      <c r="R95" s="52" t="n">
        <v>44.95</v>
      </c>
      <c r="S95" s="100" t="n">
        <v>0</v>
      </c>
      <c r="T95" s="52" t="n">
        <v>3811.21</v>
      </c>
      <c r="U95" s="52" t="n">
        <v>3312.11</v>
      </c>
      <c r="V95" s="52" t="n">
        <v>0</v>
      </c>
      <c r="W95" s="52" t="n">
        <v>1</v>
      </c>
      <c r="X95" s="52" t="n">
        <v>5</v>
      </c>
      <c r="Y95" s="52" t="n">
        <v>5</v>
      </c>
      <c r="Z95" s="52" t="n">
        <v>1</v>
      </c>
      <c r="AA95" s="103">
        <f>IF(X95&lt;33,IF(Y95&gt;(1.1*X95),0,1),1)+IF(Y95&gt;(4*X95),-1,0)</f>
        <v/>
      </c>
      <c r="AB95" s="52" t="n">
        <v>40.21</v>
      </c>
      <c r="AC95" s="101">
        <f>IF(AB95&gt;9,1,0)+AB95/3+IF(AB95&gt;15,1,0)+IF(AB95&gt;20,1,0)</f>
        <v/>
      </c>
      <c r="AD95" s="52" t="n">
        <v>49.34</v>
      </c>
      <c r="AE95" s="52" t="n">
        <v>16.33</v>
      </c>
      <c r="AF95" s="52" t="n">
        <v>7.26</v>
      </c>
      <c r="AG95" s="101">
        <f>IF(G95&lt;0,0,1.2)+IF(G95&lt;14,0,0.9)+IF(P95&lt;0,0.7,0)+IF(P95&lt;6.5,1,0)+IF(P95&lt;23,1,0)+IF(R95&gt;80,0,1)+S95+IF(AD95&lt;20,0,1)+IF(AE95&lt;14,0,1)+IF(AF95&lt;26,0,1)</f>
        <v/>
      </c>
      <c r="AH95" s="101">
        <f>AG95+IF(AG95&gt;6,1,0)+IF(X95&lt;17,0,1)+IF(Y95&lt;11,0,1)+IF(Z95&lt;1.35,0,1)+AC95+AA95</f>
        <v/>
      </c>
      <c r="AI95" s="101" t="n">
        <v>13.2925</v>
      </c>
      <c r="AJ95" s="104">
        <f>IF(AI95&gt;12.8,IF(AI95&gt;15.8,0.95,0.98),1)</f>
        <v/>
      </c>
      <c r="AK95" s="101">
        <f>((AG95*2.6+AH95)*AJ95*AQ95)</f>
        <v/>
      </c>
      <c r="AL95" s="50">
        <f>D95</f>
        <v/>
      </c>
      <c r="AM95" s="97">
        <f>B95</f>
        <v/>
      </c>
      <c r="AN95" s="108" t="n">
        <v>27</v>
      </c>
      <c r="AO95" s="99">
        <f>IF(AK95&gt;23.75,IF(Z95&lt;140,1,0),0)</f>
        <v/>
      </c>
      <c r="AP95" s="100">
        <f>IF(AK95&gt;23.2,IF(Y95&lt;300,IF(Y95&lt;35,IF(Y95&lt;8,3,2),1),0),0)</f>
        <v/>
      </c>
      <c r="AQ95" s="100" t="n">
        <v>1</v>
      </c>
      <c r="AR95" s="100">
        <f>IF(AO95=1,IF(AO95=AL95,1,0),5)</f>
        <v/>
      </c>
      <c r="AV95" s="101">
        <f>(AT95+AU95)/2</f>
        <v/>
      </c>
      <c r="AX95" s="101">
        <f>(AS95+AV95+AW95)/3</f>
        <v/>
      </c>
      <c r="AY95" s="52">
        <f>(100*(AU95-AS95)/AS95)</f>
        <v/>
      </c>
      <c r="AZ95" s="52">
        <f>IF(AY95&lt;-50,-4,IF(AY95&lt;-20,-2,IF(AY95&lt;0,-1,IF(AY95=0,0,IF(AY95&lt;10,1.5,IF(AY95&lt;20,2,IF(AY95&gt;19,2.5,2.5)))))))</f>
        <v/>
      </c>
    </row>
    <row r="96" ht="12.75" customHeight="1">
      <c r="A96" t="inlineStr">
        <is>
          <t>https://www.chittorgarh.com/ipo/lohia-corp-ipo/2574/</t>
        </is>
      </c>
      <c r="B96" s="62" t="inlineStr">
        <is>
          <t>Lohia Corp  Price, GM</t>
        </is>
      </c>
      <c r="C96" t="inlineStr">
        <is>
          <t>2026</t>
        </is>
      </c>
      <c r="D96" t="n">
        <v>1</v>
      </c>
      <c r="E96" t="n">
        <v>212.16</v>
      </c>
      <c r="F96" t="n">
        <v>0</v>
      </c>
      <c r="G96" s="100">
        <f>100*(F96-E96)/F96</f>
        <v/>
      </c>
      <c r="H96" t="n">
        <v>967.6</v>
      </c>
      <c r="I96" t="n">
        <v>117.84</v>
      </c>
      <c r="J96" t="n">
        <v>8.5</v>
      </c>
      <c r="K96" t="n">
        <v>18.31</v>
      </c>
      <c r="L96" t="n">
        <v>31.71</v>
      </c>
      <c r="M96" t="n">
        <v>228.6</v>
      </c>
      <c r="N96" t="n">
        <v>16.49</v>
      </c>
      <c r="O96" t="n">
        <v>1386.47</v>
      </c>
      <c r="P96" s="100">
        <f>O96/I96</f>
        <v/>
      </c>
      <c r="Q96" t="n">
        <v>23.21</v>
      </c>
      <c r="R96" t="n">
        <v>23.21</v>
      </c>
      <c r="S96" t="n">
        <v>0.7</v>
      </c>
      <c r="T96" t="n">
        <v>1101.28</v>
      </c>
      <c r="U96" t="n">
        <v>0</v>
      </c>
      <c r="V96" t="n">
        <v>1</v>
      </c>
      <c r="W96" t="n">
        <v>1</v>
      </c>
      <c r="X96" t="n">
        <v>9</v>
      </c>
      <c r="Y96" t="n">
        <v>6</v>
      </c>
      <c r="Z96" t="n">
        <v>2.78</v>
      </c>
      <c r="AA96" s="103">
        <f>IF(X96&lt;33,IF(Y96&gt;(1.1*X96),0,1),1)+IF(Y96&gt;(4*X96),-1,0)</f>
        <v/>
      </c>
      <c r="AB96" s="52" t="n">
        <v>2.71</v>
      </c>
      <c r="AC96" s="101">
        <f>IF(AB96&gt;9,1,0)+AB96/3+IF(AB96&gt;15,1,0)+IF(AB96&gt;20,1,0)</f>
        <v/>
      </c>
      <c r="AD96" t="n">
        <v>0</v>
      </c>
      <c r="AE96" t="n">
        <v>0</v>
      </c>
      <c r="AF96" t="n">
        <v>0</v>
      </c>
      <c r="AG96" s="101">
        <f>IF(G96&lt;0,0,1.2)+IF(G96&lt;14,0,0.9)+IF(P96&lt;0,0.7,0)+IF(P96&lt;6.5,1,0)+IF(P96&lt;23,1,0)+IF(R96&gt;80,0,1)+S96+IF(AD96&lt;20,0,1)+IF(AE96&lt;14,0,1)+IF(AF96&lt;26,0,1)</f>
        <v/>
      </c>
      <c r="AH96" s="101">
        <f>AG96+IF(AG96&gt;6,1,0)+IF(X96&lt;17,0,1)+IF(Y96&lt;11,0,1)+IF(Z96&lt;1.35,0,1)+AC96+AA96</f>
        <v/>
      </c>
      <c r="AI96" t="n">
        <v>12.66</v>
      </c>
      <c r="AJ96" s="104">
        <f>IF(AI96&gt;12.8,IF(AI96&gt;15.8,0.95,0.98),1)</f>
        <v/>
      </c>
      <c r="AK96" s="101">
        <f>((AG96*2.6+AH96)*AJ96*AQ96)</f>
        <v/>
      </c>
      <c r="AL96" s="50">
        <f>D96</f>
        <v/>
      </c>
      <c r="AM96" s="97">
        <f>B96</f>
        <v/>
      </c>
      <c r="AN96" s="129" t="n">
        <v>23</v>
      </c>
      <c r="AO96" s="62" t="n"/>
      <c r="AP96" s="100">
        <f>IF(AK96&gt;23.2,IF(Y96&lt;300,IF(Y96&lt;35,IF(Y96&lt;8,3,2),1),0),0)</f>
        <v/>
      </c>
      <c r="AQ96" t="n">
        <v>1</v>
      </c>
      <c r="AR96" s="100">
        <f>IF(AO96=1,IF(AO96=AL96,1,0),5)</f>
        <v/>
      </c>
      <c r="AX96" s="101">
        <f>(AS96+AV96+AW96)/3</f>
        <v/>
      </c>
    </row>
    <row r="97" ht="12.75" customHeight="1">
      <c r="A97" t="inlineStr">
        <is>
          <t>https://www.chittorgarh.com/ipo/manipal-health-enterprises-ipo/2956/</t>
        </is>
      </c>
      <c r="B97" s="62" t="inlineStr">
        <is>
          <t>Manipal Health Enterp</t>
        </is>
      </c>
      <c r="C97" t="inlineStr">
        <is>
          <t>2026</t>
        </is>
      </c>
      <c r="D97" t="n">
        <v>1</v>
      </c>
      <c r="E97" t="n">
        <v>4766.83</v>
      </c>
      <c r="F97" t="n">
        <v>5865.66</v>
      </c>
      <c r="G97" s="100">
        <f>100*(F97-E97)/F97</f>
        <v/>
      </c>
      <c r="H97" t="n">
        <v>14072.08</v>
      </c>
      <c r="I97" t="n">
        <v>1081.67</v>
      </c>
      <c r="J97" t="n">
        <v>8.869999999999999</v>
      </c>
      <c r="K97" t="n">
        <v>7.77</v>
      </c>
      <c r="L97" t="n">
        <v>0</v>
      </c>
      <c r="M97" t="n">
        <v>2247.07</v>
      </c>
      <c r="N97" t="n">
        <v>27.05</v>
      </c>
      <c r="O97" t="n">
        <v>8362.790000000001</v>
      </c>
      <c r="P97" s="100">
        <f>O97/I97</f>
        <v/>
      </c>
      <c r="Q97" t="n">
        <v>75.93000000000001</v>
      </c>
      <c r="R97" t="n">
        <v>84.65000000000001</v>
      </c>
      <c r="S97" t="n">
        <v>-0.9</v>
      </c>
      <c r="T97" t="n">
        <v>9275.219999999999</v>
      </c>
      <c r="U97" t="n">
        <v>1275.219999999999</v>
      </c>
      <c r="V97" t="n">
        <v>1</v>
      </c>
      <c r="W97" t="n">
        <v>1</v>
      </c>
      <c r="X97" t="n">
        <v>0.15</v>
      </c>
      <c r="Y97" t="n">
        <v>0.08</v>
      </c>
      <c r="Z97" t="n">
        <v>0.27</v>
      </c>
      <c r="AA97" s="103">
        <f>IF(X97&lt;33,IF(Y97&gt;(1.1*X97),0,1),1)+IF(Y97&gt;(4*X97),-1,0)</f>
        <v/>
      </c>
      <c r="AB97" t="n">
        <v>0</v>
      </c>
      <c r="AC97" s="101">
        <f>IF(AB97&gt;9,1,0)+AB97/3+IF(AB97&gt;15,1,0)+IF(AB97&gt;20,1,0)</f>
        <v/>
      </c>
      <c r="AD97" t="n">
        <v>102.86</v>
      </c>
      <c r="AE97" t="n">
        <v>33.48</v>
      </c>
      <c r="AF97" t="n">
        <v>45.58</v>
      </c>
      <c r="AG97" s="101">
        <f>IF(G97&lt;0,0,1.2)+IF(G97&lt;14,0,0.9)+IF(P97&lt;0,0.7,0)+IF(P97&lt;6.5,1,0)+IF(P97&lt;23,1,0)+IF(R97&gt;80,0,1)+S97+IF(AD97&lt;20,0,1)+IF(AE97&lt;14,0,1)+IF(AF97&lt;26,0,1)</f>
        <v/>
      </c>
      <c r="AH97" s="101">
        <f>AG97+IF(AG97&gt;6,1,0)+IF(X97&lt;17,0,1)+IF(Y97&lt;11,0,1)+IF(Z97&lt;1.35,0,1)+AC97+AA97</f>
        <v/>
      </c>
      <c r="AI97" t="n">
        <v>12.1925</v>
      </c>
      <c r="AJ97" s="104">
        <f>IF(AI97&gt;12.8,IF(AI97&gt;15.8,0.95,0.98),1)</f>
        <v/>
      </c>
      <c r="AK97" s="101">
        <f>((AG97*2.6+AH97)*AJ97*AQ97)</f>
        <v/>
      </c>
      <c r="AL97" s="50">
        <f>D97</f>
        <v/>
      </c>
      <c r="AM97" s="97">
        <f>B97</f>
        <v/>
      </c>
      <c r="AN97" t="n">
        <v>31</v>
      </c>
      <c r="AO97" s="62" t="n"/>
      <c r="AP97" s="100">
        <f>IF(AK97&gt;23.2,IF(Y97&lt;300,IF(Y97&lt;35,IF(Y97&lt;8,3,2),1),0),0)</f>
        <v/>
      </c>
      <c r="AQ97" t="n">
        <v>0.95</v>
      </c>
      <c r="AR97" s="100">
        <f>IF(AO97=1,IF(AO97=AL97,1,0),5)</f>
        <v/>
      </c>
      <c r="AX97" s="101">
        <f>(AS97+AV97+AW97)/3</f>
        <v/>
      </c>
    </row>
    <row r="98" ht="12.75" customHeight="1">
      <c r="A98" t="inlineStr">
        <is>
          <t>https://www.chittorgarh.com/ipo/mv-electrosystems-ipo/2800/</t>
        </is>
      </c>
      <c r="B98" s="62" t="inlineStr">
        <is>
          <t>MV Electrosystems  Pr</t>
        </is>
      </c>
      <c r="C98" t="inlineStr">
        <is>
          <t>2026</t>
        </is>
      </c>
      <c r="D98" t="n">
        <v>1</v>
      </c>
      <c r="E98" t="n">
        <v>27.5</v>
      </c>
      <c r="F98" t="n">
        <v>17.91</v>
      </c>
      <c r="G98" s="100">
        <f>100*(F98-E98)/F98</f>
        <v/>
      </c>
      <c r="H98" t="n">
        <v>74.12</v>
      </c>
      <c r="I98" t="n">
        <v>1.4</v>
      </c>
      <c r="J98" t="n">
        <v>-25.36</v>
      </c>
      <c r="K98" t="n">
        <v>-6.17</v>
      </c>
      <c r="L98" t="n">
        <v>-31.55</v>
      </c>
      <c r="M98" t="n">
        <v>8.92</v>
      </c>
      <c r="N98" t="n">
        <v>-19.97</v>
      </c>
      <c r="O98" t="n">
        <v>64.64</v>
      </c>
      <c r="P98" s="100">
        <f>O98/I98</f>
        <v/>
      </c>
      <c r="Q98" t="n">
        <v>-68.88</v>
      </c>
      <c r="R98" t="n">
        <v>0</v>
      </c>
      <c r="S98" t="n">
        <v>0</v>
      </c>
      <c r="T98" t="n">
        <v>290</v>
      </c>
      <c r="U98" t="n">
        <v>0</v>
      </c>
      <c r="V98" t="n">
        <v>1</v>
      </c>
      <c r="W98" t="n">
        <v>1</v>
      </c>
      <c r="X98" t="n">
        <v>1.05</v>
      </c>
      <c r="Y98" t="n">
        <v>108.83</v>
      </c>
      <c r="Z98" t="n">
        <v>87.81999999999999</v>
      </c>
      <c r="AA98" s="103">
        <f>IF(X98&lt;33,IF(Y98&gt;(1.1*X98),0,1),1)+IF(Y98&gt;(4*X98),-1,0)</f>
        <v/>
      </c>
      <c r="AB98" t="n">
        <v>26.35</v>
      </c>
      <c r="AC98" s="101">
        <f>IF(AB98&gt;9,1,0)+AB98/3+IF(AB98&gt;15,1,0)+IF(AB98&gt;20,1,0)</f>
        <v/>
      </c>
      <c r="AD98" t="n">
        <v>150</v>
      </c>
      <c r="AE98" t="n">
        <v>27.82</v>
      </c>
      <c r="AF98" t="n">
        <v>8.35</v>
      </c>
      <c r="AG98" s="101">
        <f>IF(G98&lt;0,0,1.2)+IF(G98&lt;14,0,0.9)+IF(P98&lt;0,0.7,0)+IF(P98&lt;6.5,1,0)+IF(P98&lt;23,1,0)+IF(R98&gt;80,0,1)+S98+IF(AD98&lt;20,0,1)+IF(AE98&lt;14,0,1)+IF(AF98&lt;26,0,1)</f>
        <v/>
      </c>
      <c r="AH98" s="101">
        <f>AG98+IF(AG98&gt;6,1,0)+IF(X98&lt;17,0,1)+IF(Y98&lt;11,0,1)+IF(Z98&lt;1.35,0,1)+AC98+AA98</f>
        <v/>
      </c>
      <c r="AI98" t="n">
        <v>11.98</v>
      </c>
      <c r="AJ98" s="104">
        <f>IF(AI98&gt;12.8,IF(AI98&gt;15.8,0.95,0.98),1)</f>
        <v/>
      </c>
      <c r="AK98" s="101">
        <f>((AG98*2.6+AH98)*AJ98*AQ98)</f>
        <v/>
      </c>
      <c r="AL98" s="50">
        <f>D98</f>
        <v/>
      </c>
      <c r="AM98" s="97">
        <f>B98</f>
        <v/>
      </c>
      <c r="AN98" t="n">
        <v>3</v>
      </c>
      <c r="AO98" s="62" t="n"/>
      <c r="AP98" s="100">
        <f>IF(AK98&gt;23.2,IF(Y98&lt;300,IF(Y98&lt;35,IF(Y98&lt;8,3,2),1),0),0)</f>
        <v/>
      </c>
      <c r="AQ98" t="n">
        <v>0.95</v>
      </c>
      <c r="AR98" s="100">
        <f>IF(AO98=1,IF(AO98=AL98,1,0),5)</f>
        <v/>
      </c>
      <c r="AX98" s="101">
        <f>(AS98+AV98+AW98)/3</f>
        <v/>
      </c>
    </row>
    <row r="99" ht="12.75" customHeight="1">
      <c r="A99" t="inlineStr">
        <is>
          <t>https://www.chittorgarh.com/ipo/juniper-green-energy-ipo/2492/</t>
        </is>
      </c>
      <c r="B99" s="62" t="inlineStr">
        <is>
          <t xml:space="preserve">Juniper Green Energy </t>
        </is>
      </c>
      <c r="C99" t="inlineStr">
        <is>
          <t>2026</t>
        </is>
      </c>
      <c r="D99" t="n">
        <v>1</v>
      </c>
      <c r="E99" t="n">
        <v>5502.53</v>
      </c>
      <c r="F99" t="n">
        <v>116.29</v>
      </c>
      <c r="G99" s="100">
        <f>100*(F99-E99)/F99</f>
        <v/>
      </c>
      <c r="H99" t="n">
        <v>10356.81</v>
      </c>
      <c r="I99" t="n">
        <v>36.48</v>
      </c>
      <c r="J99" t="n">
        <v>0</v>
      </c>
      <c r="K99" t="n">
        <v>0.83</v>
      </c>
      <c r="L99" t="n">
        <v>0</v>
      </c>
      <c r="M99" t="n">
        <v>485.69</v>
      </c>
      <c r="N99" t="n">
        <v>85.98999999999999</v>
      </c>
      <c r="O99" t="n">
        <v>569.78</v>
      </c>
      <c r="P99" s="100">
        <f>O99/I99</f>
        <v/>
      </c>
      <c r="Q99" t="n">
        <v>271.08</v>
      </c>
      <c r="R99" t="n">
        <v>316.9</v>
      </c>
      <c r="S99" t="n">
        <v>-0.6</v>
      </c>
      <c r="T99" t="n">
        <v>1800</v>
      </c>
      <c r="U99" t="n">
        <v>0</v>
      </c>
      <c r="V99" t="n">
        <v>0</v>
      </c>
      <c r="W99" t="n">
        <v>1</v>
      </c>
      <c r="X99" t="n">
        <v>4.04</v>
      </c>
      <c r="Y99" t="n">
        <v>0.14</v>
      </c>
      <c r="Z99" t="n">
        <v>0.3</v>
      </c>
      <c r="AA99" s="103">
        <f>IF(X99&lt;33,IF(Y99&gt;(1.1*X99),0,1),1)+IF(Y99&gt;(4*X99),-1,0)</f>
        <v/>
      </c>
      <c r="AB99" t="n">
        <v>0.51</v>
      </c>
      <c r="AC99" s="101">
        <f>IF(AB99&gt;9,1,0)+AB99/3+IF(AB99&gt;15,1,0)+IF(AB99&gt;20,1,0)</f>
        <v/>
      </c>
      <c r="AD99" t="n">
        <v>-8.94</v>
      </c>
      <c r="AE99" t="n">
        <v>34.24</v>
      </c>
      <c r="AF99" t="n">
        <v>7.47</v>
      </c>
      <c r="AG99" s="101">
        <f>IF(G99&lt;0,0,1.2)+IF(G99&lt;14,0,0.9)+IF(P99&lt;0,0.7,0)+IF(P99&lt;6.5,1,0)+IF(P99&lt;23,1,0)+IF(R99&gt;80,0,1)+S99+IF(AD99&lt;20,0,1)+IF(AE99&lt;14,0,1)+IF(AF99&lt;26,0,1)</f>
        <v/>
      </c>
      <c r="AH99" s="101">
        <f>AG99+IF(AG99&gt;6,1,0)+IF(X99&lt;17,0,1)+IF(Y99&lt;11,0,1)+IF(Z99&lt;1.35,0,1)+AC99+AA99</f>
        <v/>
      </c>
      <c r="AI99" t="n">
        <v>11.9775</v>
      </c>
      <c r="AJ99" s="104">
        <f>IF(AI99&gt;12.8,IF(AI99&gt;15.8,0.95,0.98),1)</f>
        <v/>
      </c>
      <c r="AK99" s="101">
        <f>((AG99*2.6+AH99)*AJ99*AQ99)</f>
        <v/>
      </c>
      <c r="AL99" s="50">
        <f>D99</f>
        <v/>
      </c>
      <c r="AM99" s="97">
        <f>B99</f>
        <v/>
      </c>
      <c r="AN99" t="n">
        <v>3</v>
      </c>
      <c r="AO99" s="62" t="n"/>
      <c r="AP99" s="100">
        <f>IF(AK99&gt;23.2,IF(Y99&lt;300,IF(Y99&lt;35,IF(Y99&lt;8,3,2),1),0),0)</f>
        <v/>
      </c>
      <c r="AQ99" t="n">
        <v>1</v>
      </c>
      <c r="AR99" s="100">
        <f>IF(AO99=1,IF(AO99=AL99,1,0),5)</f>
        <v/>
      </c>
      <c r="AX99" s="101">
        <f>(AS99+AV99+AW99)/3</f>
        <v/>
      </c>
    </row>
    <row r="100" ht="12.75" customHeight="1">
      <c r="A100" t="inlineStr">
        <is>
          <t>https://www.chittorgarh.com/ipo/ardee-industries-ipo/2860/</t>
        </is>
      </c>
      <c r="B100" s="62" t="inlineStr">
        <is>
          <t>Ardee Industries  Pri</t>
        </is>
      </c>
      <c r="C100" t="inlineStr">
        <is>
          <t>2026</t>
        </is>
      </c>
      <c r="D100" t="n">
        <v>1</v>
      </c>
      <c r="E100" t="n">
        <v>165.77</v>
      </c>
      <c r="F100" t="n">
        <v>62.6</v>
      </c>
      <c r="G100" s="100">
        <f>100*(F100-E100)/F100</f>
        <v/>
      </c>
      <c r="H100" t="n">
        <v>262.06</v>
      </c>
      <c r="I100" t="n">
        <v>33.27</v>
      </c>
      <c r="J100" t="n">
        <v>7.25</v>
      </c>
      <c r="K100" t="n">
        <v>3.32</v>
      </c>
      <c r="L100" t="n">
        <v>81</v>
      </c>
      <c r="M100" t="n">
        <v>65.93000000000001</v>
      </c>
      <c r="N100" t="n">
        <v>12.6</v>
      </c>
      <c r="O100" t="n">
        <v>743.53</v>
      </c>
      <c r="P100" s="100">
        <f>O100/I100</f>
        <v/>
      </c>
      <c r="Q100" t="n">
        <v>15.96</v>
      </c>
      <c r="R100" t="n">
        <v>19.7</v>
      </c>
      <c r="S100" t="n">
        <v>0.7</v>
      </c>
      <c r="T100" t="n">
        <v>425.87</v>
      </c>
      <c r="U100" t="n">
        <v>105.87</v>
      </c>
      <c r="V100" t="n">
        <v>1</v>
      </c>
      <c r="W100" t="n">
        <v>1</v>
      </c>
      <c r="X100" t="n">
        <v>1.13</v>
      </c>
      <c r="Y100" t="n">
        <v>5.67</v>
      </c>
      <c r="Z100" t="n">
        <v>3.65</v>
      </c>
      <c r="AA100" s="103">
        <f>IF(X100&lt;33,IF(Y100&gt;(1.1*X100),0,1),1)+IF(Y100&gt;(4*X100),-1,0)</f>
        <v/>
      </c>
      <c r="AB100" t="n">
        <v>26.42</v>
      </c>
      <c r="AC100" s="101">
        <f>IF(AB100&gt;9,1,0)+AB100/3+IF(AB100&gt;15,1,0)+IF(AB100&gt;20,1,0)</f>
        <v/>
      </c>
      <c r="AD100" t="n">
        <v>271.73</v>
      </c>
      <c r="AE100" t="n">
        <v>60.45</v>
      </c>
      <c r="AF100" t="n">
        <v>114.02</v>
      </c>
      <c r="AG100" s="101">
        <f>IF(G100&lt;0,0,1.2)+IF(G100&lt;14,0,0.9)+IF(P100&lt;0,0.7,0)+IF(P100&lt;6.5,1,0)+IF(P100&lt;23,1,0)+IF(R100&gt;80,0,1)+S100+IF(AD100&lt;20,0,1)+IF(AE100&lt;14,0,1)+IF(AF100&lt;26,0,1)</f>
        <v/>
      </c>
      <c r="AH100" s="101">
        <f>AG100+IF(AG100&gt;6,1,0)+IF(X100&lt;17,0,1)+IF(Y100&lt;11,0,1)+IF(Z100&lt;1.35,0,1)+AC100+AA100</f>
        <v/>
      </c>
      <c r="AI100" t="n">
        <v>12.25</v>
      </c>
      <c r="AJ100" s="104">
        <f>IF(AI100&gt;12.8,IF(AI100&gt;15.8,0.95,0.98),1)</f>
        <v/>
      </c>
      <c r="AK100" s="101">
        <f>((AG100*2.6+AH100)*AJ100*AQ100)</f>
        <v/>
      </c>
      <c r="AL100" s="50">
        <f>D100</f>
        <v/>
      </c>
      <c r="AM100" s="97">
        <f>B100</f>
        <v/>
      </c>
      <c r="AN100" t="n">
        <v>7</v>
      </c>
      <c r="AO100" s="62" t="n"/>
      <c r="AP100" s="100">
        <f>IF(AK100&gt;23.2,IF(Y100&lt;300,IF(Y100&lt;35,IF(Y100&lt;8,3,2),1),0),0)</f>
        <v/>
      </c>
      <c r="AQ100" t="n">
        <v>1</v>
      </c>
      <c r="AR100" s="100">
        <f>IF(AO100=1,IF(AO100=AL100,1,0),5)</f>
        <v/>
      </c>
      <c r="AX100" s="101">
        <f>(AS100+AV100+AW100)/3</f>
        <v/>
      </c>
    </row>
    <row r="101" ht="12.75" customHeight="1">
      <c r="A101" t="inlineStr">
        <is>
          <t>https://www.chittorgarh.com/ipo/technocraft-ventures-ipo/2565/</t>
        </is>
      </c>
      <c r="B101" s="62" t="inlineStr">
        <is>
          <t xml:space="preserve">Technocraft Ventures </t>
        </is>
      </c>
      <c r="C101" t="inlineStr">
        <is>
          <t>2026</t>
        </is>
      </c>
      <c r="D101" t="n">
        <v>1</v>
      </c>
      <c r="E101" t="n">
        <v>87.43000000000001</v>
      </c>
      <c r="F101" t="n">
        <v>119.98</v>
      </c>
      <c r="G101" s="100" t="n">
        <v>27.13</v>
      </c>
      <c r="H101" t="n">
        <v>269.74</v>
      </c>
      <c r="I101" t="n">
        <v>28.2</v>
      </c>
      <c r="J101" t="n">
        <v>12.56</v>
      </c>
      <c r="K101" t="n">
        <v>14.39</v>
      </c>
      <c r="L101" t="n">
        <v>26.51</v>
      </c>
      <c r="M101" t="n">
        <v>49.63</v>
      </c>
      <c r="N101" t="n">
        <v>20.92</v>
      </c>
      <c r="O101" t="n">
        <v>281</v>
      </c>
      <c r="P101" s="100" t="n">
        <v>9.960000000000001</v>
      </c>
      <c r="Q101" t="n">
        <v>14.73</v>
      </c>
      <c r="R101" t="n">
        <v>19.38</v>
      </c>
      <c r="S101" t="n">
        <v>-0.9</v>
      </c>
      <c r="T101" t="n">
        <v>251.88</v>
      </c>
      <c r="U101" t="n">
        <v>50.37</v>
      </c>
      <c r="V101" t="n">
        <v>1</v>
      </c>
      <c r="W101" t="n">
        <v>1</v>
      </c>
      <c r="X101" t="n">
        <v>42.26</v>
      </c>
      <c r="Y101" t="n">
        <v>65.06</v>
      </c>
      <c r="Z101" t="n">
        <v>25.35</v>
      </c>
      <c r="AA101" s="103" t="n">
        <v>1</v>
      </c>
      <c r="AB101" t="n">
        <v>13.64</v>
      </c>
      <c r="AC101" s="101" t="n">
        <v>5.546666666666667</v>
      </c>
      <c r="AD101" t="n">
        <v>48.03</v>
      </c>
      <c r="AE101" t="n">
        <v>23.63</v>
      </c>
      <c r="AF101" t="n">
        <v>30.73</v>
      </c>
      <c r="AG101" s="101" t="n">
        <v>7.1</v>
      </c>
      <c r="AH101" s="101" t="n">
        <v>17.64666666666667</v>
      </c>
      <c r="AI101" t="n">
        <v>35.39666666666667</v>
      </c>
      <c r="AJ101" s="104">
        <f>IF(AI101&gt;12.8,IF(AI101&gt;15.8,0.95,0.98),1)</f>
        <v/>
      </c>
      <c r="AK101" s="101">
        <f>((AG101*2.6+AH101)*AJ101*AQ101)</f>
        <v/>
      </c>
      <c r="AL101" s="50">
        <f>D101</f>
        <v/>
      </c>
      <c r="AM101" s="97">
        <f>B101</f>
        <v/>
      </c>
      <c r="AN101" t="n">
        <v>11</v>
      </c>
      <c r="AO101" s="62" t="n"/>
      <c r="AP101" s="100">
        <f>IF(AK101&gt;23.2,IF(Y101&lt;300,IF(Y101&lt;35,IF(Y101&lt;8,3,2),1),0),0)</f>
        <v/>
      </c>
      <c r="AQ101" t="n">
        <v>0.95</v>
      </c>
      <c r="AR101" s="100">
        <f>IF(AO101=1,IF(AO101=AL101,1,0),5)</f>
        <v/>
      </c>
      <c r="AX101" s="101">
        <f>(AS101+AV101+AW101)/3</f>
        <v/>
      </c>
    </row>
    <row r="102" ht="12.75" customHeight="1">
      <c r="A102" t="inlineStr">
        <is>
          <t>https://www.chittorgarh.com/ipo/dhoot-transmission-ipo/2859/</t>
        </is>
      </c>
      <c r="B102" s="62" t="inlineStr">
        <is>
          <t>Dhoot Transmission  P</t>
        </is>
      </c>
      <c r="C102" t="inlineStr">
        <is>
          <t>2026</t>
        </is>
      </c>
      <c r="D102" t="n">
        <v>1</v>
      </c>
      <c r="E102" t="n">
        <v>776.0599999999999</v>
      </c>
      <c r="F102" t="n">
        <v>978.1799999999999</v>
      </c>
      <c r="G102" s="100" t="n">
        <v>20.66</v>
      </c>
      <c r="H102" t="n">
        <v>2336.23</v>
      </c>
      <c r="I102" t="n">
        <v>353.89</v>
      </c>
      <c r="J102" t="n">
        <v>8.699999999999999</v>
      </c>
      <c r="K102" t="n">
        <v>21.06</v>
      </c>
      <c r="L102" t="n">
        <v>16.3</v>
      </c>
      <c r="M102" t="n">
        <v>590.96</v>
      </c>
      <c r="N102" t="n">
        <v>15.71</v>
      </c>
      <c r="O102" t="n">
        <v>3472.24</v>
      </c>
      <c r="P102" s="100" t="n">
        <v>9.81</v>
      </c>
      <c r="Q102" t="n">
        <v>41.36</v>
      </c>
      <c r="R102" t="n">
        <v>44.9</v>
      </c>
      <c r="S102" t="n">
        <v>-0.9</v>
      </c>
      <c r="T102" t="n">
        <v>3066.89</v>
      </c>
      <c r="U102" t="n">
        <v>1666.89</v>
      </c>
      <c r="V102" t="n">
        <v>1</v>
      </c>
      <c r="W102" t="n">
        <v>1</v>
      </c>
      <c r="X102" t="n">
        <v>209.02</v>
      </c>
      <c r="Y102" t="n">
        <v>53.13</v>
      </c>
      <c r="Z102" t="n">
        <v>8.32</v>
      </c>
      <c r="AA102" s="103" t="n">
        <v>1</v>
      </c>
      <c r="AB102" t="n">
        <v>31.57</v>
      </c>
      <c r="AC102" s="101" t="n">
        <v>11.52333333333333</v>
      </c>
      <c r="AD102" t="n">
        <v>18.46</v>
      </c>
      <c r="AE102" t="n">
        <v>24.04</v>
      </c>
      <c r="AF102" t="n">
        <v>32.01</v>
      </c>
      <c r="AG102" s="101" t="n">
        <v>6.1</v>
      </c>
      <c r="AH102" s="101" t="n">
        <v>22.62333333333333</v>
      </c>
      <c r="AI102" t="n">
        <v>37.87333333333333</v>
      </c>
      <c r="AJ102" s="104">
        <f>IF(AI102&gt;12.8,IF(AI102&gt;15.8,0.95,0.98),1)</f>
        <v/>
      </c>
      <c r="AK102" s="101">
        <f>((AG102*2.6+AH102)*AJ102*AQ102)</f>
        <v/>
      </c>
      <c r="AL102" s="50">
        <f>D102</f>
        <v/>
      </c>
      <c r="AM102" s="97">
        <f>B102</f>
        <v/>
      </c>
      <c r="AN102" t="n">
        <v>12</v>
      </c>
      <c r="AO102" s="62" t="n"/>
      <c r="AP102" s="100">
        <f>IF(AK102&gt;23.2,IF(Y102&lt;300,IF(Y102&lt;35,IF(Y102&lt;8,3,2),1),0),0)</f>
        <v/>
      </c>
      <c r="AQ102" t="n">
        <v>1</v>
      </c>
      <c r="AR102" s="100">
        <f>IF(AO102=1,IF(AO102=AL102,1,0),5)</f>
        <v/>
      </c>
      <c r="AX102" s="101">
        <f>(AS102+AV102+AW102)/3</f>
        <v/>
      </c>
    </row>
    <row r="103" ht="12.75" customHeight="1">
      <c r="A103" t="inlineStr">
        <is>
          <t>https://www.chittorgarh.com/ipo/molbio-diagnostics-ipo/2579/</t>
        </is>
      </c>
      <c r="B103" s="62" t="inlineStr">
        <is>
          <t>Molbio Diagnostics  P</t>
        </is>
      </c>
      <c r="C103" t="inlineStr">
        <is>
          <t>2026</t>
        </is>
      </c>
      <c r="D103" t="n">
        <v>1</v>
      </c>
      <c r="E103" t="n">
        <v>123.16</v>
      </c>
      <c r="F103" t="n">
        <v>952.95</v>
      </c>
      <c r="G103" s="100" t="n">
        <v>87.08</v>
      </c>
      <c r="H103" t="n">
        <v>1461.56</v>
      </c>
      <c r="I103" t="n">
        <v>138.58</v>
      </c>
      <c r="J103" t="n">
        <v>11.28</v>
      </c>
      <c r="K103" t="n">
        <v>14.56</v>
      </c>
      <c r="L103" t="n">
        <v>15.59</v>
      </c>
      <c r="M103" t="n">
        <v>256.64</v>
      </c>
      <c r="N103" t="n">
        <v>22.56</v>
      </c>
      <c r="O103" t="n">
        <v>1027.94</v>
      </c>
      <c r="P103" s="100" t="n">
        <v>7.42</v>
      </c>
      <c r="Q103" t="n">
        <v>55.43</v>
      </c>
      <c r="R103" t="n">
        <v>56.67</v>
      </c>
      <c r="S103" t="n">
        <v>-0.9</v>
      </c>
      <c r="T103" t="n">
        <v>939.7</v>
      </c>
      <c r="U103" t="n">
        <v>739.7</v>
      </c>
      <c r="V103" t="n">
        <v>1</v>
      </c>
      <c r="W103" t="n">
        <v>1</v>
      </c>
      <c r="X103" t="n">
        <v>186.39</v>
      </c>
      <c r="Y103" t="n">
        <v>49.8</v>
      </c>
      <c r="Z103" t="n">
        <v>12.97</v>
      </c>
      <c r="AA103" s="103" t="n">
        <v>1</v>
      </c>
      <c r="AB103" t="n">
        <v>19.33</v>
      </c>
      <c r="AC103" s="101" t="n">
        <v>7.443333333333332</v>
      </c>
      <c r="AD103" t="n">
        <v>65.88</v>
      </c>
      <c r="AE103" t="n">
        <v>22.28</v>
      </c>
      <c r="AF103" t="n">
        <v>17.95</v>
      </c>
      <c r="AG103" s="101" t="n">
        <v>6.1</v>
      </c>
      <c r="AH103" s="101" t="n">
        <v>18.54333333333333</v>
      </c>
      <c r="AI103" t="n">
        <v>33.79333333333334</v>
      </c>
      <c r="AJ103" s="104">
        <f>IF(AI103&gt;12.8,IF(AI103&gt;15.8,0.95,0.98),1)</f>
        <v/>
      </c>
      <c r="AK103" s="101">
        <f>((AG103*2.6+AH103)*AJ103*AQ103)</f>
        <v/>
      </c>
      <c r="AL103" s="50">
        <f>D103</f>
        <v/>
      </c>
      <c r="AM103" s="97">
        <f>B103</f>
        <v/>
      </c>
      <c r="AN103" t="n">
        <v>12</v>
      </c>
      <c r="AO103" s="62" t="n"/>
      <c r="AP103" s="100">
        <f>IF(AK103&gt;23.2,IF(Y103&lt;300,IF(Y103&lt;35,IF(Y103&lt;8,3,2),1),0),0)</f>
        <v/>
      </c>
      <c r="AQ103" t="n">
        <v>1</v>
      </c>
      <c r="AR103" s="100">
        <f>IF(AO103=1,IF(AO103=AL103,1,0),5)</f>
        <v/>
      </c>
      <c r="AX103" s="101">
        <f>(AS103+AV103+AW103)/3</f>
        <v/>
      </c>
    </row>
    <row r="104" ht="12.75" customHeight="1">
      <c r="A104" t="inlineStr">
        <is>
          <t>https://www.chittorgarh.com/ipo/milky-mist-dairy-food-ipo/2541/</t>
        </is>
      </c>
      <c r="B104" s="62" t="inlineStr">
        <is>
          <t>Milky Mist Dairy Food</t>
        </is>
      </c>
      <c r="C104" t="inlineStr">
        <is>
          <t>2026</t>
        </is>
      </c>
      <c r="D104" t="n">
        <v>1</v>
      </c>
      <c r="E104" t="n">
        <v>1376.38</v>
      </c>
      <c r="F104" t="n">
        <v>242.77</v>
      </c>
      <c r="G104" s="100" t="n">
        <v>-466.95</v>
      </c>
      <c r="H104" t="n">
        <v>2150.59</v>
      </c>
      <c r="I104" t="n">
        <v>46.07</v>
      </c>
      <c r="J104" t="n">
        <v>4.05</v>
      </c>
      <c r="K104" t="n">
        <v>1.9</v>
      </c>
      <c r="L104" t="n">
        <v>32.12</v>
      </c>
      <c r="M104" t="n">
        <v>310.35</v>
      </c>
      <c r="N104" t="n">
        <v>13.87</v>
      </c>
      <c r="O104" t="n">
        <v>2354.79</v>
      </c>
      <c r="P104" s="100" t="n">
        <v>51.11</v>
      </c>
      <c r="Q104" t="n">
        <v>0</v>
      </c>
      <c r="R104" t="n">
        <v>0</v>
      </c>
      <c r="S104" t="n">
        <v>0.7</v>
      </c>
      <c r="T104" t="n">
        <v>1553</v>
      </c>
      <c r="U104" t="n">
        <v>125</v>
      </c>
      <c r="V104" t="n">
        <v>1</v>
      </c>
      <c r="W104" t="n">
        <v>1</v>
      </c>
      <c r="X104" t="n">
        <v>164.03</v>
      </c>
      <c r="Y104" t="n">
        <v>36.75</v>
      </c>
      <c r="Z104" t="n">
        <v>8.859999999999999</v>
      </c>
      <c r="AA104" s="103" t="n">
        <v>1</v>
      </c>
      <c r="AB104" t="n">
        <v>2.61</v>
      </c>
      <c r="AC104" s="101" t="n">
        <v>0.87</v>
      </c>
      <c r="AD104" t="n">
        <v>136.99</v>
      </c>
      <c r="AE104" t="n">
        <v>28.9</v>
      </c>
      <c r="AF104" t="n">
        <v>23.2</v>
      </c>
      <c r="AG104" s="101" t="n">
        <v>3</v>
      </c>
      <c r="AH104" s="101" t="n">
        <v>7.87</v>
      </c>
      <c r="AI104" t="n">
        <v>15.37</v>
      </c>
      <c r="AJ104" s="104">
        <f>IF(AI104&gt;12.8,IF(AI104&gt;15.8,0.95,0.98),1)</f>
        <v/>
      </c>
      <c r="AK104" s="101">
        <f>((AG104*2.6+AH104)*AJ104*AQ104)</f>
        <v/>
      </c>
      <c r="AL104" s="50">
        <f>D104</f>
        <v/>
      </c>
      <c r="AM104" s="97">
        <f>B104</f>
        <v/>
      </c>
      <c r="AN104" t="n">
        <v>13</v>
      </c>
      <c r="AO104" s="62" t="n"/>
      <c r="AP104" s="100">
        <f>IF(AK104&gt;23.2,IF(Y104&lt;300,IF(Y104&lt;35,IF(Y104&lt;8,3,2),1),0),0)</f>
        <v/>
      </c>
      <c r="AQ104" t="n">
        <v>1</v>
      </c>
      <c r="AR104" s="100">
        <f>IF(AO104=1,IF(AO104=AL104,1,0),5)</f>
        <v/>
      </c>
      <c r="AX104" s="101">
        <f>(AS104+AV104+AW104)/3</f>
        <v/>
      </c>
    </row>
    <row r="105" ht="12.75" customHeight="1">
      <c r="A105" t="inlineStr">
        <is>
          <t>https://www.chittorgarh.com/ipo/shiprocket-ipo/2450/</t>
        </is>
      </c>
      <c r="B105" s="62" t="inlineStr">
        <is>
          <t>Shiprocket  Price, GM</t>
        </is>
      </c>
      <c r="C105" t="inlineStr">
        <is>
          <t>2026</t>
        </is>
      </c>
      <c r="D105" t="n">
        <v>1</v>
      </c>
      <c r="E105" t="n">
        <v>244.67</v>
      </c>
      <c r="F105" t="n">
        <v>1491.23</v>
      </c>
      <c r="G105" s="100" t="n">
        <v>83.59</v>
      </c>
      <c r="H105" t="n">
        <v>2308.62</v>
      </c>
      <c r="I105" t="n">
        <v>-74.45</v>
      </c>
      <c r="J105" t="n">
        <v>0</v>
      </c>
      <c r="K105" t="n">
        <v>-4.01</v>
      </c>
      <c r="L105" t="n">
        <v>0</v>
      </c>
      <c r="M105" t="n">
        <v>-17.16</v>
      </c>
      <c r="N105" t="n">
        <v>0</v>
      </c>
      <c r="O105" t="n">
        <v>1674.82</v>
      </c>
      <c r="P105" s="100" t="n">
        <v>-22.5</v>
      </c>
      <c r="Q105" t="n">
        <v>-24.19</v>
      </c>
      <c r="R105" t="n">
        <v>0</v>
      </c>
      <c r="S105" t="n">
        <v>0</v>
      </c>
      <c r="T105" t="n">
        <v>1617.48</v>
      </c>
      <c r="U105" t="n">
        <v>731.98</v>
      </c>
      <c r="V105" t="n">
        <v>1</v>
      </c>
      <c r="W105" t="n">
        <v>1</v>
      </c>
      <c r="X105" t="n">
        <v>125.2</v>
      </c>
      <c r="Y105" t="n">
        <v>92.58</v>
      </c>
      <c r="Z105" t="n">
        <v>48.38</v>
      </c>
      <c r="AA105" s="103" t="n">
        <v>1</v>
      </c>
      <c r="AB105" t="n">
        <v>32.99</v>
      </c>
      <c r="AC105" s="101" t="n">
        <v>11.99666666666667</v>
      </c>
      <c r="AD105" t="n">
        <v>-87.48999999999999</v>
      </c>
      <c r="AE105" t="n">
        <v>23.35</v>
      </c>
      <c r="AF105" t="n">
        <v>16.12</v>
      </c>
      <c r="AG105" s="101" t="n">
        <v>6.800000000000001</v>
      </c>
      <c r="AH105" s="101" t="n">
        <v>23.79666666666667</v>
      </c>
      <c r="AI105" t="n">
        <v>40.79666666666667</v>
      </c>
      <c r="AJ105" s="104">
        <f>IF(AI105&gt;12.8,IF(AI105&gt;15.8,0.95,0.98),1)</f>
        <v/>
      </c>
      <c r="AK105" s="101">
        <f>((AG105*2.6+AH105)*AJ105*AQ105)</f>
        <v/>
      </c>
      <c r="AL105" s="50">
        <f>D105</f>
        <v/>
      </c>
      <c r="AM105" s="97">
        <f>B105</f>
        <v/>
      </c>
      <c r="AN105" t="n">
        <v>14</v>
      </c>
      <c r="AO105" s="62" t="n"/>
      <c r="AP105" s="100">
        <f>IF(AK105&gt;23.2,IF(Y105&lt;300,IF(Y105&lt;35,IF(Y105&lt;8,3,2),1),0),0)</f>
        <v/>
      </c>
      <c r="AQ105" t="n">
        <v>1</v>
      </c>
      <c r="AR105" s="100">
        <f>IF(AO105=1,IF(AO105=AL105,1,0),5)</f>
        <v/>
      </c>
      <c r="AX105" s="101">
        <f>(AS105+AV105+AW105)/3</f>
        <v/>
      </c>
    </row>
    <row r="106" ht="12.75" customHeight="1">
      <c r="A106" t="inlineStr">
        <is>
          <t>https://www.chittorgarh.com/ipo/behari-lal-engineering-ipo/2659/</t>
        </is>
      </c>
      <c r="B106" s="62" t="inlineStr">
        <is>
          <t>Behari Lal Engineerin</t>
        </is>
      </c>
      <c r="C106" t="inlineStr">
        <is>
          <t>2026</t>
        </is>
      </c>
      <c r="D106" t="n">
        <v>1</v>
      </c>
      <c r="E106" t="n">
        <v>7.58</v>
      </c>
      <c r="F106" t="n">
        <v>241.62</v>
      </c>
      <c r="G106" s="100" t="n">
        <v>96.86</v>
      </c>
      <c r="H106" t="n">
        <v>295.98</v>
      </c>
      <c r="I106" t="n">
        <v>52.95</v>
      </c>
      <c r="J106" t="n">
        <v>12.1</v>
      </c>
      <c r="K106" t="n">
        <v>16.56</v>
      </c>
      <c r="L106" t="n">
        <v>23.6</v>
      </c>
      <c r="M106" t="n">
        <v>81.31</v>
      </c>
      <c r="N106" t="n">
        <v>18.97</v>
      </c>
      <c r="O106" t="n">
        <v>516.3</v>
      </c>
      <c r="P106" s="100" t="n">
        <v>9.75</v>
      </c>
      <c r="Q106" t="n">
        <v>17.21</v>
      </c>
      <c r="R106" t="n">
        <v>18.65</v>
      </c>
      <c r="S106" t="n">
        <v>0.7</v>
      </c>
      <c r="T106" t="n">
        <v>301.62</v>
      </c>
      <c r="U106" t="n">
        <v>208.62</v>
      </c>
      <c r="V106" t="n">
        <v>1</v>
      </c>
      <c r="W106" t="n">
        <v>1</v>
      </c>
      <c r="X106" t="n">
        <v>222.04</v>
      </c>
      <c r="Y106" t="n">
        <v>167.95</v>
      </c>
      <c r="Z106" t="n">
        <v>54.12</v>
      </c>
      <c r="AA106" s="103" t="n">
        <v>1</v>
      </c>
      <c r="AB106" t="n">
        <v>29.12</v>
      </c>
      <c r="AC106" s="101" t="n">
        <v>10.70666666666667</v>
      </c>
      <c r="AD106" t="n">
        <v>47.95</v>
      </c>
      <c r="AE106" t="n">
        <v>14.74</v>
      </c>
      <c r="AF106" t="n">
        <v>24.77</v>
      </c>
      <c r="AG106" s="101" t="n">
        <v>6.1</v>
      </c>
      <c r="AH106" s="101" t="n">
        <v>21.80666666666666</v>
      </c>
      <c r="AI106" t="n">
        <v>37.05666666666666</v>
      </c>
      <c r="AJ106" s="104">
        <f>IF(AI106&gt;12.8,IF(AI106&gt;15.8,0.95,0.98),1)</f>
        <v/>
      </c>
      <c r="AK106" s="101">
        <f>((AG106*2.6+AH106)*AJ106*AQ106)</f>
        <v/>
      </c>
      <c r="AL106" s="50">
        <f>D106</f>
        <v/>
      </c>
      <c r="AM106" s="97">
        <f>B106</f>
        <v/>
      </c>
      <c r="AN106" t="n">
        <v>14</v>
      </c>
      <c r="AO106" s="62" t="n"/>
      <c r="AP106" s="100">
        <f>IF(AK106&gt;23.2,IF(Y106&lt;300,IF(Y106&lt;35,IF(Y106&lt;8,3,2),1),0),0)</f>
        <v/>
      </c>
      <c r="AQ106" t="n">
        <v>1</v>
      </c>
      <c r="AR106" s="100">
        <f>IF(AO106=1,IF(AO106=AL106,1,0),5)</f>
        <v/>
      </c>
      <c r="AX106" s="101">
        <f>(AS106+AV106+AW106)/3</f>
        <v/>
      </c>
    </row>
    <row r="107" ht="12.75" customHeight="1">
      <c r="A107" t="inlineStr">
        <is>
          <t>https://www.chittorgarh.com/ipo/leap-india-ipo/2583/</t>
        </is>
      </c>
      <c r="B107" t="inlineStr">
        <is>
          <t>LEAP India  Price, GM</t>
        </is>
      </c>
      <c r="C107" t="inlineStr">
        <is>
          <t>2026</t>
        </is>
      </c>
      <c r="D107" t="n">
        <v>1</v>
      </c>
      <c r="E107" t="n">
        <v>801.66</v>
      </c>
      <c r="F107" t="n">
        <v>917.35</v>
      </c>
      <c r="G107" s="100">
        <f>100*(F107-E107)/F107</f>
        <v/>
      </c>
      <c r="H107" t="n">
        <v>2042.46</v>
      </c>
      <c r="I107" t="n">
        <v>37.56</v>
      </c>
      <c r="J107" t="n">
        <v>8.34</v>
      </c>
      <c r="K107" t="n">
        <v>1.52</v>
      </c>
      <c r="L107" t="n">
        <v>6.48</v>
      </c>
      <c r="M107" t="n">
        <v>273.8</v>
      </c>
      <c r="N107" t="n">
        <v>50.69</v>
      </c>
      <c r="O107" t="n">
        <v>485.03</v>
      </c>
      <c r="P107" s="100">
        <f>O107/I107</f>
        <v/>
      </c>
      <c r="Q107" t="n">
        <v>104.61</v>
      </c>
      <c r="R107" t="n">
        <v>111.97</v>
      </c>
      <c r="S107" t="n">
        <v>-0.3</v>
      </c>
      <c r="T107" t="n">
        <v>2480</v>
      </c>
      <c r="U107" t="n">
        <v>2000</v>
      </c>
      <c r="V107" t="n">
        <v>1</v>
      </c>
      <c r="W107" t="n">
        <v>1</v>
      </c>
      <c r="X107" t="n">
        <v>17.73</v>
      </c>
      <c r="Y107" t="n">
        <v>13.31</v>
      </c>
      <c r="Z107" t="n">
        <v>1.81</v>
      </c>
      <c r="AA107" s="103">
        <f>IF(X107&lt;33,IF(Y107&gt;(1.1*X107),0,1),1)+IF(Y107&gt;(4*X107),-1,0)</f>
        <v/>
      </c>
      <c r="AB107" t="n">
        <v>8.18</v>
      </c>
      <c r="AC107" s="101">
        <f>IF(AB107&gt;9,1,0)+AB107/3+IF(AB107&gt;15,1,0)+IF(AB107&gt;20,1,0)</f>
        <v/>
      </c>
      <c r="AD107" t="n">
        <v>1.05</v>
      </c>
      <c r="AE107" t="n">
        <v>30.41</v>
      </c>
      <c r="AF107" t="n">
        <v>28.45</v>
      </c>
      <c r="AG107" s="101">
        <f>IF(G107&lt;0,0,1.2)+IF(G107&lt;14,0,0.9)+IF(P107&lt;0,0.7,0)+IF(P107&lt;6.5,1,0)+IF(P107&lt;23,1,0)+IF(R107&gt;80,0,1)+S107+IF(AD107&lt;20,0,1)+IF(AE107&lt;14,0,1)+IF(AF107&lt;26,0,1)</f>
        <v/>
      </c>
      <c r="AH107" s="101">
        <f>AG107+IF(AG107&gt;6,1,0)+IF(X107&lt;17,0,1)+IF(Y107&lt;11,0,1)+IF(Z107&lt;1.35,0,1)+AC107+AA107</f>
        <v/>
      </c>
      <c r="AI107" t="n">
        <v>11.36</v>
      </c>
      <c r="AJ107" s="104">
        <f>IF(AI107&gt;12.8,IF(AI107&gt;15.8,0.95,0.98),1)</f>
        <v/>
      </c>
      <c r="AK107" s="101">
        <f>((AG107*2.6+AH107)*AJ107*AQ107)</f>
        <v/>
      </c>
      <c r="AL107" s="50">
        <f>D107</f>
        <v/>
      </c>
      <c r="AM107" s="97">
        <f>B107</f>
        <v/>
      </c>
      <c r="AN107" t="n">
        <v>11</v>
      </c>
      <c r="AP107" s="100">
        <f>IF(AK107&gt;23.2,IF(Y107&lt;300,IF(Y107&lt;35,IF(Y107&lt;8,3,2),1),0),0)</f>
        <v/>
      </c>
      <c r="AQ107" t="n">
        <v>1</v>
      </c>
      <c r="AR107" s="100">
        <f>IF(AO107=1,IF(AO107=AL107,1,0),5)</f>
        <v/>
      </c>
      <c r="AX107" s="101">
        <f>(AS107+AV107+AW107)/3</f>
        <v/>
      </c>
    </row>
    <row r="108" ht="12.75" customHeight="1">
      <c r="A108" t="inlineStr">
        <is>
          <t>https://www.chittorgarh.com/ipo/horizon-industrial-parks-ipo/2826/</t>
        </is>
      </c>
      <c r="B108" t="inlineStr">
        <is>
          <t>Horizon Industrial Pa</t>
        </is>
      </c>
      <c r="C108" t="inlineStr">
        <is>
          <t>2026</t>
        </is>
      </c>
      <c r="D108" t="n">
        <v>0</v>
      </c>
      <c r="E108" t="n">
        <v>7009.11</v>
      </c>
      <c r="F108" t="n">
        <v>122</v>
      </c>
      <c r="G108" s="100" t="n">
        <v>-5645.17</v>
      </c>
      <c r="H108" t="n">
        <v>9851.540000000001</v>
      </c>
      <c r="I108" t="n">
        <v>-178.78</v>
      </c>
      <c r="J108" t="n">
        <v>0</v>
      </c>
      <c r="K108" t="n">
        <v>-0.83</v>
      </c>
      <c r="L108" t="n">
        <v>0</v>
      </c>
      <c r="M108" t="n">
        <v>339.12</v>
      </c>
      <c r="N108" t="n">
        <v>79.16</v>
      </c>
      <c r="O108" t="n">
        <v>439.35</v>
      </c>
      <c r="P108" s="100" t="n">
        <v>-2.46</v>
      </c>
      <c r="Q108" t="n">
        <v>-72.29000000000001</v>
      </c>
      <c r="R108" t="n">
        <v>0</v>
      </c>
      <c r="S108" t="n">
        <v>-0.3</v>
      </c>
      <c r="T108" t="n">
        <v>2600.04</v>
      </c>
      <c r="U108" t="n">
        <v>0</v>
      </c>
      <c r="V108" t="n">
        <v>1</v>
      </c>
      <c r="W108" t="n">
        <v>1</v>
      </c>
      <c r="X108" t="n">
        <v>1.94</v>
      </c>
      <c r="Y108" t="n">
        <v>1.03</v>
      </c>
      <c r="Z108" t="n">
        <v>1.02</v>
      </c>
      <c r="AA108" s="103" t="n">
        <v>1</v>
      </c>
      <c r="AB108" t="n">
        <v>6</v>
      </c>
      <c r="AC108" s="101" t="n">
        <v>2</v>
      </c>
      <c r="AD108" t="n">
        <v>10.22</v>
      </c>
      <c r="AE108" t="n">
        <v>78.95</v>
      </c>
      <c r="AF108" t="n">
        <v>-54.3</v>
      </c>
      <c r="AG108" s="101" t="n">
        <v>4.7</v>
      </c>
      <c r="AH108" s="101" t="n">
        <v>7.7</v>
      </c>
      <c r="AI108" t="n">
        <v>19.45</v>
      </c>
      <c r="AJ108" s="104">
        <f>IF(AI108&gt;12.8,IF(AI108&gt;15.8,0.95,0.98),1)</f>
        <v/>
      </c>
      <c r="AK108" s="101">
        <f>((AG108*2.6+AH108)*AJ108*AQ108)</f>
        <v/>
      </c>
      <c r="AL108" s="50">
        <f>D108</f>
        <v/>
      </c>
      <c r="AM108" s="97">
        <f>B108</f>
        <v/>
      </c>
      <c r="AN108" t="n">
        <v>19</v>
      </c>
      <c r="AP108" s="100">
        <f>IF(AK108&gt;23.2,IF(Y108&lt;300,IF(Y108&lt;35,IF(Y108&lt;8,3,2),1),0),0)</f>
        <v/>
      </c>
      <c r="AQ108" t="n">
        <v>1</v>
      </c>
      <c r="AR108" s="100">
        <f>IF(AO108=1,IF(AO108=AL108,1,0),5)</f>
        <v/>
      </c>
      <c r="AX108" s="101">
        <f>(AS108+AV108+AW108)/3</f>
        <v/>
      </c>
    </row>
    <row r="109" ht="12.75" customHeight="1">
      <c r="A109" t="inlineStr">
        <is>
          <t>https://www.chittorgarh.com/ipo/lalithaa-jewellery-mart-ipo/2469/</t>
        </is>
      </c>
      <c r="B109" t="inlineStr">
        <is>
          <t>Lalithaa Jewellery Ma</t>
        </is>
      </c>
      <c r="C109" t="inlineStr">
        <is>
          <t>2026</t>
        </is>
      </c>
      <c r="D109" t="n">
        <v>1</v>
      </c>
      <c r="E109" t="n">
        <v>949.26</v>
      </c>
      <c r="F109" t="n">
        <v>2028.8</v>
      </c>
      <c r="G109" s="100" t="n">
        <v>53.21</v>
      </c>
      <c r="H109" t="n">
        <v>6929.68</v>
      </c>
      <c r="I109" t="n">
        <v>364.73</v>
      </c>
      <c r="J109" t="n">
        <v>4.04</v>
      </c>
      <c r="K109" t="n">
        <v>20.2</v>
      </c>
      <c r="L109" t="n">
        <v>41.6</v>
      </c>
      <c r="M109" t="n">
        <v>0</v>
      </c>
      <c r="N109" t="n">
        <v>0</v>
      </c>
      <c r="O109" t="n">
        <v>16907.88</v>
      </c>
      <c r="P109" s="100" t="n">
        <v>46.36</v>
      </c>
      <c r="Q109" t="n">
        <v>9.949999999999999</v>
      </c>
      <c r="R109" t="n">
        <v>11.14</v>
      </c>
      <c r="S109" t="n">
        <v>-0.9</v>
      </c>
      <c r="T109" t="n">
        <v>1700</v>
      </c>
      <c r="U109" t="n">
        <v>500</v>
      </c>
      <c r="V109" t="n">
        <v>1</v>
      </c>
      <c r="W109" t="n">
        <v>1</v>
      </c>
      <c r="X109" t="n">
        <v>153.8</v>
      </c>
      <c r="Y109" t="n">
        <v>78.17</v>
      </c>
      <c r="Z109" t="n">
        <v>12.51</v>
      </c>
      <c r="AA109" s="103" t="n">
        <v>1</v>
      </c>
      <c r="AB109" t="n">
        <v>29.35</v>
      </c>
      <c r="AC109" s="101" t="n">
        <v>10.78333333333333</v>
      </c>
      <c r="AD109" t="n">
        <v>1.36</v>
      </c>
      <c r="AE109" t="n">
        <v>0.64</v>
      </c>
      <c r="AF109" t="n">
        <v>21.65</v>
      </c>
      <c r="AG109" s="101" t="n">
        <v>3.1</v>
      </c>
      <c r="AH109" s="101" t="n">
        <v>17.88333333333333</v>
      </c>
      <c r="AI109" t="n">
        <v>25.63333333333333</v>
      </c>
      <c r="AJ109" s="104">
        <f>IF(AI109&gt;12.8,IF(AI109&gt;15.8,0.95,0.98),1)</f>
        <v/>
      </c>
      <c r="AK109" s="101">
        <f>((AG109*2.6+AH109)*AJ109*AQ109)</f>
        <v/>
      </c>
      <c r="AL109" s="50">
        <f>D109</f>
        <v/>
      </c>
      <c r="AM109" s="97">
        <f>B109</f>
        <v/>
      </c>
      <c r="AN109" t="n">
        <v>19</v>
      </c>
      <c r="AP109" s="100">
        <f>IF(AK109&gt;23.2,IF(Y109&lt;300,IF(Y109&lt;35,IF(Y109&lt;8,3,2),1),0),0)</f>
        <v/>
      </c>
      <c r="AQ109" t="n">
        <v>1</v>
      </c>
      <c r="AR109" s="100">
        <f>IF(AO109=1,IF(AO109=AL109,1,0),5)</f>
        <v/>
      </c>
      <c r="AX109" s="101">
        <f>(AS109+AV109+AW109)/3</f>
        <v/>
      </c>
    </row>
    <row r="110" ht="12.75" customHeight="1">
      <c r="A110" t="inlineStr">
        <is>
          <t>https://www.chittorgarh.com/ipo/shankesh-jewellers-ipo/2663/</t>
        </is>
      </c>
      <c r="B110" t="inlineStr">
        <is>
          <t>Shankesh Jewellers  P</t>
        </is>
      </c>
      <c r="C110" t="inlineStr">
        <is>
          <t>2026</t>
        </is>
      </c>
      <c r="D110" t="n">
        <v>1</v>
      </c>
      <c r="E110" t="n">
        <v>145.63</v>
      </c>
      <c r="F110" t="n">
        <v>100.6</v>
      </c>
      <c r="G110" s="100" t="n">
        <v>-44.76</v>
      </c>
      <c r="H110" t="n">
        <v>249.56</v>
      </c>
      <c r="I110" t="n">
        <v>40.31</v>
      </c>
      <c r="J110" t="n">
        <v>6.54</v>
      </c>
      <c r="K110" t="n">
        <v>9.08</v>
      </c>
      <c r="L110" t="n">
        <v>50.94</v>
      </c>
      <c r="M110" t="n">
        <v>65.34999999999999</v>
      </c>
      <c r="N110" t="n">
        <v>9.68</v>
      </c>
      <c r="O110" t="n">
        <v>1403.94</v>
      </c>
      <c r="P110" s="100" t="n">
        <v>34.83</v>
      </c>
      <c r="Q110" t="n">
        <v>10.24</v>
      </c>
      <c r="R110" t="n">
        <v>12.81</v>
      </c>
      <c r="S110" t="n">
        <v>-0.9</v>
      </c>
      <c r="T110" t="n">
        <v>367.18</v>
      </c>
      <c r="U110" t="n">
        <v>93</v>
      </c>
      <c r="V110" t="n">
        <v>0</v>
      </c>
      <c r="W110" t="n">
        <v>1</v>
      </c>
      <c r="X110" t="n">
        <v>1.32</v>
      </c>
      <c r="Y110" t="n">
        <v>5.68</v>
      </c>
      <c r="Z110" t="n">
        <v>2.42</v>
      </c>
      <c r="AA110" s="103" t="n">
        <v>0</v>
      </c>
      <c r="AB110" t="n">
        <v>5.38</v>
      </c>
      <c r="AC110" s="101" t="n">
        <v>1.793333333333333</v>
      </c>
      <c r="AD110" t="n">
        <v>214.43</v>
      </c>
      <c r="AE110" t="n">
        <v>32.21</v>
      </c>
      <c r="AF110" t="n">
        <v>66.86</v>
      </c>
      <c r="AG110" s="101" t="n">
        <v>4</v>
      </c>
      <c r="AH110" s="101" t="n">
        <v>6.793333333333333</v>
      </c>
      <c r="AI110" t="n">
        <v>16.79333333333333</v>
      </c>
      <c r="AJ110" s="104">
        <f>IF(AI110&gt;12.8,IF(AI110&gt;15.8,0.95,0.98),1)</f>
        <v/>
      </c>
      <c r="AK110" s="101">
        <f>((AG110*2.6+AH110)*AJ110*AQ110)</f>
        <v/>
      </c>
      <c r="AL110" s="50">
        <f>D110</f>
        <v/>
      </c>
      <c r="AM110" s="97">
        <f>B110</f>
        <v/>
      </c>
      <c r="AN110" t="n">
        <v>20</v>
      </c>
      <c r="AP110" s="100">
        <f>IF(AK110&gt;23.2,IF(Y110&lt;300,IF(Y110&lt;35,IF(Y110&lt;8,3,2),1),0),0)</f>
        <v/>
      </c>
      <c r="AQ110" t="n">
        <v>1</v>
      </c>
      <c r="AR110" s="100">
        <f>IF(AO110=1,IF(AO110=AL110,1,0),5)</f>
        <v/>
      </c>
      <c r="AX110" s="101">
        <f>(AS110+AV110+AW110)/3</f>
        <v/>
      </c>
    </row>
    <row r="111" ht="12.75" customHeight="1">
      <c r="A111" t="inlineStr">
        <is>
          <t>https://www.chittorgarh.com/ipo/annu-projects-ipo/2500/</t>
        </is>
      </c>
      <c r="B111" t="inlineStr">
        <is>
          <t>Annu Projects  Price,</t>
        </is>
      </c>
      <c r="C111" t="inlineStr">
        <is>
          <t>2026</t>
        </is>
      </c>
      <c r="D111" t="n">
        <v>0</v>
      </c>
      <c r="E111" t="n">
        <v>22.27</v>
      </c>
      <c r="F111" t="n">
        <v>122.06</v>
      </c>
      <c r="G111" s="100">
        <f>100*(F111-E111)/F111</f>
        <v/>
      </c>
      <c r="H111" t="n">
        <v>233.37</v>
      </c>
      <c r="I111" t="n">
        <v>21.1</v>
      </c>
      <c r="J111" t="n">
        <v>13.69</v>
      </c>
      <c r="K111" t="n">
        <v>6.91</v>
      </c>
      <c r="L111" t="n">
        <v>21.27</v>
      </c>
      <c r="M111" t="n">
        <v>32.19</v>
      </c>
      <c r="N111" t="n">
        <v>20.81</v>
      </c>
      <c r="O111" t="n">
        <v>182.35</v>
      </c>
      <c r="P111" s="100">
        <f>O111/I111</f>
        <v/>
      </c>
      <c r="Q111" t="n">
        <v>14.33</v>
      </c>
      <c r="R111" t="n">
        <v>19.64</v>
      </c>
      <c r="S111" t="n">
        <v>-0.9</v>
      </c>
      <c r="T111" t="n">
        <v>175.06</v>
      </c>
      <c r="U111" t="n">
        <v>0</v>
      </c>
      <c r="V111" t="n">
        <v>1</v>
      </c>
      <c r="W111" t="n">
        <v>1</v>
      </c>
      <c r="X111" t="n">
        <v>1.72</v>
      </c>
      <c r="Y111" t="n">
        <v>3.55</v>
      </c>
      <c r="Z111" t="n">
        <v>2.68</v>
      </c>
      <c r="AA111" s="103">
        <f>IF(X111&lt;33,IF(Y111&gt;(1.1*X111),0,1),1)+IF(Y111&gt;(4*X111),-1,0)</f>
        <v/>
      </c>
      <c r="AB111" t="n">
        <v>36.99</v>
      </c>
      <c r="AC111" s="101">
        <f>IF(AB111&gt;9,1,0)+AB111/3+IF(AB111&gt;15,1,0)+IF(AB111&gt;20,1,0)</f>
        <v/>
      </c>
      <c r="AD111" t="n">
        <v>21.33</v>
      </c>
      <c r="AE111" t="n">
        <v>17.33</v>
      </c>
      <c r="AF111" t="n">
        <v>77.08</v>
      </c>
      <c r="AG111" s="101">
        <f>IF(G111&lt;0,0,1.2)+IF(G111&lt;14,0,0.9)+IF(P111&lt;0,0.7,0)+IF(P111&lt;6.5,1,0)+IF(P111&lt;23,1,0)+IF(R111&gt;80,0,1)+S111+IF(AD111&lt;20,0,1)+IF(AE111&lt;14,0,1)+IF(AF111&lt;26,0,1)</f>
        <v/>
      </c>
      <c r="AH111" s="101">
        <f>AG111+IF(AG111&gt;6,1,0)+IF(X111&lt;17,0,1)+IF(Y111&lt;11,0,1)+IF(Z111&lt;1.35,0,1)+AC111+AA111</f>
        <v/>
      </c>
      <c r="AI111" t="n">
        <v>12.39</v>
      </c>
      <c r="AJ111" s="104">
        <f>IF(AI111&gt;12.8,IF(AI111&gt;15.8,0.95,0.98),1)</f>
        <v/>
      </c>
      <c r="AK111" s="101">
        <f>((AG111*2.6+AH111)*AJ111*AQ111)</f>
        <v/>
      </c>
      <c r="AL111" s="50">
        <f>D111</f>
        <v/>
      </c>
      <c r="AM111" s="97">
        <f>B111</f>
        <v/>
      </c>
      <c r="AN111" t="n">
        <v>28</v>
      </c>
      <c r="AP111" s="100">
        <f>IF(AK111&gt;23.2,IF(Y111&lt;300,IF(Y111&lt;35,IF(Y111&lt;8,3,2),1),0),0)</f>
        <v/>
      </c>
      <c r="AQ111" t="n">
        <v>1</v>
      </c>
      <c r="AR111" s="100">
        <f>IF(AO111=1,IF(AO111=AL111,1,0),5)</f>
        <v/>
      </c>
      <c r="AX111" s="101">
        <f>(AS111+AV111+AW111)/3</f>
        <v/>
      </c>
    </row>
    <row r="112" ht="12.75" customHeight="1">
      <c r="A112" t="inlineStr">
        <is>
          <t>https://www.chittorgarh.com/ipo/lumino-industries-ipo/2013/</t>
        </is>
      </c>
      <c r="B112" t="inlineStr">
        <is>
          <t>Lumino Industries  Pr</t>
        </is>
      </c>
      <c r="C112" t="inlineStr">
        <is>
          <t>2026</t>
        </is>
      </c>
      <c r="D112" t="n">
        <v>1</v>
      </c>
      <c r="E112" t="n">
        <v>418.83</v>
      </c>
      <c r="F112" t="n">
        <v>570.29</v>
      </c>
      <c r="G112" s="100">
        <f>100*(F112-E112)/F112</f>
        <v/>
      </c>
      <c r="H112" t="n">
        <v>1718.66</v>
      </c>
      <c r="I112" t="n">
        <v>124.59</v>
      </c>
      <c r="J112" t="n">
        <v>7.66</v>
      </c>
      <c r="K112" t="n">
        <v>6.57</v>
      </c>
      <c r="L112" t="n">
        <v>24.62</v>
      </c>
      <c r="M112" t="n">
        <v>222.94</v>
      </c>
      <c r="N112" t="n">
        <v>11.71</v>
      </c>
      <c r="O112" t="n">
        <v>1946.68</v>
      </c>
      <c r="P112" s="100">
        <f>O112/I112</f>
        <v/>
      </c>
      <c r="Q112" t="n">
        <v>12.48</v>
      </c>
      <c r="R112" t="n">
        <v>15.62</v>
      </c>
      <c r="S112" t="n">
        <v>-0.9</v>
      </c>
      <c r="T112" t="n">
        <v>700</v>
      </c>
      <c r="U112" t="n">
        <v>200</v>
      </c>
      <c r="V112" t="n">
        <v>1</v>
      </c>
      <c r="W112" t="n">
        <v>1</v>
      </c>
      <c r="X112" t="n">
        <v>232.79</v>
      </c>
      <c r="Y112" t="n">
        <v>185.21</v>
      </c>
      <c r="Z112" t="n">
        <v>40.27</v>
      </c>
      <c r="AA112" s="103">
        <f>IF(X112&lt;33,IF(Y112&gt;(1.1*X112),0,1),1)+IF(Y112&gt;(4*X112),-1,0)</f>
        <v/>
      </c>
      <c r="AB112" t="n">
        <v>0</v>
      </c>
      <c r="AC112" s="101">
        <f>IF(AB112&gt;9,1,0)+AB112/3+IF(AB112&gt;15,1,0)+IF(AB112&gt;20,1,0)</f>
        <v/>
      </c>
      <c r="AD112" t="n">
        <v>43.85</v>
      </c>
      <c r="AE112" t="n">
        <v>36.64</v>
      </c>
      <c r="AF112" t="n">
        <v>27.91</v>
      </c>
      <c r="AG112" s="101">
        <f>IF(G112&lt;0,0,1.2)+IF(G112&lt;14,0,0.9)+IF(P112&lt;0,0.7,0)+IF(P112&lt;6.5,1,0)+IF(P112&lt;23,1,0)+IF(R112&gt;80,0,1)+S112+IF(AD112&lt;20,0,1)+IF(AE112&lt;14,0,1)+IF(AF112&lt;26,0,1)</f>
        <v/>
      </c>
      <c r="AH112" s="101">
        <f>AG112+IF(AG112&gt;6,1,0)+IF(X112&lt;17,0,1)+IF(Y112&lt;11,0,1)+IF(Z112&lt;1.35,0,1)+AC112+AA112</f>
        <v/>
      </c>
      <c r="AI112" t="n">
        <v>12.375</v>
      </c>
      <c r="AJ112" s="104">
        <f>IF(AI112&gt;12.8,IF(AI112&gt;15.8,0.95,0.98),1)</f>
        <v/>
      </c>
      <c r="AK112" s="101">
        <f>((AG112*2.6+AH112)*AJ112*AQ112)</f>
        <v/>
      </c>
      <c r="AL112" s="50">
        <f>D112</f>
        <v/>
      </c>
      <c r="AM112" s="97">
        <f>B112</f>
        <v/>
      </c>
      <c r="AN112" t="n">
        <v>31</v>
      </c>
      <c r="AP112" s="100">
        <f>IF(AK112&gt;23.2,IF(Y112&lt;300,IF(Y112&lt;35,IF(Y112&lt;8,3,2),1),0),0)</f>
        <v/>
      </c>
      <c r="AQ112" t="n">
        <v>1</v>
      </c>
      <c r="AR112" s="100">
        <f>IF(AO112=1,IF(AO112=AL112,1,0),5)</f>
        <v/>
      </c>
      <c r="AX112" s="101">
        <f>(AS112+AV112+AW112)/3</f>
        <v/>
      </c>
    </row>
    <row r="113" ht="12.75" customHeight="1">
      <c r="A113" t="inlineStr">
        <is>
          <t>https://www.chittorgarh.com/ipo/priority-jewels-ipo/2435/</t>
        </is>
      </c>
      <c r="B113" t="inlineStr">
        <is>
          <t>Priority Jewels  Pric</t>
        </is>
      </c>
      <c r="C113" t="inlineStr">
        <is>
          <t>2026</t>
        </is>
      </c>
      <c r="D113" t="n">
        <v>1</v>
      </c>
      <c r="E113" t="n">
        <v>145.85</v>
      </c>
      <c r="F113" t="n">
        <v>104.89</v>
      </c>
      <c r="G113" s="100">
        <f>100*(F113-E113)/F113</f>
        <v/>
      </c>
      <c r="H113" t="n">
        <v>309.14</v>
      </c>
      <c r="I113" t="n">
        <v>10.51</v>
      </c>
      <c r="J113" t="n">
        <v>4.39</v>
      </c>
      <c r="K113" t="n">
        <v>13.15</v>
      </c>
      <c r="L113" t="n">
        <v>4.55</v>
      </c>
      <c r="M113" t="n">
        <v>24.28</v>
      </c>
      <c r="N113" t="n">
        <v>7.01</v>
      </c>
      <c r="O113" t="n">
        <v>435.87</v>
      </c>
      <c r="P113" s="100">
        <f>O113/I113</f>
        <v/>
      </c>
      <c r="Q113" t="n">
        <v>15.21</v>
      </c>
      <c r="R113" t="n">
        <v>13.9</v>
      </c>
      <c r="S113" t="n">
        <v>-0.9</v>
      </c>
      <c r="T113" t="n">
        <v>91.5</v>
      </c>
      <c r="U113" t="n">
        <v>0</v>
      </c>
      <c r="V113" t="n">
        <v>1</v>
      </c>
      <c r="W113" t="n">
        <v>1</v>
      </c>
      <c r="X113" t="n">
        <v>39.87</v>
      </c>
      <c r="Y113" t="n">
        <v>166.49</v>
      </c>
      <c r="Z113" t="n">
        <v>106.76</v>
      </c>
      <c r="AA113" s="103">
        <f>IF(X113&lt;33,IF(Y113&gt;(1.1*X113),0,1),1)+IF(Y113&gt;(4*X113),-1,0)</f>
        <v/>
      </c>
      <c r="AB113" t="n">
        <v>0</v>
      </c>
      <c r="AC113" s="101">
        <f>IF(AB113&gt;9,1,0)+AB113/3+IF(AB113&gt;15,1,0)+IF(AB113&gt;20,1,0)</f>
        <v/>
      </c>
      <c r="AD113" t="n">
        <v>46.99</v>
      </c>
      <c r="AE113" t="n">
        <v>6.15</v>
      </c>
      <c r="AF113" t="n">
        <v>10.67</v>
      </c>
      <c r="AG113" s="101">
        <f>IF(G113&lt;0,0,1.2)+IF(G113&lt;14,0,0.9)+IF(P113&lt;0,0.7,0)+IF(P113&lt;6.5,1,0)+IF(P113&lt;23,1,0)+IF(R113&gt;80,0,1)+S113+IF(AD113&lt;20,0,1)+IF(AE113&lt;14,0,1)+IF(AF113&lt;26,0,1)</f>
        <v/>
      </c>
      <c r="AH113" s="101">
        <f>AG113+IF(AG113&gt;6,1,0)+IF(X113&lt;17,0,1)+IF(Y113&lt;11,0,1)+IF(Z113&lt;1.35,0,1)+AC113+AA113</f>
        <v/>
      </c>
      <c r="AI113" t="n">
        <v>12.3725</v>
      </c>
      <c r="AJ113" s="104">
        <f>IF(AI113&gt;12.8,IF(AI113&gt;15.8,0.95,0.98),1)</f>
        <v/>
      </c>
      <c r="AK113" s="101">
        <f>((AG113*2.6+AH113)*AJ113*AQ113)</f>
        <v/>
      </c>
      <c r="AL113" s="50">
        <f>D113</f>
        <v/>
      </c>
      <c r="AM113" s="97">
        <f>B113</f>
        <v/>
      </c>
      <c r="AN113" t="n">
        <v>1</v>
      </c>
      <c r="AP113" s="100">
        <f>IF(AK113&gt;23.2,IF(Y113&lt;300,IF(Y113&lt;35,IF(Y113&lt;8,3,2),1),0),0)</f>
        <v/>
      </c>
      <c r="AQ113" t="n">
        <v>1</v>
      </c>
      <c r="AR113" s="100">
        <f>IF(AO113=1,IF(AO113=AL113,1,0),5)</f>
        <v/>
      </c>
      <c r="AX113" s="101">
        <f>(AS113+AV113+AW113)/3</f>
        <v/>
      </c>
    </row>
    <row r="114" ht="12.75" customHeight="1">
      <c r="A114" t="inlineStr">
        <is>
          <t>https://www.chittorgarh.com/ipo/esds-software-ipo/1198/</t>
        </is>
      </c>
      <c r="B114" t="inlineStr">
        <is>
          <t>ESDS Software Solutio</t>
        </is>
      </c>
      <c r="C114" t="inlineStr">
        <is>
          <t>2026</t>
        </is>
      </c>
      <c r="D114" t="n">
        <v>1</v>
      </c>
      <c r="E114" t="n">
        <v>62.71</v>
      </c>
      <c r="F114" t="n">
        <v>405.55</v>
      </c>
      <c r="G114" s="100">
        <f>100*(F114-E114)/F114</f>
        <v/>
      </c>
      <c r="H114" t="n">
        <v>655.95</v>
      </c>
      <c r="I114" t="n">
        <v>55.61</v>
      </c>
      <c r="J114" t="n">
        <v>25.59</v>
      </c>
      <c r="K114" t="n">
        <v>12.03</v>
      </c>
      <c r="L114" t="n">
        <v>25.12</v>
      </c>
      <c r="M114" t="n">
        <v>154.89</v>
      </c>
      <c r="N114" t="n">
        <v>49.6</v>
      </c>
      <c r="O114" t="n">
        <v>376.64</v>
      </c>
      <c r="P114" s="100">
        <f>O114/I114</f>
        <v/>
      </c>
      <c r="Q114" t="n">
        <v>35.66</v>
      </c>
      <c r="R114" t="n">
        <v>41.61</v>
      </c>
      <c r="S114" t="n">
        <v>-0.3</v>
      </c>
      <c r="T114" t="n">
        <v>720</v>
      </c>
      <c r="U114" t="n">
        <v>0</v>
      </c>
      <c r="V114" t="n">
        <v>1</v>
      </c>
      <c r="W114" t="n">
        <v>1</v>
      </c>
      <c r="X114" t="n">
        <v>274.97</v>
      </c>
      <c r="Y114" t="n">
        <v>202.87</v>
      </c>
      <c r="Z114" t="n">
        <v>41.68</v>
      </c>
      <c r="AA114" s="103">
        <f>IF(X114&lt;33,IF(Y114&gt;(1.1*X114),0,1),1)+IF(Y114&gt;(4*X114),-1,0)</f>
        <v/>
      </c>
      <c r="AB114" t="n">
        <v>0</v>
      </c>
      <c r="AC114" s="101">
        <f>IF(AB114&gt;9,1,0)+AB114/3+IF(AB114&gt;15,1,0)+IF(AB114&gt;20,1,0)</f>
        <v/>
      </c>
      <c r="AD114" t="n">
        <v>308.6</v>
      </c>
      <c r="AE114" t="n">
        <v>28.92</v>
      </c>
      <c r="AF114" t="n">
        <v>96.53</v>
      </c>
      <c r="AG114" s="101">
        <f>IF(G114&lt;0,0,1.2)+IF(G114&lt;14,0,0.9)+IF(P114&lt;0,0.7,0)+IF(P114&lt;6.5,1,0)+IF(P114&lt;23,1,0)+IF(R114&gt;80,0,1)+S114+IF(AD114&lt;20,0,1)+IF(AE114&lt;14,0,1)+IF(AF114&lt;26,0,1)</f>
        <v/>
      </c>
      <c r="AH114" s="101">
        <f>AG114+IF(AG114&gt;6,1,0)+IF(X114&lt;17,0,1)+IF(Y114&lt;11,0,1)+IF(Z114&lt;1.35,0,1)+AC114+AA114</f>
        <v/>
      </c>
      <c r="AI114" t="n">
        <v>12.37</v>
      </c>
      <c r="AJ114" s="104">
        <f>IF(AI114&gt;12.8,IF(AI114&gt;15.8,0.95,0.98),1)</f>
        <v/>
      </c>
      <c r="AK114" s="101">
        <f>((AG114*2.6+AH114)*AJ114*AQ114)</f>
        <v/>
      </c>
      <c r="AL114" s="50">
        <f>D114</f>
        <v/>
      </c>
      <c r="AM114" s="97">
        <f>B114</f>
        <v/>
      </c>
      <c r="AN114" t="n">
        <v>1</v>
      </c>
      <c r="AP114" s="100">
        <f>IF(AK114&gt;23.2,IF(Y114&lt;300,IF(Y114&lt;35,IF(Y114&lt;8,3,2),1),0),0)</f>
        <v/>
      </c>
      <c r="AQ114" t="n">
        <v>0.95</v>
      </c>
      <c r="AR114" s="100">
        <f>IF(AO114=1,IF(AO114=AL114,1,0),5)</f>
        <v/>
      </c>
      <c r="AX114" s="101">
        <f>(AS114+AV114+AW114)/3</f>
        <v/>
      </c>
    </row>
    <row r="115" ht="12.75" customHeight="1">
      <c r="A115" t="inlineStr">
        <is>
          <t>https://www.chittorgarh.com/ipo/purple-style-labs-ipo/2622/</t>
        </is>
      </c>
      <c r="B115" t="inlineStr">
        <is>
          <t>Purple Style Labs  Pr</t>
        </is>
      </c>
      <c r="C115" t="inlineStr">
        <is>
          <t>2026</t>
        </is>
      </c>
      <c r="D115" t="n">
        <v>0</v>
      </c>
      <c r="E115" t="n">
        <v>112.79</v>
      </c>
      <c r="F115" t="n">
        <v>117.5</v>
      </c>
      <c r="G115" s="100">
        <f>100*(F115-E115)/F115</f>
        <v/>
      </c>
      <c r="H115" t="n">
        <v>497.05</v>
      </c>
      <c r="I115" t="n">
        <v>-188.38</v>
      </c>
      <c r="J115" t="n">
        <v>-51.16</v>
      </c>
      <c r="K115" t="n">
        <v>-41.83</v>
      </c>
      <c r="L115" t="n">
        <v>0</v>
      </c>
      <c r="M115" t="n">
        <v>41.99</v>
      </c>
      <c r="N115" t="n">
        <v>5.44</v>
      </c>
      <c r="O115" t="n">
        <v>494</v>
      </c>
      <c r="P115" s="100">
        <f>O115/I115</f>
        <v/>
      </c>
      <c r="Q115" t="n">
        <v>-13.75</v>
      </c>
      <c r="R115" t="n">
        <v>0</v>
      </c>
      <c r="S115" t="n">
        <v>-0.3</v>
      </c>
      <c r="T115" t="n">
        <v>680</v>
      </c>
      <c r="U115" t="n">
        <v>0</v>
      </c>
      <c r="V115" t="n">
        <v>1</v>
      </c>
      <c r="W115" t="n">
        <v>1</v>
      </c>
      <c r="X115" t="n">
        <v>1.5</v>
      </c>
      <c r="Y115" t="n">
        <v>0.89</v>
      </c>
      <c r="Z115" t="n">
        <v>1.66</v>
      </c>
      <c r="AA115" s="103">
        <f>IF(X115&lt;33,IF(Y115&gt;(1.1*X115),0,1),1)+IF(Y115&gt;(4*X115),-1,0)</f>
        <v/>
      </c>
      <c r="AB115" t="n">
        <v>0</v>
      </c>
      <c r="AC115" s="101">
        <f>IF(AB115&gt;9,1,0)+AB115/3+IF(AB115&gt;15,1,0)+IF(AB115&gt;20,1,0)</f>
        <v/>
      </c>
      <c r="AD115" t="n">
        <v>294.84</v>
      </c>
      <c r="AE115" t="n">
        <v>-3.14</v>
      </c>
      <c r="AF115" t="n">
        <v>197.39</v>
      </c>
      <c r="AG115" s="101">
        <f>IF(G115&lt;0,0,1.2)+IF(G115&lt;14,0,0.9)+IF(P115&lt;0,0.7,0)+IF(P115&lt;6.5,1,0)+IF(P115&lt;23,1,0)+IF(R115&gt;80,0,1)+S115+IF(AD115&lt;20,0,1)+IF(AE115&lt;14,0,1)+IF(AF115&lt;26,0,1)</f>
        <v/>
      </c>
      <c r="AH115" s="101">
        <f>AG115+IF(AG115&gt;6,1,0)+IF(X115&lt;17,0,1)+IF(Y115&lt;11,0,1)+IF(Z115&lt;1.35,0,1)+AC115+AA115</f>
        <v/>
      </c>
      <c r="AI115" t="n">
        <v>12.3575</v>
      </c>
      <c r="AJ115" s="104">
        <f>IF(AI115&gt;12.8,IF(AI115&gt;15.8,0.95,0.98),1)</f>
        <v/>
      </c>
      <c r="AK115" s="101">
        <f>((AG115*2.6+AH115)*AJ115*AQ115)</f>
        <v/>
      </c>
      <c r="AL115" s="50">
        <f>D115</f>
        <v/>
      </c>
      <c r="AM115" s="97">
        <f>B115</f>
        <v/>
      </c>
      <c r="AN115" t="n">
        <v>2</v>
      </c>
      <c r="AP115" s="100">
        <f>IF(AK115&gt;23.2,IF(Y115&lt;300,IF(Y115&lt;35,IF(Y115&lt;8,3,2),1),0),0)</f>
        <v/>
      </c>
      <c r="AQ115" t="n">
        <v>1</v>
      </c>
      <c r="AR115" s="100">
        <f>IF(AO115=1,IF(AO115=AL115,1,0),5)</f>
        <v/>
      </c>
      <c r="AX115" s="101">
        <f>(AS115+AV115+AW115)/3</f>
        <v/>
      </c>
    </row>
    <row r="116" ht="12.75" customHeight="1">
      <c r="A116" t="inlineStr">
        <is>
          <t>https://www.chittorgarh.com/ipo/deepa-jewellers-ipo/2827/</t>
        </is>
      </c>
      <c r="B116" t="inlineStr">
        <is>
          <t>Deepa Jewellers  Pric</t>
        </is>
      </c>
      <c r="C116" t="inlineStr">
        <is>
          <t>2026</t>
        </is>
      </c>
      <c r="D116" t="n">
        <v>1</v>
      </c>
      <c r="E116" t="n">
        <v>80.79000000000001</v>
      </c>
      <c r="F116" t="n">
        <v>133.21</v>
      </c>
      <c r="G116" s="100">
        <f>100*(F116-E116)/F116</f>
        <v/>
      </c>
      <c r="H116" t="n">
        <v>217.67</v>
      </c>
      <c r="I116" t="n">
        <v>40.58</v>
      </c>
      <c r="J116" t="n">
        <v>5.44</v>
      </c>
      <c r="K116" t="n">
        <v>4.95</v>
      </c>
      <c r="L116" t="n">
        <v>56.45</v>
      </c>
      <c r="M116" t="n">
        <v>56.01</v>
      </c>
      <c r="N116" t="n">
        <v>7.6</v>
      </c>
      <c r="O116" t="n">
        <v>1400.1</v>
      </c>
      <c r="P116" s="100">
        <f>O116/I116</f>
        <v/>
      </c>
      <c r="Q116" t="n">
        <v>0</v>
      </c>
      <c r="R116" t="n">
        <v>0</v>
      </c>
      <c r="S116" t="n">
        <v>0.7</v>
      </c>
      <c r="T116" t="n">
        <v>459.72</v>
      </c>
      <c r="U116" t="n">
        <v>209.72</v>
      </c>
      <c r="V116" t="n">
        <v>1</v>
      </c>
      <c r="W116" t="n">
        <v>1</v>
      </c>
      <c r="X116" t="n">
        <v>36.73</v>
      </c>
      <c r="Y116" t="n">
        <v>109.04</v>
      </c>
      <c r="Z116" t="n">
        <v>19.09</v>
      </c>
      <c r="AA116" s="103">
        <f>IF(X116&lt;33,IF(Y116&gt;(1.1*X116),0,1),1)+IF(Y116&gt;(4*X116),-1,0)</f>
        <v/>
      </c>
      <c r="AB116" t="n">
        <v>0</v>
      </c>
      <c r="AC116" s="101">
        <f>IF(AB116&gt;9,1,0)+AB116/3+IF(AB116&gt;15,1,0)+IF(AB116&gt;20,1,0)</f>
        <v/>
      </c>
      <c r="AD116" t="n">
        <v>66.65000000000001</v>
      </c>
      <c r="AE116" t="n">
        <v>36.5</v>
      </c>
      <c r="AF116" t="n">
        <v>43.93</v>
      </c>
      <c r="AG116" s="101">
        <f>IF(G116&lt;0,0,1.2)+IF(G116&lt;14,0,0.9)+IF(P116&lt;0,0.7,0)+IF(P116&lt;6.5,1,0)+IF(P116&lt;23,1,0)+IF(R116&gt;80,0,1)+S116+IF(AD116&lt;20,0,1)+IF(AE116&lt;14,0,1)+IF(AF116&lt;26,0,1)</f>
        <v/>
      </c>
      <c r="AH116" s="101">
        <f>AG116+IF(AG116&gt;6,1,0)+IF(X116&lt;17,0,1)+IF(Y116&lt;11,0,1)+IF(Z116&lt;1.35,0,1)+AC116+AA116</f>
        <v/>
      </c>
      <c r="AI116" t="n">
        <v>12.3675</v>
      </c>
      <c r="AJ116" s="104">
        <f>IF(AI116&gt;12.8,IF(AI116&gt;15.8,0.95,0.98),1)</f>
        <v/>
      </c>
      <c r="AK116" s="101">
        <f>((AG116*2.6+AH116)*AJ116*AQ116)</f>
        <v/>
      </c>
      <c r="AL116" s="50">
        <f>D116</f>
        <v/>
      </c>
      <c r="AM116" s="97">
        <f>B116</f>
        <v/>
      </c>
      <c r="AN116" t="n">
        <v>3</v>
      </c>
      <c r="AP116" s="100">
        <f>IF(AK116&gt;23.2,IF(Y116&lt;300,IF(Y116&lt;35,IF(Y116&lt;8,3,2),1),0),0)</f>
        <v/>
      </c>
      <c r="AQ116" t="n">
        <v>1</v>
      </c>
      <c r="AR116" s="100">
        <f>IF(AO116=1,IF(AO116=AL116,1,0),5)</f>
        <v/>
      </c>
      <c r="AX116" s="101">
        <f>(AS116+AV116+AW116)/3</f>
        <v/>
      </c>
    </row>
    <row r="117" ht="12.75" customHeight="1">
      <c r="A117" t="inlineStr">
        <is>
          <t>https://www.chittorgarh.com/ipo/rays-of-belief-ipo/2787/</t>
        </is>
      </c>
      <c r="B117" t="inlineStr">
        <is>
          <t>Rays of Belief  Price</t>
        </is>
      </c>
      <c r="C117" t="inlineStr">
        <is>
          <t>2026</t>
        </is>
      </c>
      <c r="D117" t="n">
        <v>1</v>
      </c>
      <c r="E117" t="n">
        <v>4.36</v>
      </c>
      <c r="F117" t="n">
        <v>15.02</v>
      </c>
      <c r="G117" s="100">
        <f>100*(F117-E117)/F117</f>
        <v/>
      </c>
      <c r="H117" t="n">
        <v>26.12</v>
      </c>
      <c r="I117" t="n">
        <v>5.88</v>
      </c>
      <c r="J117" t="n">
        <v>6.07</v>
      </c>
      <c r="K117" t="n">
        <v>3.16</v>
      </c>
      <c r="L117" t="n">
        <v>21.64</v>
      </c>
      <c r="M117" t="n">
        <v>3.02</v>
      </c>
      <c r="N117" t="n">
        <v>14.59</v>
      </c>
      <c r="O117" t="n">
        <v>36.54</v>
      </c>
      <c r="P117" s="100">
        <f>O117/I117</f>
        <v/>
      </c>
      <c r="Q117" t="n">
        <v>75.63</v>
      </c>
      <c r="R117" t="n">
        <v>100.84</v>
      </c>
      <c r="S117" t="n">
        <v>-0.3</v>
      </c>
      <c r="T117" t="n">
        <v>125</v>
      </c>
      <c r="U117" t="n">
        <v>0</v>
      </c>
      <c r="V117" t="n">
        <v>1</v>
      </c>
      <c r="W117" t="n">
        <v>1</v>
      </c>
      <c r="X117" t="n">
        <v>9.06</v>
      </c>
      <c r="Y117" t="n">
        <v>279.11</v>
      </c>
      <c r="Z117" t="n">
        <v>195.86</v>
      </c>
      <c r="AA117" s="103">
        <f>IF(X117&lt;33,IF(Y117&gt;(1.1*X117),0,1),1)+IF(Y117&gt;(4*X117),-1,0)</f>
        <v/>
      </c>
      <c r="AB117" t="n">
        <v>0</v>
      </c>
      <c r="AC117" s="101">
        <f>IF(AB117&gt;9,1,0)+AB117/3+IF(AB117&gt;15,1,0)+IF(AB117&gt;20,1,0)</f>
        <v/>
      </c>
      <c r="AD117" t="n">
        <v>591.76</v>
      </c>
      <c r="AE117" t="n">
        <v>18.79</v>
      </c>
      <c r="AF117" t="n">
        <v>159.86</v>
      </c>
      <c r="AG117" s="101">
        <f>IF(G117&lt;0,0,1.2)+IF(G117&lt;14,0,0.9)+IF(P117&lt;0,0.7,0)+IF(P117&lt;6.5,1,0)+IF(P117&lt;23,1,0)+IF(R117&gt;80,0,1)+S117+IF(AD117&lt;20,0,1)+IF(AE117&lt;14,0,1)+IF(AF117&lt;26,0,1)</f>
        <v/>
      </c>
      <c r="AH117" s="101">
        <f>AG117+IF(AG117&gt;6,1,0)+IF(X117&lt;17,0,1)+IF(Y117&lt;11,0,1)+IF(Z117&lt;1.35,0,1)+AC117+AA117</f>
        <v/>
      </c>
      <c r="AI117" t="n">
        <v>12.3625</v>
      </c>
      <c r="AJ117" s="104">
        <f>IF(AI117&gt;12.8,IF(AI117&gt;15.8,0.95,0.98),1)</f>
        <v/>
      </c>
      <c r="AK117" s="101">
        <f>((AG117*2.6+AH117)*AJ117*AQ117)</f>
        <v/>
      </c>
      <c r="AL117" s="50">
        <f>D117</f>
        <v/>
      </c>
      <c r="AM117" s="97">
        <f>B117</f>
        <v/>
      </c>
      <c r="AN117" t="n">
        <v>3</v>
      </c>
      <c r="AP117" s="100">
        <f>IF(AK117&gt;23.2,IF(Y117&lt;300,IF(Y117&lt;35,IF(Y117&lt;8,3,2),1),0),0)</f>
        <v/>
      </c>
      <c r="AQ117" t="n">
        <v>1</v>
      </c>
      <c r="AR117" s="100">
        <f>IF(AO117=1,IF(AO117=AL117,1,0),5)</f>
        <v/>
      </c>
      <c r="AX117" s="101">
        <f>(AS117+AV117+AW117)/3</f>
        <v/>
      </c>
    </row>
    <row r="118" ht="12.75" customHeight="1">
      <c r="A118" t="inlineStr">
        <is>
          <t>https://www.chittorgarh.com/ipo/pranav-constructions-ipo/2127/</t>
        </is>
      </c>
      <c r="B118" t="inlineStr">
        <is>
          <t xml:space="preserve">Pranav Constructions </t>
        </is>
      </c>
      <c r="C118" t="inlineStr">
        <is>
          <t>2026</t>
        </is>
      </c>
      <c r="D118" t="n">
        <v>1</v>
      </c>
      <c r="E118" t="n">
        <v>196.5</v>
      </c>
      <c r="F118" t="n">
        <v>175.59</v>
      </c>
      <c r="G118" s="100" t="n">
        <v>-11.91</v>
      </c>
      <c r="H118" t="n">
        <v>1246.29</v>
      </c>
      <c r="I118" t="n">
        <v>62.25</v>
      </c>
      <c r="J118" t="n">
        <v>9.369999999999999</v>
      </c>
      <c r="K118" t="n">
        <v>8.18</v>
      </c>
      <c r="L118" t="n">
        <v>33.78</v>
      </c>
      <c r="M118" t="n">
        <v>98.54000000000001</v>
      </c>
      <c r="N118" t="n">
        <v>17.18</v>
      </c>
      <c r="O118" t="n">
        <v>638.24</v>
      </c>
      <c r="P118" s="100" t="n">
        <v>10.25</v>
      </c>
      <c r="Q118" t="n">
        <v>15.16</v>
      </c>
      <c r="R118" t="n">
        <v>19.59</v>
      </c>
      <c r="S118" t="n">
        <v>-0.9</v>
      </c>
      <c r="T118" t="n">
        <v>351.03</v>
      </c>
      <c r="U118" t="n">
        <v>35.42999999999995</v>
      </c>
      <c r="V118" t="n">
        <v>1</v>
      </c>
      <c r="W118" t="n">
        <v>1</v>
      </c>
      <c r="X118" t="n">
        <v>268.54</v>
      </c>
      <c r="Y118" t="n">
        <v>217.73</v>
      </c>
      <c r="Z118" t="n">
        <v>45.31</v>
      </c>
      <c r="AA118" s="103" t="n">
        <v>1</v>
      </c>
      <c r="AB118" t="n">
        <v>9.35</v>
      </c>
      <c r="AC118" s="101" t="n">
        <v>4.116666666666667</v>
      </c>
      <c r="AD118" t="n">
        <v>57.12</v>
      </c>
      <c r="AE118" t="n">
        <v>41.91</v>
      </c>
      <c r="AF118" t="n">
        <v>98.7</v>
      </c>
      <c r="AG118" s="101" t="n">
        <v>5</v>
      </c>
      <c r="AH118" s="101" t="n">
        <v>13.11666666666667</v>
      </c>
      <c r="AI118" t="n">
        <v>25.61666666666667</v>
      </c>
      <c r="AJ118" s="104">
        <f>IF(AI118&gt;12.8,IF(AI118&gt;15.8,0.95,0.98),1)</f>
        <v/>
      </c>
      <c r="AK118" s="101">
        <f>((AG118*2.6+AH118)*AJ118*AQ118)</f>
        <v/>
      </c>
      <c r="AL118" s="50">
        <f>D118</f>
        <v/>
      </c>
      <c r="AM118" s="97">
        <f>B118</f>
        <v/>
      </c>
      <c r="AN118" t="n">
        <v>9</v>
      </c>
      <c r="AP118" s="100">
        <f>IF(AK118&gt;23.2,IF(Y118&lt;300,IF(Y118&lt;35,IF(Y118&lt;8,3,2),1),0),0)</f>
        <v/>
      </c>
      <c r="AQ118" t="n">
        <v>1</v>
      </c>
      <c r="AR118" s="100">
        <f>IF(AO118=1,IF(AO118=AL118,1,0),5)</f>
        <v/>
      </c>
      <c r="AX118" s="101">
        <f>(AS118+AV118+AW118)/3</f>
        <v/>
      </c>
    </row>
    <row r="119" ht="12.75" customHeight="1">
      <c r="A119" t="inlineStr">
        <is>
          <t>https://www.chittorgarh.com/ipo/kanohar-electricals-ipo/2856/</t>
        </is>
      </c>
      <c r="B119" t="inlineStr">
        <is>
          <t xml:space="preserve">Kanohar Electricals  </t>
        </is>
      </c>
      <c r="C119" t="inlineStr">
        <is>
          <t>2026</t>
        </is>
      </c>
      <c r="D119" t="n">
        <v>1</v>
      </c>
      <c r="E119" t="n">
        <v>32.27</v>
      </c>
      <c r="F119" t="n">
        <v>243.13</v>
      </c>
      <c r="G119" s="100">
        <f>100*(F119-E119)/F119</f>
        <v/>
      </c>
      <c r="H119" t="n">
        <v>432.07</v>
      </c>
      <c r="I119" t="n">
        <v>65.12</v>
      </c>
      <c r="J119" t="n">
        <v>19.57</v>
      </c>
      <c r="K119" t="n">
        <v>17.43</v>
      </c>
      <c r="L119" t="n">
        <v>42.12</v>
      </c>
      <c r="M119" t="n">
        <v>93.39</v>
      </c>
      <c r="N119" t="n">
        <v>27.59</v>
      </c>
      <c r="O119" t="n">
        <v>457.3</v>
      </c>
      <c r="P119" s="100">
        <f>O119/I119</f>
        <v/>
      </c>
      <c r="Q119" t="n">
        <v>36.26</v>
      </c>
      <c r="R119" t="n">
        <v>38.58</v>
      </c>
      <c r="S119" t="n">
        <v>0.7</v>
      </c>
      <c r="T119" t="n">
        <v>1055.74</v>
      </c>
      <c r="U119" t="n">
        <v>300</v>
      </c>
      <c r="V119" t="n">
        <v>1</v>
      </c>
      <c r="W119" t="n">
        <v>1</v>
      </c>
      <c r="X119" t="n">
        <v>215.37</v>
      </c>
      <c r="Y119" t="n">
        <v>87.73999999999999</v>
      </c>
      <c r="Z119" t="n">
        <v>20.51</v>
      </c>
      <c r="AA119" s="103">
        <f>IF(X119&lt;33,IF(Y119&gt;(1.1*X119),0,1),1)+IF(Y119&gt;(4*X119),-1,0)</f>
        <v/>
      </c>
      <c r="AB119" t="n">
        <v>0</v>
      </c>
      <c r="AC119" s="101">
        <f>IF(AB119&gt;9,1,0)+AB119/3+IF(AB119&gt;15,1,0)+IF(AB119&gt;20,1,0)</f>
        <v/>
      </c>
      <c r="AD119" t="n">
        <v>266.67</v>
      </c>
      <c r="AE119" t="n">
        <v>62.67</v>
      </c>
      <c r="AF119" t="n">
        <v>36.5</v>
      </c>
      <c r="AG119" s="101">
        <f>IF(G119&lt;0,0,1.2)+IF(G119&lt;14,0,0.9)+IF(P119&lt;0,0.7,0)+IF(P119&lt;6.5,1,0)+IF(P119&lt;23,1,0)+IF(R119&gt;80,0,1)+S119+IF(AD119&lt;20,0,1)+IF(AE119&lt;14,0,1)+IF(AF119&lt;26,0,1)</f>
        <v/>
      </c>
      <c r="AH119" s="101">
        <f>AG119+IF(AG119&gt;6,1,0)+IF(X119&lt;17,0,1)+IF(Y119&lt;11,0,1)+IF(Z119&lt;1.35,0,1)+AC119+AA119</f>
        <v/>
      </c>
      <c r="AI119" t="n">
        <v>12.285</v>
      </c>
      <c r="AJ119" s="104">
        <f>IF(AI119&gt;12.8,IF(AI119&gt;15.8,0.95,0.98),1)</f>
        <v/>
      </c>
      <c r="AK119" s="101">
        <f>((AG119*2.6+AH119)*AJ119*AQ119)</f>
        <v/>
      </c>
      <c r="AL119" s="50">
        <f>D119</f>
        <v/>
      </c>
      <c r="AM119" s="97">
        <f>B119</f>
        <v/>
      </c>
      <c r="AN119" t="n">
        <v>10</v>
      </c>
      <c r="AP119" s="100">
        <f>IF(AK119&gt;23.2,IF(Y119&lt;300,IF(Y119&lt;35,IF(Y119&lt;8,3,2),1),0),0)</f>
        <v/>
      </c>
      <c r="AQ119" t="n">
        <v>1</v>
      </c>
      <c r="AR119" s="100">
        <f>IF(AO119=1,IF(AO119=AL119,1,0),5)</f>
        <v/>
      </c>
      <c r="AX119" s="101">
        <f>(AS119+AV119+AW119)/3</f>
        <v/>
      </c>
    </row>
    <row r="120" ht="12.75" customHeight="1">
      <c r="A120" t="inlineStr">
        <is>
          <t>https://www.chittorgarh.com/ipo/prasol-chemicals-ipo/2775/</t>
        </is>
      </c>
      <c r="B120" t="inlineStr">
        <is>
          <t>Prasol Chemicals  Pri</t>
        </is>
      </c>
      <c r="C120" t="inlineStr">
        <is>
          <t>2026</t>
        </is>
      </c>
      <c r="D120" t="n">
        <v>0</v>
      </c>
      <c r="E120" t="n">
        <v>101.05</v>
      </c>
      <c r="F120" t="n">
        <v>367.46</v>
      </c>
      <c r="G120" s="100">
        <f>100*(F120-E120)/F120</f>
        <v/>
      </c>
      <c r="H120" t="n">
        <v>723.09</v>
      </c>
      <c r="I120" t="n">
        <v>43.57</v>
      </c>
      <c r="J120" t="n">
        <v>6.74</v>
      </c>
      <c r="K120" t="n">
        <v>14.33</v>
      </c>
      <c r="L120" t="n">
        <v>20.37</v>
      </c>
      <c r="M120" t="n">
        <v>87.77</v>
      </c>
      <c r="N120" t="n">
        <v>11.3</v>
      </c>
      <c r="O120" t="n">
        <v>1015.54</v>
      </c>
      <c r="P120" s="100">
        <f>O120/I120</f>
        <v/>
      </c>
      <c r="Q120" t="n">
        <v>0</v>
      </c>
      <c r="R120" t="n">
        <v>0</v>
      </c>
      <c r="S120" t="n">
        <v>0.7</v>
      </c>
      <c r="T120" t="n">
        <v>500</v>
      </c>
      <c r="U120" t="n">
        <v>0</v>
      </c>
      <c r="V120" t="n">
        <v>1</v>
      </c>
      <c r="W120" t="n">
        <v>1</v>
      </c>
      <c r="X120" t="n">
        <v>7.59</v>
      </c>
      <c r="Y120" t="n">
        <v>1.89</v>
      </c>
      <c r="Z120" t="n">
        <v>1.79</v>
      </c>
      <c r="AA120" s="103">
        <f>IF(X120&lt;33,IF(Y120&gt;(1.1*X120),0,1),1)+IF(Y120&gt;(4*X120),-1,0)</f>
        <v/>
      </c>
      <c r="AB120" t="n">
        <v>0</v>
      </c>
      <c r="AC120" s="101">
        <f>IF(AB120&gt;9,1,0)+AB120/3+IF(AB120&gt;15,1,0)+IF(AB120&gt;20,1,0)</f>
        <v/>
      </c>
      <c r="AD120" t="n">
        <v>140.32</v>
      </c>
      <c r="AE120" t="n">
        <v>14.42</v>
      </c>
      <c r="AF120" t="n">
        <v>12.77</v>
      </c>
      <c r="AG120" s="101">
        <f>IF(G120&lt;0,0,1.2)+IF(G120&lt;14,0,0.9)+IF(P120&lt;0,0.7,0)+IF(P120&lt;6.5,1,0)+IF(P120&lt;23,1,0)+IF(R120&gt;80,0,1)+S120+IF(AD120&lt;20,0,1)+IF(AE120&lt;14,0,1)+IF(AF120&lt;26,0,1)</f>
        <v/>
      </c>
      <c r="AH120" s="101">
        <f>AG120+IF(AG120&gt;6,1,0)+IF(X120&lt;17,0,1)+IF(Y120&lt;11,0,1)+IF(Z120&lt;1.35,0,1)+AC120+AA120</f>
        <v/>
      </c>
      <c r="AI120" t="n">
        <v>12.285</v>
      </c>
      <c r="AJ120" s="104">
        <f>IF(AI120&gt;12.8,IF(AI120&gt;15.8,0.95,0.98),1)</f>
        <v/>
      </c>
      <c r="AK120" s="101">
        <f>((AG120*2.6+AH120)*AJ120*AQ120)</f>
        <v/>
      </c>
      <c r="AL120" s="50">
        <f>D120</f>
        <v/>
      </c>
      <c r="AM120" s="97">
        <f>B120</f>
        <v/>
      </c>
      <c r="AN120" t="n">
        <v>10</v>
      </c>
      <c r="AP120" s="100">
        <f>IF(AK120&gt;23.2,IF(Y120&lt;300,IF(Y120&lt;35,IF(Y120&lt;8,3,2),1),0),0)</f>
        <v/>
      </c>
      <c r="AQ120" t="n">
        <v>1</v>
      </c>
      <c r="AR120" s="100">
        <f>IF(AO120=1,IF(AO120=AL120,1,0),5)</f>
        <v/>
      </c>
      <c r="AX120" s="101">
        <f>(AS120+AV120+AW120)/3</f>
        <v/>
      </c>
    </row>
    <row r="121" ht="12.75" customHeight="1">
      <c r="A121" t="inlineStr">
        <is>
          <t>https://www.chittorgarh.com/ipo/glass-wall-systems-ipo/2594/</t>
        </is>
      </c>
      <c r="B121" t="inlineStr">
        <is>
          <t>Glass Wall Systems  P</t>
        </is>
      </c>
      <c r="C121" t="inlineStr">
        <is>
          <t>2026</t>
        </is>
      </c>
      <c r="D121" t="n">
        <v>1</v>
      </c>
      <c r="E121" t="n">
        <v>8.460000000000001</v>
      </c>
      <c r="F121" t="n">
        <v>175.75</v>
      </c>
      <c r="G121" s="100">
        <f>100*(F121-E121)/F121</f>
        <v/>
      </c>
      <c r="H121" t="n">
        <v>316.63</v>
      </c>
      <c r="I121" t="n">
        <v>57.51</v>
      </c>
      <c r="J121" t="n">
        <v>18.34</v>
      </c>
      <c r="K121" t="n">
        <v>9.9</v>
      </c>
      <c r="L121" t="n">
        <v>38.62</v>
      </c>
      <c r="M121" t="n">
        <v>73.01000000000001</v>
      </c>
      <c r="N121" t="n">
        <v>23.02</v>
      </c>
      <c r="O121" t="n">
        <v>288.14</v>
      </c>
      <c r="P121" s="100">
        <f>O121/I121</f>
        <v/>
      </c>
      <c r="Q121" t="n">
        <v>18.38</v>
      </c>
      <c r="R121" t="n">
        <v>19.1</v>
      </c>
      <c r="S121" t="n">
        <v>0</v>
      </c>
      <c r="T121" t="n">
        <v>427.89</v>
      </c>
      <c r="U121" t="n">
        <v>60</v>
      </c>
      <c r="V121" t="n">
        <v>1</v>
      </c>
      <c r="W121" t="n">
        <v>1</v>
      </c>
      <c r="X121" t="n">
        <v>167.93</v>
      </c>
      <c r="Y121" t="n">
        <v>79.70999999999999</v>
      </c>
      <c r="Z121" t="n">
        <v>33.18</v>
      </c>
      <c r="AA121" s="103">
        <f>IF(X121&lt;33,IF(Y121&gt;(1.1*X121),0,1),1)+IF(Y121&gt;(4*X121),-1,0)</f>
        <v/>
      </c>
      <c r="AB121" t="n">
        <v>0</v>
      </c>
      <c r="AC121" s="101">
        <f>IF(AB121&gt;9,1,0)+AB121/3+IF(AB121&gt;15,1,0)+IF(AB121&gt;20,1,0)</f>
        <v/>
      </c>
      <c r="AD121" t="n">
        <v>184</v>
      </c>
      <c r="AE121" t="n">
        <v>-7.13</v>
      </c>
      <c r="AF121" t="n">
        <v>43.35</v>
      </c>
      <c r="AG121" s="101">
        <f>IF(G121&lt;0,0,1.2)+IF(G121&lt;14,0,0.9)+IF(P121&lt;0,0.7,0)+IF(P121&lt;6.5,1,0)+IF(P121&lt;23,1,0)+IF(R121&gt;80,0,1)+S121+IF(AD121&lt;20,0,1)+IF(AE121&lt;14,0,1)+IF(AF121&lt;26,0,1)</f>
        <v/>
      </c>
      <c r="AH121" s="101">
        <f>AG121+IF(AG121&gt;6,1,0)+IF(X121&lt;17,0,1)+IF(Y121&lt;11,0,1)+IF(Z121&lt;1.35,0,1)+AC121+AA121</f>
        <v/>
      </c>
      <c r="AI121" t="n">
        <v>12.285</v>
      </c>
      <c r="AJ121" s="104">
        <f>IF(AI121&gt;12.8,IF(AI121&gt;15.8,0.95,0.98),1)</f>
        <v/>
      </c>
      <c r="AK121" s="101">
        <f>((AG121*2.6+AH121)*AJ121*AQ121)</f>
        <v/>
      </c>
      <c r="AL121" s="50">
        <f>D121</f>
        <v/>
      </c>
      <c r="AM121" s="97">
        <f>B121</f>
        <v/>
      </c>
      <c r="AN121" t="n">
        <v>10</v>
      </c>
      <c r="AP121" s="100">
        <f>IF(AK121&gt;23.2,IF(Y121&lt;300,IF(Y121&lt;35,IF(Y121&lt;8,3,2),1),0),0)</f>
        <v/>
      </c>
      <c r="AQ121" t="n">
        <v>0.95</v>
      </c>
      <c r="AR121" s="100">
        <f>IF(AO121=1,IF(AO121=AL121,1,0),5)</f>
        <v/>
      </c>
      <c r="AX121" s="101">
        <f>(AS121+AV121+AW121)/3</f>
        <v/>
      </c>
    </row>
    <row r="122" ht="12.75" customHeight="1">
      <c r="A122" t="inlineStr">
        <is>
          <t>https://www.chittorgarh.com/ipo/asset-reconstruction-ipo/2558/</t>
        </is>
      </c>
      <c r="B122" t="inlineStr">
        <is>
          <t xml:space="preserve">Asset Reconstruction </t>
        </is>
      </c>
      <c r="C122" t="inlineStr">
        <is>
          <t>2026</t>
        </is>
      </c>
      <c r="D122" t="n">
        <v>1</v>
      </c>
      <c r="E122" t="n">
        <v>305.93</v>
      </c>
      <c r="F122" t="n">
        <v>2767.8</v>
      </c>
      <c r="G122" s="100">
        <f>100*(F122-E122)/F122</f>
        <v/>
      </c>
      <c r="H122" t="n">
        <v>3263.82</v>
      </c>
      <c r="I122" t="n">
        <v>355.32</v>
      </c>
      <c r="J122" t="n">
        <v>51.95</v>
      </c>
      <c r="K122" t="n">
        <v>12.55</v>
      </c>
      <c r="L122" t="n">
        <v>0</v>
      </c>
      <c r="M122" t="n">
        <v>491.88</v>
      </c>
      <c r="N122" t="n">
        <v>78.20999999999999</v>
      </c>
      <c r="O122" t="n">
        <v>623.4</v>
      </c>
      <c r="P122" s="100">
        <f>O122/I122</f>
        <v/>
      </c>
      <c r="Q122" t="n">
        <v>11.08</v>
      </c>
      <c r="R122" t="n">
        <v>11.08</v>
      </c>
      <c r="S122" t="n">
        <v>-0.3</v>
      </c>
      <c r="T122" t="n">
        <v>732.97</v>
      </c>
      <c r="U122" t="n">
        <v>0</v>
      </c>
      <c r="V122" t="n">
        <v>1</v>
      </c>
      <c r="W122" t="n">
        <v>1</v>
      </c>
      <c r="X122" t="n">
        <v>52.65</v>
      </c>
      <c r="Y122" t="n">
        <v>15.69</v>
      </c>
      <c r="Z122" t="n">
        <v>3.39</v>
      </c>
      <c r="AA122" s="103">
        <f>IF(X122&lt;33,IF(Y122&gt;(1.1*X122),0,1),1)+IF(Y122&gt;(4*X122),-1,0)</f>
        <v/>
      </c>
      <c r="AB122" t="n">
        <v>11.51</v>
      </c>
      <c r="AC122" s="101">
        <f>IF(AB122&gt;9,1,0)+AB122/3+IF(AB122&gt;15,1,0)+IF(AB122&gt;20,1,0)</f>
        <v/>
      </c>
      <c r="AD122" t="n">
        <v>16.37</v>
      </c>
      <c r="AE122" t="n">
        <v>8.59</v>
      </c>
      <c r="AF122" t="n">
        <v>12.4</v>
      </c>
      <c r="AG122" s="101">
        <f>IF(G122&lt;0,0,1.2)+IF(G122&lt;14,0,0.9)+IF(P122&lt;0,0.7,0)+IF(P122&lt;6.5,1,0)+IF(P122&lt;23,1,0)+IF(R122&gt;80,0,1)+S122+IF(AD122&lt;20,0,1)+IF(AE122&lt;14,0,1)+IF(AF122&lt;26,0,1)</f>
        <v/>
      </c>
      <c r="AH122" s="101">
        <f>AG122+IF(AG122&gt;6,1,0)+IF(X122&lt;17,0,1)+IF(Y122&lt;11,0,1)+IF(Z122&lt;1.35,0,1)+AC122+AA122</f>
        <v/>
      </c>
      <c r="AI122" t="n">
        <v>12.285</v>
      </c>
      <c r="AJ122" s="104">
        <f>IF(AI122&gt;12.8,IF(AI122&gt;15.8,0.95,0.98),1)</f>
        <v/>
      </c>
      <c r="AK122" s="101">
        <f>((AG122*2.6+AH122)*AJ122*AQ122)</f>
        <v/>
      </c>
      <c r="AL122" s="50">
        <f>D122</f>
        <v/>
      </c>
      <c r="AM122" s="97">
        <f>B122</f>
        <v/>
      </c>
      <c r="AN122" t="n">
        <v>11</v>
      </c>
      <c r="AP122" s="100">
        <f>IF(AK122&gt;23.2,IF(Y122&lt;300,IF(Y122&lt;35,IF(Y122&lt;8,3,2),1),0),0)</f>
        <v/>
      </c>
      <c r="AQ122" t="n">
        <v>1</v>
      </c>
      <c r="AR122" s="100">
        <f>IF(AO122=1,IF(AO122=AL122,1,0),5)</f>
        <v/>
      </c>
      <c r="AX122" s="101">
        <f>(AS122+AV122+AW122)/3</f>
        <v/>
      </c>
    </row>
    <row r="123" ht="12.75" customHeight="1">
      <c r="A123" t="inlineStr">
        <is>
          <t>https://www.chittorgarh.com/ipo/manipal-payment-and-identity-solutions-ipo/2524/</t>
        </is>
      </c>
      <c r="B123" t="inlineStr">
        <is>
          <t>Manipal Payment &amp;amp;</t>
        </is>
      </c>
      <c r="C123" t="inlineStr">
        <is>
          <t>2026</t>
        </is>
      </c>
      <c r="D123" t="n">
        <v>0</v>
      </c>
      <c r="E123" t="n">
        <v>472.87</v>
      </c>
      <c r="F123" t="n">
        <v>619.7</v>
      </c>
      <c r="G123" s="100">
        <f>100*(F123-E123)/F123</f>
        <v/>
      </c>
      <c r="H123" t="n">
        <v>1409.67</v>
      </c>
      <c r="I123" t="n">
        <v>282.21</v>
      </c>
      <c r="J123" t="n">
        <v>18.68</v>
      </c>
      <c r="K123" t="n">
        <v>11.4</v>
      </c>
      <c r="L123" t="n">
        <v>29.35</v>
      </c>
      <c r="M123" t="n">
        <v>408.77</v>
      </c>
      <c r="N123" t="n">
        <v>33.6</v>
      </c>
      <c r="O123" t="n">
        <v>1277.11</v>
      </c>
      <c r="P123" s="100">
        <f>O123/I123</f>
        <v/>
      </c>
      <c r="Q123" t="n">
        <v>29.74</v>
      </c>
      <c r="R123" t="n">
        <v>31.02</v>
      </c>
      <c r="S123" t="n">
        <v>0</v>
      </c>
      <c r="T123" t="n">
        <v>805</v>
      </c>
      <c r="U123" t="n">
        <v>320</v>
      </c>
      <c r="V123" t="n">
        <v>1</v>
      </c>
      <c r="W123" t="n">
        <v>1</v>
      </c>
      <c r="X123" t="n">
        <v>1.26</v>
      </c>
      <c r="Y123" t="n">
        <v>1.22</v>
      </c>
      <c r="Z123" t="n">
        <v>2.19</v>
      </c>
      <c r="AA123" s="103">
        <f>IF(X123&lt;33,IF(Y123&gt;(1.1*X123),0,1),1)+IF(Y123&gt;(4*X123),-1,0)</f>
        <v/>
      </c>
      <c r="AB123" t="n">
        <v>0.59</v>
      </c>
      <c r="AC123" s="101">
        <f>IF(AB123&gt;9,1,0)+AB123/3+IF(AB123&gt;15,1,0)+IF(AB123&gt;20,1,0)</f>
        <v/>
      </c>
      <c r="AD123" t="n">
        <v>13.26</v>
      </c>
      <c r="AE123" t="n">
        <v>0.72</v>
      </c>
      <c r="AF123" t="n">
        <v>52.99</v>
      </c>
      <c r="AG123" s="101">
        <f>IF(G123&lt;0,0,1.2)+IF(G123&lt;14,0,0.9)+IF(P123&lt;0,0.7,0)+IF(P123&lt;6.5,1,0)+IF(P123&lt;23,1,0)+IF(R123&gt;80,0,1)+S123+IF(AD123&lt;20,0,1)+IF(AE123&lt;14,0,1)+IF(AF123&lt;26,0,1)</f>
        <v/>
      </c>
      <c r="AH123" s="101">
        <f>AG123+IF(AG123&gt;6,1,0)+IF(X123&lt;17,0,1)+IF(Y123&lt;11,0,1)+IF(Z123&lt;1.35,0,1)+AC123+AA123</f>
        <v/>
      </c>
      <c r="AI123" t="n">
        <v>12.285</v>
      </c>
      <c r="AJ123" s="104">
        <f>IF(AI123&gt;12.8,IF(AI123&gt;15.8,0.95,0.98),1)</f>
        <v/>
      </c>
      <c r="AK123" s="101">
        <f>((AG123*2.6+AH123)*AJ123*AQ123)</f>
        <v/>
      </c>
      <c r="AL123" s="50">
        <f>D123</f>
        <v/>
      </c>
      <c r="AM123" s="97">
        <f>B123</f>
        <v/>
      </c>
      <c r="AN123" t="n">
        <v>11</v>
      </c>
      <c r="AP123" s="100">
        <f>IF(AK123&gt;23.2,IF(Y123&lt;300,IF(Y123&lt;35,IF(Y123&lt;8,3,2),1),0),0)</f>
        <v/>
      </c>
      <c r="AQ123" t="n">
        <v>0.95</v>
      </c>
      <c r="AR123" s="100">
        <f>IF(AO123=1,IF(AO123=AL123,1,0),5)</f>
        <v/>
      </c>
      <c r="AX123" s="101">
        <f>(AS123+AV123+AW123)/3</f>
        <v/>
      </c>
    </row>
    <row r="124" ht="12.75" customHeight="1">
      <c r="A124" t="inlineStr">
        <is>
          <t>https://www.chittorgarh.com/ipo/steamhouse-india-ipo/2514/</t>
        </is>
      </c>
      <c r="B124" t="inlineStr">
        <is>
          <t>Steamhouse India  Pri</t>
        </is>
      </c>
      <c r="C124" t="inlineStr">
        <is>
          <t>2026</t>
        </is>
      </c>
      <c r="D124" t="n">
        <v>1</v>
      </c>
      <c r="E124" t="n">
        <v>222.95</v>
      </c>
      <c r="F124" t="n">
        <v>131</v>
      </c>
      <c r="G124" s="100">
        <f>100*(F124-E124)/F124</f>
        <v/>
      </c>
      <c r="H124" t="n">
        <v>543.67</v>
      </c>
      <c r="I124" t="n">
        <v>31.16</v>
      </c>
      <c r="J124" t="n">
        <v>7.81</v>
      </c>
      <c r="K124" t="n">
        <v>1.66</v>
      </c>
      <c r="L124" t="n">
        <v>22.36</v>
      </c>
      <c r="M124" t="n">
        <v>69.31999999999999</v>
      </c>
      <c r="N124" t="n">
        <v>16.99</v>
      </c>
      <c r="O124" t="n">
        <v>398.53</v>
      </c>
      <c r="P124" s="100">
        <f>O124/I124</f>
        <v/>
      </c>
      <c r="Q124" t="n">
        <v>48.8</v>
      </c>
      <c r="R124" t="n">
        <v>57.86</v>
      </c>
      <c r="S124" t="n">
        <v>-0.9</v>
      </c>
      <c r="T124" t="n">
        <v>414</v>
      </c>
      <c r="U124" t="n">
        <v>61</v>
      </c>
      <c r="V124" t="n">
        <v>1</v>
      </c>
      <c r="W124" t="n">
        <v>1</v>
      </c>
      <c r="X124" t="n">
        <v>46.19</v>
      </c>
      <c r="Y124" t="n">
        <v>46.6</v>
      </c>
      <c r="Z124" t="n">
        <v>17.78</v>
      </c>
      <c r="AA124" s="103">
        <f>IF(X124&lt;33,IF(Y124&gt;(1.1*X124),0,1),1)+IF(Y124&gt;(4*X124),-1,0)</f>
        <v/>
      </c>
      <c r="AB124" t="n">
        <v>0</v>
      </c>
      <c r="AC124" s="101">
        <f>IF(AB124&gt;9,1,0)+AB124/3+IF(AB124&gt;15,1,0)+IF(AB124&gt;20,1,0)</f>
        <v/>
      </c>
      <c r="AD124" t="n">
        <v>14.6</v>
      </c>
      <c r="AE124" t="n">
        <v>35.94</v>
      </c>
      <c r="AF124" t="n">
        <v>27.54</v>
      </c>
      <c r="AG124" s="101">
        <f>IF(G124&lt;0,0,1.2)+IF(G124&lt;14,0,0.9)+IF(P124&lt;0,0.7,0)+IF(P124&lt;6.5,1,0)+IF(P124&lt;23,1,0)+IF(R124&gt;80,0,1)+S124+IF(AD124&lt;20,0,1)+IF(AE124&lt;14,0,1)+IF(AF124&lt;26,0,1)</f>
        <v/>
      </c>
      <c r="AH124" s="101">
        <f>AG124+IF(AG124&gt;6,1,0)+IF(X124&lt;17,0,1)+IF(Y124&lt;11,0,1)+IF(Z124&lt;1.35,0,1)+AC124+AA124</f>
        <v/>
      </c>
      <c r="AI124" t="n">
        <v>12.285</v>
      </c>
      <c r="AJ124" s="104">
        <f>IF(AI124&gt;12.8,IF(AI124&gt;15.8,0.95,0.98),1)</f>
        <v/>
      </c>
      <c r="AK124" s="101">
        <f>((AG124*2.6+AH124)*AJ124*AQ124)</f>
        <v/>
      </c>
      <c r="AL124" s="50">
        <f>D124</f>
        <v/>
      </c>
      <c r="AM124" s="97">
        <f>B124</f>
        <v/>
      </c>
      <c r="AN124" t="n">
        <v>11</v>
      </c>
      <c r="AP124" s="100">
        <f>IF(AK124&gt;23.2,IF(Y124&lt;300,IF(Y124&lt;35,IF(Y124&lt;8,3,2),1),0),0)</f>
        <v/>
      </c>
      <c r="AQ124" t="n">
        <v>1</v>
      </c>
      <c r="AR124" s="100">
        <f>IF(AO124=1,IF(AO124=AL124,1,0),5)</f>
        <v/>
      </c>
      <c r="AX124" s="101">
        <f>(AS124+AV124+AW124)/3</f>
        <v/>
      </c>
    </row>
    <row r="125" ht="12.75" customHeight="1">
      <c r="A125" t="inlineStr">
        <is>
          <t>https://www.chittorgarh.com/ipo/lcc-projects-ipo/2086/</t>
        </is>
      </c>
      <c r="B125" t="inlineStr">
        <is>
          <t xml:space="preserve">LCC Projects  Price, </t>
        </is>
      </c>
      <c r="C125" t="inlineStr">
        <is>
          <t>2026</t>
        </is>
      </c>
      <c r="D125" t="n">
        <v>1</v>
      </c>
      <c r="E125" t="n">
        <v>649.55</v>
      </c>
      <c r="F125" t="n">
        <v>604.99</v>
      </c>
      <c r="G125" s="100">
        <f>100*(F125-E125)/F125</f>
        <v/>
      </c>
      <c r="H125" t="n">
        <v>1727.46</v>
      </c>
      <c r="I125" t="n">
        <v>223.63</v>
      </c>
      <c r="J125" t="n">
        <v>7.96</v>
      </c>
      <c r="K125" t="n">
        <v>10.53</v>
      </c>
      <c r="L125" t="n">
        <v>32.24</v>
      </c>
      <c r="M125" t="n">
        <v>401.04</v>
      </c>
      <c r="N125" t="n">
        <v>14.44</v>
      </c>
      <c r="O125" t="n">
        <v>2941.01</v>
      </c>
      <c r="P125" s="100">
        <f>O125/I125</f>
        <v/>
      </c>
      <c r="Q125" t="n">
        <v>13.87</v>
      </c>
      <c r="R125" t="n">
        <v>14.76</v>
      </c>
      <c r="S125" t="n">
        <v>0</v>
      </c>
      <c r="T125" t="n">
        <v>427.14</v>
      </c>
      <c r="U125" t="n">
        <v>169.14</v>
      </c>
      <c r="V125" t="n">
        <v>1</v>
      </c>
      <c r="W125" t="n">
        <v>1</v>
      </c>
      <c r="X125" t="n">
        <v>78.73</v>
      </c>
      <c r="Y125" t="n">
        <v>64.91</v>
      </c>
      <c r="Z125" t="n">
        <v>26.34</v>
      </c>
      <c r="AA125" s="103">
        <f>IF(X125&lt;33,IF(Y125&gt;(1.1*X125),0,1),1)+IF(Y125&gt;(4*X125),-1,0)</f>
        <v/>
      </c>
      <c r="AB125" t="n">
        <v>43.84</v>
      </c>
      <c r="AC125" s="101">
        <f>IF(AB125&gt;9,1,0)+AB125/3+IF(AB125&gt;15,1,0)+IF(AB125&gt;20,1,0)</f>
        <v/>
      </c>
      <c r="AD125" t="n">
        <v>83.3</v>
      </c>
      <c r="AE125" t="n">
        <v>20.05</v>
      </c>
      <c r="AF125" t="n">
        <v>58.03</v>
      </c>
      <c r="AG125" s="101">
        <f>IF(G125&lt;0,0,1.2)+IF(G125&lt;14,0,0.9)+IF(P125&lt;0,0.7,0)+IF(P125&lt;6.5,1,0)+IF(P125&lt;23,1,0)+IF(R125&gt;80,0,1)+S125+IF(AD125&lt;20,0,1)+IF(AE125&lt;14,0,1)+IF(AF125&lt;26,0,1)</f>
        <v/>
      </c>
      <c r="AH125" s="101">
        <f>AG125+IF(AG125&gt;6,1,0)+IF(X125&lt;17,0,1)+IF(Y125&lt;11,0,1)+IF(Z125&lt;1.35,0,1)+AC125+AA125</f>
        <v/>
      </c>
      <c r="AI125" t="n">
        <v>12.285</v>
      </c>
      <c r="AJ125" s="104">
        <f>IF(AI125&gt;12.8,IF(AI125&gt;15.8,0.95,0.98),1)</f>
        <v/>
      </c>
      <c r="AK125" s="101">
        <f>((AG125*2.6+AH125)*AJ125*AQ125)</f>
        <v/>
      </c>
      <c r="AL125" s="50">
        <f>D125</f>
        <v/>
      </c>
      <c r="AM125" s="97">
        <f>B125</f>
        <v/>
      </c>
      <c r="AN125" t="n">
        <v>11</v>
      </c>
      <c r="AP125" s="100">
        <f>IF(AK125&gt;23.2,IF(Y125&lt;300,IF(Y125&lt;35,IF(Y125&lt;8,3,2),1),0),0)</f>
        <v/>
      </c>
      <c r="AQ125" t="n">
        <v>1</v>
      </c>
      <c r="AR125" s="100">
        <f>IF(AO125=1,IF(AO125=AL125,1,0),5)</f>
        <v/>
      </c>
      <c r="AX125" s="101">
        <f>(AS125+AV125+AW125)/3</f>
        <v/>
      </c>
    </row>
    <row r="126" ht="12.75" customHeight="1">
      <c r="A126" t="inlineStr">
        <is>
          <t>https://www.chittorgarh.com/ipo/karamtara-engineering-ipo/2020/</t>
        </is>
      </c>
      <c r="B126" t="inlineStr">
        <is>
          <t>Karamtara Engineering</t>
        </is>
      </c>
      <c r="C126" t="inlineStr">
        <is>
          <t>2026</t>
        </is>
      </c>
      <c r="D126" t="n">
        <v>1</v>
      </c>
      <c r="E126" t="n">
        <v>556.28</v>
      </c>
      <c r="F126" t="n">
        <v>982.67</v>
      </c>
      <c r="G126" s="100">
        <f>100*(F126-E126)/F126</f>
        <v/>
      </c>
      <c r="H126" t="n">
        <v>2762.59</v>
      </c>
      <c r="I126" t="n">
        <v>139.33</v>
      </c>
      <c r="J126" t="n">
        <v>0</v>
      </c>
      <c r="K126" t="n">
        <v>7.75</v>
      </c>
      <c r="L126" t="n">
        <v>20.77</v>
      </c>
      <c r="M126" t="n">
        <v>346.83</v>
      </c>
      <c r="N126" t="n">
        <v>11.55</v>
      </c>
      <c r="O126" t="n">
        <v>3165.36</v>
      </c>
      <c r="P126" s="100">
        <f>O126/I126</f>
        <v/>
      </c>
      <c r="Q126" t="n">
        <v>32.77</v>
      </c>
      <c r="R126" t="n">
        <v>35.72</v>
      </c>
      <c r="S126" t="n">
        <v>-0.9</v>
      </c>
      <c r="T126" t="n">
        <v>875</v>
      </c>
      <c r="U126" t="n">
        <v>200</v>
      </c>
      <c r="V126" t="n">
        <v>1</v>
      </c>
      <c r="W126" t="n">
        <v>1</v>
      </c>
      <c r="X126" t="n">
        <v>168.19</v>
      </c>
      <c r="Y126" t="n">
        <v>51.17</v>
      </c>
      <c r="Z126" t="n">
        <v>13.98</v>
      </c>
      <c r="AA126" s="103">
        <f>IF(X126&lt;33,IF(Y126&gt;(1.1*X126),0,1),1)+IF(Y126&gt;(4*X126),-1,0)</f>
        <v/>
      </c>
      <c r="AB126" t="n">
        <v>0</v>
      </c>
      <c r="AC126" s="101">
        <f>IF(AB126&gt;9,1,0)+AB126/3+IF(AB126&gt;15,1,0)+IF(AB126&gt;20,1,0)</f>
        <v/>
      </c>
      <c r="AD126" t="n">
        <v>35.73</v>
      </c>
      <c r="AE126" t="n">
        <v>30.42</v>
      </c>
      <c r="AF126" t="n">
        <v>77.72</v>
      </c>
      <c r="AG126" s="101">
        <f>IF(G126&lt;0,0,1.2)+IF(G126&lt;14,0,0.9)+IF(P126&lt;0,0.7,0)+IF(P126&lt;6.5,1,0)+IF(P126&lt;23,1,0)+IF(R126&gt;80,0,1)+S126+IF(AD126&lt;20,0,1)+IF(AE126&lt;14,0,1)+IF(AF126&lt;26,0,1)</f>
        <v/>
      </c>
      <c r="AH126" s="101">
        <f>AG126+IF(AG126&gt;6,1,0)+IF(X126&lt;17,0,1)+IF(Y126&lt;11,0,1)+IF(Z126&lt;1.35,0,1)+AC126+AA126</f>
        <v/>
      </c>
      <c r="AI126" t="n">
        <v>12.285</v>
      </c>
      <c r="AJ126" s="104">
        <f>IF(AI126&gt;12.8,IF(AI126&gt;15.8,0.95,0.98),1)</f>
        <v/>
      </c>
      <c r="AK126" s="101">
        <f>((AG126*2.6+AH126)*AJ126*AQ126)</f>
        <v/>
      </c>
      <c r="AL126" s="50">
        <f>D126</f>
        <v/>
      </c>
      <c r="AM126" s="97">
        <f>B126</f>
        <v/>
      </c>
      <c r="AN126" t="n">
        <v>11</v>
      </c>
      <c r="AP126" s="100">
        <f>IF(AK126&gt;23.2,IF(Y126&lt;300,IF(Y126&lt;35,IF(Y126&lt;8,3,2),1),0),0)</f>
        <v/>
      </c>
      <c r="AQ126" t="n">
        <v>1</v>
      </c>
      <c r="AR126" s="100">
        <f>IF(AO126=1,IF(AO126=AL126,1,0),5)</f>
        <v/>
      </c>
      <c r="AX126" s="101">
        <f>(AS126+AV126+AW126)/3</f>
        <v/>
      </c>
    </row>
    <row r="127" ht="12.75" customHeight="1">
      <c r="A127" t="inlineStr">
        <is>
          <t>https://www.chittorgarh.com/ipo/veegaland-developers-ipo/2834/</t>
        </is>
      </c>
      <c r="B127" t="inlineStr">
        <is>
          <t xml:space="preserve">Veegaland Developers </t>
        </is>
      </c>
      <c r="C127" t="inlineStr">
        <is>
          <t>2026</t>
        </is>
      </c>
      <c r="D127" t="n">
        <v>1</v>
      </c>
      <c r="E127" t="n">
        <v>176.97</v>
      </c>
      <c r="F127" t="n">
        <v>65.44</v>
      </c>
      <c r="G127" s="100" t="n">
        <v>-170.43</v>
      </c>
      <c r="H127" t="n">
        <v>326.65</v>
      </c>
      <c r="I127" t="n">
        <v>20.43</v>
      </c>
      <c r="J127" t="n">
        <v>10.47</v>
      </c>
      <c r="K127" t="n">
        <v>7.89</v>
      </c>
      <c r="L127" t="n">
        <v>16.02</v>
      </c>
      <c r="M127" t="n">
        <v>33.77</v>
      </c>
      <c r="N127" t="n">
        <v>16.78</v>
      </c>
      <c r="O127" t="n">
        <v>196.22</v>
      </c>
      <c r="P127" s="100" t="n">
        <v>9.6</v>
      </c>
      <c r="Q127" t="n">
        <v>17.74</v>
      </c>
      <c r="R127" t="n">
        <v>25.64</v>
      </c>
      <c r="S127" t="n">
        <v>-0.9</v>
      </c>
      <c r="T127" t="n">
        <v>210</v>
      </c>
      <c r="U127" t="n">
        <v>0</v>
      </c>
      <c r="V127" t="n">
        <v>1</v>
      </c>
      <c r="W127" t="n">
        <v>1</v>
      </c>
      <c r="X127" t="n">
        <v>10</v>
      </c>
      <c r="Y127" t="n">
        <v>13.3</v>
      </c>
      <c r="Z127" t="n">
        <v>8.029999999999999</v>
      </c>
      <c r="AA127" s="103" t="n">
        <v>0</v>
      </c>
      <c r="AB127" t="n">
        <v>5</v>
      </c>
      <c r="AC127" s="101" t="n">
        <v>1.666666666666667</v>
      </c>
      <c r="AD127" t="n">
        <v>159.59</v>
      </c>
      <c r="AE127" t="n">
        <v>71.20999999999999</v>
      </c>
      <c r="AF127" t="n">
        <v>45.2</v>
      </c>
      <c r="AG127" s="101" t="n">
        <v>5</v>
      </c>
      <c r="AH127" s="101" t="n">
        <v>8.666666666666666</v>
      </c>
      <c r="AI127" t="n">
        <v>21.16666666666666</v>
      </c>
      <c r="AJ127" s="104">
        <f>IF(AI127&gt;12.8,IF(AI127&gt;15.8,0.95,0.98),1)</f>
        <v/>
      </c>
      <c r="AK127" s="101">
        <f>((AG127*2.6+AH127)*AJ127*AQ127)</f>
        <v/>
      </c>
      <c r="AL127" s="50">
        <f>D127</f>
        <v/>
      </c>
      <c r="AM127" s="97">
        <f>B127</f>
        <v/>
      </c>
      <c r="AN127" t="n">
        <v>15</v>
      </c>
      <c r="AP127" s="100">
        <f>IF(AK127&gt;23.2,IF(Y127&lt;300,IF(Y127&lt;35,IF(Y127&lt;8,3,2),1),0),0)</f>
        <v/>
      </c>
      <c r="AQ127" t="n">
        <v>1</v>
      </c>
      <c r="AR127" s="100">
        <f>IF(AO127=1,IF(AO127=AL127,1,0),5)</f>
        <v/>
      </c>
      <c r="AX127" s="101">
        <f>(AS127+AV127+AW127)/3</f>
        <v/>
      </c>
    </row>
    <row r="128" ht="12.75" customHeight="1">
      <c r="A128" t="inlineStr">
        <is>
          <t>https://www.chittorgarh.com/ipo/manika-plastech-ipo/2483/</t>
        </is>
      </c>
      <c r="B128" t="inlineStr">
        <is>
          <t>Manika Plastech  Pric</t>
        </is>
      </c>
      <c r="C128" t="inlineStr">
        <is>
          <t>2026</t>
        </is>
      </c>
      <c r="D128" t="n">
        <v>1</v>
      </c>
      <c r="E128" t="n">
        <v>97.45</v>
      </c>
      <c r="F128" t="n">
        <v>125.17</v>
      </c>
      <c r="G128" s="100" t="n">
        <v>22.15</v>
      </c>
      <c r="H128" t="n">
        <v>320.99</v>
      </c>
      <c r="I128" t="n">
        <v>19.33</v>
      </c>
      <c r="J128" t="n">
        <v>8.029999999999999</v>
      </c>
      <c r="K128" t="n">
        <v>2.36</v>
      </c>
      <c r="L128" t="n">
        <v>8.34</v>
      </c>
      <c r="M128" t="n">
        <v>45.3</v>
      </c>
      <c r="N128" t="n">
        <v>15.01</v>
      </c>
      <c r="O128" t="n">
        <v>412.59</v>
      </c>
      <c r="P128" s="100" t="n">
        <v>21.34</v>
      </c>
      <c r="Q128" t="n">
        <v>18.22</v>
      </c>
      <c r="R128" t="n">
        <v>9.58</v>
      </c>
      <c r="S128" t="n">
        <v>0.7</v>
      </c>
      <c r="T128" t="n">
        <v>125.5</v>
      </c>
      <c r="U128" t="n">
        <v>33</v>
      </c>
      <c r="V128" t="n">
        <v>1</v>
      </c>
      <c r="W128" t="n">
        <v>1</v>
      </c>
      <c r="X128" t="n">
        <v>0.8</v>
      </c>
      <c r="Y128" t="n">
        <v>8.109999999999999</v>
      </c>
      <c r="Z128" t="n">
        <v>10.3</v>
      </c>
      <c r="AA128" s="103" t="n">
        <v>0</v>
      </c>
      <c r="AB128" t="n">
        <v>9.300000000000001</v>
      </c>
      <c r="AC128" s="101" t="n">
        <v>4.1</v>
      </c>
      <c r="AD128" t="n">
        <v>67.65000000000001</v>
      </c>
      <c r="AE128" t="n">
        <v>11.89</v>
      </c>
      <c r="AF128" t="n">
        <v>15.91</v>
      </c>
      <c r="AG128" s="101" t="n">
        <v>5.1</v>
      </c>
      <c r="AH128" s="101" t="n">
        <v>10.2</v>
      </c>
      <c r="AI128" t="n">
        <v>22.95</v>
      </c>
      <c r="AJ128" s="104">
        <f>IF(AI128&gt;12.8,IF(AI128&gt;15.8,0.95,0.98),1)</f>
        <v/>
      </c>
      <c r="AK128" s="101">
        <f>((AG128*2.6+AH128)*AJ128*AQ128)</f>
        <v/>
      </c>
      <c r="AL128" s="50">
        <f>D128</f>
        <v/>
      </c>
      <c r="AM128" s="97">
        <f>B128</f>
        <v/>
      </c>
      <c r="AN128" t="n">
        <v>16</v>
      </c>
      <c r="AP128" s="100">
        <f>IF(AK128&gt;23.2,IF(Y128&lt;300,IF(Y128&lt;35,IF(Y128&lt;8,3,2),1),0),0)</f>
        <v/>
      </c>
      <c r="AQ128" t="n">
        <v>0.95</v>
      </c>
      <c r="AR128" s="100">
        <f>IF(AO128=1,IF(AO128=AL128,1,0),5)</f>
        <v/>
      </c>
      <c r="AX128" s="101">
        <f>(AS128+AV128+AW128)/3</f>
        <v/>
      </c>
    </row>
    <row r="129" ht="12.75" customHeight="1">
      <c r="A129" t="inlineStr">
        <is>
          <t>https://www.chittorgarh.com/ipo/ss-retail-ipo/2822/</t>
        </is>
      </c>
      <c r="B129" t="inlineStr">
        <is>
          <t>SS Retail  Price, GMP</t>
        </is>
      </c>
      <c r="C129" t="inlineStr">
        <is>
          <t>2026</t>
        </is>
      </c>
      <c r="D129" t="n">
        <v>1</v>
      </c>
      <c r="E129" t="n">
        <v>125.36</v>
      </c>
      <c r="F129" t="n">
        <v>141.37</v>
      </c>
      <c r="G129" s="100">
        <f>100*(F129-E129)/F129</f>
        <v/>
      </c>
      <c r="H129" t="n">
        <v>389.44</v>
      </c>
      <c r="I129" t="n">
        <v>39.86</v>
      </c>
      <c r="J129" t="n">
        <v>2.52</v>
      </c>
      <c r="K129" t="n">
        <v>9</v>
      </c>
      <c r="L129" t="n">
        <v>30.6</v>
      </c>
      <c r="M129" t="n">
        <v>80.44</v>
      </c>
      <c r="N129" t="n">
        <v>5.32</v>
      </c>
      <c r="O129" t="n">
        <v>1599.96</v>
      </c>
      <c r="P129" s="100">
        <f>O129/I129</f>
        <v/>
      </c>
      <c r="Q129" t="n">
        <v>47.11</v>
      </c>
      <c r="R129" t="n">
        <v>53.2</v>
      </c>
      <c r="S129" t="n">
        <v>-0.9</v>
      </c>
      <c r="T129" t="n">
        <v>500</v>
      </c>
      <c r="U129" t="n">
        <v>0</v>
      </c>
      <c r="V129" t="n">
        <v>0</v>
      </c>
      <c r="W129" t="n">
        <v>1</v>
      </c>
      <c r="X129" t="n">
        <v>0</v>
      </c>
      <c r="Y129" t="n">
        <v>0</v>
      </c>
      <c r="Z129" t="n">
        <v>0</v>
      </c>
      <c r="AA129" s="103">
        <f>IF(X129&lt;33,IF(Y129&gt;(1.1*X129),0,1),1)+IF(Y129&gt;(4*X129),-1,0)</f>
        <v/>
      </c>
      <c r="AB129" t="n">
        <v>32.08</v>
      </c>
      <c r="AC129" s="101">
        <f>IF(AB129&gt;9,1,0)+AB129/3+IF(AB129&gt;15,1,0)+IF(AB129&gt;20,1,0)</f>
        <v/>
      </c>
      <c r="AD129" t="n">
        <v>49.57</v>
      </c>
      <c r="AE129" t="n">
        <v>32.44</v>
      </c>
      <c r="AF129" t="n">
        <v>39.27</v>
      </c>
      <c r="AG129" s="101">
        <f>IF(G129&lt;0,0,1.2)+IF(G129&lt;14,0,0.9)+IF(P129&lt;0,0.7,0)+IF(P129&lt;6.5,1,0)+IF(P129&lt;23,1,0)+IF(R129&gt;80,0,1)+S129+IF(AD129&lt;20,0,1)+IF(AE129&lt;14,0,1)+IF(AF129&lt;26,0,1)</f>
        <v/>
      </c>
      <c r="AH129" s="101">
        <f>AG129+IF(AG129&gt;6,1,0)+IF(X129&lt;17,0,1)+IF(Y129&lt;11,0,1)+IF(Z129&lt;1.35,0,1)+AC129+AA129</f>
        <v/>
      </c>
      <c r="AI129" t="n">
        <v>12.285</v>
      </c>
      <c r="AJ129" s="104">
        <f>IF(AI129&gt;12.8,IF(AI129&gt;15.8,0.95,0.98),1)</f>
        <v/>
      </c>
      <c r="AK129" s="101">
        <f>((AG129*2.6+AH129)*AJ129*AQ129)</f>
        <v/>
      </c>
      <c r="AL129" s="50">
        <f>D129</f>
        <v/>
      </c>
      <c r="AM129" s="97">
        <f>B129</f>
        <v/>
      </c>
      <c r="AN129" t="n">
        <v>18</v>
      </c>
      <c r="AP129" s="100">
        <f>IF(AK129&gt;23.2,IF(Y129&lt;300,IF(Y129&lt;35,IF(Y129&lt;8,3,2),1),0),0)</f>
        <v/>
      </c>
      <c r="AQ129" t="n">
        <v>0.95</v>
      </c>
      <c r="AR129" s="100">
        <f>IF(AO129=1,IF(AO129=AL129,1,0),5)</f>
        <v/>
      </c>
      <c r="AX129" s="101">
        <f>(AS129+AV129+AW129)/3</f>
        <v/>
      </c>
    </row>
    <row r="130" ht="12.75" customHeight="1">
      <c r="A130" t="inlineStr">
        <is>
          <t>https://www.chittorgarh.com/ipo/jindal-supreme-ipo/2803/</t>
        </is>
      </c>
      <c r="B130" t="inlineStr">
        <is>
          <t>Jindal Supreme  Price</t>
        </is>
      </c>
      <c r="C130" t="inlineStr">
        <is>
          <t>2026</t>
        </is>
      </c>
      <c r="D130" t="n">
        <v>1</v>
      </c>
      <c r="E130" t="n">
        <v>95.84</v>
      </c>
      <c r="F130" t="n">
        <v>74.64</v>
      </c>
      <c r="G130" s="100">
        <f>100*(F130-E130)/F130</f>
        <v/>
      </c>
      <c r="H130" t="n">
        <v>200.33</v>
      </c>
      <c r="I130" t="n">
        <v>24.27</v>
      </c>
      <c r="J130" t="n">
        <v>4.33</v>
      </c>
      <c r="K130" t="n">
        <v>5.59</v>
      </c>
      <c r="L130" t="n">
        <v>8.199999999999999</v>
      </c>
      <c r="M130" t="n">
        <v>25.92</v>
      </c>
      <c r="N130" t="n">
        <v>7.2</v>
      </c>
      <c r="O130" t="n">
        <v>604.74</v>
      </c>
      <c r="P130" s="100">
        <f>O130/I130</f>
        <v/>
      </c>
      <c r="Q130" t="n">
        <v>16.64</v>
      </c>
      <c r="R130" t="n">
        <v>14.33</v>
      </c>
      <c r="S130" t="n">
        <v>-0.3</v>
      </c>
      <c r="T130" t="n">
        <v>124.88</v>
      </c>
      <c r="U130" t="n">
        <v>24.98999999999999</v>
      </c>
      <c r="V130" t="n">
        <v>0</v>
      </c>
      <c r="W130" t="n">
        <v>1</v>
      </c>
      <c r="X130" t="n">
        <v>0</v>
      </c>
      <c r="Y130" t="n">
        <v>0</v>
      </c>
      <c r="Z130" t="n">
        <v>0</v>
      </c>
      <c r="AA130" s="103">
        <f>IF(X130&lt;33,IF(Y130&gt;(1.1*X130),0,1),1)+IF(Y130&gt;(4*X130),-1,0)</f>
        <v/>
      </c>
      <c r="AB130" t="n">
        <v>29.03</v>
      </c>
      <c r="AC130" s="101">
        <f>IF(AB130&gt;9,1,0)+AB130/3+IF(AB130&gt;15,1,0)+IF(AB130&gt;20,1,0)</f>
        <v/>
      </c>
      <c r="AD130" t="n">
        <v>88.58</v>
      </c>
      <c r="AE130" t="n">
        <v>-7.09</v>
      </c>
      <c r="AF130" t="n">
        <v>48.36</v>
      </c>
      <c r="AG130" s="101">
        <f>IF(G130&lt;0,0,1.2)+IF(G130&lt;14,0,0.9)+IF(P130&lt;0,0.7,0)+IF(P130&lt;6.5,1,0)+IF(P130&lt;23,1,0)+IF(R130&gt;80,0,1)+S130+IF(AD130&lt;20,0,1)+IF(AE130&lt;14,0,1)+IF(AF130&lt;26,0,1)</f>
        <v/>
      </c>
      <c r="AH130" s="101">
        <f>AG130+IF(AG130&gt;6,1,0)+IF(X130&lt;17,0,1)+IF(Y130&lt;11,0,1)+IF(Z130&lt;1.35,0,1)+AC130+AA130</f>
        <v/>
      </c>
      <c r="AI130" t="n">
        <v>12.285</v>
      </c>
      <c r="AJ130" s="104">
        <f>IF(AI130&gt;12.8,IF(AI130&gt;15.8,0.95,0.98),1)</f>
        <v/>
      </c>
      <c r="AK130" s="101">
        <f>((AG130*2.6+AH130)*AJ130*AQ130)</f>
        <v/>
      </c>
      <c r="AL130" s="50">
        <f>D130</f>
        <v/>
      </c>
      <c r="AM130" s="97">
        <f>B130</f>
        <v/>
      </c>
      <c r="AN130" t="n">
        <v>18</v>
      </c>
      <c r="AP130" s="100">
        <f>IF(AK130&gt;23.2,IF(Y130&lt;300,IF(Y130&lt;35,IF(Y130&lt;8,3,2),1),0),0)</f>
        <v/>
      </c>
      <c r="AQ130" t="n">
        <v>1</v>
      </c>
      <c r="AR130" s="100">
        <f>IF(AO130=1,IF(AO130=AL130,1,0),5)</f>
        <v/>
      </c>
      <c r="AX130" s="101">
        <f>(AS130+AV130+AW130)/3</f>
        <v/>
      </c>
    </row>
    <row r="131" ht="12.75" customHeight="1">
      <c r="A131" t="inlineStr">
        <is>
          <t>https://www.chittorgarh.com/ipo/hero-motors-ipo/2225/</t>
        </is>
      </c>
      <c r="B131" t="inlineStr">
        <is>
          <t>Hero Motors  Price, G</t>
        </is>
      </c>
      <c r="C131" t="inlineStr">
        <is>
          <t>2026</t>
        </is>
      </c>
      <c r="D131" t="n">
        <v>0</v>
      </c>
      <c r="E131" t="n">
        <v>407.62</v>
      </c>
      <c r="F131" t="n">
        <v>423.95</v>
      </c>
      <c r="G131" s="100">
        <f>100*(F131-E131)/F131</f>
        <v/>
      </c>
      <c r="H131" t="n">
        <v>1164.62</v>
      </c>
      <c r="I131" t="n">
        <v>32.8</v>
      </c>
      <c r="J131" t="n">
        <v>3.46</v>
      </c>
      <c r="K131" t="n">
        <v>1.08</v>
      </c>
      <c r="L131" t="n">
        <v>8.56</v>
      </c>
      <c r="M131" t="n">
        <v>114</v>
      </c>
      <c r="N131" t="n">
        <v>12.44</v>
      </c>
      <c r="O131" t="n">
        <v>1111.23</v>
      </c>
      <c r="P131" s="100">
        <f>O131/I131</f>
        <v/>
      </c>
      <c r="Q131" t="n">
        <v>77.78</v>
      </c>
      <c r="R131" t="n">
        <v>92.31</v>
      </c>
      <c r="S131" t="n">
        <v>-0.9</v>
      </c>
      <c r="T131" t="n">
        <v>1000</v>
      </c>
      <c r="U131" t="n">
        <v>400</v>
      </c>
      <c r="V131" t="n">
        <v>0</v>
      </c>
      <c r="W131" t="n">
        <v>1</v>
      </c>
      <c r="X131" t="n">
        <v>0</v>
      </c>
      <c r="Y131" t="n">
        <v>0</v>
      </c>
      <c r="Z131" t="n">
        <v>0</v>
      </c>
      <c r="AA131" s="103">
        <f>IF(X131&lt;33,IF(Y131&gt;(1.1*X131),0,1),1)+IF(Y131&gt;(4*X131),-1,0)</f>
        <v/>
      </c>
      <c r="AB131" t="n">
        <v>28.57</v>
      </c>
      <c r="AC131" s="101">
        <f>IF(AB131&gt;9,1,0)+AB131/3+IF(AB131&gt;15,1,0)+IF(AB131&gt;20,1,0)</f>
        <v/>
      </c>
      <c r="AD131" t="n">
        <v>92.48999999999999</v>
      </c>
      <c r="AE131" t="n">
        <v>2.57</v>
      </c>
      <c r="AF131" t="n">
        <v>9.99</v>
      </c>
      <c r="AG131" s="101">
        <f>IF(G131&lt;0,0,1.2)+IF(G131&lt;14,0,0.9)+IF(P131&lt;0,0.7,0)+IF(P131&lt;6.5,1,0)+IF(P131&lt;23,1,0)+IF(R131&gt;80,0,1)+S131+IF(AD131&lt;20,0,1)+IF(AE131&lt;14,0,1)+IF(AF131&lt;26,0,1)</f>
        <v/>
      </c>
      <c r="AH131" s="101">
        <f>AG131+IF(AG131&gt;6,1,0)+IF(X131&lt;17,0,1)+IF(Y131&lt;11,0,1)+IF(Z131&lt;1.35,0,1)+AC131+AA131</f>
        <v/>
      </c>
      <c r="AI131" t="n">
        <v>12.285</v>
      </c>
      <c r="AJ131" s="104">
        <f>IF(AI131&gt;12.8,IF(AI131&gt;15.8,0.95,0.98),1)</f>
        <v/>
      </c>
      <c r="AK131" s="101">
        <f>((AG131*2.6+AH131)*AJ131*AQ131)</f>
        <v/>
      </c>
      <c r="AL131" s="50">
        <f>D131</f>
        <v/>
      </c>
      <c r="AM131" s="97">
        <f>B131</f>
        <v/>
      </c>
      <c r="AN131" t="n">
        <v>18</v>
      </c>
      <c r="AP131" s="100">
        <f>IF(AK131&gt;23.2,IF(Y131&lt;300,IF(Y131&lt;35,IF(Y131&lt;8,3,2),1),0),0)</f>
        <v/>
      </c>
      <c r="AQ131" t="n">
        <v>1</v>
      </c>
      <c r="AR131" s="100">
        <f>IF(AO131=1,IF(AO131=AL131,1,0),5)</f>
        <v/>
      </c>
      <c r="AX131" s="101">
        <f>(AS131+AV131+AW131)/3</f>
        <v/>
      </c>
    </row>
    <row r="132" ht="12.75" customHeight="1">
      <c r="A132" t="inlineStr">
        <is>
          <t>https://www.chittorgarh.com/ipo/nse-ipo/3151/</t>
        </is>
      </c>
      <c r="B132" t="inlineStr">
        <is>
          <t>NSE  Price, GMP, Revi</t>
        </is>
      </c>
      <c r="C132" t="inlineStr">
        <is>
          <t>2026</t>
        </is>
      </c>
      <c r="D132" t="n">
        <v>1</v>
      </c>
      <c r="E132" t="n">
        <v>0</v>
      </c>
      <c r="F132" t="n">
        <v>30165.05</v>
      </c>
      <c r="G132" s="100" t="n">
        <v>100</v>
      </c>
      <c r="H132" t="n">
        <v>69466.64</v>
      </c>
      <c r="I132" t="n">
        <v>12187.69</v>
      </c>
      <c r="J132" t="n">
        <v>58.78</v>
      </c>
      <c r="K132" t="n">
        <v>41.62</v>
      </c>
      <c r="L132" t="n">
        <v>9.26</v>
      </c>
      <c r="M132" t="n">
        <v>16021.36</v>
      </c>
      <c r="N132" t="n">
        <v>0</v>
      </c>
      <c r="O132" t="n">
        <v>19176.83</v>
      </c>
      <c r="P132" s="100" t="n">
        <v>1.57</v>
      </c>
      <c r="Q132" t="n">
        <v>42.89</v>
      </c>
      <c r="R132" t="n">
        <v>35.4</v>
      </c>
      <c r="S132" t="n">
        <v>0</v>
      </c>
      <c r="T132" t="n">
        <v>22561.57</v>
      </c>
      <c r="U132" t="n">
        <v>0</v>
      </c>
      <c r="V132" t="n">
        <v>1</v>
      </c>
      <c r="W132" t="n">
        <v>1</v>
      </c>
      <c r="X132" t="n">
        <v>0</v>
      </c>
      <c r="Y132" t="n">
        <v>0.19</v>
      </c>
      <c r="Z132" t="n">
        <v>0.38</v>
      </c>
      <c r="AA132" s="103" t="n">
        <v>0</v>
      </c>
      <c r="AB132" t="n">
        <v>0</v>
      </c>
      <c r="AC132" s="101" t="n">
        <v>0</v>
      </c>
      <c r="AD132" t="n">
        <v>46.74</v>
      </c>
      <c r="AE132" t="n">
        <v>17.27</v>
      </c>
      <c r="AF132" t="n">
        <v>26.57</v>
      </c>
      <c r="AG132" s="101" t="n">
        <v>8.1</v>
      </c>
      <c r="AH132" s="101" t="n">
        <v>9.1</v>
      </c>
      <c r="AI132" t="n">
        <v>29.35</v>
      </c>
      <c r="AJ132" s="104">
        <f>IF(AI132&gt;12.8,IF(AI132&gt;15.8,0.95,0.98),1)</f>
        <v/>
      </c>
      <c r="AK132" s="101">
        <f>((AG132*2.6+AH132)*AJ132*AQ132)</f>
        <v/>
      </c>
      <c r="AL132" s="50">
        <f>D132</f>
        <v/>
      </c>
      <c r="AM132" s="97">
        <f>B132</f>
        <v/>
      </c>
      <c r="AN132" t="n">
        <v>21</v>
      </c>
      <c r="AP132" s="100">
        <f>IF(AK132&gt;23.2,IF(Y132&lt;300,IF(Y132&lt;35,IF(Y132&lt;8,3,2),1),0),0)</f>
        <v/>
      </c>
      <c r="AQ132" t="n">
        <v>1</v>
      </c>
      <c r="AR132" s="100">
        <f>IF(AO132=1,IF(AO132=AL132,1,0),5)</f>
        <v/>
      </c>
      <c r="AX132" s="101">
        <f>(AS132+AV132+AW132)/3</f>
        <v/>
      </c>
    </row>
    <row r="133" ht="12.75" customHeight="1">
      <c r="A133" t="inlineStr">
        <is>
          <t>https://www.chittorgarh.com/ipo/sonaselection-india-ipo/2805/</t>
        </is>
      </c>
      <c r="B133" t="inlineStr">
        <is>
          <t xml:space="preserve">Sonaselection India  </t>
        </is>
      </c>
      <c r="C133" t="inlineStr">
        <is>
          <t>2026</t>
        </is>
      </c>
      <c r="D133" t="n">
        <v>1</v>
      </c>
      <c r="E133" t="n">
        <v>207.4</v>
      </c>
      <c r="F133" t="n">
        <v>70.06999999999999</v>
      </c>
      <c r="G133" s="100" t="n">
        <v>-195.99</v>
      </c>
      <c r="H133" t="n">
        <v>374.77</v>
      </c>
      <c r="I133" t="n">
        <v>18.56</v>
      </c>
      <c r="J133" t="n">
        <v>6.58</v>
      </c>
      <c r="K133" t="n">
        <v>8</v>
      </c>
      <c r="L133" t="n">
        <v>39.05</v>
      </c>
      <c r="M133" t="n">
        <v>58.12</v>
      </c>
      <c r="N133" t="n">
        <v>16.4</v>
      </c>
      <c r="O133" t="n">
        <v>316.47</v>
      </c>
      <c r="P133" s="100" t="n">
        <v>17.05</v>
      </c>
      <c r="Q133" t="n">
        <v>12.38</v>
      </c>
      <c r="R133" t="n">
        <v>16.53</v>
      </c>
      <c r="S133" t="n">
        <v>-0.9</v>
      </c>
      <c r="T133" t="n">
        <v>141.57</v>
      </c>
      <c r="U133" t="n">
        <v>0</v>
      </c>
      <c r="V133" t="n">
        <v>1</v>
      </c>
      <c r="W133" t="n">
        <v>1</v>
      </c>
      <c r="X133" t="n">
        <v>1.16</v>
      </c>
      <c r="Y133" t="n">
        <v>2</v>
      </c>
      <c r="Z133" t="n">
        <v>2.5</v>
      </c>
      <c r="AA133" s="103" t="n">
        <v>0</v>
      </c>
      <c r="AB133" t="n">
        <v>0</v>
      </c>
      <c r="AC133" s="101" t="n">
        <v>0</v>
      </c>
      <c r="AD133" t="n">
        <v>41.68</v>
      </c>
      <c r="AE133" t="n">
        <v>160.88</v>
      </c>
      <c r="AF133" t="n">
        <v>80.22</v>
      </c>
      <c r="AG133" s="101" t="n">
        <v>5</v>
      </c>
      <c r="AH133" s="101" t="n">
        <v>6</v>
      </c>
      <c r="AI133" t="n">
        <v>18.5</v>
      </c>
      <c r="AJ133" s="104">
        <f>IF(AI133&gt;12.8,IF(AI133&gt;15.8,0.95,0.98),1)</f>
        <v/>
      </c>
      <c r="AK133" s="101">
        <f>((AG133*2.6+AH133)*AJ133*AQ133)</f>
        <v/>
      </c>
      <c r="AL133" s="50">
        <f>D133</f>
        <v/>
      </c>
      <c r="AM133" s="97">
        <f>B133</f>
        <v/>
      </c>
      <c r="AN133" t="n">
        <v>21</v>
      </c>
      <c r="AP133" s="100">
        <f>IF(AK133&gt;23.2,IF(Y133&lt;300,IF(Y133&lt;35,IF(Y133&lt;8,3,2),1),0),0)</f>
        <v/>
      </c>
      <c r="AQ133" t="n">
        <v>1</v>
      </c>
      <c r="AR133" s="100">
        <f>IF(AO133=1,IF(AO133=AL133,1,0),5)</f>
        <v/>
      </c>
      <c r="AX133" s="101">
        <f>(AS133+AV133+AW133)/3</f>
        <v/>
      </c>
    </row>
    <row r="134" ht="12.75" customHeight="1">
      <c r="A134" t="inlineStr">
        <is>
          <t>https://www.chittorgarh.com/ipo/nse-ipo/3151/</t>
        </is>
      </c>
      <c r="B134" t="inlineStr">
        <is>
          <t>NSE  Price, GMP, Revi</t>
        </is>
      </c>
      <c r="C134" t="inlineStr">
        <is>
          <t>2026</t>
        </is>
      </c>
      <c r="D134" t="n">
        <v>1</v>
      </c>
      <c r="E134" t="n">
        <v>0</v>
      </c>
      <c r="F134" t="n">
        <v>30165.05</v>
      </c>
      <c r="G134" s="100" t="n">
        <v>100</v>
      </c>
      <c r="H134" t="n">
        <v>69466.64</v>
      </c>
      <c r="I134" t="n">
        <v>12187.69</v>
      </c>
      <c r="J134" t="n">
        <v>58.78</v>
      </c>
      <c r="K134" t="n">
        <v>41.62</v>
      </c>
      <c r="L134" t="n">
        <v>9.26</v>
      </c>
      <c r="M134" t="n">
        <v>16021.36</v>
      </c>
      <c r="N134" t="n">
        <v>0</v>
      </c>
      <c r="O134" t="n">
        <v>19176.83</v>
      </c>
      <c r="P134" s="100" t="n">
        <v>1.57</v>
      </c>
      <c r="Q134" t="n">
        <v>42.89</v>
      </c>
      <c r="R134" t="n">
        <v>35.4</v>
      </c>
      <c r="S134" t="n">
        <v>0</v>
      </c>
      <c r="T134" t="n">
        <v>22561.57</v>
      </c>
      <c r="U134" t="n">
        <v>0</v>
      </c>
      <c r="V134" t="n">
        <v>1</v>
      </c>
      <c r="W134" t="n">
        <v>1</v>
      </c>
      <c r="X134" t="n">
        <v>0</v>
      </c>
      <c r="Y134" t="n">
        <v>0.19</v>
      </c>
      <c r="Z134" t="n">
        <v>0.38</v>
      </c>
      <c r="AA134" s="103" t="n">
        <v>0</v>
      </c>
      <c r="AB134" t="n">
        <v>0</v>
      </c>
      <c r="AC134" s="101" t="n">
        <v>0</v>
      </c>
      <c r="AD134" t="n">
        <v>46.74</v>
      </c>
      <c r="AE134" t="n">
        <v>17.27</v>
      </c>
      <c r="AF134" t="n">
        <v>26.57</v>
      </c>
      <c r="AG134" s="101" t="n">
        <v>8.1</v>
      </c>
      <c r="AH134" s="101" t="n">
        <v>9.1</v>
      </c>
      <c r="AI134" t="n">
        <v>29.35</v>
      </c>
      <c r="AJ134" s="104">
        <f>IF(AI134&gt;12.8,IF(AI134&gt;15.8,0.95,0.98),1)</f>
        <v/>
      </c>
      <c r="AK134" s="101">
        <f>((AG134*2.6+AH134)*AJ134*AQ134)</f>
        <v/>
      </c>
      <c r="AL134" s="50">
        <f>D134</f>
        <v/>
      </c>
      <c r="AM134" s="97">
        <f>B134</f>
        <v/>
      </c>
      <c r="AN134" t="n">
        <v>21</v>
      </c>
      <c r="AP134" s="100">
        <f>IF(AK134&gt;23.2,IF(Y134&lt;300,IF(Y134&lt;35,IF(Y134&lt;8,3,2),1),0),0)</f>
        <v/>
      </c>
      <c r="AQ134" t="n">
        <v>1</v>
      </c>
      <c r="AR134" s="100">
        <f>IF(AO134=1,IF(AO134=AL134,1,0),5)</f>
        <v/>
      </c>
      <c r="AX134" s="101">
        <f>(AS134+AV134+AW134)/3</f>
        <v/>
      </c>
    </row>
    <row r="135" ht="12.75" customHeight="1">
      <c r="A135" t="inlineStr">
        <is>
          <t>https://www.chittorgarh.com/ipo/ss-retail-ipo/2822/</t>
        </is>
      </c>
      <c r="B135" t="inlineStr">
        <is>
          <t>SS Retail  Price, GMP</t>
        </is>
      </c>
      <c r="C135" t="inlineStr">
        <is>
          <t>2026</t>
        </is>
      </c>
      <c r="D135" t="n">
        <v>1</v>
      </c>
      <c r="E135" t="n">
        <v>125.36</v>
      </c>
      <c r="F135" t="n">
        <v>141.37</v>
      </c>
      <c r="G135" s="100">
        <f>100*(F135-E135)/F135</f>
        <v/>
      </c>
      <c r="H135" t="n">
        <v>389.44</v>
      </c>
      <c r="I135" t="n">
        <v>39.86</v>
      </c>
      <c r="J135" t="n">
        <v>2.52</v>
      </c>
      <c r="K135" t="n">
        <v>9</v>
      </c>
      <c r="L135" t="n">
        <v>30.6</v>
      </c>
      <c r="M135" t="n">
        <v>80.44</v>
      </c>
      <c r="N135" t="n">
        <v>5.32</v>
      </c>
      <c r="O135" t="n">
        <v>1599.96</v>
      </c>
      <c r="P135" s="100">
        <f>O135/I135</f>
        <v/>
      </c>
      <c r="Q135" t="n">
        <v>47.11</v>
      </c>
      <c r="R135" t="n">
        <v>53.2</v>
      </c>
      <c r="S135" t="n">
        <v>-0.9</v>
      </c>
      <c r="T135" t="n">
        <v>500</v>
      </c>
      <c r="U135" t="n">
        <v>0</v>
      </c>
      <c r="V135" t="n">
        <v>1</v>
      </c>
      <c r="W135" t="n">
        <v>1</v>
      </c>
      <c r="X135" t="n">
        <v>214.22</v>
      </c>
      <c r="Y135" t="n">
        <v>150.33</v>
      </c>
      <c r="Z135" t="n">
        <v>35.81</v>
      </c>
      <c r="AA135" s="103">
        <f>IF(X135&lt;33,IF(Y135&gt;(1.1*X135),0,1),1)+IF(Y135&gt;(4*X135),-1,0)</f>
        <v/>
      </c>
      <c r="AB135" t="n">
        <v>0</v>
      </c>
      <c r="AC135" s="101">
        <f>IF(AB135&gt;9,1,0)+AB135/3+IF(AB135&gt;15,1,0)+IF(AB135&gt;20,1,0)</f>
        <v/>
      </c>
      <c r="AD135" t="n">
        <v>49.57</v>
      </c>
      <c r="AE135" t="n">
        <v>32.44</v>
      </c>
      <c r="AF135" t="n">
        <v>39.27</v>
      </c>
      <c r="AG135" s="101">
        <f>IF(G135&lt;0,0,1.2)+IF(G135&lt;14,0,0.9)+IF(P135&lt;0,0.7,0)+IF(P135&lt;6.5,1,0)+IF(P135&lt;23,1,0)+IF(R135&gt;80,0,1)+S135+IF(AD135&lt;20,0,1)+IF(AE135&lt;14,0,1)+IF(AF135&lt;26,0,1)</f>
        <v/>
      </c>
      <c r="AH135" s="101">
        <f>AG135+IF(AG135&gt;6,1,0)+IF(X135&lt;17,0,1)+IF(Y135&lt;11,0,1)+IF(Z135&lt;1.35,0,1)+AC135+AA135</f>
        <v/>
      </c>
      <c r="AI135" t="n">
        <v>10.2575</v>
      </c>
      <c r="AJ135" s="104">
        <f>IF(AI135&gt;12.8,IF(AI135&gt;15.8,0.95,0.98),1)</f>
        <v/>
      </c>
      <c r="AK135" s="101">
        <f>((AG135*2.6+AH135)*AJ135*AQ135)</f>
        <v/>
      </c>
      <c r="AL135" s="50">
        <f>D135</f>
        <v/>
      </c>
      <c r="AM135" s="97">
        <f>B135</f>
        <v/>
      </c>
      <c r="AN135" t="n">
        <v>18</v>
      </c>
      <c r="AP135" s="100">
        <f>IF(AK135&gt;23.2,IF(Y135&lt;300,IF(Y135&lt;35,IF(Y135&lt;8,3,2),1),0),0)</f>
        <v/>
      </c>
      <c r="AQ135" t="n">
        <v>0.95</v>
      </c>
      <c r="AR135" s="100">
        <f>IF(AO135=1,IF(AO135=AL135,1,0),5)</f>
        <v/>
      </c>
      <c r="AX135" s="101">
        <f>(AS135+AV135+AW135)/3</f>
        <v/>
      </c>
    </row>
    <row r="136" ht="12.75" customHeight="1">
      <c r="A136" t="inlineStr">
        <is>
          <t>https://www.chittorgarh.com/ipo/hero-motors-ipo/2225/</t>
        </is>
      </c>
      <c r="B136" t="inlineStr">
        <is>
          <t>Hero Motors  Price, G</t>
        </is>
      </c>
      <c r="C136" t="inlineStr">
        <is>
          <t>2026</t>
        </is>
      </c>
      <c r="D136" t="n">
        <v>0</v>
      </c>
      <c r="E136" t="n">
        <v>407.62</v>
      </c>
      <c r="F136" t="n">
        <v>423.95</v>
      </c>
      <c r="G136" s="100">
        <f>100*(F136-E136)/F136</f>
        <v/>
      </c>
      <c r="H136" t="n">
        <v>1164.62</v>
      </c>
      <c r="I136" t="n">
        <v>32.8</v>
      </c>
      <c r="J136" t="n">
        <v>3.46</v>
      </c>
      <c r="K136" t="n">
        <v>1.08</v>
      </c>
      <c r="L136" t="n">
        <v>8.56</v>
      </c>
      <c r="M136" t="n">
        <v>114</v>
      </c>
      <c r="N136" t="n">
        <v>12.44</v>
      </c>
      <c r="O136" t="n">
        <v>1111.23</v>
      </c>
      <c r="P136" s="100">
        <f>O136/I136</f>
        <v/>
      </c>
      <c r="Q136" t="n">
        <v>77.78</v>
      </c>
      <c r="R136" t="n">
        <v>92.31</v>
      </c>
      <c r="S136" t="n">
        <v>-0.9</v>
      </c>
      <c r="T136" t="n">
        <v>1000</v>
      </c>
      <c r="U136" t="n">
        <v>400</v>
      </c>
      <c r="V136" t="n">
        <v>1</v>
      </c>
      <c r="W136" t="n">
        <v>1</v>
      </c>
      <c r="X136" t="n">
        <v>1.59</v>
      </c>
      <c r="Y136" t="n">
        <v>10.47</v>
      </c>
      <c r="Z136" t="n">
        <v>8.619999999999999</v>
      </c>
      <c r="AA136" s="103">
        <f>IF(X136&lt;33,IF(Y136&gt;(1.1*X136),0,1),1)+IF(Y136&gt;(4*X136),-1,0)</f>
        <v/>
      </c>
      <c r="AB136" t="n">
        <v>0</v>
      </c>
      <c r="AC136" s="101">
        <f>IF(AB136&gt;9,1,0)+AB136/3+IF(AB136&gt;15,1,0)+IF(AB136&gt;20,1,0)</f>
        <v/>
      </c>
      <c r="AD136" t="n">
        <v>92.48999999999999</v>
      </c>
      <c r="AE136" t="n">
        <v>2.57</v>
      </c>
      <c r="AF136" t="n">
        <v>9.99</v>
      </c>
      <c r="AG136" s="101">
        <f>IF(G136&lt;0,0,1.2)+IF(G136&lt;14,0,0.9)+IF(P136&lt;0,0.7,0)+IF(P136&lt;6.5,1,0)+IF(P136&lt;23,1,0)+IF(R136&gt;80,0,1)+S136+IF(AD136&lt;20,0,1)+IF(AE136&lt;14,0,1)+IF(AF136&lt;26,0,1)</f>
        <v/>
      </c>
      <c r="AH136" s="101">
        <f>AG136+IF(AG136&gt;6,1,0)+IF(X136&lt;17,0,1)+IF(Y136&lt;11,0,1)+IF(Z136&lt;1.35,0,1)+AC136+AA136</f>
        <v/>
      </c>
      <c r="AI136" t="n">
        <v>10.2575</v>
      </c>
      <c r="AJ136" s="104">
        <f>IF(AI136&gt;12.8,IF(AI136&gt;15.8,0.95,0.98),1)</f>
        <v/>
      </c>
      <c r="AK136" s="101">
        <f>((AG136*2.6+AH136)*AJ136*AQ136)</f>
        <v/>
      </c>
      <c r="AL136" s="50">
        <f>D136</f>
        <v/>
      </c>
      <c r="AM136" s="97">
        <f>B136</f>
        <v/>
      </c>
      <c r="AN136" t="n">
        <v>18</v>
      </c>
      <c r="AP136" s="100">
        <f>IF(AK136&gt;23.2,IF(Y136&lt;300,IF(Y136&lt;35,IF(Y136&lt;8,3,2),1),0),0)</f>
        <v/>
      </c>
      <c r="AQ136" t="n">
        <v>1</v>
      </c>
      <c r="AR136" s="100">
        <f>IF(AO136=1,IF(AO136=AL136,1,0),5)</f>
        <v/>
      </c>
      <c r="AX136" s="101">
        <f>(AS136+AV136+AW136)/3</f>
        <v/>
      </c>
    </row>
    <row r="137" ht="12.75" customHeight="1">
      <c r="A137" t="inlineStr">
        <is>
          <t>https://www.chittorgarh.com/ipo/nse-ipo/3151/</t>
        </is>
      </c>
      <c r="B137" t="inlineStr">
        <is>
          <t>NSE  Price, GMP, Revi</t>
        </is>
      </c>
      <c r="C137" t="inlineStr">
        <is>
          <t>2026</t>
        </is>
      </c>
      <c r="D137" t="n">
        <v>1</v>
      </c>
      <c r="E137" t="n">
        <v>0</v>
      </c>
      <c r="F137" t="n">
        <v>30165.05</v>
      </c>
      <c r="G137" s="100" t="n">
        <v>100</v>
      </c>
      <c r="H137" t="n">
        <v>69466.64</v>
      </c>
      <c r="I137" t="n">
        <v>12187.69</v>
      </c>
      <c r="J137" t="n">
        <v>58.78</v>
      </c>
      <c r="K137" t="n">
        <v>41.62</v>
      </c>
      <c r="L137" t="n">
        <v>9.26</v>
      </c>
      <c r="M137" t="n">
        <v>16021.36</v>
      </c>
      <c r="N137" t="n">
        <v>0</v>
      </c>
      <c r="O137" t="n">
        <v>19176.83</v>
      </c>
      <c r="P137" s="100" t="n">
        <v>1.57</v>
      </c>
      <c r="Q137" t="n">
        <v>42.89</v>
      </c>
      <c r="R137" t="n">
        <v>35.4</v>
      </c>
      <c r="S137" t="n">
        <v>0</v>
      </c>
      <c r="T137" t="n">
        <v>22561.57</v>
      </c>
      <c r="U137" t="n">
        <v>0</v>
      </c>
      <c r="V137" t="n">
        <v>1</v>
      </c>
      <c r="W137" t="n">
        <v>1</v>
      </c>
      <c r="X137" t="n">
        <v>0</v>
      </c>
      <c r="Y137" t="n">
        <v>0.19</v>
      </c>
      <c r="Z137" t="n">
        <v>0.38</v>
      </c>
      <c r="AA137" s="103" t="n">
        <v>0</v>
      </c>
      <c r="AB137" t="n">
        <v>0</v>
      </c>
      <c r="AC137" s="101" t="n">
        <v>0</v>
      </c>
      <c r="AD137" t="n">
        <v>46.74</v>
      </c>
      <c r="AE137" t="n">
        <v>17.27</v>
      </c>
      <c r="AF137" t="n">
        <v>26.57</v>
      </c>
      <c r="AG137" s="101" t="n">
        <v>8.1</v>
      </c>
      <c r="AH137" s="101" t="n">
        <v>9.1</v>
      </c>
      <c r="AI137" t="n">
        <v>29.35</v>
      </c>
      <c r="AJ137" s="104">
        <f>IF(AI137&gt;12.8,IF(AI137&gt;15.8,0.95,0.98),1)</f>
        <v/>
      </c>
      <c r="AK137" s="101">
        <f>((AG137*2.6+AH137)*AJ137*AQ137)</f>
        <v/>
      </c>
      <c r="AL137" s="50">
        <f>D137</f>
        <v/>
      </c>
      <c r="AM137" s="97">
        <f>B137</f>
        <v/>
      </c>
      <c r="AN137" t="n">
        <v>21</v>
      </c>
      <c r="AP137" s="100">
        <f>IF(AK137&gt;23.2,IF(Y137&lt;300,IF(Y137&lt;35,IF(Y137&lt;8,3,2),1),0),0)</f>
        <v/>
      </c>
      <c r="AQ137" t="n">
        <v>1</v>
      </c>
      <c r="AR137" s="100">
        <f>IF(AO137=1,IF(AO137=AL137,1,0),5)</f>
        <v/>
      </c>
      <c r="AX137" s="101">
        <f>(AS137+AV137+AW137)/3</f>
        <v/>
      </c>
    </row>
    <row r="138" ht="12.75" customHeight="1">
      <c r="A138" t="inlineStr">
        <is>
          <t>https://www.chittorgarh.com/ipo/varmora-granito-ipo/2563/</t>
        </is>
      </c>
      <c r="B138" t="inlineStr">
        <is>
          <t>Varmora Granito  Pric</t>
        </is>
      </c>
      <c r="C138" t="inlineStr">
        <is>
          <t>2026</t>
        </is>
      </c>
      <c r="E138" t="n">
        <v>505.16</v>
      </c>
      <c r="F138" t="n">
        <v>722.9</v>
      </c>
      <c r="G138" s="100" t="n">
        <v>30.12</v>
      </c>
      <c r="H138" t="n">
        <v>1589.8</v>
      </c>
      <c r="I138" t="n">
        <v>30.77</v>
      </c>
      <c r="J138" t="n">
        <v>3.53</v>
      </c>
      <c r="K138" t="n">
        <v>2.7</v>
      </c>
      <c r="L138" t="n">
        <v>6.8</v>
      </c>
      <c r="M138" t="n">
        <v>198.29</v>
      </c>
      <c r="N138" t="n">
        <v>14.18</v>
      </c>
      <c r="O138" t="n">
        <v>1492.68</v>
      </c>
      <c r="P138" s="100" t="n">
        <v>48.51</v>
      </c>
      <c r="Q138" t="n">
        <v>54.81</v>
      </c>
      <c r="R138" t="n">
        <v>60.66</v>
      </c>
      <c r="S138" t="n">
        <v>-0.9</v>
      </c>
      <c r="T138" t="n">
        <v>708.02</v>
      </c>
      <c r="U138" t="n">
        <v>388.02</v>
      </c>
      <c r="V138" t="n">
        <v>1</v>
      </c>
      <c r="W138" t="n">
        <v>1</v>
      </c>
      <c r="X138" t="n">
        <v>0</v>
      </c>
      <c r="Y138" t="n">
        <v>0.1</v>
      </c>
      <c r="Z138" t="n">
        <v>0.34</v>
      </c>
      <c r="AA138" s="103" t="n">
        <v>0</v>
      </c>
      <c r="AB138" t="n">
        <v>0</v>
      </c>
      <c r="AC138" s="101" t="n">
        <v>0</v>
      </c>
      <c r="AD138" t="n">
        <v>-31.53</v>
      </c>
      <c r="AE138" t="n">
        <v>1.36</v>
      </c>
      <c r="AF138" t="n">
        <v>6.53</v>
      </c>
      <c r="AG138" s="101" t="n">
        <v>3.1</v>
      </c>
      <c r="AH138" s="101" t="n">
        <v>3.1</v>
      </c>
      <c r="AI138" t="n">
        <v>10.85</v>
      </c>
      <c r="AJ138" s="104">
        <f>IF(AI138&gt;12.8,IF(AI138&gt;15.8,0.95,0.98),1)</f>
        <v/>
      </c>
      <c r="AK138" s="101">
        <f>((AG138*2.6+AH138)*AJ138*AQ138)</f>
        <v/>
      </c>
      <c r="AL138" s="50">
        <f>D138</f>
        <v/>
      </c>
      <c r="AM138" s="97">
        <f>B138</f>
        <v/>
      </c>
      <c r="AN138" t="n">
        <v>24</v>
      </c>
      <c r="AP138" s="100">
        <f>IF(AK138&gt;23.2,IF(Y138&lt;300,IF(Y138&lt;35,IF(Y138&lt;8,3,2),1),0),0)</f>
        <v/>
      </c>
      <c r="AQ138" t="n">
        <v>1</v>
      </c>
      <c r="AR138" s="100">
        <f>IF(AO138=1,IF(AO138=AL138,1,0),5)</f>
        <v/>
      </c>
      <c r="AX138" s="101">
        <f>(AS138+AV138+AW138)/3</f>
        <v/>
      </c>
    </row>
    <row r="139" ht="12.75" customHeight="1">
      <c r="A139" t="inlineStr">
        <is>
          <t>https://www.chittorgarh.com/ipo/adroit-industries-ipo/3007/</t>
        </is>
      </c>
      <c r="B139" t="inlineStr">
        <is>
          <t>Adroit Industries  Pr</t>
        </is>
      </c>
      <c r="C139" t="inlineStr">
        <is>
          <t>2026</t>
        </is>
      </c>
      <c r="E139" t="n">
        <v>8.32</v>
      </c>
      <c r="F139" t="n">
        <v>103.53</v>
      </c>
      <c r="G139" s="100" t="n">
        <v>91.95999999999999</v>
      </c>
      <c r="H139" t="n">
        <v>187.01</v>
      </c>
      <c r="I139" t="n">
        <v>18.14</v>
      </c>
      <c r="J139" t="n">
        <v>18.69</v>
      </c>
      <c r="K139" t="n">
        <v>7.49</v>
      </c>
      <c r="L139" t="n">
        <v>22.54</v>
      </c>
      <c r="M139" t="n">
        <v>31.02</v>
      </c>
      <c r="N139" t="n">
        <v>27.66</v>
      </c>
      <c r="O139" t="n">
        <v>136.61</v>
      </c>
      <c r="P139" s="100" t="n">
        <v>7.53</v>
      </c>
      <c r="Q139" t="n">
        <v>17.89</v>
      </c>
      <c r="R139" t="n">
        <v>22.95</v>
      </c>
      <c r="S139" t="n">
        <v>-0.9</v>
      </c>
      <c r="T139" t="n">
        <v>150.71</v>
      </c>
      <c r="U139" t="n">
        <v>0</v>
      </c>
      <c r="V139" t="n">
        <v>1</v>
      </c>
      <c r="W139" t="n">
        <v>1</v>
      </c>
      <c r="X139" t="n">
        <v>0.01</v>
      </c>
      <c r="Y139" t="n">
        <v>3.55</v>
      </c>
      <c r="Z139" t="n">
        <v>4.26</v>
      </c>
      <c r="AA139" s="103" t="n">
        <v>0</v>
      </c>
      <c r="AB139" t="n">
        <v>24.63</v>
      </c>
      <c r="AC139" s="101" t="n">
        <v>9.209999999999999</v>
      </c>
      <c r="AD139" t="n">
        <v>24.85</v>
      </c>
      <c r="AE139" t="n">
        <v>9.199999999999999</v>
      </c>
      <c r="AF139" t="n">
        <v>17.89</v>
      </c>
      <c r="AG139" s="101" t="n">
        <v>5.1</v>
      </c>
      <c r="AH139" s="101" t="n">
        <v>15.31</v>
      </c>
      <c r="AI139" t="n">
        <v>28.06</v>
      </c>
      <c r="AJ139" s="104">
        <f>IF(AI139&gt;12.8,IF(AI139&gt;15.8,0.95,0.98),1)</f>
        <v/>
      </c>
      <c r="AK139" s="101">
        <f>((AG139*2.6+AH139)*AJ139*AQ139)</f>
        <v/>
      </c>
      <c r="AL139" s="50">
        <f>D139</f>
        <v/>
      </c>
      <c r="AM139" s="97">
        <f>B139</f>
        <v/>
      </c>
      <c r="AN139" t="n">
        <v>25</v>
      </c>
      <c r="AP139" s="100">
        <f>IF(AK139&gt;23.2,IF(Y139&lt;300,IF(Y139&lt;35,IF(Y139&lt;8,3,2),1),0),0)</f>
        <v/>
      </c>
      <c r="AQ139" t="n">
        <v>1</v>
      </c>
      <c r="AR139" s="100">
        <f>IF(AO139=1,IF(AO139=AL139,1,0),5)</f>
        <v/>
      </c>
      <c r="AX139" s="101">
        <f>(AS139+AV139+AW139)/3</f>
        <v/>
      </c>
    </row>
    <row r="140" ht="12.75" customHeight="1">
      <c r="A140" t="inlineStr">
        <is>
          <t>https://www.chittorgarh.com/ipo/swastika-infra-ipo/2287/</t>
        </is>
      </c>
      <c r="B140" t="inlineStr">
        <is>
          <t>Swastika Infra  Price</t>
        </is>
      </c>
      <c r="C140" t="inlineStr">
        <is>
          <t>2026</t>
        </is>
      </c>
      <c r="E140" t="n">
        <v>111.02</v>
      </c>
      <c r="F140" t="n">
        <v>77.02</v>
      </c>
      <c r="G140" s="100" t="n">
        <v>-44.14</v>
      </c>
      <c r="H140" t="n">
        <v>258.54</v>
      </c>
      <c r="I140" t="n">
        <v>27.45</v>
      </c>
      <c r="J140" t="n">
        <v>8.23</v>
      </c>
      <c r="K140" t="n">
        <v>15.7</v>
      </c>
      <c r="L140" t="n">
        <v>35.44</v>
      </c>
      <c r="M140" t="n">
        <v>43.89</v>
      </c>
      <c r="N140" t="n">
        <v>14.07</v>
      </c>
      <c r="O140" t="n">
        <v>352.6</v>
      </c>
      <c r="P140" s="100" t="n">
        <v>12.85</v>
      </c>
      <c r="Q140" t="n">
        <v>11.78</v>
      </c>
      <c r="R140" t="n">
        <v>15.24</v>
      </c>
      <c r="S140" t="n">
        <v>-0.9</v>
      </c>
      <c r="T140" t="n">
        <v>160.88</v>
      </c>
      <c r="U140" t="n">
        <v>0</v>
      </c>
      <c r="V140" t="n">
        <v>1</v>
      </c>
      <c r="W140" t="n">
        <v>1</v>
      </c>
      <c r="X140" t="n">
        <v>0.16</v>
      </c>
      <c r="Y140" t="n">
        <v>1.29</v>
      </c>
      <c r="Z140" t="n">
        <v>0.49</v>
      </c>
      <c r="AA140" s="103" t="n">
        <v>0</v>
      </c>
      <c r="AB140" t="n">
        <v>3.78</v>
      </c>
      <c r="AC140" s="101" t="n">
        <v>1.26</v>
      </c>
      <c r="AD140" t="n">
        <v>96.34999999999999</v>
      </c>
      <c r="AE140" t="n">
        <v>66.84999999999999</v>
      </c>
      <c r="AF140" t="n">
        <v>55.38</v>
      </c>
      <c r="AG140" s="101" t="n">
        <v>5</v>
      </c>
      <c r="AH140" s="101" t="n">
        <v>6.26</v>
      </c>
      <c r="AI140" t="n">
        <v>18.76</v>
      </c>
      <c r="AJ140" s="104">
        <f>IF(AI140&gt;12.8,IF(AI140&gt;15.8,0.95,0.98),1)</f>
        <v/>
      </c>
      <c r="AK140" s="101">
        <f>((AG140*2.6+AH140)*AJ140*AQ140)</f>
        <v/>
      </c>
      <c r="AL140" s="50">
        <f>D140</f>
        <v/>
      </c>
      <c r="AM140" s="97">
        <f>B140</f>
        <v/>
      </c>
      <c r="AN140" t="n">
        <v>25</v>
      </c>
      <c r="AP140" s="100">
        <f>IF(AK140&gt;23.2,IF(Y140&lt;300,IF(Y140&lt;35,IF(Y140&lt;8,3,2),1),0),0)</f>
        <v/>
      </c>
      <c r="AQ140" t="n">
        <v>1</v>
      </c>
      <c r="AR140" s="100">
        <f>IF(AO140=1,IF(AO140=AL140,1,0),5)</f>
        <v/>
      </c>
      <c r="AX140" s="101">
        <f>(AS140+AV140+AW140)/3</f>
        <v/>
      </c>
    </row>
    <row r="141" ht="12.75" customHeight="1">
      <c r="A141" t="inlineStr">
        <is>
          <t>https://www.chittorgarh.com/ipo/armee-infotech-ipo/2140/</t>
        </is>
      </c>
      <c r="B141" t="inlineStr">
        <is>
          <t>ArMee Infotech  Price</t>
        </is>
      </c>
      <c r="C141" t="inlineStr">
        <is>
          <t>2026</t>
        </is>
      </c>
      <c r="E141" t="n">
        <v>48.1</v>
      </c>
      <c r="F141" t="n">
        <v>136.67</v>
      </c>
      <c r="G141" s="100" t="n">
        <v>64.81</v>
      </c>
      <c r="H141" t="n">
        <v>828.54</v>
      </c>
      <c r="I141" t="n">
        <v>41.67</v>
      </c>
      <c r="J141" t="n">
        <v>3.26</v>
      </c>
      <c r="K141" t="n">
        <v>19.16</v>
      </c>
      <c r="L141" t="n">
        <v>28.52</v>
      </c>
      <c r="M141" t="n">
        <v>58.64</v>
      </c>
      <c r="N141" t="n">
        <v>5.42</v>
      </c>
      <c r="O141" t="n">
        <v>1315.78</v>
      </c>
      <c r="P141" s="100" t="n">
        <v>31.58</v>
      </c>
      <c r="Q141" t="n">
        <v>19.57</v>
      </c>
      <c r="R141" t="n">
        <v>26.17</v>
      </c>
      <c r="S141" t="n">
        <v>-0.9</v>
      </c>
      <c r="T141" t="n">
        <v>300</v>
      </c>
      <c r="U141" t="n">
        <v>0</v>
      </c>
      <c r="V141" t="n">
        <v>1</v>
      </c>
      <c r="W141" t="n">
        <v>1</v>
      </c>
      <c r="X141" t="n">
        <v>1</v>
      </c>
      <c r="Y141" t="n">
        <v>0.28</v>
      </c>
      <c r="Z141" t="n">
        <v>0.33</v>
      </c>
      <c r="AA141" s="103" t="n">
        <v>1</v>
      </c>
      <c r="AB141" t="n">
        <v>10.91</v>
      </c>
      <c r="AC141" s="101" t="n">
        <v>4.636666666666667</v>
      </c>
      <c r="AD141" t="n">
        <v>-16.88</v>
      </c>
      <c r="AE141" t="n">
        <v>28.5</v>
      </c>
      <c r="AF141" t="n">
        <v>43.59</v>
      </c>
      <c r="AG141" s="101" t="n">
        <v>5.1</v>
      </c>
      <c r="AH141" s="101" t="n">
        <v>10.73666666666667</v>
      </c>
      <c r="AI141" t="n">
        <v>23.48666666666666</v>
      </c>
      <c r="AJ141" s="104">
        <f>IF(AI141&gt;12.8,IF(AI141&gt;15.8,0.95,0.98),1)</f>
        <v/>
      </c>
      <c r="AK141" s="101">
        <f>((AG141*2.6+AH141)*AJ141*AQ141)</f>
        <v/>
      </c>
      <c r="AL141" s="50">
        <f>D141</f>
        <v/>
      </c>
      <c r="AM141" s="97">
        <f>B141</f>
        <v/>
      </c>
      <c r="AN141" t="n">
        <v>25</v>
      </c>
      <c r="AP141" s="100">
        <f>IF(AK141&gt;23.2,IF(Y141&lt;300,IF(Y141&lt;35,IF(Y141&lt;8,3,2),1),0),0)</f>
        <v/>
      </c>
      <c r="AQ141" t="n">
        <v>0.95</v>
      </c>
      <c r="AR141" s="100">
        <f>IF(AO141=1,IF(AO141=AL141,1,0),5)</f>
        <v/>
      </c>
      <c r="AX141" s="101">
        <f>(AS141+AV141+AW141)/3</f>
        <v/>
      </c>
    </row>
    <row r="142" ht="12.75" customHeight="1">
      <c r="A142" t="inlineStr">
        <is>
          <t>https://www.chittorgarh.com/ipo/moneyview-ipo/2936/</t>
        </is>
      </c>
      <c r="B142" t="inlineStr">
        <is>
          <t>Moneyview  Price, GMP</t>
        </is>
      </c>
      <c r="C142" t="inlineStr">
        <is>
          <t>2026</t>
        </is>
      </c>
      <c r="E142" t="n">
        <v>3413.37</v>
      </c>
      <c r="F142" t="n">
        <v>1918.66</v>
      </c>
      <c r="G142" s="100">
        <f>100*(F142-E142)/F142</f>
        <v/>
      </c>
      <c r="H142" t="n">
        <v>5632.42</v>
      </c>
      <c r="I142" t="n">
        <v>240.28</v>
      </c>
      <c r="J142" t="n">
        <v>0</v>
      </c>
      <c r="K142" t="n">
        <v>1.58</v>
      </c>
      <c r="L142" t="n">
        <v>15.98</v>
      </c>
      <c r="M142" t="n">
        <v>697.98</v>
      </c>
      <c r="N142" t="n">
        <v>0</v>
      </c>
      <c r="O142" t="n">
        <v>2378.53</v>
      </c>
      <c r="P142" s="100">
        <f>O142/I142</f>
        <v/>
      </c>
      <c r="Q142" t="n">
        <v>21.52</v>
      </c>
      <c r="R142" t="n">
        <v>8.609999999999999</v>
      </c>
      <c r="S142" t="n">
        <v>0.7</v>
      </c>
      <c r="T142" t="n">
        <v>1091.68</v>
      </c>
      <c r="U142" t="n">
        <v>341.6800000000001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s="103">
        <f>IF(X142&lt;33,IF(Y142&gt;(1.1*X142),0,1),1)+IF(Y142&gt;(4*X142),-1,0)</f>
        <v/>
      </c>
      <c r="AB142" t="n">
        <v>36.76</v>
      </c>
      <c r="AC142" s="101">
        <f>IF(AB142&gt;9,1,0)+AB142/3+IF(AB142&gt;15,1,0)+IF(AB142&gt;20,1,0)</f>
        <v/>
      </c>
      <c r="AD142" t="n">
        <v>40.39</v>
      </c>
      <c r="AE142" t="n">
        <v>71.20999999999999</v>
      </c>
      <c r="AF142" t="n">
        <v>19.42</v>
      </c>
      <c r="AG142" s="101">
        <f>IF(G142&lt;0,0,1.2)+IF(G142&lt;14,0,0.9)+IF(P142&lt;0,0.7,0)+IF(P142&lt;6.5,1,0)+IF(P142&lt;23,1,0)+IF(R142&gt;80,0,1)+S142+IF(AD142&lt;20,0,1)+IF(AE142&lt;14,0,1)+IF(AF142&lt;26,0,1)</f>
        <v/>
      </c>
      <c r="AH142" s="101">
        <f>AG142+IF(AG142&gt;6,1,0)+IF(X142&lt;17,0,1)+IF(Y142&lt;11,0,1)+IF(Z142&lt;1.35,0,1)+AC142+AA142</f>
        <v/>
      </c>
      <c r="AI142" t="n">
        <v>10.2675</v>
      </c>
      <c r="AJ142" s="104">
        <f>IF(AI142&gt;12.8,IF(AI142&gt;15.8,0.95,0.98),1)</f>
        <v/>
      </c>
      <c r="AK142" s="101">
        <f>((AG142*2.6+AH142)*AJ142*AQ142)</f>
        <v/>
      </c>
      <c r="AL142" s="50">
        <f>D142</f>
        <v/>
      </c>
      <c r="AM142" s="97">
        <f>B142</f>
        <v/>
      </c>
      <c r="AN142" t="n">
        <v>28</v>
      </c>
      <c r="AP142" s="100">
        <f>IF(AK142&gt;23.2,IF(Y142&lt;300,IF(Y142&lt;35,IF(Y142&lt;8,3,2),1),0),0)</f>
        <v/>
      </c>
      <c r="AQ142" t="n">
        <v>1</v>
      </c>
      <c r="AR142" s="100">
        <f>IF(AO142=1,IF(AO142=AL142,1,0),5)</f>
        <v/>
      </c>
      <c r="AX142" s="101">
        <f>(AS142+AV142+AW142)/3</f>
        <v/>
      </c>
    </row>
    <row r="143" ht="12.75" customHeight="1">
      <c r="A143" t="inlineStr">
        <is>
          <t>https://www.chittorgarh.com/ipo/a-one-steels-ipo/2000/</t>
        </is>
      </c>
      <c r="B143" t="inlineStr">
        <is>
          <t xml:space="preserve">A-One Steels  Price, </t>
        </is>
      </c>
      <c r="C143" t="inlineStr">
        <is>
          <t>2026</t>
        </is>
      </c>
      <c r="E143" t="n">
        <v>963.67</v>
      </c>
      <c r="F143" t="n">
        <v>676.63</v>
      </c>
      <c r="G143" s="100">
        <f>100*(F143-E143)/F143</f>
        <v/>
      </c>
      <c r="H143" t="n">
        <v>2753.06</v>
      </c>
      <c r="I143" t="n">
        <v>7.71</v>
      </c>
      <c r="J143" t="n">
        <v>3.04</v>
      </c>
      <c r="K143" t="n">
        <v>18.61</v>
      </c>
      <c r="L143" t="n">
        <v>14.7</v>
      </c>
      <c r="M143" t="n">
        <v>174.06</v>
      </c>
      <c r="N143" t="n">
        <v>7.29</v>
      </c>
      <c r="O143" t="n">
        <v>3569.63</v>
      </c>
      <c r="P143" s="100">
        <f>O143/I143</f>
        <v/>
      </c>
      <c r="Q143" t="n">
        <v>21.76</v>
      </c>
      <c r="R143" t="n">
        <v>24.55</v>
      </c>
      <c r="S143" t="n">
        <v>0.7</v>
      </c>
      <c r="T143" t="n">
        <v>405</v>
      </c>
      <c r="U143" t="n">
        <v>0</v>
      </c>
      <c r="V143" t="n">
        <v>0</v>
      </c>
      <c r="W143" t="n">
        <v>1</v>
      </c>
      <c r="X143" t="n">
        <v>0</v>
      </c>
      <c r="Y143" t="n">
        <v>0</v>
      </c>
      <c r="Z143" t="n">
        <v>0</v>
      </c>
      <c r="AA143" s="103">
        <f>IF(X143&lt;33,IF(Y143&gt;(1.1*X143),0,1),1)+IF(Y143&gt;(4*X143),-1,0)</f>
        <v/>
      </c>
      <c r="AB143" t="n">
        <v>12.35</v>
      </c>
      <c r="AC143" s="101">
        <f>IF(AB143&gt;9,1,0)+AB143/3+IF(AB143&gt;15,1,0)+IF(AB143&gt;20,1,0)</f>
        <v/>
      </c>
      <c r="AD143" t="n">
        <v>-80.19</v>
      </c>
      <c r="AE143" t="n">
        <v>-7.58</v>
      </c>
      <c r="AF143" t="n">
        <v>60.42</v>
      </c>
      <c r="AG143" s="101">
        <f>IF(G143&lt;0,0,1.2)+IF(G143&lt;14,0,0.9)+IF(P143&lt;0,0.7,0)+IF(P143&lt;6.5,1,0)+IF(P143&lt;23,1,0)+IF(R143&gt;80,0,1)+S143+IF(AD143&lt;20,0,1)+IF(AE143&lt;14,0,1)+IF(AF143&lt;26,0,1)</f>
        <v/>
      </c>
      <c r="AH143" s="101">
        <f>AG143+IF(AG143&gt;6,1,0)+IF(X143&lt;17,0,1)+IF(Y143&lt;11,0,1)+IF(Z143&lt;1.35,0,1)+AC143+AA143</f>
        <v/>
      </c>
      <c r="AI143" t="n">
        <v>10.2675</v>
      </c>
      <c r="AJ143" s="104">
        <f>IF(AI143&gt;12.8,IF(AI143&gt;15.8,0.95,0.98),1)</f>
        <v/>
      </c>
      <c r="AK143" s="101">
        <f>((AG143*2.6+AH143)*AJ143*AQ143)</f>
        <v/>
      </c>
      <c r="AL143" s="50">
        <f>D143</f>
        <v/>
      </c>
      <c r="AM143" s="97">
        <f>B143</f>
        <v/>
      </c>
      <c r="AN143" t="n">
        <v>28</v>
      </c>
      <c r="AP143" s="100">
        <f>IF(AK143&gt;23.2,IF(Y143&lt;300,IF(Y143&lt;35,IF(Y143&lt;8,3,2),1),0),0)</f>
        <v/>
      </c>
      <c r="AQ143" t="n">
        <v>1</v>
      </c>
      <c r="AR143" s="100">
        <f>IF(AO143=1,IF(AO143=AL143,1,0),5)</f>
        <v/>
      </c>
      <c r="AX143" s="101">
        <f>(AS143+AV143+AW143)/3</f>
        <v/>
      </c>
    </row>
    <row r="144" ht="12.75" customHeight="1">
      <c r="A144" t="inlineStr">
        <is>
          <t>https://www.chittorgarh.com/ipo/acevector-ipo/2543/</t>
        </is>
      </c>
      <c r="B144" t="inlineStr">
        <is>
          <t>Acevector  Price, GMP</t>
        </is>
      </c>
      <c r="C144" t="inlineStr">
        <is>
          <t>2026</t>
        </is>
      </c>
      <c r="E144" t="n">
        <v>0.45</v>
      </c>
      <c r="F144" t="n">
        <v>126.33</v>
      </c>
      <c r="G144" s="100">
        <f>100*(F144-E144)/F144</f>
        <v/>
      </c>
      <c r="H144" t="n">
        <v>558.09</v>
      </c>
      <c r="I144" t="n">
        <v>-126.31</v>
      </c>
      <c r="J144" t="n">
        <v>0</v>
      </c>
      <c r="K144" t="n">
        <v>-1</v>
      </c>
      <c r="L144" t="n">
        <v>0</v>
      </c>
      <c r="M144" t="n">
        <v>-107.79</v>
      </c>
      <c r="N144" t="n">
        <v>0</v>
      </c>
      <c r="O144" t="n">
        <v>406.77</v>
      </c>
      <c r="P144" s="100">
        <f>O144/I144</f>
        <v/>
      </c>
      <c r="Q144" t="n">
        <v>-32</v>
      </c>
      <c r="R144" t="n">
        <v>0</v>
      </c>
      <c r="S144" t="n">
        <v>0</v>
      </c>
      <c r="T144" t="n">
        <v>420</v>
      </c>
      <c r="U144" t="n">
        <v>133</v>
      </c>
      <c r="V144" t="n">
        <v>0</v>
      </c>
      <c r="W144" t="n">
        <v>1</v>
      </c>
      <c r="X144" t="n">
        <v>0</v>
      </c>
      <c r="Y144" t="n">
        <v>0</v>
      </c>
      <c r="Z144" t="n">
        <v>0</v>
      </c>
      <c r="AA144" s="103">
        <f>IF(X144&lt;33,IF(Y144&gt;(1.1*X144),0,1),1)+IF(Y144&gt;(4*X144),-1,0)</f>
        <v/>
      </c>
      <c r="AB144" t="n">
        <v>0</v>
      </c>
      <c r="AC144" s="101">
        <f>IF(AB144&gt;9,1,0)+AB144/3+IF(AB144&gt;15,1,0)+IF(AB144&gt;20,1,0)</f>
        <v/>
      </c>
      <c r="AD144" t="n">
        <v>146.22</v>
      </c>
      <c r="AE144" t="n">
        <v>5.73</v>
      </c>
      <c r="AF144" t="n">
        <v>-188.91</v>
      </c>
      <c r="AG144" s="101">
        <f>IF(G144&lt;0,0,1.2)+IF(G144&lt;14,0,0.9)+IF(P144&lt;0,0.7,0)+IF(P144&lt;6.5,1,0)+IF(P144&lt;23,1,0)+IF(R144&gt;80,0,1)+S144+IF(AD144&lt;20,0,1)+IF(AE144&lt;14,0,1)+IF(AF144&lt;26,0,1)</f>
        <v/>
      </c>
      <c r="AH144" s="101">
        <f>AG144+IF(AG144&gt;6,1,0)+IF(X144&lt;17,0,1)+IF(Y144&lt;11,0,1)+IF(Z144&lt;1.35,0,1)+AC144+AA144</f>
        <v/>
      </c>
      <c r="AI144" t="n">
        <v>10.28</v>
      </c>
      <c r="AJ144" s="104">
        <f>IF(AI144&gt;12.8,IF(AI144&gt;15.8,0.95,0.98),1)</f>
        <v/>
      </c>
      <c r="AK144" s="101">
        <f>((AG144*2.6+AH144)*AJ144*AQ144)</f>
        <v/>
      </c>
      <c r="AL144" s="50">
        <f>D144</f>
        <v/>
      </c>
      <c r="AM144" s="97">
        <f>B144</f>
        <v/>
      </c>
      <c r="AN144" t="n">
        <v>29</v>
      </c>
      <c r="AP144" s="100">
        <f>IF(AK144&gt;23.2,IF(Y144&lt;300,IF(Y144&lt;35,IF(Y144&lt;8,3,2),1),0),0)</f>
        <v/>
      </c>
      <c r="AQ144" t="n">
        <v>1</v>
      </c>
      <c r="AR144" s="100">
        <f>IF(AO144=1,IF(AO144=AL144,1,0),5)</f>
        <v/>
      </c>
      <c r="AX144" s="101">
        <f>(AS144+AV144+AW144)/3</f>
        <v/>
      </c>
    </row>
    <row r="145" ht="12.75" customHeight="1">
      <c r="A145" t="inlineStr">
        <is>
          <t>https://www.chittorgarh.com/ipo/orient-cables-ipo/2532/</t>
        </is>
      </c>
      <c r="B145" t="inlineStr">
        <is>
          <t>Orient Cables  Price,</t>
        </is>
      </c>
      <c r="C145" t="inlineStr">
        <is>
          <t>2026</t>
        </is>
      </c>
      <c r="E145" t="n">
        <v>113.45</v>
      </c>
      <c r="F145" t="n">
        <v>180.7</v>
      </c>
      <c r="G145" s="100">
        <f>100*(F145-E145)/F145</f>
        <v/>
      </c>
      <c r="H145" t="n">
        <v>427.19</v>
      </c>
      <c r="I145" t="n">
        <v>53.32</v>
      </c>
      <c r="J145" t="n">
        <v>6.77</v>
      </c>
      <c r="K145" t="n">
        <v>5.25</v>
      </c>
      <c r="L145" t="n">
        <v>13.17</v>
      </c>
      <c r="M145" t="n">
        <v>83.86</v>
      </c>
      <c r="N145" t="n">
        <v>11.22</v>
      </c>
      <c r="O145" t="n">
        <v>831.86</v>
      </c>
      <c r="P145" s="100">
        <f>O145/I145</f>
        <v/>
      </c>
      <c r="Q145" t="n">
        <v>51.81</v>
      </c>
      <c r="R145" t="n">
        <v>23.61</v>
      </c>
      <c r="S145" t="n">
        <v>0.7</v>
      </c>
      <c r="T145" t="n">
        <v>552</v>
      </c>
      <c r="U145" t="n">
        <v>232</v>
      </c>
      <c r="V145" t="n">
        <v>0</v>
      </c>
      <c r="W145" t="n">
        <v>1</v>
      </c>
      <c r="X145" t="n">
        <v>0</v>
      </c>
      <c r="Y145" t="n">
        <v>0</v>
      </c>
      <c r="Z145" t="n">
        <v>0</v>
      </c>
      <c r="AA145" s="103">
        <f>IF(X145&lt;33,IF(Y145&gt;(1.1*X145),0,1),1)+IF(Y145&gt;(4*X145),-1,0)</f>
        <v/>
      </c>
      <c r="AB145" t="n">
        <v>14.71</v>
      </c>
      <c r="AC145" s="101">
        <f>IF(AB145&gt;9,1,0)+AB145/3+IF(AB145&gt;15,1,0)+IF(AB145&gt;20,1,0)</f>
        <v/>
      </c>
      <c r="AD145" t="n">
        <v>33.07</v>
      </c>
      <c r="AE145" t="n">
        <v>25.1</v>
      </c>
      <c r="AF145" t="n">
        <v>41.68</v>
      </c>
      <c r="AG145" s="101">
        <f>IF(G145&lt;0,0,1.2)+IF(G145&lt;14,0,0.9)+IF(P145&lt;0,0.7,0)+IF(P145&lt;6.5,1,0)+IF(P145&lt;23,1,0)+IF(R145&gt;80,0,1)+S145+IF(AD145&lt;20,0,1)+IF(AE145&lt;14,0,1)+IF(AF145&lt;26,0,1)</f>
        <v/>
      </c>
      <c r="AH145" s="101">
        <f>AG145+IF(AG145&gt;6,1,0)+IF(X145&lt;17,0,1)+IF(Y145&lt;11,0,1)+IF(Z145&lt;1.35,0,1)+AC145+AA145</f>
        <v/>
      </c>
      <c r="AI145" t="n">
        <v>10.26</v>
      </c>
      <c r="AJ145" s="104">
        <f>IF(AI145&gt;12.8,IF(AI145&gt;15.8,0.95,0.98),1)</f>
        <v/>
      </c>
      <c r="AK145" s="101">
        <f>((AG145*2.6+AH145)*AJ145*AQ145)</f>
        <v/>
      </c>
      <c r="AL145" s="50">
        <f>D145</f>
        <v/>
      </c>
      <c r="AM145" s="97">
        <f>B145</f>
        <v/>
      </c>
      <c r="AN145" t="n">
        <v>29</v>
      </c>
      <c r="AP145" s="100">
        <f>IF(AK145&gt;23.2,IF(Y145&lt;300,IF(Y145&lt;35,IF(Y145&lt;8,3,2),1),0),0)</f>
        <v/>
      </c>
      <c r="AQ145" t="n">
        <v>1</v>
      </c>
      <c r="AR145" s="100">
        <f>IF(AO145=1,IF(AO145=AL145,1,0),5)</f>
        <v/>
      </c>
      <c r="AX145" s="101">
        <f>(AS145+AV145+AW145)/3</f>
        <v/>
      </c>
    </row>
    <row r="146" ht="12.75" customHeight="1">
      <c r="A146" t="inlineStr">
        <is>
          <t>https://www.chittorgarh.com/ipo/german-green-steel-and-power-ipo/2497/</t>
        </is>
      </c>
      <c r="B146" t="inlineStr">
        <is>
          <t>German Green Steel  P</t>
        </is>
      </c>
      <c r="C146" t="inlineStr">
        <is>
          <t>2026</t>
        </is>
      </c>
      <c r="E146" t="n">
        <v>347.86</v>
      </c>
      <c r="F146" t="n">
        <v>292.55</v>
      </c>
      <c r="G146" s="100">
        <f>100*(F146-E146)/F146</f>
        <v/>
      </c>
      <c r="H146" t="n">
        <v>1015.2</v>
      </c>
      <c r="I146" t="n">
        <v>59.94</v>
      </c>
      <c r="J146" t="n">
        <v>4.76</v>
      </c>
      <c r="K146" t="n">
        <v>14.66</v>
      </c>
      <c r="L146" t="n">
        <v>18.86</v>
      </c>
      <c r="M146" t="n">
        <v>116.81</v>
      </c>
      <c r="N146" t="n">
        <v>9.94</v>
      </c>
      <c r="O146" t="n">
        <v>1517.21</v>
      </c>
      <c r="P146" s="100">
        <f>O146/I146</f>
        <v/>
      </c>
      <c r="Q146" t="n">
        <v>9.48</v>
      </c>
      <c r="R146" t="n">
        <v>13.11</v>
      </c>
      <c r="S146" t="n">
        <v>-0.9</v>
      </c>
      <c r="T146" t="n">
        <v>303.9</v>
      </c>
      <c r="U146" t="n">
        <v>13.89999999999998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s="103">
        <f>IF(X146&lt;33,IF(Y146&gt;(1.1*X146),0,1),1)+IF(Y146&gt;(4*X146),-1,0)</f>
        <v/>
      </c>
      <c r="AB146" t="n">
        <v>10.79</v>
      </c>
      <c r="AC146" s="101">
        <f>IF(AB146&gt;9,1,0)+AB146/3+IF(AB146&gt;15,1,0)+IF(AB146&gt;20,1,0)</f>
        <v/>
      </c>
      <c r="AD146" t="n">
        <v>43.84</v>
      </c>
      <c r="AE146" t="n">
        <v>33.38</v>
      </c>
      <c r="AF146" t="n">
        <v>66.16</v>
      </c>
      <c r="AG146" s="101">
        <f>IF(G146&lt;0,0,1.2)+IF(G146&lt;14,0,0.9)+IF(P146&lt;0,0.7,0)+IF(P146&lt;6.5,1,0)+IF(P146&lt;23,1,0)+IF(R146&gt;80,0,1)+S146+IF(AD146&lt;20,0,1)+IF(AE146&lt;14,0,1)+IF(AF146&lt;26,0,1)</f>
        <v/>
      </c>
      <c r="AH146" s="101">
        <f>AG146+IF(AG146&gt;6,1,0)+IF(X146&lt;17,0,1)+IF(Y146&lt;11,0,1)+IF(Z146&lt;1.35,0,1)+AC146+AA146</f>
        <v/>
      </c>
      <c r="AI146" t="n">
        <v>10.25</v>
      </c>
      <c r="AJ146" s="104">
        <f>IF(AI146&gt;12.8,IF(AI146&gt;15.8,0.95,0.98),1)</f>
        <v/>
      </c>
      <c r="AK146" s="101">
        <f>((AG146*2.6+AH146)*AJ146*AQ146)</f>
        <v/>
      </c>
      <c r="AL146" s="50">
        <f>D146</f>
        <v/>
      </c>
      <c r="AM146" s="97">
        <f>B146</f>
        <v/>
      </c>
      <c r="AN146" t="n">
        <v>29</v>
      </c>
      <c r="AP146" s="100">
        <f>IF(AK146&gt;23.2,IF(Y146&lt;300,IF(Y146&lt;35,IF(Y146&lt;8,3,2),1),0),0)</f>
        <v/>
      </c>
      <c r="AQ146" t="n">
        <v>1</v>
      </c>
      <c r="AR146" s="100">
        <f>IF(AO146=1,IF(AO146=AL146,1,0),5)</f>
        <v/>
      </c>
      <c r="AX146" s="101">
        <f>(AS146+AV146+AW146)/3</f>
        <v/>
      </c>
    </row>
    <row r="147" ht="12.75" customHeight="1">
      <c r="A147" t="inlineStr">
        <is>
          <t>https://www.chittorgarh.com/ipo/runwal-enterprises-ipo/2298/</t>
        </is>
      </c>
      <c r="B147" t="inlineStr">
        <is>
          <t>Runwal Enterprises  P</t>
        </is>
      </c>
      <c r="C147" t="inlineStr">
        <is>
          <t>2026</t>
        </is>
      </c>
      <c r="E147" t="n">
        <v>2312.58</v>
      </c>
      <c r="F147" t="n">
        <v>455.86</v>
      </c>
      <c r="G147" s="100">
        <f>100*(F147-E147)/F147</f>
        <v/>
      </c>
      <c r="H147" t="n">
        <v>8328.139999999999</v>
      </c>
      <c r="I147" t="n">
        <v>55.65</v>
      </c>
      <c r="J147" t="n">
        <v>0</v>
      </c>
      <c r="K147" t="n">
        <v>14.14</v>
      </c>
      <c r="L147" t="n">
        <v>0</v>
      </c>
      <c r="M147" t="n">
        <v>180.11</v>
      </c>
      <c r="N147" t="n">
        <v>19.44</v>
      </c>
      <c r="O147" t="n">
        <v>1050.71</v>
      </c>
      <c r="P147" s="100">
        <f>O147/I147</f>
        <v/>
      </c>
      <c r="Q147" t="n">
        <v>21.57</v>
      </c>
      <c r="R147" t="n">
        <v>24.26</v>
      </c>
      <c r="S147" t="n">
        <v>-0.9</v>
      </c>
      <c r="T147" t="n">
        <v>499.83</v>
      </c>
      <c r="U147" t="n">
        <v>0</v>
      </c>
      <c r="V147" t="n">
        <v>0</v>
      </c>
      <c r="W147" t="n">
        <v>1</v>
      </c>
      <c r="X147" t="n">
        <v>0</v>
      </c>
      <c r="Y147" t="n">
        <v>0</v>
      </c>
      <c r="Z147" t="n">
        <v>0</v>
      </c>
      <c r="AA147" s="103">
        <f>IF(X147&lt;33,IF(Y147&gt;(1.1*X147),0,1),1)+IF(Y147&gt;(4*X147),-1,0)</f>
        <v/>
      </c>
      <c r="AB147" t="n">
        <v>5.57</v>
      </c>
      <c r="AC147" s="101">
        <f>IF(AB147&gt;9,1,0)+AB147/3+IF(AB147&gt;15,1,0)+IF(AB147&gt;20,1,0)</f>
        <v/>
      </c>
      <c r="AD147" t="n">
        <v>-40.61</v>
      </c>
      <c r="AE147" t="n">
        <v>-56.88</v>
      </c>
      <c r="AF147" t="n">
        <v>22.33</v>
      </c>
      <c r="AG147" s="101">
        <f>IF(G147&lt;0,0,1.2)+IF(G147&lt;14,0,0.9)+IF(P147&lt;0,0.7,0)+IF(P147&lt;6.5,1,0)+IF(P147&lt;23,1,0)+IF(R147&gt;80,0,1)+S147+IF(AD147&lt;20,0,1)+IF(AE147&lt;14,0,1)+IF(AF147&lt;26,0,1)</f>
        <v/>
      </c>
      <c r="AH147" s="101">
        <f>AG147+IF(AG147&gt;6,1,0)+IF(X147&lt;17,0,1)+IF(Y147&lt;11,0,1)+IF(Z147&lt;1.35,0,1)+AC147+AA147</f>
        <v/>
      </c>
      <c r="AI147" t="n">
        <v>10.2575</v>
      </c>
      <c r="AJ147" s="104">
        <f>IF(AI147&gt;12.8,IF(AI147&gt;15.8,0.95,0.98),1)</f>
        <v/>
      </c>
      <c r="AK147" s="101">
        <f>((AG147*2.6+AH147)*AJ147*AQ147)</f>
        <v/>
      </c>
      <c r="AL147" s="50">
        <f>D147</f>
        <v/>
      </c>
      <c r="AM147" s="97">
        <f>B147</f>
        <v/>
      </c>
      <c r="AN147" t="n">
        <v>29</v>
      </c>
      <c r="AP147" s="100">
        <f>IF(AK147&gt;23.2,IF(Y147&lt;300,IF(Y147&lt;35,IF(Y147&lt;8,3,2),1),0),0)</f>
        <v/>
      </c>
      <c r="AQ147" t="n">
        <v>0.95</v>
      </c>
      <c r="AR147" s="100">
        <f>IF(AO147=1,IF(AO147=AL147,1,0),5)</f>
        <v/>
      </c>
      <c r="AX147" s="101">
        <f>(AS147+AV147+AW147)/3</f>
        <v/>
      </c>
    </row>
    <row r="148" ht="12.75" customHeight="1">
      <c r="A148" t="inlineStr">
        <is>
          <t>https://www.chittorgarh.com/ipo/srit-india-ipo/2858/</t>
        </is>
      </c>
      <c r="B148" t="inlineStr">
        <is>
          <t>SRIT India  Price, GM</t>
        </is>
      </c>
      <c r="C148" t="inlineStr">
        <is>
          <t>2026</t>
        </is>
      </c>
      <c r="E148" t="n">
        <v>61.84</v>
      </c>
      <c r="F148" t="n">
        <v>93.17</v>
      </c>
      <c r="G148" s="100">
        <f>100*(F148-E148)/F148</f>
        <v/>
      </c>
      <c r="H148" t="n">
        <v>496.64</v>
      </c>
      <c r="I148" t="n">
        <v>33.6</v>
      </c>
      <c r="J148" t="n">
        <v>0</v>
      </c>
      <c r="K148" t="n">
        <v>7.08</v>
      </c>
      <c r="L148" t="n">
        <v>0</v>
      </c>
      <c r="M148" t="n">
        <v>49.81</v>
      </c>
      <c r="N148" t="n">
        <v>0</v>
      </c>
      <c r="O148" t="n">
        <v>400.5</v>
      </c>
      <c r="P148" s="100">
        <f>O148/I148</f>
        <v/>
      </c>
      <c r="Q148" t="n">
        <v>18.36</v>
      </c>
      <c r="R148" t="n">
        <v>20.97</v>
      </c>
      <c r="S148" t="n">
        <v>-0.9</v>
      </c>
      <c r="T148" t="n">
        <v>218.4</v>
      </c>
      <c r="U148" t="n">
        <v>0</v>
      </c>
      <c r="V148" t="n">
        <v>0</v>
      </c>
      <c r="W148" t="n">
        <v>1</v>
      </c>
      <c r="X148" t="n">
        <v>0</v>
      </c>
      <c r="Y148" t="n">
        <v>0</v>
      </c>
      <c r="Z148" t="n">
        <v>0</v>
      </c>
      <c r="AA148" s="103">
        <f>IF(X148&lt;33,IF(Y148&gt;(1.1*X148),0,1),1)+IF(Y148&gt;(4*X148),-1,0)</f>
        <v/>
      </c>
      <c r="AB148" t="n">
        <v>14.71</v>
      </c>
      <c r="AC148" s="101">
        <f>IF(AB148&gt;9,1,0)+AB148/3+IF(AB148&gt;15,1,0)+IF(AB148&gt;20,1,0)</f>
        <v/>
      </c>
      <c r="AD148" t="n">
        <v>15.54</v>
      </c>
      <c r="AE148" t="n">
        <v>41.91</v>
      </c>
      <c r="AF148" t="n">
        <v>15.78</v>
      </c>
      <c r="AG148" s="101">
        <f>IF(G148&lt;0,0,1.2)+IF(G148&lt;14,0,0.9)+IF(P148&lt;0,0.7,0)+IF(P148&lt;6.5,1,0)+IF(P148&lt;23,1,0)+IF(R148&gt;80,0,1)+S148+IF(AD148&lt;20,0,1)+IF(AE148&lt;14,0,1)+IF(AF148&lt;26,0,1)</f>
        <v/>
      </c>
      <c r="AH148" s="101">
        <f>AG148+IF(AG148&gt;6,1,0)+IF(X148&lt;17,0,1)+IF(Y148&lt;11,0,1)+IF(Z148&lt;1.35,0,1)+AC148+AA148</f>
        <v/>
      </c>
      <c r="AI148" t="n">
        <v>10.26</v>
      </c>
      <c r="AJ148" s="104">
        <f>IF(AI148&gt;12.8,IF(AI148&gt;15.8,0.95,0.98),1)</f>
        <v/>
      </c>
      <c r="AK148" s="101">
        <f>((AG148*2.6+AH148)*AJ148*AQ148)</f>
        <v/>
      </c>
      <c r="AL148" s="50">
        <f>D148</f>
        <v/>
      </c>
      <c r="AM148" s="97">
        <f>B148</f>
        <v/>
      </c>
      <c r="AN148" t="n">
        <v>30</v>
      </c>
      <c r="AP148" s="100">
        <f>IF(AK148&gt;23.2,IF(Y148&lt;300,IF(Y148&lt;35,IF(Y148&lt;8,3,2),1),0),0)</f>
        <v/>
      </c>
      <c r="AQ148" t="n">
        <v>1</v>
      </c>
      <c r="AR148" s="100">
        <f>IF(AO148=1,IF(AO148=AL148,1,0),5)</f>
        <v/>
      </c>
      <c r="AX148" s="101">
        <f>(AS148+AV148+AW148)/3</f>
        <v/>
      </c>
    </row>
    <row r="149" ht="12.75" customHeight="1">
      <c r="A149" t="inlineStr">
        <is>
          <t>https://www.chittorgarh.com/ipo/shah-investors-home-ipo/2657/</t>
        </is>
      </c>
      <c r="B149" t="inlineStr">
        <is>
          <t xml:space="preserve">Shah Investor&amp;#x27;s </t>
        </is>
      </c>
      <c r="C149" t="inlineStr">
        <is>
          <t>2026</t>
        </is>
      </c>
      <c r="E149" t="n">
        <v>5.71</v>
      </c>
      <c r="F149" t="n">
        <v>168.09</v>
      </c>
      <c r="G149" s="100">
        <f>100*(F149-E149)/F149</f>
        <v/>
      </c>
      <c r="H149" t="n">
        <v>302.57</v>
      </c>
      <c r="I149" t="n">
        <v>23.42</v>
      </c>
      <c r="J149" t="n">
        <v>18.24</v>
      </c>
      <c r="K149" t="n">
        <v>8.32</v>
      </c>
      <c r="L149" t="n">
        <v>7.59</v>
      </c>
      <c r="M149" t="n">
        <v>35.31</v>
      </c>
      <c r="N149" t="n">
        <v>30.24</v>
      </c>
      <c r="O149" t="n">
        <v>94.47</v>
      </c>
      <c r="P149" s="100">
        <f>O149/I149</f>
        <v/>
      </c>
      <c r="Q149" t="n">
        <v>20.07</v>
      </c>
      <c r="R149" t="n">
        <v>26.94</v>
      </c>
      <c r="S149" t="n">
        <v>-0.9</v>
      </c>
      <c r="T149" t="n">
        <v>90.17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s="103">
        <f>IF(X149&lt;33,IF(Y149&gt;(1.1*X149),0,1),1)+IF(Y149&gt;(4*X149),-1,0)</f>
        <v/>
      </c>
      <c r="AB149" t="n">
        <v>5.99</v>
      </c>
      <c r="AC149" s="101">
        <f>IF(AB149&gt;9,1,0)+AB149/3+IF(AB149&gt;15,1,0)+IF(AB149&gt;20,1,0)</f>
        <v/>
      </c>
      <c r="AD149" t="n">
        <v>29.75</v>
      </c>
      <c r="AE149" t="n">
        <v>19.51</v>
      </c>
      <c r="AF149" t="n">
        <v>11.66</v>
      </c>
      <c r="AG149" s="101">
        <f>IF(G149&lt;0,0,1.2)+IF(G149&lt;14,0,0.9)+IF(P149&lt;0,0.7,0)+IF(P149&lt;6.5,1,0)+IF(P149&lt;23,1,0)+IF(R149&gt;80,0,1)+S149+IF(AD149&lt;20,0,1)+IF(AE149&lt;14,0,1)+IF(AF149&lt;26,0,1)</f>
        <v/>
      </c>
      <c r="AH149" s="101">
        <f>AG149+IF(AG149&gt;6,1,0)+IF(X149&lt;17,0,1)+IF(Y149&lt;11,0,1)+IF(Z149&lt;1.35,0,1)+AC149+AA149</f>
        <v/>
      </c>
      <c r="AI149" t="n">
        <v>10.2575</v>
      </c>
      <c r="AJ149" s="104">
        <f>IF(AI149&gt;12.8,IF(AI149&gt;15.8,0.95,0.98),1)</f>
        <v/>
      </c>
      <c r="AK149" s="101">
        <f>((AG149*2.6+AH149)*AJ149*AQ149)</f>
        <v/>
      </c>
      <c r="AL149" s="50">
        <f>D149</f>
        <v/>
      </c>
      <c r="AM149" s="97">
        <f>B149</f>
        <v/>
      </c>
      <c r="AN149" t="n">
        <v>30</v>
      </c>
      <c r="AP149" s="100">
        <f>IF(AK149&gt;23.2,IF(Y149&lt;300,IF(Y149&lt;35,IF(Y149&lt;8,3,2),1),0),0)</f>
        <v/>
      </c>
      <c r="AQ149" t="n">
        <v>1</v>
      </c>
      <c r="AR149" s="100">
        <f>IF(AO149=1,IF(AO149=AL149,1,0),5)</f>
        <v/>
      </c>
      <c r="AX149" s="101">
        <f>(AS149+AV149+AW149)/3</f>
        <v/>
      </c>
    </row>
    <row r="150" ht="12.75" customHeight="1">
      <c r="G150" s="100">
        <f>100*(F150-E150)/F150</f>
        <v/>
      </c>
      <c r="P150" s="100">
        <f>O150/I150</f>
        <v/>
      </c>
      <c r="AA150" s="103">
        <f>IF(X150&lt;33,IF(Y150&gt;(1.1*X150),0,1),1)+IF(Y150&gt;(4*X150),-1,0)</f>
        <v/>
      </c>
      <c r="AC150" s="101">
        <f>IF(AB150&gt;9,1,0)+AB150/3+IF(AB150&gt;15,1,0)+IF(AB150&gt;20,1,0)</f>
        <v/>
      </c>
      <c r="AG150" s="101">
        <f>IF(G150&lt;0,0,1.2)+IF(G150&lt;14,0,0.9)+IF(P150&lt;0,0.7,0)+IF(P150&lt;6.5,1,0)+IF(P150&lt;23,1,0)+IF(R150&gt;80,0,1)+S150+IF(AD150&lt;20,0,1)+IF(AE150&lt;14,0,1)+IF(AF150&lt;26,0,1)</f>
        <v/>
      </c>
      <c r="AH150" s="101">
        <f>AG150+IF(AG150&gt;6,1,0)+IF(X150&lt;17,0,1)+IF(Y150&lt;11,0,1)+IF(Z150&lt;1.35,0,1)+AC150+AA150</f>
        <v/>
      </c>
      <c r="AJ150" s="104">
        <f>IF(AI150&gt;12.8,IF(AI150&gt;15.8,0.95,0.98),1)</f>
        <v/>
      </c>
      <c r="AK150" s="101">
        <f>((AG150*2.6+AH150)*AJ150*AQ150)</f>
        <v/>
      </c>
      <c r="AL150" s="50">
        <f>D150</f>
        <v/>
      </c>
      <c r="AM150" s="97">
        <f>B150</f>
        <v/>
      </c>
      <c r="AP150" s="100">
        <f>IF(AK150&gt;23.2,IF(Y150&lt;300,IF(Y150&lt;35,IF(Y150&lt;8,3,2),1),0),0)</f>
        <v/>
      </c>
      <c r="AR150" s="100">
        <f>IF(AO150=1,IF(AO150=AL150,1,0),5)</f>
        <v/>
      </c>
      <c r="AX150" s="101">
        <f>(AS150+AV150+AW150)/3</f>
        <v/>
      </c>
    </row>
    <row r="151" ht="12.75" customHeight="1">
      <c r="G151" s="100">
        <f>100*(F151-E151)/F151</f>
        <v/>
      </c>
      <c r="P151" s="100">
        <f>O151/I151</f>
        <v/>
      </c>
      <c r="AA151" s="103">
        <f>IF(X151&lt;33,IF(Y151&gt;(1.1*X151),0,1),1)+IF(Y151&gt;(4*X151),-1,0)</f>
        <v/>
      </c>
      <c r="AC151" s="101">
        <f>IF(AB151&gt;9,1,0)+AB151/3+IF(AB151&gt;15,1,0)+IF(AB151&gt;20,1,0)</f>
        <v/>
      </c>
      <c r="AG151" s="101">
        <f>IF(G151&lt;0,0,1.2)+IF(G151&lt;14,0,0.9)+IF(P151&lt;0,0.7,0)+IF(P151&lt;6.5,1,0)+IF(P151&lt;23,1,0)+IF(R151&gt;80,0,1)+S151+IF(AD151&lt;20,0,1)+IF(AE151&lt;14,0,1)+IF(AF151&lt;26,0,1)</f>
        <v/>
      </c>
      <c r="AH151" s="101">
        <f>AG151+IF(AG151&gt;6,1,0)+IF(X151&lt;17,0,1)+IF(Y151&lt;11,0,1)+IF(Z151&lt;1.35,0,1)+AC151+AA151</f>
        <v/>
      </c>
      <c r="AJ151" s="104">
        <f>IF(AI151&gt;12.8,IF(AI151&gt;15.8,0.95,0.98),1)</f>
        <v/>
      </c>
      <c r="AK151" s="101">
        <f>((AG151*2.6+AH151)*AJ151*AQ151)</f>
        <v/>
      </c>
      <c r="AL151" s="50">
        <f>D151</f>
        <v/>
      </c>
      <c r="AM151" s="97">
        <f>B151</f>
        <v/>
      </c>
      <c r="AP151" s="100">
        <f>IF(AK151&gt;23.2,IF(Y151&lt;300,IF(Y151&lt;35,IF(Y151&lt;8,3,2),1),0),0)</f>
        <v/>
      </c>
      <c r="AR151" s="100">
        <f>IF(AO151=1,IF(AO151=AL151,1,0),5)</f>
        <v/>
      </c>
      <c r="AX151" s="101">
        <f>(AS151+AV151+AW151)/3</f>
        <v/>
      </c>
    </row>
    <row r="152" ht="12.75" customHeight="1">
      <c r="G152" s="100">
        <f>100*(F152-E152)/F152</f>
        <v/>
      </c>
      <c r="P152" s="100">
        <f>O152/I152</f>
        <v/>
      </c>
      <c r="AA152" s="103">
        <f>IF(X152&lt;33,IF(Y152&gt;(1.1*X152),0,1),1)+IF(Y152&gt;(4*X152),-1,0)</f>
        <v/>
      </c>
      <c r="AC152" s="101">
        <f>IF(AB152&gt;9,1,0)+AB152/3+IF(AB152&gt;15,1,0)+IF(AB152&gt;20,1,0)</f>
        <v/>
      </c>
      <c r="AG152" s="101">
        <f>IF(G152&lt;0,0,1.2)+IF(G152&lt;14,0,0.9)+IF(P152&lt;0,0.7,0)+IF(P152&lt;6.5,1,0)+IF(P152&lt;23,1,0)+IF(R152&gt;80,0,1)+S152+IF(AD152&lt;20,0,1)+IF(AE152&lt;14,0,1)+IF(AF152&lt;26,0,1)</f>
        <v/>
      </c>
      <c r="AH152" s="101">
        <f>AG152+IF(AG152&gt;6,1,0)+IF(X152&lt;17,0,1)+IF(Y152&lt;11,0,1)+IF(Z152&lt;1.35,0,1)+AC152+AA152</f>
        <v/>
      </c>
      <c r="AJ152" s="104">
        <f>IF(AI152&gt;12.8,IF(AI152&gt;15.8,0.95,0.98),1)</f>
        <v/>
      </c>
      <c r="AK152" s="101">
        <f>((AG152*2.6+AH152)*AJ152*AQ152)</f>
        <v/>
      </c>
      <c r="AL152" s="50">
        <f>D152</f>
        <v/>
      </c>
      <c r="AM152" s="97">
        <f>B152</f>
        <v/>
      </c>
      <c r="AP152" s="100">
        <f>IF(AK152&gt;23.2,IF(Y152&lt;300,IF(Y152&lt;35,IF(Y152&lt;8,3,2),1),0),0)</f>
        <v/>
      </c>
      <c r="AR152" s="100">
        <f>IF(AO152=1,IF(AO152=AL152,1,0),5)</f>
        <v/>
      </c>
      <c r="AX152" s="101">
        <f>(AS152+AV152+AW152)/3</f>
        <v/>
      </c>
    </row>
    <row r="153" ht="12.75" customHeight="1">
      <c r="G153" s="100">
        <f>100*(F153-E153)/F153</f>
        <v/>
      </c>
      <c r="P153" s="100">
        <f>O153/I153</f>
        <v/>
      </c>
      <c r="AA153" s="103">
        <f>IF(X153&lt;33,IF(Y153&gt;(1.1*X153),0,1),1)+IF(Y153&gt;(4*X153),-1,0)</f>
        <v/>
      </c>
      <c r="AC153" s="101">
        <f>IF(AB153&gt;9,1,0)+AB153/3+IF(AB153&gt;15,1,0)+IF(AB153&gt;20,1,0)</f>
        <v/>
      </c>
      <c r="AG153" s="101">
        <f>IF(G153&lt;0,0,1.2)+IF(G153&lt;14,0,0.9)+IF(P153&lt;0,0.7,0)+IF(P153&lt;6.5,1,0)+IF(P153&lt;23,1,0)+IF(R153&gt;80,0,1)+S153+IF(AD153&lt;20,0,1)+IF(AE153&lt;14,0,1)+IF(AF153&lt;26,0,1)</f>
        <v/>
      </c>
      <c r="AH153" s="101">
        <f>AG153+IF(AG153&gt;6,1,0)+IF(X153&lt;17,0,1)+IF(Y153&lt;11,0,1)+IF(Z153&lt;1.35,0,1)+AC153+AA153</f>
        <v/>
      </c>
      <c r="AJ153" s="104">
        <f>IF(AI153&gt;12.8,IF(AI153&gt;15.8,0.95,0.98),1)</f>
        <v/>
      </c>
      <c r="AK153" s="101">
        <f>((AG153*2.6+AH153)*AJ153*AQ153)</f>
        <v/>
      </c>
      <c r="AL153" s="50">
        <f>D153</f>
        <v/>
      </c>
      <c r="AM153" s="97">
        <f>B153</f>
        <v/>
      </c>
      <c r="AP153" s="100">
        <f>IF(AK153&gt;23.2,IF(Y153&lt;300,IF(Y153&lt;35,IF(Y153&lt;8,3,2),1),0),0)</f>
        <v/>
      </c>
      <c r="AR153" s="100">
        <f>IF(AO153=1,IF(AO153=AL153,1,0),5)</f>
        <v/>
      </c>
      <c r="AX153" s="101">
        <f>(AS153+AV153+AW153)/3</f>
        <v/>
      </c>
    </row>
    <row r="154" ht="12.75" customHeight="1">
      <c r="G154" s="100">
        <f>100*(F154-E154)/F154</f>
        <v/>
      </c>
      <c r="P154" s="100">
        <f>O154/I154</f>
        <v/>
      </c>
      <c r="AA154" s="103">
        <f>IF(X154&lt;33,IF(Y154&gt;(1.1*X154),0,1),1)+IF(Y154&gt;(4*X154),-1,0)</f>
        <v/>
      </c>
      <c r="AC154" s="101">
        <f>IF(AB154&gt;9,1,0)+AB154/3+IF(AB154&gt;15,1,0)+IF(AB154&gt;20,1,0)</f>
        <v/>
      </c>
      <c r="AG154" s="101">
        <f>IF(G154&lt;0,0,1.2)+IF(G154&lt;14,0,0.9)+IF(P154&lt;0,0.7,0)+IF(P154&lt;6.5,1,0)+IF(P154&lt;23,1,0)+IF(R154&gt;80,0,1)+S154+IF(AD154&lt;20,0,1)+IF(AE154&lt;14,0,1)+IF(AF154&lt;26,0,1)</f>
        <v/>
      </c>
      <c r="AH154" s="101">
        <f>AG154+IF(AG154&gt;6,1,0)+IF(X154&lt;17,0,1)+IF(Y154&lt;11,0,1)+IF(Z154&lt;1.35,0,1)+AC154+AA154</f>
        <v/>
      </c>
      <c r="AJ154" s="104">
        <f>IF(AI154&gt;12.8,IF(AI154&gt;15.8,0.95,0.98),1)</f>
        <v/>
      </c>
      <c r="AK154" s="101">
        <f>((AG154*2.6+AH154)*AJ154*AQ154)</f>
        <v/>
      </c>
      <c r="AL154" s="50">
        <f>D154</f>
        <v/>
      </c>
      <c r="AM154" s="97">
        <f>B154</f>
        <v/>
      </c>
      <c r="AP154" s="100">
        <f>IF(AK154&gt;23.2,IF(Y154&lt;300,IF(Y154&lt;35,IF(Y154&lt;8,3,2),1),0),0)</f>
        <v/>
      </c>
      <c r="AR154" s="100">
        <f>IF(AO154=1,IF(AO154=AL154,1,0),5)</f>
        <v/>
      </c>
      <c r="AX154" s="101">
        <f>(AS154+AV154+AW154)/3</f>
        <v/>
      </c>
    </row>
    <row r="155" ht="12.75" customHeight="1">
      <c r="G155" s="100">
        <f>100*(F155-E155)/F155</f>
        <v/>
      </c>
      <c r="P155" s="100">
        <f>O155/I155</f>
        <v/>
      </c>
      <c r="AA155" s="103">
        <f>IF(X155&lt;33,IF(Y155&gt;(1.1*X155),0,1),1)+IF(Y155&gt;(4*X155),-1,0)</f>
        <v/>
      </c>
      <c r="AC155" s="101">
        <f>IF(AB155&gt;9,1,0)+AB155/3+IF(AB155&gt;15,1,0)+IF(AB155&gt;20,1,0)</f>
        <v/>
      </c>
      <c r="AG155" s="101">
        <f>IF(G155&lt;0,0,1.2)+IF(G155&lt;14,0,0.9)+IF(P155&lt;0,0.7,0)+IF(P155&lt;6.5,1,0)+IF(P155&lt;23,1,0)+IF(R155&gt;80,0,1)+S155+IF(AD155&lt;20,0,1)+IF(AE155&lt;14,0,1)+IF(AF155&lt;26,0,1)</f>
        <v/>
      </c>
      <c r="AH155" s="101">
        <f>AG155+IF(AG155&gt;6,1,0)+IF(X155&lt;17,0,1)+IF(Y155&lt;11,0,1)+IF(Z155&lt;1.35,0,1)+AC155+AA155</f>
        <v/>
      </c>
      <c r="AJ155" s="104">
        <f>IF(AI155&gt;12.8,IF(AI155&gt;15.8,0.95,0.98),1)</f>
        <v/>
      </c>
      <c r="AK155" s="101">
        <f>((AG155*2.6+AH155)*AJ155*AQ155)</f>
        <v/>
      </c>
      <c r="AL155" s="50">
        <f>D155</f>
        <v/>
      </c>
      <c r="AM155" s="97">
        <f>B155</f>
        <v/>
      </c>
      <c r="AP155" s="100">
        <f>IF(AK155&gt;23.2,IF(Y155&lt;300,IF(Y155&lt;35,IF(Y155&lt;8,3,2),1),0),0)</f>
        <v/>
      </c>
      <c r="AR155" s="100">
        <f>IF(AO155=1,IF(AO155=AL155,1,0),5)</f>
        <v/>
      </c>
      <c r="AX155" s="101">
        <f>(AS155+AV155+AW155)/3</f>
        <v/>
      </c>
    </row>
    <row r="156" ht="12.75" customHeight="1">
      <c r="G156" s="100">
        <f>100*(F156-E156)/F156</f>
        <v/>
      </c>
      <c r="P156" s="100">
        <f>O156/I156</f>
        <v/>
      </c>
      <c r="AA156" s="103">
        <f>IF(X156&lt;33,IF(Y156&gt;(1.1*X156),0,1),1)+IF(Y156&gt;(4*X156),-1,0)</f>
        <v/>
      </c>
      <c r="AC156" s="101">
        <f>IF(AB156&gt;9,1,0)+AB156/3+IF(AB156&gt;15,1,0)+IF(AB156&gt;20,1,0)</f>
        <v/>
      </c>
      <c r="AG156" s="101">
        <f>IF(G156&lt;0,0,1.2)+IF(G156&lt;14,0,0.9)+IF(P156&lt;0,0.7,0)+IF(P156&lt;6.5,1,0)+IF(P156&lt;23,1,0)+IF(R156&gt;80,0,1)+S156+IF(AD156&lt;20,0,1)+IF(AE156&lt;14,0,1)+IF(AF156&lt;26,0,1)</f>
        <v/>
      </c>
      <c r="AH156" s="101">
        <f>AG156+IF(AG156&gt;6,1,0)+IF(X156&lt;17,0,1)+IF(Y156&lt;11,0,1)+IF(Z156&lt;1.35,0,1)+AC156+AA156</f>
        <v/>
      </c>
      <c r="AJ156" s="104">
        <f>IF(AI156&gt;12.8,IF(AI156&gt;15.8,0.95,0.98),1)</f>
        <v/>
      </c>
      <c r="AK156" s="101">
        <f>((AG156*2.6+AH156)*AJ156*AQ156)</f>
        <v/>
      </c>
      <c r="AL156" s="50">
        <f>D156</f>
        <v/>
      </c>
      <c r="AM156" s="97">
        <f>B156</f>
        <v/>
      </c>
      <c r="AP156" s="100">
        <f>IF(AK156&gt;23.2,IF(Y156&lt;300,IF(Y156&lt;35,IF(Y156&lt;8,3,2),1),0),0)</f>
        <v/>
      </c>
      <c r="AR156" s="100">
        <f>IF(AO156=1,IF(AO156=AL156,1,0),5)</f>
        <v/>
      </c>
      <c r="AX156" s="101">
        <f>(AS156+AV156+AW156)/3</f>
        <v/>
      </c>
    </row>
    <row r="157" ht="12.75" customHeight="1">
      <c r="G157" s="100">
        <f>100*(F157-E157)/F157</f>
        <v/>
      </c>
      <c r="P157" s="100">
        <f>O157/I157</f>
        <v/>
      </c>
      <c r="AA157" s="103">
        <f>IF(X157&lt;33,IF(Y157&gt;(1.1*X157),0,1),1)+IF(Y157&gt;(4*X157),-1,0)</f>
        <v/>
      </c>
      <c r="AC157" s="101">
        <f>IF(AB157&gt;9,1,0)+AB157/3+IF(AB157&gt;15,1,0)+IF(AB157&gt;20,1,0)</f>
        <v/>
      </c>
      <c r="AG157" s="101">
        <f>IF(G157&lt;0,0,1.2)+IF(G157&lt;14,0,0.9)+IF(P157&lt;0,0.7,0)+IF(P157&lt;6.5,1,0)+IF(P157&lt;23,1,0)+IF(R157&gt;80,0,1)+S157+IF(AD157&lt;20,0,1)+IF(AE157&lt;14,0,1)+IF(AF157&lt;26,0,1)</f>
        <v/>
      </c>
      <c r="AH157" s="101">
        <f>AG157+IF(AG157&gt;6,1,0)+IF(X157&lt;17,0,1)+IF(Y157&lt;11,0,1)+IF(Z157&lt;1.35,0,1)+AC157+AA157</f>
        <v/>
      </c>
      <c r="AJ157" s="104">
        <f>IF(AI157&gt;12.8,IF(AI157&gt;15.8,0.95,0.98),1)</f>
        <v/>
      </c>
      <c r="AK157" s="101">
        <f>((AG157*2.6+AH157)*AJ157*AQ157)</f>
        <v/>
      </c>
      <c r="AL157" s="50">
        <f>D157</f>
        <v/>
      </c>
      <c r="AM157" s="97">
        <f>B157</f>
        <v/>
      </c>
      <c r="AP157" s="100">
        <f>IF(AK157&gt;23.2,IF(Y157&lt;300,IF(Y157&lt;35,IF(Y157&lt;8,3,2),1),0),0)</f>
        <v/>
      </c>
      <c r="AR157" s="100">
        <f>IF(AO157=1,IF(AO157=AL157,1,0),5)</f>
        <v/>
      </c>
      <c r="AX157" s="101">
        <f>(AS157+AV157+AW157)/3</f>
        <v/>
      </c>
    </row>
    <row r="158" ht="12.75" customHeight="1">
      <c r="G158" s="100">
        <f>100*(F158-E158)/F158</f>
        <v/>
      </c>
      <c r="P158" s="100">
        <f>O158/I158</f>
        <v/>
      </c>
      <c r="AA158" s="103">
        <f>IF(X158&lt;33,IF(Y158&gt;(1.1*X158),0,1),1)+IF(Y158&gt;(4*X158),-1,0)</f>
        <v/>
      </c>
      <c r="AC158" s="101">
        <f>IF(AB158&gt;9,1,0)+AB158/3+IF(AB158&gt;15,1,0)+IF(AB158&gt;20,1,0)</f>
        <v/>
      </c>
      <c r="AG158" s="101">
        <f>IF(G158&lt;0,0,1.2)+IF(G158&lt;14,0,0.9)+IF(P158&lt;0,0.7,0)+IF(P158&lt;6.5,1,0)+IF(P158&lt;23,1,0)+IF(R158&gt;80,0,1)+S158+IF(AD158&lt;20,0,1)+IF(AE158&lt;14,0,1)+IF(AF158&lt;26,0,1)</f>
        <v/>
      </c>
      <c r="AH158" s="101">
        <f>AG158+IF(AG158&gt;6,1,0)+IF(X158&lt;17,0,1)+IF(Y158&lt;11,0,1)+IF(Z158&lt;1.35,0,1)+AC158+AA158</f>
        <v/>
      </c>
      <c r="AJ158" s="104">
        <f>IF(AI158&gt;12.8,IF(AI158&gt;15.8,0.95,0.98),1)</f>
        <v/>
      </c>
      <c r="AK158" s="101">
        <f>((AG158*2.6+AH158)*AJ158*AQ158)</f>
        <v/>
      </c>
      <c r="AL158" s="50">
        <f>D158</f>
        <v/>
      </c>
      <c r="AM158" s="97">
        <f>B158</f>
        <v/>
      </c>
      <c r="AP158" s="100">
        <f>IF(AK158&gt;23.2,IF(Y158&lt;300,IF(Y158&lt;35,IF(Y158&lt;8,3,2),1),0),0)</f>
        <v/>
      </c>
      <c r="AR158" s="100">
        <f>IF(AO158=1,IF(AO158=AL158,1,0),5)</f>
        <v/>
      </c>
      <c r="AX158" s="101">
        <f>(AS158+AV158+AW158)/3</f>
        <v/>
      </c>
    </row>
    <row r="159" ht="12.75" customHeight="1">
      <c r="G159" s="100">
        <f>100*(F159-E159)/F159</f>
        <v/>
      </c>
      <c r="P159" s="100">
        <f>O159/I159</f>
        <v/>
      </c>
      <c r="AA159" s="103">
        <f>IF(X159&lt;33,IF(Y159&gt;(1.1*X159),0,1),1)+IF(Y159&gt;(4*X159),-1,0)</f>
        <v/>
      </c>
      <c r="AC159" s="101">
        <f>IF(AB159&gt;9,1,0)+AB159/3+IF(AB159&gt;15,1,0)+IF(AB159&gt;20,1,0)</f>
        <v/>
      </c>
      <c r="AG159" s="101">
        <f>IF(G159&lt;0,0,1.2)+IF(G159&lt;14,0,0.9)+IF(P159&lt;0,0.7,0)+IF(P159&lt;6.5,1,0)+IF(P159&lt;23,1,0)+IF(R159&gt;80,0,1)+S159+IF(AD159&lt;20,0,1)+IF(AE159&lt;14,0,1)+IF(AF159&lt;26,0,1)</f>
        <v/>
      </c>
      <c r="AH159" s="101">
        <f>AG159+IF(AG159&gt;6,1,0)+IF(X159&lt;17,0,1)+IF(Y159&lt;11,0,1)+IF(Z159&lt;1.35,0,1)+AC159+AA159</f>
        <v/>
      </c>
      <c r="AJ159" s="104">
        <f>IF(AI159&gt;12.8,IF(AI159&gt;15.8,0.95,0.98),1)</f>
        <v/>
      </c>
      <c r="AK159" s="101">
        <f>((AG159*2.6+AH159)*AJ159*AQ159)</f>
        <v/>
      </c>
      <c r="AL159" s="50">
        <f>D159</f>
        <v/>
      </c>
      <c r="AM159" s="97">
        <f>B159</f>
        <v/>
      </c>
      <c r="AP159" s="100">
        <f>IF(AK159&gt;23.2,IF(Y159&lt;300,IF(Y159&lt;35,IF(Y159&lt;8,3,2),1),0),0)</f>
        <v/>
      </c>
      <c r="AR159" s="100">
        <f>IF(AO159=1,IF(AO159=AL159,1,0),5)</f>
        <v/>
      </c>
      <c r="AX159" s="101">
        <f>(AS159+AV159+AW159)/3</f>
        <v/>
      </c>
    </row>
    <row r="160" ht="12.75" customHeight="1">
      <c r="G160" s="100">
        <f>100*(F160-E160)/F160</f>
        <v/>
      </c>
      <c r="P160" s="100">
        <f>O160/I160</f>
        <v/>
      </c>
      <c r="AA160" s="103">
        <f>IF(X160&lt;33,IF(Y160&gt;(1.1*X160),0,1),1)+IF(Y160&gt;(4*X160),-1,0)</f>
        <v/>
      </c>
      <c r="AC160" s="101">
        <f>IF(AB160&gt;9,1,0)+AB160/3+IF(AB160&gt;15,1,0)+IF(AB160&gt;20,1,0)</f>
        <v/>
      </c>
      <c r="AG160" s="101">
        <f>IF(G160&lt;0,0,1.2)+IF(G160&lt;14,0,0.9)+IF(P160&lt;0,0.7,0)+IF(P160&lt;6.5,1,0)+IF(P160&lt;23,1,0)+IF(R160&gt;80,0,1)+S160+IF(AD160&lt;20,0,1)+IF(AE160&lt;14,0,1)+IF(AF160&lt;26,0,1)</f>
        <v/>
      </c>
      <c r="AH160" s="101">
        <f>AG160+IF(AG160&gt;6,1,0)+IF(X160&lt;17,0,1)+IF(Y160&lt;11,0,1)+IF(Z160&lt;1.35,0,1)+AC160+AA160</f>
        <v/>
      </c>
      <c r="AJ160" s="104">
        <f>IF(AI160&gt;12.8,IF(AI160&gt;15.8,0.95,0.98),1)</f>
        <v/>
      </c>
      <c r="AK160" s="101">
        <f>((AG160*2.6+AH160)*AJ160*AQ160)</f>
        <v/>
      </c>
      <c r="AL160" s="50">
        <f>D160</f>
        <v/>
      </c>
      <c r="AM160" s="97">
        <f>B160</f>
        <v/>
      </c>
      <c r="AP160" s="100">
        <f>IF(AK160&gt;23.2,IF(Y160&lt;300,IF(Y160&lt;35,IF(Y160&lt;8,3,2),1),0),0)</f>
        <v/>
      </c>
      <c r="AR160" s="100">
        <f>IF(AO160=1,IF(AO160=AL160,1,0),5)</f>
        <v/>
      </c>
      <c r="AX160" s="101">
        <f>(AS160+AV160+AW160)/3</f>
        <v/>
      </c>
    </row>
    <row r="161" ht="12.75" customHeight="1">
      <c r="G161" s="100">
        <f>100*(F161-E161)/F161</f>
        <v/>
      </c>
      <c r="P161" s="100">
        <f>O161/I161</f>
        <v/>
      </c>
      <c r="AA161" s="103">
        <f>IF(X161&lt;33,IF(Y161&gt;(1.1*X161),0,1),1)+IF(Y161&gt;(4*X161),-1,0)</f>
        <v/>
      </c>
      <c r="AC161" s="101">
        <f>IF(AB161&gt;9,1,0)+AB161/3+IF(AB161&gt;15,1,0)+IF(AB161&gt;20,1,0)</f>
        <v/>
      </c>
      <c r="AG161" s="101">
        <f>IF(G161&lt;0,0,1.2)+IF(G161&lt;14,0,0.9)+IF(P161&lt;0,0.7,0)+IF(P161&lt;6.5,1,0)+IF(P161&lt;23,1,0)+IF(R161&gt;80,0,1)+S161+IF(AD161&lt;20,0,1)+IF(AE161&lt;14,0,1)+IF(AF161&lt;26,0,1)</f>
        <v/>
      </c>
      <c r="AH161" s="101">
        <f>AG161+IF(AG161&gt;6,1,0)+IF(X161&lt;17,0,1)+IF(Y161&lt;11,0,1)+IF(Z161&lt;1.35,0,1)+AC161+AA161</f>
        <v/>
      </c>
      <c r="AJ161" s="104">
        <f>IF(AI161&gt;12.8,IF(AI161&gt;15.8,0.95,0.98),1)</f>
        <v/>
      </c>
      <c r="AK161" s="101">
        <f>((AG161*2.6+AH161)*AJ161*AQ161)</f>
        <v/>
      </c>
      <c r="AL161" s="50">
        <f>D161</f>
        <v/>
      </c>
      <c r="AM161" s="97">
        <f>B161</f>
        <v/>
      </c>
      <c r="AP161" s="100">
        <f>IF(AK161&gt;23.2,IF(Y161&lt;300,IF(Y161&lt;35,IF(Y161&lt;8,3,2),1),0),0)</f>
        <v/>
      </c>
      <c r="AR161" s="100">
        <f>IF(AO161=1,IF(AO161=AL161,1,0),5)</f>
        <v/>
      </c>
      <c r="AX161" s="101">
        <f>(AS161+AV161+AW161)/3</f>
        <v/>
      </c>
    </row>
    <row r="162" ht="12.75" customHeight="1">
      <c r="G162" s="100">
        <f>100*(F162-E162)/F162</f>
        <v/>
      </c>
      <c r="P162" s="100">
        <f>O162/I162</f>
        <v/>
      </c>
      <c r="AA162" s="103">
        <f>IF(X162&lt;33,IF(Y162&gt;(1.1*X162),0,1),1)+IF(Y162&gt;(4*X162),-1,0)</f>
        <v/>
      </c>
      <c r="AC162" s="101">
        <f>IF(AB162&gt;9,1,0)+AB162/3+IF(AB162&gt;15,1,0)+IF(AB162&gt;20,1,0)</f>
        <v/>
      </c>
      <c r="AG162" s="101">
        <f>IF(G162&lt;0,0,1.2)+IF(G162&lt;14,0,0.9)+IF(P162&lt;0,0.7,0)+IF(P162&lt;6.5,1,0)+IF(P162&lt;23,1,0)+IF(R162&gt;80,0,1)+S162+IF(AD162&lt;20,0,1)+IF(AE162&lt;14,0,1)+IF(AF162&lt;26,0,1)</f>
        <v/>
      </c>
      <c r="AH162" s="101">
        <f>AG162+IF(AG162&gt;6,1,0)+IF(X162&lt;17,0,1)+IF(Y162&lt;11,0,1)+IF(Z162&lt;1.35,0,1)+AC162+AA162</f>
        <v/>
      </c>
      <c r="AJ162" s="104">
        <f>IF(AI162&gt;12.8,IF(AI162&gt;15.8,0.95,0.98),1)</f>
        <v/>
      </c>
      <c r="AK162" s="101">
        <f>((AG162*2.6+AH162)*AJ162*AQ162)</f>
        <v/>
      </c>
      <c r="AL162" s="50">
        <f>D162</f>
        <v/>
      </c>
      <c r="AM162" s="97">
        <f>B162</f>
        <v/>
      </c>
      <c r="AP162" s="100">
        <f>IF(AK162&gt;23.2,IF(Y162&lt;300,IF(Y162&lt;35,IF(Y162&lt;8,3,2),1),0),0)</f>
        <v/>
      </c>
      <c r="AR162" s="100">
        <f>IF(AO162=1,IF(AO162=AL162,1,0),5)</f>
        <v/>
      </c>
      <c r="AX162" s="101">
        <f>(AS162+AV162+AW162)/3</f>
        <v/>
      </c>
    </row>
    <row r="163" ht="12.75" customHeight="1">
      <c r="G163" s="100">
        <f>100*(F163-E163)/F163</f>
        <v/>
      </c>
      <c r="P163" s="100">
        <f>O163/I163</f>
        <v/>
      </c>
      <c r="AA163" s="103">
        <f>IF(X163&lt;33,IF(Y163&gt;(1.1*X163),0,1),1)+IF(Y163&gt;(4*X163),-1,0)</f>
        <v/>
      </c>
      <c r="AC163" s="101">
        <f>IF(AB163&gt;9,1,0)+AB163/3+IF(AB163&gt;15,1,0)+IF(AB163&gt;20,1,0)</f>
        <v/>
      </c>
      <c r="AG163" s="101">
        <f>IF(G163&lt;0,0,1.2)+IF(G163&lt;14,0,0.9)+IF(P163&lt;0,0.7,0)+IF(P163&lt;6.5,1,0)+IF(P163&lt;23,1,0)+IF(R163&gt;80,0,1)+S163+IF(AD163&lt;20,0,1)+IF(AE163&lt;14,0,1)+IF(AF163&lt;26,0,1)</f>
        <v/>
      </c>
      <c r="AH163" s="101">
        <f>AG163+IF(AG163&gt;6,1,0)+IF(X163&lt;17,0,1)+IF(Y163&lt;11,0,1)+IF(Z163&lt;1.35,0,1)+AC163+AA163</f>
        <v/>
      </c>
      <c r="AJ163" s="104">
        <f>IF(AI163&gt;12.8,IF(AI163&gt;15.8,0.95,0.98),1)</f>
        <v/>
      </c>
      <c r="AK163" s="101">
        <f>((AG163*2.6+AH163)*AJ163*AQ163)</f>
        <v/>
      </c>
      <c r="AL163" s="50">
        <f>D163</f>
        <v/>
      </c>
      <c r="AM163" s="97">
        <f>B163</f>
        <v/>
      </c>
      <c r="AP163" s="100">
        <f>IF(AK163&gt;23.2,IF(Y163&lt;300,IF(Y163&lt;35,IF(Y163&lt;8,3,2),1),0),0)</f>
        <v/>
      </c>
      <c r="AR163" s="100">
        <f>IF(AO163=1,IF(AO163=AL163,1,0),5)</f>
        <v/>
      </c>
      <c r="AX163" s="101">
        <f>(AS163+AV163+AW163)/3</f>
        <v/>
      </c>
    </row>
    <row r="164" ht="12.75" customHeight="1">
      <c r="G164" s="100">
        <f>100*(F164-E164)/F164</f>
        <v/>
      </c>
      <c r="P164" s="100">
        <f>O164/I164</f>
        <v/>
      </c>
      <c r="AA164" s="103">
        <f>IF(X164&lt;33,IF(Y164&gt;(1.1*X164),0,1),1)+IF(Y164&gt;(4*X164),-1,0)</f>
        <v/>
      </c>
      <c r="AC164" s="101">
        <f>IF(AB164&gt;9,1,0)+AB164/3+IF(AB164&gt;15,1,0)+IF(AB164&gt;20,1,0)</f>
        <v/>
      </c>
      <c r="AG164" s="101">
        <f>IF(G164&lt;0,0,1.2)+IF(G164&lt;14,0,0.9)+IF(P164&lt;0,0.7,0)+IF(P164&lt;6.5,1,0)+IF(P164&lt;23,1,0)+IF(R164&gt;80,0,1)+S164+IF(AD164&lt;20,0,1)+IF(AE164&lt;14,0,1)+IF(AF164&lt;26,0,1)</f>
        <v/>
      </c>
      <c r="AH164" s="101">
        <f>AG164+IF(AG164&gt;6,1,0)+IF(X164&lt;17,0,1)+IF(Y164&lt;11,0,1)+IF(Z164&lt;1.35,0,1)+AC164+AA164</f>
        <v/>
      </c>
      <c r="AJ164" s="104">
        <f>IF(AI164&gt;12.8,IF(AI164&gt;15.8,0.95,0.98),1)</f>
        <v/>
      </c>
      <c r="AK164" s="101">
        <f>((AG164*2.6+AH164)*AJ164*AQ164)</f>
        <v/>
      </c>
      <c r="AL164" s="50">
        <f>D164</f>
        <v/>
      </c>
      <c r="AM164" s="97">
        <f>B164</f>
        <v/>
      </c>
      <c r="AP164" s="100">
        <f>IF(AK164&gt;23.2,IF(Y164&lt;300,IF(Y164&lt;35,IF(Y164&lt;8,3,2),1),0),0)</f>
        <v/>
      </c>
      <c r="AR164" s="100">
        <f>IF(AO164=1,IF(AO164=AL164,1,0),5)</f>
        <v/>
      </c>
      <c r="AX164" s="101">
        <f>(AS164+AV164+AW164)/3</f>
        <v/>
      </c>
    </row>
    <row r="165" ht="12.75" customHeight="1">
      <c r="G165" s="100">
        <f>100*(F165-E165)/F165</f>
        <v/>
      </c>
      <c r="P165" s="100">
        <f>O165/I165</f>
        <v/>
      </c>
      <c r="AA165" s="103">
        <f>IF(X165&lt;33,IF(Y165&gt;(1.1*X165),0,1),1)+IF(Y165&gt;(4*X165),-1,0)</f>
        <v/>
      </c>
      <c r="AC165" s="101">
        <f>IF(AB165&gt;9,1,0)+AB165/3+IF(AB165&gt;15,1,0)+IF(AB165&gt;20,1,0)</f>
        <v/>
      </c>
      <c r="AG165" s="101">
        <f>IF(G165&lt;0,0,1.2)+IF(G165&lt;14,0,0.9)+IF(P165&lt;0,0.7,0)+IF(P165&lt;6.5,1,0)+IF(P165&lt;23,1,0)+IF(R165&gt;80,0,1)+S165+IF(AD165&lt;20,0,1)+IF(AE165&lt;14,0,1)+IF(AF165&lt;26,0,1)</f>
        <v/>
      </c>
      <c r="AH165" s="101">
        <f>AG165+IF(AG165&gt;6,1,0)+IF(X165&lt;17,0,1)+IF(Y165&lt;11,0,1)+IF(Z165&lt;1.35,0,1)+AC165+AA165</f>
        <v/>
      </c>
      <c r="AJ165" s="104">
        <f>IF(AI165&gt;12.8,IF(AI165&gt;15.8,0.95,0.98),1)</f>
        <v/>
      </c>
      <c r="AK165" s="101">
        <f>((AG165*2.6+AH165)*AJ165*AQ165)</f>
        <v/>
      </c>
      <c r="AL165" s="50">
        <f>D165</f>
        <v/>
      </c>
      <c r="AM165" s="97">
        <f>B165</f>
        <v/>
      </c>
      <c r="AP165" s="100">
        <f>IF(AK165&gt;23.2,IF(Y165&lt;300,IF(Y165&lt;35,IF(Y165&lt;8,3,2),1),0),0)</f>
        <v/>
      </c>
      <c r="AR165" s="100">
        <f>IF(AO165=1,IF(AO165=AL165,1,0),5)</f>
        <v/>
      </c>
      <c r="AX165" s="101">
        <f>(AS165+AV165+AW165)/3</f>
        <v/>
      </c>
    </row>
    <row r="166" ht="12.75" customHeight="1">
      <c r="G166" s="100">
        <f>100*(F166-E166)/F166</f>
        <v/>
      </c>
      <c r="P166" s="100">
        <f>O166/I166</f>
        <v/>
      </c>
      <c r="AA166" s="103">
        <f>IF(X166&lt;33,IF(Y166&gt;(1.1*X166),0,1),1)+IF(Y166&gt;(4*X166),-1,0)</f>
        <v/>
      </c>
      <c r="AC166" s="101">
        <f>IF(AB166&gt;9,1,0)+AB166/3+IF(AB166&gt;15,1,0)+IF(AB166&gt;20,1,0)</f>
        <v/>
      </c>
      <c r="AG166" s="101">
        <f>IF(G166&lt;0,0,1.2)+IF(G166&lt;14,0,0.9)+IF(P166&lt;0,0.7,0)+IF(P166&lt;6.5,1,0)+IF(P166&lt;23,1,0)+IF(R166&gt;80,0,1)+S166+IF(AD166&lt;20,0,1)+IF(AE166&lt;14,0,1)+IF(AF166&lt;26,0,1)</f>
        <v/>
      </c>
      <c r="AH166" s="101">
        <f>AG166+IF(AG166&gt;6,1,0)+IF(X166&lt;17,0,1)+IF(Y166&lt;11,0,1)+IF(Z166&lt;1.35,0,1)+AC166+AA166</f>
        <v/>
      </c>
      <c r="AJ166" s="104">
        <f>IF(AI166&gt;12.8,IF(AI166&gt;15.8,0.95,0.98),1)</f>
        <v/>
      </c>
      <c r="AK166" s="101">
        <f>((AG166*2.6+AH166)*AJ166*AQ166)</f>
        <v/>
      </c>
      <c r="AL166" s="50">
        <f>D166</f>
        <v/>
      </c>
      <c r="AM166" s="97">
        <f>B166</f>
        <v/>
      </c>
      <c r="AP166" s="100">
        <f>IF(AK166&gt;23.2,IF(Y166&lt;300,IF(Y166&lt;35,IF(Y166&lt;8,3,2),1),0),0)</f>
        <v/>
      </c>
      <c r="AR166" s="100">
        <f>IF(AO166=1,IF(AO166=AL166,1,0),5)</f>
        <v/>
      </c>
      <c r="AX166" s="101">
        <f>(AS166+AV166+AW166)/3</f>
        <v/>
      </c>
    </row>
    <row r="167" ht="12.75" customHeight="1">
      <c r="G167" s="100">
        <f>100*(F167-E167)/F167</f>
        <v/>
      </c>
      <c r="P167" s="100">
        <f>O167/I167</f>
        <v/>
      </c>
      <c r="AA167" s="103">
        <f>IF(X167&lt;33,IF(Y167&gt;(1.1*X167),0,1),1)+IF(Y167&gt;(4*X167),-1,0)</f>
        <v/>
      </c>
      <c r="AC167" s="101">
        <f>IF(AB167&gt;9,1,0)+AB167/3+IF(AB167&gt;15,1,0)+IF(AB167&gt;20,1,0)</f>
        <v/>
      </c>
      <c r="AG167" s="101">
        <f>IF(G167&lt;0,0,1.2)+IF(G167&lt;14,0,0.9)+IF(P167&lt;0,0.7,0)+IF(P167&lt;6.5,1,0)+IF(P167&lt;23,1,0)+IF(R167&gt;80,0,1)+S167+IF(AD167&lt;20,0,1)+IF(AE167&lt;14,0,1)+IF(AF167&lt;26,0,1)</f>
        <v/>
      </c>
      <c r="AH167" s="101">
        <f>AG167+IF(AG167&gt;6,1,0)+IF(X167&lt;17,0,1)+IF(Y167&lt;11,0,1)+IF(Z167&lt;1.35,0,1)+AC167+AA167</f>
        <v/>
      </c>
      <c r="AJ167" s="104">
        <f>IF(AI167&gt;12.8,IF(AI167&gt;15.8,0.95,0.98),1)</f>
        <v/>
      </c>
      <c r="AK167" s="101">
        <f>((AG167*2.6+AH167)*AJ167*AQ167)</f>
        <v/>
      </c>
      <c r="AL167" s="50">
        <f>D167</f>
        <v/>
      </c>
      <c r="AM167" s="97">
        <f>B167</f>
        <v/>
      </c>
      <c r="AP167" s="100">
        <f>IF(AK167&gt;23.2,IF(Y167&lt;300,IF(Y167&lt;35,IF(Y167&lt;8,3,2),1),0),0)</f>
        <v/>
      </c>
      <c r="AR167" s="100">
        <f>IF(AO167=1,IF(AO167=AL167,1,0),5)</f>
        <v/>
      </c>
      <c r="AX167" s="101">
        <f>(AS167+AV167+AW167)/3</f>
        <v/>
      </c>
    </row>
    <row r="168" ht="12.75" customHeight="1">
      <c r="G168" s="100">
        <f>100*(F168-E168)/F168</f>
        <v/>
      </c>
      <c r="P168" s="100">
        <f>O168/I168</f>
        <v/>
      </c>
      <c r="AA168" s="103">
        <f>IF(X168&lt;33,IF(Y168&gt;(1.1*X168),0,1),1)+IF(Y168&gt;(4*X168),-1,0)</f>
        <v/>
      </c>
      <c r="AC168" s="101">
        <f>IF(AB168&gt;9,1,0)+AB168/3+IF(AB168&gt;15,1,0)+IF(AB168&gt;20,1,0)</f>
        <v/>
      </c>
      <c r="AG168" s="101">
        <f>IF(G168&lt;0,0,1.2)+IF(G168&lt;14,0,0.9)+IF(P168&lt;0,0.7,0)+IF(P168&lt;6.5,1,0)+IF(P168&lt;23,1,0)+IF(R168&gt;80,0,1)+S168+IF(AD168&lt;20,0,1)+IF(AE168&lt;14,0,1)+IF(AF168&lt;26,0,1)</f>
        <v/>
      </c>
      <c r="AH168" s="101">
        <f>AG168+IF(AG168&gt;6,1,0)+IF(X168&lt;17,0,1)+IF(Y168&lt;11,0,1)+IF(Z168&lt;1.35,0,1)+AC168+AA168</f>
        <v/>
      </c>
      <c r="AJ168" s="104">
        <f>IF(AI168&gt;12.8,IF(AI168&gt;15.8,0.95,0.98),1)</f>
        <v/>
      </c>
      <c r="AK168" s="101">
        <f>((AG168*2.6+AH168)*AJ168*AQ168)</f>
        <v/>
      </c>
      <c r="AL168" s="50">
        <f>D168</f>
        <v/>
      </c>
      <c r="AM168" s="97">
        <f>B168</f>
        <v/>
      </c>
      <c r="AP168" s="100">
        <f>IF(AK168&gt;23.2,IF(Y168&lt;300,IF(Y168&lt;35,IF(Y168&lt;8,3,2),1),0),0)</f>
        <v/>
      </c>
      <c r="AR168" s="100">
        <f>IF(AO168=1,IF(AO168=AL168,1,0),5)</f>
        <v/>
      </c>
      <c r="AX168" s="101">
        <f>(AS168+AV168+AW168)/3</f>
        <v/>
      </c>
    </row>
    <row r="169" ht="12.75" customHeight="1">
      <c r="G169" s="100">
        <f>100*(F169-E169)/F169</f>
        <v/>
      </c>
      <c r="P169" s="100">
        <f>O169/I169</f>
        <v/>
      </c>
      <c r="AA169" s="103">
        <f>IF(X169&lt;33,IF(Y169&gt;(1.1*X169),0,1),1)+IF(Y169&gt;(4*X169),-1,0)</f>
        <v/>
      </c>
      <c r="AC169" s="101">
        <f>IF(AB169&gt;9,1,0)+AB169/3+IF(AB169&gt;15,1,0)+IF(AB169&gt;20,1,0)</f>
        <v/>
      </c>
      <c r="AG169" s="101">
        <f>IF(G169&lt;0,0,1.2)+IF(G169&lt;14,0,0.9)+IF(P169&lt;0,0.7,0)+IF(P169&lt;6.5,1,0)+IF(P169&lt;23,1,0)+IF(R169&gt;80,0,1)+S169+IF(AD169&lt;20,0,1)+IF(AE169&lt;14,0,1)+IF(AF169&lt;26,0,1)</f>
        <v/>
      </c>
      <c r="AH169" s="101">
        <f>AG169+IF(AG169&gt;6,1,0)+IF(X169&lt;17,0,1)+IF(Y169&lt;11,0,1)+IF(Z169&lt;1.35,0,1)+AC169+AA169</f>
        <v/>
      </c>
      <c r="AJ169" s="104">
        <f>IF(AI169&gt;12.8,IF(AI169&gt;15.8,0.95,0.98),1)</f>
        <v/>
      </c>
      <c r="AK169" s="101">
        <f>((AG169*2.6+AH169)*AJ169*AQ169)</f>
        <v/>
      </c>
      <c r="AL169" s="50">
        <f>D169</f>
        <v/>
      </c>
      <c r="AM169" s="97">
        <f>B169</f>
        <v/>
      </c>
      <c r="AP169" s="100">
        <f>IF(AK169&gt;23.2,IF(Y169&lt;300,IF(Y169&lt;35,IF(Y169&lt;8,3,2),1),0),0)</f>
        <v/>
      </c>
      <c r="AR169" s="100">
        <f>IF(AO169=1,IF(AO169=AL169,1,0),5)</f>
        <v/>
      </c>
      <c r="AX169" s="101">
        <f>(AS169+AV169+AW169)/3</f>
        <v/>
      </c>
    </row>
    <row r="170" ht="12.75" customHeight="1">
      <c r="G170" s="100">
        <f>100*(F170-E170)/F170</f>
        <v/>
      </c>
      <c r="P170" s="100">
        <f>O170/I170</f>
        <v/>
      </c>
      <c r="AA170" s="103">
        <f>IF(X170&lt;33,IF(Y170&gt;(1.1*X170),0,1),1)+IF(Y170&gt;(4*X170),-1,0)</f>
        <v/>
      </c>
      <c r="AC170" s="101">
        <f>IF(AB170&gt;9,1,0)+AB170/3+IF(AB170&gt;15,1,0)+IF(AB170&gt;20,1,0)</f>
        <v/>
      </c>
      <c r="AG170" s="101">
        <f>IF(G170&lt;0,0,1.2)+IF(G170&lt;14,0,0.9)+IF(P170&lt;0,0.7,0)+IF(P170&lt;6.5,1,0)+IF(P170&lt;23,1,0)+IF(R170&gt;80,0,1)+S170+IF(AD170&lt;20,0,1)+IF(AE170&lt;14,0,1)+IF(AF170&lt;26,0,1)</f>
        <v/>
      </c>
      <c r="AH170" s="101">
        <f>AG170+IF(AG170&gt;6,1,0)+IF(X170&lt;17,0,1)+IF(Y170&lt;11,0,1)+IF(Z170&lt;1.35,0,1)+AC170+AA170</f>
        <v/>
      </c>
      <c r="AJ170" s="104">
        <f>IF(AI170&gt;12.8,IF(AI170&gt;15.8,0.95,0.98),1)</f>
        <v/>
      </c>
      <c r="AK170" s="101">
        <f>((AG170*2.6+AH170)*AJ170*AQ170)</f>
        <v/>
      </c>
      <c r="AL170" s="50">
        <f>D170</f>
        <v/>
      </c>
      <c r="AM170" s="97">
        <f>B170</f>
        <v/>
      </c>
      <c r="AP170" s="100">
        <f>IF(AK170&gt;23.2,IF(Y170&lt;300,IF(Y170&lt;35,IF(Y170&lt;8,3,2),1),0),0)</f>
        <v/>
      </c>
      <c r="AR170" s="100">
        <f>IF(AO170=1,IF(AO170=AL170,1,0),5)</f>
        <v/>
      </c>
      <c r="AX170" s="101">
        <f>(AS170+AV170+AW170)/3</f>
        <v/>
      </c>
    </row>
    <row r="171" ht="12.75" customHeight="1">
      <c r="G171" s="100">
        <f>100*(F171-E171)/F171</f>
        <v/>
      </c>
      <c r="P171" s="100">
        <f>O171/I171</f>
        <v/>
      </c>
      <c r="AA171" s="103">
        <f>IF(X171&lt;33,IF(Y171&gt;(1.1*X171),0,1),1)+IF(Y171&gt;(4*X171),-1,0)</f>
        <v/>
      </c>
      <c r="AC171" s="101">
        <f>IF(AB171&gt;9,1,0)+AB171/3+IF(AB171&gt;15,1,0)+IF(AB171&gt;20,1,0)</f>
        <v/>
      </c>
      <c r="AG171" s="101">
        <f>IF(G171&lt;0,0,1.2)+IF(G171&lt;14,0,0.9)+IF(P171&lt;0,0.7,0)+IF(P171&lt;6.5,1,0)+IF(P171&lt;23,1,0)+IF(R171&gt;80,0,1)+S171+IF(AD171&lt;20,0,1)+IF(AE171&lt;14,0,1)+IF(AF171&lt;26,0,1)</f>
        <v/>
      </c>
      <c r="AH171" s="101">
        <f>AG171+IF(AG171&gt;6,1,0)+IF(X171&lt;17,0,1)+IF(Y171&lt;11,0,1)+IF(Z171&lt;1.35,0,1)+AC171+AA171</f>
        <v/>
      </c>
      <c r="AJ171" s="104">
        <f>IF(AI171&gt;12.8,IF(AI171&gt;15.8,0.95,0.98),1)</f>
        <v/>
      </c>
      <c r="AK171" s="101">
        <f>((AG171*2.6+AH171)*AJ171*AQ171)</f>
        <v/>
      </c>
      <c r="AL171" s="50">
        <f>D171</f>
        <v/>
      </c>
      <c r="AM171" s="97">
        <f>B171</f>
        <v/>
      </c>
      <c r="AP171" s="100">
        <f>IF(AK171&gt;23.2,IF(Y171&lt;300,IF(Y171&lt;35,IF(Y171&lt;8,3,2),1),0),0)</f>
        <v/>
      </c>
      <c r="AR171" s="100">
        <f>IF(AO171=1,IF(AO171=AL171,1,0),5)</f>
        <v/>
      </c>
      <c r="AX171" s="101">
        <f>(AS171+AV171+AW171)/3</f>
        <v/>
      </c>
    </row>
    <row r="172" ht="12.75" customHeight="1">
      <c r="G172" s="100">
        <f>100*(F172-E172)/F172</f>
        <v/>
      </c>
      <c r="P172" s="100">
        <f>O172/I172</f>
        <v/>
      </c>
      <c r="AA172" s="103">
        <f>IF(X172&lt;33,IF(Y172&gt;(1.1*X172),0,1),1)+IF(Y172&gt;(4*X172),-1,0)</f>
        <v/>
      </c>
      <c r="AC172" s="101">
        <f>IF(AB172&gt;9,1,0)+AB172/3+IF(AB172&gt;15,1,0)+IF(AB172&gt;20,1,0)</f>
        <v/>
      </c>
      <c r="AG172" s="101">
        <f>IF(G172&lt;0,0,1.2)+IF(G172&lt;14,0,0.9)+IF(P172&lt;0,0.7,0)+IF(P172&lt;6.5,1,0)+IF(P172&lt;23,1,0)+IF(R172&gt;80,0,1)+S172+IF(AD172&lt;20,0,1)+IF(AE172&lt;14,0,1)+IF(AF172&lt;26,0,1)</f>
        <v/>
      </c>
      <c r="AH172" s="101">
        <f>AG172+IF(AG172&gt;6,1,0)+IF(X172&lt;17,0,1)+IF(Y172&lt;11,0,1)+IF(Z172&lt;1.35,0,1)+AC172+AA172</f>
        <v/>
      </c>
      <c r="AJ172" s="104">
        <f>IF(AI172&gt;12.8,IF(AI172&gt;15.8,0.95,0.98),1)</f>
        <v/>
      </c>
      <c r="AK172" s="101">
        <f>((AG172*2.6+AH172)*AJ172*AQ172)</f>
        <v/>
      </c>
      <c r="AL172" s="50">
        <f>D172</f>
        <v/>
      </c>
      <c r="AM172" s="97">
        <f>B172</f>
        <v/>
      </c>
      <c r="AP172" s="100">
        <f>IF(AK172&gt;23.2,IF(Y172&lt;300,IF(Y172&lt;35,IF(Y172&lt;8,3,2),1),0),0)</f>
        <v/>
      </c>
      <c r="AR172" s="100">
        <f>IF(AO172=1,IF(AO172=AL172,1,0),5)</f>
        <v/>
      </c>
      <c r="AX172" s="101">
        <f>(AS172+AV172+AW172)/3</f>
        <v/>
      </c>
    </row>
    <row r="173" ht="12.75" customHeight="1">
      <c r="G173" s="100">
        <f>100*(F173-E173)/F173</f>
        <v/>
      </c>
      <c r="P173" s="100">
        <f>O173/I173</f>
        <v/>
      </c>
      <c r="AA173" s="103">
        <f>IF(X173&lt;33,IF(Y173&gt;(1.1*X173),0,1),1)+IF(Y173&gt;(4*X173),-1,0)</f>
        <v/>
      </c>
      <c r="AC173" s="101">
        <f>IF(AB173&gt;9,1,0)+AB173/3+IF(AB173&gt;15,1,0)+IF(AB173&gt;20,1,0)</f>
        <v/>
      </c>
      <c r="AG173" s="101">
        <f>IF(G173&lt;0,0,1.2)+IF(G173&lt;14,0,0.9)+IF(P173&lt;0,0.7,0)+IF(P173&lt;6.5,1,0)+IF(P173&lt;23,1,0)+IF(R173&gt;80,0,1)+S173+IF(AD173&lt;20,0,1)+IF(AE173&lt;14,0,1)+IF(AF173&lt;26,0,1)</f>
        <v/>
      </c>
      <c r="AH173" s="101">
        <f>AG173+IF(AG173&gt;6,1,0)+IF(X173&lt;17,0,1)+IF(Y173&lt;11,0,1)+IF(Z173&lt;1.35,0,1)+AC173+AA173</f>
        <v/>
      </c>
      <c r="AJ173" s="104">
        <f>IF(AI173&gt;12.8,IF(AI173&gt;15.8,0.95,0.98),1)</f>
        <v/>
      </c>
      <c r="AK173" s="101">
        <f>((AG173*2.6+AH173)*AJ173*AQ173)</f>
        <v/>
      </c>
      <c r="AL173" s="50">
        <f>D173</f>
        <v/>
      </c>
      <c r="AM173" s="97">
        <f>B173</f>
        <v/>
      </c>
      <c r="AP173" s="100">
        <f>IF(AK173&gt;23.2,IF(Y173&lt;300,IF(Y173&lt;35,IF(Y173&lt;8,3,2),1),0),0)</f>
        <v/>
      </c>
      <c r="AR173" s="100">
        <f>IF(AO173=1,IF(AO173=AL173,1,0),5)</f>
        <v/>
      </c>
      <c r="AX173" s="101">
        <f>(AS173+AV173+AW173)/3</f>
        <v/>
      </c>
    </row>
    <row r="174" ht="12.75" customHeight="1">
      <c r="G174" s="100">
        <f>100*(F174-E174)/F174</f>
        <v/>
      </c>
      <c r="P174" s="100">
        <f>O174/I174</f>
        <v/>
      </c>
      <c r="AA174" s="103">
        <f>IF(X174&lt;33,IF(Y174&gt;(1.1*X174),0,1),1)+IF(Y174&gt;(4*X174),-1,0)</f>
        <v/>
      </c>
      <c r="AC174" s="101">
        <f>IF(AB174&gt;9,1,0)+AB174/3+IF(AB174&gt;15,1,0)+IF(AB174&gt;20,1,0)</f>
        <v/>
      </c>
      <c r="AG174" s="101">
        <f>IF(G174&lt;0,0,1.2)+IF(G174&lt;14,0,0.9)+IF(P174&lt;0,0.7,0)+IF(P174&lt;6.5,1,0)+IF(P174&lt;23,1,0)+IF(R174&gt;80,0,1)+S174+IF(AD174&lt;20,0,1)+IF(AE174&lt;14,0,1)+IF(AF174&lt;26,0,1)</f>
        <v/>
      </c>
      <c r="AH174" s="101">
        <f>AG174+IF(AG174&gt;6,1,0)+IF(X174&lt;17,0,1)+IF(Y174&lt;11,0,1)+IF(Z174&lt;1.35,0,1)+AC174+AA174</f>
        <v/>
      </c>
      <c r="AJ174" s="104">
        <f>IF(AI174&gt;12.8,IF(AI174&gt;15.8,0.95,0.98),1)</f>
        <v/>
      </c>
      <c r="AK174" s="101">
        <f>((AG174*2.6+AH174)*AJ174*AQ174)</f>
        <v/>
      </c>
      <c r="AL174" s="50">
        <f>D174</f>
        <v/>
      </c>
      <c r="AM174" s="97">
        <f>B174</f>
        <v/>
      </c>
      <c r="AP174" s="100">
        <f>IF(AK174&gt;23.2,IF(Y174&lt;300,IF(Y174&lt;35,IF(Y174&lt;8,3,2),1),0),0)</f>
        <v/>
      </c>
      <c r="AR174" s="100">
        <f>IF(AO174=1,IF(AO174=AL174,1,0),5)</f>
        <v/>
      </c>
      <c r="AX174" s="101">
        <f>(AS174+AV174+AW174)/3</f>
        <v/>
      </c>
    </row>
    <row r="175" ht="12.75" customHeight="1">
      <c r="G175" s="100">
        <f>100*(F175-E175)/F175</f>
        <v/>
      </c>
      <c r="P175" s="100">
        <f>O175/I175</f>
        <v/>
      </c>
      <c r="AA175" s="103">
        <f>IF(X175&lt;33,IF(Y175&gt;(1.1*X175),0,1),1)+IF(Y175&gt;(4*X175),-1,0)</f>
        <v/>
      </c>
      <c r="AC175" s="101">
        <f>IF(AB175&gt;9,1,0)+AB175/3+IF(AB175&gt;15,1,0)+IF(AB175&gt;20,1,0)</f>
        <v/>
      </c>
      <c r="AG175" s="101">
        <f>IF(G175&lt;0,0,1.2)+IF(G175&lt;14,0,0.9)+IF(P175&lt;0,0.7,0)+IF(P175&lt;6.5,1,0)+IF(P175&lt;23,1,0)+IF(R175&gt;80,0,1)+S175+IF(AD175&lt;20,0,1)+IF(AE175&lt;14,0,1)+IF(AF175&lt;26,0,1)</f>
        <v/>
      </c>
      <c r="AH175" s="101">
        <f>AG175+IF(AG175&gt;6,1,0)+IF(X175&lt;17,0,1)+IF(Y175&lt;11,0,1)+IF(Z175&lt;1.35,0,1)+AC175+AA175</f>
        <v/>
      </c>
      <c r="AJ175" s="104">
        <f>IF(AI175&gt;12.8,IF(AI175&gt;15.8,0.95,0.98),1)</f>
        <v/>
      </c>
      <c r="AK175" s="101">
        <f>((AG175*2.6+AH175)*AJ175*AQ175)</f>
        <v/>
      </c>
      <c r="AL175" s="50">
        <f>D175</f>
        <v/>
      </c>
      <c r="AM175" s="97">
        <f>B175</f>
        <v/>
      </c>
      <c r="AP175" s="100">
        <f>IF(AK175&gt;23.2,IF(Y175&lt;300,IF(Y175&lt;35,IF(Y175&lt;8,3,2),1),0),0)</f>
        <v/>
      </c>
      <c r="AR175" s="100">
        <f>IF(AO175=1,IF(AO175=AL175,1,0),5)</f>
        <v/>
      </c>
      <c r="AX175" s="101">
        <f>(AS175+AV175+AW175)/3</f>
        <v/>
      </c>
    </row>
    <row r="176" ht="12.75" customHeight="1">
      <c r="G176" s="100">
        <f>100*(F176-E176)/F176</f>
        <v/>
      </c>
      <c r="P176" s="100">
        <f>O176/I176</f>
        <v/>
      </c>
      <c r="AA176" s="103">
        <f>IF(X176&lt;33,IF(Y176&gt;(1.1*X176),0,1),1)+IF(Y176&gt;(4*X176),-1,0)</f>
        <v/>
      </c>
      <c r="AC176" s="101">
        <f>IF(AB176&gt;9,1,0)+AB176/3+IF(AB176&gt;15,1,0)+IF(AB176&gt;20,1,0)</f>
        <v/>
      </c>
      <c r="AG176" s="101">
        <f>IF(G176&lt;0,0,1.2)+IF(G176&lt;14,0,0.9)+IF(P176&lt;0,0.7,0)+IF(P176&lt;6.5,1,0)+IF(P176&lt;23,1,0)+IF(R176&gt;80,0,1)+S176+IF(AD176&lt;20,0,1)+IF(AE176&lt;14,0,1)+IF(AF176&lt;26,0,1)</f>
        <v/>
      </c>
      <c r="AH176" s="101">
        <f>AG176+IF(AG176&gt;6,1,0)+IF(X176&lt;17,0,1)+IF(Y176&lt;11,0,1)+IF(Z176&lt;1.35,0,1)+AC176+AA176</f>
        <v/>
      </c>
      <c r="AJ176" s="104">
        <f>IF(AI176&gt;12.8,IF(AI176&gt;15.8,0.95,0.98),1)</f>
        <v/>
      </c>
      <c r="AK176" s="101">
        <f>((AG176*2.6+AH176)*AJ176*AQ176)</f>
        <v/>
      </c>
      <c r="AL176" s="50">
        <f>D176</f>
        <v/>
      </c>
      <c r="AM176" s="97">
        <f>B176</f>
        <v/>
      </c>
      <c r="AP176" s="100">
        <f>IF(AK176&gt;23.2,IF(Y176&lt;300,IF(Y176&lt;35,IF(Y176&lt;8,3,2),1),0),0)</f>
        <v/>
      </c>
      <c r="AR176" s="100">
        <f>IF(AO176=1,IF(AO176=AL176,1,0),5)</f>
        <v/>
      </c>
      <c r="AX176" s="101">
        <f>(AS176+AV176+AW176)/3</f>
        <v/>
      </c>
    </row>
    <row r="177" ht="12.75" customHeight="1">
      <c r="G177" s="100">
        <f>100*(F177-E177)/F177</f>
        <v/>
      </c>
      <c r="P177" s="100">
        <f>O177/I177</f>
        <v/>
      </c>
      <c r="AA177" s="103">
        <f>IF(X177&lt;33,IF(Y177&gt;(1.1*X177),0,1),1)+IF(Y177&gt;(4*X177),-1,0)</f>
        <v/>
      </c>
      <c r="AC177" s="101">
        <f>IF(AB177&gt;9,1,0)+AB177/3+IF(AB177&gt;15,1,0)+IF(AB177&gt;20,1,0)</f>
        <v/>
      </c>
      <c r="AG177" s="101">
        <f>IF(G177&lt;0,0,1.2)+IF(G177&lt;14,0,0.9)+IF(P177&lt;0,0.7,0)+IF(P177&lt;6.5,1,0)+IF(P177&lt;23,1,0)+IF(R177&gt;80,0,1)+S177+IF(AD177&lt;20,0,1)+IF(AE177&lt;14,0,1)+IF(AF177&lt;26,0,1)</f>
        <v/>
      </c>
      <c r="AH177" s="101">
        <f>AG177+IF(AG177&gt;6,1,0)+IF(X177&lt;17,0,1)+IF(Y177&lt;11,0,1)+IF(Z177&lt;1.35,0,1)+AC177+AA177</f>
        <v/>
      </c>
      <c r="AJ177" s="104">
        <f>IF(AI177&gt;12.8,IF(AI177&gt;15.8,0.95,0.98),1)</f>
        <v/>
      </c>
      <c r="AK177" s="101">
        <f>((AG177*2.6+AH177)*AJ177*AQ177)</f>
        <v/>
      </c>
      <c r="AL177" s="50">
        <f>D177</f>
        <v/>
      </c>
      <c r="AM177" s="97">
        <f>B177</f>
        <v/>
      </c>
      <c r="AP177" s="100">
        <f>IF(AK177&gt;23.2,IF(Y177&lt;300,IF(Y177&lt;35,IF(Y177&lt;8,3,2),1),0),0)</f>
        <v/>
      </c>
      <c r="AR177" s="100">
        <f>IF(AO177=1,IF(AO177=AL177,1,0),5)</f>
        <v/>
      </c>
      <c r="AX177" s="101">
        <f>(AS177+AV177+AW177)/3</f>
        <v/>
      </c>
    </row>
    <row r="178" ht="12.75" customHeight="1">
      <c r="G178" s="100">
        <f>100*(F178-E178)/F178</f>
        <v/>
      </c>
      <c r="P178" s="100">
        <f>O178/I178</f>
        <v/>
      </c>
      <c r="AA178" s="103">
        <f>IF(X178&lt;33,IF(Y178&gt;(1.1*X178),0,1),1)+IF(Y178&gt;(4*X178),-1,0)</f>
        <v/>
      </c>
      <c r="AC178" s="101">
        <f>IF(AB178&gt;9,1,0)+AB178/3+IF(AB178&gt;15,1,0)+IF(AB178&gt;20,1,0)</f>
        <v/>
      </c>
      <c r="AG178" s="101">
        <f>IF(G178&lt;0,0,1.2)+IF(G178&lt;14,0,0.9)+IF(P178&lt;0,0.7,0)+IF(P178&lt;6.5,1,0)+IF(P178&lt;23,1,0)+IF(R178&gt;80,0,1)+S178+IF(AD178&lt;20,0,1)+IF(AE178&lt;14,0,1)+IF(AF178&lt;26,0,1)</f>
        <v/>
      </c>
      <c r="AH178" s="101">
        <f>AG178+IF(AG178&gt;6,1,0)+IF(X178&lt;17,0,1)+IF(Y178&lt;11,0,1)+IF(Z178&lt;1.35,0,1)+AC178+AA178</f>
        <v/>
      </c>
      <c r="AJ178" s="104">
        <f>IF(AI178&gt;12.8,IF(AI178&gt;15.8,0.95,0.98),1)</f>
        <v/>
      </c>
      <c r="AK178" s="101">
        <f>((AG178*2.6+AH178)*AJ178*AQ178)</f>
        <v/>
      </c>
      <c r="AL178" s="50">
        <f>D178</f>
        <v/>
      </c>
      <c r="AM178" s="97">
        <f>B178</f>
        <v/>
      </c>
      <c r="AP178" s="100">
        <f>IF(AK178&gt;23.2,IF(Y178&lt;300,IF(Y178&lt;35,IF(Y178&lt;8,3,2),1),0),0)</f>
        <v/>
      </c>
      <c r="AR178" s="100">
        <f>IF(AO178=1,IF(AO178=AL178,1,0),5)</f>
        <v/>
      </c>
      <c r="AX178" s="101">
        <f>(AS178+AV178+AW178)/3</f>
        <v/>
      </c>
    </row>
    <row r="179" ht="12.75" customHeight="1">
      <c r="G179" s="100">
        <f>100*(F179-E179)/F179</f>
        <v/>
      </c>
      <c r="P179" s="100">
        <f>O179/I179</f>
        <v/>
      </c>
      <c r="AA179" s="103">
        <f>IF(X179&lt;33,IF(Y179&gt;(1.1*X179),0,1),1)+IF(Y179&gt;(4*X179),-1,0)</f>
        <v/>
      </c>
      <c r="AC179" s="101">
        <f>IF(AB179&gt;9,1,0)+AB179/3+IF(AB179&gt;15,1,0)+IF(AB179&gt;20,1,0)</f>
        <v/>
      </c>
      <c r="AG179" s="101">
        <f>IF(G179&lt;0,0,1.2)+IF(G179&lt;14,0,0.9)+IF(P179&lt;0,0.7,0)+IF(P179&lt;6.5,1,0)+IF(P179&lt;23,1,0)+IF(R179&gt;80,0,1)+S179+IF(AD179&lt;20,0,1)+IF(AE179&lt;14,0,1)+IF(AF179&lt;26,0,1)</f>
        <v/>
      </c>
      <c r="AH179" s="101">
        <f>AG179+IF(AG179&gt;6,1,0)+IF(X179&lt;17,0,1)+IF(Y179&lt;11,0,1)+IF(Z179&lt;1.35,0,1)+AC179+AA179</f>
        <v/>
      </c>
      <c r="AJ179" s="104">
        <f>IF(AI179&gt;12.8,IF(AI179&gt;15.8,0.95,0.98),1)</f>
        <v/>
      </c>
      <c r="AK179" s="101">
        <f>((AG179*2.6+AH179)*AJ179*AQ179)</f>
        <v/>
      </c>
      <c r="AL179" s="50">
        <f>D179</f>
        <v/>
      </c>
      <c r="AM179" s="97">
        <f>B179</f>
        <v/>
      </c>
      <c r="AP179" s="100">
        <f>IF(AK179&gt;23.2,IF(Y179&lt;300,IF(Y179&lt;35,IF(Y179&lt;8,3,2),1),0),0)</f>
        <v/>
      </c>
      <c r="AR179" s="100">
        <f>IF(AO179=1,IF(AO179=AL179,1,0),5)</f>
        <v/>
      </c>
      <c r="AX179" s="101">
        <f>(AS179+AV179+AW179)/3</f>
        <v/>
      </c>
    </row>
    <row r="180" ht="12.75" customHeight="1">
      <c r="G180" s="100">
        <f>100*(F180-E180)/F180</f>
        <v/>
      </c>
      <c r="P180" s="100">
        <f>O180/I180</f>
        <v/>
      </c>
      <c r="AA180" s="103">
        <f>IF(X180&lt;33,IF(Y180&gt;(1.1*X180),0,1),1)+IF(Y180&gt;(4*X180),-1,0)</f>
        <v/>
      </c>
      <c r="AC180" s="101">
        <f>IF(AB180&gt;9,1,0)+AB180/3+IF(AB180&gt;15,1,0)+IF(AB180&gt;20,1,0)</f>
        <v/>
      </c>
      <c r="AG180" s="101">
        <f>IF(G180&lt;0,0,1.2)+IF(G180&lt;14,0,0.9)+IF(P180&lt;0,0.7,0)+IF(P180&lt;6.5,1,0)+IF(P180&lt;23,1,0)+IF(R180&gt;80,0,1)+S180+IF(AD180&lt;20,0,1)+IF(AE180&lt;14,0,1)+IF(AF180&lt;26,0,1)</f>
        <v/>
      </c>
      <c r="AH180" s="101">
        <f>AG180+IF(AG180&gt;6,1,0)+IF(X180&lt;17,0,1)+IF(Y180&lt;11,0,1)+IF(Z180&lt;1.35,0,1)+AC180+AA180</f>
        <v/>
      </c>
      <c r="AJ180" s="104">
        <f>IF(AI180&gt;12.8,IF(AI180&gt;15.8,0.95,0.98),1)</f>
        <v/>
      </c>
      <c r="AK180" s="101">
        <f>((AG180*2.6+AH180)*AJ180*AQ180)</f>
        <v/>
      </c>
      <c r="AL180" s="50">
        <f>D180</f>
        <v/>
      </c>
      <c r="AM180" s="97">
        <f>B180</f>
        <v/>
      </c>
      <c r="AP180" s="100">
        <f>IF(AK180&gt;23.2,IF(Y180&lt;300,IF(Y180&lt;35,IF(Y180&lt;8,3,2),1),0),0)</f>
        <v/>
      </c>
      <c r="AR180" s="100">
        <f>IF(AO180=1,IF(AO180=AL180,1,0),5)</f>
        <v/>
      </c>
      <c r="AX180" s="101">
        <f>(AS180+AV180+AW180)/3</f>
        <v/>
      </c>
    </row>
    <row r="181" ht="12.75" customHeight="1">
      <c r="G181" s="100">
        <f>100*(F181-E181)/F181</f>
        <v/>
      </c>
      <c r="P181" s="100">
        <f>O181/I181</f>
        <v/>
      </c>
      <c r="AA181" s="103">
        <f>IF(X181&lt;33,IF(Y181&gt;(1.1*X181),0,1),1)+IF(Y181&gt;(4*X181),-1,0)</f>
        <v/>
      </c>
      <c r="AC181" s="101">
        <f>IF(AB181&gt;9,1,0)+AB181/3+IF(AB181&gt;15,1,0)+IF(AB181&gt;20,1,0)</f>
        <v/>
      </c>
      <c r="AG181" s="101">
        <f>IF(G181&lt;0,0,1.2)+IF(G181&lt;14,0,0.9)+IF(P181&lt;0,0.7,0)+IF(P181&lt;6.5,1,0)+IF(P181&lt;23,1,0)+IF(R181&gt;80,0,1)+S181+IF(AD181&lt;20,0,1)+IF(AE181&lt;14,0,1)+IF(AF181&lt;26,0,1)</f>
        <v/>
      </c>
      <c r="AH181" s="101">
        <f>AG181+IF(AG181&gt;6,1,0)+IF(X181&lt;17,0,1)+IF(Y181&lt;11,0,1)+IF(Z181&lt;1.35,0,1)+AC181+AA181</f>
        <v/>
      </c>
      <c r="AJ181" s="104">
        <f>IF(AI181&gt;12.8,IF(AI181&gt;15.8,0.95,0.98),1)</f>
        <v/>
      </c>
      <c r="AK181" s="101">
        <f>((AG181*2.6+AH181)*AJ181*AQ181)</f>
        <v/>
      </c>
      <c r="AL181" s="50">
        <f>D181</f>
        <v/>
      </c>
      <c r="AM181" s="97">
        <f>B181</f>
        <v/>
      </c>
      <c r="AP181" s="100">
        <f>IF(AK181&gt;23.2,IF(Y181&lt;300,IF(Y181&lt;35,IF(Y181&lt;8,3,2),1),0),0)</f>
        <v/>
      </c>
      <c r="AR181" s="100">
        <f>IF(AO181=1,IF(AO181=AL181,1,0),5)</f>
        <v/>
      </c>
      <c r="AX181" s="101">
        <f>(AS181+AV181+AW181)/3</f>
        <v/>
      </c>
    </row>
    <row r="182" ht="12.75" customHeight="1">
      <c r="G182" s="100">
        <f>100*(F182-E182)/F182</f>
        <v/>
      </c>
      <c r="P182" s="100">
        <f>O182/I182</f>
        <v/>
      </c>
      <c r="AA182" s="103">
        <f>IF(X182&lt;33,IF(Y182&gt;(1.1*X182),0,1),1)+IF(Y182&gt;(4*X182),-1,0)</f>
        <v/>
      </c>
      <c r="AC182" s="101">
        <f>IF(AB182&gt;9,1,0)+AB182/3+IF(AB182&gt;15,1,0)+IF(AB182&gt;20,1,0)</f>
        <v/>
      </c>
      <c r="AG182" s="101">
        <f>IF(G182&lt;0,0,1.2)+IF(G182&lt;14,0,0.9)+IF(P182&lt;0,0.7,0)+IF(P182&lt;6.5,1,0)+IF(P182&lt;23,1,0)+IF(R182&gt;80,0,1)+S182+IF(AD182&lt;20,0,1)+IF(AE182&lt;14,0,1)+IF(AF182&lt;26,0,1)</f>
        <v/>
      </c>
      <c r="AH182" s="101">
        <f>AG182+IF(AG182&gt;6,1,0)+IF(X182&lt;17,0,1)+IF(Y182&lt;11,0,1)+IF(Z182&lt;1.35,0,1)+AC182+AA182</f>
        <v/>
      </c>
      <c r="AJ182" s="104">
        <f>IF(AI182&gt;12.8,IF(AI182&gt;15.8,0.95,0.98),1)</f>
        <v/>
      </c>
      <c r="AK182" s="101">
        <f>((AG182*2.6+AH182)*AJ182*AQ182)</f>
        <v/>
      </c>
      <c r="AL182" s="50">
        <f>D182</f>
        <v/>
      </c>
      <c r="AM182" s="97">
        <f>B182</f>
        <v/>
      </c>
      <c r="AP182" s="100">
        <f>IF(AK182&gt;23.2,IF(Y182&lt;300,IF(Y182&lt;35,IF(Y182&lt;8,3,2),1),0),0)</f>
        <v/>
      </c>
      <c r="AR182" s="100">
        <f>IF(AO182=1,IF(AO182=AL182,1,0),5)</f>
        <v/>
      </c>
      <c r="AX182" s="101">
        <f>(AS182+AV182+AW182)/3</f>
        <v/>
      </c>
    </row>
    <row r="183" ht="12.75" customHeight="1">
      <c r="G183" s="100">
        <f>100*(F183-E183)/F183</f>
        <v/>
      </c>
      <c r="P183" s="100">
        <f>O183/I183</f>
        <v/>
      </c>
      <c r="AA183" s="103">
        <f>IF(X183&lt;33,IF(Y183&gt;(1.1*X183),0,1),1)+IF(Y183&gt;(4*X183),-1,0)</f>
        <v/>
      </c>
      <c r="AC183" s="101">
        <f>IF(AB183&gt;9,1,0)+AB183/3+IF(AB183&gt;15,1,0)+IF(AB183&gt;20,1,0)</f>
        <v/>
      </c>
      <c r="AG183" s="101">
        <f>IF(G183&lt;0,0,1.2)+IF(G183&lt;14,0,0.9)+IF(P183&lt;0,0.7,0)+IF(P183&lt;6.5,1,0)+IF(P183&lt;23,1,0)+IF(R183&gt;80,0,1)+S183+IF(AD183&lt;20,0,1)+IF(AE183&lt;14,0,1)+IF(AF183&lt;26,0,1)</f>
        <v/>
      </c>
      <c r="AH183" s="101">
        <f>AG183+IF(AG183&gt;6,1,0)+IF(X183&lt;17,0,1)+IF(Y183&lt;11,0,1)+IF(Z183&lt;1.35,0,1)+AC183+AA183</f>
        <v/>
      </c>
      <c r="AJ183" s="104">
        <f>IF(AI183&gt;12.8,IF(AI183&gt;15.8,0.95,0.98),1)</f>
        <v/>
      </c>
      <c r="AK183" s="101">
        <f>((AG183*2.6+AH183)*AJ183*AQ183)</f>
        <v/>
      </c>
      <c r="AL183" s="50">
        <f>D183</f>
        <v/>
      </c>
      <c r="AM183" s="97">
        <f>B183</f>
        <v/>
      </c>
      <c r="AP183" s="100">
        <f>IF(AK183&gt;23.2,IF(Y183&lt;300,IF(Y183&lt;35,IF(Y183&lt;8,3,2),1),0),0)</f>
        <v/>
      </c>
      <c r="AR183" s="100">
        <f>IF(AO183=1,IF(AO183=AL183,1,0),5)</f>
        <v/>
      </c>
      <c r="AX183" s="101">
        <f>(AS183+AV183+AW183)/3</f>
        <v/>
      </c>
    </row>
    <row r="184" ht="12.75" customHeight="1">
      <c r="G184" s="100">
        <f>100*(F184-E184)/F184</f>
        <v/>
      </c>
      <c r="P184" s="100">
        <f>O184/I184</f>
        <v/>
      </c>
      <c r="AA184" s="103">
        <f>IF(X184&lt;33,IF(Y184&gt;(1.1*X184),0,1),1)+IF(Y184&gt;(4*X184),-1,0)</f>
        <v/>
      </c>
      <c r="AC184" s="101">
        <f>IF(AB184&gt;9,1,0)+AB184/3+IF(AB184&gt;15,1,0)+IF(AB184&gt;20,1,0)</f>
        <v/>
      </c>
      <c r="AG184" s="101">
        <f>IF(G184&lt;0,0,1.2)+IF(G184&lt;14,0,0.9)+IF(P184&lt;0,0.7,0)+IF(P184&lt;6.5,1,0)+IF(P184&lt;23,1,0)+IF(R184&gt;80,0,1)+S184+IF(AD184&lt;20,0,1)+IF(AE184&lt;14,0,1)+IF(AF184&lt;26,0,1)</f>
        <v/>
      </c>
      <c r="AH184" s="101">
        <f>AG184+IF(AG184&gt;6,1,0)+IF(X184&lt;17,0,1)+IF(Y184&lt;11,0,1)+IF(Z184&lt;1.35,0,1)+AC184+AA184</f>
        <v/>
      </c>
      <c r="AJ184" s="104">
        <f>IF(AI184&gt;12.8,IF(AI184&gt;15.8,0.95,0.98),1)</f>
        <v/>
      </c>
      <c r="AK184" s="101">
        <f>((AG184*2.6+AH184)*AJ184*AQ184)</f>
        <v/>
      </c>
      <c r="AL184" s="50">
        <f>D184</f>
        <v/>
      </c>
      <c r="AM184" s="97">
        <f>B184</f>
        <v/>
      </c>
      <c r="AP184" s="100">
        <f>IF(AK184&gt;23.2,IF(Y184&lt;300,IF(Y184&lt;35,IF(Y184&lt;8,3,2),1),0),0)</f>
        <v/>
      </c>
      <c r="AR184" s="100">
        <f>IF(AO184=1,IF(AO184=AL184,1,0),5)</f>
        <v/>
      </c>
      <c r="AX184" s="101">
        <f>(AS184+AV184+AW184)/3</f>
        <v/>
      </c>
    </row>
    <row r="185" ht="12.75" customHeight="1">
      <c r="G185" s="100">
        <f>100*(F185-E185)/F185</f>
        <v/>
      </c>
      <c r="P185" s="100">
        <f>O185/I185</f>
        <v/>
      </c>
      <c r="AA185" s="103">
        <f>IF(X185&lt;33,IF(Y185&gt;(1.1*X185),0,1),1)+IF(Y185&gt;(4*X185),-1,0)</f>
        <v/>
      </c>
      <c r="AC185" s="101">
        <f>IF(AB185&gt;9,1,0)+AB185/3+IF(AB185&gt;15,1,0)+IF(AB185&gt;20,1,0)</f>
        <v/>
      </c>
      <c r="AG185" s="101">
        <f>IF(G185&lt;0,0,1.2)+IF(G185&lt;14,0,0.9)+IF(P185&lt;0,0.7,0)+IF(P185&lt;6.5,1,0)+IF(P185&lt;23,1,0)+IF(R185&gt;80,0,1)+S185+IF(AD185&lt;20,0,1)+IF(AE185&lt;14,0,1)+IF(AF185&lt;26,0,1)</f>
        <v/>
      </c>
      <c r="AH185" s="101">
        <f>AG185+IF(AG185&gt;6,1,0)+IF(X185&lt;17,0,1)+IF(Y185&lt;11,0,1)+IF(Z185&lt;1.35,0,1)+AC185+AA185</f>
        <v/>
      </c>
      <c r="AJ185" s="104">
        <f>IF(AI185&gt;12.8,IF(AI185&gt;15.8,0.95,0.98),1)</f>
        <v/>
      </c>
      <c r="AK185" s="101">
        <f>((AG185*2.6+AH185)*AJ185*AQ185)</f>
        <v/>
      </c>
      <c r="AL185" s="50">
        <f>D185</f>
        <v/>
      </c>
      <c r="AM185" s="97">
        <f>B185</f>
        <v/>
      </c>
      <c r="AP185" s="100">
        <f>IF(AK185&gt;23.2,IF(Y185&lt;300,IF(Y185&lt;35,IF(Y185&lt;8,3,2),1),0),0)</f>
        <v/>
      </c>
      <c r="AR185" s="100">
        <f>IF(AO185=1,IF(AO185=AL185,1,0),5)</f>
        <v/>
      </c>
      <c r="AX185" s="101">
        <f>(AS185+AV185+AW185)/3</f>
        <v/>
      </c>
    </row>
    <row r="186" ht="12.75" customHeight="1">
      <c r="G186" s="100">
        <f>100*(F186-E186)/F186</f>
        <v/>
      </c>
      <c r="P186" s="100">
        <f>O186/I186</f>
        <v/>
      </c>
      <c r="AA186" s="103">
        <f>IF(X186&lt;33,IF(Y186&gt;(1.1*X186),0,1),1)+IF(Y186&gt;(4*X186),-1,0)</f>
        <v/>
      </c>
      <c r="AC186" s="101">
        <f>IF(AB186&gt;9,1,0)+AB186/3+IF(AB186&gt;15,1,0)+IF(AB186&gt;20,1,0)</f>
        <v/>
      </c>
      <c r="AG186" s="101">
        <f>IF(G186&lt;0,0,1.2)+IF(G186&lt;14,0,0.9)+IF(P186&lt;0,0.7,0)+IF(P186&lt;6.5,1,0)+IF(P186&lt;23,1,0)+IF(R186&gt;80,0,1)+S186+IF(AD186&lt;20,0,1)+IF(AE186&lt;14,0,1)+IF(AF186&lt;26,0,1)</f>
        <v/>
      </c>
      <c r="AH186" s="101">
        <f>AG186+IF(AG186&gt;6,1,0)+IF(X186&lt;17,0,1)+IF(Y186&lt;11,0,1)+IF(Z186&lt;1.35,0,1)+AC186+AA186</f>
        <v/>
      </c>
      <c r="AJ186" s="104">
        <f>IF(AI186&gt;12.8,IF(AI186&gt;15.8,0.95,0.98),1)</f>
        <v/>
      </c>
      <c r="AK186" s="101">
        <f>((AG186*2.6+AH186)*AJ186*AQ186)</f>
        <v/>
      </c>
      <c r="AL186" s="50">
        <f>D186</f>
        <v/>
      </c>
      <c r="AM186" s="97">
        <f>B186</f>
        <v/>
      </c>
      <c r="AP186" s="100">
        <f>IF(AK186&gt;23.2,IF(Y186&lt;300,IF(Y186&lt;35,IF(Y186&lt;8,3,2),1),0),0)</f>
        <v/>
      </c>
      <c r="AR186" s="100">
        <f>IF(AO186=1,IF(AO186=AL186,1,0),5)</f>
        <v/>
      </c>
      <c r="AX186" s="101">
        <f>(AS186+AV186+AW186)/3</f>
        <v/>
      </c>
    </row>
    <row r="187" ht="12.75" customHeight="1">
      <c r="G187" s="100">
        <f>100*(F187-E187)/F187</f>
        <v/>
      </c>
      <c r="P187" s="100">
        <f>O187/I187</f>
        <v/>
      </c>
      <c r="AA187" s="103">
        <f>IF(X187&lt;33,IF(Y187&gt;(1.1*X187),0,1),1)+IF(Y187&gt;(4*X187),-1,0)</f>
        <v/>
      </c>
      <c r="AC187" s="101">
        <f>IF(AB187&gt;9,1,0)+AB187/3+IF(AB187&gt;15,1,0)+IF(AB187&gt;20,1,0)</f>
        <v/>
      </c>
      <c r="AG187" s="101">
        <f>IF(G187&lt;0,0,1.2)+IF(G187&lt;14,0,0.9)+IF(P187&lt;0,0.7,0)+IF(P187&lt;6.5,1,0)+IF(P187&lt;23,1,0)+IF(R187&gt;80,0,1)+S187+IF(AD187&lt;20,0,1)+IF(AE187&lt;14,0,1)+IF(AF187&lt;26,0,1)</f>
        <v/>
      </c>
      <c r="AH187" s="101">
        <f>AG187+IF(AG187&gt;6,1,0)+IF(X187&lt;17,0,1)+IF(Y187&lt;11,0,1)+IF(Z187&lt;1.35,0,1)+AC187+AA187</f>
        <v/>
      </c>
      <c r="AJ187" s="104">
        <f>IF(AI187&gt;12.8,IF(AI187&gt;15.8,0.95,0.98),1)</f>
        <v/>
      </c>
      <c r="AK187" s="101">
        <f>((AG187*2.6+AH187)*AJ187*AQ187)</f>
        <v/>
      </c>
      <c r="AL187" s="50">
        <f>D187</f>
        <v/>
      </c>
      <c r="AM187" s="97">
        <f>B187</f>
        <v/>
      </c>
      <c r="AP187" s="100">
        <f>IF(AK187&gt;23.2,IF(Y187&lt;300,IF(Y187&lt;35,IF(Y187&lt;8,3,2),1),0),0)</f>
        <v/>
      </c>
      <c r="AR187" s="100">
        <f>IF(AO187=1,IF(AO187=AL187,1,0),5)</f>
        <v/>
      </c>
      <c r="AX187" s="101">
        <f>(AS187+AV187+AW187)/3</f>
        <v/>
      </c>
    </row>
    <row r="188" ht="12.75" customHeight="1">
      <c r="G188" s="100">
        <f>100*(F188-E188)/F188</f>
        <v/>
      </c>
      <c r="P188" s="100">
        <f>O188/I188</f>
        <v/>
      </c>
      <c r="AA188" s="103">
        <f>IF(X188&lt;33,IF(Y188&gt;(1.1*X188),0,1),1)+IF(Y188&gt;(4*X188),-1,0)</f>
        <v/>
      </c>
      <c r="AC188" s="101">
        <f>IF(AB188&gt;9,1,0)+AB188/3+IF(AB188&gt;15,1,0)+IF(AB188&gt;20,1,0)</f>
        <v/>
      </c>
      <c r="AG188" s="101">
        <f>IF(G188&lt;0,0,1.2)+IF(G188&lt;14,0,0.9)+IF(P188&lt;0,0.7,0)+IF(P188&lt;6.5,1,0)+IF(P188&lt;23,1,0)+IF(R188&gt;80,0,1)+S188+IF(AD188&lt;20,0,1)+IF(AE188&lt;14,0,1)+IF(AF188&lt;26,0,1)</f>
        <v/>
      </c>
      <c r="AH188" s="101">
        <f>AG188+IF(AG188&gt;6,1,0)+IF(X188&lt;17,0,1)+IF(Y188&lt;11,0,1)+IF(Z188&lt;1.35,0,1)+AC188+AA188</f>
        <v/>
      </c>
      <c r="AJ188" s="104">
        <f>IF(AI188&gt;12.8,IF(AI188&gt;15.8,0.95,0.98),1)</f>
        <v/>
      </c>
      <c r="AK188" s="101">
        <f>((AG188*2.6+AH188)*AJ188*AQ188)</f>
        <v/>
      </c>
      <c r="AL188" s="50">
        <f>D188</f>
        <v/>
      </c>
      <c r="AM188" s="97">
        <f>B188</f>
        <v/>
      </c>
      <c r="AP188" s="100">
        <f>IF(AK188&gt;23.2,IF(Y188&lt;300,IF(Y188&lt;35,IF(Y188&lt;8,3,2),1),0),0)</f>
        <v/>
      </c>
      <c r="AR188" s="100">
        <f>IF(AO188=1,IF(AO188=AL188,1,0),5)</f>
        <v/>
      </c>
      <c r="AX188" s="101">
        <f>(AS188+AV188+AW188)/3</f>
        <v/>
      </c>
    </row>
    <row r="189" ht="12.75" customHeight="1">
      <c r="G189" s="100">
        <f>100*(F189-E189)/F189</f>
        <v/>
      </c>
      <c r="P189" s="100">
        <f>O189/I189</f>
        <v/>
      </c>
      <c r="AA189" s="103">
        <f>IF(X189&lt;33,IF(Y189&gt;(1.1*X189),0,1),1)+IF(Y189&gt;(4*X189),-1,0)</f>
        <v/>
      </c>
      <c r="AC189" s="101">
        <f>IF(AB189&gt;9,1,0)+AB189/3+IF(AB189&gt;15,1,0)+IF(AB189&gt;20,1,0)</f>
        <v/>
      </c>
      <c r="AG189" s="101">
        <f>IF(G189&lt;0,0,1.2)+IF(G189&lt;14,0,0.9)+IF(P189&lt;0,0.7,0)+IF(P189&lt;6.5,1,0)+IF(P189&lt;23,1,0)+IF(R189&gt;80,0,1)+S189+IF(AD189&lt;20,0,1)+IF(AE189&lt;14,0,1)+IF(AF189&lt;26,0,1)</f>
        <v/>
      </c>
      <c r="AH189" s="101">
        <f>AG189+IF(AG189&gt;6,1,0)+IF(X189&lt;17,0,1)+IF(Y189&lt;11,0,1)+IF(Z189&lt;1.35,0,1)+AC189+AA189</f>
        <v/>
      </c>
      <c r="AJ189" s="104">
        <f>IF(AI189&gt;12.8,IF(AI189&gt;15.8,0.95,0.98),1)</f>
        <v/>
      </c>
      <c r="AK189" s="101">
        <f>((AG189*2.6+AH189)*AJ189*AQ189)</f>
        <v/>
      </c>
      <c r="AL189" s="50">
        <f>D189</f>
        <v/>
      </c>
      <c r="AM189" s="97">
        <f>B189</f>
        <v/>
      </c>
      <c r="AP189" s="100">
        <f>IF(AK189&gt;23.2,IF(Y189&lt;300,IF(Y189&lt;35,IF(Y189&lt;8,3,2),1),0),0)</f>
        <v/>
      </c>
      <c r="AR189" s="100">
        <f>IF(AO189=1,IF(AO189=AL189,1,0),5)</f>
        <v/>
      </c>
      <c r="AX189" s="101">
        <f>(AS189+AV189+AW189)/3</f>
        <v/>
      </c>
    </row>
    <row r="190" ht="12.75" customHeight="1">
      <c r="G190" s="100">
        <f>100*(F190-E190)/F190</f>
        <v/>
      </c>
      <c r="P190" s="100">
        <f>O190/I190</f>
        <v/>
      </c>
      <c r="AA190" s="103">
        <f>IF(X190&lt;33,IF(Y190&gt;(1.1*X190),0,1),1)+IF(Y190&gt;(4*X190),-1,0)</f>
        <v/>
      </c>
      <c r="AC190" s="101">
        <f>IF(AB190&gt;9,1,0)+AB190/3+IF(AB190&gt;15,1,0)+IF(AB190&gt;20,1,0)</f>
        <v/>
      </c>
      <c r="AG190" s="101">
        <f>IF(G190&lt;0,0,1.2)+IF(G190&lt;14,0,0.9)+IF(P190&lt;0,0.7,0)+IF(P190&lt;6.5,1,0)+IF(P190&lt;23,1,0)+IF(R190&gt;80,0,1)+S190+IF(AD190&lt;20,0,1)+IF(AE190&lt;14,0,1)+IF(AF190&lt;26,0,1)</f>
        <v/>
      </c>
      <c r="AH190" s="101">
        <f>AG190+IF(AG190&gt;6,1,0)+IF(X190&lt;17,0,1)+IF(Y190&lt;11,0,1)+IF(Z190&lt;1.35,0,1)+AC190+AA190</f>
        <v/>
      </c>
      <c r="AJ190" s="104">
        <f>IF(AI190&gt;12.8,IF(AI190&gt;15.8,0.95,0.98),1)</f>
        <v/>
      </c>
      <c r="AK190" s="101">
        <f>((AG190*2.6+AH190)*AJ190*AQ190)</f>
        <v/>
      </c>
      <c r="AL190" s="50">
        <f>D190</f>
        <v/>
      </c>
      <c r="AM190" s="97">
        <f>B190</f>
        <v/>
      </c>
      <c r="AP190" s="100">
        <f>IF(AK190&gt;23.2,IF(Y190&lt;300,IF(Y190&lt;35,IF(Y190&lt;8,3,2),1),0),0)</f>
        <v/>
      </c>
      <c r="AR190" s="100">
        <f>IF(AO190=1,IF(AO190=AL190,1,0),5)</f>
        <v/>
      </c>
      <c r="AX190" s="101">
        <f>(AS190+AV190+AW190)/3</f>
        <v/>
      </c>
    </row>
    <row r="191" ht="12.75" customHeight="1">
      <c r="G191" s="100">
        <f>100*(F191-E191)/F191</f>
        <v/>
      </c>
      <c r="P191" s="100">
        <f>O191/I191</f>
        <v/>
      </c>
      <c r="AA191" s="103">
        <f>IF(X191&lt;33,IF(Y191&gt;(1.1*X191),0,1),1)+IF(Y191&gt;(4*X191),-1,0)</f>
        <v/>
      </c>
      <c r="AC191" s="101">
        <f>IF(AB191&gt;9,1,0)+AB191/3+IF(AB191&gt;15,1,0)+IF(AB191&gt;20,1,0)</f>
        <v/>
      </c>
      <c r="AG191" s="101">
        <f>IF(G191&lt;0,0,1.2)+IF(G191&lt;14,0,0.9)+IF(P191&lt;0,0.7,0)+IF(P191&lt;6.5,1,0)+IF(P191&lt;23,1,0)+IF(R191&gt;80,0,1)+S191+IF(AD191&lt;20,0,1)+IF(AE191&lt;14,0,1)+IF(AF191&lt;26,0,1)</f>
        <v/>
      </c>
      <c r="AH191" s="101">
        <f>AG191+IF(AG191&gt;6,1,0)+IF(X191&lt;17,0,1)+IF(Y191&lt;11,0,1)+IF(Z191&lt;1.35,0,1)+AC191+AA191</f>
        <v/>
      </c>
      <c r="AJ191" s="104">
        <f>IF(AI191&gt;12.8,IF(AI191&gt;15.8,0.95,0.98),1)</f>
        <v/>
      </c>
      <c r="AK191" s="101">
        <f>((AG191*2.6+AH191)*AJ191*AQ191)</f>
        <v/>
      </c>
      <c r="AL191" s="50">
        <f>D191</f>
        <v/>
      </c>
      <c r="AM191" s="97">
        <f>B191</f>
        <v/>
      </c>
      <c r="AP191" s="100">
        <f>IF(AK191&gt;23.2,IF(Y191&lt;300,IF(Y191&lt;35,IF(Y191&lt;8,3,2),1),0),0)</f>
        <v/>
      </c>
      <c r="AR191" s="100">
        <f>IF(AO191=1,IF(AO191=AL191,1,0),5)</f>
        <v/>
      </c>
      <c r="AX191" s="101">
        <f>(AS191+AV191+AW191)/3</f>
        <v/>
      </c>
    </row>
    <row r="192" ht="12.75" customHeight="1">
      <c r="G192" s="100">
        <f>100*(F192-E192)/F192</f>
        <v/>
      </c>
      <c r="P192" s="100">
        <f>O192/I192</f>
        <v/>
      </c>
      <c r="AA192" s="103">
        <f>IF(X192&lt;33,IF(Y192&gt;(1.1*X192),0,1),1)+IF(Y192&gt;(4*X192),-1,0)</f>
        <v/>
      </c>
      <c r="AC192" s="101">
        <f>IF(AB192&gt;9,1,0)+AB192/3+IF(AB192&gt;15,1,0)+IF(AB192&gt;20,1,0)</f>
        <v/>
      </c>
      <c r="AG192" s="101">
        <f>IF(G192&lt;0,0,1.2)+IF(G192&lt;14,0,0.9)+IF(P192&lt;0,0.7,0)+IF(P192&lt;6.5,1,0)+IF(P192&lt;23,1,0)+IF(R192&gt;80,0,1)+S192+IF(AD192&lt;20,0,1)+IF(AE192&lt;14,0,1)+IF(AF192&lt;26,0,1)</f>
        <v/>
      </c>
      <c r="AH192" s="101">
        <f>AG192+IF(AG192&gt;6,1,0)+IF(X192&lt;17,0,1)+IF(Y192&lt;11,0,1)+IF(Z192&lt;1.35,0,1)+AC192+AA192</f>
        <v/>
      </c>
      <c r="AJ192" s="104">
        <f>IF(AI192&gt;12.8,IF(AI192&gt;15.8,0.95,0.98),1)</f>
        <v/>
      </c>
      <c r="AK192" s="101">
        <f>((AG192*2.6+AH192)*AJ192*AQ192)</f>
        <v/>
      </c>
      <c r="AL192" s="50">
        <f>D192</f>
        <v/>
      </c>
      <c r="AM192" s="97">
        <f>B192</f>
        <v/>
      </c>
      <c r="AP192" s="100">
        <f>IF(AK192&gt;23.2,IF(Y192&lt;300,IF(Y192&lt;35,IF(Y192&lt;8,3,2),1),0),0)</f>
        <v/>
      </c>
      <c r="AR192" s="100">
        <f>IF(AO192=1,IF(AO192=AL192,1,0),5)</f>
        <v/>
      </c>
      <c r="AX192" s="101">
        <f>(AS192+AV192+AW192)/3</f>
        <v/>
      </c>
    </row>
    <row r="193" ht="12.75" customHeight="1">
      <c r="G193" s="100">
        <f>100*(F193-E193)/F193</f>
        <v/>
      </c>
      <c r="P193" s="100">
        <f>O193/I193</f>
        <v/>
      </c>
      <c r="AA193" s="103">
        <f>IF(X193&lt;33,IF(Y193&gt;(1.1*X193),0,1),1)+IF(Y193&gt;(4*X193),-1,0)</f>
        <v/>
      </c>
      <c r="AC193" s="101">
        <f>IF(AB193&gt;9,1,0)+AB193/3+IF(AB193&gt;15,1,0)+IF(AB193&gt;20,1,0)</f>
        <v/>
      </c>
      <c r="AG193" s="101">
        <f>IF(G193&lt;0,0,1.2)+IF(G193&lt;14,0,0.9)+IF(P193&lt;0,0.7,0)+IF(P193&lt;6.5,1,0)+IF(P193&lt;23,1,0)+IF(R193&gt;80,0,1)+S193+IF(AD193&lt;20,0,1)+IF(AE193&lt;14,0,1)+IF(AF193&lt;26,0,1)</f>
        <v/>
      </c>
      <c r="AH193" s="101">
        <f>AG193+IF(AG193&gt;6,1,0)+IF(X193&lt;17,0,1)+IF(Y193&lt;11,0,1)+IF(Z193&lt;1.35,0,1)+AC193+AA193</f>
        <v/>
      </c>
      <c r="AJ193" s="104">
        <f>IF(AI193&gt;12.8,IF(AI193&gt;15.8,0.95,0.98),1)</f>
        <v/>
      </c>
      <c r="AK193" s="101">
        <f>((AG193*2.6+AH193)*AJ193*AQ193)</f>
        <v/>
      </c>
      <c r="AL193" s="50">
        <f>D193</f>
        <v/>
      </c>
      <c r="AM193" s="97">
        <f>B193</f>
        <v/>
      </c>
      <c r="AP193" s="100">
        <f>IF(AK193&gt;23.2,IF(Y193&lt;300,IF(Y193&lt;35,IF(Y193&lt;8,3,2),1),0),0)</f>
        <v/>
      </c>
      <c r="AR193" s="100">
        <f>IF(AO193=1,IF(AO193=AL193,1,0),5)</f>
        <v/>
      </c>
      <c r="AX193" s="101">
        <f>(AS193+AV193+AW193)/3</f>
        <v/>
      </c>
    </row>
    <row r="194" ht="12.75" customHeight="1">
      <c r="G194" s="100">
        <f>100*(F194-E194)/F194</f>
        <v/>
      </c>
      <c r="P194" s="100">
        <f>O194/I194</f>
        <v/>
      </c>
      <c r="AA194" s="103">
        <f>IF(X194&lt;33,IF(Y194&gt;(1.1*X194),0,1),1)+IF(Y194&gt;(4*X194),-1,0)</f>
        <v/>
      </c>
      <c r="AC194" s="101">
        <f>IF(AB194&gt;9,1,0)+AB194/3+IF(AB194&gt;15,1,0)+IF(AB194&gt;20,1,0)</f>
        <v/>
      </c>
      <c r="AG194" s="101">
        <f>IF(G194&lt;0,0,1.2)+IF(G194&lt;14,0,0.9)+IF(P194&lt;0,0.7,0)+IF(P194&lt;6.5,1,0)+IF(P194&lt;23,1,0)+IF(R194&gt;80,0,1)+S194+IF(AD194&lt;20,0,1)+IF(AE194&lt;14,0,1)+IF(AF194&lt;26,0,1)</f>
        <v/>
      </c>
      <c r="AH194" s="101">
        <f>AG194+IF(AG194&gt;6,1,0)+IF(X194&lt;17,0,1)+IF(Y194&lt;11,0,1)+IF(Z194&lt;1.35,0,1)+AC194+AA194</f>
        <v/>
      </c>
      <c r="AJ194" s="104">
        <f>IF(AI194&gt;12.8,IF(AI194&gt;15.8,0.95,0.98),1)</f>
        <v/>
      </c>
      <c r="AK194" s="101">
        <f>((AG194*2.6+AH194)*AJ194*AQ194)</f>
        <v/>
      </c>
      <c r="AL194" s="50">
        <f>D194</f>
        <v/>
      </c>
      <c r="AM194" s="97">
        <f>B194</f>
        <v/>
      </c>
      <c r="AP194" s="100">
        <f>IF(AK194&gt;23.2,IF(Y194&lt;300,IF(Y194&lt;35,IF(Y194&lt;8,3,2),1),0),0)</f>
        <v/>
      </c>
      <c r="AR194" s="100">
        <f>IF(AO194=1,IF(AO194=AL194,1,0),5)</f>
        <v/>
      </c>
      <c r="AX194" s="101">
        <f>(AS194+AV194+AW194)/3</f>
        <v/>
      </c>
    </row>
    <row r="195" ht="12.75" customHeight="1">
      <c r="G195" s="100">
        <f>100*(F195-E195)/F195</f>
        <v/>
      </c>
      <c r="P195" s="100">
        <f>O195/I195</f>
        <v/>
      </c>
      <c r="AA195" s="103">
        <f>IF(X195&lt;33,IF(Y195&gt;(1.1*X195),0,1),1)+IF(Y195&gt;(4*X195),-1,0)</f>
        <v/>
      </c>
      <c r="AC195" s="101">
        <f>IF(AB195&gt;9,1,0)+AB195/3+IF(AB195&gt;15,1,0)+IF(AB195&gt;20,1,0)</f>
        <v/>
      </c>
      <c r="AG195" s="101">
        <f>IF(G195&lt;0,0,1.2)+IF(G195&lt;14,0,0.9)+IF(P195&lt;0,0.7,0)+IF(P195&lt;6.5,1,0)+IF(P195&lt;23,1,0)+IF(R195&gt;80,0,1)+S195+IF(AD195&lt;20,0,1)+IF(AE195&lt;14,0,1)+IF(AF195&lt;26,0,1)</f>
        <v/>
      </c>
      <c r="AH195" s="101">
        <f>AG195+IF(AG195&gt;6,1,0)+IF(X195&lt;17,0,1)+IF(Y195&lt;11,0,1)+IF(Z195&lt;1.35,0,1)+AC195+AA195</f>
        <v/>
      </c>
      <c r="AJ195" s="104">
        <f>IF(AI195&gt;12.8,IF(AI195&gt;15.8,0.95,0.98),1)</f>
        <v/>
      </c>
      <c r="AK195" s="101">
        <f>((AG195*2.6+AH195)*AJ195*AQ195)</f>
        <v/>
      </c>
      <c r="AL195" s="50">
        <f>D195</f>
        <v/>
      </c>
      <c r="AM195" s="97">
        <f>B195</f>
        <v/>
      </c>
      <c r="AP195" s="100">
        <f>IF(AK195&gt;23.2,IF(Y195&lt;300,IF(Y195&lt;35,IF(Y195&lt;8,3,2),1),0),0)</f>
        <v/>
      </c>
      <c r="AR195" s="100">
        <f>IF(AO195=1,IF(AO195=AL195,1,0),5)</f>
        <v/>
      </c>
      <c r="AX195" s="101">
        <f>(AS195+AV195+AW195)/3</f>
        <v/>
      </c>
    </row>
    <row r="196" ht="12.75" customHeight="1">
      <c r="G196" s="100">
        <f>100*(F196-E196)/F196</f>
        <v/>
      </c>
      <c r="P196" s="100">
        <f>O196/I196</f>
        <v/>
      </c>
      <c r="AA196" s="103">
        <f>IF(X196&lt;33,IF(Y196&gt;(1.1*X196),0,1),1)+IF(Y196&gt;(4*X196),-1,0)</f>
        <v/>
      </c>
      <c r="AC196" s="101">
        <f>IF(AB196&gt;9,1,0)+AB196/3+IF(AB196&gt;15,1,0)+IF(AB196&gt;20,1,0)</f>
        <v/>
      </c>
      <c r="AG196" s="101">
        <f>IF(G196&lt;0,0,1.2)+IF(G196&lt;14,0,0.9)+IF(P196&lt;0,0.7,0)+IF(P196&lt;6.5,1,0)+IF(P196&lt;23,1,0)+IF(R196&gt;80,0,1)+S196+IF(AD196&lt;20,0,1)+IF(AE196&lt;14,0,1)+IF(AF196&lt;26,0,1)</f>
        <v/>
      </c>
      <c r="AH196" s="101">
        <f>AG196+IF(AG196&gt;6,1,0)+IF(X196&lt;17,0,1)+IF(Y196&lt;11,0,1)+IF(Z196&lt;1.35,0,1)+AC196+AA196</f>
        <v/>
      </c>
      <c r="AJ196" s="104">
        <f>IF(AI196&gt;12.8,IF(AI196&gt;15.8,0.95,0.98),1)</f>
        <v/>
      </c>
      <c r="AK196" s="101">
        <f>((AG196*2.6+AH196)*AJ196*AQ196)</f>
        <v/>
      </c>
      <c r="AL196" s="50">
        <f>D196</f>
        <v/>
      </c>
      <c r="AM196" s="97">
        <f>B196</f>
        <v/>
      </c>
      <c r="AP196" s="100">
        <f>IF(AK196&gt;23.2,IF(Y196&lt;300,IF(Y196&lt;35,IF(Y196&lt;8,3,2),1),0),0)</f>
        <v/>
      </c>
      <c r="AR196" s="100">
        <f>IF(AO196=1,IF(AO196=AL196,1,0),5)</f>
        <v/>
      </c>
      <c r="AX196" s="101">
        <f>(AS196+AV196+AW196)/3</f>
        <v/>
      </c>
    </row>
    <row r="197" ht="12.75" customHeight="1">
      <c r="G197" s="100">
        <f>100*(F197-E197)/F197</f>
        <v/>
      </c>
      <c r="P197" s="100">
        <f>O197/I197</f>
        <v/>
      </c>
      <c r="AA197" s="103">
        <f>IF(X197&lt;33,IF(Y197&gt;(1.1*X197),0,1),1)+IF(Y197&gt;(4*X197),-1,0)</f>
        <v/>
      </c>
      <c r="AC197" s="101">
        <f>IF(AB197&gt;9,1,0)+AB197/3+IF(AB197&gt;15,1,0)+IF(AB197&gt;20,1,0)</f>
        <v/>
      </c>
      <c r="AG197" s="101">
        <f>IF(G197&lt;0,0,1.2)+IF(G197&lt;14,0,0.9)+IF(P197&lt;0,0.7,0)+IF(P197&lt;6.5,1,0)+IF(P197&lt;23,1,0)+IF(R197&gt;80,0,1)+S197+IF(AD197&lt;20,0,1)+IF(AE197&lt;14,0,1)+IF(AF197&lt;26,0,1)</f>
        <v/>
      </c>
      <c r="AH197" s="101">
        <f>AG197+IF(AG197&gt;6,1,0)+IF(X197&lt;17,0,1)+IF(Y197&lt;11,0,1)+IF(Z197&lt;1.35,0,1)+AC197+AA197</f>
        <v/>
      </c>
      <c r="AJ197" s="104">
        <f>IF(AI197&gt;12.8,IF(AI197&gt;15.8,0.95,0.98),1)</f>
        <v/>
      </c>
      <c r="AK197" s="101">
        <f>((AG197*2.6+AH197)*AJ197*AQ197)</f>
        <v/>
      </c>
      <c r="AL197" s="50">
        <f>D197</f>
        <v/>
      </c>
      <c r="AM197" s="97">
        <f>B197</f>
        <v/>
      </c>
      <c r="AP197" s="100">
        <f>IF(AK197&gt;23.2,IF(Y197&lt;300,IF(Y197&lt;35,IF(Y197&lt;8,3,2),1),0),0)</f>
        <v/>
      </c>
      <c r="AR197" s="100">
        <f>IF(AO197=1,IF(AO197=AL197,1,0),5)</f>
        <v/>
      </c>
      <c r="AX197" s="101">
        <f>(AS197+AV197+AW197)/3</f>
        <v/>
      </c>
    </row>
    <row r="198" ht="12.75" customHeight="1">
      <c r="G198" s="100">
        <f>100*(F198-E198)/F198</f>
        <v/>
      </c>
      <c r="P198" s="100">
        <f>O198/I198</f>
        <v/>
      </c>
      <c r="AA198" s="103">
        <f>IF(X198&lt;33,IF(Y198&gt;(1.1*X198),0,1),1)+IF(Y198&gt;(4*X198),-1,0)</f>
        <v/>
      </c>
      <c r="AC198" s="101">
        <f>IF(AB198&gt;9,1,0)+AB198/3+IF(AB198&gt;15,1,0)+IF(AB198&gt;20,1,0)</f>
        <v/>
      </c>
      <c r="AG198" s="101">
        <f>IF(G198&lt;0,0,1.2)+IF(G198&lt;14,0,0.9)+IF(P198&lt;0,0.7,0)+IF(P198&lt;6.5,1,0)+IF(P198&lt;23,1,0)+IF(R198&gt;80,0,1)+S198+IF(AD198&lt;20,0,1)+IF(AE198&lt;14,0,1)+IF(AF198&lt;26,0,1)</f>
        <v/>
      </c>
      <c r="AH198" s="101">
        <f>AG198+IF(AG198&gt;6,1,0)+IF(X198&lt;17,0,1)+IF(Y198&lt;11,0,1)+IF(Z198&lt;1.35,0,1)+AC198+AA198</f>
        <v/>
      </c>
      <c r="AJ198" s="104">
        <f>IF(AI198&gt;12.8,IF(AI198&gt;15.8,0.95,0.98),1)</f>
        <v/>
      </c>
      <c r="AK198" s="101">
        <f>((AG198*2.6+AH198)*AJ198*AQ198)</f>
        <v/>
      </c>
      <c r="AL198" s="50">
        <f>D198</f>
        <v/>
      </c>
      <c r="AM198" s="97">
        <f>B198</f>
        <v/>
      </c>
      <c r="AP198" s="100">
        <f>IF(AK198&gt;23.2,IF(Y198&lt;300,IF(Y198&lt;35,IF(Y198&lt;8,3,2),1),0),0)</f>
        <v/>
      </c>
      <c r="AR198" s="100">
        <f>IF(AO198=1,IF(AO198=AL198,1,0),5)</f>
        <v/>
      </c>
      <c r="AX198" s="101">
        <f>(AS198+AV198+AW198)/3</f>
        <v/>
      </c>
    </row>
    <row r="199" ht="12.75" customHeight="1">
      <c r="G199" s="100">
        <f>100*(F199-E199)/F199</f>
        <v/>
      </c>
      <c r="P199" s="100">
        <f>O199/I199</f>
        <v/>
      </c>
      <c r="AA199" s="103">
        <f>IF(X199&lt;33,IF(Y199&gt;(1.1*X199),0,1),1)+IF(Y199&gt;(4*X199),-1,0)</f>
        <v/>
      </c>
      <c r="AC199" s="101">
        <f>IF(AB199&gt;9,1,0)+AB199/3+IF(AB199&gt;15,1,0)+IF(AB199&gt;20,1,0)</f>
        <v/>
      </c>
      <c r="AG199" s="101">
        <f>IF(G199&lt;0,0,1.2)+IF(G199&lt;14,0,0.9)+IF(P199&lt;0,0.7,0)+IF(P199&lt;6.5,1,0)+IF(P199&lt;23,1,0)+IF(R199&gt;80,0,1)+S199+IF(AD199&lt;20,0,1)+IF(AE199&lt;14,0,1)+IF(AF199&lt;26,0,1)</f>
        <v/>
      </c>
      <c r="AH199" s="101">
        <f>AG199+IF(AG199&gt;6,1,0)+IF(X199&lt;17,0,1)+IF(Y199&lt;11,0,1)+IF(Z199&lt;1.35,0,1)+AC199+AA199</f>
        <v/>
      </c>
      <c r="AJ199" s="104">
        <f>IF(AI199&gt;12.8,IF(AI199&gt;15.8,0.95,0.98),1)</f>
        <v/>
      </c>
      <c r="AK199" s="101">
        <f>((AG199*2.6+AH199)*AJ199*AQ199)</f>
        <v/>
      </c>
      <c r="AL199" s="50">
        <f>D199</f>
        <v/>
      </c>
      <c r="AM199" s="97">
        <f>B199</f>
        <v/>
      </c>
      <c r="AP199" s="100">
        <f>IF(AK199&gt;23.2,IF(Y199&lt;300,IF(Y199&lt;35,IF(Y199&lt;8,3,2),1),0),0)</f>
        <v/>
      </c>
      <c r="AR199" s="100">
        <f>IF(AO199=1,IF(AO199=AL199,1,0),5)</f>
        <v/>
      </c>
      <c r="AX199" s="101">
        <f>(AS199+AV199+AW199)/3</f>
        <v/>
      </c>
    </row>
    <row r="200" ht="12.75" customHeight="1">
      <c r="G200" s="100">
        <f>100*(F200-E200)/F200</f>
        <v/>
      </c>
      <c r="P200" s="100">
        <f>O200/I200</f>
        <v/>
      </c>
      <c r="AA200" s="103">
        <f>IF(X200&lt;33,IF(Y200&gt;(1.1*X200),0,1),1)+IF(Y200&gt;(4*X200),-1,0)</f>
        <v/>
      </c>
      <c r="AC200" s="101">
        <f>IF(AB200&gt;9,1,0)+AB200/3+IF(AB200&gt;15,1,0)+IF(AB200&gt;20,1,0)</f>
        <v/>
      </c>
      <c r="AG200" s="101">
        <f>IF(G200&lt;0,0,1.2)+IF(G200&lt;14,0,0.9)+IF(P200&lt;0,0.7,0)+IF(P200&lt;6.5,1,0)+IF(P200&lt;23,1,0)+IF(R200&gt;80,0,1)+S200+IF(AD200&lt;20,0,1)+IF(AE200&lt;14,0,1)+IF(AF200&lt;26,0,1)</f>
        <v/>
      </c>
      <c r="AH200" s="101">
        <f>AG200+IF(AG200&gt;6,1,0)+IF(X200&lt;17,0,1)+IF(Y200&lt;11,0,1)+IF(Z200&lt;1.35,0,1)+AC200+AA200</f>
        <v/>
      </c>
      <c r="AJ200" s="104">
        <f>IF(AI200&gt;12.8,IF(AI200&gt;15.8,0.95,0.98),1)</f>
        <v/>
      </c>
      <c r="AK200" s="101">
        <f>((AG200*2.6+AH200)*AJ200*AQ200)</f>
        <v/>
      </c>
      <c r="AL200" s="50">
        <f>D200</f>
        <v/>
      </c>
      <c r="AM200" s="97">
        <f>B200</f>
        <v/>
      </c>
      <c r="AP200" s="100">
        <f>IF(AK200&gt;23.2,IF(Y200&lt;300,IF(Y200&lt;35,IF(Y200&lt;8,3,2),1),0),0)</f>
        <v/>
      </c>
      <c r="AR200" s="100">
        <f>IF(AO200=1,IF(AO200=AL200,1,0),5)</f>
        <v/>
      </c>
      <c r="AX200" s="101">
        <f>(AS200+AV200+AW200)/3</f>
        <v/>
      </c>
    </row>
    <row r="201" ht="12.75" customHeight="1">
      <c r="G201" s="100">
        <f>100*(F201-E201)/F201</f>
        <v/>
      </c>
      <c r="P201" s="100">
        <f>O201/I201</f>
        <v/>
      </c>
      <c r="AA201" s="103">
        <f>IF(X201&lt;33,IF(Y201&gt;(1.1*X201),0,1),1)+IF(Y201&gt;(4*X201),-1,0)</f>
        <v/>
      </c>
      <c r="AC201" s="101">
        <f>IF(AB201&gt;9,1,0)+AB201/3+IF(AB201&gt;15,1,0)+IF(AB201&gt;20,1,0)</f>
        <v/>
      </c>
      <c r="AG201" s="101">
        <f>IF(G201&lt;0,0,1.2)+IF(G201&lt;14,0,0.9)+IF(P201&lt;0,0.7,0)+IF(P201&lt;6.5,1,0)+IF(P201&lt;23,1,0)+IF(R201&gt;80,0,1)+S201+IF(AD201&lt;20,0,1)+IF(AE201&lt;14,0,1)+IF(AF201&lt;26,0,1)</f>
        <v/>
      </c>
      <c r="AH201" s="101">
        <f>AG201+IF(AG201&gt;6,1,0)+IF(X201&lt;17,0,1)+IF(Y201&lt;11,0,1)+IF(Z201&lt;1.35,0,1)+AC201+AA201</f>
        <v/>
      </c>
      <c r="AJ201" s="104">
        <f>IF(AI201&gt;12.8,IF(AI201&gt;15.8,0.95,0.98),1)</f>
        <v/>
      </c>
      <c r="AK201" s="101">
        <f>((AG201*2.6+AH201)*AJ201*AQ201)</f>
        <v/>
      </c>
      <c r="AL201" s="50">
        <f>D201</f>
        <v/>
      </c>
      <c r="AM201" s="97">
        <f>B201</f>
        <v/>
      </c>
      <c r="AP201" s="100">
        <f>IF(AK201&gt;23.2,IF(Y201&lt;300,IF(Y201&lt;35,IF(Y201&lt;8,3,2),1),0),0)</f>
        <v/>
      </c>
      <c r="AR201" s="100">
        <f>IF(AO201=1,IF(AO201=AL201,1,0),5)</f>
        <v/>
      </c>
      <c r="AX201" s="101">
        <f>(AS201+AV201+AW201)/3</f>
        <v/>
      </c>
    </row>
    <row r="202" ht="12.75" customHeight="1">
      <c r="G202" s="100">
        <f>100*(F202-E202)/F202</f>
        <v/>
      </c>
      <c r="P202" s="100">
        <f>O202/I202</f>
        <v/>
      </c>
      <c r="AA202" s="103">
        <f>IF(X202&lt;33,IF(Y202&gt;(1.1*X202),0,1),1)+IF(Y202&gt;(4*X202),-1,0)</f>
        <v/>
      </c>
      <c r="AC202" s="101">
        <f>IF(AB202&gt;9,1,0)+AB202/3+IF(AB202&gt;15,1,0)+IF(AB202&gt;20,1,0)</f>
        <v/>
      </c>
      <c r="AG202" s="101">
        <f>IF(G202&lt;0,0,1.2)+IF(G202&lt;14,0,0.9)+IF(P202&lt;0,0.7,0)+IF(P202&lt;6.5,1,0)+IF(P202&lt;23,1,0)+IF(R202&gt;80,0,1)+S202+IF(AD202&lt;20,0,1)+IF(AE202&lt;14,0,1)+IF(AF202&lt;26,0,1)</f>
        <v/>
      </c>
      <c r="AH202" s="101">
        <f>AG202+IF(AG202&gt;6,1,0)+IF(X202&lt;17,0,1)+IF(Y202&lt;11,0,1)+IF(Z202&lt;1.35,0,1)+AC202+AA202</f>
        <v/>
      </c>
      <c r="AJ202" s="104">
        <f>IF(AI202&gt;12.8,IF(AI202&gt;15.8,0.95,0.98),1)</f>
        <v/>
      </c>
      <c r="AK202" s="101">
        <f>((AG202*2.6+AH202)*AJ202*AQ202)</f>
        <v/>
      </c>
      <c r="AL202" s="50">
        <f>D202</f>
        <v/>
      </c>
      <c r="AM202" s="97">
        <f>B202</f>
        <v/>
      </c>
      <c r="AP202" s="100">
        <f>IF(AK202&gt;23.2,IF(Y202&lt;300,IF(Y202&lt;35,IF(Y202&lt;8,3,2),1),0),0)</f>
        <v/>
      </c>
      <c r="AR202" s="100">
        <f>IF(AO202=1,IF(AO202=AL202,1,0),5)</f>
        <v/>
      </c>
      <c r="AX202" s="101">
        <f>(AS202+AV202+AW202)/3</f>
        <v/>
      </c>
    </row>
    <row r="203" ht="12.75" customHeight="1">
      <c r="G203" s="100">
        <f>100*(F203-E203)/F203</f>
        <v/>
      </c>
      <c r="P203" s="100">
        <f>O203/I203</f>
        <v/>
      </c>
      <c r="AA203" s="103">
        <f>IF(X203&lt;33,IF(Y203&gt;(1.1*X203),0,1),1)+IF(Y203&gt;(4*X203),-1,0)</f>
        <v/>
      </c>
      <c r="AC203" s="101">
        <f>IF(AB203&gt;9,1,0)+AB203/3+IF(AB203&gt;15,1,0)+IF(AB203&gt;20,1,0)</f>
        <v/>
      </c>
      <c r="AG203" s="101">
        <f>IF(G203&lt;0,0,1.2)+IF(G203&lt;14,0,0.9)+IF(P203&lt;0,0.7,0)+IF(P203&lt;6.5,1,0)+IF(P203&lt;23,1,0)+IF(R203&gt;80,0,1)+S203+IF(AD203&lt;20,0,1)+IF(AE203&lt;14,0,1)+IF(AF203&lt;26,0,1)</f>
        <v/>
      </c>
      <c r="AH203" s="101">
        <f>AG203+IF(AG203&gt;6,1,0)+IF(X203&lt;17,0,1)+IF(Y203&lt;11,0,1)+IF(Z203&lt;1.35,0,1)+AC203+AA203</f>
        <v/>
      </c>
      <c r="AJ203" s="104">
        <f>IF(AI203&gt;12.8,IF(AI203&gt;15.8,0.95,0.98),1)</f>
        <v/>
      </c>
      <c r="AK203" s="101">
        <f>((AG203*2.6+AH203)*AJ203*AQ203)</f>
        <v/>
      </c>
      <c r="AL203" s="50">
        <f>D203</f>
        <v/>
      </c>
      <c r="AM203" s="97">
        <f>B203</f>
        <v/>
      </c>
      <c r="AP203" s="100">
        <f>IF(AK203&gt;23.2,IF(Y203&lt;300,IF(Y203&lt;35,IF(Y203&lt;8,3,2),1),0),0)</f>
        <v/>
      </c>
      <c r="AR203" s="100">
        <f>IF(AO203=1,IF(AO203=AL203,1,0),5)</f>
        <v/>
      </c>
      <c r="AX203" s="101">
        <f>(AS203+AV203+AW203)/3</f>
        <v/>
      </c>
    </row>
    <row r="204" ht="12.75" customHeight="1">
      <c r="G204" s="100">
        <f>100*(F204-E204)/F204</f>
        <v/>
      </c>
      <c r="P204" s="100">
        <f>O204/I204</f>
        <v/>
      </c>
      <c r="AA204" s="103">
        <f>IF(X204&lt;33,IF(Y204&gt;(1.1*X204),0,1),1)+IF(Y204&gt;(4*X204),-1,0)</f>
        <v/>
      </c>
      <c r="AC204" s="101">
        <f>IF(AB204&gt;9,1,0)+AB204/3+IF(AB204&gt;15,1,0)+IF(AB204&gt;20,1,0)</f>
        <v/>
      </c>
      <c r="AG204" s="101">
        <f>IF(G204&lt;0,0,1.2)+IF(G204&lt;14,0,0.9)+IF(P204&lt;0,0.7,0)+IF(P204&lt;6.5,1,0)+IF(P204&lt;23,1,0)+IF(R204&gt;80,0,1)+S204+IF(AD204&lt;20,0,1)+IF(AE204&lt;14,0,1)+IF(AF204&lt;26,0,1)</f>
        <v/>
      </c>
      <c r="AH204" s="101">
        <f>AG204+IF(AG204&gt;6,1,0)+IF(X204&lt;17,0,1)+IF(Y204&lt;11,0,1)+IF(Z204&lt;1.35,0,1)+AC204+AA204</f>
        <v/>
      </c>
      <c r="AJ204" s="104">
        <f>IF(AI204&gt;12.8,IF(AI204&gt;15.8,0.95,0.98),1)</f>
        <v/>
      </c>
      <c r="AK204" s="101">
        <f>((AG204*2.6+AH204)*AJ204*AQ204)</f>
        <v/>
      </c>
      <c r="AL204" s="50">
        <f>D204</f>
        <v/>
      </c>
      <c r="AM204" s="97">
        <f>B204</f>
        <v/>
      </c>
      <c r="AP204" s="100">
        <f>IF(AK204&gt;23.2,IF(Y204&lt;300,IF(Y204&lt;35,IF(Y204&lt;8,3,2),1),0),0)</f>
        <v/>
      </c>
      <c r="AR204" s="100">
        <f>IF(AO204=1,IF(AO204=AL204,1,0),5)</f>
        <v/>
      </c>
      <c r="AX204" s="101">
        <f>(AS204+AV204+AW204)/3</f>
        <v/>
      </c>
    </row>
    <row r="205" ht="12.75" customHeight="1">
      <c r="G205" s="100">
        <f>100*(F205-E205)/F205</f>
        <v/>
      </c>
      <c r="P205" s="100">
        <f>O205/I205</f>
        <v/>
      </c>
      <c r="AA205" s="103">
        <f>IF(X205&lt;33,IF(Y205&gt;(1.1*X205),0,1),1)+IF(Y205&gt;(4*X205),-1,0)</f>
        <v/>
      </c>
      <c r="AC205" s="101">
        <f>IF(AB205&gt;9,1,0)+AB205/3+IF(AB205&gt;15,1,0)+IF(AB205&gt;20,1,0)</f>
        <v/>
      </c>
      <c r="AG205" s="101">
        <f>IF(G205&lt;0,0,1.2)+IF(G205&lt;14,0,0.9)+IF(P205&lt;0,0.7,0)+IF(P205&lt;6.5,1,0)+IF(P205&lt;23,1,0)+IF(R205&gt;80,0,1)+S205+IF(AD205&lt;20,0,1)+IF(AE205&lt;14,0,1)+IF(AF205&lt;26,0,1)</f>
        <v/>
      </c>
      <c r="AH205" s="101">
        <f>AG205+IF(AG205&gt;6,1,0)+IF(X205&lt;17,0,1)+IF(Y205&lt;11,0,1)+IF(Z205&lt;1.35,0,1)+AC205+AA205</f>
        <v/>
      </c>
      <c r="AJ205" s="104">
        <f>IF(AI205&gt;12.8,IF(AI205&gt;15.8,0.95,0.98),1)</f>
        <v/>
      </c>
      <c r="AK205" s="101">
        <f>((AG205*2.6+AH205)*AJ205*AQ205)</f>
        <v/>
      </c>
      <c r="AL205" s="50">
        <f>D205</f>
        <v/>
      </c>
      <c r="AM205" s="97">
        <f>B205</f>
        <v/>
      </c>
      <c r="AP205" s="100">
        <f>IF(AK205&gt;23.2,IF(Y205&lt;300,IF(Y205&lt;35,IF(Y205&lt;8,3,2),1),0),0)</f>
        <v/>
      </c>
      <c r="AR205" s="100">
        <f>IF(AO205=1,IF(AO205=AL205,1,0),5)</f>
        <v/>
      </c>
      <c r="AX205" s="101">
        <f>(AS205+AV205+AW205)/3</f>
        <v/>
      </c>
    </row>
    <row r="206" ht="12.75" customHeight="1">
      <c r="G206" s="100">
        <f>100*(F206-E206)/F206</f>
        <v/>
      </c>
      <c r="P206" s="100">
        <f>O206/I206</f>
        <v/>
      </c>
      <c r="AA206" s="103">
        <f>IF(X206&lt;33,IF(Y206&gt;(1.1*X206),0,1),1)+IF(Y206&gt;(4*X206),-1,0)</f>
        <v/>
      </c>
      <c r="AC206" s="101">
        <f>IF(AB206&gt;9,1,0)+AB206/3+IF(AB206&gt;15,1,0)+IF(AB206&gt;20,1,0)</f>
        <v/>
      </c>
      <c r="AG206" s="101">
        <f>IF(G206&lt;0,0,1.2)+IF(G206&lt;14,0,0.9)+IF(P206&lt;0,0.7,0)+IF(P206&lt;6.5,1,0)+IF(P206&lt;23,1,0)+IF(R206&gt;80,0,1)+S206+IF(AD206&lt;20,0,1)+IF(AE206&lt;14,0,1)+IF(AF206&lt;26,0,1)</f>
        <v/>
      </c>
      <c r="AH206" s="101">
        <f>AG206+IF(AG206&gt;6,1,0)+IF(X206&lt;17,0,1)+IF(Y206&lt;11,0,1)+IF(Z206&lt;1.35,0,1)+AC206+AA206</f>
        <v/>
      </c>
      <c r="AJ206" s="104">
        <f>IF(AI206&gt;12.8,IF(AI206&gt;15.8,0.95,0.98),1)</f>
        <v/>
      </c>
      <c r="AK206" s="101">
        <f>((AG206*2.6+AH206)*AJ206*AQ206)</f>
        <v/>
      </c>
      <c r="AL206" s="50">
        <f>D206</f>
        <v/>
      </c>
      <c r="AM206" s="97">
        <f>B206</f>
        <v/>
      </c>
      <c r="AP206" s="100">
        <f>IF(AK206&gt;23.2,IF(Y206&lt;300,IF(Y206&lt;35,IF(Y206&lt;8,3,2),1),0),0)</f>
        <v/>
      </c>
      <c r="AR206" s="100">
        <f>IF(AO206=1,IF(AO206=AL206,1,0),5)</f>
        <v/>
      </c>
      <c r="AX206" s="101">
        <f>(AS206+AV206+AW206)/3</f>
        <v/>
      </c>
    </row>
    <row r="207" ht="12.75" customHeight="1">
      <c r="G207" s="100">
        <f>100*(F207-E207)/F207</f>
        <v/>
      </c>
      <c r="P207" s="100">
        <f>O207/I207</f>
        <v/>
      </c>
      <c r="AA207" s="103">
        <f>IF(X207&lt;33,IF(Y207&gt;(1.1*X207),0,1),1)+IF(Y207&gt;(4*X207),-1,0)</f>
        <v/>
      </c>
      <c r="AC207" s="101">
        <f>IF(AB207&gt;9,1,0)+AB207/3+IF(AB207&gt;15,1,0)+IF(AB207&gt;20,1,0)</f>
        <v/>
      </c>
      <c r="AG207" s="101">
        <f>IF(G207&lt;0,0,1.2)+IF(G207&lt;14,0,0.9)+IF(P207&lt;0,0.7,0)+IF(P207&lt;6.5,1,0)+IF(P207&lt;23,1,0)+IF(R207&gt;80,0,1)+S207+IF(AD207&lt;20,0,1)+IF(AE207&lt;14,0,1)+IF(AF207&lt;26,0,1)</f>
        <v/>
      </c>
      <c r="AH207" s="101">
        <f>AG207+IF(AG207&gt;6,1,0)+IF(X207&lt;17,0,1)+IF(Y207&lt;11,0,1)+IF(Z207&lt;1.35,0,1)+AC207+AA207</f>
        <v/>
      </c>
      <c r="AJ207" s="104">
        <f>IF(AI207&gt;12.8,IF(AI207&gt;15.8,0.95,0.98),1)</f>
        <v/>
      </c>
      <c r="AK207" s="101">
        <f>((AG207*2.6+AH207)*AJ207*AQ207)</f>
        <v/>
      </c>
      <c r="AL207" s="50">
        <f>D207</f>
        <v/>
      </c>
      <c r="AM207" s="97">
        <f>B207</f>
        <v/>
      </c>
      <c r="AP207" s="100">
        <f>IF(AK207&gt;23.2,IF(Y207&lt;300,IF(Y207&lt;35,IF(Y207&lt;8,3,2),1),0),0)</f>
        <v/>
      </c>
      <c r="AR207" s="100">
        <f>IF(AO207=1,IF(AO207=AL207,1,0),5)</f>
        <v/>
      </c>
      <c r="AX207" s="101">
        <f>(AS207+AV207+AW207)/3</f>
        <v/>
      </c>
    </row>
    <row r="208" ht="12.75" customHeight="1">
      <c r="G208" s="100">
        <f>100*(F208-E208)/F208</f>
        <v/>
      </c>
      <c r="P208" s="100">
        <f>O208/I208</f>
        <v/>
      </c>
      <c r="AA208" s="103">
        <f>IF(X208&lt;33,IF(Y208&gt;(1.1*X208),0,1),1)+IF(Y208&gt;(4*X208),-1,0)</f>
        <v/>
      </c>
      <c r="AC208" s="101">
        <f>IF(AB208&gt;9,1,0)+AB208/3+IF(AB208&gt;15,1,0)+IF(AB208&gt;20,1,0)</f>
        <v/>
      </c>
      <c r="AG208" s="101">
        <f>IF(G208&lt;0,0,1.2)+IF(G208&lt;14,0,0.9)+IF(P208&lt;0,0.7,0)+IF(P208&lt;6.5,1,0)+IF(P208&lt;23,1,0)+IF(R208&gt;80,0,1)+S208+IF(AD208&lt;20,0,1)+IF(AE208&lt;14,0,1)+IF(AF208&lt;26,0,1)</f>
        <v/>
      </c>
      <c r="AH208" s="101">
        <f>AG208+IF(AG208&gt;6,1,0)+IF(X208&lt;17,0,1)+IF(Y208&lt;11,0,1)+IF(Z208&lt;1.35,0,1)+AC208+AA208</f>
        <v/>
      </c>
      <c r="AJ208" s="104">
        <f>IF(AI208&gt;12.8,IF(AI208&gt;15.8,0.95,0.98),1)</f>
        <v/>
      </c>
      <c r="AK208" s="101">
        <f>((AG208*2.6+AH208)*AJ208*AQ208)</f>
        <v/>
      </c>
      <c r="AL208" s="50">
        <f>D208</f>
        <v/>
      </c>
      <c r="AM208" s="97">
        <f>B208</f>
        <v/>
      </c>
      <c r="AP208" s="100">
        <f>IF(AK208&gt;23.2,IF(Y208&lt;300,IF(Y208&lt;35,IF(Y208&lt;8,3,2),1),0),0)</f>
        <v/>
      </c>
      <c r="AR208" s="100">
        <f>IF(AO208=1,IF(AO208=AL208,1,0),5)</f>
        <v/>
      </c>
      <c r="AX208" s="101">
        <f>(AS208+AV208+AW208)/3</f>
        <v/>
      </c>
    </row>
    <row r="209" ht="12.75" customHeight="1">
      <c r="G209" s="100">
        <f>100*(F209-E209)/F209</f>
        <v/>
      </c>
      <c r="P209" s="100">
        <f>O209/I209</f>
        <v/>
      </c>
      <c r="AA209" s="103">
        <f>IF(X209&lt;33,IF(Y209&gt;(1.1*X209),0,1),1)+IF(Y209&gt;(4*X209),-1,0)</f>
        <v/>
      </c>
      <c r="AC209" s="101">
        <f>IF(AB209&gt;9,1,0)+AB209/3+IF(AB209&gt;15,1,0)+IF(AB209&gt;20,1,0)</f>
        <v/>
      </c>
      <c r="AG209" s="101">
        <f>IF(G209&lt;0,0,1.2)+IF(G209&lt;14,0,0.9)+IF(P209&lt;0,0.7,0)+IF(P209&lt;6.5,1,0)+IF(P209&lt;23,1,0)+IF(R209&gt;80,0,1)+S209+IF(AD209&lt;20,0,1)+IF(AE209&lt;14,0,1)+IF(AF209&lt;26,0,1)</f>
        <v/>
      </c>
      <c r="AH209" s="101">
        <f>AG209+IF(AG209&gt;6,1,0)+IF(X209&lt;17,0,1)+IF(Y209&lt;11,0,1)+IF(Z209&lt;1.35,0,1)+AC209+AA209</f>
        <v/>
      </c>
      <c r="AJ209" s="104">
        <f>IF(AI209&gt;12.8,IF(AI209&gt;15.8,0.95,0.98),1)</f>
        <v/>
      </c>
      <c r="AK209" s="101">
        <f>((AG209*2.6+AH209)*AJ209*AQ209)</f>
        <v/>
      </c>
      <c r="AL209" s="50">
        <f>D209</f>
        <v/>
      </c>
      <c r="AM209" s="97">
        <f>B209</f>
        <v/>
      </c>
      <c r="AP209" s="100">
        <f>IF(AK209&gt;23.2,IF(Y209&lt;300,IF(Y209&lt;35,IF(Y209&lt;8,3,2),1),0),0)</f>
        <v/>
      </c>
      <c r="AR209" s="100">
        <f>IF(AO209=1,IF(AO209=AL209,1,0),5)</f>
        <v/>
      </c>
    </row>
    <row r="210" ht="12.75" customHeight="1">
      <c r="G210" s="100">
        <f>100*(F210-E210)/F210</f>
        <v/>
      </c>
      <c r="P210" s="100">
        <f>O210/I210</f>
        <v/>
      </c>
      <c r="AA210" s="103">
        <f>IF(X210&lt;33,IF(Y210&gt;(1.1*X210),0,1),1)+IF(Y210&gt;(4*X210),-1,0)</f>
        <v/>
      </c>
      <c r="AC210" s="101">
        <f>IF(AB210&gt;9,1,0)+AB210/3+IF(AB210&gt;15,1,0)+IF(AB210&gt;20,1,0)</f>
        <v/>
      </c>
      <c r="AG210" s="101">
        <f>IF(G210&lt;0,0,1.2)+IF(G210&lt;14,0,0.9)+IF(P210&lt;0,0.7,0)+IF(P210&lt;6.5,1,0)+IF(P210&lt;23,1,0)+IF(R210&gt;80,0,1)+S210+IF(AD210&lt;20,0,1)+IF(AE210&lt;14,0,1)+IF(AF210&lt;26,0,1)</f>
        <v/>
      </c>
      <c r="AH210" s="101">
        <f>AG210+IF(AG210&gt;6,1,0)+IF(X210&lt;17,0,1)+IF(Y210&lt;11,0,1)+IF(Z210&lt;1.35,0,1)+AC210+AA210</f>
        <v/>
      </c>
      <c r="AJ210" s="104">
        <f>IF(AI210&gt;12.8,IF(AI210&gt;15.8,0.95,0.98),1)</f>
        <v/>
      </c>
      <c r="AK210" s="101">
        <f>((AG210*2.6+AH210)*AJ210*AQ210)</f>
        <v/>
      </c>
      <c r="AL210" s="50">
        <f>D210</f>
        <v/>
      </c>
      <c r="AM210" s="97">
        <f>B210</f>
        <v/>
      </c>
      <c r="AP210" s="100">
        <f>IF(AK210&gt;23.2,IF(Y210&lt;300,IF(Y210&lt;35,IF(Y210&lt;8,3,2),1),0),0)</f>
        <v/>
      </c>
      <c r="AR210" s="100">
        <f>IF(AO210=1,IF(AO210=AL210,1,0),5)</f>
        <v/>
      </c>
    </row>
    <row r="211" ht="12.75" customHeight="1">
      <c r="G211" s="100">
        <f>100*(F211-E211)/F211</f>
        <v/>
      </c>
      <c r="P211" s="100">
        <f>O211/I211</f>
        <v/>
      </c>
      <c r="AA211" s="103">
        <f>IF(X211&lt;33,IF(Y211&gt;(1.1*X211),0,1),1)+IF(Y211&gt;(4*X211),-1,0)</f>
        <v/>
      </c>
      <c r="AC211" s="101">
        <f>IF(AB211&gt;9,1,0)+AB211/3+IF(AB211&gt;15,1,0)+IF(AB211&gt;20,1,0)</f>
        <v/>
      </c>
      <c r="AG211" s="101">
        <f>IF(G211&lt;0,0,1.2)+IF(G211&lt;14,0,0.9)+IF(P211&lt;0,0.7,0)+IF(P211&lt;6.5,1,0)+IF(P211&lt;23,1,0)+IF(R211&gt;80,0,1)+S211+IF(AD211&lt;20,0,1)+IF(AE211&lt;14,0,1)+IF(AF211&lt;26,0,1)</f>
        <v/>
      </c>
      <c r="AH211" s="101">
        <f>AG211+IF(AG211&gt;6,1,0)+IF(X211&lt;17,0,1)+IF(Y211&lt;11,0,1)+IF(Z211&lt;1.35,0,1)+AC211+AA211</f>
        <v/>
      </c>
      <c r="AJ211" s="104">
        <f>IF(AI211&gt;12.8,IF(AI211&gt;15.8,0.95,0.98),1)</f>
        <v/>
      </c>
      <c r="AK211" s="101">
        <f>((AG211*2.6+AH211)*AJ211*AQ211)</f>
        <v/>
      </c>
      <c r="AL211" s="50">
        <f>D211</f>
        <v/>
      </c>
      <c r="AM211" s="97">
        <f>B211</f>
        <v/>
      </c>
      <c r="AP211" s="100">
        <f>IF(AK211&gt;23.2,IF(Y211&lt;300,IF(Y211&lt;35,IF(Y211&lt;8,3,2),1),0),0)</f>
        <v/>
      </c>
      <c r="AR211" s="100">
        <f>IF(AO211=1,IF(AO211=AL211,1,0),5)</f>
        <v/>
      </c>
    </row>
    <row r="212" ht="12.75" customHeight="1">
      <c r="G212" s="100">
        <f>100*(F212-E212)/F212</f>
        <v/>
      </c>
      <c r="P212" s="100">
        <f>O212/I212</f>
        <v/>
      </c>
      <c r="AA212" s="103">
        <f>IF(X212&lt;33,IF(Y212&gt;(1.1*X212),0,1),1)+IF(Y212&gt;(4*X212),-1,0)</f>
        <v/>
      </c>
      <c r="AC212" s="101">
        <f>IF(AB212&gt;9,1,0)+AB212/3+IF(AB212&gt;15,1,0)+IF(AB212&gt;20,1,0)</f>
        <v/>
      </c>
      <c r="AG212" s="101">
        <f>IF(G212&lt;0,0,1.2)+IF(G212&lt;14,0,0.9)+IF(P212&lt;0,0.7,0)+IF(P212&lt;6.5,1,0)+IF(P212&lt;23,1,0)+IF(R212&gt;80,0,1)+S212+IF(AD212&lt;20,0,1)+IF(AE212&lt;14,0,1)+IF(AF212&lt;26,0,1)</f>
        <v/>
      </c>
      <c r="AH212" s="101">
        <f>AG212+IF(AG212&gt;6,1,0)+IF(X212&lt;17,0,1)+IF(Y212&lt;11,0,1)+IF(Z212&lt;1.35,0,1)+AC212+AA212</f>
        <v/>
      </c>
      <c r="AJ212" s="104">
        <f>IF(AI212&gt;12.8,IF(AI212&gt;15.8,0.95,0.98),1)</f>
        <v/>
      </c>
      <c r="AK212" s="101">
        <f>((AG212*2.6+AH212)*AJ212*AQ212)</f>
        <v/>
      </c>
      <c r="AL212" s="50">
        <f>D212</f>
        <v/>
      </c>
      <c r="AM212" s="97">
        <f>B212</f>
        <v/>
      </c>
      <c r="AP212" s="100">
        <f>IF(AK212&gt;23.2,IF(Y212&lt;300,IF(Y212&lt;35,IF(Y212&lt;8,3,2),1),0),0)</f>
        <v/>
      </c>
      <c r="AR212" s="100">
        <f>IF(AO212=1,IF(AO212=AL212,1,0),5)</f>
        <v/>
      </c>
    </row>
    <row r="213" ht="12.75" customHeight="1">
      <c r="G213" s="100">
        <f>100*(F213-E213)/F213</f>
        <v/>
      </c>
      <c r="P213" s="100">
        <f>O213/I213</f>
        <v/>
      </c>
      <c r="AA213" s="103">
        <f>IF(X213&lt;33,IF(Y213&gt;(1.1*X213),0,1),1)+IF(Y213&gt;(4*X213),-1,0)</f>
        <v/>
      </c>
      <c r="AC213" s="101">
        <f>IF(AB213&gt;9,1,0)+AB213/3+IF(AB213&gt;15,1,0)+IF(AB213&gt;20,1,0)</f>
        <v/>
      </c>
      <c r="AG213" s="101">
        <f>IF(G213&lt;0,0,1.2)+IF(G213&lt;14,0,0.9)+IF(P213&lt;0,0.7,0)+IF(P213&lt;6.5,1,0)+IF(P213&lt;23,1,0)+IF(R213&gt;80,0,1)+S213+IF(AD213&lt;20,0,1)+IF(AE213&lt;14,0,1)+IF(AF213&lt;26,0,1)</f>
        <v/>
      </c>
      <c r="AH213" s="101">
        <f>AG213+IF(AG213&gt;6,1,0)+IF(X213&lt;17,0,1)+IF(Y213&lt;11,0,1)+IF(Z213&lt;1.35,0,1)+AC213+AA213</f>
        <v/>
      </c>
      <c r="AJ213" s="104">
        <f>IF(AI213&gt;12.8,IF(AI213&gt;15.8,0.95,0.98),1)</f>
        <v/>
      </c>
      <c r="AK213" s="101">
        <f>((AG213*2.6+AH213)*AJ213*AQ213)</f>
        <v/>
      </c>
      <c r="AL213" s="50">
        <f>D213</f>
        <v/>
      </c>
      <c r="AM213" s="97">
        <f>B213</f>
        <v/>
      </c>
      <c r="AP213" s="100">
        <f>IF(AK213&gt;23.2,IF(Y213&lt;300,IF(Y213&lt;35,IF(Y213&lt;8,3,2),1),0),0)</f>
        <v/>
      </c>
      <c r="AR213" s="100">
        <f>IF(AO213=1,IF(AO213=AL213,1,0),5)</f>
        <v/>
      </c>
    </row>
    <row r="214" ht="12.75" customHeight="1">
      <c r="G214" s="100">
        <f>100*(F214-E214)/F214</f>
        <v/>
      </c>
      <c r="P214" s="100">
        <f>O214/I214</f>
        <v/>
      </c>
      <c r="AA214" s="103">
        <f>IF(X214&lt;33,IF(Y214&gt;(1.1*X214),0,1),1)+IF(Y214&gt;(4*X214),-1,0)</f>
        <v/>
      </c>
      <c r="AC214" s="101">
        <f>IF(AB214&gt;9,1,0)+AB214/3+IF(AB214&gt;15,1,0)+IF(AB214&gt;20,1,0)</f>
        <v/>
      </c>
      <c r="AG214" s="101">
        <f>IF(G214&lt;0,0,1.2)+IF(G214&lt;14,0,0.9)+IF(P214&lt;0,0.7,0)+IF(P214&lt;6.5,1,0)+IF(P214&lt;23,1,0)+IF(R214&gt;80,0,1)+S214+IF(AD214&lt;20,0,1)+IF(AE214&lt;14,0,1)+IF(AF214&lt;26,0,1)</f>
        <v/>
      </c>
      <c r="AH214" s="101">
        <f>AG214+IF(AG214&gt;6,1,0)+IF(X214&lt;17,0,1)+IF(Y214&lt;11,0,1)+IF(Z214&lt;1.35,0,1)+AC214+AA214</f>
        <v/>
      </c>
      <c r="AJ214" s="104">
        <f>IF(AI214&gt;12.8,IF(AI214&gt;15.8,0.95,0.98),1)</f>
        <v/>
      </c>
      <c r="AK214" s="101">
        <f>((AG214*2.6+AH214)*AJ214*AQ214)</f>
        <v/>
      </c>
      <c r="AL214" s="50">
        <f>D214</f>
        <v/>
      </c>
      <c r="AM214" s="97">
        <f>B214</f>
        <v/>
      </c>
      <c r="AP214" s="100">
        <f>IF(AK214&gt;23.2,IF(Y214&lt;300,IF(Y214&lt;35,IF(Y214&lt;8,3,2),1),0),0)</f>
        <v/>
      </c>
      <c r="AR214" s="100">
        <f>IF(AO214=1,IF(AO214=AL214,1,0),5)</f>
        <v/>
      </c>
    </row>
    <row r="215" ht="12.75" customHeight="1">
      <c r="G215" s="100">
        <f>100*(F215-E215)/F215</f>
        <v/>
      </c>
      <c r="P215" s="100">
        <f>O215/I215</f>
        <v/>
      </c>
      <c r="AA215" s="103">
        <f>IF(X215&lt;33,IF(Y215&gt;(1.1*X215),0,1),1)+IF(Y215&gt;(4*X215),-1,0)</f>
        <v/>
      </c>
      <c r="AC215" s="101">
        <f>IF(AB215&gt;9,1,0)+AB215/3+IF(AB215&gt;15,1,0)+IF(AB215&gt;20,1,0)</f>
        <v/>
      </c>
      <c r="AG215" s="101">
        <f>IF(G215&lt;0,0,1.2)+IF(G215&lt;14,0,0.9)+IF(P215&lt;0,0.7,0)+IF(P215&lt;6.5,1,0)+IF(P215&lt;23,1,0)+IF(R215&gt;80,0,1)+S215+IF(AD215&lt;20,0,1)+IF(AE215&lt;14,0,1)+IF(AF215&lt;26,0,1)</f>
        <v/>
      </c>
      <c r="AH215" s="101">
        <f>AG215+IF(AG215&gt;6,1,0)+IF(X215&lt;17,0,1)+IF(Y215&lt;11,0,1)+IF(Z215&lt;1.35,0,1)+AC215+AA215</f>
        <v/>
      </c>
      <c r="AJ215" s="104">
        <f>IF(AI215&gt;12.8,IF(AI215&gt;15.8,0.95,0.98),1)</f>
        <v/>
      </c>
      <c r="AK215" s="101">
        <f>((AG215*2.6+AH215)*AJ215*AQ215)</f>
        <v/>
      </c>
      <c r="AL215" s="50">
        <f>D215</f>
        <v/>
      </c>
      <c r="AM215" s="97">
        <f>B215</f>
        <v/>
      </c>
      <c r="AP215" s="100">
        <f>IF(AK215&gt;23.2,IF(Y215&lt;300,IF(Y215&lt;35,IF(Y215&lt;8,3,2),1),0),0)</f>
        <v/>
      </c>
      <c r="AR215" s="100">
        <f>IF(AO215=1,IF(AO215=AL215,1,0),5)</f>
        <v/>
      </c>
    </row>
    <row r="216" ht="12.75" customHeight="1">
      <c r="G216" s="100">
        <f>100*(F216-E216)/F216</f>
        <v/>
      </c>
      <c r="P216" s="100">
        <f>O216/I216</f>
        <v/>
      </c>
      <c r="AA216" s="103">
        <f>IF(X216&lt;33,IF(Y216&gt;(1.1*X216),0,1),1)+IF(Y216&gt;(4*X216),-1,0)</f>
        <v/>
      </c>
      <c r="AC216" s="101">
        <f>IF(AB216&gt;9,1,0)+AB216/3+IF(AB216&gt;15,1,0)+IF(AB216&gt;20,1,0)</f>
        <v/>
      </c>
      <c r="AG216" s="101">
        <f>IF(G216&lt;0,0,1.2)+IF(G216&lt;14,0,0.9)+IF(P216&lt;0,0.7,0)+IF(P216&lt;6.5,1,0)+IF(P216&lt;23,1,0)+IF(R216&gt;80,0,1)+S216+IF(AD216&lt;20,0,1)+IF(AE216&lt;14,0,1)+IF(AF216&lt;26,0,1)</f>
        <v/>
      </c>
      <c r="AH216" s="101">
        <f>AG216+IF(AG216&gt;6,1,0)+IF(X216&lt;17,0,1)+IF(Y216&lt;11,0,1)+IF(Z216&lt;1.35,0,1)+AC216+AA216</f>
        <v/>
      </c>
      <c r="AJ216" s="104">
        <f>IF(AI216&gt;12.8,IF(AI216&gt;15.8,0.95,0.98),1)</f>
        <v/>
      </c>
      <c r="AK216" s="101">
        <f>((AG216*2.6+AH216)*AJ216*AQ216)</f>
        <v/>
      </c>
      <c r="AL216" s="50">
        <f>D216</f>
        <v/>
      </c>
      <c r="AM216" s="97">
        <f>B216</f>
        <v/>
      </c>
      <c r="AP216" s="100">
        <f>IF(AK216&gt;23.2,IF(Y216&lt;300,IF(Y216&lt;35,IF(Y216&lt;8,3,2),1),0),0)</f>
        <v/>
      </c>
      <c r="AR216" s="100">
        <f>IF(AO216=1,IF(AO216=AL216,1,0),5)</f>
        <v/>
      </c>
    </row>
    <row r="217" ht="12.75" customHeight="1">
      <c r="G217" s="100">
        <f>100*(F217-E217)/F217</f>
        <v/>
      </c>
      <c r="P217" s="100">
        <f>O217/I217</f>
        <v/>
      </c>
      <c r="AA217" s="103">
        <f>IF(X217&lt;33,IF(Y217&gt;(1.1*X217),0,1),1)+IF(Y217&gt;(4*X217),-1,0)</f>
        <v/>
      </c>
      <c r="AC217" s="101">
        <f>IF(AB217&gt;9,1,0)+AB217/3+IF(AB217&gt;15,1,0)+IF(AB217&gt;20,1,0)</f>
        <v/>
      </c>
      <c r="AG217" s="101">
        <f>IF(G217&lt;0,0,1.2)+IF(G217&lt;14,0,0.9)+IF(P217&lt;0,0.7,0)+IF(P217&lt;6.5,1,0)+IF(P217&lt;23,1,0)+IF(R217&gt;80,0,1)+S217+IF(AD217&lt;20,0,1)+IF(AE217&lt;14,0,1)+IF(AF217&lt;26,0,1)</f>
        <v/>
      </c>
      <c r="AH217" s="101">
        <f>AG217+IF(AG217&gt;6,1,0)+IF(X217&lt;17,0,1)+IF(Y217&lt;11,0,1)+IF(Z217&lt;1.35,0,1)+AC217+AA217</f>
        <v/>
      </c>
      <c r="AJ217" s="104">
        <f>IF(AI217&gt;12.8,IF(AI217&gt;15.8,0.95,0.98),1)</f>
        <v/>
      </c>
      <c r="AK217" s="101">
        <f>((AG217*2.6+AH217)*AJ217*AQ217)</f>
        <v/>
      </c>
      <c r="AL217" s="50">
        <f>D217</f>
        <v/>
      </c>
      <c r="AM217" s="97">
        <f>B217</f>
        <v/>
      </c>
      <c r="AP217" s="100">
        <f>IF(AK217&gt;23.2,IF(Y217&lt;300,IF(Y217&lt;35,IF(Y217&lt;8,3,2),1),0),0)</f>
        <v/>
      </c>
      <c r="AR217" s="100">
        <f>IF(AO217=1,IF(AO217=AL217,1,0),5)</f>
        <v/>
      </c>
    </row>
    <row r="218" ht="12.75" customHeight="1">
      <c r="G218" s="100">
        <f>100*(F218-E218)/F218</f>
        <v/>
      </c>
      <c r="P218" s="100">
        <f>O218/I218</f>
        <v/>
      </c>
      <c r="AA218" s="103">
        <f>IF(X218&lt;33,IF(Y218&gt;(1.1*X218),0,1),1)+IF(Y218&gt;(4*X218),-1,0)</f>
        <v/>
      </c>
      <c r="AC218" s="101">
        <f>IF(AB218&gt;9,1,0)+AB218/3+IF(AB218&gt;15,1,0)+IF(AB218&gt;20,1,0)</f>
        <v/>
      </c>
      <c r="AG218" s="101">
        <f>IF(G218&lt;0,0,1.2)+IF(G218&lt;14,0,0.9)+IF(P218&lt;0,0.7,0)+IF(P218&lt;6.5,1,0)+IF(P218&lt;23,1,0)+IF(R218&gt;80,0,1)+S218+IF(AD218&lt;20,0,1)+IF(AE218&lt;14,0,1)+IF(AF218&lt;26,0,1)</f>
        <v/>
      </c>
      <c r="AH218" s="101">
        <f>AG218+IF(AG218&gt;6,1,0)+IF(X218&lt;17,0,1)+IF(Y218&lt;11,0,1)+IF(Z218&lt;1.35,0,1)+AC218+AA218</f>
        <v/>
      </c>
      <c r="AJ218" s="104">
        <f>IF(AI218&gt;12.8,IF(AI218&gt;15.8,0.95,0.98),1)</f>
        <v/>
      </c>
      <c r="AK218" s="101">
        <f>((AG218*2.6+AH218)*AJ218*AQ218)</f>
        <v/>
      </c>
      <c r="AL218" s="50">
        <f>D218</f>
        <v/>
      </c>
      <c r="AM218" s="97">
        <f>B218</f>
        <v/>
      </c>
      <c r="AP218" s="100">
        <f>IF(AK218&gt;23.2,IF(Y218&lt;300,IF(Y218&lt;35,IF(Y218&lt;8,3,2),1),0),0)</f>
        <v/>
      </c>
      <c r="AR218" s="100">
        <f>IF(AO218=1,IF(AO218=AL218,1,0),5)</f>
        <v/>
      </c>
    </row>
    <row r="219" ht="12.75" customHeight="1">
      <c r="G219" s="100">
        <f>100*(F219-E219)/F219</f>
        <v/>
      </c>
      <c r="P219" s="100">
        <f>O219/I219</f>
        <v/>
      </c>
      <c r="AA219" s="103">
        <f>IF(X219&lt;33,IF(Y219&gt;(1.1*X219),0,1),1)+IF(Y219&gt;(4*X219),-1,0)</f>
        <v/>
      </c>
      <c r="AC219" s="101">
        <f>IF(AB219&gt;9,1,0)+AB219/3+IF(AB219&gt;15,1,0)+IF(AB219&gt;20,1,0)</f>
        <v/>
      </c>
      <c r="AG219" s="101">
        <f>IF(G219&lt;0,0,1.2)+IF(G219&lt;14,0,0.9)+IF(P219&lt;0,0.7,0)+IF(P219&lt;6.5,1,0)+IF(P219&lt;23,1,0)+IF(R219&gt;80,0,1)+S219+IF(AD219&lt;20,0,1)+IF(AE219&lt;14,0,1)+IF(AF219&lt;26,0,1)</f>
        <v/>
      </c>
      <c r="AH219" s="101">
        <f>AG219+IF(AG219&gt;6,1,0)+IF(X219&lt;17,0,1)+IF(Y219&lt;11,0,1)+IF(Z219&lt;1.35,0,1)+AC219+AA219</f>
        <v/>
      </c>
      <c r="AJ219" s="104">
        <f>IF(AI219&gt;12.8,IF(AI219&gt;15.8,0.95,0.98),1)</f>
        <v/>
      </c>
      <c r="AK219" s="101">
        <f>((AG219*2.6+AH219)*AJ219*AQ219)</f>
        <v/>
      </c>
      <c r="AL219" s="50">
        <f>D219</f>
        <v/>
      </c>
      <c r="AM219" s="97">
        <f>B219</f>
        <v/>
      </c>
      <c r="AP219" s="100">
        <f>IF(AK219&gt;23.2,IF(Y219&lt;300,IF(Y219&lt;35,IF(Y219&lt;8,3,2),1),0),0)</f>
        <v/>
      </c>
      <c r="AR219" s="100">
        <f>IF(AO219=1,IF(AO219=AL219,1,0),5)</f>
        <v/>
      </c>
    </row>
    <row r="220" ht="12.75" customHeight="1">
      <c r="G220" s="100">
        <f>100*(F220-E220)/F220</f>
        <v/>
      </c>
      <c r="P220" s="100">
        <f>O220/I220</f>
        <v/>
      </c>
      <c r="AA220" s="103">
        <f>IF(X220&lt;33,IF(Y220&gt;(1.1*X220),0,1),1)+IF(Y220&gt;(4*X220),-1,0)</f>
        <v/>
      </c>
      <c r="AC220" s="101">
        <f>IF(AB220&gt;9,1,0)+AB220/3+IF(AB220&gt;15,1,0)+IF(AB220&gt;20,1,0)</f>
        <v/>
      </c>
      <c r="AG220" s="101">
        <f>IF(G220&lt;0,0,1.2)+IF(G220&lt;14,0,0.9)+IF(P220&lt;0,0.7,0)+IF(P220&lt;6.5,1,0)+IF(P220&lt;23,1,0)+IF(R220&gt;80,0,1)+S220+IF(AD220&lt;20,0,1)+IF(AE220&lt;14,0,1)+IF(AF220&lt;26,0,1)</f>
        <v/>
      </c>
      <c r="AH220" s="101">
        <f>AG220+IF(AG220&gt;6,1,0)+IF(X220&lt;17,0,1)+IF(Y220&lt;11,0,1)+IF(Z220&lt;1.35,0,1)+AC220+AA220</f>
        <v/>
      </c>
      <c r="AJ220" s="104">
        <f>IF(AI220&gt;12.8,IF(AI220&gt;15.8,0.95,0.98),1)</f>
        <v/>
      </c>
      <c r="AK220" s="101">
        <f>((AG220*2.6+AH220)*AJ220*AQ220)</f>
        <v/>
      </c>
      <c r="AL220" s="50">
        <f>D220</f>
        <v/>
      </c>
      <c r="AM220" s="97">
        <f>B220</f>
        <v/>
      </c>
      <c r="AP220" s="100">
        <f>IF(AK220&gt;23.2,IF(Y220&lt;300,IF(Y220&lt;35,IF(Y220&lt;8,3,2),1),0),0)</f>
        <v/>
      </c>
      <c r="AR220" s="100">
        <f>IF(AO220=1,IF(AO220=AL220,1,0),5)</f>
        <v/>
      </c>
    </row>
    <row r="221" ht="12.75" customHeight="1">
      <c r="G221" s="100">
        <f>100*(F221-E221)/F221</f>
        <v/>
      </c>
      <c r="P221" s="100">
        <f>O221/I221</f>
        <v/>
      </c>
      <c r="AA221" s="103">
        <f>IF(X221&lt;33,IF(Y221&gt;(1.1*X221),0,1),1)+IF(Y221&gt;(4*X221),-1,0)</f>
        <v/>
      </c>
      <c r="AC221" s="101">
        <f>IF(AB221&gt;9,1,0)+AB221/3+IF(AB221&gt;15,1,0)+IF(AB221&gt;20,1,0)</f>
        <v/>
      </c>
      <c r="AG221" s="101">
        <f>IF(G221&lt;0,0,1.2)+IF(G221&lt;14,0,0.9)+IF(P221&lt;0,0.7,0)+IF(P221&lt;6.5,1,0)+IF(P221&lt;23,1,0)+IF(R221&gt;80,0,1)+S221+IF(AD221&lt;20,0,1)+IF(AE221&lt;14,0,1)+IF(AF221&lt;26,0,1)</f>
        <v/>
      </c>
      <c r="AH221" s="101">
        <f>AG221+IF(AG221&gt;6,1,0)+IF(X221&lt;17,0,1)+IF(Y221&lt;11,0,1)+IF(Z221&lt;1.35,0,1)+AC221+AA221</f>
        <v/>
      </c>
      <c r="AJ221" s="104">
        <f>IF(AI221&gt;12.8,IF(AI221&gt;15.8,0.95,0.98),1)</f>
        <v/>
      </c>
      <c r="AK221" s="101">
        <f>((AG221*2.6+AH221)*AJ221*AQ221)</f>
        <v/>
      </c>
      <c r="AL221" s="50">
        <f>D221</f>
        <v/>
      </c>
      <c r="AM221" s="97">
        <f>B221</f>
        <v/>
      </c>
      <c r="AP221" s="100">
        <f>IF(AK221&gt;23.2,IF(Y221&lt;300,IF(Y221&lt;35,IF(Y221&lt;8,3,2),1),0),0)</f>
        <v/>
      </c>
      <c r="AR221" s="100">
        <f>IF(AO221=1,IF(AO221=AL221,1,0),5)</f>
        <v/>
      </c>
    </row>
    <row r="222" ht="12.75" customHeight="1">
      <c r="G222" s="100">
        <f>100*(F222-E222)/F222</f>
        <v/>
      </c>
      <c r="P222" s="100">
        <f>O222/I222</f>
        <v/>
      </c>
      <c r="AA222" s="103">
        <f>IF(X222&lt;33,IF(Y222&gt;(1.1*X222),0,1),1)+IF(Y222&gt;(4*X222),-1,0)</f>
        <v/>
      </c>
      <c r="AC222" s="101">
        <f>IF(AB222&gt;9,1,0)+AB222/3+IF(AB222&gt;15,1,0)+IF(AB222&gt;20,1,0)</f>
        <v/>
      </c>
      <c r="AG222" s="101">
        <f>IF(G222&lt;0,0,1.2)+IF(G222&lt;14,0,0.9)+IF(P222&lt;0,0.7,0)+IF(P222&lt;6.5,1,0)+IF(P222&lt;23,1,0)+IF(R222&gt;80,0,1)+S222+IF(AD222&lt;20,0,1)+IF(AE222&lt;14,0,1)+IF(AF222&lt;26,0,1)</f>
        <v/>
      </c>
      <c r="AH222" s="101">
        <f>AG222+IF(AG222&gt;6,1,0)+IF(X222&lt;17,0,1)+IF(Y222&lt;11,0,1)+IF(Z222&lt;1.35,0,1)+AC222+AA222</f>
        <v/>
      </c>
      <c r="AJ222" s="104">
        <f>IF(AI222&gt;12.8,IF(AI222&gt;15.8,0.95,0.98),1)</f>
        <v/>
      </c>
      <c r="AK222" s="101">
        <f>((AG222*2.6+AH222)*AJ222*AQ222)</f>
        <v/>
      </c>
      <c r="AL222" s="50">
        <f>D222</f>
        <v/>
      </c>
      <c r="AM222" s="97">
        <f>B222</f>
        <v/>
      </c>
      <c r="AP222" s="100">
        <f>IF(AK222&gt;23.2,IF(Y222&lt;300,IF(Y222&lt;35,IF(Y222&lt;8,3,2),1),0),0)</f>
        <v/>
      </c>
      <c r="AR222" s="100">
        <f>IF(AO222=1,IF(AO222=AL222,1,0),5)</f>
        <v/>
      </c>
    </row>
    <row r="223" ht="12.75" customHeight="1">
      <c r="G223" s="100">
        <f>100*(F223-E223)/F223</f>
        <v/>
      </c>
      <c r="P223" s="100">
        <f>O223/I223</f>
        <v/>
      </c>
      <c r="AA223" s="103">
        <f>IF(X223&lt;33,IF(Y223&gt;(1.1*X223),0,1),1)+IF(Y223&gt;(4*X223),-1,0)</f>
        <v/>
      </c>
      <c r="AC223" s="101">
        <f>IF(AB223&gt;9,1,0)+AB223/3+IF(AB223&gt;15,1,0)+IF(AB223&gt;20,1,0)</f>
        <v/>
      </c>
      <c r="AG223" s="101">
        <f>IF(G223&lt;0,0,1.2)+IF(G223&lt;14,0,0.9)+IF(P223&lt;0,0.7,0)+IF(P223&lt;6.5,1,0)+IF(P223&lt;23,1,0)+IF(R223&gt;80,0,1)+S223+IF(AD223&lt;20,0,1)+IF(AE223&lt;14,0,1)+IF(AF223&lt;26,0,1)</f>
        <v/>
      </c>
      <c r="AH223" s="101">
        <f>AG223+IF(AG223&gt;6,1,0)+IF(X223&lt;17,0,1)+IF(Y223&lt;11,0,1)+IF(Z223&lt;1.35,0,1)+AC223+AA223</f>
        <v/>
      </c>
      <c r="AJ223" s="104">
        <f>IF(AI223&gt;12.8,IF(AI223&gt;15.8,0.95,0.98),1)</f>
        <v/>
      </c>
      <c r="AK223" s="101">
        <f>((AG223*2.6+AH223)*AJ223*AQ223)</f>
        <v/>
      </c>
      <c r="AL223" s="50">
        <f>D223</f>
        <v/>
      </c>
      <c r="AM223" s="97">
        <f>B223</f>
        <v/>
      </c>
      <c r="AP223" s="100">
        <f>IF(AK223&gt;23.2,IF(Y223&lt;300,IF(Y223&lt;35,IF(Y223&lt;8,3,2),1),0),0)</f>
        <v/>
      </c>
      <c r="AR223" s="100">
        <f>IF(AO223=1,IF(AO223=AL223,1,0),5)</f>
        <v/>
      </c>
    </row>
    <row r="224" ht="12.75" customHeight="1">
      <c r="G224" s="100">
        <f>100*(F224-E224)/F224</f>
        <v/>
      </c>
      <c r="P224" s="100">
        <f>O224/I224</f>
        <v/>
      </c>
      <c r="AA224" s="103">
        <f>IF(X224&lt;33,IF(Y224&gt;(1.1*X224),0,1),1)+IF(Y224&gt;(4*X224),-1,0)</f>
        <v/>
      </c>
      <c r="AC224" s="101">
        <f>IF(AB224&gt;9,1,0)+AB224/3+IF(AB224&gt;15,1,0)+IF(AB224&gt;20,1,0)</f>
        <v/>
      </c>
      <c r="AG224" s="101">
        <f>IF(G224&lt;0,0,1.2)+IF(G224&lt;14,0,0.9)+IF(P224&lt;0,0.7,0)+IF(P224&lt;6.5,1,0)+IF(P224&lt;23,1,0)+IF(R224&gt;80,0,1)+S224+IF(AD224&lt;20,0,1)+IF(AE224&lt;14,0,1)+IF(AF224&lt;26,0,1)</f>
        <v/>
      </c>
      <c r="AH224" s="101">
        <f>AG224+IF(AG224&gt;6,1,0)+IF(X224&lt;17,0,1)+IF(Y224&lt;11,0,1)+IF(Z224&lt;1.35,0,1)+AC224+AA224</f>
        <v/>
      </c>
      <c r="AJ224" s="104">
        <f>IF(AI224&gt;12.8,IF(AI224&gt;15.8,0.95,0.98),1)</f>
        <v/>
      </c>
      <c r="AK224" s="101">
        <f>((AG224*2.6+AH224)*AJ224*AQ224)</f>
        <v/>
      </c>
      <c r="AL224" s="50">
        <f>D224</f>
        <v/>
      </c>
      <c r="AM224" s="97">
        <f>B224</f>
        <v/>
      </c>
      <c r="AP224" s="100">
        <f>IF(AK224&gt;23.2,IF(Y224&lt;300,IF(Y224&lt;35,IF(Y224&lt;8,3,2),1),0),0)</f>
        <v/>
      </c>
      <c r="AR224" s="100">
        <f>IF(AO224=1,IF(AO224=AL224,1,0),5)</f>
        <v/>
      </c>
    </row>
    <row r="225" ht="12.75" customHeight="1">
      <c r="G225" s="100">
        <f>100*(F225-E225)/F225</f>
        <v/>
      </c>
      <c r="P225" s="100">
        <f>O225/I225</f>
        <v/>
      </c>
      <c r="AA225" s="103">
        <f>IF(X225&lt;33,IF(Y225&gt;(1.1*X225),0,1),1)+IF(Y225&gt;(4*X225),-1,0)</f>
        <v/>
      </c>
      <c r="AC225" s="101">
        <f>IF(AB225&gt;9,1,0)+AB225/3+IF(AB225&gt;15,1,0)+IF(AB225&gt;20,1,0)</f>
        <v/>
      </c>
      <c r="AG225" s="101">
        <f>IF(G225&lt;0,0,1.2)+IF(G225&lt;14,0,0.9)+IF(P225&lt;0,0.7,0)+IF(P225&lt;6.5,1,0)+IF(P225&lt;23,1,0)+IF(R225&gt;80,0,1)+S225+IF(AD225&lt;20,0,1)+IF(AE225&lt;14,0,1)+IF(AF225&lt;26,0,1)</f>
        <v/>
      </c>
      <c r="AH225" s="101">
        <f>AG225+IF(AG225&gt;6,1,0)+IF(X225&lt;17,0,1)+IF(Y225&lt;11,0,1)+IF(Z225&lt;1.35,0,1)+AC225+AA225</f>
        <v/>
      </c>
      <c r="AJ225" s="104">
        <f>IF(AI225&gt;12.8,IF(AI225&gt;15.8,0.95,0.98),1)</f>
        <v/>
      </c>
      <c r="AK225" s="101">
        <f>((AG225*2.6+AH225)*AJ225*AQ225)</f>
        <v/>
      </c>
      <c r="AL225" s="50">
        <f>D225</f>
        <v/>
      </c>
      <c r="AM225" s="97">
        <f>B225</f>
        <v/>
      </c>
      <c r="AP225" s="100">
        <f>IF(AK225&gt;23.2,IF(Y225&lt;300,IF(Y225&lt;35,IF(Y225&lt;8,3,2),1),0),0)</f>
        <v/>
      </c>
      <c r="AR225" s="100">
        <f>IF(AO225=1,IF(AO225=AL225,1,0),5)</f>
        <v/>
      </c>
    </row>
    <row r="226" ht="12.75" customHeight="1">
      <c r="G226" s="100">
        <f>100*(F226-E226)/F226</f>
        <v/>
      </c>
      <c r="P226" s="100">
        <f>O226/I226</f>
        <v/>
      </c>
      <c r="AA226" s="103">
        <f>IF(X226&lt;33,IF(Y226&gt;(1.1*X226),0,1),1)+IF(Y226&gt;(4*X226),-1,0)</f>
        <v/>
      </c>
      <c r="AC226" s="101">
        <f>IF(AB226&gt;9,1,0)+AB226/3+IF(AB226&gt;15,1,0)+IF(AB226&gt;20,1,0)</f>
        <v/>
      </c>
      <c r="AG226" s="101">
        <f>IF(G226&lt;0,0,1.2)+IF(G226&lt;14,0,0.9)+IF(P226&lt;0,0.7,0)+IF(P226&lt;6.5,1,0)+IF(P226&lt;23,1,0)+IF(R226&gt;80,0,1)+S226+IF(AD226&lt;20,0,1)+IF(AE226&lt;14,0,1)+IF(AF226&lt;26,0,1)</f>
        <v/>
      </c>
      <c r="AH226" s="101">
        <f>AG226+IF(AG226&gt;6,1,0)+IF(X226&lt;17,0,1)+IF(Y226&lt;11,0,1)+IF(Z226&lt;1.35,0,1)+AC226+AA226</f>
        <v/>
      </c>
      <c r="AJ226" s="104">
        <f>IF(AI226&gt;12.8,IF(AI226&gt;15.8,0.95,0.98),1)</f>
        <v/>
      </c>
      <c r="AK226" s="101">
        <f>((AG226*2.6+AH226)*AJ226*AQ226)</f>
        <v/>
      </c>
      <c r="AL226" s="50">
        <f>D226</f>
        <v/>
      </c>
      <c r="AM226" s="97">
        <f>B226</f>
        <v/>
      </c>
      <c r="AP226" s="100">
        <f>IF(AK226&gt;23.2,IF(Y226&lt;300,IF(Y226&lt;35,IF(Y226&lt;8,3,2),1),0),0)</f>
        <v/>
      </c>
      <c r="AR226" s="100">
        <f>IF(AO226=1,IF(AO226=AL226,1,0),5)</f>
        <v/>
      </c>
    </row>
    <row r="227" ht="12.75" customHeight="1">
      <c r="G227" s="100">
        <f>100*(F227-E227)/F227</f>
        <v/>
      </c>
      <c r="P227" s="100">
        <f>O227/I227</f>
        <v/>
      </c>
      <c r="AA227" s="103">
        <f>IF(X227&lt;33,IF(Y227&gt;(1.1*X227),0,1),1)+IF(Y227&gt;(4*X227),-1,0)</f>
        <v/>
      </c>
      <c r="AC227" s="101">
        <f>IF(AB227&gt;9,1,0)+AB227/3+IF(AB227&gt;15,1,0)+IF(AB227&gt;20,1,0)</f>
        <v/>
      </c>
      <c r="AG227" s="101">
        <f>IF(G227&lt;0,0,1.2)+IF(G227&lt;14,0,0.9)+IF(P227&lt;0,0.7,0)+IF(P227&lt;6.5,1,0)+IF(P227&lt;23,1,0)+IF(R227&gt;80,0,1)+S227+IF(AD227&lt;20,0,1)+IF(AE227&lt;14,0,1)+IF(AF227&lt;26,0,1)</f>
        <v/>
      </c>
      <c r="AH227" s="101">
        <f>AG227+IF(AG227&gt;6,1,0)+IF(X227&lt;17,0,1)+IF(Y227&lt;11,0,1)+IF(Z227&lt;1.35,0,1)+AC227+AA227</f>
        <v/>
      </c>
      <c r="AJ227" s="104">
        <f>IF(AI227&gt;12.8,IF(AI227&gt;15.8,0.95,0.98),1)</f>
        <v/>
      </c>
      <c r="AK227" s="101">
        <f>((AG227*2.6+AH227)*AJ227*AQ227)</f>
        <v/>
      </c>
      <c r="AL227" s="50">
        <f>D227</f>
        <v/>
      </c>
      <c r="AM227" s="97">
        <f>B227</f>
        <v/>
      </c>
      <c r="AP227" s="100">
        <f>IF(AK227&gt;23.2,IF(Y227&lt;300,IF(Y227&lt;35,IF(Y227&lt;8,3,2),1),0),0)</f>
        <v/>
      </c>
      <c r="AR227" s="100">
        <f>IF(AO227=1,IF(AO227=AL227,1,0),5)</f>
        <v/>
      </c>
    </row>
    <row r="228" ht="12.75" customHeight="1">
      <c r="G228" s="100">
        <f>100*(F228-E228)/F228</f>
        <v/>
      </c>
      <c r="P228" s="100">
        <f>O228/I228</f>
        <v/>
      </c>
      <c r="AA228" s="103">
        <f>IF(X228&lt;33,IF(Y228&gt;(1.1*X228),0,1),1)+IF(Y228&gt;(4*X228),-1,0)</f>
        <v/>
      </c>
      <c r="AC228" s="101">
        <f>IF(AB228&gt;9,1,0)+AB228/3+IF(AB228&gt;15,1,0)+IF(AB228&gt;20,1,0)</f>
        <v/>
      </c>
      <c r="AG228" s="101">
        <f>IF(G228&lt;0,0,1.2)+IF(G228&lt;14,0,0.9)+IF(P228&lt;0,0.7,0)+IF(P228&lt;6.5,1,0)+IF(P228&lt;23,1,0)+IF(R228&gt;80,0,1)+S228+IF(AD228&lt;20,0,1)+IF(AE228&lt;14,0,1)+IF(AF228&lt;26,0,1)</f>
        <v/>
      </c>
      <c r="AH228" s="101">
        <f>AG228+IF(AG228&gt;6,1,0)+IF(X228&lt;17,0,1)+IF(Y228&lt;11,0,1)+IF(Z228&lt;1.35,0,1)+AC228+AA228</f>
        <v/>
      </c>
      <c r="AJ228" s="104">
        <f>IF(AI228&gt;12.8,IF(AI228&gt;15.8,0.95,0.98),1)</f>
        <v/>
      </c>
      <c r="AK228" s="101">
        <f>((AG228*2.6+AH228)*AJ228*AQ228)</f>
        <v/>
      </c>
      <c r="AL228" s="50">
        <f>D228</f>
        <v/>
      </c>
      <c r="AM228" s="97">
        <f>B228</f>
        <v/>
      </c>
      <c r="AP228" s="100">
        <f>IF(AK228&gt;23.2,IF(Y228&lt;300,IF(Y228&lt;35,IF(Y228&lt;8,3,2),1),0),0)</f>
        <v/>
      </c>
      <c r="AR228" s="100">
        <f>IF(AO228=1,IF(AO228=AL228,1,0),5)</f>
        <v/>
      </c>
    </row>
    <row r="229" ht="12.75" customHeight="1">
      <c r="G229" s="100">
        <f>100*(F229-E229)/F229</f>
        <v/>
      </c>
      <c r="P229" s="100">
        <f>O229/I229</f>
        <v/>
      </c>
      <c r="AA229" s="103">
        <f>IF(X229&lt;33,IF(Y229&gt;(1.1*X229),0,1),1)+IF(Y229&gt;(4*X229),-1,0)</f>
        <v/>
      </c>
      <c r="AC229" s="101">
        <f>IF(AB229&gt;9,1,0)+AB229/3+IF(AB229&gt;15,1,0)+IF(AB229&gt;20,1,0)</f>
        <v/>
      </c>
      <c r="AG229" s="101">
        <f>IF(G229&lt;0,0,1.2)+IF(G229&lt;14,0,0.9)+IF(P229&lt;0,0.7,0)+IF(P229&lt;6.5,1,0)+IF(P229&lt;23,1,0)+IF(R229&gt;80,0,1)+S229+IF(AD229&lt;20,0,1)+IF(AE229&lt;14,0,1)+IF(AF229&lt;26,0,1)</f>
        <v/>
      </c>
      <c r="AH229" s="101">
        <f>AG229+IF(AG229&gt;6,1,0)+IF(X229&lt;17,0,1)+IF(Y229&lt;11,0,1)+IF(Z229&lt;1.35,0,1)+AC229+AA229</f>
        <v/>
      </c>
      <c r="AJ229" s="104">
        <f>IF(AI229&gt;12.8,IF(AI229&gt;15.8,0.95,0.98),1)</f>
        <v/>
      </c>
      <c r="AK229" s="101">
        <f>((AG229*2.6+AH229)*AJ229*AQ229)</f>
        <v/>
      </c>
      <c r="AL229" s="50">
        <f>D229</f>
        <v/>
      </c>
      <c r="AM229" s="97">
        <f>B229</f>
        <v/>
      </c>
      <c r="AP229" s="100">
        <f>IF(AK229&gt;23.2,IF(Y229&lt;300,IF(Y229&lt;35,IF(Y229&lt;8,3,2),1),0),0)</f>
        <v/>
      </c>
      <c r="AR229" s="100">
        <f>IF(AO229=1,IF(AO229=AL229,1,0),5)</f>
        <v/>
      </c>
    </row>
    <row r="230" ht="12.75" customHeight="1">
      <c r="G230" s="100">
        <f>100*(F230-E230)/F230</f>
        <v/>
      </c>
      <c r="P230" s="100">
        <f>O230/I230</f>
        <v/>
      </c>
      <c r="AA230" s="103">
        <f>IF(X230&lt;33,IF(Y230&gt;(1.1*X230),0,1),1)+IF(Y230&gt;(4*X230),-1,0)</f>
        <v/>
      </c>
      <c r="AC230" s="101">
        <f>IF(AB230&gt;9,1,0)+AB230/3+IF(AB230&gt;15,1,0)+IF(AB230&gt;20,1,0)</f>
        <v/>
      </c>
      <c r="AG230" s="101">
        <f>IF(G230&lt;0,0,1.2)+IF(G230&lt;14,0,0.9)+IF(P230&lt;0,0.7,0)+IF(P230&lt;6.5,1,0)+IF(P230&lt;23,1,0)+IF(R230&gt;80,0,1)+S230+IF(AD230&lt;20,0,1)+IF(AE230&lt;14,0,1)+IF(AF230&lt;26,0,1)</f>
        <v/>
      </c>
      <c r="AH230" s="101">
        <f>AG230+IF(AG230&gt;6,1,0)+IF(X230&lt;17,0,1)+IF(Y230&lt;11,0,1)+IF(Z230&lt;1.35,0,1)+AC230+AA230</f>
        <v/>
      </c>
      <c r="AJ230" s="104">
        <f>IF(AI230&gt;12.8,IF(AI230&gt;15.8,0.95,0.98),1)</f>
        <v/>
      </c>
      <c r="AK230" s="101">
        <f>((AG230*2.6+AH230)*AJ230*AQ230)</f>
        <v/>
      </c>
      <c r="AL230" s="50">
        <f>D230</f>
        <v/>
      </c>
      <c r="AM230" s="97">
        <f>B230</f>
        <v/>
      </c>
      <c r="AP230" s="100">
        <f>IF(AK230&gt;23.2,IF(Y230&lt;300,IF(Y230&lt;35,IF(Y230&lt;8,3,2),1),0),0)</f>
        <v/>
      </c>
      <c r="AR230" s="100">
        <f>IF(AO230=1,IF(AO230=AL230,1,0),5)</f>
        <v/>
      </c>
    </row>
    <row r="231" ht="12.75" customHeight="1">
      <c r="G231" s="100">
        <f>100*(F231-E231)/F231</f>
        <v/>
      </c>
      <c r="P231" s="100">
        <f>O231/I231</f>
        <v/>
      </c>
      <c r="AA231" s="103">
        <f>IF(X231&lt;33,IF(Y231&gt;(1.1*X231),0,1),1)+IF(Y231&gt;(4*X231),-1,0)</f>
        <v/>
      </c>
      <c r="AC231" s="101">
        <f>IF(AB231&gt;9,1,0)+AB231/3+IF(AB231&gt;15,1,0)+IF(AB231&gt;20,1,0)</f>
        <v/>
      </c>
      <c r="AG231" s="101">
        <f>IF(G231&lt;0,0,1.2)+IF(G231&lt;14,0,0.9)+IF(P231&lt;0,0.7,0)+IF(P231&lt;6.5,1,0)+IF(P231&lt;23,1,0)+IF(R231&gt;80,0,1)+S231+IF(AD231&lt;20,0,1)+IF(AE231&lt;14,0,1)+IF(AF231&lt;26,0,1)</f>
        <v/>
      </c>
      <c r="AH231" s="101">
        <f>AG231+IF(AG231&gt;6,1,0)+IF(X231&lt;17,0,1)+IF(Y231&lt;11,0,1)+IF(Z231&lt;1.35,0,1)+AC231+AA231</f>
        <v/>
      </c>
      <c r="AJ231" s="104">
        <f>IF(AI231&gt;12.8,IF(AI231&gt;15.8,0.95,0.98),1)</f>
        <v/>
      </c>
      <c r="AK231" s="101">
        <f>((AG231*2.6+AH231)*AJ231*AQ231)</f>
        <v/>
      </c>
      <c r="AL231" s="50">
        <f>D231</f>
        <v/>
      </c>
      <c r="AM231" s="97">
        <f>B231</f>
        <v/>
      </c>
      <c r="AP231" s="100">
        <f>IF(AK231&gt;23.2,IF(Y231&lt;300,IF(Y231&lt;35,IF(Y231&lt;8,3,2),1),0),0)</f>
        <v/>
      </c>
      <c r="AR231" s="100">
        <f>IF(AO231=1,IF(AO231=AL231,1,0),5)</f>
        <v/>
      </c>
    </row>
    <row r="232" ht="12.75" customHeight="1">
      <c r="G232" s="100">
        <f>100*(F232-E232)/F232</f>
        <v/>
      </c>
      <c r="P232" s="100">
        <f>O232/I232</f>
        <v/>
      </c>
      <c r="AA232" s="103">
        <f>IF(X232&lt;33,IF(Y232&gt;(1.1*X232),0,1),1)+IF(Y232&gt;(4*X232),-1,0)</f>
        <v/>
      </c>
      <c r="AC232" s="101">
        <f>IF(AB232&gt;9,1,0)+AB232/3+IF(AB232&gt;15,1,0)+IF(AB232&gt;20,1,0)</f>
        <v/>
      </c>
      <c r="AG232" s="101">
        <f>IF(G232&lt;0,0,1.2)+IF(G232&lt;14,0,0.9)+IF(P232&lt;0,0.7,0)+IF(P232&lt;6.5,1,0)+IF(P232&lt;23,1,0)+IF(R232&gt;80,0,1)+S232+IF(AD232&lt;20,0,1)+IF(AE232&lt;14,0,1)+IF(AF232&lt;26,0,1)</f>
        <v/>
      </c>
      <c r="AH232" s="101">
        <f>AG232+IF(AG232&gt;6,1,0)+IF(X232&lt;17,0,1)+IF(Y232&lt;11,0,1)+IF(Z232&lt;1.35,0,1)+AC232+AA232</f>
        <v/>
      </c>
      <c r="AJ232" s="104">
        <f>IF(AI232&gt;12.8,IF(AI232&gt;15.8,0.95,0.98),1)</f>
        <v/>
      </c>
      <c r="AK232" s="101">
        <f>((AG232*2.6+AH232)*AJ232*AQ232)</f>
        <v/>
      </c>
      <c r="AL232" s="50">
        <f>D232</f>
        <v/>
      </c>
      <c r="AM232" s="97">
        <f>B232</f>
        <v/>
      </c>
      <c r="AP232" s="100">
        <f>IF(AK232&gt;23.2,IF(Y232&lt;300,IF(Y232&lt;35,IF(Y232&lt;8,3,2),1),0),0)</f>
        <v/>
      </c>
      <c r="AR232" s="100">
        <f>IF(AO232=1,IF(AO232=AL232,1,0),5)</f>
        <v/>
      </c>
    </row>
    <row r="233" ht="12.75" customHeight="1">
      <c r="G233" s="100">
        <f>100*(F233-E233)/F233</f>
        <v/>
      </c>
      <c r="P233" s="100">
        <f>O233/I233</f>
        <v/>
      </c>
      <c r="AA233" s="103">
        <f>IF(X233&lt;33,IF(Y233&gt;(1.1*X233),0,1),1)+IF(Y233&gt;(4*X233),-1,0)</f>
        <v/>
      </c>
      <c r="AC233" s="101">
        <f>IF(AB233&gt;9,1,0)+AB233/3+IF(AB233&gt;15,1,0)+IF(AB233&gt;20,1,0)</f>
        <v/>
      </c>
      <c r="AG233" s="101">
        <f>IF(G233&lt;0,0,1.2)+IF(G233&lt;14,0,0.9)+IF(P233&lt;0,0.7,0)+IF(P233&lt;6.5,1,0)+IF(P233&lt;23,1,0)+IF(R233&gt;80,0,1)+S233+IF(AD233&lt;20,0,1)+IF(AE233&lt;14,0,1)+IF(AF233&lt;26,0,1)</f>
        <v/>
      </c>
      <c r="AH233" s="101">
        <f>AG233+IF(AG233&gt;6,1,0)+IF(X233&lt;17,0,1)+IF(Y233&lt;11,0,1)+IF(Z233&lt;1.35,0,1)+AC233+AA233</f>
        <v/>
      </c>
      <c r="AJ233" s="104">
        <f>IF(AI233&gt;12.8,IF(AI233&gt;15.8,0.95,0.98),1)</f>
        <v/>
      </c>
      <c r="AK233" s="101">
        <f>((AG233*2.6+AH233)*AJ233*AQ233)</f>
        <v/>
      </c>
      <c r="AL233" s="50">
        <f>D233</f>
        <v/>
      </c>
      <c r="AM233" s="97">
        <f>B233</f>
        <v/>
      </c>
      <c r="AP233" s="100">
        <f>IF(AK233&gt;23.2,IF(Y233&lt;300,IF(Y233&lt;35,IF(Y233&lt;8,3,2),1),0),0)</f>
        <v/>
      </c>
      <c r="AR233" s="100">
        <f>IF(AO233=1,IF(AO233=AL233,1,0),5)</f>
        <v/>
      </c>
    </row>
    <row r="234" ht="12.75" customHeight="1">
      <c r="G234" s="100">
        <f>100*(F234-E234)/F234</f>
        <v/>
      </c>
      <c r="P234" s="100">
        <f>O234/I234</f>
        <v/>
      </c>
      <c r="AA234" s="103">
        <f>IF(X234&lt;33,IF(Y234&gt;(1.1*X234),0,1),1)+IF(Y234&gt;(4*X234),-1,0)</f>
        <v/>
      </c>
      <c r="AC234" s="101">
        <f>IF(AB234&gt;9,1,0)+AB234/3+IF(AB234&gt;15,1,0)+IF(AB234&gt;20,1,0)</f>
        <v/>
      </c>
      <c r="AG234" s="101">
        <f>IF(G234&lt;0,0,1.2)+IF(G234&lt;14,0,0.9)+IF(P234&lt;0,0.7,0)+IF(P234&lt;6.5,1,0)+IF(P234&lt;23,1,0)+IF(R234&gt;80,0,1)+S234+IF(AD234&lt;20,0,1)+IF(AE234&lt;14,0,1)+IF(AF234&lt;26,0,1)</f>
        <v/>
      </c>
      <c r="AH234" s="101">
        <f>AG234+IF(AG234&gt;6,1,0)+IF(X234&lt;17,0,1)+IF(Y234&lt;11,0,1)+IF(Z234&lt;1.35,0,1)+AC234+AA234</f>
        <v/>
      </c>
      <c r="AJ234" s="104">
        <f>IF(AI234&gt;12.8,IF(AI234&gt;15.8,0.95,0.98),1)</f>
        <v/>
      </c>
      <c r="AK234" s="101">
        <f>((AG234*2.6+AH234)*AJ234*AQ234)</f>
        <v/>
      </c>
      <c r="AL234" s="50">
        <f>D234</f>
        <v/>
      </c>
      <c r="AM234" s="97">
        <f>B234</f>
        <v/>
      </c>
      <c r="AP234" s="100">
        <f>IF(AK234&gt;23.2,IF(Y234&lt;300,IF(Y234&lt;35,IF(Y234&lt;8,3,2),1),0),0)</f>
        <v/>
      </c>
      <c r="AR234" s="100">
        <f>IF(AO234=1,IF(AO234=AL234,1,0),5)</f>
        <v/>
      </c>
    </row>
    <row r="235" ht="12.75" customHeight="1">
      <c r="G235" s="100">
        <f>100*(F235-E235)/F235</f>
        <v/>
      </c>
      <c r="P235" s="100">
        <f>O235/I235</f>
        <v/>
      </c>
      <c r="AA235" s="103">
        <f>IF(X235&lt;33,IF(Y235&gt;(1.1*X235),0,1),1)+IF(Y235&gt;(4*X235),-1,0)</f>
        <v/>
      </c>
      <c r="AC235" s="101">
        <f>IF(AB235&gt;9,1,0)+AB235/3+IF(AB235&gt;15,1,0)+IF(AB235&gt;20,1,0)</f>
        <v/>
      </c>
      <c r="AG235" s="101">
        <f>IF(G235&lt;0,0,1.2)+IF(G235&lt;14,0,0.9)+IF(P235&lt;0,0.7,0)+IF(P235&lt;6.5,1,0)+IF(P235&lt;23,1,0)+IF(R235&gt;80,0,1)+S235+IF(AD235&lt;20,0,1)+IF(AE235&lt;14,0,1)+IF(AF235&lt;26,0,1)</f>
        <v/>
      </c>
      <c r="AH235" s="101">
        <f>AG235+IF(AG235&gt;6,1,0)+IF(X235&lt;17,0,1)+IF(Y235&lt;11,0,1)+IF(Z235&lt;1.35,0,1)+AC235+AA235</f>
        <v/>
      </c>
      <c r="AJ235" s="104">
        <f>IF(AI235&gt;12.8,IF(AI235&gt;15.8,0.95,0.98),1)</f>
        <v/>
      </c>
      <c r="AK235" s="101">
        <f>((AG235*2.6+AH235)*AJ235*AQ235)</f>
        <v/>
      </c>
      <c r="AL235" s="50">
        <f>D235</f>
        <v/>
      </c>
      <c r="AM235" s="97">
        <f>B235</f>
        <v/>
      </c>
      <c r="AP235" s="100">
        <f>IF(AK235&gt;23.2,IF(Y235&lt;300,IF(Y235&lt;35,IF(Y235&lt;8,3,2),1),0),0)</f>
        <v/>
      </c>
      <c r="AR235" s="100">
        <f>IF(AO235=1,IF(AO235=AL235,1,0),5)</f>
        <v/>
      </c>
    </row>
    <row r="236" ht="12.75" customHeight="1">
      <c r="G236" s="100">
        <f>100*(F236-E236)/F236</f>
        <v/>
      </c>
      <c r="P236" s="100">
        <f>O236/I236</f>
        <v/>
      </c>
      <c r="AA236" s="103">
        <f>IF(X236&lt;33,IF(Y236&gt;(1.1*X236),0,1),1)+IF(Y236&gt;(4*X236),-1,0)</f>
        <v/>
      </c>
      <c r="AC236" s="101">
        <f>IF(AB236&gt;9,1,0)+AB236/3+IF(AB236&gt;15,1,0)+IF(AB236&gt;20,1,0)</f>
        <v/>
      </c>
      <c r="AG236" s="101">
        <f>IF(G236&lt;0,0,1.2)+IF(G236&lt;14,0,0.9)+IF(P236&lt;0,0.7,0)+IF(P236&lt;6.5,1,0)+IF(P236&lt;23,1,0)+IF(R236&gt;80,0,1)+S236+IF(AD236&lt;20,0,1)+IF(AE236&lt;14,0,1)+IF(AF236&lt;26,0,1)</f>
        <v/>
      </c>
      <c r="AH236" s="101">
        <f>AG236+IF(AG236&gt;6,1,0)+IF(X236&lt;17,0,1)+IF(Y236&lt;11,0,1)+IF(Z236&lt;1.35,0,1)+AC236+AA236</f>
        <v/>
      </c>
      <c r="AJ236" s="104">
        <f>IF(AI236&gt;12.8,IF(AI236&gt;15.8,0.95,0.98),1)</f>
        <v/>
      </c>
      <c r="AK236" s="101">
        <f>((AG236*2.6+AH236)*AJ236*AQ236)</f>
        <v/>
      </c>
      <c r="AL236" s="50">
        <f>D236</f>
        <v/>
      </c>
      <c r="AM236" s="97">
        <f>B236</f>
        <v/>
      </c>
      <c r="AP236" s="100">
        <f>IF(AK236&gt;23.2,IF(Y236&lt;300,IF(Y236&lt;35,IF(Y236&lt;8,3,2),1),0),0)</f>
        <v/>
      </c>
      <c r="AR236" s="100">
        <f>IF(AO236=1,IF(AO236=AL236,1,0),5)</f>
        <v/>
      </c>
    </row>
    <row r="237" ht="12.75" customHeight="1">
      <c r="G237" s="100">
        <f>100*(F237-E237)/F237</f>
        <v/>
      </c>
      <c r="P237" s="100">
        <f>O237/I237</f>
        <v/>
      </c>
      <c r="AA237" s="103">
        <f>IF(X237&lt;33,IF(Y237&gt;(1.1*X237),0,1),1)+IF(Y237&gt;(4*X237),-1,0)</f>
        <v/>
      </c>
      <c r="AC237" s="101">
        <f>IF(AB237&gt;9,1,0)+AB237/3+IF(AB237&gt;15,1,0)+IF(AB237&gt;20,1,0)</f>
        <v/>
      </c>
      <c r="AG237" s="101">
        <f>IF(G237&lt;0,0,1.2)+IF(G237&lt;14,0,0.9)+IF(P237&lt;0,0.7,0)+IF(P237&lt;6.5,1,0)+IF(P237&lt;23,1,0)+IF(R237&gt;80,0,1)+S237+IF(AD237&lt;20,0,1)+IF(AE237&lt;14,0,1)+IF(AF237&lt;26,0,1)</f>
        <v/>
      </c>
      <c r="AH237" s="101">
        <f>AG237+IF(AG237&gt;6,1,0)+IF(X237&lt;17,0,1)+IF(Y237&lt;11,0,1)+IF(Z237&lt;1.35,0,1)+AC237+AA237</f>
        <v/>
      </c>
      <c r="AJ237" s="104">
        <f>IF(AI237&gt;12.8,IF(AI237&gt;15.8,0.95,0.98),1)</f>
        <v/>
      </c>
      <c r="AK237" s="101">
        <f>((AG237*2.6+AH237)*AJ237*AQ237)</f>
        <v/>
      </c>
      <c r="AL237" s="50">
        <f>D237</f>
        <v/>
      </c>
      <c r="AM237" s="97">
        <f>B237</f>
        <v/>
      </c>
      <c r="AP237" s="100">
        <f>IF(AK237&gt;23.2,IF(Y237&lt;300,IF(Y237&lt;35,IF(Y237&lt;8,3,2),1),0),0)</f>
        <v/>
      </c>
      <c r="AR237" s="100">
        <f>IF(AO237=1,IF(AO237=AL237,1,0),5)</f>
        <v/>
      </c>
    </row>
    <row r="238" ht="12.75" customHeight="1">
      <c r="G238" s="100">
        <f>100*(F238-E238)/F238</f>
        <v/>
      </c>
      <c r="P238" s="100">
        <f>O238/I238</f>
        <v/>
      </c>
      <c r="AA238" s="103">
        <f>IF(X238&lt;33,IF(Y238&gt;(1.1*X238),0,1),1)+IF(Y238&gt;(4*X238),-1,0)</f>
        <v/>
      </c>
      <c r="AC238" s="101">
        <f>IF(AB238&gt;9,1,0)+AB238/3+IF(AB238&gt;15,1,0)+IF(AB238&gt;20,1,0)</f>
        <v/>
      </c>
      <c r="AG238" s="101">
        <f>IF(G238&lt;0,0,1.2)+IF(G238&lt;14,0,0.9)+IF(P238&lt;0,0.7,0)+IF(P238&lt;6.5,1,0)+IF(P238&lt;23,1,0)+IF(R238&gt;80,0,1)+S238+IF(AD238&lt;20,0,1)+IF(AE238&lt;14,0,1)+IF(AF238&lt;26,0,1)</f>
        <v/>
      </c>
      <c r="AH238" s="101">
        <f>AG238+IF(AG238&gt;6,1,0)+IF(X238&lt;17,0,1)+IF(Y238&lt;11,0,1)+IF(Z238&lt;1.35,0,1)+AC238+AA238</f>
        <v/>
      </c>
      <c r="AJ238" s="104">
        <f>IF(AI238&gt;12.8,IF(AI238&gt;15.8,0.95,0.98),1)</f>
        <v/>
      </c>
      <c r="AK238" s="101">
        <f>((AG238*2.6+AH238)*AJ238*AQ238)</f>
        <v/>
      </c>
      <c r="AL238" s="50">
        <f>D238</f>
        <v/>
      </c>
      <c r="AM238" s="97">
        <f>B238</f>
        <v/>
      </c>
      <c r="AP238" s="100">
        <f>IF(AK238&gt;23.2,IF(Y238&lt;300,IF(Y238&lt;35,IF(Y238&lt;8,3,2),1),0),0)</f>
        <v/>
      </c>
      <c r="AR238" s="100">
        <f>IF(AO238=1,IF(AO238=AL238,1,0),5)</f>
        <v/>
      </c>
    </row>
    <row r="239" ht="12.75" customHeight="1">
      <c r="G239" s="100">
        <f>100*(F239-E239)/F239</f>
        <v/>
      </c>
      <c r="P239" s="100">
        <f>O239/I239</f>
        <v/>
      </c>
      <c r="AA239" s="103">
        <f>IF(X239&lt;33,IF(Y239&gt;(1.1*X239),0,1),1)+IF(Y239&gt;(4*X239),-1,0)</f>
        <v/>
      </c>
      <c r="AC239" s="101">
        <f>IF(AB239&gt;9,1,0)+AB239/3+IF(AB239&gt;15,1,0)+IF(AB239&gt;20,1,0)</f>
        <v/>
      </c>
      <c r="AG239" s="101">
        <f>IF(G239&lt;0,0,1.2)+IF(G239&lt;14,0,0.9)+IF(P239&lt;0,0.7,0)+IF(P239&lt;6.5,1,0)+IF(P239&lt;23,1,0)+IF(R239&gt;80,0,1)+S239+IF(AD239&lt;20,0,1)+IF(AE239&lt;14,0,1)+IF(AF239&lt;26,0,1)</f>
        <v/>
      </c>
      <c r="AH239" s="101">
        <f>AG239+IF(AG239&gt;6,1,0)+IF(X239&lt;17,0,1)+IF(Y239&lt;11,0,1)+IF(Z239&lt;1.35,0,1)+AC239+AA239</f>
        <v/>
      </c>
      <c r="AJ239" s="104">
        <f>IF(AI239&gt;12.8,IF(AI239&gt;15.8,0.95,0.98),1)</f>
        <v/>
      </c>
      <c r="AK239" s="101">
        <f>((AG239*2.6+AH239)*AJ239*AQ239)</f>
        <v/>
      </c>
      <c r="AL239" s="50">
        <f>D239</f>
        <v/>
      </c>
      <c r="AM239" s="97">
        <f>B239</f>
        <v/>
      </c>
      <c r="AP239" s="100">
        <f>IF(AK239&gt;23.2,IF(Y239&lt;300,IF(Y239&lt;35,IF(Y239&lt;8,3,2),1),0),0)</f>
        <v/>
      </c>
      <c r="AR239" s="100">
        <f>IF(AO239=1,IF(AO239=AL239,1,0),5)</f>
        <v/>
      </c>
    </row>
    <row r="240" ht="12.75" customHeight="1">
      <c r="G240" s="100">
        <f>100*(F240-E240)/F240</f>
        <v/>
      </c>
      <c r="P240" s="100">
        <f>O240/I240</f>
        <v/>
      </c>
      <c r="AA240" s="103">
        <f>IF(X240&lt;33,IF(Y240&gt;(1.1*X240),0,1),1)+IF(Y240&gt;(4*X240),-1,0)</f>
        <v/>
      </c>
      <c r="AC240" s="101">
        <f>IF(AB240&gt;9,1,0)+AB240/3+IF(AB240&gt;15,1,0)+IF(AB240&gt;20,1,0)</f>
        <v/>
      </c>
      <c r="AG240" s="101">
        <f>IF(G240&lt;0,0,1.2)+IF(G240&lt;14,0,0.9)+IF(P240&lt;0,0.7,0)+IF(P240&lt;6.5,1,0)+IF(P240&lt;23,1,0)+IF(R240&gt;80,0,1)+S240+IF(AD240&lt;20,0,1)+IF(AE240&lt;14,0,1)+IF(AF240&lt;26,0,1)</f>
        <v/>
      </c>
      <c r="AH240" s="101">
        <f>AG240+IF(AG240&gt;6,1,0)+IF(X240&lt;17,0,1)+IF(Y240&lt;11,0,1)+IF(Z240&lt;1.35,0,1)+AC240+AA240</f>
        <v/>
      </c>
      <c r="AJ240" s="104">
        <f>IF(AI240&gt;12.8,IF(AI240&gt;15.8,0.95,0.98),1)</f>
        <v/>
      </c>
      <c r="AK240" s="101">
        <f>((AG240*2.6+AH240)*AJ240*AQ240)</f>
        <v/>
      </c>
      <c r="AL240" s="50">
        <f>D240</f>
        <v/>
      </c>
      <c r="AM240" s="97">
        <f>B240</f>
        <v/>
      </c>
      <c r="AP240" s="100">
        <f>IF(AK240&gt;23.2,IF(Y240&lt;300,IF(Y240&lt;35,IF(Y240&lt;8,3,2),1),0),0)</f>
        <v/>
      </c>
      <c r="AR240" s="100">
        <f>IF(AO240=1,IF(AO240=AL240,1,0),5)</f>
        <v/>
      </c>
    </row>
    <row r="241" ht="12.75" customHeight="1">
      <c r="G241" s="100">
        <f>100*(F241-E241)/F241</f>
        <v/>
      </c>
      <c r="P241" s="100">
        <f>O241/I241</f>
        <v/>
      </c>
      <c r="AA241" s="103">
        <f>IF(X241&lt;33,IF(Y241&gt;(1.1*X241),0,1),1)+IF(Y241&gt;(4*X241),-1,0)</f>
        <v/>
      </c>
      <c r="AC241" s="101">
        <f>IF(AB241&gt;9,1,0)+AB241/3+IF(AB241&gt;15,1,0)+IF(AB241&gt;20,1,0)</f>
        <v/>
      </c>
      <c r="AG241" s="101">
        <f>IF(G241&lt;0,0,1.2)+IF(G241&lt;14,0,0.9)+IF(P241&lt;0,0.7,0)+IF(P241&lt;6.5,1,0)+IF(P241&lt;23,1,0)+IF(R241&gt;80,0,1)+S241+IF(AD241&lt;20,0,1)+IF(AE241&lt;14,0,1)+IF(AF241&lt;26,0,1)</f>
        <v/>
      </c>
      <c r="AH241" s="101">
        <f>AG241+IF(AG241&gt;6,1,0)+IF(X241&lt;17,0,1)+IF(Y241&lt;11,0,1)+IF(Z241&lt;1.35,0,1)+AC241+AA241</f>
        <v/>
      </c>
      <c r="AJ241" s="104">
        <f>IF(AI241&gt;12.8,IF(AI241&gt;15.8,0.95,0.98),1)</f>
        <v/>
      </c>
      <c r="AK241" s="101">
        <f>((AG241*2.6+AH241)*AJ241*AQ241)</f>
        <v/>
      </c>
      <c r="AL241" s="50">
        <f>D241</f>
        <v/>
      </c>
      <c r="AM241" s="97">
        <f>B241</f>
        <v/>
      </c>
      <c r="AP241" s="100">
        <f>IF(AK241&gt;23.2,IF(Y241&lt;300,IF(Y241&lt;35,IF(Y241&lt;8,3,2),1),0),0)</f>
        <v/>
      </c>
      <c r="AR241" s="100">
        <f>IF(AO241=1,IF(AO241=AL241,1,0),5)</f>
        <v/>
      </c>
    </row>
    <row r="242" ht="12.75" customHeight="1">
      <c r="G242" s="100">
        <f>100*(F242-E242)/F242</f>
        <v/>
      </c>
      <c r="P242" s="100">
        <f>O242/I242</f>
        <v/>
      </c>
      <c r="AA242" s="103">
        <f>IF(X242&lt;33,IF(Y242&gt;(1.1*X242),0,1),1)+IF(Y242&gt;(4*X242),-1,0)</f>
        <v/>
      </c>
      <c r="AC242" s="101">
        <f>IF(AB242&gt;9,1,0)+AB242/3+IF(AB242&gt;15,1,0)+IF(AB242&gt;20,1,0)</f>
        <v/>
      </c>
      <c r="AG242" s="101">
        <f>IF(G242&lt;0,0,1.2)+IF(G242&lt;14,0,0.9)+IF(P242&lt;0,0.7,0)+IF(P242&lt;6.5,1,0)+IF(P242&lt;23,1,0)+IF(R242&gt;80,0,1)+S242+IF(AD242&lt;20,0,1)+IF(AE242&lt;14,0,1)+IF(AF242&lt;26,0,1)</f>
        <v/>
      </c>
      <c r="AH242" s="101">
        <f>AG242+IF(AG242&gt;6,1,0)+IF(X242&lt;17,0,1)+IF(Y242&lt;11,0,1)+IF(Z242&lt;1.35,0,1)+AC242+AA242</f>
        <v/>
      </c>
      <c r="AJ242" s="104">
        <f>IF(AI242&gt;12.8,IF(AI242&gt;15.8,0.95,0.98),1)</f>
        <v/>
      </c>
      <c r="AK242" s="101">
        <f>((AG242*2.6+AH242)*AJ242*AQ242)</f>
        <v/>
      </c>
      <c r="AL242" s="50">
        <f>D242</f>
        <v/>
      </c>
      <c r="AM242" s="97">
        <f>B242</f>
        <v/>
      </c>
      <c r="AP242" s="100">
        <f>IF(AK242&gt;23.2,IF(Y242&lt;300,IF(Y242&lt;35,IF(Y242&lt;8,3,2),1),0),0)</f>
        <v/>
      </c>
      <c r="AR242" s="100">
        <f>IF(AO242=1,IF(AO242=AL242,1,0),5)</f>
        <v/>
      </c>
    </row>
    <row r="243" ht="12.75" customHeight="1">
      <c r="G243" s="100">
        <f>100*(F243-E243)/F243</f>
        <v/>
      </c>
      <c r="P243" s="100">
        <f>O243/I243</f>
        <v/>
      </c>
      <c r="AA243" s="103">
        <f>IF(X243&lt;33,IF(Y243&gt;(1.1*X243),0,1),1)+IF(Y243&gt;(4*X243),-1,0)</f>
        <v/>
      </c>
      <c r="AC243" s="101">
        <f>IF(AB243&gt;9,1,0)+AB243/3+IF(AB243&gt;15,1,0)+IF(AB243&gt;20,1,0)</f>
        <v/>
      </c>
      <c r="AG243" s="101">
        <f>IF(G243&lt;0,0,1.2)+IF(G243&lt;14,0,0.9)+IF(P243&lt;0,0.7,0)+IF(P243&lt;6.5,1,0)+IF(P243&lt;23,1,0)+IF(R243&gt;80,0,1)+S243+IF(AD243&lt;20,0,1)+IF(AE243&lt;14,0,1)+IF(AF243&lt;26,0,1)</f>
        <v/>
      </c>
      <c r="AH243" s="101">
        <f>AG243+IF(AG243&gt;6,1,0)+IF(X243&lt;17,0,1)+IF(Y243&lt;11,0,1)+IF(Z243&lt;1.35,0,1)+AC243+AA243</f>
        <v/>
      </c>
      <c r="AJ243" s="104">
        <f>IF(AI243&gt;12.8,IF(AI243&gt;15.8,0.95,0.98),1)</f>
        <v/>
      </c>
      <c r="AK243" s="101">
        <f>((AG243*2.6+AH243)*AJ243*AQ243)</f>
        <v/>
      </c>
      <c r="AL243" s="50">
        <f>D243</f>
        <v/>
      </c>
      <c r="AM243" s="97">
        <f>B243</f>
        <v/>
      </c>
      <c r="AP243" s="100">
        <f>IF(AK243&gt;23.2,IF(Y243&lt;300,IF(Y243&lt;35,IF(Y243&lt;8,3,2),1),0),0)</f>
        <v/>
      </c>
      <c r="AR243" s="100">
        <f>IF(AO243=1,IF(AO243=AL243,1,0),5)</f>
        <v/>
      </c>
    </row>
    <row r="244" ht="12.75" customHeight="1">
      <c r="G244" s="100">
        <f>100*(F244-E244)/F244</f>
        <v/>
      </c>
      <c r="P244" s="100">
        <f>O244/I244</f>
        <v/>
      </c>
      <c r="AA244" s="103">
        <f>IF(X244&lt;33,IF(Y244&gt;(1.1*X244),0,1),1)+IF(Y244&gt;(4*X244),-1,0)</f>
        <v/>
      </c>
      <c r="AC244" s="101">
        <f>IF(AB244&gt;9,1,0)+AB244/3+IF(AB244&gt;15,1,0)+IF(AB244&gt;20,1,0)</f>
        <v/>
      </c>
      <c r="AG244" s="101">
        <f>IF(G244&lt;0,0,1.2)+IF(G244&lt;14,0,0.9)+IF(P244&lt;0,0.7,0)+IF(P244&lt;6.5,1,0)+IF(P244&lt;23,1,0)+IF(R244&gt;80,0,1)+S244+IF(AD244&lt;20,0,1)+IF(AE244&lt;14,0,1)+IF(AF244&lt;26,0,1)</f>
        <v/>
      </c>
      <c r="AH244" s="101">
        <f>AG244+IF(AG244&gt;6,1,0)+IF(X244&lt;17,0,1)+IF(Y244&lt;11,0,1)+IF(Z244&lt;1.35,0,1)+AC244+AA244</f>
        <v/>
      </c>
      <c r="AJ244" s="104">
        <f>IF(AI244&gt;12.8,IF(AI244&gt;15.8,0.95,0.98),1)</f>
        <v/>
      </c>
      <c r="AK244" s="101">
        <f>((AG244*2.6+AH244)*AJ244*AQ244)</f>
        <v/>
      </c>
      <c r="AL244" s="50">
        <f>D244</f>
        <v/>
      </c>
      <c r="AM244" s="97">
        <f>B244</f>
        <v/>
      </c>
      <c r="AP244" s="100">
        <f>IF(AK244&gt;23.2,IF(Y244&lt;300,IF(Y244&lt;35,IF(Y244&lt;8,3,2),1),0),0)</f>
        <v/>
      </c>
      <c r="AR244" s="100">
        <f>IF(AO244=1,IF(AO244=AL244,1,0),5)</f>
        <v/>
      </c>
    </row>
    <row r="245" ht="12.75" customHeight="1">
      <c r="G245" s="100">
        <f>100*(F245-E245)/F245</f>
        <v/>
      </c>
      <c r="P245" s="100">
        <f>O245/I245</f>
        <v/>
      </c>
      <c r="AA245" s="103">
        <f>IF(X245&lt;33,IF(Y245&gt;(1.1*X245),0,1),1)+IF(Y245&gt;(4*X245),-1,0)</f>
        <v/>
      </c>
      <c r="AC245" s="101">
        <f>IF(AB245&gt;9,1,0)+AB245/3+IF(AB245&gt;15,1,0)+IF(AB245&gt;20,1,0)</f>
        <v/>
      </c>
      <c r="AG245" s="101">
        <f>IF(G245&lt;0,0,1.2)+IF(G245&lt;14,0,0.9)+IF(P245&lt;0,0.7,0)+IF(P245&lt;6.5,1,0)+IF(P245&lt;23,1,0)+IF(R245&gt;80,0,1)+S245+IF(AD245&lt;20,0,1)+IF(AE245&lt;14,0,1)+IF(AF245&lt;26,0,1)</f>
        <v/>
      </c>
      <c r="AH245" s="101">
        <f>AG245+IF(AG245&gt;6,1,0)+IF(X245&lt;17,0,1)+IF(Y245&lt;11,0,1)+IF(Z245&lt;1.35,0,1)+AC245+AA245</f>
        <v/>
      </c>
      <c r="AJ245" s="104">
        <f>IF(AI245&gt;12.8,IF(AI245&gt;15.8,0.95,0.98),1)</f>
        <v/>
      </c>
      <c r="AK245" s="101">
        <f>((AG245*2.6+AH245)*AJ245*AQ245)</f>
        <v/>
      </c>
      <c r="AL245" s="50">
        <f>D245</f>
        <v/>
      </c>
      <c r="AM245" s="97">
        <f>B245</f>
        <v/>
      </c>
      <c r="AP245" s="100">
        <f>IF(AK245&gt;23.2,IF(Y245&lt;300,IF(Y245&lt;35,IF(Y245&lt;8,3,2),1),0),0)</f>
        <v/>
      </c>
      <c r="AR245" s="100">
        <f>IF(AO245=1,IF(AO245=AL245,1,0),5)</f>
        <v/>
      </c>
    </row>
    <row r="246" ht="12.75" customHeight="1">
      <c r="G246" s="100">
        <f>100*(F246-E246)/F246</f>
        <v/>
      </c>
      <c r="P246" s="100">
        <f>O246/I246</f>
        <v/>
      </c>
      <c r="AA246" s="103">
        <f>IF(X246&lt;33,IF(Y246&gt;(1.1*X246),0,1),1)+IF(Y246&gt;(4*X246),-1,0)</f>
        <v/>
      </c>
      <c r="AC246" s="101">
        <f>IF(AB246&gt;9,1,0)+AB246/3+IF(AB246&gt;15,1,0)+IF(AB246&gt;20,1,0)</f>
        <v/>
      </c>
      <c r="AG246" s="101">
        <f>IF(G246&lt;0,0,1.2)+IF(G246&lt;14,0,0.9)+IF(P246&lt;0,0.7,0)+IF(P246&lt;6.5,1,0)+IF(P246&lt;23,1,0)+IF(R246&gt;80,0,1)+S246+IF(AD246&lt;20,0,1)+IF(AE246&lt;14,0,1)+IF(AF246&lt;26,0,1)</f>
        <v/>
      </c>
      <c r="AH246" s="101">
        <f>AG246+IF(AG246&gt;6,1,0)+IF(X246&lt;17,0,1)+IF(Y246&lt;11,0,1)+IF(Z246&lt;1.35,0,1)+AC246+AA246</f>
        <v/>
      </c>
      <c r="AJ246" s="104">
        <f>IF(AI246&gt;12.8,IF(AI246&gt;15.8,0.95,0.98),1)</f>
        <v/>
      </c>
      <c r="AK246" s="101">
        <f>((AG246*2.6+AH246)*AJ246*AQ246)</f>
        <v/>
      </c>
      <c r="AL246" s="50">
        <f>D246</f>
        <v/>
      </c>
      <c r="AM246" s="97">
        <f>B246</f>
        <v/>
      </c>
      <c r="AP246" s="100">
        <f>IF(AK246&gt;23.2,IF(Y246&lt;300,IF(Y246&lt;35,IF(Y246&lt;8,3,2),1),0),0)</f>
        <v/>
      </c>
      <c r="AR246" s="100">
        <f>IF(AO246=1,IF(AO246=AL246,1,0),5)</f>
        <v/>
      </c>
    </row>
    <row r="247" ht="12.75" customHeight="1">
      <c r="G247" s="100">
        <f>100*(F247-E247)/F247</f>
        <v/>
      </c>
      <c r="P247" s="100">
        <f>O247/I247</f>
        <v/>
      </c>
      <c r="AA247" s="103">
        <f>IF(X247&lt;33,IF(Y247&gt;(1.1*X247),0,1),1)+IF(Y247&gt;(4*X247),-1,0)</f>
        <v/>
      </c>
      <c r="AC247" s="101">
        <f>IF(AB247&gt;9,1,0)+AB247/3+IF(AB247&gt;15,1,0)+IF(AB247&gt;20,1,0)</f>
        <v/>
      </c>
      <c r="AG247" s="101">
        <f>IF(G247&lt;0,0,1.2)+IF(G247&lt;14,0,0.9)+IF(P247&lt;0,0.7,0)+IF(P247&lt;6.5,1,0)+IF(P247&lt;23,1,0)+IF(R247&gt;80,0,1)+S247+IF(AD247&lt;20,0,1)+IF(AE247&lt;14,0,1)+IF(AF247&lt;26,0,1)</f>
        <v/>
      </c>
      <c r="AH247" s="101">
        <f>AG247+IF(AG247&gt;6,1,0)+IF(X247&lt;17,0,1)+IF(Y247&lt;11,0,1)+IF(Z247&lt;1.35,0,1)+AC247+AA247</f>
        <v/>
      </c>
      <c r="AJ247" s="104">
        <f>IF(AI247&gt;12.8,IF(AI247&gt;15.8,0.95,0.98),1)</f>
        <v/>
      </c>
      <c r="AK247" s="101">
        <f>((AG247*2.6+AH247)*AJ247*AQ247)</f>
        <v/>
      </c>
      <c r="AL247" s="50">
        <f>D247</f>
        <v/>
      </c>
      <c r="AM247" s="97">
        <f>B247</f>
        <v/>
      </c>
      <c r="AP247" s="100">
        <f>IF(AK247&gt;23.2,IF(Y247&lt;300,IF(Y247&lt;35,IF(Y247&lt;8,3,2),1),0),0)</f>
        <v/>
      </c>
      <c r="AR247" s="100">
        <f>IF(AO247=1,IF(AO247=AL247,1,0),5)</f>
        <v/>
      </c>
    </row>
    <row r="248" ht="12.75" customHeight="1">
      <c r="G248" s="100">
        <f>100*(F248-E248)/F248</f>
        <v/>
      </c>
      <c r="P248" s="100">
        <f>O248/I248</f>
        <v/>
      </c>
      <c r="AA248" s="103">
        <f>IF(X248&lt;33,IF(Y248&gt;(1.1*X248),0,1),1)+IF(Y248&gt;(4*X248),-1,0)</f>
        <v/>
      </c>
      <c r="AC248" s="101">
        <f>IF(AB248&gt;9,1,0)+AB248/3+IF(AB248&gt;15,1,0)+IF(AB248&gt;20,1,0)</f>
        <v/>
      </c>
      <c r="AG248" s="101">
        <f>IF(G248&lt;0,0,1.2)+IF(G248&lt;14,0,0.9)+IF(P248&lt;0,0.7,0)+IF(P248&lt;6.5,1,0)+IF(P248&lt;23,1,0)+IF(R248&gt;80,0,1)+S248+IF(AD248&lt;20,0,1)+IF(AE248&lt;14,0,1)+IF(AF248&lt;26,0,1)</f>
        <v/>
      </c>
      <c r="AH248" s="101">
        <f>AG248+IF(AG248&gt;6,1,0)+IF(X248&lt;17,0,1)+IF(Y248&lt;11,0,1)+IF(Z248&lt;1.35,0,1)+AC248+AA248</f>
        <v/>
      </c>
      <c r="AJ248" s="104">
        <f>IF(AI248&gt;12.8,IF(AI248&gt;15.8,0.95,0.98),1)</f>
        <v/>
      </c>
      <c r="AK248" s="101">
        <f>((AG248*2.6+AH248)*AJ248*AQ248)</f>
        <v/>
      </c>
      <c r="AL248" s="50">
        <f>D248</f>
        <v/>
      </c>
      <c r="AM248" s="97">
        <f>B248</f>
        <v/>
      </c>
      <c r="AP248" s="100">
        <f>IF(AK248&gt;23.2,IF(Y248&lt;300,IF(Y248&lt;35,IF(Y248&lt;8,3,2),1),0),0)</f>
        <v/>
      </c>
      <c r="AR248" s="100">
        <f>IF(AO248=1,IF(AO248=AL248,1,0),5)</f>
        <v/>
      </c>
    </row>
    <row r="249" ht="12.75" customHeight="1">
      <c r="G249" s="100">
        <f>100*(F249-E249)/F249</f>
        <v/>
      </c>
      <c r="P249" s="100">
        <f>O249/I249</f>
        <v/>
      </c>
      <c r="AA249" s="103">
        <f>IF(X249&lt;33,IF(Y249&gt;(1.1*X249),0,1),1)+IF(Y249&gt;(4*X249),-1,0)</f>
        <v/>
      </c>
      <c r="AC249" s="101">
        <f>IF(AB249&gt;9,1,0)+AB249/3+IF(AB249&gt;15,1,0)+IF(AB249&gt;20,1,0)</f>
        <v/>
      </c>
      <c r="AG249" s="101">
        <f>IF(G249&lt;0,0,1.2)+IF(G249&lt;14,0,0.9)+IF(P249&lt;0,0.7,0)+IF(P249&lt;6.5,1,0)+IF(P249&lt;23,1,0)+IF(R249&gt;80,0,1)+S249+IF(AD249&lt;20,0,1)+IF(AE249&lt;14,0,1)+IF(AF249&lt;26,0,1)</f>
        <v/>
      </c>
      <c r="AH249" s="101">
        <f>AG249+IF(AG249&gt;6,1,0)+IF(X249&lt;17,0,1)+IF(Y249&lt;11,0,1)+IF(Z249&lt;1.35,0,1)+AC249+AA249</f>
        <v/>
      </c>
      <c r="AJ249" s="104">
        <f>IF(AI249&gt;12.8,IF(AI249&gt;15.8,0.95,0.98),1)</f>
        <v/>
      </c>
      <c r="AK249" s="101">
        <f>((AG249*2.6+AH249)*AJ249*AQ249)</f>
        <v/>
      </c>
      <c r="AL249" s="50">
        <f>D249</f>
        <v/>
      </c>
      <c r="AM249" s="97">
        <f>B249</f>
        <v/>
      </c>
      <c r="AP249" s="100">
        <f>IF(AK249&gt;23.2,IF(Y249&lt;300,IF(Y249&lt;35,IF(Y249&lt;8,3,2),1),0),0)</f>
        <v/>
      </c>
      <c r="AR249" s="100">
        <f>IF(AO249=1,IF(AO249=AL249,1,0),5)</f>
        <v/>
      </c>
    </row>
    <row r="250" ht="12.75" customHeight="1">
      <c r="G250" s="100">
        <f>100*(F250-E250)/F250</f>
        <v/>
      </c>
      <c r="P250" s="100">
        <f>O250/I250</f>
        <v/>
      </c>
      <c r="AA250" s="103">
        <f>IF(X250&lt;33,IF(Y250&gt;(1.1*X250),0,1),1)+IF(Y250&gt;(4*X250),-1,0)</f>
        <v/>
      </c>
      <c r="AC250" s="101">
        <f>IF(AB250&gt;9,1,0)+AB250/3+IF(AB250&gt;15,1,0)+IF(AB250&gt;20,1,0)</f>
        <v/>
      </c>
      <c r="AG250" s="101">
        <f>IF(G250&lt;0,0,1.2)+IF(G250&lt;14,0,0.9)+IF(P250&lt;0,0.7,0)+IF(P250&lt;6.5,1,0)+IF(P250&lt;23,1,0)+IF(R250&gt;80,0,1)+S250+IF(AD250&lt;20,0,1)+IF(AE250&lt;14,0,1)+IF(AF250&lt;26,0,1)</f>
        <v/>
      </c>
      <c r="AH250" s="101">
        <f>AG250+IF(AG250&gt;6,1,0)+IF(X250&lt;17,0,1)+IF(Y250&lt;11,0,1)+IF(Z250&lt;1.35,0,1)+AC250+AA250</f>
        <v/>
      </c>
      <c r="AJ250" s="104">
        <f>IF(AI250&gt;12.8,IF(AI250&gt;15.8,0.95,0.98),1)</f>
        <v/>
      </c>
      <c r="AK250" s="101">
        <f>((AG250*2.6+AH250)*AJ250*AQ250)</f>
        <v/>
      </c>
      <c r="AL250" s="50">
        <f>D250</f>
        <v/>
      </c>
      <c r="AM250" s="97">
        <f>B250</f>
        <v/>
      </c>
      <c r="AP250" s="100">
        <f>IF(AK250&gt;23.2,IF(Y250&lt;300,IF(Y250&lt;35,IF(Y250&lt;8,3,2),1),0),0)</f>
        <v/>
      </c>
      <c r="AR250" s="100">
        <f>IF(AO250=1,IF(AO250=AL250,1,0),5)</f>
        <v/>
      </c>
    </row>
    <row r="251" ht="12.75" customHeight="1">
      <c r="G251" s="100">
        <f>100*(F251-E251)/F251</f>
        <v/>
      </c>
      <c r="P251" s="100">
        <f>O251/I251</f>
        <v/>
      </c>
      <c r="AA251" s="103">
        <f>IF(X251&lt;33,IF(Y251&gt;(1.1*X251),0,1),1)+IF(Y251&gt;(4*X251),-1,0)</f>
        <v/>
      </c>
      <c r="AC251" s="101">
        <f>IF(AB251&gt;9,1,0)+AB251/3+IF(AB251&gt;15,1,0)+IF(AB251&gt;20,1,0)</f>
        <v/>
      </c>
      <c r="AG251" s="101">
        <f>IF(G251&lt;0,0,1.2)+IF(G251&lt;14,0,0.9)+IF(P251&lt;0,0.7,0)+IF(P251&lt;6.5,1,0)+IF(P251&lt;23,1,0)+IF(R251&gt;80,0,1)+S251+IF(AD251&lt;20,0,1)+IF(AE251&lt;14,0,1)+IF(AF251&lt;26,0,1)</f>
        <v/>
      </c>
      <c r="AH251" s="101">
        <f>AG251+IF(AG251&gt;6,1,0)+IF(X251&lt;17,0,1)+IF(Y251&lt;11,0,1)+IF(Z251&lt;1.35,0,1)+AC251+AA251</f>
        <v/>
      </c>
      <c r="AJ251" s="104">
        <f>IF(AI251&gt;12.8,IF(AI251&gt;15.8,0.95,0.98),1)</f>
        <v/>
      </c>
      <c r="AK251" s="101">
        <f>((AG251*2.6+AH251)*AJ251*AQ251)</f>
        <v/>
      </c>
      <c r="AL251" s="50">
        <f>D251</f>
        <v/>
      </c>
      <c r="AM251" s="97">
        <f>B251</f>
        <v/>
      </c>
      <c r="AP251" s="100">
        <f>IF(AK251&gt;23.2,IF(Y251&lt;300,IF(Y251&lt;35,IF(Y251&lt;8,3,2),1),0),0)</f>
        <v/>
      </c>
      <c r="AR251" s="100">
        <f>IF(AO251=1,IF(AO251=AL251,1,0),5)</f>
        <v/>
      </c>
    </row>
    <row r="252" ht="12.75" customHeight="1">
      <c r="G252" s="100">
        <f>100*(F252-E252)/F252</f>
        <v/>
      </c>
      <c r="P252" s="100">
        <f>O252/I252</f>
        <v/>
      </c>
      <c r="AA252" s="103">
        <f>IF(X252&lt;33,IF(Y252&gt;(1.1*X252),0,1),1)+IF(Y252&gt;(4*X252),-1,0)</f>
        <v/>
      </c>
      <c r="AC252" s="101">
        <f>IF(AB252&gt;9,1,0)+AB252/3+IF(AB252&gt;15,1,0)+IF(AB252&gt;20,1,0)</f>
        <v/>
      </c>
      <c r="AG252" s="101">
        <f>IF(G252&lt;0,0,1.2)+IF(G252&lt;14,0,0.9)+IF(P252&lt;0,0.7,0)+IF(P252&lt;6.5,1,0)+IF(P252&lt;23,1,0)+IF(R252&gt;80,0,1)+S252+IF(AD252&lt;20,0,1)+IF(AE252&lt;14,0,1)+IF(AF252&lt;26,0,1)</f>
        <v/>
      </c>
      <c r="AH252" s="101">
        <f>AG252+IF(AG252&gt;6,1,0)+IF(X252&lt;17,0,1)+IF(Y252&lt;11,0,1)+IF(Z252&lt;1.35,0,1)+AC252+AA252</f>
        <v/>
      </c>
      <c r="AJ252" s="104">
        <f>IF(AI252&gt;12.8,IF(AI252&gt;15.8,0.95,0.98),1)</f>
        <v/>
      </c>
      <c r="AK252" s="101">
        <f>((AG252*2.6+AH252)*AJ252*AQ252)</f>
        <v/>
      </c>
      <c r="AL252" s="50">
        <f>D252</f>
        <v/>
      </c>
      <c r="AM252" s="97">
        <f>B252</f>
        <v/>
      </c>
      <c r="AP252" s="100">
        <f>IF(AK252&gt;23.2,IF(Y252&lt;300,IF(Y252&lt;35,IF(Y252&lt;8,3,2),1),0),0)</f>
        <v/>
      </c>
      <c r="AR252" s="100">
        <f>IF(AO252=1,IF(AO252=AL252,1,0),5)</f>
        <v/>
      </c>
    </row>
    <row r="253" ht="12.75" customHeight="1">
      <c r="G253" s="100">
        <f>100*(F253-E253)/F253</f>
        <v/>
      </c>
      <c r="P253" s="100">
        <f>O253/I253</f>
        <v/>
      </c>
      <c r="AA253" s="103">
        <f>IF(X253&lt;33,IF(Y253&gt;(1.1*X253),0,1),1)+IF(Y253&gt;(4*X253),-1,0)</f>
        <v/>
      </c>
      <c r="AC253" s="101">
        <f>IF(AB253&gt;9,1,0)+AB253/3+IF(AB253&gt;15,1,0)+IF(AB253&gt;20,1,0)</f>
        <v/>
      </c>
      <c r="AG253" s="101">
        <f>IF(G253&lt;0,0,1.2)+IF(G253&lt;14,0,0.9)+IF(P253&lt;0,0.7,0)+IF(P253&lt;6.5,1,0)+IF(P253&lt;23,1,0)+IF(R253&gt;80,0,1)+S253+IF(AD253&lt;20,0,1)+IF(AE253&lt;14,0,1)+IF(AF253&lt;26,0,1)</f>
        <v/>
      </c>
      <c r="AH253" s="101">
        <f>AG253+IF(AG253&gt;6,1,0)+IF(X253&lt;17,0,1)+IF(Y253&lt;11,0,1)+IF(Z253&lt;1.35,0,1)+AC253+AA253</f>
        <v/>
      </c>
      <c r="AJ253" s="104">
        <f>IF(AI253&gt;12.8,IF(AI253&gt;15.8,0.95,0.98),1)</f>
        <v/>
      </c>
      <c r="AK253" s="101">
        <f>((AG253*2.6+AH253)*AJ253*AQ253)</f>
        <v/>
      </c>
      <c r="AL253" s="50">
        <f>D253</f>
        <v/>
      </c>
      <c r="AM253" s="97">
        <f>B253</f>
        <v/>
      </c>
      <c r="AP253" s="100">
        <f>IF(AK253&gt;23.2,IF(Y253&lt;300,IF(Y253&lt;35,IF(Y253&lt;8,3,2),1),0),0)</f>
        <v/>
      </c>
      <c r="AR253" s="100">
        <f>IF(AO253=1,IF(AO253=AL253,1,0),5)</f>
        <v/>
      </c>
    </row>
    <row r="254" ht="12.75" customHeight="1">
      <c r="G254" s="100">
        <f>100*(F254-E254)/F254</f>
        <v/>
      </c>
      <c r="P254" s="100">
        <f>O254/I254</f>
        <v/>
      </c>
      <c r="AA254" s="103">
        <f>IF(X254&lt;33,IF(Y254&gt;(1.1*X254),0,1),1)+IF(Y254&gt;(4*X254),-1,0)</f>
        <v/>
      </c>
      <c r="AC254" s="101">
        <f>IF(AB254&gt;9,1,0)+AB254/3+IF(AB254&gt;15,1,0)+IF(AB254&gt;20,1,0)</f>
        <v/>
      </c>
      <c r="AG254" s="101">
        <f>IF(G254&lt;0,0,1.2)+IF(G254&lt;14,0,0.9)+IF(P254&lt;0,0.7,0)+IF(P254&lt;6.5,1,0)+IF(P254&lt;23,1,0)+IF(R254&gt;80,0,1)+S254+IF(AD254&lt;20,0,1)+IF(AE254&lt;14,0,1)+IF(AF254&lt;26,0,1)</f>
        <v/>
      </c>
      <c r="AH254" s="101">
        <f>AG254+IF(AG254&gt;6,1,0)+IF(X254&lt;17,0,1)+IF(Y254&lt;11,0,1)+IF(Z254&lt;1.35,0,1)+AC254+AA254</f>
        <v/>
      </c>
      <c r="AJ254" s="104">
        <f>IF(AI254&gt;12.8,IF(AI254&gt;15.8,0.95,0.98),1)</f>
        <v/>
      </c>
      <c r="AK254" s="101">
        <f>((AG254*2.6+AH254)*AJ254*AQ254)</f>
        <v/>
      </c>
      <c r="AL254" s="50">
        <f>D254</f>
        <v/>
      </c>
      <c r="AM254" s="97">
        <f>B254</f>
        <v/>
      </c>
      <c r="AP254" s="100">
        <f>IF(AK254&gt;23.2,IF(Y254&lt;300,IF(Y254&lt;35,IF(Y254&lt;8,3,2),1),0),0)</f>
        <v/>
      </c>
      <c r="AR254" s="100">
        <f>IF(AO254=1,IF(AO254=AL254,1,0),5)</f>
        <v/>
      </c>
    </row>
    <row r="255" ht="12.75" customHeight="1">
      <c r="G255" s="100">
        <f>100*(F255-E255)/F255</f>
        <v/>
      </c>
      <c r="P255" s="100">
        <f>O255/I255</f>
        <v/>
      </c>
      <c r="AA255" s="103">
        <f>IF(X255&lt;33,IF(Y255&gt;(1.1*X255),0,1),1)+IF(Y255&gt;(4*X255),-1,0)</f>
        <v/>
      </c>
      <c r="AC255" s="101">
        <f>IF(AB255&gt;9,1,0)+AB255/3+IF(AB255&gt;15,1,0)+IF(AB255&gt;20,1,0)</f>
        <v/>
      </c>
      <c r="AG255" s="101">
        <f>IF(G255&lt;0,0,1.2)+IF(G255&lt;14,0,0.9)+IF(P255&lt;0,0.7,0)+IF(P255&lt;6.5,1,0)+IF(P255&lt;23,1,0)+IF(R255&gt;80,0,1)+S255+IF(AD255&lt;20,0,1)+IF(AE255&lt;14,0,1)+IF(AF255&lt;26,0,1)</f>
        <v/>
      </c>
      <c r="AH255" s="101">
        <f>AG255+IF(AG255&gt;6,1,0)+IF(X255&lt;17,0,1)+IF(Y255&lt;11,0,1)+IF(Z255&lt;1.35,0,1)+AC255+AA255</f>
        <v/>
      </c>
      <c r="AJ255" s="104">
        <f>IF(AI255&gt;12.8,IF(AI255&gt;15.8,0.95,0.98),1)</f>
        <v/>
      </c>
      <c r="AK255" s="101">
        <f>((AG255*2.6+AH255)*AJ255*AQ255)</f>
        <v/>
      </c>
      <c r="AL255" s="50">
        <f>D255</f>
        <v/>
      </c>
      <c r="AM255" s="97">
        <f>B255</f>
        <v/>
      </c>
      <c r="AP255" s="100">
        <f>IF(AK255&gt;23.2,IF(Y255&lt;300,IF(Y255&lt;35,IF(Y255&lt;8,3,2),1),0),0)</f>
        <v/>
      </c>
      <c r="AR255" s="100">
        <f>IF(AO255=1,IF(AO255=AL255,1,0),5)</f>
        <v/>
      </c>
    </row>
    <row r="256" ht="12.75" customHeight="1">
      <c r="G256" s="100">
        <f>100*(F256-E256)/F256</f>
        <v/>
      </c>
      <c r="P256" s="100">
        <f>O256/I256</f>
        <v/>
      </c>
      <c r="AA256" s="103">
        <f>IF(X256&lt;33,IF(Y256&gt;(1.1*X256),0,1),1)+IF(Y256&gt;(4*X256),-1,0)</f>
        <v/>
      </c>
      <c r="AC256" s="101">
        <f>IF(AB256&gt;9,1,0)+AB256/3+IF(AB256&gt;15,1,0)+IF(AB256&gt;20,1,0)</f>
        <v/>
      </c>
      <c r="AG256" s="101">
        <f>IF(G256&lt;0,0,1.2)+IF(G256&lt;14,0,0.9)+IF(P256&lt;0,0.7,0)+IF(P256&lt;6.5,1,0)+IF(P256&lt;23,1,0)+IF(R256&gt;80,0,1)+S256+IF(AD256&lt;20,0,1)+IF(AE256&lt;14,0,1)+IF(AF256&lt;26,0,1)</f>
        <v/>
      </c>
      <c r="AH256" s="101">
        <f>AG256+IF(AG256&gt;6,1,0)+IF(X256&lt;17,0,1)+IF(Y256&lt;11,0,1)+IF(Z256&lt;1.35,0,1)+AC256+AA256</f>
        <v/>
      </c>
      <c r="AJ256" s="104">
        <f>IF(AI256&gt;12.8,IF(AI256&gt;15.8,0.95,0.98),1)</f>
        <v/>
      </c>
      <c r="AK256" s="101">
        <f>((AG256*2.6+AH256)*AJ256*AQ256)</f>
        <v/>
      </c>
      <c r="AL256" s="50">
        <f>D256</f>
        <v/>
      </c>
      <c r="AM256" s="97">
        <f>B256</f>
        <v/>
      </c>
      <c r="AP256" s="100">
        <f>IF(AK256&gt;23.2,IF(Y256&lt;300,IF(Y256&lt;35,IF(Y256&lt;8,3,2),1),0),0)</f>
        <v/>
      </c>
      <c r="AR256" s="100">
        <f>IF(AO256=1,IF(AO256=AL256,1,0),5)</f>
        <v/>
      </c>
    </row>
    <row r="257" ht="12.75" customHeight="1">
      <c r="G257" s="100">
        <f>100*(F257-E257)/F257</f>
        <v/>
      </c>
      <c r="P257" s="100">
        <f>O257/I257</f>
        <v/>
      </c>
      <c r="AA257" s="103">
        <f>IF(X257&lt;33,IF(Y257&gt;(1.1*X257),0,1),1)+IF(Y257&gt;(4*X257),-1,0)</f>
        <v/>
      </c>
      <c r="AC257" s="101">
        <f>IF(AB257&gt;9,1,0)+AB257/3+IF(AB257&gt;15,1,0)+IF(AB257&gt;20,1,0)</f>
        <v/>
      </c>
      <c r="AG257" s="101">
        <f>IF(G257&lt;0,0,1.2)+IF(G257&lt;14,0,0.9)+IF(P257&lt;0,0.7,0)+IF(P257&lt;6.5,1,0)+IF(P257&lt;23,1,0)+IF(R257&gt;80,0,1)+S257+IF(AD257&lt;20,0,1)+IF(AE257&lt;14,0,1)+IF(AF257&lt;26,0,1)</f>
        <v/>
      </c>
      <c r="AH257" s="101">
        <f>AG257+IF(AG257&gt;6,1,0)+IF(X257&lt;17,0,1)+IF(Y257&lt;11,0,1)+IF(Z257&lt;1.35,0,1)+AC257+AA257</f>
        <v/>
      </c>
      <c r="AJ257" s="104">
        <f>IF(AI257&gt;12.8,IF(AI257&gt;15.8,0.95,0.98),1)</f>
        <v/>
      </c>
      <c r="AK257" s="101">
        <f>((AG257*2.6+AH257)*AJ257*AQ257)</f>
        <v/>
      </c>
      <c r="AL257" s="50">
        <f>D257</f>
        <v/>
      </c>
      <c r="AM257" s="97">
        <f>B257</f>
        <v/>
      </c>
      <c r="AP257" s="100">
        <f>IF(AK257&gt;23.2,IF(Y257&lt;300,IF(Y257&lt;35,IF(Y257&lt;8,3,2),1),0),0)</f>
        <v/>
      </c>
      <c r="AR257" s="100">
        <f>IF(AO257=1,IF(AO257=AL257,1,0),5)</f>
        <v/>
      </c>
    </row>
    <row r="258" ht="12.75" customHeight="1">
      <c r="G258" s="100">
        <f>100*(F258-E258)/F258</f>
        <v/>
      </c>
      <c r="P258" s="100">
        <f>O258/I258</f>
        <v/>
      </c>
      <c r="AA258" s="103">
        <f>IF(X258&lt;33,IF(Y258&gt;(1.1*X258),0,1),1)+IF(Y258&gt;(4*X258),-1,0)</f>
        <v/>
      </c>
      <c r="AC258" s="101">
        <f>IF(AB258&gt;9,1,0)+AB258/3+IF(AB258&gt;15,1,0)+IF(AB258&gt;20,1,0)</f>
        <v/>
      </c>
      <c r="AG258" s="101">
        <f>IF(G258&lt;0,0,1.2)+IF(G258&lt;14,0,0.9)+IF(P258&lt;0,0.7,0)+IF(P258&lt;6.5,1,0)+IF(P258&lt;23,1,0)+IF(R258&gt;80,0,1)+S258+IF(AD258&lt;20,0,1)+IF(AE258&lt;14,0,1)+IF(AF258&lt;26,0,1)</f>
        <v/>
      </c>
      <c r="AH258" s="101">
        <f>AG258+IF(AG258&gt;6,1,0)+IF(X258&lt;17,0,1)+IF(Y258&lt;11,0,1)+IF(Z258&lt;1.35,0,1)+AC258+AA258</f>
        <v/>
      </c>
      <c r="AJ258" s="104">
        <f>IF(AI258&gt;12.8,IF(AI258&gt;15.8,0.95,0.98),1)</f>
        <v/>
      </c>
      <c r="AK258" s="101">
        <f>((AG258*2.6+AH258)*AJ258*AQ258)</f>
        <v/>
      </c>
      <c r="AL258" s="50">
        <f>D258</f>
        <v/>
      </c>
      <c r="AM258" s="97">
        <f>B258</f>
        <v/>
      </c>
      <c r="AP258" s="100">
        <f>IF(AK258&gt;23.2,IF(Y258&lt;300,IF(Y258&lt;35,IF(Y258&lt;8,3,2),1),0),0)</f>
        <v/>
      </c>
      <c r="AR258" s="100">
        <f>IF(AO258=1,IF(AO258=AL258,1,0),5)</f>
        <v/>
      </c>
    </row>
    <row r="259" ht="12.75" customHeight="1">
      <c r="G259" s="100">
        <f>100*(F259-E259)/F259</f>
        <v/>
      </c>
      <c r="P259" s="100">
        <f>O259/I259</f>
        <v/>
      </c>
      <c r="AA259" s="103">
        <f>IF(X259&lt;33,IF(Y259&gt;(1.1*X259),0,1),1)+IF(Y259&gt;(4*X259),-1,0)</f>
        <v/>
      </c>
      <c r="AC259" s="101">
        <f>IF(AB259&gt;9,1,0)+AB259/3+IF(AB259&gt;15,1,0)+IF(AB259&gt;20,1,0)</f>
        <v/>
      </c>
      <c r="AG259" s="101">
        <f>IF(G259&lt;0,0,1.2)+IF(G259&lt;14,0,0.9)+IF(P259&lt;0,0.7,0)+IF(P259&lt;6.5,1,0)+IF(P259&lt;23,1,0)+IF(R259&gt;80,0,1)+S259+IF(AD259&lt;20,0,1)+IF(AE259&lt;14,0,1)+IF(AF259&lt;26,0,1)</f>
        <v/>
      </c>
      <c r="AH259" s="101">
        <f>AG259+IF(AG259&gt;6,1,0)+IF(X259&lt;17,0,1)+IF(Y259&lt;11,0,1)+IF(Z259&lt;1.35,0,1)+AC259+AA259</f>
        <v/>
      </c>
      <c r="AJ259" s="104">
        <f>IF(AI259&gt;12.8,IF(AI259&gt;15.8,0.95,0.98),1)</f>
        <v/>
      </c>
      <c r="AK259" s="101">
        <f>((AG259*2.6+AH259)*AJ259*AQ259)</f>
        <v/>
      </c>
      <c r="AL259" s="50">
        <f>D259</f>
        <v/>
      </c>
      <c r="AM259" s="97">
        <f>B259</f>
        <v/>
      </c>
      <c r="AP259" s="100">
        <f>IF(AK259&gt;23.2,IF(Y259&lt;300,IF(Y259&lt;35,IF(Y259&lt;8,3,2),1),0),0)</f>
        <v/>
      </c>
      <c r="AR259" s="100">
        <f>IF(AO259=1,IF(AO259=AL259,1,0),5)</f>
        <v/>
      </c>
    </row>
    <row r="260" ht="12.75" customHeight="1">
      <c r="G260" s="100">
        <f>100*(F260-E260)/F260</f>
        <v/>
      </c>
      <c r="P260" s="100">
        <f>O260/I260</f>
        <v/>
      </c>
      <c r="AA260" s="103">
        <f>IF(X260&lt;33,IF(Y260&gt;(1.1*X260),0,1),1)+IF(Y260&gt;(4*X260),-1,0)</f>
        <v/>
      </c>
      <c r="AC260" s="101">
        <f>IF(AB260&gt;9,1,0)+AB260/3+IF(AB260&gt;15,1,0)+IF(AB260&gt;20,1,0)</f>
        <v/>
      </c>
      <c r="AG260" s="101">
        <f>IF(G260&lt;0,0,1.2)+IF(G260&lt;14,0,0.9)+IF(P260&lt;0,0.7,0)+IF(P260&lt;6.5,1,0)+IF(P260&lt;23,1,0)+IF(R260&gt;80,0,1)+S260+IF(AD260&lt;20,0,1)+IF(AE260&lt;14,0,1)+IF(AF260&lt;26,0,1)</f>
        <v/>
      </c>
      <c r="AH260" s="101">
        <f>AG260+IF(AG260&gt;6,1,0)+IF(X260&lt;17,0,1)+IF(Y260&lt;11,0,1)+IF(Z260&lt;1.35,0,1)+AC260+AA260</f>
        <v/>
      </c>
      <c r="AJ260" s="104">
        <f>IF(AI260&gt;12.8,IF(AI260&gt;15.8,0.95,0.98),1)</f>
        <v/>
      </c>
      <c r="AK260" s="101">
        <f>((AG260*2.6+AH260)*AJ260*AQ260)</f>
        <v/>
      </c>
      <c r="AL260" s="50">
        <f>D260</f>
        <v/>
      </c>
      <c r="AM260" s="97">
        <f>B260</f>
        <v/>
      </c>
      <c r="AP260" s="100">
        <f>IF(AK260&gt;23.2,IF(Y260&lt;300,IF(Y260&lt;35,IF(Y260&lt;8,3,2),1),0),0)</f>
        <v/>
      </c>
      <c r="AR260" s="100">
        <f>IF(AO260=1,IF(AO260=AL260,1,0),5)</f>
        <v/>
      </c>
    </row>
    <row r="261" ht="12.75" customHeight="1">
      <c r="G261" s="100">
        <f>100*(F261-E261)/F261</f>
        <v/>
      </c>
      <c r="P261" s="100">
        <f>O261/I261</f>
        <v/>
      </c>
      <c r="AA261" s="103">
        <f>IF(X261&lt;33,IF(Y261&gt;(1.1*X261),0,1),1)+IF(Y261&gt;(4*X261),-1,0)</f>
        <v/>
      </c>
      <c r="AC261" s="101">
        <f>IF(AB261&gt;9,1,0)+AB261/3+IF(AB261&gt;15,1,0)+IF(AB261&gt;20,1,0)</f>
        <v/>
      </c>
      <c r="AG261" s="101">
        <f>IF(G261&lt;0,0,1.2)+IF(G261&lt;14,0,0.9)+IF(P261&lt;0,0.7,0)+IF(P261&lt;6.5,1,0)+IF(P261&lt;23,1,0)+IF(R261&gt;80,0,1)+S261+IF(AD261&lt;20,0,1)+IF(AE261&lt;14,0,1)+IF(AF261&lt;26,0,1)</f>
        <v/>
      </c>
      <c r="AH261" s="101">
        <f>AG261+IF(AG261&gt;6,1,0)+IF(X261&lt;17,0,1)+IF(Y261&lt;11,0,1)+IF(Z261&lt;1.35,0,1)+AC261+AA261</f>
        <v/>
      </c>
      <c r="AJ261" s="104">
        <f>IF(AI261&gt;12.8,IF(AI261&gt;15.8,0.95,0.98),1)</f>
        <v/>
      </c>
      <c r="AK261" s="101">
        <f>((AG261*2.6+AH261)*AJ261*AQ261)</f>
        <v/>
      </c>
      <c r="AL261" s="50">
        <f>D261</f>
        <v/>
      </c>
      <c r="AM261" s="97">
        <f>B261</f>
        <v/>
      </c>
      <c r="AP261" s="100">
        <f>IF(AK261&gt;23.2,IF(Y261&lt;300,IF(Y261&lt;35,IF(Y261&lt;8,3,2),1),0),0)</f>
        <v/>
      </c>
      <c r="AR261" s="100">
        <f>IF(AO261=1,IF(AO261=AL261,1,0),5)</f>
        <v/>
      </c>
    </row>
    <row r="262" ht="12.75" customHeight="1">
      <c r="G262" s="100">
        <f>100*(F262-E262)/F262</f>
        <v/>
      </c>
      <c r="P262" s="100">
        <f>O262/I262</f>
        <v/>
      </c>
      <c r="AA262" s="103">
        <f>IF(X262&lt;33,IF(Y262&gt;(1.1*X262),0,1),1)+IF(Y262&gt;(4*X262),-1,0)</f>
        <v/>
      </c>
      <c r="AC262" s="101">
        <f>IF(AB262&gt;9,1,0)+AB262/3+IF(AB262&gt;15,1,0)+IF(AB262&gt;20,1,0)</f>
        <v/>
      </c>
      <c r="AG262" s="101">
        <f>IF(G262&lt;0,0,1.2)+IF(G262&lt;14,0,0.9)+IF(P262&lt;0,0.7,0)+IF(P262&lt;6.5,1,0)+IF(P262&lt;23,1,0)+IF(R262&gt;80,0,1)+S262+IF(AD262&lt;20,0,1)+IF(AE262&lt;14,0,1)+IF(AF262&lt;26,0,1)</f>
        <v/>
      </c>
      <c r="AH262" s="101">
        <f>AG262+IF(AG262&gt;6,1,0)+IF(X262&lt;17,0,1)+IF(Y262&lt;11,0,1)+IF(Z262&lt;1.35,0,1)+AC262+AA262</f>
        <v/>
      </c>
      <c r="AJ262" s="104">
        <f>IF(AI262&gt;12.8,IF(AI262&gt;15.8,0.95,0.98),1)</f>
        <v/>
      </c>
      <c r="AK262" s="101">
        <f>((AG262*2.6+AH262)*AJ262*AQ262)</f>
        <v/>
      </c>
      <c r="AL262" s="50">
        <f>D262</f>
        <v/>
      </c>
      <c r="AM262" s="97">
        <f>B262</f>
        <v/>
      </c>
      <c r="AP262" s="100">
        <f>IF(AK262&gt;23.2,IF(Y262&lt;300,IF(Y262&lt;35,IF(Y262&lt;8,3,2),1),0),0)</f>
        <v/>
      </c>
      <c r="AR262" s="100">
        <f>IF(AO262=1,IF(AO262=AL262,1,0),5)</f>
        <v/>
      </c>
    </row>
    <row r="263" ht="12.75" customHeight="1">
      <c r="G263" s="100">
        <f>100*(F263-E263)/F263</f>
        <v/>
      </c>
      <c r="P263" s="100">
        <f>O263/I263</f>
        <v/>
      </c>
      <c r="AA263" s="103">
        <f>IF(X263&lt;33,IF(Y263&gt;(1.1*X263),0,1),1)+IF(Y263&gt;(4*X263),-1,0)</f>
        <v/>
      </c>
      <c r="AC263" s="101">
        <f>IF(AB263&gt;9,1,0)+AB263/3+IF(AB263&gt;15,1,0)+IF(AB263&gt;20,1,0)</f>
        <v/>
      </c>
      <c r="AG263" s="101">
        <f>IF(G263&lt;0,0,1.2)+IF(G263&lt;14,0,0.9)+IF(P263&lt;0,0.7,0)+IF(P263&lt;6.5,1,0)+IF(P263&lt;23,1,0)+IF(R263&gt;80,0,1)+S263+IF(AD263&lt;20,0,1)+IF(AE263&lt;14,0,1)+IF(AF263&lt;26,0,1)</f>
        <v/>
      </c>
      <c r="AH263" s="101">
        <f>AG263+IF(AG263&gt;6,1,0)+IF(X263&lt;17,0,1)+IF(Y263&lt;11,0,1)+IF(Z263&lt;1.35,0,1)+AC263+AA263</f>
        <v/>
      </c>
      <c r="AJ263" s="104">
        <f>IF(AI263&gt;12.8,IF(AI263&gt;15.8,0.95,0.98),1)</f>
        <v/>
      </c>
      <c r="AK263" s="101">
        <f>((AG263*2.6+AH263)*AJ263*AQ263)</f>
        <v/>
      </c>
      <c r="AL263" s="50">
        <f>D263</f>
        <v/>
      </c>
      <c r="AM263" s="97">
        <f>B263</f>
        <v/>
      </c>
      <c r="AP263" s="100">
        <f>IF(AK263&gt;23.2,IF(Y263&lt;300,IF(Y263&lt;35,IF(Y263&lt;8,3,2),1),0),0)</f>
        <v/>
      </c>
      <c r="AR263" s="100">
        <f>IF(AO263=1,IF(AO263=AL263,1,0),5)</f>
        <v/>
      </c>
    </row>
    <row r="264" ht="12.75" customHeight="1">
      <c r="G264" s="100">
        <f>100*(F264-E264)/F264</f>
        <v/>
      </c>
      <c r="P264" s="100">
        <f>O264/I264</f>
        <v/>
      </c>
      <c r="AA264" s="103">
        <f>IF(X264&lt;33,IF(Y264&gt;(1.1*X264),0,1),1)+IF(Y264&gt;(4*X264),-1,0)</f>
        <v/>
      </c>
      <c r="AC264" s="101">
        <f>IF(AB264&gt;9,1,0)+AB264/3+IF(AB264&gt;15,1,0)+IF(AB264&gt;20,1,0)</f>
        <v/>
      </c>
      <c r="AG264" s="101">
        <f>IF(G264&lt;0,0,1.2)+IF(G264&lt;14,0,0.9)+IF(P264&lt;0,0.7,0)+IF(P264&lt;6.5,1,0)+IF(P264&lt;23,1,0)+IF(R264&gt;80,0,1)+S264+IF(AD264&lt;20,0,1)+IF(AE264&lt;14,0,1)+IF(AF264&lt;26,0,1)</f>
        <v/>
      </c>
      <c r="AH264" s="101">
        <f>AG264+IF(AG264&gt;6,1,0)+IF(X264&lt;17,0,1)+IF(Y264&lt;11,0,1)+IF(Z264&lt;1.35,0,1)+AC264+AA264</f>
        <v/>
      </c>
      <c r="AJ264" s="104">
        <f>IF(AI264&gt;12.8,IF(AI264&gt;15.8,0.95,0.98),1)</f>
        <v/>
      </c>
      <c r="AK264" s="101">
        <f>((AG264*2.6+AH264)*AJ264*AQ264)</f>
        <v/>
      </c>
      <c r="AL264" s="50">
        <f>D264</f>
        <v/>
      </c>
      <c r="AM264" s="97">
        <f>B264</f>
        <v/>
      </c>
      <c r="AP264" s="100">
        <f>IF(AK264&gt;23.2,IF(Y264&lt;300,IF(Y264&lt;35,IF(Y264&lt;8,3,2),1),0),0)</f>
        <v/>
      </c>
      <c r="AR264" s="100">
        <f>IF(AO264=1,IF(AO264=AL264,1,0),5)</f>
        <v/>
      </c>
    </row>
    <row r="265" ht="12.75" customHeight="1">
      <c r="G265" s="100">
        <f>100*(F265-E265)/F265</f>
        <v/>
      </c>
      <c r="P265" s="100">
        <f>O265/I265</f>
        <v/>
      </c>
      <c r="AA265" s="103">
        <f>IF(X265&lt;33,IF(Y265&gt;(1.1*X265),0,1),1)+IF(Y265&gt;(4*X265),-1,0)</f>
        <v/>
      </c>
      <c r="AC265" s="101">
        <f>IF(AB265&gt;9,1,0)+AB265/3+IF(AB265&gt;15,1,0)+IF(AB265&gt;20,1,0)</f>
        <v/>
      </c>
      <c r="AG265" s="101">
        <f>IF(G265&lt;0,0,1.2)+IF(G265&lt;14,0,0.9)+IF(P265&lt;0,0.7,0)+IF(P265&lt;6.5,1,0)+IF(P265&lt;23,1,0)+IF(R265&gt;80,0,1)+S265+IF(AD265&lt;20,0,1)+IF(AE265&lt;14,0,1)+IF(AF265&lt;26,0,1)</f>
        <v/>
      </c>
      <c r="AH265" s="101">
        <f>AG265+IF(AG265&gt;6,1,0)+IF(X265&lt;17,0,1)+IF(Y265&lt;11,0,1)+IF(Z265&lt;1.35,0,1)+AC265+AA265</f>
        <v/>
      </c>
      <c r="AJ265" s="104">
        <f>IF(AI265&gt;12.8,IF(AI265&gt;15.8,0.95,0.98),1)</f>
        <v/>
      </c>
      <c r="AK265" s="101">
        <f>((AG265*2.6+AH265)*AJ265*AQ265)</f>
        <v/>
      </c>
      <c r="AL265" s="50">
        <f>D265</f>
        <v/>
      </c>
      <c r="AM265" s="97">
        <f>B265</f>
        <v/>
      </c>
      <c r="AP265" s="100">
        <f>IF(AK265&gt;23.2,IF(Y265&lt;300,IF(Y265&lt;35,IF(Y265&lt;8,3,2),1),0),0)</f>
        <v/>
      </c>
      <c r="AR265" s="100">
        <f>IF(AO265=1,IF(AO265=AL265,1,0),5)</f>
        <v/>
      </c>
    </row>
    <row r="266" ht="12.75" customHeight="1">
      <c r="G266" s="100">
        <f>100*(F266-E266)/F266</f>
        <v/>
      </c>
      <c r="P266" s="100">
        <f>O266/I266</f>
        <v/>
      </c>
      <c r="AA266" s="103">
        <f>IF(X266&lt;33,IF(Y266&gt;(1.1*X266),0,1),1)+IF(Y266&gt;(4*X266),-1,0)</f>
        <v/>
      </c>
      <c r="AC266" s="101">
        <f>IF(AB266&gt;9,1,0)+AB266/3+IF(AB266&gt;15,1,0)+IF(AB266&gt;20,1,0)</f>
        <v/>
      </c>
      <c r="AG266" s="101">
        <f>IF(G266&lt;0,0,1.2)+IF(G266&lt;14,0,0.9)+IF(P266&lt;0,0.7,0)+IF(P266&lt;6.5,1,0)+IF(P266&lt;23,1,0)+IF(R266&gt;80,0,1)+S266+IF(AD266&lt;20,0,1)+IF(AE266&lt;14,0,1)+IF(AF266&lt;26,0,1)</f>
        <v/>
      </c>
      <c r="AH266" s="101">
        <f>AG266+IF(AG266&gt;6,1,0)+IF(X266&lt;17,0,1)+IF(Y266&lt;11,0,1)+IF(Z266&lt;1.35,0,1)+AC266+AA266</f>
        <v/>
      </c>
      <c r="AJ266" s="104">
        <f>IF(AI266&gt;12.8,IF(AI266&gt;15.8,0.95,0.98),1)</f>
        <v/>
      </c>
      <c r="AK266" s="101">
        <f>((AG266*2.6+AH266)*AJ266*AQ266)</f>
        <v/>
      </c>
      <c r="AL266" s="50">
        <f>D266</f>
        <v/>
      </c>
      <c r="AM266" s="97">
        <f>B266</f>
        <v/>
      </c>
      <c r="AP266" s="100">
        <f>IF(AK266&gt;23.2,IF(Y266&lt;300,IF(Y266&lt;35,IF(Y266&lt;8,3,2),1),0),0)</f>
        <v/>
      </c>
      <c r="AR266" s="100">
        <f>IF(AO266=1,IF(AO266=AL266,1,0),5)</f>
        <v/>
      </c>
    </row>
    <row r="267" ht="12.75" customHeight="1">
      <c r="G267" s="100">
        <f>100*(F267-E267)/F267</f>
        <v/>
      </c>
      <c r="P267" s="100">
        <f>O267/I267</f>
        <v/>
      </c>
      <c r="AA267" s="103">
        <f>IF(X267&lt;33,IF(Y267&gt;(1.1*X267),0,1),1)+IF(Y267&gt;(4*X267),-1,0)</f>
        <v/>
      </c>
      <c r="AC267" s="101">
        <f>IF(AB267&gt;9,1,0)+AB267/3+IF(AB267&gt;15,1,0)+IF(AB267&gt;20,1,0)</f>
        <v/>
      </c>
      <c r="AG267" s="101">
        <f>IF(G267&lt;0,0,1.2)+IF(G267&lt;14,0,0.9)+IF(P267&lt;0,0.7,0)+IF(P267&lt;6.5,1,0)+IF(P267&lt;23,1,0)+IF(R267&gt;80,0,1)+S267+IF(AD267&lt;20,0,1)+IF(AE267&lt;14,0,1)+IF(AF267&lt;26,0,1)</f>
        <v/>
      </c>
      <c r="AH267" s="101">
        <f>AG267+IF(AG267&gt;6,1,0)+IF(X267&lt;17,0,1)+IF(Y267&lt;11,0,1)+IF(Z267&lt;1.35,0,1)+AC267+AA267</f>
        <v/>
      </c>
      <c r="AJ267" s="104">
        <f>IF(AI267&gt;12.8,IF(AI267&gt;15.8,0.95,0.98),1)</f>
        <v/>
      </c>
      <c r="AK267" s="101">
        <f>((AG267*2.6+AH267)*AJ267*AQ267)</f>
        <v/>
      </c>
      <c r="AL267" s="50">
        <f>D267</f>
        <v/>
      </c>
      <c r="AM267" s="97">
        <f>B267</f>
        <v/>
      </c>
      <c r="AP267" s="100">
        <f>IF(AK267&gt;23.2,IF(Y267&lt;300,IF(Y267&lt;35,IF(Y267&lt;8,3,2),1),0),0)</f>
        <v/>
      </c>
      <c r="AR267" s="100">
        <f>IF(AO267=1,IF(AO267=AL267,1,0),5)</f>
        <v/>
      </c>
    </row>
    <row r="268" ht="12.75" customHeight="1">
      <c r="G268" s="100">
        <f>100*(F268-E268)/F268</f>
        <v/>
      </c>
      <c r="P268" s="100">
        <f>O268/I268</f>
        <v/>
      </c>
      <c r="AA268" s="103">
        <f>IF(X268&lt;33,IF(Y268&gt;(1.1*X268),0,1),1)+IF(Y268&gt;(4*X268),-1,0)</f>
        <v/>
      </c>
      <c r="AC268" s="101">
        <f>IF(AB268&gt;9,1,0)+AB268/3+IF(AB268&gt;15,1,0)+IF(AB268&gt;20,1,0)</f>
        <v/>
      </c>
      <c r="AG268" s="101">
        <f>IF(G268&lt;0,0,1.2)+IF(G268&lt;14,0,0.9)+IF(P268&lt;0,0.7,0)+IF(P268&lt;6.5,1,0)+IF(P268&lt;23,1,0)+IF(R268&gt;80,0,1)+S268+IF(AD268&lt;20,0,1)+IF(AE268&lt;14,0,1)+IF(AF268&lt;26,0,1)</f>
        <v/>
      </c>
      <c r="AH268" s="101">
        <f>AG268+IF(AG268&gt;6,1,0)+IF(X268&lt;17,0,1)+IF(Y268&lt;11,0,1)+IF(Z268&lt;1.35,0,1)+AC268+AA268</f>
        <v/>
      </c>
      <c r="AJ268" s="104">
        <f>IF(AI268&gt;12.8,IF(AI268&gt;15.8,0.95,0.98),1)</f>
        <v/>
      </c>
      <c r="AK268" s="101">
        <f>((AG268*2.6+AH268)*AJ268*AQ268)</f>
        <v/>
      </c>
      <c r="AL268" s="50">
        <f>D268</f>
        <v/>
      </c>
      <c r="AM268" s="97">
        <f>B268</f>
        <v/>
      </c>
      <c r="AP268" s="100">
        <f>IF(AK268&gt;23.2,IF(Y268&lt;300,IF(Y268&lt;35,IF(Y268&lt;8,3,2),1),0),0)</f>
        <v/>
      </c>
      <c r="AR268" s="100">
        <f>IF(AO268=1,IF(AO268=AL268,1,0),5)</f>
        <v/>
      </c>
    </row>
    <row r="269" ht="12.75" customHeight="1">
      <c r="G269" s="100">
        <f>100*(F269-E269)/F269</f>
        <v/>
      </c>
      <c r="P269" s="100">
        <f>O269/I269</f>
        <v/>
      </c>
      <c r="AA269" s="103">
        <f>IF(X269&lt;33,IF(Y269&gt;(1.1*X269),0,1),1)+IF(Y269&gt;(4*X269),-1,0)</f>
        <v/>
      </c>
      <c r="AC269" s="101">
        <f>IF(AB269&gt;9,1,0)+AB269/3+IF(AB269&gt;15,1,0)+IF(AB269&gt;20,1,0)</f>
        <v/>
      </c>
      <c r="AG269" s="101">
        <f>IF(G269&lt;0,0,1.2)+IF(G269&lt;14,0,0.9)+IF(P269&lt;0,0.7,0)+IF(P269&lt;6.5,1,0)+IF(P269&lt;23,1,0)+IF(R269&gt;80,0,1)+S269+IF(AD269&lt;20,0,1)+IF(AE269&lt;14,0,1)+IF(AF269&lt;26,0,1)</f>
        <v/>
      </c>
      <c r="AH269" s="101">
        <f>AG269+IF(AG269&gt;6,1,0)+IF(X269&lt;17,0,1)+IF(Y269&lt;11,0,1)+IF(Z269&lt;1.35,0,1)+AC269+AA269</f>
        <v/>
      </c>
      <c r="AJ269" s="104">
        <f>IF(AI269&gt;12.8,IF(AI269&gt;15.8,0.95,0.98),1)</f>
        <v/>
      </c>
      <c r="AK269" s="101">
        <f>((AG269*2.6+AH269)*AJ269*AQ269)</f>
        <v/>
      </c>
      <c r="AL269" s="50">
        <f>D269</f>
        <v/>
      </c>
      <c r="AM269" s="97">
        <f>B269</f>
        <v/>
      </c>
      <c r="AP269" s="100">
        <f>IF(AK269&gt;23.2,IF(Y269&lt;300,IF(Y269&lt;35,IF(Y269&lt;8,3,2),1),0),0)</f>
        <v/>
      </c>
      <c r="AR269" s="100">
        <f>IF(AO269=1,IF(AO269=AL269,1,0),5)</f>
        <v/>
      </c>
    </row>
    <row r="270" ht="12.75" customHeight="1">
      <c r="G270" s="100">
        <f>100*(F270-E270)/F270</f>
        <v/>
      </c>
      <c r="P270" s="100">
        <f>O270/I270</f>
        <v/>
      </c>
      <c r="AA270" s="103">
        <f>IF(X270&lt;33,IF(Y270&gt;(1.1*X270),0,1),1)+IF(Y270&gt;(4*X270),-1,0)</f>
        <v/>
      </c>
      <c r="AC270" s="101">
        <f>IF(AB270&gt;9,1,0)+AB270/3+IF(AB270&gt;15,1,0)+IF(AB270&gt;20,1,0)</f>
        <v/>
      </c>
      <c r="AG270" s="101">
        <f>IF(G270&lt;0,0,1.2)+IF(G270&lt;14,0,0.9)+IF(P270&lt;0,0.7,0)+IF(P270&lt;6.5,1,0)+IF(P270&lt;23,1,0)+IF(R270&gt;80,0,1)+S270+IF(AD270&lt;20,0,1)+IF(AE270&lt;14,0,1)+IF(AF270&lt;26,0,1)</f>
        <v/>
      </c>
      <c r="AH270" s="101">
        <f>AG270+IF(AG270&gt;6,1,0)+IF(X270&lt;17,0,1)+IF(Y270&lt;11,0,1)+IF(Z270&lt;1.35,0,1)+AC270+AA270</f>
        <v/>
      </c>
      <c r="AJ270" s="104">
        <f>IF(AI270&gt;12.8,IF(AI270&gt;15.8,0.95,0.98),1)</f>
        <v/>
      </c>
      <c r="AK270" s="101">
        <f>((AG270*2.6+AH270)*AJ270*AQ270)</f>
        <v/>
      </c>
      <c r="AL270" s="50">
        <f>D270</f>
        <v/>
      </c>
      <c r="AM270" s="97">
        <f>B270</f>
        <v/>
      </c>
      <c r="AP270" s="100">
        <f>IF(AK270&gt;23.2,IF(Y270&lt;300,IF(Y270&lt;35,IF(Y270&lt;8,3,2),1),0),0)</f>
        <v/>
      </c>
      <c r="AR270" s="100">
        <f>IF(AO270=1,IF(AO270=AL270,1,0),5)</f>
        <v/>
      </c>
    </row>
    <row r="271" ht="12.75" customHeight="1">
      <c r="G271" s="100">
        <f>100*(F271-E271)/F271</f>
        <v/>
      </c>
      <c r="P271" s="100">
        <f>O271/I271</f>
        <v/>
      </c>
      <c r="AA271" s="103">
        <f>IF(X271&lt;33,IF(Y271&gt;(1.1*X271),0,1),1)+IF(Y271&gt;(4*X271),-1,0)</f>
        <v/>
      </c>
      <c r="AC271" s="101">
        <f>IF(AB271&gt;9,1,0)+AB271/3+IF(AB271&gt;15,1,0)+IF(AB271&gt;20,1,0)</f>
        <v/>
      </c>
      <c r="AG271" s="101">
        <f>IF(G271&lt;0,0,1.2)+IF(G271&lt;14,0,0.9)+IF(P271&lt;0,0.7,0)+IF(P271&lt;6.5,1,0)+IF(P271&lt;23,1,0)+IF(R271&gt;80,0,1)+S271+IF(AD271&lt;20,0,1)+IF(AE271&lt;14,0,1)+IF(AF271&lt;26,0,1)</f>
        <v/>
      </c>
      <c r="AH271" s="101">
        <f>AG271+IF(AG271&gt;6,1,0)+IF(X271&lt;17,0,1)+IF(Y271&lt;11,0,1)+IF(Z271&lt;1.35,0,1)+AC271+AA271</f>
        <v/>
      </c>
      <c r="AJ271" s="104">
        <f>IF(AI271&gt;12.8,IF(AI271&gt;15.8,0.95,0.98),1)</f>
        <v/>
      </c>
      <c r="AK271" s="101">
        <f>((AG271*2.6+AH271)*AJ271*AQ271)</f>
        <v/>
      </c>
      <c r="AL271" s="50">
        <f>D271</f>
        <v/>
      </c>
      <c r="AM271" s="97">
        <f>B271</f>
        <v/>
      </c>
      <c r="AP271" s="100">
        <f>IF(AK271&gt;23.2,IF(Y271&lt;300,IF(Y271&lt;35,IF(Y271&lt;8,3,2),1),0),0)</f>
        <v/>
      </c>
      <c r="AR271" s="100">
        <f>IF(AO271=1,IF(AO271=AL271,1,0),5)</f>
        <v/>
      </c>
    </row>
    <row r="272" ht="12.75" customHeight="1">
      <c r="G272" s="100">
        <f>100*(F272-E272)/F272</f>
        <v/>
      </c>
      <c r="P272" s="100">
        <f>O272/I272</f>
        <v/>
      </c>
      <c r="AA272" s="103">
        <f>IF(X272&lt;33,IF(Y272&gt;(1.1*X272),0,1),1)+IF(Y272&gt;(4*X272),-1,0)</f>
        <v/>
      </c>
      <c r="AC272" s="101">
        <f>IF(AB272&gt;9,1,0)+AB272/3+IF(AB272&gt;15,1,0)+IF(AB272&gt;20,1,0)</f>
        <v/>
      </c>
      <c r="AG272" s="101">
        <f>IF(G272&lt;0,0,1.2)+IF(G272&lt;14,0,0.9)+IF(P272&lt;0,0.7,0)+IF(P272&lt;6.5,1,0)+IF(P272&lt;23,1,0)+IF(R272&gt;80,0,1)+S272+IF(AD272&lt;20,0,1)+IF(AE272&lt;14,0,1)+IF(AF272&lt;26,0,1)</f>
        <v/>
      </c>
      <c r="AH272" s="101">
        <f>AG272+IF(AG272&gt;6,1,0)+IF(X272&lt;17,0,1)+IF(Y272&lt;11,0,1)+IF(Z272&lt;1.35,0,1)+AC272+AA272</f>
        <v/>
      </c>
      <c r="AJ272" s="104">
        <f>IF(AI272&gt;12.8,IF(AI272&gt;15.8,0.95,0.98),1)</f>
        <v/>
      </c>
      <c r="AK272" s="101">
        <f>((AG272*2.6+AH272)*AJ272*AQ272)</f>
        <v/>
      </c>
      <c r="AL272" s="50">
        <f>D272</f>
        <v/>
      </c>
      <c r="AM272" s="97">
        <f>B272</f>
        <v/>
      </c>
      <c r="AP272" s="100">
        <f>IF(AK272&gt;23.2,IF(Y272&lt;300,IF(Y272&lt;35,IF(Y272&lt;8,3,2),1),0),0)</f>
        <v/>
      </c>
      <c r="AR272" s="100">
        <f>IF(AO272=1,IF(AO272=AL272,1,0),5)</f>
        <v/>
      </c>
    </row>
    <row r="273" ht="12.75" customHeight="1">
      <c r="G273" s="100">
        <f>100*(F273-E273)/F273</f>
        <v/>
      </c>
      <c r="P273" s="100">
        <f>O273/I273</f>
        <v/>
      </c>
      <c r="AA273" s="103">
        <f>IF(X273&lt;33,IF(Y273&gt;(1.1*X273),0,1),1)+IF(Y273&gt;(4*X273),-1,0)</f>
        <v/>
      </c>
      <c r="AC273" s="101">
        <f>IF(AB273&gt;9,1,0)+AB273/3+IF(AB273&gt;15,1,0)+IF(AB273&gt;20,1,0)</f>
        <v/>
      </c>
      <c r="AG273" s="101">
        <f>IF(G273&lt;0,0,1.2)+IF(G273&lt;14,0,0.9)+IF(P273&lt;0,0.7,0)+IF(P273&lt;6.5,1,0)+IF(P273&lt;23,1,0)+IF(R273&gt;80,0,1)+S273+IF(AD273&lt;20,0,1)+IF(AE273&lt;14,0,1)+IF(AF273&lt;26,0,1)</f>
        <v/>
      </c>
      <c r="AH273" s="101">
        <f>AG273+IF(AG273&gt;6,1,0)+IF(X273&lt;17,0,1)+IF(Y273&lt;11,0,1)+IF(Z273&lt;1.35,0,1)+AC273+AA273</f>
        <v/>
      </c>
      <c r="AJ273" s="104">
        <f>IF(AI273&gt;12.8,IF(AI273&gt;15.8,0.95,0.98),1)</f>
        <v/>
      </c>
      <c r="AK273" s="101">
        <f>((AG273*2.6+AH273)*AJ273*AQ273)</f>
        <v/>
      </c>
      <c r="AL273" s="50">
        <f>D273</f>
        <v/>
      </c>
      <c r="AM273" s="97">
        <f>B273</f>
        <v/>
      </c>
      <c r="AP273" s="100">
        <f>IF(AK273&gt;23.2,IF(Y273&lt;300,IF(Y273&lt;35,IF(Y273&lt;8,3,2),1),0),0)</f>
        <v/>
      </c>
      <c r="AR273" s="100">
        <f>IF(AO273=1,IF(AO273=AL273,1,0),5)</f>
        <v/>
      </c>
    </row>
    <row r="274" ht="12.75" customHeight="1">
      <c r="G274" s="100">
        <f>100*(F274-E274)/F274</f>
        <v/>
      </c>
      <c r="P274" s="100">
        <f>O274/I274</f>
        <v/>
      </c>
      <c r="AA274" s="103">
        <f>IF(X274&lt;33,IF(Y274&gt;(1.1*X274),0,1),1)+IF(Y274&gt;(4*X274),-1,0)</f>
        <v/>
      </c>
      <c r="AC274" s="101">
        <f>IF(AB274&gt;9,1,0)+AB274/3+IF(AB274&gt;15,1,0)+IF(AB274&gt;20,1,0)</f>
        <v/>
      </c>
      <c r="AG274" s="101">
        <f>IF(G274&lt;0,0,1.2)+IF(G274&lt;14,0,0.9)+IF(P274&lt;0,0.7,0)+IF(P274&lt;6.5,1,0)+IF(P274&lt;23,1,0)+IF(R274&gt;80,0,1)+S274+IF(AD274&lt;20,0,1)+IF(AE274&lt;14,0,1)+IF(AF274&lt;26,0,1)</f>
        <v/>
      </c>
      <c r="AH274" s="101">
        <f>AG274+IF(AG274&gt;6,1,0)+IF(X274&lt;17,0,1)+IF(Y274&lt;11,0,1)+IF(Z274&lt;1.35,0,1)+AC274+AA274</f>
        <v/>
      </c>
      <c r="AJ274" s="104">
        <f>IF(AI274&gt;12.8,IF(AI274&gt;15.8,0.95,0.98),1)</f>
        <v/>
      </c>
      <c r="AK274" s="101">
        <f>((AG274*2.6+AH274)*AJ274*AQ274)</f>
        <v/>
      </c>
      <c r="AL274" s="50">
        <f>D274</f>
        <v/>
      </c>
      <c r="AM274" s="97">
        <f>B274</f>
        <v/>
      </c>
      <c r="AP274" s="100">
        <f>IF(AK274&gt;23.2,IF(Y274&lt;300,IF(Y274&lt;35,IF(Y274&lt;8,3,2),1),0),0)</f>
        <v/>
      </c>
      <c r="AR274" s="100">
        <f>IF(AO274=1,IF(AO274=AL274,1,0),5)</f>
        <v/>
      </c>
    </row>
    <row r="275" ht="12.75" customHeight="1">
      <c r="G275" s="100">
        <f>100*(F275-E275)/F275</f>
        <v/>
      </c>
      <c r="P275" s="100">
        <f>O275/I275</f>
        <v/>
      </c>
      <c r="AA275" s="103">
        <f>IF(X275&lt;33,IF(Y275&gt;(1.1*X275),0,1),1)+IF(Y275&gt;(4*X275),-1,0)</f>
        <v/>
      </c>
      <c r="AC275" s="101">
        <f>IF(AB275&gt;9,1,0)+AB275/3+IF(AB275&gt;15,1,0)+IF(AB275&gt;20,1,0)</f>
        <v/>
      </c>
      <c r="AG275" s="101">
        <f>IF(G275&lt;0,0,1.2)+IF(G275&lt;14,0,0.9)+IF(P275&lt;0,0.7,0)+IF(P275&lt;6.5,1,0)+IF(P275&lt;23,1,0)+IF(R275&gt;80,0,1)+S275+IF(AD275&lt;20,0,1)+IF(AE275&lt;14,0,1)+IF(AF275&lt;26,0,1)</f>
        <v/>
      </c>
      <c r="AH275" s="101">
        <f>AG275+IF(AG275&gt;6,1,0)+IF(X275&lt;17,0,1)+IF(Y275&lt;11,0,1)+IF(Z275&lt;1.35,0,1)+AC275+AA275</f>
        <v/>
      </c>
      <c r="AJ275" s="104">
        <f>IF(AI275&gt;12.8,IF(AI275&gt;15.8,0.95,0.98),1)</f>
        <v/>
      </c>
      <c r="AK275" s="101">
        <f>((AG275*2.6+AH275)*AJ275*AQ275)</f>
        <v/>
      </c>
      <c r="AL275" s="50">
        <f>D275</f>
        <v/>
      </c>
      <c r="AM275" s="97">
        <f>B275</f>
        <v/>
      </c>
      <c r="AP275" s="100">
        <f>IF(AK275&gt;23.2,IF(Y275&lt;300,IF(Y275&lt;35,IF(Y275&lt;8,3,2),1),0),0)</f>
        <v/>
      </c>
      <c r="AR275" s="100">
        <f>IF(AO275=1,IF(AO275=AL275,1,0),5)</f>
        <v/>
      </c>
    </row>
    <row r="276" ht="12.75" customHeight="1">
      <c r="G276" s="100">
        <f>100*(F276-E276)/F276</f>
        <v/>
      </c>
      <c r="P276" s="100">
        <f>O276/I276</f>
        <v/>
      </c>
      <c r="AA276" s="103">
        <f>IF(X276&lt;33,IF(Y276&gt;(1.1*X276),0,1),1)+IF(Y276&gt;(4*X276),-1,0)</f>
        <v/>
      </c>
      <c r="AC276" s="101">
        <f>IF(AB276&gt;9,1,0)+AB276/3+IF(AB276&gt;15,1,0)+IF(AB276&gt;20,1,0)</f>
        <v/>
      </c>
      <c r="AG276" s="101">
        <f>IF(G276&lt;0,0,1.2)+IF(G276&lt;14,0,0.9)+IF(P276&lt;0,0.7,0)+IF(P276&lt;6.5,1,0)+IF(P276&lt;23,1,0)+IF(R276&gt;80,0,1)+S276+IF(AD276&lt;20,0,1)+IF(AE276&lt;14,0,1)+IF(AF276&lt;26,0,1)</f>
        <v/>
      </c>
      <c r="AH276" s="101">
        <f>AG276+IF(AG276&gt;6,1,0)+IF(X276&lt;17,0,1)+IF(Y276&lt;11,0,1)+IF(Z276&lt;1.35,0,1)+AC276+AA276</f>
        <v/>
      </c>
      <c r="AJ276" s="104">
        <f>IF(AI276&gt;12.8,IF(AI276&gt;15.8,0.95,0.98),1)</f>
        <v/>
      </c>
      <c r="AK276" s="101">
        <f>((AG276*2.6+AH276)*AJ276*AQ276)</f>
        <v/>
      </c>
      <c r="AL276" s="50">
        <f>D276</f>
        <v/>
      </c>
      <c r="AM276" s="97">
        <f>B276</f>
        <v/>
      </c>
      <c r="AP276" s="100">
        <f>IF(AK276&gt;23.2,IF(Y276&lt;300,IF(Y276&lt;35,IF(Y276&lt;8,3,2),1),0),0)</f>
        <v/>
      </c>
      <c r="AR276" s="100">
        <f>IF(AO276=1,IF(AO276=AL276,1,0),5)</f>
        <v/>
      </c>
    </row>
    <row r="277" ht="12.75" customHeight="1">
      <c r="G277" s="100">
        <f>100*(F277-E277)/F277</f>
        <v/>
      </c>
      <c r="P277" s="100">
        <f>O277/I277</f>
        <v/>
      </c>
      <c r="AA277" s="103">
        <f>IF(X277&lt;33,IF(Y277&gt;(1.1*X277),0,1),1)+IF(Y277&gt;(4*X277),-1,0)</f>
        <v/>
      </c>
      <c r="AC277" s="101">
        <f>IF(AB277&gt;9,1,0)+AB277/3+IF(AB277&gt;15,1,0)+IF(AB277&gt;20,1,0)</f>
        <v/>
      </c>
      <c r="AG277" s="101">
        <f>IF(G277&lt;0,0,1.2)+IF(G277&lt;14,0,0.9)+IF(P277&lt;0,0.7,0)+IF(P277&lt;6.5,1,0)+IF(P277&lt;23,1,0)+IF(R277&gt;80,0,1)+S277+IF(AD277&lt;20,0,1)+IF(AE277&lt;14,0,1)+IF(AF277&lt;26,0,1)</f>
        <v/>
      </c>
      <c r="AH277" s="101">
        <f>AG277+IF(AG277&gt;6,1,0)+IF(X277&lt;17,0,1)+IF(Y277&lt;11,0,1)+IF(Z277&lt;1.35,0,1)+AC277+AA277</f>
        <v/>
      </c>
      <c r="AJ277" s="104">
        <f>IF(AI277&gt;12.8,IF(AI277&gt;15.8,0.95,0.98),1)</f>
        <v/>
      </c>
      <c r="AK277" s="101">
        <f>((AG277*2.6+AH277)*AJ277*AQ277)</f>
        <v/>
      </c>
      <c r="AL277" s="50">
        <f>D277</f>
        <v/>
      </c>
      <c r="AM277" s="97">
        <f>B277</f>
        <v/>
      </c>
      <c r="AP277" s="100">
        <f>IF(AK277&gt;23.2,IF(Y277&lt;300,IF(Y277&lt;35,IF(Y277&lt;8,3,2),1),0),0)</f>
        <v/>
      </c>
      <c r="AR277" s="100">
        <f>IF(AO277=1,IF(AO277=AL277,1,0),5)</f>
        <v/>
      </c>
    </row>
    <row r="278" ht="12.75" customHeight="1">
      <c r="G278" s="100">
        <f>100*(F278-E278)/F278</f>
        <v/>
      </c>
      <c r="P278" s="100">
        <f>O278/I278</f>
        <v/>
      </c>
      <c r="AA278" s="103">
        <f>IF(X278&lt;33,IF(Y278&gt;(1.1*X278),0,1),1)+IF(Y278&gt;(4*X278),-1,0)</f>
        <v/>
      </c>
      <c r="AC278" s="101">
        <f>IF(AB278&gt;9,1,0)+AB278/3+IF(AB278&gt;15,1,0)+IF(AB278&gt;20,1,0)</f>
        <v/>
      </c>
      <c r="AG278" s="101">
        <f>IF(G278&lt;0,0,1.2)+IF(G278&lt;14,0,0.9)+IF(P278&lt;0,0.7,0)+IF(P278&lt;6.5,1,0)+IF(P278&lt;23,1,0)+IF(R278&gt;80,0,1)+S278+IF(AD278&lt;20,0,1)+IF(AE278&lt;14,0,1)+IF(AF278&lt;26,0,1)</f>
        <v/>
      </c>
      <c r="AH278" s="101">
        <f>AG278+IF(AG278&gt;6,1,0)+IF(X278&lt;17,0,1)+IF(Y278&lt;11,0,1)+IF(Z278&lt;1.35,0,1)+AC278+AA278</f>
        <v/>
      </c>
      <c r="AJ278" s="104">
        <f>IF(AI278&gt;12.8,IF(AI278&gt;15.8,0.95,0.98),1)</f>
        <v/>
      </c>
      <c r="AK278" s="101">
        <f>((AG278*2.6+AH278)*AJ278*AQ278)</f>
        <v/>
      </c>
      <c r="AL278" s="50">
        <f>D278</f>
        <v/>
      </c>
      <c r="AM278" s="97">
        <f>B278</f>
        <v/>
      </c>
      <c r="AP278" s="100">
        <f>IF(AK278&gt;23.2,IF(Y278&lt;300,IF(Y278&lt;35,IF(Y278&lt;8,3,2),1),0),0)</f>
        <v/>
      </c>
      <c r="AR278" s="100">
        <f>IF(AO278=1,IF(AO278=AL278,1,0),5)</f>
        <v/>
      </c>
    </row>
    <row r="279" ht="12.75" customHeight="1">
      <c r="G279" s="100">
        <f>100*(F279-E279)/F279</f>
        <v/>
      </c>
      <c r="P279" s="100">
        <f>O279/I279</f>
        <v/>
      </c>
      <c r="AA279" s="103">
        <f>IF(X279&lt;33,IF(Y279&gt;(1.1*X279),0,1),1)+IF(Y279&gt;(4*X279),-1,0)</f>
        <v/>
      </c>
      <c r="AC279" s="101">
        <f>IF(AB279&gt;9,1,0)+AB279/3+IF(AB279&gt;15,1,0)+IF(AB279&gt;20,1,0)</f>
        <v/>
      </c>
      <c r="AG279" s="101">
        <f>IF(G279&lt;0,0,1.2)+IF(G279&lt;14,0,0.9)+IF(P279&lt;0,0.7,0)+IF(P279&lt;6.5,1,0)+IF(P279&lt;23,1,0)+IF(R279&gt;80,0,1)+S279+IF(AD279&lt;20,0,1)+IF(AE279&lt;14,0,1)+IF(AF279&lt;26,0,1)</f>
        <v/>
      </c>
      <c r="AH279" s="101">
        <f>AG279+IF(AG279&gt;6,1,0)+IF(X279&lt;17,0,1)+IF(Y279&lt;11,0,1)+IF(Z279&lt;1.35,0,1)+AC279+AA279</f>
        <v/>
      </c>
      <c r="AJ279" s="104">
        <f>IF(AI279&gt;12.8,IF(AI279&gt;15.8,0.95,0.98),1)</f>
        <v/>
      </c>
      <c r="AK279" s="101">
        <f>((AG279*2.6+AH279)*AJ279*AQ279)</f>
        <v/>
      </c>
      <c r="AL279" s="50">
        <f>D279</f>
        <v/>
      </c>
      <c r="AM279" s="97">
        <f>B279</f>
        <v/>
      </c>
      <c r="AP279" s="100">
        <f>IF(AK279&gt;23.2,IF(Y279&lt;300,IF(Y279&lt;35,IF(Y279&lt;8,3,2),1),0),0)</f>
        <v/>
      </c>
      <c r="AR279" s="100">
        <f>IF(AO279=1,IF(AO279=AL279,1,0),5)</f>
        <v/>
      </c>
    </row>
    <row r="280" ht="12.75" customHeight="1">
      <c r="G280" s="100">
        <f>100*(F280-E280)/F280</f>
        <v/>
      </c>
      <c r="P280" s="100">
        <f>O280/I280</f>
        <v/>
      </c>
      <c r="AA280" s="103">
        <f>IF(X280&lt;33,IF(Y280&gt;(1.1*X280),0,1),1)+IF(Y280&gt;(4*X280),-1,0)</f>
        <v/>
      </c>
      <c r="AC280" s="101">
        <f>IF(AB280&gt;9,1,0)+AB280/3+IF(AB280&gt;15,1,0)+IF(AB280&gt;20,1,0)</f>
        <v/>
      </c>
      <c r="AG280" s="101">
        <f>IF(G280&lt;0,0,1.2)+IF(G280&lt;14,0,0.9)+IF(P280&lt;0,0.7,0)+IF(P280&lt;6.5,1,0)+IF(P280&lt;23,1,0)+IF(R280&gt;80,0,1)+S280+IF(AD280&lt;20,0,1)+IF(AE280&lt;14,0,1)+IF(AF280&lt;26,0,1)</f>
        <v/>
      </c>
      <c r="AH280" s="101">
        <f>AG280+IF(AG280&gt;6,1,0)+IF(X280&lt;17,0,1)+IF(Y280&lt;11,0,1)+IF(Z280&lt;1.35,0,1)+AC280+AA280</f>
        <v/>
      </c>
      <c r="AJ280" s="104">
        <f>IF(AI280&gt;12.8,IF(AI280&gt;15.8,0.95,0.98),1)</f>
        <v/>
      </c>
      <c r="AK280" s="101">
        <f>((AG280*2.6+AH280)*AJ280*AQ280)</f>
        <v/>
      </c>
      <c r="AL280" s="50">
        <f>D280</f>
        <v/>
      </c>
      <c r="AM280" s="97">
        <f>B280</f>
        <v/>
      </c>
      <c r="AP280" s="100">
        <f>IF(AK280&gt;23.2,IF(Y280&lt;300,IF(Y280&lt;35,IF(Y280&lt;8,3,2),1),0),0)</f>
        <v/>
      </c>
      <c r="AR280" s="100">
        <f>IF(AO280=1,IF(AO280=AL280,1,0),5)</f>
        <v/>
      </c>
    </row>
    <row r="281" ht="12.75" customHeight="1">
      <c r="G281" s="100">
        <f>100*(F281-E281)/F281</f>
        <v/>
      </c>
      <c r="P281" s="100">
        <f>O281/I281</f>
        <v/>
      </c>
      <c r="AA281" s="103">
        <f>IF(X281&lt;33,IF(Y281&gt;(1.1*X281),0,1),1)+IF(Y281&gt;(4*X281),-1,0)</f>
        <v/>
      </c>
      <c r="AC281" s="101">
        <f>IF(AB281&gt;9,1,0)+AB281/3+IF(AB281&gt;15,1,0)+IF(AB281&gt;20,1,0)</f>
        <v/>
      </c>
      <c r="AG281" s="101">
        <f>IF(G281&lt;0,0,1.2)+IF(G281&lt;14,0,0.9)+IF(P281&lt;0,0.7,0)+IF(P281&lt;6.5,1,0)+IF(P281&lt;23,1,0)+IF(R281&gt;80,0,1)+S281+IF(AD281&lt;20,0,1)+IF(AE281&lt;14,0,1)+IF(AF281&lt;26,0,1)</f>
        <v/>
      </c>
      <c r="AH281" s="101">
        <f>AG281+IF(AG281&gt;6,1,0)+IF(X281&lt;17,0,1)+IF(Y281&lt;11,0,1)+IF(Z281&lt;1.35,0,1)+AC281+AA281</f>
        <v/>
      </c>
      <c r="AJ281" s="104">
        <f>IF(AI281&gt;12.8,IF(AI281&gt;15.8,0.95,0.98),1)</f>
        <v/>
      </c>
      <c r="AK281" s="101">
        <f>((AG281*2.6+AH281)*AJ281*AQ281)</f>
        <v/>
      </c>
      <c r="AL281" s="50">
        <f>D281</f>
        <v/>
      </c>
      <c r="AM281" s="97">
        <f>B281</f>
        <v/>
      </c>
      <c r="AP281" s="100">
        <f>IF(AK281&gt;23.2,IF(Y281&lt;300,IF(Y281&lt;35,IF(Y281&lt;8,3,2),1),0),0)</f>
        <v/>
      </c>
      <c r="AR281" s="100">
        <f>IF(AO281=1,IF(AO281=AL281,1,0),5)</f>
        <v/>
      </c>
    </row>
    <row r="282" ht="12.75" customHeight="1">
      <c r="G282" s="100">
        <f>100*(F282-E282)/F282</f>
        <v/>
      </c>
      <c r="P282" s="100">
        <f>O282/I282</f>
        <v/>
      </c>
      <c r="AA282" s="103">
        <f>IF(X282&lt;33,IF(Y282&gt;(1.1*X282),0,1),1)+IF(Y282&gt;(4*X282),-1,0)</f>
        <v/>
      </c>
      <c r="AC282" s="101">
        <f>IF(AB282&gt;9,1,0)+AB282/3+IF(AB282&gt;15,1,0)+IF(AB282&gt;20,1,0)</f>
        <v/>
      </c>
      <c r="AG282" s="101">
        <f>IF(G282&lt;0,0,1.2)+IF(G282&lt;14,0,0.9)+IF(P282&lt;0,0.7,0)+IF(P282&lt;6.5,1,0)+IF(P282&lt;23,1,0)+IF(R282&gt;80,0,1)+S282+IF(AD282&lt;20,0,1)+IF(AE282&lt;14,0,1)+IF(AF282&lt;26,0,1)</f>
        <v/>
      </c>
      <c r="AH282" s="101">
        <f>AG282+IF(AG282&gt;6,1,0)+IF(X282&lt;17,0,1)+IF(Y282&lt;11,0,1)+IF(Z282&lt;1.35,0,1)+AC282+AA282</f>
        <v/>
      </c>
      <c r="AJ282" s="104">
        <f>IF(AI282&gt;12.8,IF(AI282&gt;15.8,0.95,0.98),1)</f>
        <v/>
      </c>
      <c r="AK282" s="101">
        <f>((AG282*2.6+AH282)*AJ282*AQ282)</f>
        <v/>
      </c>
      <c r="AL282" s="50">
        <f>D282</f>
        <v/>
      </c>
      <c r="AM282" s="97">
        <f>B282</f>
        <v/>
      </c>
      <c r="AP282" s="100">
        <f>IF(AK282&gt;23.2,IF(Y282&lt;300,IF(Y282&lt;35,IF(Y282&lt;8,3,2),1),0),0)</f>
        <v/>
      </c>
      <c r="AR282" s="100">
        <f>IF(AO282=1,IF(AO282=AL282,1,0),5)</f>
        <v/>
      </c>
    </row>
    <row r="283" ht="12.75" customHeight="1">
      <c r="G283" s="100">
        <f>100*(F283-E283)/F283</f>
        <v/>
      </c>
      <c r="P283" s="100">
        <f>O283/I283</f>
        <v/>
      </c>
      <c r="AA283" s="103">
        <f>IF(X283&lt;33,IF(Y283&gt;(1.1*X283),0,1),1)+IF(Y283&gt;(4*X283),-1,0)</f>
        <v/>
      </c>
      <c r="AC283" s="101">
        <f>IF(AB283&gt;9,1,0)+AB283/3+IF(AB283&gt;15,1,0)+IF(AB283&gt;20,1,0)</f>
        <v/>
      </c>
      <c r="AG283" s="101">
        <f>IF(G283&lt;0,0,1.2)+IF(G283&lt;14,0,0.9)+IF(P283&lt;0,0.7,0)+IF(P283&lt;6.5,1,0)+IF(P283&lt;23,1,0)+IF(R283&gt;80,0,1)+S283+IF(AD283&lt;20,0,1)+IF(AE283&lt;14,0,1)+IF(AF283&lt;26,0,1)</f>
        <v/>
      </c>
      <c r="AH283" s="101">
        <f>AG283+IF(AG283&gt;6,1,0)+IF(X283&lt;17,0,1)+IF(Y283&lt;11,0,1)+IF(Z283&lt;1.35,0,1)+AC283+AA283</f>
        <v/>
      </c>
      <c r="AJ283" s="104">
        <f>IF(AI283&gt;12.8,IF(AI283&gt;15.8,0.95,0.98),1)</f>
        <v/>
      </c>
      <c r="AK283" s="101">
        <f>((AG283*2.6+AH283)*AJ283*AQ283)</f>
        <v/>
      </c>
      <c r="AL283" s="50">
        <f>D283</f>
        <v/>
      </c>
      <c r="AM283" s="97">
        <f>B283</f>
        <v/>
      </c>
      <c r="AP283" s="100">
        <f>IF(AK283&gt;23.2,IF(Y283&lt;300,IF(Y283&lt;35,IF(Y283&lt;8,3,2),1),0),0)</f>
        <v/>
      </c>
      <c r="AR283" s="100">
        <f>IF(AO283=1,IF(AO283=AL283,1,0),5)</f>
        <v/>
      </c>
    </row>
    <row r="284" ht="12.75" customHeight="1">
      <c r="G284" s="100">
        <f>100*(F284-E284)/F284</f>
        <v/>
      </c>
      <c r="P284" s="100">
        <f>O284/I284</f>
        <v/>
      </c>
      <c r="AA284" s="103">
        <f>IF(X284&lt;33,IF(Y284&gt;(1.1*X284),0,1),1)+IF(Y284&gt;(4*X284),-1,0)</f>
        <v/>
      </c>
      <c r="AC284" s="101">
        <f>IF(AB284&gt;9,1,0)+AB284/3+IF(AB284&gt;15,1,0)+IF(AB284&gt;20,1,0)</f>
        <v/>
      </c>
      <c r="AG284" s="101">
        <f>IF(G284&lt;0,0,1.2)+IF(G284&lt;14,0,0.9)+IF(P284&lt;0,0.7,0)+IF(P284&lt;6.5,1,0)+IF(P284&lt;23,1,0)+IF(R284&gt;80,0,1)+S284+IF(AD284&lt;20,0,1)+IF(AE284&lt;14,0,1)+IF(AF284&lt;26,0,1)</f>
        <v/>
      </c>
      <c r="AH284" s="101">
        <f>AG284+IF(AG284&gt;6,1,0)+IF(X284&lt;17,0,1)+IF(Y284&lt;11,0,1)+IF(Z284&lt;1.35,0,1)+AC284+AA284</f>
        <v/>
      </c>
      <c r="AJ284" s="104">
        <f>IF(AI284&gt;12.8,IF(AI284&gt;15.8,0.95,0.98),1)</f>
        <v/>
      </c>
      <c r="AK284" s="101">
        <f>((AG284*2.6+AH284)*AJ284*AQ284)</f>
        <v/>
      </c>
      <c r="AL284" s="50">
        <f>D284</f>
        <v/>
      </c>
      <c r="AM284" s="97">
        <f>B284</f>
        <v/>
      </c>
      <c r="AP284" s="100">
        <f>IF(AK284&gt;23.2,IF(Y284&lt;300,IF(Y284&lt;35,IF(Y284&lt;8,3,2),1),0),0)</f>
        <v/>
      </c>
      <c r="AR284" s="100">
        <f>IF(AO284=1,IF(AO284=AL284,1,0),5)</f>
        <v/>
      </c>
    </row>
    <row r="285" ht="12.75" customHeight="1">
      <c r="G285" s="100">
        <f>100*(F285-E285)/F285</f>
        <v/>
      </c>
      <c r="P285" s="100">
        <f>O285/I285</f>
        <v/>
      </c>
      <c r="AA285" s="103">
        <f>IF(X285&lt;33,IF(Y285&gt;(1.1*X285),0,1),1)+IF(Y285&gt;(4*X285),-1,0)</f>
        <v/>
      </c>
      <c r="AC285" s="101">
        <f>IF(AB285&gt;9,1,0)+AB285/3+IF(AB285&gt;15,1,0)+IF(AB285&gt;20,1,0)</f>
        <v/>
      </c>
      <c r="AG285" s="101">
        <f>IF(G285&lt;0,0,1.2)+IF(G285&lt;14,0,0.9)+IF(P285&lt;0,0.7,0)+IF(P285&lt;6.5,1,0)+IF(P285&lt;23,1,0)+IF(R285&gt;80,0,1)+S285+IF(AD285&lt;20,0,1)+IF(AE285&lt;14,0,1)+IF(AF285&lt;26,0,1)</f>
        <v/>
      </c>
      <c r="AH285" s="101">
        <f>AG285+IF(AG285&gt;6,1,0)+IF(X285&lt;17,0,1)+IF(Y285&lt;11,0,1)+IF(Z285&lt;1.35,0,1)+AC285+AA285</f>
        <v/>
      </c>
      <c r="AJ285" s="104">
        <f>IF(AI285&gt;12.8,IF(AI285&gt;15.8,0.95,0.98),1)</f>
        <v/>
      </c>
      <c r="AK285" s="101">
        <f>((AG285*2.6+AH285)*AJ285*AQ285)</f>
        <v/>
      </c>
      <c r="AL285" s="50">
        <f>D285</f>
        <v/>
      </c>
      <c r="AM285" s="97">
        <f>B285</f>
        <v/>
      </c>
      <c r="AP285" s="100">
        <f>IF(AK285&gt;23.2,IF(Y285&lt;300,IF(Y285&lt;35,IF(Y285&lt;8,3,2),1),0),0)</f>
        <v/>
      </c>
      <c r="AR285" s="100">
        <f>IF(AO285=1,IF(AO285=AL285,1,0),5)</f>
        <v/>
      </c>
    </row>
    <row r="286" ht="12.75" customHeight="1">
      <c r="G286" s="100">
        <f>100*(F286-E286)/F286</f>
        <v/>
      </c>
      <c r="P286" s="100">
        <f>O286/I286</f>
        <v/>
      </c>
      <c r="AA286" s="103">
        <f>IF(X286&lt;33,IF(Y286&gt;(1.1*X286),0,1),1)+IF(Y286&gt;(4*X286),-1,0)</f>
        <v/>
      </c>
      <c r="AC286" s="101">
        <f>IF(AB286&gt;9,1,0)+AB286/3+IF(AB286&gt;15,1,0)+IF(AB286&gt;20,1,0)</f>
        <v/>
      </c>
      <c r="AG286" s="101">
        <f>IF(G286&lt;0,0,1.2)+IF(G286&lt;14,0,0.9)+IF(P286&lt;0,0.7,0)+IF(P286&lt;6.5,1,0)+IF(P286&lt;23,1,0)+IF(R286&gt;80,0,1)+S286+IF(AD286&lt;20,0,1)+IF(AE286&lt;14,0,1)+IF(AF286&lt;26,0,1)</f>
        <v/>
      </c>
      <c r="AH286" s="101">
        <f>AG286+IF(AG286&gt;6,1,0)+IF(X286&lt;17,0,1)+IF(Y286&lt;11,0,1)+IF(Z286&lt;1.35,0,1)+AC286+AA286</f>
        <v/>
      </c>
      <c r="AJ286" s="104">
        <f>IF(AI286&gt;12.8,IF(AI286&gt;15.8,0.95,0.98),1)</f>
        <v/>
      </c>
      <c r="AK286" s="101">
        <f>((AG286*2.6+AH286)*AJ286*AQ286)</f>
        <v/>
      </c>
      <c r="AL286" s="50">
        <f>D286</f>
        <v/>
      </c>
      <c r="AM286" s="97">
        <f>B286</f>
        <v/>
      </c>
      <c r="AP286" s="100">
        <f>IF(AK286&gt;23.2,IF(Y286&lt;300,IF(Y286&lt;35,IF(Y286&lt;8,3,2),1),0),0)</f>
        <v/>
      </c>
      <c r="AR286" s="100">
        <f>IF(AO286=1,IF(AO286=AL286,1,0),5)</f>
        <v/>
      </c>
    </row>
    <row r="287" ht="12.75" customHeight="1">
      <c r="G287" s="100">
        <f>100*(F287-E287)/F287</f>
        <v/>
      </c>
      <c r="P287" s="100">
        <f>O287/I287</f>
        <v/>
      </c>
      <c r="AA287" s="103">
        <f>IF(X287&lt;33,IF(Y287&gt;(1.1*X287),0,1),1)+IF(Y287&gt;(4*X287),-1,0)</f>
        <v/>
      </c>
      <c r="AC287" s="101">
        <f>IF(AB287&gt;9,1,0)+AB287/3+IF(AB287&gt;15,1,0)+IF(AB287&gt;20,1,0)</f>
        <v/>
      </c>
      <c r="AG287" s="101">
        <f>IF(G287&lt;0,0,1.2)+IF(G287&lt;14,0,0.9)+IF(P287&lt;0,0.7,0)+IF(P287&lt;6.5,1,0)+IF(P287&lt;23,1,0)+IF(R287&gt;80,0,1)+S287+IF(AD287&lt;20,0,1)+IF(AE287&lt;14,0,1)+IF(AF287&lt;26,0,1)</f>
        <v/>
      </c>
      <c r="AH287" s="101">
        <f>AG287+IF(AG287&gt;6,1,0)+IF(X287&lt;17,0,1)+IF(Y287&lt;11,0,1)+IF(Z287&lt;1.35,0,1)+AC287+AA287</f>
        <v/>
      </c>
      <c r="AJ287" s="104">
        <f>IF(AI287&gt;12.8,IF(AI287&gt;15.8,0.95,0.98),1)</f>
        <v/>
      </c>
      <c r="AK287" s="101">
        <f>((AG287*2.6+AH287)*AJ287*AQ287)</f>
        <v/>
      </c>
      <c r="AL287" s="50">
        <f>D287</f>
        <v/>
      </c>
      <c r="AM287" s="97">
        <f>B287</f>
        <v/>
      </c>
      <c r="AP287" s="100">
        <f>IF(AK287&gt;23.2,IF(Y287&lt;300,IF(Y287&lt;35,IF(Y287&lt;8,3,2),1),0),0)</f>
        <v/>
      </c>
      <c r="AR287" s="100">
        <f>IF(AO287=1,IF(AO287=AL287,1,0),5)</f>
        <v/>
      </c>
    </row>
    <row r="288" ht="12.75" customHeight="1">
      <c r="G288" s="100">
        <f>100*(F288-E288)/F288</f>
        <v/>
      </c>
      <c r="P288" s="100">
        <f>O288/I288</f>
        <v/>
      </c>
      <c r="AA288" s="103">
        <f>IF(X288&lt;33,IF(Y288&gt;(1.1*X288),0,1),1)+IF(Y288&gt;(4*X288),-1,0)</f>
        <v/>
      </c>
      <c r="AC288" s="101">
        <f>IF(AB288&gt;9,1,0)+AB288/3+IF(AB288&gt;15,1,0)+IF(AB288&gt;20,1,0)</f>
        <v/>
      </c>
      <c r="AG288" s="101">
        <f>IF(G288&lt;0,0,1.2)+IF(G288&lt;14,0,0.9)+IF(P288&lt;0,0.7,0)+IF(P288&lt;6.5,1,0)+IF(P288&lt;23,1,0)+IF(R288&gt;80,0,1)+S288+IF(AD288&lt;20,0,1)+IF(AE288&lt;14,0,1)+IF(AF288&lt;26,0,1)</f>
        <v/>
      </c>
      <c r="AH288" s="101">
        <f>AG288+IF(AG288&gt;6,1,0)+IF(X288&lt;17,0,1)+IF(Y288&lt;11,0,1)+IF(Z288&lt;1.35,0,1)+AC288+AA288</f>
        <v/>
      </c>
      <c r="AJ288" s="104">
        <f>IF(AI288&gt;12.8,IF(AI288&gt;15.8,0.95,0.98),1)</f>
        <v/>
      </c>
      <c r="AK288" s="101">
        <f>((AG288*2.6+AH288)*AJ288*AQ288)</f>
        <v/>
      </c>
      <c r="AL288" s="50">
        <f>D288</f>
        <v/>
      </c>
      <c r="AM288" s="97">
        <f>B288</f>
        <v/>
      </c>
      <c r="AP288" s="100">
        <f>IF(AK288&gt;23.2,IF(Y288&lt;300,IF(Y288&lt;35,IF(Y288&lt;8,3,2),1),0),0)</f>
        <v/>
      </c>
      <c r="AR288" s="100">
        <f>IF(AO288=1,IF(AO288=AL288,1,0),5)</f>
        <v/>
      </c>
    </row>
    <row r="289" ht="12.75" customHeight="1">
      <c r="G289" s="100">
        <f>100*(F289-E289)/F289</f>
        <v/>
      </c>
      <c r="P289" s="100">
        <f>O289/I289</f>
        <v/>
      </c>
      <c r="AA289" s="103">
        <f>IF(X289&lt;33,IF(Y289&gt;(1.1*X289),0,1),1)+IF(Y289&gt;(4*X289),-1,0)</f>
        <v/>
      </c>
      <c r="AC289" s="101">
        <f>IF(AB289&gt;9,1,0)+AB289/3+IF(AB289&gt;15,1,0)+IF(AB289&gt;20,1,0)</f>
        <v/>
      </c>
      <c r="AG289" s="101">
        <f>IF(G289&lt;0,0,1.2)+IF(G289&lt;14,0,0.9)+IF(P289&lt;0,0.7,0)+IF(P289&lt;6.5,1,0)+IF(P289&lt;23,1,0)+IF(R289&gt;80,0,1)+S289+IF(AD289&lt;20,0,1)+IF(AE289&lt;14,0,1)+IF(AF289&lt;26,0,1)</f>
        <v/>
      </c>
      <c r="AH289" s="101">
        <f>AG289+IF(AG289&gt;6,1,0)+IF(X289&lt;17,0,1)+IF(Y289&lt;11,0,1)+IF(Z289&lt;1.35,0,1)+AC289+AA289</f>
        <v/>
      </c>
      <c r="AJ289" s="104">
        <f>IF(AI289&gt;12.8,IF(AI289&gt;15.8,0.95,0.98),1)</f>
        <v/>
      </c>
      <c r="AK289" s="101">
        <f>((AG289*2.6+AH289)*AJ289*AQ289)</f>
        <v/>
      </c>
      <c r="AL289" s="50">
        <f>D289</f>
        <v/>
      </c>
      <c r="AM289" s="97">
        <f>B289</f>
        <v/>
      </c>
      <c r="AP289" s="100">
        <f>IF(AK289&gt;23.2,IF(Y289&lt;300,IF(Y289&lt;35,IF(Y289&lt;8,3,2),1),0),0)</f>
        <v/>
      </c>
      <c r="AR289" s="100">
        <f>IF(AO289=1,IF(AO289=AL289,1,0),5)</f>
        <v/>
      </c>
    </row>
    <row r="290" ht="12.75" customHeight="1">
      <c r="G290" s="100">
        <f>100*(F290-E290)/F290</f>
        <v/>
      </c>
      <c r="P290" s="100">
        <f>O290/I290</f>
        <v/>
      </c>
      <c r="AA290" s="103">
        <f>IF(X290&lt;33,IF(Y290&gt;(1.1*X290),0,1),1)+IF(Y290&gt;(4*X290),-1,0)</f>
        <v/>
      </c>
      <c r="AC290" s="101">
        <f>IF(AB290&gt;9,1,0)+AB290/3+IF(AB290&gt;15,1,0)+IF(AB290&gt;20,1,0)</f>
        <v/>
      </c>
      <c r="AG290" s="101">
        <f>IF(G290&lt;0,0,1.2)+IF(G290&lt;14,0,0.9)+IF(P290&lt;0,0.7,0)+IF(P290&lt;6.5,1,0)+IF(P290&lt;23,1,0)+IF(R290&gt;80,0,1)+S290+IF(AD290&lt;20,0,1)+IF(AE290&lt;14,0,1)+IF(AF290&lt;26,0,1)</f>
        <v/>
      </c>
      <c r="AH290" s="101">
        <f>AG290+IF(AG290&gt;6,1,0)+IF(X290&lt;17,0,1)+IF(Y290&lt;11,0,1)+IF(Z290&lt;1.35,0,1)+AC290+AA290</f>
        <v/>
      </c>
      <c r="AJ290" s="104">
        <f>IF(AI290&gt;12.8,IF(AI290&gt;15.8,0.95,0.98),1)</f>
        <v/>
      </c>
      <c r="AK290" s="101">
        <f>((AG290*2.6+AH290)*AJ290*AQ290)</f>
        <v/>
      </c>
      <c r="AL290" s="50">
        <f>D290</f>
        <v/>
      </c>
      <c r="AM290" s="97">
        <f>B290</f>
        <v/>
      </c>
      <c r="AP290" s="100">
        <f>IF(AK290&gt;23.2,IF(Y290&lt;300,IF(Y290&lt;35,IF(Y290&lt;8,3,2),1),0),0)</f>
        <v/>
      </c>
      <c r="AR290" s="100">
        <f>IF(AO290=1,IF(AO290=AL290,1,0),5)</f>
        <v/>
      </c>
    </row>
    <row r="291" ht="12.75" customHeight="1">
      <c r="G291" s="100">
        <f>100*(F291-E291)/F291</f>
        <v/>
      </c>
      <c r="P291" s="100">
        <f>O291/I291</f>
        <v/>
      </c>
      <c r="AA291" s="103">
        <f>IF(X291&lt;33,IF(Y291&gt;(1.1*X291),0,1),1)+IF(Y291&gt;(4*X291),-1,0)</f>
        <v/>
      </c>
      <c r="AC291" s="101">
        <f>IF(AB291&gt;9,1,0)+AB291/3+IF(AB291&gt;15,1,0)+IF(AB291&gt;20,1,0)</f>
        <v/>
      </c>
      <c r="AG291" s="101">
        <f>IF(G291&lt;0,0,1.2)+IF(G291&lt;14,0,0.9)+IF(P291&lt;0,0.7,0)+IF(P291&lt;6.5,1,0)+IF(P291&lt;23,1,0)+IF(R291&gt;80,0,1)+S291+IF(AD291&lt;20,0,1)+IF(AE291&lt;14,0,1)+IF(AF291&lt;26,0,1)</f>
        <v/>
      </c>
      <c r="AH291" s="101">
        <f>AG291+IF(AG291&gt;6,1,0)+IF(X291&lt;17,0,1)+IF(Y291&lt;11,0,1)+IF(Z291&lt;1.35,0,1)+AC291+AA291</f>
        <v/>
      </c>
      <c r="AJ291" s="104">
        <f>IF(AI291&gt;12.8,IF(AI291&gt;15.8,0.95,0.98),1)</f>
        <v/>
      </c>
      <c r="AK291" s="101">
        <f>((AG291*2.6+AH291)*AJ291*AQ291)</f>
        <v/>
      </c>
      <c r="AL291" s="50">
        <f>D291</f>
        <v/>
      </c>
      <c r="AM291" s="97">
        <f>B291</f>
        <v/>
      </c>
      <c r="AP291" s="100">
        <f>IF(AK291&gt;23.2,IF(Y291&lt;300,IF(Y291&lt;35,IF(Y291&lt;8,3,2),1),0),0)</f>
        <v/>
      </c>
      <c r="AR291" s="100">
        <f>IF(AO291=1,IF(AO291=AL291,1,0),5)</f>
        <v/>
      </c>
    </row>
    <row r="292" ht="12.75" customHeight="1">
      <c r="G292" s="100">
        <f>100*(F292-E292)/F292</f>
        <v/>
      </c>
      <c r="P292" s="100">
        <f>O292/I292</f>
        <v/>
      </c>
      <c r="AA292" s="103">
        <f>IF(X292&lt;33,IF(Y292&gt;(1.1*X292),0,1),1)+IF(Y292&gt;(4*X292),-1,0)</f>
        <v/>
      </c>
      <c r="AC292" s="101">
        <f>IF(AB292&gt;9,1,0)+AB292/3+IF(AB292&gt;15,1,0)+IF(AB292&gt;20,1,0)</f>
        <v/>
      </c>
      <c r="AG292" s="101">
        <f>IF(G292&lt;0,0,1.2)+IF(G292&lt;14,0,0.9)+IF(P292&lt;0,0.7,0)+IF(P292&lt;6.5,1,0)+IF(P292&lt;23,1,0)+IF(R292&gt;80,0,1)+S292+IF(AD292&lt;20,0,1)+IF(AE292&lt;14,0,1)+IF(AF292&lt;26,0,1)</f>
        <v/>
      </c>
      <c r="AH292" s="101">
        <f>AG292+IF(AG292&gt;6,1,0)+IF(X292&lt;17,0,1)+IF(Y292&lt;11,0,1)+IF(Z292&lt;1.35,0,1)+AC292+AA292</f>
        <v/>
      </c>
      <c r="AJ292" s="104">
        <f>IF(AI292&gt;12.8,IF(AI292&gt;15.8,0.95,0.98),1)</f>
        <v/>
      </c>
      <c r="AK292" s="101">
        <f>((AG292*2.6+AH292)*AJ292*AQ292)</f>
        <v/>
      </c>
      <c r="AL292" s="50">
        <f>D292</f>
        <v/>
      </c>
      <c r="AM292" s="97">
        <f>B292</f>
        <v/>
      </c>
      <c r="AP292" s="100">
        <f>IF(AK292&gt;23.2,IF(Y292&lt;300,IF(Y292&lt;35,IF(Y292&lt;8,3,2),1),0),0)</f>
        <v/>
      </c>
      <c r="AR292" s="100">
        <f>IF(AO292=1,IF(AO292=AL292,1,0),5)</f>
        <v/>
      </c>
    </row>
    <row r="293" ht="12.75" customHeight="1">
      <c r="G293" s="100">
        <f>100*(F293-E293)/F293</f>
        <v/>
      </c>
      <c r="P293" s="100">
        <f>O293/I293</f>
        <v/>
      </c>
      <c r="AA293" s="103">
        <f>IF(X293&lt;33,IF(Y293&gt;(1.1*X293),0,1),1)+IF(Y293&gt;(4*X293),-1,0)</f>
        <v/>
      </c>
      <c r="AC293" s="101">
        <f>IF(AB293&gt;9,1,0)+AB293/3+IF(AB293&gt;15,1,0)+IF(AB293&gt;20,1,0)</f>
        <v/>
      </c>
      <c r="AG293" s="101">
        <f>IF(G293&lt;0,0,1.2)+IF(G293&lt;14,0,0.9)+IF(P293&lt;0,0.7,0)+IF(P293&lt;6.5,1,0)+IF(P293&lt;23,1,0)+IF(R293&gt;80,0,1)+S293+IF(AD293&lt;20,0,1)+IF(AE293&lt;14,0,1)+IF(AF293&lt;26,0,1)</f>
        <v/>
      </c>
      <c r="AH293" s="101">
        <f>AG293+IF(AG293&gt;6,1,0)+IF(X293&lt;17,0,1)+IF(Y293&lt;11,0,1)+IF(Z293&lt;1.35,0,1)+AC293+AA293</f>
        <v/>
      </c>
      <c r="AJ293" s="104">
        <f>IF(AI293&gt;12.8,IF(AI293&gt;15.8,0.95,0.98),1)</f>
        <v/>
      </c>
      <c r="AK293" s="101">
        <f>((AG293*2.6+AH293)*AJ293*AQ293)</f>
        <v/>
      </c>
      <c r="AL293" s="50">
        <f>D293</f>
        <v/>
      </c>
      <c r="AM293" s="97">
        <f>B293</f>
        <v/>
      </c>
      <c r="AP293" s="100">
        <f>IF(AK293&gt;23.2,IF(Y293&lt;300,IF(Y293&lt;35,IF(Y293&lt;8,3,2),1),0),0)</f>
        <v/>
      </c>
      <c r="AR293" s="100">
        <f>IF(AO293=1,IF(AO293=AL293,1,0),5)</f>
        <v/>
      </c>
    </row>
    <row r="294" ht="12.75" customHeight="1">
      <c r="G294" s="100">
        <f>100*(F294-E294)/F294</f>
        <v/>
      </c>
      <c r="P294" s="100">
        <f>O294/I294</f>
        <v/>
      </c>
      <c r="AA294" s="103">
        <f>IF(X294&lt;33,IF(Y294&gt;(1.1*X294),0,1),1)+IF(Y294&gt;(4*X294),-1,0)</f>
        <v/>
      </c>
      <c r="AC294" s="101">
        <f>IF(AB294&gt;9,1,0)+AB294/3+IF(AB294&gt;15,1,0)+IF(AB294&gt;20,1,0)</f>
        <v/>
      </c>
      <c r="AG294" s="101">
        <f>IF(G294&lt;0,0,1.2)+IF(G294&lt;14,0,0.9)+IF(P294&lt;0,0.7,0)+IF(P294&lt;6.5,1,0)+IF(P294&lt;23,1,0)+IF(R294&gt;80,0,1)+S294+IF(AD294&lt;20,0,1)+IF(AE294&lt;14,0,1)+IF(AF294&lt;26,0,1)</f>
        <v/>
      </c>
      <c r="AH294" s="101">
        <f>AG294+IF(AG294&gt;6,1,0)+IF(X294&lt;17,0,1)+IF(Y294&lt;11,0,1)+IF(Z294&lt;1.35,0,1)+AC294+AA294</f>
        <v/>
      </c>
      <c r="AJ294" s="104">
        <f>IF(AI294&gt;12.8,IF(AI294&gt;15.8,0.95,0.98),1)</f>
        <v/>
      </c>
      <c r="AK294" s="101">
        <f>((AG294*2.6+AH294)*AJ294*AQ294)</f>
        <v/>
      </c>
      <c r="AL294" s="50">
        <f>D294</f>
        <v/>
      </c>
      <c r="AM294" s="97">
        <f>B294</f>
        <v/>
      </c>
      <c r="AP294" s="100">
        <f>IF(AK294&gt;23.2,IF(Y294&lt;300,IF(Y294&lt;35,IF(Y294&lt;8,3,2),1),0),0)</f>
        <v/>
      </c>
      <c r="AR294" s="100">
        <f>IF(AO294=1,IF(AO294=AL294,1,0),5)</f>
        <v/>
      </c>
    </row>
    <row r="295" ht="12.75" customHeight="1">
      <c r="G295" s="100">
        <f>100*(F295-E295)/F295</f>
        <v/>
      </c>
      <c r="P295" s="100">
        <f>O295/I295</f>
        <v/>
      </c>
      <c r="AA295" s="103">
        <f>IF(X295&lt;33,IF(Y295&gt;(1.1*X295),0,1),1)+IF(Y295&gt;(4*X295),-1,0)</f>
        <v/>
      </c>
      <c r="AC295" s="101">
        <f>IF(AB295&gt;9,1,0)+AB295/3+IF(AB295&gt;15,1,0)+IF(AB295&gt;20,1,0)</f>
        <v/>
      </c>
      <c r="AG295" s="101">
        <f>IF(G295&lt;0,0,1.2)+IF(G295&lt;14,0,0.9)+IF(P295&lt;0,0.7,0)+IF(P295&lt;6.5,1,0)+IF(P295&lt;23,1,0)+IF(R295&gt;80,0,1)+S295+IF(AD295&lt;20,0,1)+IF(AE295&lt;14,0,1)+IF(AF295&lt;26,0,1)</f>
        <v/>
      </c>
      <c r="AH295" s="101">
        <f>AG295+IF(AG295&gt;6,1,0)+IF(X295&lt;17,0,1)+IF(Y295&lt;11,0,1)+IF(Z295&lt;1.35,0,1)+AC295+AA295</f>
        <v/>
      </c>
      <c r="AJ295" s="104">
        <f>IF(AI295&gt;12.8,IF(AI295&gt;15.8,0.95,0.98),1)</f>
        <v/>
      </c>
      <c r="AK295" s="101">
        <f>((AG295*2.6+AH295)*AJ295*AQ295)</f>
        <v/>
      </c>
      <c r="AL295" s="50">
        <f>D295</f>
        <v/>
      </c>
      <c r="AM295" s="97">
        <f>B295</f>
        <v/>
      </c>
      <c r="AP295" s="100">
        <f>IF(AK295&gt;23.2,IF(Y295&lt;300,IF(Y295&lt;35,IF(Y295&lt;8,3,2),1),0),0)</f>
        <v/>
      </c>
      <c r="AR295" s="100">
        <f>IF(AO295=1,IF(AO295=AL295,1,0),5)</f>
        <v/>
      </c>
    </row>
    <row r="296" ht="12.75" customHeight="1">
      <c r="G296" s="100">
        <f>100*(F296-E296)/F296</f>
        <v/>
      </c>
      <c r="P296" s="100">
        <f>O296/I296</f>
        <v/>
      </c>
      <c r="AA296" s="103">
        <f>IF(X296&lt;33,IF(Y296&gt;(1.1*X296),0,1),1)+IF(Y296&gt;(4*X296),-1,0)</f>
        <v/>
      </c>
      <c r="AC296" s="101">
        <f>IF(AB296&gt;9,1,0)+AB296/3+IF(AB296&gt;15,1,0)+IF(AB296&gt;20,1,0)</f>
        <v/>
      </c>
      <c r="AG296" s="101">
        <f>IF(G296&lt;0,0,1.2)+IF(G296&lt;14,0,0.9)+IF(P296&lt;0,0.7,0)+IF(P296&lt;6.5,1,0)+IF(P296&lt;23,1,0)+IF(R296&gt;80,0,1)+S296+IF(AD296&lt;20,0,1)+IF(AE296&lt;14,0,1)+IF(AF296&lt;26,0,1)</f>
        <v/>
      </c>
      <c r="AH296" s="101">
        <f>AG296+IF(AG296&gt;6,1,0)+IF(X296&lt;17,0,1)+IF(Y296&lt;11,0,1)+IF(Z296&lt;1.35,0,1)+AC296+AA296</f>
        <v/>
      </c>
      <c r="AJ296" s="104">
        <f>IF(AI296&gt;12.8,IF(AI296&gt;15.8,0.95,0.98),1)</f>
        <v/>
      </c>
      <c r="AK296" s="101">
        <f>((AG296*2.6+AH296)*AJ296*AQ296)</f>
        <v/>
      </c>
      <c r="AL296" s="50">
        <f>D296</f>
        <v/>
      </c>
      <c r="AM296" s="97">
        <f>B296</f>
        <v/>
      </c>
      <c r="AP296" s="100">
        <f>IF(AK296&gt;23.2,IF(Y296&lt;300,IF(Y296&lt;35,IF(Y296&lt;8,3,2),1),0),0)</f>
        <v/>
      </c>
      <c r="AR296" s="100">
        <f>IF(AO296=1,IF(AO296=AL296,1,0),5)</f>
        <v/>
      </c>
    </row>
    <row r="297" ht="12.75" customHeight="1">
      <c r="G297" s="100">
        <f>100*(F297-E297)/F297</f>
        <v/>
      </c>
      <c r="P297" s="100">
        <f>O297/I297</f>
        <v/>
      </c>
      <c r="AA297" s="103">
        <f>IF(X297&lt;33,IF(Y297&gt;(1.1*X297),0,1),1)+IF(Y297&gt;(4*X297),-1,0)</f>
        <v/>
      </c>
      <c r="AC297" s="101">
        <f>IF(AB297&gt;9,1,0)+AB297/3+IF(AB297&gt;15,1,0)+IF(AB297&gt;20,1,0)</f>
        <v/>
      </c>
      <c r="AG297" s="101">
        <f>IF(G297&lt;0,0,1.2)+IF(G297&lt;14,0,0.9)+IF(P297&lt;0,0.7,0)+IF(P297&lt;6.5,1,0)+IF(P297&lt;23,1,0)+IF(R297&gt;80,0,1)+S297+IF(AD297&lt;20,0,1)+IF(AE297&lt;14,0,1)+IF(AF297&lt;26,0,1)</f>
        <v/>
      </c>
      <c r="AH297" s="101">
        <f>AG297+IF(AG297&gt;6,1,0)+IF(X297&lt;17,0,1)+IF(Y297&lt;11,0,1)+IF(Z297&lt;1.35,0,1)+AC297+AA297</f>
        <v/>
      </c>
      <c r="AJ297" s="104">
        <f>IF(AI297&gt;12.8,IF(AI297&gt;15.8,0.95,0.98),1)</f>
        <v/>
      </c>
      <c r="AK297" s="101">
        <f>((AG297*2.6+AH297)*AJ297*AQ297)</f>
        <v/>
      </c>
      <c r="AL297" s="50">
        <f>D297</f>
        <v/>
      </c>
      <c r="AM297" s="97">
        <f>B297</f>
        <v/>
      </c>
      <c r="AP297" s="100">
        <f>IF(AK297&gt;23.2,IF(Y297&lt;300,IF(Y297&lt;35,IF(Y297&lt;8,3,2),1),0),0)</f>
        <v/>
      </c>
      <c r="AR297" s="100">
        <f>IF(AO297=1,IF(AO297=AL297,1,0),5)</f>
        <v/>
      </c>
    </row>
    <row r="298" ht="12.75" customHeight="1">
      <c r="G298" s="100">
        <f>100*(F298-E298)/F298</f>
        <v/>
      </c>
      <c r="P298" s="100">
        <f>O298/I298</f>
        <v/>
      </c>
      <c r="AA298" s="103">
        <f>IF(X298&lt;33,IF(Y298&gt;(1.1*X298),0,1),1)+IF(Y298&gt;(4*X298),-1,0)</f>
        <v/>
      </c>
      <c r="AC298" s="101">
        <f>IF(AB298&gt;9,1,0)+AB298/3+IF(AB298&gt;15,1,0)+IF(AB298&gt;20,1,0)</f>
        <v/>
      </c>
      <c r="AG298" s="101">
        <f>IF(G298&lt;0,0,1.2)+IF(G298&lt;14,0,0.9)+IF(P298&lt;0,0.7,0)+IF(P298&lt;6.5,1,0)+IF(P298&lt;23,1,0)+IF(R298&gt;80,0,1)+S298+IF(AD298&lt;20,0,1)+IF(AE298&lt;14,0,1)+IF(AF298&lt;26,0,1)</f>
        <v/>
      </c>
      <c r="AH298" s="101">
        <f>AG298+IF(AG298&gt;6,1,0)+IF(X298&lt;17,0,1)+IF(Y298&lt;11,0,1)+IF(Z298&lt;1.35,0,1)+AC298+AA298</f>
        <v/>
      </c>
      <c r="AJ298" s="104">
        <f>IF(AI298&gt;12.8,IF(AI298&gt;15.8,0.95,0.98),1)</f>
        <v/>
      </c>
      <c r="AK298" s="101">
        <f>((AG298*2.6+AH298)*AJ298*AQ298)</f>
        <v/>
      </c>
      <c r="AL298" s="50">
        <f>D298</f>
        <v/>
      </c>
      <c r="AM298" s="97">
        <f>B298</f>
        <v/>
      </c>
      <c r="AP298" s="100">
        <f>IF(AK298&gt;23.2,IF(Y298&lt;300,IF(Y298&lt;35,IF(Y298&lt;8,3,2),1),0),0)</f>
        <v/>
      </c>
      <c r="AR298" s="100">
        <f>IF(AO298=1,IF(AO298=AL298,1,0),5)</f>
        <v/>
      </c>
    </row>
    <row r="299" ht="12.75" customHeight="1">
      <c r="G299" s="100">
        <f>100*(F299-E299)/F299</f>
        <v/>
      </c>
      <c r="P299" s="100">
        <f>O299/I299</f>
        <v/>
      </c>
      <c r="AA299" s="103">
        <f>IF(X299&lt;33,IF(Y299&gt;(1.1*X299),0,1),1)+IF(Y299&gt;(4*X299),-1,0)</f>
        <v/>
      </c>
      <c r="AC299" s="101">
        <f>IF(AB299&gt;9,1,0)+AB299/3+IF(AB299&gt;15,1,0)+IF(AB299&gt;20,1,0)</f>
        <v/>
      </c>
      <c r="AG299" s="101">
        <f>IF(G299&lt;0,0,1.2)+IF(G299&lt;14,0,0.9)+IF(P299&lt;0,0.7,0)+IF(P299&lt;6.5,1,0)+IF(P299&lt;23,1,0)+IF(R299&gt;80,0,1)+S299+IF(AD299&lt;20,0,1)+IF(AE299&lt;14,0,1)+IF(AF299&lt;26,0,1)</f>
        <v/>
      </c>
      <c r="AH299" s="101">
        <f>AG299+IF(AG299&gt;6,1,0)+IF(X299&lt;17,0,1)+IF(Y299&lt;11,0,1)+IF(Z299&lt;1.35,0,1)+AC299+AA299</f>
        <v/>
      </c>
      <c r="AJ299" s="104">
        <f>IF(AI299&gt;12.8,IF(AI299&gt;15.8,0.95,0.98),1)</f>
        <v/>
      </c>
      <c r="AK299" s="101">
        <f>((AG299*2.6+AH299)*AJ299*AQ299)</f>
        <v/>
      </c>
      <c r="AL299" s="50">
        <f>D299</f>
        <v/>
      </c>
      <c r="AM299" s="97">
        <f>B299</f>
        <v/>
      </c>
      <c r="AP299" s="100">
        <f>IF(AK299&gt;23.2,IF(Y299&lt;300,IF(Y299&lt;35,IF(Y299&lt;8,3,2),1),0),0)</f>
        <v/>
      </c>
      <c r="AR299" s="100">
        <f>IF(AO299=1,IF(AO299=AL299,1,0),5)</f>
        <v/>
      </c>
    </row>
    <row r="300" ht="12.75" customHeight="1">
      <c r="G300" s="100">
        <f>100*(F300-E300)/F300</f>
        <v/>
      </c>
      <c r="P300" s="100">
        <f>O300/I300</f>
        <v/>
      </c>
      <c r="AA300" s="103">
        <f>IF(X300&lt;33,IF(Y300&gt;(1.1*X300),0,1),1)+IF(Y300&gt;(4*X300),-1,0)</f>
        <v/>
      </c>
      <c r="AC300" s="101">
        <f>IF(AB300&gt;9,1,0)+AB300/3+IF(AB300&gt;15,1,0)+IF(AB300&gt;20,1,0)</f>
        <v/>
      </c>
      <c r="AG300" s="101">
        <f>IF(G300&lt;0,0,1.2)+IF(G300&lt;14,0,0.9)+IF(P300&lt;0,0.7,0)+IF(P300&lt;6.5,1,0)+IF(P300&lt;23,1,0)+IF(R300&gt;80,0,1)+S300+IF(AD300&lt;20,0,1)+IF(AE300&lt;14,0,1)+IF(AF300&lt;26,0,1)</f>
        <v/>
      </c>
      <c r="AH300" s="101">
        <f>AG300+IF(AG300&gt;6,1,0)+IF(X300&lt;17,0,1)+IF(Y300&lt;11,0,1)+IF(Z300&lt;1.35,0,1)+AC300+AA300</f>
        <v/>
      </c>
      <c r="AJ300" s="104">
        <f>IF(AI300&gt;12.8,IF(AI300&gt;15.8,0.95,0.98),1)</f>
        <v/>
      </c>
      <c r="AK300" s="101">
        <f>((AG300*2.6+AH300)*AJ300*AQ300)</f>
        <v/>
      </c>
      <c r="AL300" s="50">
        <f>D300</f>
        <v/>
      </c>
      <c r="AM300" s="97">
        <f>B300</f>
        <v/>
      </c>
      <c r="AP300" s="100">
        <f>IF(AK300&gt;23.2,IF(Y300&lt;300,IF(Y300&lt;35,IF(Y300&lt;8,3,2),1),0),0)</f>
        <v/>
      </c>
      <c r="AR300" s="100">
        <f>IF(AO300=1,IF(AO300=AL300,1,0),5)</f>
        <v/>
      </c>
    </row>
    <row r="301" ht="12.75" customHeight="1">
      <c r="G301" s="100">
        <f>100*(F301-E301)/F301</f>
        <v/>
      </c>
      <c r="P301" s="100">
        <f>O301/I301</f>
        <v/>
      </c>
      <c r="AA301" s="103">
        <f>IF(X301&lt;33,IF(Y301&gt;(1.1*X301),0,1),1)+IF(Y301&gt;(4*X301),-1,0)</f>
        <v/>
      </c>
      <c r="AC301" s="101">
        <f>IF(AB301&gt;9,1,0)+AB301/3+IF(AB301&gt;15,1,0)+IF(AB301&gt;20,1,0)</f>
        <v/>
      </c>
      <c r="AG301" s="101">
        <f>IF(G301&lt;0,0,1.2)+IF(G301&lt;14,0,0.9)+IF(P301&lt;0,0.7,0)+IF(P301&lt;6.5,1,0)+IF(P301&lt;23,1,0)+IF(R301&gt;80,0,1)+S301+IF(AD301&lt;20,0,1)+IF(AE301&lt;14,0,1)+IF(AF301&lt;26,0,1)</f>
        <v/>
      </c>
      <c r="AH301" s="101">
        <f>AG301+IF(AG301&gt;6,1,0)+IF(X301&lt;17,0,1)+IF(Y301&lt;11,0,1)+IF(Z301&lt;1.35,0,1)+AC301+AA301</f>
        <v/>
      </c>
      <c r="AJ301" s="104">
        <f>IF(AI301&gt;12.8,IF(AI301&gt;15.8,0.95,0.98),1)</f>
        <v/>
      </c>
      <c r="AK301" s="101">
        <f>((AG301*2.6+AH301)*AJ301*AQ301)</f>
        <v/>
      </c>
      <c r="AL301" s="50">
        <f>D301</f>
        <v/>
      </c>
      <c r="AM301" s="97">
        <f>B301</f>
        <v/>
      </c>
      <c r="AP301" s="100">
        <f>IF(AK301&gt;23.2,IF(Y301&lt;300,IF(Y301&lt;35,IF(Y301&lt;8,3,2),1),0),0)</f>
        <v/>
      </c>
      <c r="AR301" s="100">
        <f>IF(AO301=1,IF(AO301=AL301,1,0),5)</f>
        <v/>
      </c>
    </row>
    <row r="302" ht="12.75" customHeight="1">
      <c r="G302" s="100">
        <f>100*(F302-E302)/F302</f>
        <v/>
      </c>
      <c r="P302" s="100">
        <f>O302/I302</f>
        <v/>
      </c>
      <c r="AA302" s="103">
        <f>IF(X302&lt;33,IF(Y302&gt;(1.1*X302),0,1),1)+IF(Y302&gt;(4*X302),-1,0)</f>
        <v/>
      </c>
      <c r="AC302" s="101">
        <f>IF(AB302&gt;9,1,0)+AB302/3+IF(AB302&gt;15,1,0)+IF(AB302&gt;20,1,0)</f>
        <v/>
      </c>
      <c r="AG302" s="101">
        <f>IF(G302&lt;0,0,1.2)+IF(G302&lt;14,0,0.9)+IF(P302&lt;0,0.7,0)+IF(P302&lt;6.5,1,0)+IF(P302&lt;23,1,0)+IF(R302&gt;80,0,1)+S302+IF(AD302&lt;20,0,1)+IF(AE302&lt;14,0,1)+IF(AF302&lt;26,0,1)</f>
        <v/>
      </c>
      <c r="AH302" s="101">
        <f>AG302+IF(AG302&gt;6,1,0)+IF(X302&lt;17,0,1)+IF(Y302&lt;11,0,1)+IF(Z302&lt;1.35,0,1)+AC302+AA302</f>
        <v/>
      </c>
      <c r="AJ302" s="104">
        <f>IF(AI302&gt;12.8,IF(AI302&gt;15.8,0.95,0.98),1)</f>
        <v/>
      </c>
      <c r="AK302" s="101">
        <f>((AG302*2.6+AH302)*AJ302*AQ302)</f>
        <v/>
      </c>
      <c r="AL302" s="50">
        <f>D302</f>
        <v/>
      </c>
      <c r="AM302" s="97">
        <f>B302</f>
        <v/>
      </c>
      <c r="AP302" s="100">
        <f>IF(AK302&gt;23.2,IF(Y302&lt;300,IF(Y302&lt;35,IF(Y302&lt;8,3,2),1),0),0)</f>
        <v/>
      </c>
      <c r="AR302" s="100">
        <f>IF(AO302=1,IF(AO302=AL302,1,0),5)</f>
        <v/>
      </c>
    </row>
    <row r="303" ht="12.75" customHeight="1">
      <c r="G303" s="100">
        <f>100*(F303-E303)/F303</f>
        <v/>
      </c>
      <c r="P303" s="100">
        <f>O303/I303</f>
        <v/>
      </c>
      <c r="AA303" s="103">
        <f>IF(X303&lt;33,IF(Y303&gt;(1.1*X303),0,1),1)+IF(Y303&gt;(4*X303),-1,0)</f>
        <v/>
      </c>
      <c r="AC303" s="101">
        <f>IF(AB303&gt;9,1,0)+AB303/3+IF(AB303&gt;15,1,0)+IF(AB303&gt;20,1,0)</f>
        <v/>
      </c>
      <c r="AG303" s="101">
        <f>IF(G303&lt;0,0,1.2)+IF(G303&lt;14,0,0.9)+IF(P303&lt;0,0.7,0)+IF(P303&lt;6.5,1,0)+IF(P303&lt;23,1,0)+IF(R303&gt;80,0,1)+S303+IF(AD303&lt;20,0,1)+IF(AE303&lt;14,0,1)+IF(AF303&lt;26,0,1)</f>
        <v/>
      </c>
      <c r="AH303" s="101">
        <f>AG303+IF(AG303&gt;6,1,0)+IF(X303&lt;17,0,1)+IF(Y303&lt;11,0,1)+IF(Z303&lt;1.35,0,1)+AC303+AA303</f>
        <v/>
      </c>
      <c r="AJ303" s="104">
        <f>IF(AI303&gt;12.8,IF(AI303&gt;15.8,0.95,0.98),1)</f>
        <v/>
      </c>
      <c r="AK303" s="101">
        <f>((AG303*2.6+AH303)*AJ303*AQ303)</f>
        <v/>
      </c>
      <c r="AL303" s="50">
        <f>D303</f>
        <v/>
      </c>
      <c r="AM303" s="97">
        <f>B303</f>
        <v/>
      </c>
      <c r="AP303" s="100">
        <f>IF(AK303&gt;23.2,IF(Y303&lt;300,IF(Y303&lt;35,IF(Y303&lt;8,3,2),1),0),0)</f>
        <v/>
      </c>
      <c r="AR303" s="100">
        <f>IF(AO303=1,IF(AO303=AL303,1,0),5)</f>
        <v/>
      </c>
    </row>
    <row r="304" ht="12.75" customHeight="1">
      <c r="G304" s="100">
        <f>100*(F304-E304)/F304</f>
        <v/>
      </c>
      <c r="P304" s="100">
        <f>O304/I304</f>
        <v/>
      </c>
      <c r="AA304" s="103">
        <f>IF(X304&lt;33,IF(Y304&gt;(1.1*X304),0,1),1)+IF(Y304&gt;(4*X304),-1,0)</f>
        <v/>
      </c>
      <c r="AC304" s="101">
        <f>IF(AB304&gt;9,1,0)+AB304/3+IF(AB304&gt;15,1,0)+IF(AB304&gt;20,1,0)</f>
        <v/>
      </c>
      <c r="AG304" s="101">
        <f>IF(G304&lt;0,0,1.2)+IF(G304&lt;14,0,0.9)+IF(P304&lt;0,0.7,0)+IF(P304&lt;6.5,1,0)+IF(P304&lt;23,1,0)+IF(R304&gt;80,0,1)+S304+IF(AD304&lt;20,0,1)+IF(AE304&lt;14,0,1)+IF(AF304&lt;26,0,1)</f>
        <v/>
      </c>
      <c r="AH304" s="101">
        <f>AG304+IF(AG304&gt;6,1,0)+IF(X304&lt;17,0,1)+IF(Y304&lt;11,0,1)+IF(Z304&lt;1.35,0,1)+AC304+AA304</f>
        <v/>
      </c>
      <c r="AJ304" s="104">
        <f>IF(AI304&gt;12.8,IF(AI304&gt;15.8,0.95,0.98),1)</f>
        <v/>
      </c>
      <c r="AK304" s="101">
        <f>((AG304*2.6+AH304)*AJ304*AQ304)</f>
        <v/>
      </c>
      <c r="AL304" s="50">
        <f>D304</f>
        <v/>
      </c>
      <c r="AM304" s="97">
        <f>B304</f>
        <v/>
      </c>
      <c r="AP304" s="100">
        <f>IF(AK304&gt;23.2,IF(Y304&lt;300,IF(Y304&lt;35,IF(Y304&lt;8,3,2),1),0),0)</f>
        <v/>
      </c>
      <c r="AR304" s="100">
        <f>IF(AO304=1,IF(AO304=AL304,1,0),5)</f>
        <v/>
      </c>
    </row>
    <row r="305" ht="12.75" customHeight="1">
      <c r="G305" s="100">
        <f>100*(F305-E305)/F305</f>
        <v/>
      </c>
      <c r="P305" s="100">
        <f>O305/I305</f>
        <v/>
      </c>
      <c r="AA305" s="103">
        <f>IF(X305&lt;33,IF(Y305&gt;(1.1*X305),0,1),1)+IF(Y305&gt;(4*X305),-1,0)</f>
        <v/>
      </c>
      <c r="AC305" s="101">
        <f>IF(AB305&gt;9,1,0)+AB305/3+IF(AB305&gt;15,1,0)+IF(AB305&gt;20,1,0)</f>
        <v/>
      </c>
      <c r="AG305" s="101">
        <f>IF(G305&lt;0,0,1.2)+IF(G305&lt;14,0,0.9)+IF(P305&lt;0,0.7,0)+IF(P305&lt;6.5,1,0)+IF(P305&lt;23,1,0)+IF(R305&gt;80,0,1)+S305+IF(AD305&lt;20,0,1)+IF(AE305&lt;14,0,1)+IF(AF305&lt;26,0,1)</f>
        <v/>
      </c>
      <c r="AH305" s="101">
        <f>AG305+IF(AG305&gt;6,1,0)+IF(X305&lt;17,0,1)+IF(Y305&lt;11,0,1)+IF(Z305&lt;1.35,0,1)+AC305+AA305</f>
        <v/>
      </c>
      <c r="AJ305" s="104">
        <f>IF(AI305&gt;12.8,IF(AI305&gt;15.8,0.95,0.98),1)</f>
        <v/>
      </c>
      <c r="AK305" s="101">
        <f>((AG305*2.6+AH305)*AJ305*AQ305)</f>
        <v/>
      </c>
      <c r="AL305" s="50">
        <f>D305</f>
        <v/>
      </c>
      <c r="AM305" s="97">
        <f>B305</f>
        <v/>
      </c>
      <c r="AP305" s="100">
        <f>IF(AK305&gt;23.2,IF(Y305&lt;300,IF(Y305&lt;35,IF(Y305&lt;8,3,2),1),0),0)</f>
        <v/>
      </c>
      <c r="AR305" s="100">
        <f>IF(AO305=1,IF(AO305=AL305,1,0),5)</f>
        <v/>
      </c>
    </row>
    <row r="306" ht="12.75" customHeight="1">
      <c r="G306" s="100">
        <f>100*(F306-E306)/F306</f>
        <v/>
      </c>
      <c r="P306" s="100">
        <f>O306/I306</f>
        <v/>
      </c>
      <c r="AA306" s="103">
        <f>IF(X306&lt;33,IF(Y306&gt;(1.1*X306),0,1),1)+IF(Y306&gt;(4*X306),-1,0)</f>
        <v/>
      </c>
      <c r="AC306" s="101">
        <f>IF(AB306&gt;9,1,0)+AB306/3+IF(AB306&gt;15,1,0)+IF(AB306&gt;20,1,0)</f>
        <v/>
      </c>
      <c r="AG306" s="101">
        <f>IF(G306&lt;0,0,1.2)+IF(G306&lt;14,0,0.9)+IF(P306&lt;0,0.7,0)+IF(P306&lt;6.5,1,0)+IF(P306&lt;23,1,0)+IF(R306&gt;80,0,1)+S306+IF(AD306&lt;20,0,1)+IF(AE306&lt;14,0,1)+IF(AF306&lt;26,0,1)</f>
        <v/>
      </c>
      <c r="AH306" s="101">
        <f>AG306+IF(AG306&gt;6,1,0)+IF(X306&lt;17,0,1)+IF(Y306&lt;11,0,1)+IF(Z306&lt;1.35,0,1)+AC306+AA306</f>
        <v/>
      </c>
      <c r="AJ306" s="104">
        <f>IF(AI306&gt;12.8,IF(AI306&gt;15.8,0.95,0.98),1)</f>
        <v/>
      </c>
      <c r="AK306" s="101">
        <f>((AG306*2.6+AH306)*AJ306*AQ306)</f>
        <v/>
      </c>
      <c r="AL306" s="50">
        <f>D306</f>
        <v/>
      </c>
      <c r="AM306" s="97">
        <f>B306</f>
        <v/>
      </c>
      <c r="AP306" s="100">
        <f>IF(AK306&gt;23.2,IF(Y306&lt;300,IF(Y306&lt;35,IF(Y306&lt;8,3,2),1),0),0)</f>
        <v/>
      </c>
      <c r="AR306" s="100">
        <f>IF(AO306=1,IF(AO306=AL306,1,0),5)</f>
        <v/>
      </c>
    </row>
    <row r="307" ht="12.75" customHeight="1">
      <c r="G307" s="100">
        <f>100*(F307-E307)/F307</f>
        <v/>
      </c>
      <c r="P307" s="100">
        <f>O307/I307</f>
        <v/>
      </c>
      <c r="AA307" s="103">
        <f>IF(X307&lt;33,IF(Y307&gt;(1.1*X307),0,1),1)+IF(Y307&gt;(4*X307),-1,0)</f>
        <v/>
      </c>
      <c r="AC307" s="101">
        <f>IF(AB307&gt;9,1,0)+AB307/3+IF(AB307&gt;15,1,0)+IF(AB307&gt;20,1,0)</f>
        <v/>
      </c>
      <c r="AG307" s="101">
        <f>IF(G307&lt;0,0,1.2)+IF(G307&lt;14,0,0.9)+IF(P307&lt;0,0.7,0)+IF(P307&lt;6.5,1,0)+IF(P307&lt;23,1,0)+IF(R307&gt;80,0,1)+S307+IF(AD307&lt;20,0,1)+IF(AE307&lt;14,0,1)+IF(AF307&lt;26,0,1)</f>
        <v/>
      </c>
      <c r="AH307" s="101">
        <f>AG307+IF(AG307&gt;6,1,0)+IF(X307&lt;17,0,1)+IF(Y307&lt;11,0,1)+IF(Z307&lt;1.35,0,1)+AC307+AA307</f>
        <v/>
      </c>
      <c r="AJ307" s="104">
        <f>IF(AI307&gt;12.8,IF(AI307&gt;15.8,0.95,0.98),1)</f>
        <v/>
      </c>
      <c r="AK307" s="101">
        <f>((AG307*2.6+AH307)*AJ307*AQ307)</f>
        <v/>
      </c>
      <c r="AL307" s="50">
        <f>D307</f>
        <v/>
      </c>
      <c r="AM307" s="97">
        <f>B307</f>
        <v/>
      </c>
      <c r="AP307" s="100">
        <f>IF(AK307&gt;23.2,IF(Y307&lt;300,IF(Y307&lt;35,IF(Y307&lt;8,3,2),1),0),0)</f>
        <v/>
      </c>
      <c r="AR307" s="100">
        <f>IF(AO307=1,IF(AO307=AL307,1,0),5)</f>
        <v/>
      </c>
    </row>
    <row r="308" ht="12.75" customHeight="1">
      <c r="G308" s="100">
        <f>100*(F308-E308)/F308</f>
        <v/>
      </c>
      <c r="P308" s="100">
        <f>O308/I308</f>
        <v/>
      </c>
      <c r="AA308" s="103">
        <f>IF(X308&lt;33,IF(Y308&gt;(1.1*X308),0,1),1)+IF(Y308&gt;(4*X308),-1,0)</f>
        <v/>
      </c>
      <c r="AC308" s="101">
        <f>IF(AB308&gt;9,1,0)+AB308/3+IF(AB308&gt;15,1,0)+IF(AB308&gt;20,1,0)</f>
        <v/>
      </c>
      <c r="AG308" s="101">
        <f>IF(G308&lt;0,0,1.2)+IF(G308&lt;14,0,0.9)+IF(P308&lt;0,0.7,0)+IF(P308&lt;6.5,1,0)+IF(P308&lt;23,1,0)+IF(R308&gt;80,0,1)+S308+IF(AD308&lt;20,0,1)+IF(AE308&lt;14,0,1)+IF(AF308&lt;26,0,1)</f>
        <v/>
      </c>
      <c r="AH308" s="101">
        <f>AG308+IF(AG308&gt;6,1,0)+IF(X308&lt;17,0,1)+IF(Y308&lt;11,0,1)+IF(Z308&lt;1.35,0,1)+AC308+AA308</f>
        <v/>
      </c>
      <c r="AJ308" s="104">
        <f>IF(AI308&gt;12.8,IF(AI308&gt;15.8,0.95,0.98),1)</f>
        <v/>
      </c>
      <c r="AK308" s="101">
        <f>((AG308*2.6+AH308)*AJ308*AQ308)</f>
        <v/>
      </c>
      <c r="AL308" s="50">
        <f>D308</f>
        <v/>
      </c>
      <c r="AM308" s="97">
        <f>B308</f>
        <v/>
      </c>
      <c r="AP308" s="100">
        <f>IF(AK308&gt;23.2,IF(Y308&lt;300,IF(Y308&lt;35,IF(Y308&lt;8,3,2),1),0),0)</f>
        <v/>
      </c>
      <c r="AR308" s="100">
        <f>IF(AO308=1,IF(AO308=AL308,1,0),5)</f>
        <v/>
      </c>
    </row>
    <row r="309" ht="12.75" customHeight="1">
      <c r="G309" s="100">
        <f>100*(F309-E309)/F309</f>
        <v/>
      </c>
      <c r="P309" s="100">
        <f>O309/I309</f>
        <v/>
      </c>
      <c r="AA309" s="103">
        <f>IF(X309&lt;33,IF(Y309&gt;(1.1*X309),0,1),1)+IF(Y309&gt;(4*X309),-1,0)</f>
        <v/>
      </c>
      <c r="AC309" s="101">
        <f>IF(AB309&gt;9,1,0)+AB309/3+IF(AB309&gt;15,1,0)+IF(AB309&gt;20,1,0)</f>
        <v/>
      </c>
      <c r="AG309" s="101">
        <f>IF(G309&lt;0,0,1.2)+IF(G309&lt;14,0,0.9)+IF(P309&lt;0,0.7,0)+IF(P309&lt;6.5,1,0)+IF(P309&lt;23,1,0)+IF(R309&gt;80,0,1)+S309+IF(AD309&lt;20,0,1)+IF(AE309&lt;14,0,1)+IF(AF309&lt;26,0,1)</f>
        <v/>
      </c>
      <c r="AH309" s="101">
        <f>AG309+IF(AG309&gt;6,1,0)+IF(X309&lt;17,0,1)+IF(Y309&lt;11,0,1)+IF(Z309&lt;1.35,0,1)+AC309+AA309</f>
        <v/>
      </c>
      <c r="AJ309" s="104">
        <f>IF(AI309&gt;12.8,IF(AI309&gt;15.8,0.95,0.98),1)</f>
        <v/>
      </c>
      <c r="AK309" s="101">
        <f>((AG309*2.6+AH309)*AJ309*AQ309)</f>
        <v/>
      </c>
      <c r="AL309" s="50">
        <f>D309</f>
        <v/>
      </c>
      <c r="AM309" s="97">
        <f>B309</f>
        <v/>
      </c>
      <c r="AP309" s="100">
        <f>IF(AK309&gt;23.2,IF(Y309&lt;300,IF(Y309&lt;35,IF(Y309&lt;8,3,2),1),0),0)</f>
        <v/>
      </c>
      <c r="AR309" s="100">
        <f>IF(AO309=1,IF(AO309=AL309,1,0),5)</f>
        <v/>
      </c>
    </row>
    <row r="310" ht="12.75" customHeight="1">
      <c r="G310" s="100">
        <f>100*(F310-E310)/F310</f>
        <v/>
      </c>
      <c r="P310" s="100">
        <f>O310/I310</f>
        <v/>
      </c>
      <c r="AA310" s="103">
        <f>IF(X310&lt;33,IF(Y310&gt;(1.1*X310),0,1),1)+IF(Y310&gt;(4*X310),-1,0)</f>
        <v/>
      </c>
      <c r="AC310" s="101">
        <f>IF(AB310&gt;9,1,0)+AB310/3+IF(AB310&gt;15,1,0)+IF(AB310&gt;20,1,0)</f>
        <v/>
      </c>
      <c r="AG310" s="101">
        <f>IF(G310&lt;0,0,1.2)+IF(G310&lt;14,0,0.9)+IF(P310&lt;0,0.7,0)+IF(P310&lt;6.5,1,0)+IF(P310&lt;23,1,0)+IF(R310&gt;80,0,1)+S310+IF(AD310&lt;20,0,1)+IF(AE310&lt;14,0,1)+IF(AF310&lt;26,0,1)</f>
        <v/>
      </c>
      <c r="AH310" s="101">
        <f>AG310+IF(AG310&gt;6,1,0)+IF(X310&lt;17,0,1)+IF(Y310&lt;11,0,1)+IF(Z310&lt;1.35,0,1)+AC310+AA310</f>
        <v/>
      </c>
      <c r="AJ310" s="104">
        <f>IF(AI310&gt;12.8,IF(AI310&gt;15.8,0.95,0.98),1)</f>
        <v/>
      </c>
      <c r="AK310" s="101">
        <f>((AG310*2.6+AH310)*AJ310*AQ310)</f>
        <v/>
      </c>
      <c r="AL310" s="50">
        <f>D310</f>
        <v/>
      </c>
      <c r="AM310" s="97">
        <f>B310</f>
        <v/>
      </c>
      <c r="AP310" s="100">
        <f>IF(AK310&gt;23.2,IF(Y310&lt;300,IF(Y310&lt;35,IF(Y310&lt;8,3,2),1),0),0)</f>
        <v/>
      </c>
      <c r="AR310" s="100">
        <f>IF(AO310=1,IF(AO310=AL310,1,0),5)</f>
        <v/>
      </c>
    </row>
    <row r="311" ht="12.75" customHeight="1">
      <c r="G311" s="100">
        <f>100*(F311-E311)/F311</f>
        <v/>
      </c>
      <c r="P311" s="100">
        <f>O311/I311</f>
        <v/>
      </c>
      <c r="AA311" s="103">
        <f>IF(X311&lt;33,IF(Y311&gt;(1.1*X311),0,1),1)+IF(Y311&gt;(4*X311),-1,0)</f>
        <v/>
      </c>
      <c r="AC311" s="101">
        <f>IF(AB311&gt;9,1,0)+AB311/3+IF(AB311&gt;15,1,0)+IF(AB311&gt;20,1,0)</f>
        <v/>
      </c>
      <c r="AG311" s="101">
        <f>IF(G311&lt;0,0,1.2)+IF(G311&lt;14,0,0.9)+IF(P311&lt;0,0.7,0)+IF(P311&lt;6.5,1,0)+IF(P311&lt;23,1,0)+IF(R311&gt;80,0,1)+S311+IF(AD311&lt;20,0,1)+IF(AE311&lt;14,0,1)+IF(AF311&lt;26,0,1)</f>
        <v/>
      </c>
      <c r="AH311" s="101">
        <f>AG311+IF(AG311&gt;6,1,0)+IF(X311&lt;17,0,1)+IF(Y311&lt;11,0,1)+IF(Z311&lt;1.35,0,1)+AC311+AA311</f>
        <v/>
      </c>
      <c r="AJ311" s="104">
        <f>IF(AI311&gt;12.8,IF(AI311&gt;15.8,0.95,0.98),1)</f>
        <v/>
      </c>
      <c r="AK311" s="101">
        <f>((AG311*2.6+AH311)*AJ311*AQ311)</f>
        <v/>
      </c>
      <c r="AL311" s="50">
        <f>D311</f>
        <v/>
      </c>
      <c r="AM311" s="97">
        <f>B311</f>
        <v/>
      </c>
      <c r="AP311" s="100">
        <f>IF(AK311&gt;23.2,IF(Y311&lt;300,IF(Y311&lt;35,IF(Y311&lt;8,3,2),1),0),0)</f>
        <v/>
      </c>
      <c r="AR311" s="100">
        <f>IF(AO311=1,IF(AO311=AL311,1,0),5)</f>
        <v/>
      </c>
    </row>
    <row r="312" ht="12.75" customHeight="1">
      <c r="G312" s="100">
        <f>100*(F312-E312)/F312</f>
        <v/>
      </c>
      <c r="P312" s="100">
        <f>O312/I312</f>
        <v/>
      </c>
      <c r="AA312" s="103">
        <f>IF(X312&lt;33,IF(Y312&gt;(1.1*X312),0,1),1)+IF(Y312&gt;(4*X312),-1,0)</f>
        <v/>
      </c>
      <c r="AC312" s="101">
        <f>IF(AB312&gt;9,1,0)+AB312/3+IF(AB312&gt;15,1,0)+IF(AB312&gt;20,1,0)</f>
        <v/>
      </c>
      <c r="AG312" s="101">
        <f>IF(G312&lt;0,0,1.2)+IF(G312&lt;14,0,0.9)+IF(P312&lt;0,0.7,0)+IF(P312&lt;6.5,1,0)+IF(P312&lt;23,1,0)+IF(R312&gt;80,0,1)+S312+IF(AD312&lt;20,0,1)+IF(AE312&lt;14,0,1)+IF(AF312&lt;26,0,1)</f>
        <v/>
      </c>
      <c r="AH312" s="101">
        <f>AG312+IF(AG312&gt;6,1,0)+IF(X312&lt;17,0,1)+IF(Y312&lt;11,0,1)+IF(Z312&lt;1.35,0,1)+AC312+AA312</f>
        <v/>
      </c>
      <c r="AJ312" s="104">
        <f>IF(AI312&gt;12.8,IF(AI312&gt;15.8,0.95,0.98),1)</f>
        <v/>
      </c>
      <c r="AK312" s="101">
        <f>((AG312*2.6+AH312)*AJ312*AQ312)</f>
        <v/>
      </c>
      <c r="AL312" s="50">
        <f>D312</f>
        <v/>
      </c>
      <c r="AM312" s="97">
        <f>B312</f>
        <v/>
      </c>
      <c r="AP312" s="100">
        <f>IF(AK312&gt;23.2,IF(Y312&lt;300,IF(Y312&lt;35,IF(Y312&lt;8,3,2),1),0),0)</f>
        <v/>
      </c>
      <c r="AR312" s="100">
        <f>IF(AO312=1,IF(AO312=AL312,1,0),5)</f>
        <v/>
      </c>
    </row>
    <row r="313" ht="12.75" customHeight="1">
      <c r="G313" s="100">
        <f>100*(F313-E313)/F313</f>
        <v/>
      </c>
      <c r="P313" s="100">
        <f>O313/I313</f>
        <v/>
      </c>
      <c r="AA313" s="103">
        <f>IF(X313&lt;33,IF(Y313&gt;(1.1*X313),0,1),1)+IF(Y313&gt;(4*X313),-1,0)</f>
        <v/>
      </c>
      <c r="AC313" s="101">
        <f>IF(AB313&gt;9,1,0)+AB313/3+IF(AB313&gt;15,1,0)+IF(AB313&gt;20,1,0)</f>
        <v/>
      </c>
      <c r="AG313" s="101">
        <f>IF(G313&lt;0,0,1.2)+IF(G313&lt;14,0,0.9)+IF(P313&lt;0,0.7,0)+IF(P313&lt;6.5,1,0)+IF(P313&lt;23,1,0)+IF(R313&gt;80,0,1)+S313+IF(AD313&lt;20,0,1)+IF(AE313&lt;14,0,1)+IF(AF313&lt;26,0,1)</f>
        <v/>
      </c>
      <c r="AH313" s="101">
        <f>AG313+IF(AG313&gt;6,1,0)+IF(X313&lt;17,0,1)+IF(Y313&lt;11,0,1)+IF(Z313&lt;1.35,0,1)+AC313+AA313</f>
        <v/>
      </c>
      <c r="AJ313" s="104">
        <f>IF(AI313&gt;12.8,IF(AI313&gt;15.8,0.95,0.98),1)</f>
        <v/>
      </c>
      <c r="AK313" s="101">
        <f>((AG313*2.6+AH313)*AJ313*AQ313)</f>
        <v/>
      </c>
      <c r="AL313" s="50">
        <f>D313</f>
        <v/>
      </c>
      <c r="AM313" s="97">
        <f>B313</f>
        <v/>
      </c>
      <c r="AP313" s="100">
        <f>IF(AK313&gt;23.2,IF(Y313&lt;300,IF(Y313&lt;35,IF(Y313&lt;8,3,2),1),0),0)</f>
        <v/>
      </c>
      <c r="AR313" s="100">
        <f>IF(AO313=1,IF(AO313=AL313,1,0),5)</f>
        <v/>
      </c>
    </row>
    <row r="314" ht="12.75" customHeight="1">
      <c r="G314" s="100">
        <f>100*(F314-E314)/F314</f>
        <v/>
      </c>
      <c r="P314" s="100">
        <f>O314/I314</f>
        <v/>
      </c>
      <c r="AA314" s="103">
        <f>IF(X314&lt;33,IF(Y314&gt;(1.1*X314),0,1),1)+IF(Y314&gt;(4*X314),-1,0)</f>
        <v/>
      </c>
      <c r="AC314" s="101">
        <f>IF(AB314&gt;9,1,0)+AB314/3+IF(AB314&gt;15,1,0)+IF(AB314&gt;20,1,0)</f>
        <v/>
      </c>
      <c r="AG314" s="101">
        <f>IF(G314&lt;0,0,1.2)+IF(G314&lt;14,0,0.9)+IF(P314&lt;0,0.7,0)+IF(P314&lt;6.5,1,0)+IF(P314&lt;23,1,0)+IF(R314&gt;80,0,1)+S314+IF(AD314&lt;20,0,1)+IF(AE314&lt;14,0,1)+IF(AF314&lt;26,0,1)</f>
        <v/>
      </c>
      <c r="AH314" s="101">
        <f>AG314+IF(AG314&gt;6,1,0)+IF(X314&lt;17,0,1)+IF(Y314&lt;11,0,1)+IF(Z314&lt;1.35,0,1)+AC314+AA314</f>
        <v/>
      </c>
      <c r="AJ314" s="104">
        <f>IF(AI314&gt;12.8,IF(AI314&gt;15.8,0.95,0.98),1)</f>
        <v/>
      </c>
      <c r="AK314" s="101">
        <f>((AG314*2.6+AH314)*AJ314*AQ314)</f>
        <v/>
      </c>
      <c r="AL314" s="50">
        <f>D314</f>
        <v/>
      </c>
      <c r="AM314" s="97">
        <f>B314</f>
        <v/>
      </c>
      <c r="AP314" s="100">
        <f>IF(AK314&gt;23.2,IF(Y314&lt;300,IF(Y314&lt;35,IF(Y314&lt;8,3,2),1),0),0)</f>
        <v/>
      </c>
      <c r="AR314" s="100">
        <f>IF(AO314=1,IF(AO314=AL314,1,0),5)</f>
        <v/>
      </c>
    </row>
    <row r="315" ht="12.75" customHeight="1">
      <c r="G315" s="100">
        <f>100*(F315-E315)/F315</f>
        <v/>
      </c>
      <c r="P315" s="100">
        <f>O315/I315</f>
        <v/>
      </c>
      <c r="AA315" s="103">
        <f>IF(X315&lt;33,IF(Y315&gt;(1.1*X315),0,1),1)+IF(Y315&gt;(4*X315),-1,0)</f>
        <v/>
      </c>
      <c r="AC315" s="101">
        <f>IF(AB315&gt;9,1,0)+AB315/3+IF(AB315&gt;15,1,0)+IF(AB315&gt;20,1,0)</f>
        <v/>
      </c>
      <c r="AG315" s="101">
        <f>IF(G315&lt;0,0,1.2)+IF(G315&lt;14,0,0.9)+IF(P315&lt;0,0.7,0)+IF(P315&lt;6.5,1,0)+IF(P315&lt;23,1,0)+IF(R315&gt;80,0,1)+S315+IF(AD315&lt;20,0,1)+IF(AE315&lt;14,0,1)+IF(AF315&lt;26,0,1)</f>
        <v/>
      </c>
      <c r="AH315" s="101">
        <f>AG315+IF(AG315&gt;6,1,0)+IF(X315&lt;17,0,1)+IF(Y315&lt;11,0,1)+IF(Z315&lt;1.35,0,1)+AC315+AA315</f>
        <v/>
      </c>
      <c r="AJ315" s="104">
        <f>IF(AI315&gt;12.8,IF(AI315&gt;15.8,0.95,0.98),1)</f>
        <v/>
      </c>
      <c r="AK315" s="101">
        <f>((AG315*2.6+AH315)*AJ315*AQ315)</f>
        <v/>
      </c>
      <c r="AL315" s="50">
        <f>D315</f>
        <v/>
      </c>
      <c r="AM315" s="97">
        <f>B315</f>
        <v/>
      </c>
      <c r="AP315" s="100">
        <f>IF(AK315&gt;23.2,IF(Y315&lt;300,IF(Y315&lt;35,IF(Y315&lt;8,3,2),1),0),0)</f>
        <v/>
      </c>
      <c r="AR315" s="100">
        <f>IF(AO315=1,IF(AO315=AL315,1,0),5)</f>
        <v/>
      </c>
    </row>
    <row r="316" ht="12.75" customHeight="1">
      <c r="G316" s="100">
        <f>100*(F316-E316)/F316</f>
        <v/>
      </c>
      <c r="P316" s="100">
        <f>O316/I316</f>
        <v/>
      </c>
      <c r="AA316" s="103">
        <f>IF(X316&lt;33,IF(Y316&gt;(1.1*X316),0,1),1)+IF(Y316&gt;(4*X316),-1,0)</f>
        <v/>
      </c>
      <c r="AC316" s="101">
        <f>IF(AB316&gt;9,1,0)+AB316/3+IF(AB316&gt;15,1,0)+IF(AB316&gt;20,1,0)</f>
        <v/>
      </c>
      <c r="AG316" s="101">
        <f>IF(G316&lt;0,0,1.2)+IF(G316&lt;14,0,0.9)+IF(P316&lt;0,0.7,0)+IF(P316&lt;6.5,1,0)+IF(P316&lt;23,1,0)+IF(R316&gt;80,0,1)+S316+IF(AD316&lt;20,0,1)+IF(AE316&lt;14,0,1)+IF(AF316&lt;26,0,1)</f>
        <v/>
      </c>
      <c r="AH316" s="101">
        <f>AG316+IF(AG316&gt;6,1,0)+IF(X316&lt;17,0,1)+IF(Y316&lt;11,0,1)+IF(Z316&lt;1.35,0,1)+AC316+AA316</f>
        <v/>
      </c>
      <c r="AJ316" s="104">
        <f>IF(AI316&gt;12.8,IF(AI316&gt;15.8,0.95,0.98),1)</f>
        <v/>
      </c>
      <c r="AK316" s="101">
        <f>((AG316*2.6+AH316)*AJ316*AQ316)</f>
        <v/>
      </c>
      <c r="AL316" s="50">
        <f>D316</f>
        <v/>
      </c>
      <c r="AM316" s="97">
        <f>B316</f>
        <v/>
      </c>
      <c r="AP316" s="100">
        <f>IF(AK316&gt;23.2,IF(Y316&lt;300,IF(Y316&lt;35,IF(Y316&lt;8,3,2),1),0),0)</f>
        <v/>
      </c>
      <c r="AR316" s="100">
        <f>IF(AO316=1,IF(AO316=AL316,1,0),5)</f>
        <v/>
      </c>
    </row>
    <row r="317" ht="12.75" customHeight="1">
      <c r="G317" s="100">
        <f>100*(F317-E317)/F317</f>
        <v/>
      </c>
      <c r="P317" s="100">
        <f>O317/I317</f>
        <v/>
      </c>
      <c r="AA317" s="103">
        <f>IF(X317&lt;33,IF(Y317&gt;(1.1*X317),0,1),1)+IF(Y317&gt;(4*X317),-1,0)</f>
        <v/>
      </c>
      <c r="AC317" s="101">
        <f>IF(AB317&gt;9,1,0)+AB317/3+IF(AB317&gt;15,1,0)+IF(AB317&gt;20,1,0)</f>
        <v/>
      </c>
      <c r="AG317" s="101">
        <f>IF(G317&lt;0,0,1.2)+IF(G317&lt;14,0,0.9)+IF(P317&lt;0,0.7,0)+IF(P317&lt;6.5,1,0)+IF(P317&lt;23,1,0)+IF(R317&gt;80,0,1)+S317+IF(AD317&lt;20,0,1)+IF(AE317&lt;14,0,1)+IF(AF317&lt;26,0,1)</f>
        <v/>
      </c>
      <c r="AH317" s="101">
        <f>AG317+IF(AG317&gt;6,1,0)+IF(X317&lt;17,0,1)+IF(Y317&lt;11,0,1)+IF(Z317&lt;1.35,0,1)+AC317+AA317</f>
        <v/>
      </c>
      <c r="AJ317" s="104">
        <f>IF(AI317&gt;12.8,IF(AI317&gt;15.8,0.95,0.98),1)</f>
        <v/>
      </c>
      <c r="AK317" s="101">
        <f>((AG317*2.6+AH317)*AJ317*AQ317)</f>
        <v/>
      </c>
      <c r="AL317" s="50">
        <f>D317</f>
        <v/>
      </c>
      <c r="AM317" s="97">
        <f>B317</f>
        <v/>
      </c>
      <c r="AP317" s="100">
        <f>IF(AK317&gt;23.2,IF(Y317&lt;300,IF(Y317&lt;35,IF(Y317&lt;8,3,2),1),0),0)</f>
        <v/>
      </c>
      <c r="AR317" s="100">
        <f>IF(AO317=1,IF(AO317=AL317,1,0),5)</f>
        <v/>
      </c>
    </row>
    <row r="318" ht="12.75" customHeight="1">
      <c r="G318" s="100">
        <f>100*(F318-E318)/F318</f>
        <v/>
      </c>
      <c r="P318" s="100">
        <f>O318/I318</f>
        <v/>
      </c>
      <c r="AA318" s="103">
        <f>IF(X318&lt;33,IF(Y318&gt;(1.1*X318),0,1),1)+IF(Y318&gt;(4*X318),-1,0)</f>
        <v/>
      </c>
      <c r="AC318" s="101">
        <f>IF(AB318&gt;9,1,0)+AB318/3+IF(AB318&gt;15,1,0)+IF(AB318&gt;20,1,0)</f>
        <v/>
      </c>
      <c r="AG318" s="101">
        <f>IF(G318&lt;0,0,1.2)+IF(G318&lt;14,0,0.9)+IF(P318&lt;0,0.7,0)+IF(P318&lt;6.5,1,0)+IF(P318&lt;23,1,0)+IF(R318&gt;80,0,1)+S318+IF(AD318&lt;20,0,1)+IF(AE318&lt;14,0,1)+IF(AF318&lt;26,0,1)</f>
        <v/>
      </c>
      <c r="AH318" s="101">
        <f>AG318+IF(AG318&gt;6,1,0)+IF(X318&lt;17,0,1)+IF(Y318&lt;11,0,1)+IF(Z318&lt;1.35,0,1)+AC318+AA318</f>
        <v/>
      </c>
      <c r="AJ318" s="104">
        <f>IF(AI318&gt;12.8,IF(AI318&gt;15.8,0.95,0.98),1)</f>
        <v/>
      </c>
      <c r="AK318" s="101">
        <f>((AG318*2.6+AH318)*AJ318*AQ318)</f>
        <v/>
      </c>
      <c r="AL318" s="50">
        <f>D318</f>
        <v/>
      </c>
      <c r="AM318" s="97">
        <f>B318</f>
        <v/>
      </c>
      <c r="AP318" s="100">
        <f>IF(AK318&gt;23.2,IF(Y318&lt;300,IF(Y318&lt;35,IF(Y318&lt;8,3,2),1),0),0)</f>
        <v/>
      </c>
      <c r="AR318" s="100">
        <f>IF(AO318=1,IF(AO318=AL318,1,0),5)</f>
        <v/>
      </c>
    </row>
    <row r="319" ht="12.75" customHeight="1">
      <c r="G319" s="100">
        <f>100*(F319-E319)/F319</f>
        <v/>
      </c>
      <c r="P319" s="100">
        <f>O319/I319</f>
        <v/>
      </c>
      <c r="AA319" s="103">
        <f>IF(X319&lt;33,IF(Y319&gt;(1.1*X319),0,1),1)+IF(Y319&gt;(4*X319),-1,0)</f>
        <v/>
      </c>
      <c r="AC319" s="101">
        <f>IF(AB319&gt;9,1,0)+AB319/3+IF(AB319&gt;15,1,0)+IF(AB319&gt;20,1,0)</f>
        <v/>
      </c>
      <c r="AG319" s="101">
        <f>IF(G319&lt;0,0,1.2)+IF(G319&lt;14,0,0.9)+IF(P319&lt;0,0.7,0)+IF(P319&lt;6.5,1,0)+IF(P319&lt;23,1,0)+IF(R319&gt;80,0,1)+S319+IF(AD319&lt;20,0,1)+IF(AE319&lt;14,0,1)+IF(AF319&lt;26,0,1)</f>
        <v/>
      </c>
      <c r="AH319" s="101">
        <f>AG319+IF(AG319&gt;6,1,0)+IF(X319&lt;17,0,1)+IF(Y319&lt;11,0,1)+IF(Z319&lt;1.35,0,1)+AC319+AA319</f>
        <v/>
      </c>
      <c r="AJ319" s="104">
        <f>IF(AI319&gt;12.8,IF(AI319&gt;15.8,0.95,0.98),1)</f>
        <v/>
      </c>
      <c r="AK319" s="101">
        <f>((AG319*2.6+AH319)*AJ319*AQ319)</f>
        <v/>
      </c>
      <c r="AL319" s="50">
        <f>D319</f>
        <v/>
      </c>
      <c r="AM319" s="97">
        <f>B319</f>
        <v/>
      </c>
      <c r="AP319" s="100">
        <f>IF(AK319&gt;23.2,IF(Y319&lt;300,IF(Y319&lt;35,IF(Y319&lt;8,3,2),1),0),0)</f>
        <v/>
      </c>
      <c r="AR319" s="100">
        <f>IF(AO319=1,IF(AO319=AL319,1,0),5)</f>
        <v/>
      </c>
    </row>
    <row r="320" ht="12.75" customHeight="1">
      <c r="G320" s="100">
        <f>100*(F320-E320)/F320</f>
        <v/>
      </c>
      <c r="P320" s="100">
        <f>O320/I320</f>
        <v/>
      </c>
      <c r="AA320" s="103">
        <f>IF(X320&lt;33,IF(Y320&gt;(1.1*X320),0,1),1)+IF(Y320&gt;(4*X320),-1,0)</f>
        <v/>
      </c>
      <c r="AC320" s="101">
        <f>IF(AB320&gt;9,1,0)+AB320/3+IF(AB320&gt;15,1,0)+IF(AB320&gt;20,1,0)</f>
        <v/>
      </c>
      <c r="AG320" s="101">
        <f>IF(G320&lt;0,0,1.2)+IF(G320&lt;14,0,0.9)+IF(P320&lt;0,0.7,0)+IF(P320&lt;6.5,1,0)+IF(P320&lt;23,1,0)+IF(R320&gt;80,0,1)+S320+IF(AD320&lt;20,0,1)+IF(AE320&lt;14,0,1)+IF(AF320&lt;26,0,1)</f>
        <v/>
      </c>
      <c r="AH320" s="101">
        <f>AG320+IF(AG320&gt;6,1,0)+IF(X320&lt;17,0,1)+IF(Y320&lt;11,0,1)+IF(Z320&lt;1.35,0,1)+AC320+AA320</f>
        <v/>
      </c>
      <c r="AJ320" s="104">
        <f>IF(AI320&gt;12.8,IF(AI320&gt;15.8,0.95,0.98),1)</f>
        <v/>
      </c>
      <c r="AK320" s="101">
        <f>((AG320*2.6+AH320)*AJ320*AQ320)</f>
        <v/>
      </c>
      <c r="AL320" s="50">
        <f>D320</f>
        <v/>
      </c>
      <c r="AM320" s="97">
        <f>B320</f>
        <v/>
      </c>
      <c r="AP320" s="100">
        <f>IF(AK320&gt;23.2,IF(Y320&lt;300,IF(Y320&lt;35,IF(Y320&lt;8,3,2),1),0),0)</f>
        <v/>
      </c>
      <c r="AR320" s="100">
        <f>IF(AO320=1,IF(AO320=AL320,1,0),5)</f>
        <v/>
      </c>
    </row>
    <row r="321" ht="12.75" customHeight="1">
      <c r="G321" s="100">
        <f>100*(F321-E321)/F321</f>
        <v/>
      </c>
      <c r="P321" s="100">
        <f>O321/I321</f>
        <v/>
      </c>
      <c r="AA321" s="103">
        <f>IF(X321&lt;33,IF(Y321&gt;(1.1*X321),0,1),1)+IF(Y321&gt;(4*X321),-1,0)</f>
        <v/>
      </c>
      <c r="AC321" s="101">
        <f>IF(AB321&gt;9,1,0)+AB321/3+IF(AB321&gt;15,1,0)+IF(AB321&gt;20,1,0)</f>
        <v/>
      </c>
      <c r="AG321" s="101">
        <f>IF(G321&lt;0,0,1.2)+IF(G321&lt;14,0,0.9)+IF(P321&lt;0,0.7,0)+IF(P321&lt;6.5,1,0)+IF(P321&lt;23,1,0)+IF(R321&gt;80,0,1)+S321+IF(AD321&lt;20,0,1)+IF(AE321&lt;14,0,1)+IF(AF321&lt;26,0,1)</f>
        <v/>
      </c>
      <c r="AH321" s="101">
        <f>AG321+IF(AG321&gt;6,1,0)+IF(X321&lt;17,0,1)+IF(Y321&lt;11,0,1)+IF(Z321&lt;1.35,0,1)+AC321+AA321</f>
        <v/>
      </c>
      <c r="AJ321" s="104">
        <f>IF(AI321&gt;12.8,IF(AI321&gt;15.8,0.95,0.98),1)</f>
        <v/>
      </c>
      <c r="AK321" s="101">
        <f>((AG321*2.6+AH321)*AJ321*AQ321)</f>
        <v/>
      </c>
      <c r="AL321" s="50">
        <f>D321</f>
        <v/>
      </c>
      <c r="AM321" s="97">
        <f>B321</f>
        <v/>
      </c>
      <c r="AP321" s="100">
        <f>IF(AK321&gt;23.2,IF(Y321&lt;300,IF(Y321&lt;35,IF(Y321&lt;8,3,2),1),0),0)</f>
        <v/>
      </c>
      <c r="AR321" s="100">
        <f>IF(AO321=1,IF(AO321=AL321,1,0),5)</f>
        <v/>
      </c>
    </row>
    <row r="322" ht="12.75" customHeight="1">
      <c r="G322" s="100">
        <f>100*(F322-E322)/F322</f>
        <v/>
      </c>
      <c r="P322" s="100">
        <f>O322/I322</f>
        <v/>
      </c>
      <c r="AA322" s="103">
        <f>IF(X322&lt;33,IF(Y322&gt;(1.1*X322),0,1),1)+IF(Y322&gt;(4*X322),-1,0)</f>
        <v/>
      </c>
      <c r="AC322" s="101">
        <f>IF(AB322&gt;9,1,0)+AB322/3+IF(AB322&gt;15,1,0)+IF(AB322&gt;20,1,0)</f>
        <v/>
      </c>
      <c r="AG322" s="101">
        <f>IF(G322&lt;0,0,1.2)+IF(G322&lt;14,0,0.9)+IF(P322&lt;0,0.7,0)+IF(P322&lt;6.5,1,0)+IF(P322&lt;23,1,0)+IF(R322&gt;80,0,1)+S322+IF(AD322&lt;20,0,1)+IF(AE322&lt;14,0,1)+IF(AF322&lt;26,0,1)</f>
        <v/>
      </c>
      <c r="AH322" s="101">
        <f>AG322+IF(AG322&gt;6,1,0)+IF(X322&lt;17,0,1)+IF(Y322&lt;11,0,1)+IF(Z322&lt;1.35,0,1)+AC322+AA322</f>
        <v/>
      </c>
      <c r="AJ322" s="104">
        <f>IF(AI322&gt;12.8,IF(AI322&gt;15.8,0.95,0.98),1)</f>
        <v/>
      </c>
      <c r="AK322" s="101">
        <f>((AG322*2.6+AH322)*AJ322*AQ322)</f>
        <v/>
      </c>
      <c r="AL322" s="50">
        <f>D322</f>
        <v/>
      </c>
      <c r="AM322" s="97">
        <f>B322</f>
        <v/>
      </c>
      <c r="AP322" s="100">
        <f>IF(AK322&gt;23.2,IF(Y322&lt;300,IF(Y322&lt;35,IF(Y322&lt;8,3,2),1),0),0)</f>
        <v/>
      </c>
      <c r="AR322" s="100">
        <f>IF(AO322=1,IF(AO322=AL322,1,0),5)</f>
        <v/>
      </c>
    </row>
    <row r="323" ht="12.75" customHeight="1">
      <c r="G323" s="100">
        <f>100*(F323-E323)/F323</f>
        <v/>
      </c>
      <c r="P323" s="100">
        <f>O323/I323</f>
        <v/>
      </c>
      <c r="AA323" s="103">
        <f>IF(X323&lt;33,IF(Y323&gt;(1.1*X323),0,1),1)+IF(Y323&gt;(4*X323),-1,0)</f>
        <v/>
      </c>
      <c r="AC323" s="101">
        <f>IF(AB323&gt;9,1,0)+AB323/3+IF(AB323&gt;15,1,0)+IF(AB323&gt;20,1,0)</f>
        <v/>
      </c>
      <c r="AG323" s="101">
        <f>IF(G323&lt;0,0,1.2)+IF(G323&lt;14,0,0.9)+IF(P323&lt;0,0.7,0)+IF(P323&lt;6.5,1,0)+IF(P323&lt;23,1,0)+IF(R323&gt;80,0,1)+S323+IF(AD323&lt;20,0,1)+IF(AE323&lt;14,0,1)+IF(AF323&lt;26,0,1)</f>
        <v/>
      </c>
      <c r="AH323" s="101">
        <f>AG323+IF(AG323&gt;6,1,0)+IF(X323&lt;17,0,1)+IF(Y323&lt;11,0,1)+IF(Z323&lt;1.35,0,1)+AC323+AA323</f>
        <v/>
      </c>
      <c r="AJ323" s="104">
        <f>IF(AI323&gt;12.8,IF(AI323&gt;15.8,0.95,0.98),1)</f>
        <v/>
      </c>
      <c r="AK323" s="101">
        <f>((AG323*2.6+AH323)*AJ323*AQ323)</f>
        <v/>
      </c>
      <c r="AL323" s="50">
        <f>D323</f>
        <v/>
      </c>
      <c r="AM323" s="97">
        <f>B323</f>
        <v/>
      </c>
      <c r="AP323" s="100">
        <f>IF(AK323&gt;23.2,IF(Y323&lt;300,IF(Y323&lt;35,IF(Y323&lt;8,3,2),1),0),0)</f>
        <v/>
      </c>
      <c r="AR323" s="100">
        <f>IF(AO323=1,IF(AO323=AL323,1,0),5)</f>
        <v/>
      </c>
    </row>
    <row r="324" ht="12.75" customHeight="1">
      <c r="G324" s="100">
        <f>100*(F324-E324)/F324</f>
        <v/>
      </c>
      <c r="P324" s="100">
        <f>O324/I324</f>
        <v/>
      </c>
      <c r="AA324" s="103">
        <f>IF(X324&lt;33,IF(Y324&gt;(1.1*X324),0,1),1)+IF(Y324&gt;(4*X324),-1,0)</f>
        <v/>
      </c>
      <c r="AC324" s="101">
        <f>IF(AB324&gt;9,1,0)+AB324/3+IF(AB324&gt;15,1,0)+IF(AB324&gt;20,1,0)</f>
        <v/>
      </c>
      <c r="AG324" s="101">
        <f>IF(G324&lt;0,0,1.2)+IF(G324&lt;14,0,0.9)+IF(P324&lt;0,0.7,0)+IF(P324&lt;6.5,1,0)+IF(P324&lt;23,1,0)+IF(R324&gt;80,0,1)+S324+IF(AD324&lt;20,0,1)+IF(AE324&lt;14,0,1)+IF(AF324&lt;26,0,1)</f>
        <v/>
      </c>
      <c r="AH324" s="101">
        <f>AG324+IF(AG324&gt;6,1,0)+IF(X324&lt;17,0,1)+IF(Y324&lt;11,0,1)+IF(Z324&lt;1.35,0,1)+AC324+AA324</f>
        <v/>
      </c>
      <c r="AJ324" s="104">
        <f>IF(AI324&gt;12.8,IF(AI324&gt;15.8,0.95,0.98),1)</f>
        <v/>
      </c>
      <c r="AK324" s="101">
        <f>((AG324*2.6+AH324)*AJ324*AQ324)</f>
        <v/>
      </c>
      <c r="AL324" s="50">
        <f>D324</f>
        <v/>
      </c>
      <c r="AM324" s="97">
        <f>B324</f>
        <v/>
      </c>
      <c r="AP324" s="100">
        <f>IF(AK324&gt;23.2,IF(Y324&lt;300,IF(Y324&lt;35,IF(Y324&lt;8,3,2),1),0),0)</f>
        <v/>
      </c>
      <c r="AR324" s="100">
        <f>IF(AO324=1,IF(AO324=AL324,1,0),5)</f>
        <v/>
      </c>
    </row>
    <row r="325" ht="12.75" customHeight="1">
      <c r="G325" s="100">
        <f>100*(F325-E325)/F325</f>
        <v/>
      </c>
      <c r="P325" s="100">
        <f>O325/I325</f>
        <v/>
      </c>
      <c r="AA325" s="103">
        <f>IF(X325&lt;33,IF(Y325&gt;(1.1*X325),0,1),1)+IF(Y325&gt;(4*X325),-1,0)</f>
        <v/>
      </c>
      <c r="AC325" s="101">
        <f>IF(AB325&gt;9,1,0)+AB325/3+IF(AB325&gt;15,1,0)+IF(AB325&gt;20,1,0)</f>
        <v/>
      </c>
      <c r="AG325" s="101">
        <f>IF(G325&lt;0,0,1.2)+IF(G325&lt;14,0,0.9)+IF(P325&lt;0,0.7,0)+IF(P325&lt;6.5,1,0)+IF(P325&lt;23,1,0)+IF(R325&gt;80,0,1)+S325+IF(AD325&lt;20,0,1)+IF(AE325&lt;14,0,1)+IF(AF325&lt;26,0,1)</f>
        <v/>
      </c>
      <c r="AH325" s="101">
        <f>AG325+IF(AG325&gt;6,1,0)+IF(X325&lt;17,0,1)+IF(Y325&lt;11,0,1)+IF(Z325&lt;1.35,0,1)+AC325+AA325</f>
        <v/>
      </c>
      <c r="AJ325" s="104">
        <f>IF(AI325&gt;12.8,IF(AI325&gt;15.8,0.95,0.98),1)</f>
        <v/>
      </c>
      <c r="AK325" s="101">
        <f>((AG325*2.6+AH325)*AJ325*AQ325)</f>
        <v/>
      </c>
      <c r="AL325" s="50">
        <f>D325</f>
        <v/>
      </c>
      <c r="AM325" s="97">
        <f>B325</f>
        <v/>
      </c>
      <c r="AP325" s="100">
        <f>IF(AK325&gt;23.2,IF(Y325&lt;300,IF(Y325&lt;35,IF(Y325&lt;8,3,2),1),0),0)</f>
        <v/>
      </c>
      <c r="AR325" s="100">
        <f>IF(AO325=1,IF(AO325=AL325,1,0),5)</f>
        <v/>
      </c>
    </row>
    <row r="326" ht="12.75" customHeight="1">
      <c r="G326" s="100">
        <f>100*(F326-E326)/F326</f>
        <v/>
      </c>
      <c r="P326" s="100">
        <f>O326/I326</f>
        <v/>
      </c>
      <c r="AA326" s="103">
        <f>IF(X326&lt;33,IF(Y326&gt;(1.1*X326),0,1),1)+IF(Y326&gt;(4*X326),-1,0)</f>
        <v/>
      </c>
      <c r="AC326" s="101">
        <f>IF(AB326&gt;9,1,0)+AB326/3+IF(AB326&gt;15,1,0)+IF(AB326&gt;20,1,0)</f>
        <v/>
      </c>
      <c r="AG326" s="101">
        <f>IF(G326&lt;0,0,1.2)+IF(G326&lt;14,0,0.9)+IF(P326&lt;0,0.7,0)+IF(P326&lt;6.5,1,0)+IF(P326&lt;23,1,0)+IF(R326&gt;80,0,1)+S326+IF(AD326&lt;20,0,1)+IF(AE326&lt;14,0,1)+IF(AF326&lt;26,0,1)</f>
        <v/>
      </c>
      <c r="AH326" s="101">
        <f>AG326+IF(AG326&gt;6,1,0)+IF(X326&lt;17,0,1)+IF(Y326&lt;11,0,1)+IF(Z326&lt;1.35,0,1)+AC326+AA326</f>
        <v/>
      </c>
      <c r="AJ326" s="104">
        <f>IF(AI326&gt;12.8,IF(AI326&gt;15.8,0.95,0.98),1)</f>
        <v/>
      </c>
      <c r="AK326" s="101">
        <f>((AG326*2.6+AH326)*AJ326*AQ326)</f>
        <v/>
      </c>
      <c r="AL326" s="50">
        <f>D326</f>
        <v/>
      </c>
      <c r="AM326" s="97">
        <f>B326</f>
        <v/>
      </c>
      <c r="AP326" s="100">
        <f>IF(AK326&gt;23.2,IF(Y326&lt;300,IF(Y326&lt;35,IF(Y326&lt;8,3,2),1),0),0)</f>
        <v/>
      </c>
      <c r="AR326" s="100">
        <f>IF(AO326=1,IF(AO326=AL326,1,0),5)</f>
        <v/>
      </c>
    </row>
    <row r="327" ht="12.75" customHeight="1">
      <c r="G327" s="100">
        <f>100*(F327-E327)/F327</f>
        <v/>
      </c>
      <c r="P327" s="100">
        <f>O327/I327</f>
        <v/>
      </c>
      <c r="AA327" s="103">
        <f>IF(X327&lt;33,IF(Y327&gt;(1.1*X327),0,1),1)+IF(Y327&gt;(4*X327),-1,0)</f>
        <v/>
      </c>
      <c r="AC327" s="101">
        <f>IF(AB327&gt;9,1,0)+AB327/3+IF(AB327&gt;15,1,0)+IF(AB327&gt;20,1,0)</f>
        <v/>
      </c>
      <c r="AG327" s="101">
        <f>IF(G327&lt;0,0,1.2)+IF(G327&lt;14,0,0.9)+IF(P327&lt;0,0.7,0)+IF(P327&lt;6.5,1,0)+IF(P327&lt;23,1,0)+IF(R327&gt;80,0,1)+S327+IF(AD327&lt;20,0,1)+IF(AE327&lt;14,0,1)+IF(AF327&lt;26,0,1)</f>
        <v/>
      </c>
      <c r="AH327" s="101">
        <f>AG327+IF(AG327&gt;6,1,0)+IF(X327&lt;17,0,1)+IF(Y327&lt;11,0,1)+IF(Z327&lt;1.35,0,1)+AC327+AA327</f>
        <v/>
      </c>
      <c r="AJ327" s="104">
        <f>IF(AI327&gt;12.8,IF(AI327&gt;15.8,0.95,0.98),1)</f>
        <v/>
      </c>
      <c r="AK327" s="101">
        <f>((AG327*2.6+AH327)*AJ327*AQ327)</f>
        <v/>
      </c>
      <c r="AL327" s="50">
        <f>D327</f>
        <v/>
      </c>
      <c r="AM327" s="97">
        <f>B327</f>
        <v/>
      </c>
      <c r="AP327" s="100">
        <f>IF(AK327&gt;23.2,IF(Y327&lt;300,IF(Y327&lt;35,IF(Y327&lt;8,3,2),1),0),0)</f>
        <v/>
      </c>
      <c r="AR327" s="100">
        <f>IF(AO327=1,IF(AO327=AL327,1,0),5)</f>
        <v/>
      </c>
    </row>
    <row r="328" ht="12.75" customHeight="1">
      <c r="G328" s="100">
        <f>100*(F328-E328)/F328</f>
        <v/>
      </c>
      <c r="P328" s="100">
        <f>O328/I328</f>
        <v/>
      </c>
      <c r="AA328" s="103">
        <f>IF(X328&lt;33,IF(Y328&gt;(1.1*X328),0,1),1)+IF(Y328&gt;(4*X328),-1,0)</f>
        <v/>
      </c>
      <c r="AC328" s="101">
        <f>IF(AB328&gt;9,1,0)+AB328/3+IF(AB328&gt;15,1,0)+IF(AB328&gt;20,1,0)</f>
        <v/>
      </c>
      <c r="AG328" s="101">
        <f>IF(G328&lt;0,0,1.2)+IF(G328&lt;14,0,0.9)+IF(P328&lt;0,0.7,0)+IF(P328&lt;6.5,1,0)+IF(P328&lt;23,1,0)+IF(R328&gt;80,0,1)+S328+IF(AD328&lt;20,0,1)+IF(AE328&lt;14,0,1)+IF(AF328&lt;26,0,1)</f>
        <v/>
      </c>
      <c r="AH328" s="101">
        <f>AG328+IF(AG328&gt;6,1,0)+IF(X328&lt;17,0,1)+IF(Y328&lt;11,0,1)+IF(Z328&lt;1.35,0,1)+AC328+AA328</f>
        <v/>
      </c>
      <c r="AJ328" s="104">
        <f>IF(AI328&gt;12.8,IF(AI328&gt;15.8,0.95,0.98),1)</f>
        <v/>
      </c>
      <c r="AK328" s="101">
        <f>((AG328*2.6+AH328)*AJ328*AQ328)</f>
        <v/>
      </c>
      <c r="AL328" s="50">
        <f>D328</f>
        <v/>
      </c>
      <c r="AM328" s="97">
        <f>B328</f>
        <v/>
      </c>
      <c r="AP328" s="100">
        <f>IF(AK328&gt;23.2,IF(Y328&lt;300,IF(Y328&lt;35,IF(Y328&lt;8,3,2),1),0),0)</f>
        <v/>
      </c>
      <c r="AR328" s="100">
        <f>IF(AO328=1,IF(AO328=AL328,1,0),5)</f>
        <v/>
      </c>
    </row>
    <row r="329" ht="12.75" customHeight="1">
      <c r="G329" s="100">
        <f>100*(F329-E329)/F329</f>
        <v/>
      </c>
      <c r="P329" s="100">
        <f>O329/I329</f>
        <v/>
      </c>
      <c r="AA329" s="103">
        <f>IF(X329&lt;33,IF(Y329&gt;(1.1*X329),0,1),1)+IF(Y329&gt;(4*X329),-1,0)</f>
        <v/>
      </c>
      <c r="AC329" s="101">
        <f>IF(AB329&gt;9,1,0)+AB329/3+IF(AB329&gt;15,1,0)+IF(AB329&gt;20,1,0)</f>
        <v/>
      </c>
      <c r="AG329" s="101">
        <f>IF(G329&lt;0,0,1.2)+IF(G329&lt;14,0,0.9)+IF(P329&lt;0,0.7,0)+IF(P329&lt;6.5,1,0)+IF(P329&lt;23,1,0)+IF(R329&gt;80,0,1)+S329+IF(AD329&lt;20,0,1)+IF(AE329&lt;14,0,1)+IF(AF329&lt;26,0,1)</f>
        <v/>
      </c>
      <c r="AH329" s="101">
        <f>AG329+IF(AG329&gt;6,1,0)+IF(X329&lt;17,0,1)+IF(Y329&lt;11,0,1)+IF(Z329&lt;1.35,0,1)+AC329+AA329</f>
        <v/>
      </c>
      <c r="AJ329" s="104">
        <f>IF(AI329&gt;12.8,IF(AI329&gt;15.8,0.95,0.98),1)</f>
        <v/>
      </c>
      <c r="AK329" s="101">
        <f>((AG329*2.6+AH329)*AJ329*AQ329)</f>
        <v/>
      </c>
      <c r="AL329" s="50">
        <f>D329</f>
        <v/>
      </c>
      <c r="AM329" s="97">
        <f>B329</f>
        <v/>
      </c>
      <c r="AP329" s="100">
        <f>IF(AK329&gt;23.2,IF(Y329&lt;300,IF(Y329&lt;35,IF(Y329&lt;8,3,2),1),0),0)</f>
        <v/>
      </c>
      <c r="AR329" s="100">
        <f>IF(AO329=1,IF(AO329=AL329,1,0),5)</f>
        <v/>
      </c>
    </row>
    <row r="330" ht="12.75" customHeight="1">
      <c r="G330" s="100">
        <f>100*(F330-E330)/F330</f>
        <v/>
      </c>
      <c r="P330" s="100">
        <f>O330/I330</f>
        <v/>
      </c>
      <c r="AA330" s="103">
        <f>IF(X330&lt;33,IF(Y330&gt;(1.1*X330),0,1),1)+IF(Y330&gt;(4*X330),-1,0)</f>
        <v/>
      </c>
      <c r="AC330" s="101">
        <f>IF(AB330&gt;9,1,0)+AB330/3+IF(AB330&gt;15,1,0)+IF(AB330&gt;20,1,0)</f>
        <v/>
      </c>
      <c r="AG330" s="101">
        <f>IF(G330&lt;0,0,1.2)+IF(G330&lt;14,0,0.9)+IF(P330&lt;0,0.7,0)+IF(P330&lt;6.5,1,0)+IF(P330&lt;23,1,0)+IF(R330&gt;80,0,1)+S330+IF(AD330&lt;20,0,1)+IF(AE330&lt;14,0,1)+IF(AF330&lt;26,0,1)</f>
        <v/>
      </c>
      <c r="AH330" s="101">
        <f>AG330+IF(AG330&gt;6,1,0)+IF(X330&lt;17,0,1)+IF(Y330&lt;11,0,1)+IF(Z330&lt;1.35,0,1)+AC330+AA330</f>
        <v/>
      </c>
      <c r="AJ330" s="104">
        <f>IF(AI330&gt;12.8,IF(AI330&gt;15.8,0.95,0.98),1)</f>
        <v/>
      </c>
      <c r="AK330" s="101">
        <f>((AG330*2.6+AH330)*AJ330*AQ330)</f>
        <v/>
      </c>
      <c r="AL330" s="50">
        <f>D330</f>
        <v/>
      </c>
      <c r="AM330" s="97">
        <f>B330</f>
        <v/>
      </c>
      <c r="AP330" s="100">
        <f>IF(AK330&gt;23.2,IF(Y330&lt;300,IF(Y330&lt;35,IF(Y330&lt;8,3,2),1),0),0)</f>
        <v/>
      </c>
      <c r="AR330" s="100">
        <f>IF(AO330=1,IF(AO330=AL330,1,0),5)</f>
        <v/>
      </c>
    </row>
    <row r="331" ht="12.75" customHeight="1">
      <c r="G331" s="100">
        <f>100*(F331-E331)/F331</f>
        <v/>
      </c>
      <c r="P331" s="100">
        <f>O331/I331</f>
        <v/>
      </c>
      <c r="AA331" s="103">
        <f>IF(X331&lt;33,IF(Y331&gt;(1.1*X331),0,1),1)+IF(Y331&gt;(4*X331),-1,0)</f>
        <v/>
      </c>
      <c r="AC331" s="101">
        <f>IF(AB331&gt;9,1,0)+AB331/3+IF(AB331&gt;15,1,0)+IF(AB331&gt;20,1,0)</f>
        <v/>
      </c>
      <c r="AG331" s="101">
        <f>IF(G331&lt;0,0,1.2)+IF(G331&lt;14,0,0.9)+IF(P331&lt;0,0.7,0)+IF(P331&lt;6.5,1,0)+IF(P331&lt;23,1,0)+IF(R331&gt;80,0,1)+S331+IF(AD331&lt;20,0,1)+IF(AE331&lt;14,0,1)+IF(AF331&lt;26,0,1)</f>
        <v/>
      </c>
      <c r="AH331" s="101">
        <f>AG331+IF(AG331&gt;6,1,0)+IF(X331&lt;17,0,1)+IF(Y331&lt;11,0,1)+IF(Z331&lt;1.35,0,1)+AC331+AA331</f>
        <v/>
      </c>
      <c r="AJ331" s="104">
        <f>IF(AI331&gt;12.8,IF(AI331&gt;15.8,0.95,0.98),1)</f>
        <v/>
      </c>
      <c r="AK331" s="101">
        <f>((AG331*2.6+AH331)*AJ331*AQ331)</f>
        <v/>
      </c>
      <c r="AL331" s="50">
        <f>D331</f>
        <v/>
      </c>
      <c r="AM331" s="97">
        <f>B331</f>
        <v/>
      </c>
      <c r="AP331" s="100">
        <f>IF(AK331&gt;23.2,IF(Y331&lt;300,IF(Y331&lt;35,IF(Y331&lt;8,3,2),1),0),0)</f>
        <v/>
      </c>
      <c r="AR331" s="100">
        <f>IF(AO331=1,IF(AO331=AL331,1,0),5)</f>
        <v/>
      </c>
    </row>
    <row r="332" ht="12.75" customHeight="1">
      <c r="G332" s="100">
        <f>100*(F332-E332)/F332</f>
        <v/>
      </c>
      <c r="P332" s="100">
        <f>O332/I332</f>
        <v/>
      </c>
      <c r="AA332" s="103">
        <f>IF(X332&lt;33,IF(Y332&gt;(1.1*X332),0,1),1)+IF(Y332&gt;(4*X332),-1,0)</f>
        <v/>
      </c>
      <c r="AC332" s="101">
        <f>IF(AB332&gt;9,1,0)+AB332/3+IF(AB332&gt;15,1,0)+IF(AB332&gt;20,1,0)</f>
        <v/>
      </c>
      <c r="AG332" s="101">
        <f>IF(G332&lt;0,0,1.2)+IF(G332&lt;14,0,0.9)+IF(P332&lt;0,0.7,0)+IF(P332&lt;6.5,1,0)+IF(P332&lt;23,1,0)+IF(R332&gt;80,0,1)+S332+IF(AD332&lt;20,0,1)+IF(AE332&lt;14,0,1)+IF(AF332&lt;26,0,1)</f>
        <v/>
      </c>
      <c r="AH332" s="101">
        <f>AG332+IF(AG332&gt;6,1,0)+IF(X332&lt;17,0,1)+IF(Y332&lt;11,0,1)+IF(Z332&lt;1.35,0,1)+AC332+AA332</f>
        <v/>
      </c>
      <c r="AJ332" s="104">
        <f>IF(AI332&gt;12.8,IF(AI332&gt;15.8,0.95,0.98),1)</f>
        <v/>
      </c>
      <c r="AK332" s="101">
        <f>((AG332*2.6+AH332)*AJ332*AQ332)</f>
        <v/>
      </c>
      <c r="AL332" s="50">
        <f>D332</f>
        <v/>
      </c>
      <c r="AM332" s="97">
        <f>B332</f>
        <v/>
      </c>
      <c r="AP332" s="100">
        <f>IF(AK332&gt;23.2,IF(Y332&lt;300,IF(Y332&lt;35,IF(Y332&lt;8,3,2),1),0),0)</f>
        <v/>
      </c>
      <c r="AR332" s="100">
        <f>IF(AO332=1,IF(AO332=AL332,1,0),5)</f>
        <v/>
      </c>
    </row>
    <row r="333" ht="12.75" customHeight="1">
      <c r="G333" s="100">
        <f>100*(F333-E333)/F333</f>
        <v/>
      </c>
      <c r="P333" s="100">
        <f>O333/I333</f>
        <v/>
      </c>
      <c r="AA333" s="103">
        <f>IF(X333&lt;33,IF(Y333&gt;(1.1*X333),0,1),1)+IF(Y333&gt;(4*X333),-1,0)</f>
        <v/>
      </c>
      <c r="AC333" s="101">
        <f>IF(AB333&gt;9,1,0)+AB333/3+IF(AB333&gt;15,1,0)+IF(AB333&gt;20,1,0)</f>
        <v/>
      </c>
      <c r="AG333" s="101">
        <f>IF(G333&lt;0,0,1.2)+IF(G333&lt;14,0,0.9)+IF(P333&lt;0,0.7,0)+IF(P333&lt;6.5,1,0)+IF(P333&lt;23,1,0)+IF(R333&gt;80,0,1)+S333+IF(AD333&lt;20,0,1)+IF(AE333&lt;14,0,1)+IF(AF333&lt;26,0,1)</f>
        <v/>
      </c>
      <c r="AH333" s="101">
        <f>AG333+IF(AG333&gt;6,1,0)+IF(X333&lt;17,0,1)+IF(Y333&lt;11,0,1)+IF(Z333&lt;1.35,0,1)+AC333+AA333</f>
        <v/>
      </c>
      <c r="AJ333" s="104">
        <f>IF(AI333&gt;12.8,IF(AI333&gt;15.8,0.95,0.98),1)</f>
        <v/>
      </c>
      <c r="AK333" s="101">
        <f>((AG333*2.6+AH333)*AJ333*AQ333)</f>
        <v/>
      </c>
      <c r="AL333" s="50">
        <f>D333</f>
        <v/>
      </c>
      <c r="AM333" s="97">
        <f>B333</f>
        <v/>
      </c>
      <c r="AP333" s="100">
        <f>IF(AK333&gt;23.2,IF(Y333&lt;300,IF(Y333&lt;35,IF(Y333&lt;8,3,2),1),0),0)</f>
        <v/>
      </c>
      <c r="AR333" s="100">
        <f>IF(AO333=1,IF(AO333=AL333,1,0),5)</f>
        <v/>
      </c>
    </row>
    <row r="334" ht="12.75" customHeight="1">
      <c r="G334" s="100">
        <f>100*(F334-E334)/F334</f>
        <v/>
      </c>
      <c r="P334" s="100">
        <f>O334/I334</f>
        <v/>
      </c>
      <c r="AA334" s="103">
        <f>IF(X334&lt;33,IF(Y334&gt;(1.1*X334),0,1),1)+IF(Y334&gt;(4*X334),-1,0)</f>
        <v/>
      </c>
      <c r="AC334" s="101">
        <f>IF(AB334&gt;9,1,0)+AB334/3+IF(AB334&gt;15,1,0)+IF(AB334&gt;20,1,0)</f>
        <v/>
      </c>
      <c r="AG334" s="101">
        <f>IF(G334&lt;0,0,1.2)+IF(G334&lt;14,0,0.9)+IF(P334&lt;0,0.7,0)+IF(P334&lt;6.5,1,0)+IF(P334&lt;23,1,0)+IF(R334&gt;80,0,1)+S334+IF(AD334&lt;20,0,1)+IF(AE334&lt;14,0,1)+IF(AF334&lt;26,0,1)</f>
        <v/>
      </c>
      <c r="AH334" s="101">
        <f>AG334+IF(AG334&gt;6,1,0)+IF(X334&lt;17,0,1)+IF(Y334&lt;11,0,1)+IF(Z334&lt;1.35,0,1)+AC334+AA334</f>
        <v/>
      </c>
      <c r="AJ334" s="104">
        <f>IF(AI334&gt;12.8,IF(AI334&gt;15.8,0.95,0.98),1)</f>
        <v/>
      </c>
      <c r="AK334" s="101">
        <f>((AG334*2.6+AH334)*AJ334*AQ334)</f>
        <v/>
      </c>
      <c r="AL334" s="50">
        <f>D334</f>
        <v/>
      </c>
      <c r="AM334" s="97">
        <f>B334</f>
        <v/>
      </c>
      <c r="AP334" s="100">
        <f>IF(AK334&gt;23.2,IF(Y334&lt;300,IF(Y334&lt;35,IF(Y334&lt;8,3,2),1),0),0)</f>
        <v/>
      </c>
      <c r="AR334" s="100">
        <f>IF(AO334=1,IF(AO334=AL334,1,0),5)</f>
        <v/>
      </c>
    </row>
    <row r="335" ht="12.75" customHeight="1">
      <c r="G335" s="100">
        <f>100*(F335-E335)/F335</f>
        <v/>
      </c>
      <c r="P335" s="100">
        <f>O335/I335</f>
        <v/>
      </c>
      <c r="AA335" s="103">
        <f>IF(X335&lt;33,IF(Y335&gt;(1.1*X335),0,1),1)+IF(Y335&gt;(4*X335),-1,0)</f>
        <v/>
      </c>
      <c r="AC335" s="101">
        <f>IF(AB335&gt;9,1,0)+AB335/3+IF(AB335&gt;15,1,0)+IF(AB335&gt;20,1,0)</f>
        <v/>
      </c>
      <c r="AG335" s="101">
        <f>IF(G335&lt;0,0,1.2)+IF(G335&lt;14,0,0.9)+IF(P335&lt;0,0.7,0)+IF(P335&lt;6.5,1,0)+IF(P335&lt;23,1,0)+IF(R335&gt;80,0,1)+S335+IF(AD335&lt;20,0,1)+IF(AE335&lt;14,0,1)+IF(AF335&lt;26,0,1)</f>
        <v/>
      </c>
      <c r="AH335" s="101">
        <f>AG335+IF(AG335&gt;6,1,0)+IF(X335&lt;17,0,1)+IF(Y335&lt;11,0,1)+IF(Z335&lt;1.35,0,1)+AC335+AA335</f>
        <v/>
      </c>
      <c r="AJ335" s="104">
        <f>IF(AI335&gt;12.8,IF(AI335&gt;15.8,0.95,0.98),1)</f>
        <v/>
      </c>
      <c r="AK335" s="101">
        <f>((AG335*2.6+AH335)*AJ335*AQ335)</f>
        <v/>
      </c>
      <c r="AL335" s="50">
        <f>D335</f>
        <v/>
      </c>
      <c r="AM335" s="97">
        <f>B335</f>
        <v/>
      </c>
      <c r="AP335" s="100">
        <f>IF(AK335&gt;23.2,IF(Y335&lt;300,IF(Y335&lt;35,IF(Y335&lt;8,3,2),1),0),0)</f>
        <v/>
      </c>
      <c r="AR335" s="100">
        <f>IF(AO335=1,IF(AO335=AL335,1,0),5)</f>
        <v/>
      </c>
    </row>
    <row r="336" ht="12.75" customHeight="1">
      <c r="G336" s="100">
        <f>100*(F336-E336)/F336</f>
        <v/>
      </c>
      <c r="P336" s="100">
        <f>O336/I336</f>
        <v/>
      </c>
      <c r="AA336" s="103">
        <f>IF(X336&lt;33,IF(Y336&gt;(1.1*X336),0,1),1)+IF(Y336&gt;(4*X336),-1,0)</f>
        <v/>
      </c>
      <c r="AC336" s="101">
        <f>IF(AB336&gt;9,1,0)+AB336/3+IF(AB336&gt;15,1,0)+IF(AB336&gt;20,1,0)</f>
        <v/>
      </c>
      <c r="AG336" s="101">
        <f>IF(G336&lt;0,0,1.2)+IF(G336&lt;14,0,0.9)+IF(P336&lt;0,0.7,0)+IF(P336&lt;6.5,1,0)+IF(P336&lt;23,1,0)+IF(R336&gt;80,0,1)+S336+IF(AD336&lt;20,0,1)+IF(AE336&lt;14,0,1)+IF(AF336&lt;26,0,1)</f>
        <v/>
      </c>
      <c r="AH336" s="101">
        <f>AG336+IF(AG336&gt;6,1,0)+IF(X336&lt;17,0,1)+IF(Y336&lt;11,0,1)+IF(Z336&lt;1.35,0,1)+AC336+AA336</f>
        <v/>
      </c>
      <c r="AJ336" s="104">
        <f>IF(AI336&gt;12.8,IF(AI336&gt;15.8,0.95,0.98),1)</f>
        <v/>
      </c>
      <c r="AK336" s="101">
        <f>((AG336*2.6+AH336)*AJ336*AQ336)</f>
        <v/>
      </c>
      <c r="AL336" s="50">
        <f>D336</f>
        <v/>
      </c>
      <c r="AM336" s="97">
        <f>B336</f>
        <v/>
      </c>
      <c r="AP336" s="100">
        <f>IF(AK336&gt;23.2,IF(Y336&lt;300,IF(Y336&lt;35,IF(Y336&lt;8,3,2),1),0),0)</f>
        <v/>
      </c>
      <c r="AR336" s="100">
        <f>IF(AO336=1,IF(AO336=AL336,1,0),5)</f>
        <v/>
      </c>
    </row>
    <row r="337" ht="12.75" customHeight="1">
      <c r="G337" s="100">
        <f>100*(F337-E337)/F337</f>
        <v/>
      </c>
      <c r="P337" s="100">
        <f>O337/I337</f>
        <v/>
      </c>
      <c r="AA337" s="103">
        <f>IF(X337&lt;33,IF(Y337&gt;(1.1*X337),0,1),1)+IF(Y337&gt;(4*X337),-1,0)</f>
        <v/>
      </c>
      <c r="AC337" s="101">
        <f>IF(AB337&gt;9,1,0)+AB337/3+IF(AB337&gt;15,1,0)+IF(AB337&gt;20,1,0)</f>
        <v/>
      </c>
      <c r="AG337" s="101">
        <f>IF(G337&lt;0,0,1.2)+IF(G337&lt;14,0,0.9)+IF(P337&lt;0,0.7,0)+IF(P337&lt;6.5,1,0)+IF(P337&lt;23,1,0)+IF(R337&gt;80,0,1)+S337+IF(AD337&lt;20,0,1)+IF(AE337&lt;14,0,1)+IF(AF337&lt;26,0,1)</f>
        <v/>
      </c>
      <c r="AH337" s="101">
        <f>AG337+IF(AG337&gt;6,1,0)+IF(X337&lt;17,0,1)+IF(Y337&lt;11,0,1)+IF(Z337&lt;1.35,0,1)+AC337+AA337</f>
        <v/>
      </c>
      <c r="AJ337" s="104">
        <f>IF(AI337&gt;12.8,IF(AI337&gt;15.8,0.95,0.98),1)</f>
        <v/>
      </c>
      <c r="AK337" s="101">
        <f>((AG337*2.6+AH337)*AJ337*AQ337)</f>
        <v/>
      </c>
      <c r="AL337" s="50">
        <f>D337</f>
        <v/>
      </c>
      <c r="AM337" s="97">
        <f>B337</f>
        <v/>
      </c>
      <c r="AP337" s="100">
        <f>IF(AK337&gt;23.2,IF(Y337&lt;300,IF(Y337&lt;35,IF(Y337&lt;8,3,2),1),0),0)</f>
        <v/>
      </c>
      <c r="AR337" s="100">
        <f>IF(AO337=1,IF(AO337=AL337,1,0),5)</f>
        <v/>
      </c>
    </row>
    <row r="338" ht="12.75" customHeight="1">
      <c r="G338" s="100">
        <f>100*(F338-E338)/F338</f>
        <v/>
      </c>
      <c r="P338" s="100">
        <f>O338/I338</f>
        <v/>
      </c>
      <c r="AA338" s="103">
        <f>IF(X338&lt;33,IF(Y338&gt;(1.1*X338),0,1),1)+IF(Y338&gt;(4*X338),-1,0)</f>
        <v/>
      </c>
      <c r="AC338" s="101">
        <f>IF(AB338&gt;9,1,0)+AB338/3+IF(AB338&gt;15,1,0)+IF(AB338&gt;20,1,0)</f>
        <v/>
      </c>
      <c r="AG338" s="101">
        <f>IF(G338&lt;0,0,1.2)+IF(G338&lt;14,0,0.9)+IF(P338&lt;0,0.7,0)+IF(P338&lt;6.5,1,0)+IF(P338&lt;23,1,0)+IF(R338&gt;80,0,1)+S338+IF(AD338&lt;20,0,1)+IF(AE338&lt;14,0,1)+IF(AF338&lt;26,0,1)</f>
        <v/>
      </c>
      <c r="AH338" s="101">
        <f>AG338+IF(AG338&gt;6,1,0)+IF(X338&lt;17,0,1)+IF(Y338&lt;11,0,1)+IF(Z338&lt;1.35,0,1)+AC338+AA338</f>
        <v/>
      </c>
      <c r="AJ338" s="104">
        <f>IF(AI338&gt;12.8,IF(AI338&gt;15.8,0.95,0.98),1)</f>
        <v/>
      </c>
      <c r="AK338" s="101">
        <f>((AG338*2.6+AH338)*AJ338*AQ338)</f>
        <v/>
      </c>
      <c r="AL338" s="50">
        <f>D338</f>
        <v/>
      </c>
      <c r="AM338" s="97">
        <f>B338</f>
        <v/>
      </c>
      <c r="AP338" s="100">
        <f>IF(AK338&gt;23.2,IF(Y338&lt;300,IF(Y338&lt;35,IF(Y338&lt;8,3,2),1),0),0)</f>
        <v/>
      </c>
      <c r="AR338" s="100">
        <f>IF(AO338=1,IF(AO338=AL338,1,0),5)</f>
        <v/>
      </c>
    </row>
    <row r="339" ht="12.75" customHeight="1">
      <c r="G339" s="100">
        <f>100*(F339-E339)/F339</f>
        <v/>
      </c>
      <c r="P339" s="100">
        <f>O339/I339</f>
        <v/>
      </c>
      <c r="AA339" s="103">
        <f>IF(X339&lt;33,IF(Y339&gt;(1.1*X339),0,1),1)+IF(Y339&gt;(4*X339),-1,0)</f>
        <v/>
      </c>
      <c r="AC339" s="101">
        <f>IF(AB339&gt;9,1,0)+AB339/3+IF(AB339&gt;15,1,0)+IF(AB339&gt;20,1,0)</f>
        <v/>
      </c>
      <c r="AG339" s="101">
        <f>IF(G339&lt;0,0,1.2)+IF(G339&lt;14,0,0.9)+IF(P339&lt;0,0.7,0)+IF(P339&lt;6.5,1,0)+IF(P339&lt;23,1,0)+IF(R339&gt;80,0,1)+S339+IF(AD339&lt;20,0,1)+IF(AE339&lt;14,0,1)+IF(AF339&lt;26,0,1)</f>
        <v/>
      </c>
      <c r="AH339" s="101">
        <f>AG339+IF(AG339&gt;6,1,0)+IF(X339&lt;17,0,1)+IF(Y339&lt;11,0,1)+IF(Z339&lt;1.35,0,1)+AC339+AA339</f>
        <v/>
      </c>
      <c r="AJ339" s="104">
        <f>IF(AI339&gt;12.8,IF(AI339&gt;15.8,0.95,0.98),1)</f>
        <v/>
      </c>
      <c r="AK339" s="101">
        <f>((AG339*2.6+AH339)*AJ339*AQ339)</f>
        <v/>
      </c>
      <c r="AL339" s="50">
        <f>D339</f>
        <v/>
      </c>
      <c r="AM339" s="97">
        <f>B339</f>
        <v/>
      </c>
    </row>
    <row r="340" ht="12.75" customHeight="1">
      <c r="G340" s="100">
        <f>100*(F340-E340)/F340</f>
        <v/>
      </c>
      <c r="P340" s="100">
        <f>O340/I340</f>
        <v/>
      </c>
      <c r="AA340" s="103">
        <f>IF(X340&lt;33,IF(Y340&gt;(1.1*X340),0,1),1)+IF(Y340&gt;(4*X340),-1,0)</f>
        <v/>
      </c>
      <c r="AC340" s="101">
        <f>IF(AB340&gt;9,1,0)+AB340/3+IF(AB340&gt;15,1,0)+IF(AB340&gt;20,1,0)</f>
        <v/>
      </c>
      <c r="AG340" s="101">
        <f>IF(G340&lt;0,0,1.2)+IF(G340&lt;14,0,0.9)+IF(P340&lt;0,0.7,0)+IF(P340&lt;6.5,1,0)+IF(P340&lt;23,1,0)+IF(R340&gt;80,0,1)+S340+IF(AD340&lt;20,0,1)+IF(AE340&lt;14,0,1)+IF(AF340&lt;26,0,1)</f>
        <v/>
      </c>
      <c r="AH340" s="101">
        <f>AG340+IF(AG340&gt;6,1,0)+IF(X340&lt;17,0,1)+IF(Y340&lt;11,0,1)+IF(Z340&lt;1.35,0,1)+AC340+AA340</f>
        <v/>
      </c>
      <c r="AJ340" s="104">
        <f>IF(AI340&gt;12.8,IF(AI340&gt;15.8,0.95,0.98),1)</f>
        <v/>
      </c>
      <c r="AK340" s="101">
        <f>((AG340*2.6+AH340)*AJ340*AQ340)</f>
        <v/>
      </c>
      <c r="AL340" s="50">
        <f>D340</f>
        <v/>
      </c>
      <c r="AM340" s="97">
        <f>B340</f>
        <v/>
      </c>
    </row>
    <row r="341" ht="12.75" customHeight="1">
      <c r="G341" s="100">
        <f>100*(F341-E341)/F341</f>
        <v/>
      </c>
      <c r="P341" s="100">
        <f>O341/I341</f>
        <v/>
      </c>
      <c r="AA341" s="103">
        <f>IF(X341&lt;33,IF(Y341&gt;(1.1*X341),0,1),1)+IF(Y341&gt;(4*X341),-1,0)</f>
        <v/>
      </c>
      <c r="AC341" s="101">
        <f>IF(AB341&gt;9,1,0)+AB341/3+IF(AB341&gt;15,1,0)+IF(AB341&gt;20,1,0)</f>
        <v/>
      </c>
      <c r="AG341" s="101">
        <f>IF(G341&lt;0,0,1.2)+IF(G341&lt;14,0,0.9)+IF(P341&lt;0,0.7,0)+IF(P341&lt;6.5,1,0)+IF(P341&lt;23,1,0)+IF(R341&gt;80,0,1)+S341+IF(AD341&lt;20,0,1)+IF(AE341&lt;14,0,1)+IF(AF341&lt;26,0,1)</f>
        <v/>
      </c>
      <c r="AH341" s="101">
        <f>AG341+IF(AG341&gt;6,1,0)+IF(X341&lt;17,0,1)+IF(Y341&lt;11,0,1)+IF(Z341&lt;1.35,0,1)+AC341+AA341</f>
        <v/>
      </c>
      <c r="AJ341" s="104">
        <f>IF(AI341&gt;12.8,IF(AI341&gt;15.8,0.95,0.98),1)</f>
        <v/>
      </c>
      <c r="AK341" s="101">
        <f>((AG341*2.6+AH341)*AJ341*AQ341)</f>
        <v/>
      </c>
      <c r="AL341" s="50">
        <f>D341</f>
        <v/>
      </c>
      <c r="AM341" s="97">
        <f>B341</f>
        <v/>
      </c>
    </row>
    <row r="342" ht="12.75" customHeight="1">
      <c r="G342" s="100">
        <f>100*(F342-E342)/F342</f>
        <v/>
      </c>
      <c r="P342" s="100">
        <f>O342/I342</f>
        <v/>
      </c>
      <c r="AA342" s="103">
        <f>IF(X342&lt;33,IF(Y342&gt;(1.1*X342),0,1),1)+IF(Y342&gt;(4*X342),-1,0)</f>
        <v/>
      </c>
      <c r="AC342" s="101">
        <f>IF(AB342&gt;9,1,0)+AB342/3+IF(AB342&gt;15,1,0)+IF(AB342&gt;20,1,0)</f>
        <v/>
      </c>
      <c r="AG342" s="101">
        <f>IF(G342&lt;0,0,1.2)+IF(G342&lt;14,0,0.9)+IF(P342&lt;0,0.7,0)+IF(P342&lt;6.5,1,0)+IF(P342&lt;23,1,0)+IF(R342&gt;80,0,1)+S342+IF(AD342&lt;20,0,1)+IF(AE342&lt;14,0,1)+IF(AF342&lt;26,0,1)</f>
        <v/>
      </c>
      <c r="AH342" s="101">
        <f>AG342+IF(AG342&gt;6,1,0)+IF(X342&lt;17,0,1)+IF(Y342&lt;11,0,1)+IF(Z342&lt;1.35,0,1)+AC342+AA342</f>
        <v/>
      </c>
      <c r="AJ342" s="104">
        <f>IF(AI342&gt;12.8,IF(AI342&gt;15.8,0.95,0.98),1)</f>
        <v/>
      </c>
      <c r="AK342" s="101">
        <f>((AG342*2.6+AH342)*AJ342*AQ342)</f>
        <v/>
      </c>
      <c r="AL342" s="50">
        <f>D342</f>
        <v/>
      </c>
      <c r="AM342" s="97">
        <f>B342</f>
        <v/>
      </c>
    </row>
    <row r="343" ht="12.75" customHeight="1">
      <c r="G343" s="100">
        <f>100*(F343-E343)/F343</f>
        <v/>
      </c>
      <c r="P343" s="100">
        <f>O343/I343</f>
        <v/>
      </c>
      <c r="AA343" s="103">
        <f>IF(X343&lt;33,IF(Y343&gt;(1.1*X343),0,1),1)+IF(Y343&gt;(4*X343),-1,0)</f>
        <v/>
      </c>
      <c r="AC343" s="101">
        <f>IF(AB343&gt;9,1,0)+AB343/3+IF(AB343&gt;15,1,0)+IF(AB343&gt;20,1,0)</f>
        <v/>
      </c>
      <c r="AG343" s="101">
        <f>IF(G343&lt;0,0,1.2)+IF(G343&lt;14,0,0.9)+IF(P343&lt;0,0.7,0)+IF(P343&lt;6.5,1,0)+IF(P343&lt;23,1,0)+IF(R343&gt;80,0,1)+S343+IF(AD343&lt;20,0,1)+IF(AE343&lt;14,0,1)+IF(AF343&lt;26,0,1)</f>
        <v/>
      </c>
      <c r="AH343" s="101">
        <f>AG343+IF(AG343&gt;6,1,0)+IF(X343&lt;17,0,1)+IF(Y343&lt;11,0,1)+IF(Z343&lt;1.35,0,1)+AC343+AA343</f>
        <v/>
      </c>
      <c r="AJ343" s="104">
        <f>IF(AI343&gt;12.8,IF(AI343&gt;15.8,0.95,0.98),1)</f>
        <v/>
      </c>
      <c r="AK343" s="101">
        <f>((AG343*2.6+AH343)*AJ343*AQ343)</f>
        <v/>
      </c>
      <c r="AL343" s="50">
        <f>D343</f>
        <v/>
      </c>
      <c r="AM343" s="97">
        <f>B343</f>
        <v/>
      </c>
    </row>
    <row r="344" ht="12.75" customHeight="1">
      <c r="G344" s="100">
        <f>100*(F344-E344)/F344</f>
        <v/>
      </c>
      <c r="P344" s="100">
        <f>O344/I344</f>
        <v/>
      </c>
      <c r="AA344" s="103">
        <f>IF(X344&lt;33,IF(Y344&gt;(1.1*X344),0,1),1)+IF(Y344&gt;(4*X344),-1,0)</f>
        <v/>
      </c>
      <c r="AC344" s="101">
        <f>IF(AB344&gt;9,1,0)+AB344/3+IF(AB344&gt;15,1,0)+IF(AB344&gt;20,1,0)</f>
        <v/>
      </c>
      <c r="AG344" s="101">
        <f>IF(G344&lt;0,0,1.2)+IF(G344&lt;14,0,0.9)+IF(P344&lt;0,0.7,0)+IF(P344&lt;6.5,1,0)+IF(P344&lt;23,1,0)+IF(R344&gt;80,0,1)+S344+IF(AD344&lt;20,0,1)+IF(AE344&lt;14,0,1)+IF(AF344&lt;26,0,1)</f>
        <v/>
      </c>
      <c r="AH344" s="101">
        <f>AG344+IF(AG344&gt;6,1,0)+IF(X344&lt;17,0,1)+IF(Y344&lt;11,0,1)+IF(Z344&lt;1.35,0,1)+AC344+AA344</f>
        <v/>
      </c>
      <c r="AJ344" s="104">
        <f>IF(AI344&gt;12.8,IF(AI344&gt;15.8,0.95,0.98),1)</f>
        <v/>
      </c>
      <c r="AK344" s="101">
        <f>((AG344*2.6+AH344)*AJ344*AQ344)</f>
        <v/>
      </c>
      <c r="AL344" s="50">
        <f>D344</f>
        <v/>
      </c>
      <c r="AM344" s="97">
        <f>B344</f>
        <v/>
      </c>
    </row>
    <row r="345" ht="12.75" customHeight="1">
      <c r="G345" s="100">
        <f>100*(F345-E345)/F345</f>
        <v/>
      </c>
      <c r="P345" s="100">
        <f>O345/I345</f>
        <v/>
      </c>
      <c r="AA345" s="103">
        <f>IF(X345&lt;33,IF(Y345&gt;(1.1*X345),0,1),1)+IF(Y345&gt;(4*X345),-1,0)</f>
        <v/>
      </c>
      <c r="AC345" s="101">
        <f>IF(AB345&gt;9,1,0)+AB345/3+IF(AB345&gt;15,1,0)+IF(AB345&gt;20,1,0)</f>
        <v/>
      </c>
      <c r="AG345" s="101">
        <f>IF(G345&lt;0,0,1.2)+IF(G345&lt;14,0,0.9)+IF(P345&lt;0,0.7,0)+IF(P345&lt;6.5,1,0)+IF(P345&lt;23,1,0)+IF(R345&gt;80,0,1)+S345+IF(AD345&lt;20,0,1)+IF(AE345&lt;14,0,1)+IF(AF345&lt;26,0,1)</f>
        <v/>
      </c>
      <c r="AH345" s="101">
        <f>AG345+IF(AG345&gt;6,1,0)+IF(X345&lt;17,0,1)+IF(Y345&lt;11,0,1)+IF(Z345&lt;1.35,0,1)+AC345+AA345</f>
        <v/>
      </c>
      <c r="AJ345" s="104">
        <f>IF(AI345&gt;12.8,IF(AI345&gt;15.8,0.95,0.98),1)</f>
        <v/>
      </c>
      <c r="AK345" s="101">
        <f>((AG345*2.6+AH345)*AJ345*AQ345)</f>
        <v/>
      </c>
      <c r="AL345" s="50">
        <f>D345</f>
        <v/>
      </c>
      <c r="AM345" s="97">
        <f>B345</f>
        <v/>
      </c>
    </row>
    <row r="346" ht="12.75" customHeight="1">
      <c r="G346" s="100">
        <f>100*(F346-E346)/F346</f>
        <v/>
      </c>
      <c r="P346" s="100">
        <f>O346/I346</f>
        <v/>
      </c>
      <c r="AA346" s="103">
        <f>IF(X346&lt;33,IF(Y346&gt;(1.1*X346),0,1),1)+IF(Y346&gt;(4*X346),-1,0)</f>
        <v/>
      </c>
      <c r="AC346" s="101">
        <f>IF(AB346&gt;9,1,0)+AB346/3+IF(AB346&gt;15,1,0)+IF(AB346&gt;20,1,0)</f>
        <v/>
      </c>
      <c r="AG346" s="101">
        <f>IF(G346&lt;0,0,1.2)+IF(G346&lt;14,0,0.9)+IF(P346&lt;0,0.7,0)+IF(P346&lt;6.5,1,0)+IF(P346&lt;23,1,0)+IF(R346&gt;80,0,1)+S346+IF(AD346&lt;20,0,1)+IF(AE346&lt;14,0,1)+IF(AF346&lt;26,0,1)</f>
        <v/>
      </c>
      <c r="AH346" s="101">
        <f>AG346+IF(AG346&gt;6,1,0)+IF(X346&lt;17,0,1)+IF(Y346&lt;11,0,1)+IF(Z346&lt;1.35,0,1)+AC346+AA346</f>
        <v/>
      </c>
      <c r="AJ346" s="104">
        <f>IF(AI346&gt;12.8,IF(AI346&gt;15.8,0.95,0.98),1)</f>
        <v/>
      </c>
      <c r="AK346" s="101">
        <f>((AG346*2.6+AH346)*AJ346*AQ346)</f>
        <v/>
      </c>
      <c r="AL346" s="50">
        <f>D346</f>
        <v/>
      </c>
      <c r="AM346" s="97">
        <f>B346</f>
        <v/>
      </c>
    </row>
    <row r="347" ht="12.75" customHeight="1">
      <c r="G347" s="100">
        <f>100*(F347-E347)/F347</f>
        <v/>
      </c>
      <c r="P347" s="100">
        <f>O347/I347</f>
        <v/>
      </c>
      <c r="AA347" s="103">
        <f>IF(X347&lt;33,IF(Y347&gt;(1.1*X347),0,1),1)+IF(Y347&gt;(4*X347),-1,0)</f>
        <v/>
      </c>
      <c r="AC347" s="101">
        <f>IF(AB347&gt;9,1,0)+AB347/3+IF(AB347&gt;15,1,0)+IF(AB347&gt;20,1,0)</f>
        <v/>
      </c>
      <c r="AG347" s="101">
        <f>IF(G347&lt;0,0,1.2)+IF(G347&lt;14,0,0.9)+IF(P347&lt;0,0.7,0)+IF(P347&lt;6.5,1,0)+IF(P347&lt;23,1,0)+IF(R347&gt;80,0,1)+S347+IF(AD347&lt;20,0,1)+IF(AE347&lt;14,0,1)+IF(AF347&lt;26,0,1)</f>
        <v/>
      </c>
      <c r="AH347" s="101">
        <f>AG347+IF(AG347&gt;6,1,0)+IF(X347&lt;17,0,1)+IF(Y347&lt;11,0,1)+IF(Z347&lt;1.35,0,1)+AC347+AA347</f>
        <v/>
      </c>
      <c r="AJ347" s="104">
        <f>IF(AI347&gt;12.8,IF(AI347&gt;15.8,0.95,0.98),1)</f>
        <v/>
      </c>
      <c r="AK347" s="101">
        <f>((AG347*2.6+AH347)*AJ347*AQ347)</f>
        <v/>
      </c>
      <c r="AL347" s="50">
        <f>D347</f>
        <v/>
      </c>
      <c r="AM347" s="97">
        <f>B347</f>
        <v/>
      </c>
    </row>
    <row r="348" ht="12.75" customHeight="1">
      <c r="G348" s="100">
        <f>100*(F348-E348)/F348</f>
        <v/>
      </c>
      <c r="P348" s="100">
        <f>O348/I348</f>
        <v/>
      </c>
      <c r="AA348" s="103">
        <f>IF(X348&lt;33,IF(Y348&gt;(1.1*X348),0,1),1)+IF(Y348&gt;(4*X348),-1,0)</f>
        <v/>
      </c>
      <c r="AC348" s="101">
        <f>IF(AB348&gt;9,1,0)+AB348/3+IF(AB348&gt;15,1,0)+IF(AB348&gt;20,1,0)</f>
        <v/>
      </c>
      <c r="AG348" s="101">
        <f>IF(G348&lt;0,0,1.2)+IF(G348&lt;14,0,0.9)+IF(P348&lt;0,0.7,0)+IF(P348&lt;6.5,1,0)+IF(P348&lt;23,1,0)+IF(R348&gt;80,0,1)+S348+IF(AD348&lt;20,0,1)+IF(AE348&lt;14,0,1)+IF(AF348&lt;26,0,1)</f>
        <v/>
      </c>
      <c r="AH348" s="101">
        <f>AG348+IF(AG348&gt;6,1,0)+IF(X348&lt;17,0,1)+IF(Y348&lt;11,0,1)+IF(Z348&lt;1.35,0,1)+AC348+AA348</f>
        <v/>
      </c>
      <c r="AJ348" s="104">
        <f>IF(AI348&gt;12.8,IF(AI348&gt;15.8,0.95,0.98),1)</f>
        <v/>
      </c>
      <c r="AK348" s="101">
        <f>((AG348*2.6+AH348)*AJ348*AQ348)</f>
        <v/>
      </c>
      <c r="AL348" s="50">
        <f>D348</f>
        <v/>
      </c>
      <c r="AM348" s="97">
        <f>B348</f>
        <v/>
      </c>
    </row>
    <row r="349" ht="12.75" customHeight="1">
      <c r="G349" s="100">
        <f>100*(F349-E349)/F349</f>
        <v/>
      </c>
      <c r="P349" s="100">
        <f>O349/I349</f>
        <v/>
      </c>
      <c r="AA349" s="103">
        <f>IF(X349&lt;33,IF(Y349&gt;(1.1*X349),0,1),1)+IF(Y349&gt;(4*X349),-1,0)</f>
        <v/>
      </c>
      <c r="AC349" s="101">
        <f>IF(AB349&gt;9,1,0)+AB349/3+IF(AB349&gt;15,1,0)+IF(AB349&gt;20,1,0)</f>
        <v/>
      </c>
      <c r="AG349" s="101">
        <f>IF(G349&lt;0,0,1.2)+IF(G349&lt;14,0,0.9)+IF(P349&lt;0,0.7,0)+IF(P349&lt;6.5,1,0)+IF(P349&lt;23,1,0)+IF(R349&gt;80,0,1)+S349+IF(AD349&lt;20,0,1)+IF(AE349&lt;14,0,1)+IF(AF349&lt;26,0,1)</f>
        <v/>
      </c>
      <c r="AH349" s="101">
        <f>AG349+IF(AG349&gt;6,1,0)+IF(X349&lt;17,0,1)+IF(Y349&lt;11,0,1)+IF(Z349&lt;1.35,0,1)+AC349+AA349</f>
        <v/>
      </c>
      <c r="AJ349" s="104">
        <f>IF(AI349&gt;12.8,IF(AI349&gt;15.8,0.95,0.98),1)</f>
        <v/>
      </c>
      <c r="AK349" s="101">
        <f>((AG349*2.6+AH349)*AJ349*AQ349)</f>
        <v/>
      </c>
      <c r="AL349" s="50">
        <f>D349</f>
        <v/>
      </c>
      <c r="AM349" s="97">
        <f>B349</f>
        <v/>
      </c>
    </row>
    <row r="350" ht="12.75" customHeight="1">
      <c r="G350" s="100">
        <f>100*(F350-E350)/F350</f>
        <v/>
      </c>
      <c r="P350" s="100">
        <f>O350/I350</f>
        <v/>
      </c>
      <c r="AA350" s="103">
        <f>IF(X350&lt;33,IF(Y350&gt;(1.1*X350),0,1),1)+IF(Y350&gt;(4*X350),-1,0)</f>
        <v/>
      </c>
      <c r="AC350" s="101">
        <f>IF(AB350&gt;9,1,0)+AB350/3+IF(AB350&gt;15,1,0)+IF(AB350&gt;20,1,0)</f>
        <v/>
      </c>
      <c r="AG350" s="101">
        <f>IF(G350&lt;0,0,1.2)+IF(G350&lt;14,0,0.9)+IF(P350&lt;0,0.7,0)+IF(P350&lt;6.5,1,0)+IF(P350&lt;23,1,0)+IF(R350&gt;80,0,1)+S350+IF(AD350&lt;20,0,1)+IF(AE350&lt;14,0,1)+IF(AF350&lt;26,0,1)</f>
        <v/>
      </c>
      <c r="AH350" s="101">
        <f>AG350+IF(AG350&gt;6,1,0)+IF(X350&lt;17,0,1)+IF(Y350&lt;11,0,1)+IF(Z350&lt;1.35,0,1)+AC350+AA350</f>
        <v/>
      </c>
      <c r="AJ350" s="104">
        <f>IF(AI350&gt;12.8,IF(AI350&gt;15.8,0.95,0.98),1)</f>
        <v/>
      </c>
      <c r="AK350" s="101">
        <f>((AG350*2.6+AH350)*AJ350*AQ350)</f>
        <v/>
      </c>
      <c r="AL350" s="50">
        <f>D350</f>
        <v/>
      </c>
      <c r="AM350" s="97">
        <f>B350</f>
        <v/>
      </c>
    </row>
    <row r="351" ht="12.75" customHeight="1">
      <c r="G351" s="100">
        <f>100*(F351-E351)/F351</f>
        <v/>
      </c>
      <c r="P351" s="100">
        <f>O351/I351</f>
        <v/>
      </c>
      <c r="AA351" s="103">
        <f>IF(X351&lt;33,IF(Y351&gt;(1.1*X351),0,1),1)+IF(Y351&gt;(4*X351),-1,0)</f>
        <v/>
      </c>
      <c r="AC351" s="101">
        <f>IF(AB351&gt;9,1,0)+AB351/3+IF(AB351&gt;15,1,0)+IF(AB351&gt;20,1,0)</f>
        <v/>
      </c>
      <c r="AG351" s="101">
        <f>IF(G351&lt;0,0,1.2)+IF(G351&lt;14,0,0.9)+IF(P351&lt;0,0.7,0)+IF(P351&lt;6.5,1,0)+IF(P351&lt;23,1,0)+IF(R351&gt;80,0,1)+S351+IF(AD351&lt;20,0,1)+IF(AE351&lt;14,0,1)+IF(AF351&lt;26,0,1)</f>
        <v/>
      </c>
      <c r="AH351" s="101">
        <f>AG351+IF(AG351&gt;6,1,0)+IF(X351&lt;17,0,1)+IF(Y351&lt;11,0,1)+IF(Z351&lt;1.35,0,1)+AC351+AA351</f>
        <v/>
      </c>
      <c r="AJ351" s="104">
        <f>IF(AI351&gt;12.8,IF(AI351&gt;15.8,0.95,0.98),1)</f>
        <v/>
      </c>
      <c r="AK351" s="101">
        <f>((AG351*2.6+AH351)*AJ351*AQ351)</f>
        <v/>
      </c>
      <c r="AL351" s="50">
        <f>D351</f>
        <v/>
      </c>
      <c r="AM351" s="97">
        <f>B351</f>
        <v/>
      </c>
    </row>
    <row r="352" ht="12.75" customHeight="1">
      <c r="G352" s="100">
        <f>100*(F352-E352)/F352</f>
        <v/>
      </c>
      <c r="P352" s="100">
        <f>O352/I352</f>
        <v/>
      </c>
      <c r="AA352" s="103">
        <f>IF(X352&lt;33,IF(Y352&gt;(1.1*X352),0,1),1)+IF(Y352&gt;(4*X352),-1,0)</f>
        <v/>
      </c>
      <c r="AC352" s="101">
        <f>IF(AB352&gt;9,1,0)+AB352/3+IF(AB352&gt;15,1,0)+IF(AB352&gt;20,1,0)</f>
        <v/>
      </c>
      <c r="AG352" s="101">
        <f>IF(G352&lt;0,0,1.2)+IF(G352&lt;14,0,0.9)+IF(P352&lt;0,0.7,0)+IF(P352&lt;6.5,1,0)+IF(P352&lt;23,1,0)+IF(R352&gt;80,0,1)+S352+IF(AD352&lt;20,0,1)+IF(AE352&lt;14,0,1)+IF(AF352&lt;26,0,1)</f>
        <v/>
      </c>
      <c r="AH352" s="101">
        <f>AG352+IF(AG352&gt;6,1,0)+IF(X352&lt;17,0,1)+IF(Y352&lt;11,0,1)+IF(Z352&lt;1.35,0,1)+AC352+AA352</f>
        <v/>
      </c>
      <c r="AJ352" s="104">
        <f>IF(AI352&gt;12.8,IF(AI352&gt;15.8,0.95,0.98),1)</f>
        <v/>
      </c>
      <c r="AK352" s="101">
        <f>((AG352*2.6+AH352)*AJ352*AQ352)</f>
        <v/>
      </c>
      <c r="AL352" s="50">
        <f>D352</f>
        <v/>
      </c>
      <c r="AM352" s="97">
        <f>B352</f>
        <v/>
      </c>
    </row>
    <row r="353" ht="12.75" customHeight="1">
      <c r="G353" s="100">
        <f>100*(F353-E353)/F353</f>
        <v/>
      </c>
      <c r="P353" s="100">
        <f>O353/I353</f>
        <v/>
      </c>
      <c r="AA353" s="103">
        <f>IF(X353&lt;33,IF(Y353&gt;(1.1*X353),0,1),1)+IF(Y353&gt;(4*X353),-1,0)</f>
        <v/>
      </c>
      <c r="AC353" s="101">
        <f>IF(AB353&gt;9,1,0)+AB353/3+IF(AB353&gt;15,1,0)+IF(AB353&gt;20,1,0)</f>
        <v/>
      </c>
      <c r="AG353" s="101">
        <f>IF(G353&lt;0,0,1.2)+IF(G353&lt;14,0,0.9)+IF(P353&lt;0,0.7,0)+IF(P353&lt;6.5,1,0)+IF(P353&lt;23,1,0)+IF(R353&gt;80,0,1)+S353+IF(AD353&lt;20,0,1)+IF(AE353&lt;14,0,1)+IF(AF353&lt;26,0,1)</f>
        <v/>
      </c>
      <c r="AH353" s="101">
        <f>AG353+IF(AG353&gt;6,1,0)+IF(X353&lt;17,0,1)+IF(Y353&lt;11,0,1)+IF(Z353&lt;1.35,0,1)+AC353+AA353</f>
        <v/>
      </c>
      <c r="AJ353" s="104">
        <f>IF(AI353&gt;12.8,IF(AI353&gt;15.8,0.95,0.98),1)</f>
        <v/>
      </c>
      <c r="AK353" s="101">
        <f>((AG353*2.6+AH353)*AJ353*AQ353)</f>
        <v/>
      </c>
      <c r="AL353" s="50">
        <f>D353</f>
        <v/>
      </c>
      <c r="AM353" s="97">
        <f>B353</f>
        <v/>
      </c>
    </row>
    <row r="354" ht="12.75" customHeight="1">
      <c r="G354" s="100">
        <f>100*(F354-E354)/F354</f>
        <v/>
      </c>
      <c r="P354" s="100">
        <f>O354/I354</f>
        <v/>
      </c>
      <c r="AA354" s="103">
        <f>IF(X354&lt;33,IF(Y354&gt;(1.1*X354),0,1),1)+IF(Y354&gt;(4*X354),-1,0)</f>
        <v/>
      </c>
      <c r="AC354" s="101">
        <f>IF(AB354&gt;9,1,0)+AB354/3+IF(AB354&gt;15,1,0)+IF(AB354&gt;20,1,0)</f>
        <v/>
      </c>
      <c r="AG354" s="101">
        <f>IF(G354&lt;0,0,1.2)+IF(G354&lt;14,0,0.9)+IF(P354&lt;0,0.7,0)+IF(P354&lt;6.5,1,0)+IF(P354&lt;23,1,0)+IF(R354&gt;80,0,1)+S354+IF(AD354&lt;20,0,1)+IF(AE354&lt;14,0,1)+IF(AF354&lt;26,0,1)</f>
        <v/>
      </c>
      <c r="AH354" s="101">
        <f>AG354+IF(AG354&gt;6,1,0)+IF(X354&lt;17,0,1)+IF(Y354&lt;11,0,1)+IF(Z354&lt;1.35,0,1)+AC354+AA354</f>
        <v/>
      </c>
      <c r="AJ354" s="104">
        <f>IF(AI354&gt;12.8,IF(AI354&gt;15.8,0.95,0.98),1)</f>
        <v/>
      </c>
      <c r="AK354" s="101">
        <f>((AG354*2.6+AH354)*AJ354*AQ354)</f>
        <v/>
      </c>
      <c r="AL354" s="50">
        <f>D354</f>
        <v/>
      </c>
      <c r="AM354" s="97">
        <f>B354</f>
        <v/>
      </c>
    </row>
    <row r="355" ht="12.75" customHeight="1">
      <c r="G355" s="100">
        <f>100*(F355-E355)/F355</f>
        <v/>
      </c>
      <c r="P355" s="100">
        <f>O355/I355</f>
        <v/>
      </c>
      <c r="AA355" s="103">
        <f>IF(X355&lt;33,IF(Y355&gt;(1.1*X355),0,1),1)+IF(Y355&gt;(4*X355),-1,0)</f>
        <v/>
      </c>
      <c r="AC355" s="101">
        <f>IF(AB355&gt;9,1,0)+AB355/3+IF(AB355&gt;15,1,0)+IF(AB355&gt;20,1,0)</f>
        <v/>
      </c>
      <c r="AG355" s="101">
        <f>IF(G355&lt;0,0,1.2)+IF(G355&lt;14,0,0.9)+IF(P355&lt;0,0.7,0)+IF(P355&lt;6.5,1,0)+IF(P355&lt;23,1,0)+IF(R355&gt;80,0,1)+S355+IF(AD355&lt;20,0,1)+IF(AE355&lt;14,0,1)+IF(AF355&lt;26,0,1)</f>
        <v/>
      </c>
      <c r="AH355" s="101">
        <f>AG355+IF(AG355&gt;6,1,0)+IF(X355&lt;17,0,1)+IF(Y355&lt;11,0,1)+IF(Z355&lt;1.35,0,1)+AC355+AA355</f>
        <v/>
      </c>
      <c r="AJ355" s="104">
        <f>IF(AI355&gt;12.8,IF(AI355&gt;15.8,0.95,0.98),1)</f>
        <v/>
      </c>
      <c r="AK355" s="101">
        <f>((AG355*2.6+AH355)*AJ355*AQ355)</f>
        <v/>
      </c>
      <c r="AL355" s="50">
        <f>D355</f>
        <v/>
      </c>
      <c r="AM355" s="97">
        <f>B355</f>
        <v/>
      </c>
    </row>
    <row r="356" ht="12.75" customHeight="1">
      <c r="G356" s="100">
        <f>100*(F356-E356)/F356</f>
        <v/>
      </c>
      <c r="P356" s="100">
        <f>O356/I356</f>
        <v/>
      </c>
      <c r="AA356" s="103">
        <f>IF(X356&lt;33,IF(Y356&gt;(1.1*X356),0,1),1)+IF(Y356&gt;(4*X356),-1,0)</f>
        <v/>
      </c>
      <c r="AC356" s="101">
        <f>IF(AB356&gt;9,1,0)+AB356/3+IF(AB356&gt;15,1,0)+IF(AB356&gt;20,1,0)</f>
        <v/>
      </c>
      <c r="AG356" s="101">
        <f>IF(G356&lt;0,0,1.2)+IF(G356&lt;14,0,0.9)+IF(P356&lt;0,0.7,0)+IF(P356&lt;6.5,1,0)+IF(P356&lt;23,1,0)+IF(R356&gt;80,0,1)+S356+IF(AD356&lt;20,0,1)+IF(AE356&lt;14,0,1)+IF(AF356&lt;26,0,1)</f>
        <v/>
      </c>
      <c r="AH356" s="101">
        <f>AG356+IF(AG356&gt;6,1,0)+IF(X356&lt;17,0,1)+IF(Y356&lt;11,0,1)+IF(Z356&lt;1.35,0,1)+AC356+AA356</f>
        <v/>
      </c>
      <c r="AJ356" s="104">
        <f>IF(AI356&gt;12.8,IF(AI356&gt;15.8,0.95,0.98),1)</f>
        <v/>
      </c>
      <c r="AK356" s="101">
        <f>((AG356*2.6+AH356)*AJ356*AQ356)</f>
        <v/>
      </c>
      <c r="AL356" s="50">
        <f>D356</f>
        <v/>
      </c>
      <c r="AM356" s="97">
        <f>B356</f>
        <v/>
      </c>
    </row>
    <row r="357" ht="12.75" customHeight="1">
      <c r="G357" s="100">
        <f>100*(F357-E357)/F357</f>
        <v/>
      </c>
      <c r="P357" s="100">
        <f>O357/I357</f>
        <v/>
      </c>
      <c r="AA357" s="103">
        <f>IF(X357&lt;33,IF(Y357&gt;(1.1*X357),0,1),1)+IF(Y357&gt;(4*X357),-1,0)</f>
        <v/>
      </c>
      <c r="AC357" s="101">
        <f>IF(AB357&gt;9,1,0)+AB357/3+IF(AB357&gt;15,1,0)+IF(AB357&gt;20,1,0)</f>
        <v/>
      </c>
      <c r="AG357" s="101">
        <f>IF(G357&lt;0,0,1.2)+IF(G357&lt;14,0,0.9)+IF(P357&lt;0,0.7,0)+IF(P357&lt;6.5,1,0)+IF(P357&lt;23,1,0)+IF(R357&gt;80,0,1)+S357+IF(AD357&lt;20,0,1)+IF(AE357&lt;14,0,1)+IF(AF357&lt;26,0,1)</f>
        <v/>
      </c>
      <c r="AH357" s="101">
        <f>AG357+IF(AG357&gt;6,1,0)+IF(X357&lt;17,0,1)+IF(Y357&lt;11,0,1)+IF(Z357&lt;1.35,0,1)+AC357+AA357</f>
        <v/>
      </c>
      <c r="AJ357" s="104">
        <f>IF(AI357&gt;12.8,IF(AI357&gt;15.8,0.95,0.98),1)</f>
        <v/>
      </c>
      <c r="AK357" s="101">
        <f>((AG357*2.6+AH357)*AJ357*AQ357)</f>
        <v/>
      </c>
      <c r="AL357" s="50">
        <f>D357</f>
        <v/>
      </c>
      <c r="AM357" s="97">
        <f>B357</f>
        <v/>
      </c>
    </row>
    <row r="358" ht="12.75" customHeight="1">
      <c r="G358" s="100">
        <f>100*(F358-E358)/F358</f>
        <v/>
      </c>
      <c r="P358" s="100">
        <f>O358/I358</f>
        <v/>
      </c>
      <c r="AA358" s="103">
        <f>IF(X358&lt;33,IF(Y358&gt;(1.1*X358),0,1),1)+IF(Y358&gt;(4*X358),-1,0)</f>
        <v/>
      </c>
      <c r="AC358" s="101">
        <f>IF(AB358&gt;9,1,0)+AB358/3+IF(AB358&gt;15,1,0)+IF(AB358&gt;20,1,0)</f>
        <v/>
      </c>
      <c r="AG358" s="101">
        <f>IF(G358&lt;0,0,1.2)+IF(G358&lt;14,0,0.9)+IF(P358&lt;0,0.7,0)+IF(P358&lt;6.5,1,0)+IF(P358&lt;23,1,0)+IF(R358&gt;80,0,1)+S358+IF(AD358&lt;20,0,1)+IF(AE358&lt;14,0,1)+IF(AF358&lt;26,0,1)</f>
        <v/>
      </c>
      <c r="AH358" s="101">
        <f>AG358+IF(AG358&gt;6,1,0)+IF(X358&lt;17,0,1)+IF(Y358&lt;11,0,1)+IF(Z358&lt;1.35,0,1)+AC358+AA358</f>
        <v/>
      </c>
      <c r="AJ358" s="104">
        <f>IF(AI358&gt;12.8,IF(AI358&gt;15.8,0.95,0.98),1)</f>
        <v/>
      </c>
      <c r="AK358" s="101">
        <f>((AG358*2.6+AH358)*AJ358*AQ358)</f>
        <v/>
      </c>
      <c r="AL358" s="50">
        <f>D358</f>
        <v/>
      </c>
      <c r="AM358" s="97">
        <f>B358</f>
        <v/>
      </c>
    </row>
    <row r="359" ht="12.75" customHeight="1">
      <c r="G359" s="100">
        <f>100*(F359-E359)/F359</f>
        <v/>
      </c>
      <c r="P359" s="100">
        <f>O359/I359</f>
        <v/>
      </c>
      <c r="AA359" s="103">
        <f>IF(X359&lt;33,IF(Y359&gt;(1.1*X359),0,1),1)+IF(Y359&gt;(4*X359),-1,0)</f>
        <v/>
      </c>
      <c r="AC359" s="101">
        <f>IF(AB359&gt;9,1,0)+AB359/3+IF(AB359&gt;15,1,0)+IF(AB359&gt;20,1,0)</f>
        <v/>
      </c>
      <c r="AG359" s="101">
        <f>IF(G359&lt;0,0,1.2)+IF(G359&lt;14,0,0.9)+IF(P359&lt;0,0.7,0)+IF(P359&lt;6.5,1,0)+IF(P359&lt;23,1,0)+IF(R359&gt;80,0,1)+S359+IF(AD359&lt;20,0,1)+IF(AE359&lt;14,0,1)+IF(AF359&lt;26,0,1)</f>
        <v/>
      </c>
      <c r="AH359" s="101">
        <f>AG359+IF(AG359&gt;6,1,0)+IF(X359&lt;17,0,1)+IF(Y359&lt;11,0,1)+IF(Z359&lt;1.35,0,1)+AC359+AA359</f>
        <v/>
      </c>
      <c r="AJ359" s="104">
        <f>IF(AI359&gt;12.8,IF(AI359&gt;15.8,0.95,0.98),1)</f>
        <v/>
      </c>
      <c r="AK359" s="101">
        <f>((AG359*2.6+AH359)*AJ359*AQ359)</f>
        <v/>
      </c>
      <c r="AL359" s="50">
        <f>D359</f>
        <v/>
      </c>
      <c r="AM359" s="97">
        <f>B359</f>
        <v/>
      </c>
    </row>
    <row r="360" ht="12.75" customHeight="1">
      <c r="G360" s="100">
        <f>100*(F360-E360)/F360</f>
        <v/>
      </c>
      <c r="P360" s="100">
        <f>O360/I360</f>
        <v/>
      </c>
      <c r="AA360" s="103">
        <f>IF(X360&lt;33,IF(Y360&gt;(1.1*X360),0,1),1)+IF(Y360&gt;(4*X360),-1,0)</f>
        <v/>
      </c>
      <c r="AC360" s="101">
        <f>IF(AB360&gt;9,1,0)+AB360/3+IF(AB360&gt;15,1,0)+IF(AB360&gt;20,1,0)</f>
        <v/>
      </c>
      <c r="AG360" s="101">
        <f>IF(G360&lt;0,0,1.2)+IF(G360&lt;14,0,0.9)+IF(P360&lt;0,0.7,0)+IF(P360&lt;6.5,1,0)+IF(P360&lt;23,1,0)+IF(R360&gt;80,0,1)+S360+IF(AD360&lt;20,0,1)+IF(AE360&lt;14,0,1)+IF(AF360&lt;26,0,1)</f>
        <v/>
      </c>
      <c r="AH360" s="101">
        <f>AG360+IF(AG360&gt;6,1,0)+IF(X360&lt;17,0,1)+IF(Y360&lt;11,0,1)+IF(Z360&lt;1.35,0,1)+AC360+AA360</f>
        <v/>
      </c>
      <c r="AJ360" s="104">
        <f>IF(AI360&gt;12.8,IF(AI360&gt;15.8,0.95,0.98),1)</f>
        <v/>
      </c>
      <c r="AK360" s="101">
        <f>((AG360*2.6+AH360)*AJ360*AQ360)</f>
        <v/>
      </c>
      <c r="AL360" s="50">
        <f>D360</f>
        <v/>
      </c>
      <c r="AM360" s="97">
        <f>B360</f>
        <v/>
      </c>
    </row>
    <row r="361" ht="12.75" customHeight="1">
      <c r="G361" s="100">
        <f>100*(F361-E361)/F361</f>
        <v/>
      </c>
      <c r="P361" s="100">
        <f>O361/I361</f>
        <v/>
      </c>
      <c r="AA361" s="103">
        <f>IF(X361&lt;33,IF(Y361&gt;(1.1*X361),0,1),1)+IF(Y361&gt;(4*X361),-1,0)</f>
        <v/>
      </c>
      <c r="AC361" s="101">
        <f>IF(AB361&gt;9,1,0)+AB361/3+IF(AB361&gt;15,1,0)+IF(AB361&gt;20,1,0)</f>
        <v/>
      </c>
      <c r="AG361" s="101">
        <f>IF(G361&lt;0,0,1.2)+IF(G361&lt;14,0,0.9)+IF(P361&lt;0,0.7,0)+IF(P361&lt;6.5,1,0)+IF(P361&lt;23,1,0)+IF(R361&gt;80,0,1)+S361+IF(AD361&lt;20,0,1)+IF(AE361&lt;14,0,1)+IF(AF361&lt;26,0,1)</f>
        <v/>
      </c>
      <c r="AH361" s="101">
        <f>AG361+IF(AG361&gt;6,1,0)+IF(X361&lt;17,0,1)+IF(Y361&lt;11,0,1)+IF(Z361&lt;1.35,0,1)+AC361+AA361</f>
        <v/>
      </c>
      <c r="AJ361" s="104">
        <f>IF(AI361&gt;12.8,IF(AI361&gt;15.8,0.95,0.98),1)</f>
        <v/>
      </c>
      <c r="AK361" s="101">
        <f>((AG361*2.6+AH361)*AJ361*AQ361)</f>
        <v/>
      </c>
      <c r="AL361" s="50">
        <f>D361</f>
        <v/>
      </c>
      <c r="AM361" s="97">
        <f>B361</f>
        <v/>
      </c>
    </row>
    <row r="362" ht="12.75" customHeight="1">
      <c r="G362" s="100">
        <f>100*(F362-E362)/F362</f>
        <v/>
      </c>
      <c r="P362" s="100">
        <f>O362/I362</f>
        <v/>
      </c>
      <c r="AA362" s="103">
        <f>IF(X362&lt;33,IF(Y362&gt;(1.1*X362),0,1),1)+IF(Y362&gt;(4*X362),-1,0)</f>
        <v/>
      </c>
      <c r="AC362" s="101">
        <f>IF(AB362&gt;9,1,0)+AB362/3+IF(AB362&gt;15,1,0)+IF(AB362&gt;20,1,0)</f>
        <v/>
      </c>
      <c r="AG362" s="101">
        <f>IF(G362&lt;0,0,1.2)+IF(G362&lt;14,0,0.9)+IF(P362&lt;0,0.7,0)+IF(P362&lt;6.5,1,0)+IF(P362&lt;23,1,0)+IF(R362&gt;80,0,1)+S362+IF(AD362&lt;20,0,1)+IF(AE362&lt;14,0,1)+IF(AF362&lt;26,0,1)</f>
        <v/>
      </c>
      <c r="AH362" s="101">
        <f>AG362+IF(AG362&gt;6,1,0)+IF(X362&lt;17,0,1)+IF(Y362&lt;11,0,1)+IF(Z362&lt;1.35,0,1)+AC362+AA362</f>
        <v/>
      </c>
      <c r="AJ362" s="104">
        <f>IF(AI362&gt;12.8,IF(AI362&gt;15.8,0.95,0.98),1)</f>
        <v/>
      </c>
      <c r="AK362" s="101">
        <f>((AG362*2.6+AH362)*AJ362*AQ362)</f>
        <v/>
      </c>
      <c r="AL362" s="50">
        <f>D362</f>
        <v/>
      </c>
      <c r="AM362" s="97">
        <f>B362</f>
        <v/>
      </c>
    </row>
    <row r="363" ht="12.75" customHeight="1">
      <c r="G363" s="100">
        <f>100*(F363-E363)/F363</f>
        <v/>
      </c>
      <c r="P363" s="100">
        <f>O363/I363</f>
        <v/>
      </c>
      <c r="AA363" s="103">
        <f>IF(X363&lt;33,IF(Y363&gt;(1.1*X363),0,1),1)+IF(Y363&gt;(4*X363),-1,0)</f>
        <v/>
      </c>
      <c r="AC363" s="101">
        <f>IF(AB363&gt;9,1,0)+AB363/3+IF(AB363&gt;15,1,0)+IF(AB363&gt;20,1,0)</f>
        <v/>
      </c>
      <c r="AG363" s="101">
        <f>IF(G363&lt;0,0,1.2)+IF(G363&lt;14,0,0.9)+IF(P363&lt;0,0.7,0)+IF(P363&lt;6.5,1,0)+IF(P363&lt;23,1,0)+IF(R363&gt;80,0,1)+S363+IF(AD363&lt;20,0,1)+IF(AE363&lt;14,0,1)+IF(AF363&lt;26,0,1)</f>
        <v/>
      </c>
      <c r="AH363" s="101">
        <f>AG363+IF(AG363&gt;6,1,0)+IF(X363&lt;17,0,1)+IF(Y363&lt;11,0,1)+IF(Z363&lt;1.35,0,1)+AC363+AA363</f>
        <v/>
      </c>
      <c r="AJ363" s="104">
        <f>IF(AI363&gt;12.8,IF(AI363&gt;15.8,0.95,0.98),1)</f>
        <v/>
      </c>
      <c r="AK363" s="101">
        <f>((AG363*2.6+AH363)*AJ363*AQ363)</f>
        <v/>
      </c>
      <c r="AL363" s="50">
        <f>D363</f>
        <v/>
      </c>
      <c r="AM363" s="97">
        <f>B363</f>
        <v/>
      </c>
    </row>
    <row r="364" ht="12.75" customHeight="1">
      <c r="G364" s="100">
        <f>100*(F364-E364)/F364</f>
        <v/>
      </c>
      <c r="P364" s="100">
        <f>O364/I364</f>
        <v/>
      </c>
      <c r="AA364" s="103">
        <f>IF(X364&lt;33,IF(Y364&gt;(1.1*X364),0,1),1)+IF(Y364&gt;(4*X364),-1,0)</f>
        <v/>
      </c>
      <c r="AC364" s="101">
        <f>IF(AB364&gt;9,1,0)+AB364/3+IF(AB364&gt;15,1,0)+IF(AB364&gt;20,1,0)</f>
        <v/>
      </c>
      <c r="AG364" s="101">
        <f>IF(G364&lt;0,0,1.2)+IF(G364&lt;14,0,0.9)+IF(P364&lt;0,0.7,0)+IF(P364&lt;6.5,1,0)+IF(P364&lt;23,1,0)+IF(R364&gt;80,0,1)+S364+IF(AD364&lt;20,0,1)+IF(AE364&lt;14,0,1)+IF(AF364&lt;26,0,1)</f>
        <v/>
      </c>
      <c r="AH364" s="101">
        <f>AG364+IF(AG364&gt;6,1,0)+IF(X364&lt;17,0,1)+IF(Y364&lt;11,0,1)+IF(Z364&lt;1.35,0,1)+AC364+AA364</f>
        <v/>
      </c>
      <c r="AJ364" s="104">
        <f>IF(AI364&gt;12.8,IF(AI364&gt;15.8,0.95,0.98),1)</f>
        <v/>
      </c>
      <c r="AK364" s="101">
        <f>((AG364*2.6+AH364)*AJ364*AQ364)</f>
        <v/>
      </c>
      <c r="AL364" s="50">
        <f>D364</f>
        <v/>
      </c>
      <c r="AM364" s="97">
        <f>B364</f>
        <v/>
      </c>
    </row>
    <row r="365" ht="12.75" customHeight="1">
      <c r="G365" s="100">
        <f>100*(F365-E365)/F365</f>
        <v/>
      </c>
      <c r="P365" s="100">
        <f>O365/I365</f>
        <v/>
      </c>
      <c r="AA365" s="103">
        <f>IF(X365&lt;33,IF(Y365&gt;(1.1*X365),0,1),1)+IF(Y365&gt;(4*X365),-1,0)</f>
        <v/>
      </c>
      <c r="AC365" s="101">
        <f>IF(AB365&gt;9,1,0)+AB365/3+IF(AB365&gt;15,1,0)+IF(AB365&gt;20,1,0)</f>
        <v/>
      </c>
      <c r="AG365" s="101">
        <f>IF(G365&lt;0,0,1.2)+IF(G365&lt;14,0,0.9)+IF(P365&lt;0,0.7,0)+IF(P365&lt;6.5,1,0)+IF(P365&lt;23,1,0)+IF(R365&gt;80,0,1)+S365+IF(AD365&lt;20,0,1)+IF(AE365&lt;14,0,1)+IF(AF365&lt;26,0,1)</f>
        <v/>
      </c>
      <c r="AH365" s="101">
        <f>AG365+IF(AG365&gt;6,1,0)+IF(X365&lt;17,0,1)+IF(Y365&lt;11,0,1)+IF(Z365&lt;1.35,0,1)+AC365+AA365</f>
        <v/>
      </c>
      <c r="AJ365" s="104">
        <f>IF(AI365&gt;12.8,IF(AI365&gt;15.8,0.95,0.98),1)</f>
        <v/>
      </c>
      <c r="AK365" s="101">
        <f>((AG365*2.6+AH365)*AJ365*AQ365)</f>
        <v/>
      </c>
      <c r="AL365" s="50">
        <f>D365</f>
        <v/>
      </c>
      <c r="AM365" s="97">
        <f>B365</f>
        <v/>
      </c>
    </row>
    <row r="366" ht="12.75" customHeight="1">
      <c r="G366" s="100">
        <f>100*(F366-E366)/F366</f>
        <v/>
      </c>
      <c r="P366" s="100">
        <f>O366/I366</f>
        <v/>
      </c>
      <c r="AA366" s="103">
        <f>IF(X366&lt;33,IF(Y366&gt;(1.1*X366),0,1),1)+IF(Y366&gt;(4*X366),-1,0)</f>
        <v/>
      </c>
      <c r="AC366" s="101">
        <f>IF(AB366&gt;9,1,0)+AB366/3+IF(AB366&gt;15,1,0)+IF(AB366&gt;20,1,0)</f>
        <v/>
      </c>
      <c r="AG366" s="101">
        <f>IF(G366&lt;0,0,1.2)+IF(G366&lt;14,0,0.9)+IF(P366&lt;0,0.7,0)+IF(P366&lt;6.5,1,0)+IF(P366&lt;23,1,0)+IF(R366&gt;80,0,1)+S366+IF(AD366&lt;20,0,1)+IF(AE366&lt;14,0,1)+IF(AF366&lt;26,0,1)</f>
        <v/>
      </c>
      <c r="AH366" s="101">
        <f>AG366+IF(AG366&gt;6,1,0)+IF(X366&lt;17,0,1)+IF(Y366&lt;11,0,1)+IF(Z366&lt;1.35,0,1)+AC366+AA366</f>
        <v/>
      </c>
      <c r="AJ366" s="104">
        <f>IF(AI366&gt;12.8,IF(AI366&gt;15.8,0.95,0.98),1)</f>
        <v/>
      </c>
      <c r="AK366" s="101">
        <f>((AG366*2.6+AH366)*AJ366*AQ366)</f>
        <v/>
      </c>
      <c r="AL366" s="50">
        <f>D366</f>
        <v/>
      </c>
      <c r="AM366" s="97">
        <f>B366</f>
        <v/>
      </c>
    </row>
    <row r="367" ht="12.75" customHeight="1">
      <c r="G367" s="100">
        <f>100*(F367-E367)/F367</f>
        <v/>
      </c>
      <c r="P367" s="100">
        <f>O367/I367</f>
        <v/>
      </c>
      <c r="AA367" s="103">
        <f>IF(X367&lt;33,IF(Y367&gt;(1.1*X367),0,1),1)+IF(Y367&gt;(4*X367),-1,0)</f>
        <v/>
      </c>
      <c r="AC367" s="101">
        <f>IF(AB367&gt;9,1,0)+AB367/3+IF(AB367&gt;15,1,0)+IF(AB367&gt;20,1,0)</f>
        <v/>
      </c>
      <c r="AG367" s="101">
        <f>IF(G367&lt;0,0,1.2)+IF(G367&lt;14,0,0.9)+IF(P367&lt;0,0.7,0)+IF(P367&lt;6.5,1,0)+IF(P367&lt;23,1,0)+IF(R367&gt;80,0,1)+S367+IF(AD367&lt;20,0,1)+IF(AE367&lt;14,0,1)+IF(AF367&lt;26,0,1)</f>
        <v/>
      </c>
      <c r="AH367" s="101">
        <f>AG367+IF(AG367&gt;6,1,0)+IF(X367&lt;17,0,1)+IF(Y367&lt;11,0,1)+IF(Z367&lt;1.35,0,1)+AC367+AA367</f>
        <v/>
      </c>
      <c r="AJ367" s="104">
        <f>IF(AI367&gt;12.8,IF(AI367&gt;15.8,0.95,0.98),1)</f>
        <v/>
      </c>
      <c r="AK367" s="101">
        <f>((AG367*2.6+AH367)*AJ367*AQ367)</f>
        <v/>
      </c>
      <c r="AL367" s="50">
        <f>D367</f>
        <v/>
      </c>
      <c r="AM367" s="97">
        <f>B367</f>
        <v/>
      </c>
    </row>
    <row r="368" ht="12.75" customHeight="1">
      <c r="G368" s="100">
        <f>100*(F368-E368)/F368</f>
        <v/>
      </c>
      <c r="P368" s="100">
        <f>O368/I368</f>
        <v/>
      </c>
      <c r="AA368" s="103">
        <f>IF(X368&lt;33,IF(Y368&gt;(1.1*X368),0,1),1)+IF(Y368&gt;(4*X368),-1,0)</f>
        <v/>
      </c>
      <c r="AC368" s="101">
        <f>IF(AB368&gt;9,1,0)+AB368/3+IF(AB368&gt;15,1,0)+IF(AB368&gt;20,1,0)</f>
        <v/>
      </c>
      <c r="AG368" s="101">
        <f>IF(G368&lt;0,0,1.2)+IF(G368&lt;14,0,0.9)+IF(P368&lt;0,0.7,0)+IF(P368&lt;6.5,1,0)+IF(P368&lt;23,1,0)+IF(R368&gt;80,0,1)+S368+IF(AD368&lt;20,0,1)+IF(AE368&lt;14,0,1)+IF(AF368&lt;26,0,1)</f>
        <v/>
      </c>
      <c r="AH368" s="101">
        <f>AG368+IF(AG368&gt;6,1,0)+IF(X368&lt;17,0,1)+IF(Y368&lt;11,0,1)+IF(Z368&lt;1.35,0,1)+AC368+AA368</f>
        <v/>
      </c>
      <c r="AJ368" s="104">
        <f>IF(AI368&gt;12.8,IF(AI368&gt;15.8,0.95,0.98),1)</f>
        <v/>
      </c>
      <c r="AK368" s="101">
        <f>((AG368*2.6+AH368)*AJ368*AQ368)</f>
        <v/>
      </c>
      <c r="AL368" s="50">
        <f>D368</f>
        <v/>
      </c>
      <c r="AM368" s="97">
        <f>B368</f>
        <v/>
      </c>
    </row>
    <row r="369" ht="12.75" customHeight="1">
      <c r="G369" s="100">
        <f>100*(F369-E369)/F369</f>
        <v/>
      </c>
      <c r="P369" s="100">
        <f>O369/I369</f>
        <v/>
      </c>
      <c r="AA369" s="103">
        <f>IF(X369&lt;33,IF(Y369&gt;(1.1*X369),0,1),1)+IF(Y369&gt;(4*X369),-1,0)</f>
        <v/>
      </c>
      <c r="AC369" s="101">
        <f>IF(AB369&gt;9,1,0)+AB369/3+IF(AB369&gt;15,1,0)+IF(AB369&gt;20,1,0)</f>
        <v/>
      </c>
      <c r="AG369" s="101">
        <f>IF(G369&lt;0,0,1.2)+IF(G369&lt;14,0,0.9)+IF(P369&lt;0,0.7,0)+IF(P369&lt;6.5,1,0)+IF(P369&lt;23,1,0)+IF(R369&gt;80,0,1)+S369+IF(AD369&lt;20,0,1)+IF(AE369&lt;14,0,1)+IF(AF369&lt;26,0,1)</f>
        <v/>
      </c>
      <c r="AH369" s="101">
        <f>AG369+IF(AG369&gt;6,1,0)+IF(X369&lt;17,0,1)+IF(Y369&lt;11,0,1)+IF(Z369&lt;1.35,0,1)+AC369+AA369</f>
        <v/>
      </c>
      <c r="AJ369" s="104">
        <f>IF(AI369&gt;12.8,IF(AI369&gt;15.8,0.95,0.98),1)</f>
        <v/>
      </c>
      <c r="AK369" s="101">
        <f>((AG369*2.6+AH369)*AJ369*AQ369)</f>
        <v/>
      </c>
      <c r="AL369" s="50">
        <f>D369</f>
        <v/>
      </c>
      <c r="AM369" s="97">
        <f>B369</f>
        <v/>
      </c>
    </row>
    <row r="370" ht="12.75" customHeight="1">
      <c r="G370" s="100">
        <f>100*(F370-E370)/F370</f>
        <v/>
      </c>
      <c r="P370" s="100">
        <f>O370/I370</f>
        <v/>
      </c>
      <c r="AA370" s="103">
        <f>IF(X370&lt;33,IF(Y370&gt;(1.1*X370),0,1),1)+IF(Y370&gt;(4*X370),-1,0)</f>
        <v/>
      </c>
      <c r="AC370" s="101">
        <f>IF(AB370&gt;9,1,0)+AB370/3+IF(AB370&gt;15,1,0)+IF(AB370&gt;20,1,0)</f>
        <v/>
      </c>
      <c r="AG370" s="101">
        <f>IF(G370&lt;0,0,1.2)+IF(G370&lt;14,0,0.9)+IF(P370&lt;0,0.7,0)+IF(P370&lt;6.5,1,0)+IF(P370&lt;23,1,0)+IF(R370&gt;80,0,1)+S370+IF(AD370&lt;20,0,1)+IF(AE370&lt;14,0,1)+IF(AF370&lt;26,0,1)</f>
        <v/>
      </c>
      <c r="AH370" s="101">
        <f>AG370+IF(AG370&gt;6,1,0)+IF(X370&lt;17,0,1)+IF(Y370&lt;11,0,1)+IF(Z370&lt;1.35,0,1)+AC370+AA370</f>
        <v/>
      </c>
      <c r="AJ370" s="104">
        <f>IF(AI370&gt;12.8,IF(AI370&gt;15.8,0.95,0.98),1)</f>
        <v/>
      </c>
      <c r="AK370" s="101">
        <f>((AG370*2.6+AH370)*AJ370*AQ370)</f>
        <v/>
      </c>
      <c r="AL370" s="50">
        <f>D370</f>
        <v/>
      </c>
      <c r="AM370" s="97">
        <f>B370</f>
        <v/>
      </c>
    </row>
    <row r="371" ht="12.75" customHeight="1">
      <c r="G371" s="100">
        <f>100*(F371-E371)/F371</f>
        <v/>
      </c>
      <c r="P371" s="100">
        <f>O371/I371</f>
        <v/>
      </c>
      <c r="AA371" s="103">
        <f>IF(X371&lt;33,IF(Y371&gt;(1.1*X371),0,1),1)+IF(Y371&gt;(4*X371),-1,0)</f>
        <v/>
      </c>
      <c r="AC371" s="101">
        <f>IF(AB371&gt;9,1,0)+AB371/3+IF(AB371&gt;15,1,0)+IF(AB371&gt;20,1,0)</f>
        <v/>
      </c>
      <c r="AG371" s="101">
        <f>IF(G371&lt;0,0,1.2)+IF(G371&lt;14,0,0.9)+IF(P371&lt;0,0.7,0)+IF(P371&lt;6.5,1,0)+IF(P371&lt;23,1,0)+IF(R371&gt;80,0,1)+S371+IF(AD371&lt;20,0,1)+IF(AE371&lt;14,0,1)+IF(AF371&lt;26,0,1)</f>
        <v/>
      </c>
      <c r="AH371" s="101">
        <f>AG371+IF(AG371&gt;6,1,0)+IF(X371&lt;17,0,1)+IF(Y371&lt;11,0,1)+IF(Z371&lt;1.35,0,1)+AC371+AA371</f>
        <v/>
      </c>
      <c r="AJ371" s="104">
        <f>IF(AI371&gt;12.8,IF(AI371&gt;15.8,0.95,0.98),1)</f>
        <v/>
      </c>
      <c r="AK371" s="101">
        <f>((AG371*2.6+AH371)*AJ371*AQ371)</f>
        <v/>
      </c>
      <c r="AL371" s="50">
        <f>D371</f>
        <v/>
      </c>
      <c r="AM371" s="97">
        <f>B371</f>
        <v/>
      </c>
    </row>
    <row r="372" ht="12.75" customHeight="1">
      <c r="G372" s="100">
        <f>100*(F372-E372)/F372</f>
        <v/>
      </c>
      <c r="P372" s="100">
        <f>O372/I372</f>
        <v/>
      </c>
      <c r="AA372" s="103">
        <f>IF(X372&lt;33,IF(Y372&gt;(1.1*X372),0,1),1)+IF(Y372&gt;(4*X372),-1,0)</f>
        <v/>
      </c>
      <c r="AC372" s="101">
        <f>IF(AB372&gt;9,1,0)+AB372/3+IF(AB372&gt;15,1,0)+IF(AB372&gt;20,1,0)</f>
        <v/>
      </c>
      <c r="AG372" s="101">
        <f>IF(G372&lt;0,0,1.2)+IF(G372&lt;14,0,0.9)+IF(P372&lt;0,0.7,0)+IF(P372&lt;6.5,1,0)+IF(P372&lt;23,1,0)+IF(R372&gt;80,0,1)+S372+IF(AD372&lt;20,0,1)+IF(AE372&lt;14,0,1)+IF(AF372&lt;26,0,1)</f>
        <v/>
      </c>
      <c r="AH372" s="101">
        <f>AG372+IF(AG372&gt;6,1,0)+IF(X372&lt;17,0,1)+IF(Y372&lt;11,0,1)+IF(Z372&lt;1.35,0,1)+AC372+AA372</f>
        <v/>
      </c>
      <c r="AJ372" s="104">
        <f>IF(AI372&gt;12.8,IF(AI372&gt;15.8,0.95,0.98),1)</f>
        <v/>
      </c>
      <c r="AK372" s="101">
        <f>((AG372*2.6+AH372)*AJ372*AQ372)</f>
        <v/>
      </c>
      <c r="AL372" s="50">
        <f>D372</f>
        <v/>
      </c>
      <c r="AM372" s="97">
        <f>B372</f>
        <v/>
      </c>
    </row>
    <row r="373" ht="12.75" customHeight="1">
      <c r="G373" s="100">
        <f>100*(F373-E373)/F373</f>
        <v/>
      </c>
      <c r="P373" s="100">
        <f>O373/I373</f>
        <v/>
      </c>
      <c r="AA373" s="103">
        <f>IF(X373&lt;33,IF(Y373&gt;(1.1*X373),0,1),1)+IF(Y373&gt;(4*X373),-1,0)</f>
        <v/>
      </c>
      <c r="AC373" s="101">
        <f>IF(AB373&gt;9,1,0)+AB373/3+IF(AB373&gt;15,1,0)+IF(AB373&gt;20,1,0)</f>
        <v/>
      </c>
      <c r="AG373" s="101">
        <f>IF(G373&lt;0,0,1.2)+IF(G373&lt;14,0,0.9)+IF(P373&lt;0,0.7,0)+IF(P373&lt;6.5,1,0)+IF(P373&lt;23,1,0)+IF(R373&gt;80,0,1)+S373+IF(AD373&lt;20,0,1)+IF(AE373&lt;14,0,1)+IF(AF373&lt;26,0,1)</f>
        <v/>
      </c>
      <c r="AH373" s="101">
        <f>AG373+IF(AG373&gt;6,1,0)+IF(X373&lt;17,0,1)+IF(Y373&lt;11,0,1)+IF(Z373&lt;1.35,0,1)+AC373+AA373</f>
        <v/>
      </c>
      <c r="AJ373" s="104">
        <f>IF(AI373&gt;12.8,IF(AI373&gt;15.8,0.95,0.98),1)</f>
        <v/>
      </c>
      <c r="AK373" s="101">
        <f>((AG373*2.6+AH373)*AJ373*AQ373)</f>
        <v/>
      </c>
      <c r="AL373" s="50">
        <f>D373</f>
        <v/>
      </c>
      <c r="AM373" s="97">
        <f>B373</f>
        <v/>
      </c>
    </row>
    <row r="374" ht="12.75" customHeight="1">
      <c r="G374" s="100">
        <f>100*(F374-E374)/F374</f>
        <v/>
      </c>
      <c r="P374" s="100">
        <f>O374/I374</f>
        <v/>
      </c>
      <c r="AA374" s="103">
        <f>IF(X374&lt;33,IF(Y374&gt;(1.1*X374),0,1),1)+IF(Y374&gt;(4*X374),-1,0)</f>
        <v/>
      </c>
      <c r="AC374" s="101">
        <f>IF(AB374&gt;9,1,0)+AB374/3+IF(AB374&gt;15,1,0)+IF(AB374&gt;20,1,0)</f>
        <v/>
      </c>
      <c r="AG374" s="101">
        <f>IF(G374&lt;0,0,1.2)+IF(G374&lt;14,0,0.9)+IF(P374&lt;0,0.7,0)+IF(P374&lt;6.5,1,0)+IF(P374&lt;23,1,0)+IF(R374&gt;80,0,1)+S374+IF(AD374&lt;20,0,1)+IF(AE374&lt;14,0,1)+IF(AF374&lt;26,0,1)</f>
        <v/>
      </c>
      <c r="AH374" s="101">
        <f>AG374+IF(AG374&gt;6,1,0)+IF(X374&lt;17,0,1)+IF(Y374&lt;11,0,1)+IF(Z374&lt;1.35,0,1)+AC374+AA374</f>
        <v/>
      </c>
      <c r="AJ374" s="104">
        <f>IF(AI374&gt;12.8,IF(AI374&gt;15.8,0.95,0.98),1)</f>
        <v/>
      </c>
      <c r="AK374" s="101">
        <f>((AG374*2.6+AH374)*AJ374*AQ374)</f>
        <v/>
      </c>
      <c r="AL374" s="50">
        <f>D374</f>
        <v/>
      </c>
      <c r="AM374" s="97">
        <f>B374</f>
        <v/>
      </c>
    </row>
    <row r="375" ht="12.75" customHeight="1">
      <c r="G375" s="100">
        <f>100*(F375-E375)/F375</f>
        <v/>
      </c>
      <c r="P375" s="100">
        <f>O375/I375</f>
        <v/>
      </c>
      <c r="AA375" s="103">
        <f>IF(X375&lt;33,IF(Y375&gt;(1.1*X375),0,1),1)+IF(Y375&gt;(4*X375),-1,0)</f>
        <v/>
      </c>
      <c r="AC375" s="101">
        <f>IF(AB375&gt;9,1,0)+AB375/3+IF(AB375&gt;15,1,0)+IF(AB375&gt;20,1,0)</f>
        <v/>
      </c>
      <c r="AG375" s="101">
        <f>IF(G375&lt;0,0,1.2)+IF(G375&lt;14,0,0.9)+IF(P375&lt;0,0.7,0)+IF(P375&lt;6.5,1,0)+IF(P375&lt;23,1,0)+IF(R375&gt;80,0,1)+S375+IF(AD375&lt;20,0,1)+IF(AE375&lt;14,0,1)+IF(AF375&lt;26,0,1)</f>
        <v/>
      </c>
      <c r="AH375" s="101">
        <f>AG375+IF(AG375&gt;6,1,0)+IF(X375&lt;17,0,1)+IF(Y375&lt;11,0,1)+IF(Z375&lt;1.35,0,1)+AC375+AA375</f>
        <v/>
      </c>
      <c r="AJ375" s="104">
        <f>IF(AI375&gt;12.8,IF(AI375&gt;15.8,0.95,0.98),1)</f>
        <v/>
      </c>
      <c r="AK375" s="101">
        <f>((AG375*2.6+AH375)*AJ375*AQ375)</f>
        <v/>
      </c>
      <c r="AL375" s="50">
        <f>D375</f>
        <v/>
      </c>
      <c r="AM375" s="97">
        <f>B375</f>
        <v/>
      </c>
    </row>
    <row r="376" ht="12.75" customHeight="1">
      <c r="G376" s="100">
        <f>100*(F376-E376)/F376</f>
        <v/>
      </c>
      <c r="P376" s="100">
        <f>O376/I376</f>
        <v/>
      </c>
      <c r="AA376" s="103">
        <f>IF(X376&lt;33,IF(Y376&gt;(1.1*X376),0,1),1)+IF(Y376&gt;(4*X376),-1,0)</f>
        <v/>
      </c>
      <c r="AC376" s="101">
        <f>IF(AB376&gt;9,1,0)+AB376/3+IF(AB376&gt;15,1,0)+IF(AB376&gt;20,1,0)</f>
        <v/>
      </c>
      <c r="AG376" s="101">
        <f>IF(G376&lt;0,0,1.2)+IF(G376&lt;14,0,0.9)+IF(P376&lt;0,0.7,0)+IF(P376&lt;6.5,1,0)+IF(P376&lt;23,1,0)+IF(R376&gt;80,0,1)+S376+IF(AD376&lt;20,0,1)+IF(AE376&lt;14,0,1)+IF(AF376&lt;26,0,1)</f>
        <v/>
      </c>
      <c r="AH376" s="101">
        <f>AG376+IF(AG376&gt;6,1,0)+IF(X376&lt;17,0,1)+IF(Y376&lt;11,0,1)+IF(Z376&lt;1.35,0,1)+AC376+AA376</f>
        <v/>
      </c>
      <c r="AJ376" s="104">
        <f>IF(AI376&gt;12.8,IF(AI376&gt;15.8,0.95,0.98),1)</f>
        <v/>
      </c>
      <c r="AK376" s="101">
        <f>((AG376*2.6+AH376)*AJ376*AQ376)</f>
        <v/>
      </c>
      <c r="AL376" s="50">
        <f>D376</f>
        <v/>
      </c>
      <c r="AM376" s="97">
        <f>B376</f>
        <v/>
      </c>
    </row>
    <row r="377" ht="12.75" customHeight="1">
      <c r="G377" s="100">
        <f>100*(F377-E377)/F377</f>
        <v/>
      </c>
      <c r="P377" s="100">
        <f>O377/I377</f>
        <v/>
      </c>
      <c r="AA377" s="103">
        <f>IF(X377&lt;33,IF(Y377&gt;(1.1*X377),0,1),1)+IF(Y377&gt;(4*X377),-1,0)</f>
        <v/>
      </c>
      <c r="AC377" s="101">
        <f>IF(AB377&gt;9,1,0)+AB377/3+IF(AB377&gt;15,1,0)+IF(AB377&gt;20,1,0)</f>
        <v/>
      </c>
      <c r="AG377" s="101">
        <f>IF(G377&lt;0,0,1.2)+IF(G377&lt;14,0,0.9)+IF(P377&lt;0,0.7,0)+IF(P377&lt;6.5,1,0)+IF(P377&lt;23,1,0)+IF(R377&gt;80,0,1)+S377+IF(AD377&lt;20,0,1)+IF(AE377&lt;14,0,1)+IF(AF377&lt;26,0,1)</f>
        <v/>
      </c>
      <c r="AH377" s="101">
        <f>AG377+IF(AG377&gt;6,1,0)+IF(X377&lt;17,0,1)+IF(Y377&lt;11,0,1)+IF(Z377&lt;1.35,0,1)+AC377+AA377</f>
        <v/>
      </c>
      <c r="AJ377" s="104">
        <f>IF(AI377&gt;12.8,IF(AI377&gt;15.8,0.95,0.98),1)</f>
        <v/>
      </c>
      <c r="AK377" s="101">
        <f>((AG377*2.6+AH377)*AJ377*AQ377)</f>
        <v/>
      </c>
      <c r="AL377" s="50">
        <f>D377</f>
        <v/>
      </c>
      <c r="AM377" s="97">
        <f>B377</f>
        <v/>
      </c>
    </row>
    <row r="378" ht="12.75" customHeight="1">
      <c r="G378" s="100">
        <f>100*(F378-E378)/F378</f>
        <v/>
      </c>
      <c r="P378" s="100">
        <f>O378/I378</f>
        <v/>
      </c>
      <c r="AA378" s="103">
        <f>IF(X378&lt;33,IF(Y378&gt;(1.1*X378),0,1),1)+IF(Y378&gt;(4*X378),-1,0)</f>
        <v/>
      </c>
      <c r="AC378" s="101">
        <f>IF(AB378&gt;9,1,0)+AB378/3+IF(AB378&gt;15,1,0)+IF(AB378&gt;20,1,0)</f>
        <v/>
      </c>
      <c r="AG378" s="101">
        <f>IF(G378&lt;0,0,1.2)+IF(G378&lt;14,0,0.9)+IF(P378&lt;0,0.7,0)+IF(P378&lt;6.5,1,0)+IF(P378&lt;23,1,0)+IF(R378&gt;80,0,1)+S378+IF(AD378&lt;20,0,1)+IF(AE378&lt;14,0,1)+IF(AF378&lt;26,0,1)</f>
        <v/>
      </c>
      <c r="AH378" s="101">
        <f>AG378+IF(AG378&gt;6,1,0)+IF(X378&lt;17,0,1)+IF(Y378&lt;11,0,1)+IF(Z378&lt;1.35,0,1)+AC378+AA378</f>
        <v/>
      </c>
      <c r="AJ378" s="104">
        <f>IF(AI378&gt;12.8,IF(AI378&gt;15.8,0.95,0.98),1)</f>
        <v/>
      </c>
      <c r="AK378" s="101">
        <f>((AG378*2.6+AH378)*AJ378*AQ378)</f>
        <v/>
      </c>
      <c r="AL378" s="50">
        <f>D378</f>
        <v/>
      </c>
      <c r="AM378" s="97">
        <f>B378</f>
        <v/>
      </c>
    </row>
    <row r="379" ht="12.75" customHeight="1">
      <c r="G379" s="100">
        <f>100*(F379-E379)/F379</f>
        <v/>
      </c>
      <c r="P379" s="100">
        <f>O379/I379</f>
        <v/>
      </c>
      <c r="AA379" s="103">
        <f>IF(X379&lt;33,IF(Y379&gt;(1.1*X379),0,1),1)+IF(Y379&gt;(4*X379),-1,0)</f>
        <v/>
      </c>
      <c r="AC379" s="101">
        <f>IF(AB379&gt;9,1,0)+AB379/3+IF(AB379&gt;15,1,0)+IF(AB379&gt;20,1,0)</f>
        <v/>
      </c>
      <c r="AG379" s="101">
        <f>IF(G379&lt;0,0,1.2)+IF(G379&lt;14,0,0.9)+IF(P379&lt;0,0.7,0)+IF(P379&lt;6.5,1,0)+IF(P379&lt;23,1,0)+IF(R379&gt;80,0,1)+S379+IF(AD379&lt;20,0,1)+IF(AE379&lt;14,0,1)+IF(AF379&lt;26,0,1)</f>
        <v/>
      </c>
      <c r="AH379" s="101">
        <f>AG379+IF(AG379&gt;6,1,0)+IF(X379&lt;17,0,1)+IF(Y379&lt;11,0,1)+IF(Z379&lt;1.35,0,1)+AC379+AA379</f>
        <v/>
      </c>
      <c r="AJ379" s="104">
        <f>IF(AI379&gt;12.8,IF(AI379&gt;15.8,0.95,0.98),1)</f>
        <v/>
      </c>
      <c r="AK379" s="101">
        <f>((AG379*2.6+AH379)*AJ379*AQ379)</f>
        <v/>
      </c>
      <c r="AL379" s="50">
        <f>D379</f>
        <v/>
      </c>
      <c r="AM379" s="97">
        <f>B379</f>
        <v/>
      </c>
    </row>
    <row r="380" ht="12.75" customHeight="1">
      <c r="G380" s="100">
        <f>100*(F380-E380)/F380</f>
        <v/>
      </c>
      <c r="P380" s="100">
        <f>O380/I380</f>
        <v/>
      </c>
      <c r="AA380" s="103">
        <f>IF(X380&lt;33,IF(Y380&gt;(1.1*X380),0,1),1)+IF(Y380&gt;(4*X380),-1,0)</f>
        <v/>
      </c>
      <c r="AC380" s="101">
        <f>IF(AB380&gt;9,1,0)+AB380/3+IF(AB380&gt;15,1,0)+IF(AB380&gt;20,1,0)</f>
        <v/>
      </c>
      <c r="AG380" s="101">
        <f>IF(G380&lt;0,0,1.2)+IF(G380&lt;14,0,0.9)+IF(P380&lt;0,0.7,0)+IF(P380&lt;6.5,1,0)+IF(P380&lt;23,1,0)+IF(R380&gt;80,0,1)+S380+IF(AD380&lt;20,0,1)+IF(AE380&lt;14,0,1)+IF(AF380&lt;26,0,1)</f>
        <v/>
      </c>
      <c r="AH380" s="101">
        <f>AG380+IF(AG380&gt;6,1,0)+IF(X380&lt;17,0,1)+IF(Y380&lt;11,0,1)+IF(Z380&lt;1.35,0,1)+AC380+AA380</f>
        <v/>
      </c>
      <c r="AJ380" s="104">
        <f>IF(AI380&gt;12.8,IF(AI380&gt;15.8,0.95,0.98),1)</f>
        <v/>
      </c>
      <c r="AK380" s="101">
        <f>((AG380*2.6+AH380)*AJ380*AQ380)</f>
        <v/>
      </c>
      <c r="AL380" s="50">
        <f>D380</f>
        <v/>
      </c>
      <c r="AM380" s="97">
        <f>B380</f>
        <v/>
      </c>
    </row>
    <row r="381" ht="12.75" customHeight="1">
      <c r="G381" s="100">
        <f>100*(F381-E381)/F381</f>
        <v/>
      </c>
      <c r="P381" s="100">
        <f>O381/I381</f>
        <v/>
      </c>
      <c r="AA381" s="103">
        <f>IF(X381&lt;33,IF(Y381&gt;(1.1*X381),0,1),1)+IF(Y381&gt;(4*X381),-1,0)</f>
        <v/>
      </c>
      <c r="AC381" s="101">
        <f>IF(AB381&gt;9,1,0)+AB381/3+IF(AB381&gt;15,1,0)+IF(AB381&gt;20,1,0)</f>
        <v/>
      </c>
      <c r="AG381" s="101">
        <f>IF(G381&lt;0,0,1.2)+IF(G381&lt;14,0,0.9)+IF(P381&lt;0,0.7,0)+IF(P381&lt;6.5,1,0)+IF(P381&lt;23,1,0)+IF(R381&gt;80,0,1)+S381+IF(AD381&lt;20,0,1)+IF(AE381&lt;14,0,1)+IF(AF381&lt;26,0,1)</f>
        <v/>
      </c>
      <c r="AH381" s="101">
        <f>AG381+IF(AG381&gt;6,1,0)+IF(X381&lt;17,0,1)+IF(Y381&lt;11,0,1)+IF(Z381&lt;1.35,0,1)+AC381+AA381</f>
        <v/>
      </c>
      <c r="AJ381" s="104">
        <f>IF(AI381&gt;12.8,IF(AI381&gt;15.8,0.95,0.98),1)</f>
        <v/>
      </c>
      <c r="AK381" s="101">
        <f>((AG381*2.6+AH381)*AJ381*AQ381)</f>
        <v/>
      </c>
      <c r="AL381" s="50">
        <f>D381</f>
        <v/>
      </c>
      <c r="AM381" s="97">
        <f>B381</f>
        <v/>
      </c>
    </row>
    <row r="382" ht="12.75" customHeight="1">
      <c r="G382" s="100">
        <f>100*(F382-E382)/F382</f>
        <v/>
      </c>
      <c r="P382" s="100">
        <f>O382/I382</f>
        <v/>
      </c>
      <c r="AA382" s="103">
        <f>IF(X382&lt;33,IF(Y382&gt;(1.1*X382),0,1),1)+IF(Y382&gt;(4*X382),-1,0)</f>
        <v/>
      </c>
      <c r="AC382" s="101">
        <f>IF(AB382&gt;9,1,0)+AB382/3+IF(AB382&gt;15,1,0)+IF(AB382&gt;20,1,0)</f>
        <v/>
      </c>
      <c r="AG382" s="101">
        <f>IF(G382&lt;0,0,1.2)+IF(G382&lt;14,0,0.9)+IF(P382&lt;0,0.7,0)+IF(P382&lt;6.5,1,0)+IF(P382&lt;23,1,0)+IF(R382&gt;80,0,1)+S382+IF(AD382&lt;20,0,1)+IF(AE382&lt;14,0,1)+IF(AF382&lt;26,0,1)</f>
        <v/>
      </c>
      <c r="AH382" s="101">
        <f>AG382+IF(AG382&gt;6,1,0)+IF(X382&lt;17,0,1)+IF(Y382&lt;11,0,1)+IF(Z382&lt;1.35,0,1)+AC382+AA382</f>
        <v/>
      </c>
      <c r="AJ382" s="104">
        <f>IF(AI382&gt;12.8,IF(AI382&gt;15.8,0.95,0.98),1)</f>
        <v/>
      </c>
      <c r="AK382" s="101">
        <f>((AG382*2.6+AH382)*AJ382*AQ382)</f>
        <v/>
      </c>
      <c r="AL382" s="50">
        <f>D382</f>
        <v/>
      </c>
      <c r="AM382" s="97">
        <f>B382</f>
        <v/>
      </c>
    </row>
    <row r="383" ht="12.75" customHeight="1">
      <c r="G383" s="100">
        <f>100*(F383-E383)/F383</f>
        <v/>
      </c>
      <c r="P383" s="100">
        <f>O383/I383</f>
        <v/>
      </c>
      <c r="AA383" s="103">
        <f>IF(X383&lt;33,IF(Y383&gt;(1.1*X383),0,1),1)+IF(Y383&gt;(4*X383),-1,0)</f>
        <v/>
      </c>
      <c r="AC383" s="101">
        <f>IF(AB383&gt;9,1,0)+AB383/3+IF(AB383&gt;15,1,0)+IF(AB383&gt;20,1,0)</f>
        <v/>
      </c>
      <c r="AG383" s="101">
        <f>IF(G383&lt;0,0,1.2)+IF(G383&lt;14,0,0.9)+IF(P383&lt;0,0.7,0)+IF(P383&lt;6.5,1,0)+IF(P383&lt;23,1,0)+IF(R383&gt;80,0,1)+S383+IF(AD383&lt;20,0,1)+IF(AE383&lt;14,0,1)+IF(AF383&lt;26,0,1)</f>
        <v/>
      </c>
      <c r="AH383" s="101">
        <f>AG383+IF(AG383&gt;6,1,0)+IF(X383&lt;17,0,1)+IF(Y383&lt;11,0,1)+IF(Z383&lt;1.35,0,1)+AC383+AA383</f>
        <v/>
      </c>
      <c r="AJ383" s="104">
        <f>IF(AI383&gt;12.8,IF(AI383&gt;15.8,0.95,0.98),1)</f>
        <v/>
      </c>
      <c r="AK383" s="101">
        <f>((AG383*2.6+AH383)*AJ383*AQ383)</f>
        <v/>
      </c>
      <c r="AL383" s="50">
        <f>D383</f>
        <v/>
      </c>
      <c r="AM383" s="97">
        <f>B383</f>
        <v/>
      </c>
    </row>
    <row r="384" ht="12.75" customHeight="1">
      <c r="G384" s="100">
        <f>100*(F384-E384)/F384</f>
        <v/>
      </c>
      <c r="P384" s="100">
        <f>O384/I384</f>
        <v/>
      </c>
      <c r="AA384" s="103">
        <f>IF(X384&lt;33,IF(Y384&gt;(1.1*X384),0,1),1)+IF(Y384&gt;(4*X384),-1,0)</f>
        <v/>
      </c>
      <c r="AC384" s="101">
        <f>IF(AB384&gt;9,1,0)+AB384/3+IF(AB384&gt;15,1,0)+IF(AB384&gt;20,1,0)</f>
        <v/>
      </c>
      <c r="AG384" s="101">
        <f>IF(G384&lt;0,0,1.2)+IF(G384&lt;14,0,0.9)+IF(P384&lt;0,0.7,0)+IF(P384&lt;6.5,1,0)+IF(P384&lt;23,1,0)+IF(R384&gt;80,0,1)+S384+IF(AD384&lt;20,0,1)+IF(AE384&lt;14,0,1)+IF(AF384&lt;26,0,1)</f>
        <v/>
      </c>
      <c r="AH384" s="101">
        <f>AG384+IF(AG384&gt;6,1,0)+IF(X384&lt;17,0,1)+IF(Y384&lt;11,0,1)+IF(Z384&lt;1.35,0,1)+AC384+AA384</f>
        <v/>
      </c>
      <c r="AJ384" s="104">
        <f>IF(AI384&gt;12.8,IF(AI384&gt;15.8,0.95,0.98),1)</f>
        <v/>
      </c>
      <c r="AK384" s="101">
        <f>((AG384*2.6+AH384)*AJ384*AQ384)</f>
        <v/>
      </c>
      <c r="AL384" s="50">
        <f>D384</f>
        <v/>
      </c>
      <c r="AM384" s="97">
        <f>B384</f>
        <v/>
      </c>
    </row>
    <row r="385" ht="12.75" customHeight="1">
      <c r="G385" s="100">
        <f>100*(F385-E385)/F385</f>
        <v/>
      </c>
      <c r="P385" s="100">
        <f>O385/I385</f>
        <v/>
      </c>
      <c r="AA385" s="103">
        <f>IF(X385&lt;33,IF(Y385&gt;(1.1*X385),0,1),1)+IF(Y385&gt;(4*X385),-1,0)</f>
        <v/>
      </c>
      <c r="AC385" s="101">
        <f>IF(AB385&gt;9,1,0)+AB385/3+IF(AB385&gt;15,1,0)+IF(AB385&gt;20,1,0)</f>
        <v/>
      </c>
      <c r="AG385" s="101">
        <f>IF(G385&lt;0,0,1.2)+IF(G385&lt;14,0,0.9)+IF(P385&lt;0,0.7,0)+IF(P385&lt;6.5,1,0)+IF(P385&lt;23,1,0)+IF(R385&gt;80,0,1)+S385+IF(AD385&lt;20,0,1)+IF(AE385&lt;14,0,1)+IF(AF385&lt;26,0,1)</f>
        <v/>
      </c>
      <c r="AH385" s="101">
        <f>AG385+IF(AG385&gt;6,1,0)+IF(X385&lt;17,0,1)+IF(Y385&lt;11,0,1)+IF(Z385&lt;1.35,0,1)+AC385+AA385</f>
        <v/>
      </c>
      <c r="AJ385" s="104">
        <f>IF(AI385&gt;12.8,IF(AI385&gt;15.8,0.95,0.98),1)</f>
        <v/>
      </c>
      <c r="AK385" s="101">
        <f>((AG385*2.6+AH385)*AJ385*AQ385)</f>
        <v/>
      </c>
      <c r="AL385" s="50">
        <f>D385</f>
        <v/>
      </c>
      <c r="AM385" s="97">
        <f>B385</f>
        <v/>
      </c>
    </row>
    <row r="386" ht="12.75" customHeight="1">
      <c r="G386" s="100">
        <f>100*(F386-E386)/F386</f>
        <v/>
      </c>
      <c r="P386" s="100">
        <f>O386/I386</f>
        <v/>
      </c>
      <c r="AA386" s="103">
        <f>IF(X386&lt;33,IF(Y386&gt;(1.1*X386),0,1),1)+IF(Y386&gt;(4*X386),-1,0)</f>
        <v/>
      </c>
      <c r="AC386" s="101">
        <f>IF(AB386&gt;9,1,0)+AB386/3+IF(AB386&gt;15,1,0)+IF(AB386&gt;20,1,0)</f>
        <v/>
      </c>
      <c r="AG386" s="101">
        <f>IF(G386&lt;0,0,1.2)+IF(G386&lt;14,0,0.9)+IF(P386&lt;0,0.7,0)+IF(P386&lt;6.5,1,0)+IF(P386&lt;23,1,0)+IF(R386&gt;80,0,1)+S386+IF(AD386&lt;20,0,1)+IF(AE386&lt;14,0,1)+IF(AF386&lt;26,0,1)</f>
        <v/>
      </c>
      <c r="AH386" s="101">
        <f>AG386+IF(AG386&gt;6,1,0)+IF(X386&lt;17,0,1)+IF(Y386&lt;11,0,1)+IF(Z386&lt;1.35,0,1)+AC386+AA386</f>
        <v/>
      </c>
      <c r="AJ386" s="104">
        <f>IF(AI386&gt;12.8,IF(AI386&gt;15.8,0.95,0.98),1)</f>
        <v/>
      </c>
      <c r="AK386" s="101">
        <f>((AG386*2.6+AH386)*AJ386*AQ386)</f>
        <v/>
      </c>
      <c r="AL386" s="50">
        <f>D386</f>
        <v/>
      </c>
      <c r="AM386" s="97">
        <f>B386</f>
        <v/>
      </c>
    </row>
    <row r="387" ht="12.75" customHeight="1">
      <c r="G387" s="100">
        <f>100*(F387-E387)/F387</f>
        <v/>
      </c>
      <c r="P387" s="100">
        <f>O387/I387</f>
        <v/>
      </c>
      <c r="AA387" s="103">
        <f>IF(X387&lt;33,IF(Y387&gt;(1.1*X387),0,1),1)+IF(Y387&gt;(4*X387),-1,0)</f>
        <v/>
      </c>
      <c r="AC387" s="101">
        <f>IF(AB387&gt;9,1,0)+AB387/3+IF(AB387&gt;15,1,0)+IF(AB387&gt;20,1,0)</f>
        <v/>
      </c>
      <c r="AG387" s="101">
        <f>IF(G387&lt;0,0,1.2)+IF(G387&lt;14,0,0.9)+IF(P387&lt;0,0.7,0)+IF(P387&lt;6.5,1,0)+IF(P387&lt;23,1,0)+IF(R387&gt;80,0,1)+S387+IF(AD387&lt;20,0,1)+IF(AE387&lt;14,0,1)+IF(AF387&lt;26,0,1)</f>
        <v/>
      </c>
      <c r="AH387" s="101">
        <f>AG387+IF(AG387&gt;6,1,0)+IF(X387&lt;17,0,1)+IF(Y387&lt;11,0,1)+IF(Z387&lt;1.35,0,1)+AC387+AA387</f>
        <v/>
      </c>
      <c r="AJ387" s="104">
        <f>IF(AI387&gt;12.8,IF(AI387&gt;15.8,0.95,0.98),1)</f>
        <v/>
      </c>
      <c r="AK387" s="101">
        <f>((AG387*2.6+AH387)*AJ387*AQ387)</f>
        <v/>
      </c>
      <c r="AL387" s="50">
        <f>D387</f>
        <v/>
      </c>
      <c r="AM387" s="97">
        <f>B387</f>
        <v/>
      </c>
    </row>
    <row r="388" ht="12.75" customHeight="1">
      <c r="G388" s="100">
        <f>100*(F388-E388)/F388</f>
        <v/>
      </c>
      <c r="P388" s="100">
        <f>O388/I388</f>
        <v/>
      </c>
      <c r="AA388" s="103">
        <f>IF(X388&lt;33,IF(Y388&gt;(1.1*X388),0,1),1)+IF(Y388&gt;(4*X388),-1,0)</f>
        <v/>
      </c>
      <c r="AC388" s="101">
        <f>IF(AB388&gt;9,1,0)+AB388/3+IF(AB388&gt;15,1,0)+IF(AB388&gt;20,1,0)</f>
        <v/>
      </c>
      <c r="AG388" s="101">
        <f>IF(G388&lt;0,0,1.2)+IF(G388&lt;14,0,0.9)+IF(P388&lt;0,0.7,0)+IF(P388&lt;6.5,1,0)+IF(P388&lt;23,1,0)+IF(R388&gt;80,0,1)+S388+IF(AD388&lt;20,0,1)+IF(AE388&lt;14,0,1)+IF(AF388&lt;26,0,1)</f>
        <v/>
      </c>
      <c r="AH388" s="101">
        <f>AG388+IF(AG388&gt;6,1,0)+IF(X388&lt;17,0,1)+IF(Y388&lt;11,0,1)+IF(Z388&lt;1.35,0,1)+AC388+AA388</f>
        <v/>
      </c>
      <c r="AJ388" s="104">
        <f>IF(AI388&gt;12.8,IF(AI388&gt;15.8,0.95,0.98),1)</f>
        <v/>
      </c>
      <c r="AK388" s="101">
        <f>((AG388*2.6+AH388)*AJ388*AQ388)</f>
        <v/>
      </c>
      <c r="AL388" s="50">
        <f>D388</f>
        <v/>
      </c>
      <c r="AM388" s="97">
        <f>B388</f>
        <v/>
      </c>
    </row>
    <row r="389" ht="12.75" customHeight="1">
      <c r="G389" s="100">
        <f>100*(F389-E389)/F389</f>
        <v/>
      </c>
      <c r="P389" s="100">
        <f>O389/I389</f>
        <v/>
      </c>
      <c r="AA389" s="103">
        <f>IF(X389&lt;33,IF(Y389&gt;(1.1*X389),0,1),1)+IF(Y389&gt;(4*X389),-1,0)</f>
        <v/>
      </c>
      <c r="AC389" s="101">
        <f>IF(AB389&gt;9,1,0)+AB389/3+IF(AB389&gt;15,1,0)+IF(AB389&gt;20,1,0)</f>
        <v/>
      </c>
      <c r="AG389" s="101">
        <f>IF(G389&lt;0,0,1.2)+IF(G389&lt;14,0,0.9)+IF(P389&lt;0,0.7,0)+IF(P389&lt;6.5,1,0)+IF(P389&lt;23,1,0)+IF(R389&gt;80,0,1)+S389+IF(AD389&lt;20,0,1)+IF(AE389&lt;14,0,1)+IF(AF389&lt;26,0,1)</f>
        <v/>
      </c>
      <c r="AH389" s="101">
        <f>AG389+IF(AG389&gt;6,1,0)+IF(X389&lt;17,0,1)+IF(Y389&lt;11,0,1)+IF(Z389&lt;1.35,0,1)+AC389+AA389</f>
        <v/>
      </c>
      <c r="AJ389" s="104">
        <f>IF(AI389&gt;12.8,IF(AI389&gt;15.8,0.95,0.98),1)</f>
        <v/>
      </c>
      <c r="AK389" s="101">
        <f>((AG389*2.6+AH389)*AJ389*AQ389)</f>
        <v/>
      </c>
      <c r="AL389" s="50">
        <f>D389</f>
        <v/>
      </c>
      <c r="AM389" s="97">
        <f>B389</f>
        <v/>
      </c>
    </row>
    <row r="390" ht="12.75" customHeight="1">
      <c r="G390" s="100">
        <f>100*(F390-E390)/F390</f>
        <v/>
      </c>
      <c r="P390" s="100">
        <f>O390/I390</f>
        <v/>
      </c>
      <c r="AA390" s="103">
        <f>IF(X390&lt;33,IF(Y390&gt;(1.1*X390),0,1),1)+IF(Y390&gt;(4*X390),-1,0)</f>
        <v/>
      </c>
      <c r="AC390" s="101">
        <f>IF(AB390&gt;9,1,0)+AB390/3+IF(AB390&gt;15,1,0)+IF(AB390&gt;20,1,0)</f>
        <v/>
      </c>
      <c r="AG390" s="101">
        <f>IF(G390&lt;0,0,1.2)+IF(G390&lt;14,0,0.9)+IF(P390&lt;0,0.7,0)+IF(P390&lt;6.5,1,0)+IF(P390&lt;23,1,0)+IF(R390&gt;80,0,1)+S390+IF(AD390&lt;20,0,1)+IF(AE390&lt;14,0,1)+IF(AF390&lt;26,0,1)</f>
        <v/>
      </c>
      <c r="AH390" s="101">
        <f>AG390+IF(AG390&gt;6,1,0)+IF(X390&lt;17,0,1)+IF(Y390&lt;11,0,1)+IF(Z390&lt;1.35,0,1)+AC390+AA390</f>
        <v/>
      </c>
      <c r="AJ390" s="104">
        <f>IF(AI390&gt;12.8,IF(AI390&gt;15.8,0.95,0.98),1)</f>
        <v/>
      </c>
      <c r="AK390" s="101">
        <f>((AG390*2.6+AH390)*AJ390*AQ390)</f>
        <v/>
      </c>
      <c r="AL390" s="50">
        <f>D390</f>
        <v/>
      </c>
      <c r="AM390" s="97">
        <f>B390</f>
        <v/>
      </c>
    </row>
    <row r="391" ht="12.75" customHeight="1">
      <c r="G391" s="100">
        <f>100*(F391-E391)/F391</f>
        <v/>
      </c>
      <c r="P391" s="100">
        <f>O391/I391</f>
        <v/>
      </c>
      <c r="AA391" s="103">
        <f>IF(X391&lt;33,IF(Y391&gt;(1.1*X391),0,1),1)+IF(Y391&gt;(4*X391),-1,0)</f>
        <v/>
      </c>
      <c r="AC391" s="101">
        <f>IF(AB391&gt;9,1,0)+AB391/3+IF(AB391&gt;15,1,0)+IF(AB391&gt;20,1,0)</f>
        <v/>
      </c>
      <c r="AG391" s="101">
        <f>IF(G391&lt;0,0,1.2)+IF(G391&lt;14,0,0.9)+IF(P391&lt;0,0.7,0)+IF(P391&lt;6.5,1,0)+IF(P391&lt;23,1,0)+IF(R391&gt;80,0,1)+S391+IF(AD391&lt;20,0,1)+IF(AE391&lt;14,0,1)+IF(AF391&lt;26,0,1)</f>
        <v/>
      </c>
      <c r="AH391" s="101">
        <f>AG391+IF(AG391&gt;6,1,0)+IF(X391&lt;17,0,1)+IF(Y391&lt;11,0,1)+IF(Z391&lt;1.35,0,1)+AC391+AA391</f>
        <v/>
      </c>
      <c r="AJ391" s="104">
        <f>IF(AI391&gt;12.8,IF(AI391&gt;15.8,0.95,0.98),1)</f>
        <v/>
      </c>
      <c r="AK391" s="101">
        <f>((AG391*2.6+AH391)*AJ391*AQ391)</f>
        <v/>
      </c>
      <c r="AL391" s="50">
        <f>D391</f>
        <v/>
      </c>
      <c r="AM391" s="97">
        <f>B391</f>
        <v/>
      </c>
    </row>
    <row r="392" ht="12.75" customHeight="1">
      <c r="G392" s="100">
        <f>100*(F392-E392)/F392</f>
        <v/>
      </c>
      <c r="P392" s="100">
        <f>O392/I392</f>
        <v/>
      </c>
      <c r="AA392" s="103">
        <f>IF(X392&lt;33,IF(Y392&gt;(1.1*X392),0,1),1)+IF(Y392&gt;(4*X392),-1,0)</f>
        <v/>
      </c>
      <c r="AC392" s="101">
        <f>IF(AB392&gt;9,1,0)+AB392/3+IF(AB392&gt;15,1,0)+IF(AB392&gt;20,1,0)</f>
        <v/>
      </c>
      <c r="AG392" s="101">
        <f>IF(G392&lt;0,0,1.2)+IF(G392&lt;14,0,0.9)+IF(P392&lt;0,0.7,0)+IF(P392&lt;6.5,1,0)+IF(P392&lt;23,1,0)+IF(R392&gt;80,0,1)+S392+IF(AD392&lt;20,0,1)+IF(AE392&lt;14,0,1)+IF(AF392&lt;26,0,1)</f>
        <v/>
      </c>
      <c r="AH392" s="101">
        <f>AG392+IF(AG392&gt;6,1,0)+IF(X392&lt;17,0,1)+IF(Y392&lt;11,0,1)+IF(Z392&lt;1.35,0,1)+AC392+AA392</f>
        <v/>
      </c>
      <c r="AJ392" s="104">
        <f>IF(AI392&gt;12.8,IF(AI392&gt;15.8,0.95,0.98),1)</f>
        <v/>
      </c>
      <c r="AK392" s="101">
        <f>((AG392*2.6+AH392)*AJ392*AQ392)</f>
        <v/>
      </c>
      <c r="AL392" s="50">
        <f>D392</f>
        <v/>
      </c>
      <c r="AM392" s="97">
        <f>B392</f>
        <v/>
      </c>
    </row>
    <row r="393" ht="12.75" customHeight="1">
      <c r="G393" s="100">
        <f>100*(F393-E393)/F393</f>
        <v/>
      </c>
      <c r="P393" s="100">
        <f>O393/I393</f>
        <v/>
      </c>
      <c r="AA393" s="103">
        <f>IF(X393&lt;33,IF(Y393&gt;(1.1*X393),0,1),1)+IF(Y393&gt;(4*X393),-1,0)</f>
        <v/>
      </c>
      <c r="AC393" s="101">
        <f>IF(AB393&gt;9,1,0)+AB393/3+IF(AB393&gt;15,1,0)+IF(AB393&gt;20,1,0)</f>
        <v/>
      </c>
      <c r="AG393" s="101">
        <f>IF(G393&lt;0,0,1.2)+IF(G393&lt;14,0,0.9)+IF(P393&lt;0,0.7,0)+IF(P393&lt;6.5,1,0)+IF(P393&lt;23,1,0)+IF(R393&gt;80,0,1)+S393+IF(AD393&lt;20,0,1)+IF(AE393&lt;14,0,1)+IF(AF393&lt;26,0,1)</f>
        <v/>
      </c>
      <c r="AH393" s="101">
        <f>AG393+IF(AG393&gt;6,1,0)+IF(X393&lt;17,0,1)+IF(Y393&lt;11,0,1)+IF(Z393&lt;1.35,0,1)+AC393+AA393</f>
        <v/>
      </c>
      <c r="AJ393" s="104">
        <f>IF(AI393&gt;12.8,IF(AI393&gt;15.8,0.95,0.98),1)</f>
        <v/>
      </c>
      <c r="AK393" s="101">
        <f>((AG393*2.6+AH393)*AJ393*AQ393)</f>
        <v/>
      </c>
      <c r="AL393" s="50">
        <f>D393</f>
        <v/>
      </c>
      <c r="AM393" s="97">
        <f>B393</f>
        <v/>
      </c>
    </row>
    <row r="394" ht="12.75" customHeight="1">
      <c r="G394" s="100">
        <f>100*(F394-E394)/F394</f>
        <v/>
      </c>
      <c r="P394" s="100">
        <f>O394/I394</f>
        <v/>
      </c>
      <c r="AA394" s="103">
        <f>IF(X394&lt;33,IF(Y394&gt;(1.1*X394),0,1),1)+IF(Y394&gt;(4*X394),-1,0)</f>
        <v/>
      </c>
      <c r="AC394" s="101">
        <f>IF(AB394&gt;9,1,0)+AB394/3+IF(AB394&gt;15,1,0)+IF(AB394&gt;20,1,0)</f>
        <v/>
      </c>
      <c r="AG394" s="101">
        <f>IF(G394&lt;0,0,1.2)+IF(G394&lt;14,0,0.9)+IF(P394&lt;0,0.7,0)+IF(P394&lt;6.5,1,0)+IF(P394&lt;23,1,0)+IF(R394&gt;80,0,1)+S394+IF(AD394&lt;20,0,1)+IF(AE394&lt;14,0,1)+IF(AF394&lt;26,0,1)</f>
        <v/>
      </c>
      <c r="AH394" s="101">
        <f>AG394+IF(AG394&gt;6,1,0)+IF(X394&lt;17,0,1)+IF(Y394&lt;11,0,1)+IF(Z394&lt;1.35,0,1)+AC394+AA394</f>
        <v/>
      </c>
      <c r="AJ394" s="104">
        <f>IF(AI394&gt;12.8,IF(AI394&gt;15.8,0.95,0.98),1)</f>
        <v/>
      </c>
      <c r="AK394" s="101">
        <f>((AG394*2.6+AH394)*AJ394*AQ394)</f>
        <v/>
      </c>
      <c r="AL394" s="50">
        <f>D394</f>
        <v/>
      </c>
      <c r="AM394" s="97">
        <f>B394</f>
        <v/>
      </c>
    </row>
    <row r="395" ht="12.75" customHeight="1">
      <c r="G395" s="100">
        <f>100*(F395-E395)/F395</f>
        <v/>
      </c>
      <c r="P395" s="100">
        <f>O395/I395</f>
        <v/>
      </c>
      <c r="AA395" s="103">
        <f>IF(X395&lt;33,IF(Y395&gt;(1.1*X395),0,1),1)+IF(Y395&gt;(4*X395),-1,0)</f>
        <v/>
      </c>
      <c r="AC395" s="101">
        <f>IF(AB395&gt;9,1,0)+AB395/3+IF(AB395&gt;15,1,0)+IF(AB395&gt;20,1,0)</f>
        <v/>
      </c>
      <c r="AG395" s="101">
        <f>IF(G395&lt;0,0,1.2)+IF(G395&lt;14,0,0.9)+IF(P395&lt;0,0.7,0)+IF(P395&lt;6.5,1,0)+IF(P395&lt;23,1,0)+IF(R395&gt;80,0,1)+S395+IF(AD395&lt;20,0,1)+IF(AE395&lt;14,0,1)+IF(AF395&lt;26,0,1)</f>
        <v/>
      </c>
      <c r="AH395" s="101">
        <f>AG395+IF(AG395&gt;6,1,0)+IF(X395&lt;17,0,1)+IF(Y395&lt;11,0,1)+IF(Z395&lt;1.35,0,1)+AC395+AA395</f>
        <v/>
      </c>
      <c r="AJ395" s="104">
        <f>IF(AI395&gt;12.8,IF(AI395&gt;15.8,0.95,0.98),1)</f>
        <v/>
      </c>
      <c r="AK395" s="101">
        <f>((AG395*2.6+AH395)*AJ395*AQ395)</f>
        <v/>
      </c>
      <c r="AL395" s="50">
        <f>D395</f>
        <v/>
      </c>
      <c r="AM395" s="97">
        <f>B395</f>
        <v/>
      </c>
    </row>
    <row r="396" ht="12.75" customHeight="1">
      <c r="G396" s="100">
        <f>100*(F396-E396)/F396</f>
        <v/>
      </c>
      <c r="P396" s="100">
        <f>O396/I396</f>
        <v/>
      </c>
      <c r="AA396" s="103">
        <f>IF(X396&lt;33,IF(Y396&gt;(1.1*X396),0,1),1)+IF(Y396&gt;(4*X396),-1,0)</f>
        <v/>
      </c>
      <c r="AC396" s="101">
        <f>IF(AB396&gt;9,1,0)+AB396/3+IF(AB396&gt;15,1,0)+IF(AB396&gt;20,1,0)</f>
        <v/>
      </c>
      <c r="AG396" s="101">
        <f>IF(G396&lt;0,0,1.2)+IF(G396&lt;14,0,0.9)+IF(P396&lt;0,0.7,0)+IF(P396&lt;6.5,1,0)+IF(P396&lt;23,1,0)+IF(R396&gt;80,0,1)+S396+IF(AD396&lt;20,0,1)+IF(AE396&lt;14,0,1)+IF(AF396&lt;26,0,1)</f>
        <v/>
      </c>
      <c r="AH396" s="101">
        <f>AG396+IF(AG396&gt;6,1,0)+IF(X396&lt;17,0,1)+IF(Y396&lt;11,0,1)+IF(Z396&lt;1.35,0,1)+AC396+AA396</f>
        <v/>
      </c>
      <c r="AJ396" s="104">
        <f>IF(AI396&gt;12.8,IF(AI396&gt;15.8,0.95,0.98),1)</f>
        <v/>
      </c>
      <c r="AK396" s="101">
        <f>((AG396*2.6+AH396)*AJ396*AQ396)</f>
        <v/>
      </c>
      <c r="AL396" s="50">
        <f>D396</f>
        <v/>
      </c>
      <c r="AM396" s="97">
        <f>B396</f>
        <v/>
      </c>
    </row>
    <row r="397" ht="12.75" customHeight="1">
      <c r="G397" s="100">
        <f>100*(F397-E397)/F397</f>
        <v/>
      </c>
      <c r="P397" s="100">
        <f>O397/I397</f>
        <v/>
      </c>
      <c r="AA397" s="103">
        <f>IF(X397&lt;33,IF(Y397&gt;(1.1*X397),0,1),1)+IF(Y397&gt;(4*X397),-1,0)</f>
        <v/>
      </c>
      <c r="AC397" s="101">
        <f>IF(AB397&gt;9,1,0)+AB397/3+IF(AB397&gt;15,1,0)+IF(AB397&gt;20,1,0)</f>
        <v/>
      </c>
      <c r="AG397" s="101">
        <f>IF(G397&lt;0,0,1.2)+IF(G397&lt;14,0,0.9)+IF(P397&lt;0,0.7,0)+IF(P397&lt;6.5,1,0)+IF(P397&lt;23,1,0)+IF(R397&gt;80,0,1)+S397+IF(AD397&lt;20,0,1)+IF(AE397&lt;14,0,1)+IF(AF397&lt;26,0,1)</f>
        <v/>
      </c>
      <c r="AH397" s="101">
        <f>AG397+IF(AG397&gt;6,1,0)+IF(X397&lt;17,0,1)+IF(Y397&lt;11,0,1)+IF(Z397&lt;1.35,0,1)+AC397+AA397</f>
        <v/>
      </c>
      <c r="AJ397" s="104">
        <f>IF(AI397&gt;12.8,IF(AI397&gt;15.8,0.95,0.98),1)</f>
        <v/>
      </c>
      <c r="AK397" s="101">
        <f>((AG397*2.6+AH397)*AJ397*AQ397)</f>
        <v/>
      </c>
      <c r="AL397" s="50">
        <f>D397</f>
        <v/>
      </c>
      <c r="AM397" s="97">
        <f>B397</f>
        <v/>
      </c>
    </row>
    <row r="398" ht="12.75" customHeight="1">
      <c r="G398" s="100">
        <f>100*(F398-E398)/F398</f>
        <v/>
      </c>
      <c r="P398" s="100">
        <f>O398/I398</f>
        <v/>
      </c>
      <c r="AA398" s="103">
        <f>IF(X398&lt;33,IF(Y398&gt;(1.1*X398),0,1),1)+IF(Y398&gt;(4*X398),-1,0)</f>
        <v/>
      </c>
      <c r="AC398" s="101">
        <f>IF(AB398&gt;9,1,0)+AB398/3+IF(AB398&gt;15,1,0)+IF(AB398&gt;20,1,0)</f>
        <v/>
      </c>
      <c r="AG398" s="101">
        <f>IF(G398&lt;0,0,1.2)+IF(G398&lt;14,0,0.9)+IF(P398&lt;0,0.7,0)+IF(P398&lt;6.5,1,0)+IF(P398&lt;23,1,0)+IF(R398&gt;80,0,1)+S398+IF(AD398&lt;20,0,1)+IF(AE398&lt;14,0,1)+IF(AF398&lt;26,0,1)</f>
        <v/>
      </c>
      <c r="AH398" s="101">
        <f>AG398+IF(AG398&gt;6,1,0)+IF(X398&lt;17,0,1)+IF(Y398&lt;11,0,1)+IF(Z398&lt;1.35,0,1)+AC398+AA398</f>
        <v/>
      </c>
      <c r="AJ398" s="104">
        <f>IF(AI398&gt;12.8,IF(AI398&gt;15.8,0.95,0.98),1)</f>
        <v/>
      </c>
      <c r="AK398" s="101">
        <f>((AG398*2.6+AH398)*AJ398*AQ398)</f>
        <v/>
      </c>
      <c r="AL398" s="50">
        <f>D398</f>
        <v/>
      </c>
      <c r="AM398" s="97">
        <f>B398</f>
        <v/>
      </c>
    </row>
    <row r="399" ht="12.75" customHeight="1">
      <c r="G399" s="100">
        <f>100*(F399-E399)/F399</f>
        <v/>
      </c>
      <c r="P399" s="100">
        <f>O399/I399</f>
        <v/>
      </c>
      <c r="AA399" s="103">
        <f>IF(X399&lt;33,IF(Y399&gt;(1.1*X399),0,1),1)+IF(Y399&gt;(4*X399),-1,0)</f>
        <v/>
      </c>
      <c r="AC399" s="101">
        <f>IF(AB399&gt;9,1,0)+AB399/3+IF(AB399&gt;15,1,0)+IF(AB399&gt;20,1,0)</f>
        <v/>
      </c>
      <c r="AG399" s="101">
        <f>IF(G399&lt;0,0,1.2)+IF(G399&lt;14,0,0.9)+IF(P399&lt;0,0.7,0)+IF(P399&lt;6.5,1,0)+IF(P399&lt;23,1,0)+IF(R399&gt;80,0,1)+S399+IF(AD399&lt;20,0,1)+IF(AE399&lt;14,0,1)+IF(AF399&lt;26,0,1)</f>
        <v/>
      </c>
      <c r="AH399" s="101">
        <f>AG399+IF(AG399&gt;6,1,0)+IF(X399&lt;17,0,1)+IF(Y399&lt;11,0,1)+IF(Z399&lt;1.35,0,1)+AC399+AA399</f>
        <v/>
      </c>
      <c r="AJ399" s="104">
        <f>IF(AI399&gt;12.8,IF(AI399&gt;15.8,0.95,0.98),1)</f>
        <v/>
      </c>
      <c r="AK399" s="101">
        <f>((AG399*2.6+AH399)*AJ399*AQ399)</f>
        <v/>
      </c>
      <c r="AL399" s="50">
        <f>D399</f>
        <v/>
      </c>
      <c r="AM399" s="97">
        <f>B399</f>
        <v/>
      </c>
    </row>
    <row r="400" ht="12.75" customHeight="1">
      <c r="G400" s="100">
        <f>100*(F400-E400)/F400</f>
        <v/>
      </c>
      <c r="P400" s="100">
        <f>O400/I400</f>
        <v/>
      </c>
      <c r="AA400" s="103">
        <f>IF(X400&lt;33,IF(Y400&gt;(1.1*X400),0,1),1)+IF(Y400&gt;(4*X400),-1,0)</f>
        <v/>
      </c>
      <c r="AC400" s="101">
        <f>IF(AB400&gt;9,1,0)+AB400/3+IF(AB400&gt;15,1,0)+IF(AB400&gt;20,1,0)</f>
        <v/>
      </c>
      <c r="AG400" s="101">
        <f>IF(G400&lt;0,0,1.2)+IF(G400&lt;14,0,0.9)+IF(P400&lt;0,0.7,0)+IF(P400&lt;6.5,1,0)+IF(P400&lt;23,1,0)+IF(R400&gt;80,0,1)+S400+IF(AD400&lt;20,0,1)+IF(AE400&lt;14,0,1)+IF(AF400&lt;26,0,1)</f>
        <v/>
      </c>
      <c r="AH400" s="101">
        <f>AG400+IF(AG400&gt;6,1,0)+IF(X400&lt;17,0,1)+IF(Y400&lt;11,0,1)+IF(Z400&lt;1.35,0,1)+AC400+AA400</f>
        <v/>
      </c>
    </row>
    <row r="401" ht="12.75" customHeight="1">
      <c r="G401" s="100">
        <f>100*(F401-E401)/F401</f>
        <v/>
      </c>
      <c r="P401" s="100">
        <f>O401/I401</f>
        <v/>
      </c>
      <c r="AA401" s="103">
        <f>IF(X401&lt;33,IF(Y401&gt;(1.1*X401),0,1),1)+IF(Y401&gt;(4*X401),-1,0)</f>
        <v/>
      </c>
      <c r="AC401" s="101">
        <f>IF(AB401&gt;9,1,0)+AB401/3+IF(AB401&gt;15,1,0)+IF(AB401&gt;20,1,0)</f>
        <v/>
      </c>
      <c r="AG401" s="101">
        <f>IF(G401&lt;0,0,1.2)+IF(G401&lt;14,0,0.9)+IF(P401&lt;0,0.7,0)+IF(P401&lt;6.5,1,0)+IF(P401&lt;23,1,0)+IF(R401&gt;80,0,1)+S401+IF(AD401&lt;20,0,1)+IF(AE401&lt;14,0,1)+IF(AF401&lt;26,0,1)</f>
        <v/>
      </c>
      <c r="AH401" s="101">
        <f>AG401+IF(AG401&gt;6,1,0)+IF(X401&lt;17,0,1)+IF(Y401&lt;11,0,1)+IF(Z401&lt;1.35,0,1)+AC401+AA401</f>
        <v/>
      </c>
    </row>
    <row r="402" ht="12.75" customHeight="1">
      <c r="G402" s="100">
        <f>100*(F402-E402)/F402</f>
        <v/>
      </c>
      <c r="P402" s="100">
        <f>O402/I402</f>
        <v/>
      </c>
      <c r="AA402" s="103">
        <f>IF(X402&lt;33,IF(Y402&gt;(1.1*X402),0,1),1)+IF(Y402&gt;(4*X402),-1,0)</f>
        <v/>
      </c>
      <c r="AC402" s="101">
        <f>IF(AB402&gt;9,1,0)+AB402/3+IF(AB402&gt;15,1,0)+IF(AB402&gt;20,1,0)</f>
        <v/>
      </c>
      <c r="AG402" s="101">
        <f>IF(G402&lt;0,0,1.2)+IF(G402&lt;14,0,0.9)+IF(P402&lt;0,0.7,0)+IF(P402&lt;6.5,1,0)+IF(P402&lt;23,1,0)+IF(R402&gt;80,0,1)+S402+IF(AD402&lt;20,0,1)+IF(AE402&lt;14,0,1)+IF(AF402&lt;26,0,1)</f>
        <v/>
      </c>
      <c r="AH402" s="101">
        <f>AG402+IF(AG402&gt;6,1,0)+IF(X402&lt;17,0,1)+IF(Y402&lt;11,0,1)+IF(Z402&lt;1.35,0,1)+AC402+AA402</f>
        <v/>
      </c>
    </row>
    <row r="403" ht="12.75" customHeight="1">
      <c r="G403" s="100">
        <f>100*(F403-E403)/F403</f>
        <v/>
      </c>
      <c r="P403" s="100">
        <f>O403/I403</f>
        <v/>
      </c>
      <c r="AA403" s="103">
        <f>IF(X403&lt;33,IF(Y403&gt;(1.1*X403),0,1),1)+IF(Y403&gt;(4*X403),-1,0)</f>
        <v/>
      </c>
      <c r="AC403" s="101">
        <f>IF(AB403&gt;9,1,0)+AB403/3+IF(AB403&gt;15,1,0)+IF(AB403&gt;20,1,0)</f>
        <v/>
      </c>
      <c r="AG403" s="101">
        <f>IF(G403&lt;0,0,1.2)+IF(G403&lt;14,0,0.9)+IF(P403&lt;0,0.7,0)+IF(P403&lt;6.5,1,0)+IF(P403&lt;23,1,0)+IF(R403&gt;80,0,1)+S403+IF(AD403&lt;20,0,1)+IF(AE403&lt;14,0,1)+IF(AF403&lt;26,0,1)</f>
        <v/>
      </c>
      <c r="AH403" s="101">
        <f>AG403+IF(AG403&gt;6,1,0)+IF(X403&lt;17,0,1)+IF(Y403&lt;11,0,1)+IF(Z403&lt;1.35,0,1)+AC403+AA403</f>
        <v/>
      </c>
    </row>
    <row r="404" ht="12.75" customHeight="1">
      <c r="G404" s="100">
        <f>100*(F404-E404)/F404</f>
        <v/>
      </c>
      <c r="P404" s="100">
        <f>O404/I404</f>
        <v/>
      </c>
      <c r="AA404" s="103">
        <f>IF(X404&lt;33,IF(Y404&gt;(1.1*X404),0,1),1)+IF(Y404&gt;(4*X404),-1,0)</f>
        <v/>
      </c>
      <c r="AC404" s="101">
        <f>IF(AB404&gt;9,1,0)+AB404/3+IF(AB404&gt;15,1,0)+IF(AB404&gt;20,1,0)</f>
        <v/>
      </c>
      <c r="AG404" s="101">
        <f>IF(G404&lt;0,0,1.2)+IF(G404&lt;14,0,0.9)+IF(P404&lt;0,0.7,0)+IF(P404&lt;6.5,1,0)+IF(P404&lt;23,1,0)+IF(R404&gt;80,0,1)+S404+IF(AD404&lt;20,0,1)+IF(AE404&lt;14,0,1)+IF(AF404&lt;26,0,1)</f>
        <v/>
      </c>
      <c r="AH404" s="101">
        <f>AG404+IF(AG404&gt;6,1,0)+IF(X404&lt;17,0,1)+IF(Y404&lt;11,0,1)+IF(Z404&lt;1.35,0,1)+AC404+AA404</f>
        <v/>
      </c>
    </row>
    <row r="405" ht="12.75" customHeight="1">
      <c r="G405" s="100">
        <f>100*(F405-E405)/F405</f>
        <v/>
      </c>
      <c r="P405" s="100">
        <f>O405/I405</f>
        <v/>
      </c>
      <c r="AA405" s="103">
        <f>IF(X405&lt;33,IF(Y405&gt;(1.1*X405),0,1),1)+IF(Y405&gt;(4*X405),-1,0)</f>
        <v/>
      </c>
      <c r="AC405" s="101">
        <f>IF(AB405&gt;9,1,0)+AB405/3+IF(AB405&gt;15,1,0)+IF(AB405&gt;20,1,0)</f>
        <v/>
      </c>
      <c r="AG405" s="101">
        <f>IF(G405&lt;0,0,1.2)+IF(G405&lt;14,0,0.9)+IF(P405&lt;0,0.7,0)+IF(P405&lt;6.5,1,0)+IF(P405&lt;23,1,0)+IF(R405&gt;80,0,1)+S405+IF(AD405&lt;20,0,1)+IF(AE405&lt;14,0,1)+IF(AF405&lt;26,0,1)</f>
        <v/>
      </c>
      <c r="AH405" s="101">
        <f>AG405+IF(AG405&gt;6,1,0)+IF(X405&lt;17,0,1)+IF(Y405&lt;11,0,1)+IF(Z405&lt;1.35,0,1)+AC405+AA405</f>
        <v/>
      </c>
    </row>
    <row r="406" ht="12.75" customHeight="1">
      <c r="G406" s="100">
        <f>100*(F406-E406)/F406</f>
        <v/>
      </c>
      <c r="P406" s="100">
        <f>O406/I406</f>
        <v/>
      </c>
      <c r="AA406" s="103">
        <f>IF(X406&lt;33,IF(Y406&gt;(1.1*X406),0,1),1)+IF(Y406&gt;(4*X406),-1,0)</f>
        <v/>
      </c>
      <c r="AC406" s="101">
        <f>IF(AB406&gt;9,1,0)+AB406/3+IF(AB406&gt;15,1,0)+IF(AB406&gt;20,1,0)</f>
        <v/>
      </c>
      <c r="AG406" s="101">
        <f>IF(G406&lt;0,0,1.2)+IF(G406&lt;14,0,0.9)+IF(P406&lt;0,0.7,0)+IF(P406&lt;6.5,1,0)+IF(P406&lt;23,1,0)+IF(R406&gt;80,0,1)+S406+IF(AD406&lt;20,0,1)+IF(AE406&lt;14,0,1)+IF(AF406&lt;26,0,1)</f>
        <v/>
      </c>
      <c r="AH406" s="101">
        <f>AG406+IF(AG406&gt;6,1,0)+IF(X406&lt;17,0,1)+IF(Y406&lt;11,0,1)+IF(Z406&lt;1.35,0,1)+AC406+AA406</f>
        <v/>
      </c>
    </row>
    <row r="407" ht="12.75" customHeight="1">
      <c r="G407" s="100">
        <f>100*(F407-E407)/F407</f>
        <v/>
      </c>
      <c r="P407" s="100">
        <f>O407/I407</f>
        <v/>
      </c>
      <c r="AA407" s="103">
        <f>IF(X407&lt;33,IF(Y407&gt;(1.1*X407),0,1),1)+IF(Y407&gt;(4*X407),-1,0)</f>
        <v/>
      </c>
      <c r="AC407" s="101">
        <f>IF(AB407&gt;9,1,0)+AB407/3+IF(AB407&gt;15,1,0)+IF(AB407&gt;20,1,0)</f>
        <v/>
      </c>
      <c r="AG407" s="101">
        <f>IF(G407&lt;0,0,1.2)+IF(G407&lt;14,0,0.9)+IF(P407&lt;0,0.7,0)+IF(P407&lt;6.5,1,0)+IF(P407&lt;23,1,0)+IF(R407&gt;80,0,1)+S407+IF(AD407&lt;20,0,1)+IF(AE407&lt;14,0,1)+IF(AF407&lt;26,0,1)</f>
        <v/>
      </c>
      <c r="AH407" s="101">
        <f>AG407+IF(AG407&gt;6,1,0)+IF(X407&lt;17,0,1)+IF(Y407&lt;11,0,1)+IF(Z407&lt;1.35,0,1)+AC407+AA407</f>
        <v/>
      </c>
    </row>
    <row r="408" ht="12.75" customHeight="1">
      <c r="G408" s="100">
        <f>100*(F408-E408)/F408</f>
        <v/>
      </c>
      <c r="P408" s="100">
        <f>O408/I408</f>
        <v/>
      </c>
      <c r="AA408" s="103">
        <f>IF(X408&lt;33,IF(Y408&gt;(1.1*X408),0,1),1)+IF(Y408&gt;(4*X408),-1,0)</f>
        <v/>
      </c>
      <c r="AC408" s="101">
        <f>IF(AB408&gt;9,1,0)+AB408/3+IF(AB408&gt;15,1,0)+IF(AB408&gt;20,1,0)</f>
        <v/>
      </c>
      <c r="AG408" s="101">
        <f>IF(G408&lt;0,0,1.2)+IF(G408&lt;14,0,0.9)+IF(P408&lt;0,0.7,0)+IF(P408&lt;6.5,1,0)+IF(P408&lt;23,1,0)+IF(R408&gt;80,0,1)+S408+IF(AD408&lt;20,0,1)+IF(AE408&lt;14,0,1)+IF(AF408&lt;26,0,1)</f>
        <v/>
      </c>
      <c r="AH408" s="101">
        <f>AG408+IF(AG408&gt;6,1,0)+IF(X408&lt;17,0,1)+IF(Y408&lt;11,0,1)+IF(Z408&lt;1.35,0,1)+AC408+AA408</f>
        <v/>
      </c>
    </row>
    <row r="409" ht="12.75" customHeight="1">
      <c r="G409" s="100">
        <f>100*(F409-E409)/F409</f>
        <v/>
      </c>
      <c r="P409" s="100">
        <f>O409/I409</f>
        <v/>
      </c>
      <c r="AA409" s="103">
        <f>IF(X409&lt;33,IF(Y409&gt;(1.1*X409),0,1),1)+IF(Y409&gt;(4*X409),-1,0)</f>
        <v/>
      </c>
      <c r="AC409" s="101">
        <f>IF(AB409&gt;9,1,0)+AB409/3+IF(AB409&gt;15,1,0)+IF(AB409&gt;20,1,0)</f>
        <v/>
      </c>
      <c r="AG409" s="101">
        <f>IF(G409&lt;0,0,1.2)+IF(G409&lt;14,0,0.9)+IF(P409&lt;0,0.7,0)+IF(P409&lt;6.5,1,0)+IF(P409&lt;23,1,0)+IF(R409&gt;80,0,1)+S409+IF(AD409&lt;20,0,1)+IF(AE409&lt;14,0,1)+IF(AF409&lt;26,0,1)</f>
        <v/>
      </c>
      <c r="AH409" s="101">
        <f>AG409+IF(AG409&gt;6,1,0)+IF(X409&lt;17,0,1)+IF(Y409&lt;11,0,1)+IF(Z409&lt;1.35,0,1)+AC409+AA409</f>
        <v/>
      </c>
    </row>
    <row r="410" ht="12.75" customHeight="1">
      <c r="G410" s="100">
        <f>100*(F410-E410)/F410</f>
        <v/>
      </c>
      <c r="P410" s="100">
        <f>O410/I410</f>
        <v/>
      </c>
      <c r="AA410" s="103">
        <f>IF(X410&lt;33,IF(Y410&gt;(1.1*X410),0,1),1)+IF(Y410&gt;(4*X410),-1,0)</f>
        <v/>
      </c>
      <c r="AC410" s="101">
        <f>IF(AB410&gt;9,1,0)+AB410/3+IF(AB410&gt;15,1,0)+IF(AB410&gt;20,1,0)</f>
        <v/>
      </c>
      <c r="AG410" s="101">
        <f>IF(G410&lt;0,0,1.2)+IF(G410&lt;14,0,0.9)+IF(P410&lt;0,0.7,0)+IF(P410&lt;6.5,1,0)+IF(P410&lt;23,1,0)+IF(R410&gt;80,0,1)+S410+IF(AD410&lt;20,0,1)+IF(AE410&lt;14,0,1)+IF(AF410&lt;26,0,1)</f>
        <v/>
      </c>
      <c r="AH410" s="101">
        <f>AG410+IF(AG410&gt;6,1,0)+IF(X410&lt;17,0,1)+IF(Y410&lt;11,0,1)+IF(Z410&lt;1.35,0,1)+AC410+AA410</f>
        <v/>
      </c>
    </row>
    <row r="411" ht="12.75" customHeight="1">
      <c r="G411" s="100">
        <f>100*(F411-E411)/F411</f>
        <v/>
      </c>
      <c r="P411" s="100">
        <f>O411/I411</f>
        <v/>
      </c>
      <c r="AA411" s="103">
        <f>IF(X411&lt;33,IF(Y411&gt;(1.1*X411),0,1),1)+IF(Y411&gt;(4*X411),-1,0)</f>
        <v/>
      </c>
      <c r="AC411" s="101">
        <f>IF(AB411&gt;9,1,0)+AB411/3+IF(AB411&gt;15,1,0)+IF(AB411&gt;20,1,0)</f>
        <v/>
      </c>
      <c r="AG411" s="101">
        <f>IF(G411&lt;0,0,1.2)+IF(G411&lt;14,0,0.9)+IF(P411&lt;0,0.7,0)+IF(P411&lt;6.5,1,0)+IF(P411&lt;23,1,0)+IF(R411&gt;80,0,1)+S411+IF(AD411&lt;20,0,1)+IF(AE411&lt;14,0,1)+IF(AF411&lt;26,0,1)</f>
        <v/>
      </c>
      <c r="AH411" s="101">
        <f>AG411+IF(AG411&gt;6,1,0)+IF(X411&lt;17,0,1)+IF(Y411&lt;11,0,1)+IF(Z411&lt;1.35,0,1)+AC411+AA411</f>
        <v/>
      </c>
    </row>
    <row r="412" ht="12.75" customHeight="1">
      <c r="G412" s="100">
        <f>100*(F412-E412)/F412</f>
        <v/>
      </c>
      <c r="P412" s="100">
        <f>O412/I412</f>
        <v/>
      </c>
      <c r="AA412" s="103">
        <f>IF(X412&lt;33,IF(Y412&gt;(1.1*X412),0,1),1)+IF(Y412&gt;(4*X412),-1,0)</f>
        <v/>
      </c>
      <c r="AC412" s="101">
        <f>IF(AB412&gt;9,1,0)+AB412/3+IF(AB412&gt;15,1,0)+IF(AB412&gt;20,1,0)</f>
        <v/>
      </c>
      <c r="AG412" s="101">
        <f>IF(G412&lt;0,0,1.2)+IF(G412&lt;14,0,0.9)+IF(P412&lt;0,0.7,0)+IF(P412&lt;6.5,1,0)+IF(P412&lt;23,1,0)+IF(R412&gt;80,0,1)+S412+IF(AD412&lt;20,0,1)+IF(AE412&lt;14,0,1)+IF(AF412&lt;26,0,1)</f>
        <v/>
      </c>
      <c r="AH412" s="101">
        <f>AG412+IF(AG412&gt;6,1,0)+IF(X412&lt;17,0,1)+IF(Y412&lt;11,0,1)+IF(Z412&lt;1.35,0,1)+AC412+AA412</f>
        <v/>
      </c>
    </row>
    <row r="413" ht="12.75" customHeight="1">
      <c r="G413" s="100">
        <f>100*(F413-E413)/F413</f>
        <v/>
      </c>
      <c r="P413" s="100">
        <f>O413/I413</f>
        <v/>
      </c>
      <c r="AA413" s="103">
        <f>IF(X413&lt;33,IF(Y413&gt;(1.1*X413),0,1),1)+IF(Y413&gt;(4*X413),-1,0)</f>
        <v/>
      </c>
      <c r="AC413" s="101">
        <f>IF(AB413&gt;9,1,0)+AB413/3+IF(AB413&gt;15,1,0)+IF(AB413&gt;20,1,0)</f>
        <v/>
      </c>
      <c r="AG413" s="101">
        <f>IF(G413&lt;0,0,1.2)+IF(G413&lt;14,0,0.9)+IF(P413&lt;0,0.7,0)+IF(P413&lt;6.5,1,0)+IF(P413&lt;23,1,0)+IF(R413&gt;80,0,1)+S413+IF(AD413&lt;20,0,1)+IF(AE413&lt;14,0,1)+IF(AF413&lt;26,0,1)</f>
        <v/>
      </c>
      <c r="AH413" s="101">
        <f>AG413+IF(AG413&gt;6,1,0)+IF(X413&lt;17,0,1)+IF(Y413&lt;11,0,1)+IF(Z413&lt;1.35,0,1)+AC413+AA413</f>
        <v/>
      </c>
    </row>
    <row r="414" ht="12.75" customHeight="1">
      <c r="G414" s="100">
        <f>100*(F414-E414)/F414</f>
        <v/>
      </c>
      <c r="P414" s="100">
        <f>O414/I414</f>
        <v/>
      </c>
      <c r="AA414" s="103">
        <f>IF(X414&lt;33,IF(Y414&gt;(1.1*X414),0,1),1)+IF(Y414&gt;(4*X414),-1,0)</f>
        <v/>
      </c>
      <c r="AC414" s="101">
        <f>IF(AB414&gt;9,1,0)+AB414/3+IF(AB414&gt;15,1,0)+IF(AB414&gt;20,1,0)</f>
        <v/>
      </c>
      <c r="AG414" s="101">
        <f>IF(G414&lt;0,0,1.2)+IF(G414&lt;14,0,0.9)+IF(P414&lt;0,0.7,0)+IF(P414&lt;6.5,1,0)+IF(P414&lt;23,1,0)+IF(R414&gt;80,0,1)+S414+IF(AD414&lt;20,0,1)+IF(AE414&lt;14,0,1)+IF(AF414&lt;26,0,1)</f>
        <v/>
      </c>
      <c r="AH414" s="101">
        <f>AG414+IF(AG414&gt;6,1,0)+IF(X414&lt;17,0,1)+IF(Y414&lt;11,0,1)+IF(Z414&lt;1.35,0,1)+AC414+AA414</f>
        <v/>
      </c>
    </row>
    <row r="415" ht="12.75" customHeight="1">
      <c r="G415" s="100">
        <f>100*(F415-E415)/F415</f>
        <v/>
      </c>
      <c r="P415" s="100">
        <f>O415/I415</f>
        <v/>
      </c>
      <c r="AA415" s="103">
        <f>IF(X415&lt;33,IF(Y415&gt;(1.1*X415),0,1),1)+IF(Y415&gt;(4*X415),-1,0)</f>
        <v/>
      </c>
      <c r="AC415" s="101">
        <f>IF(AB415&gt;9,1,0)+AB415/3+IF(AB415&gt;15,1,0)+IF(AB415&gt;20,1,0)</f>
        <v/>
      </c>
      <c r="AG415" s="101">
        <f>IF(G415&lt;0,0,1.2)+IF(G415&lt;14,0,0.9)+IF(P415&lt;0,0.7,0)+IF(P415&lt;6.5,1,0)+IF(P415&lt;23,1,0)+IF(R415&gt;80,0,1)+S415+IF(AD415&lt;20,0,1)+IF(AE415&lt;14,0,1)+IF(AF415&lt;26,0,1)</f>
        <v/>
      </c>
      <c r="AH415" s="101">
        <f>AG415+IF(AG415&gt;6,1,0)+IF(X415&lt;17,0,1)+IF(Y415&lt;11,0,1)+IF(Z415&lt;1.35,0,1)+AC415+AA415</f>
        <v/>
      </c>
    </row>
    <row r="416" ht="12.75" customHeight="1">
      <c r="G416" s="100">
        <f>100*(F416-E416)/F416</f>
        <v/>
      </c>
      <c r="P416" s="100">
        <f>O416/I416</f>
        <v/>
      </c>
      <c r="AA416" s="103">
        <f>IF(X416&lt;33,IF(Y416&gt;(1.1*X416),0,1),1)+IF(Y416&gt;(4*X416),-1,0)</f>
        <v/>
      </c>
      <c r="AC416" s="101">
        <f>IF(AB416&gt;9,1,0)+AB416/3+IF(AB416&gt;15,1,0)+IF(AB416&gt;20,1,0)</f>
        <v/>
      </c>
      <c r="AG416" s="101">
        <f>IF(G416&lt;0,0,1.2)+IF(G416&lt;14,0,0.9)+IF(P416&lt;0,0.7,0)+IF(P416&lt;6.5,1,0)+IF(P416&lt;23,1,0)+IF(R416&gt;80,0,1)+S416+IF(AD416&lt;20,0,1)+IF(AE416&lt;14,0,1)+IF(AF416&lt;26,0,1)</f>
        <v/>
      </c>
      <c r="AH416" s="101">
        <f>AG416+IF(AG416&gt;6,1,0)+IF(X416&lt;17,0,1)+IF(Y416&lt;11,0,1)+IF(Z416&lt;1.35,0,1)+AC416+AA416</f>
        <v/>
      </c>
    </row>
    <row r="417" ht="12.75" customHeight="1">
      <c r="G417" s="100">
        <f>100*(F417-E417)/F417</f>
        <v/>
      </c>
      <c r="P417" s="100">
        <f>O417/I417</f>
        <v/>
      </c>
      <c r="AA417" s="103">
        <f>IF(X417&lt;33,IF(Y417&gt;(1.1*X417),0,1),1)+IF(Y417&gt;(4*X417),-1,0)</f>
        <v/>
      </c>
      <c r="AC417" s="101">
        <f>IF(AB417&gt;9,1,0)+AB417/3+IF(AB417&gt;15,1,0)+IF(AB417&gt;20,1,0)</f>
        <v/>
      </c>
      <c r="AG417" s="101">
        <f>IF(G417&lt;0,0,1.2)+IF(G417&lt;14,0,0.9)+IF(P417&lt;0,0.7,0)+IF(P417&lt;6.5,1,0)+IF(P417&lt;23,1,0)+IF(R417&gt;80,0,1)+S417+IF(AD417&lt;20,0,1)+IF(AE417&lt;14,0,1)+IF(AF417&lt;26,0,1)</f>
        <v/>
      </c>
      <c r="AH417" s="101">
        <f>AG417+IF(AG417&gt;6,1,0)+IF(X417&lt;17,0,1)+IF(Y417&lt;11,0,1)+IF(Z417&lt;1.35,0,1)+AC417+AA417</f>
        <v/>
      </c>
    </row>
    <row r="418" ht="12.75" customHeight="1">
      <c r="G418" s="100">
        <f>100*(F418-E418)/F418</f>
        <v/>
      </c>
      <c r="P418" s="100">
        <f>O418/I418</f>
        <v/>
      </c>
      <c r="AA418" s="103">
        <f>IF(X418&lt;33,IF(Y418&gt;(1.1*X418),0,1),1)+IF(Y418&gt;(4*X418),-1,0)</f>
        <v/>
      </c>
      <c r="AC418" s="101">
        <f>IF(AB418&gt;9,1,0)+AB418/3+IF(AB418&gt;15,1,0)+IF(AB418&gt;20,1,0)</f>
        <v/>
      </c>
      <c r="AG418" s="101">
        <f>IF(G418&lt;0,0,1.2)+IF(G418&lt;14,0,0.9)+IF(P418&lt;0,0.7,0)+IF(P418&lt;6.5,1,0)+IF(P418&lt;23,1,0)+IF(R418&gt;80,0,1)+S418+IF(AD418&lt;20,0,1)+IF(AE418&lt;14,0,1)+IF(AF418&lt;26,0,1)</f>
        <v/>
      </c>
      <c r="AH418" s="101">
        <f>AG418+IF(AG418&gt;6,1,0)+IF(X418&lt;17,0,1)+IF(Y418&lt;11,0,1)+IF(Z418&lt;1.35,0,1)+AC418+AA418</f>
        <v/>
      </c>
    </row>
    <row r="419" ht="12.75" customHeight="1">
      <c r="G419" s="100">
        <f>100*(F419-E419)/F419</f>
        <v/>
      </c>
      <c r="P419" s="100">
        <f>O419/I419</f>
        <v/>
      </c>
      <c r="AA419" s="103">
        <f>IF(X419&lt;33,IF(Y419&gt;(1.1*X419),0,1),1)+IF(Y419&gt;(4*X419),-1,0)</f>
        <v/>
      </c>
      <c r="AC419" s="101">
        <f>IF(AB419&gt;9,1,0)+AB419/3+IF(AB419&gt;15,1,0)+IF(AB419&gt;20,1,0)</f>
        <v/>
      </c>
      <c r="AG419" s="101">
        <f>IF(G419&lt;0,0,1.2)+IF(G419&lt;14,0,0.9)+IF(P419&lt;0,0.7,0)+IF(P419&lt;6.5,1,0)+IF(P419&lt;23,1,0)+IF(R419&gt;80,0,1)+S419+IF(AD419&lt;20,0,1)+IF(AE419&lt;14,0,1)+IF(AF419&lt;26,0,1)</f>
        <v/>
      </c>
      <c r="AH419" s="101">
        <f>AG419+IF(AG419&gt;6,1,0)+IF(X419&lt;17,0,1)+IF(Y419&lt;11,0,1)+IF(Z419&lt;1.35,0,1)+AC419+AA419</f>
        <v/>
      </c>
    </row>
    <row r="420" ht="12.75" customHeight="1">
      <c r="G420" s="100">
        <f>100*(F420-E420)/F420</f>
        <v/>
      </c>
      <c r="P420" s="100">
        <f>O420/I420</f>
        <v/>
      </c>
      <c r="AA420" s="103">
        <f>IF(X420&lt;33,IF(Y420&gt;(1.1*X420),0,1),1)+IF(Y420&gt;(4*X420),-1,0)</f>
        <v/>
      </c>
      <c r="AC420" s="101">
        <f>IF(AB420&gt;9,1,0)+AB420/3+IF(AB420&gt;15,1,0)+IF(AB420&gt;20,1,0)</f>
        <v/>
      </c>
      <c r="AG420" s="101">
        <f>IF(G420&lt;0,0,1.2)+IF(G420&lt;14,0,0.9)+IF(P420&lt;0,0.7,0)+IF(P420&lt;6.5,1,0)+IF(P420&lt;23,1,0)+IF(R420&gt;80,0,1)+S420+IF(AD420&lt;20,0,1)+IF(AE420&lt;14,0,1)+IF(AF420&lt;26,0,1)</f>
        <v/>
      </c>
      <c r="AH420" s="101">
        <f>AG420+IF(AG420&gt;6,1,0)+IF(X420&lt;17,0,1)+IF(Y420&lt;11,0,1)+IF(Z420&lt;1.35,0,1)+AC420+AA420</f>
        <v/>
      </c>
    </row>
    <row r="421" ht="12.75" customHeight="1">
      <c r="G421" s="100">
        <f>100*(F421-E421)/F421</f>
        <v/>
      </c>
      <c r="P421" s="100">
        <f>O421/I421</f>
        <v/>
      </c>
      <c r="AA421" s="103">
        <f>IF(X421&lt;33,IF(Y421&gt;(1.1*X421),0,1),1)+IF(Y421&gt;(4*X421),-1,0)</f>
        <v/>
      </c>
      <c r="AC421" s="101">
        <f>IF(AB421&gt;9,1,0)+AB421/3+IF(AB421&gt;15,1,0)+IF(AB421&gt;20,1,0)</f>
        <v/>
      </c>
      <c r="AG421" s="101">
        <f>IF(G421&lt;0,0,1.2)+IF(G421&lt;14,0,0.9)+IF(P421&lt;0,0.7,0)+IF(P421&lt;6.5,1,0)+IF(P421&lt;23,1,0)+IF(R421&gt;80,0,1)+S421+IF(AD421&lt;20,0,1)+IF(AE421&lt;14,0,1)+IF(AF421&lt;26,0,1)</f>
        <v/>
      </c>
      <c r="AH421" s="101">
        <f>AG421+IF(AG421&gt;6,1,0)+IF(X421&lt;17,0,1)+IF(Y421&lt;11,0,1)+IF(Z421&lt;1.35,0,1)+AC421+AA421</f>
        <v/>
      </c>
    </row>
    <row r="422" ht="12.75" customHeight="1">
      <c r="G422" s="100">
        <f>100*(F422-E422)/F422</f>
        <v/>
      </c>
      <c r="P422" s="100">
        <f>O422/I422</f>
        <v/>
      </c>
      <c r="AA422" s="103">
        <f>IF(X422&lt;33,IF(Y422&gt;(1.1*X422),0,1),1)+IF(Y422&gt;(4*X422),-1,0)</f>
        <v/>
      </c>
      <c r="AC422" s="101">
        <f>IF(AB422&gt;9,1,0)+AB422/3+IF(AB422&gt;15,1,0)+IF(AB422&gt;20,1,0)</f>
        <v/>
      </c>
      <c r="AG422" s="101">
        <f>IF(G422&lt;0,0,1.2)+IF(G422&lt;14,0,0.9)+IF(P422&lt;0,0.7,0)+IF(P422&lt;6.5,1,0)+IF(P422&lt;23,1,0)+IF(R422&gt;80,0,1)+S422+IF(AD422&lt;20,0,1)+IF(AE422&lt;14,0,1)+IF(AF422&lt;26,0,1)</f>
        <v/>
      </c>
      <c r="AH422" s="101">
        <f>AG422+IF(AG422&gt;6,1,0)+IF(X422&lt;17,0,1)+IF(Y422&lt;11,0,1)+IF(Z422&lt;1.35,0,1)+AC422+AA422</f>
        <v/>
      </c>
    </row>
    <row r="423" ht="12.75" customHeight="1">
      <c r="G423" s="100">
        <f>100*(F423-E423)/F423</f>
        <v/>
      </c>
      <c r="P423" s="100">
        <f>O423/I423</f>
        <v/>
      </c>
      <c r="AA423" s="103">
        <f>IF(X423&lt;33,IF(Y423&gt;(1.1*X423),0,1),1)+IF(Y423&gt;(4*X423),-1,0)</f>
        <v/>
      </c>
      <c r="AC423" s="101">
        <f>IF(AB423&gt;9,1,0)+AB423/3+IF(AB423&gt;15,1,0)+IF(AB423&gt;20,1,0)</f>
        <v/>
      </c>
      <c r="AG423" s="101">
        <f>IF(G423&lt;0,0,1.2)+IF(G423&lt;14,0,0.9)+IF(P423&lt;0,0.7,0)+IF(P423&lt;6.5,1,0)+IF(P423&lt;23,1,0)+IF(R423&gt;80,0,1)+S423+IF(AD423&lt;20,0,1)+IF(AE423&lt;14,0,1)+IF(AF423&lt;26,0,1)</f>
        <v/>
      </c>
      <c r="AH423" s="101">
        <f>AG423+IF(AG423&gt;6,1,0)+IF(X423&lt;17,0,1)+IF(Y423&lt;11,0,1)+IF(Z423&lt;1.35,0,1)+AC423+AA423</f>
        <v/>
      </c>
    </row>
    <row r="424" ht="12.75" customHeight="1">
      <c r="G424" s="100">
        <f>100*(F424-E424)/F424</f>
        <v/>
      </c>
      <c r="P424" s="100">
        <f>O424/I424</f>
        <v/>
      </c>
      <c r="AA424" s="103">
        <f>IF(X424&lt;33,IF(Y424&gt;(1.1*X424),0,1),1)+IF(Y424&gt;(4*X424),-1,0)</f>
        <v/>
      </c>
      <c r="AC424" s="101">
        <f>IF(AB424&gt;9,1,0)+AB424/3+IF(AB424&gt;15,1,0)+IF(AB424&gt;20,1,0)</f>
        <v/>
      </c>
      <c r="AG424" s="101">
        <f>IF(G424&lt;0,0,1.2)+IF(G424&lt;14,0,0.9)+IF(P424&lt;0,0.7,0)+IF(P424&lt;6.5,1,0)+IF(P424&lt;23,1,0)+IF(R424&gt;80,0,1)+S424+IF(AD424&lt;20,0,1)+IF(AE424&lt;14,0,1)+IF(AF424&lt;26,0,1)</f>
        <v/>
      </c>
      <c r="AH424" s="101">
        <f>AG424+IF(AG424&gt;6,1,0)+IF(X424&lt;17,0,1)+IF(Y424&lt;11,0,1)+IF(Z424&lt;1.35,0,1)+AC424+AA424</f>
        <v/>
      </c>
    </row>
    <row r="425" ht="12.75" customHeight="1">
      <c r="G425" s="100">
        <f>100*(F425-E425)/F425</f>
        <v/>
      </c>
      <c r="P425" s="100">
        <f>O425/I425</f>
        <v/>
      </c>
      <c r="AA425" s="103">
        <f>IF(X425&lt;33,IF(Y425&gt;(1.1*X425),0,1),1)+IF(Y425&gt;(4*X425),-1,0)</f>
        <v/>
      </c>
      <c r="AC425" s="101">
        <f>IF(AB425&gt;9,1,0)+AB425/3+IF(AB425&gt;15,1,0)+IF(AB425&gt;20,1,0)</f>
        <v/>
      </c>
      <c r="AG425" s="101">
        <f>IF(G425&lt;0,0,1.2)+IF(G425&lt;14,0,0.9)+IF(P425&lt;0,0.7,0)+IF(P425&lt;6.5,1,0)+IF(P425&lt;23,1,0)+IF(R425&gt;80,0,1)+S425+IF(AD425&lt;20,0,1)+IF(AE425&lt;14,0,1)+IF(AF425&lt;26,0,1)</f>
        <v/>
      </c>
      <c r="AH425" s="101">
        <f>AG425+IF(AG425&gt;6,1,0)+IF(X425&lt;17,0,1)+IF(Y425&lt;11,0,1)+IF(Z425&lt;1.35,0,1)+AC425+AA425</f>
        <v/>
      </c>
    </row>
    <row r="426" ht="12.75" customHeight="1">
      <c r="G426" s="100">
        <f>100*(F426-E426)/F426</f>
        <v/>
      </c>
      <c r="P426" s="100">
        <f>O426/I426</f>
        <v/>
      </c>
      <c r="AA426" s="103">
        <f>IF(X426&lt;33,IF(Y426&gt;(1.1*X426),0,1),1)+IF(Y426&gt;(4*X426),-1,0)</f>
        <v/>
      </c>
      <c r="AC426" s="101">
        <f>IF(AB426&gt;9,1,0)+AB426/3+IF(AB426&gt;15,1,0)+IF(AB426&gt;20,1,0)</f>
        <v/>
      </c>
      <c r="AG426" s="101">
        <f>IF(G426&lt;0,0,1.2)+IF(G426&lt;14,0,0.9)+IF(P426&lt;0,0.7,0)+IF(P426&lt;6.5,1,0)+IF(P426&lt;23,1,0)+IF(R426&gt;80,0,1)+S426+IF(AD426&lt;20,0,1)+IF(AE426&lt;14,0,1)+IF(AF426&lt;26,0,1)</f>
        <v/>
      </c>
      <c r="AH426" s="101">
        <f>AG426+IF(AG426&gt;6,1,0)+IF(X426&lt;17,0,1)+IF(Y426&lt;11,0,1)+IF(Z426&lt;1.35,0,1)+AC426+AA426</f>
        <v/>
      </c>
    </row>
    <row r="427" ht="12.75" customHeight="1">
      <c r="G427" s="100">
        <f>100*(F427-E427)/F427</f>
        <v/>
      </c>
      <c r="P427" s="100">
        <f>O427/I427</f>
        <v/>
      </c>
      <c r="AA427" s="103">
        <f>IF(X427&lt;33,IF(Y427&gt;(1.1*X427),0,1),1)+IF(Y427&gt;(4*X427),-1,0)</f>
        <v/>
      </c>
      <c r="AC427" s="101">
        <f>IF(AB427&gt;9,1,0)+AB427/3+IF(AB427&gt;15,1,0)+IF(AB427&gt;20,1,0)</f>
        <v/>
      </c>
      <c r="AG427" s="101">
        <f>IF(G427&lt;0,0,1.2)+IF(G427&lt;14,0,0.9)+IF(P427&lt;0,0.7,0)+IF(P427&lt;6.5,1,0)+IF(P427&lt;23,1,0)+IF(R427&gt;80,0,1)+S427+IF(AD427&lt;20,0,1)+IF(AE427&lt;14,0,1)+IF(AF427&lt;26,0,1)</f>
        <v/>
      </c>
      <c r="AH427" s="101">
        <f>AG427+IF(AG427&gt;6,1,0)+IF(X427&lt;17,0,1)+IF(Y427&lt;11,0,1)+IF(Z427&lt;1.35,0,1)+AC427+AA427</f>
        <v/>
      </c>
    </row>
    <row r="428" ht="12.75" customHeight="1">
      <c r="G428" s="100">
        <f>100*(F428-E428)/F428</f>
        <v/>
      </c>
      <c r="P428" s="100">
        <f>O428/I428</f>
        <v/>
      </c>
      <c r="AA428" s="103">
        <f>IF(X428&lt;33,IF(Y428&gt;(1.1*X428),0,1),1)+IF(Y428&gt;(4*X428),-1,0)</f>
        <v/>
      </c>
      <c r="AC428" s="101">
        <f>IF(AB428&gt;9,1,0)+AB428/3+IF(AB428&gt;15,1,0)+IF(AB428&gt;20,1,0)</f>
        <v/>
      </c>
      <c r="AG428" s="101">
        <f>IF(G428&lt;0,0,1.2)+IF(G428&lt;14,0,0.9)+IF(P428&lt;0,0.7,0)+IF(P428&lt;6.5,1,0)+IF(P428&lt;23,1,0)+IF(R428&gt;80,0,1)+S428+IF(AD428&lt;20,0,1)+IF(AE428&lt;14,0,1)+IF(AF428&lt;26,0,1)</f>
        <v/>
      </c>
      <c r="AH428" s="101">
        <f>AG428+IF(AG428&gt;6,1,0)+IF(X428&lt;17,0,1)+IF(Y428&lt;11,0,1)+IF(Z428&lt;1.35,0,1)+AC428+AA428</f>
        <v/>
      </c>
    </row>
    <row r="429" ht="12.75" customHeight="1">
      <c r="G429" s="100">
        <f>100*(F429-E429)/F429</f>
        <v/>
      </c>
      <c r="P429" s="100">
        <f>O429/I429</f>
        <v/>
      </c>
      <c r="AA429" s="103">
        <f>IF(X429&lt;33,IF(Y429&gt;(1.1*X429),0,1),1)+IF(Y429&gt;(4*X429),-1,0)</f>
        <v/>
      </c>
      <c r="AC429" s="101">
        <f>IF(AB429&gt;9,1,0)+AB429/3+IF(AB429&gt;15,1,0)+IF(AB429&gt;20,1,0)</f>
        <v/>
      </c>
      <c r="AG429" s="101">
        <f>IF(G429&lt;0,0,1.2)+IF(G429&lt;14,0,0.9)+IF(P429&lt;0,0.7,0)+IF(P429&lt;6.5,1,0)+IF(P429&lt;23,1,0)+IF(R429&gt;80,0,1)+S429+IF(AD429&lt;20,0,1)+IF(AE429&lt;14,0,1)+IF(AF429&lt;26,0,1)</f>
        <v/>
      </c>
      <c r="AH429" s="101">
        <f>AG429+IF(AG429&gt;6,1,0)+IF(X429&lt;17,0,1)+IF(Y429&lt;11,0,1)+IF(Z429&lt;1.35,0,1)+AC429+AA429</f>
        <v/>
      </c>
    </row>
    <row r="430" ht="12.75" customHeight="1">
      <c r="G430" s="100">
        <f>100*(F430-E430)/F430</f>
        <v/>
      </c>
      <c r="P430" s="100">
        <f>O430/I430</f>
        <v/>
      </c>
      <c r="AA430" s="103">
        <f>IF(X430&lt;33,IF(Y430&gt;(1.1*X430),0,1),1)+IF(Y430&gt;(4*X430),-1,0)</f>
        <v/>
      </c>
      <c r="AC430" s="101">
        <f>IF(AB430&gt;9,1,0)+AB430/3+IF(AB430&gt;15,1,0)+IF(AB430&gt;20,1,0)</f>
        <v/>
      </c>
      <c r="AG430" s="101">
        <f>IF(G430&lt;0,0,1.2)+IF(G430&lt;14,0,0.9)+IF(P430&lt;0,0.7,0)+IF(P430&lt;6.5,1,0)+IF(P430&lt;23,1,0)+IF(R430&gt;80,0,1)+S430+IF(AD430&lt;20,0,1)+IF(AE430&lt;14,0,1)+IF(AF430&lt;26,0,1)</f>
        <v/>
      </c>
      <c r="AH430" s="101">
        <f>AG430+IF(AG430&gt;6,1,0)+IF(X430&lt;17,0,1)+IF(Y430&lt;11,0,1)+IF(Z430&lt;1.35,0,1)+AC430+AA430</f>
        <v/>
      </c>
    </row>
    <row r="431" ht="12.75" customHeight="1">
      <c r="G431" s="100">
        <f>100*(F431-E431)/F431</f>
        <v/>
      </c>
      <c r="P431" s="100">
        <f>O431/I431</f>
        <v/>
      </c>
      <c r="AA431" s="103">
        <f>IF(X431&lt;33,IF(Y431&gt;(1.1*X431),0,1),1)+IF(Y431&gt;(4*X431),-1,0)</f>
        <v/>
      </c>
      <c r="AC431" s="101">
        <f>IF(AB431&gt;9,1,0)+AB431/3+IF(AB431&gt;15,1,0)+IF(AB431&gt;20,1,0)</f>
        <v/>
      </c>
      <c r="AG431" s="101">
        <f>IF(G431&lt;0,0,1.2)+IF(G431&lt;14,0,0.9)+IF(P431&lt;0,0.7,0)+IF(P431&lt;6.5,1,0)+IF(P431&lt;23,1,0)+IF(R431&gt;80,0,1)+S431+IF(AD431&lt;20,0,1)+IF(AE431&lt;14,0,1)+IF(AF431&lt;26,0,1)</f>
        <v/>
      </c>
      <c r="AH431" s="101">
        <f>AG431+IF(AG431&gt;6,1,0)+IF(X431&lt;17,0,1)+IF(Y431&lt;11,0,1)+IF(Z431&lt;1.35,0,1)+AC431+AA431</f>
        <v/>
      </c>
    </row>
    <row r="432" ht="12.75" customHeight="1">
      <c r="G432" s="100">
        <f>100*(F432-E432)/F432</f>
        <v/>
      </c>
      <c r="P432" s="100">
        <f>O432/I432</f>
        <v/>
      </c>
      <c r="AA432" s="103">
        <f>IF(X432&lt;33,IF(Y432&gt;(1.1*X432),0,1),1)+IF(Y432&gt;(4*X432),-1,0)</f>
        <v/>
      </c>
      <c r="AC432" s="101">
        <f>IF(AB432&gt;9,1,0)+AB432/3+IF(AB432&gt;15,1,0)+IF(AB432&gt;20,1,0)</f>
        <v/>
      </c>
      <c r="AG432" s="101">
        <f>IF(G432&lt;0,0,1.2)+IF(G432&lt;14,0,0.9)+IF(P432&lt;0,0.7,0)+IF(P432&lt;6.5,1,0)+IF(P432&lt;23,1,0)+IF(R432&gt;80,0,1)+S432+IF(AD432&lt;20,0,1)+IF(AE432&lt;14,0,1)+IF(AF432&lt;26,0,1)</f>
        <v/>
      </c>
      <c r="AH432" s="101">
        <f>AG432+IF(AG432&gt;6,1,0)+IF(X432&lt;17,0,1)+IF(Y432&lt;11,0,1)+IF(Z432&lt;1.35,0,1)+AC432+AA432</f>
        <v/>
      </c>
    </row>
    <row r="433" ht="12.75" customHeight="1">
      <c r="AA433" s="103">
        <f>IF(X433&lt;33,IF(Y433&gt;(1.1*X433),0,1),1)+IF(Y433&gt;(4*X433),-1,0)</f>
        <v/>
      </c>
      <c r="AC433" s="101">
        <f>IF(AB433&gt;9,1,0)+AB433/3+IF(AB433&gt;15,1,0)+IF(AB433&gt;20,1,0)</f>
        <v/>
      </c>
      <c r="AG433" s="101">
        <f>IF(G433&lt;0,0,1.2)+IF(G433&lt;14,0,0.9)+IF(P433&lt;0,0.7,0)+IF(P433&lt;6.5,1,0)+IF(P433&lt;23,1,0)+IF(R433&gt;80,0,1)+S433+IF(AD433&lt;20,0,1)+IF(AE433&lt;14,0,1)+IF(AF433&lt;26,0,1)</f>
        <v/>
      </c>
      <c r="AH433" s="101">
        <f>AG433+IF(AG433&gt;6,1,0)+IF(X433&lt;17,0,1)+IF(Y433&lt;11,0,1)+IF(Z433&lt;1.35,0,1)+AC433+AA433</f>
        <v/>
      </c>
    </row>
    <row r="434" ht="12.75" customHeight="1">
      <c r="AA434" s="103">
        <f>IF(X434&lt;33,IF(Y434&gt;(1.1*X434),0,1),1)+IF(Y434&gt;(4*X434),-1,0)</f>
        <v/>
      </c>
      <c r="AC434" s="101">
        <f>IF(AB434&gt;9,1,0)+AB434/3+IF(AB434&gt;15,1,0)+IF(AB434&gt;20,1,0)</f>
        <v/>
      </c>
      <c r="AG434" s="101">
        <f>IF(G434&lt;0,0,1.2)+IF(G434&lt;14,0,0.9)+IF(P434&lt;0,0.7,0)+IF(P434&lt;6.5,1,0)+IF(P434&lt;23,1,0)+IF(R434&gt;80,0,1)+S434+IF(AD434&lt;20,0,1)+IF(AE434&lt;14,0,1)+IF(AF434&lt;26,0,1)</f>
        <v/>
      </c>
      <c r="AH434" s="101">
        <f>AG434+IF(AG434&gt;6,1,0)+IF(X434&lt;17,0,1)+IF(Y434&lt;11,0,1)+IF(Z434&lt;1.35,0,1)+AC434+AA434</f>
        <v/>
      </c>
    </row>
    <row r="435" ht="12.75" customHeight="1">
      <c r="AA435" s="103">
        <f>IF(X435&lt;33,IF(Y435&gt;(1.1*X435),0,1),1)+IF(Y435&gt;(4*X435),-1,0)</f>
        <v/>
      </c>
      <c r="AC435" s="101">
        <f>IF(AB435&gt;9,1,0)+AB435/3+IF(AB435&gt;15,1,0)+IF(AB435&gt;20,1,0)</f>
        <v/>
      </c>
      <c r="AG435" s="101">
        <f>IF(G435&lt;0,0,1.2)+IF(G435&lt;14,0,0.9)+IF(P435&lt;0,0.7,0)+IF(P435&lt;6.5,1,0)+IF(P435&lt;23,1,0)+IF(R435&gt;80,0,1)+S435+IF(AD435&lt;20,0,1)+IF(AE435&lt;14,0,1)+IF(AF435&lt;26,0,1)</f>
        <v/>
      </c>
      <c r="AH435" s="101">
        <f>AG435+IF(AG435&gt;6,1,0)+IF(X435&lt;17,0,1)+IF(Y435&lt;11,0,1)+IF(Z435&lt;1.35,0,1)+AC435+AA435</f>
        <v/>
      </c>
    </row>
    <row r="436" ht="12.75" customHeight="1">
      <c r="AA436" s="103">
        <f>IF(X436&lt;33,IF(Y436&gt;(1.1*X436),0,1),1)+IF(Y436&gt;(4*X436),-1,0)</f>
        <v/>
      </c>
      <c r="AC436" s="101">
        <f>IF(AB436&gt;9,1,0)+AB436/3+IF(AB436&gt;15,1,0)+IF(AB436&gt;20,1,0)</f>
        <v/>
      </c>
      <c r="AG436" s="101">
        <f>IF(G436&lt;0,0,1.2)+IF(G436&lt;14,0,0.9)+IF(P436&lt;0,0.7,0)+IF(P436&lt;6.5,1,0)+IF(P436&lt;23,1,0)+IF(R436&gt;80,0,1)+S436+IF(AD436&lt;20,0,1)+IF(AE436&lt;14,0,1)+IF(AF436&lt;26,0,1)</f>
        <v/>
      </c>
      <c r="AH436" s="101">
        <f>AG436+IF(AG436&gt;6,1,0)+IF(X436&lt;17,0,1)+IF(Y436&lt;11,0,1)+IF(Z436&lt;1.35,0,1)+AC436+AA436</f>
        <v/>
      </c>
    </row>
    <row r="437" ht="12.75" customHeight="1">
      <c r="AA437" s="103">
        <f>IF(X437&lt;33,IF(Y437&gt;(1.1*X437),0,1),1)+IF(Y437&gt;(4*X437),-1,0)</f>
        <v/>
      </c>
      <c r="AC437" s="101">
        <f>IF(AB437&gt;9,1,0)+AB437/3+IF(AB437&gt;15,1,0)+IF(AB437&gt;20,1,0)</f>
        <v/>
      </c>
      <c r="AG437" s="101">
        <f>IF(G437&lt;0,0,1.2)+IF(G437&lt;14,0,0.9)+IF(P437&lt;0,0.7,0)+IF(P437&lt;6.5,1,0)+IF(P437&lt;23,1,0)+IF(R437&gt;80,0,1)+S437+IF(AD437&lt;20,0,1)+IF(AE437&lt;14,0,1)+IF(AF437&lt;26,0,1)</f>
        <v/>
      </c>
      <c r="AH437" s="101">
        <f>AG437+IF(AG437&gt;6,1,0)+IF(X437&lt;17,0,1)+IF(Y437&lt;11,0,1)+IF(Z437&lt;1.35,0,1)+AC437+AA437</f>
        <v/>
      </c>
    </row>
    <row r="438" ht="12.75" customHeight="1">
      <c r="AA438" s="103">
        <f>IF(X438&lt;33,IF(Y438&gt;(1.1*X438),0,1),1)+IF(Y438&gt;(4*X438),-1,0)</f>
        <v/>
      </c>
      <c r="AC438" s="101">
        <f>IF(AB438&gt;9,1,0)+AB438/3+IF(AB438&gt;15,1,0)+IF(AB438&gt;20,1,0)</f>
        <v/>
      </c>
      <c r="AG438" s="101">
        <f>IF(G438&lt;0,0,1.2)+IF(G438&lt;14,0,0.9)+IF(P438&lt;0,0.7,0)+IF(P438&lt;6.5,1,0)+IF(P438&lt;23,1,0)+IF(R438&gt;80,0,1)+S438+IF(AD438&lt;20,0,1)+IF(AE438&lt;14,0,1)+IF(AF438&lt;26,0,1)</f>
        <v/>
      </c>
      <c r="AH438" s="101">
        <f>AG438+IF(AG438&gt;6,1,0)+IF(X438&lt;17,0,1)+IF(Y438&lt;11,0,1)+IF(Z438&lt;1.35,0,1)+AC438+AA438</f>
        <v/>
      </c>
    </row>
    <row r="439" ht="12.75" customHeight="1">
      <c r="AA439" s="103">
        <f>IF(X439&lt;33,IF(Y439&gt;(1.1*X439),0,1),1)+IF(Y439&gt;(4*X439),-1,0)</f>
        <v/>
      </c>
      <c r="AC439" s="101">
        <f>IF(AB439&gt;9,1,0)+AB439/3+IF(AB439&gt;15,1,0)+IF(AB439&gt;20,1,0)</f>
        <v/>
      </c>
      <c r="AG439" s="101">
        <f>IF(G439&lt;0,0,1.2)+IF(G439&lt;14,0,0.9)+IF(P439&lt;0,0.7,0)+IF(P439&lt;6.5,1,0)+IF(P439&lt;23,1,0)+IF(R439&gt;80,0,1)+S439+IF(AD439&lt;20,0,1)+IF(AE439&lt;14,0,1)+IF(AF439&lt;26,0,1)</f>
        <v/>
      </c>
      <c r="AH439" s="101">
        <f>AG439+IF(AG439&gt;6,1,0)+IF(X439&lt;17,0,1)+IF(Y439&lt;11,0,1)+IF(Z439&lt;1.35,0,1)+AC439+AA439</f>
        <v/>
      </c>
    </row>
    <row r="440" ht="12.75" customHeight="1">
      <c r="AA440" s="103">
        <f>IF(X440&lt;33,IF(Y440&gt;(1.1*X440),0,1),1)+IF(Y440&gt;(4*X440),-1,0)</f>
        <v/>
      </c>
      <c r="AC440" s="101">
        <f>IF(AB440&gt;9,1,0)+AB440/3+IF(AB440&gt;15,1,0)+IF(AB440&gt;20,1,0)</f>
        <v/>
      </c>
      <c r="AG440" s="101">
        <f>IF(G440&lt;0,0,1.2)+IF(G440&lt;14,0,0.9)+IF(P440&lt;0,0.7,0)+IF(P440&lt;6.5,1,0)+IF(P440&lt;23,1,0)+IF(R440&gt;80,0,1)+S440+IF(AD440&lt;20,0,1)+IF(AE440&lt;14,0,1)+IF(AF440&lt;26,0,1)</f>
        <v/>
      </c>
      <c r="AH440" s="101">
        <f>AG440+IF(AG440&gt;6,1,0)+IF(X440&lt;17,0,1)+IF(Y440&lt;11,0,1)+IF(Z440&lt;1.35,0,1)+AC440+AA440</f>
        <v/>
      </c>
    </row>
    <row r="441" ht="12.75" customHeight="1">
      <c r="AA441" s="103">
        <f>IF(X441&lt;33,IF(Y441&gt;(1.1*X441),0,1),1)+IF(Y441&gt;(4*X441),-1,0)</f>
        <v/>
      </c>
      <c r="AC441" s="101">
        <f>IF(AB441&gt;9,1,0)+AB441/3+IF(AB441&gt;15,1,0)+IF(AB441&gt;20,1,0)</f>
        <v/>
      </c>
      <c r="AG441" s="101">
        <f>IF(G441&lt;0,0,1.2)+IF(G441&lt;14,0,0.9)+IF(P441&lt;0,0.7,0)+IF(P441&lt;6.5,1,0)+IF(P441&lt;23,1,0)+IF(R441&gt;80,0,1)+S441+IF(AD441&lt;20,0,1)+IF(AE441&lt;14,0,1)+IF(AF441&lt;26,0,1)</f>
        <v/>
      </c>
      <c r="AH441" s="101">
        <f>AG441+IF(AG441&gt;6,1,0)+IF(X441&lt;17,0,1)+IF(Y441&lt;11,0,1)+IF(Z441&lt;1.35,0,1)+AC441+AA441</f>
        <v/>
      </c>
    </row>
    <row r="442" ht="12.75" customHeight="1">
      <c r="AA442" s="103">
        <f>IF(X442&lt;33,IF(Y442&gt;(1.1*X442),0,1),1)+IF(Y442&gt;(4*X442),-1,0)</f>
        <v/>
      </c>
      <c r="AC442" s="101">
        <f>IF(AB442&gt;9,1,0)+AB442/3+IF(AB442&gt;15,1,0)+IF(AB442&gt;20,1,0)</f>
        <v/>
      </c>
      <c r="AG442" s="101">
        <f>IF(G442&lt;0,0,1.2)+IF(G442&lt;14,0,0.9)+IF(P442&lt;0,0.7,0)+IF(P442&lt;6.5,1,0)+IF(P442&lt;23,1,0)+IF(R442&gt;80,0,1)+S442+IF(AD442&lt;20,0,1)+IF(AE442&lt;14,0,1)+IF(AF442&lt;26,0,1)</f>
        <v/>
      </c>
      <c r="AH442" s="101">
        <f>AG442+IF(AG442&gt;6,1,0)+IF(X442&lt;17,0,1)+IF(Y442&lt;11,0,1)+IF(Z442&lt;1.35,0,1)+AC442+AA442</f>
        <v/>
      </c>
    </row>
    <row r="443" ht="12.75" customHeight="1">
      <c r="AA443" s="103">
        <f>IF(X443&lt;33,IF(Y443&gt;(1.1*X443),0,1),1)+IF(Y443&gt;(4*X443),-1,0)</f>
        <v/>
      </c>
      <c r="AC443" s="101">
        <f>IF(AB443&gt;9,1,0)+AB443/3+IF(AB443&gt;15,1,0)+IF(AB443&gt;20,1,0)</f>
        <v/>
      </c>
      <c r="AG443" s="101">
        <f>IF(G443&lt;0,0,1.2)+IF(G443&lt;14,0,0.9)+IF(P443&lt;0,0.7,0)+IF(P443&lt;6.5,1,0)+IF(P443&lt;23,1,0)+IF(R443&gt;80,0,1)+S443+IF(AD443&lt;20,0,1)+IF(AE443&lt;14,0,1)+IF(AF443&lt;26,0,1)</f>
        <v/>
      </c>
      <c r="AH443" s="101">
        <f>AG443+IF(AG443&gt;6,1,0)+IF(X443&lt;17,0,1)+IF(Y443&lt;11,0,1)+IF(Z443&lt;1.35,0,1)+AC443+AA443</f>
        <v/>
      </c>
    </row>
    <row r="444" ht="12.75" customHeight="1">
      <c r="AA444" s="103">
        <f>IF(X444&lt;33,IF(Y444&gt;(1.1*X444),0,1),1)+IF(Y444&gt;(4*X444),-1,0)</f>
        <v/>
      </c>
      <c r="AC444" s="101">
        <f>IF(AB444&gt;9,1,0)+AB444/3+IF(AB444&gt;15,1,0)+IF(AB444&gt;20,1,0)</f>
        <v/>
      </c>
      <c r="AG444" s="101">
        <f>IF(G444&lt;0,0,1.2)+IF(G444&lt;14,0,0.9)+IF(P444&lt;0,0.7,0)+IF(P444&lt;6.5,1,0)+IF(P444&lt;23,1,0)+IF(R444&gt;80,0,1)+S444+IF(AD444&lt;20,0,1)+IF(AE444&lt;14,0,1)+IF(AF444&lt;26,0,1)</f>
        <v/>
      </c>
      <c r="AH444" s="101">
        <f>AG444+IF(AG444&gt;6,1,0)+IF(X444&lt;17,0,1)+IF(Y444&lt;11,0,1)+IF(Z444&lt;1.35,0,1)+AC444+AA444</f>
        <v/>
      </c>
    </row>
    <row r="445" ht="12.75" customHeight="1">
      <c r="AA445" s="103">
        <f>IF(X445&lt;33,IF(Y445&gt;(1.1*X445),0,1),1)+IF(Y445&gt;(4*X445),-1,0)</f>
        <v/>
      </c>
      <c r="AC445" s="101">
        <f>IF(AB445&gt;9,1,0)+AB445/3+IF(AB445&gt;15,1,0)+IF(AB445&gt;20,1,0)</f>
        <v/>
      </c>
      <c r="AG445" s="101">
        <f>IF(G445&lt;0,0,1.2)+IF(G445&lt;14,0,0.9)+IF(P445&lt;0,0.7,0)+IF(P445&lt;6.5,1,0)+IF(P445&lt;23,1,0)+IF(R445&gt;80,0,1)+S445+IF(AD445&lt;20,0,1)+IF(AE445&lt;14,0,1)+IF(AF445&lt;26,0,1)</f>
        <v/>
      </c>
      <c r="AH445" s="101">
        <f>AG445+IF(AG445&gt;6,1,0)+IF(X445&lt;17,0,1)+IF(Y445&lt;11,0,1)+IF(Z445&lt;1.35,0,1)+AC445+AA445</f>
        <v/>
      </c>
    </row>
    <row r="446" ht="12.75" customHeight="1">
      <c r="AA446" s="103">
        <f>IF(X446&lt;33,IF(Y446&gt;(1.1*X446),0,1),1)+IF(Y446&gt;(4*X446),-1,0)</f>
        <v/>
      </c>
      <c r="AC446" s="101">
        <f>IF(AB446&gt;9,1,0)+AB446/3+IF(AB446&gt;15,1,0)+IF(AB446&gt;20,1,0)</f>
        <v/>
      </c>
      <c r="AG446" s="101">
        <f>IF(G446&lt;0,0,1.2)+IF(G446&lt;14,0,0.9)+IF(P446&lt;0,0.7,0)+IF(P446&lt;6.5,1,0)+IF(P446&lt;23,1,0)+IF(R446&gt;80,0,1)+S446+IF(AD446&lt;20,0,1)+IF(AE446&lt;14,0,1)+IF(AF446&lt;26,0,1)</f>
        <v/>
      </c>
      <c r="AH446" s="101">
        <f>AG446+IF(AG446&gt;6,1,0)+IF(X446&lt;17,0,1)+IF(Y446&lt;11,0,1)+IF(Z446&lt;1.35,0,1)+AC446+AA446</f>
        <v/>
      </c>
    </row>
    <row r="447" ht="12.75" customHeight="1">
      <c r="AA447" s="103">
        <f>IF(X447&lt;33,IF(Y447&gt;(1.1*X447),0,1),1)+IF(Y447&gt;(4*X447),-1,0)</f>
        <v/>
      </c>
      <c r="AC447" s="101">
        <f>IF(AB447&gt;9,1,0)+AB447/3+IF(AB447&gt;15,1,0)+IF(AB447&gt;20,1,0)</f>
        <v/>
      </c>
      <c r="AG447" s="101">
        <f>IF(G447&lt;0,0,1.2)+IF(G447&lt;14,0,0.9)+IF(P447&lt;0,0.7,0)+IF(P447&lt;6.5,1,0)+IF(P447&lt;23,1,0)+IF(R447&gt;80,0,1)+S447+IF(AD447&lt;20,0,1)+IF(AE447&lt;14,0,1)+IF(AF447&lt;26,0,1)</f>
        <v/>
      </c>
      <c r="AH447" s="101">
        <f>AG447+IF(AG447&gt;6,1,0)+IF(X447&lt;17,0,1)+IF(Y447&lt;11,0,1)+IF(Z447&lt;1.35,0,1)+AC447+AA447</f>
        <v/>
      </c>
    </row>
    <row r="448" ht="12.75" customHeight="1">
      <c r="AA448" s="103">
        <f>IF(X448&lt;33,IF(Y448&gt;(1.1*X448),0,1),1)+IF(Y448&gt;(4*X448),-1,0)</f>
        <v/>
      </c>
      <c r="AC448" s="101">
        <f>IF(AB448&gt;9,1,0)+AB448/3+IF(AB448&gt;15,1,0)+IF(AB448&gt;20,1,0)</f>
        <v/>
      </c>
      <c r="AG448" s="101">
        <f>IF(G448&lt;0,0,1.2)+IF(G448&lt;14,0,0.9)+IF(P448&lt;0,0.7,0)+IF(P448&lt;6.5,1,0)+IF(P448&lt;23,1,0)+IF(R448&gt;80,0,1)+S448+IF(AD448&lt;20,0,1)+IF(AE448&lt;14,0,1)+IF(AF448&lt;26,0,1)</f>
        <v/>
      </c>
      <c r="AH448" s="101">
        <f>AG448+IF(AG448&gt;6,1,0)+IF(X448&lt;17,0,1)+IF(Y448&lt;11,0,1)+IF(Z448&lt;1.35,0,1)+AC448+AA448</f>
        <v/>
      </c>
    </row>
    <row r="449" ht="12.75" customHeight="1">
      <c r="AA449" s="103">
        <f>IF(X449&lt;33,IF(Y449&gt;(1.1*X449),0,1),1)+IF(Y449&gt;(4*X449),-1,0)</f>
        <v/>
      </c>
      <c r="AC449" s="101">
        <f>IF(AB449&gt;9,1,0)+AB449/3+IF(AB449&gt;15,1,0)+IF(AB449&gt;20,1,0)</f>
        <v/>
      </c>
      <c r="AG449" s="101">
        <f>IF(G449&lt;0,0,1.2)+IF(G449&lt;14,0,0.9)+IF(P449&lt;0,0.7,0)+IF(P449&lt;6.5,1,0)+IF(P449&lt;23,1,0)+IF(R449&gt;80,0,1)+S449+IF(AD449&lt;20,0,1)+IF(AE449&lt;14,0,1)+IF(AF449&lt;26,0,1)</f>
        <v/>
      </c>
      <c r="AH449" s="101">
        <f>AG449+IF(AG449&gt;6,1,0)+IF(X449&lt;17,0,1)+IF(Y449&lt;11,0,1)+IF(Z449&lt;1.35,0,1)+AC449+AA449</f>
        <v/>
      </c>
    </row>
    <row r="450" ht="12.75" customHeight="1">
      <c r="AA450" s="103">
        <f>IF(X450&lt;33,IF(Y450&gt;(1.1*X450),0,1),1)+IF(Y450&gt;(4*X450),-1,0)</f>
        <v/>
      </c>
      <c r="AC450" s="101">
        <f>IF(AB450&gt;9,1,0)+AB450/3+IF(AB450&gt;15,1,0)+IF(AB450&gt;20,1,0)</f>
        <v/>
      </c>
      <c r="AG450" s="101">
        <f>IF(G450&lt;0,0,1.2)+IF(G450&lt;14,0,0.9)+IF(P450&lt;0,0.7,0)+IF(P450&lt;6.5,1,0)+IF(P450&lt;23,1,0)+IF(R450&gt;80,0,1)+S450+IF(AD450&lt;20,0,1)+IF(AE450&lt;14,0,1)+IF(AF450&lt;26,0,1)</f>
        <v/>
      </c>
      <c r="AH450" s="101">
        <f>AG450+IF(AG450&gt;6,1,0)+IF(X450&lt;17,0,1)+IF(Y450&lt;11,0,1)+IF(Z450&lt;1.35,0,1)+AC450+AA450</f>
        <v/>
      </c>
    </row>
    <row r="451" ht="12.75" customHeight="1">
      <c r="AA451" s="103">
        <f>IF(X451&lt;33,IF(Y451&gt;(1.1*X451),0,1),1)+IF(Y451&gt;(4*X451),-1,0)</f>
        <v/>
      </c>
      <c r="AC451" s="101">
        <f>IF(AB451&gt;9,1,0)+AB451/3+IF(AB451&gt;15,1,0)+IF(AB451&gt;20,1,0)</f>
        <v/>
      </c>
      <c r="AG451" s="101">
        <f>IF(G451&lt;0,0,1.2)+IF(G451&lt;14,0,0.9)+IF(P451&lt;0,0.7,0)+IF(P451&lt;6.5,1,0)+IF(P451&lt;23,1,0)+IF(R451&gt;80,0,1)+S451+IF(AD451&lt;20,0,1)+IF(AE451&lt;14,0,1)+IF(AF451&lt;26,0,1)</f>
        <v/>
      </c>
      <c r="AH451" s="101">
        <f>AG451+IF(AG451&gt;6,1,0)+IF(X451&lt;17,0,1)+IF(Y451&lt;11,0,1)+IF(Z451&lt;1.35,0,1)+AC451+AA451</f>
        <v/>
      </c>
    </row>
    <row r="452" ht="12.75" customHeight="1">
      <c r="AA452" s="103">
        <f>IF(X452&lt;33,IF(Y452&gt;(1.1*X452),0,1),1)+IF(Y452&gt;(4*X452),-1,0)</f>
        <v/>
      </c>
      <c r="AC452" s="101">
        <f>IF(AB452&gt;9,1,0)+AB452/3+IF(AB452&gt;15,1,0)+IF(AB452&gt;20,1,0)</f>
        <v/>
      </c>
      <c r="AG452" s="101">
        <f>IF(G452&lt;0,0,1.2)+IF(G452&lt;14,0,0.9)+IF(P452&lt;0,0.7,0)+IF(P452&lt;6.5,1,0)+IF(P452&lt;23,1,0)+IF(R452&gt;80,0,1)+S452+IF(AD452&lt;20,0,1)+IF(AE452&lt;14,0,1)+IF(AF452&lt;26,0,1)</f>
        <v/>
      </c>
      <c r="AH452" s="101">
        <f>AG452+IF(AG452&gt;6,1,0)+IF(X452&lt;17,0,1)+IF(Y452&lt;11,0,1)+IF(Z452&lt;1.35,0,1)+AC452+AA452</f>
        <v/>
      </c>
    </row>
    <row r="453" ht="12.75" customHeight="1">
      <c r="AA453" s="103">
        <f>IF(X453&lt;33,IF(Y453&gt;(1.1*X453),0,1),1)+IF(Y453&gt;(4*X453),-1,0)</f>
        <v/>
      </c>
      <c r="AC453" s="101">
        <f>IF(AB453&gt;9,1,0)+AB453/3+IF(AB453&gt;15,1,0)+IF(AB453&gt;20,1,0)</f>
        <v/>
      </c>
      <c r="AG453" s="101">
        <f>IF(G453&lt;0,0,1.2)+IF(G453&lt;14,0,0.9)+IF(P453&lt;0,0.7,0)+IF(P453&lt;6.5,1,0)+IF(P453&lt;23,1,0)+IF(R453&gt;80,0,1)+S453+IF(AD453&lt;20,0,1)+IF(AE453&lt;14,0,1)+IF(AF453&lt;26,0,1)</f>
        <v/>
      </c>
      <c r="AH453" s="101">
        <f>AG453+IF(AG453&gt;6,1,0)+IF(X453&lt;17,0,1)+IF(Y453&lt;11,0,1)+IF(Z453&lt;1.35,0,1)+AC453+AA453</f>
        <v/>
      </c>
    </row>
    <row r="454" ht="12.75" customHeight="1">
      <c r="AA454" s="103">
        <f>IF(X454&lt;33,IF(Y454&gt;(1.1*X454),0,1),1)+IF(Y454&gt;(4*X454),-1,0)</f>
        <v/>
      </c>
      <c r="AC454" s="101">
        <f>IF(AB454&gt;9,1,0)+AB454/3+IF(AB454&gt;15,1,0)+IF(AB454&gt;20,1,0)</f>
        <v/>
      </c>
      <c r="AG454" s="101">
        <f>IF(G454&lt;0,0,1.2)+IF(G454&lt;14,0,0.9)+IF(P454&lt;0,0.7,0)+IF(P454&lt;6.5,1,0)+IF(P454&lt;23,1,0)+IF(R454&gt;80,0,1)+S454+IF(AD454&lt;20,0,1)+IF(AE454&lt;14,0,1)+IF(AF454&lt;26,0,1)</f>
        <v/>
      </c>
      <c r="AH454" s="101">
        <f>AG454+IF(AG454&gt;6,1,0)+IF(X454&lt;17,0,1)+IF(Y454&lt;11,0,1)+IF(Z454&lt;1.35,0,1)+AC454+AA454</f>
        <v/>
      </c>
    </row>
    <row r="455" ht="12.75" customHeight="1">
      <c r="AA455" s="103">
        <f>IF(X455&lt;33,IF(Y455&gt;(1.1*X455),0,1),1)+IF(Y455&gt;(4*X455),-1,0)</f>
        <v/>
      </c>
      <c r="AC455" s="101">
        <f>IF(AB455&gt;9,1,0)+AB455/3+IF(AB455&gt;15,1,0)+IF(AB455&gt;20,1,0)</f>
        <v/>
      </c>
      <c r="AG455" s="101">
        <f>IF(G455&lt;0,0,1.2)+IF(G455&lt;14,0,0.9)+IF(P455&lt;0,0.7,0)+IF(P455&lt;6.5,1,0)+IF(P455&lt;23,1,0)+IF(R455&gt;80,0,1)+S455+IF(AD455&lt;20,0,1)+IF(AE455&lt;14,0,1)+IF(AF455&lt;26,0,1)</f>
        <v/>
      </c>
      <c r="AH455" s="101">
        <f>AG455+IF(AG455&gt;6,1,0)+IF(X455&lt;17,0,1)+IF(Y455&lt;11,0,1)+IF(Z455&lt;1.35,0,1)+AC455+AA455</f>
        <v/>
      </c>
    </row>
    <row r="456" ht="12.75" customHeight="1">
      <c r="AC456" s="101">
        <f>IF(AB456&gt;9,1,0)+AB456/3+IF(AB456&gt;15,1,0)+IF(AB456&gt;20,1,0)</f>
        <v/>
      </c>
      <c r="AG456" s="101">
        <f>IF(G456&lt;0,0,1.2)+IF(G456&lt;14,0,0.9)+IF(P456&lt;0,0.7,0)+IF(P456&lt;6.5,1,0)+IF(P456&lt;23,1,0)+IF(R456&gt;80,0,1)+S456+IF(AD456&lt;20,0,1)+IF(AE456&lt;14,0,1)+IF(AF456&lt;26,0,1)</f>
        <v/>
      </c>
      <c r="AH456" s="101">
        <f>AG456+IF(AG456&gt;6,1,0)+IF(X456&lt;17,0,1)+IF(Y456&lt;11,0,1)+IF(Z456&lt;1.35,0,1)+AC456+AA456</f>
        <v/>
      </c>
    </row>
    <row r="457" ht="12.75" customHeight="1">
      <c r="AC457" s="101">
        <f>IF(AB457&gt;9,1,0)+AB457/3+IF(AB457&gt;15,1,0)+IF(AB457&gt;20,1,0)</f>
        <v/>
      </c>
      <c r="AG457" s="101">
        <f>IF(G457&lt;0,0,1.2)+IF(G457&lt;14,0,0.9)+IF(P457&lt;0,0.7,0)+IF(P457&lt;6.5,1,0)+IF(P457&lt;23,1,0)+IF(R457&gt;80,0,1)+S457+IF(AD457&lt;20,0,1)+IF(AE457&lt;14,0,1)+IF(AF457&lt;26,0,1)</f>
        <v/>
      </c>
      <c r="AH457" s="101">
        <f>AG457+IF(AG457&gt;6,1,0)+IF(X457&lt;17,0,1)+IF(Y457&lt;11,0,1)+IF(Z457&lt;1.35,0,1)+AC457+AA457</f>
        <v/>
      </c>
    </row>
    <row r="458" ht="12.75" customHeight="1">
      <c r="AC458" s="101">
        <f>IF(AB458&gt;9,1,0)+AB458/3+IF(AB458&gt;15,1,0)+IF(AB458&gt;20,1,0)</f>
        <v/>
      </c>
      <c r="AG458" s="101">
        <f>IF(G458&lt;0,0,1.2)+IF(G458&lt;14,0,0.9)+IF(P458&lt;0,0.7,0)+IF(P458&lt;6.5,1,0)+IF(P458&lt;23,1,0)+IF(R458&gt;80,0,1)+S458+IF(AD458&lt;20,0,1)+IF(AE458&lt;14,0,1)+IF(AF458&lt;26,0,1)</f>
        <v/>
      </c>
      <c r="AH458" s="101">
        <f>AG458+IF(AG458&gt;6,1,0)+IF(X458&lt;17,0,1)+IF(Y458&lt;11,0,1)+IF(Z458&lt;1.35,0,1)+AC458+AA458</f>
        <v/>
      </c>
    </row>
    <row r="459" ht="12.75" customHeight="1">
      <c r="AC459" s="101">
        <f>IF(AB459&gt;9,1,0)+AB459/3+IF(AB459&gt;15,1,0)+IF(AB459&gt;20,1,0)</f>
        <v/>
      </c>
      <c r="AG459" s="101">
        <f>IF(G459&lt;0,0,1.2)+IF(G459&lt;14,0,0.9)+IF(P459&lt;0,0.7,0)+IF(P459&lt;6.5,1,0)+IF(P459&lt;23,1,0)+IF(R459&gt;80,0,1)+S459+IF(AD459&lt;20,0,1)+IF(AE459&lt;14,0,1)+IF(AF459&lt;26,0,1)</f>
        <v/>
      </c>
      <c r="AH459" s="101">
        <f>AG459+IF(AG459&gt;6,1,0)+IF(X459&lt;17,0,1)+IF(Y459&lt;11,0,1)+IF(Z459&lt;1.35,0,1)+AC459+AA459</f>
        <v/>
      </c>
    </row>
    <row r="460" ht="12.75" customHeight="1">
      <c r="AC460" s="101">
        <f>IF(AB460&gt;9,1,0)+AB460/3+IF(AB460&gt;15,1,0)+IF(AB460&gt;20,1,0)</f>
        <v/>
      </c>
      <c r="AG460" s="101">
        <f>IF(G460&lt;0,0,1.2)+IF(G460&lt;14,0,0.9)+IF(P460&lt;0,0.7,0)+IF(P460&lt;6.5,1,0)+IF(P460&lt;23,1,0)+IF(R460&gt;80,0,1)+S460+IF(AD460&lt;20,0,1)+IF(AE460&lt;14,0,1)+IF(AF460&lt;26,0,1)</f>
        <v/>
      </c>
      <c r="AH460" s="101">
        <f>AG460+IF(AG460&gt;6,1,0)+IF(X460&lt;17,0,1)+IF(Y460&lt;11,0,1)+IF(Z460&lt;1.35,0,1)+AC460+AA460</f>
        <v/>
      </c>
    </row>
    <row r="461" ht="12.75" customHeight="1">
      <c r="AC461" s="101">
        <f>IF(AB461&gt;9,1,0)+AB461/3+IF(AB461&gt;15,1,0)+IF(AB461&gt;20,1,0)</f>
        <v/>
      </c>
      <c r="AG461" s="101">
        <f>IF(G461&lt;0,0,1.2)+IF(G461&lt;14,0,0.9)+IF(P461&lt;0,0.7,0)+IF(P461&lt;6.5,1,0)+IF(P461&lt;23,1,0)+IF(R461&gt;80,0,1)+S461+IF(AD461&lt;20,0,1)+IF(AE461&lt;14,0,1)+IF(AF461&lt;26,0,1)</f>
        <v/>
      </c>
      <c r="AH461" s="101">
        <f>AG461+IF(AG461&gt;6,1,0)+IF(X461&lt;17,0,1)+IF(Y461&lt;11,0,1)+IF(Z461&lt;1.35,0,1)+AC461+AA461</f>
        <v/>
      </c>
    </row>
    <row r="462" ht="12.75" customHeight="1">
      <c r="AC462" s="101">
        <f>IF(AB462&gt;9,1,0)+AB462/3+IF(AB462&gt;15,1,0)+IF(AB462&gt;20,1,0)</f>
        <v/>
      </c>
      <c r="AG462" s="101">
        <f>IF(G462&lt;0,0,1.2)+IF(G462&lt;14,0,0.9)+IF(P462&lt;0,0.7,0)+IF(P462&lt;6.5,1,0)+IF(P462&lt;23,1,0)+IF(R462&gt;80,0,1)+S462+IF(AD462&lt;20,0,1)+IF(AE462&lt;14,0,1)+IF(AF462&lt;26,0,1)</f>
        <v/>
      </c>
      <c r="AH462" s="101">
        <f>AG462+IF(AG462&gt;6,1,0)+IF(X462&lt;17,0,1)+IF(Y462&lt;11,0,1)+IF(Z462&lt;1.35,0,1)+AC462+AA462</f>
        <v/>
      </c>
    </row>
    <row r="463" ht="12.75" customHeight="1">
      <c r="AC463" s="101">
        <f>IF(AB463&gt;9,1,0)+AB463/3+IF(AB463&gt;15,1,0)+IF(AB463&gt;20,1,0)</f>
        <v/>
      </c>
      <c r="AG463" s="101">
        <f>IF(G463&lt;0,0,1.2)+IF(G463&lt;14,0,0.9)+IF(P463&lt;0,0.7,0)+IF(P463&lt;6.5,1,0)+IF(P463&lt;23,1,0)+IF(R463&gt;80,0,1)+S463+IF(AD463&lt;20,0,1)+IF(AE463&lt;14,0,1)+IF(AF463&lt;26,0,1)</f>
        <v/>
      </c>
      <c r="AH463" s="101">
        <f>AG463+IF(AG463&gt;6,1,0)+IF(X463&lt;17,0,1)+IF(Y463&lt;11,0,1)+IF(Z463&lt;1.35,0,1)+AC463+AA463</f>
        <v/>
      </c>
    </row>
    <row r="464" ht="12.75" customHeight="1">
      <c r="AC464" s="101">
        <f>IF(AB464&gt;9,1,0)+AB464/3+IF(AB464&gt;15,1,0)+IF(AB464&gt;20,1,0)</f>
        <v/>
      </c>
      <c r="AG464" s="101">
        <f>IF(G464&lt;0,0,1.2)+IF(G464&lt;14,0,0.9)+IF(P464&lt;0,0.7,0)+IF(P464&lt;6.5,1,0)+IF(P464&lt;23,1,0)+IF(R464&gt;80,0,1)+S464+IF(AD464&lt;20,0,1)+IF(AE464&lt;14,0,1)+IF(AF464&lt;26,0,1)</f>
        <v/>
      </c>
      <c r="AH464" s="101">
        <f>AG464+IF(AG464&gt;6,1,0)+IF(X464&lt;17,0,1)+IF(Y464&lt;11,0,1)+IF(Z464&lt;1.35,0,1)+AC464+AA464</f>
        <v/>
      </c>
    </row>
    <row r="465" ht="12.75" customHeight="1">
      <c r="AC465" s="101">
        <f>IF(AB465&gt;9,1,0)+AB465/3+IF(AB465&gt;15,1,0)+IF(AB465&gt;20,1,0)</f>
        <v/>
      </c>
      <c r="AG465" s="101">
        <f>IF(G465&lt;0,0,1.2)+IF(G465&lt;14,0,0.9)+IF(P465&lt;0,0.7,0)+IF(P465&lt;6.5,1,0)+IF(P465&lt;23,1,0)+IF(R465&gt;80,0,1)+S465+IF(AD465&lt;20,0,1)+IF(AE465&lt;14,0,1)+IF(AF465&lt;26,0,1)</f>
        <v/>
      </c>
      <c r="AH465" s="101">
        <f>AG465+IF(AG465&gt;6,1,0)+IF(X465&lt;17,0,1)+IF(Y465&lt;11,0,1)+IF(Z465&lt;1.35,0,1)+AC465+AA465</f>
        <v/>
      </c>
    </row>
    <row r="466" ht="12.75" customHeight="1">
      <c r="AC466" s="101">
        <f>IF(AB466&gt;9,1,0)+AB466/3+IF(AB466&gt;15,1,0)+IF(AB466&gt;20,1,0)</f>
        <v/>
      </c>
      <c r="AG466" s="101">
        <f>IF(G466&lt;0,0,1.2)+IF(G466&lt;14,0,0.9)+IF(P466&lt;0,0.7,0)+IF(P466&lt;6.5,1,0)+IF(P466&lt;23,1,0)+IF(R466&gt;80,0,1)+S466+IF(AD466&lt;20,0,1)+IF(AE466&lt;14,0,1)+IF(AF466&lt;26,0,1)</f>
        <v/>
      </c>
      <c r="AH466" s="101">
        <f>AG466+IF(AG466&gt;6,1,0)+IF(X466&lt;17,0,1)+IF(Y466&lt;11,0,1)+IF(Z466&lt;1.35,0,1)+AC466+AA466</f>
        <v/>
      </c>
    </row>
    <row r="467" ht="12.75" customHeight="1">
      <c r="AC467" s="101">
        <f>IF(AB467&gt;9,1,0)+AB467/3+IF(AB467&gt;15,1,0)+IF(AB467&gt;20,1,0)</f>
        <v/>
      </c>
      <c r="AG467" s="101">
        <f>IF(G467&lt;0,0,1.2)+IF(G467&lt;14,0,0.9)+IF(P467&lt;0,0.7,0)+IF(P467&lt;6.5,1,0)+IF(P467&lt;23,1,0)+IF(R467&gt;80,0,1)+S467+IF(AD467&lt;20,0,1)+IF(AE467&lt;14,0,1)+IF(AF467&lt;26,0,1)</f>
        <v/>
      </c>
      <c r="AH467" s="101">
        <f>AG467+IF(AG467&gt;6,1,0)+IF(X467&lt;17,0,1)+IF(Y467&lt;11,0,1)+IF(Z467&lt;1.35,0,1)+AC467+AA467</f>
        <v/>
      </c>
    </row>
    <row r="468" ht="12.75" customHeight="1">
      <c r="AC468" s="101">
        <f>IF(AB468&gt;9,1,0)+AB468/3+IF(AB468&gt;15,1,0)+IF(AB468&gt;20,1,0)</f>
        <v/>
      </c>
      <c r="AG468" s="101">
        <f>IF(G468&lt;0,0,1.2)+IF(G468&lt;14,0,0.9)+IF(P468&lt;0,0.7,0)+IF(P468&lt;6.5,1,0)+IF(P468&lt;23,1,0)+IF(R468&gt;80,0,1)+S468+IF(AD468&lt;20,0,1)+IF(AE468&lt;14,0,1)+IF(AF468&lt;26,0,1)</f>
        <v/>
      </c>
      <c r="AH468" s="101">
        <f>AG468+IF(AG468&gt;6,1,0)+IF(X468&lt;17,0,1)+IF(Y468&lt;11,0,1)+IF(Z468&lt;1.35,0,1)+AC468+AA468</f>
        <v/>
      </c>
    </row>
    <row r="469" ht="12.75" customHeight="1">
      <c r="AC469" s="101">
        <f>IF(AB469&gt;9,1,0)+AB469/3+IF(AB469&gt;15,1,0)+IF(AB469&gt;20,1,0)</f>
        <v/>
      </c>
      <c r="AG469" s="101">
        <f>IF(G469&lt;0,0,1.2)+IF(G469&lt;14,0,0.9)+IF(P469&lt;0,0.7,0)+IF(P469&lt;6.5,1,0)+IF(P469&lt;23,1,0)+IF(R469&gt;80,0,1)+S469+IF(AD469&lt;20,0,1)+IF(AE469&lt;14,0,1)+IF(AF469&lt;26,0,1)</f>
        <v/>
      </c>
      <c r="AH469" s="101">
        <f>AG469+IF(AG469&gt;6,1,0)+IF(X469&lt;17,0,1)+IF(Y469&lt;11,0,1)+IF(Z469&lt;1.35,0,1)+AC469+AA469</f>
        <v/>
      </c>
    </row>
    <row r="470" ht="12.75" customHeight="1">
      <c r="AC470" s="101">
        <f>IF(AB470&gt;9,1,0)+AB470/3+IF(AB470&gt;15,1,0)+IF(AB470&gt;20,1,0)</f>
        <v/>
      </c>
      <c r="AG470" s="101">
        <f>IF(G470&lt;0,0,1.2)+IF(G470&lt;14,0,0.9)+IF(P470&lt;0,0.7,0)+IF(P470&lt;6.5,1,0)+IF(P470&lt;23,1,0)+IF(R470&gt;80,0,1)+S470+IF(AD470&lt;20,0,1)+IF(AE470&lt;14,0,1)+IF(AF470&lt;26,0,1)</f>
        <v/>
      </c>
      <c r="AH470" s="101">
        <f>AG470+IF(AG470&gt;6,1,0)+IF(X470&lt;17,0,1)+IF(Y470&lt;11,0,1)+IF(Z470&lt;1.35,0,1)+AC470+AA470</f>
        <v/>
      </c>
    </row>
    <row r="471" ht="12.75" customHeight="1">
      <c r="AC471" s="101">
        <f>IF(AB471&gt;9,1,0)+AB471/3+IF(AB471&gt;15,1,0)+IF(AB471&gt;20,1,0)</f>
        <v/>
      </c>
      <c r="AG471" s="101">
        <f>IF(G471&lt;0,0,1.2)+IF(G471&lt;14,0,0.9)+IF(P471&lt;0,0.7,0)+IF(P471&lt;6.5,1,0)+IF(P471&lt;23,1,0)+IF(R471&gt;80,0,1)+S471+IF(AD471&lt;20,0,1)+IF(AE471&lt;14,0,1)+IF(AF471&lt;26,0,1)</f>
        <v/>
      </c>
    </row>
    <row r="472" ht="12.75" customHeight="1">
      <c r="AC472" s="101">
        <f>IF(AB472&gt;9,1,0)+AB472/3+IF(AB472&gt;15,1,0)+IF(AB472&gt;20,1,0)</f>
        <v/>
      </c>
      <c r="AG472" s="101">
        <f>IF(G472&lt;0,0,1.2)+IF(G472&lt;14,0,0.9)+IF(P472&lt;0,0.7,0)+IF(P472&lt;6.5,1,0)+IF(P472&lt;23,1,0)+IF(R472&gt;80,0,1)+S472+IF(AD472&lt;20,0,1)+IF(AE472&lt;14,0,1)+IF(AF472&lt;26,0,1)</f>
        <v/>
      </c>
    </row>
    <row r="473" ht="12.75" customHeight="1">
      <c r="AC473" s="101">
        <f>IF(AB473&gt;9,1,0)+AB473/3+IF(AB473&gt;15,1,0)+IF(AB473&gt;20,1,0)</f>
        <v/>
      </c>
      <c r="AG473" s="101">
        <f>IF(G473&lt;0,0,1.2)+IF(G473&lt;14,0,0.9)+IF(P473&lt;0,0.7,0)+IF(P473&lt;6.5,1,0)+IF(P473&lt;23,1,0)+IF(R473&gt;80,0,1)+S473+IF(AD473&lt;20,0,1)+IF(AE473&lt;14,0,1)+IF(AF473&lt;26,0,1)</f>
        <v/>
      </c>
    </row>
    <row r="474" ht="12.75" customHeight="1">
      <c r="AC474" s="101">
        <f>IF(AB474&gt;9,1,0)+AB474/3+IF(AB474&gt;15,1,0)+IF(AB474&gt;20,1,0)</f>
        <v/>
      </c>
      <c r="AG474" s="101">
        <f>IF(G474&lt;0,0,1.2)+IF(G474&lt;14,0,0.9)+IF(P474&lt;0,0.7,0)+IF(P474&lt;6.5,1,0)+IF(P474&lt;23,1,0)+IF(R474&gt;80,0,1)+S474+IF(AD474&lt;20,0,1)+IF(AE474&lt;14,0,1)+IF(AF474&lt;26,0,1)</f>
        <v/>
      </c>
    </row>
    <row r="475" ht="12.75" customHeight="1">
      <c r="AC475" s="101">
        <f>IF(AB475&gt;9,1,0)+AB475/3+IF(AB475&gt;15,1,0)+IF(AB475&gt;20,1,0)</f>
        <v/>
      </c>
      <c r="AG475" s="101">
        <f>IF(G475&lt;0,0,1.2)+IF(G475&lt;14,0,0.9)+IF(P475&lt;0,0.7,0)+IF(P475&lt;6.5,1,0)+IF(P475&lt;23,1,0)+IF(R475&gt;80,0,1)+S475+IF(AD475&lt;20,0,1)+IF(AE475&lt;14,0,1)+IF(AF475&lt;26,0,1)</f>
        <v/>
      </c>
    </row>
    <row r="476" ht="12.75" customHeight="1">
      <c r="AC476" s="101">
        <f>IF(AB476&gt;9,1,0)+AB476/3+IF(AB476&gt;15,1,0)+IF(AB476&gt;20,1,0)</f>
        <v/>
      </c>
      <c r="AG476" s="101">
        <f>IF(G476&lt;0,0,1.2)+IF(G476&lt;14,0,0.9)+IF(P476&lt;0,0.7,0)+IF(P476&lt;6.5,1,0)+IF(P476&lt;23,1,0)+IF(R476&gt;80,0,1)+S476+IF(AD476&lt;20,0,1)+IF(AE476&lt;14,0,1)+IF(AF476&lt;26,0,1)</f>
        <v/>
      </c>
    </row>
    <row r="477" ht="12.75" customHeight="1">
      <c r="AC477" s="101">
        <f>IF(AB477&gt;9,1,0)+AB477/3+IF(AB477&gt;15,1,0)+IF(AB477&gt;20,1,0)</f>
        <v/>
      </c>
      <c r="AG477" s="101">
        <f>IF(G477&lt;0,0,1.2)+IF(G477&lt;14,0,0.9)+IF(P477&lt;0,0.7,0)+IF(P477&lt;6.5,1,0)+IF(P477&lt;23,1,0)+IF(R477&gt;80,0,1)+S477+IF(AD477&lt;20,0,1)+IF(AE477&lt;14,0,1)+IF(AF477&lt;26,0,1)</f>
        <v/>
      </c>
    </row>
    <row r="478" ht="12.75" customHeight="1">
      <c r="AC478" s="101">
        <f>IF(AB478&gt;9,1,0)+AB478/3+IF(AB478&gt;15,1,0)+IF(AB478&gt;20,1,0)</f>
        <v/>
      </c>
      <c r="AG478" s="101">
        <f>IF(G478&lt;0,0,1.2)+IF(G478&lt;14,0,0.9)+IF(P478&lt;0,0.7,0)+IF(P478&lt;6.5,1,0)+IF(P478&lt;23,1,0)+IF(R478&gt;80,0,1)+S478+IF(AD478&lt;20,0,1)+IF(AE478&lt;14,0,1)+IF(AF478&lt;26,0,1)</f>
        <v/>
      </c>
    </row>
    <row r="479" ht="12.75" customHeight="1">
      <c r="AC479" s="101">
        <f>IF(AB479&gt;9,1,0)+AB479/3+IF(AB479&gt;15,1,0)+IF(AB479&gt;20,1,0)</f>
        <v/>
      </c>
      <c r="AG479" s="101">
        <f>IF(G479&lt;0,0,1.2)+IF(G479&lt;14,0,0.9)+IF(P479&lt;0,0.7,0)+IF(P479&lt;6.5,1,0)+IF(P479&lt;23,1,0)+IF(R479&gt;80,0,1)+S479+IF(AD479&lt;20,0,1)+IF(AE479&lt;14,0,1)+IF(AF479&lt;26,0,1)</f>
        <v/>
      </c>
    </row>
    <row r="480" ht="12.75" customHeight="1">
      <c r="AC480" s="101">
        <f>IF(AB480&gt;9,1,0)+AB480/3+IF(AB480&gt;15,1,0)+IF(AB480&gt;20,1,0)</f>
        <v/>
      </c>
      <c r="AG480" s="101">
        <f>IF(G480&lt;0,0,1.2)+IF(G480&lt;14,0,0.9)+IF(P480&lt;0,0.7,0)+IF(P480&lt;6.5,1,0)+IF(P480&lt;23,1,0)+IF(R480&gt;80,0,1)+S480+IF(AD480&lt;20,0,1)+IF(AE480&lt;14,0,1)+IF(AF480&lt;26,0,1)</f>
        <v/>
      </c>
    </row>
    <row r="481" ht="12.75" customHeight="1">
      <c r="AC481" s="101">
        <f>IF(AB481&gt;9,1,0)+AB481/3+IF(AB481&gt;15,1,0)+IF(AB481&gt;20,1,0)</f>
        <v/>
      </c>
      <c r="AG481" s="101">
        <f>IF(G481&lt;0,0,1.2)+IF(G481&lt;14,0,0.9)+IF(P481&lt;0,0.7,0)+IF(P481&lt;6.5,1,0)+IF(P481&lt;23,1,0)+IF(R481&gt;80,0,1)+S481+IF(AD481&lt;20,0,1)+IF(AE481&lt;14,0,1)+IF(AF481&lt;26,0,1)</f>
        <v/>
      </c>
    </row>
    <row r="482" ht="12.75" customHeight="1">
      <c r="AC482" s="101">
        <f>IF(AB482&gt;9,1,0)+AB482/3+IF(AB482&gt;15,1,0)+IF(AB482&gt;20,1,0)</f>
        <v/>
      </c>
      <c r="AG482" s="101">
        <f>IF(G482&lt;0,0,1.2)+IF(G482&lt;14,0,0.9)+IF(P482&lt;0,0.7,0)+IF(P482&lt;6.5,1,0)+IF(P482&lt;23,1,0)+IF(R482&gt;80,0,1)+S482+IF(AD482&lt;20,0,1)+IF(AE482&lt;14,0,1)+IF(AF482&lt;26,0,1)</f>
        <v/>
      </c>
    </row>
    <row r="483" ht="12.75" customHeight="1">
      <c r="AC483" s="101">
        <f>IF(AB483&gt;9,1,0)+AB483/3+IF(AB483&gt;15,1,0)+IF(AB483&gt;20,1,0)</f>
        <v/>
      </c>
      <c r="AG483" s="101">
        <f>IF(G483&lt;0,0,1.2)+IF(G483&lt;14,0,0.9)+IF(P483&lt;0,0.7,0)+IF(P483&lt;6.5,1,0)+IF(P483&lt;23,1,0)+IF(R483&gt;80,0,1)+S483+IF(AD483&lt;20,0,1)+IF(AE483&lt;14,0,1)+IF(AF483&lt;26,0,1)</f>
        <v/>
      </c>
    </row>
    <row r="484" ht="12.75" customHeight="1">
      <c r="AC484" s="101">
        <f>IF(AB484&gt;9,1,0)+AB484/3+IF(AB484&gt;15,1,0)+IF(AB484&gt;20,1,0)</f>
        <v/>
      </c>
      <c r="AG484" s="101">
        <f>IF(G484&lt;0,0,1.2)+IF(G484&lt;14,0,0.9)+IF(P484&lt;0,0.7,0)+IF(P484&lt;6.5,1,0)+IF(P484&lt;23,1,0)+IF(R484&gt;80,0,1)+S484+IF(AD484&lt;20,0,1)+IF(AE484&lt;14,0,1)+IF(AF484&lt;26,0,1)</f>
        <v/>
      </c>
    </row>
    <row r="485" ht="12.75" customHeight="1">
      <c r="AC485" s="101">
        <f>IF(AB485&gt;9,1,0)+AB485/3+IF(AB485&gt;15,1,0)+IF(AB485&gt;20,1,0)</f>
        <v/>
      </c>
      <c r="AG485" s="101">
        <f>IF(G485&lt;0,0,1.2)+IF(G485&lt;14,0,0.9)+IF(P485&lt;0,0.7,0)+IF(P485&lt;6.5,1,0)+IF(P485&lt;23,1,0)+IF(R485&gt;80,0,1)+S485+IF(AD485&lt;20,0,1)+IF(AE485&lt;14,0,1)+IF(AF485&lt;26,0,1)</f>
        <v/>
      </c>
    </row>
    <row r="486" ht="12.75" customHeight="1">
      <c r="AC486" s="101">
        <f>IF(AB486&gt;9,1,0)+AB486/3+IF(AB486&gt;15,1,0)+IF(AB486&gt;20,1,0)</f>
        <v/>
      </c>
      <c r="AG486" s="101">
        <f>IF(G486&lt;0,0,1.2)+IF(G486&lt;14,0,0.9)+IF(P486&lt;0,0.7,0)+IF(P486&lt;6.5,1,0)+IF(P486&lt;23,1,0)+IF(R486&gt;80,0,1)+S486+IF(AD486&lt;20,0,1)+IF(AE486&lt;14,0,1)+IF(AF486&lt;26,0,1)</f>
        <v/>
      </c>
    </row>
    <row r="487" ht="12.75" customHeight="1">
      <c r="AC487" s="101">
        <f>IF(AB487&gt;9,1,0)+AB487/3+IF(AB487&gt;15,1,0)+IF(AB487&gt;20,1,0)</f>
        <v/>
      </c>
      <c r="AG487" s="101">
        <f>IF(G487&lt;0,0,1.2)+IF(G487&lt;14,0,0.9)+IF(P487&lt;0,0.7,0)+IF(P487&lt;6.5,1,0)+IF(P487&lt;23,1,0)+IF(R487&gt;80,0,1)+S487+IF(AD487&lt;20,0,1)+IF(AE487&lt;14,0,1)+IF(AF487&lt;26,0,1)</f>
        <v/>
      </c>
    </row>
    <row r="488" ht="12.75" customHeight="1">
      <c r="AC488" s="101">
        <f>IF(AB488&gt;9,1,0)+AB488/3+IF(AB488&gt;15,1,0)+IF(AB488&gt;20,1,0)</f>
        <v/>
      </c>
      <c r="AG488" s="101">
        <f>IF(G488&lt;0,0,1.2)+IF(G488&lt;14,0,0.9)+IF(P488&lt;0,0.7,0)+IF(P488&lt;6.5,1,0)+IF(P488&lt;23,1,0)+IF(R488&gt;80,0,1)+S488+IF(AD488&lt;20,0,1)+IF(AE488&lt;14,0,1)+IF(AF488&lt;26,0,1)</f>
        <v/>
      </c>
    </row>
    <row r="489" ht="12.75" customHeight="1">
      <c r="AC489" s="101">
        <f>IF(AB489&gt;9,1,0)+AB489/3+IF(AB489&gt;15,1,0)+IF(AB489&gt;20,1,0)</f>
        <v/>
      </c>
      <c r="AG489" s="101">
        <f>IF(G489&lt;0,0,1.2)+IF(G489&lt;14,0,0.9)+IF(P489&lt;0,0.7,0)+IF(P489&lt;6.5,1,0)+IF(P489&lt;23,1,0)+IF(R489&gt;80,0,1)+S489+IF(AD489&lt;20,0,1)+IF(AE489&lt;14,0,1)+IF(AF489&lt;26,0,1)</f>
        <v/>
      </c>
    </row>
    <row r="490" ht="12.75" customHeight="1">
      <c r="AC490" s="101">
        <f>IF(AB490&gt;9,1,0)+AB490/3+IF(AB490&gt;15,1,0)+IF(AB490&gt;20,1,0)</f>
        <v/>
      </c>
      <c r="AG490" s="101">
        <f>IF(G490&lt;0,0,1.2)+IF(G490&lt;14,0,0.9)+IF(P490&lt;0,0.7,0)+IF(P490&lt;6.5,1,0)+IF(P490&lt;23,1,0)+IF(R490&gt;80,0,1)+S490+IF(AD490&lt;20,0,1)+IF(AE490&lt;14,0,1)+IF(AF490&lt;26,0,1)</f>
        <v/>
      </c>
    </row>
    <row r="491" ht="12.75" customHeight="1">
      <c r="AC491" s="101">
        <f>IF(AB491&gt;9,1,0)+AB491/3+IF(AB491&gt;15,1,0)+IF(AB491&gt;20,1,0)</f>
        <v/>
      </c>
      <c r="AG491" s="101">
        <f>IF(G491&lt;0,0,1.2)+IF(G491&lt;14,0,0.9)+IF(P491&lt;0,0.7,0)+IF(P491&lt;6.5,1,0)+IF(P491&lt;23,1,0)+IF(R491&gt;80,0,1)+S491+IF(AD491&lt;20,0,1)+IF(AE491&lt;14,0,1)+IF(AF491&lt;26,0,1)</f>
        <v/>
      </c>
    </row>
    <row r="492" ht="12.75" customHeight="1">
      <c r="AC492" s="101">
        <f>IF(AB492&gt;9,1,0)+AB492/3+IF(AB492&gt;15,1,0)+IF(AB492&gt;20,1,0)</f>
        <v/>
      </c>
      <c r="AG492" s="101">
        <f>IF(G492&lt;0,0,1.2)+IF(G492&lt;14,0,0.9)+IF(P492&lt;0,0.7,0)+IF(P492&lt;6.5,1,0)+IF(P492&lt;23,1,0)+IF(R492&gt;80,0,1)+S492+IF(AD492&lt;20,0,1)+IF(AE492&lt;14,0,1)+IF(AF492&lt;26,0,1)</f>
        <v/>
      </c>
    </row>
    <row r="493" ht="12.75" customHeight="1">
      <c r="AC493" s="101">
        <f>IF(AB493&gt;9,1,0)+AB493/3+IF(AB493&gt;15,1,0)+IF(AB493&gt;20,1,0)</f>
        <v/>
      </c>
      <c r="AG493" s="101">
        <f>IF(G493&lt;0,0,1.2)+IF(G493&lt;14,0,0.9)+IF(P493&lt;0,0.7,0)+IF(P493&lt;6.5,1,0)+IF(P493&lt;23,1,0)+IF(R493&gt;80,0,1)+S493+IF(AD493&lt;20,0,1)+IF(AE493&lt;14,0,1)+IF(AF493&lt;26,0,1)</f>
        <v/>
      </c>
    </row>
    <row r="494" ht="12.75" customHeight="1">
      <c r="AC494" s="101">
        <f>IF(AB494&gt;9,1,0)+AB494/3+IF(AB494&gt;15,1,0)+IF(AB494&gt;20,1,0)</f>
        <v/>
      </c>
      <c r="AG494" s="101">
        <f>IF(G494&lt;0,0,1.2)+IF(G494&lt;14,0,0.9)+IF(P494&lt;0,0.7,0)+IF(P494&lt;6.5,1,0)+IF(P494&lt;23,1,0)+IF(R494&gt;80,0,1)+S494+IF(AD494&lt;20,0,1)+IF(AE494&lt;14,0,1)+IF(AF494&lt;26,0,1)</f>
        <v/>
      </c>
    </row>
    <row r="495" ht="12.75" customHeight="1">
      <c r="AC495" s="101">
        <f>IF(AB495&gt;9,1,0)+AB495/3+IF(AB495&gt;15,1,0)+IF(AB495&gt;20,1,0)</f>
        <v/>
      </c>
      <c r="AG495" s="101">
        <f>IF(G495&lt;0,0,1.2)+IF(G495&lt;14,0,0.9)+IF(P495&lt;0,0.7,0)+IF(P495&lt;6.5,1,0)+IF(P495&lt;23,1,0)+IF(R495&gt;80,0,1)+S495+IF(AD495&lt;20,0,1)+IF(AE495&lt;14,0,1)+IF(AF495&lt;26,0,1)</f>
        <v/>
      </c>
    </row>
    <row r="496" ht="12.75" customHeight="1">
      <c r="AG496" s="101">
        <f>IF(G496&lt;0,0,1.2)+IF(G496&lt;14,0,0.9)+IF(P496&lt;0,0.7,0)+IF(P496&lt;6.5,1,0)+IF(P496&lt;23,1,0)+IF(R496&gt;80,0,1)+S496+IF(AD496&lt;20,0,1)+IF(AE496&lt;14,0,1)+IF(AF496&lt;26,0,1)</f>
        <v/>
      </c>
    </row>
    <row r="497" ht="12.75" customHeight="1">
      <c r="AG497" s="101">
        <f>IF(G497&lt;0,0,1.2)+IF(G497&lt;14,0,0.9)+IF(P497&lt;0,0.7,0)+IF(P497&lt;6.5,1,0)+IF(P497&lt;23,1,0)+IF(R497&gt;80,0,1)+S497+IF(AD497&lt;20,0,1)+IF(AE497&lt;14,0,1)+IF(AF497&lt;26,0,1)</f>
        <v/>
      </c>
    </row>
    <row r="498" ht="12.75" customHeight="1">
      <c r="AG498" s="101">
        <f>IF(G498&lt;0,0,1.2)+IF(G498&lt;14,0,0.9)+IF(P498&lt;0,0.7,0)+IF(P498&lt;6.5,1,0)+IF(P498&lt;23,1,0)+IF(R498&gt;80,0,1)+S498+IF(AD498&lt;20,0,1)+IF(AE498&lt;14,0,1)+IF(AF498&lt;26,0,1)</f>
        <v/>
      </c>
    </row>
    <row r="499" ht="12.75" customHeight="1">
      <c r="AG499" s="101">
        <f>IF(G499&lt;0,0,1.2)+IF(G499&lt;14,0,0.9)+IF(P499&lt;0,0.7,0)+IF(P499&lt;6.5,1,0)+IF(P499&lt;23,1,0)+IF(R499&gt;80,0,1)+S499+IF(AD499&lt;20,0,1)+IF(AE499&lt;14,0,1)+IF(AF499&lt;26,0,1)</f>
        <v/>
      </c>
    </row>
    <row r="500" ht="12.75" customHeight="1">
      <c r="AG500" s="101">
        <f>IF(G500&lt;0,0,1.2)+IF(G500&lt;14,0,0.9)+IF(P500&lt;0,0.7,0)+IF(P500&lt;6.5,1,0)+IF(P500&lt;23,1,0)+IF(R500&gt;80,0,1)+S500+IF(AD500&lt;20,0,1)+IF(AE500&lt;14,0,1)+IF(AF500&lt;26,0,1)</f>
        <v/>
      </c>
    </row>
    <row r="501" ht="12.75" customHeight="1">
      <c r="AG501" s="101">
        <f>IF(G501&lt;0,0,1.2)+IF(G501&lt;14,0,0.9)+IF(P501&lt;0,0.7,0)+IF(P501&lt;6.5,1,0)+IF(P501&lt;23,1,0)+IF(R501&gt;80,0,1)+S501+IF(AD501&lt;20,0,1)+IF(AE501&lt;14,0,1)+IF(AF501&lt;26,0,1)</f>
        <v/>
      </c>
    </row>
    <row r="502" ht="12.75" customHeight="1">
      <c r="AG502" s="101">
        <f>IF(G502&lt;0,0,1.2)+IF(G502&lt;14,0,0.9)+IF(P502&lt;0,0.7,0)+IF(P502&lt;6.5,1,0)+IF(P502&lt;23,1,0)+IF(R502&gt;80,0,1)+S502+IF(AD502&lt;20,0,1)+IF(AE502&lt;14,0,1)+IF(AF502&lt;26,0,1)</f>
        <v/>
      </c>
    </row>
    <row r="503" ht="12.75" customHeight="1">
      <c r="AG503" s="101">
        <f>IF(G503&lt;0,0,1.2)+IF(G503&lt;14,0,0.9)+IF(P503&lt;0,0.7,0)+IF(P503&lt;6.5,1,0)+IF(P503&lt;23,1,0)+IF(R503&gt;80,0,1)+S503+IF(AD503&lt;20,0,1)+IF(AE503&lt;14,0,1)+IF(AF503&lt;26,0,1)</f>
        <v/>
      </c>
    </row>
    <row r="504" ht="12.75" customHeight="1">
      <c r="AG504" s="101">
        <f>IF(G504&lt;0,0,1.2)+IF(G504&lt;14,0,0.9)+IF(P504&lt;0,0.7,0)+IF(P504&lt;6.5,1,0)+IF(P504&lt;23,1,0)+IF(R504&gt;80,0,1)+S504+IF(AD504&lt;20,0,1)+IF(AE504&lt;14,0,1)+IF(AF504&lt;26,0,1)</f>
        <v/>
      </c>
    </row>
    <row r="505" ht="12.75" customHeight="1">
      <c r="AG505" s="101">
        <f>IF(G505&lt;0,0,1.2)+IF(G505&lt;14,0,0.9)+IF(P505&lt;0,0.7,0)+IF(P505&lt;6.5,1,0)+IF(P505&lt;23,1,0)+IF(R505&gt;80,0,1)+S505+IF(AD505&lt;20,0,1)+IF(AE505&lt;14,0,1)+IF(AF505&lt;26,0,1)</f>
        <v/>
      </c>
    </row>
    <row r="506" ht="12.75" customHeight="1">
      <c r="AG506" s="101">
        <f>IF(G506&lt;0,0,1.2)+IF(G506&lt;14,0,0.9)+IF(P506&lt;0,0.7,0)+IF(P506&lt;6.5,1,0)+IF(P506&lt;23,1,0)+IF(R506&gt;80,0,1)+S506+IF(AD506&lt;20,0,1)+IF(AE506&lt;14,0,1)+IF(AF506&lt;26,0,1)</f>
        <v/>
      </c>
    </row>
    <row r="507" ht="12.75" customHeight="1">
      <c r="AG507" s="101">
        <f>IF(G507&lt;0,0,1.2)+IF(G507&lt;14,0,0.9)+IF(P507&lt;0,0.7,0)+IF(P507&lt;6.5,1,0)+IF(P507&lt;23,1,0)+IF(R507&gt;80,0,1)+S507+IF(AD507&lt;20,0,1)+IF(AE507&lt;14,0,1)+IF(AF507&lt;26,0,1)</f>
        <v/>
      </c>
    </row>
    <row r="508" ht="12.75" customHeight="1">
      <c r="AG508" s="101">
        <f>IF(G508&lt;0,0,1.2)+IF(G508&lt;14,0,0.9)+IF(P508&lt;0,0.7,0)+IF(P508&lt;6.5,1,0)+IF(P508&lt;23,1,0)+IF(R508&gt;80,0,1)+S508+IF(AD508&lt;20,0,1)+IF(AE508&lt;14,0,1)+IF(AF508&lt;26,0,1)</f>
        <v/>
      </c>
    </row>
    <row r="509" ht="12.75" customHeight="1">
      <c r="AG509" s="101">
        <f>IF(G509&lt;0,0,1.2)+IF(G509&lt;14,0,0.9)+IF(P509&lt;0,0.7,0)+IF(P509&lt;6.5,1,0)+IF(P509&lt;23,1,0)+IF(R509&gt;80,0,1)+S509+IF(AD509&lt;20,0,1)+IF(AE509&lt;14,0,1)+IF(AF509&lt;26,0,1)</f>
        <v/>
      </c>
    </row>
    <row r="510" ht="12.75" customHeight="1">
      <c r="AG510" s="101">
        <f>IF(G510&lt;0,0,1.2)+IF(G510&lt;14,0,0.9)+IF(P510&lt;0,0.7,0)+IF(P510&lt;6.5,1,0)+IF(P510&lt;23,1,0)+IF(R510&gt;80,0,1)+S510+IF(AD510&lt;20,0,1)+IF(AE510&lt;14,0,1)+IF(AF510&lt;26,0,1)</f>
        <v/>
      </c>
    </row>
    <row r="511" ht="12.75" customHeight="1">
      <c r="AG511" s="101">
        <f>IF(G511&lt;0,0,1.2)+IF(G511&lt;14,0,0.9)+IF(P511&lt;0,0.7,0)+IF(P511&lt;6.5,1,0)+IF(P511&lt;23,1,0)+IF(R511&gt;80,0,1)+S511+IF(AD511&lt;20,0,1)+IF(AE511&lt;14,0,1)+IF(AF511&lt;26,0,1)</f>
        <v/>
      </c>
    </row>
    <row r="512" ht="12.75" customHeight="1">
      <c r="AG512" s="101">
        <f>IF(G512&lt;0,0,1.2)+IF(G512&lt;14,0,0.9)+IF(P512&lt;0,0.7,0)+IF(P512&lt;6.5,1,0)+IF(P512&lt;23,1,0)+IF(R512&gt;80,0,1)+S512+IF(AD512&lt;20,0,1)+IF(AE512&lt;14,0,1)+IF(AF512&lt;26,0,1)</f>
        <v/>
      </c>
    </row>
    <row r="513" ht="12.75" customHeight="1">
      <c r="AG513" s="101">
        <f>IF(G513&lt;0,0,1.2)+IF(G513&lt;14,0,0.9)+IF(P513&lt;0,0.7,0)+IF(P513&lt;6.5,1,0)+IF(P513&lt;23,1,0)+IF(R513&gt;80,0,1)+S513+IF(AD513&lt;20,0,1)+IF(AE513&lt;14,0,1)+IF(AF513&lt;26,0,1)</f>
        <v/>
      </c>
    </row>
    <row r="514" ht="12.75" customHeight="1">
      <c r="AG514" s="101">
        <f>IF(G514&lt;0,0,1.2)+IF(G514&lt;14,0,0.9)+IF(P514&lt;0,0.7,0)+IF(P514&lt;6.5,1,0)+IF(P514&lt;23,1,0)+IF(R514&gt;80,0,1)+S514+IF(AD514&lt;20,0,1)+IF(AE514&lt;14,0,1)+IF(AF514&lt;26,0,1)</f>
        <v/>
      </c>
    </row>
    <row r="515" ht="12.75" customHeight="1">
      <c r="AG515" s="101">
        <f>IF(G515&lt;0,0,1.2)+IF(G515&lt;14,0,0.9)+IF(P515&lt;0,0.7,0)+IF(P515&lt;6.5,1,0)+IF(P515&lt;23,1,0)+IF(R515&gt;80,0,1)+S515+IF(AD515&lt;20,0,1)+IF(AE515&lt;14,0,1)+IF(AF515&lt;26,0,1)</f>
        <v/>
      </c>
    </row>
    <row r="516" ht="12.75" customHeight="1">
      <c r="AG516" s="101">
        <f>IF(G516&lt;0,0,1.2)+IF(G516&lt;14,0,0.9)+IF(P516&lt;0,0.7,0)+IF(P516&lt;6.5,1,0)+IF(P516&lt;23,1,0)+IF(R516&gt;80,0,1)+S516+IF(AD516&lt;20,0,1)+IF(AE516&lt;14,0,1)+IF(AF516&lt;26,0,1)</f>
        <v/>
      </c>
    </row>
    <row r="517" ht="12.75" customHeight="1">
      <c r="AG517" s="101">
        <f>IF(G517&lt;0,0,1.2)+IF(G517&lt;14,0,0.9)+IF(P517&lt;0,0.7,0)+IF(P517&lt;6.5,1,0)+IF(P517&lt;23,1,0)+IF(R517&gt;80,0,1)+S517+IF(AD517&lt;20,0,1)+IF(AE517&lt;14,0,1)+IF(AF517&lt;26,0,1)</f>
        <v/>
      </c>
    </row>
    <row r="518" ht="12.75" customHeight="1">
      <c r="AG518" s="101">
        <f>IF(G518&lt;0,0,1.2)+IF(G518&lt;14,0,0.9)+IF(P518&lt;0,0.7,0)+IF(P518&lt;6.5,1,0)+IF(P518&lt;23,1,0)+IF(R518&gt;80,0,1)+S518+IF(AD518&lt;20,0,1)+IF(AE518&lt;14,0,1)+IF(AF518&lt;26,0,1)</f>
        <v/>
      </c>
    </row>
    <row r="519" ht="12.75" customHeight="1">
      <c r="AG519" s="101">
        <f>IF(G519&lt;0,0,1.2)+IF(G519&lt;14,0,0.9)+IF(P519&lt;0,0.7,0)+IF(P519&lt;6.5,1,0)+IF(P519&lt;23,1,0)+IF(R519&gt;80,0,1)+S519+IF(AD519&lt;20,0,1)+IF(AE519&lt;14,0,1)+IF(AF519&lt;26,0,1)</f>
        <v/>
      </c>
    </row>
    <row r="520" ht="12.75" customHeight="1">
      <c r="AG520" s="101">
        <f>IF(G520&lt;0,0,1.2)+IF(G520&lt;14,0,0.9)+IF(P520&lt;0,0.7,0)+IF(P520&lt;6.5,1,0)+IF(P520&lt;23,1,0)+IF(R520&gt;80,0,1)+S520+IF(AD520&lt;20,0,1)+IF(AE520&lt;14,0,1)+IF(AF520&lt;26,0,1)</f>
        <v/>
      </c>
    </row>
    <row r="521" ht="12.75" customHeight="1">
      <c r="AG521" s="101">
        <f>IF(G521&lt;0,0,1.2)+IF(G521&lt;14,0,0.9)+IF(P521&lt;0,0.7,0)+IF(P521&lt;6.5,1,0)+IF(P521&lt;23,1,0)+IF(R521&gt;80,0,1)+S521+IF(AD521&lt;20,0,1)+IF(AE521&lt;14,0,1)+IF(AF521&lt;26,0,1)</f>
        <v/>
      </c>
    </row>
    <row r="522" ht="12.75" customHeight="1">
      <c r="AG522" s="101">
        <f>IF(G522&lt;0,0,1.2)+IF(G522&lt;14,0,0.9)+IF(P522&lt;0,0.7,0)+IF(P522&lt;6.5,1,0)+IF(P522&lt;23,1,0)+IF(R522&gt;80,0,1)+S522+IF(AD522&lt;20,0,1)+IF(AE522&lt;14,0,1)+IF(AF522&lt;26,0,1)</f>
        <v/>
      </c>
    </row>
    <row r="523" ht="12.75" customHeight="1">
      <c r="AG523" s="101">
        <f>IF(G523&lt;0,0,1.2)+IF(G523&lt;14,0,0.9)+IF(P523&lt;0,0.7,0)+IF(P523&lt;6.5,1,0)+IF(P523&lt;23,1,0)+IF(R523&gt;80,0,1)+S523+IF(AD523&lt;20,0,1)+IF(AE523&lt;14,0,1)+IF(AF523&lt;26,0,1)</f>
        <v/>
      </c>
    </row>
    <row r="524" ht="12.75" customHeight="1">
      <c r="AG524" s="101">
        <f>IF(G524&lt;0,0,1.2)+IF(G524&lt;14,0,0.9)+IF(P524&lt;0,0.7,0)+IF(P524&lt;6.5,1,0)+IF(P524&lt;23,1,0)+IF(R524&gt;80,0,1)+S524+IF(AD524&lt;20,0,1)+IF(AE524&lt;14,0,1)+IF(AF524&lt;26,0,1)</f>
        <v/>
      </c>
    </row>
    <row r="525" ht="12.75" customHeight="1">
      <c r="AG525" s="101">
        <f>IF(G525&lt;0,0,1.2)+IF(G525&lt;14,0,0.9)+IF(P525&lt;0,0.7,0)+IF(P525&lt;6.5,1,0)+IF(P525&lt;23,1,0)+IF(R525&gt;80,0,1)+S525+IF(AD525&lt;20,0,1)+IF(AE525&lt;14,0,1)+IF(AF525&lt;26,0,1)</f>
        <v/>
      </c>
    </row>
    <row r="526" ht="12.75" customHeight="1">
      <c r="AG526" s="101">
        <f>IF(G526&lt;0,0,1.2)+IF(G526&lt;14,0,0.9)+IF(P526&lt;0,0.7,0)+IF(P526&lt;6.5,1,0)+IF(P526&lt;23,1,0)+IF(R526&gt;80,0,1)+S526+IF(AD526&lt;20,0,1)+IF(AE526&lt;14,0,1)+IF(AF526&lt;26,0,1)</f>
        <v/>
      </c>
    </row>
    <row r="527" ht="12.75" customHeight="1">
      <c r="AG527" s="101">
        <f>IF(G527&lt;0,0,1.2)+IF(G527&lt;14,0,0.9)+IF(P527&lt;0,0.7,0)+IF(P527&lt;6.5,1,0)+IF(P527&lt;23,1,0)+IF(R527&gt;80,0,1)+S527+IF(AD527&lt;20,0,1)+IF(AE527&lt;14,0,1)+IF(AF527&lt;26,0,1)</f>
        <v/>
      </c>
    </row>
    <row r="528" ht="12.75" customHeight="1">
      <c r="AG528" s="101">
        <f>IF(G528&lt;0,0,1.2)+IF(G528&lt;14,0,0.9)+IF(P528&lt;0,0.7,0)+IF(P528&lt;6.5,1,0)+IF(P528&lt;23,1,0)+IF(R528&gt;80,0,1)+S528+IF(AD528&lt;20,0,1)+IF(AE528&lt;14,0,1)+IF(AF528&lt;26,0,1)</f>
        <v/>
      </c>
    </row>
    <row r="529" ht="12.75" customHeight="1">
      <c r="AG529" s="101">
        <f>IF(G529&lt;0,0,1.2)+IF(G529&lt;14,0,0.9)+IF(P529&lt;0,0.7,0)+IF(P529&lt;6.5,1,0)+IF(P529&lt;23,1,0)+IF(R529&gt;80,0,1)+S529+IF(AD529&lt;20,0,1)+IF(AE529&lt;14,0,1)+IF(AF529&lt;26,0,1)</f>
        <v/>
      </c>
    </row>
    <row r="530" ht="12.75" customHeight="1">
      <c r="AG530" s="101">
        <f>IF(G530&lt;0,0,1.2)+IF(G530&lt;14,0,0.9)+IF(P530&lt;0,0.7,0)+IF(P530&lt;6.5,1,0)+IF(P530&lt;23,1,0)+IF(R530&gt;80,0,1)+S530+IF(AD530&lt;20,0,1)+IF(AE530&lt;14,0,1)+IF(AF530&lt;26,0,1)</f>
        <v/>
      </c>
    </row>
    <row r="531" ht="12.75" customHeight="1">
      <c r="AG531" s="101">
        <f>IF(G531&lt;0,0,1.2)+IF(G531&lt;14,0,0.9)+IF(P531&lt;0,0.7,0)+IF(P531&lt;6.5,1,0)+IF(P531&lt;23,1,0)+IF(R531&gt;80,0,1)+S531+IF(AD531&lt;20,0,1)+IF(AE531&lt;14,0,1)+IF(AF531&lt;26,0,1)</f>
        <v/>
      </c>
    </row>
    <row r="532" ht="12.75" customHeight="1">
      <c r="AG532" s="101">
        <f>IF(G532&lt;0,0,1.2)+IF(G532&lt;14,0,0.9)+IF(P532&lt;0,0.7,0)+IF(P532&lt;6.5,1,0)+IF(P532&lt;23,1,0)+IF(R532&gt;80,0,1)+S532+IF(AD532&lt;20,0,1)+IF(AE532&lt;14,0,1)+IF(AF532&lt;26,0,1)</f>
        <v/>
      </c>
    </row>
    <row r="533" ht="12.75" customHeight="1">
      <c r="AG533" s="101">
        <f>IF(G533&lt;0,0,1.2)+IF(G533&lt;14,0,0.9)+IF(P533&lt;0,0.7,0)+IF(P533&lt;6.5,1,0)+IF(P533&lt;23,1,0)+IF(R533&gt;80,0,1)+S533+IF(AD533&lt;20,0,1)+IF(AE533&lt;14,0,1)+IF(AF533&lt;26,0,1)</f>
        <v/>
      </c>
    </row>
    <row r="534" ht="12.75" customHeight="1">
      <c r="AG534" s="101">
        <f>IF(G534&lt;0,0,1.2)+IF(G534&lt;14,0,0.9)+IF(P534&lt;0,0.7,0)+IF(P534&lt;6.5,1,0)+IF(P534&lt;23,1,0)+IF(R534&gt;80,0,1)+S534+IF(AD534&lt;20,0,1)+IF(AE534&lt;14,0,1)+IF(AF534&lt;26,0,1)</f>
        <v/>
      </c>
    </row>
    <row r="535" ht="12.75" customHeight="1">
      <c r="AG535" s="101">
        <f>IF(G535&lt;0,0,1.2)+IF(G535&lt;14,0,0.9)+IF(P535&lt;0,0.7,0)+IF(P535&lt;6.5,1,0)+IF(P535&lt;23,1,0)+IF(R535&gt;80,0,1)+S535+IF(AD535&lt;20,0,1)+IF(AE535&lt;14,0,1)+IF(AF535&lt;26,0,1)</f>
        <v/>
      </c>
    </row>
    <row r="536" ht="12.75" customHeight="1">
      <c r="AG536" s="101">
        <f>IF(G536&lt;0,0,1.2)+IF(G536&lt;14,0,0.9)+IF(P536&lt;0,0.7,0)+IF(P536&lt;6.5,1,0)+IF(P536&lt;23,1,0)+IF(R536&gt;80,0,1)+S536+IF(AD536&lt;20,0,1)+IF(AE536&lt;14,0,1)+IF(AF536&lt;26,0,1)</f>
        <v/>
      </c>
    </row>
    <row r="537" ht="12.75" customHeight="1">
      <c r="AG537" s="101">
        <f>IF(G537&lt;0,0,1.2)+IF(G537&lt;14,0,0.9)+IF(P537&lt;0,0.7,0)+IF(P537&lt;6.5,1,0)+IF(P537&lt;23,1,0)+IF(R537&gt;80,0,1)+S537+IF(AD537&lt;20,0,1)+IF(AE537&lt;14,0,1)+IF(AF537&lt;26,0,1)</f>
        <v/>
      </c>
    </row>
    <row r="538" ht="12.75" customHeight="1">
      <c r="AG538" s="101">
        <f>IF(G538&lt;0,0,1.2)+IF(G538&lt;14,0,0.9)+IF(P538&lt;0,0.7,0)+IF(P538&lt;6.5,1,0)+IF(P538&lt;23,1,0)+IF(R538&gt;80,0,1)+S538+IF(AD538&lt;20,0,1)+IF(AE538&lt;14,0,1)+IF(AF538&lt;26,0,1)</f>
        <v/>
      </c>
    </row>
    <row r="539" ht="12.75" customHeight="1">
      <c r="AG539" s="101">
        <f>IF(G539&lt;0,0,1.2)+IF(G539&lt;14,0,0.9)+IF(P539&lt;0,0.7,0)+IF(P539&lt;6.5,1,0)+IF(P539&lt;23,1,0)+IF(R539&gt;80,0,1)+S539+IF(AD539&lt;20,0,1)+IF(AE539&lt;14,0,1)+IF(AF539&lt;26,0,1)</f>
        <v/>
      </c>
    </row>
    <row r="540" ht="12.75" customHeight="1">
      <c r="AG540" s="101">
        <f>IF(G540&lt;0,0,1.2)+IF(G540&lt;14,0,0.9)+IF(P540&lt;0,0.7,0)+IF(P540&lt;6.5,1,0)+IF(P540&lt;23,1,0)+IF(R540&gt;80,0,1)+S540+IF(AD540&lt;20,0,1)+IF(AE540&lt;14,0,1)+IF(AF540&lt;26,0,1)</f>
        <v/>
      </c>
    </row>
    <row r="541" ht="12.75" customHeight="1">
      <c r="AG541" s="101">
        <f>IF(G541&lt;0,0,1.2)+IF(G541&lt;14,0,0.9)+IF(P541&lt;0,0.7,0)+IF(P541&lt;6.5,1,0)+IF(P541&lt;23,1,0)+IF(R541&gt;80,0,1)+S541+IF(AD541&lt;20,0,1)+IF(AE541&lt;14,0,1)+IF(AF541&lt;26,0,1)</f>
        <v/>
      </c>
    </row>
    <row r="542" ht="12.75" customHeight="1">
      <c r="AG542" s="101">
        <f>IF(G542&lt;0,0,1.2)+IF(G542&lt;14,0,0.9)+IF(P542&lt;0,0.7,0)+IF(P542&lt;6.5,1,0)+IF(P542&lt;23,1,0)+IF(R542&gt;80,0,1)+S542+IF(AD542&lt;20,0,1)+IF(AE542&lt;14,0,1)+IF(AF542&lt;26,0,1)</f>
        <v/>
      </c>
    </row>
    <row r="543" ht="12.75" customHeight="1">
      <c r="AG543" s="101">
        <f>IF(G543&lt;0,0,1.2)+IF(G543&lt;14,0,0.9)+IF(P543&lt;0,0.7,0)+IF(P543&lt;6.5,1,0)+IF(P543&lt;23,1,0)+IF(R543&gt;80,0,1)+S543+IF(AD543&lt;20,0,1)+IF(AE543&lt;14,0,1)+IF(AF543&lt;26,0,1)</f>
        <v/>
      </c>
    </row>
    <row r="544" ht="12.75" customHeight="1">
      <c r="AG544" s="101">
        <f>IF(G544&lt;0,0,1.2)+IF(G544&lt;14,0,0.9)+IF(P544&lt;0,0.7,0)+IF(P544&lt;6.5,1,0)+IF(P544&lt;23,1,0)+IF(R544&gt;80,0,1)+S544+IF(AD544&lt;20,0,1)+IF(AE544&lt;14,0,1)+IF(AF544&lt;26,0,1)</f>
        <v/>
      </c>
    </row>
    <row r="545" ht="12.75" customHeight="1">
      <c r="AG545" s="101">
        <f>IF(G545&lt;0,0,1.2)+IF(G545&lt;14,0,0.9)+IF(P545&lt;0,0.7,0)+IF(P545&lt;6.5,1,0)+IF(P545&lt;23,1,0)+IF(R545&gt;80,0,1)+S545+IF(AD545&lt;20,0,1)+IF(AE545&lt;14,0,1)+IF(AF545&lt;26,0,1)</f>
        <v/>
      </c>
    </row>
    <row r="546" ht="12.75" customHeight="1">
      <c r="AG546" s="101">
        <f>IF(G546&lt;0,0,1.2)+IF(G546&lt;14,0,0.9)+IF(P546&lt;0,0.7,0)+IF(P546&lt;6.5,1,0)+IF(P546&lt;23,1,0)+IF(R546&gt;80,0,1)+S546+IF(AD546&lt;20,0,1)+IF(AE546&lt;14,0,1)+IF(AF546&lt;26,0,1)</f>
        <v/>
      </c>
    </row>
    <row r="547" ht="12.75" customHeight="1">
      <c r="AG547" s="101">
        <f>IF(G547&lt;0,0,1.2)+IF(G547&lt;14,0,0.9)+IF(P547&lt;0,0.7,0)+IF(P547&lt;6.5,1,0)+IF(P547&lt;23,1,0)+IF(R547&gt;80,0,1)+S547+IF(AD547&lt;20,0,1)+IF(AE547&lt;14,0,1)+IF(AF547&lt;26,0,1)</f>
        <v/>
      </c>
    </row>
    <row r="548" ht="12.75" customHeight="1">
      <c r="AG548" s="101">
        <f>IF(G548&lt;0,0,1.2)+IF(G548&lt;14,0,0.9)+IF(P548&lt;0,0.7,0)+IF(P548&lt;6.5,1,0)+IF(P548&lt;23,1,0)+IF(R548&gt;80,0,1)+S548+IF(AD548&lt;20,0,1)+IF(AE548&lt;14,0,1)+IF(AF548&lt;26,0,1)</f>
        <v/>
      </c>
    </row>
    <row r="549" ht="12.75" customHeight="1">
      <c r="AG549" s="101">
        <f>IF(G549&lt;0,0,1.2)+IF(G549&lt;14,0,0.9)+IF(P549&lt;0,0.7,0)+IF(P549&lt;6.5,1,0)+IF(P549&lt;23,1,0)+IF(R549&gt;80,0,1)+S549+IF(AD549&lt;20,0,1)+IF(AE549&lt;14,0,1)+IF(AF549&lt;26,0,1)</f>
        <v/>
      </c>
    </row>
    <row r="550" ht="12.75" customHeight="1">
      <c r="AG550" s="101">
        <f>IF(G550&lt;0,0,1.2)+IF(G550&lt;14,0,0.9)+IF(P550&lt;0,0.7,0)+IF(P550&lt;6.5,1,0)+IF(P550&lt;23,1,0)+IF(R550&gt;80,0,1)+S550+IF(AD550&lt;20,0,1)+IF(AE550&lt;14,0,1)+IF(AF550&lt;26,0,1)</f>
        <v/>
      </c>
    </row>
    <row r="551" ht="12.75" customHeight="1">
      <c r="AG551" s="101">
        <f>IF(G551&lt;0,0,1.2)+IF(G551&lt;14,0,0.9)+IF(P551&lt;0,0.7,0)+IF(P551&lt;6.5,1,0)+IF(P551&lt;23,1,0)+IF(R551&gt;80,0,1)+S551+IF(AD551&lt;20,0,1)+IF(AE551&lt;14,0,1)+IF(AF551&lt;26,0,1)</f>
        <v/>
      </c>
    </row>
    <row r="552" ht="12.75" customHeight="1">
      <c r="AG552" s="101">
        <f>IF(G552&lt;0,0,1.2)+IF(G552&lt;14,0,0.9)+IF(P552&lt;0,0.7,0)+IF(P552&lt;6.5,1,0)+IF(P552&lt;23,1,0)+IF(R552&gt;80,0,1)+S552+IF(AD552&lt;20,0,1)+IF(AE552&lt;14,0,1)+IF(AF552&lt;26,0,1)</f>
        <v/>
      </c>
    </row>
    <row r="553" ht="12.75" customHeight="1">
      <c r="AG553" s="101">
        <f>IF(G553&lt;0,0,1.2)+IF(G553&lt;14,0,0.9)+IF(P553&lt;0,0.7,0)+IF(P553&lt;6.5,1,0)+IF(P553&lt;23,1,0)+IF(R553&gt;80,0,1)+S553+IF(AD553&lt;20,0,1)+IF(AE553&lt;14,0,1)+IF(AF553&lt;26,0,1)</f>
        <v/>
      </c>
    </row>
    <row r="554" ht="12.75" customHeight="1">
      <c r="AG554" s="101">
        <f>IF(G554&lt;0,0,1.2)+IF(G554&lt;14,0,0.9)+IF(P554&lt;0,0.7,0)+IF(P554&lt;6.5,1,0)+IF(P554&lt;23,1,0)+IF(R554&gt;80,0,1)+S554+IF(AD554&lt;20,0,1)+IF(AE554&lt;14,0,1)+IF(AF554&lt;26,0,1)</f>
        <v/>
      </c>
    </row>
    <row r="555" ht="12.75" customHeight="1">
      <c r="AG555" s="101">
        <f>IF(G555&lt;0,0,1.2)+IF(G555&lt;14,0,0.9)+IF(P555&lt;0,0.7,0)+IF(P555&lt;6.5,1,0)+IF(P555&lt;23,1,0)+IF(R555&gt;80,0,1)+S555+IF(AD555&lt;20,0,1)+IF(AE555&lt;14,0,1)+IF(AF555&lt;26,0,1)</f>
        <v/>
      </c>
    </row>
    <row r="556" ht="12.75" customHeight="1">
      <c r="AG556" s="101">
        <f>IF(G556&lt;0,0,1.2)+IF(G556&lt;14,0,0.9)+IF(P556&lt;0,0.7,0)+IF(P556&lt;6.5,1,0)+IF(P556&lt;23,1,0)+IF(R556&gt;80,0,1)+S556+IF(AD556&lt;20,0,1)+IF(AE556&lt;14,0,1)+IF(AF556&lt;26,0,1)</f>
        <v/>
      </c>
    </row>
    <row r="557" ht="12.75" customHeight="1">
      <c r="AG557" s="101">
        <f>IF(G557&lt;0,0,1.2)+IF(G557&lt;14,0,0.9)+IF(P557&lt;0,0.7,0)+IF(P557&lt;6.5,1,0)+IF(P557&lt;23,1,0)+IF(R557&gt;80,0,1)+S557+IF(AD557&lt;20,0,1)+IF(AE557&lt;14,0,1)+IF(AF557&lt;26,0,1)</f>
        <v/>
      </c>
    </row>
    <row r="558" ht="12.75" customHeight="1">
      <c r="AG558" s="101">
        <f>IF(G558&lt;0,0,1.2)+IF(G558&lt;14,0,0.9)+IF(P558&lt;0,0.7,0)+IF(P558&lt;6.5,1,0)+IF(P558&lt;23,1,0)+IF(R558&gt;80,0,1)+S558+IF(AD558&lt;20,0,1)+IF(AE558&lt;14,0,1)+IF(AF558&lt;26,0,1)</f>
        <v/>
      </c>
    </row>
    <row r="559" ht="12.75" customHeight="1">
      <c r="AG559" s="101">
        <f>IF(G559&lt;0,0,1.2)+IF(G559&lt;14,0,0.9)+IF(P559&lt;0,0.7,0)+IF(P559&lt;6.5,1,0)+IF(P559&lt;23,1,0)+IF(R559&gt;80,0,1)+S559+IF(AD559&lt;20,0,1)+IF(AE559&lt;14,0,1)+IF(AF559&lt;26,0,1)</f>
        <v/>
      </c>
    </row>
    <row r="560" ht="12.75" customHeight="1">
      <c r="AG560" s="101">
        <f>IF(G560&lt;0,0,1.2)+IF(G560&lt;14,0,0.9)+IF(P560&lt;0,0.7,0)+IF(P560&lt;6.5,1,0)+IF(P560&lt;23,1,0)+IF(R560&gt;80,0,1)+S560+IF(AD560&lt;20,0,1)+IF(AE560&lt;14,0,1)+IF(AF560&lt;26,0,1)</f>
        <v/>
      </c>
    </row>
    <row r="561" ht="12.75" customHeight="1">
      <c r="AG561" s="101">
        <f>IF(G561&lt;0,0,1.2)+IF(G561&lt;14,0,0.9)+IF(P561&lt;0,0.7,0)+IF(P561&lt;6.5,1,0)+IF(P561&lt;23,1,0)+IF(R561&gt;80,0,1)+S561+IF(AD561&lt;20,0,1)+IF(AE561&lt;14,0,1)+IF(AF561&lt;26,0,1)</f>
        <v/>
      </c>
    </row>
    <row r="562" ht="12.75" customHeight="1">
      <c r="AG562" s="101">
        <f>IF(G562&lt;0,0,1.2)+IF(G562&lt;14,0,0.9)+IF(P562&lt;0,0.7,0)+IF(P562&lt;6.5,1,0)+IF(P562&lt;23,1,0)+IF(R562&gt;80,0,1)+S562+IF(AD562&lt;20,0,1)+IF(AE562&lt;14,0,1)+IF(AF562&lt;26,0,1)</f>
        <v/>
      </c>
    </row>
    <row r="563" ht="12.75" customHeight="1">
      <c r="AG563" s="101">
        <f>IF(G563&lt;0,0,1.2)+IF(G563&lt;14,0,0.9)+IF(P563&lt;0,0.7,0)+IF(P563&lt;6.5,1,0)+IF(P563&lt;23,1,0)+IF(R563&gt;80,0,1)+S563+IF(AD563&lt;20,0,1)+IF(AE563&lt;14,0,1)+IF(AF563&lt;26,0,1)</f>
        <v/>
      </c>
    </row>
    <row r="564" ht="12.75" customHeight="1">
      <c r="AG564" s="101">
        <f>IF(G564&lt;0,0,1.2)+IF(G564&lt;14,0,0.9)+IF(P564&lt;0,0.7,0)+IF(P564&lt;6.5,1,0)+IF(P564&lt;23,1,0)+IF(R564&gt;80,0,1)+S564+IF(AD564&lt;20,0,1)+IF(AE564&lt;14,0,1)+IF(AF564&lt;26,0,1)</f>
        <v/>
      </c>
    </row>
    <row r="565" ht="12.75" customHeight="1">
      <c r="AG565" s="101">
        <f>IF(G565&lt;0,0,1.2)+IF(G565&lt;14,0,0.9)+IF(P565&lt;0,0.7,0)+IF(P565&lt;6.5,1,0)+IF(P565&lt;23,1,0)+IF(R565&gt;80,0,1)+S565+IF(AD565&lt;20,0,1)+IF(AE565&lt;14,0,1)+IF(AF565&lt;26,0,1)</f>
        <v/>
      </c>
    </row>
    <row r="566" ht="12.75" customHeight="1">
      <c r="AG566" s="101">
        <f>IF(G566&lt;0,0,1.2)+IF(G566&lt;14,0,0.9)+IF(P566&lt;0,0.7,0)+IF(P566&lt;6.5,1,0)+IF(P566&lt;23,1,0)+IF(R566&gt;80,0,1)+S566+IF(AD566&lt;20,0,1)+IF(AE566&lt;14,0,1)+IF(AF566&lt;26,0,1)</f>
        <v/>
      </c>
    </row>
    <row r="567" ht="12.75" customHeight="1">
      <c r="AG567" s="101">
        <f>IF(G567&lt;0,0,1.2)+IF(G567&lt;14,0,0.9)+IF(P567&lt;0,0.7,0)+IF(P567&lt;6.5,1,0)+IF(P567&lt;23,1,0)+IF(R567&gt;80,0,1)+S567+IF(AD567&lt;20,0,1)+IF(AE567&lt;14,0,1)+IF(AF567&lt;26,0,1)</f>
        <v/>
      </c>
    </row>
    <row r="568" ht="12.75" customHeight="1">
      <c r="AG568" s="101">
        <f>IF(G568&lt;0,0,1.2)+IF(G568&lt;14,0,0.9)+IF(P568&lt;0,0.7,0)+IF(P568&lt;6.5,1,0)+IF(P568&lt;23,1,0)+IF(R568&gt;80,0,1)+S568+IF(AD568&lt;20,0,1)+IF(AE568&lt;14,0,1)+IF(AF568&lt;26,0,1)</f>
        <v/>
      </c>
    </row>
    <row r="569" ht="12.75" customHeight="1">
      <c r="AG569" s="101">
        <f>IF(G569&lt;0,0,1.2)+IF(G569&lt;14,0,0.9)+IF(P569&lt;0,0.7,0)+IF(P569&lt;6.5,1,0)+IF(P569&lt;23,1,0)+IF(R569&gt;80,0,1)+S569+IF(AD569&lt;20,0,1)+IF(AE569&lt;14,0,1)+IF(AF569&lt;26,0,1)</f>
        <v/>
      </c>
    </row>
    <row r="570" ht="12.75" customHeight="1">
      <c r="AG570" s="101">
        <f>IF(G570&lt;0,0,1.2)+IF(G570&lt;14,0,0.9)+IF(P570&lt;0,0.7,0)+IF(P570&lt;6.5,1,0)+IF(P570&lt;23,1,0)+IF(R570&gt;80,0,1)+S570+IF(AD570&lt;20,0,1)+IF(AE570&lt;14,0,1)+IF(AF570&lt;26,0,1)</f>
        <v/>
      </c>
    </row>
    <row r="571" ht="12.75" customHeight="1">
      <c r="AG571" s="101">
        <f>IF(G571&lt;0,0,1.2)+IF(G571&lt;14,0,0.9)+IF(P571&lt;0,0.7,0)+IF(P571&lt;6.5,1,0)+IF(P571&lt;23,1,0)+IF(R571&gt;80,0,1)+S571+IF(AD571&lt;20,0,1)+IF(AE571&lt;14,0,1)+IF(AF571&lt;26,0,1)</f>
        <v/>
      </c>
    </row>
    <row r="572" ht="12.75" customHeight="1">
      <c r="AG572" s="101">
        <f>IF(G572&lt;0,0,1.2)+IF(G572&lt;14,0,0.9)+IF(P572&lt;0,0.7,0)+IF(P572&lt;6.5,1,0)+IF(P572&lt;23,1,0)+IF(R572&gt;80,0,1)+S572+IF(AD572&lt;20,0,1)+IF(AE572&lt;14,0,1)+IF(AF572&lt;26,0,1)</f>
        <v/>
      </c>
    </row>
    <row r="573" ht="12.75" customHeight="1">
      <c r="AG573" s="101">
        <f>IF(G573&lt;0,0,1.2)+IF(G573&lt;14,0,0.9)+IF(P573&lt;0,0.7,0)+IF(P573&lt;6.5,1,0)+IF(P573&lt;23,1,0)+IF(R573&gt;80,0,1)+S573+IF(AD573&lt;20,0,1)+IF(AE573&lt;14,0,1)+IF(AF573&lt;26,0,1)</f>
        <v/>
      </c>
    </row>
    <row r="574" ht="12.75" customHeight="1">
      <c r="AG574" s="101">
        <f>IF(G574&lt;0,0,1.2)+IF(G574&lt;14,0,0.9)+IF(P574&lt;0,0.7,0)+IF(P574&lt;6.5,1,0)+IF(P574&lt;23,1,0)+IF(R574&gt;80,0,1)+S574+IF(AD574&lt;20,0,1)+IF(AE574&lt;14,0,1)+IF(AF574&lt;26,0,1)</f>
        <v/>
      </c>
    </row>
    <row r="575" ht="12.75" customHeight="1">
      <c r="AG575" s="101">
        <f>IF(G575&lt;0,0,1.2)+IF(G575&lt;14,0,0.9)+IF(P575&lt;0,0.7,0)+IF(P575&lt;6.5,1,0)+IF(P575&lt;23,1,0)+IF(R575&gt;80,0,1)+S575+IF(AD575&lt;20,0,1)+IF(AE575&lt;14,0,1)+IF(AF575&lt;26,0,1)</f>
        <v/>
      </c>
    </row>
    <row r="576" ht="12.75" customHeight="1">
      <c r="AG576" s="101">
        <f>IF(G576&lt;0,0,1.2)+IF(G576&lt;14,0,0.9)+IF(P576&lt;0,0.7,0)+IF(P576&lt;6.5,1,0)+IF(P576&lt;23,1,0)+IF(R576&gt;80,0,1)+S576+IF(AD576&lt;20,0,1)+IF(AE576&lt;14,0,1)+IF(AF576&lt;26,0,1)</f>
        <v/>
      </c>
    </row>
    <row r="577" ht="12.75" customHeight="1">
      <c r="AG577" s="101">
        <f>IF(G577&lt;0,0,1.2)+IF(G577&lt;14,0,0.9)+IF(P577&lt;0,0.7,0)+IF(P577&lt;6.5,1,0)+IF(P577&lt;23,1,0)+IF(R577&gt;80,0,1)+S577+IF(AD577&lt;20,0,1)+IF(AE577&lt;14,0,1)+IF(AF577&lt;26,0,1)</f>
        <v/>
      </c>
    </row>
    <row r="578" ht="12.75" customHeight="1">
      <c r="AG578" s="101">
        <f>IF(G578&lt;0,0,1.2)+IF(G578&lt;14,0,0.9)+IF(P578&lt;0,0.7,0)+IF(P578&lt;6.5,1,0)+IF(P578&lt;23,1,0)+IF(R578&gt;80,0,1)+S578+IF(AD578&lt;20,0,1)+IF(AE578&lt;14,0,1)+IF(AF578&lt;26,0,1)</f>
        <v/>
      </c>
    </row>
    <row r="579" ht="12.75" customHeight="1">
      <c r="AG579" s="101">
        <f>IF(G579&lt;0,0,1.2)+IF(G579&lt;14,0,0.9)+IF(P579&lt;0,0.7,0)+IF(P579&lt;6.5,1,0)+IF(P579&lt;23,1,0)+IF(R579&gt;80,0,1)+S579+IF(AD579&lt;20,0,1)+IF(AE579&lt;14,0,1)+IF(AF579&lt;26,0,1)</f>
        <v/>
      </c>
    </row>
    <row r="580" ht="12.75" customHeight="1">
      <c r="AG580" s="101">
        <f>IF(G580&lt;0,0,1.2)+IF(G580&lt;14,0,0.9)+IF(P580&lt;0,0.7,0)+IF(P580&lt;6.5,1,0)+IF(P580&lt;23,1,0)+IF(R580&gt;80,0,1)+S580+IF(AD580&lt;20,0,1)+IF(AE580&lt;14,0,1)+IF(AF580&lt;26,0,1)</f>
        <v/>
      </c>
    </row>
    <row r="581" ht="12.75" customHeight="1">
      <c r="AG581" s="101">
        <f>IF(G581&lt;0,0,1.2)+IF(G581&lt;14,0,0.9)+IF(P581&lt;0,0.7,0)+IF(P581&lt;6.5,1,0)+IF(P581&lt;23,1,0)+IF(R581&gt;80,0,1)+S581+IF(AD581&lt;20,0,1)+IF(AE581&lt;14,0,1)+IF(AF581&lt;26,0,1)</f>
        <v/>
      </c>
    </row>
    <row r="582" ht="12.75" customHeight="1">
      <c r="AG582" s="101">
        <f>IF(G582&lt;0,0,1.2)+IF(G582&lt;14,0,0.9)+IF(P582&lt;0,0.7,0)+IF(P582&lt;6.5,1,0)+IF(P582&lt;23,1,0)+IF(R582&gt;80,0,1)+S582+IF(AD582&lt;20,0,1)+IF(AE582&lt;14,0,1)+IF(AF582&lt;26,0,1)</f>
        <v/>
      </c>
    </row>
    <row r="583" ht="12.75" customHeight="1">
      <c r="AG583" s="101">
        <f>IF(G583&lt;0,0,1.2)+IF(G583&lt;14,0,0.9)+IF(P583&lt;0,0.7,0)+IF(P583&lt;6.5,1,0)+IF(P583&lt;23,1,0)+IF(R583&gt;80,0,1)+S583+IF(AD583&lt;20,0,1)+IF(AE583&lt;14,0,1)+IF(AF583&lt;26,0,1)</f>
        <v/>
      </c>
    </row>
    <row r="584" ht="12.75" customHeight="1">
      <c r="AG584" s="101">
        <f>IF(G584&lt;0,0,1.2)+IF(G584&lt;14,0,0.9)+IF(P584&lt;0,0.7,0)+IF(P584&lt;6.5,1,0)+IF(P584&lt;23,1,0)+IF(R584&gt;80,0,1)+S584+IF(AD584&lt;20,0,1)+IF(AE584&lt;14,0,1)+IF(AF584&lt;26,0,1)</f>
        <v/>
      </c>
    </row>
    <row r="585" ht="12.75" customHeight="1">
      <c r="AG585" s="101">
        <f>IF(G585&lt;0,0,1.2)+IF(G585&lt;14,0,0.9)+IF(P585&lt;0,0.7,0)+IF(P585&lt;6.5,1,0)+IF(P585&lt;23,1,0)+IF(R585&gt;80,0,1)+S585+IF(AD585&lt;20,0,1)+IF(AE585&lt;14,0,1)+IF(AF585&lt;26,0,1)</f>
        <v/>
      </c>
    </row>
    <row r="586" ht="12.75" customHeight="1">
      <c r="AG586" s="101">
        <f>IF(G586&lt;0,0,1.2)+IF(G586&lt;14,0,0.9)+IF(P586&lt;0,0.7,0)+IF(P586&lt;6.5,1,0)+IF(P586&lt;23,1,0)+IF(R586&gt;80,0,1)+S586+IF(AD586&lt;20,0,1)+IF(AE586&lt;14,0,1)+IF(AF586&lt;26,0,1)</f>
        <v/>
      </c>
    </row>
    <row r="587" ht="12.75" customHeight="1">
      <c r="AG587" s="101">
        <f>IF(G587&lt;0,0,1.2)+IF(G587&lt;14,0,0.9)+IF(P587&lt;0,0.7,0)+IF(P587&lt;6.5,1,0)+IF(P587&lt;23,1,0)+IF(R587&gt;80,0,1)+S587+IF(AD587&lt;20,0,1)+IF(AE587&lt;14,0,1)+IF(AF587&lt;26,0,1)</f>
        <v/>
      </c>
    </row>
    <row r="588" ht="12.75" customHeight="1">
      <c r="AG588" s="101">
        <f>IF(G588&lt;0,0,1.2)+IF(G588&lt;14,0,0.9)+IF(P588&lt;0,0.7,0)+IF(P588&lt;6.5,1,0)+IF(P588&lt;23,1,0)+IF(R588&gt;80,0,1)+S588+IF(AD588&lt;20,0,1)+IF(AE588&lt;14,0,1)+IF(AF588&lt;26,0,1)</f>
        <v/>
      </c>
    </row>
    <row r="589" ht="12.75" customHeight="1">
      <c r="AG589" s="101">
        <f>IF(G589&lt;0,0,1.2)+IF(G589&lt;14,0,0.9)+IF(P589&lt;0,0.7,0)+IF(P589&lt;6.5,1,0)+IF(P589&lt;23,1,0)+IF(R589&gt;80,0,1)+S589+IF(AD589&lt;20,0,1)+IF(AE589&lt;14,0,1)+IF(AF589&lt;26,0,1)</f>
        <v/>
      </c>
    </row>
    <row r="590" ht="12.75" customHeight="1">
      <c r="AG590" s="101">
        <f>IF(G590&lt;0,0,1.2)+IF(G590&lt;14,0,0.9)+IF(P590&lt;0,0.7,0)+IF(P590&lt;6.5,1,0)+IF(P590&lt;23,1,0)+IF(R590&gt;80,0,1)+S590+IF(AD590&lt;20,0,1)+IF(AE590&lt;14,0,1)+IF(AF590&lt;26,0,1)</f>
        <v/>
      </c>
    </row>
    <row r="591" ht="12.75" customHeight="1">
      <c r="AG591" s="101">
        <f>IF(G591&lt;0,0,1.2)+IF(G591&lt;14,0,0.9)+IF(P591&lt;0,0.7,0)+IF(P591&lt;6.5,1,0)+IF(P591&lt;23,1,0)+IF(R591&gt;80,0,1)+S591+IF(AD591&lt;20,0,1)+IF(AE591&lt;14,0,1)+IF(AF591&lt;26,0,1)</f>
        <v/>
      </c>
    </row>
    <row r="592" ht="12.75" customHeight="1">
      <c r="AG592" s="101">
        <f>IF(G592&lt;0,0,1.2)+IF(G592&lt;14,0,0.9)+IF(P592&lt;0,0.7,0)+IF(P592&lt;6.5,1,0)+IF(P592&lt;23,1,0)+IF(R592&gt;80,0,1)+S592+IF(AD592&lt;20,0,1)+IF(AE592&lt;14,0,1)+IF(AF592&lt;26,0,1)</f>
        <v/>
      </c>
    </row>
    <row r="593" ht="12.75" customHeight="1">
      <c r="AG593" s="101">
        <f>IF(G593&lt;0,0,1.2)+IF(G593&lt;14,0,0.9)+IF(P593&lt;0,0.7,0)+IF(P593&lt;6.5,1,0)+IF(P593&lt;23,1,0)+IF(R593&gt;80,0,1)+S593+IF(AD593&lt;20,0,1)+IF(AE593&lt;14,0,1)+IF(AF593&lt;26,0,1)</f>
        <v/>
      </c>
    </row>
    <row r="594" ht="12.75" customHeight="1">
      <c r="AG594" s="101">
        <f>IF(G594&lt;0,0,1.2)+IF(G594&lt;14,0,0.9)+IF(P594&lt;0,0.7,0)+IF(P594&lt;6.5,1,0)+IF(P594&lt;23,1,0)+IF(R594&gt;80,0,1)+S594+IF(AD594&lt;20,0,1)+IF(AE594&lt;14,0,1)+IF(AF594&lt;26,0,1)</f>
        <v/>
      </c>
    </row>
    <row r="595" ht="12.75" customHeight="1">
      <c r="AG595" s="101">
        <f>IF(G595&lt;0,0,1.2)+IF(G595&lt;14,0,0.9)+IF(P595&lt;0,0.7,0)+IF(P595&lt;6.5,1,0)+IF(P595&lt;23,1,0)+IF(R595&gt;80,0,1)+S595+IF(AD595&lt;20,0,1)+IF(AE595&lt;14,0,1)+IF(AF595&lt;26,0,1)</f>
        <v/>
      </c>
    </row>
    <row r="596" ht="12.75" customHeight="1">
      <c r="AG596" s="101">
        <f>IF(G596&lt;0,0,1.2)+IF(G596&lt;14,0,0.9)+IF(P596&lt;0,0.7,0)+IF(P596&lt;6.5,1,0)+IF(P596&lt;23,1,0)+IF(R596&gt;80,0,1)+S596+IF(AD596&lt;20,0,1)+IF(AE596&lt;14,0,1)+IF(AF596&lt;26,0,1)</f>
        <v/>
      </c>
    </row>
    <row r="597" ht="12.75" customHeight="1">
      <c r="AG597" s="101">
        <f>IF(G597&lt;0,0,1.2)+IF(G597&lt;14,0,0.9)+IF(P597&lt;0,0.7,0)+IF(P597&lt;6.5,1,0)+IF(P597&lt;23,1,0)+IF(R597&gt;80,0,1)+S597+IF(AD597&lt;20,0,1)+IF(AE597&lt;14,0,1)+IF(AF597&lt;26,0,1)</f>
        <v/>
      </c>
    </row>
    <row r="598" ht="12.75" customHeight="1">
      <c r="AG598" s="101">
        <f>IF(G598&lt;0,0,1.2)+IF(G598&lt;14,0,0.9)+IF(P598&lt;0,0.7,0)+IF(P598&lt;6.5,1,0)+IF(P598&lt;23,1,0)+IF(R598&gt;80,0,1)+S598+IF(AD598&lt;20,0,1)+IF(AE598&lt;14,0,1)+IF(AF598&lt;26,0,1)</f>
        <v/>
      </c>
    </row>
    <row r="599" ht="12.75" customHeight="1">
      <c r="AG599" s="101">
        <f>IF(G599&lt;0,0,1.2)+IF(G599&lt;14,0,0.9)+IF(P599&lt;0,0.7,0)+IF(P599&lt;6.5,1,0)+IF(P599&lt;23,1,0)+IF(R599&gt;80,0,1)+S599+IF(AD599&lt;20,0,1)+IF(AE599&lt;14,0,1)+IF(AF599&lt;26,0,1)</f>
        <v/>
      </c>
    </row>
    <row r="600" ht="12.75" customHeight="1">
      <c r="AG600" s="101">
        <f>IF(G600&lt;0,0,1.2)+IF(G600&lt;14,0,0.9)+IF(P600&lt;0,0.7,0)+IF(P600&lt;6.5,1,0)+IF(P600&lt;23,1,0)+IF(R600&gt;80,0,1)+S600+IF(AD600&lt;20,0,1)+IF(AE600&lt;14,0,1)+IF(AF600&lt;26,0,1)</f>
        <v/>
      </c>
    </row>
    <row r="601" ht="12.75" customHeight="1">
      <c r="AG601" s="101">
        <f>IF(G601&lt;0,0,1.2)+IF(G601&lt;14,0,0.9)+IF(P601&lt;0,0.7,0)+IF(P601&lt;6.5,1,0)+IF(P601&lt;23,1,0)+IF(R601&gt;80,0,1)+S601+IF(AD601&lt;20,0,1)+IF(AE601&lt;14,0,1)+IF(AF601&lt;26,0,1)</f>
        <v/>
      </c>
    </row>
    <row r="602" ht="12.75" customHeight="1">
      <c r="AG602" s="101">
        <f>IF(G602&lt;0,0,1.2)+IF(G602&lt;14,0,0.9)+IF(P602&lt;0,0.7,0)+IF(P602&lt;6.5,1,0)+IF(P602&lt;23,1,0)+IF(R602&gt;80,0,1)+S602+IF(AD602&lt;20,0,1)+IF(AE602&lt;14,0,1)+IF(AF602&lt;26,0,1)</f>
        <v/>
      </c>
    </row>
    <row r="603" ht="12.75" customHeight="1">
      <c r="AG603" s="101">
        <f>IF(G603&lt;0,0,1.2)+IF(G603&lt;14,0,0.9)+IF(P603&lt;0,0.7,0)+IF(P603&lt;6.5,1,0)+IF(P603&lt;23,1,0)+IF(R603&gt;80,0,1)+S603+IF(AD603&lt;20,0,1)+IF(AE603&lt;14,0,1)+IF(AF603&lt;26,0,1)</f>
        <v/>
      </c>
    </row>
    <row r="604" ht="12.75" customHeight="1">
      <c r="AG604" s="101">
        <f>IF(G604&lt;0,0,1.2)+IF(G604&lt;14,0,0.9)+IF(P604&lt;0,0.7,0)+IF(P604&lt;6.5,1,0)+IF(P604&lt;23,1,0)+IF(R604&gt;80,0,1)+S604+IF(AD604&lt;20,0,1)+IF(AE604&lt;14,0,1)+IF(AF604&lt;26,0,1)</f>
        <v/>
      </c>
    </row>
    <row r="605" ht="12.75" customHeight="1">
      <c r="AG605" s="101">
        <f>IF(G605&lt;0,0,1.2)+IF(G605&lt;14,0,0.9)+IF(P605&lt;0,0.7,0)+IF(P605&lt;6.5,1,0)+IF(P605&lt;23,1,0)+IF(R605&gt;80,0,1)+S605+IF(AD605&lt;20,0,1)+IF(AE605&lt;14,0,1)+IF(AF605&lt;26,0,1)</f>
        <v/>
      </c>
    </row>
    <row r="606" ht="12.75" customHeight="1">
      <c r="AG606" s="101">
        <f>IF(G606&lt;0,0,1.2)+IF(G606&lt;14,0,0.9)+IF(P606&lt;0,0.7,0)+IF(P606&lt;6.5,1,0)+IF(P606&lt;23,1,0)+IF(R606&gt;80,0,1)+S606+IF(AD606&lt;20,0,1)+IF(AE606&lt;14,0,1)+IF(AF606&lt;26,0,1)</f>
        <v/>
      </c>
    </row>
    <row r="607" ht="12.75" customHeight="1">
      <c r="AG607" s="101">
        <f>IF(G607&lt;0,0,1.2)+IF(G607&lt;14,0,0.9)+IF(P607&lt;0,0.7,0)+IF(P607&lt;6.5,1,0)+IF(P607&lt;23,1,0)+IF(R607&gt;80,0,1)+S607+IF(AD607&lt;20,0,1)+IF(AE607&lt;14,0,1)+IF(AF607&lt;26,0,1)</f>
        <v/>
      </c>
    </row>
    <row r="608" ht="12.75" customHeight="1">
      <c r="AG608" s="101">
        <f>IF(G608&lt;0,0,1.2)+IF(G608&lt;14,0,0.9)+IF(P608&lt;0,0.7,0)+IF(P608&lt;6.5,1,0)+IF(P608&lt;23,1,0)+IF(R608&gt;80,0,1)+S608+IF(AD608&lt;20,0,1)+IF(AE608&lt;14,0,1)+IF(AF608&lt;26,0,1)</f>
        <v/>
      </c>
    </row>
    <row r="609" ht="12.75" customHeight="1">
      <c r="AG609" s="101">
        <f>IF(G609&lt;0,0,1.2)+IF(G609&lt;14,0,0.9)+IF(P609&lt;0,0.7,0)+IF(P609&lt;6.5,1,0)+IF(P609&lt;23,1,0)+IF(R609&gt;80,0,1)+S609+IF(AD609&lt;20,0,1)+IF(AE609&lt;14,0,1)+IF(AF609&lt;26,0,1)</f>
        <v/>
      </c>
    </row>
    <row r="610" ht="12.75" customHeight="1">
      <c r="AG610" s="101">
        <f>IF(G610&lt;0,0,1.2)+IF(G610&lt;14,0,0.9)+IF(P610&lt;0,0.7,0)+IF(P610&lt;6.5,1,0)+IF(P610&lt;23,1,0)+IF(R610&gt;80,0,1)+S610+IF(AD610&lt;20,0,1)+IF(AE610&lt;14,0,1)+IF(AF610&lt;26,0,1)</f>
        <v/>
      </c>
    </row>
    <row r="611" ht="12.75" customHeight="1">
      <c r="AG611" s="101">
        <f>IF(G611&lt;0,0,1.2)+IF(G611&lt;14,0,0.9)+IF(P611&lt;0,0.7,0)+IF(P611&lt;6.5,1,0)+IF(P611&lt;23,1,0)+IF(R611&gt;80,0,1)+S611+IF(AD611&lt;20,0,1)+IF(AE611&lt;14,0,1)+IF(AF611&lt;26,0,1)</f>
        <v/>
      </c>
    </row>
    <row r="612" ht="12.75" customHeight="1">
      <c r="AG612" s="101">
        <f>IF(G612&lt;0,0,1.2)+IF(G612&lt;14,0,0.9)+IF(P612&lt;0,0.7,0)+IF(P612&lt;6.5,1,0)+IF(P612&lt;23,1,0)+IF(R612&gt;80,0,1)+S612+IF(AD612&lt;20,0,1)+IF(AE612&lt;14,0,1)+IF(AF612&lt;26,0,1)</f>
        <v/>
      </c>
    </row>
    <row r="613" ht="12.75" customHeight="1">
      <c r="AG613" s="101">
        <f>IF(G613&lt;0,0,1.2)+IF(G613&lt;14,0,0.9)+IF(P613&lt;0,0.7,0)+IF(P613&lt;6.5,1,0)+IF(P613&lt;23,1,0)+IF(R613&gt;80,0,1)+S613+IF(AD613&lt;20,0,1)+IF(AE613&lt;14,0,1)+IF(AF613&lt;26,0,1)</f>
        <v/>
      </c>
    </row>
    <row r="614" ht="12.75" customHeight="1">
      <c r="AG614" s="101">
        <f>IF(G614&lt;0,0,1.2)+IF(G614&lt;14,0,0.9)+IF(P614&lt;0,0.7,0)+IF(P614&lt;6.5,1,0)+IF(P614&lt;23,1,0)+IF(R614&gt;80,0,1)+S614+IF(AD614&lt;20,0,1)+IF(AE614&lt;14,0,1)+IF(AF614&lt;26,0,1)</f>
        <v/>
      </c>
    </row>
    <row r="615" ht="12.75" customHeight="1">
      <c r="AG615" s="101">
        <f>IF(G615&lt;0,0,1.2)+IF(G615&lt;14,0,0.9)+IF(P615&lt;0,0.7,0)+IF(P615&lt;6.5,1,0)+IF(P615&lt;23,1,0)+IF(R615&gt;80,0,1)+S615+IF(AD615&lt;20,0,1)+IF(AE615&lt;14,0,1)+IF(AF615&lt;26,0,1)</f>
        <v/>
      </c>
    </row>
    <row r="616" ht="12.75" customHeight="1">
      <c r="AG616" s="101">
        <f>IF(G616&lt;0,0,1.2)+IF(G616&lt;14,0,0.9)+IF(P616&lt;0,0.7,0)+IF(P616&lt;6.5,1,0)+IF(P616&lt;23,1,0)+IF(R616&gt;80,0,1)+S616+IF(AD616&lt;20,0,1)+IF(AE616&lt;14,0,1)+IF(AF616&lt;26,0,1)</f>
        <v/>
      </c>
    </row>
    <row r="617" ht="12.75" customHeight="1">
      <c r="AG617" s="101">
        <f>IF(G617&lt;0,0,1.2)+IF(G617&lt;14,0,0.9)+IF(P617&lt;0,0.7,0)+IF(P617&lt;6.5,1,0)+IF(P617&lt;23,1,0)+IF(R617&gt;80,0,1)+S617+IF(AD617&lt;20,0,1)+IF(AE617&lt;14,0,1)+IF(AF617&lt;26,0,1)</f>
        <v/>
      </c>
    </row>
    <row r="618" ht="12.75" customHeight="1">
      <c r="AG618" s="101">
        <f>IF(G618&lt;0,0,1.2)+IF(G618&lt;14,0,0.9)+IF(P618&lt;0,0.7,0)+IF(P618&lt;6.5,1,0)+IF(P618&lt;23,1,0)+IF(R618&gt;80,0,1)+S618+IF(AD618&lt;20,0,1)+IF(AE618&lt;14,0,1)+IF(AF618&lt;26,0,1)</f>
        <v/>
      </c>
    </row>
    <row r="619" ht="12.75" customHeight="1">
      <c r="AG619" s="101">
        <f>IF(G619&lt;0,0,1.2)+IF(G619&lt;14,0,0.9)+IF(P619&lt;0,0.7,0)+IF(P619&lt;6.5,1,0)+IF(P619&lt;23,1,0)+IF(R619&gt;80,0,1)+S619+IF(AD619&lt;20,0,1)+IF(AE619&lt;14,0,1)+IF(AF619&lt;26,0,1)</f>
        <v/>
      </c>
    </row>
    <row r="620" ht="12.75" customHeight="1">
      <c r="AG620" s="101">
        <f>IF(G620&lt;0,0,1.2)+IF(G620&lt;14,0,0.9)+IF(P620&lt;0,0.7,0)+IF(P620&lt;6.5,1,0)+IF(P620&lt;23,1,0)+IF(R620&gt;80,0,1)+S620+IF(AD620&lt;20,0,1)+IF(AE620&lt;14,0,1)+IF(AF620&lt;26,0,1)</f>
        <v/>
      </c>
    </row>
    <row r="621" ht="12.75" customHeight="1">
      <c r="AG621" s="101">
        <f>IF(G621&lt;0,0,1.2)+IF(G621&lt;14,0,0.9)+IF(P621&lt;0,0.7,0)+IF(P621&lt;6.5,1,0)+IF(P621&lt;23,1,0)+IF(R621&gt;80,0,1)+S621+IF(AD621&lt;20,0,1)+IF(AE621&lt;14,0,1)+IF(AF621&lt;26,0,1)</f>
        <v/>
      </c>
    </row>
    <row r="622" ht="12.75" customHeight="1">
      <c r="AG622" s="101">
        <f>IF(G622&lt;0,0,1.2)+IF(G622&lt;14,0,0.9)+IF(P622&lt;0,0.7,0)+IF(P622&lt;6.5,1,0)+IF(P622&lt;23,1,0)+IF(R622&gt;80,0,1)+S622+IF(AD622&lt;20,0,1)+IF(AE622&lt;14,0,1)+IF(AF622&lt;26,0,1)</f>
        <v/>
      </c>
    </row>
    <row r="623" ht="12.75" customHeight="1">
      <c r="AG623" s="101">
        <f>IF(G623&lt;0,0,1.2)+IF(G623&lt;14,0,0.9)+IF(P623&lt;0,0.7,0)+IF(P623&lt;6.5,1,0)+IF(P623&lt;23,1,0)+IF(R623&gt;80,0,1)+S623+IF(AD623&lt;20,0,1)+IF(AE623&lt;14,0,1)+IF(AF623&lt;26,0,1)</f>
        <v/>
      </c>
    </row>
    <row r="624" ht="12.75" customHeight="1">
      <c r="AG624" s="101">
        <f>IF(G624&lt;0,0,1.2)+IF(G624&lt;14,0,0.9)+IF(P624&lt;0,0.7,0)+IF(P624&lt;6.5,1,0)+IF(P624&lt;23,1,0)+IF(R624&gt;80,0,1)+S624+IF(AD624&lt;20,0,1)+IF(AE624&lt;14,0,1)+IF(AF624&lt;26,0,1)</f>
        <v/>
      </c>
    </row>
    <row r="625" ht="12.75" customHeight="1">
      <c r="AG625" s="101">
        <f>IF(G625&lt;0,0,1.2)+IF(G625&lt;14,0,0.9)+IF(P625&lt;0,0.7,0)+IF(P625&lt;6.5,1,0)+IF(P625&lt;23,1,0)+IF(R625&gt;80,0,1)+S625+IF(AD625&lt;20,0,1)+IF(AE625&lt;14,0,1)+IF(AF625&lt;26,0,1)</f>
        <v/>
      </c>
    </row>
    <row r="626" ht="12.75" customHeight="1">
      <c r="AG626" s="101">
        <f>IF(G626&lt;0,0,1.2)+IF(G626&lt;14,0,0.9)+IF(P626&lt;0,0.7,0)+IF(P626&lt;6.5,1,0)+IF(P626&lt;23,1,0)+IF(R626&gt;80,0,1)+S626+IF(AD626&lt;20,0,1)+IF(AE626&lt;14,0,1)+IF(AF626&lt;26,0,1)</f>
        <v/>
      </c>
    </row>
    <row r="627" ht="12.75" customHeight="1">
      <c r="AG627" s="101">
        <f>IF(G627&lt;0,0,1.2)+IF(G627&lt;14,0,0.9)+IF(P627&lt;0,0.7,0)+IF(P627&lt;6.5,1,0)+IF(P627&lt;23,1,0)+IF(R627&gt;80,0,1)+S627+IF(AD627&lt;20,0,1)+IF(AE627&lt;14,0,1)+IF(AF627&lt;26,0,1)</f>
        <v/>
      </c>
    </row>
    <row r="628" ht="12.75" customHeight="1">
      <c r="AG628" s="101">
        <f>IF(G628&lt;0,0,1.2)+IF(G628&lt;14,0,0.9)+IF(P628&lt;0,0.7,0)+IF(P628&lt;6.5,1,0)+IF(P628&lt;23,1,0)+IF(R628&gt;80,0,1)+S628+IF(AD628&lt;20,0,1)+IF(AE628&lt;14,0,1)+IF(AF628&lt;26,0,1)</f>
        <v/>
      </c>
    </row>
    <row r="629" ht="12.75" customHeight="1">
      <c r="AG629" s="101">
        <f>IF(G629&lt;0,0,1.2)+IF(G629&lt;14,0,0.9)+IF(P629&lt;0,0.7,0)+IF(P629&lt;6.5,1,0)+IF(P629&lt;23,1,0)+IF(R629&gt;80,0,1)+S629+IF(AD629&lt;20,0,1)+IF(AE629&lt;14,0,1)+IF(AF629&lt;26,0,1)</f>
        <v/>
      </c>
    </row>
    <row r="630" ht="12.75" customHeight="1">
      <c r="AG630" s="101">
        <f>IF(G630&lt;0,0,1.2)+IF(G630&lt;14,0,0.9)+IF(P630&lt;0,0.7,0)+IF(P630&lt;6.5,1,0)+IF(P630&lt;23,1,0)+IF(R630&gt;80,0,1)+S630+IF(AD630&lt;20,0,1)+IF(AE630&lt;14,0,1)+IF(AF630&lt;26,0,1)</f>
        <v/>
      </c>
    </row>
    <row r="631" ht="12.75" customHeight="1">
      <c r="AG631" s="101">
        <f>IF(G631&lt;0,0,1.2)+IF(G631&lt;14,0,0.9)+IF(P631&lt;0,0.7,0)+IF(P631&lt;6.5,1,0)+IF(P631&lt;23,1,0)+IF(R631&gt;80,0,1)+S631+IF(AD631&lt;20,0,1)+IF(AE631&lt;14,0,1)+IF(AF631&lt;26,0,1)</f>
        <v/>
      </c>
    </row>
    <row r="632" ht="12.75" customHeight="1">
      <c r="AG632" s="101">
        <f>IF(G632&lt;0,0,1.2)+IF(G632&lt;14,0,0.9)+IF(P632&lt;0,0.7,0)+IF(P632&lt;6.5,1,0)+IF(P632&lt;23,1,0)+IF(R632&gt;80,0,1)+S632+IF(AD632&lt;20,0,1)+IF(AE632&lt;14,0,1)+IF(AF632&lt;26,0,1)</f>
        <v/>
      </c>
    </row>
    <row r="633" ht="12.75" customHeight="1">
      <c r="AG633" s="101">
        <f>IF(G633&lt;0,0,1.2)+IF(G633&lt;14,0,0.9)+IF(P633&lt;0,0.7,0)+IF(P633&lt;6.5,1,0)+IF(P633&lt;23,1,0)+IF(R633&gt;80,0,1)+S633+IF(AD633&lt;20,0,1)+IF(AE633&lt;14,0,1)+IF(AF633&lt;26,0,1)</f>
        <v/>
      </c>
    </row>
    <row r="634" ht="12.75" customHeight="1">
      <c r="AG634" s="101">
        <f>IF(G634&lt;0,0,1.2)+IF(G634&lt;14,0,0.9)+IF(P634&lt;0,0.7,0)+IF(P634&lt;6.5,1,0)+IF(P634&lt;23,1,0)+IF(R634&gt;80,0,1)+S634+IF(AD634&lt;20,0,1)+IF(AE634&lt;14,0,1)+IF(AF634&lt;26,0,1)</f>
        <v/>
      </c>
    </row>
    <row r="635" ht="12.75" customHeight="1">
      <c r="AG635" s="101">
        <f>IF(G635&lt;0,0,1.2)+IF(G635&lt;14,0,0.9)+IF(P635&lt;0,0.7,0)+IF(P635&lt;6.5,1,0)+IF(P635&lt;23,1,0)+IF(R635&gt;80,0,1)+S635+IF(AD635&lt;20,0,1)+IF(AE635&lt;14,0,1)+IF(AF635&lt;26,0,1)</f>
        <v/>
      </c>
    </row>
    <row r="636" ht="12.75" customHeight="1">
      <c r="AG636" s="101">
        <f>IF(G636&lt;0,0,1.2)+IF(G636&lt;14,0,0.9)+IF(P636&lt;0,0.7,0)+IF(P636&lt;6.5,1,0)+IF(P636&lt;23,1,0)+IF(R636&gt;80,0,1)+S636+IF(AD636&lt;20,0,1)+IF(AE636&lt;14,0,1)+IF(AF636&lt;26,0,1)</f>
        <v/>
      </c>
    </row>
    <row r="637" ht="12.75" customHeight="1">
      <c r="AG637" s="101">
        <f>IF(G637&lt;0,0,1.2)+IF(G637&lt;14,0,0.9)+IF(P637&lt;0,0.7,0)+IF(P637&lt;6.5,1,0)+IF(P637&lt;23,1,0)+IF(R637&gt;80,0,1)+S637+IF(AD637&lt;20,0,1)+IF(AE637&lt;14,0,1)+IF(AF637&lt;26,0,1)</f>
        <v/>
      </c>
    </row>
    <row r="638" ht="12.75" customHeight="1">
      <c r="AG638" s="101">
        <f>IF(G638&lt;0,0,1.2)+IF(G638&lt;14,0,0.9)+IF(P638&lt;0,0.7,0)+IF(P638&lt;6.5,1,0)+IF(P638&lt;23,1,0)+IF(R638&gt;80,0,1)+S638+IF(AD638&lt;20,0,1)+IF(AE638&lt;14,0,1)+IF(AF638&lt;26,0,1)</f>
        <v/>
      </c>
    </row>
    <row r="639" ht="12.75" customHeight="1">
      <c r="AG639" s="101">
        <f>IF(G639&lt;0,0,1.2)+IF(G639&lt;14,0,0.9)+IF(P639&lt;0,0.7,0)+IF(P639&lt;6.5,1,0)+IF(P639&lt;23,1,0)+IF(R639&gt;80,0,1)+S639+IF(AD639&lt;20,0,1)+IF(AE639&lt;14,0,1)+IF(AF639&lt;26,0,1)</f>
        <v/>
      </c>
    </row>
    <row r="640" ht="12.75" customHeight="1">
      <c r="AG640" s="101">
        <f>IF(G640&lt;0,0,1.2)+IF(G640&lt;14,0,0.9)+IF(P640&lt;0,0.7,0)+IF(P640&lt;6.5,1,0)+IF(P640&lt;23,1,0)+IF(R640&gt;80,0,1)+S640+IF(AD640&lt;20,0,1)+IF(AE640&lt;14,0,1)+IF(AF640&lt;26,0,1)</f>
        <v/>
      </c>
    </row>
    <row r="641" ht="12.75" customHeight="1">
      <c r="AG641" s="101">
        <f>IF(G641&lt;0,0,1.2)+IF(G641&lt;14,0,0.9)+IF(P641&lt;0,0.7,0)+IF(P641&lt;6.5,1,0)+IF(P641&lt;23,1,0)+IF(R641&gt;80,0,1)+S641+IF(AD641&lt;20,0,1)+IF(AE641&lt;14,0,1)+IF(AF641&lt;26,0,1)</f>
        <v/>
      </c>
    </row>
    <row r="642" ht="12.75" customHeight="1">
      <c r="AG642" s="101">
        <f>IF(G642&lt;0,0,1.2)+IF(G642&lt;14,0,0.9)+IF(P642&lt;0,0.7,0)+IF(P642&lt;6.5,1,0)+IF(P642&lt;23,1,0)+IF(R642&gt;80,0,1)+S642+IF(AD642&lt;20,0,1)+IF(AE642&lt;14,0,1)+IF(AF642&lt;26,0,1)</f>
        <v/>
      </c>
    </row>
    <row r="643" ht="12.75" customHeight="1">
      <c r="AG643" s="101">
        <f>IF(G643&lt;0,0,1.2)+IF(G643&lt;14,0,0.9)+IF(P643&lt;0,0.7,0)+IF(P643&lt;6.5,1,0)+IF(P643&lt;23,1,0)+IF(R643&gt;80,0,1)+S643+IF(AD643&lt;20,0,1)+IF(AE643&lt;14,0,1)+IF(AF643&lt;26,0,1)</f>
        <v/>
      </c>
    </row>
    <row r="644" ht="12.75" customHeight="1">
      <c r="AG644" s="101">
        <f>IF(G644&lt;0,0,1.2)+IF(G644&lt;14,0,0.9)+IF(P644&lt;0,0.7,0)+IF(P644&lt;6.5,1,0)+IF(P644&lt;23,1,0)+IF(R644&gt;80,0,1)+S644+IF(AD644&lt;20,0,1)+IF(AE644&lt;14,0,1)+IF(AF644&lt;26,0,1)</f>
        <v/>
      </c>
    </row>
    <row r="645" ht="12.75" customHeight="1">
      <c r="AG645" s="101">
        <f>IF(G645&lt;0,0,1.2)+IF(G645&lt;14,0,0.9)+IF(P645&lt;0,0.7,0)+IF(P645&lt;6.5,1,0)+IF(P645&lt;23,1,0)+IF(R645&gt;80,0,1)+S645+IF(AD645&lt;20,0,1)+IF(AE645&lt;14,0,1)+IF(AF645&lt;26,0,1)</f>
        <v/>
      </c>
    </row>
    <row r="646" ht="12.75" customHeight="1">
      <c r="AG646" s="101">
        <f>IF(G646&lt;0,0,1.2)+IF(G646&lt;14,0,0.9)+IF(P646&lt;0,0.7,0)+IF(P646&lt;6.5,1,0)+IF(P646&lt;23,1,0)+IF(R646&gt;80,0,1)+S646+IF(AD646&lt;20,0,1)+IF(AE646&lt;14,0,1)+IF(AF646&lt;26,0,1)</f>
        <v/>
      </c>
    </row>
    <row r="647" ht="12.75" customHeight="1">
      <c r="AG647" s="101">
        <f>IF(G647&lt;0,0,1.2)+IF(G647&lt;14,0,0.9)+IF(P647&lt;0,0.7,0)+IF(P647&lt;6.5,1,0)+IF(P647&lt;23,1,0)+IF(R647&gt;80,0,1)+S647+IF(AD647&lt;20,0,1)+IF(AE647&lt;14,0,1)+IF(AF647&lt;26,0,1)</f>
        <v/>
      </c>
    </row>
    <row r="648" ht="12.75" customHeight="1">
      <c r="AG648" s="101">
        <f>IF(G648&lt;0,0,1.2)+IF(G648&lt;14,0,0.9)+IF(P648&lt;0,0.7,0)+IF(P648&lt;6.5,1,0)+IF(P648&lt;23,1,0)+IF(R648&gt;80,0,1)+S648+IF(AD648&lt;20,0,1)+IF(AE648&lt;14,0,1)+IF(AF648&lt;26,0,1)</f>
        <v/>
      </c>
    </row>
    <row r="649" ht="12.75" customHeight="1">
      <c r="AG649" s="101">
        <f>IF(G649&lt;0,0,1.2)+IF(G649&lt;14,0,0.9)+IF(P649&lt;0,0.7,0)+IF(P649&lt;6.5,1,0)+IF(P649&lt;23,1,0)+IF(R649&gt;80,0,1)+S649+IF(AD649&lt;20,0,1)+IF(AE649&lt;14,0,1)+IF(AF649&lt;26,0,1)</f>
        <v/>
      </c>
    </row>
    <row r="650" ht="12.75" customHeight="1">
      <c r="AG650" s="101">
        <f>IF(G650&lt;0,0,1.2)+IF(G650&lt;14,0,0.9)+IF(P650&lt;0,0.7,0)+IF(P650&lt;6.5,1,0)+IF(P650&lt;23,1,0)+IF(R650&gt;80,0,1)+S650+IF(AD650&lt;20,0,1)+IF(AE650&lt;14,0,1)+IF(AF650&lt;26,0,1)</f>
        <v/>
      </c>
    </row>
    <row r="651" ht="12.75" customHeight="1">
      <c r="AG651" s="101">
        <f>IF(G651&lt;0,0,1.2)+IF(G651&lt;14,0,0.9)+IF(P651&lt;0,0.7,0)+IF(P651&lt;6.5,1,0)+IF(P651&lt;23,1,0)+IF(R651&gt;80,0,1)+S651+IF(AD651&lt;20,0,1)+IF(AE651&lt;14,0,1)+IF(AF651&lt;26,0,1)</f>
        <v/>
      </c>
    </row>
    <row r="652" ht="12.75" customHeight="1">
      <c r="AG652" s="101">
        <f>IF(G652&lt;0,0,1.2)+IF(G652&lt;14,0,0.9)+IF(P652&lt;0,0.7,0)+IF(P652&lt;6.5,1,0)+IF(P652&lt;23,1,0)+IF(R652&gt;80,0,1)+S652+IF(AD652&lt;20,0,1)+IF(AE652&lt;14,0,1)+IF(AF652&lt;26,0,1)</f>
        <v/>
      </c>
    </row>
    <row r="653" ht="12.75" customHeight="1">
      <c r="AG653" s="101">
        <f>IF(G653&lt;0,0,1.2)+IF(G653&lt;14,0,0.9)+IF(P653&lt;0,0.7,0)+IF(P653&lt;6.5,1,0)+IF(P653&lt;23,1,0)+IF(R653&gt;80,0,1)+S653+IF(AD653&lt;20,0,1)+IF(AE653&lt;14,0,1)+IF(AF653&lt;26,0,1)</f>
        <v/>
      </c>
    </row>
    <row r="654" ht="12.75" customHeight="1">
      <c r="AG654" s="101">
        <f>IF(G654&lt;0,0,1.2)+IF(G654&lt;14,0,0.9)+IF(P654&lt;0,0.7,0)+IF(P654&lt;6.5,1,0)+IF(P654&lt;23,1,0)+IF(R654&gt;80,0,1)+S654+IF(AD654&lt;20,0,1)+IF(AE654&lt;14,0,1)+IF(AF654&lt;26,0,1)</f>
        <v/>
      </c>
    </row>
    <row r="655" ht="12.75" customHeight="1">
      <c r="AG655" s="101">
        <f>IF(G655&lt;0,0,1.2)+IF(G655&lt;14,0,0.9)+IF(P655&lt;0,0.7,0)+IF(P655&lt;6.5,1,0)+IF(P655&lt;23,1,0)+IF(R655&gt;80,0,1)+S655+IF(AD655&lt;20,0,1)+IF(AE655&lt;14,0,1)+IF(AF655&lt;26,0,1)</f>
        <v/>
      </c>
    </row>
    <row r="656" ht="12.75" customHeight="1">
      <c r="AG656" s="101">
        <f>IF(G656&lt;0,0,1.2)+IF(G656&lt;14,0,0.9)+IF(P656&lt;0,0.7,0)+IF(P656&lt;6.5,1,0)+IF(P656&lt;23,1,0)+IF(R656&gt;80,0,1)+S656+IF(AD656&lt;20,0,1)+IF(AE656&lt;14,0,1)+IF(AF656&lt;26,0,1)</f>
        <v/>
      </c>
    </row>
    <row r="657" ht="12.75" customHeight="1">
      <c r="AG657" s="101">
        <f>IF(G657&lt;0,0,1.2)+IF(G657&lt;14,0,0.9)+IF(P657&lt;0,0.7,0)+IF(P657&lt;6.5,1,0)+IF(P657&lt;23,1,0)+IF(R657&gt;80,0,1)+S657+IF(AD657&lt;20,0,1)+IF(AE657&lt;14,0,1)+IF(AF657&lt;26,0,1)</f>
        <v/>
      </c>
    </row>
    <row r="658" ht="12.75" customHeight="1">
      <c r="AG658" s="101">
        <f>IF(G658&lt;0,0,1.2)+IF(G658&lt;14,0,0.9)+IF(P658&lt;0,0.7,0)+IF(P658&lt;6.5,1,0)+IF(P658&lt;23,1,0)+IF(R658&gt;80,0,1)+S658+IF(AD658&lt;20,0,1)+IF(AE658&lt;14,0,1)+IF(AF658&lt;26,0,1)</f>
        <v/>
      </c>
    </row>
    <row r="659" ht="12.75" customHeight="1">
      <c r="AG659" s="101">
        <f>IF(G659&lt;0,0,1.2)+IF(G659&lt;14,0,0.9)+IF(P659&lt;0,0.7,0)+IF(P659&lt;6.5,1,0)+IF(P659&lt;23,1,0)+IF(R659&gt;80,0,1)+S659+IF(AD659&lt;20,0,1)+IF(AE659&lt;14,0,1)+IF(AF659&lt;26,0,1)</f>
        <v/>
      </c>
    </row>
    <row r="660" ht="12.75" customHeight="1">
      <c r="AG660" s="101">
        <f>IF(G660&lt;0,0,1.2)+IF(G660&lt;14,0,0.9)+IF(P660&lt;0,0.7,0)+IF(P660&lt;6.5,1,0)+IF(P660&lt;23,1,0)+IF(R660&gt;80,0,1)+S660+IF(AD660&lt;20,0,1)+IF(AE660&lt;14,0,1)+IF(AF660&lt;26,0,1)</f>
        <v/>
      </c>
    </row>
    <row r="661" ht="12.75" customHeight="1">
      <c r="AG661" s="101">
        <f>IF(G661&lt;0,0,1.2)+IF(G661&lt;14,0,0.9)+IF(P661&lt;0,0.7,0)+IF(P661&lt;6.5,1,0)+IF(P661&lt;23,1,0)+IF(R661&gt;80,0,1)+S661+IF(AD661&lt;20,0,1)+IF(AE661&lt;14,0,1)+IF(AF661&lt;26,0,1)</f>
        <v/>
      </c>
    </row>
    <row r="662" ht="12.75" customHeight="1">
      <c r="AG662" s="101">
        <f>IF(G662&lt;0,0,1.2)+IF(G662&lt;14,0,0.9)+IF(P662&lt;0,0.7,0)+IF(P662&lt;6.5,1,0)+IF(P662&lt;23,1,0)+IF(R662&gt;80,0,1)+S662+IF(AD662&lt;20,0,1)+IF(AE662&lt;14,0,1)+IF(AF662&lt;26,0,1)</f>
        <v/>
      </c>
    </row>
    <row r="663" ht="12.75" customHeight="1">
      <c r="AG663" s="101">
        <f>IF(G663&lt;0,0,1.2)+IF(G663&lt;14,0,0.9)+IF(P663&lt;0,0.7,0)+IF(P663&lt;6.5,1,0)+IF(P663&lt;23,1,0)+IF(R663&gt;80,0,1)+S663+IF(AD663&lt;20,0,1)+IF(AE663&lt;14,0,1)+IF(AF663&lt;26,0,1)</f>
        <v/>
      </c>
    </row>
    <row r="664" ht="12.75" customHeight="1">
      <c r="AG664" s="101">
        <f>IF(G664&lt;0,0,1.2)+IF(G664&lt;14,0,0.9)+IF(P664&lt;0,0.7,0)+IF(P664&lt;6.5,1,0)+IF(P664&lt;23,1,0)+IF(R664&gt;80,0,1)+S664+IF(AD664&lt;20,0,1)+IF(AE664&lt;14,0,1)+IF(AF664&lt;26,0,1)</f>
        <v/>
      </c>
    </row>
    <row r="665" ht="12.75" customHeight="1">
      <c r="AG665" s="101">
        <f>IF(G665&lt;0,0,1.2)+IF(G665&lt;14,0,0.9)+IF(P665&lt;0,0.7,0)+IF(P665&lt;6.5,1,0)+IF(P665&lt;23,1,0)+IF(R665&gt;80,0,1)+S665+IF(AD665&lt;20,0,1)+IF(AE665&lt;14,0,1)+IF(AF665&lt;26,0,1)</f>
        <v/>
      </c>
    </row>
    <row r="666" ht="12.75" customHeight="1">
      <c r="AG666" s="101">
        <f>IF(G666&lt;0,0,1.2)+IF(G666&lt;14,0,0.9)+IF(P666&lt;0,0.7,0)+IF(P666&lt;6.5,1,0)+IF(P666&lt;23,1,0)+IF(R666&gt;80,0,1)+S666+IF(AD666&lt;20,0,1)+IF(AE666&lt;14,0,1)+IF(AF666&lt;26,0,1)</f>
        <v/>
      </c>
    </row>
    <row r="667" ht="12.75" customHeight="1">
      <c r="AG667" s="101">
        <f>IF(G667&lt;0,0,1.2)+IF(G667&lt;14,0,0.9)+IF(P667&lt;0,0.7,0)+IF(P667&lt;6.5,1,0)+IF(P667&lt;23,1,0)+IF(R667&gt;80,0,1)+S667+IF(AD667&lt;20,0,1)+IF(AE667&lt;14,0,1)+IF(AF667&lt;26,0,1)</f>
        <v/>
      </c>
    </row>
    <row r="668" ht="12.75" customHeight="1">
      <c r="AG668" s="101">
        <f>IF(G668&lt;0,0,1.2)+IF(G668&lt;14,0,0.9)+IF(P668&lt;0,0.7,0)+IF(P668&lt;6.5,1,0)+IF(P668&lt;23,1,0)+IF(R668&gt;80,0,1)+S668+IF(AD668&lt;20,0,1)+IF(AE668&lt;14,0,1)+IF(AF668&lt;26,0,1)</f>
        <v/>
      </c>
    </row>
    <row r="669" ht="12.75" customHeight="1">
      <c r="AG669" s="101">
        <f>IF(G669&lt;0,0,1.2)+IF(G669&lt;14,0,0.9)+IF(P669&lt;0,0.7,0)+IF(P669&lt;6.5,1,0)+IF(P669&lt;23,1,0)+IF(R669&gt;80,0,1)+S669+IF(AD669&lt;20,0,1)+IF(AE669&lt;14,0,1)+IF(AF669&lt;26,0,1)</f>
        <v/>
      </c>
    </row>
    <row r="670" ht="12.75" customHeight="1">
      <c r="AG670" s="101">
        <f>IF(G670&lt;0,0,1.2)+IF(G670&lt;14,0,0.9)+IF(P670&lt;0,0.7,0)+IF(P670&lt;6.5,1,0)+IF(P670&lt;23,1,0)+IF(R670&gt;80,0,1)+S670+IF(AD670&lt;20,0,1)+IF(AE670&lt;14,0,1)+IF(AF670&lt;26,0,1)</f>
        <v/>
      </c>
    </row>
    <row r="671" ht="12.75" customHeight="1">
      <c r="AG671" s="101">
        <f>IF(G671&lt;0,0,1.2)+IF(G671&lt;14,0,0.9)+IF(P671&lt;0,0.7,0)+IF(P671&lt;6.5,1,0)+IF(P671&lt;23,1,0)+IF(R671&gt;80,0,1)+S671+IF(AD671&lt;20,0,1)+IF(AE671&lt;14,0,1)+IF(AF671&lt;26,0,1)</f>
        <v/>
      </c>
    </row>
    <row r="672" ht="12.75" customHeight="1">
      <c r="AG672" s="101">
        <f>IF(G672&lt;0,0,1.2)+IF(G672&lt;14,0,0.9)+IF(P672&lt;0,0.7,0)+IF(P672&lt;6.5,1,0)+IF(P672&lt;23,1,0)+IF(R672&gt;80,0,1)+S672+IF(AD672&lt;20,0,1)+IF(AE672&lt;14,0,1)+IF(AF672&lt;26,0,1)</f>
        <v/>
      </c>
    </row>
    <row r="673" ht="12.75" customHeight="1">
      <c r="AG673" s="101">
        <f>IF(G673&lt;0,0,1.2)+IF(G673&lt;14,0,0.9)+IF(P673&lt;0,0.7,0)+IF(P673&lt;6.5,1,0)+IF(P673&lt;23,1,0)+IF(R673&gt;80,0,1)+S673+IF(AD673&lt;20,0,1)+IF(AE673&lt;14,0,1)+IF(AF673&lt;26,0,1)</f>
        <v/>
      </c>
    </row>
    <row r="674" ht="12.75" customHeight="1">
      <c r="AG674" s="101">
        <f>IF(G674&lt;0,0,1.2)+IF(G674&lt;14,0,0.9)+IF(P674&lt;0,0.7,0)+IF(P674&lt;6.5,1,0)+IF(P674&lt;23,1,0)+IF(R674&gt;80,0,1)+S674+IF(AD674&lt;20,0,1)+IF(AE674&lt;14,0,1)+IF(AF674&lt;26,0,1)</f>
        <v/>
      </c>
    </row>
    <row r="675" ht="12.75" customHeight="1">
      <c r="AG675" s="101">
        <f>IF(G675&lt;0,0,1.2)+IF(G675&lt;14,0,0.9)+IF(P675&lt;0,0.7,0)+IF(P675&lt;6.5,1,0)+IF(P675&lt;23,1,0)+IF(R675&gt;80,0,1)+S675+IF(AD675&lt;20,0,1)+IF(AE675&lt;14,0,1)+IF(AF675&lt;26,0,1)</f>
        <v/>
      </c>
    </row>
    <row r="676" ht="12.75" customHeight="1">
      <c r="AG676" s="101">
        <f>IF(G676&lt;0,0,1.2)+IF(G676&lt;14,0,0.9)+IF(P676&lt;0,0.7,0)+IF(P676&lt;6.5,1,0)+IF(P676&lt;23,1,0)+IF(R676&gt;80,0,1)+S676+IF(AD676&lt;20,0,1)+IF(AE676&lt;14,0,1)+IF(AF676&lt;26,0,1)</f>
        <v/>
      </c>
    </row>
    <row r="677" ht="12.75" customHeight="1">
      <c r="AG677" s="101">
        <f>IF(G677&lt;0,0,1.2)+IF(G677&lt;14,0,0.9)+IF(P677&lt;0,0.7,0)+IF(P677&lt;6.5,1,0)+IF(P677&lt;23,1,0)+IF(R677&gt;80,0,1)+S677+IF(AD677&lt;20,0,1)+IF(AE677&lt;14,0,1)+IF(AF677&lt;26,0,1)</f>
        <v/>
      </c>
    </row>
    <row r="678" ht="12.75" customHeight="1">
      <c r="AG678" s="101">
        <f>IF(G678&lt;0,0,1.2)+IF(G678&lt;14,0,0.9)+IF(P678&lt;0,0.7,0)+IF(P678&lt;6.5,1,0)+IF(P678&lt;23,1,0)+IF(R678&gt;80,0,1)+S678+IF(AD678&lt;20,0,1)+IF(AE678&lt;14,0,1)+IF(AF678&lt;26,0,1)</f>
        <v/>
      </c>
    </row>
    <row r="679" ht="12.75" customHeight="1">
      <c r="AG679" s="101">
        <f>IF(G679&lt;0,0,1.2)+IF(G679&lt;14,0,0.9)+IF(P679&lt;0,0.7,0)+IF(P679&lt;6.5,1,0)+IF(P679&lt;23,1,0)+IF(R679&gt;80,0,1)+S679+IF(AD679&lt;20,0,1)+IF(AE679&lt;14,0,1)+IF(AF679&lt;26,0,1)</f>
        <v/>
      </c>
    </row>
    <row r="680" ht="12.75" customHeight="1">
      <c r="AG680" s="101">
        <f>IF(G680&lt;0,0,1.2)+IF(G680&lt;14,0,0.9)+IF(P680&lt;0,0.7,0)+IF(P680&lt;6.5,1,0)+IF(P680&lt;23,1,0)+IF(R680&gt;80,0,1)+S680+IF(AD680&lt;20,0,1)+IF(AE680&lt;14,0,1)+IF(AF680&lt;26,0,1)</f>
        <v/>
      </c>
    </row>
    <row r="681" ht="12.75" customHeight="1">
      <c r="AG681" s="101">
        <f>IF(G681&lt;0,0,1.2)+IF(G681&lt;14,0,0.9)+IF(P681&lt;0,0.7,0)+IF(P681&lt;6.5,1,0)+IF(P681&lt;23,1,0)+IF(R681&gt;80,0,1)+S681+IF(AD681&lt;20,0,1)+IF(AE681&lt;14,0,1)+IF(AF681&lt;26,0,1)</f>
        <v/>
      </c>
    </row>
    <row r="682" ht="12.75" customHeight="1">
      <c r="AG682" s="101">
        <f>IF(G682&lt;0,0,1.2)+IF(G682&lt;14,0,0.9)+IF(P682&lt;0,0.7,0)+IF(P682&lt;6.5,1,0)+IF(P682&lt;23,1,0)+IF(R682&gt;80,0,1)+S682+IF(AD682&lt;20,0,1)+IF(AE682&lt;14,0,1)+IF(AF682&lt;26,0,1)</f>
        <v/>
      </c>
    </row>
    <row r="683" ht="12.75" customHeight="1">
      <c r="AG683" s="101">
        <f>IF(G683&lt;0,0,1.2)+IF(G683&lt;14,0,0.9)+IF(P683&lt;0,0.7,0)+IF(P683&lt;6.5,1,0)+IF(P683&lt;23,1,0)+IF(R683&gt;80,0,1)+S683+IF(AD683&lt;20,0,1)+IF(AE683&lt;14,0,1)+IF(AF683&lt;26,0,1)</f>
        <v/>
      </c>
    </row>
    <row r="684" ht="12.75" customHeight="1">
      <c r="AG684" s="101">
        <f>IF(G684&lt;0,0,1.2)+IF(G684&lt;14,0,0.9)+IF(P684&lt;0,0.7,0)+IF(P684&lt;6.5,1,0)+IF(P684&lt;23,1,0)+IF(R684&gt;80,0,1)+S684+IF(AD684&lt;20,0,1)+IF(AE684&lt;14,0,1)+IF(AF684&lt;26,0,1)</f>
        <v/>
      </c>
    </row>
    <row r="685" ht="12.75" customHeight="1">
      <c r="AG685" s="101">
        <f>IF(G685&lt;0,0,1.2)+IF(G685&lt;14,0,0.9)+IF(P685&lt;0,0.7,0)+IF(P685&lt;6.5,1,0)+IF(P685&lt;23,1,0)+IF(R685&gt;80,0,1)+S685+IF(AD685&lt;20,0,1)+IF(AE685&lt;14,0,1)+IF(AF685&lt;26,0,1)</f>
        <v/>
      </c>
    </row>
    <row r="686" ht="12.75" customHeight="1">
      <c r="AG686" s="101">
        <f>IF(G686&lt;0,0,1.2)+IF(G686&lt;14,0,0.9)+IF(P686&lt;0,0.7,0)+IF(P686&lt;6.5,1,0)+IF(P686&lt;23,1,0)+IF(R686&gt;80,0,1)+S686+IF(AD686&lt;20,0,1)+IF(AE686&lt;14,0,1)+IF(AF686&lt;26,0,1)</f>
        <v/>
      </c>
    </row>
    <row r="687" ht="12.75" customHeight="1">
      <c r="AG687" s="101">
        <f>IF(G687&lt;0,0,1.2)+IF(G687&lt;14,0,0.9)+IF(P687&lt;0,0.7,0)+IF(P687&lt;6.5,1,0)+IF(P687&lt;23,1,0)+IF(R687&gt;80,0,1)+S687+IF(AD687&lt;20,0,1)+IF(AE687&lt;14,0,1)+IF(AF687&lt;26,0,1)</f>
        <v/>
      </c>
    </row>
    <row r="688" ht="12.75" customHeight="1">
      <c r="AG688" s="101">
        <f>IF(G688&lt;0,0,1.2)+IF(G688&lt;14,0,0.9)+IF(P688&lt;0,0.7,0)+IF(P688&lt;6.5,1,0)+IF(P688&lt;23,1,0)+IF(R688&gt;80,0,1)+S688+IF(AD688&lt;20,0,1)+IF(AE688&lt;14,0,1)+IF(AF688&lt;26,0,1)</f>
        <v/>
      </c>
    </row>
    <row r="689" ht="12.75" customHeight="1">
      <c r="AG689" s="101">
        <f>IF(G689&lt;0,0,1.2)+IF(G689&lt;14,0,0.9)+IF(P689&lt;0,0.7,0)+IF(P689&lt;6.5,1,0)+IF(P689&lt;23,1,0)+IF(R689&gt;80,0,1)+S689+IF(AD689&lt;20,0,1)+IF(AE689&lt;14,0,1)+IF(AF689&lt;26,0,1)</f>
        <v/>
      </c>
    </row>
    <row r="690" ht="12.75" customHeight="1">
      <c r="AG690" s="101">
        <f>IF(G690&lt;0,0,1.2)+IF(G690&lt;14,0,0.9)+IF(P690&lt;0,0.7,0)+IF(P690&lt;6.5,1,0)+IF(P690&lt;23,1,0)+IF(R690&gt;80,0,1)+S690+IF(AD690&lt;20,0,1)+IF(AE690&lt;14,0,1)+IF(AF690&lt;26,0,1)</f>
        <v/>
      </c>
    </row>
    <row r="691" ht="12.75" customHeight="1">
      <c r="AG691" s="101">
        <f>IF(G691&lt;0,0,1.2)+IF(G691&lt;14,0,0.9)+IF(P691&lt;0,0.7,0)+IF(P691&lt;6.5,1,0)+IF(P691&lt;23,1,0)+IF(R691&gt;80,0,1)+S691+IF(AD691&lt;20,0,1)+IF(AE691&lt;14,0,1)+IF(AF691&lt;26,0,1)</f>
        <v/>
      </c>
    </row>
    <row r="692" ht="12.75" customHeight="1">
      <c r="AG692" s="101">
        <f>IF(G692&lt;0,0,1.2)+IF(G692&lt;14,0,0.9)+IF(P692&lt;0,0.7,0)+IF(P692&lt;6.5,1,0)+IF(P692&lt;23,1,0)+IF(R692&gt;80,0,1)+S692+IF(AD692&lt;20,0,1)+IF(AE692&lt;14,0,1)+IF(AF692&lt;26,0,1)</f>
        <v/>
      </c>
    </row>
    <row r="693" ht="12.75" customHeight="1">
      <c r="AG693" s="101">
        <f>IF(G693&lt;0,0,1.2)+IF(G693&lt;14,0,0.9)+IF(P693&lt;0,0.7,0)+IF(P693&lt;6.5,1,0)+IF(P693&lt;23,1,0)+IF(R693&gt;80,0,1)+S693+IF(AD693&lt;20,0,1)+IF(AE693&lt;14,0,1)+IF(AF693&lt;26,0,1)</f>
        <v/>
      </c>
    </row>
    <row r="694" ht="12.75" customHeight="1">
      <c r="AG694" s="101">
        <f>IF(G694&lt;0,0,1.2)+IF(G694&lt;14,0,0.9)+IF(P694&lt;0,0.7,0)+IF(P694&lt;6.5,1,0)+IF(P694&lt;23,1,0)+IF(R694&gt;80,0,1)+S694+IF(AD694&lt;20,0,1)+IF(AE694&lt;14,0,1)+IF(AF694&lt;26,0,1)</f>
        <v/>
      </c>
    </row>
    <row r="695" ht="12.75" customHeight="1">
      <c r="AG695" s="101">
        <f>IF(G695&lt;0,0,1.2)+IF(G695&lt;14,0,0.9)+IF(P695&lt;0,0.7,0)+IF(P695&lt;6.5,1,0)+IF(P695&lt;23,1,0)+IF(R695&gt;80,0,1)+S695+IF(AD695&lt;20,0,1)+IF(AE695&lt;14,0,1)+IF(AF695&lt;26,0,1)</f>
        <v/>
      </c>
    </row>
    <row r="696" ht="12.75" customHeight="1">
      <c r="AG696" s="101">
        <f>IF(G696&lt;0,0,1.2)+IF(G696&lt;14,0,0.9)+IF(P696&lt;0,0.7,0)+IF(P696&lt;6.5,1,0)+IF(P696&lt;23,1,0)+IF(R696&gt;80,0,1)+S696+IF(AD696&lt;20,0,1)+IF(AE696&lt;14,0,1)+IF(AF696&lt;26,0,1)</f>
        <v/>
      </c>
    </row>
    <row r="697" ht="12.75" customHeight="1">
      <c r="AG697" s="101">
        <f>IF(G697&lt;0,0,1.2)+IF(G697&lt;14,0,0.9)+IF(P697&lt;0,0.7,0)+IF(P697&lt;6.5,1,0)+IF(P697&lt;23,1,0)+IF(R697&gt;80,0,1)+S697+IF(AD697&lt;20,0,1)+IF(AE697&lt;14,0,1)+IF(AF697&lt;26,0,1)</f>
        <v/>
      </c>
    </row>
    <row r="698" ht="12.75" customHeight="1">
      <c r="AG698" s="101">
        <f>IF(G698&lt;0,0,1.2)+IF(G698&lt;14,0,0.9)+IF(P698&lt;0,0.7,0)+IF(P698&lt;6.5,1,0)+IF(P698&lt;23,1,0)+IF(R698&gt;80,0,1)+S698+IF(AD698&lt;20,0,1)+IF(AE698&lt;14,0,1)+IF(AF698&lt;26,0,1)</f>
        <v/>
      </c>
    </row>
    <row r="699" ht="12.75" customHeight="1">
      <c r="AG699" s="101">
        <f>IF(G699&lt;0,0,1.2)+IF(G699&lt;14,0,0.9)+IF(P699&lt;0,0.7,0)+IF(P699&lt;6.5,1,0)+IF(P699&lt;23,1,0)+IF(R699&gt;80,0,1)+S699+IF(AD699&lt;20,0,1)+IF(AE699&lt;14,0,1)+IF(AF699&lt;26,0,1)</f>
        <v/>
      </c>
    </row>
    <row r="700" ht="12.75" customHeight="1">
      <c r="AG700" s="101">
        <f>IF(G700&lt;0,0,1.2)+IF(G700&lt;14,0,0.9)+IF(P700&lt;0,0.7,0)+IF(P700&lt;6.5,1,0)+IF(P700&lt;23,1,0)+IF(R700&gt;80,0,1)+S700+IF(AD700&lt;20,0,1)+IF(AE700&lt;14,0,1)+IF(AF700&lt;26,0,1)</f>
        <v/>
      </c>
    </row>
    <row r="701" ht="12.75" customHeight="1">
      <c r="AG701" s="101">
        <f>IF(G701&lt;0,0,1.2)+IF(G701&lt;14,0,0.9)+IF(P701&lt;0,0.7,0)+IF(P701&lt;6.5,1,0)+IF(P701&lt;23,1,0)+IF(R701&gt;80,0,1)+S701+IF(AD701&lt;20,0,1)+IF(AE701&lt;14,0,1)+IF(AF701&lt;26,0,1)</f>
        <v/>
      </c>
    </row>
    <row r="702" ht="12.75" customHeight="1">
      <c r="AG702" s="101">
        <f>IF(G702&lt;0,0,1.2)+IF(G702&lt;14,0,0.9)+IF(P702&lt;0,0.7,0)+IF(P702&lt;6.5,1,0)+IF(P702&lt;23,1,0)+IF(R702&gt;80,0,1)+S702+IF(AD702&lt;20,0,1)+IF(AE702&lt;14,0,1)+IF(AF702&lt;26,0,1)</f>
        <v/>
      </c>
    </row>
    <row r="703" ht="12.75" customHeight="1">
      <c r="AG703" s="101">
        <f>IF(G703&lt;0,0,1.2)+IF(G703&lt;14,0,0.9)+IF(P703&lt;0,0.7,0)+IF(P703&lt;6.5,1,0)+IF(P703&lt;23,1,0)+IF(R703&gt;80,0,1)+S703+IF(AD703&lt;20,0,1)+IF(AE703&lt;14,0,1)+IF(AF703&lt;26,0,1)</f>
        <v/>
      </c>
    </row>
    <row r="704" ht="12.75" customHeight="1">
      <c r="AG704" s="101">
        <f>IF(G704&lt;0,0,1.2)+IF(G704&lt;14,0,0.9)+IF(P704&lt;0,0.7,0)+IF(P704&lt;6.5,1,0)+IF(P704&lt;23,1,0)+IF(R704&gt;80,0,1)+S704+IF(AD704&lt;20,0,1)+IF(AE704&lt;14,0,1)+IF(AF704&lt;26,0,1)</f>
        <v/>
      </c>
    </row>
    <row r="705" ht="12.75" customHeight="1">
      <c r="AG705" s="101">
        <f>IF(G705&lt;0,0,1.2)+IF(G705&lt;14,0,0.9)+IF(P705&lt;0,0.7,0)+IF(P705&lt;6.5,1,0)+IF(P705&lt;23,1,0)+IF(R705&gt;80,0,1)+S705+IF(AD705&lt;20,0,1)+IF(AE705&lt;14,0,1)+IF(AF705&lt;26,0,1)</f>
        <v/>
      </c>
    </row>
    <row r="706" ht="12.75" customHeight="1">
      <c r="AG706" s="101">
        <f>IF(G706&lt;0,0,1.2)+IF(G706&lt;14,0,0.9)+IF(P706&lt;0,0.7,0)+IF(P706&lt;6.5,1,0)+IF(P706&lt;23,1,0)+IF(R706&gt;80,0,1)+S706+IF(AD706&lt;20,0,1)+IF(AE706&lt;14,0,1)+IF(AF706&lt;26,0,1)</f>
        <v/>
      </c>
    </row>
    <row r="707" ht="12.75" customHeight="1">
      <c r="AG707" s="101">
        <f>IF(G707&lt;0,0,1.2)+IF(G707&lt;14,0,0.9)+IF(P707&lt;0,0.7,0)+IF(P707&lt;6.5,1,0)+IF(P707&lt;23,1,0)+IF(R707&gt;80,0,1)+S707+IF(AD707&lt;20,0,1)+IF(AE707&lt;14,0,1)+IF(AF707&lt;26,0,1)</f>
        <v/>
      </c>
    </row>
    <row r="708" ht="12.75" customHeight="1">
      <c r="AG708" s="101">
        <f>IF(G708&lt;0,0,1.2)+IF(G708&lt;14,0,0.9)+IF(P708&lt;0,0.7,0)+IF(P708&lt;6.5,1,0)+IF(P708&lt;23,1,0)+IF(R708&gt;80,0,1)+S708+IF(AD708&lt;20,0,1)+IF(AE708&lt;14,0,1)+IF(AF708&lt;26,0,1)</f>
        <v/>
      </c>
    </row>
    <row r="709" ht="12.75" customHeight="1">
      <c r="AG709" s="101">
        <f>IF(G709&lt;0,0,1.2)+IF(G709&lt;14,0,0.9)+IF(P709&lt;0,0.7,0)+IF(P709&lt;6.5,1,0)+IF(P709&lt;23,1,0)+IF(R709&gt;80,0,1)+S709+IF(AD709&lt;20,0,1)+IF(AE709&lt;14,0,1)+IF(AF709&lt;26,0,1)</f>
        <v/>
      </c>
    </row>
    <row r="710" ht="12.75" customHeight="1">
      <c r="AG710" s="101">
        <f>IF(G710&lt;0,0,1.2)+IF(G710&lt;14,0,0.9)+IF(P710&lt;0,0.7,0)+IF(P710&lt;6.5,1,0)+IF(P710&lt;23,1,0)+IF(R710&gt;80,0,1)+S710+IF(AD710&lt;20,0,1)+IF(AE710&lt;14,0,1)+IF(AF710&lt;26,0,1)</f>
        <v/>
      </c>
    </row>
    <row r="711" ht="12.75" customHeight="1">
      <c r="AG711" s="101">
        <f>IF(G711&lt;0,0,1.2)+IF(G711&lt;14,0,0.9)+IF(P711&lt;0,0.7,0)+IF(P711&lt;6.5,1,0)+IF(P711&lt;23,1,0)+IF(R711&gt;80,0,1)+S711+IF(AD711&lt;20,0,1)+IF(AE711&lt;14,0,1)+IF(AF711&lt;26,0,1)</f>
        <v/>
      </c>
    </row>
    <row r="712" ht="12.75" customHeight="1">
      <c r="AG712" s="101">
        <f>IF(G712&lt;0,0,1.2)+IF(G712&lt;14,0,0.9)+IF(P712&lt;0,0.7,0)+IF(P712&lt;6.5,1,0)+IF(P712&lt;23,1,0)+IF(R712&gt;80,0,1)+S712+IF(AD712&lt;20,0,1)+IF(AE712&lt;14,0,1)+IF(AF712&lt;26,0,1)</f>
        <v/>
      </c>
    </row>
    <row r="713" ht="12.75" customHeight="1">
      <c r="AG713" s="101">
        <f>IF(G713&lt;0,0,1.2)+IF(G713&lt;14,0,0.9)+IF(P713&lt;0,0.7,0)+IF(P713&lt;6.5,1,0)+IF(P713&lt;23,1,0)+IF(R713&gt;80,0,1)+S713+IF(AD713&lt;20,0,1)+IF(AE713&lt;14,0,1)+IF(AF713&lt;26,0,1)</f>
        <v/>
      </c>
    </row>
    <row r="714" ht="12.75" customHeight="1">
      <c r="AG714" s="101">
        <f>IF(G714&lt;0,0,1.2)+IF(G714&lt;14,0,0.9)+IF(P714&lt;0,0.7,0)+IF(P714&lt;6.5,1,0)+IF(P714&lt;23,1,0)+IF(R714&gt;80,0,1)+S714+IF(AD714&lt;20,0,1)+IF(AE714&lt;14,0,1)+IF(AF714&lt;26,0,1)</f>
        <v/>
      </c>
    </row>
    <row r="715" ht="12.75" customHeight="1">
      <c r="AG715" s="101">
        <f>IF(G715&lt;0,0,1.2)+IF(G715&lt;14,0,0.9)+IF(P715&lt;0,0.7,0)+IF(P715&lt;6.5,1,0)+IF(P715&lt;23,1,0)+IF(R715&gt;80,0,1)+S715+IF(AD715&lt;20,0,1)+IF(AE715&lt;14,0,1)+IF(AF715&lt;26,0,1)</f>
        <v/>
      </c>
    </row>
    <row r="716" ht="12.75" customHeight="1">
      <c r="AG716" s="101">
        <f>IF(G716&lt;0,0,1.2)+IF(G716&lt;14,0,0.9)+IF(P716&lt;0,0.7,0)+IF(P716&lt;6.5,1,0)+IF(P716&lt;23,1,0)+IF(R716&gt;80,0,1)+S716+IF(AD716&lt;20,0,1)+IF(AE716&lt;14,0,1)+IF(AF716&lt;26,0,1)</f>
        <v/>
      </c>
    </row>
    <row r="717" ht="12.75" customHeight="1">
      <c r="AG717" s="101">
        <f>IF(G717&lt;0,0,1.2)+IF(G717&lt;14,0,0.9)+IF(P717&lt;0,0.7,0)+IF(P717&lt;6.5,1,0)+IF(P717&lt;23,1,0)+IF(R717&gt;80,0,1)+S717+IF(AD717&lt;20,0,1)+IF(AE717&lt;14,0,1)+IF(AF717&lt;26,0,1)</f>
        <v/>
      </c>
    </row>
    <row r="718" ht="12.75" customHeight="1">
      <c r="AG718" s="101">
        <f>IF(G718&lt;0,0,1.2)+IF(G718&lt;14,0,0.9)+IF(P718&lt;0,0.7,0)+IF(P718&lt;6.5,1,0)+IF(P718&lt;23,1,0)+IF(R718&gt;80,0,1)+S718+IF(AD718&lt;20,0,1)+IF(AE718&lt;14,0,1)+IF(AF718&lt;26,0,1)</f>
        <v/>
      </c>
    </row>
    <row r="719" ht="12.75" customHeight="1">
      <c r="AG719" s="101">
        <f>IF(G719&lt;0,0,1.2)+IF(G719&lt;14,0,0.9)+IF(P719&lt;0,0.7,0)+IF(P719&lt;6.5,1,0)+IF(P719&lt;23,1,0)+IF(R719&gt;80,0,1)+S719+IF(AD719&lt;20,0,1)+IF(AE719&lt;14,0,1)+IF(AF719&lt;26,0,1)</f>
        <v/>
      </c>
    </row>
    <row r="720" ht="12.75" customHeight="1">
      <c r="AG720" s="101">
        <f>IF(G720&lt;0,0,1.2)+IF(G720&lt;14,0,0.9)+IF(P720&lt;0,0.7,0)+IF(P720&lt;6.5,1,0)+IF(P720&lt;23,1,0)+IF(R720&gt;80,0,1)+S720+IF(AD720&lt;20,0,1)+IF(AE720&lt;14,0,1)+IF(AF720&lt;26,0,1)</f>
        <v/>
      </c>
    </row>
    <row r="721" ht="12.75" customHeight="1">
      <c r="AG721" s="101">
        <f>IF(G721&lt;0,0,1.2)+IF(G721&lt;14,0,0.9)+IF(P721&lt;0,0.7,0)+IF(P721&lt;6.5,1,0)+IF(P721&lt;23,1,0)+IF(R721&gt;80,0,1)+S721+IF(AD721&lt;20,0,1)+IF(AE721&lt;14,0,1)+IF(AF721&lt;26,0,1)</f>
        <v/>
      </c>
    </row>
    <row r="722" ht="12.75" customHeight="1">
      <c r="AG722" s="101">
        <f>IF(G722&lt;0,0,1.2)+IF(G722&lt;14,0,0.9)+IF(P722&lt;0,0.7,0)+IF(P722&lt;6.5,1,0)+IF(P722&lt;23,1,0)+IF(R722&gt;80,0,1)+S722+IF(AD722&lt;20,0,1)+IF(AE722&lt;14,0,1)+IF(AF722&lt;26,0,1)</f>
        <v/>
      </c>
    </row>
    <row r="723" ht="12.75" customHeight="1">
      <c r="AG723" s="101">
        <f>IF(G723&lt;0,0,1.2)+IF(G723&lt;14,0,0.9)+IF(P723&lt;0,0.7,0)+IF(P723&lt;6.5,1,0)+IF(P723&lt;23,1,0)+IF(R723&gt;80,0,1)+S723+IF(AD723&lt;20,0,1)+IF(AE723&lt;14,0,1)+IF(AF723&lt;26,0,1)</f>
        <v/>
      </c>
    </row>
    <row r="724" ht="12.75" customHeight="1">
      <c r="AG724" s="101">
        <f>IF(G724&lt;0,0,1.2)+IF(G724&lt;14,0,0.9)+IF(P724&lt;0,0.7,0)+IF(P724&lt;6.5,1,0)+IF(P724&lt;23,1,0)+IF(R724&gt;80,0,1)+S724+IF(AD724&lt;20,0,1)+IF(AE724&lt;14,0,1)+IF(AF724&lt;26,0,1)</f>
        <v/>
      </c>
    </row>
    <row r="725" ht="12.75" customHeight="1">
      <c r="AG725" s="101">
        <f>IF(G725&lt;0,0,1.2)+IF(G725&lt;14,0,0.9)+IF(P725&lt;0,0.7,0)+IF(P725&lt;6.5,1,0)+IF(P725&lt;23,1,0)+IF(R725&gt;80,0,1)+S725+IF(AD725&lt;20,0,1)+IF(AE725&lt;14,0,1)+IF(AF725&lt;26,0,1)</f>
        <v/>
      </c>
    </row>
    <row r="726" ht="12.75" customHeight="1">
      <c r="AG726" s="101">
        <f>IF(G726&lt;0,0,1.2)+IF(G726&lt;14,0,0.9)+IF(P726&lt;0,0.7,0)+IF(P726&lt;6.5,1,0)+IF(P726&lt;23,1,0)+IF(R726&gt;80,0,1)+S726+IF(AD726&lt;20,0,1)+IF(AE726&lt;14,0,1)+IF(AF726&lt;26,0,1)</f>
        <v/>
      </c>
    </row>
    <row r="727" ht="12.75" customHeight="1">
      <c r="AG727" s="101">
        <f>IF(G727&lt;0,0,1.2)+IF(G727&lt;14,0,0.9)+IF(P727&lt;0,0.7,0)+IF(P727&lt;6.5,1,0)+IF(P727&lt;23,1,0)+IF(R727&gt;80,0,1)+S727+IF(AD727&lt;20,0,1)+IF(AE727&lt;14,0,1)+IF(AF727&lt;26,0,1)</f>
        <v/>
      </c>
    </row>
    <row r="728" ht="12.75" customHeight="1">
      <c r="AG728" s="101">
        <f>IF(G728&lt;0,0,1.2)+IF(G728&lt;14,0,0.9)+IF(P728&lt;0,0.7,0)+IF(P728&lt;6.5,1,0)+IF(P728&lt;23,1,0)+IF(R728&gt;80,0,1)+S728+IF(AD728&lt;20,0,1)+IF(AE728&lt;14,0,1)+IF(AF728&lt;26,0,1)</f>
        <v/>
      </c>
    </row>
    <row r="729" ht="12.75" customHeight="1">
      <c r="AG729" s="101">
        <f>IF(G729&lt;0,0,1.2)+IF(G729&lt;14,0,0.9)+IF(P729&lt;0,0.7,0)+IF(P729&lt;6.5,1,0)+IF(P729&lt;23,1,0)+IF(R729&gt;80,0,1)+S729+IF(AD729&lt;20,0,1)+IF(AE729&lt;14,0,1)+IF(AF729&lt;26,0,1)</f>
        <v/>
      </c>
    </row>
    <row r="730" ht="12.75" customHeight="1">
      <c r="AG730" s="101">
        <f>IF(G730&lt;0,0,1.2)+IF(G730&lt;14,0,0.9)+IF(P730&lt;0,0.7,0)+IF(P730&lt;6.5,1,0)+IF(P730&lt;23,1,0)+IF(R730&gt;80,0,1)+S730+IF(AD730&lt;20,0,1)+IF(AE730&lt;14,0,1)+IF(AF730&lt;26,0,1)</f>
        <v/>
      </c>
    </row>
    <row r="731" ht="12.75" customHeight="1">
      <c r="AG731" s="101">
        <f>IF(G731&lt;0,0,1.2)+IF(G731&lt;14,0,0.9)+IF(P731&lt;0,0.7,0)+IF(P731&lt;6.5,1,0)+IF(P731&lt;23,1,0)+IF(R731&gt;80,0,1)+S731+IF(AD731&lt;20,0,1)+IF(AE731&lt;14,0,1)+IF(AF731&lt;26,0,1)</f>
        <v/>
      </c>
    </row>
    <row r="732" ht="12.75" customHeight="1">
      <c r="AG732" s="101">
        <f>IF(G732&lt;0,0,1.2)+IF(G732&lt;14,0,0.9)+IF(P732&lt;0,0.7,0)+IF(P732&lt;6.5,1,0)+IF(P732&lt;23,1,0)+IF(R732&gt;80,0,1)+S732+IF(AD732&lt;20,0,1)+IF(AE732&lt;14,0,1)+IF(AF732&lt;26,0,1)</f>
        <v/>
      </c>
    </row>
    <row r="733" ht="12.75" customHeight="1">
      <c r="AG733" s="101">
        <f>IF(G733&lt;0,0,1.2)+IF(G733&lt;14,0,0.9)+IF(P733&lt;0,0.7,0)+IF(P733&lt;6.5,1,0)+IF(P733&lt;23,1,0)+IF(R733&gt;80,0,1)+S733+IF(AD733&lt;20,0,1)+IF(AE733&lt;14,0,1)+IF(AF733&lt;26,0,1)</f>
        <v/>
      </c>
    </row>
    <row r="734" ht="12.75" customHeight="1">
      <c r="AG734" s="101">
        <f>IF(G734&lt;0,0,1.2)+IF(G734&lt;14,0,0.9)+IF(P734&lt;0,0.7,0)+IF(P734&lt;6.5,1,0)+IF(P734&lt;23,1,0)+IF(R734&gt;80,0,1)+S734+IF(AD734&lt;20,0,1)+IF(AE734&lt;14,0,1)+IF(AF734&lt;26,0,1)</f>
        <v/>
      </c>
    </row>
    <row r="735" ht="12.75" customHeight="1">
      <c r="AG735" s="101">
        <f>IF(G735&lt;0,0,1.2)+IF(G735&lt;14,0,0.9)+IF(P735&lt;0,0.7,0)+IF(P735&lt;6.5,1,0)+IF(P735&lt;23,1,0)+IF(R735&gt;80,0,1)+S735+IF(AD735&lt;20,0,1)+IF(AE735&lt;14,0,1)+IF(AF735&lt;26,0,1)</f>
        <v/>
      </c>
    </row>
    <row r="736" ht="12.75" customHeight="1">
      <c r="AG736" s="101">
        <f>IF(G736&lt;0,0,1.2)+IF(G736&lt;14,0,0.9)+IF(P736&lt;0,0.7,0)+IF(P736&lt;6.5,1,0)+IF(P736&lt;23,1,0)+IF(R736&gt;80,0,1)+S736+IF(AD736&lt;20,0,1)+IF(AE736&lt;14,0,1)+IF(AF736&lt;26,0,1)</f>
        <v/>
      </c>
    </row>
    <row r="737" ht="12.75" customHeight="1">
      <c r="AG737" s="101">
        <f>IF(G737&lt;0,0,1.2)+IF(G737&lt;14,0,0.9)+IF(P737&lt;0,0.7,0)+IF(P737&lt;6.5,1,0)+IF(P737&lt;23,1,0)+IF(R737&gt;80,0,1)+S737+IF(AD737&lt;20,0,1)+IF(AE737&lt;14,0,1)+IF(AF737&lt;26,0,1)</f>
        <v/>
      </c>
    </row>
    <row r="738" ht="12.75" customHeight="1">
      <c r="AG738" s="101">
        <f>IF(G738&lt;0,0,1.2)+IF(G738&lt;14,0,0.9)+IF(P738&lt;0,0.7,0)+IF(P738&lt;6.5,1,0)+IF(P738&lt;23,1,0)+IF(R738&gt;80,0,1)+S738+IF(AD738&lt;20,0,1)+IF(AE738&lt;14,0,1)+IF(AF738&lt;26,0,1)</f>
        <v/>
      </c>
    </row>
    <row r="739" ht="12.75" customHeight="1">
      <c r="AG739" s="101">
        <f>IF(G739&lt;0,0,1.2)+IF(G739&lt;14,0,0.9)+IF(P739&lt;0,0.7,0)+IF(P739&lt;6.5,1,0)+IF(P739&lt;23,1,0)+IF(R739&gt;80,0,1)+S739+IF(AD739&lt;20,0,1)+IF(AE739&lt;14,0,1)+IF(AF739&lt;26,0,1)</f>
        <v/>
      </c>
    </row>
    <row r="740" ht="12.75" customHeight="1">
      <c r="AG740" s="101">
        <f>IF(G740&lt;0,0,1.2)+IF(G740&lt;14,0,0.9)+IF(P740&lt;0,0.7,0)+IF(P740&lt;6.5,1,0)+IF(P740&lt;23,1,0)+IF(R740&gt;80,0,1)+S740+IF(AD740&lt;20,0,1)+IF(AE740&lt;14,0,1)+IF(AF740&lt;26,0,1)</f>
        <v/>
      </c>
    </row>
    <row r="741" ht="12.75" customHeight="1">
      <c r="AG741" s="101">
        <f>IF(G741&lt;0,0,1.2)+IF(G741&lt;14,0,0.9)+IF(P741&lt;0,0.7,0)+IF(P741&lt;6.5,1,0)+IF(P741&lt;23,1,0)+IF(R741&gt;80,0,1)+S741+IF(AD741&lt;20,0,1)+IF(AE741&lt;14,0,1)+IF(AF741&lt;26,0,1)</f>
        <v/>
      </c>
    </row>
    <row r="742" ht="12.75" customHeight="1">
      <c r="AG742" s="101">
        <f>IF(G742&lt;0,0,1.2)+IF(G742&lt;14,0,0.9)+IF(P742&lt;0,0.7,0)+IF(P742&lt;6.5,1,0)+IF(P742&lt;23,1,0)+IF(R742&gt;80,0,1)+S742+IF(AD742&lt;20,0,1)+IF(AE742&lt;14,0,1)+IF(AF742&lt;26,0,1)</f>
        <v/>
      </c>
    </row>
    <row r="743" ht="12.75" customHeight="1">
      <c r="AG743" s="101">
        <f>IF(G743&lt;0,0,1.2)+IF(G743&lt;14,0,0.9)+IF(P743&lt;0,0.7,0)+IF(P743&lt;6.5,1,0)+IF(P743&lt;23,1,0)+IF(R743&gt;80,0,1)+S743+IF(AD743&lt;20,0,1)+IF(AE743&lt;14,0,1)+IF(AF743&lt;26,0,1)</f>
        <v/>
      </c>
    </row>
    <row r="744" ht="12.75" customHeight="1">
      <c r="AG744" s="101">
        <f>IF(G744&lt;0,0,1.2)+IF(G744&lt;14,0,0.9)+IF(P744&lt;0,0.7,0)+IF(P744&lt;6.5,1,0)+IF(P744&lt;23,1,0)+IF(R744&gt;80,0,1)+S744+IF(AD744&lt;20,0,1)+IF(AE744&lt;14,0,1)+IF(AF744&lt;26,0,1)</f>
        <v/>
      </c>
    </row>
    <row r="745" ht="12.75" customHeight="1">
      <c r="AG745" s="101">
        <f>IF(G745&lt;0,0,1.2)+IF(G745&lt;14,0,0.9)+IF(P745&lt;0,0.7,0)+IF(P745&lt;6.5,1,0)+IF(P745&lt;23,1,0)+IF(R745&gt;80,0,1)+S745+IF(AD745&lt;20,0,1)+IF(AE745&lt;14,0,1)+IF(AF745&lt;26,0,1)</f>
        <v/>
      </c>
    </row>
    <row r="746" ht="12.75" customHeight="1">
      <c r="AG746" s="101">
        <f>IF(G746&lt;0,0,1.2)+IF(G746&lt;14,0,0.9)+IF(P746&lt;0,0.7,0)+IF(P746&lt;6.5,1,0)+IF(P746&lt;23,1,0)+IF(R746&gt;80,0,1)+S746+IF(AD746&lt;20,0,1)+IF(AE746&lt;14,0,1)+IF(AF746&lt;26,0,1)</f>
        <v/>
      </c>
    </row>
    <row r="747" ht="12.75" customHeight="1">
      <c r="AG747" s="101">
        <f>IF(G747&lt;0,0,1.2)+IF(G747&lt;14,0,0.9)+IF(P747&lt;0,0.7,0)+IF(P747&lt;6.5,1,0)+IF(P747&lt;23,1,0)+IF(R747&gt;80,0,1)+S747+IF(AD747&lt;20,0,1)+IF(AE747&lt;14,0,1)+IF(AF747&lt;26,0,1)</f>
        <v/>
      </c>
    </row>
    <row r="748" ht="12.75" customHeight="1">
      <c r="AG748" s="101">
        <f>IF(G748&lt;0,0,1.2)+IF(G748&lt;14,0,0.9)+IF(P748&lt;0,0.7,0)+IF(P748&lt;6.5,1,0)+IF(P748&lt;23,1,0)+IF(R748&gt;80,0,1)+S748+IF(AD748&lt;20,0,1)+IF(AE748&lt;14,0,1)+IF(AF748&lt;26,0,1)</f>
        <v/>
      </c>
    </row>
    <row r="749" ht="12.75" customHeight="1">
      <c r="AG749" s="101">
        <f>IF(G749&lt;0,0,1.2)+IF(G749&lt;14,0,0.9)+IF(P749&lt;0,0.7,0)+IF(P749&lt;6.5,1,0)+IF(P749&lt;23,1,0)+IF(R749&gt;80,0,1)+S749+IF(AD749&lt;20,0,1)+IF(AE749&lt;14,0,1)+IF(AF749&lt;26,0,1)</f>
        <v/>
      </c>
    </row>
    <row r="750" ht="12.75" customHeight="1">
      <c r="AG750" s="101">
        <f>IF(G750&lt;0,0,1.2)+IF(G750&lt;14,0,0.9)+IF(P750&lt;0,0.7,0)+IF(P750&lt;6.5,1,0)+IF(P750&lt;23,1,0)+IF(R750&gt;80,0,1)+S750+IF(AD750&lt;20,0,1)+IF(AE750&lt;14,0,1)+IF(AF750&lt;26,0,1)</f>
        <v/>
      </c>
    </row>
    <row r="751" ht="12.75" customHeight="1">
      <c r="AG751" s="101">
        <f>IF(G751&lt;0,0,1.2)+IF(G751&lt;14,0,0.9)+IF(P751&lt;0,0.7,0)+IF(P751&lt;6.5,1,0)+IF(P751&lt;23,1,0)+IF(R751&gt;80,0,1)+S751+IF(AD751&lt;20,0,1)+IF(AE751&lt;14,0,1)+IF(AF751&lt;26,0,1)</f>
        <v/>
      </c>
    </row>
    <row r="752" ht="12.75" customHeight="1">
      <c r="AG752" s="101">
        <f>IF(G752&lt;0,0,1.2)+IF(G752&lt;14,0,0.9)+IF(P752&lt;0,0.7,0)+IF(P752&lt;6.5,1,0)+IF(P752&lt;23,1,0)+IF(R752&gt;80,0,1)+S752+IF(AD752&lt;20,0,1)+IF(AE752&lt;14,0,1)+IF(AF752&lt;26,0,1)</f>
        <v/>
      </c>
    </row>
    <row r="753" ht="12.75" customHeight="1">
      <c r="AG753" s="101">
        <f>IF(G753&lt;0,0,1.2)+IF(G753&lt;14,0,0.9)+IF(P753&lt;0,0.7,0)+IF(P753&lt;6.5,1,0)+IF(P753&lt;23,1,0)+IF(R753&gt;80,0,1)+S753+IF(AD753&lt;20,0,1)+IF(AE753&lt;14,0,1)+IF(AF753&lt;26,0,1)</f>
        <v/>
      </c>
    </row>
    <row r="754" ht="12.75" customHeight="1">
      <c r="AG754" s="101">
        <f>IF(G754&lt;0,0,1.2)+IF(G754&lt;14,0,0.9)+IF(P754&lt;0,0.7,0)+IF(P754&lt;6.5,1,0)+IF(P754&lt;23,1,0)+IF(R754&gt;80,0,1)+S754+IF(AD754&lt;20,0,1)+IF(AE754&lt;14,0,1)+IF(AF754&lt;26,0,1)</f>
        <v/>
      </c>
    </row>
    <row r="755" ht="12.75" customHeight="1">
      <c r="AG755" s="101">
        <f>IF(G755&lt;0,0,1.2)+IF(G755&lt;14,0,0.9)+IF(P755&lt;0,0.7,0)+IF(P755&lt;6.5,1,0)+IF(P755&lt;23,1,0)+IF(R755&gt;80,0,1)+S755+IF(AD755&lt;20,0,1)+IF(AE755&lt;14,0,1)+IF(AF755&lt;26,0,1)</f>
        <v/>
      </c>
    </row>
    <row r="756" ht="12.75" customHeight="1">
      <c r="AG756" s="101">
        <f>IF(G756&lt;0,0,1.2)+IF(G756&lt;14,0,0.9)+IF(P756&lt;0,0.7,0)+IF(P756&lt;6.5,1,0)+IF(P756&lt;23,1,0)+IF(R756&gt;80,0,1)+S756+IF(AD756&lt;20,0,1)+IF(AE756&lt;14,0,1)+IF(AF756&lt;26,0,1)</f>
        <v/>
      </c>
    </row>
    <row r="757" ht="12.75" customHeight="1">
      <c r="AG757" s="101">
        <f>IF(G757&lt;0,0,1.2)+IF(G757&lt;14,0,0.9)+IF(P757&lt;0,0.7,0)+IF(P757&lt;6.5,1,0)+IF(P757&lt;23,1,0)+IF(R757&gt;80,0,1)+S757+IF(AD757&lt;20,0,1)+IF(AE757&lt;14,0,1)+IF(AF757&lt;26,0,1)</f>
        <v/>
      </c>
    </row>
    <row r="758" ht="12.75" customHeight="1">
      <c r="AG758" s="101">
        <f>IF(G758&lt;0,0,1.2)+IF(G758&lt;14,0,0.9)+IF(P758&lt;0,0.7,0)+IF(P758&lt;6.5,1,0)+IF(P758&lt;23,1,0)+IF(R758&gt;80,0,1)+S758+IF(AD758&lt;20,0,1)+IF(AE758&lt;14,0,1)+IF(AF758&lt;26,0,1)</f>
        <v/>
      </c>
    </row>
    <row r="759" ht="12.75" customHeight="1">
      <c r="AG759" s="101">
        <f>IF(G759&lt;0,0,1.2)+IF(G759&lt;14,0,0.9)+IF(P759&lt;0,0.7,0)+IF(P759&lt;6.5,1,0)+IF(P759&lt;23,1,0)+IF(R759&gt;80,0,1)+S759+IF(AD759&lt;20,0,1)+IF(AE759&lt;14,0,1)+IF(AF759&lt;26,0,1)</f>
        <v/>
      </c>
    </row>
    <row r="760" ht="12.75" customHeight="1">
      <c r="AG760" s="101">
        <f>IF(G760&lt;0,0,1.2)+IF(G760&lt;14,0,0.9)+IF(P760&lt;0,0.7,0)+IF(P760&lt;6.5,1,0)+IF(P760&lt;23,1,0)+IF(R760&gt;80,0,1)+S760+IF(AD760&lt;20,0,1)+IF(AE760&lt;14,0,1)+IF(AF760&lt;26,0,1)</f>
        <v/>
      </c>
    </row>
    <row r="761" ht="12.75" customHeight="1">
      <c r="AG761" s="101">
        <f>IF(G761&lt;0,0,1.2)+IF(G761&lt;14,0,0.9)+IF(P761&lt;0,0.7,0)+IF(P761&lt;6.5,1,0)+IF(P761&lt;23,1,0)+IF(R761&gt;80,0,1)+S761+IF(AD761&lt;20,0,1)+IF(AE761&lt;14,0,1)+IF(AF761&lt;26,0,1)</f>
        <v/>
      </c>
    </row>
    <row r="762" ht="12.75" customHeight="1">
      <c r="AG762" s="101">
        <f>IF(G762&lt;0,0,1.2)+IF(G762&lt;14,0,0.9)+IF(P762&lt;0,0.7,0)+IF(P762&lt;6.5,1,0)+IF(P762&lt;23,1,0)+IF(R762&gt;80,0,1)+S762+IF(AD762&lt;20,0,1)+IF(AE762&lt;14,0,1)+IF(AF762&lt;26,0,1)</f>
        <v/>
      </c>
    </row>
    <row r="763" ht="12.75" customHeight="1">
      <c r="AG763" s="101">
        <f>IF(G763&lt;0,0,1.2)+IF(G763&lt;14,0,0.9)+IF(P763&lt;0,0.7,0)+IF(P763&lt;6.5,1,0)+IF(P763&lt;23,1,0)+IF(R763&gt;80,0,1)+S763+IF(AD763&lt;20,0,1)+IF(AE763&lt;14,0,1)+IF(AF763&lt;26,0,1)</f>
        <v/>
      </c>
    </row>
    <row r="764" ht="12.75" customHeight="1">
      <c r="AG764" s="101">
        <f>IF(G764&lt;0,0,1.2)+IF(G764&lt;14,0,0.9)+IF(P764&lt;0,0.7,0)+IF(P764&lt;6.5,1,0)+IF(P764&lt;23,1,0)+IF(R764&gt;80,0,1)+S764+IF(AD764&lt;20,0,1)+IF(AE764&lt;14,0,1)+IF(AF764&lt;26,0,1)</f>
        <v/>
      </c>
    </row>
    <row r="765" ht="12.75" customHeight="1">
      <c r="AG765" s="101">
        <f>IF(G765&lt;0,0,1.2)+IF(G765&lt;14,0,0.9)+IF(P765&lt;0,0.7,0)+IF(P765&lt;6.5,1,0)+IF(P765&lt;23,1,0)+IF(R765&gt;80,0,1)+S765+IF(AD765&lt;20,0,1)+IF(AE765&lt;14,0,1)+IF(AF765&lt;26,0,1)</f>
        <v/>
      </c>
    </row>
    <row r="766" ht="12.75" customHeight="1">
      <c r="AG766" s="101">
        <f>IF(G766&lt;0,0,1.2)+IF(G766&lt;14,0,0.9)+IF(P766&lt;0,0.7,0)+IF(P766&lt;6.5,1,0)+IF(P766&lt;23,1,0)+IF(R766&gt;80,0,1)+S766+IF(AD766&lt;20,0,1)+IF(AE766&lt;14,0,1)+IF(AF766&lt;26,0,1)</f>
        <v/>
      </c>
    </row>
    <row r="767" ht="12.75" customHeight="1">
      <c r="AG767" s="101">
        <f>IF(G767&lt;0,0,1.2)+IF(G767&lt;14,0,0.9)+IF(P767&lt;0,0.7,0)+IF(P767&lt;6.5,1,0)+IF(P767&lt;23,1,0)+IF(R767&gt;80,0,1)+S767+IF(AD767&lt;20,0,1)+IF(AE767&lt;14,0,1)+IF(AF767&lt;26,0,1)</f>
        <v/>
      </c>
    </row>
    <row r="768" ht="12.75" customHeight="1">
      <c r="AG768" s="101">
        <f>IF(G768&lt;0,0,1.2)+IF(G768&lt;14,0,0.9)+IF(P768&lt;0,0.7,0)+IF(P768&lt;6.5,1,0)+IF(P768&lt;23,1,0)+IF(R768&gt;80,0,1)+S768+IF(AD768&lt;20,0,1)+IF(AE768&lt;14,0,1)+IF(AF768&lt;26,0,1)</f>
        <v/>
      </c>
    </row>
    <row r="769" ht="12.75" customHeight="1">
      <c r="AG769" s="101">
        <f>IF(G769&lt;0,0,1.2)+IF(G769&lt;14,0,0.9)+IF(P769&lt;0,0.7,0)+IF(P769&lt;6.5,1,0)+IF(P769&lt;23,1,0)+IF(R769&gt;80,0,1)+S769+IF(AD769&lt;20,0,1)+IF(AE769&lt;14,0,1)+IF(AF769&lt;26,0,1)</f>
        <v/>
      </c>
    </row>
    <row r="770" ht="12.75" customHeight="1">
      <c r="AG770" s="101">
        <f>IF(G770&lt;0,0,1.2)+IF(G770&lt;14,0,0.9)+IF(P770&lt;0,0.7,0)+IF(P770&lt;6.5,1,0)+IF(P770&lt;23,1,0)+IF(R770&gt;80,0,1)+S770+IF(AD770&lt;20,0,1)+IF(AE770&lt;14,0,1)+IF(AF770&lt;26,0,1)</f>
        <v/>
      </c>
    </row>
    <row r="771" ht="12.75" customHeight="1">
      <c r="AG771" s="101">
        <f>IF(G771&lt;0,0,1.2)+IF(G771&lt;14,0,0.9)+IF(P771&lt;0,0.7,0)+IF(P771&lt;6.5,1,0)+IF(P771&lt;23,1,0)+IF(R771&gt;80,0,1)+S771+IF(AD771&lt;20,0,1)+IF(AE771&lt;14,0,1)+IF(AF771&lt;26,0,1)</f>
        <v/>
      </c>
    </row>
    <row r="772" ht="12.75" customHeight="1">
      <c r="AG772" s="101">
        <f>IF(G772&lt;0,0,1.2)+IF(G772&lt;14,0,0.9)+IF(P772&lt;0,0.7,0)+IF(P772&lt;6.5,1,0)+IF(P772&lt;23,1,0)+IF(R772&gt;80,0,1)+S772+IF(AD772&lt;20,0,1)+IF(AE772&lt;14,0,1)+IF(AF772&lt;26,0,1)</f>
        <v/>
      </c>
    </row>
    <row r="773" ht="12.75" customHeight="1">
      <c r="AG773" s="101">
        <f>IF(G773&lt;0,0,1.2)+IF(G773&lt;14,0,0.9)+IF(P773&lt;0,0.7,0)+IF(P773&lt;6.5,1,0)+IF(P773&lt;23,1,0)+IF(R773&gt;80,0,1)+S773+IF(AD773&lt;20,0,1)+IF(AE773&lt;14,0,1)+IF(AF773&lt;26,0,1)</f>
        <v/>
      </c>
    </row>
    <row r="774" ht="12.75" customHeight="1">
      <c r="AG774" s="101">
        <f>IF(G774&lt;0,0,1.2)+IF(G774&lt;14,0,0.9)+IF(P774&lt;0,0.7,0)+IF(P774&lt;6.5,1,0)+IF(P774&lt;23,1,0)+IF(R774&gt;80,0,1)+S774+IF(AD774&lt;20,0,1)+IF(AE774&lt;14,0,1)+IF(AF774&lt;26,0,1)</f>
        <v/>
      </c>
    </row>
    <row r="775" ht="12.75" customHeight="1">
      <c r="AG775" s="101">
        <f>IF(G775&lt;0,0,1.2)+IF(G775&lt;14,0,0.9)+IF(P775&lt;0,0.7,0)+IF(P775&lt;6.5,1,0)+IF(P775&lt;23,1,0)+IF(R775&gt;80,0,1)+S775+IF(AD775&lt;20,0,1)+IF(AE775&lt;14,0,1)+IF(AF775&lt;26,0,1)</f>
        <v/>
      </c>
    </row>
    <row r="776" ht="12.75" customHeight="1">
      <c r="AG776" s="101">
        <f>IF(G776&lt;0,0,1.2)+IF(G776&lt;14,0,0.9)+IF(P776&lt;0,0.7,0)+IF(P776&lt;6.5,1,0)+IF(P776&lt;23,1,0)+IF(R776&gt;80,0,1)+S776+IF(AD776&lt;20,0,1)+IF(AE776&lt;14,0,1)+IF(AF776&lt;26,0,1)</f>
        <v/>
      </c>
    </row>
    <row r="777" ht="12.75" customHeight="1">
      <c r="AG777" s="101">
        <f>IF(G777&lt;0,0,1.2)+IF(G777&lt;14,0,0.9)+IF(P777&lt;0,0.7,0)+IF(P777&lt;6.5,1,0)+IF(P777&lt;23,1,0)+IF(R777&gt;80,0,1)+S777+IF(AD777&lt;20,0,1)+IF(AE777&lt;14,0,1)+IF(AF777&lt;26,0,1)</f>
        <v/>
      </c>
    </row>
    <row r="778" ht="12.75" customHeight="1">
      <c r="AG778" s="101">
        <f>IF(G778&lt;0,0,1.2)+IF(G778&lt;14,0,0.9)+IF(P778&lt;0,0.7,0)+IF(P778&lt;6.5,1,0)+IF(P778&lt;23,1,0)+IF(R778&gt;80,0,1)+S778+IF(AD778&lt;20,0,1)+IF(AE778&lt;14,0,1)+IF(AF778&lt;26,0,1)</f>
        <v/>
      </c>
    </row>
    <row r="779" ht="12.75" customHeight="1">
      <c r="AG779" s="101">
        <f>IF(G779&lt;0,0,1.2)+IF(G779&lt;14,0,0.9)+IF(P779&lt;0,0.7,0)+IF(P779&lt;6.5,1,0)+IF(P779&lt;23,1,0)+IF(R779&gt;80,0,1)+S779+IF(AD779&lt;20,0,1)+IF(AE779&lt;14,0,1)+IF(AF779&lt;26,0,1)</f>
        <v/>
      </c>
    </row>
    <row r="780" ht="12.75" customHeight="1">
      <c r="AG780" s="101">
        <f>IF(G780&lt;0,0,1.2)+IF(G780&lt;14,0,0.9)+IF(P780&lt;0,0.7,0)+IF(P780&lt;6.5,1,0)+IF(P780&lt;23,1,0)+IF(R780&gt;80,0,1)+S780+IF(AD780&lt;20,0,1)+IF(AE780&lt;14,0,1)+IF(AF780&lt;26,0,1)</f>
        <v/>
      </c>
    </row>
    <row r="781" ht="12.75" customHeight="1">
      <c r="AG781" s="101">
        <f>IF(G781&lt;0,0,1.2)+IF(G781&lt;14,0,0.9)+IF(P781&lt;0,0.7,0)+IF(P781&lt;6.5,1,0)+IF(P781&lt;23,1,0)+IF(R781&gt;80,0,1)+S781+IF(AD781&lt;20,0,1)+IF(AE781&lt;14,0,1)+IF(AF781&lt;26,0,1)</f>
        <v/>
      </c>
    </row>
    <row r="782" ht="12.75" customHeight="1">
      <c r="AG782" s="101">
        <f>IF(G782&lt;0,0,1.2)+IF(G782&lt;14,0,0.9)+IF(P782&lt;0,0.7,0)+IF(P782&lt;6.5,1,0)+IF(P782&lt;23,1,0)+IF(R782&gt;80,0,1)+S782+IF(AD782&lt;20,0,1)+IF(AE782&lt;14,0,1)+IF(AF782&lt;26,0,1)</f>
        <v/>
      </c>
    </row>
    <row r="783" ht="12.75" customHeight="1">
      <c r="AG783" s="101">
        <f>IF(G783&lt;0,0,1.2)+IF(G783&lt;14,0,0.9)+IF(P783&lt;0,0.7,0)+IF(P783&lt;6.5,1,0)+IF(P783&lt;23,1,0)+IF(R783&gt;80,0,1)+S783+IF(AD783&lt;20,0,1)+IF(AE783&lt;14,0,1)+IF(AF783&lt;26,0,1)</f>
        <v/>
      </c>
    </row>
    <row r="784" ht="12.75" customHeight="1">
      <c r="AG784" s="101">
        <f>IF(G784&lt;0,0,1.2)+IF(G784&lt;14,0,0.9)+IF(P784&lt;0,0.7,0)+IF(P784&lt;6.5,1,0)+IF(P784&lt;23,1,0)+IF(R784&gt;80,0,1)+S784+IF(AD784&lt;20,0,1)+IF(AE784&lt;14,0,1)+IF(AF784&lt;26,0,1)</f>
        <v/>
      </c>
    </row>
    <row r="785" ht="12.75" customHeight="1">
      <c r="AG785" s="101">
        <f>IF(G785&lt;0,0,1.2)+IF(G785&lt;14,0,0.9)+IF(P785&lt;0,0.7,0)+IF(P785&lt;6.5,1,0)+IF(P785&lt;23,1,0)+IF(R785&gt;80,0,1)+S785+IF(AD785&lt;20,0,1)+IF(AE785&lt;14,0,1)+IF(AF785&lt;26,0,1)</f>
        <v/>
      </c>
    </row>
    <row r="786" ht="12.75" customHeight="1">
      <c r="AG786" s="101">
        <f>IF(G786&lt;0,0,1.2)+IF(G786&lt;14,0,0.9)+IF(P786&lt;0,0.7,0)+IF(P786&lt;6.5,1,0)+IF(P786&lt;23,1,0)+IF(R786&gt;80,0,1)+S786+IF(AD786&lt;20,0,1)+IF(AE786&lt;14,0,1)+IF(AF786&lt;26,0,1)</f>
        <v/>
      </c>
    </row>
    <row r="787" ht="12.75" customHeight="1">
      <c r="AG787" s="101">
        <f>IF(G787&lt;0,0,1.2)+IF(G787&lt;14,0,0.9)+IF(P787&lt;0,0.7,0)+IF(P787&lt;6.5,1,0)+IF(P787&lt;23,1,0)+IF(R787&gt;80,0,1)+S787+IF(AD787&lt;20,0,1)+IF(AE787&lt;14,0,1)+IF(AF787&lt;26,0,1)</f>
        <v/>
      </c>
    </row>
    <row r="788" ht="12.75" customHeight="1">
      <c r="AG788" s="101">
        <f>IF(G788&lt;0,0,1.2)+IF(G788&lt;14,0,0.9)+IF(P788&lt;0,0.7,0)+IF(P788&lt;6.5,1,0)+IF(P788&lt;23,1,0)+IF(R788&gt;80,0,1)+S788+IF(AD788&lt;20,0,1)+IF(AE788&lt;14,0,1)+IF(AF788&lt;26,0,1)</f>
        <v/>
      </c>
    </row>
    <row r="789" ht="12.75" customHeight="1">
      <c r="AG789" s="101">
        <f>IF(G789&lt;0,0,1.2)+IF(G789&lt;14,0,0.9)+IF(P789&lt;0,0.7,0)+IF(P789&lt;6.5,1,0)+IF(P789&lt;23,1,0)+IF(R789&gt;80,0,1)+S789+IF(AD789&lt;20,0,1)+IF(AE789&lt;14,0,1)+IF(AF789&lt;26,0,1)</f>
        <v/>
      </c>
    </row>
    <row r="790" ht="12.75" customHeight="1">
      <c r="AG790" s="101">
        <f>IF(G790&lt;0,0,1.2)+IF(G790&lt;14,0,0.9)+IF(P790&lt;0,0.7,0)+IF(P790&lt;6.5,1,0)+IF(P790&lt;23,1,0)+IF(R790&gt;80,0,1)+S790+IF(AD790&lt;20,0,1)+IF(AE790&lt;14,0,1)+IF(AF790&lt;26,0,1)</f>
        <v/>
      </c>
    </row>
    <row r="791" ht="12.75" customHeight="1">
      <c r="AG791" s="101">
        <f>IF(G791&lt;0,0,1.2)+IF(G791&lt;14,0,0.9)+IF(P791&lt;0,0.7,0)+IF(P791&lt;6.5,1,0)+IF(P791&lt;23,1,0)+IF(R791&gt;80,0,1)+S791+IF(AD791&lt;20,0,1)+IF(AE791&lt;14,0,1)+IF(AF791&lt;26,0,1)</f>
        <v/>
      </c>
    </row>
    <row r="792" ht="12.75" customHeight="1">
      <c r="AG792" s="101">
        <f>IF(G792&lt;0,0,1.2)+IF(G792&lt;14,0,0.9)+IF(P792&lt;0,0.7,0)+IF(P792&lt;6.5,1,0)+IF(P792&lt;23,1,0)+IF(R792&gt;80,0,1)+S792+IF(AD792&lt;20,0,1)+IF(AE792&lt;14,0,1)+IF(AF792&lt;26,0,1)</f>
        <v/>
      </c>
    </row>
    <row r="793" ht="12.75" customHeight="1">
      <c r="AG793" s="101">
        <f>IF(G793&lt;0,0,1.2)+IF(G793&lt;14,0,0.9)+IF(P793&lt;0,0.7,0)+IF(P793&lt;6.5,1,0)+IF(P793&lt;23,1,0)+IF(R793&gt;80,0,1)+S793+IF(AD793&lt;20,0,1)+IF(AE793&lt;14,0,1)+IF(AF793&lt;26,0,1)</f>
        <v/>
      </c>
    </row>
    <row r="794" ht="12.75" customHeight="1">
      <c r="AG794" s="101">
        <f>IF(G794&lt;0,0,1.2)+IF(G794&lt;14,0,0.9)+IF(P794&lt;0,0.7,0)+IF(P794&lt;6.5,1,0)+IF(P794&lt;23,1,0)+IF(R794&gt;80,0,1)+S794+IF(AD794&lt;20,0,1)+IF(AE794&lt;14,0,1)+IF(AF794&lt;26,0,1)</f>
        <v/>
      </c>
    </row>
    <row r="795" ht="12.75" customHeight="1">
      <c r="AG795" s="101">
        <f>IF(G795&lt;0,0,1.2)+IF(G795&lt;14,0,0.9)+IF(P795&lt;0,0.7,0)+IF(P795&lt;6.5,1,0)+IF(P795&lt;23,1,0)+IF(R795&gt;80,0,1)+S795+IF(AD795&lt;20,0,1)+IF(AE795&lt;14,0,1)+IF(AF795&lt;26,0,1)</f>
        <v/>
      </c>
    </row>
    <row r="796" ht="12.75" customHeight="1">
      <c r="AG796" s="101">
        <f>IF(G796&lt;0,0,1.2)+IF(G796&lt;14,0,0.9)+IF(P796&lt;0,0.7,0)+IF(P796&lt;6.5,1,0)+IF(P796&lt;23,1,0)+IF(R796&gt;80,0,1)+S796+IF(AD796&lt;20,0,1)+IF(AE796&lt;14,0,1)+IF(AF796&lt;26,0,1)</f>
        <v/>
      </c>
    </row>
    <row r="797" ht="12.75" customHeight="1">
      <c r="AG797" s="101">
        <f>IF(G797&lt;0,0,1.2)+IF(G797&lt;14,0,0.9)+IF(P797&lt;0,0.7,0)+IF(P797&lt;6.5,1,0)+IF(P797&lt;23,1,0)+IF(R797&gt;80,0,1)+S797+IF(AD797&lt;20,0,1)+IF(AE797&lt;14,0,1)+IF(AF797&lt;26,0,1)</f>
        <v/>
      </c>
    </row>
    <row r="798" ht="12.75" customHeight="1">
      <c r="AG798" s="101">
        <f>IF(G798&lt;0,0,1.2)+IF(G798&lt;14,0,0.9)+IF(P798&lt;0,0.7,0)+IF(P798&lt;6.5,1,0)+IF(P798&lt;23,1,0)+IF(R798&gt;80,0,1)+S798+IF(AD798&lt;20,0,1)+IF(AE798&lt;14,0,1)+IF(AF798&lt;26,0,1)</f>
        <v/>
      </c>
    </row>
    <row r="799" ht="12.75" customHeight="1">
      <c r="AG799" s="101">
        <f>IF(G799&lt;0,0,1.2)+IF(G799&lt;14,0,0.9)+IF(P799&lt;0,0.7,0)+IF(P799&lt;6.5,1,0)+IF(P799&lt;23,1,0)+IF(R799&gt;80,0,1)+S799+IF(AD799&lt;20,0,1)+IF(AE799&lt;14,0,1)+IF(AF799&lt;26,0,1)</f>
        <v/>
      </c>
    </row>
    <row r="800" ht="12.75" customHeight="1">
      <c r="AG800" s="101">
        <f>IF(G800&lt;0,0,1.2)+IF(G800&lt;14,0,0.9)+IF(P800&lt;0,0.7,0)+IF(P800&lt;6.5,1,0)+IF(P800&lt;23,1,0)+IF(R800&gt;80,0,1)+S800+IF(AD800&lt;20,0,1)+IF(AE800&lt;14,0,1)+IF(AF800&lt;26,0,1)</f>
        <v/>
      </c>
    </row>
    <row r="801" ht="12.75" customHeight="1">
      <c r="AG801" s="101">
        <f>IF(G801&lt;0,0,1.2)+IF(G801&lt;14,0,0.9)+IF(P801&lt;0,0.7,0)+IF(P801&lt;6.5,1,0)+IF(P801&lt;23,1,0)+IF(R801&gt;80,0,1)+S801+IF(AD801&lt;20,0,1)+IF(AE801&lt;14,0,1)+IF(AF801&lt;26,0,1)</f>
        <v/>
      </c>
    </row>
    <row r="802" ht="12.75" customHeight="1">
      <c r="AG802" s="101">
        <f>IF(G802&lt;0,0,1.2)+IF(G802&lt;14,0,0.9)+IF(P802&lt;0,0.7,0)+IF(P802&lt;6.5,1,0)+IF(P802&lt;23,1,0)+IF(R802&gt;80,0,1)+S802+IF(AD802&lt;20,0,1)+IF(AE802&lt;14,0,1)+IF(AF802&lt;26,0,1)</f>
        <v/>
      </c>
    </row>
    <row r="803" ht="12.75" customHeight="1">
      <c r="AG803" s="101">
        <f>IF(G803&lt;0,0,1.2)+IF(G803&lt;14,0,0.9)+IF(P803&lt;0,0.7,0)+IF(P803&lt;6.5,1,0)+IF(P803&lt;23,1,0)+IF(R803&gt;80,0,1)+S803+IF(AD803&lt;20,0,1)+IF(AE803&lt;14,0,1)+IF(AF803&lt;26,0,1)</f>
        <v/>
      </c>
    </row>
    <row r="804" ht="12.75" customHeight="1">
      <c r="AG804" s="101">
        <f>IF(G804&lt;0,0,1.2)+IF(G804&lt;14,0,0.9)+IF(P804&lt;0,0.7,0)+IF(P804&lt;6.5,1,0)+IF(P804&lt;23,1,0)+IF(R804&gt;80,0,1)+S804+IF(AD804&lt;20,0,1)+IF(AE804&lt;14,0,1)+IF(AF804&lt;26,0,1)</f>
        <v/>
      </c>
    </row>
    <row r="805" ht="12.75" customHeight="1">
      <c r="AG805" s="101">
        <f>IF(G805&lt;0,0,1.2)+IF(G805&lt;14,0,0.9)+IF(P805&lt;0,0.7,0)+IF(P805&lt;6.5,1,0)+IF(P805&lt;23,1,0)+IF(R805&gt;80,0,1)+S805+IF(AD805&lt;20,0,1)+IF(AE805&lt;14,0,1)+IF(AF805&lt;26,0,1)</f>
        <v/>
      </c>
    </row>
    <row r="806" ht="12.75" customHeight="1">
      <c r="AG806" s="101">
        <f>IF(G806&lt;0,0,1.2)+IF(G806&lt;14,0,0.9)+IF(P806&lt;0,0.7,0)+IF(P806&lt;6.5,1,0)+IF(P806&lt;23,1,0)+IF(R806&gt;80,0,1)+S806+IF(AD806&lt;20,0,1)+IF(AE806&lt;14,0,1)+IF(AF806&lt;26,0,1)</f>
        <v/>
      </c>
    </row>
    <row r="807" ht="12.75" customHeight="1">
      <c r="AG807" s="101">
        <f>IF(G807&lt;0,0,1.2)+IF(G807&lt;14,0,0.9)+IF(P807&lt;0,0.7,0)+IF(P807&lt;6.5,1,0)+IF(P807&lt;23,1,0)+IF(R807&gt;80,0,1)+S807+IF(AD807&lt;20,0,1)+IF(AE807&lt;14,0,1)+IF(AF807&lt;26,0,1)</f>
        <v/>
      </c>
    </row>
    <row r="808" ht="12.75" customHeight="1">
      <c r="AG808" s="101">
        <f>IF(G808&lt;0,0,1.2)+IF(G808&lt;14,0,0.9)+IF(P808&lt;0,0.7,0)+IF(P808&lt;6.5,1,0)+IF(P808&lt;23,1,0)+IF(R808&gt;80,0,1)+S808+IF(AD808&lt;20,0,1)+IF(AE808&lt;14,0,1)+IF(AF808&lt;26,0,1)</f>
        <v/>
      </c>
    </row>
    <row r="809" ht="12.75" customHeight="1">
      <c r="AG809" s="101">
        <f>IF(G809&lt;0,0,1.2)+IF(G809&lt;14,0,0.9)+IF(P809&lt;0,0.7,0)+IF(P809&lt;6.5,1,0)+IF(P809&lt;23,1,0)+IF(R809&gt;80,0,1)+S809+IF(AD809&lt;20,0,1)+IF(AE809&lt;14,0,1)+IF(AF809&lt;26,0,1)</f>
        <v/>
      </c>
    </row>
    <row r="810" ht="12.75" customHeight="1">
      <c r="AG810" s="101">
        <f>IF(G810&lt;0,0,1.2)+IF(G810&lt;14,0,0.9)+IF(P810&lt;0,0.7,0)+IF(P810&lt;6.5,1,0)+IF(P810&lt;23,1,0)+IF(R810&gt;80,0,1)+S810+IF(AD810&lt;20,0,1)+IF(AE810&lt;14,0,1)+IF(AF810&lt;26,0,1)</f>
        <v/>
      </c>
    </row>
    <row r="811" ht="12.75" customHeight="1">
      <c r="AG811" s="101">
        <f>IF(G811&lt;0,0,1.2)+IF(G811&lt;14,0,0.9)+IF(P811&lt;0,0.7,0)+IF(P811&lt;6.5,1,0)+IF(P811&lt;23,1,0)+IF(R811&gt;80,0,1)+S811+IF(AD811&lt;20,0,1)+IF(AE811&lt;14,0,1)+IF(AF811&lt;26,0,1)</f>
        <v/>
      </c>
    </row>
    <row r="812" ht="12.75" customHeight="1">
      <c r="AG812" s="101">
        <f>IF(G812&lt;0,0,1.2)+IF(G812&lt;14,0,0.9)+IF(P812&lt;0,0.7,0)+IF(P812&lt;6.5,1,0)+IF(P812&lt;23,1,0)+IF(R812&gt;80,0,1)+S812+IF(AD812&lt;20,0,1)+IF(AE812&lt;14,0,1)+IF(AF812&lt;26,0,1)</f>
        <v/>
      </c>
    </row>
    <row r="813" ht="12.75" customHeight="1">
      <c r="AG813" s="101">
        <f>IF(G813&lt;0,0,1.2)+IF(G813&lt;14,0,0.9)+IF(P813&lt;0,0.7,0)+IF(P813&lt;6.5,1,0)+IF(P813&lt;23,1,0)+IF(R813&gt;80,0,1)+S813+IF(AD813&lt;20,0,1)+IF(AE813&lt;14,0,1)+IF(AF813&lt;26,0,1)</f>
        <v/>
      </c>
    </row>
    <row r="814" ht="12.75" customHeight="1">
      <c r="AG814" s="101">
        <f>IF(G814&lt;0,0,1.2)+IF(G814&lt;14,0,0.9)+IF(P814&lt;0,0.7,0)+IF(P814&lt;6.5,1,0)+IF(P814&lt;23,1,0)+IF(R814&gt;80,0,1)+S814+IF(AD814&lt;20,0,1)+IF(AE814&lt;14,0,1)+IF(AF814&lt;26,0,1)</f>
        <v/>
      </c>
    </row>
    <row r="815" ht="12.75" customHeight="1">
      <c r="AG815" s="101">
        <f>IF(G815&lt;0,0,1.2)+IF(G815&lt;14,0,0.9)+IF(P815&lt;0,0.7,0)+IF(P815&lt;6.5,1,0)+IF(P815&lt;23,1,0)+IF(R815&gt;80,0,1)+S815+IF(AD815&lt;20,0,1)+IF(AE815&lt;14,0,1)+IF(AF815&lt;26,0,1)</f>
        <v/>
      </c>
    </row>
    <row r="816" ht="12.75" customHeight="1">
      <c r="AG816" s="101">
        <f>IF(G816&lt;0,0,1.2)+IF(G816&lt;14,0,0.9)+IF(P816&lt;0,0.7,0)+IF(P816&lt;6.5,1,0)+IF(P816&lt;23,1,0)+IF(R816&gt;80,0,1)+S816+IF(AD816&lt;20,0,1)+IF(AE816&lt;14,0,1)+IF(AF816&lt;26,0,1)</f>
        <v/>
      </c>
    </row>
    <row r="817" ht="12.75" customHeight="1">
      <c r="AG817" s="101">
        <f>IF(G817&lt;0,0,1.2)+IF(G817&lt;14,0,0.9)+IF(P817&lt;0,0.7,0)+IF(P817&lt;6.5,1,0)+IF(P817&lt;23,1,0)+IF(R817&gt;80,0,1)+S817+IF(AD817&lt;20,0,1)+IF(AE817&lt;14,0,1)+IF(AF817&lt;26,0,1)</f>
        <v/>
      </c>
    </row>
    <row r="818" ht="12.75" customHeight="1">
      <c r="AG818" s="101">
        <f>IF(G818&lt;0,0,1.2)+IF(G818&lt;14,0,0.9)+IF(P818&lt;0,0.7,0)+IF(P818&lt;6.5,1,0)+IF(P818&lt;23,1,0)+IF(R818&gt;80,0,1)+S818+IF(AD818&lt;20,0,1)+IF(AE818&lt;14,0,1)+IF(AF818&lt;26,0,1)</f>
        <v/>
      </c>
    </row>
    <row r="819" ht="12.75" customHeight="1">
      <c r="AG819" s="101">
        <f>IF(G819&lt;0,0,1.2)+IF(G819&lt;14,0,0.9)+IF(P819&lt;0,0.7,0)+IF(P819&lt;6.5,1,0)+IF(P819&lt;23,1,0)+IF(R819&gt;80,0,1)+S819+IF(AD819&lt;20,0,1)+IF(AE819&lt;14,0,1)+IF(AF819&lt;26,0,1)</f>
        <v/>
      </c>
    </row>
    <row r="820" ht="12.75" customHeight="1">
      <c r="AG820" s="101">
        <f>IF(G820&lt;0,0,1.2)+IF(G820&lt;14,0,0.9)+IF(P820&lt;0,0.7,0)+IF(P820&lt;6.5,1,0)+IF(P820&lt;23,1,0)+IF(R820&gt;80,0,1)+S820+IF(AD820&lt;20,0,1)+IF(AE820&lt;14,0,1)+IF(AF820&lt;26,0,1)</f>
        <v/>
      </c>
    </row>
    <row r="821" ht="12.75" customHeight="1">
      <c r="AG821" s="101">
        <f>IF(G821&lt;0,0,1.2)+IF(G821&lt;14,0,0.9)+IF(P821&lt;0,0.7,0)+IF(P821&lt;6.5,1,0)+IF(P821&lt;23,1,0)+IF(R821&gt;80,0,1)+S821+IF(AD821&lt;20,0,1)+IF(AE821&lt;14,0,1)+IF(AF821&lt;26,0,1)</f>
        <v/>
      </c>
    </row>
    <row r="822" ht="12.75" customHeight="1">
      <c r="AG822" s="101">
        <f>IF(G822&lt;0,0,1.2)+IF(G822&lt;14,0,0.9)+IF(P822&lt;0,0.7,0)+IF(P822&lt;6.5,1,0)+IF(P822&lt;23,1,0)+IF(R822&gt;80,0,1)+S822+IF(AD822&lt;20,0,1)+IF(AE822&lt;14,0,1)+IF(AF822&lt;26,0,1)</f>
        <v/>
      </c>
    </row>
    <row r="823" ht="12.75" customHeight="1">
      <c r="AG823" s="101">
        <f>IF(G823&lt;0,0,1.2)+IF(G823&lt;14,0,0.9)+IF(P823&lt;0,0.7,0)+IF(P823&lt;6.5,1,0)+IF(P823&lt;23,1,0)+IF(R823&gt;80,0,1)+S823+IF(AD823&lt;20,0,1)+IF(AE823&lt;14,0,1)+IF(AF823&lt;26,0,1)</f>
        <v/>
      </c>
    </row>
    <row r="824" ht="12.75" customHeight="1">
      <c r="AG824" s="101">
        <f>IF(G824&lt;0,0,1.2)+IF(G824&lt;14,0,0.9)+IF(P824&lt;0,0.7,0)+IF(P824&lt;6.5,1,0)+IF(P824&lt;23,1,0)+IF(R824&gt;80,0,1)+S824+IF(AD824&lt;20,0,1)+IF(AE824&lt;14,0,1)+IF(AF824&lt;26,0,1)</f>
        <v/>
      </c>
    </row>
    <row r="825" ht="12.75" customHeight="1">
      <c r="AG825" s="101">
        <f>IF(G825&lt;0,0,1.2)+IF(G825&lt;14,0,0.9)+IF(P825&lt;0,0.7,0)+IF(P825&lt;6.5,1,0)+IF(P825&lt;23,1,0)+IF(R825&gt;80,0,1)+S825+IF(AD825&lt;20,0,1)+IF(AE825&lt;14,0,1)+IF(AF825&lt;26,0,1)</f>
        <v/>
      </c>
    </row>
    <row r="826" ht="12.75" customHeight="1">
      <c r="AG826" s="101">
        <f>IF(G826&lt;0,0,1.2)+IF(G826&lt;14,0,0.9)+IF(P826&lt;0,0.7,0)+IF(P826&lt;6.5,1,0)+IF(P826&lt;23,1,0)+IF(R826&gt;80,0,1)+S826+IF(AD826&lt;20,0,1)+IF(AE826&lt;14,0,1)+IF(AF826&lt;26,0,1)</f>
        <v/>
      </c>
    </row>
    <row r="827" ht="12.75" customHeight="1">
      <c r="AG827" s="101">
        <f>IF(G827&lt;0,0,1.2)+IF(G827&lt;14,0,0.9)+IF(P827&lt;0,0.7,0)+IF(P827&lt;6.5,1,0)+IF(P827&lt;23,1,0)+IF(R827&gt;80,0,1)+S827+IF(AD827&lt;20,0,1)+IF(AE827&lt;14,0,1)+IF(AF827&lt;26,0,1)</f>
        <v/>
      </c>
    </row>
    <row r="828" ht="12.75" customHeight="1">
      <c r="AG828" s="101">
        <f>IF(G828&lt;0,0,1.2)+IF(G828&lt;14,0,0.9)+IF(P828&lt;0,0.7,0)+IF(P828&lt;6.5,1,0)+IF(P828&lt;23,1,0)+IF(R828&gt;80,0,1)+S828+IF(AD828&lt;20,0,1)+IF(AE828&lt;14,0,1)+IF(AF828&lt;26,0,1)</f>
        <v/>
      </c>
    </row>
    <row r="829" ht="12.75" customHeight="1">
      <c r="AG829" s="101">
        <f>IF(G829&lt;0,0,1.2)+IF(G829&lt;14,0,0.9)+IF(P829&lt;0,0.7,0)+IF(P829&lt;6.5,1,0)+IF(P829&lt;23,1,0)+IF(R829&gt;80,0,1)+S829+IF(AD829&lt;20,0,1)+IF(AE829&lt;14,0,1)+IF(AF829&lt;26,0,1)</f>
        <v/>
      </c>
    </row>
    <row r="830" ht="12.75" customHeight="1">
      <c r="AG830" s="101">
        <f>IF(G830&lt;0,0,1.2)+IF(G830&lt;14,0,0.9)+IF(P830&lt;0,0.7,0)+IF(P830&lt;6.5,1,0)+IF(P830&lt;23,1,0)+IF(R830&gt;80,0,1)+S830+IF(AD830&lt;20,0,1)+IF(AE830&lt;14,0,1)+IF(AF830&lt;26,0,1)</f>
        <v/>
      </c>
    </row>
    <row r="831" ht="12.75" customHeight="1">
      <c r="AG831" s="101">
        <f>IF(G831&lt;0,0,1.2)+IF(G831&lt;14,0,0.9)+IF(P831&lt;0,0.7,0)+IF(P831&lt;6.5,1,0)+IF(P831&lt;23,1,0)+IF(R831&gt;80,0,1)+S831+IF(AD831&lt;20,0,1)+IF(AE831&lt;14,0,1)+IF(AF831&lt;26,0,1)</f>
        <v/>
      </c>
    </row>
    <row r="832" ht="12.75" customHeight="1">
      <c r="AG832" s="101">
        <f>IF(G832&lt;0,0,1.2)+IF(G832&lt;14,0,0.9)+IF(P832&lt;0,0.7,0)+IF(P832&lt;6.5,1,0)+IF(P832&lt;23,1,0)+IF(R832&gt;80,0,1)+S832+IF(AD832&lt;20,0,1)+IF(AE832&lt;14,0,1)+IF(AF832&lt;26,0,1)</f>
        <v/>
      </c>
    </row>
    <row r="833" ht="12.75" customHeight="1">
      <c r="AG833" s="101">
        <f>IF(G833&lt;0,0,1.2)+IF(G833&lt;14,0,0.9)+IF(P833&lt;0,0.7,0)+IF(P833&lt;6.5,1,0)+IF(P833&lt;23,1,0)+IF(R833&gt;80,0,1)+S833+IF(AD833&lt;20,0,1)+IF(AE833&lt;14,0,1)+IF(AF833&lt;26,0,1)</f>
        <v/>
      </c>
    </row>
    <row r="834" ht="12.75" customHeight="1">
      <c r="AG834" s="101">
        <f>IF(G834&lt;0,0,1.2)+IF(G834&lt;14,0,0.9)+IF(P834&lt;0,0.7,0)+IF(P834&lt;6.5,1,0)+IF(P834&lt;23,1,0)+IF(R834&gt;80,0,1)+S834+IF(AD834&lt;20,0,1)+IF(AE834&lt;14,0,1)+IF(AF834&lt;26,0,1)</f>
        <v/>
      </c>
    </row>
    <row r="835" ht="12.75" customHeight="1">
      <c r="AG835" s="101">
        <f>IF(G835&lt;0,0,1.2)+IF(G835&lt;14,0,0.9)+IF(P835&lt;0,0.7,0)+IF(P835&lt;6.5,1,0)+IF(P835&lt;23,1,0)+IF(R835&gt;80,0,1)+S835+IF(AD835&lt;20,0,1)+IF(AE835&lt;14,0,1)+IF(AF835&lt;26,0,1)</f>
        <v/>
      </c>
    </row>
    <row r="836" ht="12.75" customHeight="1">
      <c r="AG836" s="101">
        <f>IF(G836&lt;0,0,1.2)+IF(G836&lt;14,0,0.9)+IF(P836&lt;0,0.7,0)+IF(P836&lt;6.5,1,0)+IF(P836&lt;23,1,0)+IF(R836&gt;80,0,1)+S836+IF(AD836&lt;20,0,1)+IF(AE836&lt;14,0,1)+IF(AF836&lt;26,0,1)</f>
        <v/>
      </c>
    </row>
    <row r="837" ht="12.75" customHeight="1">
      <c r="AG837" s="101">
        <f>IF(G837&lt;0,0,1.2)+IF(G837&lt;14,0,0.9)+IF(P837&lt;0,0.7,0)+IF(P837&lt;6.5,1,0)+IF(P837&lt;23,1,0)+IF(R837&gt;80,0,1)+S837+IF(AD837&lt;20,0,1)+IF(AE837&lt;14,0,1)+IF(AF837&lt;26,0,1)</f>
        <v/>
      </c>
    </row>
    <row r="838" ht="12.75" customHeight="1">
      <c r="AG838" s="101">
        <f>IF(G838&lt;0,0,1.2)+IF(G838&lt;14,0,0.9)+IF(P838&lt;0,0.7,0)+IF(P838&lt;6.5,1,0)+IF(P838&lt;23,1,0)+IF(R838&gt;80,0,1)+S838+IF(AD838&lt;20,0,1)+IF(AE838&lt;14,0,1)+IF(AF838&lt;26,0,1)</f>
        <v/>
      </c>
    </row>
    <row r="839" ht="12.75" customHeight="1">
      <c r="AG839" s="101">
        <f>IF(G839&lt;0,0,1.2)+IF(G839&lt;14,0,0.9)+IF(P839&lt;0,0.7,0)+IF(P839&lt;6.5,1,0)+IF(P839&lt;23,1,0)+IF(R839&gt;80,0,1)+S839+IF(AD839&lt;20,0,1)+IF(AE839&lt;14,0,1)+IF(AF839&lt;26,0,1)</f>
        <v/>
      </c>
    </row>
    <row r="840" ht="12.75" customHeight="1">
      <c r="AG840" s="101">
        <f>IF(G840&lt;0,0,1.2)+IF(G840&lt;14,0,0.9)+IF(P840&lt;0,0.7,0)+IF(P840&lt;6.5,1,0)+IF(P840&lt;23,1,0)+IF(R840&gt;80,0,1)+S840+IF(AD840&lt;20,0,1)+IF(AE840&lt;14,0,1)+IF(AF840&lt;26,0,1)</f>
        <v/>
      </c>
    </row>
    <row r="841" ht="12.75" customHeight="1">
      <c r="AG841" s="101">
        <f>IF(G841&lt;0,0,1.2)+IF(G841&lt;14,0,0.9)+IF(P841&lt;0,0.7,0)+IF(P841&lt;6.5,1,0)+IF(P841&lt;23,1,0)+IF(R841&gt;80,0,1)+S841+IF(AD841&lt;20,0,1)+IF(AE841&lt;14,0,1)+IF(AF841&lt;26,0,1)</f>
        <v/>
      </c>
    </row>
    <row r="842" ht="12.75" customHeight="1">
      <c r="AG842" s="101">
        <f>IF(G842&lt;0,0,1.2)+IF(G842&lt;14,0,0.9)+IF(P842&lt;0,0.7,0)+IF(P842&lt;6.5,1,0)+IF(P842&lt;23,1,0)+IF(R842&gt;80,0,1)+S842+IF(AD842&lt;20,0,1)+IF(AE842&lt;14,0,1)+IF(AF842&lt;26,0,1)</f>
        <v/>
      </c>
    </row>
    <row r="843" ht="12.75" customHeight="1">
      <c r="AG843" s="101">
        <f>IF(G843&lt;0,0,1.2)+IF(G843&lt;14,0,0.9)+IF(P843&lt;0,0.7,0)+IF(P843&lt;6.5,1,0)+IF(P843&lt;23,1,0)+IF(R843&gt;80,0,1)+S843+IF(AD843&lt;20,0,1)+IF(AE843&lt;14,0,1)+IF(AF843&lt;26,0,1)</f>
        <v/>
      </c>
    </row>
    <row r="844" ht="12.75" customHeight="1">
      <c r="AG844" s="101">
        <f>IF(G844&lt;0,0,1.2)+IF(G844&lt;14,0,0.9)+IF(P844&lt;0,0.7,0)+IF(P844&lt;6.5,1,0)+IF(P844&lt;23,1,0)+IF(R844&gt;80,0,1)+S844+IF(AD844&lt;20,0,1)+IF(AE844&lt;14,0,1)+IF(AF844&lt;26,0,1)</f>
        <v/>
      </c>
    </row>
    <row r="845" ht="12.75" customHeight="1">
      <c r="AG845" s="101">
        <f>IF(G845&lt;0,0,1.2)+IF(G845&lt;14,0,0.9)+IF(P845&lt;0,0.7,0)+IF(P845&lt;6.5,1,0)+IF(P845&lt;23,1,0)+IF(R845&gt;80,0,1)+S845+IF(AD845&lt;20,0,1)+IF(AE845&lt;14,0,1)+IF(AF845&lt;26,0,1)</f>
        <v/>
      </c>
    </row>
    <row r="846" ht="12.75" customHeight="1">
      <c r="AG846" s="101">
        <f>IF(G846&lt;0,0,1.2)+IF(G846&lt;14,0,0.9)+IF(P846&lt;0,0.7,0)+IF(P846&lt;6.5,1,0)+IF(P846&lt;23,1,0)+IF(R846&gt;80,0,1)+S846+IF(AD846&lt;20,0,1)+IF(AE846&lt;14,0,1)+IF(AF846&lt;26,0,1)</f>
        <v/>
      </c>
    </row>
    <row r="847" ht="12.75" customHeight="1">
      <c r="AG847" s="101">
        <f>IF(G847&lt;0,0,1.2)+IF(G847&lt;14,0,0.9)+IF(P847&lt;0,0.7,0)+IF(P847&lt;6.5,1,0)+IF(P847&lt;23,1,0)+IF(R847&gt;80,0,1)+S847+IF(AD847&lt;20,0,1)+IF(AE847&lt;14,0,1)+IF(AF847&lt;26,0,1)</f>
        <v/>
      </c>
    </row>
    <row r="848" ht="12.75" customHeight="1">
      <c r="AG848" s="101">
        <f>IF(G848&lt;0,0,1.2)+IF(G848&lt;14,0,0.9)+IF(P848&lt;0,0.7,0)+IF(P848&lt;6.5,1,0)+IF(P848&lt;23,1,0)+IF(R848&gt;80,0,1)+S848+IF(AD848&lt;20,0,1)+IF(AE848&lt;14,0,1)+IF(AF848&lt;26,0,1)</f>
        <v/>
      </c>
    </row>
    <row r="849" ht="12.75" customHeight="1">
      <c r="AG849" s="101">
        <f>IF(G849&lt;0,0,1.2)+IF(G849&lt;14,0,0.9)+IF(P849&lt;0,0.7,0)+IF(P849&lt;6.5,1,0)+IF(P849&lt;23,1,0)+IF(R849&gt;80,0,1)+S849+IF(AD849&lt;20,0,1)+IF(AE849&lt;14,0,1)+IF(AF849&lt;26,0,1)</f>
        <v/>
      </c>
    </row>
    <row r="850" ht="12.75" customHeight="1">
      <c r="AG850" s="101">
        <f>IF(G850&lt;0,0,1.2)+IF(G850&lt;14,0,0.9)+IF(P850&lt;0,0.7,0)+IF(P850&lt;6.5,1,0)+IF(P850&lt;23,1,0)+IF(R850&gt;80,0,1)+S850+IF(AD850&lt;20,0,1)+IF(AE850&lt;14,0,1)+IF(AF850&lt;26,0,1)</f>
        <v/>
      </c>
    </row>
    <row r="851" ht="12.75" customHeight="1">
      <c r="AG851" s="101">
        <f>IF(G851&lt;0,0,1.2)+IF(G851&lt;14,0,0.9)+IF(P851&lt;0,0.7,0)+IF(P851&lt;6.5,1,0)+IF(P851&lt;23,1,0)+IF(R851&gt;80,0,1)+S851+IF(AD851&lt;20,0,1)+IF(AE851&lt;14,0,1)+IF(AF851&lt;26,0,1)</f>
        <v/>
      </c>
    </row>
    <row r="852" ht="12.75" customHeight="1">
      <c r="AG852" s="101">
        <f>IF(G852&lt;0,0,1.2)+IF(G852&lt;14,0,0.9)+IF(P852&lt;0,0.7,0)+IF(P852&lt;6.5,1,0)+IF(P852&lt;23,1,0)+IF(R852&gt;80,0,1)+S852+IF(AD852&lt;20,0,1)+IF(AE852&lt;14,0,1)+IF(AF852&lt;26,0,1)</f>
        <v/>
      </c>
    </row>
    <row r="853" ht="12.75" customHeight="1">
      <c r="AG853" s="101">
        <f>IF(G853&lt;0,0,1.2)+IF(G853&lt;14,0,0.9)+IF(P853&lt;0,0.7,0)+IF(P853&lt;6.5,1,0)+IF(P853&lt;23,1,0)+IF(R853&gt;80,0,1)+S853+IF(AD853&lt;20,0,1)+IF(AE853&lt;14,0,1)+IF(AF853&lt;26,0,1)</f>
        <v/>
      </c>
    </row>
    <row r="854" ht="12.75" customHeight="1">
      <c r="AG854" s="101">
        <f>IF(G854&lt;0,0,1.2)+IF(G854&lt;14,0,0.9)+IF(P854&lt;0,0.7,0)+IF(P854&lt;6.5,1,0)+IF(P854&lt;23,1,0)+IF(R854&gt;80,0,1)+S854+IF(AD854&lt;20,0,1)+IF(AE854&lt;14,0,1)+IF(AF854&lt;26,0,1)</f>
        <v/>
      </c>
    </row>
    <row r="855" ht="12.75" customHeight="1">
      <c r="AG855" s="101">
        <f>IF(G855&lt;0,0,1.2)+IF(G855&lt;14,0,0.9)+IF(P855&lt;0,0.7,0)+IF(P855&lt;6.5,1,0)+IF(P855&lt;23,1,0)+IF(R855&gt;80,0,1)+S855+IF(AD855&lt;20,0,1)+IF(AE855&lt;14,0,1)+IF(AF855&lt;26,0,1)</f>
        <v/>
      </c>
    </row>
    <row r="856" ht="12.75" customHeight="1">
      <c r="AG856" s="101">
        <f>IF(G856&lt;0,0,1.2)+IF(G856&lt;14,0,0.9)+IF(P856&lt;0,0.7,0)+IF(P856&lt;6.5,1,0)+IF(P856&lt;23,1,0)+IF(R856&gt;80,0,1)+S856+IF(AD856&lt;20,0,1)+IF(AE856&lt;14,0,1)+IF(AF856&lt;26,0,1)</f>
        <v/>
      </c>
    </row>
    <row r="857" ht="12.75" customHeight="1">
      <c r="AG857" s="101">
        <f>IF(G857&lt;0,0,1.2)+IF(G857&lt;14,0,0.9)+IF(P857&lt;0,0.7,0)+IF(P857&lt;6.5,1,0)+IF(P857&lt;23,1,0)+IF(R857&gt;80,0,1)+S857+IF(AD857&lt;20,0,1)+IF(AE857&lt;14,0,1)+IF(AF857&lt;26,0,1)</f>
        <v/>
      </c>
    </row>
    <row r="858" ht="12.75" customHeight="1">
      <c r="AG858" s="101">
        <f>IF(G858&lt;0,0,1.2)+IF(G858&lt;14,0,0.9)+IF(P858&lt;0,0.7,0)+IF(P858&lt;6.5,1,0)+IF(P858&lt;23,1,0)+IF(R858&gt;80,0,1)+S858+IF(AD858&lt;20,0,1)+IF(AE858&lt;14,0,1)+IF(AF858&lt;26,0,1)</f>
        <v/>
      </c>
    </row>
    <row r="859" ht="12.75" customHeight="1">
      <c r="AG859" s="101">
        <f>IF(G859&lt;0,0,1.2)+IF(G859&lt;14,0,0.9)+IF(P859&lt;0,0.7,0)+IF(P859&lt;6.5,1,0)+IF(P859&lt;23,1,0)+IF(R859&gt;80,0,1)+S859+IF(AD859&lt;20,0,1)+IF(AE859&lt;14,0,1)+IF(AF859&lt;26,0,1)</f>
        <v/>
      </c>
    </row>
    <row r="860" ht="12.75" customHeight="1">
      <c r="AG860" s="101">
        <f>IF(G860&lt;0,0,1.2)+IF(G860&lt;14,0,0.9)+IF(P860&lt;0,0.7,0)+IF(P860&lt;6.5,1,0)+IF(P860&lt;23,1,0)+IF(R860&gt;80,0,1)+S860+IF(AD860&lt;20,0,1)+IF(AE860&lt;14,0,1)+IF(AF860&lt;26,0,1)</f>
        <v/>
      </c>
    </row>
    <row r="861" ht="12.75" customHeight="1">
      <c r="AG861" s="101">
        <f>IF(G861&lt;0,0,1.2)+IF(G861&lt;14,0,0.9)+IF(P861&lt;0,0.7,0)+IF(P861&lt;6.5,1,0)+IF(P861&lt;23,1,0)+IF(R861&gt;80,0,1)+S861+IF(AD861&lt;20,0,1)+IF(AE861&lt;14,0,1)+IF(AF861&lt;26,0,1)</f>
        <v/>
      </c>
    </row>
    <row r="862" ht="12.75" customHeight="1">
      <c r="AG862" s="101">
        <f>IF(G862&lt;0,0,1.2)+IF(G862&lt;14,0,0.9)+IF(P862&lt;0,0.7,0)+IF(P862&lt;6.5,1,0)+IF(P862&lt;23,1,0)+IF(R862&gt;80,0,1)+S862+IF(AD862&lt;20,0,1)+IF(AE862&lt;14,0,1)+IF(AF862&lt;26,0,1)</f>
        <v/>
      </c>
    </row>
    <row r="863" ht="12.75" customHeight="1">
      <c r="AG863" s="101">
        <f>IF(G863&lt;0,0,1.2)+IF(G863&lt;14,0,0.9)+IF(P863&lt;0,0.7,0)+IF(P863&lt;6.5,1,0)+IF(P863&lt;23,1,0)+IF(R863&gt;80,0,1)+S863+IF(AD863&lt;20,0,1)+IF(AE863&lt;14,0,1)+IF(AF863&lt;26,0,1)</f>
        <v/>
      </c>
    </row>
    <row r="864" ht="12.75" customHeight="1">
      <c r="AG864" s="101">
        <f>IF(G864&lt;0,0,1.2)+IF(G864&lt;14,0,0.9)+IF(P864&lt;0,0.7,0)+IF(P864&lt;6.5,1,0)+IF(P864&lt;23,1,0)+IF(R864&gt;80,0,1)+S864+IF(AD864&lt;20,0,1)+IF(AE864&lt;14,0,1)+IF(AF864&lt;26,0,1)</f>
        <v/>
      </c>
    </row>
    <row r="865" ht="12.75" customHeight="1">
      <c r="AG865" s="101">
        <f>IF(G865&lt;0,0,1.2)+IF(G865&lt;14,0,0.9)+IF(P865&lt;0,0.7,0)+IF(P865&lt;6.5,1,0)+IF(P865&lt;23,1,0)+IF(R865&gt;80,0,1)+S865+IF(AD865&lt;20,0,1)+IF(AE865&lt;14,0,1)+IF(AF865&lt;26,0,1)</f>
        <v/>
      </c>
    </row>
    <row r="866" ht="12.75" customHeight="1">
      <c r="AG866" s="101">
        <f>IF(G866&lt;0,0,1.2)+IF(G866&lt;14,0,0.9)+IF(P866&lt;0,0.7,0)+IF(P866&lt;6.5,1,0)+IF(P866&lt;23,1,0)+IF(R866&gt;80,0,1)+S866+IF(AD866&lt;20,0,1)+IF(AE866&lt;14,0,1)+IF(AF866&lt;26,0,1)</f>
        <v/>
      </c>
    </row>
    <row r="867" ht="12.75" customHeight="1">
      <c r="AG867" s="101">
        <f>IF(G867&lt;0,0,1.2)+IF(G867&lt;14,0,0.9)+IF(P867&lt;0,0.7,0)+IF(P867&lt;6.5,1,0)+IF(P867&lt;23,1,0)+IF(R867&gt;80,0,1)+S867+IF(AD867&lt;20,0,1)+IF(AE867&lt;14,0,1)+IF(AF867&lt;26,0,1)</f>
        <v/>
      </c>
    </row>
    <row r="868" ht="12.75" customHeight="1">
      <c r="AG868" s="101">
        <f>IF(G868&lt;0,0,1.2)+IF(G868&lt;14,0,0.9)+IF(P868&lt;0,0.7,0)+IF(P868&lt;6.5,1,0)+IF(P868&lt;23,1,0)+IF(R868&gt;80,0,1)+S868+IF(AD868&lt;20,0,1)+IF(AE868&lt;14,0,1)+IF(AF868&lt;26,0,1)</f>
        <v/>
      </c>
    </row>
    <row r="869" ht="12.75" customHeight="1">
      <c r="AG869" s="101">
        <f>IF(G869&lt;0,0,1.2)+IF(G869&lt;14,0,0.9)+IF(P869&lt;0,0.7,0)+IF(P869&lt;6.5,1,0)+IF(P869&lt;23,1,0)+IF(R869&gt;80,0,1)+S869+IF(AD869&lt;20,0,1)+IF(AE869&lt;14,0,1)+IF(AF869&lt;26,0,1)</f>
        <v/>
      </c>
    </row>
    <row r="870" ht="12.75" customHeight="1">
      <c r="AG870" s="101">
        <f>IF(G870&lt;0,0,1.2)+IF(G870&lt;14,0,0.9)+IF(P870&lt;0,0.7,0)+IF(P870&lt;6.5,1,0)+IF(P870&lt;23,1,0)+IF(R870&gt;80,0,1)+S870+IF(AD870&lt;20,0,1)+IF(AE870&lt;14,0,1)+IF(AF870&lt;26,0,1)</f>
        <v/>
      </c>
    </row>
    <row r="871" ht="12.75" customHeight="1">
      <c r="AG871" s="101">
        <f>IF(G871&lt;0,0,1.2)+IF(G871&lt;14,0,0.9)+IF(P871&lt;0,0.7,0)+IF(P871&lt;6.5,1,0)+IF(P871&lt;23,1,0)+IF(R871&gt;80,0,1)+S871+IF(AD871&lt;20,0,1)+IF(AE871&lt;14,0,1)+IF(AF871&lt;26,0,1)</f>
        <v/>
      </c>
    </row>
    <row r="872" ht="12.75" customHeight="1">
      <c r="AG872" s="101">
        <f>IF(G872&lt;0,0,1.2)+IF(G872&lt;14,0,0.9)+IF(P872&lt;0,0.7,0)+IF(P872&lt;6.5,1,0)+IF(P872&lt;23,1,0)+IF(R872&gt;80,0,1)+S872+IF(AD872&lt;20,0,1)+IF(AE872&lt;14,0,1)+IF(AF872&lt;26,0,1)</f>
        <v/>
      </c>
    </row>
    <row r="873" ht="12.75" customHeight="1">
      <c r="AG873" s="101">
        <f>IF(G873&lt;0,0,1.2)+IF(G873&lt;14,0,0.9)+IF(P873&lt;0,0.7,0)+IF(P873&lt;6.5,1,0)+IF(P873&lt;23,1,0)+IF(R873&gt;80,0,1)+S873+IF(AD873&lt;20,0,1)+IF(AE873&lt;14,0,1)+IF(AF873&lt;26,0,1)</f>
        <v/>
      </c>
    </row>
    <row r="874" ht="12.75" customHeight="1">
      <c r="AG874" s="101">
        <f>IF(G874&lt;0,0,1.2)+IF(G874&lt;14,0,0.9)+IF(P874&lt;0,0.7,0)+IF(P874&lt;6.5,1,0)+IF(P874&lt;23,1,0)+IF(R874&gt;80,0,1)+S874+IF(AD874&lt;20,0,1)+IF(AE874&lt;14,0,1)+IF(AF874&lt;26,0,1)</f>
        <v/>
      </c>
    </row>
    <row r="875" ht="12.75" customHeight="1">
      <c r="AG875" s="101">
        <f>IF(G875&lt;0,0,1.2)+IF(G875&lt;14,0,0.9)+IF(P875&lt;0,0.7,0)+IF(P875&lt;6.5,1,0)+IF(P875&lt;23,1,0)+IF(R875&gt;80,0,1)+S875+IF(AD875&lt;20,0,1)+IF(AE875&lt;14,0,1)+IF(AF875&lt;26,0,1)</f>
        <v/>
      </c>
    </row>
    <row r="876" ht="12.75" customHeight="1">
      <c r="AG876" s="101">
        <f>IF(G876&lt;0,0,1.2)+IF(G876&lt;14,0,0.9)+IF(P876&lt;0,0.7,0)+IF(P876&lt;6.5,1,0)+IF(P876&lt;23,1,0)+IF(R876&gt;80,0,1)+S876+IF(AD876&lt;20,0,1)+IF(AE876&lt;14,0,1)+IF(AF876&lt;26,0,1)</f>
        <v/>
      </c>
    </row>
    <row r="877" ht="12.75" customHeight="1">
      <c r="AG877" s="101">
        <f>IF(G877&lt;0,0,1.2)+IF(G877&lt;14,0,0.9)+IF(P877&lt;0,0.7,0)+IF(P877&lt;6.5,1,0)+IF(P877&lt;23,1,0)+IF(R877&gt;80,0,1)+S877+IF(AD877&lt;20,0,1)+IF(AE877&lt;14,0,1)+IF(AF877&lt;26,0,1)</f>
        <v/>
      </c>
    </row>
    <row r="878" ht="12.75" customHeight="1">
      <c r="AG878" s="101">
        <f>IF(G878&lt;0,0,1.2)+IF(G878&lt;14,0,0.9)+IF(P878&lt;0,0.7,0)+IF(P878&lt;6.5,1,0)+IF(P878&lt;23,1,0)+IF(R878&gt;80,0,1)+S878+IF(AD878&lt;20,0,1)+IF(AE878&lt;14,0,1)+IF(AF878&lt;26,0,1)</f>
        <v/>
      </c>
    </row>
    <row r="879" ht="12.75" customHeight="1">
      <c r="AG879" s="101">
        <f>IF(G879&lt;0,0,1.2)+IF(G879&lt;14,0,0.9)+IF(P879&lt;0,0.7,0)+IF(P879&lt;6.5,1,0)+IF(P879&lt;23,1,0)+IF(R879&gt;80,0,1)+S879+IF(AD879&lt;20,0,1)+IF(AE879&lt;14,0,1)+IF(AF879&lt;26,0,1)</f>
        <v/>
      </c>
    </row>
    <row r="880" ht="12.75" customHeight="1">
      <c r="AG880" s="101">
        <f>IF(G880&lt;0,0,1.2)+IF(G880&lt;14,0,0.9)+IF(P880&lt;0,0.7,0)+IF(P880&lt;6.5,1,0)+IF(P880&lt;23,1,0)+IF(R880&gt;80,0,1)+S880+IF(AD880&lt;20,0,1)+IF(AE880&lt;14,0,1)+IF(AF880&lt;26,0,1)</f>
        <v/>
      </c>
    </row>
    <row r="881" ht="12.75" customHeight="1">
      <c r="AG881" s="101">
        <f>IF(G881&lt;0,0,1.2)+IF(G881&lt;14,0,0.9)+IF(P881&lt;0,0.7,0)+IF(P881&lt;6.5,1,0)+IF(P881&lt;23,1,0)+IF(R881&gt;80,0,1)+S881+IF(AD881&lt;20,0,1)+IF(AE881&lt;14,0,1)+IF(AF881&lt;26,0,1)</f>
        <v/>
      </c>
    </row>
    <row r="882" ht="12.75" customHeight="1">
      <c r="AG882" s="101">
        <f>IF(G882&lt;0,0,1.2)+IF(G882&lt;14,0,0.9)+IF(P882&lt;0,0.7,0)+IF(P882&lt;6.5,1,0)+IF(P882&lt;23,1,0)+IF(R882&gt;80,0,1)+S882+IF(AD882&lt;20,0,1)+IF(AE882&lt;14,0,1)+IF(AF882&lt;26,0,1)</f>
        <v/>
      </c>
    </row>
    <row r="883" ht="12.75" customHeight="1">
      <c r="AG883" s="101">
        <f>IF(G883&lt;0,0,1.2)+IF(G883&lt;14,0,0.9)+IF(P883&lt;0,0.7,0)+IF(P883&lt;6.5,1,0)+IF(P883&lt;23,1,0)+IF(R883&gt;80,0,1)+S883+IF(AD883&lt;20,0,1)+IF(AE883&lt;14,0,1)+IF(AF883&lt;26,0,1)</f>
        <v/>
      </c>
    </row>
    <row r="884" ht="12.75" customHeight="1">
      <c r="AG884" s="101">
        <f>IF(G884&lt;0,0,1.2)+IF(G884&lt;14,0,0.9)+IF(P884&lt;0,0.7,0)+IF(P884&lt;6.5,1,0)+IF(P884&lt;23,1,0)+IF(R884&gt;80,0,1)+S884+IF(AD884&lt;20,0,1)+IF(AE884&lt;14,0,1)+IF(AF884&lt;26,0,1)</f>
        <v/>
      </c>
    </row>
    <row r="885" ht="12.75" customHeight="1">
      <c r="AG885" s="101">
        <f>IF(G885&lt;0,0,1.2)+IF(G885&lt;14,0,0.9)+IF(P885&lt;0,0.7,0)+IF(P885&lt;6.5,1,0)+IF(P885&lt;23,1,0)+IF(R885&gt;80,0,1)+S885+IF(AD885&lt;20,0,1)+IF(AE885&lt;14,0,1)+IF(AF885&lt;26,0,1)</f>
        <v/>
      </c>
    </row>
    <row r="886" ht="12.75" customHeight="1">
      <c r="AG886" s="101">
        <f>IF(G886&lt;0,0,1.2)+IF(G886&lt;14,0,0.9)+IF(P886&lt;0,0.7,0)+IF(P886&lt;6.5,1,0)+IF(P886&lt;23,1,0)+IF(R886&gt;80,0,1)+S886+IF(AD886&lt;20,0,1)+IF(AE886&lt;14,0,1)+IF(AF886&lt;26,0,1)</f>
        <v/>
      </c>
    </row>
    <row r="887" ht="12.75" customHeight="1">
      <c r="AG887" s="101">
        <f>IF(G887&lt;0,0,1.2)+IF(G887&lt;14,0,0.9)+IF(P887&lt;0,0.7,0)+IF(P887&lt;6.5,1,0)+IF(P887&lt;23,1,0)+IF(R887&gt;80,0,1)+S887+IF(AD887&lt;20,0,1)+IF(AE887&lt;14,0,1)+IF(AF887&lt;26,0,1)</f>
        <v/>
      </c>
    </row>
    <row r="888" ht="12.75" customHeight="1">
      <c r="AG888" s="101">
        <f>IF(G888&lt;0,0,1.2)+IF(G888&lt;14,0,0.9)+IF(P888&lt;0,0.7,0)+IF(P888&lt;6.5,1,0)+IF(P888&lt;23,1,0)+IF(R888&gt;80,0,1)+S888+IF(AD888&lt;20,0,1)+IF(AE888&lt;14,0,1)+IF(AF888&lt;26,0,1)</f>
        <v/>
      </c>
    </row>
    <row r="889" ht="12.75" customHeight="1">
      <c r="AG889" s="101">
        <f>IF(G889&lt;0,0,1.2)+IF(G889&lt;14,0,0.9)+IF(P889&lt;0,0.7,0)+IF(P889&lt;6.5,1,0)+IF(P889&lt;23,1,0)+IF(R889&gt;80,0,1)+S889+IF(AD889&lt;20,0,1)+IF(AE889&lt;14,0,1)+IF(AF889&lt;26,0,1)</f>
        <v/>
      </c>
    </row>
    <row r="890" ht="12.75" customHeight="1">
      <c r="AG890" s="101">
        <f>IF(G890&lt;0,0,1.2)+IF(G890&lt;14,0,0.9)+IF(P890&lt;0,0.7,0)+IF(P890&lt;6.5,1,0)+IF(P890&lt;23,1,0)+IF(R890&gt;80,0,1)+S890+IF(AD890&lt;20,0,1)+IF(AE890&lt;14,0,1)+IF(AF890&lt;26,0,1)</f>
        <v/>
      </c>
    </row>
    <row r="891" ht="12.75" customHeight="1">
      <c r="AG891" s="101">
        <f>IF(G891&lt;0,0,1.2)+IF(G891&lt;14,0,0.9)+IF(P891&lt;0,0.7,0)+IF(P891&lt;6.5,1,0)+IF(P891&lt;23,1,0)+IF(R891&gt;80,0,1)+S891+IF(AD891&lt;20,0,1)+IF(AE891&lt;14,0,1)+IF(AF891&lt;26,0,1)</f>
        <v/>
      </c>
    </row>
    <row r="892" ht="12.75" customHeight="1">
      <c r="AG892" s="101">
        <f>IF(G892&lt;0,0,1.2)+IF(G892&lt;14,0,0.9)+IF(P892&lt;0,0.7,0)+IF(P892&lt;6.5,1,0)+IF(P892&lt;23,1,0)+IF(R892&gt;80,0,1)+S892+IF(AD892&lt;20,0,1)+IF(AE892&lt;14,0,1)+IF(AF892&lt;26,0,1)</f>
        <v/>
      </c>
    </row>
    <row r="893" ht="12.75" customHeight="1">
      <c r="AG893" s="101">
        <f>IF(G893&lt;0,0,1.2)+IF(G893&lt;14,0,0.9)+IF(P893&lt;0,0.7,0)+IF(P893&lt;6.5,1,0)+IF(P893&lt;23,1,0)+IF(R893&gt;80,0,1)+S893+IF(AD893&lt;20,0,1)+IF(AE893&lt;14,0,1)+IF(AF893&lt;26,0,1)</f>
        <v/>
      </c>
    </row>
    <row r="894" ht="12.75" customHeight="1">
      <c r="AG894" s="101">
        <f>IF(G894&lt;0,0,1.2)+IF(G894&lt;14,0,0.9)+IF(P894&lt;0,0.7,0)+IF(P894&lt;6.5,1,0)+IF(P894&lt;23,1,0)+IF(R894&gt;80,0,1)+S894+IF(AD894&lt;20,0,1)+IF(AE894&lt;14,0,1)+IF(AF894&lt;26,0,1)</f>
        <v/>
      </c>
    </row>
    <row r="895" ht="12.75" customHeight="1">
      <c r="AG895" s="101">
        <f>IF(G895&lt;0,0,1.2)+IF(G895&lt;14,0,0.9)+IF(P895&lt;0,0.7,0)+IF(P895&lt;6.5,1,0)+IF(P895&lt;23,1,0)+IF(R895&gt;80,0,1)+S895+IF(AD895&lt;20,0,1)+IF(AE895&lt;14,0,1)+IF(AF895&lt;26,0,1)</f>
        <v/>
      </c>
    </row>
    <row r="896" ht="12.75" customHeight="1">
      <c r="AG896" s="101">
        <f>IF(G896&lt;0,0,1.2)+IF(G896&lt;14,0,0.9)+IF(P896&lt;0,0.7,0)+IF(P896&lt;6.5,1,0)+IF(P896&lt;23,1,0)+IF(R896&gt;80,0,1)+S896+IF(AD896&lt;20,0,1)+IF(AE896&lt;14,0,1)+IF(AF896&lt;26,0,1)</f>
        <v/>
      </c>
    </row>
    <row r="897" ht="12.75" customHeight="1">
      <c r="AG897" s="101">
        <f>IF(G897&lt;0,0,1.2)+IF(G897&lt;14,0,0.9)+IF(P897&lt;0,0.7,0)+IF(P897&lt;6.5,1,0)+IF(P897&lt;23,1,0)+IF(R897&gt;80,0,1)+S897+IF(AD897&lt;20,0,1)+IF(AE897&lt;14,0,1)+IF(AF897&lt;26,0,1)</f>
        <v/>
      </c>
    </row>
    <row r="898" ht="12.75" customHeight="1">
      <c r="AG898" s="101">
        <f>IF(G898&lt;0,0,1.2)+IF(G898&lt;14,0,0.9)+IF(P898&lt;0,0.7,0)+IF(P898&lt;6.5,1,0)+IF(P898&lt;23,1,0)+IF(R898&gt;80,0,1)+S898+IF(AD898&lt;20,0,1)+IF(AE898&lt;14,0,1)+IF(AF898&lt;26,0,1)</f>
        <v/>
      </c>
    </row>
    <row r="899" ht="12.75" customHeight="1">
      <c r="AG899" s="101">
        <f>IF(G899&lt;0,0,1.2)+IF(G899&lt;14,0,0.9)+IF(P899&lt;0,0.7,0)+IF(P899&lt;6.5,1,0)+IF(P899&lt;23,1,0)+IF(R899&gt;80,0,1)+S899+IF(AD899&lt;20,0,1)+IF(AE899&lt;14,0,1)+IF(AF899&lt;26,0,1)</f>
        <v/>
      </c>
    </row>
    <row r="900" ht="12.75" customHeight="1">
      <c r="AG900" s="101">
        <f>IF(G900&lt;0,0,1.2)+IF(G900&lt;14,0,0.9)+IF(P900&lt;0,0.7,0)+IF(P900&lt;6.5,1,0)+IF(P900&lt;23,1,0)+IF(R900&gt;80,0,1)+S900+IF(AD900&lt;20,0,1)+IF(AE900&lt;14,0,1)+IF(AF900&lt;26,0,1)</f>
        <v/>
      </c>
    </row>
    <row r="901" ht="12.75" customHeight="1">
      <c r="AG901" s="101">
        <f>IF(G901&lt;0,0,1.2)+IF(G901&lt;14,0,0.9)+IF(P901&lt;0,0.7,0)+IF(P901&lt;6.5,1,0)+IF(P901&lt;23,1,0)+IF(R901&gt;80,0,1)+S901+IF(AD901&lt;20,0,1)+IF(AE901&lt;14,0,1)+IF(AF901&lt;26,0,1)</f>
        <v/>
      </c>
    </row>
    <row r="902" ht="12.75" customHeight="1">
      <c r="AG902" s="101">
        <f>IF(G902&lt;0,0,1.2)+IF(G902&lt;14,0,0.9)+IF(P902&lt;0,0.7,0)+IF(P902&lt;6.5,1,0)+IF(P902&lt;23,1,0)+IF(R902&gt;80,0,1)+S902+IF(AD902&lt;20,0,1)+IF(AE902&lt;14,0,1)+IF(AF902&lt;26,0,1)</f>
        <v/>
      </c>
    </row>
    <row r="903" ht="12.75" customHeight="1">
      <c r="AG903" s="101">
        <f>IF(G903&lt;0,0,1.2)+IF(G903&lt;14,0,0.9)+IF(P903&lt;0,0.7,0)+IF(P903&lt;6.5,1,0)+IF(P903&lt;23,1,0)+IF(R903&gt;80,0,1)+S903+IF(AD903&lt;20,0,1)+IF(AE903&lt;14,0,1)+IF(AF903&lt;26,0,1)</f>
        <v/>
      </c>
    </row>
    <row r="904" ht="12.75" customHeight="1">
      <c r="AG904" s="101">
        <f>IF(G904&lt;0,0,1.2)+IF(G904&lt;14,0,0.9)+IF(P904&lt;0,0.7,0)+IF(P904&lt;6.5,1,0)+IF(P904&lt;23,1,0)+IF(R904&gt;80,0,1)+S904+IF(AD904&lt;20,0,1)+IF(AE904&lt;14,0,1)+IF(AF904&lt;26,0,1)</f>
        <v/>
      </c>
    </row>
    <row r="905" ht="12.75" customHeight="1">
      <c r="AG905" s="101">
        <f>IF(G905&lt;0,0,1.2)+IF(G905&lt;14,0,0.9)+IF(P905&lt;0,0.7,0)+IF(P905&lt;6.5,1,0)+IF(P905&lt;23,1,0)+IF(R905&gt;80,0,1)+S905+IF(AD905&lt;20,0,1)+IF(AE905&lt;14,0,1)+IF(AF905&lt;26,0,1)</f>
        <v/>
      </c>
    </row>
    <row r="906" ht="12.75" customHeight="1">
      <c r="AG906" s="101">
        <f>IF(G906&lt;0,0,1.2)+IF(G906&lt;14,0,0.9)+IF(P906&lt;0,0.7,0)+IF(P906&lt;6.5,1,0)+IF(P906&lt;23,1,0)+IF(R906&gt;80,0,1)+S906+IF(AD906&lt;20,0,1)+IF(AE906&lt;14,0,1)+IF(AF906&lt;26,0,1)</f>
        <v/>
      </c>
    </row>
    <row r="907" ht="12.75" customHeight="1">
      <c r="AG907" s="101">
        <f>IF(G907&lt;0,0,1.2)+IF(G907&lt;14,0,0.9)+IF(P907&lt;0,0.7,0)+IF(P907&lt;6.5,1,0)+IF(P907&lt;23,1,0)+IF(R907&gt;80,0,1)+S907+IF(AD907&lt;20,0,1)+IF(AE907&lt;14,0,1)+IF(AF907&lt;26,0,1)</f>
        <v/>
      </c>
    </row>
    <row r="908" ht="12.75" customHeight="1">
      <c r="AG908" s="101">
        <f>IF(G908&lt;0,0,1.2)+IF(G908&lt;14,0,0.9)+IF(P908&lt;0,0.7,0)+IF(P908&lt;6.5,1,0)+IF(P908&lt;23,1,0)+IF(R908&gt;80,0,1)+S908+IF(AD908&lt;20,0,1)+IF(AE908&lt;14,0,1)+IF(AF908&lt;26,0,1)</f>
        <v/>
      </c>
    </row>
    <row r="909" ht="12.75" customHeight="1">
      <c r="AG909" s="101">
        <f>IF(G909&lt;0,0,1.2)+IF(G909&lt;14,0,0.9)+IF(P909&lt;0,0.7,0)+IF(P909&lt;6.5,1,0)+IF(P909&lt;23,1,0)+IF(R909&gt;80,0,1)+S909+IF(AD909&lt;20,0,1)+IF(AE909&lt;14,0,1)+IF(AF909&lt;26,0,1)</f>
        <v/>
      </c>
    </row>
    <row r="910" ht="12.75" customHeight="1">
      <c r="AG910" s="101">
        <f>IF(G910&lt;0,0,1.2)+IF(G910&lt;14,0,0.9)+IF(P910&lt;0,0.7,0)+IF(P910&lt;6.5,1,0)+IF(P910&lt;23,1,0)+IF(R910&gt;80,0,1)+S910+IF(AD910&lt;20,0,1)+IF(AE910&lt;14,0,1)+IF(AF910&lt;26,0,1)</f>
        <v/>
      </c>
    </row>
    <row r="911" ht="12.75" customHeight="1">
      <c r="AG911" s="101">
        <f>IF(G911&lt;0,0,1.2)+IF(G911&lt;14,0,0.9)+IF(P911&lt;0,0.7,0)+IF(P911&lt;6.5,1,0)+IF(P911&lt;23,1,0)+IF(R911&gt;80,0,1)+S911+IF(AD911&lt;20,0,1)+IF(AE911&lt;14,0,1)+IF(AF911&lt;26,0,1)</f>
        <v/>
      </c>
    </row>
    <row r="912" ht="12.75" customHeight="1">
      <c r="AG912" s="101">
        <f>IF(G912&lt;0,0,1.2)+IF(G912&lt;14,0,0.9)+IF(P912&lt;0,0.7,0)+IF(P912&lt;6.5,1,0)+IF(P912&lt;23,1,0)+IF(R912&gt;80,0,1)+S912+IF(AD912&lt;20,0,1)+IF(AE912&lt;14,0,1)+IF(AF912&lt;26,0,1)</f>
        <v/>
      </c>
    </row>
    <row r="913" ht="12.75" customHeight="1">
      <c r="AG913" s="101">
        <f>IF(G913&lt;0,0,1.2)+IF(G913&lt;14,0,0.9)+IF(P913&lt;0,0.7,0)+IF(P913&lt;6.5,1,0)+IF(P913&lt;23,1,0)+IF(R913&gt;80,0,1)+S913+IF(AD913&lt;20,0,1)+IF(AE913&lt;14,0,1)+IF(AF913&lt;26,0,1)</f>
        <v/>
      </c>
    </row>
    <row r="914" ht="12.75" customHeight="1">
      <c r="AG914" s="101">
        <f>IF(G914&lt;0,0,1.2)+IF(G914&lt;14,0,0.9)+IF(P914&lt;0,0.7,0)+IF(P914&lt;6.5,1,0)+IF(P914&lt;23,1,0)+IF(R914&gt;80,0,1)+S914+IF(AD914&lt;20,0,1)+IF(AE914&lt;14,0,1)+IF(AF914&lt;26,0,1)</f>
        <v/>
      </c>
    </row>
    <row r="915" ht="12.75" customHeight="1">
      <c r="AG915" s="101">
        <f>IF(G915&lt;0,0,1.2)+IF(G915&lt;14,0,0.9)+IF(P915&lt;0,0.7,0)+IF(P915&lt;6.5,1,0)+IF(P915&lt;23,1,0)+IF(R915&gt;80,0,1)+S915+IF(AD915&lt;20,0,1)+IF(AE915&lt;14,0,1)+IF(AF915&lt;26,0,1)</f>
        <v/>
      </c>
    </row>
    <row r="916" ht="12.75" customHeight="1">
      <c r="AG916" s="101">
        <f>IF(G916&lt;0,0,1.2)+IF(G916&lt;14,0,0.9)+IF(P916&lt;0,0.7,0)+IF(P916&lt;6.5,1,0)+IF(P916&lt;23,1,0)+IF(R916&gt;80,0,1)+S916+IF(AD916&lt;20,0,1)+IF(AE916&lt;14,0,1)+IF(AF916&lt;26,0,1)</f>
        <v/>
      </c>
    </row>
    <row r="917" ht="12.75" customHeight="1">
      <c r="AG917" s="101">
        <f>IF(G917&lt;0,0,1.2)+IF(G917&lt;14,0,0.9)+IF(P917&lt;0,0.7,0)+IF(P917&lt;6.5,1,0)+IF(P917&lt;23,1,0)+IF(R917&gt;80,0,1)+S917+IF(AD917&lt;20,0,1)+IF(AE917&lt;14,0,1)+IF(AF917&lt;26,0,1)</f>
        <v/>
      </c>
    </row>
    <row r="918" ht="12.75" customHeight="1">
      <c r="AG918" s="101">
        <f>IF(G918&lt;0,0,1.2)+IF(G918&lt;14,0,0.9)+IF(P918&lt;0,0.7,0)+IF(P918&lt;6.5,1,0)+IF(P918&lt;23,1,0)+IF(R918&gt;80,0,1)+S918+IF(AD918&lt;20,0,1)+IF(AE918&lt;14,0,1)+IF(AF918&lt;26,0,1)</f>
        <v/>
      </c>
    </row>
    <row r="919" ht="12.75" customHeight="1">
      <c r="AG919" s="101">
        <f>IF(G919&lt;0,0,1.2)+IF(G919&lt;14,0,0.9)+IF(P919&lt;0,0.7,0)+IF(P919&lt;6.5,1,0)+IF(P919&lt;23,1,0)+IF(R919&gt;80,0,1)+S919+IF(AD919&lt;20,0,1)+IF(AE919&lt;14,0,1)+IF(AF919&lt;26,0,1)</f>
        <v/>
      </c>
    </row>
    <row r="920" ht="12.75" customHeight="1">
      <c r="AG920" s="101">
        <f>IF(G920&lt;0,0,1.2)+IF(G920&lt;14,0,0.9)+IF(P920&lt;0,0.7,0)+IF(P920&lt;6.5,1,0)+IF(P920&lt;23,1,0)+IF(R920&gt;80,0,1)+S920+IF(AD920&lt;20,0,1)+IF(AE920&lt;14,0,1)+IF(AF920&lt;26,0,1)</f>
        <v/>
      </c>
    </row>
    <row r="921" ht="12.75" customHeight="1">
      <c r="AG921" s="101">
        <f>IF(G921&lt;0,0,1.2)+IF(G921&lt;14,0,0.9)+IF(P921&lt;0,0.7,0)+IF(P921&lt;6.5,1,0)+IF(P921&lt;23,1,0)+IF(R921&gt;80,0,1)+S921+IF(AD921&lt;20,0,1)+IF(AE921&lt;14,0,1)+IF(AF921&lt;26,0,1)</f>
        <v/>
      </c>
    </row>
    <row r="922" ht="12.75" customHeight="1">
      <c r="AG922" s="101">
        <f>IF(G922&lt;0,0,1.2)+IF(G922&lt;14,0,0.9)+IF(P922&lt;0,0.7,0)+IF(P922&lt;6.5,1,0)+IF(P922&lt;23,1,0)+IF(R922&gt;80,0,1)+S922+IF(AD922&lt;20,0,1)+IF(AE922&lt;14,0,1)+IF(AF922&lt;26,0,1)</f>
        <v/>
      </c>
    </row>
    <row r="923" ht="12.75" customHeight="1">
      <c r="AG923" s="101">
        <f>IF(G923&lt;0,0,1.2)+IF(G923&lt;14,0,0.9)+IF(P923&lt;0,0.7,0)+IF(P923&lt;6.5,1,0)+IF(P923&lt;23,1,0)+IF(R923&gt;80,0,1)+S923+IF(AD923&lt;20,0,1)+IF(AE923&lt;14,0,1)+IF(AF923&lt;26,0,1)</f>
        <v/>
      </c>
    </row>
    <row r="924" ht="12.75" customHeight="1">
      <c r="AG924" s="101">
        <f>IF(G924&lt;0,0,1.2)+IF(G924&lt;14,0,0.9)+IF(P924&lt;0,0.7,0)+IF(P924&lt;6.5,1,0)+IF(P924&lt;23,1,0)+IF(R924&gt;80,0,1)+S924+IF(AD924&lt;20,0,1)+IF(AE924&lt;14,0,1)+IF(AF924&lt;26,0,1)</f>
        <v/>
      </c>
    </row>
    <row r="925" ht="12.75" customHeight="1">
      <c r="AG925" s="101">
        <f>IF(G925&lt;0,0,1.2)+IF(G925&lt;14,0,0.9)+IF(P925&lt;0,0.7,0)+IF(P925&lt;6.5,1,0)+IF(P925&lt;23,1,0)+IF(R925&gt;80,0,1)+S925+IF(AD925&lt;20,0,1)+IF(AE925&lt;14,0,1)+IF(AF925&lt;26,0,1)</f>
        <v/>
      </c>
    </row>
    <row r="926" ht="12.75" customHeight="1">
      <c r="AG926" s="101">
        <f>IF(G926&lt;0,0,1.2)+IF(G926&lt;14,0,0.9)+IF(P926&lt;0,0.7,0)+IF(P926&lt;6.5,1,0)+IF(P926&lt;23,1,0)+IF(R926&gt;80,0,1)+S926+IF(AD926&lt;20,0,1)+IF(AE926&lt;14,0,1)+IF(AF926&lt;26,0,1)</f>
        <v/>
      </c>
    </row>
    <row r="927" ht="12.75" customHeight="1">
      <c r="AG927" s="101">
        <f>IF(G927&lt;0,0,1.2)+IF(G927&lt;14,0,0.9)+IF(P927&lt;0,0.7,0)+IF(P927&lt;6.5,1,0)+IF(P927&lt;23,1,0)+IF(R927&gt;80,0,1)+S927+IF(AD927&lt;20,0,1)+IF(AE927&lt;14,0,1)+IF(AF927&lt;26,0,1)</f>
        <v/>
      </c>
    </row>
    <row r="928" ht="12.75" customHeight="1">
      <c r="AG928" s="101">
        <f>IF(G928&lt;0,0,1.2)+IF(G928&lt;14,0,0.9)+IF(P928&lt;0,0.7,0)+IF(P928&lt;6.5,1,0)+IF(P928&lt;23,1,0)+IF(R928&gt;80,0,1)+S928+IF(AD928&lt;20,0,1)+IF(AE928&lt;14,0,1)+IF(AF928&lt;26,0,1)</f>
        <v/>
      </c>
    </row>
    <row r="929" ht="12.75" customHeight="1">
      <c r="AG929" s="101">
        <f>IF(G929&lt;0,0,1.2)+IF(G929&lt;14,0,0.9)+IF(P929&lt;0,0.7,0)+IF(P929&lt;6.5,1,0)+IF(P929&lt;23,1,0)+IF(R929&gt;80,0,1)+S929+IF(AD929&lt;20,0,1)+IF(AE929&lt;14,0,1)+IF(AF929&lt;26,0,1)</f>
        <v/>
      </c>
    </row>
    <row r="930" ht="12.75" customHeight="1">
      <c r="AG930" s="101">
        <f>IF(G930&lt;0,0,1.2)+IF(G930&lt;14,0,0.9)+IF(P930&lt;0,0.7,0)+IF(P930&lt;6.5,1,0)+IF(P930&lt;23,1,0)+IF(R930&gt;80,0,1)+S930+IF(AD930&lt;20,0,1)+IF(AE930&lt;14,0,1)+IF(AF930&lt;26,0,1)</f>
        <v/>
      </c>
    </row>
    <row r="931" ht="12.75" customHeight="1">
      <c r="AG931" s="101">
        <f>IF(G931&lt;0,0,1.2)+IF(G931&lt;14,0,0.9)+IF(P931&lt;0,0.7,0)+IF(P931&lt;6.5,1,0)+IF(P931&lt;23,1,0)+IF(R931&gt;80,0,1)+S931+IF(AD931&lt;20,0,1)+IF(AE931&lt;14,0,1)+IF(AF931&lt;26,0,1)</f>
        <v/>
      </c>
    </row>
    <row r="932" ht="12.75" customHeight="1">
      <c r="AG932" s="101">
        <f>IF(G932&lt;0,0,1.2)+IF(G932&lt;14,0,0.9)+IF(P932&lt;0,0.7,0)+IF(P932&lt;6.5,1,0)+IF(P932&lt;23,1,0)+IF(R932&gt;80,0,1)+S932+IF(AD932&lt;20,0,1)+IF(AE932&lt;14,0,1)+IF(AF932&lt;26,0,1)</f>
        <v/>
      </c>
    </row>
    <row r="933" ht="12.75" customHeight="1">
      <c r="AG933" s="101">
        <f>IF(G933&lt;0,0,1.2)+IF(G933&lt;14,0,0.9)+IF(P933&lt;0,0.7,0)+IF(P933&lt;6.5,1,0)+IF(P933&lt;23,1,0)+IF(R933&gt;80,0,1)+S933+IF(AD933&lt;20,0,1)+IF(AE933&lt;14,0,1)+IF(AF933&lt;26,0,1)</f>
        <v/>
      </c>
    </row>
    <row r="934" ht="12.75" customHeight="1">
      <c r="AG934" s="101">
        <f>IF(G934&lt;0,0,1.2)+IF(G934&lt;14,0,0.9)+IF(P934&lt;0,0.7,0)+IF(P934&lt;6.5,1,0)+IF(P934&lt;23,1,0)+IF(R934&gt;80,0,1)+S934+IF(AD934&lt;20,0,1)+IF(AE934&lt;14,0,1)+IF(AF934&lt;26,0,1)</f>
        <v/>
      </c>
    </row>
    <row r="935" ht="12.75" customHeight="1">
      <c r="AG935" s="101">
        <f>IF(G935&lt;0,0,1.2)+IF(G935&lt;14,0,0.9)+IF(P935&lt;0,0.7,0)+IF(P935&lt;6.5,1,0)+IF(P935&lt;23,1,0)+IF(R935&gt;80,0,1)+S935+IF(AD935&lt;20,0,1)+IF(AE935&lt;14,0,1)+IF(AF935&lt;26,0,1)</f>
        <v/>
      </c>
    </row>
    <row r="936" ht="12.75" customHeight="1">
      <c r="AG936" s="101">
        <f>IF(G936&lt;0,0,1.2)+IF(G936&lt;14,0,0.9)+IF(P936&lt;0,0.7,0)+IF(P936&lt;6.5,1,0)+IF(P936&lt;23,1,0)+IF(R936&gt;80,0,1)+S936+IF(AD936&lt;20,0,1)+IF(AE936&lt;14,0,1)+IF(AF936&lt;26,0,1)</f>
        <v/>
      </c>
    </row>
    <row r="937" ht="12.75" customHeight="1">
      <c r="AG937" s="101">
        <f>IF(G937&lt;0,0,1.2)+IF(G937&lt;14,0,0.9)+IF(P937&lt;0,0.7,0)+IF(P937&lt;6.5,1,0)+IF(P937&lt;23,1,0)+IF(R937&gt;80,0,1)+S937+IF(AD937&lt;20,0,1)+IF(AE937&lt;14,0,1)+IF(AF937&lt;26,0,1)</f>
        <v/>
      </c>
    </row>
    <row r="938" ht="12.75" customHeight="1">
      <c r="AG938" s="101">
        <f>IF(G938&lt;0,0,1.2)+IF(G938&lt;14,0,0.9)+IF(P938&lt;0,0.7,0)+IF(P938&lt;6.5,1,0)+IF(P938&lt;23,1,0)+IF(R938&gt;80,0,1)+S938+IF(AD938&lt;20,0,1)+IF(AE938&lt;14,0,1)+IF(AF938&lt;26,0,1)</f>
        <v/>
      </c>
    </row>
    <row r="939" ht="12.75" customHeight="1">
      <c r="AG939" s="101">
        <f>IF(G939&lt;0,0,1.2)+IF(G939&lt;14,0,0.9)+IF(P939&lt;0,0.7,0)+IF(P939&lt;6.5,1,0)+IF(P939&lt;23,1,0)+IF(R939&gt;80,0,1)+S939+IF(AD939&lt;20,0,1)+IF(AE939&lt;14,0,1)+IF(AF939&lt;26,0,1)</f>
        <v/>
      </c>
    </row>
    <row r="940" ht="12.75" customHeight="1">
      <c r="AG940" s="101">
        <f>IF(G940&lt;0,0,1.2)+IF(G940&lt;14,0,0.9)+IF(P940&lt;0,0.7,0)+IF(P940&lt;6.5,1,0)+IF(P940&lt;23,1,0)+IF(R940&gt;80,0,1)+S940+IF(AD940&lt;20,0,1)+IF(AE940&lt;14,0,1)+IF(AF940&lt;26,0,1)</f>
        <v/>
      </c>
    </row>
    <row r="941" ht="12.75" customHeight="1">
      <c r="AG941" s="101">
        <f>IF(G941&lt;0,0,1.2)+IF(G941&lt;14,0,0.9)+IF(P941&lt;0,0.7,0)+IF(P941&lt;6.5,1,0)+IF(P941&lt;23,1,0)+IF(R941&gt;80,0,1)+S941+IF(AD941&lt;20,0,1)+IF(AE941&lt;14,0,1)+IF(AF941&lt;26,0,1)</f>
        <v/>
      </c>
    </row>
    <row r="942" ht="12.75" customHeight="1">
      <c r="AG942" s="101">
        <f>IF(G942&lt;0,0,1.2)+IF(G942&lt;14,0,0.9)+IF(P942&lt;0,0.7,0)+IF(P942&lt;6.5,1,0)+IF(P942&lt;23,1,0)+IF(R942&gt;80,0,1)+S942+IF(AD942&lt;20,0,1)+IF(AE942&lt;14,0,1)+IF(AF942&lt;26,0,1)</f>
        <v/>
      </c>
    </row>
    <row r="943" ht="12.75" customHeight="1">
      <c r="AG943" s="101">
        <f>IF(G943&lt;0,0,1.2)+IF(G943&lt;14,0,0.9)+IF(P943&lt;0,0.7,0)+IF(P943&lt;6.5,1,0)+IF(P943&lt;23,1,0)+IF(R943&gt;80,0,1)+S943+IF(AD943&lt;20,0,1)+IF(AE943&lt;14,0,1)+IF(AF943&lt;26,0,1)</f>
        <v/>
      </c>
    </row>
    <row r="944" ht="12.75" customHeight="1">
      <c r="AG944" s="101">
        <f>IF(G944&lt;0,0,1.2)+IF(G944&lt;14,0,0.9)+IF(P944&lt;0,0.7,0)+IF(P944&lt;6.5,1,0)+IF(P944&lt;23,1,0)+IF(R944&gt;80,0,1)+S944+IF(AD944&lt;20,0,1)+IF(AE944&lt;14,0,1)+IF(AF944&lt;26,0,1)</f>
        <v/>
      </c>
    </row>
    <row r="945" ht="12.75" customHeight="1">
      <c r="AG945" s="101">
        <f>IF(G945&lt;0,0,1.2)+IF(G945&lt;14,0,0.9)+IF(P945&lt;0,0.7,0)+IF(P945&lt;6.5,1,0)+IF(P945&lt;23,1,0)+IF(R945&gt;80,0,1)+S945+IF(AD945&lt;20,0,1)+IF(AE945&lt;14,0,1)+IF(AF945&lt;26,0,1)</f>
        <v/>
      </c>
    </row>
    <row r="946" ht="12.75" customHeight="1">
      <c r="AG946" s="101">
        <f>IF(G946&lt;0,0,1.2)+IF(G946&lt;14,0,0.9)+IF(P946&lt;0,0.7,0)+IF(P946&lt;6.5,1,0)+IF(P946&lt;23,1,0)+IF(R946&gt;80,0,1)+S946+IF(AD946&lt;20,0,1)+IF(AE946&lt;14,0,1)+IF(AF946&lt;26,0,1)</f>
        <v/>
      </c>
    </row>
    <row r="947" ht="12.75" customHeight="1">
      <c r="AG947" s="101">
        <f>IF(G947&lt;0,0,1.2)+IF(G947&lt;14,0,0.9)+IF(P947&lt;0,0.7,0)+IF(P947&lt;6.5,1,0)+IF(P947&lt;23,1,0)+IF(R947&gt;80,0,1)+S947+IF(AD947&lt;20,0,1)+IF(AE947&lt;14,0,1)+IF(AF947&lt;26,0,1)</f>
        <v/>
      </c>
    </row>
    <row r="948" ht="12.75" customHeight="1">
      <c r="AG948" s="101">
        <f>IF(G948&lt;0,0,1.2)+IF(G948&lt;14,0,0.9)+IF(P948&lt;0,0.7,0)+IF(P948&lt;6.5,1,0)+IF(P948&lt;23,1,0)+IF(R948&gt;80,0,1)+S948+IF(AD948&lt;20,0,1)+IF(AE948&lt;14,0,1)+IF(AF948&lt;26,0,1)</f>
        <v/>
      </c>
    </row>
    <row r="949" ht="12.75" customHeight="1">
      <c r="AG949" s="101">
        <f>IF(G949&lt;0,0,1.2)+IF(G949&lt;14,0,0.9)+IF(P949&lt;0,0.7,0)+IF(P949&lt;6.5,1,0)+IF(P949&lt;23,1,0)+IF(R949&gt;80,0,1)+S949+IF(AD949&lt;20,0,1)+IF(AE949&lt;14,0,1)+IF(AF949&lt;26,0,1)</f>
        <v/>
      </c>
    </row>
    <row r="950" ht="12.75" customHeight="1">
      <c r="AG950" s="101">
        <f>IF(G950&lt;0,0,1.2)+IF(G950&lt;14,0,0.9)+IF(P950&lt;0,0.7,0)+IF(P950&lt;6.5,1,0)+IF(P950&lt;23,1,0)+IF(R950&gt;80,0,1)+S950+IF(AD950&lt;20,0,1)+IF(AE950&lt;14,0,1)+IF(AF950&lt;26,0,1)</f>
        <v/>
      </c>
    </row>
    <row r="951" ht="12.75" customHeight="1">
      <c r="AG951" s="101">
        <f>IF(G951&lt;0,0,1.2)+IF(G951&lt;14,0,0.9)+IF(P951&lt;0,0.7,0)+IF(P951&lt;6.5,1,0)+IF(P951&lt;23,1,0)+IF(R951&gt;80,0,1)+S951+IF(AD951&lt;20,0,1)+IF(AE951&lt;14,0,1)+IF(AF951&lt;26,0,1)</f>
        <v/>
      </c>
    </row>
    <row r="952" ht="12.75" customHeight="1">
      <c r="AG952" s="101">
        <f>IF(G952&lt;0,0,1.2)+IF(G952&lt;14,0,0.9)+IF(P952&lt;0,0.7,0)+IF(P952&lt;6.5,1,0)+IF(P952&lt;23,1,0)+IF(R952&gt;80,0,1)+S952+IF(AD952&lt;20,0,1)+IF(AE952&lt;14,0,1)+IF(AF952&lt;26,0,1)</f>
        <v/>
      </c>
    </row>
    <row r="953" ht="12.75" customHeight="1">
      <c r="AG953" s="101">
        <f>IF(G953&lt;0,0,1.2)+IF(G953&lt;14,0,0.9)+IF(P953&lt;0,0.7,0)+IF(P953&lt;6.5,1,0)+IF(P953&lt;23,1,0)+IF(R953&gt;80,0,1)+S953+IF(AD953&lt;20,0,1)+IF(AE953&lt;14,0,1)+IF(AF953&lt;26,0,1)</f>
        <v/>
      </c>
    </row>
    <row r="954" ht="12.75" customHeight="1">
      <c r="AG954" s="101">
        <f>IF(G954&lt;0,0,1.2)+IF(G954&lt;14,0,0.9)+IF(P954&lt;0,0.7,0)+IF(P954&lt;6.5,1,0)+IF(P954&lt;23,1,0)+IF(R954&gt;80,0,1)+S954+IF(AD954&lt;20,0,1)+IF(AE954&lt;14,0,1)+IF(AF954&lt;26,0,1)</f>
        <v/>
      </c>
    </row>
    <row r="955" ht="12.75" customHeight="1">
      <c r="AG955" s="101">
        <f>IF(G955&lt;0,0,1.2)+IF(G955&lt;14,0,0.9)+IF(P955&lt;0,0.7,0)+IF(P955&lt;6.5,1,0)+IF(P955&lt;23,1,0)+IF(R955&gt;80,0,1)+S955+IF(AD955&lt;20,0,1)+IF(AE955&lt;14,0,1)+IF(AF955&lt;26,0,1)</f>
        <v/>
      </c>
    </row>
    <row r="956" ht="12.75" customHeight="1">
      <c r="AG956" s="101">
        <f>IF(G956&lt;0,0,1.2)+IF(G956&lt;14,0,0.9)+IF(P956&lt;0,0.7,0)+IF(P956&lt;6.5,1,0)+IF(P956&lt;23,1,0)+IF(R956&gt;80,0,1)+S956+IF(AD956&lt;20,0,1)+IF(AE956&lt;14,0,1)+IF(AF956&lt;26,0,1)</f>
        <v/>
      </c>
    </row>
    <row r="957" ht="12.75" customHeight="1">
      <c r="AG957" s="101">
        <f>IF(G957&lt;0,0,1.2)+IF(G957&lt;14,0,0.9)+IF(P957&lt;0,0.7,0)+IF(P957&lt;6.5,1,0)+IF(P957&lt;23,1,0)+IF(R957&gt;80,0,1)+S957+IF(AD957&lt;20,0,1)+IF(AE957&lt;14,0,1)+IF(AF957&lt;26,0,1)</f>
        <v/>
      </c>
    </row>
    <row r="958" ht="12.75" customHeight="1">
      <c r="AG958" s="101">
        <f>IF(G958&lt;0,0,1.2)+IF(G958&lt;14,0,0.9)+IF(P958&lt;0,0.7,0)+IF(P958&lt;6.5,1,0)+IF(P958&lt;23,1,0)+IF(R958&gt;80,0,1)+S958+IF(AD958&lt;20,0,1)+IF(AE958&lt;14,0,1)+IF(AF958&lt;26,0,1)</f>
        <v/>
      </c>
    </row>
    <row r="959" ht="12.75" customHeight="1">
      <c r="AG959" s="101">
        <f>IF(G959&lt;0,0,1.2)+IF(G959&lt;14,0,0.9)+IF(P959&lt;0,0.7,0)+IF(P959&lt;6.5,1,0)+IF(P959&lt;23,1,0)+IF(R959&gt;80,0,1)+S959+IF(AD959&lt;20,0,1)+IF(AE959&lt;14,0,1)+IF(AF959&lt;26,0,1)</f>
        <v/>
      </c>
    </row>
    <row r="960" ht="12.75" customHeight="1">
      <c r="AG960" s="101">
        <f>IF(G960&lt;0,0,1.2)+IF(G960&lt;14,0,0.9)+IF(P960&lt;0,0.7,0)+IF(P960&lt;6.5,1,0)+IF(P960&lt;23,1,0)+IF(R960&gt;80,0,1)+S960+IF(AD960&lt;20,0,1)+IF(AE960&lt;14,0,1)+IF(AF960&lt;26,0,1)</f>
        <v/>
      </c>
    </row>
    <row r="961" ht="12.75" customHeight="1">
      <c r="AG961" s="101">
        <f>IF(G961&lt;0,0,1.2)+IF(G961&lt;14,0,0.9)+IF(P961&lt;0,0.7,0)+IF(P961&lt;6.5,1,0)+IF(P961&lt;23,1,0)+IF(R961&gt;80,0,1)+S961+IF(AD961&lt;20,0,1)+IF(AE961&lt;14,0,1)+IF(AF961&lt;26,0,1)</f>
        <v/>
      </c>
    </row>
    <row r="962" ht="12.75" customHeight="1">
      <c r="AG962" s="101">
        <f>IF(G962&lt;0,0,1.2)+IF(G962&lt;14,0,0.9)+IF(P962&lt;0,0.7,0)+IF(P962&lt;6.5,1,0)+IF(P962&lt;23,1,0)+IF(R962&gt;80,0,1)+S962+IF(AD962&lt;20,0,1)+IF(AE962&lt;14,0,1)+IF(AF962&lt;26,0,1)</f>
        <v/>
      </c>
    </row>
    <row r="963" ht="12.75" customHeight="1">
      <c r="AG963" s="101">
        <f>IF(G963&lt;0,0,1.2)+IF(G963&lt;14,0,0.9)+IF(P963&lt;0,0.7,0)+IF(P963&lt;6.5,1,0)+IF(P963&lt;23,1,0)+IF(R963&gt;80,0,1)+S963+IF(AD963&lt;20,0,1)+IF(AE963&lt;14,0,1)+IF(AF963&lt;26,0,1)</f>
        <v/>
      </c>
    </row>
    <row r="964" ht="12.75" customHeight="1">
      <c r="AG964" s="101">
        <f>IF(G964&lt;0,0,1.2)+IF(G964&lt;14,0,0.9)+IF(P964&lt;0,0.7,0)+IF(P964&lt;6.5,1,0)+IF(P964&lt;23,1,0)+IF(R964&gt;80,0,1)+S964+IF(AD964&lt;20,0,1)+IF(AE964&lt;14,0,1)+IF(AF964&lt;26,0,1)</f>
        <v/>
      </c>
    </row>
    <row r="965" ht="12.75" customHeight="1">
      <c r="AG965" s="101">
        <f>IF(G965&lt;0,0,1.2)+IF(G965&lt;14,0,0.9)+IF(P965&lt;0,0.7,0)+IF(P965&lt;6.5,1,0)+IF(P965&lt;23,1,0)+IF(R965&gt;80,0,1)+S965+IF(AD965&lt;20,0,1)+IF(AE965&lt;14,0,1)+IF(AF965&lt;26,0,1)</f>
        <v/>
      </c>
    </row>
    <row r="966" ht="12.75" customHeight="1">
      <c r="AG966" s="101">
        <f>IF(G966&lt;0,0,1.2)+IF(G966&lt;14,0,0.9)+IF(P966&lt;0,0.7,0)+IF(P966&lt;6.5,1,0)+IF(P966&lt;23,1,0)+IF(R966&gt;80,0,1)+S966+IF(AD966&lt;20,0,1)+IF(AE966&lt;14,0,1)+IF(AF966&lt;26,0,1)</f>
        <v/>
      </c>
    </row>
    <row r="967" ht="12.75" customHeight="1">
      <c r="AG967" s="101">
        <f>IF(G967&lt;0,0,1.2)+IF(G967&lt;14,0,0.9)+IF(P967&lt;0,0.7,0)+IF(P967&lt;6.5,1,0)+IF(P967&lt;23,1,0)+IF(R967&gt;80,0,1)+S967+IF(AD967&lt;20,0,1)+IF(AE967&lt;14,0,1)+IF(AF967&lt;26,0,1)</f>
        <v/>
      </c>
    </row>
    <row r="968" ht="12.75" customHeight="1">
      <c r="AG968" s="101">
        <f>IF(G968&lt;0,0,1.2)+IF(G968&lt;14,0,0.9)+IF(P968&lt;0,0.7,0)+IF(P968&lt;6.5,1,0)+IF(P968&lt;23,1,0)+IF(R968&gt;80,0,1)+S968+IF(AD968&lt;20,0,1)+IF(AE968&lt;14,0,1)+IF(AF968&lt;26,0,1)</f>
        <v/>
      </c>
    </row>
    <row r="969" ht="12.75" customHeight="1">
      <c r="AG969" s="101">
        <f>IF(G969&lt;0,0,1.2)+IF(G969&lt;14,0,0.9)+IF(P969&lt;0,0.7,0)+IF(P969&lt;6.5,1,0)+IF(P969&lt;23,1,0)+IF(R969&gt;80,0,1)+S969+IF(AD969&lt;20,0,1)+IF(AE969&lt;14,0,1)+IF(AF969&lt;26,0,1)</f>
        <v/>
      </c>
    </row>
    <row r="970" ht="12.75" customHeight="1">
      <c r="AG970" s="101">
        <f>IF(G970&lt;0,0,1.2)+IF(G970&lt;14,0,0.9)+IF(P970&lt;0,0.7,0)+IF(P970&lt;6.5,1,0)+IF(P970&lt;23,1,0)+IF(R970&gt;80,0,1)+S970+IF(AD970&lt;20,0,1)+IF(AE970&lt;14,0,1)+IF(AF970&lt;26,0,1)</f>
        <v/>
      </c>
    </row>
    <row r="971" ht="12.75" customHeight="1">
      <c r="AG971" s="101">
        <f>IF(G971&lt;0,0,1.2)+IF(G971&lt;14,0,0.9)+IF(P971&lt;0,0.7,0)+IF(P971&lt;6.5,1,0)+IF(P971&lt;23,1,0)+IF(R971&gt;80,0,1)+S971+IF(AD971&lt;20,0,1)+IF(AE971&lt;14,0,1)+IF(AF971&lt;26,0,1)</f>
        <v/>
      </c>
    </row>
    <row r="972" ht="12.75" customHeight="1">
      <c r="AG972" s="101">
        <f>IF(G972&lt;0,0,1.2)+IF(G972&lt;14,0,0.9)+IF(P972&lt;0,0.7,0)+IF(P972&lt;6.5,1,0)+IF(P972&lt;23,1,0)+IF(R972&gt;80,0,1)+S972+IF(AD972&lt;20,0,1)+IF(AE972&lt;14,0,1)+IF(AF972&lt;26,0,1)</f>
        <v/>
      </c>
    </row>
    <row r="973" ht="12.75" customHeight="1">
      <c r="AG973" s="101">
        <f>IF(G973&lt;0,0,1.2)+IF(G973&lt;14,0,0.9)+IF(P973&lt;0,0.7,0)+IF(P973&lt;6.5,1,0)+IF(P973&lt;23,1,0)+IF(R973&gt;80,0,1)+S973+IF(AD973&lt;20,0,1)+IF(AE973&lt;14,0,1)+IF(AF973&lt;26,0,1)</f>
        <v/>
      </c>
    </row>
    <row r="974" ht="12.75" customHeight="1">
      <c r="AG974" s="101">
        <f>IF(G974&lt;0,0,1.2)+IF(G974&lt;14,0,0.9)+IF(P974&lt;0,0.7,0)+IF(P974&lt;6.5,1,0)+IF(P974&lt;23,1,0)+IF(R974&gt;80,0,1)+S974+IF(AD974&lt;20,0,1)+IF(AE974&lt;14,0,1)+IF(AF974&lt;26,0,1)</f>
        <v/>
      </c>
    </row>
    <row r="975" ht="12.75" customHeight="1">
      <c r="AG975" s="101">
        <f>IF(G975&lt;0,0,1.2)+IF(G975&lt;14,0,0.9)+IF(P975&lt;0,0.7,0)+IF(P975&lt;6.5,1,0)+IF(P975&lt;23,1,0)+IF(R975&gt;80,0,1)+S975+IF(AD975&lt;20,0,1)+IF(AE975&lt;14,0,1)+IF(AF975&lt;26,0,1)</f>
        <v/>
      </c>
    </row>
    <row r="976" ht="12.75" customHeight="1">
      <c r="AG976" s="101">
        <f>IF(G976&lt;0,0,1.2)+IF(G976&lt;14,0,0.9)+IF(P976&lt;0,0.7,0)+IF(P976&lt;6.5,1,0)+IF(P976&lt;23,1,0)+IF(R976&gt;80,0,1)+S976+IF(AD976&lt;20,0,1)+IF(AE976&lt;14,0,1)+IF(AF976&lt;26,0,1)</f>
        <v/>
      </c>
    </row>
    <row r="977" ht="12.75" customHeight="1">
      <c r="AG977" s="101">
        <f>IF(G977&lt;0,0,1.2)+IF(G977&lt;14,0,0.9)+IF(P977&lt;0,0.7,0)+IF(P977&lt;6.5,1,0)+IF(P977&lt;23,1,0)+IF(R977&gt;80,0,1)+S977+IF(AD977&lt;20,0,1)+IF(AE977&lt;14,0,1)+IF(AF977&lt;26,0,1)</f>
        <v/>
      </c>
    </row>
    <row r="978" ht="12.75" customHeight="1">
      <c r="AG978" s="101">
        <f>IF(G978&lt;0,0,1.2)+IF(G978&lt;14,0,0.9)+IF(P978&lt;0,0.7,0)+IF(P978&lt;6.5,1,0)+IF(P978&lt;23,1,0)+IF(R978&gt;80,0,1)+S978+IF(AD978&lt;20,0,1)+IF(AE978&lt;14,0,1)+IF(AF978&lt;26,0,1)</f>
        <v/>
      </c>
    </row>
    <row r="979" ht="12.75" customHeight="1">
      <c r="AG979" s="101">
        <f>IF(G979&lt;0,0,1.2)+IF(G979&lt;14,0,0.9)+IF(P979&lt;0,0.7,0)+IF(P979&lt;6.5,1,0)+IF(P979&lt;23,1,0)+IF(R979&gt;80,0,1)+S979+IF(AD979&lt;20,0,1)+IF(AE979&lt;14,0,1)+IF(AF979&lt;26,0,1)</f>
        <v/>
      </c>
    </row>
    <row r="980" ht="12.75" customHeight="1">
      <c r="AG980" s="101">
        <f>IF(G980&lt;0,0,1.2)+IF(G980&lt;14,0,0.9)+IF(P980&lt;0,0.7,0)+IF(P980&lt;6.5,1,0)+IF(P980&lt;23,1,0)+IF(R980&gt;80,0,1)+S980+IF(AD980&lt;20,0,1)+IF(AE980&lt;14,0,1)+IF(AF980&lt;26,0,1)</f>
        <v/>
      </c>
    </row>
    <row r="981" ht="12.75" customHeight="1">
      <c r="AG981" s="101">
        <f>IF(G981&lt;0,0,1.2)+IF(G981&lt;14,0,0.9)+IF(P981&lt;0,0.7,0)+IF(P981&lt;6.5,1,0)+IF(P981&lt;23,1,0)+IF(R981&gt;80,0,1)+S981+IF(AD981&lt;20,0,1)+IF(AE981&lt;14,0,1)+IF(AF981&lt;26,0,1)</f>
        <v/>
      </c>
    </row>
    <row r="982" ht="12.75" customHeight="1">
      <c r="AG982" s="101">
        <f>IF(G982&lt;0,0,1.2)+IF(G982&lt;14,0,0.9)+IF(P982&lt;0,0.7,0)+IF(P982&lt;6.5,1,0)+IF(P982&lt;23,1,0)+IF(R982&gt;80,0,1)+S982+IF(AD982&lt;20,0,1)+IF(AE982&lt;14,0,1)+IF(AF982&lt;26,0,1)</f>
        <v/>
      </c>
    </row>
    <row r="983" ht="12.75" customHeight="1">
      <c r="AG983" s="101">
        <f>IF(G983&lt;0,0,1.2)+IF(G983&lt;14,0,0.9)+IF(P983&lt;0,0.7,0)+IF(P983&lt;6.5,1,0)+IF(P983&lt;23,1,0)+IF(R983&gt;80,0,1)+S983+IF(AD983&lt;20,0,1)+IF(AE983&lt;14,0,1)+IF(AF983&lt;26,0,1)</f>
        <v/>
      </c>
    </row>
    <row r="984" ht="12.75" customHeight="1">
      <c r="AG984" s="101">
        <f>IF(G984&lt;0,0,1.2)+IF(G984&lt;14,0,0.9)+IF(P984&lt;0,0.7,0)+IF(P984&lt;6.5,1,0)+IF(P984&lt;23,1,0)+IF(R984&gt;80,0,1)+S984+IF(AD984&lt;20,0,1)+IF(AE984&lt;14,0,1)+IF(AF984&lt;26,0,1)</f>
        <v/>
      </c>
    </row>
    <row r="985" ht="12.75" customHeight="1">
      <c r="AG985" s="101">
        <f>IF(G985&lt;0,0,1.2)+IF(G985&lt;14,0,0.9)+IF(P985&lt;0,0.7,0)+IF(P985&lt;6.5,1,0)+IF(P985&lt;23,1,0)+IF(R985&gt;80,0,1)+S985+IF(AD985&lt;20,0,1)+IF(AE985&lt;14,0,1)+IF(AF985&lt;26,0,1)</f>
        <v/>
      </c>
    </row>
    <row r="986" ht="12.75" customHeight="1">
      <c r="AG986" s="101">
        <f>IF(G986&lt;0,0,1.2)+IF(G986&lt;14,0,0.9)+IF(P986&lt;0,0.7,0)+IF(P986&lt;6.5,1,0)+IF(P986&lt;23,1,0)+IF(R986&gt;80,0,1)+S986+IF(AD986&lt;20,0,1)+IF(AE986&lt;14,0,1)+IF(AF986&lt;26,0,1)</f>
        <v/>
      </c>
    </row>
    <row r="987" ht="12.75" customHeight="1">
      <c r="AG987" s="101">
        <f>IF(G987&lt;0,0,1.2)+IF(G987&lt;14,0,0.9)+IF(P987&lt;0,0.7,0)+IF(P987&lt;6.5,1,0)+IF(P987&lt;23,1,0)+IF(R987&gt;80,0,1)+S987+IF(AD987&lt;20,0,1)+IF(AE987&lt;14,0,1)+IF(AF987&lt;26,0,1)</f>
        <v/>
      </c>
    </row>
    <row r="988" ht="12.75" customHeight="1">
      <c r="AG988" s="101">
        <f>IF(G988&lt;0,0,1.2)+IF(G988&lt;14,0,0.9)+IF(P988&lt;0,0.7,0)+IF(P988&lt;6.5,1,0)+IF(P988&lt;23,1,0)+IF(R988&gt;80,0,1)+S988+IF(AD988&lt;20,0,1)+IF(AE988&lt;14,0,1)+IF(AF988&lt;26,0,1)</f>
        <v/>
      </c>
    </row>
    <row r="989" ht="12.75" customHeight="1">
      <c r="AG989" s="101">
        <f>IF(G989&lt;0,0,1.2)+IF(G989&lt;14,0,0.9)+IF(P989&lt;0,0.7,0)+IF(P989&lt;6.5,1,0)+IF(P989&lt;23,1,0)+IF(R989&gt;80,0,1)+S989+IF(AD989&lt;20,0,1)+IF(AE989&lt;14,0,1)+IF(AF989&lt;26,0,1)</f>
        <v/>
      </c>
    </row>
    <row r="990" ht="12.75" customHeight="1">
      <c r="AG990" s="101">
        <f>IF(G990&lt;0,0,1.2)+IF(G990&lt;14,0,0.9)+IF(P990&lt;0,0.7,0)+IF(P990&lt;6.5,1,0)+IF(P990&lt;23,1,0)+IF(R990&gt;80,0,1)+S990+IF(AD990&lt;20,0,1)+IF(AE990&lt;14,0,1)+IF(AF990&lt;26,0,1)</f>
        <v/>
      </c>
    </row>
    <row r="991" ht="12.75" customHeight="1">
      <c r="AG991" s="101">
        <f>IF(G991&lt;0,0,1.2)+IF(G991&lt;14,0,0.9)+IF(P991&lt;0,0.7,0)+IF(P991&lt;6.5,1,0)+IF(P991&lt;23,1,0)+IF(R991&gt;80,0,1)+S991+IF(AD991&lt;20,0,1)+IF(AE991&lt;14,0,1)+IF(AF991&lt;26,0,1)</f>
        <v/>
      </c>
    </row>
    <row r="992" ht="12.75" customHeight="1">
      <c r="AG992" s="101">
        <f>IF(G992&lt;0,0,1.2)+IF(G992&lt;14,0,0.9)+IF(P992&lt;0,0.7,0)+IF(P992&lt;6.5,1,0)+IF(P992&lt;23,1,0)+IF(R992&gt;80,0,1)+S992+IF(AD992&lt;20,0,1)+IF(AE992&lt;14,0,1)+IF(AF992&lt;26,0,1)</f>
        <v/>
      </c>
    </row>
    <row r="993" ht="12.75" customHeight="1">
      <c r="AG993" s="101">
        <f>IF(G993&lt;0,0,1.2)+IF(G993&lt;14,0,0.9)+IF(P993&lt;0,0.7,0)+IF(P993&lt;6.5,1,0)+IF(P993&lt;23,1,0)+IF(R993&gt;80,0,1)+S993+IF(AD993&lt;20,0,1)+IF(AE993&lt;14,0,1)+IF(AF993&lt;26,0,1)</f>
        <v/>
      </c>
    </row>
    <row r="994" ht="12.75" customHeight="1">
      <c r="AG994" s="101">
        <f>IF(G994&lt;0,0,1.2)+IF(G994&lt;14,0,0.9)+IF(P994&lt;0,0.7,0)+IF(P994&lt;6.5,1,0)+IF(P994&lt;23,1,0)+IF(R994&gt;80,0,1)+S994+IF(AD994&lt;20,0,1)+IF(AE994&lt;14,0,1)+IF(AF994&lt;26,0,1)</f>
        <v/>
      </c>
    </row>
    <row r="995" ht="12.75" customHeight="1">
      <c r="AG995" s="101">
        <f>IF(G995&lt;0,0,1.2)+IF(G995&lt;14,0,0.9)+IF(P995&lt;0,0.7,0)+IF(P995&lt;6.5,1,0)+IF(P995&lt;23,1,0)+IF(R995&gt;80,0,1)+S995+IF(AD995&lt;20,0,1)+IF(AE995&lt;14,0,1)+IF(AF995&lt;26,0,1)</f>
        <v/>
      </c>
    </row>
    <row r="996" ht="12.75" customHeight="1">
      <c r="AG996" s="101">
        <f>IF(G996&lt;0,0,1.2)+IF(G996&lt;14,0,0.9)+IF(P996&lt;0,0.7,0)+IF(P996&lt;6.5,1,0)+IF(P996&lt;23,1,0)+IF(R996&gt;80,0,1)+S996+IF(AD996&lt;20,0,1)+IF(AE996&lt;14,0,1)+IF(AF996&lt;26,0,1)</f>
        <v/>
      </c>
    </row>
    <row r="997" ht="12.75" customHeight="1">
      <c r="AG997" s="101">
        <f>IF(G997&lt;0,0,1.2)+IF(G997&lt;14,0,0.9)+IF(P997&lt;0,0.7,0)+IF(P997&lt;6.5,1,0)+IF(P997&lt;23,1,0)+IF(R997&gt;80,0,1)+S997+IF(AD997&lt;20,0,1)+IF(AE997&lt;14,0,1)+IF(AF997&lt;26,0,1)</f>
        <v/>
      </c>
    </row>
    <row r="998" ht="12.75" customHeight="1">
      <c r="AG998" s="101">
        <f>IF(G998&lt;0,0,1.2)+IF(G998&lt;14,0,0.9)+IF(P998&lt;0,0.7,0)+IF(P998&lt;6.5,1,0)+IF(P998&lt;23,1,0)+IF(R998&gt;80,0,1)+S998+IF(AD998&lt;20,0,1)+IF(AE998&lt;14,0,1)+IF(AF998&lt;26,0,1)</f>
        <v/>
      </c>
    </row>
    <row r="999" ht="12.75" customHeight="1">
      <c r="AG999" s="101">
        <f>IF(G999&lt;0,0,1.2)+IF(G999&lt;14,0,0.9)+IF(P999&lt;0,0.7,0)+IF(P999&lt;6.5,1,0)+IF(P999&lt;23,1,0)+IF(R999&gt;80,0,1)+S999+IF(AD999&lt;20,0,1)+IF(AE999&lt;14,0,1)+IF(AF999&lt;26,0,1)</f>
        <v/>
      </c>
    </row>
    <row r="1000" ht="12.75" customHeight="1">
      <c r="AG1000" s="101">
        <f>IF(G1000&lt;0,0,1.2)+IF(G1000&lt;14,0,0.9)+IF(P1000&lt;0,0.7,0)+IF(P1000&lt;6.5,1,0)+IF(P1000&lt;23,1,0)+IF(R1000&gt;80,0,1)+S1000+IF(AD1000&lt;20,0,1)+IF(AE1000&lt;14,0,1)+IF(AF1000&lt;26,0,1)</f>
        <v/>
      </c>
    </row>
    <row r="1001" ht="12.75" customHeight="1">
      <c r="AG1001" s="101">
        <f>IF(G1001&lt;0,0,1.2)+IF(G1001&lt;14,0,0.9)+IF(P1001&lt;0,0.7,0)+IF(P1001&lt;6.5,1,0)+IF(P1001&lt;23,1,0)+IF(R1001&gt;80,0,1)+S1001+IF(AD1001&lt;20,0,1)+IF(AE1001&lt;14,0,1)+IF(AF1001&lt;26,0,1)</f>
        <v/>
      </c>
    </row>
    <row r="1002" ht="12.75" customHeight="1">
      <c r="AG1002" s="101">
        <f>IF(G1002&lt;0,0,1.2)+IF(G1002&lt;14,0,0.9)+IF(P1002&lt;0,0.7,0)+IF(P1002&lt;6.5,1,0)+IF(P1002&lt;23,1,0)+IF(R1002&gt;80,0,1)+S1002+IF(AD1002&lt;20,0,1)+IF(AE1002&lt;14,0,1)+IF(AF1002&lt;26,0,1)</f>
        <v/>
      </c>
    </row>
    <row r="1003" ht="12.75" customHeight="1">
      <c r="AG1003" s="101">
        <f>IF(G1003&lt;0,0,1.2)+IF(G1003&lt;14,0,0.9)+IF(P1003&lt;0,0.7,0)+IF(P1003&lt;6.5,1,0)+IF(P1003&lt;23,1,0)+IF(R1003&gt;80,0,1)+S1003+IF(AD1003&lt;20,0,1)+IF(AE1003&lt;14,0,1)+IF(AF1003&lt;26,0,1)</f>
        <v/>
      </c>
    </row>
    <row r="1004" ht="12.75" customHeight="1">
      <c r="AG1004" s="101">
        <f>IF(G1004&lt;0,0,1.2)+IF(G1004&lt;14,0,0.9)+IF(P1004&lt;0,0.7,0)+IF(P1004&lt;6.5,1,0)+IF(P1004&lt;23,1,0)+IF(R1004&gt;80,0,1)+S1004+IF(AD1004&lt;20,0,1)+IF(AE1004&lt;14,0,1)+IF(AF1004&lt;26,0,1)</f>
        <v/>
      </c>
    </row>
    <row r="1005" ht="12.75" customHeight="1">
      <c r="AG1005" s="101">
        <f>IF(G1005&lt;0,0,1.2)+IF(G1005&lt;14,0,0.9)+IF(P1005&lt;0,0.7,0)+IF(P1005&lt;6.5,1,0)+IF(P1005&lt;23,1,0)+IF(R1005&gt;80,0,1)+S1005+IF(AD1005&lt;20,0,1)+IF(AE1005&lt;14,0,1)+IF(AF1005&lt;26,0,1)</f>
        <v/>
      </c>
    </row>
    <row r="1006" ht="12.75" customHeight="1">
      <c r="AG1006" s="101">
        <f>IF(G1006&lt;0,0,1.2)+IF(G1006&lt;14,0,0.9)+IF(P1006&lt;0,0.7,0)+IF(P1006&lt;6.5,1,0)+IF(P1006&lt;23,1,0)+IF(R1006&gt;80,0,1)+S1006+IF(AD1006&lt;20,0,1)+IF(AE1006&lt;14,0,1)+IF(AF1006&lt;26,0,1)</f>
        <v/>
      </c>
    </row>
    <row r="1007" ht="12.75" customHeight="1">
      <c r="AG1007" s="101">
        <f>IF(G1007&lt;0,0,1.2)+IF(G1007&lt;14,0,0.9)+IF(P1007&lt;0,0.7,0)+IF(P1007&lt;6.5,1,0)+IF(P1007&lt;23,1,0)+IF(R1007&gt;80,0,1)+S1007+IF(AD1007&lt;20,0,1)+IF(AE1007&lt;14,0,1)+IF(AF1007&lt;26,0,1)</f>
        <v/>
      </c>
    </row>
    <row r="1008" ht="12.75" customHeight="1">
      <c r="AG1008" s="101">
        <f>IF(G1008&lt;0,0,1.2)+IF(G1008&lt;14,0,0.9)+IF(P1008&lt;0,0.7,0)+IF(P1008&lt;6.5,1,0)+IF(P1008&lt;23,1,0)+IF(R1008&gt;80,0,1)+S1008+IF(AD1008&lt;20,0,1)+IF(AE1008&lt;14,0,1)+IF(AF1008&lt;26,0,1)</f>
        <v/>
      </c>
    </row>
    <row r="1009" ht="12.75" customHeight="1">
      <c r="AG1009" s="101">
        <f>IF(G1009&lt;0,0,1.2)+IF(G1009&lt;14,0,0.9)+IF(P1009&lt;0,0.7,0)+IF(P1009&lt;6.5,1,0)+IF(P1009&lt;23,1,0)+IF(R1009&gt;80,0,1)+S1009+IF(AD1009&lt;20,0,1)+IF(AE1009&lt;14,0,1)+IF(AF1009&lt;26,0,1)</f>
        <v/>
      </c>
    </row>
    <row r="1010" ht="12.75" customHeight="1">
      <c r="AG1010" s="101">
        <f>IF(G1010&lt;0,0,1.2)+IF(G1010&lt;14,0,0.9)+IF(P1010&lt;0,0.7,0)+IF(P1010&lt;6.5,1,0)+IF(P1010&lt;23,1,0)+IF(R1010&gt;80,0,1)+S1010+IF(AD1010&lt;20,0,1)+IF(AE1010&lt;14,0,1)+IF(AF1010&lt;26,0,1)</f>
        <v/>
      </c>
    </row>
    <row r="1011" ht="12.75" customHeight="1">
      <c r="AG1011" s="101">
        <f>IF(G1011&lt;0,0,1.2)+IF(G1011&lt;14,0,0.9)+IF(P1011&lt;0,0.7,0)+IF(P1011&lt;6.5,1,0)+IF(P1011&lt;23,1,0)+IF(R1011&gt;80,0,1)+S1011+IF(AD1011&lt;20,0,1)+IF(AE1011&lt;14,0,1)+IF(AF1011&lt;26,0,1)</f>
        <v/>
      </c>
    </row>
    <row r="1012" ht="12.75" customHeight="1">
      <c r="AG1012" s="101">
        <f>IF(G1012&lt;0,0,1.2)+IF(G1012&lt;14,0,0.9)+IF(P1012&lt;0,0.7,0)+IF(P1012&lt;6.5,1,0)+IF(P1012&lt;23,1,0)+IF(R1012&gt;80,0,1)+S1012+IF(AD1012&lt;20,0,1)+IF(AE1012&lt;14,0,1)+IF(AF1012&lt;26,0,1)</f>
        <v/>
      </c>
    </row>
    <row r="1013" ht="12.75" customHeight="1">
      <c r="AG1013" s="101">
        <f>IF(G1013&lt;0,0,1.2)+IF(G1013&lt;14,0,0.9)+IF(P1013&lt;0,0.7,0)+IF(P1013&lt;6.5,1,0)+IF(P1013&lt;23,1,0)+IF(R1013&gt;80,0,1)+S1013+IF(AD1013&lt;20,0,1)+IF(AE1013&lt;14,0,1)+IF(AF1013&lt;26,0,1)</f>
        <v/>
      </c>
    </row>
    <row r="1014" ht="12.75" customHeight="1">
      <c r="AG1014" s="101">
        <f>IF(G1014&lt;0,0,1.2)+IF(G1014&lt;14,0,0.9)+IF(P1014&lt;0,0.7,0)+IF(P1014&lt;6.5,1,0)+IF(P1014&lt;23,1,0)+IF(R1014&gt;80,0,1)+S1014+IF(AD1014&lt;20,0,1)+IF(AE1014&lt;14,0,1)+IF(AF1014&lt;26,0,1)</f>
        <v/>
      </c>
    </row>
    <row r="1015" ht="12.75" customHeight="1">
      <c r="AG1015" s="101">
        <f>IF(G1015&lt;0,0,1.2)+IF(G1015&lt;14,0,0.9)+IF(P1015&lt;0,0.7,0)+IF(P1015&lt;6.5,1,0)+IF(P1015&lt;23,1,0)+IF(R1015&gt;80,0,1)+S1015+IF(AD1015&lt;20,0,1)+IF(AE1015&lt;14,0,1)+IF(AF1015&lt;26,0,1)</f>
        <v/>
      </c>
    </row>
    <row r="1016" ht="12.75" customHeight="1">
      <c r="AG1016" s="101">
        <f>IF(G1016&lt;0,0,1.2)+IF(G1016&lt;14,0,0.9)+IF(P1016&lt;0,0.7,0)+IF(P1016&lt;6.5,1,0)+IF(P1016&lt;23,1,0)+IF(R1016&gt;80,0,1)+S1016+IF(AD1016&lt;20,0,1)+IF(AE1016&lt;14,0,1)+IF(AF1016&lt;26,0,1)</f>
        <v/>
      </c>
    </row>
    <row r="1017" ht="12.75" customHeight="1">
      <c r="AG1017" s="101">
        <f>IF(G1017&lt;0,0,1.2)+IF(G1017&lt;14,0,0.9)+IF(P1017&lt;0,0.7,0)+IF(P1017&lt;6.5,1,0)+IF(P1017&lt;23,1,0)+IF(R1017&gt;80,0,1)+S1017+IF(AD1017&lt;20,0,1)+IF(AE1017&lt;14,0,1)+IF(AF1017&lt;26,0,1)</f>
        <v/>
      </c>
    </row>
    <row r="1018" ht="12.75" customHeight="1">
      <c r="AG1018" s="101">
        <f>IF(G1018&lt;0,0,1.2)+IF(G1018&lt;14,0,0.9)+IF(P1018&lt;0,0.7,0)+IF(P1018&lt;6.5,1,0)+IF(P1018&lt;23,1,0)+IF(R1018&gt;80,0,1)+S1018+IF(AD1018&lt;20,0,1)+IF(AE1018&lt;14,0,1)+IF(AF1018&lt;26,0,1)</f>
        <v/>
      </c>
    </row>
    <row r="1019" ht="12.75" customHeight="1">
      <c r="AG1019" s="101">
        <f>IF(G1019&lt;0,0,1.2)+IF(G1019&lt;14,0,0.9)+IF(P1019&lt;0,0.7,0)+IF(P1019&lt;6.5,1,0)+IF(P1019&lt;23,1,0)+IF(R1019&gt;80,0,1)+S1019+IF(AD1019&lt;20,0,1)+IF(AE1019&lt;14,0,1)+IF(AF1019&lt;26,0,1)</f>
        <v/>
      </c>
    </row>
    <row r="1020" ht="12.75" customHeight="1">
      <c r="AG1020" s="101">
        <f>IF(G1020&lt;0,0,1.2)+IF(G1020&lt;14,0,0.9)+IF(P1020&lt;0,0.7,0)+IF(P1020&lt;6.5,1,0)+IF(P1020&lt;23,1,0)+IF(R1020&gt;80,0,1)+S1020+IF(AD1020&lt;20,0,1)+IF(AE1020&lt;14,0,1)+IF(AF1020&lt;26,0,1)</f>
        <v/>
      </c>
    </row>
    <row r="1021" ht="12.75" customHeight="1">
      <c r="AG1021" s="101">
        <f>IF(G1021&lt;0,0,1.2)+IF(G1021&lt;14,0,0.9)+IF(P1021&lt;0,0.7,0)+IF(P1021&lt;6.5,1,0)+IF(P1021&lt;23,1,0)+IF(R1021&gt;80,0,1)+S1021+IF(AD1021&lt;20,0,1)+IF(AE1021&lt;14,0,1)+IF(AF1021&lt;26,0,1)</f>
        <v/>
      </c>
    </row>
    <row r="1022" ht="12.75" customHeight="1">
      <c r="AG1022" s="101">
        <f>IF(G1022&lt;0,0,1.2)+IF(G1022&lt;14,0,0.9)+IF(P1022&lt;0,0.7,0)+IF(P1022&lt;6.5,1,0)+IF(P1022&lt;23,1,0)+IF(R1022&gt;80,0,1)+S1022+IF(AD1022&lt;20,0,1)+IF(AE1022&lt;14,0,1)+IF(AF1022&lt;26,0,1)</f>
        <v/>
      </c>
    </row>
    <row r="1023" ht="12.75" customHeight="1">
      <c r="AG1023" s="101">
        <f>IF(G1023&lt;0,0,1.2)+IF(G1023&lt;14,0,0.9)+IF(P1023&lt;0,0.7,0)+IF(P1023&lt;6.5,1,0)+IF(P1023&lt;23,1,0)+IF(R1023&gt;80,0,1)+S1023+IF(AD1023&lt;20,0,1)+IF(AE1023&lt;14,0,1)+IF(AF1023&lt;26,0,1)</f>
        <v/>
      </c>
    </row>
    <row r="1024" ht="12.75" customHeight="1">
      <c r="AG1024" s="101">
        <f>IF(G1024&lt;0,0,1.2)+IF(G1024&lt;14,0,0.9)+IF(P1024&lt;0,0.7,0)+IF(P1024&lt;6.5,1,0)+IF(P1024&lt;23,1,0)+IF(R1024&gt;80,0,1)+S1024+IF(AD1024&lt;20,0,1)+IF(AE1024&lt;14,0,1)+IF(AF1024&lt;26,0,1)</f>
        <v/>
      </c>
    </row>
    <row r="1025" ht="12.75" customHeight="1">
      <c r="AG1025" s="101">
        <f>IF(G1025&lt;0,0,1.2)+IF(G1025&lt;14,0,0.9)+IF(P1025&lt;0,0.7,0)+IF(P1025&lt;6.5,1,0)+IF(P1025&lt;23,1,0)+IF(R1025&gt;80,0,1)+S1025+IF(AD1025&lt;20,0,1)+IF(AE1025&lt;14,0,1)+IF(AF1025&lt;26,0,1)</f>
        <v/>
      </c>
    </row>
    <row r="1026" ht="12.75" customHeight="1">
      <c r="AG1026" s="101">
        <f>IF(G1026&lt;0,0,1.2)+IF(G1026&lt;14,0,0.9)+IF(P1026&lt;0,0.7,0)+IF(P1026&lt;6.5,1,0)+IF(P1026&lt;23,1,0)+IF(R1026&gt;80,0,1)+S1026+IF(AD1026&lt;20,0,1)+IF(AE1026&lt;14,0,1)+IF(AF1026&lt;26,0,1)</f>
        <v/>
      </c>
    </row>
    <row r="1027" ht="12.75" customHeight="1">
      <c r="AG1027" s="101">
        <f>IF(G1027&lt;0,0,1.2)+IF(G1027&lt;14,0,0.9)+IF(P1027&lt;0,0.7,0)+IF(P1027&lt;6.5,1,0)+IF(P1027&lt;23,1,0)+IF(R1027&gt;80,0,1)+S1027+IF(AD1027&lt;20,0,1)+IF(AE1027&lt;14,0,1)+IF(AF1027&lt;26,0,1)</f>
        <v/>
      </c>
    </row>
    <row r="1028" ht="12.75" customHeight="1">
      <c r="AG1028" s="101">
        <f>IF(G1028&lt;0,0,1.2)+IF(G1028&lt;14,0,0.9)+IF(P1028&lt;0,0.7,0)+IF(P1028&lt;6.5,1,0)+IF(P1028&lt;23,1,0)+IF(R1028&gt;80,0,1)+S1028+IF(AD1028&lt;20,0,1)+IF(AE1028&lt;14,0,1)+IF(AF1028&lt;26,0,1)</f>
        <v/>
      </c>
    </row>
    <row r="1029" ht="12.75" customHeight="1">
      <c r="AG1029" s="101">
        <f>IF(G1029&lt;0,0,1.2)+IF(G1029&lt;14,0,0.9)+IF(P1029&lt;0,0.7,0)+IF(P1029&lt;6.5,1,0)+IF(P1029&lt;23,1,0)+IF(R1029&gt;80,0,1)+S1029+IF(AD1029&lt;20,0,1)+IF(AE1029&lt;14,0,1)+IF(AF1029&lt;26,0,1)</f>
        <v/>
      </c>
    </row>
    <row r="1030" ht="12.75" customHeight="1">
      <c r="AG1030" s="101">
        <f>IF(G1030&lt;0,0,1.2)+IF(G1030&lt;14,0,0.9)+IF(P1030&lt;0,0.7,0)+IF(P1030&lt;6.5,1,0)+IF(P1030&lt;23,1,0)+IF(R1030&gt;80,0,1)+S1030+IF(AD1030&lt;20,0,1)+IF(AE1030&lt;14,0,1)+IF(AF1030&lt;26,0,1)</f>
        <v/>
      </c>
    </row>
    <row r="1031" ht="12.75" customHeight="1">
      <c r="AG1031" s="101">
        <f>IF(G1031&lt;0,0,1.2)+IF(G1031&lt;14,0,0.9)+IF(P1031&lt;0,0.7,0)+IF(P1031&lt;6.5,1,0)+IF(P1031&lt;23,1,0)+IF(R1031&gt;80,0,1)+S1031+IF(AD1031&lt;20,0,1)+IF(AE1031&lt;14,0,1)+IF(AF1031&lt;26,0,1)</f>
        <v/>
      </c>
    </row>
    <row r="1032" ht="12.75" customHeight="1">
      <c r="AG1032" s="101">
        <f>IF(G1032&lt;0,0,1.2)+IF(G1032&lt;14,0,0.9)+IF(P1032&lt;0,0.7,0)+IF(P1032&lt;6.5,1,0)+IF(P1032&lt;23,1,0)+IF(R1032&gt;80,0,1)+S1032+IF(AD1032&lt;20,0,1)+IF(AE1032&lt;14,0,1)+IF(AF1032&lt;26,0,1)</f>
        <v/>
      </c>
    </row>
    <row r="1033" ht="12.75" customHeight="1">
      <c r="AG1033" s="101">
        <f>IF(G1033&lt;0,0,1.2)+IF(G1033&lt;14,0,0.9)+IF(P1033&lt;0,0.7,0)+IF(P1033&lt;6.5,1,0)+IF(P1033&lt;23,1,0)+IF(R1033&gt;80,0,1)+S1033+IF(AD1033&lt;20,0,1)+IF(AE1033&lt;14,0,1)+IF(AF1033&lt;26,0,1)</f>
        <v/>
      </c>
    </row>
    <row r="1034" ht="12.75" customHeight="1">
      <c r="AG1034" s="101">
        <f>IF(G1034&lt;0,0,1.2)+IF(G1034&lt;14,0,0.9)+IF(P1034&lt;0,0.7,0)+IF(P1034&lt;6.5,1,0)+IF(P1034&lt;23,1,0)+IF(R1034&gt;80,0,1)+S1034+IF(AD1034&lt;20,0,1)+IF(AE1034&lt;14,0,1)+IF(AF1034&lt;26,0,1)</f>
        <v/>
      </c>
    </row>
    <row r="1035" ht="12.75" customHeight="1">
      <c r="AG1035" s="101">
        <f>IF(G1035&lt;0,0,1.2)+IF(G1035&lt;14,0,0.9)+IF(P1035&lt;0,0.7,0)+IF(P1035&lt;6.5,1,0)+IF(P1035&lt;23,1,0)+IF(R1035&gt;80,0,1)+S1035+IF(AD1035&lt;20,0,1)+IF(AE1035&lt;14,0,1)+IF(AF1035&lt;26,0,1)</f>
        <v/>
      </c>
    </row>
    <row r="1036" ht="12.75" customHeight="1">
      <c r="AG1036" s="101">
        <f>IF(G1036&lt;0,0,1.2)+IF(G1036&lt;14,0,0.9)+IF(P1036&lt;0,0.7,0)+IF(P1036&lt;6.5,1,0)+IF(P1036&lt;23,1,0)+IF(R1036&gt;80,0,1)+S1036+IF(AD1036&lt;20,0,1)+IF(AE1036&lt;14,0,1)+IF(AF1036&lt;26,0,1)</f>
        <v/>
      </c>
    </row>
    <row r="1037" ht="12.75" customHeight="1">
      <c r="AG1037" s="101">
        <f>IF(G1037&lt;0,0,1.2)+IF(G1037&lt;14,0,0.9)+IF(P1037&lt;0,0.7,0)+IF(P1037&lt;6.5,1,0)+IF(P1037&lt;23,1,0)+IF(R1037&gt;80,0,1)+S1037+IF(AD1037&lt;20,0,1)+IF(AE1037&lt;14,0,1)+IF(AF1037&lt;26,0,1)</f>
        <v/>
      </c>
    </row>
    <row r="1038" ht="12.75" customHeight="1">
      <c r="AG1038" s="101">
        <f>IF(G1038&lt;0,0,1.2)+IF(G1038&lt;14,0,0.9)+IF(P1038&lt;0,0.7,0)+IF(P1038&lt;6.5,1,0)+IF(P1038&lt;23,1,0)+IF(R1038&gt;80,0,1)+S1038+IF(AD1038&lt;20,0,1)+IF(AE1038&lt;14,0,1)+IF(AF1038&lt;26,0,1)</f>
        <v/>
      </c>
    </row>
    <row r="1039" ht="12.75" customHeight="1">
      <c r="AG1039" s="101">
        <f>IF(G1039&lt;0,0,1.2)+IF(G1039&lt;14,0,0.9)+IF(P1039&lt;0,0.7,0)+IF(P1039&lt;6.5,1,0)+IF(P1039&lt;23,1,0)+IF(R1039&gt;80,0,1)+S1039+IF(AD1039&lt;20,0,1)+IF(AE1039&lt;14,0,1)+IF(AF1039&lt;26,0,1)</f>
        <v/>
      </c>
    </row>
    <row r="1040" ht="12.75" customHeight="1">
      <c r="AG1040" s="101">
        <f>IF(G1040&lt;0,0,1.2)+IF(G1040&lt;14,0,0.9)+IF(P1040&lt;0,0.7,0)+IF(P1040&lt;6.5,1,0)+IF(P1040&lt;23,1,0)+IF(R1040&gt;80,0,1)+S1040+IF(AD1040&lt;20,0,1)+IF(AE1040&lt;14,0,1)+IF(AF1040&lt;26,0,1)</f>
        <v/>
      </c>
    </row>
    <row r="1041" ht="12.75" customHeight="1">
      <c r="AG1041" s="101">
        <f>IF(G1041&lt;0,0,1.2)+IF(G1041&lt;14,0,0.9)+IF(P1041&lt;0,0.7,0)+IF(P1041&lt;6.5,1,0)+IF(P1041&lt;23,1,0)+IF(R1041&gt;80,0,1)+S1041+IF(AD1041&lt;20,0,1)+IF(AE1041&lt;14,0,1)+IF(AF1041&lt;26,0,1)</f>
        <v/>
      </c>
    </row>
    <row r="1042" ht="12.75" customHeight="1">
      <c r="AG1042" s="101">
        <f>IF(G1042&lt;0,0,1.2)+IF(G1042&lt;14,0,0.9)+IF(P1042&lt;0,0.7,0)+IF(P1042&lt;6.5,1,0)+IF(P1042&lt;23,1,0)+IF(R1042&gt;80,0,1)+S1042+IF(AD1042&lt;20,0,1)+IF(AE1042&lt;14,0,1)+IF(AF1042&lt;26,0,1)</f>
        <v/>
      </c>
    </row>
    <row r="1043" ht="12.75" customHeight="1">
      <c r="AG1043" s="101">
        <f>IF(G1043&lt;0,0,1.2)+IF(G1043&lt;14,0,0.9)+IF(P1043&lt;0,0.7,0)+IF(P1043&lt;6.5,1,0)+IF(P1043&lt;23,1,0)+IF(R1043&gt;80,0,1)+S1043+IF(AD1043&lt;20,0,1)+IF(AE1043&lt;14,0,1)+IF(AF1043&lt;26,0,1)</f>
        <v/>
      </c>
    </row>
    <row r="1044" ht="12.75" customHeight="1">
      <c r="AG1044" s="101">
        <f>IF(G1044&lt;0,0,1.2)+IF(G1044&lt;14,0,0.9)+IF(P1044&lt;0,0.7,0)+IF(P1044&lt;6.5,1,0)+IF(P1044&lt;23,1,0)+IF(R1044&gt;80,0,1)+S1044+IF(AD1044&lt;20,0,1)+IF(AE1044&lt;14,0,1)+IF(AF1044&lt;26,0,1)</f>
        <v/>
      </c>
    </row>
    <row r="1045" ht="12.75" customHeight="1">
      <c r="AG1045" s="101">
        <f>IF(G1045&lt;0,0,1.2)+IF(G1045&lt;14,0,0.9)+IF(P1045&lt;0,0.7,0)+IF(P1045&lt;6.5,1,0)+IF(P1045&lt;23,1,0)+IF(R1045&gt;80,0,1)+S1045+IF(AD1045&lt;20,0,1)+IF(AE1045&lt;14,0,1)+IF(AF1045&lt;26,0,1)</f>
        <v/>
      </c>
    </row>
    <row r="1046" ht="12.75" customHeight="1">
      <c r="AG1046" s="101">
        <f>IF(G1046&lt;0,0,1.2)+IF(G1046&lt;14,0,0.9)+IF(P1046&lt;0,0.7,0)+IF(P1046&lt;6.5,1,0)+IF(P1046&lt;23,1,0)+IF(R1046&gt;80,0,1)+S1046+IF(AD1046&lt;20,0,1)+IF(AE1046&lt;14,0,1)+IF(AF1046&lt;26,0,1)</f>
        <v/>
      </c>
    </row>
    <row r="1047" ht="12.75" customHeight="1">
      <c r="AG1047" s="101">
        <f>IF(G1047&lt;0,0,1.2)+IF(G1047&lt;14,0,0.9)+IF(P1047&lt;0,0.7,0)+IF(P1047&lt;6.5,1,0)+IF(P1047&lt;23,1,0)+IF(R1047&gt;80,0,1)+S1047+IF(AD1047&lt;20,0,1)+IF(AE1047&lt;14,0,1)+IF(AF1047&lt;26,0,1)</f>
        <v/>
      </c>
    </row>
    <row r="1048" ht="12.75" customHeight="1">
      <c r="AG1048" s="101">
        <f>IF(G1048&lt;0,0,1.2)+IF(G1048&lt;14,0,0.9)+IF(P1048&lt;0,0.7,0)+IF(P1048&lt;6.5,1,0)+IF(P1048&lt;23,1,0)+IF(R1048&gt;80,0,1)+S1048+IF(AD1048&lt;20,0,1)+IF(AE1048&lt;14,0,1)+IF(AF1048&lt;26,0,1)</f>
        <v/>
      </c>
    </row>
    <row r="1049" ht="12.75" customHeight="1">
      <c r="AG1049" s="101">
        <f>IF(G1049&lt;0,0,1.2)+IF(G1049&lt;14,0,0.9)+IF(P1049&lt;0,0.7,0)+IF(P1049&lt;6.5,1,0)+IF(P1049&lt;23,1,0)+IF(R1049&gt;80,0,1)+S1049+IF(AD1049&lt;20,0,1)+IF(AE1049&lt;14,0,1)+IF(AF1049&lt;26,0,1)</f>
        <v/>
      </c>
    </row>
    <row r="1050" ht="12.75" customHeight="1">
      <c r="AG1050" s="101">
        <f>IF(G1050&lt;0,0,1.2)+IF(G1050&lt;14,0,0.9)+IF(P1050&lt;0,0.7,0)+IF(P1050&lt;6.5,1,0)+IF(P1050&lt;23,1,0)+IF(R1050&gt;80,0,1)+S1050+IF(AD1050&lt;20,0,1)+IF(AE1050&lt;14,0,1)+IF(AF1050&lt;26,0,1)</f>
        <v/>
      </c>
    </row>
    <row r="1051" ht="12.75" customHeight="1">
      <c r="AG1051" s="101">
        <f>IF(G1051&lt;0,0,1.2)+IF(G1051&lt;14,0,0.9)+IF(P1051&lt;0,0.7,0)+IF(P1051&lt;6.5,1,0)+IF(P1051&lt;23,1,0)+IF(R1051&gt;80,0,1)+S1051+IF(AD1051&lt;20,0,1)+IF(AE1051&lt;14,0,1)+IF(AF1051&lt;26,0,1)</f>
        <v/>
      </c>
    </row>
    <row r="1052" ht="12.75" customHeight="1">
      <c r="AG1052" s="101">
        <f>IF(G1052&lt;0,0,1.2)+IF(G1052&lt;14,0,0.9)+IF(P1052&lt;0,0.7,0)+IF(P1052&lt;6.5,1,0)+IF(P1052&lt;23,1,0)+IF(R1052&gt;80,0,1)+S1052+IF(AD1052&lt;20,0,1)+IF(AE1052&lt;14,0,1)+IF(AF1052&lt;26,0,1)</f>
        <v/>
      </c>
    </row>
    <row r="1053" ht="12.75" customHeight="1">
      <c r="AG1053" s="101">
        <f>IF(G1053&lt;0,0,1.2)+IF(G1053&lt;14,0,0.9)+IF(P1053&lt;0,0.7,0)+IF(P1053&lt;6.5,1,0)+IF(P1053&lt;23,1,0)+IF(R1053&gt;80,0,1)+S1053+IF(AD1053&lt;20,0,1)+IF(AE1053&lt;14,0,1)+IF(AF1053&lt;26,0,1)</f>
        <v/>
      </c>
    </row>
    <row r="1054" ht="12.75" customHeight="1">
      <c r="AG1054" s="101">
        <f>IF(G1054&lt;0,0,1.2)+IF(G1054&lt;14,0,0.9)+IF(P1054&lt;0,0.7,0)+IF(P1054&lt;6.5,1,0)+IF(P1054&lt;23,1,0)+IF(R1054&gt;80,0,1)+S1054+IF(AD1054&lt;20,0,1)+IF(AE1054&lt;14,0,1)+IF(AF1054&lt;26,0,1)</f>
        <v/>
      </c>
    </row>
    <row r="1055" ht="12.75" customHeight="1">
      <c r="AG1055" s="101">
        <f>IF(G1055&lt;0,0,1.2)+IF(G1055&lt;14,0,0.9)+IF(P1055&lt;0,0.7,0)+IF(P1055&lt;6.5,1,0)+IF(P1055&lt;23,1,0)+IF(R1055&gt;80,0,1)+S1055+IF(AD1055&lt;20,0,1)+IF(AE1055&lt;14,0,1)+IF(AF1055&lt;26,0,1)</f>
        <v/>
      </c>
    </row>
    <row r="1056" ht="12.75" customHeight="1">
      <c r="AG1056" s="101">
        <f>IF(G1056&lt;0,0,1.2)+IF(G1056&lt;14,0,0.9)+IF(P1056&lt;0,0.7,0)+IF(P1056&lt;6.5,1,0)+IF(P1056&lt;23,1,0)+IF(R1056&gt;80,0,1)+S1056+IF(AD1056&lt;20,0,1)+IF(AE1056&lt;14,0,1)+IF(AF1056&lt;26,0,1)</f>
        <v/>
      </c>
    </row>
    <row r="1057" ht="12.75" customHeight="1">
      <c r="AG1057" s="101">
        <f>IF(G1057&lt;0,0,1.2)+IF(G1057&lt;14,0,0.9)+IF(P1057&lt;0,0.7,0)+IF(P1057&lt;6.5,1,0)+IF(P1057&lt;23,1,0)+IF(R1057&gt;80,0,1)+S1057+IF(AD1057&lt;20,0,1)+IF(AE1057&lt;14,0,1)+IF(AF1057&lt;26,0,1)</f>
        <v/>
      </c>
    </row>
    <row r="1058" ht="12.75" customHeight="1">
      <c r="AG1058" s="101">
        <f>IF(G1058&lt;0,0,1.2)+IF(G1058&lt;14,0,0.9)+IF(P1058&lt;0,0.7,0)+IF(P1058&lt;6.5,1,0)+IF(P1058&lt;23,1,0)+IF(R1058&gt;80,0,1)+S1058+IF(AD1058&lt;20,0,1)+IF(AE1058&lt;14,0,1)+IF(AF1058&lt;26,0,1)</f>
        <v/>
      </c>
    </row>
    <row r="1059" ht="12.75" customHeight="1">
      <c r="AG1059" s="101">
        <f>IF(G1059&lt;0,0,1.2)+IF(G1059&lt;14,0,0.9)+IF(P1059&lt;0,0.7,0)+IF(P1059&lt;6.5,1,0)+IF(P1059&lt;23,1,0)+IF(R1059&gt;80,0,1)+S1059+IF(AD1059&lt;20,0,1)+IF(AE1059&lt;14,0,1)+IF(AF1059&lt;26,0,1)</f>
        <v/>
      </c>
    </row>
    <row r="1060" ht="12.75" customHeight="1">
      <c r="AG1060" s="101">
        <f>IF(G1060&lt;0,0,1.2)+IF(G1060&lt;14,0,0.9)+IF(P1060&lt;0,0.7,0)+IF(P1060&lt;6.5,1,0)+IF(P1060&lt;23,1,0)+IF(R1060&gt;80,0,1)+S1060+IF(AD1060&lt;20,0,1)+IF(AE1060&lt;14,0,1)+IF(AF1060&lt;26,0,1)</f>
        <v/>
      </c>
    </row>
    <row r="1061" ht="12.75" customHeight="1">
      <c r="AG1061" s="101">
        <f>IF(G1061&lt;0,0,1.2)+IF(G1061&lt;14,0,0.9)+IF(P1061&lt;0,0.7,0)+IF(P1061&lt;6.5,1,0)+IF(P1061&lt;23,1,0)+IF(R1061&gt;80,0,1)+S1061+IF(AD1061&lt;20,0,1)+IF(AE1061&lt;14,0,1)+IF(AF1061&lt;26,0,1)</f>
        <v/>
      </c>
    </row>
    <row r="1062" ht="12.75" customHeight="1">
      <c r="AG1062" s="101">
        <f>IF(G1062&lt;0,0,1.2)+IF(G1062&lt;14,0,0.9)+IF(P1062&lt;0,0.7,0)+IF(P1062&lt;6.5,1,0)+IF(P1062&lt;23,1,0)+IF(R1062&gt;80,0,1)+S1062+IF(AD1062&lt;20,0,1)+IF(AE1062&lt;14,0,1)+IF(AF1062&lt;26,0,1)</f>
        <v/>
      </c>
    </row>
    <row r="1063" ht="12.75" customHeight="1">
      <c r="AG1063" s="101">
        <f>IF(G1063&lt;0,0,1.2)+IF(G1063&lt;14,0,0.9)+IF(P1063&lt;0,0.7,0)+IF(P1063&lt;6.5,1,0)+IF(P1063&lt;23,1,0)+IF(R1063&gt;80,0,1)+S1063+IF(AD1063&lt;20,0,1)+IF(AE1063&lt;14,0,1)+IF(AF1063&lt;26,0,1)</f>
        <v/>
      </c>
    </row>
    <row r="1064" ht="12.75" customHeight="1">
      <c r="AG1064" s="101">
        <f>IF(G1064&lt;0,0,1.2)+IF(G1064&lt;14,0,0.9)+IF(P1064&lt;0,0.7,0)+IF(P1064&lt;6.5,1,0)+IF(P1064&lt;23,1,0)+IF(R1064&gt;80,0,1)+S1064+IF(AD1064&lt;20,0,1)+IF(AE1064&lt;14,0,1)+IF(AF1064&lt;26,0,1)</f>
        <v/>
      </c>
    </row>
    <row r="1065" ht="12.75" customHeight="1">
      <c r="AG1065" s="101">
        <f>IF(G1065&lt;0,0,1.2)+IF(G1065&lt;14,0,0.9)+IF(P1065&lt;0,0.7,0)+IF(P1065&lt;6.5,1,0)+IF(P1065&lt;23,1,0)+IF(R1065&gt;80,0,1)+S1065+IF(AD1065&lt;20,0,1)+IF(AE1065&lt;14,0,1)+IF(AF1065&lt;26,0,1)</f>
        <v/>
      </c>
    </row>
    <row r="1066" ht="12.75" customHeight="1">
      <c r="AG1066" s="101">
        <f>IF(G1066&lt;0,0,1.2)+IF(G1066&lt;14,0,0.9)+IF(P1066&lt;0,0.7,0)+IF(P1066&lt;6.5,1,0)+IF(P1066&lt;23,1,0)+IF(R1066&gt;80,0,1)+S1066+IF(AD1066&lt;20,0,1)+IF(AE1066&lt;14,0,1)+IF(AF1066&lt;26,0,1)</f>
        <v/>
      </c>
    </row>
    <row r="1067" ht="12.75" customHeight="1">
      <c r="AG1067" s="101">
        <f>IF(G1067&lt;0,0,1.2)+IF(G1067&lt;14,0,0.9)+IF(P1067&lt;0,0.7,0)+IF(P1067&lt;6.5,1,0)+IF(P1067&lt;23,1,0)+IF(R1067&gt;80,0,1)+S1067+IF(AD1067&lt;20,0,1)+IF(AE1067&lt;14,0,1)+IF(AF1067&lt;26,0,1)</f>
        <v/>
      </c>
    </row>
    <row r="1068" ht="12.75" customHeight="1">
      <c r="AG1068" s="101">
        <f>IF(G1068&lt;0,0,1.2)+IF(G1068&lt;14,0,0.9)+IF(P1068&lt;0,0.7,0)+IF(P1068&lt;6.5,1,0)+IF(P1068&lt;23,1,0)+IF(R1068&gt;80,0,1)+S1068+IF(AD1068&lt;20,0,1)+IF(AE1068&lt;14,0,1)+IF(AF1068&lt;26,0,1)</f>
        <v/>
      </c>
    </row>
    <row r="1069" ht="12.75" customHeight="1">
      <c r="AG1069" s="101">
        <f>IF(G1069&lt;0,0,1.2)+IF(G1069&lt;14,0,0.9)+IF(P1069&lt;0,0.7,0)+IF(P1069&lt;6.5,1,0)+IF(P1069&lt;23,1,0)+IF(R1069&gt;80,0,1)+S1069+IF(AD1069&lt;20,0,1)+IF(AE1069&lt;14,0,1)+IF(AF1069&lt;26,0,1)</f>
        <v/>
      </c>
    </row>
    <row r="1070" ht="12.75" customHeight="1">
      <c r="AG1070" s="101">
        <f>IF(G1070&lt;0,0,1.2)+IF(G1070&lt;14,0,0.9)+IF(P1070&lt;0,0.7,0)+IF(P1070&lt;6.5,1,0)+IF(P1070&lt;23,1,0)+IF(R1070&gt;80,0,1)+S1070+IF(AD1070&lt;20,0,1)+IF(AE1070&lt;14,0,1)+IF(AF1070&lt;26,0,1)</f>
        <v/>
      </c>
    </row>
    <row r="1071" ht="12.75" customHeight="1">
      <c r="AG1071" s="101">
        <f>IF(G1071&lt;0,0,1.2)+IF(G1071&lt;14,0,0.9)+IF(P1071&lt;0,0.7,0)+IF(P1071&lt;6.5,1,0)+IF(P1071&lt;23,1,0)+IF(R1071&gt;80,0,1)+S1071+IF(AD1071&lt;20,0,1)+IF(AE1071&lt;14,0,1)+IF(AF1071&lt;26,0,1)</f>
        <v/>
      </c>
    </row>
    <row r="1072" ht="12.75" customHeight="1">
      <c r="AG1072" s="101">
        <f>IF(G1072&lt;0,0,1.2)+IF(G1072&lt;14,0,0.9)+IF(P1072&lt;0,0.7,0)+IF(P1072&lt;6.5,1,0)+IF(P1072&lt;23,1,0)+IF(R1072&gt;80,0,1)+S1072+IF(AD1072&lt;20,0,1)+IF(AE1072&lt;14,0,1)+IF(AF1072&lt;26,0,1)</f>
        <v/>
      </c>
    </row>
    <row r="1073" ht="12.75" customHeight="1">
      <c r="AG1073" s="101">
        <f>IF(G1073&lt;0,0,1.2)+IF(G1073&lt;14,0,0.9)+IF(P1073&lt;0,0.7,0)+IF(P1073&lt;6.5,1,0)+IF(P1073&lt;23,1,0)+IF(R1073&gt;80,0,1)+S1073+IF(AD1073&lt;20,0,1)+IF(AE1073&lt;14,0,1)+IF(AF1073&lt;26,0,1)</f>
        <v/>
      </c>
    </row>
    <row r="1074" ht="12.75" customHeight="1">
      <c r="AG1074" s="101">
        <f>IF(G1074&lt;0,0,1.2)+IF(G1074&lt;14,0,0.9)+IF(P1074&lt;0,0.7,0)+IF(P1074&lt;6.5,1,0)+IF(P1074&lt;23,1,0)+IF(R1074&gt;80,0,1)+S1074+IF(AD1074&lt;20,0,1)+IF(AE1074&lt;14,0,1)+IF(AF1074&lt;26,0,1)</f>
        <v/>
      </c>
    </row>
    <row r="1075" ht="12.75" customHeight="1">
      <c r="AG1075" s="101">
        <f>IF(G1075&lt;0,0,1.2)+IF(G1075&lt;14,0,0.9)+IF(P1075&lt;0,0.7,0)+IF(P1075&lt;6.5,1,0)+IF(P1075&lt;23,1,0)+IF(R1075&gt;80,0,1)+S1075+IF(AD1075&lt;20,0,1)+IF(AE1075&lt;14,0,1)+IF(AF1075&lt;26,0,1)</f>
        <v/>
      </c>
    </row>
    <row r="1076" ht="12.75" customHeight="1">
      <c r="AG1076" s="101">
        <f>IF(G1076&lt;0,0,1.2)+IF(G1076&lt;14,0,0.9)+IF(P1076&lt;0,0.7,0)+IF(P1076&lt;6.5,1,0)+IF(P1076&lt;23,1,0)+IF(R1076&gt;80,0,1)+S1076+IF(AD1076&lt;20,0,1)+IF(AE1076&lt;14,0,1)+IF(AF1076&lt;26,0,1)</f>
        <v/>
      </c>
    </row>
    <row r="1077" ht="12.75" customHeight="1">
      <c r="AG1077" s="101">
        <f>IF(G1077&lt;0,0,1.2)+IF(G1077&lt;14,0,0.9)+IF(P1077&lt;0,0.7,0)+IF(P1077&lt;6.5,1,0)+IF(P1077&lt;23,1,0)+IF(R1077&gt;80,0,1)+S1077+IF(AD1077&lt;20,0,1)+IF(AE1077&lt;14,0,1)+IF(AF1077&lt;26,0,1)</f>
        <v/>
      </c>
    </row>
    <row r="1078" ht="12.75" customHeight="1">
      <c r="AG1078" s="101">
        <f>IF(G1078&lt;0,0,1.2)+IF(G1078&lt;14,0,0.9)+IF(P1078&lt;0,0.7,0)+IF(P1078&lt;6.5,1,0)+IF(P1078&lt;23,1,0)+IF(R1078&gt;80,0,1)+S1078+IF(AD1078&lt;20,0,1)+IF(AE1078&lt;14,0,1)+IF(AF1078&lt;26,0,1)</f>
        <v/>
      </c>
    </row>
    <row r="1079" ht="12.75" customHeight="1">
      <c r="AG1079" s="101">
        <f>IF(G1079&lt;0,0,1.2)+IF(G1079&lt;14,0,0.9)+IF(P1079&lt;0,0.7,0)+IF(P1079&lt;6.5,1,0)+IF(P1079&lt;23,1,0)+IF(R1079&gt;80,0,1)+S1079+IF(AD1079&lt;20,0,1)+IF(AE1079&lt;14,0,1)+IF(AF1079&lt;26,0,1)</f>
        <v/>
      </c>
    </row>
    <row r="1080" ht="12.75" customHeight="1">
      <c r="AG1080" s="101">
        <f>IF(G1080&lt;0,0,1.2)+IF(G1080&lt;14,0,0.9)+IF(P1080&lt;0,0.7,0)+IF(P1080&lt;6.5,1,0)+IF(P1080&lt;23,1,0)+IF(R1080&gt;80,0,1)+S1080+IF(AD1080&lt;20,0,1)+IF(AE1080&lt;14,0,1)+IF(AF1080&lt;26,0,1)</f>
        <v/>
      </c>
    </row>
    <row r="1081" ht="12.75" customHeight="1">
      <c r="AG1081" s="101">
        <f>IF(G1081&lt;0,0,1.2)+IF(G1081&lt;14,0,0.9)+IF(P1081&lt;0,0.7,0)+IF(P1081&lt;6.5,1,0)+IF(P1081&lt;23,1,0)+IF(R1081&gt;80,0,1)+S1081+IF(AD1081&lt;20,0,1)+IF(AE1081&lt;14,0,1)+IF(AF1081&lt;26,0,1)</f>
        <v/>
      </c>
    </row>
    <row r="1082" ht="12.75" customHeight="1">
      <c r="AG1082" s="101">
        <f>IF(G1082&lt;0,0,1.2)+IF(G1082&lt;14,0,0.9)+IF(P1082&lt;0,0.7,0)+IF(P1082&lt;6.5,1,0)+IF(P1082&lt;23,1,0)+IF(R1082&gt;80,0,1)+S1082+IF(AD1082&lt;20,0,1)+IF(AE1082&lt;14,0,1)+IF(AF1082&lt;26,0,1)</f>
        <v/>
      </c>
    </row>
    <row r="1083" ht="12.75" customHeight="1">
      <c r="AG1083" s="101">
        <f>IF(G1083&lt;0,0,1.2)+IF(G1083&lt;14,0,0.9)+IF(P1083&lt;0,0.7,0)+IF(P1083&lt;6.5,1,0)+IF(P1083&lt;23,1,0)+IF(R1083&gt;80,0,1)+S1083+IF(AD1083&lt;20,0,1)+IF(AE1083&lt;14,0,1)+IF(AF1083&lt;26,0,1)</f>
        <v/>
      </c>
    </row>
    <row r="1084" ht="12.75" customHeight="1">
      <c r="AG1084" s="101">
        <f>IF(G1084&lt;0,0,1.2)+IF(G1084&lt;14,0,0.9)+IF(P1084&lt;0,0.7,0)+IF(P1084&lt;6.5,1,0)+IF(P1084&lt;23,1,0)+IF(R1084&gt;80,0,1)+S1084+IF(AD1084&lt;20,0,1)+IF(AE1084&lt;14,0,1)+IF(AF1084&lt;26,0,1)</f>
        <v/>
      </c>
    </row>
    <row r="1085" ht="12.75" customHeight="1">
      <c r="AG1085" s="101">
        <f>IF(G1085&lt;0,0,1.2)+IF(G1085&lt;14,0,0.9)+IF(P1085&lt;0,0.7,0)+IF(P1085&lt;6.5,1,0)+IF(P1085&lt;23,1,0)+IF(R1085&gt;80,0,1)+S1085+IF(AD1085&lt;20,0,1)+IF(AE1085&lt;14,0,1)+IF(AF1085&lt;26,0,1)</f>
        <v/>
      </c>
    </row>
    <row r="1086" ht="12.75" customHeight="1">
      <c r="AG1086" s="101">
        <f>IF(G1086&lt;0,0,1.2)+IF(G1086&lt;14,0,0.9)+IF(P1086&lt;0,0.7,0)+IF(P1086&lt;6.5,1,0)+IF(P1086&lt;23,1,0)+IF(R1086&gt;80,0,1)+S1086+IF(AD1086&lt;20,0,1)+IF(AE1086&lt;14,0,1)+IF(AF1086&lt;26,0,1)</f>
        <v/>
      </c>
    </row>
    <row r="1087" ht="12.75" customHeight="1">
      <c r="AG1087" s="101">
        <f>IF(G1087&lt;0,0,1.2)+IF(G1087&lt;14,0,0.9)+IF(P1087&lt;0,0.7,0)+IF(P1087&lt;6.5,1,0)+IF(P1087&lt;23,1,0)+IF(R1087&gt;80,0,1)+S1087+IF(AD1087&lt;20,0,1)+IF(AE1087&lt;14,0,1)+IF(AF1087&lt;26,0,1)</f>
        <v/>
      </c>
    </row>
    <row r="1088" ht="12.75" customHeight="1">
      <c r="AG1088" s="101">
        <f>IF(G1088&lt;0,0,1.2)+IF(G1088&lt;14,0,0.9)+IF(P1088&lt;0,0.7,0)+IF(P1088&lt;6.5,1,0)+IF(P1088&lt;23,1,0)+IF(R1088&gt;80,0,1)+S1088+IF(AD1088&lt;20,0,1)+IF(AE1088&lt;14,0,1)+IF(AF1088&lt;26,0,1)</f>
        <v/>
      </c>
    </row>
    <row r="1089" ht="12.75" customHeight="1">
      <c r="AG1089" s="101">
        <f>IF(G1089&lt;0,0,1.2)+IF(G1089&lt;14,0,0.9)+IF(P1089&lt;0,0.7,0)+IF(P1089&lt;6.5,1,0)+IF(P1089&lt;23,1,0)+IF(R1089&gt;80,0,1)+S1089+IF(AD1089&lt;20,0,1)+IF(AE1089&lt;14,0,1)+IF(AF1089&lt;26,0,1)</f>
        <v/>
      </c>
    </row>
    <row r="1090" ht="12.75" customHeight="1">
      <c r="AG1090" s="101">
        <f>IF(G1090&lt;0,0,1.2)+IF(G1090&lt;14,0,0.9)+IF(P1090&lt;0,0.7,0)+IF(P1090&lt;6.5,1,0)+IF(P1090&lt;23,1,0)+IF(R1090&gt;80,0,1)+S1090+IF(AD1090&lt;20,0,1)+IF(AE1090&lt;14,0,1)+IF(AF1090&lt;26,0,1)</f>
        <v/>
      </c>
    </row>
    <row r="1091" ht="12.75" customHeight="1">
      <c r="AG1091" s="101">
        <f>IF(G1091&lt;0,0,1.2)+IF(G1091&lt;14,0,0.9)+IF(P1091&lt;0,0.7,0)+IF(P1091&lt;6.5,1,0)+IF(P1091&lt;23,1,0)+IF(R1091&gt;80,0,1)+S1091+IF(AD1091&lt;20,0,1)+IF(AE1091&lt;14,0,1)+IF(AF1091&lt;26,0,1)</f>
        <v/>
      </c>
    </row>
    <row r="1092" ht="12.75" customHeight="1">
      <c r="AG1092" s="101">
        <f>IF(G1092&lt;0,0,1.2)+IF(G1092&lt;14,0,0.9)+IF(P1092&lt;0,0.7,0)+IF(P1092&lt;6.5,1,0)+IF(P1092&lt;23,1,0)+IF(R1092&gt;80,0,1)+S1092+IF(AD1092&lt;20,0,1)+IF(AE1092&lt;14,0,1)+IF(AF1092&lt;26,0,1)</f>
        <v/>
      </c>
    </row>
    <row r="1093" ht="12.75" customHeight="1">
      <c r="AG1093" s="101">
        <f>IF(G1093&lt;0,0,1.2)+IF(G1093&lt;14,0,0.9)+IF(P1093&lt;0,0.7,0)+IF(P1093&lt;6.5,1,0)+IF(P1093&lt;23,1,0)+IF(R1093&gt;80,0,1)+S1093+IF(AD1093&lt;20,0,1)+IF(AE1093&lt;14,0,1)+IF(AF1093&lt;26,0,1)</f>
        <v/>
      </c>
    </row>
    <row r="1094" ht="12.75" customHeight="1">
      <c r="AG1094" s="101">
        <f>IF(G1094&lt;0,0,1.2)+IF(G1094&lt;14,0,0.9)+IF(P1094&lt;0,0.7,0)+IF(P1094&lt;6.5,1,0)+IF(P1094&lt;23,1,0)+IF(R1094&gt;80,0,1)+S1094+IF(AD1094&lt;20,0,1)+IF(AE1094&lt;14,0,1)+IF(AF1094&lt;26,0,1)</f>
        <v/>
      </c>
    </row>
    <row r="1095" ht="12.75" customHeight="1">
      <c r="AG1095" s="101">
        <f>IF(G1095&lt;0,0,1.2)+IF(G1095&lt;14,0,0.9)+IF(P1095&lt;0,0.7,0)+IF(P1095&lt;6.5,1,0)+IF(P1095&lt;23,1,0)+IF(R1095&gt;80,0,1)+S1095+IF(AD1095&lt;20,0,1)+IF(AE1095&lt;14,0,1)+IF(AF1095&lt;26,0,1)</f>
        <v/>
      </c>
    </row>
    <row r="1096" ht="12.75" customHeight="1">
      <c r="AG1096" s="101">
        <f>IF(G1096&lt;0,0,1.2)+IF(G1096&lt;14,0,0.9)+IF(P1096&lt;0,0.7,0)+IF(P1096&lt;6.5,1,0)+IF(P1096&lt;23,1,0)+IF(R1096&gt;80,0,1)+S1096+IF(AD1096&lt;20,0,1)+IF(AE1096&lt;14,0,1)+IF(AF1096&lt;26,0,1)</f>
        <v/>
      </c>
    </row>
    <row r="1097" ht="12.75" customHeight="1">
      <c r="AG1097" s="101">
        <f>IF(G1097&lt;0,0,1.2)+IF(G1097&lt;14,0,0.9)+IF(P1097&lt;0,0.7,0)+IF(P1097&lt;6.5,1,0)+IF(P1097&lt;23,1,0)+IF(R1097&gt;80,0,1)+S1097+IF(AD1097&lt;20,0,1)+IF(AE1097&lt;14,0,1)+IF(AF1097&lt;26,0,1)</f>
        <v/>
      </c>
    </row>
    <row r="1098" ht="12.75" customHeight="1">
      <c r="AG1098" s="101">
        <f>IF(G1098&lt;0,0,1.2)+IF(G1098&lt;14,0,0.9)+IF(P1098&lt;0,0.7,0)+IF(P1098&lt;6.5,1,0)+IF(P1098&lt;23,1,0)+IF(R1098&gt;80,0,1)+S1098+IF(AD1098&lt;20,0,1)+IF(AE1098&lt;14,0,1)+IF(AF1098&lt;26,0,1)</f>
        <v/>
      </c>
    </row>
    <row r="1099" ht="12.75" customHeight="1">
      <c r="AG1099" s="101">
        <f>IF(G1099&lt;0,0,1.2)+IF(G1099&lt;14,0,0.9)+IF(P1099&lt;0,0.7,0)+IF(P1099&lt;6.5,1,0)+IF(P1099&lt;23,1,0)+IF(R1099&gt;80,0,1)+S1099+IF(AD1099&lt;20,0,1)+IF(AE1099&lt;14,0,1)+IF(AF1099&lt;26,0,1)</f>
        <v/>
      </c>
    </row>
    <row r="1100" ht="12.75" customHeight="1">
      <c r="AG1100" s="101">
        <f>IF(G1100&lt;0,0,1.2)+IF(G1100&lt;14,0,0.9)+IF(P1100&lt;0,0.7,0)+IF(P1100&lt;6.5,1,0)+IF(P1100&lt;23,1,0)+IF(R1100&gt;80,0,1)+S1100+IF(AD1100&lt;20,0,1)+IF(AE1100&lt;14,0,1)+IF(AF1100&lt;26,0,1)</f>
        <v/>
      </c>
    </row>
    <row r="1101" ht="12.75" customHeight="1">
      <c r="AG1101" s="101">
        <f>IF(G1101&lt;0,0,1.2)+IF(G1101&lt;14,0,0.9)+IF(P1101&lt;0,0.7,0)+IF(P1101&lt;6.5,1,0)+IF(P1101&lt;23,1,0)+IF(R1101&gt;80,0,1)+S1101+IF(AD1101&lt;20,0,1)+IF(AE1101&lt;14,0,1)+IF(AF1101&lt;26,0,1)</f>
        <v/>
      </c>
    </row>
    <row r="1102" ht="12.75" customHeight="1">
      <c r="AG1102" s="101">
        <f>IF(G1102&lt;0,0,1.2)+IF(G1102&lt;14,0,0.9)+IF(P1102&lt;0,0.7,0)+IF(P1102&lt;6.5,1,0)+IF(P1102&lt;23,1,0)+IF(R1102&gt;80,0,1)+S1102+IF(AD1102&lt;20,0,1)+IF(AE1102&lt;14,0,1)+IF(AF1102&lt;26,0,1)</f>
        <v/>
      </c>
    </row>
    <row r="1103" ht="12.75" customHeight="1">
      <c r="AG1103" s="101">
        <f>IF(G1103&lt;0,0,1.2)+IF(G1103&lt;14,0,0.9)+IF(P1103&lt;0,0.7,0)+IF(P1103&lt;6.5,1,0)+IF(P1103&lt;23,1,0)+IF(R1103&gt;80,0,1)+S1103+IF(AD1103&lt;20,0,1)+IF(AE1103&lt;14,0,1)+IF(AF1103&lt;26,0,1)</f>
        <v/>
      </c>
    </row>
    <row r="1104" ht="12.75" customHeight="1">
      <c r="AG1104" s="101">
        <f>IF(G1104&lt;0,0,1.2)+IF(G1104&lt;14,0,0.9)+IF(P1104&lt;0,0.7,0)+IF(P1104&lt;6.5,1,0)+IF(P1104&lt;23,1,0)+IF(R1104&gt;80,0,1)+S1104+IF(AD1104&lt;20,0,1)+IF(AE1104&lt;14,0,1)+IF(AF1104&lt;26,0,1)</f>
        <v/>
      </c>
    </row>
    <row r="1105" ht="12.75" customHeight="1">
      <c r="AG1105" s="101">
        <f>IF(G1105&lt;0,0,1.2)+IF(G1105&lt;14,0,0.9)+IF(P1105&lt;0,0.7,0)+IF(P1105&lt;6.5,1,0)+IF(P1105&lt;23,1,0)+IF(R1105&gt;80,0,1)+S1105+IF(AD1105&lt;20,0,1)+IF(AE1105&lt;14,0,1)+IF(AF1105&lt;26,0,1)</f>
        <v/>
      </c>
    </row>
    <row r="1106" ht="12.75" customHeight="1">
      <c r="AG1106" s="101">
        <f>IF(G1106&lt;0,0,1.2)+IF(G1106&lt;14,0,0.9)+IF(P1106&lt;0,0.7,0)+IF(P1106&lt;6.5,1,0)+IF(P1106&lt;23,1,0)+IF(R1106&gt;80,0,1)+S1106+IF(AD1106&lt;20,0,1)+IF(AE1106&lt;14,0,1)+IF(AF1106&lt;26,0,1)</f>
        <v/>
      </c>
    </row>
    <row r="1107" ht="12.75" customHeight="1">
      <c r="AG1107" s="101">
        <f>IF(G1107&lt;0,0,1.2)+IF(G1107&lt;14,0,0.9)+IF(P1107&lt;0,0.7,0)+IF(P1107&lt;6.5,1,0)+IF(P1107&lt;23,1,0)+IF(R1107&gt;80,0,1)+S1107+IF(AD1107&lt;20,0,1)+IF(AE1107&lt;14,0,1)+IF(AF1107&lt;26,0,1)</f>
        <v/>
      </c>
    </row>
    <row r="1108" ht="12.75" customHeight="1">
      <c r="AG1108" s="101">
        <f>IF(G1108&lt;0,0,1.2)+IF(G1108&lt;14,0,0.9)+IF(P1108&lt;0,0.7,0)+IF(P1108&lt;6.5,1,0)+IF(P1108&lt;23,1,0)+IF(R1108&gt;80,0,1)+S1108+IF(AD1108&lt;20,0,1)+IF(AE1108&lt;14,0,1)+IF(AF1108&lt;26,0,1)</f>
        <v/>
      </c>
    </row>
    <row r="1109" ht="12.75" customHeight="1">
      <c r="AG1109" s="101">
        <f>IF(G1109&lt;0,0,1.2)+IF(G1109&lt;14,0,0.9)+IF(P1109&lt;0,0.7,0)+IF(P1109&lt;6.5,1,0)+IF(P1109&lt;23,1,0)+IF(R1109&gt;80,0,1)+S1109+IF(AD1109&lt;20,0,1)+IF(AE1109&lt;14,0,1)+IF(AF1109&lt;26,0,1)</f>
        <v/>
      </c>
    </row>
    <row r="1110" ht="12.75" customHeight="1">
      <c r="AG1110" s="101">
        <f>IF(G1110&lt;0,0,1.2)+IF(G1110&lt;14,0,0.9)+IF(P1110&lt;0,0.7,0)+IF(P1110&lt;6.5,1,0)+IF(P1110&lt;23,1,0)+IF(R1110&gt;80,0,1)+S1110+IF(AD1110&lt;20,0,1)+IF(AE1110&lt;14,0,1)+IF(AF1110&lt;26,0,1)</f>
        <v/>
      </c>
    </row>
    <row r="1111" ht="12.75" customHeight="1">
      <c r="AG1111" s="101">
        <f>IF(G1111&lt;0,0,1.2)+IF(G1111&lt;14,0,0.9)+IF(P1111&lt;0,0.7,0)+IF(P1111&lt;6.5,1,0)+IF(P1111&lt;23,1,0)+IF(R1111&gt;80,0,1)+S1111+IF(AD1111&lt;20,0,1)+IF(AE1111&lt;14,0,1)+IF(AF1111&lt;26,0,1)</f>
        <v/>
      </c>
    </row>
    <row r="1112" ht="12.75" customHeight="1">
      <c r="AG1112" s="101">
        <f>IF(G1112&lt;0,0,1.2)+IF(G1112&lt;14,0,0.9)+IF(P1112&lt;0,0.7,0)+IF(P1112&lt;6.5,1,0)+IF(P1112&lt;23,1,0)+IF(R1112&gt;80,0,1)+S1112+IF(AD1112&lt;20,0,1)+IF(AE1112&lt;14,0,1)+IF(AF1112&lt;26,0,1)</f>
        <v/>
      </c>
    </row>
    <row r="1113" ht="12.75" customHeight="1">
      <c r="AG1113" s="101">
        <f>IF(G1113&lt;0,0,1.2)+IF(G1113&lt;14,0,0.9)+IF(P1113&lt;0,0.7,0)+IF(P1113&lt;6.5,1,0)+IF(P1113&lt;23,1,0)+IF(R1113&gt;80,0,1)+S1113+IF(AD1113&lt;20,0,1)+IF(AE1113&lt;14,0,1)+IF(AF1113&lt;26,0,1)</f>
        <v/>
      </c>
    </row>
    <row r="1114" ht="12.75" customHeight="1">
      <c r="AG1114" s="101">
        <f>IF(G1114&lt;0,0,1.2)+IF(G1114&lt;14,0,0.9)+IF(P1114&lt;0,0.7,0)+IF(P1114&lt;6.5,1,0)+IF(P1114&lt;23,1,0)+IF(R1114&gt;80,0,1)+S1114+IF(AD1114&lt;20,0,1)+IF(AE1114&lt;14,0,1)+IF(AF1114&lt;26,0,1)</f>
        <v/>
      </c>
    </row>
    <row r="1115" ht="12.75" customHeight="1">
      <c r="AG1115" s="101">
        <f>IF(G1115&lt;0,0,1.2)+IF(G1115&lt;14,0,0.9)+IF(P1115&lt;0,0.7,0)+IF(P1115&lt;6.5,1,0)+IF(P1115&lt;23,1,0)+IF(R1115&gt;80,0,1)+S1115+IF(AD1115&lt;20,0,1)+IF(AE1115&lt;14,0,1)+IF(AF1115&lt;26,0,1)</f>
        <v/>
      </c>
    </row>
    <row r="1116" ht="12.75" customHeight="1">
      <c r="AG1116" s="101">
        <f>IF(G1116&lt;0,0,1.2)+IF(G1116&lt;14,0,0.9)+IF(P1116&lt;0,0.7,0)+IF(P1116&lt;6.5,1,0)+IF(P1116&lt;23,1,0)+IF(R1116&gt;80,0,1)+S1116+IF(AD1116&lt;20,0,1)+IF(AE1116&lt;14,0,1)+IF(AF1116&lt;26,0,1)</f>
        <v/>
      </c>
    </row>
    <row r="1117" ht="12.75" customHeight="1">
      <c r="AG1117" s="101">
        <f>IF(G1117&lt;0,0,1.2)+IF(G1117&lt;14,0,0.9)+IF(P1117&lt;0,0.7,0)+IF(P1117&lt;6.5,1,0)+IF(P1117&lt;23,1,0)+IF(R1117&gt;80,0,1)+S1117+IF(AD1117&lt;20,0,1)+IF(AE1117&lt;14,0,1)+IF(AF1117&lt;26,0,1)</f>
        <v/>
      </c>
    </row>
    <row r="1118" ht="12.75" customHeight="1">
      <c r="AG1118" s="101">
        <f>IF(G1118&lt;0,0,1.2)+IF(G1118&lt;14,0,0.9)+IF(P1118&lt;0,0.7,0)+IF(P1118&lt;6.5,1,0)+IF(P1118&lt;23,1,0)+IF(R1118&gt;80,0,1)+S1118+IF(AD1118&lt;20,0,1)+IF(AE1118&lt;14,0,1)+IF(AF1118&lt;26,0,1)</f>
        <v/>
      </c>
    </row>
    <row r="1119" ht="12.75" customHeight="1">
      <c r="AG1119" s="101">
        <f>IF(G1119&lt;0,0,1.2)+IF(G1119&lt;14,0,0.9)+IF(P1119&lt;0,0.7,0)+IF(P1119&lt;6.5,1,0)+IF(P1119&lt;23,1,0)+IF(R1119&gt;80,0,1)+S1119+IF(AD1119&lt;20,0,1)+IF(AE1119&lt;14,0,1)+IF(AF1119&lt;26,0,1)</f>
        <v/>
      </c>
    </row>
    <row r="1120" ht="12.75" customHeight="1">
      <c r="AG1120" s="101">
        <f>IF(G1120&lt;0,0,1.2)+IF(G1120&lt;14,0,0.9)+IF(P1120&lt;0,0.7,0)+IF(P1120&lt;6.5,1,0)+IF(P1120&lt;23,1,0)+IF(R1120&gt;80,0,1)+S1120+IF(AD1120&lt;20,0,1)+IF(AE1120&lt;14,0,1)+IF(AF1120&lt;26,0,1)</f>
        <v/>
      </c>
    </row>
    <row r="1121" ht="12.75" customHeight="1">
      <c r="AG1121" s="101">
        <f>IF(G1121&lt;0,0,1.2)+IF(G1121&lt;14,0,0.9)+IF(P1121&lt;0,0.7,0)+IF(P1121&lt;6.5,1,0)+IF(P1121&lt;23,1,0)+IF(R1121&gt;80,0,1)+S1121+IF(AD1121&lt;20,0,1)+IF(AE1121&lt;14,0,1)+IF(AF1121&lt;26,0,1)</f>
        <v/>
      </c>
    </row>
    <row r="1122" ht="12.75" customHeight="1">
      <c r="AG1122" s="101">
        <f>IF(G1122&lt;0,0,1.2)+IF(G1122&lt;14,0,0.9)+IF(P1122&lt;0,0.7,0)+IF(P1122&lt;6.5,1,0)+IF(P1122&lt;23,1,0)+IF(R1122&gt;80,0,1)+S1122+IF(AD1122&lt;20,0,1)+IF(AE1122&lt;14,0,1)+IF(AF1122&lt;26,0,1)</f>
        <v/>
      </c>
    </row>
    <row r="1123" ht="12.75" customHeight="1">
      <c r="AG1123" s="101">
        <f>IF(G1123&lt;0,0,1.2)+IF(G1123&lt;14,0,0.9)+IF(P1123&lt;0,0.7,0)+IF(P1123&lt;6.5,1,0)+IF(P1123&lt;23,1,0)+IF(R1123&gt;80,0,1)+S1123+IF(AD1123&lt;20,0,1)+IF(AE1123&lt;14,0,1)+IF(AF1123&lt;26,0,1)</f>
        <v/>
      </c>
    </row>
    <row r="1124" ht="12.75" customHeight="1">
      <c r="AG1124" s="101">
        <f>IF(G1124&lt;0,0,1.2)+IF(G1124&lt;14,0,0.9)+IF(P1124&lt;0,0.7,0)+IF(P1124&lt;6.5,1,0)+IF(P1124&lt;23,1,0)+IF(R1124&gt;80,0,1)+S1124+IF(AD1124&lt;20,0,1)+IF(AE1124&lt;14,0,1)+IF(AF1124&lt;26,0,1)</f>
        <v/>
      </c>
    </row>
    <row r="1125" ht="12.75" customHeight="1">
      <c r="AG1125" s="101">
        <f>IF(G1125&lt;0,0,1.2)+IF(G1125&lt;14,0,0.9)+IF(P1125&lt;0,0.7,0)+IF(P1125&lt;6.5,1,0)+IF(P1125&lt;23,1,0)+IF(R1125&gt;80,0,1)+S1125+IF(AD1125&lt;20,0,1)+IF(AE1125&lt;14,0,1)+IF(AF1125&lt;26,0,1)</f>
        <v/>
      </c>
    </row>
    <row r="1126" ht="12.75" customHeight="1">
      <c r="AG1126" s="101">
        <f>IF(G1126&lt;0,0,1.2)+IF(G1126&lt;14,0,0.9)+IF(P1126&lt;0,0.7,0)+IF(P1126&lt;6.5,1,0)+IF(P1126&lt;23,1,0)+IF(R1126&gt;80,0,1)+S1126+IF(AD1126&lt;20,0,1)+IF(AE1126&lt;14,0,1)+IF(AF1126&lt;26,0,1)</f>
        <v/>
      </c>
    </row>
    <row r="1127" ht="12.75" customHeight="1">
      <c r="AG1127" s="101">
        <f>IF(G1127&lt;0,0,1.2)+IF(G1127&lt;14,0,0.9)+IF(P1127&lt;0,0.7,0)+IF(P1127&lt;6.5,1,0)+IF(P1127&lt;23,1,0)+IF(R1127&gt;80,0,1)+S1127+IF(AD1127&lt;20,0,1)+IF(AE1127&lt;14,0,1)+IF(AF1127&lt;26,0,1)</f>
        <v/>
      </c>
    </row>
    <row r="1128" ht="12.75" customHeight="1">
      <c r="AG1128" s="101">
        <f>IF(G1128&lt;0,0,1.2)+IF(G1128&lt;14,0,0.9)+IF(P1128&lt;0,0.7,0)+IF(P1128&lt;6.5,1,0)+IF(P1128&lt;23,1,0)+IF(R1128&gt;80,0,1)+S1128+IF(AD1128&lt;20,0,1)+IF(AE1128&lt;14,0,1)+IF(AF1128&lt;26,0,1)</f>
        <v/>
      </c>
    </row>
    <row r="1129" ht="12.75" customHeight="1">
      <c r="AG1129" s="101">
        <f>IF(G1129&lt;0,0,1.2)+IF(G1129&lt;14,0,0.9)+IF(P1129&lt;0,0.7,0)+IF(P1129&lt;6.5,1,0)+IF(P1129&lt;23,1,0)+IF(R1129&gt;80,0,1)+S1129+IF(AD1129&lt;20,0,1)+IF(AE1129&lt;14,0,1)+IF(AF1129&lt;26,0,1)</f>
        <v/>
      </c>
    </row>
    <row r="1130" ht="12.75" customHeight="1">
      <c r="AG1130" s="101">
        <f>IF(G1130&lt;0,0,1.2)+IF(G1130&lt;14,0,0.9)+IF(P1130&lt;0,0.7,0)+IF(P1130&lt;6.5,1,0)+IF(P1130&lt;23,1,0)+IF(R1130&gt;80,0,1)+S1130+IF(AD1130&lt;20,0,1)+IF(AE1130&lt;14,0,1)+IF(AF1130&lt;26,0,1)</f>
        <v/>
      </c>
    </row>
    <row r="1131" ht="12.75" customHeight="1">
      <c r="AG1131" s="101">
        <f>IF(G1131&lt;0,0,1.2)+IF(G1131&lt;14,0,0.9)+IF(P1131&lt;0,0.7,0)+IF(P1131&lt;6.5,1,0)+IF(P1131&lt;23,1,0)+IF(R1131&gt;80,0,1)+S1131+IF(AD1131&lt;20,0,1)+IF(AE1131&lt;14,0,1)+IF(AF1131&lt;26,0,1)</f>
        <v/>
      </c>
    </row>
    <row r="1132" ht="12.75" customHeight="1">
      <c r="AG1132" s="101">
        <f>IF(G1132&lt;0,0,1.2)+IF(G1132&lt;14,0,0.9)+IF(P1132&lt;0,0.7,0)+IF(P1132&lt;6.5,1,0)+IF(P1132&lt;23,1,0)+IF(R1132&gt;80,0,1)+S1132+IF(AD1132&lt;20,0,1)+IF(AE1132&lt;14,0,1)+IF(AF1132&lt;26,0,1)</f>
        <v/>
      </c>
    </row>
    <row r="1133" ht="12.75" customHeight="1">
      <c r="AG1133" s="101">
        <f>IF(G1133&lt;0,0,1.2)+IF(G1133&lt;14,0,0.9)+IF(P1133&lt;0,0.7,0)+IF(P1133&lt;6.5,1,0)+IF(P1133&lt;23,1,0)+IF(R1133&gt;80,0,1)+S1133+IF(AD1133&lt;20,0,1)+IF(AE1133&lt;14,0,1)+IF(AF1133&lt;26,0,1)</f>
        <v/>
      </c>
    </row>
    <row r="1134" ht="12.75" customHeight="1">
      <c r="AG1134" s="101">
        <f>IF(G1134&lt;0,0,1.2)+IF(G1134&lt;14,0,0.9)+IF(P1134&lt;0,0.7,0)+IF(P1134&lt;6.5,1,0)+IF(P1134&lt;23,1,0)+IF(R1134&gt;80,0,1)+S1134+IF(AD1134&lt;20,0,1)+IF(AE1134&lt;14,0,1)+IF(AF1134&lt;26,0,1)</f>
        <v/>
      </c>
    </row>
    <row r="1135" ht="12.75" customHeight="1">
      <c r="AG1135" s="101">
        <f>IF(G1135&lt;0,0,1.2)+IF(G1135&lt;14,0,0.9)+IF(P1135&lt;0,0.7,0)+IF(P1135&lt;6.5,1,0)+IF(P1135&lt;23,1,0)+IF(R1135&gt;80,0,1)+S1135+IF(AD1135&lt;20,0,1)+IF(AE1135&lt;14,0,1)+IF(AF1135&lt;26,0,1)</f>
        <v/>
      </c>
    </row>
    <row r="1136" ht="12.75" customHeight="1">
      <c r="AG1136" s="101">
        <f>IF(G1136&lt;0,0,1.2)+IF(G1136&lt;14,0,0.9)+IF(P1136&lt;0,0.7,0)+IF(P1136&lt;6.5,1,0)+IF(P1136&lt;23,1,0)+IF(R1136&gt;80,0,1)+S1136+IF(AD1136&lt;20,0,1)+IF(AE1136&lt;14,0,1)+IF(AF1136&lt;26,0,1)</f>
        <v/>
      </c>
    </row>
    <row r="1137" ht="12.75" customHeight="1">
      <c r="AG1137" s="101">
        <f>IF(G1137&lt;0,0,1.2)+IF(G1137&lt;14,0,0.9)+IF(P1137&lt;0,0.7,0)+IF(P1137&lt;6.5,1,0)+IF(P1137&lt;23,1,0)+IF(R1137&gt;80,0,1)+S1137+IF(AD1137&lt;20,0,1)+IF(AE1137&lt;14,0,1)+IF(AF1137&lt;26,0,1)</f>
        <v/>
      </c>
    </row>
    <row r="1138" ht="12.75" customHeight="1">
      <c r="AG1138" s="101">
        <f>IF(G1138&lt;0,0,1.2)+IF(G1138&lt;14,0,0.9)+IF(P1138&lt;0,0.7,0)+IF(P1138&lt;6.5,1,0)+IF(P1138&lt;23,1,0)+IF(R1138&gt;80,0,1)+S1138+IF(AD1138&lt;20,0,1)+IF(AE1138&lt;14,0,1)+IF(AF1138&lt;26,0,1)</f>
        <v/>
      </c>
    </row>
    <row r="1139" ht="12.75" customHeight="1">
      <c r="AG1139" s="101">
        <f>IF(G1139&lt;0,0,1.2)+IF(G1139&lt;14,0,0.9)+IF(P1139&lt;0,0.7,0)+IF(P1139&lt;6.5,1,0)+IF(P1139&lt;23,1,0)+IF(R1139&gt;80,0,1)+S1139+IF(AD1139&lt;20,0,1)+IF(AE1139&lt;14,0,1)+IF(AF1139&lt;26,0,1)</f>
        <v/>
      </c>
    </row>
    <row r="1140" ht="12.75" customHeight="1">
      <c r="AG1140" s="101">
        <f>IF(G1140&lt;0,0,1.2)+IF(G1140&lt;14,0,0.9)+IF(P1140&lt;0,0.7,0)+IF(P1140&lt;6.5,1,0)+IF(P1140&lt;23,1,0)+IF(R1140&gt;80,0,1)+S1140+IF(AD1140&lt;20,0,1)+IF(AE1140&lt;14,0,1)+IF(AF1140&lt;26,0,1)</f>
        <v/>
      </c>
    </row>
    <row r="1141" ht="12.75" customHeight="1">
      <c r="AG1141" s="101">
        <f>IF(G1141&lt;0,0,1.2)+IF(G1141&lt;14,0,0.9)+IF(P1141&lt;0,0.7,0)+IF(P1141&lt;6.5,1,0)+IF(P1141&lt;23,1,0)+IF(R1141&gt;80,0,1)+S1141+IF(AD1141&lt;20,0,1)+IF(AE1141&lt;14,0,1)+IF(AF1141&lt;26,0,1)</f>
        <v/>
      </c>
    </row>
    <row r="1142" ht="12.75" customHeight="1">
      <c r="AG1142" s="101">
        <f>IF(G1142&lt;0,0,1.2)+IF(G1142&lt;14,0,0.9)+IF(P1142&lt;0,0.7,0)+IF(P1142&lt;6.5,1,0)+IF(P1142&lt;23,1,0)+IF(R1142&gt;80,0,1)+S1142+IF(AD1142&lt;20,0,1)+IF(AE1142&lt;14,0,1)+IF(AF1142&lt;26,0,1)</f>
        <v/>
      </c>
    </row>
    <row r="1143" ht="12.75" customHeight="1">
      <c r="AG1143" s="101">
        <f>IF(G1143&lt;0,0,1.2)+IF(G1143&lt;14,0,0.9)+IF(P1143&lt;0,0.7,0)+IF(P1143&lt;6.5,1,0)+IF(P1143&lt;23,1,0)+IF(R1143&gt;80,0,1)+S1143+IF(AD1143&lt;20,0,1)+IF(AE1143&lt;14,0,1)+IF(AF1143&lt;26,0,1)</f>
        <v/>
      </c>
    </row>
    <row r="1144" ht="12.75" customHeight="1">
      <c r="AG1144" s="101">
        <f>IF(G1144&lt;0,0,1.2)+IF(G1144&lt;14,0,0.9)+IF(P1144&lt;0,0.7,0)+IF(P1144&lt;6.5,1,0)+IF(P1144&lt;23,1,0)+IF(R1144&gt;80,0,1)+S1144+IF(AD1144&lt;20,0,1)+IF(AE1144&lt;14,0,1)+IF(AF1144&lt;26,0,1)</f>
        <v/>
      </c>
    </row>
    <row r="1145" ht="12.75" customHeight="1">
      <c r="AG1145" s="101">
        <f>IF(G1145&lt;0,0,1.2)+IF(G1145&lt;14,0,0.9)+IF(P1145&lt;0,0.7,0)+IF(P1145&lt;6.5,1,0)+IF(P1145&lt;23,1,0)+IF(R1145&gt;80,0,1)+S1145+IF(AD1145&lt;20,0,1)+IF(AE1145&lt;14,0,1)+IF(AF1145&lt;26,0,1)</f>
        <v/>
      </c>
    </row>
    <row r="1146" ht="12.75" customHeight="1">
      <c r="AG1146" s="101">
        <f>IF(G1146&lt;0,0,1.2)+IF(G1146&lt;14,0,0.9)+IF(P1146&lt;0,0.7,0)+IF(P1146&lt;6.5,1,0)+IF(P1146&lt;23,1,0)+IF(R1146&gt;80,0,1)+S1146+IF(AD1146&lt;20,0,1)+IF(AE1146&lt;14,0,1)+IF(AF1146&lt;26,0,1)</f>
        <v/>
      </c>
    </row>
    <row r="1147" ht="12.75" customHeight="1">
      <c r="AG1147" s="101">
        <f>IF(G1147&lt;0,0,1.2)+IF(G1147&lt;14,0,0.9)+IF(P1147&lt;0,0.7,0)+IF(P1147&lt;6.5,1,0)+IF(P1147&lt;23,1,0)+IF(R1147&gt;80,0,1)+S1147+IF(AD1147&lt;20,0,1)+IF(AE1147&lt;14,0,1)+IF(AF1147&lt;26,0,1)</f>
        <v/>
      </c>
    </row>
    <row r="1148" ht="12.75" customHeight="1">
      <c r="AG1148" s="101">
        <f>IF(G1148&lt;0,0,1.2)+IF(G1148&lt;14,0,0.9)+IF(P1148&lt;0,0.7,0)+IF(P1148&lt;6.5,1,0)+IF(P1148&lt;23,1,0)+IF(R1148&gt;80,0,1)+S1148+IF(AD1148&lt;20,0,1)+IF(AE1148&lt;14,0,1)+IF(AF1148&lt;26,0,1)</f>
        <v/>
      </c>
    </row>
    <row r="1149" ht="12.75" customHeight="1">
      <c r="AG1149" s="101">
        <f>IF(G1149&lt;0,0,1.2)+IF(G1149&lt;14,0,0.9)+IF(P1149&lt;0,0.7,0)+IF(P1149&lt;6.5,1,0)+IF(P1149&lt;23,1,0)+IF(R1149&gt;80,0,1)+S1149+IF(AD1149&lt;20,0,1)+IF(AE1149&lt;14,0,1)+IF(AF1149&lt;26,0,1)</f>
        <v/>
      </c>
    </row>
    <row r="1150" ht="12.75" customHeight="1">
      <c r="AG1150" s="101">
        <f>IF(G1150&lt;0,0,1.2)+IF(G1150&lt;14,0,0.9)+IF(P1150&lt;0,0.7,0)+IF(P1150&lt;6.5,1,0)+IF(P1150&lt;23,1,0)+IF(R1150&gt;80,0,1)+S1150+IF(AD1150&lt;20,0,1)+IF(AE1150&lt;14,0,1)+IF(AF1150&lt;26,0,1)</f>
        <v/>
      </c>
    </row>
    <row r="1151" ht="12.75" customHeight="1">
      <c r="AG1151" s="101">
        <f>IF(G1151&lt;0,0,1.2)+IF(G1151&lt;14,0,0.9)+IF(P1151&lt;0,0.7,0)+IF(P1151&lt;6.5,1,0)+IF(P1151&lt;23,1,0)+IF(R1151&gt;80,0,1)+S1151+IF(AD1151&lt;20,0,1)+IF(AE1151&lt;14,0,1)+IF(AF1151&lt;26,0,1)</f>
        <v/>
      </c>
    </row>
    <row r="1152" ht="12.75" customHeight="1">
      <c r="AG1152" s="101">
        <f>IF(G1152&lt;0,0,1.2)+IF(G1152&lt;14,0,0.9)+IF(P1152&lt;0,0.7,0)+IF(P1152&lt;6.5,1,0)+IF(P1152&lt;23,1,0)+IF(R1152&gt;80,0,1)+S1152+IF(AD1152&lt;20,0,1)+IF(AE1152&lt;14,0,1)+IF(AF1152&lt;26,0,1)</f>
        <v/>
      </c>
    </row>
    <row r="1153" ht="12.75" customHeight="1">
      <c r="AG1153" s="101">
        <f>IF(G1153&lt;0,0,1.2)+IF(G1153&lt;14,0,0.9)+IF(P1153&lt;0,0.7,0)+IF(P1153&lt;6.5,1,0)+IF(P1153&lt;23,1,0)+IF(R1153&gt;80,0,1)+S1153+IF(AD1153&lt;20,0,1)+IF(AE1153&lt;14,0,1)+IF(AF1153&lt;26,0,1)</f>
        <v/>
      </c>
    </row>
    <row r="1154" ht="12.75" customHeight="1">
      <c r="AG1154" s="101">
        <f>IF(G1154&lt;0,0,1.2)+IF(G1154&lt;14,0,0.9)+IF(P1154&lt;0,0.7,0)+IF(P1154&lt;6.5,1,0)+IF(P1154&lt;23,1,0)+IF(R1154&gt;80,0,1)+S1154+IF(AD1154&lt;20,0,1)+IF(AE1154&lt;14,0,1)+IF(AF1154&lt;26,0,1)</f>
        <v/>
      </c>
    </row>
    <row r="1155" ht="12.75" customHeight="1">
      <c r="AG1155" s="101">
        <f>IF(G1155&lt;0,0,1.2)+IF(G1155&lt;14,0,0.9)+IF(P1155&lt;0,0.7,0)+IF(P1155&lt;6.5,1,0)+IF(P1155&lt;23,1,0)+IF(R1155&gt;80,0,1)+S1155+IF(AD1155&lt;20,0,1)+IF(AE1155&lt;14,0,1)+IF(AF1155&lt;26,0,1)</f>
        <v/>
      </c>
    </row>
    <row r="1156" ht="12.75" customHeight="1">
      <c r="AG1156" s="101">
        <f>IF(G1156&lt;0,0,1.2)+IF(G1156&lt;14,0,0.9)+IF(P1156&lt;0,0.7,0)+IF(P1156&lt;6.5,1,0)+IF(P1156&lt;23,1,0)+IF(R1156&gt;80,0,1)+S1156+IF(AD1156&lt;20,0,1)+IF(AE1156&lt;14,0,1)+IF(AF1156&lt;26,0,1)</f>
        <v/>
      </c>
    </row>
    <row r="1157" ht="12.75" customHeight="1">
      <c r="AG1157" s="101">
        <f>IF(G1157&lt;0,0,1.2)+IF(G1157&lt;14,0,0.9)+IF(P1157&lt;0,0.7,0)+IF(P1157&lt;6.5,1,0)+IF(P1157&lt;23,1,0)+IF(R1157&gt;80,0,1)+S1157+IF(AD1157&lt;20,0,1)+IF(AE1157&lt;14,0,1)+IF(AF1157&lt;26,0,1)</f>
        <v/>
      </c>
    </row>
    <row r="1158" ht="12.75" customHeight="1">
      <c r="AG1158" s="101">
        <f>IF(G1158&lt;0,0,1.2)+IF(G1158&lt;14,0,0.9)+IF(P1158&lt;0,0.7,0)+IF(P1158&lt;6.5,1,0)+IF(P1158&lt;23,1,0)+IF(R1158&gt;80,0,1)+S1158+IF(AD1158&lt;20,0,1)+IF(AE1158&lt;14,0,1)+IF(AF1158&lt;26,0,1)</f>
        <v/>
      </c>
    </row>
    <row r="1159" ht="12.75" customHeight="1">
      <c r="AG1159" s="101">
        <f>IF(G1159&lt;0,0,1.2)+IF(G1159&lt;14,0,0.9)+IF(P1159&lt;0,0.7,0)+IF(P1159&lt;6.5,1,0)+IF(P1159&lt;23,1,0)+IF(R1159&gt;80,0,1)+S1159+IF(AD1159&lt;20,0,1)+IF(AE1159&lt;14,0,1)+IF(AF1159&lt;26,0,1)</f>
        <v/>
      </c>
    </row>
    <row r="1160" ht="12.75" customHeight="1">
      <c r="AG1160" s="101">
        <f>IF(G1160&lt;0,0,1.2)+IF(G1160&lt;14,0,0.9)+IF(P1160&lt;0,0.7,0)+IF(P1160&lt;6.5,1,0)+IF(P1160&lt;23,1,0)+IF(R1160&gt;80,0,1)+S1160+IF(AD1160&lt;20,0,1)+IF(AE1160&lt;14,0,1)+IF(AF1160&lt;26,0,1)</f>
        <v/>
      </c>
    </row>
    <row r="1161" ht="12.75" customHeight="1">
      <c r="AG1161" s="101">
        <f>IF(G1161&lt;0,0,1.2)+IF(G1161&lt;14,0,0.9)+IF(P1161&lt;0,0.7,0)+IF(P1161&lt;6.5,1,0)+IF(P1161&lt;23,1,0)+IF(R1161&gt;80,0,1)+S1161+IF(AD1161&lt;20,0,1)+IF(AE1161&lt;14,0,1)+IF(AF1161&lt;26,0,1)</f>
        <v/>
      </c>
    </row>
    <row r="1162" ht="12.75" customHeight="1">
      <c r="AG1162" s="101">
        <f>IF(G1162&lt;0,0,1.2)+IF(G1162&lt;14,0,0.9)+IF(P1162&lt;0,0.7,0)+IF(P1162&lt;6.5,1,0)+IF(P1162&lt;23,1,0)+IF(R1162&gt;80,0,1)+S1162+IF(AD1162&lt;20,0,1)+IF(AE1162&lt;14,0,1)+IF(AF1162&lt;26,0,1)</f>
        <v/>
      </c>
    </row>
    <row r="1163" ht="12.75" customHeight="1">
      <c r="AG1163" s="101">
        <f>IF(G1163&lt;0,0,1.2)+IF(G1163&lt;14,0,0.9)+IF(P1163&lt;0,0.7,0)+IF(P1163&lt;6.5,1,0)+IF(P1163&lt;23,1,0)+IF(R1163&gt;80,0,1)+S1163+IF(AD1163&lt;20,0,1)+IF(AE1163&lt;14,0,1)+IF(AF1163&lt;26,0,1)</f>
        <v/>
      </c>
    </row>
    <row r="1164" ht="12.75" customHeight="1">
      <c r="AG1164" s="101">
        <f>IF(G1164&lt;0,0,1.2)+IF(G1164&lt;14,0,0.9)+IF(P1164&lt;0,0.7,0)+IF(P1164&lt;6.5,1,0)+IF(P1164&lt;23,1,0)+IF(R1164&gt;80,0,1)+S1164+IF(AD1164&lt;20,0,1)+IF(AE1164&lt;14,0,1)+IF(AF1164&lt;26,0,1)</f>
        <v/>
      </c>
    </row>
    <row r="1165" ht="12.75" customHeight="1">
      <c r="AG1165" s="101">
        <f>IF(G1165&lt;0,0,1.2)+IF(G1165&lt;14,0,0.9)+IF(P1165&lt;0,0.7,0)+IF(P1165&lt;6.5,1,0)+IF(P1165&lt;23,1,0)+IF(R1165&gt;80,0,1)+S1165+IF(AD1165&lt;20,0,1)+IF(AE1165&lt;14,0,1)+IF(AF1165&lt;26,0,1)</f>
        <v/>
      </c>
    </row>
    <row r="1166" ht="12.75" customHeight="1">
      <c r="AG1166" s="101">
        <f>IF(G1166&lt;0,0,1.2)+IF(G1166&lt;14,0,0.9)+IF(P1166&lt;0,0.7,0)+IF(P1166&lt;6.5,1,0)+IF(P1166&lt;23,1,0)+IF(R1166&gt;80,0,1)+S1166+IF(AD1166&lt;20,0,1)+IF(AE1166&lt;14,0,1)+IF(AF1166&lt;26,0,1)</f>
        <v/>
      </c>
    </row>
    <row r="1167" ht="12.75" customHeight="1">
      <c r="AG1167" s="101">
        <f>IF(G1167&lt;0,0,1.2)+IF(G1167&lt;14,0,0.9)+IF(P1167&lt;0,0.7,0)+IF(P1167&lt;6.5,1,0)+IF(P1167&lt;23,1,0)+IF(R1167&gt;80,0,1)+S1167+IF(AD1167&lt;20,0,1)+IF(AE1167&lt;14,0,1)+IF(AF1167&lt;26,0,1)</f>
        <v/>
      </c>
    </row>
    <row r="1168" ht="12.75" customHeight="1">
      <c r="AG1168" s="101">
        <f>IF(G1168&lt;0,0,1.2)+IF(G1168&lt;14,0,0.9)+IF(P1168&lt;0,0.7,0)+IF(P1168&lt;6.5,1,0)+IF(P1168&lt;23,1,0)+IF(R1168&gt;80,0,1)+S1168+IF(AD1168&lt;20,0,1)+IF(AE1168&lt;14,0,1)+IF(AF1168&lt;26,0,1)</f>
        <v/>
      </c>
    </row>
    <row r="1169" ht="12.75" customHeight="1">
      <c r="AG1169" s="101">
        <f>IF(G1169&lt;0,0,1.2)+IF(G1169&lt;14,0,0.9)+IF(P1169&lt;0,0.7,0)+IF(P1169&lt;6.5,1,0)+IF(P1169&lt;23,1,0)+IF(R1169&gt;80,0,1)+S1169+IF(AD1169&lt;20,0,1)+IF(AE1169&lt;14,0,1)+IF(AF1169&lt;26,0,1)</f>
        <v/>
      </c>
    </row>
    <row r="1170" ht="12.75" customHeight="1">
      <c r="AG1170" s="101">
        <f>IF(G1170&lt;0,0,1.2)+IF(G1170&lt;14,0,0.9)+IF(P1170&lt;0,0.7,0)+IF(P1170&lt;6.5,1,0)+IF(P1170&lt;23,1,0)+IF(R1170&gt;80,0,1)+S1170+IF(AD1170&lt;20,0,1)+IF(AE1170&lt;14,0,1)+IF(AF1170&lt;26,0,1)</f>
        <v/>
      </c>
    </row>
    <row r="1171" ht="12.75" customHeight="1">
      <c r="AG1171" s="101">
        <f>IF(G1171&lt;0,0,1.2)+IF(G1171&lt;14,0,0.9)+IF(P1171&lt;0,0.7,0)+IF(P1171&lt;6.5,1,0)+IF(P1171&lt;23,1,0)+IF(R1171&gt;80,0,1)+S1171+IF(AD1171&lt;20,0,1)+IF(AE1171&lt;14,0,1)+IF(AF1171&lt;26,0,1)</f>
        <v/>
      </c>
    </row>
    <row r="1172" ht="12.75" customHeight="1">
      <c r="AG1172" s="101">
        <f>IF(G1172&lt;0,0,1.2)+IF(G1172&lt;14,0,0.9)+IF(P1172&lt;0,0.7,0)+IF(P1172&lt;6.5,1,0)+IF(P1172&lt;23,1,0)+IF(R1172&gt;80,0,1)+S1172+IF(AD1172&lt;20,0,1)+IF(AE1172&lt;14,0,1)+IF(AF1172&lt;26,0,1)</f>
        <v/>
      </c>
    </row>
    <row r="1173" ht="12.75" customHeight="1">
      <c r="AG1173" s="101">
        <f>IF(G1173&lt;0,0,1.2)+IF(G1173&lt;14,0,0.9)+IF(P1173&lt;0,0.7,0)+IF(P1173&lt;6.5,1,0)+IF(P1173&lt;23,1,0)+IF(R1173&gt;80,0,1)+S1173+IF(AD1173&lt;20,0,1)+IF(AE1173&lt;14,0,1)+IF(AF1173&lt;26,0,1)</f>
        <v/>
      </c>
    </row>
    <row r="1174" ht="12.75" customHeight="1">
      <c r="AG1174" s="101">
        <f>IF(G1174&lt;0,0,1.2)+IF(G1174&lt;14,0,0.9)+IF(P1174&lt;0,0.7,0)+IF(P1174&lt;6.5,1,0)+IF(P1174&lt;23,1,0)+IF(R1174&gt;80,0,1)+S1174+IF(AD1174&lt;20,0,1)+IF(AE1174&lt;14,0,1)+IF(AF1174&lt;26,0,1)</f>
        <v/>
      </c>
    </row>
    <row r="1175" ht="12.75" customHeight="1">
      <c r="AG1175" s="101">
        <f>IF(G1175&lt;0,0,1.2)+IF(G1175&lt;14,0,0.9)+IF(P1175&lt;0,0.7,0)+IF(P1175&lt;6.5,1,0)+IF(P1175&lt;23,1,0)+IF(R1175&gt;80,0,1)+S1175+IF(AD1175&lt;20,0,1)+IF(AE1175&lt;14,0,1)+IF(AF1175&lt;26,0,1)</f>
        <v/>
      </c>
    </row>
    <row r="1176" ht="12.75" customHeight="1">
      <c r="AG1176" s="101">
        <f>IF(G1176&lt;0,0,1.2)+IF(G1176&lt;14,0,0.9)+IF(P1176&lt;0,0.7,0)+IF(P1176&lt;6.5,1,0)+IF(P1176&lt;23,1,0)+IF(R1176&gt;80,0,1)+S1176+IF(AD1176&lt;20,0,1)+IF(AE1176&lt;14,0,1)+IF(AF1176&lt;26,0,1)</f>
        <v/>
      </c>
    </row>
    <row r="1177" ht="12.75" customHeight="1">
      <c r="AG1177" s="101">
        <f>IF(G1177&lt;0,0,1.2)+IF(G1177&lt;14,0,0.9)+IF(P1177&lt;0,0.7,0)+IF(P1177&lt;6.5,1,0)+IF(P1177&lt;23,1,0)+IF(R1177&gt;80,0,1)+S1177+IF(AD1177&lt;20,0,1)+IF(AE1177&lt;14,0,1)+IF(AF1177&lt;26,0,1)</f>
        <v/>
      </c>
    </row>
    <row r="1178" ht="12.75" customHeight="1">
      <c r="AG1178" s="101">
        <f>IF(G1178&lt;0,0,1.2)+IF(G1178&lt;14,0,0.9)+IF(P1178&lt;0,0.7,0)+IF(P1178&lt;6.5,1,0)+IF(P1178&lt;23,1,0)+IF(R1178&gt;80,0,1)+S1178+IF(AD1178&lt;20,0,1)+IF(AE1178&lt;14,0,1)+IF(AF1178&lt;26,0,1)</f>
        <v/>
      </c>
    </row>
    <row r="1179" ht="12.75" customHeight="1">
      <c r="AG1179" s="101">
        <f>IF(G1179&lt;0,0,1.2)+IF(G1179&lt;14,0,0.9)+IF(P1179&lt;0,0.7,0)+IF(P1179&lt;6.5,1,0)+IF(P1179&lt;23,1,0)+IF(R1179&gt;80,0,1)+S1179+IF(AD1179&lt;20,0,1)+IF(AE1179&lt;14,0,1)+IF(AF1179&lt;26,0,1)</f>
        <v/>
      </c>
    </row>
    <row r="1180" ht="12.75" customHeight="1">
      <c r="AG1180" s="101">
        <f>IF(G1180&lt;0,0,1.2)+IF(G1180&lt;14,0,0.9)+IF(P1180&lt;0,0.7,0)+IF(P1180&lt;6.5,1,0)+IF(P1180&lt;23,1,0)+IF(R1180&gt;80,0,1)+S1180+IF(AD1180&lt;20,0,1)+IF(AE1180&lt;14,0,1)+IF(AF1180&lt;26,0,1)</f>
        <v/>
      </c>
    </row>
    <row r="1181" ht="12.75" customHeight="1">
      <c r="AG1181" s="101">
        <f>IF(G1181&lt;0,0,1.2)+IF(G1181&lt;14,0,0.9)+IF(P1181&lt;0,0.7,0)+IF(P1181&lt;6.5,1,0)+IF(P1181&lt;23,1,0)+IF(R1181&gt;80,0,1)+S1181+IF(AD1181&lt;20,0,1)+IF(AE1181&lt;14,0,1)+IF(AF1181&lt;26,0,1)</f>
        <v/>
      </c>
    </row>
    <row r="1182" ht="12.75" customHeight="1">
      <c r="AG1182" s="101">
        <f>IF(G1182&lt;0,0,1.2)+IF(G1182&lt;14,0,0.9)+IF(P1182&lt;0,0.7,0)+IF(P1182&lt;6.5,1,0)+IF(P1182&lt;23,1,0)+IF(R1182&gt;80,0,1)+S1182+IF(AD1182&lt;20,0,1)+IF(AE1182&lt;14,0,1)+IF(AF1182&lt;26,0,1)</f>
        <v/>
      </c>
    </row>
    <row r="1183" ht="12.75" customHeight="1">
      <c r="AG1183" s="101">
        <f>IF(G1183&lt;0,0,1.2)+IF(G1183&lt;14,0,0.9)+IF(P1183&lt;0,0.7,0)+IF(P1183&lt;6.5,1,0)+IF(P1183&lt;23,1,0)+IF(R1183&gt;80,0,1)+S1183+IF(AD1183&lt;20,0,1)+IF(AE1183&lt;14,0,1)+IF(AF1183&lt;26,0,1)</f>
        <v/>
      </c>
    </row>
    <row r="1184" ht="12.75" customHeight="1">
      <c r="AG1184" s="101">
        <f>IF(G1184&lt;0,0,1.2)+IF(G1184&lt;14,0,0.9)+IF(P1184&lt;0,0.7,0)+IF(P1184&lt;6.5,1,0)+IF(P1184&lt;23,1,0)+IF(R1184&gt;80,0,1)+S1184+IF(AD1184&lt;20,0,1)+IF(AE1184&lt;14,0,1)+IF(AF1184&lt;26,0,1)</f>
        <v/>
      </c>
    </row>
    <row r="1185" ht="12.75" customHeight="1">
      <c r="AG1185" s="101">
        <f>IF(G1185&lt;0,0,1.2)+IF(G1185&lt;14,0,0.9)+IF(P1185&lt;0,0.7,0)+IF(P1185&lt;6.5,1,0)+IF(P1185&lt;23,1,0)+IF(R1185&gt;80,0,1)+S1185+IF(AD1185&lt;20,0,1)+IF(AE1185&lt;14,0,1)+IF(AF1185&lt;26,0,1)</f>
        <v/>
      </c>
    </row>
    <row r="1186" ht="12.75" customHeight="1">
      <c r="AG1186" s="101">
        <f>IF(G1186&lt;0,0,1.2)+IF(G1186&lt;14,0,0.9)+IF(P1186&lt;0,0.7,0)+IF(P1186&lt;6.5,1,0)+IF(P1186&lt;23,1,0)+IF(R1186&gt;80,0,1)+S1186+IF(AD1186&lt;20,0,1)+IF(AE1186&lt;14,0,1)+IF(AF1186&lt;26,0,1)</f>
        <v/>
      </c>
    </row>
    <row r="1187" ht="12.75" customHeight="1">
      <c r="AG1187" s="101">
        <f>IF(G1187&lt;0,0,1.2)+IF(G1187&lt;14,0,0.9)+IF(P1187&lt;0,0.7,0)+IF(P1187&lt;6.5,1,0)+IF(P1187&lt;23,1,0)+IF(R1187&gt;80,0,1)+S1187+IF(AD1187&lt;20,0,1)+IF(AE1187&lt;14,0,1)+IF(AF1187&lt;26,0,1)</f>
        <v/>
      </c>
    </row>
    <row r="1188" ht="12.75" customHeight="1">
      <c r="AG1188" s="101">
        <f>IF(G1188&lt;0,0,1.2)+IF(G1188&lt;14,0,0.9)+IF(P1188&lt;0,0.7,0)+IF(P1188&lt;6.5,1,0)+IF(P1188&lt;23,1,0)+IF(R1188&gt;80,0,1)+S1188+IF(AD1188&lt;20,0,1)+IF(AE1188&lt;14,0,1)+IF(AF1188&lt;26,0,1)</f>
        <v/>
      </c>
    </row>
    <row r="1189" ht="12.75" customHeight="1">
      <c r="AG1189" s="101">
        <f>IF(G1189&lt;0,0,1.2)+IF(G1189&lt;14,0,0.9)+IF(P1189&lt;0,0.7,0)+IF(P1189&lt;6.5,1,0)+IF(P1189&lt;23,1,0)+IF(R1189&gt;80,0,1)+S1189+IF(AD1189&lt;20,0,1)+IF(AE1189&lt;14,0,1)+IF(AF1189&lt;26,0,1)</f>
        <v/>
      </c>
    </row>
    <row r="1190" ht="12.75" customHeight="1">
      <c r="AG1190" s="101">
        <f>IF(G1190&lt;0,0,1.2)+IF(G1190&lt;14,0,0.9)+IF(P1190&lt;0,0.7,0)+IF(P1190&lt;6.5,1,0)+IF(P1190&lt;23,1,0)+IF(R1190&gt;80,0,1)+S1190+IF(AD1190&lt;20,0,1)+IF(AE1190&lt;14,0,1)+IF(AF1190&lt;26,0,1)</f>
        <v/>
      </c>
    </row>
    <row r="1191" ht="12.75" customHeight="1">
      <c r="AG1191" s="101">
        <f>IF(G1191&lt;0,0,1.2)+IF(G1191&lt;14,0,0.9)+IF(P1191&lt;0,0.7,0)+IF(P1191&lt;6.5,1,0)+IF(P1191&lt;23,1,0)+IF(R1191&gt;80,0,1)+S1191+IF(AD1191&lt;20,0,1)+IF(AE1191&lt;14,0,1)+IF(AF1191&lt;26,0,1)</f>
        <v/>
      </c>
    </row>
    <row r="1192" ht="12.75" customHeight="1">
      <c r="AG1192" s="101">
        <f>IF(G1192&lt;0,0,1.2)+IF(G1192&lt;14,0,0.9)+IF(P1192&lt;0,0.7,0)+IF(P1192&lt;6.5,1,0)+IF(P1192&lt;23,1,0)+IF(R1192&gt;80,0,1)+S1192+IF(AD1192&lt;20,0,1)+IF(AE1192&lt;14,0,1)+IF(AF1192&lt;26,0,1)</f>
        <v/>
      </c>
    </row>
    <row r="1193" ht="12.75" customHeight="1">
      <c r="AG1193" s="101">
        <f>IF(G1193&lt;0,0,1.2)+IF(G1193&lt;14,0,0.9)+IF(P1193&lt;0,0.7,0)+IF(P1193&lt;6.5,1,0)+IF(P1193&lt;23,1,0)+IF(R1193&gt;80,0,1)+S1193+IF(AD1193&lt;20,0,1)+IF(AE1193&lt;14,0,1)+IF(AF1193&lt;26,0,1)</f>
        <v/>
      </c>
    </row>
    <row r="1194" ht="12.75" customHeight="1">
      <c r="AG1194" s="101">
        <f>IF(G1194&lt;0,0,1.2)+IF(G1194&lt;14,0,0.9)+IF(P1194&lt;0,0.7,0)+IF(P1194&lt;6.5,1,0)+IF(P1194&lt;23,1,0)+IF(R1194&gt;80,0,1)+S1194+IF(AD1194&lt;20,0,1)+IF(AE1194&lt;14,0,1)+IF(AF1194&lt;26,0,1)</f>
        <v/>
      </c>
    </row>
    <row r="1195" ht="12.75" customHeight="1">
      <c r="AG1195" s="101">
        <f>IF(G1195&lt;0,0,1.2)+IF(G1195&lt;14,0,0.9)+IF(P1195&lt;0,0.7,0)+IF(P1195&lt;6.5,1,0)+IF(P1195&lt;23,1,0)+IF(R1195&gt;80,0,1)+S1195+IF(AD1195&lt;20,0,1)+IF(AE1195&lt;14,0,1)+IF(AF1195&lt;26,0,1)</f>
        <v/>
      </c>
    </row>
    <row r="1196" ht="12.75" customHeight="1">
      <c r="AG1196" s="101">
        <f>IF(G1196&lt;0,0,1.2)+IF(G1196&lt;14,0,0.9)+IF(P1196&lt;0,0.7,0)+IF(P1196&lt;6.5,1,0)+IF(P1196&lt;23,1,0)+IF(R1196&gt;80,0,1)+S1196+IF(AD1196&lt;20,0,1)+IF(AE1196&lt;14,0,1)+IF(AF1196&lt;26,0,1)</f>
        <v/>
      </c>
    </row>
    <row r="1197" ht="12.75" customHeight="1">
      <c r="AG1197" s="101">
        <f>IF(G1197&lt;0,0,1.2)+IF(G1197&lt;14,0,0.9)+IF(P1197&lt;0,0.7,0)+IF(P1197&lt;6.5,1,0)+IF(P1197&lt;23,1,0)+IF(R1197&gt;80,0,1)+S1197+IF(AD1197&lt;20,0,1)+IF(AE1197&lt;14,0,1)+IF(AF1197&lt;26,0,1)</f>
        <v/>
      </c>
    </row>
    <row r="1198" ht="12.75" customHeight="1">
      <c r="AG1198" s="101">
        <f>IF(G1198&lt;0,0,1.2)+IF(G1198&lt;14,0,0.9)+IF(P1198&lt;0,0.7,0)+IF(P1198&lt;6.5,1,0)+IF(P1198&lt;23,1,0)+IF(R1198&gt;80,0,1)+S1198+IF(AD1198&lt;20,0,1)+IF(AE1198&lt;14,0,1)+IF(AF1198&lt;26,0,1)</f>
        <v/>
      </c>
    </row>
    <row r="1199" ht="12.75" customHeight="1">
      <c r="AG1199" s="101">
        <f>IF(G1199&lt;0,0,1.2)+IF(G1199&lt;14,0,0.9)+IF(P1199&lt;0,0.7,0)+IF(P1199&lt;6.5,1,0)+IF(P1199&lt;23,1,0)+IF(R1199&gt;80,0,1)+S1199+IF(AD1199&lt;20,0,1)+IF(AE1199&lt;14,0,1)+IF(AF1199&lt;26,0,1)</f>
        <v/>
      </c>
    </row>
    <row r="1200" ht="12.75" customHeight="1">
      <c r="AG1200" s="101">
        <f>IF(G1200&lt;0,0,1.2)+IF(G1200&lt;14,0,0.9)+IF(P1200&lt;0,0.7,0)+IF(P1200&lt;6.5,1,0)+IF(P1200&lt;23,1,0)+IF(R1200&gt;80,0,1)+S1200+IF(AD1200&lt;20,0,1)+IF(AE1200&lt;14,0,1)+IF(AF1200&lt;26,0,1)</f>
        <v/>
      </c>
    </row>
    <row r="1201" ht="12.75" customHeight="1">
      <c r="AG1201" s="101">
        <f>IF(G1201&lt;0,0,1.2)+IF(G1201&lt;14,0,0.9)+IF(P1201&lt;0,0.7,0)+IF(P1201&lt;6.5,1,0)+IF(P1201&lt;23,1,0)+IF(R1201&gt;80,0,1)+S1201+IF(AD1201&lt;20,0,1)+IF(AE1201&lt;14,0,1)+IF(AF1201&lt;26,0,1)</f>
        <v/>
      </c>
    </row>
    <row r="1202" ht="12.75" customHeight="1">
      <c r="AG1202" s="101">
        <f>IF(G1202&lt;0,0,1.2)+IF(G1202&lt;14,0,0.9)+IF(P1202&lt;0,0.7,0)+IF(P1202&lt;6.5,1,0)+IF(P1202&lt;23,1,0)+IF(R1202&gt;80,0,1)+S1202+IF(AD1202&lt;20,0,1)+IF(AE1202&lt;14,0,1)+IF(AF1202&lt;26,0,1)</f>
        <v/>
      </c>
    </row>
    <row r="1203" ht="12.75" customHeight="1">
      <c r="AG1203" s="101">
        <f>IF(G1203&lt;0,0,1.2)+IF(G1203&lt;14,0,0.9)+IF(P1203&lt;0,0.7,0)+IF(P1203&lt;6.5,1,0)+IF(P1203&lt;23,1,0)+IF(R1203&gt;80,0,1)+S1203+IF(AD1203&lt;20,0,1)+IF(AE1203&lt;14,0,1)+IF(AF1203&lt;26,0,1)</f>
        <v/>
      </c>
    </row>
    <row r="1204" ht="12.75" customHeight="1">
      <c r="AG1204" s="101">
        <f>IF(G1204&lt;0,0,1.2)+IF(G1204&lt;14,0,0.9)+IF(P1204&lt;0,0.7,0)+IF(P1204&lt;6.5,1,0)+IF(P1204&lt;23,1,0)+IF(R1204&gt;80,0,1)+S1204+IF(AD1204&lt;20,0,1)+IF(AE1204&lt;14,0,1)+IF(AF1204&lt;26,0,1)</f>
        <v/>
      </c>
    </row>
    <row r="1205" ht="12.75" customHeight="1">
      <c r="AG1205" s="101">
        <f>IF(G1205&lt;0,0,1.2)+IF(G1205&lt;14,0,0.9)+IF(P1205&lt;0,0.7,0)+IF(P1205&lt;6.5,1,0)+IF(P1205&lt;23,1,0)+IF(R1205&gt;80,0,1)+S1205+IF(AD1205&lt;20,0,1)+IF(AE1205&lt;14,0,1)+IF(AF1205&lt;26,0,1)</f>
        <v/>
      </c>
    </row>
    <row r="1206" ht="12.75" customHeight="1">
      <c r="AG1206" s="101">
        <f>IF(G1206&lt;0,0,1.2)+IF(G1206&lt;14,0,0.9)+IF(P1206&lt;0,0.7,0)+IF(P1206&lt;6.5,1,0)+IF(P1206&lt;23,1,0)+IF(R1206&gt;80,0,1)+S1206+IF(AD1206&lt;20,0,1)+IF(AE1206&lt;14,0,1)+IF(AF1206&lt;26,0,1)</f>
        <v/>
      </c>
    </row>
    <row r="1207" ht="12.75" customHeight="1">
      <c r="AG1207" s="101">
        <f>IF(G1207&lt;0,0,1.2)+IF(G1207&lt;14,0,0.9)+IF(P1207&lt;0,0.7,0)+IF(P1207&lt;6.5,1,0)+IF(P1207&lt;23,1,0)+IF(R1207&gt;80,0,1)+S1207+IF(AD1207&lt;20,0,1)+IF(AE1207&lt;14,0,1)+IF(AF1207&lt;26,0,1)</f>
        <v/>
      </c>
    </row>
    <row r="1208" ht="12.75" customHeight="1">
      <c r="AG1208" s="101">
        <f>IF(G1208&lt;0,0,1.2)+IF(G1208&lt;14,0,0.9)+IF(P1208&lt;0,0.7,0)+IF(P1208&lt;6.5,1,0)+IF(P1208&lt;23,1,0)+IF(R1208&gt;80,0,1)+S1208+IF(AD1208&lt;20,0,1)+IF(AE1208&lt;14,0,1)+IF(AF1208&lt;26,0,1)</f>
        <v/>
      </c>
    </row>
    <row r="1209" ht="12.75" customHeight="1">
      <c r="AG1209" s="101">
        <f>IF(G1209&lt;0,0,1.2)+IF(G1209&lt;14,0,0.9)+IF(P1209&lt;0,0.7,0)+IF(P1209&lt;6.5,1,0)+IF(P1209&lt;23,1,0)+IF(R1209&gt;80,0,1)+S1209+IF(AD1209&lt;20,0,1)+IF(AE1209&lt;14,0,1)+IF(AF1209&lt;26,0,1)</f>
        <v/>
      </c>
    </row>
    <row r="1210" ht="12.75" customHeight="1">
      <c r="AG1210" s="101">
        <f>IF(G1210&lt;0,0,1.2)+IF(G1210&lt;14,0,0.9)+IF(P1210&lt;0,0.7,0)+IF(P1210&lt;6.5,1,0)+IF(P1210&lt;23,1,0)+IF(R1210&gt;80,0,1)+S1210+IF(AD1210&lt;20,0,1)+IF(AE1210&lt;14,0,1)+IF(AF1210&lt;26,0,1)</f>
        <v/>
      </c>
    </row>
    <row r="1211" ht="12.75" customHeight="1">
      <c r="AG1211" s="101">
        <f>IF(G1211&lt;0,0,1.2)+IF(G1211&lt;14,0,0.9)+IF(P1211&lt;0,0.7,0)+IF(P1211&lt;6.5,1,0)+IF(P1211&lt;23,1,0)+IF(R1211&gt;80,0,1)+S1211+IF(AD1211&lt;20,0,1)+IF(AE1211&lt;14,0,1)+IF(AF1211&lt;26,0,1)</f>
        <v/>
      </c>
    </row>
    <row r="1212" ht="12.75" customHeight="1">
      <c r="AG1212" s="101">
        <f>IF(G1212&lt;0,0,1.2)+IF(G1212&lt;14,0,0.9)+IF(P1212&lt;0,0.7,0)+IF(P1212&lt;6.5,1,0)+IF(P1212&lt;23,1,0)+IF(R1212&gt;80,0,1)+S1212+IF(AD1212&lt;20,0,1)+IF(AE1212&lt;14,0,1)+IF(AF1212&lt;26,0,1)</f>
        <v/>
      </c>
    </row>
    <row r="1213" ht="12.75" customHeight="1">
      <c r="AG1213" s="101">
        <f>IF(G1213&lt;0,0,1.2)+IF(G1213&lt;14,0,0.9)+IF(P1213&lt;0,0.7,0)+IF(P1213&lt;6.5,1,0)+IF(P1213&lt;23,1,0)+IF(R1213&gt;80,0,1)+S1213+IF(AD1213&lt;20,0,1)+IF(AE1213&lt;14,0,1)+IF(AF1213&lt;26,0,1)</f>
        <v/>
      </c>
    </row>
    <row r="1214" ht="12.75" customHeight="1">
      <c r="AG1214" s="101">
        <f>IF(G1214&lt;0,0,1.2)+IF(G1214&lt;14,0,0.9)+IF(P1214&lt;0,0.7,0)+IF(P1214&lt;6.5,1,0)+IF(P1214&lt;23,1,0)+IF(R1214&gt;80,0,1)+S1214+IF(AD1214&lt;20,0,1)+IF(AE1214&lt;14,0,1)+IF(AF1214&lt;26,0,1)</f>
        <v/>
      </c>
    </row>
    <row r="1215" ht="12.75" customHeight="1">
      <c r="AG1215" s="101">
        <f>IF(G1215&lt;0,0,1.2)+IF(G1215&lt;14,0,0.9)+IF(P1215&lt;0,0.7,0)+IF(P1215&lt;6.5,1,0)+IF(P1215&lt;23,1,0)+IF(R1215&gt;80,0,1)+S1215+IF(AD1215&lt;20,0,1)+IF(AE1215&lt;14,0,1)+IF(AF1215&lt;26,0,1)</f>
        <v/>
      </c>
    </row>
    <row r="1216" ht="12.75" customHeight="1">
      <c r="AG1216" s="101">
        <f>IF(G1216&lt;0,0,1.2)+IF(G1216&lt;14,0,0.9)+IF(P1216&lt;0,0.7,0)+IF(P1216&lt;6.5,1,0)+IF(P1216&lt;23,1,0)+IF(R1216&gt;80,0,1)+S1216+IF(AD1216&lt;20,0,1)+IF(AE1216&lt;14,0,1)+IF(AF1216&lt;26,0,1)</f>
        <v/>
      </c>
    </row>
    <row r="1217" ht="12.75" customHeight="1">
      <c r="AG1217" s="101">
        <f>IF(G1217&lt;0,0,1.2)+IF(G1217&lt;14,0,0.9)+IF(P1217&lt;0,0.7,0)+IF(P1217&lt;6.5,1,0)+IF(P1217&lt;23,1,0)+IF(R1217&gt;80,0,1)+S1217+IF(AD1217&lt;20,0,1)+IF(AE1217&lt;14,0,1)+IF(AF1217&lt;26,0,1)</f>
        <v/>
      </c>
    </row>
    <row r="1218" ht="12.75" customHeight="1">
      <c r="AG1218" s="101">
        <f>IF(G1218&lt;0,0,1.2)+IF(G1218&lt;14,0,0.9)+IF(P1218&lt;0,0.7,0)+IF(P1218&lt;6.5,1,0)+IF(P1218&lt;23,1,0)+IF(R1218&gt;80,0,1)+S1218+IF(AD1218&lt;20,0,1)+IF(AE1218&lt;14,0,1)+IF(AF1218&lt;26,0,1)</f>
        <v/>
      </c>
    </row>
    <row r="1219" ht="12.75" customHeight="1">
      <c r="AG1219" s="101">
        <f>IF(G1219&lt;0,0,1.2)+IF(G1219&lt;14,0,0.9)+IF(P1219&lt;0,0.7,0)+IF(P1219&lt;6.5,1,0)+IF(P1219&lt;23,1,0)+IF(R1219&gt;80,0,1)+S1219+IF(AD1219&lt;20,0,1)+IF(AE1219&lt;14,0,1)+IF(AF1219&lt;26,0,1)</f>
        <v/>
      </c>
    </row>
    <row r="1220" ht="12.75" customHeight="1">
      <c r="AG1220" s="101">
        <f>IF(G1220&lt;0,0,1.2)+IF(G1220&lt;14,0,0.9)+IF(P1220&lt;0,0.7,0)+IF(P1220&lt;6.5,1,0)+IF(P1220&lt;23,1,0)+IF(R1220&gt;80,0,1)+S1220+IF(AD1220&lt;20,0,1)+IF(AE1220&lt;14,0,1)+IF(AF1220&lt;26,0,1)</f>
        <v/>
      </c>
    </row>
    <row r="1221" ht="12.75" customHeight="1">
      <c r="AG1221" s="101">
        <f>IF(G1221&lt;0,0,1.2)+IF(G1221&lt;14,0,0.9)+IF(P1221&lt;0,0.7,0)+IF(P1221&lt;6.5,1,0)+IF(P1221&lt;23,1,0)+IF(R1221&gt;80,0,1)+S1221+IF(AD1221&lt;20,0,1)+IF(AE1221&lt;14,0,1)+IF(AF1221&lt;26,0,1)</f>
        <v/>
      </c>
    </row>
    <row r="1222" ht="12.75" customHeight="1">
      <c r="AG1222" s="101">
        <f>IF(G1222&lt;0,0,1.2)+IF(G1222&lt;14,0,0.9)+IF(P1222&lt;0,0.7,0)+IF(P1222&lt;6.5,1,0)+IF(P1222&lt;23,1,0)+IF(R1222&gt;80,0,1)+S1222+IF(AD1222&lt;20,0,1)+IF(AE1222&lt;14,0,1)+IF(AF1222&lt;26,0,1)</f>
        <v/>
      </c>
    </row>
    <row r="1223" ht="12.75" customHeight="1">
      <c r="AG1223" s="101">
        <f>IF(G1223&lt;0,0,1.2)+IF(G1223&lt;14,0,0.9)+IF(P1223&lt;0,0.7,0)+IF(P1223&lt;6.5,1,0)+IF(P1223&lt;23,1,0)+IF(R1223&gt;80,0,1)+S1223+IF(AD1223&lt;20,0,1)+IF(AE1223&lt;14,0,1)+IF(AF1223&lt;26,0,1)</f>
        <v/>
      </c>
    </row>
    <row r="1224" ht="12.75" customHeight="1">
      <c r="AG1224" s="101">
        <f>IF(G1224&lt;0,0,1.2)+IF(G1224&lt;14,0,0.9)+IF(P1224&lt;0,0.7,0)+IF(P1224&lt;6.5,1,0)+IF(P1224&lt;23,1,0)+IF(R1224&gt;80,0,1)+S1224+IF(AD1224&lt;20,0,1)+IF(AE1224&lt;14,0,1)+IF(AF1224&lt;26,0,1)</f>
        <v/>
      </c>
    </row>
    <row r="1225" ht="12.75" customHeight="1">
      <c r="AG1225" s="101">
        <f>IF(G1225&lt;0,0,1.2)+IF(G1225&lt;14,0,0.9)+IF(P1225&lt;0,0.7,0)+IF(P1225&lt;6.5,1,0)+IF(P1225&lt;23,1,0)+IF(R1225&gt;80,0,1)+S1225+IF(AD1225&lt;20,0,1)+IF(AE1225&lt;14,0,1)+IF(AF1225&lt;26,0,1)</f>
        <v/>
      </c>
    </row>
    <row r="1226" ht="12.75" customHeight="1">
      <c r="AG1226" s="101">
        <f>IF(G1226&lt;0,0,1.2)+IF(G1226&lt;14,0,0.9)+IF(P1226&lt;0,0.7,0)+IF(P1226&lt;6.5,1,0)+IF(P1226&lt;23,1,0)+IF(R1226&gt;80,0,1)+S1226+IF(AD1226&lt;20,0,1)+IF(AE1226&lt;14,0,1)+IF(AF1226&lt;26,0,1)</f>
        <v/>
      </c>
    </row>
    <row r="1227" ht="12.75" customHeight="1">
      <c r="AG1227" s="101">
        <f>IF(G1227&lt;0,0,1.2)+IF(G1227&lt;14,0,0.9)+IF(P1227&lt;0,0.7,0)+IF(P1227&lt;6.5,1,0)+IF(P1227&lt;23,1,0)+IF(R1227&gt;80,0,1)+S1227+IF(AD1227&lt;20,0,1)+IF(AE1227&lt;14,0,1)+IF(AF1227&lt;26,0,1)</f>
        <v/>
      </c>
    </row>
    <row r="1228" ht="12.75" customHeight="1">
      <c r="AG1228" s="101">
        <f>IF(G1228&lt;0,0,1.2)+IF(G1228&lt;14,0,0.9)+IF(P1228&lt;0,0.7,0)+IF(P1228&lt;6.5,1,0)+IF(P1228&lt;23,1,0)+IF(R1228&gt;80,0,1)+S1228+IF(AD1228&lt;20,0,1)+IF(AE1228&lt;14,0,1)+IF(AF1228&lt;26,0,1)</f>
        <v/>
      </c>
    </row>
    <row r="1229" ht="12.75" customHeight="1">
      <c r="AG1229" s="101">
        <f>IF(G1229&lt;0,0,1.2)+IF(G1229&lt;14,0,0.9)+IF(P1229&lt;0,0.7,0)+IF(P1229&lt;6.5,1,0)+IF(P1229&lt;23,1,0)+IF(R1229&gt;80,0,1)+S1229+IF(AD1229&lt;20,0,1)+IF(AE1229&lt;14,0,1)+IF(AF1229&lt;26,0,1)</f>
        <v/>
      </c>
    </row>
    <row r="1230" ht="12.75" customHeight="1">
      <c r="AG1230" s="101">
        <f>IF(G1230&lt;0,0,1.2)+IF(G1230&lt;14,0,0.9)+IF(P1230&lt;0,0.7,0)+IF(P1230&lt;6.5,1,0)+IF(P1230&lt;23,1,0)+IF(R1230&gt;80,0,1)+S1230+IF(AD1230&lt;20,0,1)+IF(AE1230&lt;14,0,1)+IF(AF1230&lt;26,0,1)</f>
        <v/>
      </c>
    </row>
    <row r="1231" ht="12.75" customHeight="1">
      <c r="AG1231" s="101">
        <f>IF(G1231&lt;0,0,1.2)+IF(G1231&lt;14,0,0.9)+IF(P1231&lt;0,0.7,0)+IF(P1231&lt;6.5,1,0)+IF(P1231&lt;23,1,0)+IF(R1231&gt;80,0,1)+S1231+IF(AD1231&lt;20,0,1)+IF(AE1231&lt;14,0,1)+IF(AF1231&lt;26,0,1)</f>
        <v/>
      </c>
    </row>
    <row r="1232" ht="12.75" customHeight="1">
      <c r="AG1232" s="101">
        <f>IF(G1232&lt;0,0,1.2)+IF(G1232&lt;14,0,0.9)+IF(P1232&lt;0,0.7,0)+IF(P1232&lt;6.5,1,0)+IF(P1232&lt;23,1,0)+IF(R1232&gt;80,0,1)+S1232+IF(AD1232&lt;20,0,1)+IF(AE1232&lt;14,0,1)+IF(AF1232&lt;26,0,1)</f>
        <v/>
      </c>
    </row>
    <row r="1233" ht="12.75" customHeight="1">
      <c r="AG1233" s="101">
        <f>IF(G1233&lt;0,0,1.2)+IF(G1233&lt;14,0,0.9)+IF(P1233&lt;0,0.7,0)+IF(P1233&lt;6.5,1,0)+IF(P1233&lt;23,1,0)+IF(R1233&gt;80,0,1)+S1233+IF(AD1233&lt;20,0,1)+IF(AE1233&lt;14,0,1)+IF(AF1233&lt;26,0,1)</f>
        <v/>
      </c>
    </row>
    <row r="1234" ht="12.75" customHeight="1">
      <c r="AG1234" s="101">
        <f>IF(G1234&lt;0,0,1.2)+IF(G1234&lt;14,0,0.9)+IF(P1234&lt;0,0.7,0)+IF(P1234&lt;6.5,1,0)+IF(P1234&lt;23,1,0)+IF(R1234&gt;80,0,1)+S1234+IF(AD1234&lt;20,0,1)+IF(AE1234&lt;14,0,1)+IF(AF1234&lt;26,0,1)</f>
        <v/>
      </c>
    </row>
    <row r="1235" ht="12.75" customHeight="1">
      <c r="AG1235" s="101">
        <f>IF(G1235&lt;0,0,1.2)+IF(G1235&lt;14,0,0.9)+IF(P1235&lt;0,0.7,0)+IF(P1235&lt;6.5,1,0)+IF(P1235&lt;23,1,0)+IF(R1235&gt;80,0,1)+S1235+IF(AD1235&lt;20,0,1)+IF(AE1235&lt;14,0,1)+IF(AF1235&lt;26,0,1)</f>
        <v/>
      </c>
    </row>
    <row r="1236" ht="12.75" customHeight="1">
      <c r="AG1236" s="101">
        <f>IF(G1236&lt;0,0,1.2)+IF(G1236&lt;14,0,0.9)+IF(P1236&lt;0,0.7,0)+IF(P1236&lt;6.5,1,0)+IF(P1236&lt;23,1,0)+IF(R1236&gt;80,0,1)+S1236+IF(AD1236&lt;20,0,1)+IF(AE1236&lt;14,0,1)+IF(AF1236&lt;26,0,1)</f>
        <v/>
      </c>
    </row>
    <row r="1237" ht="12.75" customHeight="1">
      <c r="AG1237" s="101">
        <f>IF(G1237&lt;0,0,1.2)+IF(G1237&lt;14,0,0.9)+IF(P1237&lt;0,0.7,0)+IF(P1237&lt;6.5,1,0)+IF(P1237&lt;23,1,0)+IF(R1237&gt;80,0,1)+S1237+IF(AD1237&lt;20,0,1)+IF(AE1237&lt;14,0,1)+IF(AF1237&lt;26,0,1)</f>
        <v/>
      </c>
    </row>
    <row r="1238" ht="12.75" customHeight="1">
      <c r="AG1238" s="101">
        <f>IF(G1238&lt;0,0,1.2)+IF(G1238&lt;14,0,0.9)+IF(P1238&lt;0,0.7,0)+IF(P1238&lt;6.5,1,0)+IF(P1238&lt;23,1,0)+IF(R1238&gt;80,0,1)+S1238+IF(AD1238&lt;20,0,1)+IF(AE1238&lt;14,0,1)+IF(AF1238&lt;26,0,1)</f>
        <v/>
      </c>
    </row>
    <row r="1239" ht="12.75" customHeight="1">
      <c r="AG1239" s="101">
        <f>IF(G1239&lt;0,0,1.2)+IF(G1239&lt;14,0,0.9)+IF(P1239&lt;0,0.7,0)+IF(P1239&lt;6.5,1,0)+IF(P1239&lt;23,1,0)+IF(R1239&gt;80,0,1)+S1239+IF(AD1239&lt;20,0,1)+IF(AE1239&lt;14,0,1)+IF(AF1239&lt;26,0,1)</f>
        <v/>
      </c>
    </row>
    <row r="1240" ht="12.75" customHeight="1">
      <c r="AG1240" s="101">
        <f>IF(G1240&lt;0,0,1.2)+IF(G1240&lt;14,0,0.9)+IF(P1240&lt;0,0.7,0)+IF(P1240&lt;6.5,1,0)+IF(P1240&lt;23,1,0)+IF(R1240&gt;80,0,1)+S1240+IF(AD1240&lt;20,0,1)+IF(AE1240&lt;14,0,1)+IF(AF1240&lt;26,0,1)</f>
        <v/>
      </c>
    </row>
    <row r="1241" ht="12.75" customHeight="1">
      <c r="AG1241" s="101">
        <f>IF(G1241&lt;0,0,1.2)+IF(G1241&lt;14,0,0.9)+IF(P1241&lt;0,0.7,0)+IF(P1241&lt;6.5,1,0)+IF(P1241&lt;23,1,0)+IF(R1241&gt;80,0,1)+S1241+IF(AD1241&lt;20,0,1)+IF(AE1241&lt;14,0,1)+IF(AF1241&lt;26,0,1)</f>
        <v/>
      </c>
    </row>
    <row r="1242" ht="12.75" customHeight="1">
      <c r="AG1242" s="101">
        <f>IF(G1242&lt;0,0,1.2)+IF(G1242&lt;14,0,0.9)+IF(P1242&lt;0,0.7,0)+IF(P1242&lt;6.5,1,0)+IF(P1242&lt;23,1,0)+IF(R1242&gt;80,0,1)+S1242+IF(AD1242&lt;20,0,1)+IF(AE1242&lt;14,0,1)+IF(AF1242&lt;26,0,1)</f>
        <v/>
      </c>
    </row>
    <row r="1243" ht="12.75" customHeight="1">
      <c r="AG1243" s="101">
        <f>IF(G1243&lt;0,0,1.2)+IF(G1243&lt;14,0,0.9)+IF(P1243&lt;0,0.7,0)+IF(P1243&lt;6.5,1,0)+IF(P1243&lt;23,1,0)+IF(R1243&gt;80,0,1)+S1243+IF(AD1243&lt;20,0,1)+IF(AE1243&lt;14,0,1)+IF(AF1243&lt;26,0,1)</f>
        <v/>
      </c>
    </row>
    <row r="1244" ht="12.75" customHeight="1">
      <c r="AG1244" s="101">
        <f>IF(G1244&lt;0,0,1.2)+IF(G1244&lt;14,0,0.9)+IF(P1244&lt;0,0.7,0)+IF(P1244&lt;6.5,1,0)+IF(P1244&lt;23,1,0)+IF(R1244&gt;80,0,1)+S1244+IF(AD1244&lt;20,0,1)+IF(AE1244&lt;14,0,1)+IF(AF1244&lt;26,0,1)</f>
        <v/>
      </c>
    </row>
    <row r="1245" ht="12.75" customHeight="1">
      <c r="AG1245" s="101">
        <f>IF(G1245&lt;0,0,1.2)+IF(G1245&lt;14,0,0.9)+IF(P1245&lt;0,0.7,0)+IF(P1245&lt;6.5,1,0)+IF(P1245&lt;23,1,0)+IF(R1245&gt;80,0,1)+S1245+IF(AD1245&lt;20,0,1)+IF(AE1245&lt;14,0,1)+IF(AF1245&lt;26,0,1)</f>
        <v/>
      </c>
    </row>
    <row r="1246" ht="12.75" customHeight="1">
      <c r="AG1246" s="101">
        <f>IF(G1246&lt;0,0,1.2)+IF(G1246&lt;14,0,0.9)+IF(P1246&lt;0,0.7,0)+IF(P1246&lt;6.5,1,0)+IF(P1246&lt;23,1,0)+IF(R1246&gt;80,0,1)+S1246+IF(AD1246&lt;20,0,1)+IF(AE1246&lt;14,0,1)+IF(AF1246&lt;26,0,1)</f>
        <v/>
      </c>
    </row>
    <row r="1247" ht="12.75" customHeight="1">
      <c r="AG1247" s="101">
        <f>IF(G1247&lt;0,0,1.2)+IF(G1247&lt;14,0,0.9)+IF(P1247&lt;0,0.7,0)+IF(P1247&lt;6.5,1,0)+IF(P1247&lt;23,1,0)+IF(R1247&gt;80,0,1)+S1247+IF(AD1247&lt;20,0,1)+IF(AE1247&lt;14,0,1)+IF(AF1247&lt;26,0,1)</f>
        <v/>
      </c>
    </row>
    <row r="1248" ht="12.75" customHeight="1">
      <c r="AG1248" s="101">
        <f>IF(G1248&lt;0,0,1.2)+IF(G1248&lt;14,0,0.9)+IF(P1248&lt;0,0.7,0)+IF(P1248&lt;6.5,1,0)+IF(P1248&lt;23,1,0)+IF(R1248&gt;80,0,1)+S1248+IF(AD1248&lt;20,0,1)+IF(AE1248&lt;14,0,1)+IF(AF1248&lt;26,0,1)</f>
        <v/>
      </c>
    </row>
    <row r="1249" ht="12.75" customHeight="1">
      <c r="AG1249" s="101">
        <f>IF(G1249&lt;0,0,1.2)+IF(G1249&lt;14,0,0.9)+IF(P1249&lt;0,0.7,0)+IF(P1249&lt;6.5,1,0)+IF(P1249&lt;23,1,0)+IF(R1249&gt;80,0,1)+S1249+IF(AD1249&lt;20,0,1)+IF(AE1249&lt;14,0,1)+IF(AF1249&lt;26,0,1)</f>
        <v/>
      </c>
    </row>
    <row r="1250" ht="12.75" customHeight="1">
      <c r="AG1250" s="101">
        <f>IF(G1250&lt;0,0,1.2)+IF(G1250&lt;14,0,0.9)+IF(P1250&lt;0,0.7,0)+IF(P1250&lt;6.5,1,0)+IF(P1250&lt;23,1,0)+IF(R1250&gt;80,0,1)+S1250+IF(AD1250&lt;20,0,1)+IF(AE1250&lt;14,0,1)+IF(AF1250&lt;26,0,1)</f>
        <v/>
      </c>
    </row>
    <row r="1251" ht="12.75" customHeight="1">
      <c r="AG1251" s="101">
        <f>IF(G1251&lt;0,0,1.2)+IF(G1251&lt;14,0,0.9)+IF(P1251&lt;0,0.7,0)+IF(P1251&lt;6.5,1,0)+IF(P1251&lt;23,1,0)+IF(R1251&gt;80,0,1)+S1251+IF(AD1251&lt;20,0,1)+IF(AE1251&lt;14,0,1)+IF(AF1251&lt;26,0,1)</f>
        <v/>
      </c>
    </row>
    <row r="1252" ht="12.75" customHeight="1">
      <c r="AG1252" s="101">
        <f>IF(G1252&lt;0,0,1.2)+IF(G1252&lt;14,0,0.9)+IF(P1252&lt;0,0.7,0)+IF(P1252&lt;6.5,1,0)+IF(P1252&lt;23,1,0)+IF(R1252&gt;80,0,1)+S1252+IF(AD1252&lt;20,0,1)+IF(AE1252&lt;14,0,1)+IF(AF1252&lt;26,0,1)</f>
        <v/>
      </c>
    </row>
    <row r="1253" ht="12.75" customHeight="1">
      <c r="AG1253" s="101">
        <f>IF(G1253&lt;0,0,1.2)+IF(G1253&lt;14,0,0.9)+IF(P1253&lt;0,0.7,0)+IF(P1253&lt;6.5,1,0)+IF(P1253&lt;23,1,0)+IF(R1253&gt;80,0,1)+S1253+IF(AD1253&lt;20,0,1)+IF(AE1253&lt;14,0,1)+IF(AF1253&lt;26,0,1)</f>
        <v/>
      </c>
    </row>
    <row r="1254" ht="12.75" customHeight="1">
      <c r="AG1254" s="101">
        <f>IF(G1254&lt;0,0,1.2)+IF(G1254&lt;14,0,0.9)+IF(P1254&lt;0,0.7,0)+IF(P1254&lt;6.5,1,0)+IF(P1254&lt;23,1,0)+IF(R1254&gt;80,0,1)+S1254+IF(AD1254&lt;20,0,1)+IF(AE1254&lt;14,0,1)+IF(AF1254&lt;26,0,1)</f>
        <v/>
      </c>
    </row>
    <row r="1255" ht="12.75" customHeight="1">
      <c r="AG1255" s="101">
        <f>IF(G1255&lt;0,0,1.2)+IF(G1255&lt;14,0,0.9)+IF(P1255&lt;0,0.7,0)+IF(P1255&lt;6.5,1,0)+IF(P1255&lt;23,1,0)+IF(R1255&gt;80,0,1)+S1255+IF(AD1255&lt;20,0,1)+IF(AE1255&lt;14,0,1)+IF(AF1255&lt;26,0,1)</f>
        <v/>
      </c>
    </row>
    <row r="1256" ht="12.75" customHeight="1">
      <c r="AG1256" s="101">
        <f>IF(G1256&lt;0,0,1.2)+IF(G1256&lt;14,0,0.9)+IF(P1256&lt;0,0.7,0)+IF(P1256&lt;6.5,1,0)+IF(P1256&lt;23,1,0)+IF(R1256&gt;80,0,1)+S1256+IF(AD1256&lt;20,0,1)+IF(AE1256&lt;14,0,1)+IF(AF1256&lt;26,0,1)</f>
        <v/>
      </c>
    </row>
    <row r="1257" ht="12.75" customHeight="1">
      <c r="AG1257" s="101">
        <f>IF(G1257&lt;0,0,1.2)+IF(G1257&lt;14,0,0.9)+IF(P1257&lt;0,0.7,0)+IF(P1257&lt;6.5,1,0)+IF(P1257&lt;23,1,0)+IF(R1257&gt;80,0,1)+S1257+IF(AD1257&lt;20,0,1)+IF(AE1257&lt;14,0,1)+IF(AF1257&lt;26,0,1)</f>
        <v/>
      </c>
    </row>
    <row r="1258" ht="12.75" customHeight="1">
      <c r="AG1258" s="101">
        <f>IF(G1258&lt;0,0,1.2)+IF(G1258&lt;14,0,0.9)+IF(P1258&lt;0,0.7,0)+IF(P1258&lt;6.5,1,0)+IF(P1258&lt;23,1,0)+IF(R1258&gt;80,0,1)+S1258+IF(AD1258&lt;20,0,1)+IF(AE1258&lt;14,0,1)+IF(AF1258&lt;26,0,1)</f>
        <v/>
      </c>
    </row>
    <row r="1259" ht="12.75" customHeight="1">
      <c r="AG1259" s="101">
        <f>IF(G1259&lt;0,0,1.2)+IF(G1259&lt;14,0,0.9)+IF(P1259&lt;0,0.7,0)+IF(P1259&lt;6.5,1,0)+IF(P1259&lt;23,1,0)+IF(R1259&gt;80,0,1)+S1259+IF(AD1259&lt;20,0,1)+IF(AE1259&lt;14,0,1)+IF(AF1259&lt;26,0,1)</f>
        <v/>
      </c>
    </row>
    <row r="1260" ht="12.75" customHeight="1">
      <c r="AG1260" s="101">
        <f>IF(G1260&lt;0,0,1.2)+IF(G1260&lt;14,0,0.9)+IF(P1260&lt;0,0.7,0)+IF(P1260&lt;6.5,1,0)+IF(P1260&lt;23,1,0)+IF(R1260&gt;80,0,1)+S1260+IF(AD1260&lt;20,0,1)+IF(AE1260&lt;14,0,1)+IF(AF1260&lt;26,0,1)</f>
        <v/>
      </c>
    </row>
    <row r="1261" ht="12.75" customHeight="1">
      <c r="AG1261" s="101">
        <f>IF(G1261&lt;0,0,1.2)+IF(G1261&lt;14,0,0.9)+IF(P1261&lt;0,0.7,0)+IF(P1261&lt;6.5,1,0)+IF(P1261&lt;23,1,0)+IF(R1261&gt;80,0,1)+S1261+IF(AD1261&lt;20,0,1)+IF(AE1261&lt;14,0,1)+IF(AF1261&lt;26,0,1)</f>
        <v/>
      </c>
    </row>
    <row r="1262" ht="12.75" customHeight="1">
      <c r="AG1262" s="101">
        <f>IF(G1262&lt;0,0,1.2)+IF(G1262&lt;14,0,0.9)+IF(P1262&lt;0,0.7,0)+IF(P1262&lt;6.5,1,0)+IF(P1262&lt;23,1,0)+IF(R1262&gt;80,0,1)+S1262+IF(AD1262&lt;20,0,1)+IF(AE1262&lt;14,0,1)+IF(AF1262&lt;26,0,1)</f>
        <v/>
      </c>
    </row>
    <row r="1263" ht="12.75" customHeight="1">
      <c r="AG1263" s="101">
        <f>IF(G1263&lt;0,0,1.2)+IF(G1263&lt;14,0,0.9)+IF(P1263&lt;0,0.7,0)+IF(P1263&lt;6.5,1,0)+IF(P1263&lt;23,1,0)+IF(R1263&gt;80,0,1)+S1263+IF(AD1263&lt;20,0,1)+IF(AE1263&lt;14,0,1)+IF(AF1263&lt;26,0,1)</f>
        <v/>
      </c>
    </row>
    <row r="1264" ht="12.75" customHeight="1">
      <c r="AG1264" s="101">
        <f>IF(G1264&lt;0,0,1.2)+IF(G1264&lt;14,0,0.9)+IF(P1264&lt;0,0.7,0)+IF(P1264&lt;6.5,1,0)+IF(P1264&lt;23,1,0)+IF(R1264&gt;80,0,1)+S1264+IF(AD1264&lt;20,0,1)+IF(AE1264&lt;14,0,1)+IF(AF1264&lt;26,0,1)</f>
        <v/>
      </c>
    </row>
    <row r="1265" ht="12.75" customHeight="1">
      <c r="AG1265" s="101">
        <f>IF(G1265&lt;0,0,1.2)+IF(G1265&lt;14,0,0.9)+IF(P1265&lt;0,0.7,0)+IF(P1265&lt;6.5,1,0)+IF(P1265&lt;23,1,0)+IF(R1265&gt;80,0,1)+S1265+IF(AD1265&lt;20,0,1)+IF(AE1265&lt;14,0,1)+IF(AF1265&lt;26,0,1)</f>
        <v/>
      </c>
    </row>
    <row r="1266" ht="12.75" customHeight="1">
      <c r="AG1266" s="101">
        <f>IF(G1266&lt;0,0,1.2)+IF(G1266&lt;14,0,0.9)+IF(P1266&lt;0,0.7,0)+IF(P1266&lt;6.5,1,0)+IF(P1266&lt;23,1,0)+IF(R1266&gt;80,0,1)+S1266+IF(AD1266&lt;20,0,1)+IF(AE1266&lt;14,0,1)+IF(AF1266&lt;26,0,1)</f>
        <v/>
      </c>
    </row>
    <row r="1267" ht="12.75" customHeight="1">
      <c r="AG1267" s="101">
        <f>IF(G1267&lt;0,0,1.2)+IF(G1267&lt;14,0,0.9)+IF(P1267&lt;0,0.7,0)+IF(P1267&lt;6.5,1,0)+IF(P1267&lt;23,1,0)+IF(R1267&gt;80,0,1)+S1267+IF(AD1267&lt;20,0,1)+IF(AE1267&lt;14,0,1)+IF(AF1267&lt;26,0,1)</f>
        <v/>
      </c>
    </row>
    <row r="1268" ht="12.75" customHeight="1">
      <c r="AG1268" s="101">
        <f>IF(G1268&lt;0,0,1.2)+IF(G1268&lt;14,0,0.9)+IF(P1268&lt;0,0.7,0)+IF(P1268&lt;6.5,1,0)+IF(P1268&lt;23,1,0)+IF(R1268&gt;80,0,1)+S1268+IF(AD1268&lt;20,0,1)+IF(AE1268&lt;14,0,1)+IF(AF1268&lt;26,0,1)</f>
        <v/>
      </c>
    </row>
    <row r="1269" ht="12.75" customHeight="1">
      <c r="AG1269" s="101">
        <f>IF(G1269&lt;0,0,1.2)+IF(G1269&lt;14,0,0.9)+IF(P1269&lt;0,0.7,0)+IF(P1269&lt;6.5,1,0)+IF(P1269&lt;23,1,0)+IF(R1269&gt;80,0,1)+S1269+IF(AD1269&lt;20,0,1)+IF(AE1269&lt;14,0,1)+IF(AF1269&lt;26,0,1)</f>
        <v/>
      </c>
    </row>
    <row r="1270" ht="12.75" customHeight="1">
      <c r="AG1270" s="101">
        <f>IF(G1270&lt;0,0,1.2)+IF(G1270&lt;14,0,0.9)+IF(P1270&lt;0,0.7,0)+IF(P1270&lt;6.5,1,0)+IF(P1270&lt;23,1,0)+IF(R1270&gt;80,0,1)+S1270+IF(AD1270&lt;20,0,1)+IF(AE1270&lt;14,0,1)+IF(AF1270&lt;26,0,1)</f>
        <v/>
      </c>
    </row>
    <row r="1271" ht="12.75" customHeight="1">
      <c r="AG1271" s="101">
        <f>IF(G1271&lt;0,0,1.2)+IF(G1271&lt;14,0,0.9)+IF(P1271&lt;0,0.7,0)+IF(P1271&lt;6.5,1,0)+IF(P1271&lt;23,1,0)+IF(R1271&gt;80,0,1)+S1271+IF(AD1271&lt;20,0,1)+IF(AE1271&lt;14,0,1)+IF(AF1271&lt;26,0,1)</f>
        <v/>
      </c>
    </row>
    <row r="1272" ht="12.75" customHeight="1">
      <c r="AG1272" s="101">
        <f>IF(G1272&lt;0,0,1.2)+IF(G1272&lt;14,0,0.9)+IF(P1272&lt;0,0.7,0)+IF(P1272&lt;6.5,1,0)+IF(P1272&lt;23,1,0)+IF(R1272&gt;80,0,1)+S1272+IF(AD1272&lt;20,0,1)+IF(AE1272&lt;14,0,1)+IF(AF1272&lt;26,0,1)</f>
        <v/>
      </c>
    </row>
    <row r="1273" ht="12.75" customHeight="1">
      <c r="AG1273" s="101">
        <f>IF(G1273&lt;0,0,1.2)+IF(G1273&lt;14,0,0.9)+IF(P1273&lt;0,0.7,0)+IF(P1273&lt;6.5,1,0)+IF(P1273&lt;23,1,0)+IF(R1273&gt;80,0,1)+S1273+IF(AD1273&lt;20,0,1)+IF(AE1273&lt;14,0,1)+IF(AF1273&lt;26,0,1)</f>
        <v/>
      </c>
    </row>
    <row r="1274" ht="12.75" customHeight="1">
      <c r="AG1274" s="101">
        <f>IF(G1274&lt;0,0,1.2)+IF(G1274&lt;14,0,0.9)+IF(P1274&lt;0,0.7,0)+IF(P1274&lt;6.5,1,0)+IF(P1274&lt;23,1,0)+IF(R1274&gt;80,0,1)+S1274+IF(AD1274&lt;20,0,1)+IF(AE1274&lt;14,0,1)+IF(AF1274&lt;26,0,1)</f>
        <v/>
      </c>
    </row>
    <row r="1275" ht="12.75" customHeight="1">
      <c r="AG1275" s="101">
        <f>IF(G1275&lt;0,0,1.2)+IF(G1275&lt;14,0,0.9)+IF(P1275&lt;0,0.7,0)+IF(P1275&lt;6.5,1,0)+IF(P1275&lt;23,1,0)+IF(R1275&gt;80,0,1)+S1275+IF(AD1275&lt;20,0,1)+IF(AE1275&lt;14,0,1)+IF(AF1275&lt;26,0,1)</f>
        <v/>
      </c>
    </row>
    <row r="1276" ht="12.75" customHeight="1">
      <c r="AG1276" s="101">
        <f>IF(G1276&lt;0,0,1.2)+IF(G1276&lt;14,0,0.9)+IF(P1276&lt;0,0.7,0)+IF(P1276&lt;6.5,1,0)+IF(P1276&lt;23,1,0)+IF(R1276&gt;80,0,1)+S1276+IF(AD1276&lt;20,0,1)+IF(AE1276&lt;14,0,1)+IF(AF1276&lt;26,0,1)</f>
        <v/>
      </c>
    </row>
    <row r="1277" ht="12.75" customHeight="1">
      <c r="AG1277" s="101">
        <f>IF(G1277&lt;0,0,1.2)+IF(G1277&lt;14,0,0.9)+IF(P1277&lt;0,0.7,0)+IF(P1277&lt;6.5,1,0)+IF(P1277&lt;23,1,0)+IF(R1277&gt;80,0,1)+S1277+IF(AD1277&lt;20,0,1)+IF(AE1277&lt;14,0,1)+IF(AF1277&lt;26,0,1)</f>
        <v/>
      </c>
    </row>
    <row r="1278" ht="12.75" customHeight="1">
      <c r="AG1278" s="101">
        <f>IF(G1278&lt;0,0,1.2)+IF(G1278&lt;14,0,0.9)+IF(P1278&lt;0,0.7,0)+IF(P1278&lt;6.5,1,0)+IF(P1278&lt;23,1,0)+IF(R1278&gt;80,0,1)+S1278+IF(AD1278&lt;20,0,1)+IF(AE1278&lt;14,0,1)+IF(AF1278&lt;26,0,1)</f>
        <v/>
      </c>
    </row>
    <row r="1279" ht="12.75" customHeight="1">
      <c r="AG1279" s="101">
        <f>IF(G1279&lt;0,0,1.2)+IF(G1279&lt;14,0,0.9)+IF(P1279&lt;0,0.7,0)+IF(P1279&lt;6.5,1,0)+IF(P1279&lt;23,1,0)+IF(R1279&gt;80,0,1)+S1279+IF(AD1279&lt;20,0,1)+IF(AE1279&lt;14,0,1)+IF(AF1279&lt;26,0,1)</f>
        <v/>
      </c>
    </row>
    <row r="1280" ht="12.75" customHeight="1">
      <c r="AG1280" s="101">
        <f>IF(G1280&lt;0,0,1.2)+IF(G1280&lt;14,0,0.9)+IF(P1280&lt;0,0.7,0)+IF(P1280&lt;6.5,1,0)+IF(P1280&lt;23,1,0)+IF(R1280&gt;80,0,1)+S1280+IF(AD1280&lt;20,0,1)+IF(AE1280&lt;14,0,1)+IF(AF1280&lt;26,0,1)</f>
        <v/>
      </c>
    </row>
    <row r="1281" ht="12.75" customHeight="1">
      <c r="AG1281" s="101">
        <f>IF(G1281&lt;0,0,1.2)+IF(G1281&lt;14,0,0.9)+IF(P1281&lt;0,0.7,0)+IF(P1281&lt;6.5,1,0)+IF(P1281&lt;23,1,0)+IF(R1281&gt;80,0,1)+S1281+IF(AD1281&lt;20,0,1)+IF(AE1281&lt;14,0,1)+IF(AF1281&lt;26,0,1)</f>
        <v/>
      </c>
    </row>
    <row r="1282" ht="12.75" customHeight="1">
      <c r="AG1282" s="101">
        <f>IF(G1282&lt;0,0,1.2)+IF(G1282&lt;14,0,0.9)+IF(P1282&lt;0,0.7,0)+IF(P1282&lt;6.5,1,0)+IF(P1282&lt;23,1,0)+IF(R1282&gt;80,0,1)+S1282+IF(AD1282&lt;20,0,1)+IF(AE1282&lt;14,0,1)+IF(AF1282&lt;26,0,1)</f>
        <v/>
      </c>
    </row>
    <row r="1283" ht="12.75" customHeight="1">
      <c r="AG1283" s="101">
        <f>IF(G1283&lt;0,0,1.2)+IF(G1283&lt;14,0,0.9)+IF(P1283&lt;0,0.7,0)+IF(P1283&lt;6.5,1,0)+IF(P1283&lt;23,1,0)+IF(R1283&gt;80,0,1)+S1283+IF(AD1283&lt;20,0,1)+IF(AE1283&lt;14,0,1)+IF(AF1283&lt;26,0,1)</f>
        <v/>
      </c>
    </row>
    <row r="1284" ht="12.75" customHeight="1">
      <c r="AG1284" s="101">
        <f>IF(G1284&lt;0,0,1.2)+IF(G1284&lt;14,0,0.9)+IF(P1284&lt;0,0.7,0)+IF(P1284&lt;6.5,1,0)+IF(P1284&lt;23,1,0)+IF(R1284&gt;80,0,1)+S1284+IF(AD1284&lt;20,0,1)+IF(AE1284&lt;14,0,1)+IF(AF1284&lt;26,0,1)</f>
        <v/>
      </c>
    </row>
    <row r="1285" ht="12.75" customHeight="1">
      <c r="AG1285" s="101">
        <f>IF(G1285&lt;0,0,1.2)+IF(G1285&lt;14,0,0.9)+IF(P1285&lt;0,0.7,0)+IF(P1285&lt;6.5,1,0)+IF(P1285&lt;23,1,0)+IF(R1285&gt;80,0,1)+S1285+IF(AD1285&lt;20,0,1)+IF(AE1285&lt;14,0,1)+IF(AF1285&lt;26,0,1)</f>
        <v/>
      </c>
    </row>
    <row r="1286" ht="12.75" customHeight="1">
      <c r="AG1286" s="101">
        <f>IF(G1286&lt;0,0,1.2)+IF(G1286&lt;14,0,0.9)+IF(P1286&lt;0,0.7,0)+IF(P1286&lt;6.5,1,0)+IF(P1286&lt;23,1,0)+IF(R1286&gt;80,0,1)+S1286+IF(AD1286&lt;20,0,1)+IF(AE1286&lt;14,0,1)+IF(AF1286&lt;26,0,1)</f>
        <v/>
      </c>
    </row>
    <row r="1287" ht="12.75" customHeight="1">
      <c r="AG1287" s="101">
        <f>IF(G1287&lt;0,0,1.2)+IF(G1287&lt;14,0,0.9)+IF(P1287&lt;0,0.7,0)+IF(P1287&lt;6.5,1,0)+IF(P1287&lt;23,1,0)+IF(R1287&gt;80,0,1)+S1287+IF(AD1287&lt;20,0,1)+IF(AE1287&lt;14,0,1)+IF(AF1287&lt;26,0,1)</f>
        <v/>
      </c>
    </row>
    <row r="1288" ht="12.75" customHeight="1">
      <c r="AG1288" s="101">
        <f>IF(G1288&lt;0,0,1.2)+IF(G1288&lt;14,0,0.9)+IF(P1288&lt;0,0.7,0)+IF(P1288&lt;6.5,1,0)+IF(P1288&lt;23,1,0)+IF(R1288&gt;80,0,1)+S1288+IF(AD1288&lt;20,0,1)+IF(AE1288&lt;14,0,1)+IF(AF1288&lt;26,0,1)</f>
        <v/>
      </c>
    </row>
    <row r="1289" ht="12.75" customHeight="1">
      <c r="AG1289" s="101">
        <f>IF(G1289&lt;0,0,1.2)+IF(G1289&lt;14,0,0.9)+IF(P1289&lt;0,0.7,0)+IF(P1289&lt;6.5,1,0)+IF(P1289&lt;23,1,0)+IF(R1289&gt;80,0,1)+S1289+IF(AD1289&lt;20,0,1)+IF(AE1289&lt;14,0,1)+IF(AF1289&lt;26,0,1)</f>
        <v/>
      </c>
    </row>
    <row r="1290" ht="12.75" customHeight="1">
      <c r="AG1290" s="101">
        <f>IF(G1290&lt;0,0,1.2)+IF(G1290&lt;14,0,0.9)+IF(P1290&lt;0,0.7,0)+IF(P1290&lt;6.5,1,0)+IF(P1290&lt;23,1,0)+IF(R1290&gt;80,0,1)+S1290+IF(AD1290&lt;20,0,1)+IF(AE1290&lt;14,0,1)+IF(AF1290&lt;26,0,1)</f>
        <v/>
      </c>
    </row>
    <row r="1291" ht="12.75" customHeight="1">
      <c r="AG1291" s="101">
        <f>IF(G1291&lt;0,0,1.2)+IF(G1291&lt;14,0,0.9)+IF(P1291&lt;0,0.7,0)+IF(P1291&lt;6.5,1,0)+IF(P1291&lt;23,1,0)+IF(R1291&gt;80,0,1)+S1291+IF(AD1291&lt;20,0,1)+IF(AE1291&lt;14,0,1)+IF(AF1291&lt;26,0,1)</f>
        <v/>
      </c>
    </row>
    <row r="1292" ht="12.75" customHeight="1">
      <c r="AG1292" s="101">
        <f>IF(G1292&lt;0,0,1.2)+IF(G1292&lt;14,0,0.9)+IF(P1292&lt;0,0.7,0)+IF(P1292&lt;6.5,1,0)+IF(P1292&lt;23,1,0)+IF(R1292&gt;80,0,1)+S1292+IF(AD1292&lt;20,0,1)+IF(AE1292&lt;14,0,1)+IF(AF1292&lt;26,0,1)</f>
        <v/>
      </c>
    </row>
    <row r="1293" ht="12.75" customHeight="1">
      <c r="AG1293" s="101">
        <f>IF(G1293&lt;0,0,1.2)+IF(G1293&lt;14,0,0.9)+IF(P1293&lt;0,0.7,0)+IF(P1293&lt;6.5,1,0)+IF(P1293&lt;23,1,0)+IF(R1293&gt;80,0,1)+S1293+IF(AD1293&lt;20,0,1)+IF(AE1293&lt;14,0,1)+IF(AF1293&lt;26,0,1)</f>
        <v/>
      </c>
    </row>
    <row r="1294" ht="12.75" customHeight="1">
      <c r="AG1294" s="101">
        <f>IF(G1294&lt;0,0,1.2)+IF(G1294&lt;14,0,0.9)+IF(P1294&lt;0,0.7,0)+IF(P1294&lt;6.5,1,0)+IF(P1294&lt;23,1,0)+IF(R1294&gt;80,0,1)+S1294+IF(AD1294&lt;20,0,1)+IF(AE1294&lt;14,0,1)+IF(AF1294&lt;26,0,1)</f>
        <v/>
      </c>
    </row>
    <row r="1295" ht="12.75" customHeight="1">
      <c r="AG1295" s="101">
        <f>IF(G1295&lt;0,0,1.2)+IF(G1295&lt;14,0,0.9)+IF(P1295&lt;0,0.7,0)+IF(P1295&lt;6.5,1,0)+IF(P1295&lt;23,1,0)+IF(R1295&gt;80,0,1)+S1295+IF(AD1295&lt;20,0,1)+IF(AE1295&lt;14,0,1)+IF(AF1295&lt;26,0,1)</f>
        <v/>
      </c>
    </row>
    <row r="1296" ht="12.75" customHeight="1">
      <c r="AG1296" s="101">
        <f>IF(G1296&lt;0,0,1.2)+IF(G1296&lt;14,0,0.9)+IF(P1296&lt;0,0.7,0)+IF(P1296&lt;6.5,1,0)+IF(P1296&lt;23,1,0)+IF(R1296&gt;80,0,1)+S1296+IF(AD1296&lt;20,0,1)+IF(AE1296&lt;14,0,1)+IF(AF1296&lt;26,0,1)</f>
        <v/>
      </c>
    </row>
    <row r="1297" ht="12.75" customHeight="1">
      <c r="AG1297" s="101">
        <f>IF(G1297&lt;0,0,1.2)+IF(G1297&lt;14,0,0.9)+IF(P1297&lt;0,0.7,0)+IF(P1297&lt;6.5,1,0)+IF(P1297&lt;23,1,0)+IF(R1297&gt;80,0,1)+S1297+IF(AD1297&lt;20,0,1)+IF(AE1297&lt;14,0,1)+IF(AF1297&lt;26,0,1)</f>
        <v/>
      </c>
    </row>
    <row r="1298" ht="12.75" customHeight="1">
      <c r="AG1298" s="101">
        <f>IF(G1298&lt;0,0,1.2)+IF(G1298&lt;14,0,0.9)+IF(P1298&lt;0,0.7,0)+IF(P1298&lt;6.5,1,0)+IF(P1298&lt;23,1,0)+IF(R1298&gt;80,0,1)+S1298+IF(AD1298&lt;20,0,1)+IF(AE1298&lt;14,0,1)+IF(AF1298&lt;26,0,1)</f>
        <v/>
      </c>
    </row>
    <row r="1299" ht="12.75" customHeight="1">
      <c r="AG1299" s="101">
        <f>IF(G1299&lt;0,0,1.2)+IF(G1299&lt;14,0,0.9)+IF(P1299&lt;0,0.7,0)+IF(P1299&lt;6.5,1,0)+IF(P1299&lt;23,1,0)+IF(R1299&gt;80,0,1)+S1299+IF(AD1299&lt;20,0,1)+IF(AE1299&lt;14,0,1)+IF(AF1299&lt;26,0,1)</f>
        <v/>
      </c>
    </row>
    <row r="1300" ht="12.75" customHeight="1">
      <c r="AG1300" s="101">
        <f>IF(G1300&lt;0,0,1.2)+IF(G1300&lt;14,0,0.9)+IF(P1300&lt;0,0.7,0)+IF(P1300&lt;6.5,1,0)+IF(P1300&lt;23,1,0)+IF(R1300&gt;80,0,1)+S1300+IF(AD1300&lt;20,0,1)+IF(AE1300&lt;14,0,1)+IF(AF1300&lt;26,0,1)</f>
        <v/>
      </c>
    </row>
    <row r="1301" ht="12.75" customHeight="1">
      <c r="AG1301" s="101">
        <f>IF(G1301&lt;0,0,1.2)+IF(G1301&lt;14,0,0.9)+IF(P1301&lt;0,0.7,0)+IF(P1301&lt;6.5,1,0)+IF(P1301&lt;23,1,0)+IF(R1301&gt;80,0,1)+S1301+IF(AD1301&lt;20,0,1)+IF(AE1301&lt;14,0,1)+IF(AF1301&lt;26,0,1)</f>
        <v/>
      </c>
    </row>
    <row r="1302" ht="12.75" customHeight="1">
      <c r="AG1302" s="101">
        <f>IF(G1302&lt;0,0,1.2)+IF(G1302&lt;14,0,0.9)+IF(P1302&lt;0,0.7,0)+IF(P1302&lt;6.5,1,0)+IF(P1302&lt;23,1,0)+IF(R1302&gt;80,0,1)+S1302+IF(AD1302&lt;20,0,1)+IF(AE1302&lt;14,0,1)+IF(AF1302&lt;26,0,1)</f>
        <v/>
      </c>
    </row>
    <row r="1303" ht="12.75" customHeight="1">
      <c r="AG1303" s="101">
        <f>IF(G1303&lt;0,0,1.2)+IF(G1303&lt;14,0,0.9)+IF(P1303&lt;0,0.7,0)+IF(P1303&lt;6.5,1,0)+IF(P1303&lt;23,1,0)+IF(R1303&gt;80,0,1)+S1303+IF(AD1303&lt;20,0,1)+IF(AE1303&lt;14,0,1)+IF(AF1303&lt;26,0,1)</f>
        <v/>
      </c>
    </row>
    <row r="1304" ht="12.75" customHeight="1">
      <c r="AG1304" s="101">
        <f>IF(G1304&lt;0,0,1.2)+IF(G1304&lt;14,0,0.9)+IF(P1304&lt;0,0.7,0)+IF(P1304&lt;6.5,1,0)+IF(P1304&lt;23,1,0)+IF(R1304&gt;80,0,1)+S1304+IF(AD1304&lt;20,0,1)+IF(AE1304&lt;14,0,1)+IF(AF1304&lt;26,0,1)</f>
        <v/>
      </c>
    </row>
    <row r="1305" ht="12.75" customHeight="1">
      <c r="AG1305" s="101">
        <f>IF(G1305&lt;0,0,1.2)+IF(G1305&lt;14,0,0.9)+IF(P1305&lt;0,0.7,0)+IF(P1305&lt;6.5,1,0)+IF(P1305&lt;23,1,0)+IF(R1305&gt;80,0,1)+S1305+IF(AD1305&lt;20,0,1)+IF(AE1305&lt;14,0,1)+IF(AF1305&lt;26,0,1)</f>
        <v/>
      </c>
    </row>
    <row r="1306" ht="12.75" customHeight="1">
      <c r="AG1306" s="101">
        <f>IF(G1306&lt;0,0,1.2)+IF(G1306&lt;14,0,0.9)+IF(P1306&lt;0,0.7,0)+IF(P1306&lt;6.5,1,0)+IF(P1306&lt;23,1,0)+IF(R1306&gt;80,0,1)+S1306+IF(AD1306&lt;20,0,1)+IF(AE1306&lt;14,0,1)+IF(AF1306&lt;26,0,1)</f>
        <v/>
      </c>
    </row>
    <row r="1307" ht="12.75" customHeight="1">
      <c r="AG1307" s="101">
        <f>IF(G1307&lt;0,0,1.2)+IF(G1307&lt;14,0,0.9)+IF(P1307&lt;0,0.7,0)+IF(P1307&lt;6.5,1,0)+IF(P1307&lt;23,1,0)+IF(R1307&gt;80,0,1)+S1307+IF(AD1307&lt;20,0,1)+IF(AE1307&lt;14,0,1)+IF(AF1307&lt;26,0,1)</f>
        <v/>
      </c>
    </row>
    <row r="1308" ht="12.75" customHeight="1">
      <c r="AG1308" s="101">
        <f>IF(G1308&lt;0,0,1.2)+IF(G1308&lt;14,0,0.9)+IF(P1308&lt;0,0.7,0)+IF(P1308&lt;6.5,1,0)+IF(P1308&lt;23,1,0)+IF(R1308&gt;80,0,1)+S1308+IF(AD1308&lt;20,0,1)+IF(AE1308&lt;14,0,1)+IF(AF1308&lt;26,0,1)</f>
        <v/>
      </c>
    </row>
    <row r="1309" ht="12.75" customHeight="1">
      <c r="AG1309" s="101">
        <f>IF(G1309&lt;0,0,1.2)+IF(G1309&lt;14,0,0.9)+IF(P1309&lt;0,0.7,0)+IF(P1309&lt;6.5,1,0)+IF(P1309&lt;23,1,0)+IF(R1309&gt;80,0,1)+S1309+IF(AD1309&lt;20,0,1)+IF(AE1309&lt;14,0,1)+IF(AF1309&lt;26,0,1)</f>
        <v/>
      </c>
    </row>
    <row r="1310" ht="12.75" customHeight="1">
      <c r="AG1310" s="101">
        <f>IF(G1310&lt;0,0,1.2)+IF(G1310&lt;14,0,0.9)+IF(P1310&lt;0,0.7,0)+IF(P1310&lt;6.5,1,0)+IF(P1310&lt;23,1,0)+IF(R1310&gt;80,0,1)+S1310+IF(AD1310&lt;20,0,1)+IF(AE1310&lt;14,0,1)+IF(AF1310&lt;26,0,1)</f>
        <v/>
      </c>
    </row>
    <row r="1311" ht="12.75" customHeight="1">
      <c r="AG1311" s="101">
        <f>IF(G1311&lt;0,0,1.2)+IF(G1311&lt;14,0,0.9)+IF(P1311&lt;0,0.7,0)+IF(P1311&lt;6.5,1,0)+IF(P1311&lt;23,1,0)+IF(R1311&gt;80,0,1)+S1311+IF(AD1311&lt;20,0,1)+IF(AE1311&lt;14,0,1)+IF(AF1311&lt;26,0,1)</f>
        <v/>
      </c>
    </row>
    <row r="1312" ht="12.75" customHeight="1">
      <c r="AG1312" s="101">
        <f>IF(G1312&lt;0,0,1.2)+IF(G1312&lt;14,0,0.9)+IF(P1312&lt;0,0.7,0)+IF(P1312&lt;6.5,1,0)+IF(P1312&lt;23,1,0)+IF(R1312&gt;80,0,1)+S1312+IF(AD1312&lt;20,0,1)+IF(AE1312&lt;14,0,1)+IF(AF1312&lt;26,0,1)</f>
        <v/>
      </c>
    </row>
    <row r="1313" ht="12.75" customHeight="1">
      <c r="AG1313" s="101">
        <f>IF(G1313&lt;0,0,1.2)+IF(G1313&lt;14,0,0.9)+IF(P1313&lt;0,0.7,0)+IF(P1313&lt;6.5,1,0)+IF(P1313&lt;23,1,0)+IF(R1313&gt;80,0,1)+S1313+IF(AD1313&lt;20,0,1)+IF(AE1313&lt;14,0,1)+IF(AF1313&lt;26,0,1)</f>
        <v/>
      </c>
    </row>
    <row r="1314" ht="12.75" customHeight="1">
      <c r="AG1314" s="101">
        <f>IF(G1314&lt;0,0,1.2)+IF(G1314&lt;14,0,0.9)+IF(P1314&lt;0,0.7,0)+IF(P1314&lt;6.5,1,0)+IF(P1314&lt;23,1,0)+IF(R1314&gt;80,0,1)+S1314+IF(AD1314&lt;20,0,1)+IF(AE1314&lt;14,0,1)+IF(AF1314&lt;26,0,1)</f>
        <v/>
      </c>
    </row>
    <row r="1315" ht="12.75" customHeight="1">
      <c r="AG1315" s="101">
        <f>IF(G1315&lt;0,0,1.2)+IF(G1315&lt;14,0,0.9)+IF(P1315&lt;0,0.7,0)+IF(P1315&lt;6.5,1,0)+IF(P1315&lt;23,1,0)+IF(R1315&gt;80,0,1)+S1315+IF(AD1315&lt;20,0,1)+IF(AE1315&lt;14,0,1)+IF(AF1315&lt;26,0,1)</f>
        <v/>
      </c>
    </row>
    <row r="1316" ht="12.75" customHeight="1">
      <c r="AG1316" s="101">
        <f>IF(G1316&lt;0,0,1.2)+IF(G1316&lt;14,0,0.9)+IF(P1316&lt;0,0.7,0)+IF(P1316&lt;6.5,1,0)+IF(P1316&lt;23,1,0)+IF(R1316&gt;80,0,1)+S1316+IF(AD1316&lt;20,0,1)+IF(AE1316&lt;14,0,1)+IF(AF1316&lt;26,0,1)</f>
        <v/>
      </c>
    </row>
    <row r="1317" ht="12.75" customHeight="1">
      <c r="AG1317" s="101">
        <f>IF(G1317&lt;0,0,1.2)+IF(G1317&lt;14,0,0.9)+IF(P1317&lt;0,0.7,0)+IF(P1317&lt;6.5,1,0)+IF(P1317&lt;23,1,0)+IF(R1317&gt;80,0,1)+S1317+IF(AD1317&lt;20,0,1)+IF(AE1317&lt;14,0,1)+IF(AF1317&lt;26,0,1)</f>
        <v/>
      </c>
    </row>
    <row r="1318" ht="12.75" customHeight="1">
      <c r="AG1318" s="101">
        <f>IF(G1318&lt;0,0,1.2)+IF(G1318&lt;14,0,0.9)+IF(P1318&lt;0,0.7,0)+IF(P1318&lt;6.5,1,0)+IF(P1318&lt;23,1,0)+IF(R1318&gt;80,0,1)+S1318+IF(AD1318&lt;20,0,1)+IF(AE1318&lt;14,0,1)+IF(AF1318&lt;26,0,1)</f>
        <v/>
      </c>
    </row>
    <row r="1319" ht="12.75" customHeight="1">
      <c r="AG1319" s="101">
        <f>IF(G1319&lt;0,0,1.2)+IF(G1319&lt;14,0,0.9)+IF(P1319&lt;0,0.7,0)+IF(P1319&lt;6.5,1,0)+IF(P1319&lt;23,1,0)+IF(R1319&gt;80,0,1)+S1319+IF(AD1319&lt;20,0,1)+IF(AE1319&lt;14,0,1)+IF(AF1319&lt;26,0,1)</f>
        <v/>
      </c>
    </row>
    <row r="1320" ht="12.75" customHeight="1">
      <c r="AG1320" s="101">
        <f>IF(G1320&lt;0,0,1.2)+IF(G1320&lt;14,0,0.9)+IF(P1320&lt;0,0.7,0)+IF(P1320&lt;6.5,1,0)+IF(P1320&lt;23,1,0)+IF(R1320&gt;80,0,1)+S1320+IF(AD1320&lt;20,0,1)+IF(AE1320&lt;14,0,1)+IF(AF1320&lt;26,0,1)</f>
        <v/>
      </c>
    </row>
    <row r="1321" ht="12.75" customHeight="1">
      <c r="AG1321" s="101">
        <f>IF(G1321&lt;0,0,1.2)+IF(G1321&lt;14,0,0.9)+IF(P1321&lt;0,0.7,0)+IF(P1321&lt;6.5,1,0)+IF(P1321&lt;23,1,0)+IF(R1321&gt;80,0,1)+S1321+IF(AD1321&lt;20,0,1)+IF(AE1321&lt;14,0,1)+IF(AF1321&lt;26,0,1)</f>
        <v/>
      </c>
    </row>
    <row r="1322" ht="12.75" customHeight="1">
      <c r="AG1322" s="101">
        <f>IF(G1322&lt;0,0,1.2)+IF(G1322&lt;14,0,0.9)+IF(P1322&lt;0,0.7,0)+IF(P1322&lt;6.5,1,0)+IF(P1322&lt;23,1,0)+IF(R1322&gt;80,0,1)+S1322+IF(AD1322&lt;20,0,1)+IF(AE1322&lt;14,0,1)+IF(AF1322&lt;26,0,1)</f>
        <v/>
      </c>
    </row>
    <row r="1323" ht="12.75" customHeight="1">
      <c r="AG1323" s="101">
        <f>IF(G1323&lt;0,0,1.2)+IF(G1323&lt;14,0,0.9)+IF(P1323&lt;0,0.7,0)+IF(P1323&lt;6.5,1,0)+IF(P1323&lt;23,1,0)+IF(R1323&gt;80,0,1)+S1323+IF(AD1323&lt;20,0,1)+IF(AE1323&lt;14,0,1)+IF(AF1323&lt;26,0,1)</f>
        <v/>
      </c>
    </row>
    <row r="1324" ht="12.75" customHeight="1">
      <c r="AG1324" s="101">
        <f>IF(G1324&lt;0,0,1.2)+IF(G1324&lt;14,0,0.9)+IF(P1324&lt;0,0.7,0)+IF(P1324&lt;6.5,1,0)+IF(P1324&lt;23,1,0)+IF(R1324&gt;80,0,1)+S1324+IF(AD1324&lt;20,0,1)+IF(AE1324&lt;14,0,1)+IF(AF1324&lt;26,0,1)</f>
        <v/>
      </c>
    </row>
    <row r="1325" ht="12.75" customHeight="1">
      <c r="AG1325" s="101">
        <f>IF(G1325&lt;0,0,1.2)+IF(G1325&lt;14,0,0.9)+IF(P1325&lt;0,0.7,0)+IF(P1325&lt;6.5,1,0)+IF(P1325&lt;23,1,0)+IF(R1325&gt;80,0,1)+S1325+IF(AD1325&lt;20,0,1)+IF(AE1325&lt;14,0,1)+IF(AF1325&lt;26,0,1)</f>
        <v/>
      </c>
    </row>
    <row r="1326" ht="12.75" customHeight="1">
      <c r="AG1326" s="101">
        <f>IF(G1326&lt;0,0,1.2)+IF(G1326&lt;14,0,0.9)+IF(P1326&lt;0,0.7,0)+IF(P1326&lt;6.5,1,0)+IF(P1326&lt;23,1,0)+IF(R1326&gt;80,0,1)+S1326+IF(AD1326&lt;20,0,1)+IF(AE1326&lt;14,0,1)+IF(AF1326&lt;26,0,1)</f>
        <v/>
      </c>
    </row>
    <row r="1327" ht="12.75" customHeight="1">
      <c r="AG1327" s="101">
        <f>IF(G1327&lt;0,0,1.2)+IF(G1327&lt;14,0,0.9)+IF(P1327&lt;0,0.7,0)+IF(P1327&lt;6.5,1,0)+IF(P1327&lt;23,1,0)+IF(R1327&gt;80,0,1)+S1327+IF(AD1327&lt;20,0,1)+IF(AE1327&lt;14,0,1)+IF(AF1327&lt;26,0,1)</f>
        <v/>
      </c>
    </row>
    <row r="1328" ht="12.75" customHeight="1">
      <c r="AG1328" s="101">
        <f>IF(G1328&lt;0,0,1.2)+IF(G1328&lt;14,0,0.9)+IF(P1328&lt;0,0.7,0)+IF(P1328&lt;6.5,1,0)+IF(P1328&lt;23,1,0)+IF(R1328&gt;80,0,1)+S1328+IF(AD1328&lt;20,0,1)+IF(AE1328&lt;14,0,1)+IF(AF1328&lt;26,0,1)</f>
        <v/>
      </c>
    </row>
    <row r="1329" ht="12.75" customHeight="1">
      <c r="AG1329" s="101">
        <f>IF(G1329&lt;0,0,1.2)+IF(G1329&lt;14,0,0.9)+IF(P1329&lt;0,0.7,0)+IF(P1329&lt;6.5,1,0)+IF(P1329&lt;23,1,0)+IF(R1329&gt;80,0,1)+S1329+IF(AD1329&lt;20,0,1)+IF(AE1329&lt;14,0,1)+IF(AF1329&lt;26,0,1)</f>
        <v/>
      </c>
    </row>
    <row r="1330" ht="12.75" customHeight="1">
      <c r="AG1330" s="101">
        <f>IF(G1330&lt;0,0,1.2)+IF(G1330&lt;14,0,0.9)+IF(P1330&lt;0,0.7,0)+IF(P1330&lt;6.5,1,0)+IF(P1330&lt;23,1,0)+IF(R1330&gt;80,0,1)+S1330+IF(AD1330&lt;20,0,1)+IF(AE1330&lt;14,0,1)+IF(AF1330&lt;26,0,1)</f>
        <v/>
      </c>
    </row>
    <row r="1331" ht="12.75" customHeight="1">
      <c r="AG1331" s="101">
        <f>IF(G1331&lt;0,0,1.2)+IF(G1331&lt;14,0,0.9)+IF(P1331&lt;0,0.7,0)+IF(P1331&lt;6.5,1,0)+IF(P1331&lt;23,1,0)+IF(R1331&gt;80,0,1)+S1331+IF(AD1331&lt;20,0,1)+IF(AE1331&lt;14,0,1)+IF(AF1331&lt;26,0,1)</f>
        <v/>
      </c>
    </row>
    <row r="1332" ht="12.75" customHeight="1">
      <c r="AG1332" s="101">
        <f>IF(G1332&lt;0,0,1.2)+IF(G1332&lt;14,0,0.9)+IF(P1332&lt;0,0.7,0)+IF(P1332&lt;6.5,1,0)+IF(P1332&lt;23,1,0)+IF(R1332&gt;80,0,1)+S1332+IF(AD1332&lt;20,0,1)+IF(AE1332&lt;14,0,1)+IF(AF1332&lt;26,0,1)</f>
        <v/>
      </c>
    </row>
    <row r="1333" ht="12.75" customHeight="1">
      <c r="AG1333" s="101">
        <f>IF(G1333&lt;0,0,1.2)+IF(G1333&lt;14,0,0.9)+IF(P1333&lt;0,0.7,0)+IF(P1333&lt;6.5,1,0)+IF(P1333&lt;23,1,0)+IF(R1333&gt;80,0,1)+S1333+IF(AD1333&lt;20,0,1)+IF(AE1333&lt;14,0,1)+IF(AF1333&lt;26,0,1)</f>
        <v/>
      </c>
    </row>
    <row r="1334" ht="12.75" customHeight="1">
      <c r="AG1334" s="101">
        <f>IF(G1334&lt;0,0,1.2)+IF(G1334&lt;14,0,0.9)+IF(P1334&lt;0,0.7,0)+IF(P1334&lt;6.5,1,0)+IF(P1334&lt;23,1,0)+IF(R1334&gt;80,0,1)+S1334+IF(AD1334&lt;20,0,1)+IF(AE1334&lt;14,0,1)+IF(AF1334&lt;26,0,1)</f>
        <v/>
      </c>
    </row>
    <row r="1335" ht="12.75" customHeight="1">
      <c r="AG1335" s="101">
        <f>IF(G1335&lt;0,0,1.2)+IF(G1335&lt;14,0,0.9)+IF(P1335&lt;0,0.7,0)+IF(P1335&lt;6.5,1,0)+IF(P1335&lt;23,1,0)+IF(R1335&gt;80,0,1)+S1335+IF(AD1335&lt;20,0,1)+IF(AE1335&lt;14,0,1)+IF(AF1335&lt;26,0,1)</f>
        <v/>
      </c>
    </row>
    <row r="1336" ht="12.75" customHeight="1">
      <c r="AG1336" s="101">
        <f>IF(G1336&lt;0,0,1.2)+IF(G1336&lt;14,0,0.9)+IF(P1336&lt;0,0.7,0)+IF(P1336&lt;6.5,1,0)+IF(P1336&lt;23,1,0)+IF(R1336&gt;80,0,1)+S1336+IF(AD1336&lt;20,0,1)+IF(AE1336&lt;14,0,1)+IF(AF1336&lt;26,0,1)</f>
        <v/>
      </c>
    </row>
    <row r="1337" ht="12.75" customHeight="1">
      <c r="AG1337" s="101">
        <f>IF(G1337&lt;0,0,1.2)+IF(G1337&lt;14,0,0.9)+IF(P1337&lt;0,0.7,0)+IF(P1337&lt;6.5,1,0)+IF(P1337&lt;23,1,0)+IF(R1337&gt;80,0,1)+S1337+IF(AD1337&lt;20,0,1)+IF(AE1337&lt;14,0,1)+IF(AF1337&lt;26,0,1)</f>
        <v/>
      </c>
    </row>
    <row r="1338" ht="12.75" customHeight="1">
      <c r="AG1338" s="101">
        <f>IF(G1338&lt;0,0,1.2)+IF(G1338&lt;14,0,0.9)+IF(P1338&lt;0,0.7,0)+IF(P1338&lt;6.5,1,0)+IF(P1338&lt;23,1,0)+IF(R1338&gt;80,0,1)+S1338+IF(AD1338&lt;20,0,1)+IF(AE1338&lt;14,0,1)+IF(AF1338&lt;26,0,1)</f>
        <v/>
      </c>
    </row>
    <row r="1339" ht="12.75" customHeight="1">
      <c r="AG1339" s="101">
        <f>IF(G1339&lt;0,0,1.2)+IF(G1339&lt;14,0,0.9)+IF(P1339&lt;0,0.7,0)+IF(P1339&lt;6.5,1,0)+IF(P1339&lt;23,1,0)+IF(R1339&gt;80,0,1)+S1339+IF(AD1339&lt;20,0,1)+IF(AE1339&lt;14,0,1)+IF(AF1339&lt;26,0,1)</f>
        <v/>
      </c>
    </row>
    <row r="1340" ht="12.75" customHeight="1">
      <c r="AG1340" s="101">
        <f>IF(G1340&lt;0,0,1.2)+IF(G1340&lt;14,0,0.9)+IF(P1340&lt;0,0.7,0)+IF(P1340&lt;6.5,1,0)+IF(P1340&lt;23,1,0)+IF(R1340&gt;80,0,1)+S1340+IF(AD1340&lt;20,0,1)+IF(AE1340&lt;14,0,1)+IF(AF1340&lt;26,0,1)</f>
        <v/>
      </c>
    </row>
    <row r="1341" ht="12.75" customHeight="1">
      <c r="AG1341" s="101">
        <f>IF(G1341&lt;0,0,1.2)+IF(G1341&lt;14,0,0.9)+IF(P1341&lt;0,0.7,0)+IF(P1341&lt;6.5,1,0)+IF(P1341&lt;23,1,0)+IF(R1341&gt;80,0,1)+S1341+IF(AD1341&lt;20,0,1)+IF(AE1341&lt;14,0,1)+IF(AF1341&lt;26,0,1)</f>
        <v/>
      </c>
    </row>
    <row r="1342" ht="12.75" customHeight="1">
      <c r="AG1342" s="101">
        <f>IF(G1342&lt;0,0,1.2)+IF(G1342&lt;14,0,0.9)+IF(P1342&lt;0,0.7,0)+IF(P1342&lt;6.5,1,0)+IF(P1342&lt;23,1,0)+IF(R1342&gt;80,0,1)+S1342+IF(AD1342&lt;20,0,1)+IF(AE1342&lt;14,0,1)+IF(AF1342&lt;26,0,1)</f>
        <v/>
      </c>
    </row>
    <row r="1343" ht="12.75" customHeight="1">
      <c r="AG1343" s="101">
        <f>IF(G1343&lt;0,0,1.2)+IF(G1343&lt;14,0,0.9)+IF(P1343&lt;0,0.7,0)+IF(P1343&lt;6.5,1,0)+IF(P1343&lt;23,1,0)+IF(R1343&gt;80,0,1)+S1343+IF(AD1343&lt;20,0,1)+IF(AE1343&lt;14,0,1)+IF(AF1343&lt;26,0,1)</f>
        <v/>
      </c>
    </row>
    <row r="1344" ht="12.75" customHeight="1">
      <c r="AG1344" s="101">
        <f>IF(G1344&lt;0,0,1.2)+IF(G1344&lt;14,0,0.9)+IF(P1344&lt;0,0.7,0)+IF(P1344&lt;6.5,1,0)+IF(P1344&lt;23,1,0)+IF(R1344&gt;80,0,1)+S1344+IF(AD1344&lt;20,0,1)+IF(AE1344&lt;14,0,1)+IF(AF1344&lt;26,0,1)</f>
        <v/>
      </c>
    </row>
    <row r="1345" ht="12.75" customHeight="1">
      <c r="AG1345" s="101">
        <f>IF(G1345&lt;0,0,1.2)+IF(G1345&lt;14,0,0.9)+IF(P1345&lt;0,0.7,0)+IF(P1345&lt;6.5,1,0)+IF(P1345&lt;23,1,0)+IF(R1345&gt;80,0,1)+S1345+IF(AD1345&lt;20,0,1)+IF(AE1345&lt;14,0,1)+IF(AF1345&lt;26,0,1)</f>
        <v/>
      </c>
    </row>
    <row r="1346" ht="12.75" customHeight="1">
      <c r="AG1346" s="101">
        <f>IF(G1346&lt;0,0,1.2)+IF(G1346&lt;14,0,0.9)+IF(P1346&lt;0,0.7,0)+IF(P1346&lt;6.5,1,0)+IF(P1346&lt;23,1,0)+IF(R1346&gt;80,0,1)+S1346+IF(AD1346&lt;20,0,1)+IF(AE1346&lt;14,0,1)+IF(AF1346&lt;26,0,1)</f>
        <v/>
      </c>
    </row>
    <row r="1347" ht="12.75" customHeight="1">
      <c r="AG1347" s="101">
        <f>IF(G1347&lt;0,0,1.2)+IF(G1347&lt;14,0,0.9)+IF(P1347&lt;0,0.7,0)+IF(P1347&lt;6.5,1,0)+IF(P1347&lt;23,1,0)+IF(R1347&gt;80,0,1)+S1347+IF(AD1347&lt;20,0,1)+IF(AE1347&lt;14,0,1)+IF(AF1347&lt;26,0,1)</f>
        <v/>
      </c>
    </row>
    <row r="1348" ht="12.75" customHeight="1">
      <c r="AG1348" s="101">
        <f>IF(G1348&lt;0,0,1.2)+IF(G1348&lt;14,0,0.9)+IF(P1348&lt;0,0.7,0)+IF(P1348&lt;6.5,1,0)+IF(P1348&lt;23,1,0)+IF(R1348&gt;80,0,1)+S1348+IF(AD1348&lt;20,0,1)+IF(AE1348&lt;14,0,1)+IF(AF1348&lt;26,0,1)</f>
        <v/>
      </c>
    </row>
    <row r="1349" ht="12.75" customHeight="1">
      <c r="AG1349" s="101">
        <f>IF(G1349&lt;0,0,1.2)+IF(G1349&lt;14,0,0.9)+IF(P1349&lt;0,0.7,0)+IF(P1349&lt;6.5,1,0)+IF(P1349&lt;23,1,0)+IF(R1349&gt;80,0,1)+S1349+IF(AD1349&lt;20,0,1)+IF(AE1349&lt;14,0,1)+IF(AF1349&lt;26,0,1)</f>
        <v/>
      </c>
    </row>
    <row r="1350" ht="12.75" customHeight="1">
      <c r="AG1350" s="101">
        <f>IF(G1350&lt;0,0,1.2)+IF(G1350&lt;14,0,0.9)+IF(P1350&lt;0,0.7,0)+IF(P1350&lt;6.5,1,0)+IF(P1350&lt;23,1,0)+IF(R1350&gt;80,0,1)+S1350+IF(AD1350&lt;20,0,1)+IF(AE1350&lt;14,0,1)+IF(AF1350&lt;26,0,1)</f>
        <v/>
      </c>
    </row>
    <row r="1351" ht="12.75" customHeight="1">
      <c r="AG1351" s="101">
        <f>IF(G1351&lt;0,0,1.2)+IF(G1351&lt;14,0,0.9)+IF(P1351&lt;0,0.7,0)+IF(P1351&lt;6.5,1,0)+IF(P1351&lt;23,1,0)+IF(R1351&gt;80,0,1)+S1351+IF(AD1351&lt;20,0,1)+IF(AE1351&lt;14,0,1)+IF(AF1351&lt;26,0,1)</f>
        <v/>
      </c>
    </row>
    <row r="1352" ht="12.75" customHeight="1">
      <c r="AG1352" s="101">
        <f>IF(G1352&lt;0,0,1.2)+IF(G1352&lt;14,0,0.9)+IF(P1352&lt;0,0.7,0)+IF(P1352&lt;6.5,1,0)+IF(P1352&lt;23,1,0)+IF(R1352&gt;80,0,1)+S1352+IF(AD1352&lt;20,0,1)+IF(AE1352&lt;14,0,1)+IF(AF1352&lt;26,0,1)</f>
        <v/>
      </c>
    </row>
    <row r="1353" ht="12.75" customHeight="1">
      <c r="AG1353" s="101">
        <f>IF(G1353&lt;0,0,1.2)+IF(G1353&lt;14,0,0.9)+IF(P1353&lt;0,0.7,0)+IF(P1353&lt;6.5,1,0)+IF(P1353&lt;23,1,0)+IF(R1353&gt;80,0,1)+S1353+IF(AD1353&lt;20,0,1)+IF(AE1353&lt;14,0,1)+IF(AF1353&lt;26,0,1)</f>
        <v/>
      </c>
    </row>
    <row r="1354" ht="12.75" customHeight="1">
      <c r="AG1354" s="101">
        <f>IF(G1354&lt;0,0,1.2)+IF(G1354&lt;14,0,0.9)+IF(P1354&lt;0,0.7,0)+IF(P1354&lt;6.5,1,0)+IF(P1354&lt;23,1,0)+IF(R1354&gt;80,0,1)+S1354+IF(AD1354&lt;20,0,1)+IF(AE1354&lt;14,0,1)+IF(AF1354&lt;26,0,1)</f>
        <v/>
      </c>
    </row>
    <row r="1355" ht="12.75" customHeight="1">
      <c r="AG1355" s="101">
        <f>IF(G1355&lt;0,0,1.2)+IF(G1355&lt;14,0,0.9)+IF(P1355&lt;0,0.7,0)+IF(P1355&lt;6.5,1,0)+IF(P1355&lt;23,1,0)+IF(R1355&gt;80,0,1)+S1355+IF(AD1355&lt;20,0,1)+IF(AE1355&lt;14,0,1)+IF(AF1355&lt;26,0,1)</f>
        <v/>
      </c>
    </row>
    <row r="1356" ht="12.75" customHeight="1">
      <c r="AG1356" s="101">
        <f>IF(G1356&lt;0,0,1.2)+IF(G1356&lt;14,0,0.9)+IF(P1356&lt;0,0.7,0)+IF(P1356&lt;6.5,1,0)+IF(P1356&lt;23,1,0)+IF(R1356&gt;80,0,1)+S1356+IF(AD1356&lt;20,0,1)+IF(AE1356&lt;14,0,1)+IF(AF1356&lt;26,0,1)</f>
        <v/>
      </c>
    </row>
    <row r="1357" ht="12.75" customHeight="1">
      <c r="AG1357" s="101">
        <f>IF(G1357&lt;0,0,1.2)+IF(G1357&lt;14,0,0.9)+IF(P1357&lt;0,0.7,0)+IF(P1357&lt;6.5,1,0)+IF(P1357&lt;23,1,0)+IF(R1357&gt;80,0,1)+S1357+IF(AD1357&lt;20,0,1)+IF(AE1357&lt;14,0,1)+IF(AF1357&lt;26,0,1)</f>
        <v/>
      </c>
    </row>
    <row r="1358" ht="12.75" customHeight="1">
      <c r="AG1358" s="101">
        <f>IF(G1358&lt;0,0,1.2)+IF(G1358&lt;14,0,0.9)+IF(P1358&lt;0,0.7,0)+IF(P1358&lt;6.5,1,0)+IF(P1358&lt;23,1,0)+IF(R1358&gt;80,0,1)+S1358+IF(AD1358&lt;20,0,1)+IF(AE1358&lt;14,0,1)+IF(AF1358&lt;26,0,1)</f>
        <v/>
      </c>
    </row>
    <row r="1359" ht="12.75" customHeight="1">
      <c r="AG1359" s="101">
        <f>IF(G1359&lt;0,0,1.2)+IF(G1359&lt;14,0,0.9)+IF(P1359&lt;0,0.7,0)+IF(P1359&lt;6.5,1,0)+IF(P1359&lt;23,1,0)+IF(R1359&gt;80,0,1)+S1359+IF(AD1359&lt;20,0,1)+IF(AE1359&lt;14,0,1)+IF(AF1359&lt;26,0,1)</f>
        <v/>
      </c>
    </row>
    <row r="1360" ht="12.75" customHeight="1">
      <c r="AG1360" s="101">
        <f>IF(G1360&lt;0,0,1.2)+IF(G1360&lt;14,0,0.9)+IF(P1360&lt;0,0.7,0)+IF(P1360&lt;6.5,1,0)+IF(P1360&lt;23,1,0)+IF(R1360&gt;80,0,1)+S1360+IF(AD1360&lt;20,0,1)+IF(AE1360&lt;14,0,1)+IF(AF1360&lt;26,0,1)</f>
        <v/>
      </c>
    </row>
    <row r="1361" ht="12.75" customHeight="1">
      <c r="AG1361" s="101">
        <f>IF(G1361&lt;0,0,1.2)+IF(G1361&lt;14,0,0.9)+IF(P1361&lt;0,0.7,0)+IF(P1361&lt;6.5,1,0)+IF(P1361&lt;23,1,0)+IF(R1361&gt;80,0,1)+S1361+IF(AD1361&lt;20,0,1)+IF(AE1361&lt;14,0,1)+IF(AF1361&lt;26,0,1)</f>
        <v/>
      </c>
    </row>
    <row r="1362" ht="12.75" customHeight="1">
      <c r="AG1362" s="101">
        <f>IF(G1362&lt;0,0,1.2)+IF(G1362&lt;14,0,0.9)+IF(P1362&lt;0,0.7,0)+IF(P1362&lt;6.5,1,0)+IF(P1362&lt;23,1,0)+IF(R1362&gt;80,0,1)+S1362+IF(AD1362&lt;20,0,1)+IF(AE1362&lt;14,0,1)+IF(AF1362&lt;26,0,1)</f>
        <v/>
      </c>
    </row>
    <row r="1363" ht="12.75" customHeight="1">
      <c r="AG1363" s="101">
        <f>IF(G1363&lt;0,0,1.2)+IF(G1363&lt;14,0,0.9)+IF(P1363&lt;0,0.7,0)+IF(P1363&lt;6.5,1,0)+IF(P1363&lt;23,1,0)+IF(R1363&gt;80,0,1)+S1363+IF(AD1363&lt;20,0,1)+IF(AE1363&lt;14,0,1)+IF(AF1363&lt;26,0,1)</f>
        <v/>
      </c>
    </row>
    <row r="1364" ht="12.75" customHeight="1">
      <c r="AG1364" s="101">
        <f>IF(G1364&lt;0,0,1.2)+IF(G1364&lt;14,0,0.9)+IF(P1364&lt;0,0.7,0)+IF(P1364&lt;6.5,1,0)+IF(P1364&lt;23,1,0)+IF(R1364&gt;80,0,1)+S1364+IF(AD1364&lt;20,0,1)+IF(AE1364&lt;14,0,1)+IF(AF1364&lt;26,0,1)</f>
        <v/>
      </c>
    </row>
    <row r="1365" ht="12.75" customHeight="1">
      <c r="AG1365" s="101">
        <f>IF(G1365&lt;0,0,1.2)+IF(G1365&lt;14,0,0.9)+IF(P1365&lt;0,0.7,0)+IF(P1365&lt;6.5,1,0)+IF(P1365&lt;23,1,0)+IF(R1365&gt;80,0,1)+S1365+IF(AD1365&lt;20,0,1)+IF(AE1365&lt;14,0,1)+IF(AF1365&lt;26,0,1)</f>
        <v/>
      </c>
    </row>
    <row r="1366" ht="12.75" customHeight="1">
      <c r="AG1366" s="101">
        <f>IF(G1366&lt;0,0,1.2)+IF(G1366&lt;14,0,0.9)+IF(P1366&lt;0,0.7,0)+IF(P1366&lt;6.5,1,0)+IF(P1366&lt;23,1,0)+IF(R1366&gt;80,0,1)+S1366+IF(AD1366&lt;20,0,1)+IF(AE1366&lt;14,0,1)+IF(AF1366&lt;26,0,1)</f>
        <v/>
      </c>
    </row>
    <row r="1367" ht="12.75" customHeight="1">
      <c r="AG1367" s="101">
        <f>IF(G1367&lt;0,0,1.2)+IF(G1367&lt;14,0,0.9)+IF(P1367&lt;0,0.7,0)+IF(P1367&lt;6.5,1,0)+IF(P1367&lt;23,1,0)+IF(R1367&gt;80,0,1)+S1367+IF(AD1367&lt;20,0,1)+IF(AE1367&lt;14,0,1)+IF(AF1367&lt;26,0,1)</f>
        <v/>
      </c>
    </row>
    <row r="1368" ht="12.75" customHeight="1">
      <c r="AG1368" s="101">
        <f>IF(G1368&lt;0,0,1.2)+IF(G1368&lt;14,0,0.9)+IF(P1368&lt;0,0.7,0)+IF(P1368&lt;6.5,1,0)+IF(P1368&lt;23,1,0)+IF(R1368&gt;80,0,1)+S1368+IF(AD1368&lt;20,0,1)+IF(AE1368&lt;14,0,1)+IF(AF1368&lt;26,0,1)</f>
        <v/>
      </c>
    </row>
    <row r="1369" ht="12.75" customHeight="1">
      <c r="AG1369" s="101">
        <f>IF(G1369&lt;0,0,1.2)+IF(G1369&lt;14,0,0.9)+IF(P1369&lt;0,0.7,0)+IF(P1369&lt;6.5,1,0)+IF(P1369&lt;23,1,0)+IF(R1369&gt;80,0,1)+S1369+IF(AD1369&lt;20,0,1)+IF(AE1369&lt;14,0,1)+IF(AF1369&lt;26,0,1)</f>
        <v/>
      </c>
    </row>
    <row r="1370" ht="12.75" customHeight="1">
      <c r="AG1370" s="101">
        <f>IF(G1370&lt;0,0,1.2)+IF(G1370&lt;14,0,0.9)+IF(P1370&lt;0,0.7,0)+IF(P1370&lt;6.5,1,0)+IF(P1370&lt;23,1,0)+IF(R1370&gt;80,0,1)+S1370+IF(AD1370&lt;20,0,1)+IF(AE1370&lt;14,0,1)+IF(AF1370&lt;26,0,1)</f>
        <v/>
      </c>
    </row>
    <row r="1371" ht="12.75" customHeight="1">
      <c r="AG1371" s="101">
        <f>IF(G1371&lt;0,0,1.2)+IF(G1371&lt;14,0,0.9)+IF(P1371&lt;0,0.7,0)+IF(P1371&lt;6.5,1,0)+IF(P1371&lt;23,1,0)+IF(R1371&gt;80,0,1)+S1371+IF(AD1371&lt;20,0,1)+IF(AE1371&lt;14,0,1)+IF(AF1371&lt;26,0,1)</f>
        <v/>
      </c>
    </row>
    <row r="1372" ht="12.75" customHeight="1">
      <c r="AG1372" s="101">
        <f>IF(G1372&lt;0,0,1.2)+IF(G1372&lt;14,0,0.9)+IF(P1372&lt;0,0.7,0)+IF(P1372&lt;6.5,1,0)+IF(P1372&lt;23,1,0)+IF(R1372&gt;80,0,1)+S1372+IF(AD1372&lt;20,0,1)+IF(AE1372&lt;14,0,1)+IF(AF1372&lt;26,0,1)</f>
        <v/>
      </c>
    </row>
    <row r="1373" ht="12.75" customHeight="1">
      <c r="AG1373" s="101">
        <f>IF(G1373&lt;0,0,1.2)+IF(G1373&lt;14,0,0.9)+IF(P1373&lt;0,0.7,0)+IF(P1373&lt;6.5,1,0)+IF(P1373&lt;23,1,0)+IF(R1373&gt;80,0,1)+S1373+IF(AD1373&lt;20,0,1)+IF(AE1373&lt;14,0,1)+IF(AF1373&lt;26,0,1)</f>
        <v/>
      </c>
    </row>
    <row r="1374" ht="12.75" customHeight="1">
      <c r="AG1374" s="101">
        <f>IF(G1374&lt;0,0,1.2)+IF(G1374&lt;14,0,0.9)+IF(P1374&lt;0,0.7,0)+IF(P1374&lt;6.5,1,0)+IF(P1374&lt;23,1,0)+IF(R1374&gt;80,0,1)+S1374+IF(AD1374&lt;20,0,1)+IF(AE1374&lt;14,0,1)+IF(AF1374&lt;26,0,1)</f>
        <v/>
      </c>
    </row>
    <row r="1375" ht="12.75" customHeight="1">
      <c r="AG1375" s="101">
        <f>IF(G1375&lt;0,0,1.2)+IF(G1375&lt;14,0,0.9)+IF(P1375&lt;0,0.7,0)+IF(P1375&lt;6.5,1,0)+IF(P1375&lt;23,1,0)+IF(R1375&gt;80,0,1)+S1375+IF(AD1375&lt;20,0,1)+IF(AE1375&lt;14,0,1)+IF(AF1375&lt;26,0,1)</f>
        <v/>
      </c>
    </row>
    <row r="1376" ht="12.75" customHeight="1">
      <c r="AG1376" s="101">
        <f>IF(G1376&lt;0,0,1.2)+IF(G1376&lt;14,0,0.9)+IF(P1376&lt;0,0.7,0)+IF(P1376&lt;6.5,1,0)+IF(P1376&lt;23,1,0)+IF(R1376&gt;80,0,1)+S1376+IF(AD1376&lt;20,0,1)+IF(AE1376&lt;14,0,1)+IF(AF1376&lt;26,0,1)</f>
        <v/>
      </c>
    </row>
    <row r="1377" ht="12.75" customHeight="1">
      <c r="AG1377" s="101">
        <f>IF(G1377&lt;0,0,1.2)+IF(G1377&lt;14,0,0.9)+IF(P1377&lt;0,0.7,0)+IF(P1377&lt;6.5,1,0)+IF(P1377&lt;23,1,0)+IF(R1377&gt;80,0,1)+S1377+IF(AD1377&lt;20,0,1)+IF(AE1377&lt;14,0,1)+IF(AF1377&lt;26,0,1)</f>
        <v/>
      </c>
    </row>
    <row r="1378" ht="12.75" customHeight="1">
      <c r="AG1378" s="101">
        <f>IF(G1378&lt;0,0,1.2)+IF(G1378&lt;14,0,0.9)+IF(P1378&lt;0,0.7,0)+IF(P1378&lt;6.5,1,0)+IF(P1378&lt;23,1,0)+IF(R1378&gt;80,0,1)+S1378+IF(AD1378&lt;20,0,1)+IF(AE1378&lt;14,0,1)+IF(AF1378&lt;26,0,1)</f>
        <v/>
      </c>
    </row>
    <row r="1379" ht="12.75" customHeight="1">
      <c r="AG1379" s="101">
        <f>IF(G1379&lt;0,0,1.2)+IF(G1379&lt;14,0,0.9)+IF(P1379&lt;0,0.7,0)+IF(P1379&lt;6.5,1,0)+IF(P1379&lt;23,1,0)+IF(R1379&gt;80,0,1)+S1379+IF(AD1379&lt;20,0,1)+IF(AE1379&lt;14,0,1)+IF(AF1379&lt;26,0,1)</f>
        <v/>
      </c>
    </row>
    <row r="1380" ht="12.75" customHeight="1">
      <c r="AG1380" s="101">
        <f>IF(G1380&lt;0,0,1.2)+IF(G1380&lt;14,0,0.9)+IF(P1380&lt;0,0.7,0)+IF(P1380&lt;6.5,1,0)+IF(P1380&lt;23,1,0)+IF(R1380&gt;80,0,1)+S1380+IF(AD1380&lt;20,0,1)+IF(AE1380&lt;14,0,1)+IF(AF1380&lt;26,0,1)</f>
        <v/>
      </c>
    </row>
    <row r="1381" ht="12.75" customHeight="1">
      <c r="AG1381" s="101">
        <f>IF(G1381&lt;0,0,1.2)+IF(G1381&lt;14,0,0.9)+IF(P1381&lt;0,0.7,0)+IF(P1381&lt;6.5,1,0)+IF(P1381&lt;23,1,0)+IF(R1381&gt;80,0,1)+S1381+IF(AD1381&lt;20,0,1)+IF(AE1381&lt;14,0,1)+IF(AF1381&lt;26,0,1)</f>
        <v/>
      </c>
    </row>
    <row r="1382" ht="12.75" customHeight="1">
      <c r="AG1382" s="101">
        <f>IF(G1382&lt;0,0,1.2)+IF(G1382&lt;14,0,0.9)+IF(P1382&lt;0,0.7,0)+IF(P1382&lt;6.5,1,0)+IF(P1382&lt;23,1,0)+IF(R1382&gt;80,0,1)+S1382+IF(AD1382&lt;20,0,1)+IF(AE1382&lt;14,0,1)+IF(AF1382&lt;26,0,1)</f>
        <v/>
      </c>
    </row>
    <row r="1383" ht="12.75" customHeight="1">
      <c r="AG1383" s="101">
        <f>IF(G1383&lt;0,0,1.2)+IF(G1383&lt;14,0,0.9)+IF(P1383&lt;0,0.7,0)+IF(P1383&lt;6.5,1,0)+IF(P1383&lt;23,1,0)+IF(R1383&gt;80,0,1)+S1383+IF(AD1383&lt;20,0,1)+IF(AE1383&lt;14,0,1)+IF(AF1383&lt;26,0,1)</f>
        <v/>
      </c>
    </row>
    <row r="1384" ht="12.75" customHeight="1">
      <c r="AG1384" s="101">
        <f>IF(G1384&lt;0,0,1.2)+IF(G1384&lt;14,0,0.9)+IF(P1384&lt;0,0.7,0)+IF(P1384&lt;6.5,1,0)+IF(P1384&lt;23,1,0)+IF(R1384&gt;80,0,1)+S1384+IF(AD1384&lt;20,0,1)+IF(AE1384&lt;14,0,1)+IF(AF1384&lt;26,0,1)</f>
        <v/>
      </c>
    </row>
    <row r="1385" ht="12.75" customHeight="1">
      <c r="AG1385" s="101">
        <f>IF(G1385&lt;0,0,1.2)+IF(G1385&lt;14,0,0.9)+IF(P1385&lt;0,0.7,0)+IF(P1385&lt;6.5,1,0)+IF(P1385&lt;23,1,0)+IF(R1385&gt;80,0,1)+S1385+IF(AD1385&lt;20,0,1)+IF(AE1385&lt;14,0,1)+IF(AF1385&lt;26,0,1)</f>
        <v/>
      </c>
    </row>
    <row r="1386" ht="12.75" customHeight="1">
      <c r="AG1386" s="101">
        <f>IF(G1386&lt;0,0,1.2)+IF(G1386&lt;14,0,0.9)+IF(P1386&lt;0,0.7,0)+IF(P1386&lt;6.5,1,0)+IF(P1386&lt;23,1,0)+IF(R1386&gt;80,0,1)+S1386+IF(AD1386&lt;20,0,1)+IF(AE1386&lt;14,0,1)+IF(AF1386&lt;26,0,1)</f>
        <v/>
      </c>
    </row>
    <row r="1387" ht="12.75" customHeight="1">
      <c r="AG1387" s="101">
        <f>IF(G1387&lt;0,0,1.2)+IF(G1387&lt;14,0,0.9)+IF(P1387&lt;0,0.7,0)+IF(P1387&lt;6.5,1,0)+IF(P1387&lt;23,1,0)+IF(R1387&gt;80,0,1)+S1387+IF(AD1387&lt;20,0,1)+IF(AE1387&lt;14,0,1)+IF(AF1387&lt;26,0,1)</f>
        <v/>
      </c>
    </row>
    <row r="1388" ht="12.75" customHeight="1">
      <c r="AG1388" s="101">
        <f>IF(G1388&lt;0,0,1.2)+IF(G1388&lt;14,0,0.9)+IF(P1388&lt;0,0.7,0)+IF(P1388&lt;6.5,1,0)+IF(P1388&lt;23,1,0)+IF(R1388&gt;80,0,1)+S1388+IF(AD1388&lt;20,0,1)+IF(AE1388&lt;14,0,1)+IF(AF1388&lt;26,0,1)</f>
        <v/>
      </c>
    </row>
    <row r="1389" ht="12.75" customHeight="1">
      <c r="AG1389" s="101">
        <f>IF(G1389&lt;0,0,1.2)+IF(G1389&lt;14,0,0.9)+IF(P1389&lt;0,0.7,0)+IF(P1389&lt;6.5,1,0)+IF(P1389&lt;23,1,0)+IF(R1389&gt;80,0,1)+S1389+IF(AD1389&lt;20,0,1)+IF(AE1389&lt;14,0,1)+IF(AF1389&lt;26,0,1)</f>
        <v/>
      </c>
    </row>
    <row r="1390" ht="12.75" customHeight="1">
      <c r="AG1390" s="101">
        <f>IF(G1390&lt;0,0,1.2)+IF(G1390&lt;14,0,0.9)+IF(P1390&lt;0,0.7,0)+IF(P1390&lt;6.5,1,0)+IF(P1390&lt;23,1,0)+IF(R1390&gt;80,0,1)+S1390+IF(AD1390&lt;20,0,1)+IF(AE1390&lt;14,0,1)+IF(AF1390&lt;26,0,1)</f>
        <v/>
      </c>
    </row>
    <row r="1391" ht="12.75" customHeight="1">
      <c r="AG1391" s="101">
        <f>IF(G1391&lt;0,0,1.2)+IF(G1391&lt;14,0,0.9)+IF(P1391&lt;0,0.7,0)+IF(P1391&lt;6.5,1,0)+IF(P1391&lt;23,1,0)+IF(R1391&gt;80,0,1)+S1391+IF(AD1391&lt;20,0,1)+IF(AE1391&lt;14,0,1)+IF(AF1391&lt;26,0,1)</f>
        <v/>
      </c>
    </row>
    <row r="1392" ht="12.75" customHeight="1">
      <c r="AG1392" s="101">
        <f>IF(G1392&lt;0,0,1.2)+IF(G1392&lt;14,0,0.9)+IF(P1392&lt;0,0.7,0)+IF(P1392&lt;6.5,1,0)+IF(P1392&lt;23,1,0)+IF(R1392&gt;80,0,1)+S1392+IF(AD1392&lt;20,0,1)+IF(AE1392&lt;14,0,1)+IF(AF1392&lt;26,0,1)</f>
        <v/>
      </c>
    </row>
    <row r="1393" ht="12.75" customHeight="1">
      <c r="AG1393" s="101">
        <f>IF(G1393&lt;0,0,1.2)+IF(G1393&lt;14,0,0.9)+IF(P1393&lt;0,0.7,0)+IF(P1393&lt;6.5,1,0)+IF(P1393&lt;23,1,0)+IF(R1393&gt;80,0,1)+S1393+IF(AD1393&lt;20,0,1)+IF(AE1393&lt;14,0,1)+IF(AF1393&lt;26,0,1)</f>
        <v/>
      </c>
    </row>
    <row r="1394" ht="12.75" customHeight="1">
      <c r="AG1394" s="101">
        <f>IF(G1394&lt;0,0,1.2)+IF(G1394&lt;14,0,0.9)+IF(P1394&lt;0,0.7,0)+IF(P1394&lt;6.5,1,0)+IF(P1394&lt;23,1,0)+IF(R1394&gt;80,0,1)+S1394+IF(AD1394&lt;20,0,1)+IF(AE1394&lt;14,0,1)+IF(AF1394&lt;26,0,1)</f>
        <v/>
      </c>
    </row>
    <row r="1395" ht="12.75" customHeight="1">
      <c r="AG1395" s="101">
        <f>IF(G1395&lt;0,0,1.2)+IF(G1395&lt;14,0,0.9)+IF(P1395&lt;0,0.7,0)+IF(P1395&lt;6.5,1,0)+IF(P1395&lt;23,1,0)+IF(R1395&gt;80,0,1)+S1395+IF(AD1395&lt;20,0,1)+IF(AE1395&lt;14,0,1)+IF(AF1395&lt;26,0,1)</f>
        <v/>
      </c>
    </row>
    <row r="1396" ht="12.75" customHeight="1">
      <c r="AG1396" s="101">
        <f>IF(G1396&lt;0,0,1.2)+IF(G1396&lt;14,0,0.9)+IF(P1396&lt;0,0.7,0)+IF(P1396&lt;6.5,1,0)+IF(P1396&lt;23,1,0)+IF(R1396&gt;80,0,1)+S1396+IF(AD1396&lt;20,0,1)+IF(AE1396&lt;14,0,1)+IF(AF1396&lt;26,0,1)</f>
        <v/>
      </c>
    </row>
    <row r="1397" ht="12.75" customHeight="1">
      <c r="AG1397" s="101">
        <f>IF(G1397&lt;0,0,1.2)+IF(G1397&lt;14,0,0.9)+IF(P1397&lt;0,0.7,0)+IF(P1397&lt;6.5,1,0)+IF(P1397&lt;23,1,0)+IF(R1397&gt;80,0,1)+S1397+IF(AD1397&lt;20,0,1)+IF(AE1397&lt;14,0,1)+IF(AF1397&lt;26,0,1)</f>
        <v/>
      </c>
    </row>
    <row r="1398" ht="12.75" customHeight="1">
      <c r="AG1398" s="101">
        <f>IF(G1398&lt;0,0,1.2)+IF(G1398&lt;14,0,0.9)+IF(P1398&lt;0,0.7,0)+IF(P1398&lt;6.5,1,0)+IF(P1398&lt;23,1,0)+IF(R1398&gt;80,0,1)+S1398+IF(AD1398&lt;20,0,1)+IF(AE1398&lt;14,0,1)+IF(AF1398&lt;26,0,1)</f>
        <v/>
      </c>
    </row>
    <row r="1399" ht="12.75" customHeight="1">
      <c r="AG1399" s="101">
        <f>IF(G1399&lt;0,0,1.2)+IF(G1399&lt;14,0,0.9)+IF(P1399&lt;0,0.7,0)+IF(P1399&lt;6.5,1,0)+IF(P1399&lt;23,1,0)+IF(R1399&gt;80,0,1)+S1399+IF(AD1399&lt;20,0,1)+IF(AE1399&lt;14,0,1)+IF(AF1399&lt;26,0,1)</f>
        <v/>
      </c>
    </row>
    <row r="1400" ht="12.75" customHeight="1">
      <c r="AG1400" s="101">
        <f>IF(G1400&lt;0,0,1.2)+IF(G1400&lt;14,0,0.9)+IF(P1400&lt;0,0.7,0)+IF(P1400&lt;6.5,1,0)+IF(P1400&lt;23,1,0)+IF(R1400&gt;80,0,1)+S1400+IF(AD1400&lt;20,0,1)+IF(AE1400&lt;14,0,1)+IF(AF1400&lt;26,0,1)</f>
        <v/>
      </c>
    </row>
    <row r="1401" ht="12.75" customHeight="1">
      <c r="AG1401" s="101">
        <f>IF(G1401&lt;0,0,1.2)+IF(G1401&lt;14,0,0.9)+IF(P1401&lt;0,0.7,0)+IF(P1401&lt;6.5,1,0)+IF(P1401&lt;23,1,0)+IF(R1401&gt;80,0,1)+S1401+IF(AD1401&lt;20,0,1)+IF(AE1401&lt;14,0,1)+IF(AF1401&lt;26,0,1)</f>
        <v/>
      </c>
    </row>
    <row r="1402" ht="12.75" customHeight="1">
      <c r="AG1402" s="101">
        <f>IF(G1402&lt;0,0,1.2)+IF(G1402&lt;14,0,0.9)+IF(P1402&lt;0,0.7,0)+IF(P1402&lt;6.5,1,0)+IF(P1402&lt;23,1,0)+IF(R1402&gt;80,0,1)+S1402+IF(AD1402&lt;20,0,1)+IF(AE1402&lt;14,0,1)+IF(AF1402&lt;26,0,1)</f>
        <v/>
      </c>
    </row>
    <row r="1403" ht="12.75" customHeight="1">
      <c r="AG1403" s="101">
        <f>IF(G1403&lt;0,0,1.2)+IF(G1403&lt;14,0,0.9)+IF(P1403&lt;0,0.7,0)+IF(P1403&lt;6.5,1,0)+IF(P1403&lt;23,1,0)+IF(R1403&gt;80,0,1)+S1403+IF(AD1403&lt;20,0,1)+IF(AE1403&lt;14,0,1)+IF(AF1403&lt;26,0,1)</f>
        <v/>
      </c>
    </row>
    <row r="1404" ht="12.75" customHeight="1">
      <c r="AG1404" s="101">
        <f>IF(G1404&lt;0,0,1.2)+IF(G1404&lt;14,0,0.9)+IF(P1404&lt;0,0.7,0)+IF(P1404&lt;6.5,1,0)+IF(P1404&lt;23,1,0)+IF(R1404&gt;80,0,1)+S1404+IF(AD1404&lt;20,0,1)+IF(AE1404&lt;14,0,1)+IF(AF1404&lt;26,0,1)</f>
        <v/>
      </c>
    </row>
    <row r="1405" ht="12.75" customHeight="1">
      <c r="AG1405" s="101">
        <f>IF(G1405&lt;0,0,1.2)+IF(G1405&lt;14,0,0.9)+IF(P1405&lt;0,0.7,0)+IF(P1405&lt;6.5,1,0)+IF(P1405&lt;23,1,0)+IF(R1405&gt;80,0,1)+S1405+IF(AD1405&lt;20,0,1)+IF(AE1405&lt;14,0,1)+IF(AF1405&lt;26,0,1)</f>
        <v/>
      </c>
    </row>
    <row r="1406" ht="12.75" customHeight="1">
      <c r="AG1406" s="101">
        <f>IF(G1406&lt;0,0,1.2)+IF(G1406&lt;14,0,0.9)+IF(P1406&lt;0,0.7,0)+IF(P1406&lt;6.5,1,0)+IF(P1406&lt;23,1,0)+IF(R1406&gt;80,0,1)+S1406+IF(AD1406&lt;20,0,1)+IF(AE1406&lt;14,0,1)+IF(AF1406&lt;26,0,1)</f>
        <v/>
      </c>
    </row>
    <row r="1407" ht="12.75" customHeight="1">
      <c r="AG1407" s="101">
        <f>IF(G1407&lt;0,0,1.2)+IF(G1407&lt;14,0,0.9)+IF(P1407&lt;0,0.7,0)+IF(P1407&lt;6.5,1,0)+IF(P1407&lt;23,1,0)+IF(R1407&gt;80,0,1)+S1407+IF(AD1407&lt;20,0,1)+IF(AE1407&lt;14,0,1)+IF(AF1407&lt;26,0,1)</f>
        <v/>
      </c>
    </row>
    <row r="1408" ht="12.75" customHeight="1">
      <c r="AG1408" s="101">
        <f>IF(G1408&lt;0,0,1.2)+IF(G1408&lt;14,0,0.9)+IF(P1408&lt;0,0.7,0)+IF(P1408&lt;6.5,1,0)+IF(P1408&lt;23,1,0)+IF(R1408&gt;80,0,1)+S1408+IF(AD1408&lt;20,0,1)+IF(AE1408&lt;14,0,1)+IF(AF1408&lt;26,0,1)</f>
        <v/>
      </c>
    </row>
    <row r="1409" ht="12.75" customHeight="1">
      <c r="AG1409" s="101">
        <f>IF(G1409&lt;0,0,1.2)+IF(G1409&lt;14,0,0.9)+IF(P1409&lt;0,0.7,0)+IF(P1409&lt;6.5,1,0)+IF(P1409&lt;23,1,0)+IF(R1409&gt;80,0,1)+S1409+IF(AD1409&lt;20,0,1)+IF(AE1409&lt;14,0,1)+IF(AF1409&lt;26,0,1)</f>
        <v/>
      </c>
    </row>
    <row r="1410" ht="12.75" customHeight="1">
      <c r="AG1410" s="101">
        <f>IF(G1410&lt;0,0,1.2)+IF(G1410&lt;14,0,0.9)+IF(P1410&lt;0,0.7,0)+IF(P1410&lt;6.5,1,0)+IF(P1410&lt;23,1,0)+IF(R1410&gt;80,0,1)+S1410+IF(AD1410&lt;20,0,1)+IF(AE1410&lt;14,0,1)+IF(AF1410&lt;26,0,1)</f>
        <v/>
      </c>
    </row>
    <row r="1411" ht="12.75" customHeight="1">
      <c r="AG1411" s="101">
        <f>IF(G1411&lt;0,0,1.2)+IF(G1411&lt;14,0,0.9)+IF(P1411&lt;0,0.7,0)+IF(P1411&lt;6.5,1,0)+IF(P1411&lt;23,1,0)+IF(R1411&gt;80,0,1)+S1411+IF(AD1411&lt;20,0,1)+IF(AE1411&lt;14,0,1)+IF(AF1411&lt;26,0,1)</f>
        <v/>
      </c>
    </row>
    <row r="1412" ht="12.75" customHeight="1">
      <c r="AG1412" s="101">
        <f>IF(G1412&lt;0,0,1.2)+IF(G1412&lt;14,0,0.9)+IF(P1412&lt;0,0.7,0)+IF(P1412&lt;6.5,1,0)+IF(P1412&lt;23,1,0)+IF(R1412&gt;80,0,1)+S1412+IF(AD1412&lt;20,0,1)+IF(AE1412&lt;14,0,1)+IF(AF1412&lt;26,0,1)</f>
        <v/>
      </c>
    </row>
    <row r="1413" ht="12.75" customHeight="1">
      <c r="AG1413" s="101">
        <f>IF(G1413&lt;0,0,1.2)+IF(G1413&lt;14,0,0.9)+IF(P1413&lt;0,0.7,0)+IF(P1413&lt;6.5,1,0)+IF(P1413&lt;23,1,0)+IF(R1413&gt;80,0,1)+S1413+IF(AD1413&lt;20,0,1)+IF(AE1413&lt;14,0,1)+IF(AF1413&lt;26,0,1)</f>
        <v/>
      </c>
    </row>
    <row r="1414" ht="12.75" customHeight="1">
      <c r="AG1414" s="101">
        <f>IF(G1414&lt;0,0,1.2)+IF(G1414&lt;14,0,0.9)+IF(P1414&lt;0,0.7,0)+IF(P1414&lt;6.5,1,0)+IF(P1414&lt;23,1,0)+IF(R1414&gt;80,0,1)+S1414+IF(AD1414&lt;20,0,1)+IF(AE1414&lt;14,0,1)+IF(AF1414&lt;26,0,1)</f>
        <v/>
      </c>
    </row>
    <row r="1415" ht="12.75" customHeight="1">
      <c r="AG1415" s="101">
        <f>IF(G1415&lt;0,0,1.2)+IF(G1415&lt;14,0,0.9)+IF(P1415&lt;0,0.7,0)+IF(P1415&lt;6.5,1,0)+IF(P1415&lt;23,1,0)+IF(R1415&gt;80,0,1)+S1415+IF(AD1415&lt;20,0,1)+IF(AE1415&lt;14,0,1)+IF(AF1415&lt;26,0,1)</f>
        <v/>
      </c>
    </row>
    <row r="1416" ht="12.75" customHeight="1">
      <c r="AG1416" s="101">
        <f>IF(G1416&lt;0,0,1.2)+IF(G1416&lt;14,0,0.9)+IF(P1416&lt;0,0.7,0)+IF(P1416&lt;6.5,1,0)+IF(P1416&lt;23,1,0)+IF(R1416&gt;80,0,1)+S1416+IF(AD1416&lt;20,0,1)+IF(AE1416&lt;14,0,1)+IF(AF1416&lt;26,0,1)</f>
        <v/>
      </c>
    </row>
    <row r="1417" ht="12.75" customHeight="1">
      <c r="AG1417" s="101">
        <f>IF(G1417&lt;0,0,1.2)+IF(G1417&lt;14,0,0.9)+IF(P1417&lt;0,0.7,0)+IF(P1417&lt;6.5,1,0)+IF(P1417&lt;23,1,0)+IF(R1417&gt;80,0,1)+S1417+IF(AD1417&lt;20,0,1)+IF(AE1417&lt;14,0,1)+IF(AF1417&lt;26,0,1)</f>
        <v/>
      </c>
    </row>
    <row r="1418" ht="12.75" customHeight="1">
      <c r="AG1418" s="101">
        <f>IF(G1418&lt;0,0,1.2)+IF(G1418&lt;14,0,0.9)+IF(P1418&lt;0,0.7,0)+IF(P1418&lt;6.5,1,0)+IF(P1418&lt;23,1,0)+IF(R1418&gt;80,0,1)+S1418+IF(AD1418&lt;20,0,1)+IF(AE1418&lt;14,0,1)+IF(AF1418&lt;26,0,1)</f>
        <v/>
      </c>
    </row>
    <row r="1419" ht="12.75" customHeight="1">
      <c r="AG1419" s="101">
        <f>IF(G1419&lt;0,0,1.2)+IF(G1419&lt;14,0,0.9)+IF(P1419&lt;0,0.7,0)+IF(P1419&lt;6.5,1,0)+IF(P1419&lt;23,1,0)+IF(R1419&gt;80,0,1)+S1419+IF(AD1419&lt;20,0,1)+IF(AE1419&lt;14,0,1)+IF(AF1419&lt;26,0,1)</f>
        <v/>
      </c>
    </row>
    <row r="1420" ht="12.75" customHeight="1">
      <c r="AG1420" s="101">
        <f>IF(G1420&lt;0,0,1.2)+IF(G1420&lt;14,0,0.9)+IF(P1420&lt;0,0.7,0)+IF(P1420&lt;6.5,1,0)+IF(P1420&lt;23,1,0)+IF(R1420&gt;80,0,1)+S1420+IF(AD1420&lt;20,0,1)+IF(AE1420&lt;14,0,1)+IF(AF1420&lt;26,0,1)</f>
        <v/>
      </c>
    </row>
    <row r="1421" ht="12.75" customHeight="1">
      <c r="AG1421" s="101">
        <f>IF(G1421&lt;0,0,1.2)+IF(G1421&lt;14,0,0.9)+IF(P1421&lt;0,0.7,0)+IF(P1421&lt;6.5,1,0)+IF(P1421&lt;23,1,0)+IF(R1421&gt;80,0,1)+S1421+IF(AD1421&lt;20,0,1)+IF(AE1421&lt;14,0,1)+IF(AF1421&lt;26,0,1)</f>
        <v/>
      </c>
    </row>
    <row r="1422" ht="12.75" customHeight="1">
      <c r="AG1422" s="101">
        <f>IF(G1422&lt;0,0,1.2)+IF(G1422&lt;14,0,0.9)+IF(P1422&lt;0,0.7,0)+IF(P1422&lt;6.5,1,0)+IF(P1422&lt;23,1,0)+IF(R1422&gt;80,0,1)+S1422+IF(AD1422&lt;20,0,1)+IF(AE1422&lt;14,0,1)+IF(AF1422&lt;26,0,1)</f>
        <v/>
      </c>
    </row>
    <row r="1423" ht="12.75" customHeight="1">
      <c r="AG1423" s="101">
        <f>IF(G1423&lt;0,0,1.2)+IF(G1423&lt;14,0,0.9)+IF(P1423&lt;0,0.7,0)+IF(P1423&lt;6.5,1,0)+IF(P1423&lt;23,1,0)+IF(R1423&gt;80,0,1)+S1423+IF(AD1423&lt;20,0,1)+IF(AE1423&lt;14,0,1)+IF(AF1423&lt;26,0,1)</f>
        <v/>
      </c>
    </row>
    <row r="1424" ht="12.75" customHeight="1">
      <c r="AG1424" s="101">
        <f>IF(G1424&lt;0,0,1.2)+IF(G1424&lt;14,0,0.9)+IF(P1424&lt;0,0.7,0)+IF(P1424&lt;6.5,1,0)+IF(P1424&lt;23,1,0)+IF(R1424&gt;80,0,1)+S1424+IF(AD1424&lt;20,0,1)+IF(AE1424&lt;14,0,1)+IF(AF1424&lt;26,0,1)</f>
        <v/>
      </c>
    </row>
    <row r="1425" ht="12.75" customHeight="1">
      <c r="AG1425" s="101">
        <f>IF(G1425&lt;0,0,1.2)+IF(G1425&lt;14,0,0.9)+IF(P1425&lt;0,0.7,0)+IF(P1425&lt;6.5,1,0)+IF(P1425&lt;23,1,0)+IF(R1425&gt;80,0,1)+S1425+IF(AD1425&lt;20,0,1)+IF(AE1425&lt;14,0,1)+IF(AF1425&lt;26,0,1)</f>
        <v/>
      </c>
    </row>
    <row r="1426" ht="12.75" customHeight="1">
      <c r="AG1426" s="101">
        <f>IF(G1426&lt;0,0,1.2)+IF(G1426&lt;14,0,0.9)+IF(P1426&lt;0,0.7,0)+IF(P1426&lt;6.5,1,0)+IF(P1426&lt;23,1,0)+IF(R1426&gt;80,0,1)+S1426+IF(AD1426&lt;20,0,1)+IF(AE1426&lt;14,0,1)+IF(AF1426&lt;26,0,1)</f>
        <v/>
      </c>
    </row>
    <row r="1427" ht="12.75" customHeight="1">
      <c r="AG1427" s="101">
        <f>IF(G1427&lt;0,0,1.2)+IF(G1427&lt;14,0,0.9)+IF(P1427&lt;0,0.7,0)+IF(P1427&lt;6.5,1,0)+IF(P1427&lt;23,1,0)+IF(R1427&gt;80,0,1)+S1427+IF(AD1427&lt;20,0,1)+IF(AE1427&lt;14,0,1)+IF(AF1427&lt;26,0,1)</f>
        <v/>
      </c>
    </row>
    <row r="1428" ht="12.75" customHeight="1">
      <c r="AG1428" s="101">
        <f>IF(G1428&lt;0,0,1.2)+IF(G1428&lt;14,0,0.9)+IF(P1428&lt;0,0.7,0)+IF(P1428&lt;6.5,1,0)+IF(P1428&lt;23,1,0)+IF(R1428&gt;80,0,1)+S1428+IF(AD1428&lt;20,0,1)+IF(AE1428&lt;14,0,1)+IF(AF1428&lt;26,0,1)</f>
        <v/>
      </c>
    </row>
    <row r="1429" ht="12.75" customHeight="1">
      <c r="AG1429" s="101">
        <f>IF(G1429&lt;0,0,1.2)+IF(G1429&lt;14,0,0.9)+IF(P1429&lt;0,0.7,0)+IF(P1429&lt;6.5,1,0)+IF(P1429&lt;23,1,0)+IF(R1429&gt;80,0,1)+S1429+IF(AD1429&lt;20,0,1)+IF(AE1429&lt;14,0,1)+IF(AF1429&lt;26,0,1)</f>
        <v/>
      </c>
    </row>
    <row r="1430" ht="12.75" customHeight="1">
      <c r="AG1430" s="101">
        <f>IF(G1430&lt;0,0,1.2)+IF(G1430&lt;14,0,0.9)+IF(P1430&lt;0,0.7,0)+IF(P1430&lt;6.5,1,0)+IF(P1430&lt;23,1,0)+IF(R1430&gt;80,0,1)+S1430+IF(AD1430&lt;20,0,1)+IF(AE1430&lt;14,0,1)+IF(AF1430&lt;26,0,1)</f>
        <v/>
      </c>
    </row>
    <row r="1431" ht="12.75" customHeight="1">
      <c r="AG1431" s="101">
        <f>IF(G1431&lt;0,0,1.2)+IF(G1431&lt;14,0,0.9)+IF(P1431&lt;0,0.7,0)+IF(P1431&lt;6.5,1,0)+IF(P1431&lt;23,1,0)+IF(R1431&gt;80,0,1)+S1431+IF(AD1431&lt;20,0,1)+IF(AE1431&lt;14,0,1)+IF(AF1431&lt;26,0,1)</f>
        <v/>
      </c>
    </row>
    <row r="1432" ht="12.75" customHeight="1">
      <c r="AG1432" s="101">
        <f>IF(G1432&lt;0,0,1.2)+IF(G1432&lt;14,0,0.9)+IF(P1432&lt;0,0.7,0)+IF(P1432&lt;6.5,1,0)+IF(P1432&lt;23,1,0)+IF(R1432&gt;80,0,1)+S1432+IF(AD1432&lt;20,0,1)+IF(AE1432&lt;14,0,1)+IF(AF1432&lt;26,0,1)</f>
        <v/>
      </c>
    </row>
    <row r="1433" ht="12.75" customHeight="1">
      <c r="AG1433" s="101">
        <f>IF(G1433&lt;0,0,1.2)+IF(G1433&lt;14,0,0.9)+IF(P1433&lt;0,0.7,0)+IF(P1433&lt;6.5,1,0)+IF(P1433&lt;23,1,0)+IF(R1433&gt;80,0,1)+S1433+IF(AD1433&lt;20,0,1)+IF(AE1433&lt;14,0,1)+IF(AF1433&lt;26,0,1)</f>
        <v/>
      </c>
    </row>
    <row r="1434" ht="12.75" customHeight="1">
      <c r="AG1434" s="101">
        <f>IF(G1434&lt;0,0,1.2)+IF(G1434&lt;14,0,0.9)+IF(P1434&lt;0,0.7,0)+IF(P1434&lt;6.5,1,0)+IF(P1434&lt;23,1,0)+IF(R1434&gt;80,0,1)+S1434+IF(AD1434&lt;20,0,1)+IF(AE1434&lt;14,0,1)+IF(AF1434&lt;26,0,1)</f>
        <v/>
      </c>
    </row>
    <row r="1435" ht="12.75" customHeight="1">
      <c r="AG1435" s="101">
        <f>IF(G1435&lt;0,0,1.2)+IF(G1435&lt;14,0,0.9)+IF(P1435&lt;0,0.7,0)+IF(P1435&lt;6.5,1,0)+IF(P1435&lt;23,1,0)+IF(R1435&gt;80,0,1)+S1435+IF(AD1435&lt;20,0,1)+IF(AE1435&lt;14,0,1)+IF(AF1435&lt;26,0,1)</f>
        <v/>
      </c>
    </row>
    <row r="1436" ht="12.75" customHeight="1">
      <c r="AG1436" s="101">
        <f>IF(G1436&lt;0,0,1.2)+IF(G1436&lt;14,0,0.9)+IF(P1436&lt;0,0.7,0)+IF(P1436&lt;6.5,1,0)+IF(P1436&lt;23,1,0)+IF(R1436&gt;80,0,1)+S1436+IF(AD1436&lt;20,0,1)+IF(AE1436&lt;14,0,1)+IF(AF1436&lt;26,0,1)</f>
        <v/>
      </c>
    </row>
    <row r="1437" ht="12.75" customHeight="1">
      <c r="AG1437" s="101">
        <f>IF(G1437&lt;0,0,1.2)+IF(G1437&lt;14,0,0.9)+IF(P1437&lt;0,0.7,0)+IF(P1437&lt;6.5,1,0)+IF(P1437&lt;23,1,0)+IF(R1437&gt;80,0,1)+S1437+IF(AD1437&lt;20,0,1)+IF(AE1437&lt;14,0,1)+IF(AF1437&lt;26,0,1)</f>
        <v/>
      </c>
    </row>
    <row r="1438" ht="12.75" customHeight="1">
      <c r="AG1438" s="101">
        <f>IF(G1438&lt;0,0,1.2)+IF(G1438&lt;14,0,0.9)+IF(P1438&lt;0,0.7,0)+IF(P1438&lt;6.5,1,0)+IF(P1438&lt;23,1,0)+IF(R1438&gt;80,0,1)+S1438+IF(AD1438&lt;20,0,1)+IF(AE1438&lt;14,0,1)+IF(AF1438&lt;26,0,1)</f>
        <v/>
      </c>
    </row>
    <row r="1439" ht="12.75" customHeight="1">
      <c r="AG1439" s="101">
        <f>IF(G1439&lt;0,0,1.2)+IF(G1439&lt;14,0,0.9)+IF(P1439&lt;0,0.7,0)+IF(P1439&lt;6.5,1,0)+IF(P1439&lt;23,1,0)+IF(R1439&gt;80,0,1)+S1439+IF(AD1439&lt;20,0,1)+IF(AE1439&lt;14,0,1)+IF(AF1439&lt;26,0,1)</f>
        <v/>
      </c>
    </row>
    <row r="1440" ht="12.75" customHeight="1">
      <c r="AG1440" s="101">
        <f>IF(G1440&lt;0,0,1.2)+IF(G1440&lt;14,0,0.9)+IF(P1440&lt;0,0.7,0)+IF(P1440&lt;6.5,1,0)+IF(P1440&lt;23,1,0)+IF(R1440&gt;80,0,1)+S1440+IF(AD1440&lt;20,0,1)+IF(AE1440&lt;14,0,1)+IF(AF1440&lt;26,0,1)</f>
        <v/>
      </c>
    </row>
    <row r="1441" ht="12.75" customHeight="1">
      <c r="AG1441" s="101">
        <f>IF(G1441&lt;0,0,1.2)+IF(G1441&lt;14,0,0.9)+IF(P1441&lt;0,0.7,0)+IF(P1441&lt;6.5,1,0)+IF(P1441&lt;23,1,0)+IF(R1441&gt;80,0,1)+S1441+IF(AD1441&lt;20,0,1)+IF(AE1441&lt;14,0,1)+IF(AF1441&lt;26,0,1)</f>
        <v/>
      </c>
    </row>
    <row r="1442" ht="12.75" customHeight="1">
      <c r="AG1442" s="101">
        <f>IF(G1442&lt;0,0,1.2)+IF(G1442&lt;14,0,0.9)+IF(P1442&lt;0,0.7,0)+IF(P1442&lt;6.5,1,0)+IF(P1442&lt;23,1,0)+IF(R1442&gt;80,0,1)+S1442+IF(AD1442&lt;20,0,1)+IF(AE1442&lt;14,0,1)+IF(AF1442&lt;26,0,1)</f>
        <v/>
      </c>
    </row>
    <row r="1443" ht="12.75" customHeight="1">
      <c r="AG1443" s="101">
        <f>IF(G1443&lt;0,0,1.2)+IF(G1443&lt;14,0,0.9)+IF(P1443&lt;0,0.7,0)+IF(P1443&lt;6.5,1,0)+IF(P1443&lt;23,1,0)+IF(R1443&gt;80,0,1)+S1443+IF(AD1443&lt;20,0,1)+IF(AE1443&lt;14,0,1)+IF(AF1443&lt;26,0,1)</f>
        <v/>
      </c>
    </row>
    <row r="1444" ht="12.75" customHeight="1">
      <c r="AG1444" s="101">
        <f>IF(G1444&lt;0,0,1.2)+IF(G1444&lt;14,0,0.9)+IF(P1444&lt;0,0.7,0)+IF(P1444&lt;6.5,1,0)+IF(P1444&lt;23,1,0)+IF(R1444&gt;80,0,1)+S1444+IF(AD1444&lt;20,0,1)+IF(AE1444&lt;14,0,1)+IF(AF1444&lt;26,0,1)</f>
        <v/>
      </c>
    </row>
    <row r="1445" ht="12.75" customHeight="1">
      <c r="AG1445" s="101">
        <f>IF(G1445&lt;0,0,1.2)+IF(G1445&lt;14,0,0.9)+IF(P1445&lt;0,0.7,0)+IF(P1445&lt;6.5,1,0)+IF(P1445&lt;23,1,0)+IF(R1445&gt;80,0,1)+S1445+IF(AD1445&lt;20,0,1)+IF(AE1445&lt;14,0,1)+IF(AF1445&lt;26,0,1)</f>
        <v/>
      </c>
    </row>
    <row r="1446" ht="12.75" customHeight="1">
      <c r="AG1446" s="101">
        <f>IF(G1446&lt;0,0,1.2)+IF(G1446&lt;14,0,0.9)+IF(P1446&lt;0,0.7,0)+IF(P1446&lt;6.5,1,0)+IF(P1446&lt;23,1,0)+IF(R1446&gt;80,0,1)+S1446+IF(AD1446&lt;20,0,1)+IF(AE1446&lt;14,0,1)+IF(AF1446&lt;26,0,1)</f>
        <v/>
      </c>
    </row>
    <row r="1447" ht="12.75" customHeight="1">
      <c r="AG1447" s="101">
        <f>IF(G1447&lt;0,0,1.2)+IF(G1447&lt;14,0,0.9)+IF(P1447&lt;0,0.7,0)+IF(P1447&lt;6.5,1,0)+IF(P1447&lt;23,1,0)+IF(R1447&gt;80,0,1)+S1447+IF(AD1447&lt;20,0,1)+IF(AE1447&lt;14,0,1)+IF(AF1447&lt;26,0,1)</f>
        <v/>
      </c>
    </row>
    <row r="1448" ht="12.75" customHeight="1">
      <c r="AG1448" s="101">
        <f>IF(G1448&lt;0,0,1.2)+IF(G1448&lt;14,0,0.9)+IF(P1448&lt;0,0.7,0)+IF(P1448&lt;6.5,1,0)+IF(P1448&lt;23,1,0)+IF(R1448&gt;80,0,1)+S1448+IF(AD1448&lt;20,0,1)+IF(AE1448&lt;14,0,1)+IF(AF1448&lt;26,0,1)</f>
        <v/>
      </c>
    </row>
    <row r="1449" ht="12.75" customHeight="1">
      <c r="AG1449" s="101">
        <f>IF(G1449&lt;0,0,1.2)+IF(G1449&lt;14,0,0.9)+IF(P1449&lt;0,0.7,0)+IF(P1449&lt;6.5,1,0)+IF(P1449&lt;23,1,0)+IF(R1449&gt;80,0,1)+S1449+IF(AD1449&lt;20,0,1)+IF(AE1449&lt;14,0,1)+IF(AF1449&lt;26,0,1)</f>
        <v/>
      </c>
    </row>
    <row r="1450" ht="12.75" customHeight="1">
      <c r="AG1450" s="101">
        <f>IF(G1450&lt;0,0,1.2)+IF(G1450&lt;14,0,0.9)+IF(P1450&lt;0,0.7,0)+IF(P1450&lt;6.5,1,0)+IF(P1450&lt;23,1,0)+IF(R1450&gt;80,0,1)+S1450+IF(AD1450&lt;20,0,1)+IF(AE1450&lt;14,0,1)+IF(AF1450&lt;26,0,1)</f>
        <v/>
      </c>
    </row>
    <row r="1451" ht="12.75" customHeight="1">
      <c r="AG1451" s="101">
        <f>IF(G1451&lt;0,0,1.2)+IF(G1451&lt;14,0,0.9)+IF(P1451&lt;0,0.7,0)+IF(P1451&lt;6.5,1,0)+IF(P1451&lt;23,1,0)+IF(R1451&gt;80,0,1)+S1451+IF(AD1451&lt;20,0,1)+IF(AE1451&lt;14,0,1)+IF(AF1451&lt;26,0,1)</f>
        <v/>
      </c>
    </row>
    <row r="1452" ht="12.75" customHeight="1">
      <c r="AG1452" s="101">
        <f>IF(G1452&lt;0,0,1.2)+IF(G1452&lt;14,0,0.9)+IF(P1452&lt;0,0.7,0)+IF(P1452&lt;6.5,1,0)+IF(P1452&lt;23,1,0)+IF(R1452&gt;80,0,1)+S1452+IF(AD1452&lt;20,0,1)+IF(AE1452&lt;14,0,1)+IF(AF1452&lt;26,0,1)</f>
        <v/>
      </c>
    </row>
    <row r="1453" ht="12.75" customHeight="1">
      <c r="AG1453" s="101">
        <f>IF(G1453&lt;0,0,1.2)+IF(G1453&lt;14,0,0.9)+IF(P1453&lt;0,0.7,0)+IF(P1453&lt;6.5,1,0)+IF(P1453&lt;23,1,0)+IF(R1453&gt;80,0,1)+S1453+IF(AD1453&lt;20,0,1)+IF(AE1453&lt;14,0,1)+IF(AF1453&lt;26,0,1)</f>
        <v/>
      </c>
    </row>
    <row r="1454" ht="12.75" customHeight="1">
      <c r="AG1454" s="101">
        <f>IF(G1454&lt;0,0,1.2)+IF(G1454&lt;14,0,0.9)+IF(P1454&lt;0,0.7,0)+IF(P1454&lt;6.5,1,0)+IF(P1454&lt;23,1,0)+IF(R1454&gt;80,0,1)+S1454+IF(AD1454&lt;20,0,1)+IF(AE1454&lt;14,0,1)+IF(AF1454&lt;26,0,1)</f>
        <v/>
      </c>
    </row>
    <row r="1455" ht="12.75" customHeight="1">
      <c r="AG1455" s="101">
        <f>IF(G1455&lt;0,0,1.2)+IF(G1455&lt;14,0,0.9)+IF(P1455&lt;0,0.7,0)+IF(P1455&lt;6.5,1,0)+IF(P1455&lt;23,1,0)+IF(R1455&gt;80,0,1)+S1455+IF(AD1455&lt;20,0,1)+IF(AE1455&lt;14,0,1)+IF(AF1455&lt;26,0,1)</f>
        <v/>
      </c>
    </row>
    <row r="1456" ht="12.75" customHeight="1">
      <c r="AG1456" s="101">
        <f>IF(G1456&lt;0,0,1.2)+IF(G1456&lt;14,0,0.9)+IF(P1456&lt;0,0.7,0)+IF(P1456&lt;6.5,1,0)+IF(P1456&lt;23,1,0)+IF(R1456&gt;80,0,1)+S1456+IF(AD1456&lt;20,0,1)+IF(AE1456&lt;14,0,1)+IF(AF1456&lt;26,0,1)</f>
        <v/>
      </c>
    </row>
    <row r="1457" ht="12.75" customHeight="1">
      <c r="AG1457" s="101">
        <f>IF(G1457&lt;0,0,1.2)+IF(G1457&lt;14,0,0.9)+IF(P1457&lt;0,0.7,0)+IF(P1457&lt;6.5,1,0)+IF(P1457&lt;23,1,0)+IF(R1457&gt;80,0,1)+S1457+IF(AD1457&lt;20,0,1)+IF(AE1457&lt;14,0,1)+IF(AF1457&lt;26,0,1)</f>
        <v/>
      </c>
    </row>
    <row r="1458" ht="12.75" customHeight="1">
      <c r="AG1458" s="101">
        <f>IF(G1458&lt;0,0,1.2)+IF(G1458&lt;14,0,0.9)+IF(P1458&lt;0,0.7,0)+IF(P1458&lt;6.5,1,0)+IF(P1458&lt;23,1,0)+IF(R1458&gt;80,0,1)+S1458+IF(AD1458&lt;20,0,1)+IF(AE1458&lt;14,0,1)+IF(AF1458&lt;26,0,1)</f>
        <v/>
      </c>
    </row>
    <row r="1459" ht="12.75" customHeight="1">
      <c r="AG1459" s="101">
        <f>IF(G1459&lt;0,0,1.2)+IF(G1459&lt;14,0,0.9)+IF(P1459&lt;0,0.7,0)+IF(P1459&lt;6.5,1,0)+IF(P1459&lt;23,1,0)+IF(R1459&gt;80,0,1)+S1459+IF(AD1459&lt;20,0,1)+IF(AE1459&lt;14,0,1)+IF(AF1459&lt;26,0,1)</f>
        <v/>
      </c>
    </row>
    <row r="1460" ht="12.75" customHeight="1">
      <c r="AG1460" s="101">
        <f>IF(G1460&lt;0,0,1.2)+IF(G1460&lt;14,0,0.9)+IF(P1460&lt;0,0.7,0)+IF(P1460&lt;6.5,1,0)+IF(P1460&lt;23,1,0)+IF(R1460&gt;80,0,1)+S1460+IF(AD1460&lt;20,0,1)+IF(AE1460&lt;14,0,1)+IF(AF1460&lt;26,0,1)</f>
        <v/>
      </c>
    </row>
    <row r="1461" ht="12.75" customHeight="1">
      <c r="AG1461" s="101">
        <f>IF(G1461&lt;0,0,1.2)+IF(G1461&lt;14,0,0.9)+IF(P1461&lt;0,0.7,0)+IF(P1461&lt;6.5,1,0)+IF(P1461&lt;23,1,0)+IF(R1461&gt;80,0,1)+S1461+IF(AD1461&lt;20,0,1)+IF(AE1461&lt;14,0,1)+IF(AF1461&lt;26,0,1)</f>
        <v/>
      </c>
    </row>
    <row r="1462" ht="12.75" customHeight="1">
      <c r="AG1462" s="101">
        <f>IF(G1462&lt;0,0,1.2)+IF(G1462&lt;14,0,0.9)+IF(P1462&lt;0,0.7,0)+IF(P1462&lt;6.5,1,0)+IF(P1462&lt;23,1,0)+IF(R1462&gt;80,0,1)+S1462+IF(AD1462&lt;20,0,1)+IF(AE1462&lt;14,0,1)+IF(AF1462&lt;26,0,1)</f>
        <v/>
      </c>
    </row>
    <row r="1463" ht="12.75" customHeight="1">
      <c r="AG1463" s="101">
        <f>IF(G1463&lt;0,0,1.2)+IF(G1463&lt;14,0,0.9)+IF(P1463&lt;0,0.7,0)+IF(P1463&lt;6.5,1,0)+IF(P1463&lt;23,1,0)+IF(R1463&gt;80,0,1)+S1463+IF(AD1463&lt;20,0,1)+IF(AE1463&lt;14,0,1)+IF(AF1463&lt;26,0,1)</f>
        <v/>
      </c>
    </row>
    <row r="1464" ht="12.75" customHeight="1">
      <c r="AG1464" s="101">
        <f>IF(G1464&lt;0,0,1.2)+IF(G1464&lt;14,0,0.9)+IF(P1464&lt;0,0.7,0)+IF(P1464&lt;6.5,1,0)+IF(P1464&lt;23,1,0)+IF(R1464&gt;80,0,1)+S1464+IF(AD1464&lt;20,0,1)+IF(AE1464&lt;14,0,1)+IF(AF1464&lt;26,0,1)</f>
        <v/>
      </c>
    </row>
    <row r="1465" ht="12.75" customHeight="1">
      <c r="AG1465" s="101">
        <f>IF(G1465&lt;0,0,1.2)+IF(G1465&lt;14,0,0.9)+IF(P1465&lt;0,0.7,0)+IF(P1465&lt;6.5,1,0)+IF(P1465&lt;23,1,0)+IF(R1465&gt;80,0,1)+S1465+IF(AD1465&lt;20,0,1)+IF(AE1465&lt;14,0,1)+IF(AF1465&lt;26,0,1)</f>
        <v/>
      </c>
    </row>
    <row r="1466" ht="12.75" customHeight="1">
      <c r="AG1466" s="101">
        <f>IF(G1466&lt;0,0,1.2)+IF(G1466&lt;14,0,0.9)+IF(P1466&lt;0,0.7,0)+IF(P1466&lt;6.5,1,0)+IF(P1466&lt;23,1,0)+IF(R1466&gt;80,0,1)+S1466+IF(AD1466&lt;20,0,1)+IF(AE1466&lt;14,0,1)+IF(AF1466&lt;26,0,1)</f>
        <v/>
      </c>
    </row>
    <row r="1467" ht="12.75" customHeight="1">
      <c r="AG1467" s="101">
        <f>IF(G1467&lt;0,0,1.2)+IF(G1467&lt;14,0,0.9)+IF(P1467&lt;0,0.7,0)+IF(P1467&lt;6.5,1,0)+IF(P1467&lt;23,1,0)+IF(R1467&gt;80,0,1)+S1467+IF(AD1467&lt;20,0,1)+IF(AE1467&lt;14,0,1)+IF(AF1467&lt;26,0,1)</f>
        <v/>
      </c>
    </row>
    <row r="1468" ht="12.75" customHeight="1">
      <c r="AG1468" s="101">
        <f>IF(G1468&lt;0,0,1.2)+IF(G1468&lt;14,0,0.9)+IF(P1468&lt;0,0.7,0)+IF(P1468&lt;6.5,1,0)+IF(P1468&lt;23,1,0)+IF(R1468&gt;80,0,1)+S1468+IF(AD1468&lt;20,0,1)+IF(AE1468&lt;14,0,1)+IF(AF1468&lt;26,0,1)</f>
        <v/>
      </c>
    </row>
    <row r="1469" ht="12.75" customHeight="1">
      <c r="AG1469" s="101">
        <f>IF(G1469&lt;0,0,1.2)+IF(G1469&lt;14,0,0.9)+IF(P1469&lt;0,0.7,0)+IF(P1469&lt;6.5,1,0)+IF(P1469&lt;23,1,0)+IF(R1469&gt;80,0,1)+S1469+IF(AD1469&lt;20,0,1)+IF(AE1469&lt;14,0,1)+IF(AF1469&lt;26,0,1)</f>
        <v/>
      </c>
    </row>
    <row r="1470" ht="12.75" customHeight="1">
      <c r="AG1470" s="101">
        <f>IF(G1470&lt;0,0,1.2)+IF(G1470&lt;14,0,0.9)+IF(P1470&lt;0,0.7,0)+IF(P1470&lt;6.5,1,0)+IF(P1470&lt;23,1,0)+IF(R1470&gt;80,0,1)+S1470+IF(AD1470&lt;20,0,1)+IF(AE1470&lt;14,0,1)+IF(AF1470&lt;26,0,1)</f>
        <v/>
      </c>
    </row>
    <row r="1471" ht="12.75" customHeight="1">
      <c r="AG1471" s="101">
        <f>IF(G1471&lt;0,0,1.2)+IF(G1471&lt;14,0,0.9)+IF(P1471&lt;0,0.7,0)+IF(P1471&lt;6.5,1,0)+IF(P1471&lt;23,1,0)+IF(R1471&gt;80,0,1)+S1471+IF(AD1471&lt;20,0,1)+IF(AE1471&lt;14,0,1)+IF(AF1471&lt;26,0,1)</f>
        <v/>
      </c>
    </row>
    <row r="1472" ht="12.75" customHeight="1">
      <c r="AG1472" s="101">
        <f>IF(G1472&lt;0,0,1.2)+IF(G1472&lt;14,0,0.9)+IF(P1472&lt;0,0.7,0)+IF(P1472&lt;6.5,1,0)+IF(P1472&lt;23,1,0)+IF(R1472&gt;80,0,1)+S1472+IF(AD1472&lt;20,0,1)+IF(AE1472&lt;14,0,1)+IF(AF1472&lt;26,0,1)</f>
        <v/>
      </c>
    </row>
    <row r="1473" ht="12.75" customHeight="1">
      <c r="AG1473" s="101">
        <f>IF(G1473&lt;0,0,1.2)+IF(G1473&lt;14,0,0.9)+IF(P1473&lt;0,0.7,0)+IF(P1473&lt;6.5,1,0)+IF(P1473&lt;23,1,0)+IF(R1473&gt;80,0,1)+S1473+IF(AD1473&lt;20,0,1)+IF(AE1473&lt;14,0,1)+IF(AF1473&lt;26,0,1)</f>
        <v/>
      </c>
    </row>
    <row r="1474" ht="12.75" customHeight="1">
      <c r="AG1474" s="101">
        <f>IF(G1474&lt;0,0,1.2)+IF(G1474&lt;14,0,0.9)+IF(P1474&lt;0,0.7,0)+IF(P1474&lt;6.5,1,0)+IF(P1474&lt;23,1,0)+IF(R1474&gt;80,0,1)+S1474+IF(AD1474&lt;20,0,1)+IF(AE1474&lt;14,0,1)+IF(AF1474&lt;26,0,1)</f>
        <v/>
      </c>
    </row>
    <row r="1475" ht="12.75" customHeight="1">
      <c r="AG1475" s="101">
        <f>IF(G1475&lt;0,0,1.2)+IF(G1475&lt;14,0,0.9)+IF(P1475&lt;0,0.7,0)+IF(P1475&lt;6.5,1,0)+IF(P1475&lt;23,1,0)+IF(R1475&gt;80,0,1)+S1475+IF(AD1475&lt;20,0,1)+IF(AE1475&lt;14,0,1)+IF(AF1475&lt;26,0,1)</f>
        <v/>
      </c>
    </row>
    <row r="1476" ht="12.75" customHeight="1">
      <c r="AG1476" s="101">
        <f>IF(G1476&lt;0,0,1.2)+IF(G1476&lt;14,0,0.9)+IF(P1476&lt;0,0.7,0)+IF(P1476&lt;6.5,1,0)+IF(P1476&lt;23,1,0)+IF(R1476&gt;80,0,1)+S1476+IF(AD1476&lt;20,0,1)+IF(AE1476&lt;14,0,1)+IF(AF1476&lt;26,0,1)</f>
        <v/>
      </c>
    </row>
    <row r="1477" ht="12.75" customHeight="1">
      <c r="AG1477" s="101">
        <f>IF(G1477&lt;0,0,1.2)+IF(G1477&lt;14,0,0.9)+IF(P1477&lt;0,0.7,0)+IF(P1477&lt;6.5,1,0)+IF(P1477&lt;23,1,0)+IF(R1477&gt;80,0,1)+S1477+IF(AD1477&lt;20,0,1)+IF(AE1477&lt;14,0,1)+IF(AF1477&lt;26,0,1)</f>
        <v/>
      </c>
    </row>
    <row r="1478" ht="12.75" customHeight="1">
      <c r="AG1478" s="101">
        <f>IF(G1478&lt;0,0,1.2)+IF(G1478&lt;14,0,0.9)+IF(P1478&lt;0,0.7,0)+IF(P1478&lt;6.5,1,0)+IF(P1478&lt;23,1,0)+IF(R1478&gt;80,0,1)+S1478+IF(AD1478&lt;20,0,1)+IF(AE1478&lt;14,0,1)+IF(AF1478&lt;26,0,1)</f>
        <v/>
      </c>
    </row>
    <row r="1479" ht="12.75" customHeight="1">
      <c r="AG1479" s="101">
        <f>IF(G1479&lt;0,0,1.2)+IF(G1479&lt;14,0,0.9)+IF(P1479&lt;0,0.7,0)+IF(P1479&lt;6.5,1,0)+IF(P1479&lt;23,1,0)+IF(R1479&gt;80,0,1)+S1479+IF(AD1479&lt;20,0,1)+IF(AE1479&lt;14,0,1)+IF(AF1479&lt;26,0,1)</f>
        <v/>
      </c>
    </row>
    <row r="1480" ht="12.75" customHeight="1">
      <c r="AG1480" s="101">
        <f>IF(G1480&lt;0,0,1.2)+IF(G1480&lt;14,0,0.9)+IF(P1480&lt;0,0.7,0)+IF(P1480&lt;6.5,1,0)+IF(P1480&lt;23,1,0)+IF(R1480&gt;80,0,1)+S1480+IF(AD1480&lt;20,0,1)+IF(AE1480&lt;14,0,1)+IF(AF1480&lt;26,0,1)</f>
        <v/>
      </c>
    </row>
    <row r="1481" ht="12.75" customHeight="1">
      <c r="AG1481" s="101">
        <f>IF(G1481&lt;0,0,1.2)+IF(G1481&lt;14,0,0.9)+IF(P1481&lt;0,0.7,0)+IF(P1481&lt;6.5,1,0)+IF(P1481&lt;23,1,0)+IF(R1481&gt;80,0,1)+S1481+IF(AD1481&lt;20,0,1)+IF(AE1481&lt;14,0,1)+IF(AF1481&lt;26,0,1)</f>
        <v/>
      </c>
    </row>
    <row r="1482" ht="12.75" customHeight="1">
      <c r="AG1482" s="101">
        <f>IF(G1482&lt;0,0,1.2)+IF(G1482&lt;14,0,0.9)+IF(P1482&lt;0,0.7,0)+IF(P1482&lt;6.5,1,0)+IF(P1482&lt;23,1,0)+IF(R1482&gt;80,0,1)+S1482+IF(AD1482&lt;20,0,1)+IF(AE1482&lt;14,0,1)+IF(AF1482&lt;26,0,1)</f>
        <v/>
      </c>
    </row>
    <row r="1483" ht="12.75" customHeight="1">
      <c r="AG1483" s="101">
        <f>IF(G1483&lt;0,0,1.2)+IF(G1483&lt;14,0,0.9)+IF(P1483&lt;0,0.7,0)+IF(P1483&lt;6.5,1,0)+IF(P1483&lt;23,1,0)+IF(R1483&gt;80,0,1)+S1483+IF(AD1483&lt;20,0,1)+IF(AE1483&lt;14,0,1)+IF(AF1483&lt;26,0,1)</f>
        <v/>
      </c>
    </row>
    <row r="1484" ht="12.75" customHeight="1">
      <c r="AG1484" s="101">
        <f>IF(G1484&lt;0,0,1.2)+IF(G1484&lt;14,0,0.9)+IF(P1484&lt;0,0.7,0)+IF(P1484&lt;6.5,1,0)+IF(P1484&lt;23,1,0)+IF(R1484&gt;80,0,1)+S1484+IF(AD1484&lt;20,0,1)+IF(AE1484&lt;14,0,1)+IF(AF1484&lt;26,0,1)</f>
        <v/>
      </c>
    </row>
    <row r="1485" ht="12.75" customHeight="1">
      <c r="AG1485" s="101">
        <f>IF(G1485&lt;0,0,1.2)+IF(G1485&lt;14,0,0.9)+IF(P1485&lt;0,0.7,0)+IF(P1485&lt;6.5,1,0)+IF(P1485&lt;23,1,0)+IF(R1485&gt;80,0,1)+S1485+IF(AD1485&lt;20,0,1)+IF(AE1485&lt;14,0,1)+IF(AF1485&lt;26,0,1)</f>
        <v/>
      </c>
    </row>
    <row r="1486" ht="12.75" customHeight="1">
      <c r="AG1486" s="101">
        <f>IF(G1486&lt;0,0,1.2)+IF(G1486&lt;14,0,0.9)+IF(P1486&lt;0,0.7,0)+IF(P1486&lt;6.5,1,0)+IF(P1486&lt;23,1,0)+IF(R1486&gt;80,0,1)+S1486+IF(AD1486&lt;20,0,1)+IF(AE1486&lt;14,0,1)+IF(AF1486&lt;26,0,1)</f>
        <v/>
      </c>
    </row>
    <row r="1487" ht="12.75" customHeight="1">
      <c r="AG1487" s="101">
        <f>IF(G1487&lt;0,0,1.2)+IF(G1487&lt;14,0,0.9)+IF(P1487&lt;0,0.7,0)+IF(P1487&lt;6.5,1,0)+IF(P1487&lt;23,1,0)+IF(R1487&gt;80,0,1)+S1487+IF(AD1487&lt;20,0,1)+IF(AE1487&lt;14,0,1)+IF(AF1487&lt;26,0,1)</f>
        <v/>
      </c>
    </row>
    <row r="1488" ht="12.75" customHeight="1">
      <c r="AG1488" s="101">
        <f>IF(G1488&lt;0,0,1.2)+IF(G1488&lt;14,0,0.9)+IF(P1488&lt;0,0.7,0)+IF(P1488&lt;6.5,1,0)+IF(P1488&lt;23,1,0)+IF(R1488&gt;80,0,1)+S1488+IF(AD1488&lt;20,0,1)+IF(AE1488&lt;14,0,1)+IF(AF1488&lt;26,0,1)</f>
        <v/>
      </c>
    </row>
    <row r="1489" ht="12.75" customHeight="1">
      <c r="AG1489" s="101">
        <f>IF(G1489&lt;0,0,1.2)+IF(G1489&lt;14,0,0.9)+IF(P1489&lt;0,0.7,0)+IF(P1489&lt;6.5,1,0)+IF(P1489&lt;23,1,0)+IF(R1489&gt;80,0,1)+S1489+IF(AD1489&lt;20,0,1)+IF(AE1489&lt;14,0,1)+IF(AF1489&lt;26,0,1)</f>
        <v/>
      </c>
    </row>
    <row r="1490" ht="12.75" customHeight="1">
      <c r="AG1490" s="101">
        <f>IF(G1490&lt;0,0,1.2)+IF(G1490&lt;14,0,0.9)+IF(P1490&lt;0,0.7,0)+IF(P1490&lt;6.5,1,0)+IF(P1490&lt;23,1,0)+IF(R1490&gt;80,0,1)+S1490+IF(AD1490&lt;20,0,1)+IF(AE1490&lt;14,0,1)+IF(AF1490&lt;26,0,1)</f>
        <v/>
      </c>
    </row>
    <row r="1491" ht="12.75" customHeight="1">
      <c r="AG1491" s="101">
        <f>IF(G1491&lt;0,0,1.2)+IF(G1491&lt;14,0,0.9)+IF(P1491&lt;0,0.7,0)+IF(P1491&lt;6.5,1,0)+IF(P1491&lt;23,1,0)+IF(R1491&gt;80,0,1)+S1491+IF(AD1491&lt;20,0,1)+IF(AE1491&lt;14,0,1)+IF(AF1491&lt;26,0,1)</f>
        <v/>
      </c>
    </row>
    <row r="1492" ht="12.75" customHeight="1">
      <c r="AG1492" s="101">
        <f>IF(G1492&lt;0,0,1.2)+IF(G1492&lt;14,0,0.9)+IF(P1492&lt;0,0.7,0)+IF(P1492&lt;6.5,1,0)+IF(P1492&lt;23,1,0)+IF(R1492&gt;80,0,1)+S1492+IF(AD1492&lt;20,0,1)+IF(AE1492&lt;14,0,1)+IF(AF1492&lt;26,0,1)</f>
        <v/>
      </c>
    </row>
    <row r="1493" ht="12.75" customHeight="1">
      <c r="AG1493" s="101">
        <f>IF(G1493&lt;0,0,1.2)+IF(G1493&lt;14,0,0.9)+IF(P1493&lt;0,0.7,0)+IF(P1493&lt;6.5,1,0)+IF(P1493&lt;23,1,0)+IF(R1493&gt;80,0,1)+S1493+IF(AD1493&lt;20,0,1)+IF(AE1493&lt;14,0,1)+IF(AF1493&lt;26,0,1)</f>
        <v/>
      </c>
    </row>
    <row r="1494" ht="12.75" customHeight="1">
      <c r="AG1494" s="101">
        <f>IF(G1494&lt;0,0,1.2)+IF(G1494&lt;14,0,0.9)+IF(P1494&lt;0,0.7,0)+IF(P1494&lt;6.5,1,0)+IF(P1494&lt;23,1,0)+IF(R1494&gt;80,0,1)+S1494+IF(AD1494&lt;20,0,1)+IF(AE1494&lt;14,0,1)+IF(AF1494&lt;26,0,1)</f>
        <v/>
      </c>
    </row>
    <row r="1495" ht="12.75" customHeight="1">
      <c r="AG1495" s="101">
        <f>IF(G1495&lt;0,0,1.2)+IF(G1495&lt;14,0,0.9)+IF(P1495&lt;0,0.7,0)+IF(P1495&lt;6.5,1,0)+IF(P1495&lt;23,1,0)+IF(R1495&gt;80,0,1)+S1495+IF(AD1495&lt;20,0,1)+IF(AE1495&lt;14,0,1)+IF(AF1495&lt;26,0,1)</f>
        <v/>
      </c>
    </row>
    <row r="1496" ht="12.75" customHeight="1">
      <c r="AG1496" s="101">
        <f>IF(G1496&lt;0,0,1.2)+IF(G1496&lt;14,0,0.9)+IF(P1496&lt;0,0.7,0)+IF(P1496&lt;6.5,1,0)+IF(P1496&lt;23,1,0)+IF(R1496&gt;80,0,1)+S1496+IF(AD1496&lt;20,0,1)+IF(AE1496&lt;14,0,1)+IF(AF1496&lt;26,0,1)</f>
        <v/>
      </c>
    </row>
    <row r="1497" ht="12.75" customHeight="1">
      <c r="AG1497" s="101">
        <f>IF(G1497&lt;0,0,1.2)+IF(G1497&lt;14,0,0.9)+IF(P1497&lt;0,0.7,0)+IF(P1497&lt;6.5,1,0)+IF(P1497&lt;23,1,0)+IF(R1497&gt;80,0,1)+S1497+IF(AD1497&lt;20,0,1)+IF(AE1497&lt;14,0,1)+IF(AF1497&lt;26,0,1)</f>
        <v/>
      </c>
    </row>
    <row r="1498" ht="12.75" customHeight="1">
      <c r="AG1498" s="101">
        <f>IF(G1498&lt;0,0,1.2)+IF(G1498&lt;14,0,0.9)+IF(P1498&lt;0,0.7,0)+IF(P1498&lt;6.5,1,0)+IF(P1498&lt;23,1,0)+IF(R1498&gt;80,0,1)+S1498+IF(AD1498&lt;20,0,1)+IF(AE1498&lt;14,0,1)+IF(AF1498&lt;26,0,1)</f>
        <v/>
      </c>
    </row>
    <row r="1499" ht="12.75" customHeight="1">
      <c r="AG1499" s="101">
        <f>IF(G1499&lt;0,0,1.2)+IF(G1499&lt;14,0,0.9)+IF(P1499&lt;0,0.7,0)+IF(P1499&lt;6.5,1,0)+IF(P1499&lt;23,1,0)+IF(R1499&gt;80,0,1)+S1499+IF(AD1499&lt;20,0,1)+IF(AE1499&lt;14,0,1)+IF(AF1499&lt;26,0,1)</f>
        <v/>
      </c>
    </row>
    <row r="1500" ht="12.75" customHeight="1">
      <c r="AG1500" s="101">
        <f>IF(G1500&lt;0,0,1.2)+IF(G1500&lt;14,0,0.9)+IF(P1500&lt;0,0.7,0)+IF(P1500&lt;6.5,1,0)+IF(P1500&lt;23,1,0)+IF(R1500&gt;80,0,1)+S1500+IF(AD1500&lt;20,0,1)+IF(AE1500&lt;14,0,1)+IF(AF1500&lt;26,0,1)</f>
        <v/>
      </c>
    </row>
    <row r="1501" ht="12.75" customHeight="1">
      <c r="AG1501" s="101">
        <f>IF(G1501&lt;0,0,1.2)+IF(G1501&lt;14,0,0.9)+IF(P1501&lt;0,0.7,0)+IF(P1501&lt;6.5,1,0)+IF(P1501&lt;23,1,0)+IF(R1501&gt;80,0,1)+S1501+IF(AD1501&lt;20,0,1)+IF(AE1501&lt;14,0,1)+IF(AF1501&lt;26,0,1)</f>
        <v/>
      </c>
    </row>
    <row r="1502" ht="12.75" customHeight="1">
      <c r="AG1502" s="101">
        <f>IF(G1502&lt;0,0,1.2)+IF(G1502&lt;14,0,0.9)+IF(P1502&lt;0,0.7,0)+IF(P1502&lt;6.5,1,0)+IF(P1502&lt;23,1,0)+IF(R1502&gt;80,0,1)+S1502+IF(AD1502&lt;20,0,1)+IF(AE1502&lt;14,0,1)+IF(AF1502&lt;26,0,1)</f>
        <v/>
      </c>
    </row>
    <row r="1503" ht="12.75" customHeight="1">
      <c r="AG1503" s="101">
        <f>IF(G1503&lt;0,0,1.2)+IF(G1503&lt;14,0,0.9)+IF(P1503&lt;0,0.7,0)+IF(P1503&lt;6.5,1,0)+IF(P1503&lt;23,1,0)+IF(R1503&gt;80,0,1)+S1503+IF(AD1503&lt;20,0,1)+IF(AE1503&lt;14,0,1)+IF(AF1503&lt;26,0,1)</f>
        <v/>
      </c>
    </row>
    <row r="1504" ht="12.75" customHeight="1">
      <c r="AG1504" s="101">
        <f>IF(G1504&lt;0,0,1.2)+IF(G1504&lt;14,0,0.9)+IF(P1504&lt;0,0.7,0)+IF(P1504&lt;6.5,1,0)+IF(P1504&lt;23,1,0)+IF(R1504&gt;80,0,1)+S1504+IF(AD1504&lt;20,0,1)+IF(AE1504&lt;14,0,1)+IF(AF1504&lt;26,0,1)</f>
        <v/>
      </c>
    </row>
    <row r="1505" ht="12.75" customHeight="1">
      <c r="AG1505" s="101">
        <f>IF(G1505&lt;0,0,1.2)+IF(G1505&lt;14,0,0.9)+IF(P1505&lt;0,0.7,0)+IF(P1505&lt;6.5,1,0)+IF(P1505&lt;23,1,0)+IF(R1505&gt;80,0,1)+S1505+IF(AD1505&lt;20,0,1)+IF(AE1505&lt;14,0,1)+IF(AF1505&lt;26,0,1)</f>
        <v/>
      </c>
    </row>
    <row r="1506" ht="12.75" customHeight="1">
      <c r="AG1506" s="101">
        <f>IF(G1506&lt;0,0,1.2)+IF(G1506&lt;14,0,0.9)+IF(P1506&lt;0,0.7,0)+IF(P1506&lt;6.5,1,0)+IF(P1506&lt;23,1,0)+IF(R1506&gt;80,0,1)+S1506+IF(AD1506&lt;20,0,1)+IF(AE1506&lt;14,0,1)+IF(AF1506&lt;26,0,1)</f>
        <v/>
      </c>
    </row>
    <row r="1507" ht="12.75" customHeight="1">
      <c r="AG1507" s="101">
        <f>IF(G1507&lt;0,0,1.2)+IF(G1507&lt;14,0,0.9)+IF(P1507&lt;0,0.7,0)+IF(P1507&lt;6.5,1,0)+IF(P1507&lt;23,1,0)+IF(R1507&gt;80,0,1)+S1507+IF(AD1507&lt;20,0,1)+IF(AE1507&lt;14,0,1)+IF(AF1507&lt;26,0,1)</f>
        <v/>
      </c>
    </row>
    <row r="1508" ht="12.75" customHeight="1">
      <c r="AG1508" s="101">
        <f>IF(G1508&lt;0,0,1.2)+IF(G1508&lt;14,0,0.9)+IF(P1508&lt;0,0.7,0)+IF(P1508&lt;6.5,1,0)+IF(P1508&lt;23,1,0)+IF(R1508&gt;80,0,1)+S1508+IF(AD1508&lt;20,0,1)+IF(AE1508&lt;14,0,1)+IF(AF1508&lt;26,0,1)</f>
        <v/>
      </c>
    </row>
    <row r="1509" ht="12.75" customHeight="1">
      <c r="AG1509" s="101">
        <f>IF(G1509&lt;0,0,1.2)+IF(G1509&lt;14,0,0.9)+IF(P1509&lt;0,0.7,0)+IF(P1509&lt;6.5,1,0)+IF(P1509&lt;23,1,0)+IF(R1509&gt;80,0,1)+S1509+IF(AD1509&lt;20,0,1)+IF(AE1509&lt;14,0,1)+IF(AF1509&lt;26,0,1)</f>
        <v/>
      </c>
    </row>
    <row r="1510" ht="12.75" customHeight="1">
      <c r="AG1510" s="101">
        <f>IF(G1510&lt;0,0,1.2)+IF(G1510&lt;14,0,0.9)+IF(P1510&lt;0,0.7,0)+IF(P1510&lt;6.5,1,0)+IF(P1510&lt;23,1,0)+IF(R1510&gt;80,0,1)+S1510+IF(AD1510&lt;20,0,1)+IF(AE1510&lt;14,0,1)+IF(AF1510&lt;26,0,1)</f>
        <v/>
      </c>
    </row>
    <row r="1511" ht="12.75" customHeight="1">
      <c r="AG1511" s="101">
        <f>IF(G1511&lt;0,0,1.2)+IF(G1511&lt;14,0,0.9)+IF(P1511&lt;0,0.7,0)+IF(P1511&lt;6.5,1,0)+IF(P1511&lt;23,1,0)+IF(R1511&gt;80,0,1)+S1511+IF(AD1511&lt;20,0,1)+IF(AE1511&lt;14,0,1)+IF(AF1511&lt;26,0,1)</f>
        <v/>
      </c>
    </row>
    <row r="1512" ht="12.75" customHeight="1">
      <c r="AG1512" s="101">
        <f>IF(G1512&lt;0,0,1.2)+IF(G1512&lt;14,0,0.9)+IF(P1512&lt;0,0.7,0)+IF(P1512&lt;6.5,1,0)+IF(P1512&lt;23,1,0)+IF(R1512&gt;80,0,1)+S1512+IF(AD1512&lt;20,0,1)+IF(AE1512&lt;14,0,1)+IF(AF1512&lt;26,0,1)</f>
        <v/>
      </c>
    </row>
    <row r="1513" ht="12.75" customHeight="1">
      <c r="AG1513" s="101">
        <f>IF(G1513&lt;0,0,1.2)+IF(G1513&lt;14,0,0.9)+IF(P1513&lt;0,0.7,0)+IF(P1513&lt;6.5,1,0)+IF(P1513&lt;23,1,0)+IF(R1513&gt;80,0,1)+S1513+IF(AD1513&lt;20,0,1)+IF(AE1513&lt;14,0,1)+IF(AF1513&lt;26,0,1)</f>
        <v/>
      </c>
    </row>
    <row r="1514" ht="12.75" customHeight="1">
      <c r="AG1514" s="101">
        <f>IF(G1514&lt;0,0,1.2)+IF(G1514&lt;14,0,0.9)+IF(P1514&lt;0,0.7,0)+IF(P1514&lt;6.5,1,0)+IF(P1514&lt;23,1,0)+IF(R1514&gt;80,0,1)+S1514+IF(AD1514&lt;20,0,1)+IF(AE1514&lt;14,0,1)+IF(AF1514&lt;26,0,1)</f>
        <v/>
      </c>
    </row>
    <row r="1515" ht="12.75" customHeight="1">
      <c r="AG1515" s="101">
        <f>IF(G1515&lt;0,0,1.2)+IF(G1515&lt;14,0,0.9)+IF(P1515&lt;0,0.7,0)+IF(P1515&lt;6.5,1,0)+IF(P1515&lt;23,1,0)+IF(R1515&gt;80,0,1)+S1515+IF(AD1515&lt;20,0,1)+IF(AE1515&lt;14,0,1)+IF(AF1515&lt;26,0,1)</f>
        <v/>
      </c>
    </row>
    <row r="1516" ht="12.75" customHeight="1">
      <c r="AG1516" s="101">
        <f>IF(G1516&lt;0,0,1.2)+IF(G1516&lt;14,0,0.9)+IF(P1516&lt;0,0.7,0)+IF(P1516&lt;6.5,1,0)+IF(P1516&lt;23,1,0)+IF(R1516&gt;80,0,1)+S1516+IF(AD1516&lt;20,0,1)+IF(AE1516&lt;14,0,1)+IF(AF1516&lt;26,0,1)</f>
        <v/>
      </c>
    </row>
    <row r="1517" ht="12.75" customHeight="1">
      <c r="AG1517" s="101">
        <f>IF(G1517&lt;0,0,1.2)+IF(G1517&lt;14,0,0.9)+IF(P1517&lt;0,0.7,0)+IF(P1517&lt;6.5,1,0)+IF(P1517&lt;23,1,0)+IF(R1517&gt;80,0,1)+S1517+IF(AD1517&lt;20,0,1)+IF(AE1517&lt;14,0,1)+IF(AF1517&lt;26,0,1)</f>
        <v/>
      </c>
    </row>
    <row r="1518" ht="12.75" customHeight="1">
      <c r="AG1518" s="101">
        <f>IF(G1518&lt;0,0,1.2)+IF(G1518&lt;14,0,0.9)+IF(P1518&lt;0,0.7,0)+IF(P1518&lt;6.5,1,0)+IF(P1518&lt;23,1,0)+IF(R1518&gt;80,0,1)+S1518+IF(AD1518&lt;20,0,1)+IF(AE1518&lt;14,0,1)+IF(AF1518&lt;26,0,1)</f>
        <v/>
      </c>
    </row>
    <row r="1519" ht="12.75" customHeight="1">
      <c r="AG1519" s="101">
        <f>IF(G1519&lt;0,0,1.2)+IF(G1519&lt;14,0,0.9)+IF(P1519&lt;0,0.7,0)+IF(P1519&lt;6.5,1,0)+IF(P1519&lt;23,1,0)+IF(R1519&gt;80,0,1)+S1519+IF(AD1519&lt;20,0,1)+IF(AE1519&lt;14,0,1)+IF(AF1519&lt;26,0,1)</f>
        <v/>
      </c>
    </row>
    <row r="1520" ht="12.75" customHeight="1">
      <c r="AG1520" s="101">
        <f>IF(G1520&lt;0,0,1.2)+IF(G1520&lt;14,0,0.9)+IF(P1520&lt;0,0.7,0)+IF(P1520&lt;6.5,1,0)+IF(P1520&lt;23,1,0)+IF(R1520&gt;80,0,1)+S1520+IF(AD1520&lt;20,0,1)+IF(AE1520&lt;14,0,1)+IF(AF1520&lt;26,0,1)</f>
        <v/>
      </c>
    </row>
    <row r="1521" ht="12.75" customHeight="1">
      <c r="AG1521" s="101">
        <f>IF(G1521&lt;0,0,1.2)+IF(G1521&lt;14,0,0.9)+IF(P1521&lt;0,0.7,0)+IF(P1521&lt;6.5,1,0)+IF(P1521&lt;23,1,0)+IF(R1521&gt;80,0,1)+S1521+IF(AD1521&lt;20,0,1)+IF(AE1521&lt;14,0,1)+IF(AF1521&lt;26,0,1)</f>
        <v/>
      </c>
    </row>
    <row r="1522" ht="12.75" customHeight="1">
      <c r="AG1522" s="101">
        <f>IF(G1522&lt;0,0,1.2)+IF(G1522&lt;14,0,0.9)+IF(P1522&lt;0,0.7,0)+IF(P1522&lt;6.5,1,0)+IF(P1522&lt;23,1,0)+IF(R1522&gt;80,0,1)+S1522+IF(AD1522&lt;20,0,1)+IF(AE1522&lt;14,0,1)+IF(AF1522&lt;26,0,1)</f>
        <v/>
      </c>
    </row>
    <row r="1523" ht="12.75" customHeight="1">
      <c r="AG1523" s="101">
        <f>IF(G1523&lt;0,0,1.2)+IF(G1523&lt;14,0,0.9)+IF(P1523&lt;0,0.7,0)+IF(P1523&lt;6.5,1,0)+IF(P1523&lt;23,1,0)+IF(R1523&gt;80,0,1)+S1523+IF(AD1523&lt;20,0,1)+IF(AE1523&lt;14,0,1)+IF(AF1523&lt;26,0,1)</f>
        <v/>
      </c>
    </row>
    <row r="1524" ht="12.75" customHeight="1">
      <c r="AG1524" s="101">
        <f>IF(G1524&lt;0,0,1.2)+IF(G1524&lt;14,0,0.9)+IF(P1524&lt;0,0.7,0)+IF(P1524&lt;6.5,1,0)+IF(P1524&lt;23,1,0)+IF(R1524&gt;80,0,1)+S1524+IF(AD1524&lt;20,0,1)+IF(AE1524&lt;14,0,1)+IF(AF1524&lt;26,0,1)</f>
        <v/>
      </c>
    </row>
    <row r="1525" ht="12.75" customHeight="1">
      <c r="AG1525" s="101">
        <f>IF(G1525&lt;0,0,1.2)+IF(G1525&lt;14,0,0.9)+IF(P1525&lt;0,0.7,0)+IF(P1525&lt;6.5,1,0)+IF(P1525&lt;23,1,0)+IF(R1525&gt;80,0,1)+S1525+IF(AD1525&lt;20,0,1)+IF(AE1525&lt;14,0,1)+IF(AF1525&lt;26,0,1)</f>
        <v/>
      </c>
    </row>
    <row r="1526" ht="12.75" customHeight="1">
      <c r="AG1526" s="101">
        <f>IF(G1526&lt;0,0,1.2)+IF(G1526&lt;14,0,0.9)+IF(P1526&lt;0,0.7,0)+IF(P1526&lt;6.5,1,0)+IF(P1526&lt;23,1,0)+IF(R1526&gt;80,0,1)+S1526+IF(AD1526&lt;20,0,1)+IF(AE1526&lt;14,0,1)+IF(AF1526&lt;26,0,1)</f>
        <v/>
      </c>
    </row>
    <row r="1527" ht="12.75" customHeight="1">
      <c r="AG1527" s="101">
        <f>IF(G1527&lt;0,0,1.2)+IF(G1527&lt;14,0,0.9)+IF(P1527&lt;0,0.7,0)+IF(P1527&lt;6.5,1,0)+IF(P1527&lt;23,1,0)+IF(R1527&gt;80,0,1)+S1527+IF(AD1527&lt;20,0,1)+IF(AE1527&lt;14,0,1)+IF(AF1527&lt;26,0,1)</f>
        <v/>
      </c>
    </row>
    <row r="1528" ht="12.75" customHeight="1">
      <c r="AG1528" s="101">
        <f>IF(G1528&lt;0,0,1.2)+IF(G1528&lt;14,0,0.9)+IF(P1528&lt;0,0.7,0)+IF(P1528&lt;6.5,1,0)+IF(P1528&lt;23,1,0)+IF(R1528&gt;80,0,1)+S1528+IF(AD1528&lt;20,0,1)+IF(AE1528&lt;14,0,1)+IF(AF1528&lt;26,0,1)</f>
        <v/>
      </c>
    </row>
    <row r="1529" ht="12.75" customHeight="1">
      <c r="AG1529" s="101">
        <f>IF(G1529&lt;0,0,1.2)+IF(G1529&lt;14,0,0.9)+IF(P1529&lt;0,0.7,0)+IF(P1529&lt;6.5,1,0)+IF(P1529&lt;23,1,0)+IF(R1529&gt;80,0,1)+S1529+IF(AD1529&lt;20,0,1)+IF(AE1529&lt;14,0,1)+IF(AF1529&lt;26,0,1)</f>
        <v/>
      </c>
    </row>
    <row r="1530" ht="12.75" customHeight="1">
      <c r="AG1530" s="101">
        <f>IF(G1530&lt;0,0,1.2)+IF(G1530&lt;14,0,0.9)+IF(P1530&lt;0,0.7,0)+IF(P1530&lt;6.5,1,0)+IF(P1530&lt;23,1,0)+IF(R1530&gt;80,0,1)+S1530+IF(AD1530&lt;20,0,1)+IF(AE1530&lt;14,0,1)+IF(AF1530&lt;26,0,1)</f>
        <v/>
      </c>
    </row>
    <row r="1531" ht="12.75" customHeight="1">
      <c r="AG1531" s="101">
        <f>IF(G1531&lt;0,0,1.2)+IF(G1531&lt;14,0,0.9)+IF(P1531&lt;0,0.7,0)+IF(P1531&lt;6.5,1,0)+IF(P1531&lt;23,1,0)+IF(R1531&gt;80,0,1)+S1531+IF(AD1531&lt;20,0,1)+IF(AE1531&lt;14,0,1)+IF(AF1531&lt;26,0,1)</f>
        <v/>
      </c>
    </row>
    <row r="1532" ht="12.75" customHeight="1">
      <c r="AG1532" s="101">
        <f>IF(G1532&lt;0,0,1.2)+IF(G1532&lt;14,0,0.9)+IF(P1532&lt;0,0.7,0)+IF(P1532&lt;6.5,1,0)+IF(P1532&lt;23,1,0)+IF(R1532&gt;80,0,1)+S1532+IF(AD1532&lt;20,0,1)+IF(AE1532&lt;14,0,1)+IF(AF1532&lt;26,0,1)</f>
        <v/>
      </c>
    </row>
    <row r="1533" ht="12.75" customHeight="1">
      <c r="AG1533" s="101">
        <f>IF(G1533&lt;0,0,1.2)+IF(G1533&lt;14,0,0.9)+IF(P1533&lt;0,0.7,0)+IF(P1533&lt;6.5,1,0)+IF(P1533&lt;23,1,0)+IF(R1533&gt;80,0,1)+S1533+IF(AD1533&lt;20,0,1)+IF(AE1533&lt;14,0,1)+IF(AF1533&lt;26,0,1)</f>
        <v/>
      </c>
    </row>
    <row r="1534" ht="12.75" customHeight="1">
      <c r="AG1534" s="101">
        <f>IF(G1534&lt;0,0,1.2)+IF(G1534&lt;14,0,0.9)+IF(P1534&lt;0,0.7,0)+IF(P1534&lt;6.5,1,0)+IF(P1534&lt;23,1,0)+IF(R1534&gt;80,0,1)+S1534+IF(AD1534&lt;20,0,1)+IF(AE1534&lt;14,0,1)+IF(AF1534&lt;26,0,1)</f>
        <v/>
      </c>
    </row>
    <row r="1535" ht="12.75" customHeight="1">
      <c r="AG1535" s="101">
        <f>IF(G1535&lt;0,0,1.2)+IF(G1535&lt;14,0,0.9)+IF(P1535&lt;0,0.7,0)+IF(P1535&lt;6.5,1,0)+IF(P1535&lt;23,1,0)+IF(R1535&gt;80,0,1)+S1535+IF(AD1535&lt;20,0,1)+IF(AE1535&lt;14,0,1)+IF(AF1535&lt;26,0,1)</f>
        <v/>
      </c>
    </row>
    <row r="1536" ht="12.75" customHeight="1">
      <c r="AG1536" s="101">
        <f>IF(G1536&lt;0,0,1.2)+IF(G1536&lt;14,0,0.9)+IF(P1536&lt;0,0.7,0)+IF(P1536&lt;6.5,1,0)+IF(P1536&lt;23,1,0)+IF(R1536&gt;80,0,1)+S1536+IF(AD1536&lt;20,0,1)+IF(AE1536&lt;14,0,1)+IF(AF1536&lt;26,0,1)</f>
        <v/>
      </c>
    </row>
    <row r="1537" ht="12.75" customHeight="1">
      <c r="AG1537" s="101">
        <f>IF(G1537&lt;0,0,1.2)+IF(G1537&lt;14,0,0.9)+IF(P1537&lt;0,0.7,0)+IF(P1537&lt;6.5,1,0)+IF(P1537&lt;23,1,0)+IF(R1537&gt;80,0,1)+S1537+IF(AD1537&lt;20,0,1)+IF(AE1537&lt;14,0,1)+IF(AF1537&lt;26,0,1)</f>
        <v/>
      </c>
    </row>
    <row r="1538" ht="12.75" customHeight="1">
      <c r="AG1538" s="101">
        <f>IF(G1538&lt;0,0,1.2)+IF(G1538&lt;14,0,0.9)+IF(P1538&lt;0,0.7,0)+IF(P1538&lt;6.5,1,0)+IF(P1538&lt;23,1,0)+IF(R1538&gt;80,0,1)+S1538+IF(AD1538&lt;20,0,1)+IF(AE1538&lt;14,0,1)+IF(AF1538&lt;26,0,1)</f>
        <v/>
      </c>
    </row>
    <row r="1539" ht="12.75" customHeight="1">
      <c r="AG1539" s="101">
        <f>IF(G1539&lt;0,0,1.2)+IF(G1539&lt;14,0,0.9)+IF(P1539&lt;0,0.7,0)+IF(P1539&lt;6.5,1,0)+IF(P1539&lt;23,1,0)+IF(R1539&gt;80,0,1)+S1539+IF(AD1539&lt;20,0,1)+IF(AE1539&lt;14,0,1)+IF(AF1539&lt;26,0,1)</f>
        <v/>
      </c>
    </row>
    <row r="1540" ht="12.75" customHeight="1">
      <c r="AG1540" s="101">
        <f>IF(G1540&lt;0,0,1.2)+IF(G1540&lt;14,0,0.9)+IF(P1540&lt;0,0.7,0)+IF(P1540&lt;6.5,1,0)+IF(P1540&lt;23,1,0)+IF(R1540&gt;80,0,1)+S1540+IF(AD1540&lt;20,0,1)+IF(AE1540&lt;14,0,1)+IF(AF1540&lt;26,0,1)</f>
        <v/>
      </c>
    </row>
    <row r="1541" ht="12.75" customHeight="1">
      <c r="AG1541" s="101">
        <f>IF(G1541&lt;0,0,1.2)+IF(G1541&lt;14,0,0.9)+IF(P1541&lt;0,0.7,0)+IF(P1541&lt;6.5,1,0)+IF(P1541&lt;23,1,0)+IF(R1541&gt;80,0,1)+S1541+IF(AD1541&lt;20,0,1)+IF(AE1541&lt;14,0,1)+IF(AF1541&lt;26,0,1)</f>
        <v/>
      </c>
    </row>
    <row r="1542" ht="12.75" customHeight="1">
      <c r="AG1542" s="101">
        <f>IF(G1542&lt;0,0,1.2)+IF(G1542&lt;14,0,0.9)+IF(P1542&lt;0,0.7,0)+IF(P1542&lt;6.5,1,0)+IF(P1542&lt;23,1,0)+IF(R1542&gt;80,0,1)+S1542+IF(AD1542&lt;20,0,1)+IF(AE1542&lt;14,0,1)+IF(AF1542&lt;26,0,1)</f>
        <v/>
      </c>
    </row>
    <row r="1543" ht="12.75" customHeight="1">
      <c r="AG1543" s="101">
        <f>IF(G1543&lt;0,0,1.2)+IF(G1543&lt;14,0,0.9)+IF(P1543&lt;0,0.7,0)+IF(P1543&lt;6.5,1,0)+IF(P1543&lt;23,1,0)+IF(R1543&gt;80,0,1)+S1543+IF(AD1543&lt;20,0,1)+IF(AE1543&lt;14,0,1)+IF(AF1543&lt;26,0,1)</f>
        <v/>
      </c>
    </row>
    <row r="1544" ht="12.75" customHeight="1">
      <c r="AG1544" s="101">
        <f>IF(G1544&lt;0,0,1.2)+IF(G1544&lt;14,0,0.9)+IF(P1544&lt;0,0.7,0)+IF(P1544&lt;6.5,1,0)+IF(P1544&lt;23,1,0)+IF(R1544&gt;80,0,1)+S1544+IF(AD1544&lt;20,0,1)+IF(AE1544&lt;14,0,1)+IF(AF1544&lt;26,0,1)</f>
        <v/>
      </c>
    </row>
    <row r="1545" ht="12.75" customHeight="1">
      <c r="AG1545" s="101">
        <f>IF(G1545&lt;0,0,1.2)+IF(G1545&lt;14,0,0.9)+IF(P1545&lt;0,0.7,0)+IF(P1545&lt;6.5,1,0)+IF(P1545&lt;23,1,0)+IF(R1545&gt;80,0,1)+S1545+IF(AD1545&lt;20,0,1)+IF(AE1545&lt;14,0,1)+IF(AF1545&lt;26,0,1)</f>
        <v/>
      </c>
    </row>
    <row r="1546" ht="12.75" customHeight="1">
      <c r="AG1546" s="101">
        <f>IF(G1546&lt;0,0,1.2)+IF(G1546&lt;14,0,0.9)+IF(P1546&lt;0,0.7,0)+IF(P1546&lt;6.5,1,0)+IF(P1546&lt;23,1,0)+IF(R1546&gt;80,0,1)+S1546+IF(AD1546&lt;20,0,1)+IF(AE1546&lt;14,0,1)+IF(AF1546&lt;26,0,1)</f>
        <v/>
      </c>
    </row>
    <row r="1547" ht="12.75" customHeight="1">
      <c r="AG1547" s="101">
        <f>IF(G1547&lt;0,0,1.2)+IF(G1547&lt;14,0,0.9)+IF(P1547&lt;0,0.7,0)+IF(P1547&lt;6.5,1,0)+IF(P1547&lt;23,1,0)+IF(R1547&gt;80,0,1)+S1547+IF(AD1547&lt;20,0,1)+IF(AE1547&lt;14,0,1)+IF(AF1547&lt;26,0,1)</f>
        <v/>
      </c>
    </row>
    <row r="1548" ht="12.75" customHeight="1">
      <c r="AG1548" s="101">
        <f>IF(G1548&lt;0,0,1.2)+IF(G1548&lt;14,0,0.9)+IF(P1548&lt;0,0.7,0)+IF(P1548&lt;6.5,1,0)+IF(P1548&lt;23,1,0)+IF(R1548&gt;80,0,1)+S1548+IF(AD1548&lt;20,0,1)+IF(AE1548&lt;14,0,1)+IF(AF1548&lt;26,0,1)</f>
        <v/>
      </c>
    </row>
    <row r="1549" ht="12.75" customHeight="1">
      <c r="AG1549" s="101">
        <f>IF(G1549&lt;0,0,1.2)+IF(G1549&lt;14,0,0.9)+IF(P1549&lt;0,0.7,0)+IF(P1549&lt;6.5,1,0)+IF(P1549&lt;23,1,0)+IF(R1549&gt;80,0,1)+S1549+IF(AD1549&lt;20,0,1)+IF(AE1549&lt;14,0,1)+IF(AF1549&lt;26,0,1)</f>
        <v/>
      </c>
    </row>
    <row r="1550" ht="12.75" customHeight="1">
      <c r="AG1550" s="101">
        <f>IF(G1550&lt;0,0,1.2)+IF(G1550&lt;14,0,0.9)+IF(P1550&lt;0,0.7,0)+IF(P1550&lt;6.5,1,0)+IF(P1550&lt;23,1,0)+IF(R1550&gt;80,0,1)+S1550+IF(AD1550&lt;20,0,1)+IF(AE1550&lt;14,0,1)+IF(AF1550&lt;26,0,1)</f>
        <v/>
      </c>
    </row>
    <row r="1551" ht="12.75" customHeight="1">
      <c r="AG1551" s="101">
        <f>IF(G1551&lt;0,0,1.2)+IF(G1551&lt;14,0,0.9)+IF(P1551&lt;0,0.7,0)+IF(P1551&lt;6.5,1,0)+IF(P1551&lt;23,1,0)+IF(R1551&gt;80,0,1)+S1551+IF(AD1551&lt;20,0,1)+IF(AE1551&lt;14,0,1)+IF(AF1551&lt;26,0,1)</f>
        <v/>
      </c>
    </row>
    <row r="1552" ht="12.75" customHeight="1">
      <c r="AG1552" s="101">
        <f>IF(G1552&lt;0,0,1.2)+IF(G1552&lt;14,0,0.9)+IF(P1552&lt;0,0.7,0)+IF(P1552&lt;6.5,1,0)+IF(P1552&lt;23,1,0)+IF(R1552&gt;80,0,1)+S1552+IF(AD1552&lt;20,0,1)+IF(AE1552&lt;14,0,1)+IF(AF1552&lt;26,0,1)</f>
        <v/>
      </c>
    </row>
    <row r="1553" ht="12.75" customHeight="1">
      <c r="AG1553" s="101">
        <f>IF(G1553&lt;0,0,1.2)+IF(G1553&lt;14,0,0.9)+IF(P1553&lt;0,0.7,0)+IF(P1553&lt;6.5,1,0)+IF(P1553&lt;23,1,0)+IF(R1553&gt;80,0,1)+S1553+IF(AD1553&lt;20,0,1)+IF(AE1553&lt;14,0,1)+IF(AF1553&lt;26,0,1)</f>
        <v/>
      </c>
    </row>
    <row r="1554" ht="12.75" customHeight="1">
      <c r="AG1554" s="101">
        <f>IF(G1554&lt;0,0,1.2)+IF(G1554&lt;14,0,0.9)+IF(P1554&lt;0,0.7,0)+IF(P1554&lt;6.5,1,0)+IF(P1554&lt;23,1,0)+IF(R1554&gt;80,0,1)+S1554+IF(AD1554&lt;20,0,1)+IF(AE1554&lt;14,0,1)+IF(AF1554&lt;26,0,1)</f>
        <v/>
      </c>
    </row>
    <row r="1555" ht="12.75" customHeight="1">
      <c r="AG1555" s="101">
        <f>IF(G1555&lt;0,0,1.2)+IF(G1555&lt;14,0,0.9)+IF(P1555&lt;0,0.7,0)+IF(P1555&lt;6.5,1,0)+IF(P1555&lt;23,1,0)+IF(R1555&gt;80,0,1)+S1555+IF(AD1555&lt;20,0,1)+IF(AE1555&lt;14,0,1)+IF(AF1555&lt;26,0,1)</f>
        <v/>
      </c>
    </row>
    <row r="1556" ht="12.75" customHeight="1">
      <c r="AG1556" s="101">
        <f>IF(G1556&lt;0,0,1.2)+IF(G1556&lt;14,0,0.9)+IF(P1556&lt;0,0.7,0)+IF(P1556&lt;6.5,1,0)+IF(P1556&lt;23,1,0)+IF(R1556&gt;80,0,1)+S1556+IF(AD1556&lt;20,0,1)+IF(AE1556&lt;14,0,1)+IF(AF1556&lt;26,0,1)</f>
        <v/>
      </c>
    </row>
    <row r="1557" ht="12.75" customHeight="1">
      <c r="AG1557" s="101">
        <f>IF(G1557&lt;0,0,1.2)+IF(G1557&lt;14,0,0.9)+IF(P1557&lt;0,0.7,0)+IF(P1557&lt;6.5,1,0)+IF(P1557&lt;23,1,0)+IF(R1557&gt;80,0,1)+S1557+IF(AD1557&lt;20,0,1)+IF(AE1557&lt;14,0,1)+IF(AF1557&lt;26,0,1)</f>
        <v/>
      </c>
    </row>
  </sheetData>
  <autoFilter ref="AR1:AR96"/>
  <conditionalFormatting sqref="G2:G432 H56">
    <cfRule type="cellIs" priority="18" operator="lessThan" dxfId="12">
      <formula>0</formula>
    </cfRule>
  </conditionalFormatting>
  <conditionalFormatting sqref="R2:R514">
    <cfRule type="cellIs" priority="24" operator="greaterThan" dxfId="12">
      <formula>80</formula>
    </cfRule>
  </conditionalFormatting>
  <conditionalFormatting sqref="X2:X63">
    <cfRule type="cellIs" priority="21" operator="lessThan" dxfId="12">
      <formula>16</formula>
    </cfRule>
  </conditionalFormatting>
  <conditionalFormatting sqref="X48">
    <cfRule type="cellIs" priority="16" operator="lessThan" dxfId="12">
      <formula>19</formula>
    </cfRule>
  </conditionalFormatting>
  <conditionalFormatting sqref="Y2:Y63">
    <cfRule type="cellIs" priority="20" operator="lessThan" dxfId="12">
      <formula>11</formula>
    </cfRule>
  </conditionalFormatting>
  <conditionalFormatting sqref="Y48">
    <cfRule type="cellIs" priority="15" operator="lessThan" dxfId="12">
      <formula>10</formula>
    </cfRule>
  </conditionalFormatting>
  <conditionalFormatting sqref="Z48">
    <cfRule type="cellIs" priority="17" operator="lessThan" dxfId="12">
      <formula>3.5</formula>
    </cfRule>
  </conditionalFormatting>
  <conditionalFormatting sqref="AA2:AA455">
    <cfRule type="cellIs" priority="23" operator="equal" dxfId="12">
      <formula>0</formula>
    </cfRule>
  </conditionalFormatting>
  <conditionalFormatting sqref="AF2:AF63">
    <cfRule type="cellIs" priority="19" operator="lessThan" dxfId="12">
      <formula>26</formula>
    </cfRule>
  </conditionalFormatting>
  <conditionalFormatting sqref="AG1:AG1557">
    <cfRule type="cellIs" priority="12" operator="greaterThan" dxfId="4">
      <formula>6.1</formula>
    </cfRule>
  </conditionalFormatting>
  <conditionalFormatting sqref="AK2:AK399">
    <cfRule type="cellIs" priority="25" operator="greaterThan" dxfId="4">
      <formula>23.75</formula>
    </cfRule>
  </conditionalFormatting>
  <conditionalFormatting sqref="AL2:AL399">
    <cfRule type="containsText" priority="13" operator="containsText" dxfId="9" text="0">
      <formula>NOT(ISERROR(SEARCH("0",AL2)))</formula>
    </cfRule>
    <cfRule type="containsText" priority="14" operator="containsText" dxfId="2" text="1">
      <formula>NOT(ISERROR(SEARCH("1",AL2)))</formula>
    </cfRule>
  </conditionalFormatting>
  <conditionalFormatting sqref="AO2:AO95">
    <cfRule type="containsText" priority="1" operator="containsText" dxfId="2" text="2">
      <formula>NOT(ISERROR(SEARCH("2",AO2)))</formula>
    </cfRule>
    <cfRule type="cellIs" priority="2" operator="equal" dxfId="3">
      <formula>1</formula>
    </cfRule>
    <cfRule type="cellIs" priority="3" operator="equal" dxfId="4">
      <formula>3</formula>
    </cfRule>
  </conditionalFormatting>
  <conditionalFormatting sqref="AP2:AP338">
    <cfRule type="cellIs" priority="9" operator="equal" dxfId="4">
      <formula>3</formula>
    </cfRule>
    <cfRule type="cellIs" priority="10" operator="equal" dxfId="3">
      <formula>1</formula>
    </cfRule>
    <cfRule type="cellIs" priority="11" operator="equal" dxfId="2">
      <formula>2</formula>
    </cfRule>
  </conditionalFormatting>
  <conditionalFormatting sqref="AR1:AR338">
    <cfRule type="containsText" priority="4" operator="containsText" dxfId="1" text="0">
      <formula>NOT(ISERROR(SEARCH("0",AR1)))</formula>
    </cfRule>
    <cfRule type="containsText" priority="5" operator="containsText" dxfId="0" text="1">
      <formula>NOT(ISERROR(SEARCH("1",AR1)))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M29" sqref="M29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3" max="13"/>
  </cols>
  <sheetData>
    <row r="1" ht="26.4" customHeight="1">
      <c r="A1" t="inlineStr">
        <is>
          <t>May</t>
        </is>
      </c>
      <c r="B1" s="53" t="n"/>
      <c r="C1" s="54" t="inlineStr">
        <is>
          <t>Principal</t>
        </is>
      </c>
      <c r="D1" s="54" t="inlineStr">
        <is>
          <t>Profit</t>
        </is>
      </c>
      <c r="E1" s="54" t="inlineStr">
        <is>
          <t>Pos</t>
        </is>
      </c>
      <c r="F1" s="53" t="n"/>
      <c r="G1" s="54" t="inlineStr">
        <is>
          <t>Neg</t>
        </is>
      </c>
      <c r="H1" s="54" t="inlineStr">
        <is>
          <t>Loss</t>
        </is>
      </c>
      <c r="I1" s="53" t="n"/>
      <c r="J1" s="54" t="inlineStr">
        <is>
          <t>Net</t>
        </is>
      </c>
      <c r="K1" s="53" t="n"/>
      <c r="L1" s="54" t="inlineStr">
        <is>
          <t>% ROI in 6 monhs</t>
        </is>
      </c>
      <c r="M1" s="54" t="inlineStr">
        <is>
          <t>yearly ROI</t>
        </is>
      </c>
      <c r="N1" s="54" t="inlineStr">
        <is>
          <t>Really low</t>
        </is>
      </c>
    </row>
    <row r="2">
      <c r="B2" s="63" t="inlineStr">
        <is>
          <t>NoFin-12</t>
        </is>
      </c>
      <c r="C2" s="59" t="n">
        <v>260000</v>
      </c>
      <c r="D2" s="59">
        <f>C2*0.45</f>
        <v/>
      </c>
      <c r="E2" s="59" t="n">
        <v>45</v>
      </c>
      <c r="F2" s="59">
        <f>D2*E2</f>
        <v/>
      </c>
      <c r="G2" s="59" t="n">
        <v>12</v>
      </c>
      <c r="H2" s="59">
        <f>C2*0.1</f>
        <v/>
      </c>
      <c r="I2" s="59">
        <f>G2*H2</f>
        <v/>
      </c>
      <c r="J2" s="59">
        <f>F2-I2</f>
        <v/>
      </c>
      <c r="K2" s="59">
        <f>J2/12</f>
        <v/>
      </c>
      <c r="L2" s="65">
        <f>(K2/C2)*100</f>
        <v/>
      </c>
      <c r="M2" s="57">
        <f>L2*2</f>
        <v/>
      </c>
      <c r="N2" t="n">
        <v>0</v>
      </c>
    </row>
    <row r="3">
      <c r="B3" s="81" t="inlineStr">
        <is>
          <t>NoFin-13.5</t>
        </is>
      </c>
      <c r="C3" s="80" t="n">
        <v>260000</v>
      </c>
      <c r="D3" s="83">
        <f>C3*0.45</f>
        <v/>
      </c>
      <c r="E3" s="80" t="n">
        <v>39</v>
      </c>
      <c r="F3" s="80">
        <f>D3*E3</f>
        <v/>
      </c>
      <c r="G3" s="80" t="n">
        <v>5</v>
      </c>
      <c r="H3" s="80">
        <f>C3*0.1</f>
        <v/>
      </c>
      <c r="I3" s="80">
        <f>G3*H3</f>
        <v/>
      </c>
      <c r="J3" s="80">
        <f>F3-I3</f>
        <v/>
      </c>
      <c r="K3" s="80">
        <f>J3/12</f>
        <v/>
      </c>
      <c r="L3" s="84">
        <f>(K3/C3)*100</f>
        <v/>
      </c>
      <c r="M3" s="85">
        <f>L3*2</f>
        <v/>
      </c>
      <c r="N3" s="80" t="n">
        <v>0</v>
      </c>
      <c r="Q3" t="inlineStr">
        <is>
          <t>Remarks</t>
        </is>
      </c>
    </row>
    <row r="4">
      <c r="A4" s="52" t="inlineStr">
        <is>
          <t>Best case</t>
        </is>
      </c>
      <c r="B4" s="58" t="inlineStr">
        <is>
          <t>Fin-12</t>
        </is>
      </c>
      <c r="C4" t="n">
        <v>260000</v>
      </c>
      <c r="D4" s="59">
        <f>C4*0.45</f>
        <v/>
      </c>
      <c r="E4" t="n">
        <v>46</v>
      </c>
      <c r="F4">
        <f>D4*E4</f>
        <v/>
      </c>
      <c r="G4" t="n">
        <v>13</v>
      </c>
      <c r="H4">
        <f>C4*0.1</f>
        <v/>
      </c>
      <c r="I4">
        <f>G4*H4</f>
        <v/>
      </c>
      <c r="J4">
        <f>F4-I4</f>
        <v/>
      </c>
      <c r="K4">
        <f>J4/12</f>
        <v/>
      </c>
      <c r="L4" s="60">
        <f>(K4/C4)*100</f>
        <v/>
      </c>
      <c r="M4" s="55">
        <f>L4*2</f>
        <v/>
      </c>
      <c r="N4" t="n">
        <v>0</v>
      </c>
      <c r="Q4" s="64" t="inlineStr">
        <is>
          <t>RII &lt; 140</t>
        </is>
      </c>
    </row>
    <row r="5">
      <c r="A5" s="52" t="inlineStr">
        <is>
          <t>profit - 45</t>
        </is>
      </c>
      <c r="B5" s="58" t="inlineStr">
        <is>
          <t>Fin-13.93</t>
        </is>
      </c>
      <c r="C5" t="n">
        <v>260000</v>
      </c>
      <c r="D5" s="59">
        <f>C5*0.45</f>
        <v/>
      </c>
      <c r="E5" t="n">
        <v>38</v>
      </c>
      <c r="F5">
        <f>D5*E5</f>
        <v/>
      </c>
      <c r="G5" t="n">
        <v>9</v>
      </c>
      <c r="H5">
        <f>C5*0.1</f>
        <v/>
      </c>
      <c r="I5">
        <f>G5*H5</f>
        <v/>
      </c>
      <c r="J5">
        <f>F5-I5</f>
        <v/>
      </c>
      <c r="K5">
        <f>J5/12</f>
        <v/>
      </c>
      <c r="L5" s="60">
        <f>(K5/C5)*100</f>
        <v/>
      </c>
      <c r="M5" s="55">
        <f>L5*2</f>
        <v/>
      </c>
      <c r="N5" t="n">
        <v>0</v>
      </c>
      <c r="Q5" t="inlineStr">
        <is>
          <t>6 month data</t>
        </is>
      </c>
    </row>
    <row r="6">
      <c r="A6" s="52" t="inlineStr">
        <is>
          <t>Loss - 10</t>
        </is>
      </c>
      <c r="B6" s="58" t="inlineStr">
        <is>
          <t>NoFin-10.2</t>
        </is>
      </c>
      <c r="C6" t="n">
        <v>260000</v>
      </c>
      <c r="D6" s="59">
        <f>C6*0.45</f>
        <v/>
      </c>
      <c r="E6" s="52" t="n">
        <v>50</v>
      </c>
      <c r="F6">
        <f>D6*E6</f>
        <v/>
      </c>
      <c r="G6" s="52" t="n">
        <v>16</v>
      </c>
      <c r="H6">
        <f>C6*0.1</f>
        <v/>
      </c>
      <c r="I6">
        <f>G6*H6</f>
        <v/>
      </c>
      <c r="J6">
        <f>F6-I6</f>
        <v/>
      </c>
      <c r="K6">
        <f>J6/12</f>
        <v/>
      </c>
      <c r="L6" s="60">
        <f>(K6/C6)*100</f>
        <v/>
      </c>
      <c r="M6" s="55">
        <f>L6*2</f>
        <v/>
      </c>
      <c r="N6" t="n">
        <v>1</v>
      </c>
    </row>
    <row r="7">
      <c r="B7" s="66" t="inlineStr">
        <is>
          <t>Fin-9</t>
        </is>
      </c>
      <c r="C7" s="68" t="n">
        <v>260000</v>
      </c>
      <c r="D7" s="59">
        <f>C7*0.45</f>
        <v/>
      </c>
      <c r="E7" s="67" t="n">
        <v>52</v>
      </c>
      <c r="F7" s="68">
        <f>D7*E7</f>
        <v/>
      </c>
      <c r="G7" s="67" t="n">
        <v>18</v>
      </c>
      <c r="H7" s="68">
        <f>C7*0.1</f>
        <v/>
      </c>
      <c r="I7" s="68">
        <f>G7*H7</f>
        <v/>
      </c>
      <c r="J7" s="68">
        <f>F7-I7</f>
        <v/>
      </c>
      <c r="K7" s="68">
        <f>J7/12</f>
        <v/>
      </c>
      <c r="L7" s="69">
        <f>(K7/C7)*100</f>
        <v/>
      </c>
      <c r="M7" s="56">
        <f>L7*2</f>
        <v/>
      </c>
      <c r="N7" t="n">
        <v>3</v>
      </c>
    </row>
    <row r="8">
      <c r="B8" s="63" t="inlineStr">
        <is>
          <t>NoFin-12</t>
        </is>
      </c>
      <c r="C8" s="59" t="n">
        <v>260000</v>
      </c>
      <c r="D8" s="59">
        <f>C8*0.3</f>
        <v/>
      </c>
      <c r="E8" s="59">
        <f>E2</f>
        <v/>
      </c>
      <c r="F8" s="59">
        <f>D8*E8</f>
        <v/>
      </c>
      <c r="G8" s="59">
        <f>G2</f>
        <v/>
      </c>
      <c r="H8" s="59">
        <f>C8*0.12</f>
        <v/>
      </c>
      <c r="I8" s="59">
        <f>G8*H8</f>
        <v/>
      </c>
      <c r="J8" s="59">
        <f>F8-I8</f>
        <v/>
      </c>
      <c r="K8" s="59">
        <f>J8/12</f>
        <v/>
      </c>
      <c r="L8" s="65">
        <f>(K8/C8)*100</f>
        <v/>
      </c>
      <c r="M8" s="57">
        <f>L8*2</f>
        <v/>
      </c>
      <c r="N8" t="n">
        <v>0</v>
      </c>
    </row>
    <row r="9">
      <c r="B9" s="81" t="inlineStr">
        <is>
          <t>NoFin-13.5</t>
        </is>
      </c>
      <c r="C9" s="80" t="n">
        <v>260000</v>
      </c>
      <c r="D9" s="80">
        <f>C9*0.3</f>
        <v/>
      </c>
      <c r="E9" s="80">
        <f>E3</f>
        <v/>
      </c>
      <c r="F9" s="80">
        <f>D9*E9</f>
        <v/>
      </c>
      <c r="G9" s="80">
        <f>G3</f>
        <v/>
      </c>
      <c r="H9" s="83">
        <f>C9*0.12</f>
        <v/>
      </c>
      <c r="I9" s="80">
        <f>G9*H9</f>
        <v/>
      </c>
      <c r="J9" s="80">
        <f>F9-I9</f>
        <v/>
      </c>
      <c r="K9" s="80">
        <f>J9/12</f>
        <v/>
      </c>
      <c r="L9" s="84">
        <f>(K9/C9)*100</f>
        <v/>
      </c>
      <c r="M9" s="85">
        <f>L9*2</f>
        <v/>
      </c>
      <c r="N9" s="80" t="n">
        <v>0</v>
      </c>
    </row>
    <row r="10">
      <c r="A10" s="52" t="inlineStr">
        <is>
          <t>Average case</t>
        </is>
      </c>
      <c r="B10" s="58" t="inlineStr">
        <is>
          <t>Fin-12</t>
        </is>
      </c>
      <c r="C10" t="n">
        <v>260000</v>
      </c>
      <c r="D10">
        <f>C10*0.3</f>
        <v/>
      </c>
      <c r="E10">
        <f>E4</f>
        <v/>
      </c>
      <c r="F10">
        <f>D10*E10</f>
        <v/>
      </c>
      <c r="G10">
        <f>G4</f>
        <v/>
      </c>
      <c r="H10" s="59">
        <f>C10*0.12</f>
        <v/>
      </c>
      <c r="I10">
        <f>G10*H10</f>
        <v/>
      </c>
      <c r="J10">
        <f>F10-I10</f>
        <v/>
      </c>
      <c r="K10">
        <f>J10/12</f>
        <v/>
      </c>
      <c r="L10" s="60">
        <f>(K10/C10)*100</f>
        <v/>
      </c>
      <c r="M10" s="55">
        <f>L10*2</f>
        <v/>
      </c>
      <c r="N10" t="n">
        <v>0</v>
      </c>
    </row>
    <row r="11">
      <c r="A11" s="52" t="inlineStr">
        <is>
          <t>Profit - 30</t>
        </is>
      </c>
      <c r="B11" s="58" t="inlineStr">
        <is>
          <t>Fin-13.93</t>
        </is>
      </c>
      <c r="C11" t="n">
        <v>260000</v>
      </c>
      <c r="D11">
        <f>C11*0.3</f>
        <v/>
      </c>
      <c r="E11">
        <f>E5</f>
        <v/>
      </c>
      <c r="F11">
        <f>D11*E11</f>
        <v/>
      </c>
      <c r="G11">
        <f>G5</f>
        <v/>
      </c>
      <c r="H11" s="59">
        <f>C11*0.12</f>
        <v/>
      </c>
      <c r="I11">
        <f>G11*H11</f>
        <v/>
      </c>
      <c r="J11">
        <f>F11-I11</f>
        <v/>
      </c>
      <c r="K11">
        <f>J11/12</f>
        <v/>
      </c>
      <c r="L11" s="60">
        <f>(K11/C11)*100</f>
        <v/>
      </c>
      <c r="M11" s="55">
        <f>L11*2</f>
        <v/>
      </c>
      <c r="N11" t="n">
        <v>0</v>
      </c>
    </row>
    <row r="12">
      <c r="A12" s="52" t="inlineStr">
        <is>
          <t>Loss - 12</t>
        </is>
      </c>
      <c r="B12" s="58" t="inlineStr">
        <is>
          <t>NoFin-10.2</t>
        </is>
      </c>
      <c r="C12" t="n">
        <v>260000</v>
      </c>
      <c r="D12">
        <f>C12*0.3</f>
        <v/>
      </c>
      <c r="E12" s="52">
        <f>E6</f>
        <v/>
      </c>
      <c r="F12">
        <f>D12*E12</f>
        <v/>
      </c>
      <c r="G12" s="52">
        <f>G6</f>
        <v/>
      </c>
      <c r="H12" s="59">
        <f>C12*0.12</f>
        <v/>
      </c>
      <c r="I12">
        <f>G12*H12</f>
        <v/>
      </c>
      <c r="J12">
        <f>F12-I12</f>
        <v/>
      </c>
      <c r="K12">
        <f>J12/12</f>
        <v/>
      </c>
      <c r="L12" s="60">
        <f>(K12/C12)*100</f>
        <v/>
      </c>
      <c r="M12" s="55">
        <f>L12*2</f>
        <v/>
      </c>
      <c r="N12" t="n">
        <v>1</v>
      </c>
    </row>
    <row r="13">
      <c r="B13" s="66" t="inlineStr">
        <is>
          <t>Fin-9</t>
        </is>
      </c>
      <c r="C13" s="68" t="n">
        <v>260000</v>
      </c>
      <c r="D13" s="68">
        <f>C13*0.3</f>
        <v/>
      </c>
      <c r="E13" s="67">
        <f>E7</f>
        <v/>
      </c>
      <c r="F13" s="68">
        <f>D13*E13</f>
        <v/>
      </c>
      <c r="G13" s="67">
        <f>G7</f>
        <v/>
      </c>
      <c r="H13" s="59">
        <f>C13*0.12</f>
        <v/>
      </c>
      <c r="I13" s="68">
        <f>G13*H13</f>
        <v/>
      </c>
      <c r="J13" s="68">
        <f>F13-I13</f>
        <v/>
      </c>
      <c r="K13" s="68">
        <f>J13/12</f>
        <v/>
      </c>
      <c r="L13" s="69">
        <f>(K13/C13)*100</f>
        <v/>
      </c>
      <c r="M13" s="56">
        <f>L13*2</f>
        <v/>
      </c>
      <c r="N13" t="n">
        <v>3</v>
      </c>
    </row>
    <row r="14">
      <c r="B14" s="63" t="inlineStr">
        <is>
          <t>NoFin-12</t>
        </is>
      </c>
      <c r="C14" s="59" t="n">
        <v>260000</v>
      </c>
      <c r="D14" s="59">
        <f>C14*0.1</f>
        <v/>
      </c>
      <c r="E14" s="59">
        <f>E2</f>
        <v/>
      </c>
      <c r="F14" s="59">
        <f>D14*E14</f>
        <v/>
      </c>
      <c r="G14" s="59">
        <f>G2</f>
        <v/>
      </c>
      <c r="H14" s="59">
        <f>C14*0.15</f>
        <v/>
      </c>
      <c r="I14" s="59">
        <f>G14*H14</f>
        <v/>
      </c>
      <c r="J14" s="59">
        <f>F14-I14</f>
        <v/>
      </c>
      <c r="K14" s="59">
        <f>J14/12</f>
        <v/>
      </c>
      <c r="L14" s="65">
        <f>(K14/C14)*100</f>
        <v/>
      </c>
      <c r="M14" s="57">
        <f>L14*2</f>
        <v/>
      </c>
      <c r="N14" t="n">
        <v>0</v>
      </c>
    </row>
    <row r="15">
      <c r="B15" s="81" t="inlineStr">
        <is>
          <t>NoFin-13.5</t>
        </is>
      </c>
      <c r="C15" s="80" t="n">
        <v>260000</v>
      </c>
      <c r="D15" s="83">
        <f>C15*0.1</f>
        <v/>
      </c>
      <c r="E15" s="80">
        <f>E3</f>
        <v/>
      </c>
      <c r="F15" s="80">
        <f>D15*E15</f>
        <v/>
      </c>
      <c r="G15" s="80">
        <f>G3</f>
        <v/>
      </c>
      <c r="H15" s="83">
        <f>C15*0.15</f>
        <v/>
      </c>
      <c r="I15" s="80">
        <f>G15*H15</f>
        <v/>
      </c>
      <c r="J15" s="80">
        <f>F15-I15</f>
        <v/>
      </c>
      <c r="K15" s="80">
        <f>J15/12</f>
        <v/>
      </c>
      <c r="L15" s="84">
        <f>(K15/C15)*100</f>
        <v/>
      </c>
      <c r="M15" s="85">
        <f>L15*2</f>
        <v/>
      </c>
      <c r="N15" s="80" t="n">
        <v>0</v>
      </c>
    </row>
    <row r="16">
      <c r="A16" s="52" t="inlineStr">
        <is>
          <t>Worst case</t>
        </is>
      </c>
      <c r="B16" s="58" t="inlineStr">
        <is>
          <t>Fin-12</t>
        </is>
      </c>
      <c r="C16" t="n">
        <v>260000</v>
      </c>
      <c r="D16" s="59">
        <f>C16*0.1</f>
        <v/>
      </c>
      <c r="E16">
        <f>E4</f>
        <v/>
      </c>
      <c r="F16">
        <f>D16*E16</f>
        <v/>
      </c>
      <c r="G16">
        <f>G4</f>
        <v/>
      </c>
      <c r="H16" s="59">
        <f>C16*0.15</f>
        <v/>
      </c>
      <c r="I16">
        <f>G16*H16</f>
        <v/>
      </c>
      <c r="J16">
        <f>F16-I16</f>
        <v/>
      </c>
      <c r="K16">
        <f>J16/12</f>
        <v/>
      </c>
      <c r="L16" s="60">
        <f>(K16/C16)*100</f>
        <v/>
      </c>
      <c r="M16" s="55">
        <f>L16*2</f>
        <v/>
      </c>
      <c r="N16" t="n">
        <v>0</v>
      </c>
    </row>
    <row r="17">
      <c r="A17" s="52" t="inlineStr">
        <is>
          <t>Profit - 10</t>
        </is>
      </c>
      <c r="B17" s="58" t="inlineStr">
        <is>
          <t>Fin-13.93</t>
        </is>
      </c>
      <c r="C17" t="n">
        <v>260000</v>
      </c>
      <c r="D17" s="59">
        <f>C17*0.1</f>
        <v/>
      </c>
      <c r="E17">
        <f>E5</f>
        <v/>
      </c>
      <c r="F17">
        <f>D17*E17</f>
        <v/>
      </c>
      <c r="G17">
        <f>G5</f>
        <v/>
      </c>
      <c r="H17" s="59">
        <f>C17*0.15</f>
        <v/>
      </c>
      <c r="I17">
        <f>G17*H17</f>
        <v/>
      </c>
      <c r="J17">
        <f>F17-I17</f>
        <v/>
      </c>
      <c r="K17">
        <f>J17/12</f>
        <v/>
      </c>
      <c r="L17" s="60">
        <f>(K17/C17)*100</f>
        <v/>
      </c>
      <c r="M17" s="55">
        <f>L17*2</f>
        <v/>
      </c>
      <c r="N17" t="n">
        <v>0</v>
      </c>
    </row>
    <row r="18">
      <c r="A18" s="52" t="inlineStr">
        <is>
          <t>Loss - 15</t>
        </is>
      </c>
      <c r="B18" s="58" t="inlineStr">
        <is>
          <t>NoFin-10.2</t>
        </is>
      </c>
      <c r="C18" t="n">
        <v>260000</v>
      </c>
      <c r="D18" s="59">
        <f>C18*0.1</f>
        <v/>
      </c>
      <c r="E18" s="52">
        <f>E6</f>
        <v/>
      </c>
      <c r="F18">
        <f>D18*E18</f>
        <v/>
      </c>
      <c r="G18" s="52">
        <f>G6</f>
        <v/>
      </c>
      <c r="H18" s="59">
        <f>C18*0.15</f>
        <v/>
      </c>
      <c r="I18">
        <f>G18*H18</f>
        <v/>
      </c>
      <c r="J18">
        <f>F18-I18</f>
        <v/>
      </c>
      <c r="K18">
        <f>J18/12</f>
        <v/>
      </c>
      <c r="L18" s="60">
        <f>(K18/C18)*100</f>
        <v/>
      </c>
      <c r="M18" s="55">
        <f>L18*2</f>
        <v/>
      </c>
      <c r="N18" t="n">
        <v>1</v>
      </c>
    </row>
    <row r="19">
      <c r="B19" s="66" t="inlineStr">
        <is>
          <t>Fin-9</t>
        </is>
      </c>
      <c r="C19" s="68" t="n">
        <v>260000</v>
      </c>
      <c r="D19" s="59">
        <f>C19*0.1</f>
        <v/>
      </c>
      <c r="E19" s="67">
        <f>E7</f>
        <v/>
      </c>
      <c r="F19" s="68">
        <f>D19*E19</f>
        <v/>
      </c>
      <c r="G19" s="67">
        <f>G7</f>
        <v/>
      </c>
      <c r="H19" s="59">
        <f>C19*0.15</f>
        <v/>
      </c>
      <c r="I19" s="68">
        <f>G19*H19</f>
        <v/>
      </c>
      <c r="J19" s="68">
        <f>F19-I19</f>
        <v/>
      </c>
      <c r="K19" s="68">
        <f>J19/12</f>
        <v/>
      </c>
      <c r="L19" s="69">
        <f>(K19/C19)*100</f>
        <v/>
      </c>
      <c r="M19" s="56">
        <f>L19*2</f>
        <v/>
      </c>
      <c r="N19" t="n">
        <v>3</v>
      </c>
    </row>
    <row r="24" ht="26.4" customHeight="1">
      <c r="A24" t="inlineStr">
        <is>
          <t>July</t>
        </is>
      </c>
      <c r="B24" s="53" t="n"/>
      <c r="C24" s="54" t="inlineStr">
        <is>
          <t>Principal</t>
        </is>
      </c>
      <c r="D24" s="54" t="inlineStr">
        <is>
          <t>Profit</t>
        </is>
      </c>
      <c r="E24" s="54" t="inlineStr">
        <is>
          <t>Pos</t>
        </is>
      </c>
      <c r="F24" s="53" t="n"/>
      <c r="G24" s="54" t="inlineStr">
        <is>
          <t>Neg</t>
        </is>
      </c>
      <c r="H24" s="54" t="inlineStr">
        <is>
          <t>Loss</t>
        </is>
      </c>
      <c r="I24" s="53" t="n"/>
      <c r="J24" s="54" t="inlineStr">
        <is>
          <t>Net</t>
        </is>
      </c>
      <c r="K24" s="53" t="n"/>
      <c r="L24" s="54" t="inlineStr">
        <is>
          <t>% ROI in 6 monhs</t>
        </is>
      </c>
      <c r="M24" s="54" t="inlineStr">
        <is>
          <t>yearly ROI</t>
        </is>
      </c>
      <c r="N24" s="54" t="inlineStr">
        <is>
          <t>Really low</t>
        </is>
      </c>
    </row>
    <row r="25">
      <c r="B25" s="63" t="inlineStr">
        <is>
          <t>NoFin-12</t>
        </is>
      </c>
      <c r="C25" s="59" t="n">
        <v>260000</v>
      </c>
      <c r="D25" s="59">
        <f>C25*0.45</f>
        <v/>
      </c>
      <c r="E25" s="59" t="n">
        <v>49</v>
      </c>
      <c r="F25" s="59">
        <f>D25*E25</f>
        <v/>
      </c>
      <c r="G25" s="59" t="n">
        <v>12</v>
      </c>
      <c r="H25" s="59">
        <f>C25*0.1</f>
        <v/>
      </c>
      <c r="I25" s="59">
        <f>G25*H25</f>
        <v/>
      </c>
      <c r="J25" s="59">
        <f>F25-I25</f>
        <v/>
      </c>
      <c r="K25" s="59">
        <f>J25/12</f>
        <v/>
      </c>
      <c r="L25" s="65">
        <f>(K25/C25)*100</f>
        <v/>
      </c>
      <c r="M25" s="57">
        <f>L25*2</f>
        <v/>
      </c>
      <c r="N25" t="n">
        <v>0</v>
      </c>
    </row>
    <row r="26">
      <c r="A26" s="52" t="inlineStr">
        <is>
          <t>Best case</t>
        </is>
      </c>
      <c r="B26" s="58" t="inlineStr">
        <is>
          <t>NoFin-13.5</t>
        </is>
      </c>
      <c r="C26" t="n">
        <v>260000</v>
      </c>
      <c r="D26" s="59">
        <f>C26*0.45</f>
        <v/>
      </c>
      <c r="E26" t="n">
        <v>43</v>
      </c>
      <c r="F26">
        <f>D26*E26</f>
        <v/>
      </c>
      <c r="G26" t="n">
        <v>6</v>
      </c>
      <c r="H26">
        <f>C26*0.1</f>
        <v/>
      </c>
      <c r="I26">
        <f>G26*H26</f>
        <v/>
      </c>
      <c r="J26">
        <f>F26-I26</f>
        <v/>
      </c>
      <c r="K26">
        <f>J26/12</f>
        <v/>
      </c>
      <c r="L26" s="60">
        <f>(K26/C26)*100</f>
        <v/>
      </c>
      <c r="M26" s="55">
        <f>L26*2</f>
        <v/>
      </c>
      <c r="N26" t="n">
        <v>0</v>
      </c>
      <c r="Q26" t="inlineStr">
        <is>
          <t>Remarks</t>
        </is>
      </c>
    </row>
    <row r="27">
      <c r="A27" s="52" t="inlineStr">
        <is>
          <t>45 10</t>
        </is>
      </c>
      <c r="B27" s="91" t="inlineStr">
        <is>
          <t>NoFin - 13.5 RII &gt; 2.93 at 3 pm</t>
        </is>
      </c>
      <c r="C27" t="n">
        <v>260000</v>
      </c>
      <c r="D27" s="59">
        <f>C27*0.45</f>
        <v/>
      </c>
      <c r="E27" t="n">
        <v>28</v>
      </c>
      <c r="F27">
        <f>D27*E27</f>
        <v/>
      </c>
      <c r="G27" t="n">
        <v>2</v>
      </c>
      <c r="H27">
        <f>C27*0.1</f>
        <v/>
      </c>
      <c r="I27">
        <f>G27*H27</f>
        <v/>
      </c>
      <c r="J27">
        <f>F27-I27</f>
        <v/>
      </c>
      <c r="K27">
        <f>J27/12</f>
        <v/>
      </c>
      <c r="L27" s="60">
        <f>(K27/C27)*100</f>
        <v/>
      </c>
      <c r="M27" s="55">
        <f>L27*2</f>
        <v/>
      </c>
      <c r="N27" t="n">
        <v>0</v>
      </c>
    </row>
    <row r="28">
      <c r="A28" s="52" t="inlineStr">
        <is>
          <t>Average case</t>
        </is>
      </c>
      <c r="B28" s="63" t="inlineStr">
        <is>
          <t>NoFin-12</t>
        </is>
      </c>
      <c r="C28" s="59" t="n">
        <v>260000</v>
      </c>
      <c r="D28" s="59">
        <f>C28*0.3</f>
        <v/>
      </c>
      <c r="E28" s="59">
        <f>E25</f>
        <v/>
      </c>
      <c r="F28" s="59">
        <f>D28*E28</f>
        <v/>
      </c>
      <c r="G28" s="59">
        <f>G25</f>
        <v/>
      </c>
      <c r="H28" s="59">
        <f>C28*0.12</f>
        <v/>
      </c>
      <c r="I28" s="59">
        <f>G28*H28</f>
        <v/>
      </c>
      <c r="J28" s="59">
        <f>F28-I28</f>
        <v/>
      </c>
      <c r="K28" s="59">
        <f>J28/12</f>
        <v/>
      </c>
      <c r="L28" s="65">
        <f>(K28/C28)*100</f>
        <v/>
      </c>
      <c r="M28" s="57">
        <f>L28*2</f>
        <v/>
      </c>
      <c r="N28" t="n">
        <v>0</v>
      </c>
    </row>
    <row r="29">
      <c r="A29" s="52" t="inlineStr">
        <is>
          <t>30 12</t>
        </is>
      </c>
      <c r="B29" s="58" t="inlineStr">
        <is>
          <t>NoFin-13.5</t>
        </is>
      </c>
      <c r="C29" t="n">
        <v>260000</v>
      </c>
      <c r="D29">
        <f>C29*0.3</f>
        <v/>
      </c>
      <c r="E29">
        <f>E26</f>
        <v/>
      </c>
      <c r="F29">
        <f>D29*E29</f>
        <v/>
      </c>
      <c r="G29">
        <f>G26</f>
        <v/>
      </c>
      <c r="H29" s="59">
        <f>C29*0.12</f>
        <v/>
      </c>
      <c r="I29">
        <f>G29*H29</f>
        <v/>
      </c>
      <c r="J29">
        <f>F29-I29</f>
        <v/>
      </c>
      <c r="K29">
        <f>J29/12</f>
        <v/>
      </c>
      <c r="L29" s="60">
        <f>(K29/C29)*100</f>
        <v/>
      </c>
      <c r="M29" s="55">
        <f>L29*2</f>
        <v/>
      </c>
      <c r="N29" t="n">
        <v>0</v>
      </c>
    </row>
    <row r="30">
      <c r="A30" s="52" t="n"/>
      <c r="B30" s="91" t="inlineStr">
        <is>
          <t>NoFin - 13.5 RII &gt; 2.93 at 3 pm</t>
        </is>
      </c>
      <c r="C30" s="92" t="n">
        <v>260000</v>
      </c>
      <c r="D30" s="93">
        <f>C30*0.3</f>
        <v/>
      </c>
      <c r="E30" s="92" t="n">
        <v>28</v>
      </c>
      <c r="F30" s="92">
        <f>D30*E30</f>
        <v/>
      </c>
      <c r="G30" s="92" t="n">
        <v>2</v>
      </c>
      <c r="H30" s="92">
        <f>C30*0.12</f>
        <v/>
      </c>
      <c r="I30" s="92">
        <f>G30*H30</f>
        <v/>
      </c>
      <c r="J30" s="92">
        <f>F30-I30</f>
        <v/>
      </c>
      <c r="K30" s="92">
        <f>J30/12</f>
        <v/>
      </c>
      <c r="L30" s="94">
        <f>(K30/C30)*100</f>
        <v/>
      </c>
      <c r="M30" s="95">
        <f>L30*2</f>
        <v/>
      </c>
      <c r="N30" s="92" t="n">
        <v>0</v>
      </c>
    </row>
    <row r="31">
      <c r="A31" s="52" t="inlineStr">
        <is>
          <t>Worst case</t>
        </is>
      </c>
      <c r="B31" s="63" t="inlineStr">
        <is>
          <t>NoFin-12</t>
        </is>
      </c>
      <c r="C31" s="59" t="n">
        <v>260000</v>
      </c>
      <c r="D31" s="59">
        <f>C31*0.1</f>
        <v/>
      </c>
      <c r="E31" s="59">
        <f>E25</f>
        <v/>
      </c>
      <c r="F31" s="59">
        <f>D31*E31</f>
        <v/>
      </c>
      <c r="G31" s="59">
        <f>G25</f>
        <v/>
      </c>
      <c r="H31" s="59">
        <f>C31*0.15</f>
        <v/>
      </c>
      <c r="I31" s="59">
        <f>G31*H31</f>
        <v/>
      </c>
      <c r="J31" s="59">
        <f>F31-I31</f>
        <v/>
      </c>
      <c r="K31" s="59">
        <f>J31/12</f>
        <v/>
      </c>
      <c r="L31" s="65">
        <f>(K31/C31)*100</f>
        <v/>
      </c>
      <c r="M31" s="57">
        <f>L31*2</f>
        <v/>
      </c>
      <c r="N31" t="n">
        <v>0</v>
      </c>
    </row>
    <row r="32">
      <c r="A32" s="52" t="inlineStr">
        <is>
          <t>10 15</t>
        </is>
      </c>
      <c r="B32" s="58" t="inlineStr">
        <is>
          <t>NoFin-13.5</t>
        </is>
      </c>
      <c r="C32" t="n">
        <v>260000</v>
      </c>
      <c r="D32" s="59">
        <f>C32*0.1</f>
        <v/>
      </c>
      <c r="E32">
        <f>E26</f>
        <v/>
      </c>
      <c r="F32">
        <f>D32*E32</f>
        <v/>
      </c>
      <c r="G32">
        <f>G26</f>
        <v/>
      </c>
      <c r="H32" s="59">
        <f>C32*0.15</f>
        <v/>
      </c>
      <c r="I32">
        <f>G32*H32</f>
        <v/>
      </c>
      <c r="J32">
        <f>F32-I32</f>
        <v/>
      </c>
      <c r="K32">
        <f>J32/12</f>
        <v/>
      </c>
      <c r="L32" s="60">
        <f>(K32/C32)*100</f>
        <v/>
      </c>
      <c r="M32" s="55">
        <f>L32*2</f>
        <v/>
      </c>
      <c r="N32" t="n">
        <v>0</v>
      </c>
    </row>
    <row r="33">
      <c r="A33" s="52" t="n"/>
      <c r="B33" s="91" t="inlineStr">
        <is>
          <t>NoFin - 13.5 RII &gt; 2.93 at 3 pm</t>
        </is>
      </c>
      <c r="C33" t="n">
        <v>260000</v>
      </c>
      <c r="D33" s="59">
        <f>C33*0.1</f>
        <v/>
      </c>
      <c r="E33" t="n">
        <v>28</v>
      </c>
      <c r="F33">
        <f>D33*E33</f>
        <v/>
      </c>
      <c r="G33" t="n">
        <v>2</v>
      </c>
      <c r="H33">
        <f>C33*0.15</f>
        <v/>
      </c>
      <c r="I33">
        <f>G33*H33</f>
        <v/>
      </c>
      <c r="J33">
        <f>F33-I33</f>
        <v/>
      </c>
      <c r="K33">
        <f>J33/12</f>
        <v/>
      </c>
      <c r="L33" s="60">
        <f>(K33/C33)*100</f>
        <v/>
      </c>
      <c r="M33" s="55">
        <f>L33*2</f>
        <v/>
      </c>
      <c r="N33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selection activeCell="N13" sqref="N13"/>
    </sheetView>
  </sheetViews>
  <sheetFormatPr baseColWidth="8" defaultRowHeight="13.2" outlineLevelCol="0"/>
  <cols>
    <col width="12.33203125" customWidth="1" min="1" max="1"/>
    <col width="11.77734375" customWidth="1" min="2" max="2"/>
    <col width="8.33203125" customWidth="1" min="14" max="14"/>
  </cols>
  <sheetData>
    <row r="1" ht="26.4" customHeight="1">
      <c r="A1" t="inlineStr">
        <is>
          <t>May</t>
        </is>
      </c>
      <c r="B1" s="53" t="n"/>
      <c r="C1" s="53" t="n"/>
      <c r="D1" s="54" t="inlineStr">
        <is>
          <t>Principal</t>
        </is>
      </c>
      <c r="E1" s="54" t="inlineStr">
        <is>
          <t>Profit</t>
        </is>
      </c>
      <c r="F1" s="54" t="inlineStr">
        <is>
          <t>Pos</t>
        </is>
      </c>
      <c r="G1" s="53" t="n"/>
      <c r="H1" s="54" t="inlineStr">
        <is>
          <t>Neg</t>
        </is>
      </c>
      <c r="I1" s="54" t="inlineStr">
        <is>
          <t>Loss</t>
        </is>
      </c>
      <c r="J1" s="53" t="n"/>
      <c r="K1" s="54" t="inlineStr">
        <is>
          <t>Net</t>
        </is>
      </c>
      <c r="L1" s="53" t="n"/>
      <c r="M1" s="54" t="inlineStr">
        <is>
          <t>% ROI in 6 monhs</t>
        </is>
      </c>
      <c r="N1" s="54" t="inlineStr">
        <is>
          <t>yearly ROI</t>
        </is>
      </c>
      <c r="Q1" t="inlineStr">
        <is>
          <t>Really Low</t>
        </is>
      </c>
    </row>
    <row r="2">
      <c r="B2" s="70" t="inlineStr">
        <is>
          <t>NoFin-17.9</t>
        </is>
      </c>
      <c r="C2" s="71" t="inlineStr">
        <is>
          <t>RII &lt; 140</t>
        </is>
      </c>
      <c r="D2" s="72" t="n">
        <v>260000</v>
      </c>
      <c r="E2" s="72">
        <f>D2*0.42</f>
        <v/>
      </c>
      <c r="F2" s="72" t="n">
        <v>27</v>
      </c>
      <c r="G2" s="72">
        <f>E2*F2</f>
        <v/>
      </c>
      <c r="H2" s="72" t="n">
        <v>1</v>
      </c>
      <c r="I2" s="72">
        <f>D2*0.15</f>
        <v/>
      </c>
      <c r="J2" s="72">
        <f>H2*I2</f>
        <v/>
      </c>
      <c r="K2" s="72">
        <f>G2-J2</f>
        <v/>
      </c>
      <c r="L2" s="72">
        <f>K2/12</f>
        <v/>
      </c>
      <c r="M2" s="73">
        <f>(L2/D2)*100</f>
        <v/>
      </c>
      <c r="N2" s="74">
        <f>M2*2</f>
        <v/>
      </c>
      <c r="O2" s="75" t="n"/>
      <c r="P2" s="75" t="n"/>
      <c r="Q2" s="75" t="n">
        <v>12</v>
      </c>
    </row>
    <row r="3">
      <c r="A3" s="52" t="inlineStr">
        <is>
          <t>Best case</t>
        </is>
      </c>
      <c r="B3" s="76" t="inlineStr">
        <is>
          <t>Fin-16.6</t>
        </is>
      </c>
      <c r="C3" s="77" t="inlineStr">
        <is>
          <t>RII &lt; 140</t>
        </is>
      </c>
      <c r="D3" s="75" t="n">
        <v>260000</v>
      </c>
      <c r="E3" s="72">
        <f>D3*0.42</f>
        <v/>
      </c>
      <c r="F3" s="75" t="n">
        <v>27</v>
      </c>
      <c r="G3" s="75">
        <f>E3*F3</f>
        <v/>
      </c>
      <c r="H3" s="75" t="n">
        <v>2</v>
      </c>
      <c r="I3" s="72">
        <f>D3*0.15</f>
        <v/>
      </c>
      <c r="J3" s="75">
        <f>H3*I3</f>
        <v/>
      </c>
      <c r="K3" s="75">
        <f>G3-J3</f>
        <v/>
      </c>
      <c r="L3" s="75">
        <f>K3/12</f>
        <v/>
      </c>
      <c r="M3" s="78">
        <f>(L3/D3)*100</f>
        <v/>
      </c>
      <c r="N3" s="79">
        <f>M3*2</f>
        <v/>
      </c>
      <c r="O3" s="75" t="n"/>
      <c r="P3" s="75" t="n"/>
      <c r="Q3" s="75" t="n">
        <v>13</v>
      </c>
    </row>
    <row r="4">
      <c r="A4" s="52" t="inlineStr">
        <is>
          <t>profit - 42</t>
        </is>
      </c>
      <c r="B4" s="76" t="inlineStr">
        <is>
          <t>Fin-21.55</t>
        </is>
      </c>
      <c r="C4" s="77" t="inlineStr">
        <is>
          <t>RII &lt; 140</t>
        </is>
      </c>
      <c r="D4" s="75" t="n">
        <v>260000</v>
      </c>
      <c r="E4" s="72">
        <f>D4*0.42</f>
        <v/>
      </c>
      <c r="F4" s="75" t="n">
        <v>24</v>
      </c>
      <c r="G4" s="75">
        <f>E4*F4</f>
        <v/>
      </c>
      <c r="H4" s="75" t="n">
        <v>0</v>
      </c>
      <c r="I4" s="72">
        <f>D4*0.15</f>
        <v/>
      </c>
      <c r="J4" s="75">
        <f>H4*I4</f>
        <v/>
      </c>
      <c r="K4" s="75">
        <f>G4-J4</f>
        <v/>
      </c>
      <c r="L4" s="75">
        <f>K4/12</f>
        <v/>
      </c>
      <c r="M4" s="78">
        <f>(L4/D4)*100</f>
        <v/>
      </c>
      <c r="N4" s="79">
        <f>M4*2</f>
        <v/>
      </c>
      <c r="O4" s="75" t="n"/>
      <c r="P4" s="75" t="n"/>
      <c r="Q4" s="75" t="n">
        <v>4</v>
      </c>
    </row>
    <row r="5">
      <c r="A5" s="52" t="inlineStr">
        <is>
          <t>Loss - 15</t>
        </is>
      </c>
      <c r="B5" s="81" t="inlineStr">
        <is>
          <t>Fin-23.75</t>
        </is>
      </c>
      <c r="C5" s="82" t="inlineStr">
        <is>
          <t>RII &lt; 140</t>
        </is>
      </c>
      <c r="D5" s="80" t="n">
        <v>260000</v>
      </c>
      <c r="E5" s="83">
        <f>D5*0.42</f>
        <v/>
      </c>
      <c r="F5" s="82" t="n">
        <v>23</v>
      </c>
      <c r="G5" s="80">
        <f>E5*F5</f>
        <v/>
      </c>
      <c r="H5" s="82" t="n">
        <v>0</v>
      </c>
      <c r="I5" s="83">
        <f>D5*0.15</f>
        <v/>
      </c>
      <c r="J5" s="80">
        <f>H5*I5</f>
        <v/>
      </c>
      <c r="K5" s="80">
        <f>G5-J5</f>
        <v/>
      </c>
      <c r="L5" s="80">
        <f>K5/12</f>
        <v/>
      </c>
      <c r="M5" s="84">
        <f>(L5/D5)*100</f>
        <v/>
      </c>
      <c r="N5" s="85">
        <f>M5*2</f>
        <v/>
      </c>
      <c r="O5" s="80" t="n"/>
      <c r="P5" s="80" t="n"/>
      <c r="Q5" s="80" t="n">
        <v>2</v>
      </c>
    </row>
    <row r="6">
      <c r="B6" s="76" t="inlineStr">
        <is>
          <t>NoFin-21.5</t>
        </is>
      </c>
      <c r="C6" s="77" t="inlineStr">
        <is>
          <t>RII &lt; 140</t>
        </is>
      </c>
      <c r="D6" s="75" t="n">
        <v>260000</v>
      </c>
      <c r="E6" s="72">
        <f>D6*0.42</f>
        <v/>
      </c>
      <c r="F6" s="75" t="n">
        <v>22</v>
      </c>
      <c r="G6" s="75">
        <f>E6*F6</f>
        <v/>
      </c>
      <c r="H6" s="75" t="n">
        <v>0</v>
      </c>
      <c r="I6" s="72">
        <f>D6*0.15</f>
        <v/>
      </c>
      <c r="J6" s="75">
        <f>H6*I6</f>
        <v/>
      </c>
      <c r="K6" s="75">
        <f>G6-J6</f>
        <v/>
      </c>
      <c r="L6" s="75">
        <f>K6/12</f>
        <v/>
      </c>
      <c r="M6" s="78">
        <f>(L6/D6)*100</f>
        <v/>
      </c>
      <c r="N6" s="79">
        <f>M6*2</f>
        <v/>
      </c>
      <c r="O6" s="75" t="n"/>
      <c r="P6" s="75" t="n"/>
      <c r="Q6" s="75" t="n">
        <v>5</v>
      </c>
    </row>
    <row r="7">
      <c r="B7" s="86" t="inlineStr">
        <is>
          <t>NoFin-23.75</t>
        </is>
      </c>
      <c r="C7" s="87" t="inlineStr">
        <is>
          <t>RII &lt; 140</t>
        </is>
      </c>
      <c r="D7" s="88" t="n">
        <v>260000</v>
      </c>
      <c r="E7" s="83">
        <f>D7*0.42</f>
        <v/>
      </c>
      <c r="F7" s="87" t="n">
        <v>22</v>
      </c>
      <c r="G7" s="88">
        <f>E7*F7</f>
        <v/>
      </c>
      <c r="H7" s="87" t="n">
        <v>0</v>
      </c>
      <c r="I7" s="83">
        <f>D7*0.15</f>
        <v/>
      </c>
      <c r="J7" s="88">
        <f>H7*I7</f>
        <v/>
      </c>
      <c r="K7" s="88">
        <f>G7-J7</f>
        <v/>
      </c>
      <c r="L7" s="88">
        <f>K7/12</f>
        <v/>
      </c>
      <c r="M7" s="89">
        <f>(L7/D7)*100</f>
        <v/>
      </c>
      <c r="N7" s="90">
        <f>M7*2</f>
        <v/>
      </c>
      <c r="O7" s="80" t="n"/>
      <c r="P7" s="80" t="n"/>
      <c r="Q7" s="80" t="n">
        <v>2</v>
      </c>
    </row>
    <row r="8">
      <c r="B8" s="70" t="inlineStr">
        <is>
          <t>NoFin-17.9</t>
        </is>
      </c>
      <c r="C8" s="71" t="inlineStr">
        <is>
          <t>RII &lt; 140</t>
        </is>
      </c>
      <c r="D8" s="72" t="n">
        <v>260000</v>
      </c>
      <c r="E8" s="72">
        <f>D8*0.21</f>
        <v/>
      </c>
      <c r="F8" s="72">
        <f>F2</f>
        <v/>
      </c>
      <c r="G8" s="72">
        <f>E8*F8</f>
        <v/>
      </c>
      <c r="H8" s="72">
        <f>H2</f>
        <v/>
      </c>
      <c r="I8" s="72">
        <f>D8*0.15</f>
        <v/>
      </c>
      <c r="J8" s="72">
        <f>H8*I8</f>
        <v/>
      </c>
      <c r="K8" s="72">
        <f>G8-J8</f>
        <v/>
      </c>
      <c r="L8" s="72">
        <f>K8/12</f>
        <v/>
      </c>
      <c r="M8" s="73">
        <f>(L8/D8)*100</f>
        <v/>
      </c>
      <c r="N8" s="74">
        <f>M8*2</f>
        <v/>
      </c>
      <c r="O8" s="75" t="n"/>
      <c r="P8" s="75" t="n"/>
      <c r="Q8" s="75" t="n">
        <v>12</v>
      </c>
    </row>
    <row r="9">
      <c r="A9" s="52" t="inlineStr">
        <is>
          <t>Average case</t>
        </is>
      </c>
      <c r="B9" s="76" t="inlineStr">
        <is>
          <t>Fin-16.6</t>
        </is>
      </c>
      <c r="C9" s="77" t="inlineStr">
        <is>
          <t>RII &lt; 140</t>
        </is>
      </c>
      <c r="D9" s="75" t="n">
        <v>260000</v>
      </c>
      <c r="E9" s="72">
        <f>D9*0.21</f>
        <v/>
      </c>
      <c r="F9" s="75">
        <f>F3</f>
        <v/>
      </c>
      <c r="G9" s="75">
        <f>E9*F9</f>
        <v/>
      </c>
      <c r="H9" s="75">
        <f>H3</f>
        <v/>
      </c>
      <c r="I9" s="72">
        <f>D9*0.15</f>
        <v/>
      </c>
      <c r="J9" s="75">
        <f>H9*I9</f>
        <v/>
      </c>
      <c r="K9" s="75">
        <f>G9-J9</f>
        <v/>
      </c>
      <c r="L9" s="75">
        <f>K9/12</f>
        <v/>
      </c>
      <c r="M9" s="78">
        <f>(L9/D9)*100</f>
        <v/>
      </c>
      <c r="N9" s="79">
        <f>M9*2</f>
        <v/>
      </c>
      <c r="O9" s="75" t="n"/>
      <c r="P9" s="75" t="n"/>
      <c r="Q9" s="75" t="n">
        <v>13</v>
      </c>
    </row>
    <row r="10">
      <c r="A10" s="52" t="inlineStr">
        <is>
          <t>profit - 21</t>
        </is>
      </c>
      <c r="B10" s="76" t="inlineStr">
        <is>
          <t>Fin-21.55</t>
        </is>
      </c>
      <c r="C10" s="77" t="inlineStr">
        <is>
          <t>RII &lt; 140</t>
        </is>
      </c>
      <c r="D10" s="75" t="n">
        <v>260000</v>
      </c>
      <c r="E10" s="72">
        <f>D10*0.21</f>
        <v/>
      </c>
      <c r="F10" s="75">
        <f>F4</f>
        <v/>
      </c>
      <c r="G10" s="75">
        <f>E10*F10</f>
        <v/>
      </c>
      <c r="H10" s="75">
        <f>H4</f>
        <v/>
      </c>
      <c r="I10" s="72">
        <f>D10*0.15</f>
        <v/>
      </c>
      <c r="J10" s="75">
        <f>H10*I10</f>
        <v/>
      </c>
      <c r="K10" s="75">
        <f>G10-J10</f>
        <v/>
      </c>
      <c r="L10" s="75">
        <f>K10/12</f>
        <v/>
      </c>
      <c r="M10" s="78">
        <f>(L10/D10)*100</f>
        <v/>
      </c>
      <c r="N10" s="79">
        <f>M10*2</f>
        <v/>
      </c>
      <c r="O10" s="75" t="n"/>
      <c r="P10" s="75" t="n"/>
      <c r="Q10" s="75" t="n">
        <v>4</v>
      </c>
    </row>
    <row r="11">
      <c r="A11" s="52" t="inlineStr">
        <is>
          <t>Loss - 15</t>
        </is>
      </c>
      <c r="B11" s="81" t="inlineStr">
        <is>
          <t>Fin-23.75</t>
        </is>
      </c>
      <c r="C11" s="82" t="inlineStr">
        <is>
          <t>RII &lt; 140</t>
        </is>
      </c>
      <c r="D11" s="80" t="n">
        <v>260000</v>
      </c>
      <c r="E11" s="83">
        <f>D11*0.21</f>
        <v/>
      </c>
      <c r="F11" s="82">
        <f>F5</f>
        <v/>
      </c>
      <c r="G11" s="80">
        <f>E11*F11</f>
        <v/>
      </c>
      <c r="H11" s="82">
        <f>H5</f>
        <v/>
      </c>
      <c r="I11" s="83">
        <f>D11*0.15</f>
        <v/>
      </c>
      <c r="J11" s="80">
        <f>H11*I11</f>
        <v/>
      </c>
      <c r="K11" s="80">
        <f>G11-J11</f>
        <v/>
      </c>
      <c r="L11" s="80">
        <f>K11/12</f>
        <v/>
      </c>
      <c r="M11" s="84">
        <f>(L11/D11)*100</f>
        <v/>
      </c>
      <c r="N11" s="85">
        <f>M11*2</f>
        <v/>
      </c>
      <c r="O11" s="80" t="n"/>
      <c r="P11" s="80" t="n"/>
      <c r="Q11" s="80" t="n">
        <v>2</v>
      </c>
    </row>
    <row r="12">
      <c r="B12" s="76" t="inlineStr">
        <is>
          <t>NoFin-21.5</t>
        </is>
      </c>
      <c r="C12" s="77" t="inlineStr">
        <is>
          <t>RII &lt; 140</t>
        </is>
      </c>
      <c r="D12" s="75" t="n">
        <v>260000</v>
      </c>
      <c r="E12" s="72">
        <f>D12*0.21</f>
        <v/>
      </c>
      <c r="F12" s="75">
        <f>F6</f>
        <v/>
      </c>
      <c r="G12" s="75">
        <f>E12*F12</f>
        <v/>
      </c>
      <c r="H12" s="75">
        <f>H6</f>
        <v/>
      </c>
      <c r="I12" s="72">
        <f>D12*0.15</f>
        <v/>
      </c>
      <c r="J12" s="75">
        <f>H12*I12</f>
        <v/>
      </c>
      <c r="K12" s="75">
        <f>G12-J12</f>
        <v/>
      </c>
      <c r="L12" s="75">
        <f>K12/12</f>
        <v/>
      </c>
      <c r="M12" s="78">
        <f>(L12/D12)*100</f>
        <v/>
      </c>
      <c r="N12" s="79">
        <f>M12*2</f>
        <v/>
      </c>
      <c r="O12" s="75" t="n"/>
      <c r="P12" s="75" t="n"/>
      <c r="Q12" s="75" t="n">
        <v>5</v>
      </c>
    </row>
    <row r="13">
      <c r="B13" s="86" t="inlineStr">
        <is>
          <t>NoFin-23.75</t>
        </is>
      </c>
      <c r="C13" s="87" t="inlineStr">
        <is>
          <t>RII &lt; 140</t>
        </is>
      </c>
      <c r="D13" s="88" t="n">
        <v>260000</v>
      </c>
      <c r="E13" s="83">
        <f>D13*0.21</f>
        <v/>
      </c>
      <c r="F13" s="87">
        <f>F7</f>
        <v/>
      </c>
      <c r="G13" s="88">
        <f>E13*F13</f>
        <v/>
      </c>
      <c r="H13" s="87">
        <f>H7</f>
        <v/>
      </c>
      <c r="I13" s="83">
        <f>D13*0.15</f>
        <v/>
      </c>
      <c r="J13" s="88">
        <f>H13*I13</f>
        <v/>
      </c>
      <c r="K13" s="88">
        <f>G13-J13</f>
        <v/>
      </c>
      <c r="L13" s="88">
        <f>K13/12</f>
        <v/>
      </c>
      <c r="M13" s="89">
        <f>(L13/D13)*100</f>
        <v/>
      </c>
      <c r="N13" s="90">
        <f>M13*2</f>
        <v/>
      </c>
      <c r="O13" s="80" t="n"/>
      <c r="P13" s="80" t="n"/>
      <c r="Q13" s="80" t="n">
        <v>2</v>
      </c>
    </row>
    <row r="14">
      <c r="B14" s="70" t="inlineStr">
        <is>
          <t>NoFin-17.9</t>
        </is>
      </c>
      <c r="C14" s="71" t="inlineStr">
        <is>
          <t>RII &lt; 140</t>
        </is>
      </c>
      <c r="D14" s="72" t="n">
        <v>260000</v>
      </c>
      <c r="E14" s="72">
        <f>D14*0.15</f>
        <v/>
      </c>
      <c r="F14" s="72">
        <f>F2</f>
        <v/>
      </c>
      <c r="G14" s="72">
        <f>E14*F14</f>
        <v/>
      </c>
      <c r="H14" s="72">
        <f>H2</f>
        <v/>
      </c>
      <c r="I14" s="72">
        <f>D14*0.2</f>
        <v/>
      </c>
      <c r="J14" s="72">
        <f>H14*I14</f>
        <v/>
      </c>
      <c r="K14" s="72">
        <f>G14-J14</f>
        <v/>
      </c>
      <c r="L14" s="72">
        <f>K14/12</f>
        <v/>
      </c>
      <c r="M14" s="73">
        <f>(L14/D14)*100</f>
        <v/>
      </c>
      <c r="N14" s="74">
        <f>M14*2</f>
        <v/>
      </c>
      <c r="O14" s="75" t="n"/>
      <c r="P14" s="75" t="n"/>
      <c r="Q14" s="75" t="n">
        <v>12</v>
      </c>
    </row>
    <row r="15">
      <c r="A15" s="52" t="inlineStr">
        <is>
          <t>Worst case</t>
        </is>
      </c>
      <c r="B15" s="76" t="inlineStr">
        <is>
          <t>Fin-16.6</t>
        </is>
      </c>
      <c r="C15" s="77" t="inlineStr">
        <is>
          <t>RII &lt; 140</t>
        </is>
      </c>
      <c r="D15" s="75" t="n">
        <v>260000</v>
      </c>
      <c r="E15" s="72">
        <f>D15*0.15</f>
        <v/>
      </c>
      <c r="F15" s="75">
        <f>F3</f>
        <v/>
      </c>
      <c r="G15" s="75">
        <f>E15*F15</f>
        <v/>
      </c>
      <c r="H15" s="75">
        <f>H3</f>
        <v/>
      </c>
      <c r="I15" s="72">
        <f>D15*0.2</f>
        <v/>
      </c>
      <c r="J15" s="75">
        <f>H15*I15</f>
        <v/>
      </c>
      <c r="K15" s="75">
        <f>G15-J15</f>
        <v/>
      </c>
      <c r="L15" s="75">
        <f>K15/12</f>
        <v/>
      </c>
      <c r="M15" s="78">
        <f>(L15/D15)*100</f>
        <v/>
      </c>
      <c r="N15" s="79">
        <f>M15*2</f>
        <v/>
      </c>
      <c r="O15" s="75" t="n"/>
      <c r="P15" s="75" t="n"/>
      <c r="Q15" s="75" t="n">
        <v>13</v>
      </c>
    </row>
    <row r="16">
      <c r="A16" s="52" t="inlineStr">
        <is>
          <t>profit - 15</t>
        </is>
      </c>
      <c r="B16" s="76" t="inlineStr">
        <is>
          <t>Fin-21.55</t>
        </is>
      </c>
      <c r="C16" s="77" t="inlineStr">
        <is>
          <t>RII &lt; 140</t>
        </is>
      </c>
      <c r="D16" s="75" t="n">
        <v>260000</v>
      </c>
      <c r="E16" s="72">
        <f>D16*0.15</f>
        <v/>
      </c>
      <c r="F16" s="75">
        <f>F4</f>
        <v/>
      </c>
      <c r="G16" s="75">
        <f>E16*F16</f>
        <v/>
      </c>
      <c r="H16" s="75">
        <f>H4</f>
        <v/>
      </c>
      <c r="I16" s="72">
        <f>D16*0.2</f>
        <v/>
      </c>
      <c r="J16" s="75">
        <f>H16*I16</f>
        <v/>
      </c>
      <c r="K16" s="75">
        <f>G16-J16</f>
        <v/>
      </c>
      <c r="L16" s="75">
        <f>K16/12</f>
        <v/>
      </c>
      <c r="M16" s="78">
        <f>(L16/D16)*100</f>
        <v/>
      </c>
      <c r="N16" s="79">
        <f>M16*2</f>
        <v/>
      </c>
      <c r="O16" s="75" t="n"/>
      <c r="P16" s="75" t="n"/>
      <c r="Q16" s="75" t="n">
        <v>4</v>
      </c>
    </row>
    <row r="17">
      <c r="A17" s="52" t="inlineStr">
        <is>
          <t>Loss - 20</t>
        </is>
      </c>
      <c r="B17" s="81" t="inlineStr">
        <is>
          <t>Fin-23.75</t>
        </is>
      </c>
      <c r="C17" s="82" t="inlineStr">
        <is>
          <t>RII &lt; 140</t>
        </is>
      </c>
      <c r="D17" s="80" t="n">
        <v>260000</v>
      </c>
      <c r="E17" s="83">
        <f>D17*0.15</f>
        <v/>
      </c>
      <c r="F17" s="82">
        <f>F5</f>
        <v/>
      </c>
      <c r="G17" s="80">
        <f>E17*F17</f>
        <v/>
      </c>
      <c r="H17" s="82">
        <f>H5</f>
        <v/>
      </c>
      <c r="I17" s="83">
        <f>D17*0.2</f>
        <v/>
      </c>
      <c r="J17" s="80">
        <f>H17*I17</f>
        <v/>
      </c>
      <c r="K17" s="80">
        <f>G17-J17</f>
        <v/>
      </c>
      <c r="L17" s="80">
        <f>K17/12</f>
        <v/>
      </c>
      <c r="M17" s="84">
        <f>(L17/D17)*100</f>
        <v/>
      </c>
      <c r="N17" s="85">
        <f>M17*2</f>
        <v/>
      </c>
      <c r="O17" s="80" t="n"/>
      <c r="P17" s="80" t="n"/>
      <c r="Q17" s="80" t="n">
        <v>2</v>
      </c>
    </row>
    <row r="18">
      <c r="B18" s="76" t="inlineStr">
        <is>
          <t>NoFin-21.5</t>
        </is>
      </c>
      <c r="C18" s="77" t="inlineStr">
        <is>
          <t>RII &lt; 140</t>
        </is>
      </c>
      <c r="D18" s="75" t="n">
        <v>260000</v>
      </c>
      <c r="E18" s="72">
        <f>D18*0.15</f>
        <v/>
      </c>
      <c r="F18" s="75">
        <f>F6</f>
        <v/>
      </c>
      <c r="G18" s="75">
        <f>E18*F18</f>
        <v/>
      </c>
      <c r="H18" s="75">
        <f>H6</f>
        <v/>
      </c>
      <c r="I18" s="72">
        <f>D18*0.2</f>
        <v/>
      </c>
      <c r="J18" s="75">
        <f>H18*I18</f>
        <v/>
      </c>
      <c r="K18" s="75">
        <f>G18-J18</f>
        <v/>
      </c>
      <c r="L18" s="75">
        <f>K18/12</f>
        <v/>
      </c>
      <c r="M18" s="78">
        <f>(L18/D18)*100</f>
        <v/>
      </c>
      <c r="N18" s="79">
        <f>M18*2</f>
        <v/>
      </c>
      <c r="O18" s="75" t="n"/>
      <c r="P18" s="75" t="n"/>
      <c r="Q18" s="75" t="n">
        <v>5</v>
      </c>
    </row>
    <row r="19">
      <c r="B19" s="86" t="inlineStr">
        <is>
          <t>NoFin-23.75</t>
        </is>
      </c>
      <c r="C19" s="87" t="inlineStr">
        <is>
          <t>RII &lt; 140</t>
        </is>
      </c>
      <c r="D19" s="88" t="n">
        <v>260000</v>
      </c>
      <c r="E19" s="83">
        <f>D19*0.15</f>
        <v/>
      </c>
      <c r="F19" s="87">
        <f>F7</f>
        <v/>
      </c>
      <c r="G19" s="88">
        <f>E19*F19</f>
        <v/>
      </c>
      <c r="H19" s="87">
        <f>H7</f>
        <v/>
      </c>
      <c r="I19" s="83">
        <f>D19*0.2</f>
        <v/>
      </c>
      <c r="J19" s="88">
        <f>H19*I19</f>
        <v/>
      </c>
      <c r="K19" s="88">
        <f>G19-J19</f>
        <v/>
      </c>
      <c r="L19" s="88">
        <f>K19/12</f>
        <v/>
      </c>
      <c r="M19" s="89">
        <f>(L19/D19)*100</f>
        <v/>
      </c>
      <c r="N19" s="90">
        <f>M19*2</f>
        <v/>
      </c>
      <c r="O19" s="80" t="n"/>
      <c r="P19" s="80" t="n"/>
      <c r="Q19" s="80" t="n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12"/>
  <sheetViews>
    <sheetView workbookViewId="0">
      <selection activeCell="H11" sqref="H11"/>
    </sheetView>
  </sheetViews>
  <sheetFormatPr baseColWidth="8" defaultRowHeight="13.2" outlineLevelCol="0"/>
  <cols>
    <col width="12" customWidth="1" min="7" max="7"/>
    <col width="32.33203125" customWidth="1" min="9" max="9"/>
  </cols>
  <sheetData>
    <row r="2">
      <c r="B2" t="inlineStr">
        <is>
          <t>May</t>
        </is>
      </c>
      <c r="C2" t="inlineStr">
        <is>
          <t>SME</t>
        </is>
      </c>
      <c r="D2" t="inlineStr">
        <is>
          <t>MB</t>
        </is>
      </c>
      <c r="E2" t="inlineStr">
        <is>
          <t>Total IPO</t>
        </is>
      </c>
      <c r="F2" t="inlineStr">
        <is>
          <t>SMWS</t>
        </is>
      </c>
      <c r="G2" t="inlineStr">
        <is>
          <t>GoodMB</t>
        </is>
      </c>
      <c r="I2" t="inlineStr">
        <is>
          <t>Capital Allocation Non availability loss</t>
        </is>
      </c>
    </row>
    <row r="3">
      <c r="B3" t="inlineStr">
        <is>
          <t>Best</t>
        </is>
      </c>
      <c r="C3" t="n">
        <v>282</v>
      </c>
      <c r="D3" t="n">
        <v>154</v>
      </c>
      <c r="E3">
        <f>SUM(C3:D3)</f>
        <v/>
      </c>
      <c r="F3" t="n">
        <v>48</v>
      </c>
      <c r="G3" t="n">
        <v>30</v>
      </c>
      <c r="H3">
        <f>SUM(E3+F3+G3)</f>
        <v/>
      </c>
      <c r="I3">
        <f>H3*0.7</f>
        <v/>
      </c>
    </row>
    <row r="4">
      <c r="B4" t="inlineStr">
        <is>
          <t>Average</t>
        </is>
      </c>
      <c r="C4" t="n">
        <v>183</v>
      </c>
      <c r="D4" t="n">
        <v>77</v>
      </c>
      <c r="E4">
        <f>SUM(C4:D4)</f>
        <v/>
      </c>
      <c r="F4" t="n">
        <v>36</v>
      </c>
      <c r="G4" t="n">
        <v>20</v>
      </c>
      <c r="H4">
        <f>SUM(E4+F4+G4)</f>
        <v/>
      </c>
      <c r="I4">
        <f>H4*0.7</f>
        <v/>
      </c>
    </row>
    <row r="5">
      <c r="B5" t="inlineStr">
        <is>
          <t>Worst</t>
        </is>
      </c>
      <c r="C5" t="n">
        <v>50</v>
      </c>
      <c r="D5" t="n">
        <v>55</v>
      </c>
      <c r="E5">
        <f>SUM(C5:D5)</f>
        <v/>
      </c>
      <c r="F5" t="n">
        <v>24</v>
      </c>
      <c r="G5" t="n">
        <v>10</v>
      </c>
      <c r="H5">
        <f>SUM(E5+F5+G5)</f>
        <v/>
      </c>
      <c r="I5">
        <f>H5*0.7</f>
        <v/>
      </c>
    </row>
    <row r="9">
      <c r="B9" t="inlineStr">
        <is>
          <t>July</t>
        </is>
      </c>
      <c r="C9" t="inlineStr">
        <is>
          <t>SME</t>
        </is>
      </c>
      <c r="D9" t="inlineStr">
        <is>
          <t>MB</t>
        </is>
      </c>
      <c r="E9" t="inlineStr">
        <is>
          <t>Total IPO</t>
        </is>
      </c>
      <c r="F9" t="inlineStr">
        <is>
          <t>SMWS</t>
        </is>
      </c>
      <c r="G9" t="inlineStr">
        <is>
          <t>GoodMB</t>
        </is>
      </c>
      <c r="I9" t="inlineStr">
        <is>
          <t>Capital Allocation Non availability loss</t>
        </is>
      </c>
    </row>
    <row r="10">
      <c r="B10" t="inlineStr">
        <is>
          <t>Best</t>
        </is>
      </c>
      <c r="E10">
        <f>SUM(C10:D10)</f>
        <v/>
      </c>
      <c r="F10" t="n">
        <v>48</v>
      </c>
      <c r="G10" t="n">
        <v>0</v>
      </c>
      <c r="H10">
        <f>SUM(E10+F10+G10)</f>
        <v/>
      </c>
      <c r="I10">
        <f>H10*0.8</f>
        <v/>
      </c>
    </row>
    <row r="11">
      <c r="B11" t="inlineStr">
        <is>
          <t>Average</t>
        </is>
      </c>
      <c r="C11" t="n">
        <v>136</v>
      </c>
      <c r="D11" t="n">
        <v>77</v>
      </c>
      <c r="E11">
        <f>SUM(C11:D11)</f>
        <v/>
      </c>
      <c r="F11" t="n">
        <v>36</v>
      </c>
      <c r="G11" t="n">
        <v>0</v>
      </c>
      <c r="H11">
        <f>SUM(E11+F11+G11)</f>
        <v/>
      </c>
      <c r="I11">
        <f>H11*0.8</f>
        <v/>
      </c>
    </row>
    <row r="12">
      <c r="B12" t="inlineStr">
        <is>
          <t>Worst</t>
        </is>
      </c>
      <c r="C12" t="n">
        <v>41</v>
      </c>
      <c r="D12" t="n">
        <v>55</v>
      </c>
      <c r="E12">
        <f>SUM(C12:D12)</f>
        <v/>
      </c>
      <c r="F12" t="n">
        <v>24</v>
      </c>
      <c r="G12" t="n">
        <v>0</v>
      </c>
      <c r="H12">
        <f>SUM(E12+F12+G12)</f>
        <v/>
      </c>
      <c r="I12">
        <f>H12*0.8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3:D4"/>
  <sheetViews>
    <sheetView workbookViewId="0">
      <selection activeCell="C3" sqref="C3"/>
    </sheetView>
  </sheetViews>
  <sheetFormatPr baseColWidth="8" defaultRowHeight="13.2"/>
  <sheetData>
    <row r="3">
      <c r="C3" t="inlineStr">
        <is>
          <t>IPO subscription till 3 pm is less as compared to 4 pm</t>
        </is>
      </c>
      <c r="D3" t="inlineStr">
        <is>
          <t>but as kotak bank allow till 3 pm only, in all uplcojing ipos subcription figure will be 20 % less than previous ipos</t>
        </is>
      </c>
    </row>
    <row r="4">
      <c r="C4" t="inlineStr">
        <is>
          <t>as 3 pm update will be done at 2.50 pm instead of 4 pm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en-GB</dc:language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2026-09-27T05:41:55Z</dcterms:modified>
  <cp:lastModifiedBy>bruce wayne</cp:lastModifiedBy>
  <cp:revision>5</cp:revision>
</cp:coreProperties>
</file>