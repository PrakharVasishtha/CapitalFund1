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105" yWindow="-105" windowWidth="23250" windowHeight="12450" tabRatio="360"/>
  </bookViews>
  <sheets>
    <sheet name="IPOSME" sheetId="1" r:id="rId1"/>
    <sheet name="IPOMB" sheetId="2" r:id="rId2"/>
  </sheets>
  <definedNames>
    <definedName name="_xlnm._FilterDatabase" localSheetId="0" hidden="1">IPOSME!$AB$1:$AB$387</definedName>
  </definedNames>
  <calcPr calcId="162913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J129" i="2"/>
  <c r="AK129" i="2" s="1"/>
  <c r="AP129" i="2" s="1"/>
  <c r="P129" i="2"/>
  <c r="G129" i="2"/>
  <c r="AJ128" i="2"/>
  <c r="AK128" i="2" s="1"/>
  <c r="AP128" i="2" s="1"/>
  <c r="P128" i="2"/>
  <c r="G128" i="2"/>
  <c r="AJ127" i="2"/>
  <c r="P127" i="2"/>
  <c r="AG127" i="2" s="1"/>
  <c r="G127" i="2"/>
  <c r="AJ126" i="2"/>
  <c r="P126" i="2"/>
  <c r="G126" i="2"/>
  <c r="AJ125" i="2"/>
  <c r="P125" i="2"/>
  <c r="G125" i="2"/>
  <c r="AJ124" i="2"/>
  <c r="P124" i="2"/>
  <c r="G124" i="2"/>
  <c r="AG124" i="2" s="1"/>
  <c r="AJ123" i="2"/>
  <c r="AA123" i="2"/>
  <c r="P123" i="2"/>
  <c r="G123" i="2"/>
  <c r="AG123" i="2" s="1"/>
  <c r="AJ122" i="2"/>
  <c r="AA122" i="2"/>
  <c r="P122" i="2"/>
  <c r="G122" i="2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M114" i="2"/>
  <c r="AL114" i="2"/>
  <c r="AJ114" i="2"/>
  <c r="AC114" i="2"/>
  <c r="AA114" i="2"/>
  <c r="P114" i="2"/>
  <c r="G114" i="2"/>
  <c r="AM113" i="2"/>
  <c r="AL113" i="2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M110" i="2"/>
  <c r="AL110" i="2"/>
  <c r="AJ110" i="2"/>
  <c r="AC110" i="2"/>
  <c r="AA110" i="2"/>
  <c r="P110" i="2"/>
  <c r="G110" i="2"/>
  <c r="AM109" i="2"/>
  <c r="AL109" i="2"/>
  <c r="AJ109" i="2"/>
  <c r="AC109" i="2"/>
  <c r="AA109" i="2"/>
  <c r="P109" i="2"/>
  <c r="G109" i="2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M98" i="2"/>
  <c r="AL98" i="2"/>
  <c r="AJ98" i="2"/>
  <c r="AC98" i="2"/>
  <c r="AA98" i="2"/>
  <c r="P98" i="2"/>
  <c r="G98" i="2"/>
  <c r="AM97" i="2"/>
  <c r="AL97" i="2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M93" i="2"/>
  <c r="AL93" i="2"/>
  <c r="AJ93" i="2"/>
  <c r="AC93" i="2"/>
  <c r="AA93" i="2"/>
  <c r="P93" i="2"/>
  <c r="G93" i="2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G79" i="2"/>
  <c r="AC79" i="2"/>
  <c r="AA79" i="2"/>
  <c r="AL78" i="2"/>
  <c r="AJ78" i="2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V383" i="1"/>
  <c r="AV382" i="1"/>
  <c r="AM382" i="1"/>
  <c r="AL382" i="1"/>
  <c r="AJ382" i="1"/>
  <c r="AK382" i="1" s="1"/>
  <c r="AP382" i="1" s="1"/>
  <c r="AV381" i="1"/>
  <c r="AM381" i="1"/>
  <c r="AL381" i="1"/>
  <c r="AJ381" i="1"/>
  <c r="AK381" i="1" s="1"/>
  <c r="AP381" i="1" s="1"/>
  <c r="AV380" i="1"/>
  <c r="AM380" i="1"/>
  <c r="AL380" i="1"/>
  <c r="AJ380" i="1"/>
  <c r="AK380" i="1" s="1"/>
  <c r="AP380" i="1" s="1"/>
  <c r="AV379" i="1"/>
  <c r="AM379" i="1"/>
  <c r="AL379" i="1"/>
  <c r="AJ379" i="1"/>
  <c r="AK379" i="1" s="1"/>
  <c r="AP379" i="1" s="1"/>
  <c r="P379" i="1"/>
  <c r="G379" i="1"/>
  <c r="AV378" i="1"/>
  <c r="AM378" i="1"/>
  <c r="AL378" i="1"/>
  <c r="AJ378" i="1"/>
  <c r="AK378" i="1" s="1"/>
  <c r="AP378" i="1" s="1"/>
  <c r="P378" i="1"/>
  <c r="G378" i="1"/>
  <c r="AV377" i="1"/>
  <c r="AM377" i="1"/>
  <c r="AL377" i="1"/>
  <c r="AJ377" i="1"/>
  <c r="AK377" i="1" s="1"/>
  <c r="AP377" i="1" s="1"/>
  <c r="P377" i="1"/>
  <c r="G377" i="1"/>
  <c r="AV376" i="1"/>
  <c r="AP376" i="1"/>
  <c r="AM376" i="1"/>
  <c r="AL376" i="1"/>
  <c r="AJ376" i="1"/>
  <c r="AC376" i="1"/>
  <c r="AA376" i="1"/>
  <c r="P376" i="1"/>
  <c r="G376" i="1"/>
  <c r="AV375" i="1"/>
  <c r="AM375" i="1"/>
  <c r="AL375" i="1"/>
  <c r="AJ375" i="1"/>
  <c r="AC375" i="1"/>
  <c r="AA375" i="1"/>
  <c r="P375" i="1"/>
  <c r="G375" i="1"/>
  <c r="AV374" i="1"/>
  <c r="AM374" i="1"/>
  <c r="AL374" i="1"/>
  <c r="AJ374" i="1"/>
  <c r="AC374" i="1"/>
  <c r="AA374" i="1"/>
  <c r="P374" i="1"/>
  <c r="G374" i="1"/>
  <c r="AV373" i="1"/>
  <c r="AM373" i="1"/>
  <c r="AL373" i="1"/>
  <c r="AJ373" i="1"/>
  <c r="AC373" i="1"/>
  <c r="AA373" i="1"/>
  <c r="P373" i="1"/>
  <c r="G373" i="1"/>
  <c r="AV372" i="1"/>
  <c r="AM372" i="1"/>
  <c r="AL372" i="1"/>
  <c r="AJ372" i="1"/>
  <c r="AC372" i="1"/>
  <c r="AA372" i="1"/>
  <c r="P372" i="1"/>
  <c r="G372" i="1"/>
  <c r="AV371" i="1"/>
  <c r="AM371" i="1"/>
  <c r="AL371" i="1"/>
  <c r="AJ371" i="1"/>
  <c r="AC371" i="1"/>
  <c r="AA371" i="1"/>
  <c r="P371" i="1"/>
  <c r="G371" i="1"/>
  <c r="AV370" i="1"/>
  <c r="AM370" i="1"/>
  <c r="AL370" i="1"/>
  <c r="AJ370" i="1"/>
  <c r="AC370" i="1"/>
  <c r="AA370" i="1"/>
  <c r="P370" i="1"/>
  <c r="G370" i="1"/>
  <c r="AV369" i="1"/>
  <c r="AM369" i="1"/>
  <c r="AL369" i="1"/>
  <c r="AJ369" i="1"/>
  <c r="AC369" i="1"/>
  <c r="AA369" i="1"/>
  <c r="P369" i="1"/>
  <c r="G369" i="1"/>
  <c r="AV368" i="1"/>
  <c r="AM368" i="1"/>
  <c r="AL368" i="1"/>
  <c r="AJ368" i="1"/>
  <c r="AC368" i="1"/>
  <c r="AA368" i="1"/>
  <c r="P368" i="1"/>
  <c r="G368" i="1"/>
  <c r="AV367" i="1"/>
  <c r="AM367" i="1"/>
  <c r="AL367" i="1"/>
  <c r="AJ367" i="1"/>
  <c r="AC367" i="1"/>
  <c r="AA367" i="1"/>
  <c r="P367" i="1"/>
  <c r="G367" i="1"/>
  <c r="AV366" i="1"/>
  <c r="AM366" i="1"/>
  <c r="AL366" i="1"/>
  <c r="AJ366" i="1"/>
  <c r="AC366" i="1"/>
  <c r="AA366" i="1"/>
  <c r="P366" i="1"/>
  <c r="G366" i="1"/>
  <c r="AV365" i="1"/>
  <c r="AM365" i="1"/>
  <c r="AL365" i="1"/>
  <c r="AJ365" i="1"/>
  <c r="AC365" i="1"/>
  <c r="AA365" i="1"/>
  <c r="P365" i="1"/>
  <c r="G365" i="1"/>
  <c r="AV364" i="1"/>
  <c r="AM364" i="1"/>
  <c r="AL364" i="1"/>
  <c r="AJ364" i="1"/>
  <c r="AC364" i="1"/>
  <c r="AA364" i="1"/>
  <c r="P364" i="1"/>
  <c r="G364" i="1"/>
  <c r="AV363" i="1"/>
  <c r="AM363" i="1"/>
  <c r="AL363" i="1"/>
  <c r="AJ363" i="1"/>
  <c r="AC363" i="1"/>
  <c r="AA363" i="1"/>
  <c r="P363" i="1"/>
  <c r="G363" i="1"/>
  <c r="AV362" i="1"/>
  <c r="AM362" i="1"/>
  <c r="AL362" i="1"/>
  <c r="AJ362" i="1"/>
  <c r="AC362" i="1"/>
  <c r="AA362" i="1"/>
  <c r="P362" i="1"/>
  <c r="G362" i="1"/>
  <c r="AV361" i="1"/>
  <c r="AM361" i="1"/>
  <c r="AL361" i="1"/>
  <c r="AJ361" i="1"/>
  <c r="AC361" i="1"/>
  <c r="AA361" i="1"/>
  <c r="P361" i="1"/>
  <c r="G361" i="1"/>
  <c r="AV360" i="1"/>
  <c r="AM360" i="1"/>
  <c r="AL360" i="1"/>
  <c r="AJ360" i="1"/>
  <c r="AC360" i="1"/>
  <c r="AA360" i="1"/>
  <c r="P360" i="1"/>
  <c r="G360" i="1"/>
  <c r="AV359" i="1"/>
  <c r="AM359" i="1"/>
  <c r="AL359" i="1"/>
  <c r="AJ359" i="1"/>
  <c r="AC359" i="1"/>
  <c r="AA359" i="1"/>
  <c r="P359" i="1"/>
  <c r="G359" i="1"/>
  <c r="AV358" i="1"/>
  <c r="AM358" i="1"/>
  <c r="AL358" i="1"/>
  <c r="AJ358" i="1"/>
  <c r="AC358" i="1"/>
  <c r="AA358" i="1"/>
  <c r="P358" i="1"/>
  <c r="G358" i="1"/>
  <c r="AV357" i="1"/>
  <c r="AM357" i="1"/>
  <c r="AL357" i="1"/>
  <c r="AJ357" i="1"/>
  <c r="AC357" i="1"/>
  <c r="AA357" i="1"/>
  <c r="P357" i="1"/>
  <c r="G357" i="1"/>
  <c r="AV356" i="1"/>
  <c r="AM356" i="1"/>
  <c r="AL356" i="1"/>
  <c r="AJ356" i="1"/>
  <c r="AC356" i="1"/>
  <c r="AA356" i="1"/>
  <c r="P356" i="1"/>
  <c r="G356" i="1"/>
  <c r="AV355" i="1"/>
  <c r="AM355" i="1"/>
  <c r="AL355" i="1"/>
  <c r="AJ355" i="1"/>
  <c r="AC355" i="1"/>
  <c r="AA355" i="1"/>
  <c r="P355" i="1"/>
  <c r="G355" i="1"/>
  <c r="AV354" i="1"/>
  <c r="AM354" i="1"/>
  <c r="AL354" i="1"/>
  <c r="AJ354" i="1"/>
  <c r="AC354" i="1"/>
  <c r="AA354" i="1"/>
  <c r="P354" i="1"/>
  <c r="G354" i="1"/>
  <c r="AV353" i="1"/>
  <c r="AM353" i="1"/>
  <c r="AL353" i="1"/>
  <c r="AJ353" i="1"/>
  <c r="AC353" i="1"/>
  <c r="AA353" i="1"/>
  <c r="P353" i="1"/>
  <c r="G353" i="1"/>
  <c r="AV352" i="1"/>
  <c r="AM352" i="1"/>
  <c r="AL352" i="1"/>
  <c r="AJ352" i="1"/>
  <c r="AC352" i="1"/>
  <c r="AA352" i="1"/>
  <c r="P352" i="1"/>
  <c r="G352" i="1"/>
  <c r="AV351" i="1"/>
  <c r="AM351" i="1"/>
  <c r="AL351" i="1"/>
  <c r="AJ351" i="1"/>
  <c r="AC351" i="1"/>
  <c r="AA351" i="1"/>
  <c r="P351" i="1"/>
  <c r="G351" i="1"/>
  <c r="AV350" i="1"/>
  <c r="AM350" i="1"/>
  <c r="AL350" i="1"/>
  <c r="AJ350" i="1"/>
  <c r="AC350" i="1"/>
  <c r="AA350" i="1"/>
  <c r="P350" i="1"/>
  <c r="G350" i="1"/>
  <c r="AV349" i="1"/>
  <c r="AM349" i="1"/>
  <c r="AL349" i="1"/>
  <c r="AJ349" i="1"/>
  <c r="AC349" i="1"/>
  <c r="AA349" i="1"/>
  <c r="P349" i="1"/>
  <c r="G349" i="1"/>
  <c r="AV348" i="1"/>
  <c r="AM348" i="1"/>
  <c r="AL348" i="1"/>
  <c r="AJ348" i="1"/>
  <c r="AC348" i="1"/>
  <c r="AA348" i="1"/>
  <c r="P348" i="1"/>
  <c r="G348" i="1"/>
  <c r="AV347" i="1"/>
  <c r="AM347" i="1"/>
  <c r="AL347" i="1"/>
  <c r="AJ347" i="1"/>
  <c r="AC347" i="1"/>
  <c r="AA347" i="1"/>
  <c r="P347" i="1"/>
  <c r="G347" i="1"/>
  <c r="AV346" i="1"/>
  <c r="AM346" i="1"/>
  <c r="AL346" i="1"/>
  <c r="AJ346" i="1"/>
  <c r="AC346" i="1"/>
  <c r="AA346" i="1"/>
  <c r="P346" i="1"/>
  <c r="G346" i="1"/>
  <c r="AM345" i="1"/>
  <c r="AL345" i="1"/>
  <c r="AJ345" i="1"/>
  <c r="AC345" i="1"/>
  <c r="AA345" i="1"/>
  <c r="P345" i="1"/>
  <c r="G345" i="1"/>
  <c r="AM344" i="1"/>
  <c r="AL344" i="1"/>
  <c r="AJ344" i="1"/>
  <c r="AC344" i="1"/>
  <c r="AA344" i="1"/>
  <c r="P344" i="1"/>
  <c r="G344" i="1"/>
  <c r="AM343" i="1"/>
  <c r="AL343" i="1"/>
  <c r="AJ343" i="1"/>
  <c r="AC343" i="1"/>
  <c r="AA343" i="1"/>
  <c r="P343" i="1"/>
  <c r="G343" i="1"/>
  <c r="AM342" i="1"/>
  <c r="AL342" i="1"/>
  <c r="AJ342" i="1"/>
  <c r="AC342" i="1"/>
  <c r="AA342" i="1"/>
  <c r="P342" i="1"/>
  <c r="G342" i="1"/>
  <c r="AM341" i="1"/>
  <c r="AL341" i="1"/>
  <c r="AJ341" i="1"/>
  <c r="AC341" i="1"/>
  <c r="AA341" i="1"/>
  <c r="P341" i="1"/>
  <c r="G341" i="1"/>
  <c r="AM340" i="1"/>
  <c r="AL340" i="1"/>
  <c r="AJ340" i="1"/>
  <c r="AC340" i="1"/>
  <c r="AA340" i="1"/>
  <c r="P340" i="1"/>
  <c r="G340" i="1"/>
  <c r="AM339" i="1"/>
  <c r="AL339" i="1"/>
  <c r="AJ339" i="1"/>
  <c r="AC339" i="1"/>
  <c r="AA339" i="1"/>
  <c r="P339" i="1"/>
  <c r="G339" i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M334" i="1"/>
  <c r="AL334" i="1"/>
  <c r="AJ334" i="1"/>
  <c r="AC334" i="1"/>
  <c r="AA334" i="1"/>
  <c r="P334" i="1"/>
  <c r="G334" i="1"/>
  <c r="AM333" i="1"/>
  <c r="AL333" i="1"/>
  <c r="AJ333" i="1"/>
  <c r="AC333" i="1"/>
  <c r="AA333" i="1"/>
  <c r="P333" i="1"/>
  <c r="G333" i="1"/>
  <c r="AM332" i="1"/>
  <c r="AL332" i="1"/>
  <c r="AJ332" i="1"/>
  <c r="AC332" i="1"/>
  <c r="AA332" i="1"/>
  <c r="P332" i="1"/>
  <c r="G332" i="1"/>
  <c r="AM331" i="1"/>
  <c r="AL331" i="1"/>
  <c r="AJ331" i="1"/>
  <c r="AC331" i="1"/>
  <c r="AA331" i="1"/>
  <c r="P331" i="1"/>
  <c r="G331" i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M328" i="1"/>
  <c r="AL328" i="1"/>
  <c r="AJ328" i="1"/>
  <c r="AC328" i="1"/>
  <c r="AA328" i="1"/>
  <c r="P328" i="1"/>
  <c r="G328" i="1"/>
  <c r="AM327" i="1"/>
  <c r="AL327" i="1"/>
  <c r="AJ327" i="1"/>
  <c r="AC327" i="1"/>
  <c r="AA327" i="1"/>
  <c r="P327" i="1"/>
  <c r="G327" i="1"/>
  <c r="AM326" i="1"/>
  <c r="AL326" i="1"/>
  <c r="AJ326" i="1"/>
  <c r="AC326" i="1"/>
  <c r="AA326" i="1"/>
  <c r="P326" i="1"/>
  <c r="G326" i="1"/>
  <c r="AM325" i="1"/>
  <c r="AL325" i="1"/>
  <c r="AJ325" i="1"/>
  <c r="AC325" i="1"/>
  <c r="AA325" i="1"/>
  <c r="P325" i="1"/>
  <c r="G325" i="1"/>
  <c r="AM324" i="1"/>
  <c r="AL324" i="1"/>
  <c r="AJ324" i="1"/>
  <c r="AC324" i="1"/>
  <c r="AA324" i="1"/>
  <c r="P324" i="1"/>
  <c r="G324" i="1"/>
  <c r="AM323" i="1"/>
  <c r="AL323" i="1"/>
  <c r="AJ323" i="1"/>
  <c r="AC323" i="1"/>
  <c r="AA323" i="1"/>
  <c r="P323" i="1"/>
  <c r="G323" i="1"/>
  <c r="AM322" i="1"/>
  <c r="AL322" i="1"/>
  <c r="AJ322" i="1"/>
  <c r="AC322" i="1"/>
  <c r="AA322" i="1"/>
  <c r="P322" i="1"/>
  <c r="G322" i="1"/>
  <c r="AM321" i="1"/>
  <c r="AL321" i="1"/>
  <c r="AJ321" i="1"/>
  <c r="AC321" i="1"/>
  <c r="AA321" i="1"/>
  <c r="P321" i="1"/>
  <c r="G321" i="1"/>
  <c r="AM320" i="1"/>
  <c r="AL320" i="1"/>
  <c r="AJ320" i="1"/>
  <c r="AC320" i="1"/>
  <c r="AA320" i="1"/>
  <c r="P320" i="1"/>
  <c r="G320" i="1"/>
  <c r="AM319" i="1"/>
  <c r="AL319" i="1"/>
  <c r="AJ319" i="1"/>
  <c r="AC319" i="1"/>
  <c r="AA319" i="1"/>
  <c r="P319" i="1"/>
  <c r="G319" i="1"/>
  <c r="AM318" i="1"/>
  <c r="AL318" i="1"/>
  <c r="AJ318" i="1"/>
  <c r="AC318" i="1"/>
  <c r="AA318" i="1"/>
  <c r="P318" i="1"/>
  <c r="G318" i="1"/>
  <c r="AM317" i="1"/>
  <c r="AL317" i="1"/>
  <c r="AJ317" i="1"/>
  <c r="AC317" i="1"/>
  <c r="AA317" i="1"/>
  <c r="P317" i="1"/>
  <c r="G317" i="1"/>
  <c r="AM316" i="1"/>
  <c r="AL316" i="1"/>
  <c r="AJ316" i="1"/>
  <c r="AC316" i="1"/>
  <c r="AA316" i="1"/>
  <c r="P316" i="1"/>
  <c r="G316" i="1"/>
  <c r="AM315" i="1"/>
  <c r="AL315" i="1"/>
  <c r="AJ315" i="1"/>
  <c r="AC315" i="1"/>
  <c r="AA315" i="1"/>
  <c r="P315" i="1"/>
  <c r="G315" i="1"/>
  <c r="AM314" i="1"/>
  <c r="AL314" i="1"/>
  <c r="AJ314" i="1"/>
  <c r="AC314" i="1"/>
  <c r="AA314" i="1"/>
  <c r="P314" i="1"/>
  <c r="G314" i="1"/>
  <c r="AM313" i="1"/>
  <c r="AL313" i="1"/>
  <c r="AJ313" i="1"/>
  <c r="AC313" i="1"/>
  <c r="AA313" i="1"/>
  <c r="P313" i="1"/>
  <c r="G313" i="1"/>
  <c r="AM312" i="1"/>
  <c r="AL312" i="1"/>
  <c r="AJ312" i="1"/>
  <c r="AC312" i="1"/>
  <c r="AA312" i="1"/>
  <c r="P312" i="1"/>
  <c r="G312" i="1"/>
  <c r="AM311" i="1"/>
  <c r="AL311" i="1"/>
  <c r="AJ311" i="1"/>
  <c r="AC311" i="1"/>
  <c r="AA311" i="1"/>
  <c r="P311" i="1"/>
  <c r="G311" i="1"/>
  <c r="AM310" i="1"/>
  <c r="AL310" i="1"/>
  <c r="AJ310" i="1"/>
  <c r="AC310" i="1"/>
  <c r="AA310" i="1"/>
  <c r="P310" i="1"/>
  <c r="G310" i="1"/>
  <c r="AM309" i="1"/>
  <c r="AL309" i="1"/>
  <c r="AJ309" i="1"/>
  <c r="AC309" i="1"/>
  <c r="AA309" i="1"/>
  <c r="P309" i="1"/>
  <c r="G309" i="1"/>
  <c r="AM308" i="1"/>
  <c r="AL308" i="1"/>
  <c r="AJ308" i="1"/>
  <c r="AC308" i="1"/>
  <c r="AA308" i="1"/>
  <c r="P308" i="1"/>
  <c r="G308" i="1"/>
  <c r="AM307" i="1"/>
  <c r="AL307" i="1"/>
  <c r="AJ307" i="1"/>
  <c r="AC307" i="1"/>
  <c r="AA307" i="1"/>
  <c r="P307" i="1"/>
  <c r="G307" i="1"/>
  <c r="AM306" i="1"/>
  <c r="AL306" i="1"/>
  <c r="AJ306" i="1"/>
  <c r="AC306" i="1"/>
  <c r="AA306" i="1"/>
  <c r="P306" i="1"/>
  <c r="G306" i="1"/>
  <c r="AM305" i="1"/>
  <c r="AL305" i="1"/>
  <c r="AJ305" i="1"/>
  <c r="AC305" i="1"/>
  <c r="AA305" i="1"/>
  <c r="P305" i="1"/>
  <c r="G305" i="1"/>
  <c r="AM304" i="1"/>
  <c r="AL304" i="1"/>
  <c r="AJ304" i="1"/>
  <c r="AC304" i="1"/>
  <c r="AA304" i="1"/>
  <c r="P304" i="1"/>
  <c r="G304" i="1"/>
  <c r="AM303" i="1"/>
  <c r="AL303" i="1"/>
  <c r="AJ303" i="1"/>
  <c r="AC303" i="1"/>
  <c r="AA303" i="1"/>
  <c r="P303" i="1"/>
  <c r="G303" i="1"/>
  <c r="AM302" i="1"/>
  <c r="AL302" i="1"/>
  <c r="AJ302" i="1"/>
  <c r="AC302" i="1"/>
  <c r="AA302" i="1"/>
  <c r="P302" i="1"/>
  <c r="G302" i="1"/>
  <c r="AM301" i="1"/>
  <c r="AL301" i="1"/>
  <c r="AJ301" i="1"/>
  <c r="AC301" i="1"/>
  <c r="AA301" i="1"/>
  <c r="P301" i="1"/>
  <c r="G301" i="1"/>
  <c r="AM300" i="1"/>
  <c r="AL300" i="1"/>
  <c r="AJ300" i="1"/>
  <c r="AC300" i="1"/>
  <c r="AA300" i="1"/>
  <c r="P300" i="1"/>
  <c r="G300" i="1"/>
  <c r="AM299" i="1"/>
  <c r="AL299" i="1"/>
  <c r="AJ299" i="1"/>
  <c r="AC299" i="1"/>
  <c r="AA299" i="1"/>
  <c r="P299" i="1"/>
  <c r="G299" i="1"/>
  <c r="AM298" i="1"/>
  <c r="AL298" i="1"/>
  <c r="AJ298" i="1"/>
  <c r="AC298" i="1"/>
  <c r="AA298" i="1"/>
  <c r="P298" i="1"/>
  <c r="G298" i="1"/>
  <c r="AM297" i="1"/>
  <c r="AL297" i="1"/>
  <c r="AJ297" i="1"/>
  <c r="AC297" i="1"/>
  <c r="AA297" i="1"/>
  <c r="P297" i="1"/>
  <c r="G297" i="1"/>
  <c r="AM296" i="1"/>
  <c r="AL296" i="1"/>
  <c r="AJ296" i="1"/>
  <c r="AC296" i="1"/>
  <c r="AA296" i="1"/>
  <c r="P296" i="1"/>
  <c r="G296" i="1"/>
  <c r="AM295" i="1"/>
  <c r="AL295" i="1"/>
  <c r="AJ295" i="1"/>
  <c r="AC295" i="1"/>
  <c r="AA295" i="1"/>
  <c r="P295" i="1"/>
  <c r="G295" i="1"/>
  <c r="AM294" i="1"/>
  <c r="AL294" i="1"/>
  <c r="AJ294" i="1"/>
  <c r="AC294" i="1"/>
  <c r="AA294" i="1"/>
  <c r="P294" i="1"/>
  <c r="G294" i="1"/>
  <c r="AM293" i="1"/>
  <c r="AL293" i="1"/>
  <c r="AJ293" i="1"/>
  <c r="AC293" i="1"/>
  <c r="AA293" i="1"/>
  <c r="P293" i="1"/>
  <c r="G293" i="1"/>
  <c r="AM292" i="1"/>
  <c r="AL292" i="1"/>
  <c r="AJ292" i="1"/>
  <c r="AC292" i="1"/>
  <c r="AA292" i="1"/>
  <c r="P292" i="1"/>
  <c r="G292" i="1"/>
  <c r="AM291" i="1"/>
  <c r="AL291" i="1"/>
  <c r="AJ291" i="1"/>
  <c r="AC291" i="1"/>
  <c r="AA291" i="1"/>
  <c r="P291" i="1"/>
  <c r="G291" i="1"/>
  <c r="AM290" i="1"/>
  <c r="AL290" i="1"/>
  <c r="AJ290" i="1"/>
  <c r="AC290" i="1"/>
  <c r="AA290" i="1"/>
  <c r="P290" i="1"/>
  <c r="G290" i="1"/>
  <c r="AM289" i="1"/>
  <c r="AL289" i="1"/>
  <c r="AJ289" i="1"/>
  <c r="AC289" i="1"/>
  <c r="AA289" i="1"/>
  <c r="P289" i="1"/>
  <c r="G289" i="1"/>
  <c r="AM288" i="1"/>
  <c r="AL288" i="1"/>
  <c r="AJ288" i="1"/>
  <c r="AC288" i="1"/>
  <c r="AA288" i="1"/>
  <c r="P288" i="1"/>
  <c r="G288" i="1"/>
  <c r="AM287" i="1"/>
  <c r="AL287" i="1"/>
  <c r="AJ287" i="1"/>
  <c r="AC287" i="1"/>
  <c r="AA287" i="1"/>
  <c r="P287" i="1"/>
  <c r="G287" i="1"/>
  <c r="AM286" i="1"/>
  <c r="AL286" i="1"/>
  <c r="AJ286" i="1"/>
  <c r="AC286" i="1"/>
  <c r="AA286" i="1"/>
  <c r="P286" i="1"/>
  <c r="G286" i="1"/>
  <c r="AM285" i="1"/>
  <c r="AL285" i="1"/>
  <c r="AJ285" i="1"/>
  <c r="AC285" i="1"/>
  <c r="AA285" i="1"/>
  <c r="P285" i="1"/>
  <c r="G285" i="1"/>
  <c r="AM284" i="1"/>
  <c r="AL284" i="1"/>
  <c r="AJ284" i="1"/>
  <c r="AC284" i="1"/>
  <c r="AA284" i="1"/>
  <c r="P284" i="1"/>
  <c r="G284" i="1"/>
  <c r="AM283" i="1"/>
  <c r="AL283" i="1"/>
  <c r="AJ283" i="1"/>
  <c r="AC283" i="1"/>
  <c r="AA283" i="1"/>
  <c r="P283" i="1"/>
  <c r="G283" i="1"/>
  <c r="AM282" i="1"/>
  <c r="AL282" i="1"/>
  <c r="AJ282" i="1"/>
  <c r="AC282" i="1"/>
  <c r="AA282" i="1"/>
  <c r="P282" i="1"/>
  <c r="G282" i="1"/>
  <c r="AM281" i="1"/>
  <c r="AL281" i="1"/>
  <c r="AJ281" i="1"/>
  <c r="AC281" i="1"/>
  <c r="AA281" i="1"/>
  <c r="P281" i="1"/>
  <c r="G281" i="1"/>
  <c r="AM280" i="1"/>
  <c r="AL280" i="1"/>
  <c r="AJ280" i="1"/>
  <c r="AC280" i="1"/>
  <c r="AA280" i="1"/>
  <c r="P280" i="1"/>
  <c r="G280" i="1"/>
  <c r="AM279" i="1"/>
  <c r="AL279" i="1"/>
  <c r="AJ279" i="1"/>
  <c r="AC279" i="1"/>
  <c r="AA279" i="1"/>
  <c r="P279" i="1"/>
  <c r="G279" i="1"/>
  <c r="AM278" i="1"/>
  <c r="AL278" i="1"/>
  <c r="AJ278" i="1"/>
  <c r="AC278" i="1"/>
  <c r="AA278" i="1"/>
  <c r="P278" i="1"/>
  <c r="G278" i="1"/>
  <c r="AM277" i="1"/>
  <c r="AL277" i="1"/>
  <c r="AJ277" i="1"/>
  <c r="AC277" i="1"/>
  <c r="AA277" i="1"/>
  <c r="P277" i="1"/>
  <c r="G277" i="1"/>
  <c r="AM276" i="1"/>
  <c r="AL276" i="1"/>
  <c r="AJ276" i="1"/>
  <c r="AC276" i="1"/>
  <c r="AA276" i="1"/>
  <c r="P276" i="1"/>
  <c r="G276" i="1"/>
  <c r="AM275" i="1"/>
  <c r="AL275" i="1"/>
  <c r="AJ275" i="1"/>
  <c r="AC275" i="1"/>
  <c r="AA275" i="1"/>
  <c r="P275" i="1"/>
  <c r="G275" i="1"/>
  <c r="AM274" i="1"/>
  <c r="AL274" i="1"/>
  <c r="AJ274" i="1"/>
  <c r="AC274" i="1"/>
  <c r="AA274" i="1"/>
  <c r="P274" i="1"/>
  <c r="G274" i="1"/>
  <c r="AM273" i="1"/>
  <c r="AL273" i="1"/>
  <c r="AJ273" i="1"/>
  <c r="AC273" i="1"/>
  <c r="AA273" i="1"/>
  <c r="P273" i="1"/>
  <c r="G273" i="1"/>
  <c r="AM272" i="1"/>
  <c r="AL272" i="1"/>
  <c r="AJ272" i="1"/>
  <c r="AC272" i="1"/>
  <c r="AA272" i="1"/>
  <c r="P272" i="1"/>
  <c r="G272" i="1"/>
  <c r="AM271" i="1"/>
  <c r="AL271" i="1"/>
  <c r="AJ271" i="1"/>
  <c r="AC271" i="1"/>
  <c r="AA271" i="1"/>
  <c r="P271" i="1"/>
  <c r="G271" i="1"/>
  <c r="AM270" i="1"/>
  <c r="AL270" i="1"/>
  <c r="AJ270" i="1"/>
  <c r="AC270" i="1"/>
  <c r="AA270" i="1"/>
  <c r="P270" i="1"/>
  <c r="G270" i="1"/>
  <c r="AM269" i="1"/>
  <c r="AL269" i="1"/>
  <c r="AJ269" i="1"/>
  <c r="AC269" i="1"/>
  <c r="AA269" i="1"/>
  <c r="P269" i="1"/>
  <c r="G269" i="1"/>
  <c r="AM268" i="1"/>
  <c r="AL268" i="1"/>
  <c r="AJ268" i="1"/>
  <c r="AC268" i="1"/>
  <c r="AA268" i="1"/>
  <c r="P268" i="1"/>
  <c r="G268" i="1"/>
  <c r="AO267" i="1"/>
  <c r="AM267" i="1"/>
  <c r="AL267" i="1"/>
  <c r="AJ267" i="1"/>
  <c r="AC267" i="1"/>
  <c r="AA267" i="1"/>
  <c r="P267" i="1"/>
  <c r="G267" i="1"/>
  <c r="AO266" i="1"/>
  <c r="AM266" i="1"/>
  <c r="AL266" i="1"/>
  <c r="AJ266" i="1"/>
  <c r="AC266" i="1"/>
  <c r="AA266" i="1"/>
  <c r="P266" i="1"/>
  <c r="G266" i="1"/>
  <c r="AO265" i="1"/>
  <c r="AM265" i="1"/>
  <c r="AL265" i="1"/>
  <c r="AJ265" i="1"/>
  <c r="AC265" i="1"/>
  <c r="AA265" i="1"/>
  <c r="P265" i="1"/>
  <c r="G265" i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C263" i="1"/>
  <c r="AA263" i="1"/>
  <c r="P263" i="1"/>
  <c r="G263" i="1"/>
  <c r="AO262" i="1"/>
  <c r="AM262" i="1"/>
  <c r="AL262" i="1"/>
  <c r="AJ262" i="1"/>
  <c r="AC262" i="1"/>
  <c r="AA262" i="1"/>
  <c r="P262" i="1"/>
  <c r="G262" i="1"/>
  <c r="AO261" i="1"/>
  <c r="AM261" i="1"/>
  <c r="AL261" i="1"/>
  <c r="AJ261" i="1"/>
  <c r="AC261" i="1"/>
  <c r="AA261" i="1"/>
  <c r="P261" i="1"/>
  <c r="G261" i="1"/>
  <c r="AO260" i="1"/>
  <c r="AM260" i="1"/>
  <c r="AL260" i="1"/>
  <c r="AJ260" i="1"/>
  <c r="AC260" i="1"/>
  <c r="AA260" i="1"/>
  <c r="P260" i="1"/>
  <c r="G260" i="1"/>
  <c r="AO259" i="1"/>
  <c r="AM259" i="1"/>
  <c r="AL259" i="1"/>
  <c r="AJ259" i="1"/>
  <c r="AC259" i="1"/>
  <c r="AA259" i="1"/>
  <c r="P259" i="1"/>
  <c r="G259" i="1"/>
  <c r="AO258" i="1"/>
  <c r="AM258" i="1"/>
  <c r="AL258" i="1"/>
  <c r="AJ258" i="1"/>
  <c r="AC258" i="1"/>
  <c r="AA258" i="1"/>
  <c r="P258" i="1"/>
  <c r="G258" i="1"/>
  <c r="AO257" i="1"/>
  <c r="AM257" i="1"/>
  <c r="AL257" i="1"/>
  <c r="AJ257" i="1"/>
  <c r="AC257" i="1"/>
  <c r="AA257" i="1"/>
  <c r="P257" i="1"/>
  <c r="G257" i="1"/>
  <c r="AO256" i="1"/>
  <c r="AM256" i="1"/>
  <c r="AL256" i="1"/>
  <c r="AJ256" i="1"/>
  <c r="AC256" i="1"/>
  <c r="AA256" i="1"/>
  <c r="P256" i="1"/>
  <c r="G256" i="1"/>
  <c r="AO255" i="1"/>
  <c r="AM255" i="1"/>
  <c r="AL255" i="1"/>
  <c r="AJ255" i="1"/>
  <c r="AC255" i="1"/>
  <c r="AA255" i="1"/>
  <c r="P255" i="1"/>
  <c r="G255" i="1"/>
  <c r="AO254" i="1"/>
  <c r="AM254" i="1"/>
  <c r="AL254" i="1"/>
  <c r="AJ254" i="1"/>
  <c r="AC254" i="1"/>
  <c r="AA254" i="1"/>
  <c r="P254" i="1"/>
  <c r="G254" i="1"/>
  <c r="AO253" i="1"/>
  <c r="AM253" i="1"/>
  <c r="AL253" i="1"/>
  <c r="AJ253" i="1"/>
  <c r="AC253" i="1"/>
  <c r="AA253" i="1"/>
  <c r="P253" i="1"/>
  <c r="G253" i="1"/>
  <c r="AO252" i="1"/>
  <c r="AM252" i="1"/>
  <c r="AL252" i="1"/>
  <c r="AJ252" i="1"/>
  <c r="AC252" i="1"/>
  <c r="AA252" i="1"/>
  <c r="P252" i="1"/>
  <c r="G252" i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O249" i="1"/>
  <c r="AM249" i="1"/>
  <c r="AL249" i="1"/>
  <c r="AJ249" i="1"/>
  <c r="AC249" i="1"/>
  <c r="AA249" i="1"/>
  <c r="P249" i="1"/>
  <c r="G249" i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O246" i="1"/>
  <c r="AM246" i="1"/>
  <c r="AL246" i="1"/>
  <c r="AJ246" i="1"/>
  <c r="AC246" i="1"/>
  <c r="AA246" i="1"/>
  <c r="P246" i="1"/>
  <c r="G246" i="1"/>
  <c r="AO245" i="1"/>
  <c r="AM245" i="1"/>
  <c r="AL245" i="1"/>
  <c r="AJ245" i="1"/>
  <c r="AC245" i="1"/>
  <c r="AA245" i="1"/>
  <c r="P245" i="1"/>
  <c r="G245" i="1"/>
  <c r="AO244" i="1"/>
  <c r="AM244" i="1"/>
  <c r="AL244" i="1"/>
  <c r="AJ244" i="1"/>
  <c r="AC244" i="1"/>
  <c r="AA244" i="1"/>
  <c r="P244" i="1"/>
  <c r="G244" i="1"/>
  <c r="AO243" i="1"/>
  <c r="AM243" i="1"/>
  <c r="AL243" i="1"/>
  <c r="AJ243" i="1"/>
  <c r="AC243" i="1"/>
  <c r="AA243" i="1"/>
  <c r="P243" i="1"/>
  <c r="G243" i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O240" i="1"/>
  <c r="AM240" i="1"/>
  <c r="AL240" i="1"/>
  <c r="AJ240" i="1"/>
  <c r="AC240" i="1"/>
  <c r="AA240" i="1"/>
  <c r="P240" i="1"/>
  <c r="G240" i="1"/>
  <c r="AO239" i="1"/>
  <c r="AM239" i="1"/>
  <c r="AL239" i="1"/>
  <c r="AJ239" i="1"/>
  <c r="AC239" i="1"/>
  <c r="AA239" i="1"/>
  <c r="P239" i="1"/>
  <c r="G239" i="1"/>
  <c r="AO238" i="1"/>
  <c r="AM238" i="1"/>
  <c r="AL238" i="1"/>
  <c r="AJ238" i="1"/>
  <c r="AC238" i="1"/>
  <c r="AA238" i="1"/>
  <c r="P238" i="1"/>
  <c r="G238" i="1"/>
  <c r="AO237" i="1"/>
  <c r="AM237" i="1"/>
  <c r="AL237" i="1"/>
  <c r="AJ237" i="1"/>
  <c r="AC237" i="1"/>
  <c r="AA237" i="1"/>
  <c r="P237" i="1"/>
  <c r="G237" i="1"/>
  <c r="AO236" i="1"/>
  <c r="AM236" i="1"/>
  <c r="AL236" i="1"/>
  <c r="AJ236" i="1"/>
  <c r="AC236" i="1"/>
  <c r="AA236" i="1"/>
  <c r="P236" i="1"/>
  <c r="G236" i="1"/>
  <c r="AO235" i="1"/>
  <c r="AM235" i="1"/>
  <c r="AL235" i="1"/>
  <c r="AJ235" i="1"/>
  <c r="AC235" i="1"/>
  <c r="AA235" i="1"/>
  <c r="P235" i="1"/>
  <c r="G235" i="1"/>
  <c r="AO234" i="1"/>
  <c r="AM234" i="1"/>
  <c r="AL234" i="1"/>
  <c r="AJ234" i="1"/>
  <c r="AC234" i="1"/>
  <c r="AA234" i="1"/>
  <c r="P234" i="1"/>
  <c r="G234" i="1"/>
  <c r="AO233" i="1"/>
  <c r="AM233" i="1"/>
  <c r="AL233" i="1"/>
  <c r="AJ233" i="1"/>
  <c r="AC233" i="1"/>
  <c r="AA233" i="1"/>
  <c r="P233" i="1"/>
  <c r="G233" i="1"/>
  <c r="AO232" i="1"/>
  <c r="AM232" i="1"/>
  <c r="AL232" i="1"/>
  <c r="AJ232" i="1"/>
  <c r="AC232" i="1"/>
  <c r="AA232" i="1"/>
  <c r="P232" i="1"/>
  <c r="G232" i="1"/>
  <c r="AO231" i="1"/>
  <c r="AM231" i="1"/>
  <c r="AL231" i="1"/>
  <c r="AJ231" i="1"/>
  <c r="AC231" i="1"/>
  <c r="AA231" i="1"/>
  <c r="P231" i="1"/>
  <c r="G231" i="1"/>
  <c r="AO230" i="1"/>
  <c r="AM230" i="1"/>
  <c r="AL230" i="1"/>
  <c r="AJ230" i="1"/>
  <c r="AC230" i="1"/>
  <c r="AA230" i="1"/>
  <c r="P230" i="1"/>
  <c r="G230" i="1"/>
  <c r="AO229" i="1"/>
  <c r="AM229" i="1"/>
  <c r="AL229" i="1"/>
  <c r="AJ229" i="1"/>
  <c r="AC229" i="1"/>
  <c r="AA229" i="1"/>
  <c r="P229" i="1"/>
  <c r="G229" i="1"/>
  <c r="AO228" i="1"/>
  <c r="AM228" i="1"/>
  <c r="AL228" i="1"/>
  <c r="AJ228" i="1"/>
  <c r="AC228" i="1"/>
  <c r="AA228" i="1"/>
  <c r="P228" i="1"/>
  <c r="G228" i="1"/>
  <c r="AO227" i="1"/>
  <c r="AM227" i="1"/>
  <c r="AL227" i="1"/>
  <c r="AJ227" i="1"/>
  <c r="AC227" i="1"/>
  <c r="AA227" i="1"/>
  <c r="P227" i="1"/>
  <c r="G227" i="1"/>
  <c r="AO226" i="1"/>
  <c r="AM226" i="1"/>
  <c r="AL226" i="1"/>
  <c r="AJ226" i="1"/>
  <c r="AC226" i="1"/>
  <c r="AA226" i="1"/>
  <c r="P226" i="1"/>
  <c r="G226" i="1"/>
  <c r="AO225" i="1"/>
  <c r="AM225" i="1"/>
  <c r="AL225" i="1"/>
  <c r="AJ225" i="1"/>
  <c r="AC225" i="1"/>
  <c r="AA225" i="1"/>
  <c r="P225" i="1"/>
  <c r="G225" i="1"/>
  <c r="AO224" i="1"/>
  <c r="AM224" i="1"/>
  <c r="AL224" i="1"/>
  <c r="AJ224" i="1"/>
  <c r="AC224" i="1"/>
  <c r="AA224" i="1"/>
  <c r="P224" i="1"/>
  <c r="G224" i="1"/>
  <c r="AO223" i="1"/>
  <c r="AM223" i="1"/>
  <c r="AL223" i="1"/>
  <c r="AJ223" i="1"/>
  <c r="AC223" i="1"/>
  <c r="AA223" i="1"/>
  <c r="P223" i="1"/>
  <c r="G223" i="1"/>
  <c r="AO222" i="1"/>
  <c r="AM222" i="1"/>
  <c r="AL222" i="1"/>
  <c r="AJ222" i="1"/>
  <c r="AC222" i="1"/>
  <c r="AA222" i="1"/>
  <c r="P222" i="1"/>
  <c r="G222" i="1"/>
  <c r="AO221" i="1"/>
  <c r="AM221" i="1"/>
  <c r="AL221" i="1"/>
  <c r="AJ221" i="1"/>
  <c r="AC221" i="1"/>
  <c r="AA221" i="1"/>
  <c r="P221" i="1"/>
  <c r="G221" i="1"/>
  <c r="AO220" i="1"/>
  <c r="AM220" i="1"/>
  <c r="AL220" i="1"/>
  <c r="AJ220" i="1"/>
  <c r="AC220" i="1"/>
  <c r="AA220" i="1"/>
  <c r="P220" i="1"/>
  <c r="G220" i="1"/>
  <c r="AO219" i="1"/>
  <c r="AM219" i="1"/>
  <c r="AL219" i="1"/>
  <c r="AJ219" i="1"/>
  <c r="AC219" i="1"/>
  <c r="AA219" i="1"/>
  <c r="P219" i="1"/>
  <c r="G219" i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G217" i="1"/>
  <c r="AO216" i="1"/>
  <c r="AM216" i="1"/>
  <c r="AL216" i="1"/>
  <c r="AJ216" i="1"/>
  <c r="AC216" i="1"/>
  <c r="AA216" i="1"/>
  <c r="P216" i="1"/>
  <c r="G216" i="1"/>
  <c r="AO215" i="1"/>
  <c r="AM215" i="1"/>
  <c r="AL215" i="1"/>
  <c r="AJ215" i="1"/>
  <c r="AC215" i="1"/>
  <c r="AA215" i="1"/>
  <c r="P215" i="1"/>
  <c r="G215" i="1"/>
  <c r="AO214" i="1"/>
  <c r="AM214" i="1"/>
  <c r="AL214" i="1"/>
  <c r="AJ214" i="1"/>
  <c r="AC214" i="1"/>
  <c r="AA214" i="1"/>
  <c r="P214" i="1"/>
  <c r="G214" i="1"/>
  <c r="AO213" i="1"/>
  <c r="AM213" i="1"/>
  <c r="AL213" i="1"/>
  <c r="AJ213" i="1"/>
  <c r="AC213" i="1"/>
  <c r="AA213" i="1"/>
  <c r="P213" i="1"/>
  <c r="G213" i="1"/>
  <c r="AO212" i="1"/>
  <c r="AM212" i="1"/>
  <c r="AL212" i="1"/>
  <c r="AJ212" i="1"/>
  <c r="AC212" i="1"/>
  <c r="AA212" i="1"/>
  <c r="P212" i="1"/>
  <c r="G212" i="1"/>
  <c r="AO211" i="1"/>
  <c r="AM211" i="1"/>
  <c r="AL211" i="1"/>
  <c r="AJ211" i="1"/>
  <c r="AC211" i="1"/>
  <c r="AA211" i="1"/>
  <c r="P211" i="1"/>
  <c r="G211" i="1"/>
  <c r="AO210" i="1"/>
  <c r="AM210" i="1"/>
  <c r="AL210" i="1"/>
  <c r="AJ210" i="1"/>
  <c r="AC210" i="1"/>
  <c r="AA210" i="1"/>
  <c r="P210" i="1"/>
  <c r="G210" i="1"/>
  <c r="AO209" i="1"/>
  <c r="AM209" i="1"/>
  <c r="AL209" i="1"/>
  <c r="AJ209" i="1"/>
  <c r="AC209" i="1"/>
  <c r="AA209" i="1"/>
  <c r="P209" i="1"/>
  <c r="G209" i="1"/>
  <c r="AO208" i="1"/>
  <c r="AM208" i="1"/>
  <c r="AL208" i="1"/>
  <c r="AJ208" i="1"/>
  <c r="AC208" i="1"/>
  <c r="AA208" i="1"/>
  <c r="P208" i="1"/>
  <c r="G208" i="1"/>
  <c r="AO207" i="1"/>
  <c r="AM207" i="1"/>
  <c r="AL207" i="1"/>
  <c r="AJ207" i="1"/>
  <c r="AC207" i="1"/>
  <c r="AA207" i="1"/>
  <c r="P207" i="1"/>
  <c r="G207" i="1"/>
  <c r="AO206" i="1"/>
  <c r="AM206" i="1"/>
  <c r="AL206" i="1"/>
  <c r="AJ206" i="1"/>
  <c r="AC206" i="1"/>
  <c r="AA206" i="1"/>
  <c r="P206" i="1"/>
  <c r="G206" i="1"/>
  <c r="AO205" i="1"/>
  <c r="AM205" i="1"/>
  <c r="AL205" i="1"/>
  <c r="AJ205" i="1"/>
  <c r="AC205" i="1"/>
  <c r="AA205" i="1"/>
  <c r="P205" i="1"/>
  <c r="G205" i="1"/>
  <c r="AO204" i="1"/>
  <c r="AM204" i="1"/>
  <c r="AL204" i="1"/>
  <c r="AJ204" i="1"/>
  <c r="AC204" i="1"/>
  <c r="AA204" i="1"/>
  <c r="P204" i="1"/>
  <c r="G204" i="1"/>
  <c r="AO203" i="1"/>
  <c r="AM203" i="1"/>
  <c r="AL203" i="1"/>
  <c r="AJ203" i="1"/>
  <c r="AC203" i="1"/>
  <c r="AA203" i="1"/>
  <c r="P203" i="1"/>
  <c r="G203" i="1"/>
  <c r="AO202" i="1"/>
  <c r="AM202" i="1"/>
  <c r="AL202" i="1"/>
  <c r="AJ202" i="1"/>
  <c r="AC202" i="1"/>
  <c r="AA202" i="1"/>
  <c r="P202" i="1"/>
  <c r="G202" i="1"/>
  <c r="AO201" i="1"/>
  <c r="AM201" i="1"/>
  <c r="AL201" i="1"/>
  <c r="AJ201" i="1"/>
  <c r="AC201" i="1"/>
  <c r="AA201" i="1"/>
  <c r="P201" i="1"/>
  <c r="G201" i="1"/>
  <c r="AO200" i="1"/>
  <c r="AM200" i="1"/>
  <c r="AL200" i="1"/>
  <c r="AJ200" i="1"/>
  <c r="AC200" i="1"/>
  <c r="AA200" i="1"/>
  <c r="P200" i="1"/>
  <c r="G200" i="1"/>
  <c r="AO199" i="1"/>
  <c r="AM199" i="1"/>
  <c r="AL199" i="1"/>
  <c r="AJ199" i="1"/>
  <c r="AC199" i="1"/>
  <c r="AA199" i="1"/>
  <c r="P199" i="1"/>
  <c r="G199" i="1"/>
  <c r="AO198" i="1"/>
  <c r="AM198" i="1"/>
  <c r="AL198" i="1"/>
  <c r="AJ198" i="1"/>
  <c r="AC198" i="1"/>
  <c r="AA198" i="1"/>
  <c r="P198" i="1"/>
  <c r="G198" i="1"/>
  <c r="AO197" i="1"/>
  <c r="AM197" i="1"/>
  <c r="AL197" i="1"/>
  <c r="AJ197" i="1"/>
  <c r="AC197" i="1"/>
  <c r="AA197" i="1"/>
  <c r="P197" i="1"/>
  <c r="G197" i="1"/>
  <c r="AO196" i="1"/>
  <c r="AM196" i="1"/>
  <c r="AL196" i="1"/>
  <c r="AJ196" i="1"/>
  <c r="AC196" i="1"/>
  <c r="AA196" i="1"/>
  <c r="P196" i="1"/>
  <c r="G196" i="1"/>
  <c r="AO195" i="1"/>
  <c r="AM195" i="1"/>
  <c r="AL195" i="1"/>
  <c r="AJ195" i="1"/>
  <c r="AC195" i="1"/>
  <c r="AA195" i="1"/>
  <c r="P195" i="1"/>
  <c r="G195" i="1"/>
  <c r="AO194" i="1"/>
  <c r="AM194" i="1"/>
  <c r="AL194" i="1"/>
  <c r="AJ194" i="1"/>
  <c r="AC194" i="1"/>
  <c r="AA194" i="1"/>
  <c r="P194" i="1"/>
  <c r="G194" i="1"/>
  <c r="AO193" i="1"/>
  <c r="AM193" i="1"/>
  <c r="AL193" i="1"/>
  <c r="AJ193" i="1"/>
  <c r="AC193" i="1"/>
  <c r="AA193" i="1"/>
  <c r="P193" i="1"/>
  <c r="G193" i="1"/>
  <c r="AO192" i="1"/>
  <c r="AM192" i="1"/>
  <c r="AL192" i="1"/>
  <c r="AJ192" i="1"/>
  <c r="AC192" i="1"/>
  <c r="AA192" i="1"/>
  <c r="P192" i="1"/>
  <c r="G192" i="1"/>
  <c r="AO191" i="1"/>
  <c r="AM191" i="1"/>
  <c r="AL191" i="1"/>
  <c r="AJ191" i="1"/>
  <c r="AC191" i="1"/>
  <c r="AA191" i="1"/>
  <c r="P191" i="1"/>
  <c r="G191" i="1"/>
  <c r="AO190" i="1"/>
  <c r="AM190" i="1"/>
  <c r="AL190" i="1"/>
  <c r="AJ190" i="1"/>
  <c r="AC190" i="1"/>
  <c r="AA190" i="1"/>
  <c r="P190" i="1"/>
  <c r="G190" i="1"/>
  <c r="AO189" i="1"/>
  <c r="AM189" i="1"/>
  <c r="AL189" i="1"/>
  <c r="AJ189" i="1"/>
  <c r="AC189" i="1"/>
  <c r="AA189" i="1"/>
  <c r="P189" i="1"/>
  <c r="G189" i="1"/>
  <c r="AO188" i="1"/>
  <c r="AM188" i="1"/>
  <c r="AL188" i="1"/>
  <c r="AJ188" i="1"/>
  <c r="AC188" i="1"/>
  <c r="AA188" i="1"/>
  <c r="P188" i="1"/>
  <c r="G188" i="1"/>
  <c r="AO187" i="1"/>
  <c r="AM187" i="1"/>
  <c r="AL187" i="1"/>
  <c r="AJ187" i="1"/>
  <c r="AC187" i="1"/>
  <c r="AA187" i="1"/>
  <c r="P187" i="1"/>
  <c r="G187" i="1"/>
  <c r="AO186" i="1"/>
  <c r="AM186" i="1"/>
  <c r="AL186" i="1"/>
  <c r="AJ186" i="1"/>
  <c r="AC186" i="1"/>
  <c r="AA186" i="1"/>
  <c r="P186" i="1"/>
  <c r="G186" i="1"/>
  <c r="AO185" i="1"/>
  <c r="AM185" i="1"/>
  <c r="AL185" i="1"/>
  <c r="AJ185" i="1"/>
  <c r="AC185" i="1"/>
  <c r="AA185" i="1"/>
  <c r="P185" i="1"/>
  <c r="G185" i="1"/>
  <c r="AO184" i="1"/>
  <c r="AM184" i="1"/>
  <c r="AL184" i="1"/>
  <c r="AJ184" i="1"/>
  <c r="AC184" i="1"/>
  <c r="AA184" i="1"/>
  <c r="P184" i="1"/>
  <c r="G184" i="1"/>
  <c r="AO183" i="1"/>
  <c r="AM183" i="1"/>
  <c r="AL183" i="1"/>
  <c r="AJ183" i="1"/>
  <c r="AC183" i="1"/>
  <c r="AA183" i="1"/>
  <c r="P183" i="1"/>
  <c r="G183" i="1"/>
  <c r="AO182" i="1"/>
  <c r="AM182" i="1"/>
  <c r="AL182" i="1"/>
  <c r="AJ182" i="1"/>
  <c r="AC182" i="1"/>
  <c r="AA182" i="1"/>
  <c r="P182" i="1"/>
  <c r="G182" i="1"/>
  <c r="AO181" i="1"/>
  <c r="AM181" i="1"/>
  <c r="AL181" i="1"/>
  <c r="AJ181" i="1"/>
  <c r="AC181" i="1"/>
  <c r="AA181" i="1"/>
  <c r="P181" i="1"/>
  <c r="G181" i="1"/>
  <c r="AO180" i="1"/>
  <c r="AM180" i="1"/>
  <c r="AL180" i="1"/>
  <c r="AJ180" i="1"/>
  <c r="AC180" i="1"/>
  <c r="AA180" i="1"/>
  <c r="P180" i="1"/>
  <c r="G180" i="1"/>
  <c r="AO179" i="1"/>
  <c r="AM179" i="1"/>
  <c r="AL179" i="1"/>
  <c r="AJ179" i="1"/>
  <c r="AC179" i="1"/>
  <c r="AA179" i="1"/>
  <c r="P179" i="1"/>
  <c r="G179" i="1"/>
  <c r="AO178" i="1"/>
  <c r="AM178" i="1"/>
  <c r="AL178" i="1"/>
  <c r="AJ178" i="1"/>
  <c r="AC178" i="1"/>
  <c r="AA178" i="1"/>
  <c r="P178" i="1"/>
  <c r="G178" i="1"/>
  <c r="AO177" i="1"/>
  <c r="AM177" i="1"/>
  <c r="AL177" i="1"/>
  <c r="AJ177" i="1"/>
  <c r="AC177" i="1"/>
  <c r="AA177" i="1"/>
  <c r="P177" i="1"/>
  <c r="G177" i="1"/>
  <c r="AO176" i="1"/>
  <c r="AM176" i="1"/>
  <c r="AL176" i="1"/>
  <c r="AJ176" i="1"/>
  <c r="AC176" i="1"/>
  <c r="AA176" i="1"/>
  <c r="P176" i="1"/>
  <c r="G176" i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G174" i="1"/>
  <c r="AO173" i="1"/>
  <c r="AM173" i="1"/>
  <c r="AL173" i="1"/>
  <c r="AJ173" i="1"/>
  <c r="AC173" i="1"/>
  <c r="AA173" i="1"/>
  <c r="P173" i="1"/>
  <c r="G173" i="1"/>
  <c r="AO172" i="1"/>
  <c r="AM172" i="1"/>
  <c r="AL172" i="1"/>
  <c r="AJ172" i="1"/>
  <c r="AC172" i="1"/>
  <c r="AA172" i="1"/>
  <c r="P172" i="1"/>
  <c r="G172" i="1"/>
  <c r="AO171" i="1"/>
  <c r="AM171" i="1"/>
  <c r="AL171" i="1"/>
  <c r="AJ171" i="1"/>
  <c r="AC171" i="1"/>
  <c r="AA171" i="1"/>
  <c r="P171" i="1"/>
  <c r="G171" i="1"/>
  <c r="AO170" i="1"/>
  <c r="AM170" i="1"/>
  <c r="AL170" i="1"/>
  <c r="AJ170" i="1"/>
  <c r="AC170" i="1"/>
  <c r="AA170" i="1"/>
  <c r="P170" i="1"/>
  <c r="G170" i="1"/>
  <c r="AO169" i="1"/>
  <c r="AM169" i="1"/>
  <c r="AL169" i="1"/>
  <c r="AJ169" i="1"/>
  <c r="AC169" i="1"/>
  <c r="AA169" i="1"/>
  <c r="P169" i="1"/>
  <c r="G169" i="1"/>
  <c r="AO168" i="1"/>
  <c r="AM168" i="1"/>
  <c r="AL168" i="1"/>
  <c r="AJ168" i="1"/>
  <c r="AC168" i="1"/>
  <c r="AA168" i="1"/>
  <c r="P168" i="1"/>
  <c r="G168" i="1"/>
  <c r="AO167" i="1"/>
  <c r="AM167" i="1"/>
  <c r="AL167" i="1"/>
  <c r="AJ167" i="1"/>
  <c r="AC167" i="1"/>
  <c r="AA167" i="1"/>
  <c r="P167" i="1"/>
  <c r="G167" i="1"/>
  <c r="AO166" i="1"/>
  <c r="AM166" i="1"/>
  <c r="AL166" i="1"/>
  <c r="AJ166" i="1"/>
  <c r="AC166" i="1"/>
  <c r="AA166" i="1"/>
  <c r="P166" i="1"/>
  <c r="G166" i="1"/>
  <c r="AO165" i="1"/>
  <c r="AM165" i="1"/>
  <c r="AL165" i="1"/>
  <c r="AJ165" i="1"/>
  <c r="AC165" i="1"/>
  <c r="AA165" i="1"/>
  <c r="P165" i="1"/>
  <c r="G165" i="1"/>
  <c r="AO164" i="1"/>
  <c r="AM164" i="1"/>
  <c r="AL164" i="1"/>
  <c r="AJ164" i="1"/>
  <c r="AC164" i="1"/>
  <c r="AA164" i="1"/>
  <c r="P164" i="1"/>
  <c r="G164" i="1"/>
  <c r="AO163" i="1"/>
  <c r="AM163" i="1"/>
  <c r="AL163" i="1"/>
  <c r="AJ163" i="1"/>
  <c r="AC163" i="1"/>
  <c r="AA163" i="1"/>
  <c r="P163" i="1"/>
  <c r="G163" i="1"/>
  <c r="AO162" i="1"/>
  <c r="AM162" i="1"/>
  <c r="AL162" i="1"/>
  <c r="AJ162" i="1"/>
  <c r="AC162" i="1"/>
  <c r="AA162" i="1"/>
  <c r="P162" i="1"/>
  <c r="G162" i="1"/>
  <c r="AL161" i="1"/>
  <c r="AJ161" i="1"/>
  <c r="AG161" i="1"/>
  <c r="AC161" i="1"/>
  <c r="AA161" i="1"/>
  <c r="AL160" i="1"/>
  <c r="AJ160" i="1"/>
  <c r="AG160" i="1"/>
  <c r="AC160" i="1"/>
  <c r="AA160" i="1"/>
  <c r="AL159" i="1"/>
  <c r="AJ159" i="1"/>
  <c r="AG159" i="1"/>
  <c r="AC159" i="1"/>
  <c r="AA159" i="1"/>
  <c r="AL158" i="1"/>
  <c r="AJ158" i="1"/>
  <c r="AG158" i="1"/>
  <c r="AC158" i="1"/>
  <c r="AA158" i="1"/>
  <c r="AL157" i="1"/>
  <c r="AJ157" i="1"/>
  <c r="AG157" i="1"/>
  <c r="AC157" i="1"/>
  <c r="AA157" i="1"/>
  <c r="AL156" i="1"/>
  <c r="AJ156" i="1"/>
  <c r="AG156" i="1"/>
  <c r="AC156" i="1"/>
  <c r="AA156" i="1"/>
  <c r="AL155" i="1"/>
  <c r="AJ155" i="1"/>
  <c r="AG155" i="1"/>
  <c r="AC155" i="1"/>
  <c r="AA155" i="1"/>
  <c r="AL154" i="1"/>
  <c r="AJ154" i="1"/>
  <c r="AG154" i="1"/>
  <c r="AC154" i="1"/>
  <c r="AA154" i="1"/>
  <c r="AL153" i="1"/>
  <c r="AJ153" i="1"/>
  <c r="AG153" i="1"/>
  <c r="AC153" i="1"/>
  <c r="AA153" i="1"/>
  <c r="AL152" i="1"/>
  <c r="AJ152" i="1"/>
  <c r="AG152" i="1"/>
  <c r="AC152" i="1"/>
  <c r="AA152" i="1"/>
  <c r="AL151" i="1"/>
  <c r="AJ151" i="1"/>
  <c r="AG151" i="1"/>
  <c r="AC151" i="1"/>
  <c r="AA151" i="1"/>
  <c r="AL150" i="1"/>
  <c r="AJ150" i="1"/>
  <c r="AG150" i="1"/>
  <c r="AC150" i="1"/>
  <c r="AA150" i="1"/>
  <c r="AL149" i="1"/>
  <c r="AJ149" i="1"/>
  <c r="AG149" i="1"/>
  <c r="AC149" i="1"/>
  <c r="AA149" i="1"/>
  <c r="AL148" i="1"/>
  <c r="AJ148" i="1"/>
  <c r="AG148" i="1"/>
  <c r="AC148" i="1"/>
  <c r="AA148" i="1"/>
  <c r="AL147" i="1"/>
  <c r="AJ147" i="1"/>
  <c r="AG147" i="1"/>
  <c r="AC147" i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M142" i="1"/>
  <c r="AL142" i="1"/>
  <c r="AJ142" i="1"/>
  <c r="AC142" i="1"/>
  <c r="AA142" i="1"/>
  <c r="P142" i="1"/>
  <c r="G142" i="1"/>
  <c r="AM141" i="1"/>
  <c r="AL141" i="1"/>
  <c r="AJ141" i="1"/>
  <c r="AC141" i="1"/>
  <c r="AA141" i="1"/>
  <c r="P141" i="1"/>
  <c r="G141" i="1"/>
  <c r="AM140" i="1"/>
  <c r="AL140" i="1"/>
  <c r="AJ140" i="1"/>
  <c r="AC140" i="1"/>
  <c r="AA140" i="1"/>
  <c r="P140" i="1"/>
  <c r="G140" i="1"/>
  <c r="AM139" i="1"/>
  <c r="AL139" i="1"/>
  <c r="AJ139" i="1"/>
  <c r="AC139" i="1"/>
  <c r="AA139" i="1"/>
  <c r="P139" i="1"/>
  <c r="G139" i="1"/>
  <c r="AM138" i="1"/>
  <c r="AL138" i="1"/>
  <c r="AJ138" i="1"/>
  <c r="AC138" i="1"/>
  <c r="AA138" i="1"/>
  <c r="P138" i="1"/>
  <c r="G138" i="1"/>
  <c r="AM137" i="1"/>
  <c r="AL137" i="1"/>
  <c r="AJ137" i="1"/>
  <c r="AC137" i="1"/>
  <c r="AA137" i="1"/>
  <c r="P137" i="1"/>
  <c r="G137" i="1"/>
  <c r="AM136" i="1"/>
  <c r="AL136" i="1"/>
  <c r="AJ136" i="1"/>
  <c r="AC136" i="1"/>
  <c r="AA136" i="1"/>
  <c r="P136" i="1"/>
  <c r="G136" i="1"/>
  <c r="AM135" i="1"/>
  <c r="AL135" i="1"/>
  <c r="AJ135" i="1"/>
  <c r="AC135" i="1"/>
  <c r="AA135" i="1"/>
  <c r="P135" i="1"/>
  <c r="G135" i="1"/>
  <c r="AM134" i="1"/>
  <c r="AL134" i="1"/>
  <c r="AJ134" i="1"/>
  <c r="AC134" i="1"/>
  <c r="AA134" i="1"/>
  <c r="P134" i="1"/>
  <c r="G134" i="1"/>
  <c r="AM133" i="1"/>
  <c r="AL133" i="1"/>
  <c r="AJ133" i="1"/>
  <c r="AC133" i="1"/>
  <c r="AA133" i="1"/>
  <c r="P133" i="1"/>
  <c r="G133" i="1"/>
  <c r="AM132" i="1"/>
  <c r="AL132" i="1"/>
  <c r="AJ132" i="1"/>
  <c r="AC132" i="1"/>
  <c r="AA132" i="1"/>
  <c r="P132" i="1"/>
  <c r="G132" i="1"/>
  <c r="AM131" i="1"/>
  <c r="AL131" i="1"/>
  <c r="AJ131" i="1"/>
  <c r="AC131" i="1"/>
  <c r="AA131" i="1"/>
  <c r="P131" i="1"/>
  <c r="G131" i="1"/>
  <c r="AM130" i="1"/>
  <c r="AL130" i="1"/>
  <c r="AJ130" i="1"/>
  <c r="AC130" i="1"/>
  <c r="AA130" i="1"/>
  <c r="P130" i="1"/>
  <c r="G130" i="1"/>
  <c r="AM129" i="1"/>
  <c r="AL129" i="1"/>
  <c r="AJ129" i="1"/>
  <c r="AC129" i="1"/>
  <c r="AA129" i="1"/>
  <c r="P129" i="1"/>
  <c r="G129" i="1"/>
  <c r="AM128" i="1"/>
  <c r="AL128" i="1"/>
  <c r="AJ128" i="1"/>
  <c r="AC128" i="1"/>
  <c r="AA128" i="1"/>
  <c r="P128" i="1"/>
  <c r="G128" i="1"/>
  <c r="AM127" i="1"/>
  <c r="AJ127" i="1"/>
  <c r="AC127" i="1"/>
  <c r="AA127" i="1"/>
  <c r="P127" i="1"/>
  <c r="G127" i="1"/>
  <c r="AM126" i="1"/>
  <c r="AL126" i="1"/>
  <c r="AJ126" i="1"/>
  <c r="AC126" i="1"/>
  <c r="AA126" i="1"/>
  <c r="P126" i="1"/>
  <c r="G126" i="1"/>
  <c r="AM125" i="1"/>
  <c r="AL125" i="1"/>
  <c r="AJ125" i="1"/>
  <c r="AC125" i="1"/>
  <c r="AA125" i="1"/>
  <c r="P125" i="1"/>
  <c r="G125" i="1"/>
  <c r="AM124" i="1"/>
  <c r="AL124" i="1"/>
  <c r="AJ124" i="1"/>
  <c r="AC124" i="1"/>
  <c r="AA124" i="1"/>
  <c r="P124" i="1"/>
  <c r="G124" i="1"/>
  <c r="AO123" i="1"/>
  <c r="AM123" i="1"/>
  <c r="AL123" i="1"/>
  <c r="AJ123" i="1"/>
  <c r="AC123" i="1"/>
  <c r="AA123" i="1"/>
  <c r="P123" i="1"/>
  <c r="G123" i="1"/>
  <c r="AO122" i="1"/>
  <c r="AM122" i="1"/>
  <c r="AL122" i="1"/>
  <c r="AJ122" i="1"/>
  <c r="AC122" i="1"/>
  <c r="AA122" i="1"/>
  <c r="P122" i="1"/>
  <c r="G122" i="1"/>
  <c r="AO121" i="1"/>
  <c r="AM121" i="1"/>
  <c r="AL121" i="1"/>
  <c r="AJ121" i="1"/>
  <c r="AC121" i="1"/>
  <c r="AA121" i="1"/>
  <c r="P121" i="1"/>
  <c r="G121" i="1"/>
  <c r="AO120" i="1"/>
  <c r="AM120" i="1"/>
  <c r="AL120" i="1"/>
  <c r="AJ120" i="1"/>
  <c r="AC120" i="1"/>
  <c r="AA120" i="1"/>
  <c r="P120" i="1"/>
  <c r="G120" i="1"/>
  <c r="AO119" i="1"/>
  <c r="AM119" i="1"/>
  <c r="AL119" i="1"/>
  <c r="AJ119" i="1"/>
  <c r="AC119" i="1"/>
  <c r="AA119" i="1"/>
  <c r="P119" i="1"/>
  <c r="G119" i="1"/>
  <c r="AO118" i="1"/>
  <c r="AM118" i="1"/>
  <c r="AL118" i="1"/>
  <c r="AJ118" i="1"/>
  <c r="AC118" i="1"/>
  <c r="AA118" i="1"/>
  <c r="P118" i="1"/>
  <c r="G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O115" i="1"/>
  <c r="AM115" i="1"/>
  <c r="AL115" i="1"/>
  <c r="AJ115" i="1"/>
  <c r="AC115" i="1"/>
  <c r="AA115" i="1"/>
  <c r="P115" i="1"/>
  <c r="G115" i="1"/>
  <c r="AO114" i="1"/>
  <c r="AM114" i="1"/>
  <c r="AL114" i="1"/>
  <c r="AJ114" i="1"/>
  <c r="AC114" i="1"/>
  <c r="AA114" i="1"/>
  <c r="P114" i="1"/>
  <c r="G114" i="1"/>
  <c r="AO113" i="1"/>
  <c r="AM113" i="1"/>
  <c r="AL113" i="1"/>
  <c r="AJ113" i="1"/>
  <c r="AC113" i="1"/>
  <c r="AA113" i="1"/>
  <c r="P113" i="1"/>
  <c r="G113" i="1"/>
  <c r="AO112" i="1"/>
  <c r="AM112" i="1"/>
  <c r="AL112" i="1"/>
  <c r="AJ112" i="1"/>
  <c r="AC112" i="1"/>
  <c r="AA112" i="1"/>
  <c r="P112" i="1"/>
  <c r="G112" i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O109" i="1"/>
  <c r="AM109" i="1"/>
  <c r="AL109" i="1"/>
  <c r="AJ109" i="1"/>
  <c r="AC109" i="1"/>
  <c r="AA109" i="1"/>
  <c r="P109" i="1"/>
  <c r="G109" i="1"/>
  <c r="AO108" i="1"/>
  <c r="AM108" i="1"/>
  <c r="AL108" i="1"/>
  <c r="AJ108" i="1"/>
  <c r="AC108" i="1"/>
  <c r="AA108" i="1"/>
  <c r="P108" i="1"/>
  <c r="G108" i="1"/>
  <c r="AO107" i="1"/>
  <c r="AM107" i="1"/>
  <c r="AL107" i="1"/>
  <c r="AJ107" i="1"/>
  <c r="AC107" i="1"/>
  <c r="AA107" i="1"/>
  <c r="P107" i="1"/>
  <c r="G107" i="1"/>
  <c r="AO106" i="1"/>
  <c r="AM106" i="1"/>
  <c r="AL106" i="1"/>
  <c r="AJ106" i="1"/>
  <c r="AC106" i="1"/>
  <c r="AA106" i="1"/>
  <c r="P106" i="1"/>
  <c r="G106" i="1"/>
  <c r="AO105" i="1"/>
  <c r="AM105" i="1"/>
  <c r="AL105" i="1"/>
  <c r="AJ105" i="1"/>
  <c r="AC105" i="1"/>
  <c r="AA105" i="1"/>
  <c r="P105" i="1"/>
  <c r="G105" i="1"/>
  <c r="AO104" i="1"/>
  <c r="AM104" i="1"/>
  <c r="AL104" i="1"/>
  <c r="AJ104" i="1"/>
  <c r="AC104" i="1"/>
  <c r="AA104" i="1"/>
  <c r="P104" i="1"/>
  <c r="G104" i="1"/>
  <c r="AO103" i="1"/>
  <c r="AM103" i="1"/>
  <c r="AL103" i="1"/>
  <c r="AJ103" i="1"/>
  <c r="AC103" i="1"/>
  <c r="AA103" i="1"/>
  <c r="P103" i="1"/>
  <c r="G103" i="1"/>
  <c r="AO102" i="1"/>
  <c r="AM102" i="1"/>
  <c r="AL102" i="1"/>
  <c r="AJ102" i="1"/>
  <c r="AC102" i="1"/>
  <c r="AA102" i="1"/>
  <c r="P102" i="1"/>
  <c r="G102" i="1"/>
  <c r="AO101" i="1"/>
  <c r="AM101" i="1"/>
  <c r="AL101" i="1"/>
  <c r="AJ101" i="1"/>
  <c r="AC101" i="1"/>
  <c r="AA101" i="1"/>
  <c r="P101" i="1"/>
  <c r="G101" i="1"/>
  <c r="AO100" i="1"/>
  <c r="AM100" i="1"/>
  <c r="AL100" i="1"/>
  <c r="AJ100" i="1"/>
  <c r="AC100" i="1"/>
  <c r="AA100" i="1"/>
  <c r="P100" i="1"/>
  <c r="G100" i="1"/>
  <c r="AO99" i="1"/>
  <c r="AM99" i="1"/>
  <c r="AL99" i="1"/>
  <c r="AJ99" i="1"/>
  <c r="AC99" i="1"/>
  <c r="AA99" i="1"/>
  <c r="P99" i="1"/>
  <c r="G99" i="1"/>
  <c r="AO98" i="1"/>
  <c r="AM98" i="1"/>
  <c r="AL98" i="1"/>
  <c r="AJ98" i="1"/>
  <c r="AC98" i="1"/>
  <c r="AA98" i="1"/>
  <c r="P98" i="1"/>
  <c r="G98" i="1"/>
  <c r="AO97" i="1"/>
  <c r="AM97" i="1"/>
  <c r="AL97" i="1"/>
  <c r="AJ97" i="1"/>
  <c r="AC97" i="1"/>
  <c r="AA97" i="1"/>
  <c r="P97" i="1"/>
  <c r="G97" i="1"/>
  <c r="AO96" i="1"/>
  <c r="AM96" i="1"/>
  <c r="AL96" i="1"/>
  <c r="AJ96" i="1"/>
  <c r="AC96" i="1"/>
  <c r="AA96" i="1"/>
  <c r="P96" i="1"/>
  <c r="G96" i="1"/>
  <c r="AO95" i="1"/>
  <c r="AM95" i="1"/>
  <c r="AL95" i="1"/>
  <c r="AJ95" i="1"/>
  <c r="AC95" i="1"/>
  <c r="AA95" i="1"/>
  <c r="P95" i="1"/>
  <c r="G95" i="1"/>
  <c r="AO94" i="1"/>
  <c r="AM94" i="1"/>
  <c r="AL94" i="1"/>
  <c r="AJ94" i="1"/>
  <c r="AC94" i="1"/>
  <c r="AA94" i="1"/>
  <c r="P94" i="1"/>
  <c r="G94" i="1"/>
  <c r="AO93" i="1"/>
  <c r="AM93" i="1"/>
  <c r="AL93" i="1"/>
  <c r="AJ93" i="1"/>
  <c r="AC93" i="1"/>
  <c r="AA93" i="1"/>
  <c r="P93" i="1"/>
  <c r="G93" i="1"/>
  <c r="AO92" i="1"/>
  <c r="AM92" i="1"/>
  <c r="AL92" i="1"/>
  <c r="AJ92" i="1"/>
  <c r="AC92" i="1"/>
  <c r="AA92" i="1"/>
  <c r="P92" i="1"/>
  <c r="G92" i="1"/>
  <c r="AO91" i="1"/>
  <c r="AM91" i="1"/>
  <c r="AL91" i="1"/>
  <c r="AJ91" i="1"/>
  <c r="AC91" i="1"/>
  <c r="AA91" i="1"/>
  <c r="P91" i="1"/>
  <c r="G91" i="1"/>
  <c r="AO90" i="1"/>
  <c r="AM90" i="1"/>
  <c r="AL90" i="1"/>
  <c r="AJ90" i="1"/>
  <c r="AC90" i="1"/>
  <c r="AA90" i="1"/>
  <c r="P90" i="1"/>
  <c r="G90" i="1"/>
  <c r="AO89" i="1"/>
  <c r="AM89" i="1"/>
  <c r="AL89" i="1"/>
  <c r="AJ89" i="1"/>
  <c r="AC89" i="1"/>
  <c r="AA89" i="1"/>
  <c r="P89" i="1"/>
  <c r="G89" i="1"/>
  <c r="AO88" i="1"/>
  <c r="AM88" i="1"/>
  <c r="AL88" i="1"/>
  <c r="AJ88" i="1"/>
  <c r="AC88" i="1"/>
  <c r="AA88" i="1"/>
  <c r="P88" i="1"/>
  <c r="G88" i="1"/>
  <c r="AO87" i="1"/>
  <c r="AM87" i="1"/>
  <c r="AL87" i="1"/>
  <c r="AJ87" i="1"/>
  <c r="AC87" i="1"/>
  <c r="AA87" i="1"/>
  <c r="P87" i="1"/>
  <c r="G87" i="1"/>
  <c r="AO86" i="1"/>
  <c r="AM86" i="1"/>
  <c r="AL86" i="1"/>
  <c r="AJ86" i="1"/>
  <c r="AC86" i="1"/>
  <c r="AA86" i="1"/>
  <c r="P86" i="1"/>
  <c r="G86" i="1"/>
  <c r="AO85" i="1"/>
  <c r="AM85" i="1"/>
  <c r="AL85" i="1"/>
  <c r="AJ85" i="1"/>
  <c r="AC85" i="1"/>
  <c r="AA85" i="1"/>
  <c r="P85" i="1"/>
  <c r="G85" i="1"/>
  <c r="AO84" i="1"/>
  <c r="AM84" i="1"/>
  <c r="AL84" i="1"/>
  <c r="AJ84" i="1"/>
  <c r="AC84" i="1"/>
  <c r="AA84" i="1"/>
  <c r="P84" i="1"/>
  <c r="G84" i="1"/>
  <c r="AO83" i="1"/>
  <c r="AM83" i="1"/>
  <c r="AL83" i="1"/>
  <c r="AJ83" i="1"/>
  <c r="AC83" i="1"/>
  <c r="AA83" i="1"/>
  <c r="P83" i="1"/>
  <c r="G83" i="1"/>
  <c r="AO82" i="1"/>
  <c r="AM82" i="1"/>
  <c r="AL82" i="1"/>
  <c r="AJ82" i="1"/>
  <c r="AC82" i="1"/>
  <c r="AA82" i="1"/>
  <c r="P82" i="1"/>
  <c r="G82" i="1"/>
  <c r="AO81" i="1"/>
  <c r="AM81" i="1"/>
  <c r="AL81" i="1"/>
  <c r="AJ81" i="1"/>
  <c r="AC81" i="1"/>
  <c r="AA81" i="1"/>
  <c r="P81" i="1"/>
  <c r="G81" i="1"/>
  <c r="AO80" i="1"/>
  <c r="AM80" i="1"/>
  <c r="AL80" i="1"/>
  <c r="AJ80" i="1"/>
  <c r="AC80" i="1"/>
  <c r="AA80" i="1"/>
  <c r="P80" i="1"/>
  <c r="G80" i="1"/>
  <c r="AO79" i="1"/>
  <c r="AM79" i="1"/>
  <c r="AL79" i="1"/>
  <c r="AJ79" i="1"/>
  <c r="AC79" i="1"/>
  <c r="AA79" i="1"/>
  <c r="P79" i="1"/>
  <c r="G79" i="1"/>
  <c r="AO78" i="1"/>
  <c r="AM78" i="1"/>
  <c r="AL78" i="1"/>
  <c r="AJ78" i="1"/>
  <c r="AC78" i="1"/>
  <c r="AA78" i="1"/>
  <c r="P78" i="1"/>
  <c r="G78" i="1"/>
  <c r="AO77" i="1"/>
  <c r="AM77" i="1"/>
  <c r="AL77" i="1"/>
  <c r="AJ77" i="1"/>
  <c r="AC77" i="1"/>
  <c r="AA77" i="1"/>
  <c r="P77" i="1"/>
  <c r="G77" i="1"/>
  <c r="AO76" i="1"/>
  <c r="AM76" i="1"/>
  <c r="AL76" i="1"/>
  <c r="AJ76" i="1"/>
  <c r="AC76" i="1"/>
  <c r="AA76" i="1"/>
  <c r="P76" i="1"/>
  <c r="G76" i="1"/>
  <c r="AO75" i="1"/>
  <c r="AM75" i="1"/>
  <c r="AL75" i="1"/>
  <c r="AJ75" i="1"/>
  <c r="AC75" i="1"/>
  <c r="AA75" i="1"/>
  <c r="P75" i="1"/>
  <c r="G75" i="1"/>
  <c r="AO74" i="1"/>
  <c r="AM74" i="1"/>
  <c r="AL74" i="1"/>
  <c r="AJ74" i="1"/>
  <c r="AC74" i="1"/>
  <c r="AA74" i="1"/>
  <c r="P74" i="1"/>
  <c r="G74" i="1"/>
  <c r="AO73" i="1"/>
  <c r="AM73" i="1"/>
  <c r="AL73" i="1"/>
  <c r="AJ73" i="1"/>
  <c r="AC73" i="1"/>
  <c r="AA73" i="1"/>
  <c r="P73" i="1"/>
  <c r="G73" i="1"/>
  <c r="AO72" i="1"/>
  <c r="AM72" i="1"/>
  <c r="AL72" i="1"/>
  <c r="AJ72" i="1"/>
  <c r="AC72" i="1"/>
  <c r="AA72" i="1"/>
  <c r="P72" i="1"/>
  <c r="G72" i="1"/>
  <c r="AO71" i="1"/>
  <c r="AM71" i="1"/>
  <c r="AL71" i="1"/>
  <c r="AJ71" i="1"/>
  <c r="AC71" i="1"/>
  <c r="AA71" i="1"/>
  <c r="P71" i="1"/>
  <c r="G71" i="1"/>
  <c r="AO70" i="1"/>
  <c r="AM70" i="1"/>
  <c r="AL70" i="1"/>
  <c r="AJ70" i="1"/>
  <c r="AC70" i="1"/>
  <c r="AA70" i="1"/>
  <c r="P70" i="1"/>
  <c r="G70" i="1"/>
  <c r="AO69" i="1"/>
  <c r="AM69" i="1"/>
  <c r="AL69" i="1"/>
  <c r="AJ69" i="1"/>
  <c r="AC69" i="1"/>
  <c r="AA69" i="1"/>
  <c r="P69" i="1"/>
  <c r="G69" i="1"/>
  <c r="AO68" i="1"/>
  <c r="AM68" i="1"/>
  <c r="AL68" i="1"/>
  <c r="AJ68" i="1"/>
  <c r="AC68" i="1"/>
  <c r="AA68" i="1"/>
  <c r="P68" i="1"/>
  <c r="G68" i="1"/>
  <c r="AO67" i="1"/>
  <c r="AM67" i="1"/>
  <c r="AL67" i="1"/>
  <c r="AJ67" i="1"/>
  <c r="AC67" i="1"/>
  <c r="AA67" i="1"/>
  <c r="P67" i="1"/>
  <c r="G67" i="1"/>
  <c r="AO66" i="1"/>
  <c r="AM66" i="1"/>
  <c r="AL66" i="1"/>
  <c r="AJ66" i="1"/>
  <c r="AC66" i="1"/>
  <c r="AA66" i="1"/>
  <c r="P66" i="1"/>
  <c r="G66" i="1"/>
  <c r="AO65" i="1"/>
  <c r="AM65" i="1"/>
  <c r="AL65" i="1"/>
  <c r="AJ65" i="1"/>
  <c r="AC65" i="1"/>
  <c r="AA65" i="1"/>
  <c r="P65" i="1"/>
  <c r="G65" i="1"/>
  <c r="AO64" i="1"/>
  <c r="AM64" i="1"/>
  <c r="AL64" i="1"/>
  <c r="AJ64" i="1"/>
  <c r="AC64" i="1"/>
  <c r="AA64" i="1"/>
  <c r="P64" i="1"/>
  <c r="G64" i="1"/>
  <c r="AO63" i="1"/>
  <c r="AM63" i="1"/>
  <c r="AL63" i="1"/>
  <c r="AJ63" i="1"/>
  <c r="AC63" i="1"/>
  <c r="AA63" i="1"/>
  <c r="P63" i="1"/>
  <c r="G63" i="1"/>
  <c r="AO62" i="1"/>
  <c r="AM62" i="1"/>
  <c r="AL62" i="1"/>
  <c r="AJ62" i="1"/>
  <c r="AC62" i="1"/>
  <c r="AA62" i="1"/>
  <c r="P62" i="1"/>
  <c r="G62" i="1"/>
  <c r="AO61" i="1"/>
  <c r="AM61" i="1"/>
  <c r="AL61" i="1"/>
  <c r="AJ61" i="1"/>
  <c r="AC61" i="1"/>
  <c r="AA61" i="1"/>
  <c r="P61" i="1"/>
  <c r="G61" i="1"/>
  <c r="AO60" i="1"/>
  <c r="AM60" i="1"/>
  <c r="AL60" i="1"/>
  <c r="AJ60" i="1"/>
  <c r="AC60" i="1"/>
  <c r="AA60" i="1"/>
  <c r="P60" i="1"/>
  <c r="G60" i="1"/>
  <c r="AO59" i="1"/>
  <c r="AM59" i="1"/>
  <c r="AL59" i="1"/>
  <c r="AJ59" i="1"/>
  <c r="AC59" i="1"/>
  <c r="AA59" i="1"/>
  <c r="P59" i="1"/>
  <c r="G59" i="1"/>
  <c r="AO58" i="1"/>
  <c r="AM58" i="1"/>
  <c r="AL58" i="1"/>
  <c r="AJ58" i="1"/>
  <c r="AC58" i="1"/>
  <c r="AA58" i="1"/>
  <c r="P58" i="1"/>
  <c r="G58" i="1"/>
  <c r="AO57" i="1"/>
  <c r="AM57" i="1"/>
  <c r="AL57" i="1"/>
  <c r="AJ57" i="1"/>
  <c r="AC57" i="1"/>
  <c r="AA57" i="1"/>
  <c r="P57" i="1"/>
  <c r="G57" i="1"/>
  <c r="AO56" i="1"/>
  <c r="AM56" i="1"/>
  <c r="AL56" i="1"/>
  <c r="AJ56" i="1"/>
  <c r="AC56" i="1"/>
  <c r="AA56" i="1"/>
  <c r="P56" i="1"/>
  <c r="G56" i="1"/>
  <c r="AO55" i="1"/>
  <c r="AM55" i="1"/>
  <c r="AL55" i="1"/>
  <c r="AJ55" i="1"/>
  <c r="AC55" i="1"/>
  <c r="AA55" i="1"/>
  <c r="P55" i="1"/>
  <c r="G55" i="1"/>
  <c r="BC54" i="1"/>
  <c r="BB54" i="1"/>
  <c r="AO54" i="1"/>
  <c r="AM54" i="1"/>
  <c r="AL54" i="1"/>
  <c r="AJ54" i="1"/>
  <c r="AC54" i="1"/>
  <c r="AA54" i="1"/>
  <c r="P54" i="1"/>
  <c r="G54" i="1"/>
  <c r="BC53" i="1"/>
  <c r="BB53" i="1"/>
  <c r="AO53" i="1"/>
  <c r="AM53" i="1"/>
  <c r="AL53" i="1"/>
  <c r="AJ53" i="1"/>
  <c r="AC53" i="1"/>
  <c r="AA53" i="1"/>
  <c r="P53" i="1"/>
  <c r="G53" i="1"/>
  <c r="BC52" i="1"/>
  <c r="BB52" i="1"/>
  <c r="AO52" i="1"/>
  <c r="AM52" i="1"/>
  <c r="AL52" i="1"/>
  <c r="AJ52" i="1"/>
  <c r="AC52" i="1"/>
  <c r="AA52" i="1"/>
  <c r="P52" i="1"/>
  <c r="G52" i="1"/>
  <c r="BC51" i="1"/>
  <c r="BB51" i="1"/>
  <c r="AO51" i="1"/>
  <c r="AM51" i="1"/>
  <c r="AL51" i="1"/>
  <c r="AJ51" i="1"/>
  <c r="AC51" i="1"/>
  <c r="AA51" i="1"/>
  <c r="P51" i="1"/>
  <c r="G51" i="1"/>
  <c r="BC50" i="1"/>
  <c r="BB50" i="1"/>
  <c r="AO50" i="1"/>
  <c r="AM50" i="1"/>
  <c r="AL50" i="1"/>
  <c r="AJ50" i="1"/>
  <c r="AC50" i="1"/>
  <c r="AA50" i="1"/>
  <c r="P50" i="1"/>
  <c r="G50" i="1"/>
  <c r="BC49" i="1"/>
  <c r="BB49" i="1"/>
  <c r="AO49" i="1"/>
  <c r="AM49" i="1"/>
  <c r="AL49" i="1"/>
  <c r="AJ49" i="1"/>
  <c r="AC49" i="1"/>
  <c r="AA49" i="1"/>
  <c r="P49" i="1"/>
  <c r="G49" i="1"/>
  <c r="BC48" i="1"/>
  <c r="BB48" i="1"/>
  <c r="AO48" i="1"/>
  <c r="AM48" i="1"/>
  <c r="AL48" i="1"/>
  <c r="AJ48" i="1"/>
  <c r="AC48" i="1"/>
  <c r="AA48" i="1"/>
  <c r="P48" i="1"/>
  <c r="G48" i="1"/>
  <c r="BC47" i="1"/>
  <c r="BB47" i="1"/>
  <c r="AO47" i="1"/>
  <c r="AM47" i="1"/>
  <c r="AL47" i="1"/>
  <c r="AJ47" i="1"/>
  <c r="AC47" i="1"/>
  <c r="AA47" i="1"/>
  <c r="P47" i="1"/>
  <c r="G47" i="1"/>
  <c r="BC46" i="1"/>
  <c r="BB46" i="1"/>
  <c r="AO46" i="1"/>
  <c r="AM46" i="1"/>
  <c r="AL46" i="1"/>
  <c r="AJ46" i="1"/>
  <c r="AC46" i="1"/>
  <c r="AA46" i="1"/>
  <c r="P46" i="1"/>
  <c r="G46" i="1"/>
  <c r="BC45" i="1"/>
  <c r="BB45" i="1"/>
  <c r="AO45" i="1"/>
  <c r="AM45" i="1"/>
  <c r="AL45" i="1"/>
  <c r="AJ45" i="1"/>
  <c r="AC45" i="1"/>
  <c r="AA45" i="1"/>
  <c r="P45" i="1"/>
  <c r="G45" i="1"/>
  <c r="BC44" i="1"/>
  <c r="BB44" i="1"/>
  <c r="AO44" i="1"/>
  <c r="AM44" i="1"/>
  <c r="AL44" i="1"/>
  <c r="AJ44" i="1"/>
  <c r="AC44" i="1"/>
  <c r="AA44" i="1"/>
  <c r="P44" i="1"/>
  <c r="G44" i="1"/>
  <c r="AO43" i="1"/>
  <c r="AM43" i="1"/>
  <c r="AL43" i="1"/>
  <c r="AJ43" i="1"/>
  <c r="AC43" i="1"/>
  <c r="AA43" i="1"/>
  <c r="P43" i="1"/>
  <c r="G43" i="1"/>
  <c r="AO42" i="1"/>
  <c r="AM42" i="1"/>
  <c r="AL42" i="1"/>
  <c r="AJ42" i="1"/>
  <c r="AC42" i="1"/>
  <c r="AA42" i="1"/>
  <c r="P42" i="1"/>
  <c r="G42" i="1"/>
  <c r="AO41" i="1"/>
  <c r="AM41" i="1"/>
  <c r="AL41" i="1"/>
  <c r="AJ41" i="1"/>
  <c r="AC41" i="1"/>
  <c r="AA41" i="1"/>
  <c r="P41" i="1"/>
  <c r="G41" i="1"/>
  <c r="AO40" i="1"/>
  <c r="AM40" i="1"/>
  <c r="AL40" i="1"/>
  <c r="AJ40" i="1"/>
  <c r="AC40" i="1"/>
  <c r="AA40" i="1"/>
  <c r="P40" i="1"/>
  <c r="G40" i="1"/>
  <c r="AO39" i="1"/>
  <c r="AM39" i="1"/>
  <c r="AL39" i="1"/>
  <c r="AJ39" i="1"/>
  <c r="AC39" i="1"/>
  <c r="AA39" i="1"/>
  <c r="P39" i="1"/>
  <c r="G39" i="1"/>
  <c r="AO38" i="1"/>
  <c r="AM38" i="1"/>
  <c r="AL38" i="1"/>
  <c r="AJ38" i="1"/>
  <c r="AC38" i="1"/>
  <c r="AA38" i="1"/>
  <c r="P38" i="1"/>
  <c r="G38" i="1"/>
  <c r="AO37" i="1"/>
  <c r="AM37" i="1"/>
  <c r="AL37" i="1"/>
  <c r="AJ37" i="1"/>
  <c r="AC37" i="1"/>
  <c r="AA37" i="1"/>
  <c r="P37" i="1"/>
  <c r="G37" i="1"/>
  <c r="AO36" i="1"/>
  <c r="AM36" i="1"/>
  <c r="AL36" i="1"/>
  <c r="AJ36" i="1"/>
  <c r="AC36" i="1"/>
  <c r="AA36" i="1"/>
  <c r="P36" i="1"/>
  <c r="G36" i="1"/>
  <c r="AO35" i="1"/>
  <c r="AM35" i="1"/>
  <c r="AL35" i="1"/>
  <c r="AJ35" i="1"/>
  <c r="AC35" i="1"/>
  <c r="AA35" i="1"/>
  <c r="P35" i="1"/>
  <c r="G35" i="1"/>
  <c r="AO34" i="1"/>
  <c r="AM34" i="1"/>
  <c r="AL34" i="1"/>
  <c r="AJ34" i="1"/>
  <c r="AC34" i="1"/>
  <c r="AA34" i="1"/>
  <c r="P34" i="1"/>
  <c r="G34" i="1"/>
  <c r="AO33" i="1"/>
  <c r="AM33" i="1"/>
  <c r="AL33" i="1"/>
  <c r="AJ33" i="1"/>
  <c r="AC33" i="1"/>
  <c r="AA33" i="1"/>
  <c r="P33" i="1"/>
  <c r="G33" i="1"/>
  <c r="AO32" i="1"/>
  <c r="AM32" i="1"/>
  <c r="AL32" i="1"/>
  <c r="AJ32" i="1"/>
  <c r="AC32" i="1"/>
  <c r="AA32" i="1"/>
  <c r="P32" i="1"/>
  <c r="G32" i="1"/>
  <c r="AO31" i="1"/>
  <c r="AM31" i="1"/>
  <c r="AL31" i="1"/>
  <c r="AJ31" i="1"/>
  <c r="AC31" i="1"/>
  <c r="AA31" i="1"/>
  <c r="P31" i="1"/>
  <c r="G31" i="1"/>
  <c r="AO30" i="1"/>
  <c r="AM30" i="1"/>
  <c r="AL30" i="1"/>
  <c r="AJ30" i="1"/>
  <c r="AC30" i="1"/>
  <c r="AA30" i="1"/>
  <c r="P30" i="1"/>
  <c r="G30" i="1"/>
  <c r="AO29" i="1"/>
  <c r="AM29" i="1"/>
  <c r="AL29" i="1"/>
  <c r="AJ29" i="1"/>
  <c r="AC29" i="1"/>
  <c r="AA29" i="1"/>
  <c r="P29" i="1"/>
  <c r="G29" i="1"/>
  <c r="AO28" i="1"/>
  <c r="AM28" i="1"/>
  <c r="AL28" i="1"/>
  <c r="AJ28" i="1"/>
  <c r="AC28" i="1"/>
  <c r="AA28" i="1"/>
  <c r="P28" i="1"/>
  <c r="G28" i="1"/>
  <c r="AO27" i="1"/>
  <c r="AM27" i="1"/>
  <c r="AL27" i="1"/>
  <c r="AJ27" i="1"/>
  <c r="AC27" i="1"/>
  <c r="AA27" i="1"/>
  <c r="P27" i="1"/>
  <c r="G27" i="1"/>
  <c r="AO26" i="1"/>
  <c r="AM26" i="1"/>
  <c r="AL26" i="1"/>
  <c r="AJ26" i="1"/>
  <c r="AC26" i="1"/>
  <c r="AA26" i="1"/>
  <c r="P26" i="1"/>
  <c r="G26" i="1"/>
  <c r="AO25" i="1"/>
  <c r="AM25" i="1"/>
  <c r="AL25" i="1"/>
  <c r="AJ25" i="1"/>
  <c r="AC25" i="1"/>
  <c r="AA25" i="1"/>
  <c r="P25" i="1"/>
  <c r="G25" i="1"/>
  <c r="AO24" i="1"/>
  <c r="AM24" i="1"/>
  <c r="AL24" i="1"/>
  <c r="AJ24" i="1"/>
  <c r="AC24" i="1"/>
  <c r="AA24" i="1"/>
  <c r="P24" i="1"/>
  <c r="G24" i="1"/>
  <c r="AO23" i="1"/>
  <c r="AM23" i="1"/>
  <c r="AL23" i="1"/>
  <c r="AJ23" i="1"/>
  <c r="AC23" i="1"/>
  <c r="AA23" i="1"/>
  <c r="P23" i="1"/>
  <c r="G23" i="1"/>
  <c r="AO22" i="1"/>
  <c r="AM22" i="1"/>
  <c r="AL22" i="1"/>
  <c r="AJ22" i="1"/>
  <c r="AC22" i="1"/>
  <c r="AA22" i="1"/>
  <c r="P22" i="1"/>
  <c r="G22" i="1"/>
  <c r="AO21" i="1"/>
  <c r="AM21" i="1"/>
  <c r="AL21" i="1"/>
  <c r="AJ21" i="1"/>
  <c r="AC21" i="1"/>
  <c r="AA21" i="1"/>
  <c r="P21" i="1"/>
  <c r="G21" i="1"/>
  <c r="AO20" i="1"/>
  <c r="AM20" i="1"/>
  <c r="AL20" i="1"/>
  <c r="AJ20" i="1"/>
  <c r="AC20" i="1"/>
  <c r="AA20" i="1"/>
  <c r="P20" i="1"/>
  <c r="G20" i="1"/>
  <c r="AO19" i="1"/>
  <c r="AM19" i="1"/>
  <c r="AL19" i="1"/>
  <c r="AJ19" i="1"/>
  <c r="AC19" i="1"/>
  <c r="AA19" i="1"/>
  <c r="P19" i="1"/>
  <c r="G19" i="1"/>
  <c r="AO18" i="1"/>
  <c r="AM18" i="1"/>
  <c r="AL18" i="1"/>
  <c r="AJ18" i="1"/>
  <c r="AC18" i="1"/>
  <c r="AA18" i="1"/>
  <c r="P18" i="1"/>
  <c r="G18" i="1"/>
  <c r="AO17" i="1"/>
  <c r="AM17" i="1"/>
  <c r="AL17" i="1"/>
  <c r="AJ17" i="1"/>
  <c r="AC17" i="1"/>
  <c r="AA17" i="1"/>
  <c r="P17" i="1"/>
  <c r="G17" i="1"/>
  <c r="AO16" i="1"/>
  <c r="AM16" i="1"/>
  <c r="AL16" i="1"/>
  <c r="AJ16" i="1"/>
  <c r="AC16" i="1"/>
  <c r="AA16" i="1"/>
  <c r="P16" i="1"/>
  <c r="G16" i="1"/>
  <c r="AO15" i="1"/>
  <c r="AM15" i="1"/>
  <c r="AL15" i="1"/>
  <c r="AJ15" i="1"/>
  <c r="AC15" i="1"/>
  <c r="AA15" i="1"/>
  <c r="P15" i="1"/>
  <c r="G15" i="1"/>
  <c r="AO14" i="1"/>
  <c r="AM14" i="1"/>
  <c r="AL14" i="1"/>
  <c r="AJ14" i="1"/>
  <c r="AC14" i="1"/>
  <c r="AA14" i="1"/>
  <c r="P14" i="1"/>
  <c r="G14" i="1"/>
  <c r="AO13" i="1"/>
  <c r="AM13" i="1"/>
  <c r="AL13" i="1"/>
  <c r="AJ13" i="1"/>
  <c r="AC13" i="1"/>
  <c r="AA13" i="1"/>
  <c r="P13" i="1"/>
  <c r="G13" i="1"/>
  <c r="AO12" i="1"/>
  <c r="AM12" i="1"/>
  <c r="AL12" i="1"/>
  <c r="AJ12" i="1"/>
  <c r="AC12" i="1"/>
  <c r="AA12" i="1"/>
  <c r="P12" i="1"/>
  <c r="G12" i="1"/>
  <c r="AO11" i="1"/>
  <c r="AM11" i="1"/>
  <c r="AL11" i="1"/>
  <c r="AJ11" i="1"/>
  <c r="AC11" i="1"/>
  <c r="AA11" i="1"/>
  <c r="P11" i="1"/>
  <c r="G11" i="1"/>
  <c r="AO10" i="1"/>
  <c r="AM10" i="1"/>
  <c r="AL10" i="1"/>
  <c r="AJ10" i="1"/>
  <c r="AC10" i="1"/>
  <c r="AA10" i="1"/>
  <c r="P10" i="1"/>
  <c r="G10" i="1"/>
  <c r="AO9" i="1"/>
  <c r="AM9" i="1"/>
  <c r="AL9" i="1"/>
  <c r="AJ9" i="1"/>
  <c r="AC9" i="1"/>
  <c r="AA9" i="1"/>
  <c r="P9" i="1"/>
  <c r="G9" i="1"/>
  <c r="AO8" i="1"/>
  <c r="AM8" i="1"/>
  <c r="AL8" i="1"/>
  <c r="AJ8" i="1"/>
  <c r="AC8" i="1"/>
  <c r="AA8" i="1"/>
  <c r="P8" i="1"/>
  <c r="G8" i="1"/>
  <c r="AO7" i="1"/>
  <c r="AM7" i="1"/>
  <c r="AL7" i="1"/>
  <c r="AJ7" i="1"/>
  <c r="AC7" i="1"/>
  <c r="AA7" i="1"/>
  <c r="P7" i="1"/>
  <c r="G7" i="1"/>
  <c r="AO6" i="1"/>
  <c r="AM6" i="1"/>
  <c r="AL6" i="1"/>
  <c r="AJ6" i="1"/>
  <c r="AC6" i="1"/>
  <c r="AA6" i="1"/>
  <c r="P6" i="1"/>
  <c r="G6" i="1"/>
  <c r="AO5" i="1"/>
  <c r="AM5" i="1"/>
  <c r="AL5" i="1"/>
  <c r="AJ5" i="1"/>
  <c r="AC5" i="1"/>
  <c r="AA5" i="1"/>
  <c r="P5" i="1"/>
  <c r="G5" i="1"/>
  <c r="AO4" i="1"/>
  <c r="AM4" i="1"/>
  <c r="AL4" i="1"/>
  <c r="AJ4" i="1"/>
  <c r="AC4" i="1"/>
  <c r="AA4" i="1"/>
  <c r="P4" i="1"/>
  <c r="G4" i="1"/>
  <c r="AO3" i="1"/>
  <c r="AM3" i="1"/>
  <c r="AL3" i="1"/>
  <c r="AJ3" i="1"/>
  <c r="AC3" i="1"/>
  <c r="AA3" i="1"/>
  <c r="P3" i="1"/>
  <c r="G3" i="1"/>
  <c r="AO2" i="1"/>
  <c r="AM2" i="1"/>
  <c r="AL2" i="1"/>
  <c r="AJ2" i="1"/>
  <c r="AC2" i="1"/>
  <c r="AA2" i="1"/>
  <c r="P2" i="1"/>
  <c r="G2" i="1"/>
  <c r="AH70" i="2" l="1"/>
  <c r="AK70" i="2" s="1"/>
  <c r="AP70" i="2" s="1"/>
  <c r="AH74" i="2"/>
  <c r="AK74" i="2" s="1"/>
  <c r="AP74" i="2" s="1"/>
  <c r="AH78" i="2"/>
  <c r="AK78" i="2" s="1"/>
  <c r="AP78" i="2" s="1"/>
  <c r="AH83" i="2"/>
  <c r="AK83" i="2" s="1"/>
  <c r="AP83" i="2" s="1"/>
  <c r="AK124" i="2"/>
  <c r="AP124" i="2" s="1"/>
  <c r="AG2" i="2"/>
  <c r="AG6" i="2"/>
  <c r="AH6" i="2" s="1"/>
  <c r="AK6" i="2" s="1"/>
  <c r="AP6" i="2" s="1"/>
  <c r="AG50" i="2"/>
  <c r="AG54" i="2"/>
  <c r="AG58" i="2"/>
  <c r="AG62" i="2"/>
  <c r="AG66" i="2"/>
  <c r="AG86" i="2"/>
  <c r="AG90" i="2"/>
  <c r="AG98" i="2"/>
  <c r="AG102" i="2"/>
  <c r="AH102" i="2" s="1"/>
  <c r="AK102" i="2" s="1"/>
  <c r="AP102" i="2" s="1"/>
  <c r="AG114" i="2"/>
  <c r="AG118" i="2"/>
  <c r="AH85" i="2"/>
  <c r="AH101" i="2"/>
  <c r="AK101" i="2" s="1"/>
  <c r="AP101" i="2" s="1"/>
  <c r="AK113" i="2"/>
  <c r="AP113" i="2" s="1"/>
  <c r="AH117" i="2"/>
  <c r="AK117" i="2" s="1"/>
  <c r="AP117" i="2" s="1"/>
  <c r="AG5" i="2"/>
  <c r="AG9" i="2"/>
  <c r="AG49" i="2"/>
  <c r="AG53" i="2"/>
  <c r="AG57" i="2"/>
  <c r="AK57" i="2" s="1"/>
  <c r="AP57" i="2" s="1"/>
  <c r="AK85" i="2"/>
  <c r="AP85" i="2" s="1"/>
  <c r="AH89" i="2"/>
  <c r="AH105" i="2"/>
  <c r="AK105" i="2" s="1"/>
  <c r="AP105" i="2" s="1"/>
  <c r="AG106" i="2"/>
  <c r="AH106" i="2" s="1"/>
  <c r="AK106" i="2" s="1"/>
  <c r="AP106" i="2" s="1"/>
  <c r="AG111" i="2"/>
  <c r="AG116" i="2"/>
  <c r="AH116" i="2" s="1"/>
  <c r="AK116" i="2" s="1"/>
  <c r="AP116" i="2" s="1"/>
  <c r="AK97" i="2"/>
  <c r="AP97" i="2" s="1"/>
  <c r="AG4" i="2"/>
  <c r="AH4" i="2" s="1"/>
  <c r="AK4" i="2" s="1"/>
  <c r="AP4" i="2" s="1"/>
  <c r="AG8" i="2"/>
  <c r="AG12" i="2"/>
  <c r="AG16" i="2"/>
  <c r="AG20" i="2"/>
  <c r="AH20" i="2" s="1"/>
  <c r="AK20" i="2" s="1"/>
  <c r="AP20" i="2" s="1"/>
  <c r="AG24" i="2"/>
  <c r="AH24" i="2" s="1"/>
  <c r="AK24" i="2" s="1"/>
  <c r="AP24" i="2" s="1"/>
  <c r="AG28" i="2"/>
  <c r="AG32" i="2"/>
  <c r="AH32" i="2" s="1"/>
  <c r="AK32" i="2" s="1"/>
  <c r="AP32" i="2" s="1"/>
  <c r="AG36" i="2"/>
  <c r="AH36" i="2" s="1"/>
  <c r="AK36" i="2" s="1"/>
  <c r="AP36" i="2" s="1"/>
  <c r="AG40" i="2"/>
  <c r="AH40" i="2" s="1"/>
  <c r="AK40" i="2" s="1"/>
  <c r="AP40" i="2" s="1"/>
  <c r="AG44" i="2"/>
  <c r="AG52" i="2"/>
  <c r="AH52" i="2" s="1"/>
  <c r="AK52" i="2" s="1"/>
  <c r="AP52" i="2" s="1"/>
  <c r="AG56" i="2"/>
  <c r="AH56" i="2" s="1"/>
  <c r="AK56" i="2" s="1"/>
  <c r="AP56" i="2" s="1"/>
  <c r="AG60" i="2"/>
  <c r="AH60" i="2" s="1"/>
  <c r="AK60" i="2" s="1"/>
  <c r="AP60" i="2" s="1"/>
  <c r="AG64" i="2"/>
  <c r="AG88" i="2"/>
  <c r="AK89" i="2"/>
  <c r="AP89" i="2" s="1"/>
  <c r="AG93" i="2"/>
  <c r="AG94" i="2"/>
  <c r="AG99" i="2"/>
  <c r="AH99" i="2" s="1"/>
  <c r="AK99" i="2" s="1"/>
  <c r="AP99" i="2" s="1"/>
  <c r="AG104" i="2"/>
  <c r="AH104" i="2" s="1"/>
  <c r="AK104" i="2" s="1"/>
  <c r="AP104" i="2" s="1"/>
  <c r="AG109" i="2"/>
  <c r="AG110" i="2"/>
  <c r="AH110" i="2" s="1"/>
  <c r="AK110" i="2" s="1"/>
  <c r="AP110" i="2" s="1"/>
  <c r="AG115" i="2"/>
  <c r="AG120" i="2"/>
  <c r="AH120" i="2" s="1"/>
  <c r="AK120" i="2" s="1"/>
  <c r="AP120" i="2" s="1"/>
  <c r="AK127" i="2"/>
  <c r="AP127" i="2" s="1"/>
  <c r="AG45" i="1"/>
  <c r="AG47" i="1"/>
  <c r="AG49" i="1"/>
  <c r="AH49" i="1" s="1"/>
  <c r="AK49" i="1" s="1"/>
  <c r="AP49" i="1" s="1"/>
  <c r="AG51" i="1"/>
  <c r="AH51" i="1" s="1"/>
  <c r="AK51" i="1" s="1"/>
  <c r="AP51" i="1" s="1"/>
  <c r="AG53" i="1"/>
  <c r="AG55" i="1"/>
  <c r="AH55" i="1" s="1"/>
  <c r="AK55" i="1" s="1"/>
  <c r="AP55" i="1" s="1"/>
  <c r="AG56" i="1"/>
  <c r="AH56" i="1" s="1"/>
  <c r="AK56" i="1" s="1"/>
  <c r="AG57" i="1"/>
  <c r="AH57" i="1" s="1"/>
  <c r="AK57" i="1" s="1"/>
  <c r="AP57" i="1" s="1"/>
  <c r="AG58" i="1"/>
  <c r="AG59" i="1"/>
  <c r="AH59" i="1" s="1"/>
  <c r="AK59" i="1" s="1"/>
  <c r="AG60" i="1"/>
  <c r="AH60" i="1" s="1"/>
  <c r="AK60" i="1" s="1"/>
  <c r="AG61" i="1"/>
  <c r="AH61" i="1" s="1"/>
  <c r="AK61" i="1" s="1"/>
  <c r="AG62" i="1"/>
  <c r="AG63" i="1"/>
  <c r="AH63" i="1" s="1"/>
  <c r="AK63" i="1" s="1"/>
  <c r="AP63" i="1" s="1"/>
  <c r="AG64" i="1"/>
  <c r="AH64" i="1" s="1"/>
  <c r="AK64" i="1" s="1"/>
  <c r="AG65" i="1"/>
  <c r="AH65" i="1" s="1"/>
  <c r="AK65" i="1" s="1"/>
  <c r="AG66" i="1"/>
  <c r="AG67" i="1"/>
  <c r="AH67" i="1" s="1"/>
  <c r="AK67" i="1" s="1"/>
  <c r="AG68" i="1"/>
  <c r="AG69" i="1"/>
  <c r="AG70" i="1"/>
  <c r="AG71" i="1"/>
  <c r="AH71" i="1" s="1"/>
  <c r="AK71" i="1" s="1"/>
  <c r="AG72" i="1"/>
  <c r="AH72" i="1" s="1"/>
  <c r="AK72" i="1" s="1"/>
  <c r="AG73" i="1"/>
  <c r="AH73" i="1" s="1"/>
  <c r="AG74" i="1"/>
  <c r="AG75" i="1"/>
  <c r="AH75" i="1" s="1"/>
  <c r="AK75" i="1" s="1"/>
  <c r="AG76" i="1"/>
  <c r="AH76" i="1" s="1"/>
  <c r="AK76" i="1" s="1"/>
  <c r="AG77" i="1"/>
  <c r="AH77" i="1" s="1"/>
  <c r="AK77" i="1" s="1"/>
  <c r="AG78" i="1"/>
  <c r="AG79" i="1"/>
  <c r="AH79" i="1" s="1"/>
  <c r="AK79" i="1" s="1"/>
  <c r="AG80" i="1"/>
  <c r="AG81" i="1"/>
  <c r="AH81" i="1" s="1"/>
  <c r="AK81" i="1" s="1"/>
  <c r="AG82" i="1"/>
  <c r="AG83" i="1"/>
  <c r="AG84" i="1"/>
  <c r="AH84" i="1" s="1"/>
  <c r="AK84" i="1" s="1"/>
  <c r="AG85" i="1"/>
  <c r="AH85" i="1" s="1"/>
  <c r="AK85" i="1" s="1"/>
  <c r="AG86" i="1"/>
  <c r="AG87" i="1"/>
  <c r="AG88" i="1"/>
  <c r="AH88" i="1" s="1"/>
  <c r="AG89" i="1"/>
  <c r="AH89" i="1" s="1"/>
  <c r="AK89" i="1" s="1"/>
  <c r="AG90" i="1"/>
  <c r="AG91" i="1"/>
  <c r="AH91" i="1" s="1"/>
  <c r="AK91" i="1" s="1"/>
  <c r="AG92" i="1"/>
  <c r="AH92" i="1" s="1"/>
  <c r="AK92" i="1" s="1"/>
  <c r="AG93" i="1"/>
  <c r="AH93" i="1" s="1"/>
  <c r="AK93" i="1" s="1"/>
  <c r="AG94" i="1"/>
  <c r="AG95" i="1"/>
  <c r="AH95" i="1" s="1"/>
  <c r="AK95" i="1" s="1"/>
  <c r="AG96" i="1"/>
  <c r="AG97" i="1"/>
  <c r="AH97" i="1" s="1"/>
  <c r="AK97" i="1" s="1"/>
  <c r="AG98" i="1"/>
  <c r="AG99" i="1"/>
  <c r="AH99" i="1" s="1"/>
  <c r="AK99" i="1" s="1"/>
  <c r="AG100" i="1"/>
  <c r="AH100" i="1" s="1"/>
  <c r="AK100" i="1" s="1"/>
  <c r="AG101" i="1"/>
  <c r="AH101" i="1" s="1"/>
  <c r="AK101" i="1" s="1"/>
  <c r="AG102" i="1"/>
  <c r="AG103" i="1"/>
  <c r="AG104" i="1"/>
  <c r="AH104" i="1" s="1"/>
  <c r="AK104" i="1" s="1"/>
  <c r="AG105" i="1"/>
  <c r="AH105" i="1" s="1"/>
  <c r="AK105" i="1" s="1"/>
  <c r="AG106" i="1"/>
  <c r="AG107" i="1"/>
  <c r="AH107" i="1" s="1"/>
  <c r="AK107" i="1" s="1"/>
  <c r="AG108" i="1"/>
  <c r="AH108" i="1" s="1"/>
  <c r="AG109" i="1"/>
  <c r="AH109" i="1" s="1"/>
  <c r="AK109" i="1" s="1"/>
  <c r="AG110" i="1"/>
  <c r="AG111" i="1"/>
  <c r="AG112" i="1"/>
  <c r="AH112" i="1" s="1"/>
  <c r="AK112" i="1" s="1"/>
  <c r="AG113" i="1"/>
  <c r="AH113" i="1" s="1"/>
  <c r="AK113" i="1" s="1"/>
  <c r="AG114" i="1"/>
  <c r="AG115" i="1"/>
  <c r="AG116" i="1"/>
  <c r="AG117" i="1"/>
  <c r="AH117" i="1" s="1"/>
  <c r="AK117" i="1" s="1"/>
  <c r="AG118" i="1"/>
  <c r="AG119" i="1"/>
  <c r="AH119" i="1" s="1"/>
  <c r="AK119" i="1" s="1"/>
  <c r="AG120" i="1"/>
  <c r="AH120" i="1" s="1"/>
  <c r="AK120" i="1" s="1"/>
  <c r="AG121" i="1"/>
  <c r="AH121" i="1" s="1"/>
  <c r="AK121" i="1" s="1"/>
  <c r="AG122" i="1"/>
  <c r="AG123" i="1"/>
  <c r="AG124" i="1"/>
  <c r="AH124" i="1" s="1"/>
  <c r="AK124" i="1" s="1"/>
  <c r="AG131" i="1"/>
  <c r="AH131" i="1" s="1"/>
  <c r="AK131" i="1" s="1"/>
  <c r="AG135" i="1"/>
  <c r="AG139" i="1"/>
  <c r="AH139" i="1" s="1"/>
  <c r="AK139" i="1" s="1"/>
  <c r="AH47" i="1"/>
  <c r="AK47" i="1" s="1"/>
  <c r="AH58" i="1"/>
  <c r="AK58" i="1" s="1"/>
  <c r="AP58" i="1" s="1"/>
  <c r="AH62" i="1"/>
  <c r="AK62" i="1" s="1"/>
  <c r="AH66" i="1"/>
  <c r="AK66" i="1" s="1"/>
  <c r="AH70" i="1"/>
  <c r="AK70" i="1" s="1"/>
  <c r="AH74" i="1"/>
  <c r="AK74" i="1" s="1"/>
  <c r="AH94" i="1"/>
  <c r="AK94" i="1" s="1"/>
  <c r="AH53" i="1"/>
  <c r="AK53" i="1" s="1"/>
  <c r="AH78" i="1"/>
  <c r="AK78" i="1" s="1"/>
  <c r="AH82" i="1"/>
  <c r="AK82" i="1" s="1"/>
  <c r="AH86" i="1"/>
  <c r="AK86" i="1" s="1"/>
  <c r="AH90" i="1"/>
  <c r="AK90" i="1" s="1"/>
  <c r="AH98" i="1"/>
  <c r="AK98" i="1" s="1"/>
  <c r="AG278" i="1"/>
  <c r="AH278" i="1" s="1"/>
  <c r="AK278" i="1" s="1"/>
  <c r="AG282" i="1"/>
  <c r="AH282" i="1" s="1"/>
  <c r="AG286" i="1"/>
  <c r="AH286" i="1" s="1"/>
  <c r="AK286" i="1" s="1"/>
  <c r="AG290" i="1"/>
  <c r="AH290" i="1" s="1"/>
  <c r="AG294" i="1"/>
  <c r="AH294" i="1" s="1"/>
  <c r="AK294" i="1" s="1"/>
  <c r="AG298" i="1"/>
  <c r="AH298" i="1" s="1"/>
  <c r="AK298" i="1" s="1"/>
  <c r="AG302" i="1"/>
  <c r="AH302" i="1" s="1"/>
  <c r="AK302" i="1" s="1"/>
  <c r="AG306" i="1"/>
  <c r="AH306" i="1" s="1"/>
  <c r="AK306" i="1" s="1"/>
  <c r="AG310" i="1"/>
  <c r="AH310" i="1" s="1"/>
  <c r="AK310" i="1" s="1"/>
  <c r="AG314" i="1"/>
  <c r="AH314" i="1" s="1"/>
  <c r="AG318" i="1"/>
  <c r="AH318" i="1" s="1"/>
  <c r="AK318" i="1" s="1"/>
  <c r="AP318" i="1" s="1"/>
  <c r="AG322" i="1"/>
  <c r="AH322" i="1" s="1"/>
  <c r="AK322" i="1" s="1"/>
  <c r="AP322" i="1" s="1"/>
  <c r="AG326" i="1"/>
  <c r="AH326" i="1" s="1"/>
  <c r="AK326" i="1" s="1"/>
  <c r="AP326" i="1" s="1"/>
  <c r="AG330" i="1"/>
  <c r="AH330" i="1" s="1"/>
  <c r="AK330" i="1" s="1"/>
  <c r="AP330" i="1" s="1"/>
  <c r="AG334" i="1"/>
  <c r="AH334" i="1" s="1"/>
  <c r="AK334" i="1" s="1"/>
  <c r="AP334" i="1" s="1"/>
  <c r="AG338" i="1"/>
  <c r="AH338" i="1" s="1"/>
  <c r="AG342" i="1"/>
  <c r="AH342" i="1" s="1"/>
  <c r="AK342" i="1" s="1"/>
  <c r="AP342" i="1" s="1"/>
  <c r="AG346" i="1"/>
  <c r="AH346" i="1" s="1"/>
  <c r="AG347" i="1"/>
  <c r="AH347" i="1" s="1"/>
  <c r="AK347" i="1" s="1"/>
  <c r="AP347" i="1" s="1"/>
  <c r="AG348" i="1"/>
  <c r="AH348" i="1" s="1"/>
  <c r="AG349" i="1"/>
  <c r="AH349" i="1" s="1"/>
  <c r="AK349" i="1" s="1"/>
  <c r="AP349" i="1" s="1"/>
  <c r="AG350" i="1"/>
  <c r="AH350" i="1" s="1"/>
  <c r="AK350" i="1" s="1"/>
  <c r="AP350" i="1" s="1"/>
  <c r="AG351" i="1"/>
  <c r="AH351" i="1" s="1"/>
  <c r="AK351" i="1" s="1"/>
  <c r="AP351" i="1" s="1"/>
  <c r="AG352" i="1"/>
  <c r="AH352" i="1" s="1"/>
  <c r="AK352" i="1" s="1"/>
  <c r="AP352" i="1" s="1"/>
  <c r="AG353" i="1"/>
  <c r="AH353" i="1" s="1"/>
  <c r="AK353" i="1" s="1"/>
  <c r="AP353" i="1" s="1"/>
  <c r="AG354" i="1"/>
  <c r="AH354" i="1" s="1"/>
  <c r="AK354" i="1" s="1"/>
  <c r="AP354" i="1" s="1"/>
  <c r="AG355" i="1"/>
  <c r="AH355" i="1" s="1"/>
  <c r="AK355" i="1" s="1"/>
  <c r="AP355" i="1" s="1"/>
  <c r="AG356" i="1"/>
  <c r="AH356" i="1" s="1"/>
  <c r="AK356" i="1" s="1"/>
  <c r="AP356" i="1" s="1"/>
  <c r="AG357" i="1"/>
  <c r="AH357" i="1" s="1"/>
  <c r="AK357" i="1" s="1"/>
  <c r="AP357" i="1" s="1"/>
  <c r="AG358" i="1"/>
  <c r="AH358" i="1" s="1"/>
  <c r="AK358" i="1" s="1"/>
  <c r="AP358" i="1" s="1"/>
  <c r="AG359" i="1"/>
  <c r="AH359" i="1" s="1"/>
  <c r="AK359" i="1" s="1"/>
  <c r="AP359" i="1" s="1"/>
  <c r="AG360" i="1"/>
  <c r="AH360" i="1" s="1"/>
  <c r="AK360" i="1" s="1"/>
  <c r="AP360" i="1" s="1"/>
  <c r="AG361" i="1"/>
  <c r="AH361" i="1" s="1"/>
  <c r="AK361" i="1" s="1"/>
  <c r="AP361" i="1" s="1"/>
  <c r="AG362" i="1"/>
  <c r="AH362" i="1" s="1"/>
  <c r="AK362" i="1" s="1"/>
  <c r="AP362" i="1" s="1"/>
  <c r="AG363" i="1"/>
  <c r="AH363" i="1" s="1"/>
  <c r="AG364" i="1"/>
  <c r="AH364" i="1" s="1"/>
  <c r="AK364" i="1" s="1"/>
  <c r="AP364" i="1" s="1"/>
  <c r="AG365" i="1"/>
  <c r="AH365" i="1" s="1"/>
  <c r="AK365" i="1" s="1"/>
  <c r="AP365" i="1" s="1"/>
  <c r="AG366" i="1"/>
  <c r="AH366" i="1" s="1"/>
  <c r="AK366" i="1" s="1"/>
  <c r="AP366" i="1" s="1"/>
  <c r="AG367" i="1"/>
  <c r="AH367" i="1" s="1"/>
  <c r="AK367" i="1" s="1"/>
  <c r="AP367" i="1" s="1"/>
  <c r="AG368" i="1"/>
  <c r="AH368" i="1" s="1"/>
  <c r="AK368" i="1" s="1"/>
  <c r="AP368" i="1" s="1"/>
  <c r="AG369" i="1"/>
  <c r="AH369" i="1" s="1"/>
  <c r="AK369" i="1" s="1"/>
  <c r="AP369" i="1" s="1"/>
  <c r="AG370" i="1"/>
  <c r="AH370" i="1" s="1"/>
  <c r="AK370" i="1" s="1"/>
  <c r="AP370" i="1" s="1"/>
  <c r="AG371" i="1"/>
  <c r="AH371" i="1" s="1"/>
  <c r="AG372" i="1"/>
  <c r="AH372" i="1" s="1"/>
  <c r="AK372" i="1" s="1"/>
  <c r="AP372" i="1" s="1"/>
  <c r="AG373" i="1"/>
  <c r="AH373" i="1" s="1"/>
  <c r="AK373" i="1" s="1"/>
  <c r="AP373" i="1" s="1"/>
  <c r="AG374" i="1"/>
  <c r="AH374" i="1" s="1"/>
  <c r="AK374" i="1" s="1"/>
  <c r="AP374" i="1" s="1"/>
  <c r="AG375" i="1"/>
  <c r="AH375" i="1" s="1"/>
  <c r="AK375" i="1" s="1"/>
  <c r="AP375" i="1" s="1"/>
  <c r="AG376" i="1"/>
  <c r="AH376" i="1" s="1"/>
  <c r="AG2" i="1"/>
  <c r="AH2" i="1" s="1"/>
  <c r="AK2" i="1" s="1"/>
  <c r="AG3" i="1"/>
  <c r="AH3" i="1" s="1"/>
  <c r="AK3" i="1" s="1"/>
  <c r="AG4" i="1"/>
  <c r="AG5" i="1"/>
  <c r="AH5" i="1" s="1"/>
  <c r="AK5" i="1" s="1"/>
  <c r="AG6" i="1"/>
  <c r="AH6" i="1" s="1"/>
  <c r="AK6" i="1" s="1"/>
  <c r="AG7" i="1"/>
  <c r="AH7" i="1" s="1"/>
  <c r="AK7" i="1" s="1"/>
  <c r="AG8" i="1"/>
  <c r="AH8" i="1" s="1"/>
  <c r="AK8" i="1" s="1"/>
  <c r="AG9" i="1"/>
  <c r="AH9" i="1" s="1"/>
  <c r="AK9" i="1" s="1"/>
  <c r="AG10" i="1"/>
  <c r="AH10" i="1" s="1"/>
  <c r="AK10" i="1" s="1"/>
  <c r="AG11" i="1"/>
  <c r="AH11" i="1" s="1"/>
  <c r="AK11" i="1" s="1"/>
  <c r="AG12" i="1"/>
  <c r="AH12" i="1" s="1"/>
  <c r="AK12" i="1" s="1"/>
  <c r="AG13" i="1"/>
  <c r="AH13" i="1" s="1"/>
  <c r="AK13" i="1" s="1"/>
  <c r="AG14" i="1"/>
  <c r="AH14" i="1" s="1"/>
  <c r="AK14" i="1" s="1"/>
  <c r="AG15" i="1"/>
  <c r="AH15" i="1" s="1"/>
  <c r="AK15" i="1" s="1"/>
  <c r="AG16" i="1"/>
  <c r="AH16" i="1" s="1"/>
  <c r="AK16" i="1" s="1"/>
  <c r="AG17" i="1"/>
  <c r="AH17" i="1" s="1"/>
  <c r="AK17" i="1" s="1"/>
  <c r="AG18" i="1"/>
  <c r="AH18" i="1" s="1"/>
  <c r="AK18" i="1" s="1"/>
  <c r="AG19" i="1"/>
  <c r="AH19" i="1" s="1"/>
  <c r="AK19" i="1" s="1"/>
  <c r="AG20" i="1"/>
  <c r="AH20" i="1" s="1"/>
  <c r="AK20" i="1" s="1"/>
  <c r="AG21" i="1"/>
  <c r="AH21" i="1" s="1"/>
  <c r="AK21" i="1" s="1"/>
  <c r="AG22" i="1"/>
  <c r="AH22" i="1" s="1"/>
  <c r="AK22" i="1" s="1"/>
  <c r="AG23" i="1"/>
  <c r="AH23" i="1" s="1"/>
  <c r="AK23" i="1" s="1"/>
  <c r="AG24" i="1"/>
  <c r="AH24" i="1" s="1"/>
  <c r="AK24" i="1" s="1"/>
  <c r="AG25" i="1"/>
  <c r="AH25" i="1" s="1"/>
  <c r="AK25" i="1" s="1"/>
  <c r="AG26" i="1"/>
  <c r="AH26" i="1" s="1"/>
  <c r="AK26" i="1" s="1"/>
  <c r="AG27" i="1"/>
  <c r="AH27" i="1" s="1"/>
  <c r="AK27" i="1" s="1"/>
  <c r="AG28" i="1"/>
  <c r="AH28" i="1" s="1"/>
  <c r="AK28" i="1" s="1"/>
  <c r="AG29" i="1"/>
  <c r="AH29" i="1" s="1"/>
  <c r="AK29" i="1" s="1"/>
  <c r="AG30" i="1"/>
  <c r="AH30" i="1" s="1"/>
  <c r="AK30" i="1" s="1"/>
  <c r="AG31" i="1"/>
  <c r="AH31" i="1" s="1"/>
  <c r="AK31" i="1" s="1"/>
  <c r="AG32" i="1"/>
  <c r="AH32" i="1" s="1"/>
  <c r="AK32" i="1" s="1"/>
  <c r="AG33" i="1"/>
  <c r="AH33" i="1" s="1"/>
  <c r="AK33" i="1" s="1"/>
  <c r="AG34" i="1"/>
  <c r="AH34" i="1" s="1"/>
  <c r="AK34" i="1" s="1"/>
  <c r="AG35" i="1"/>
  <c r="AH35" i="1" s="1"/>
  <c r="AK35" i="1" s="1"/>
  <c r="AG36" i="1"/>
  <c r="AH36" i="1" s="1"/>
  <c r="AG37" i="1"/>
  <c r="AH37" i="1" s="1"/>
  <c r="AK37" i="1" s="1"/>
  <c r="AG38" i="1"/>
  <c r="AH38" i="1" s="1"/>
  <c r="AK38" i="1" s="1"/>
  <c r="AG39" i="1"/>
  <c r="AH39" i="1" s="1"/>
  <c r="AK39" i="1" s="1"/>
  <c r="AG40" i="1"/>
  <c r="AH40" i="1" s="1"/>
  <c r="AK40" i="1" s="1"/>
  <c r="AG42" i="1"/>
  <c r="AH42" i="1" s="1"/>
  <c r="AK42" i="1" s="1"/>
  <c r="AG44" i="1"/>
  <c r="AH44" i="1" s="1"/>
  <c r="AK44" i="1" s="1"/>
  <c r="AG46" i="1"/>
  <c r="AH46" i="1" s="1"/>
  <c r="AK46" i="1" s="1"/>
  <c r="AG48" i="1"/>
  <c r="AH48" i="1" s="1"/>
  <c r="AK48" i="1" s="1"/>
  <c r="AG50" i="1"/>
  <c r="AH50" i="1" s="1"/>
  <c r="AK50" i="1" s="1"/>
  <c r="AG52" i="1"/>
  <c r="AH52" i="1" s="1"/>
  <c r="AK52" i="1" s="1"/>
  <c r="AG54" i="1"/>
  <c r="AH54" i="1" s="1"/>
  <c r="AK54" i="1" s="1"/>
  <c r="AG269" i="1"/>
  <c r="AH269" i="1" s="1"/>
  <c r="AK269" i="1" s="1"/>
  <c r="AG273" i="1"/>
  <c r="AH273" i="1" s="1"/>
  <c r="AK273" i="1" s="1"/>
  <c r="AG277" i="1"/>
  <c r="AH277" i="1" s="1"/>
  <c r="AK277" i="1" s="1"/>
  <c r="AG281" i="1"/>
  <c r="AH281" i="1" s="1"/>
  <c r="AK281" i="1" s="1"/>
  <c r="AG285" i="1"/>
  <c r="AH285" i="1" s="1"/>
  <c r="AK285" i="1" s="1"/>
  <c r="AG289" i="1"/>
  <c r="AH289" i="1" s="1"/>
  <c r="AK289" i="1" s="1"/>
  <c r="AG293" i="1"/>
  <c r="AH293" i="1" s="1"/>
  <c r="AK293" i="1" s="1"/>
  <c r="AG297" i="1"/>
  <c r="AH297" i="1" s="1"/>
  <c r="AK297" i="1" s="1"/>
  <c r="AG301" i="1"/>
  <c r="AH301" i="1" s="1"/>
  <c r="AG305" i="1"/>
  <c r="AH305" i="1" s="1"/>
  <c r="AK305" i="1" s="1"/>
  <c r="AG309" i="1"/>
  <c r="AH309" i="1" s="1"/>
  <c r="AK309" i="1" s="1"/>
  <c r="AG313" i="1"/>
  <c r="AH313" i="1" s="1"/>
  <c r="AK313" i="1" s="1"/>
  <c r="AG317" i="1"/>
  <c r="AH317" i="1" s="1"/>
  <c r="AK317" i="1" s="1"/>
  <c r="AG321" i="1"/>
  <c r="AH321" i="1" s="1"/>
  <c r="AK321" i="1" s="1"/>
  <c r="AP321" i="1" s="1"/>
  <c r="AG325" i="1"/>
  <c r="AH325" i="1" s="1"/>
  <c r="AG209" i="1"/>
  <c r="AH209" i="1" s="1"/>
  <c r="AK209" i="1" s="1"/>
  <c r="AG210" i="1"/>
  <c r="AH210" i="1" s="1"/>
  <c r="AG211" i="1"/>
  <c r="AH211" i="1" s="1"/>
  <c r="AK211" i="1" s="1"/>
  <c r="AG212" i="1"/>
  <c r="AH212" i="1" s="1"/>
  <c r="AK212" i="1" s="1"/>
  <c r="AG213" i="1"/>
  <c r="AH213" i="1" s="1"/>
  <c r="AK213" i="1" s="1"/>
  <c r="AG214" i="1"/>
  <c r="AH214" i="1" s="1"/>
  <c r="AK214" i="1" s="1"/>
  <c r="AG216" i="1"/>
  <c r="AH216" i="1" s="1"/>
  <c r="AK216" i="1" s="1"/>
  <c r="AG217" i="1"/>
  <c r="AH217" i="1" s="1"/>
  <c r="AK217" i="1" s="1"/>
  <c r="AG220" i="1"/>
  <c r="AH220" i="1" s="1"/>
  <c r="AG221" i="1"/>
  <c r="AH221" i="1" s="1"/>
  <c r="AK221" i="1" s="1"/>
  <c r="AG222" i="1"/>
  <c r="AH222" i="1" s="1"/>
  <c r="AK222" i="1" s="1"/>
  <c r="AG223" i="1"/>
  <c r="AH223" i="1" s="1"/>
  <c r="AK223" i="1" s="1"/>
  <c r="AG224" i="1"/>
  <c r="AG225" i="1"/>
  <c r="AH225" i="1" s="1"/>
  <c r="AG227" i="1"/>
  <c r="AH227" i="1" s="1"/>
  <c r="AK227" i="1" s="1"/>
  <c r="AG228" i="1"/>
  <c r="AH228" i="1" s="1"/>
  <c r="AG229" i="1"/>
  <c r="AH229" i="1" s="1"/>
  <c r="AK229" i="1" s="1"/>
  <c r="AG230" i="1"/>
  <c r="AH230" i="1" s="1"/>
  <c r="AK230" i="1" s="1"/>
  <c r="AG231" i="1"/>
  <c r="AH231" i="1" s="1"/>
  <c r="AK231" i="1" s="1"/>
  <c r="AG232" i="1"/>
  <c r="AH232" i="1" s="1"/>
  <c r="AK232" i="1" s="1"/>
  <c r="AG233" i="1"/>
  <c r="AH233" i="1" s="1"/>
  <c r="AK233" i="1" s="1"/>
  <c r="AG236" i="1"/>
  <c r="AH236" i="1" s="1"/>
  <c r="AG237" i="1"/>
  <c r="AH237" i="1" s="1"/>
  <c r="AK237" i="1" s="1"/>
  <c r="AG238" i="1"/>
  <c r="AH238" i="1" s="1"/>
  <c r="AK238" i="1" s="1"/>
  <c r="AG239" i="1"/>
  <c r="AH239" i="1" s="1"/>
  <c r="AK239" i="1" s="1"/>
  <c r="AG240" i="1"/>
  <c r="AH240" i="1" s="1"/>
  <c r="AG241" i="1"/>
  <c r="AH241" i="1" s="1"/>
  <c r="AK241" i="1" s="1"/>
  <c r="AG244" i="1"/>
  <c r="AH244" i="1" s="1"/>
  <c r="AG127" i="1"/>
  <c r="AH127" i="1" s="1"/>
  <c r="AK127" i="1" s="1"/>
  <c r="AG130" i="1"/>
  <c r="AH130" i="1" s="1"/>
  <c r="AK130" i="1" s="1"/>
  <c r="AG134" i="1"/>
  <c r="AH134" i="1" s="1"/>
  <c r="AK134" i="1" s="1"/>
  <c r="AG138" i="1"/>
  <c r="AH138" i="1" s="1"/>
  <c r="AK138" i="1" s="1"/>
  <c r="AH147" i="1"/>
  <c r="AK147" i="1" s="1"/>
  <c r="AP147" i="1" s="1"/>
  <c r="AH151" i="1"/>
  <c r="AK151" i="1" s="1"/>
  <c r="AH155" i="1"/>
  <c r="AK155" i="1" s="1"/>
  <c r="AP155" i="1" s="1"/>
  <c r="AH159" i="1"/>
  <c r="AK159" i="1" s="1"/>
  <c r="AG245" i="1"/>
  <c r="AH245" i="1" s="1"/>
  <c r="AK245" i="1" s="1"/>
  <c r="AG246" i="1"/>
  <c r="AH246" i="1" s="1"/>
  <c r="AK246" i="1" s="1"/>
  <c r="AG247" i="1"/>
  <c r="AH247" i="1" s="1"/>
  <c r="AK247" i="1" s="1"/>
  <c r="AG248" i="1"/>
  <c r="AH248" i="1" s="1"/>
  <c r="AG249" i="1"/>
  <c r="AH249" i="1" s="1"/>
  <c r="AK249" i="1" s="1"/>
  <c r="AG252" i="1"/>
  <c r="AH252" i="1" s="1"/>
  <c r="AG253" i="1"/>
  <c r="AH253" i="1" s="1"/>
  <c r="AK253" i="1" s="1"/>
  <c r="AG254" i="1"/>
  <c r="AH254" i="1" s="1"/>
  <c r="AK254" i="1" s="1"/>
  <c r="AG255" i="1"/>
  <c r="AH255" i="1" s="1"/>
  <c r="AK255" i="1" s="1"/>
  <c r="AG256" i="1"/>
  <c r="AH256" i="1" s="1"/>
  <c r="AG257" i="1"/>
  <c r="AH257" i="1" s="1"/>
  <c r="AK257" i="1" s="1"/>
  <c r="AG259" i="1"/>
  <c r="AH259" i="1" s="1"/>
  <c r="AK259" i="1" s="1"/>
  <c r="AG260" i="1"/>
  <c r="AH260" i="1" s="1"/>
  <c r="AK260" i="1" s="1"/>
  <c r="AG261" i="1"/>
  <c r="AH261" i="1" s="1"/>
  <c r="AK261" i="1" s="1"/>
  <c r="AG262" i="1"/>
  <c r="AG263" i="1"/>
  <c r="AH263" i="1" s="1"/>
  <c r="AK263" i="1" s="1"/>
  <c r="AG264" i="1"/>
  <c r="AH264" i="1" s="1"/>
  <c r="AK264" i="1" s="1"/>
  <c r="AG265" i="1"/>
  <c r="AH265" i="1" s="1"/>
  <c r="AK265" i="1" s="1"/>
  <c r="AG266" i="1"/>
  <c r="AH266" i="1" s="1"/>
  <c r="AK266" i="1" s="1"/>
  <c r="AG267" i="1"/>
  <c r="AH267" i="1" s="1"/>
  <c r="AK267" i="1" s="1"/>
  <c r="AG268" i="1"/>
  <c r="AH268" i="1" s="1"/>
  <c r="AK268" i="1" s="1"/>
  <c r="AG272" i="1"/>
  <c r="AH272" i="1" s="1"/>
  <c r="AK272" i="1" s="1"/>
  <c r="AG276" i="1"/>
  <c r="AH276" i="1" s="1"/>
  <c r="AK276" i="1" s="1"/>
  <c r="AG280" i="1"/>
  <c r="AH280" i="1" s="1"/>
  <c r="AK280" i="1" s="1"/>
  <c r="AG284" i="1"/>
  <c r="AH284" i="1" s="1"/>
  <c r="AK284" i="1" s="1"/>
  <c r="AG288" i="1"/>
  <c r="AH288" i="1" s="1"/>
  <c r="AK288" i="1" s="1"/>
  <c r="AG292" i="1"/>
  <c r="AH292" i="1" s="1"/>
  <c r="AK292" i="1" s="1"/>
  <c r="AG296" i="1"/>
  <c r="AH296" i="1" s="1"/>
  <c r="AK296" i="1" s="1"/>
  <c r="AG300" i="1"/>
  <c r="AH300" i="1" s="1"/>
  <c r="AK300" i="1" s="1"/>
  <c r="AG304" i="1"/>
  <c r="AH304" i="1" s="1"/>
  <c r="AK304" i="1" s="1"/>
  <c r="AG308" i="1"/>
  <c r="AH308" i="1" s="1"/>
  <c r="AK308" i="1" s="1"/>
  <c r="AG312" i="1"/>
  <c r="AH312" i="1" s="1"/>
  <c r="AK312" i="1" s="1"/>
  <c r="AG316" i="1"/>
  <c r="AH316" i="1" s="1"/>
  <c r="AK316" i="1" s="1"/>
  <c r="AG320" i="1"/>
  <c r="AG324" i="1"/>
  <c r="AH324" i="1" s="1"/>
  <c r="AG328" i="1"/>
  <c r="AH328" i="1" s="1"/>
  <c r="AK328" i="1" s="1"/>
  <c r="AP328" i="1" s="1"/>
  <c r="AG332" i="1"/>
  <c r="AH332" i="1" s="1"/>
  <c r="AK332" i="1" s="1"/>
  <c r="AP332" i="1" s="1"/>
  <c r="AG336" i="1"/>
  <c r="AH336" i="1" s="1"/>
  <c r="AK336" i="1" s="1"/>
  <c r="AP336" i="1" s="1"/>
  <c r="AG340" i="1"/>
  <c r="AH340" i="1" s="1"/>
  <c r="AG344" i="1"/>
  <c r="AH344" i="1" s="1"/>
  <c r="AK344" i="1" s="1"/>
  <c r="AP344" i="1" s="1"/>
  <c r="AG126" i="1"/>
  <c r="AH126" i="1" s="1"/>
  <c r="AK126" i="1" s="1"/>
  <c r="AG129" i="1"/>
  <c r="AH129" i="1" s="1"/>
  <c r="AG133" i="1"/>
  <c r="AH133" i="1" s="1"/>
  <c r="AG137" i="1"/>
  <c r="AH137" i="1" s="1"/>
  <c r="AG141" i="1"/>
  <c r="AH143" i="1"/>
  <c r="AK143" i="1" s="1"/>
  <c r="AG271" i="1"/>
  <c r="AG275" i="1"/>
  <c r="AH275" i="1" s="1"/>
  <c r="AK275" i="1" s="1"/>
  <c r="AG279" i="1"/>
  <c r="AH279" i="1" s="1"/>
  <c r="AK279" i="1" s="1"/>
  <c r="AG283" i="1"/>
  <c r="AH283" i="1" s="1"/>
  <c r="AK283" i="1" s="1"/>
  <c r="AG287" i="1"/>
  <c r="AG291" i="1"/>
  <c r="AH291" i="1" s="1"/>
  <c r="AK291" i="1" s="1"/>
  <c r="AG295" i="1"/>
  <c r="AH295" i="1" s="1"/>
  <c r="AK295" i="1" s="1"/>
  <c r="AG299" i="1"/>
  <c r="AH299" i="1" s="1"/>
  <c r="AK299" i="1" s="1"/>
  <c r="AG303" i="1"/>
  <c r="AH303" i="1" s="1"/>
  <c r="AG307" i="1"/>
  <c r="AH307" i="1" s="1"/>
  <c r="AK307" i="1" s="1"/>
  <c r="AG311" i="1"/>
  <c r="AH311" i="1" s="1"/>
  <c r="AK311" i="1" s="1"/>
  <c r="AG315" i="1"/>
  <c r="AH315" i="1" s="1"/>
  <c r="AK315" i="1" s="1"/>
  <c r="AG319" i="1"/>
  <c r="AH319" i="1" s="1"/>
  <c r="AK319" i="1" s="1"/>
  <c r="AP319" i="1" s="1"/>
  <c r="AG323" i="1"/>
  <c r="AH323" i="1" s="1"/>
  <c r="AK323" i="1" s="1"/>
  <c r="AP323" i="1" s="1"/>
  <c r="AG327" i="1"/>
  <c r="AH327" i="1" s="1"/>
  <c r="AK327" i="1" s="1"/>
  <c r="AP327" i="1" s="1"/>
  <c r="AG331" i="1"/>
  <c r="AH331" i="1" s="1"/>
  <c r="AK331" i="1" s="1"/>
  <c r="AP331" i="1" s="1"/>
  <c r="AG335" i="1"/>
  <c r="AG339" i="1"/>
  <c r="AH339" i="1" s="1"/>
  <c r="AK339" i="1" s="1"/>
  <c r="AP339" i="1" s="1"/>
  <c r="AG343" i="1"/>
  <c r="AH343" i="1" s="1"/>
  <c r="AK343" i="1" s="1"/>
  <c r="AP343" i="1" s="1"/>
  <c r="AG125" i="1"/>
  <c r="AH125" i="1" s="1"/>
  <c r="AK125" i="1" s="1"/>
  <c r="AG128" i="1"/>
  <c r="AH128" i="1" s="1"/>
  <c r="AK128" i="1" s="1"/>
  <c r="AG132" i="1"/>
  <c r="AH132" i="1" s="1"/>
  <c r="AK132" i="1" s="1"/>
  <c r="AG136" i="1"/>
  <c r="AH136" i="1" s="1"/>
  <c r="AK136" i="1" s="1"/>
  <c r="AG140" i="1"/>
  <c r="AH140" i="1" s="1"/>
  <c r="AK140" i="1" s="1"/>
  <c r="AG162" i="1"/>
  <c r="AH162" i="1" s="1"/>
  <c r="AK162" i="1" s="1"/>
  <c r="AG163" i="1"/>
  <c r="AG164" i="1"/>
  <c r="AH164" i="1" s="1"/>
  <c r="AK164" i="1" s="1"/>
  <c r="AG165" i="1"/>
  <c r="AG166" i="1"/>
  <c r="AH166" i="1" s="1"/>
  <c r="AK166" i="1" s="1"/>
  <c r="AG167" i="1"/>
  <c r="AH167" i="1" s="1"/>
  <c r="AK167" i="1" s="1"/>
  <c r="AG168" i="1"/>
  <c r="AH168" i="1" s="1"/>
  <c r="AK168" i="1" s="1"/>
  <c r="AG169" i="1"/>
  <c r="AG170" i="1"/>
  <c r="AH170" i="1" s="1"/>
  <c r="AK170" i="1" s="1"/>
  <c r="AG171" i="1"/>
  <c r="AG172" i="1"/>
  <c r="AH172" i="1" s="1"/>
  <c r="AK172" i="1" s="1"/>
  <c r="AG173" i="1"/>
  <c r="AG174" i="1"/>
  <c r="AH174" i="1" s="1"/>
  <c r="AK174" i="1" s="1"/>
  <c r="AG175" i="1"/>
  <c r="AH175" i="1" s="1"/>
  <c r="AK175" i="1" s="1"/>
  <c r="AG176" i="1"/>
  <c r="AH176" i="1" s="1"/>
  <c r="AK176" i="1" s="1"/>
  <c r="AG177" i="1"/>
  <c r="AG178" i="1"/>
  <c r="AH178" i="1" s="1"/>
  <c r="AK178" i="1" s="1"/>
  <c r="AG179" i="1"/>
  <c r="AH179" i="1" s="1"/>
  <c r="AG180" i="1"/>
  <c r="AH180" i="1" s="1"/>
  <c r="AK180" i="1" s="1"/>
  <c r="AG181" i="1"/>
  <c r="AG182" i="1"/>
  <c r="AH182" i="1" s="1"/>
  <c r="AK182" i="1" s="1"/>
  <c r="AG183" i="1"/>
  <c r="AH183" i="1" s="1"/>
  <c r="AK183" i="1" s="1"/>
  <c r="AG184" i="1"/>
  <c r="AH184" i="1" s="1"/>
  <c r="AK184" i="1" s="1"/>
  <c r="AG185" i="1"/>
  <c r="AG186" i="1"/>
  <c r="AH186" i="1" s="1"/>
  <c r="AK186" i="1" s="1"/>
  <c r="AG187" i="1"/>
  <c r="AG188" i="1"/>
  <c r="AH188" i="1" s="1"/>
  <c r="AK188" i="1" s="1"/>
  <c r="AG189" i="1"/>
  <c r="AG190" i="1"/>
  <c r="AH190" i="1" s="1"/>
  <c r="AK190" i="1" s="1"/>
  <c r="AG191" i="1"/>
  <c r="AH191" i="1" s="1"/>
  <c r="AK191" i="1" s="1"/>
  <c r="AG192" i="1"/>
  <c r="AH192" i="1" s="1"/>
  <c r="AK192" i="1" s="1"/>
  <c r="AG193" i="1"/>
  <c r="AG194" i="1"/>
  <c r="AH194" i="1" s="1"/>
  <c r="AK194" i="1" s="1"/>
  <c r="AG195" i="1"/>
  <c r="AG196" i="1"/>
  <c r="AH196" i="1" s="1"/>
  <c r="AK196" i="1" s="1"/>
  <c r="AG197" i="1"/>
  <c r="AG198" i="1"/>
  <c r="AH198" i="1" s="1"/>
  <c r="AK198" i="1" s="1"/>
  <c r="AG199" i="1"/>
  <c r="AH199" i="1" s="1"/>
  <c r="AK199" i="1" s="1"/>
  <c r="AG200" i="1"/>
  <c r="AG201" i="1"/>
  <c r="AH201" i="1" s="1"/>
  <c r="AK201" i="1" s="1"/>
  <c r="AG203" i="1"/>
  <c r="AH203" i="1" s="1"/>
  <c r="AK203" i="1" s="1"/>
  <c r="AG204" i="1"/>
  <c r="AH204" i="1" s="1"/>
  <c r="AK204" i="1" s="1"/>
  <c r="AG205" i="1"/>
  <c r="AH205" i="1" s="1"/>
  <c r="AK205" i="1" s="1"/>
  <c r="AG207" i="1"/>
  <c r="AH207" i="1" s="1"/>
  <c r="AK207" i="1" s="1"/>
  <c r="AG208" i="1"/>
  <c r="AG270" i="1"/>
  <c r="AH270" i="1" s="1"/>
  <c r="AK270" i="1" s="1"/>
  <c r="AG274" i="1"/>
  <c r="AH274" i="1" s="1"/>
  <c r="AP62" i="1"/>
  <c r="AH45" i="1"/>
  <c r="AK45" i="1" s="1"/>
  <c r="AG43" i="1"/>
  <c r="AH122" i="1"/>
  <c r="AK122" i="1" s="1"/>
  <c r="AH123" i="1"/>
  <c r="AK123" i="1" s="1"/>
  <c r="AH135" i="1"/>
  <c r="AK135" i="1" s="1"/>
  <c r="AH102" i="1"/>
  <c r="AK102" i="1" s="1"/>
  <c r="AH106" i="1"/>
  <c r="AK106" i="1" s="1"/>
  <c r="AH110" i="1"/>
  <c r="AK110" i="1" s="1"/>
  <c r="AH114" i="1"/>
  <c r="AK114" i="1" s="1"/>
  <c r="AH118" i="1"/>
  <c r="AK118" i="1" s="1"/>
  <c r="AG41" i="1"/>
  <c r="AH83" i="1"/>
  <c r="AK83" i="1" s="1"/>
  <c r="AH87" i="1"/>
  <c r="AK87" i="1" s="1"/>
  <c r="AH103" i="1"/>
  <c r="AK103" i="1" s="1"/>
  <c r="AH111" i="1"/>
  <c r="AK111" i="1" s="1"/>
  <c r="AH115" i="1"/>
  <c r="AK115" i="1" s="1"/>
  <c r="AH146" i="1"/>
  <c r="AK146" i="1" s="1"/>
  <c r="AH154" i="1"/>
  <c r="AK154" i="1" s="1"/>
  <c r="AG142" i="1"/>
  <c r="AH144" i="1"/>
  <c r="AK144" i="1" s="1"/>
  <c r="AH152" i="1"/>
  <c r="AK152" i="1" s="1"/>
  <c r="AH153" i="1"/>
  <c r="AK153" i="1" s="1"/>
  <c r="AH160" i="1"/>
  <c r="AK160" i="1" s="1"/>
  <c r="AH161" i="1"/>
  <c r="AK161" i="1" s="1"/>
  <c r="AG215" i="1"/>
  <c r="AG235" i="1"/>
  <c r="AH145" i="1"/>
  <c r="AK145" i="1" s="1"/>
  <c r="AH150" i="1"/>
  <c r="AK150" i="1" s="1"/>
  <c r="AH158" i="1"/>
  <c r="AK158" i="1" s="1"/>
  <c r="AG202" i="1"/>
  <c r="AG243" i="1"/>
  <c r="AH148" i="1"/>
  <c r="AK148" i="1" s="1"/>
  <c r="AH149" i="1"/>
  <c r="AK149" i="1" s="1"/>
  <c r="AH156" i="1"/>
  <c r="AK156" i="1" s="1"/>
  <c r="AH157" i="1"/>
  <c r="AK157" i="1" s="1"/>
  <c r="AG206" i="1"/>
  <c r="AG219" i="1"/>
  <c r="AG251" i="1"/>
  <c r="AH3" i="2"/>
  <c r="AK3" i="2" s="1"/>
  <c r="AP3" i="2" s="1"/>
  <c r="AH7" i="2"/>
  <c r="AK7" i="2" s="1"/>
  <c r="AP7" i="2" s="1"/>
  <c r="AK2" i="2"/>
  <c r="AP2" i="2" s="1"/>
  <c r="AH2" i="2"/>
  <c r="AG218" i="1"/>
  <c r="AG226" i="1"/>
  <c r="AG234" i="1"/>
  <c r="AG242" i="1"/>
  <c r="AG250" i="1"/>
  <c r="AG258" i="1"/>
  <c r="AH5" i="2"/>
  <c r="AK5" i="2" s="1"/>
  <c r="AP5" i="2" s="1"/>
  <c r="AH9" i="2"/>
  <c r="AK9" i="2" s="1"/>
  <c r="AP9" i="2" s="1"/>
  <c r="AH8" i="2"/>
  <c r="AK8" i="2" s="1"/>
  <c r="AP8" i="2" s="1"/>
  <c r="AK363" i="1"/>
  <c r="AP363" i="1" s="1"/>
  <c r="AH51" i="2"/>
  <c r="AK51" i="2" s="1"/>
  <c r="AP51" i="2" s="1"/>
  <c r="AH87" i="2"/>
  <c r="AK87" i="2" s="1"/>
  <c r="AP87" i="2" s="1"/>
  <c r="AH98" i="2"/>
  <c r="AK98" i="2" s="1"/>
  <c r="AP98" i="2" s="1"/>
  <c r="AH103" i="2"/>
  <c r="AK103" i="2" s="1"/>
  <c r="AP103" i="2" s="1"/>
  <c r="AH114" i="2"/>
  <c r="AK114" i="2" s="1"/>
  <c r="AP114" i="2" s="1"/>
  <c r="AH119" i="2"/>
  <c r="AK119" i="2" s="1"/>
  <c r="AP119" i="2" s="1"/>
  <c r="AH50" i="2"/>
  <c r="AK50" i="2" s="1"/>
  <c r="AP50" i="2" s="1"/>
  <c r="AH86" i="2"/>
  <c r="AK86" i="2" s="1"/>
  <c r="AP86" i="2" s="1"/>
  <c r="AH91" i="2"/>
  <c r="AK91" i="2" s="1"/>
  <c r="AP91" i="2" s="1"/>
  <c r="AH107" i="2"/>
  <c r="AK107" i="2" s="1"/>
  <c r="AP107" i="2" s="1"/>
  <c r="AH118" i="2"/>
  <c r="AK118" i="2" s="1"/>
  <c r="AP118" i="2" s="1"/>
  <c r="AH90" i="2"/>
  <c r="AK90" i="2"/>
  <c r="AP90" i="2" s="1"/>
  <c r="AH95" i="2"/>
  <c r="AK95" i="2" s="1"/>
  <c r="AP95" i="2" s="1"/>
  <c r="AH111" i="2"/>
  <c r="AK111" i="2" s="1"/>
  <c r="AP111" i="2" s="1"/>
  <c r="AG329" i="1"/>
  <c r="AG333" i="1"/>
  <c r="AG337" i="1"/>
  <c r="AG341" i="1"/>
  <c r="AG345" i="1"/>
  <c r="AH11" i="2"/>
  <c r="AK11" i="2" s="1"/>
  <c r="AP11" i="2" s="1"/>
  <c r="AH12" i="2"/>
  <c r="AK12" i="2" s="1"/>
  <c r="AP12" i="2" s="1"/>
  <c r="AH15" i="2"/>
  <c r="AK15" i="2" s="1"/>
  <c r="AP15" i="2" s="1"/>
  <c r="AH16" i="2"/>
  <c r="AK16" i="2" s="1"/>
  <c r="AP16" i="2" s="1"/>
  <c r="AH19" i="2"/>
  <c r="AK19" i="2" s="1"/>
  <c r="AP19" i="2" s="1"/>
  <c r="AH23" i="2"/>
  <c r="AK23" i="2" s="1"/>
  <c r="AP23" i="2" s="1"/>
  <c r="AH94" i="2"/>
  <c r="AK94" i="2"/>
  <c r="AP94" i="2" s="1"/>
  <c r="AH115" i="2"/>
  <c r="AG13" i="2"/>
  <c r="AG17" i="2"/>
  <c r="AG21" i="2"/>
  <c r="AG25" i="2"/>
  <c r="AG29" i="2"/>
  <c r="AG33" i="2"/>
  <c r="AG37" i="2"/>
  <c r="AG41" i="2"/>
  <c r="AG45" i="2"/>
  <c r="AH63" i="2"/>
  <c r="AK63" i="2" s="1"/>
  <c r="AP63" i="2" s="1"/>
  <c r="AH65" i="2"/>
  <c r="AK65" i="2" s="1"/>
  <c r="AP65" i="2" s="1"/>
  <c r="AH66" i="2"/>
  <c r="AK66" i="2" s="1"/>
  <c r="AP66" i="2" s="1"/>
  <c r="AH68" i="2"/>
  <c r="AK68" i="2" s="1"/>
  <c r="AP68" i="2" s="1"/>
  <c r="AH75" i="2"/>
  <c r="AK75" i="2" s="1"/>
  <c r="AP75" i="2" s="1"/>
  <c r="AH27" i="2"/>
  <c r="AK27" i="2" s="1"/>
  <c r="AP27" i="2" s="1"/>
  <c r="AH31" i="2"/>
  <c r="AK31" i="2" s="1"/>
  <c r="AP31" i="2" s="1"/>
  <c r="AH35" i="2"/>
  <c r="AK35" i="2" s="1"/>
  <c r="AP35" i="2" s="1"/>
  <c r="AH39" i="2"/>
  <c r="AK39" i="2" s="1"/>
  <c r="AP39" i="2" s="1"/>
  <c r="AH43" i="2"/>
  <c r="AK43" i="2" s="1"/>
  <c r="AP43" i="2" s="1"/>
  <c r="AH47" i="2"/>
  <c r="AK47" i="2" s="1"/>
  <c r="AP47" i="2" s="1"/>
  <c r="AH59" i="2"/>
  <c r="AK59" i="2" s="1"/>
  <c r="AP59" i="2" s="1"/>
  <c r="AH61" i="2"/>
  <c r="AK61" i="2" s="1"/>
  <c r="AP61" i="2" s="1"/>
  <c r="AH62" i="2"/>
  <c r="AK62" i="2" s="1"/>
  <c r="AP62" i="2" s="1"/>
  <c r="AH53" i="2"/>
  <c r="AH55" i="2"/>
  <c r="AK55" i="2"/>
  <c r="AP55" i="2" s="1"/>
  <c r="AH57" i="2"/>
  <c r="AH58" i="2"/>
  <c r="AK58" i="2"/>
  <c r="AP58" i="2" s="1"/>
  <c r="AH28" i="2"/>
  <c r="AK28" i="2" s="1"/>
  <c r="AP28" i="2" s="1"/>
  <c r="AH44" i="2"/>
  <c r="AK44" i="2" s="1"/>
  <c r="AP44" i="2" s="1"/>
  <c r="AH49" i="2"/>
  <c r="AK49" i="2" s="1"/>
  <c r="AP49" i="2" s="1"/>
  <c r="AK53" i="2"/>
  <c r="AP53" i="2" s="1"/>
  <c r="AH54" i="2"/>
  <c r="AK54" i="2"/>
  <c r="AP54" i="2" s="1"/>
  <c r="AH67" i="2"/>
  <c r="AK67" i="2" s="1"/>
  <c r="AP67" i="2" s="1"/>
  <c r="AH77" i="2"/>
  <c r="AK77" i="2"/>
  <c r="AP77" i="2" s="1"/>
  <c r="AH81" i="2"/>
  <c r="AK81" i="2" s="1"/>
  <c r="AP81" i="2" s="1"/>
  <c r="AG10" i="2"/>
  <c r="AG14" i="2"/>
  <c r="AG18" i="2"/>
  <c r="AG22" i="2"/>
  <c r="AG26" i="2"/>
  <c r="AG30" i="2"/>
  <c r="AG34" i="2"/>
  <c r="AG38" i="2"/>
  <c r="AG42" i="2"/>
  <c r="AG46" i="2"/>
  <c r="AG48" i="2"/>
  <c r="AH64" i="2"/>
  <c r="AK64" i="2" s="1"/>
  <c r="AP64" i="2" s="1"/>
  <c r="AH69" i="2"/>
  <c r="AK69" i="2" s="1"/>
  <c r="AP69" i="2" s="1"/>
  <c r="AH76" i="2"/>
  <c r="AK76" i="2" s="1"/>
  <c r="AP76" i="2" s="1"/>
  <c r="AH80" i="2"/>
  <c r="AK80" i="2" s="1"/>
  <c r="AP80" i="2" s="1"/>
  <c r="AH82" i="2"/>
  <c r="AK82" i="2"/>
  <c r="AP82" i="2" s="1"/>
  <c r="AG126" i="2"/>
  <c r="AK126" i="2" s="1"/>
  <c r="AP126" i="2" s="1"/>
  <c r="AH71" i="2"/>
  <c r="AK71" i="2" s="1"/>
  <c r="AP71" i="2" s="1"/>
  <c r="AH73" i="2"/>
  <c r="AK73" i="2" s="1"/>
  <c r="AP73" i="2" s="1"/>
  <c r="AH123" i="2"/>
  <c r="AK123" i="2" s="1"/>
  <c r="AP123" i="2" s="1"/>
  <c r="AH72" i="2"/>
  <c r="AK72" i="2" s="1"/>
  <c r="AP72" i="2" s="1"/>
  <c r="AH79" i="2"/>
  <c r="AK79" i="2" s="1"/>
  <c r="AP79" i="2" s="1"/>
  <c r="AH84" i="2"/>
  <c r="AK84" i="2" s="1"/>
  <c r="AP84" i="2" s="1"/>
  <c r="AH88" i="2"/>
  <c r="AK88" i="2" s="1"/>
  <c r="AP88" i="2" s="1"/>
  <c r="AH92" i="2"/>
  <c r="AK92" i="2" s="1"/>
  <c r="AP92" i="2" s="1"/>
  <c r="AH96" i="2"/>
  <c r="AK96" i="2" s="1"/>
  <c r="AP96" i="2" s="1"/>
  <c r="AH100" i="2"/>
  <c r="AK100" i="2" s="1"/>
  <c r="AP100" i="2" s="1"/>
  <c r="AH108" i="2"/>
  <c r="AK108" i="2" s="1"/>
  <c r="AP108" i="2" s="1"/>
  <c r="AH112" i="2"/>
  <c r="AK112" i="2" s="1"/>
  <c r="AP112" i="2" s="1"/>
  <c r="AH121" i="2"/>
  <c r="AK121" i="2" s="1"/>
  <c r="AP121" i="2" s="1"/>
  <c r="AG122" i="2"/>
  <c r="AG125" i="2"/>
  <c r="AK125" i="2" s="1"/>
  <c r="AP125" i="2" s="1"/>
  <c r="AK256" i="1" l="1"/>
  <c r="AK115" i="2"/>
  <c r="AP115" i="2" s="1"/>
  <c r="AK108" i="1"/>
  <c r="AP108" i="1" s="1"/>
  <c r="AK348" i="1"/>
  <c r="AP348" i="1" s="1"/>
  <c r="AH93" i="2"/>
  <c r="AK93" i="2" s="1"/>
  <c r="AP93" i="2" s="1"/>
  <c r="AH109" i="2"/>
  <c r="AK109" i="2" s="1"/>
  <c r="AP109" i="2" s="1"/>
  <c r="AP59" i="1"/>
  <c r="AK274" i="1"/>
  <c r="AP274" i="1" s="1"/>
  <c r="AK290" i="1"/>
  <c r="AP290" i="1" s="1"/>
  <c r="AK88" i="1"/>
  <c r="AP61" i="1"/>
  <c r="AP60" i="1"/>
  <c r="AH200" i="1"/>
  <c r="AK200" i="1" s="1"/>
  <c r="AH141" i="1"/>
  <c r="AK141" i="1" s="1"/>
  <c r="AP53" i="1"/>
  <c r="AP65" i="1"/>
  <c r="AH224" i="1"/>
  <c r="AK224" i="1" s="1"/>
  <c r="AH69" i="1"/>
  <c r="AK69" i="1" s="1"/>
  <c r="AH116" i="1"/>
  <c r="AK116" i="1" s="1"/>
  <c r="AP64" i="1"/>
  <c r="AP56" i="1"/>
  <c r="AK220" i="1"/>
  <c r="AK73" i="1"/>
  <c r="AP73" i="1" s="1"/>
  <c r="AP47" i="1"/>
  <c r="AK338" i="1"/>
  <c r="AP338" i="1" s="1"/>
  <c r="AK371" i="1"/>
  <c r="AP371" i="1" s="1"/>
  <c r="AH96" i="1"/>
  <c r="AK96" i="1" s="1"/>
  <c r="AH80" i="1"/>
  <c r="AK80" i="1" s="1"/>
  <c r="AH68" i="1"/>
  <c r="AK68" i="1" s="1"/>
  <c r="AK346" i="1"/>
  <c r="AP346" i="1" s="1"/>
  <c r="AK137" i="1"/>
  <c r="AP137" i="1" s="1"/>
  <c r="AK133" i="1"/>
  <c r="AK314" i="1"/>
  <c r="AH320" i="1"/>
  <c r="AK320" i="1" s="1"/>
  <c r="AP320" i="1" s="1"/>
  <c r="AK325" i="1"/>
  <c r="AP325" i="1" s="1"/>
  <c r="AK129" i="1"/>
  <c r="AK210" i="1"/>
  <c r="AK36" i="1"/>
  <c r="AP36" i="1" s="1"/>
  <c r="AK282" i="1"/>
  <c r="AK228" i="1"/>
  <c r="AP228" i="1" s="1"/>
  <c r="AK252" i="1"/>
  <c r="AK248" i="1"/>
  <c r="AP248" i="1" s="1"/>
  <c r="AK244" i="1"/>
  <c r="AK225" i="1"/>
  <c r="AP225" i="1" s="1"/>
  <c r="AK179" i="1"/>
  <c r="AP179" i="1" s="1"/>
  <c r="AH4" i="1"/>
  <c r="AK4" i="1" s="1"/>
  <c r="AK340" i="1"/>
  <c r="AP340" i="1" s="1"/>
  <c r="AK324" i="1"/>
  <c r="AP324" i="1" s="1"/>
  <c r="AH195" i="1"/>
  <c r="AK195" i="1" s="1"/>
  <c r="AH187" i="1"/>
  <c r="AK187" i="1" s="1"/>
  <c r="AH171" i="1"/>
  <c r="AK171" i="1" s="1"/>
  <c r="AP171" i="1" s="1"/>
  <c r="AH163" i="1"/>
  <c r="AK163" i="1" s="1"/>
  <c r="AK240" i="1"/>
  <c r="AK301" i="1"/>
  <c r="AK236" i="1"/>
  <c r="AP236" i="1" s="1"/>
  <c r="AK303" i="1"/>
  <c r="AH262" i="1"/>
  <c r="AK262" i="1" s="1"/>
  <c r="AH197" i="1"/>
  <c r="AK197" i="1" s="1"/>
  <c r="AH193" i="1"/>
  <c r="AK193" i="1" s="1"/>
  <c r="AH189" i="1"/>
  <c r="AK189" i="1" s="1"/>
  <c r="AH185" i="1"/>
  <c r="AK185" i="1" s="1"/>
  <c r="AH181" i="1"/>
  <c r="AK181" i="1" s="1"/>
  <c r="AH177" i="1"/>
  <c r="AK177" i="1" s="1"/>
  <c r="AP177" i="1" s="1"/>
  <c r="AH173" i="1"/>
  <c r="AK173" i="1" s="1"/>
  <c r="AH169" i="1"/>
  <c r="AK169" i="1" s="1"/>
  <c r="AH165" i="1"/>
  <c r="AK165" i="1" s="1"/>
  <c r="AH335" i="1"/>
  <c r="AK335" i="1" s="1"/>
  <c r="AP335" i="1" s="1"/>
  <c r="AH287" i="1"/>
  <c r="AK287" i="1" s="1"/>
  <c r="AH271" i="1"/>
  <c r="AK271" i="1" s="1"/>
  <c r="AH208" i="1"/>
  <c r="AK208" i="1" s="1"/>
  <c r="AP312" i="1"/>
  <c r="AP296" i="1"/>
  <c r="AP280" i="1"/>
  <c r="AP265" i="1"/>
  <c r="AP213" i="1"/>
  <c r="AP217" i="1"/>
  <c r="AP205" i="1"/>
  <c r="AP247" i="1"/>
  <c r="AP222" i="1"/>
  <c r="AP194" i="1"/>
  <c r="AP178" i="1"/>
  <c r="AP162" i="1"/>
  <c r="AP134" i="1"/>
  <c r="AP285" i="1"/>
  <c r="AP269" i="1"/>
  <c r="AP209" i="1"/>
  <c r="AP184" i="1"/>
  <c r="AP168" i="1"/>
  <c r="AP140" i="1"/>
  <c r="AP125" i="1"/>
  <c r="AP126" i="1"/>
  <c r="AP211" i="1"/>
  <c r="AP50" i="1"/>
  <c r="AP16" i="1"/>
  <c r="AP308" i="1"/>
  <c r="AP230" i="1"/>
  <c r="AP212" i="1"/>
  <c r="AP174" i="1"/>
  <c r="AP130" i="1"/>
  <c r="AP297" i="1"/>
  <c r="AP281" i="1"/>
  <c r="AP238" i="1"/>
  <c r="AP196" i="1"/>
  <c r="AP180" i="1"/>
  <c r="AP164" i="1"/>
  <c r="AP136" i="1"/>
  <c r="AP139" i="1"/>
  <c r="AP46" i="1"/>
  <c r="AP10" i="1"/>
  <c r="AP292" i="1"/>
  <c r="AP276" i="1"/>
  <c r="AP264" i="1"/>
  <c r="AP255" i="1"/>
  <c r="AP190" i="1"/>
  <c r="AP304" i="1"/>
  <c r="AP288" i="1"/>
  <c r="AP272" i="1"/>
  <c r="AP261" i="1"/>
  <c r="AP223" i="1"/>
  <c r="AP156" i="1"/>
  <c r="AP241" i="1"/>
  <c r="AP201" i="1"/>
  <c r="AP186" i="1"/>
  <c r="AP170" i="1"/>
  <c r="AP158" i="1"/>
  <c r="AP152" i="1"/>
  <c r="AP293" i="1"/>
  <c r="AP277" i="1"/>
  <c r="AP231" i="1"/>
  <c r="AP192" i="1"/>
  <c r="AP176" i="1"/>
  <c r="AP132" i="1"/>
  <c r="AP135" i="1"/>
  <c r="AP123" i="1"/>
  <c r="AP54" i="1"/>
  <c r="AP40" i="1"/>
  <c r="AP33" i="1"/>
  <c r="AP32" i="1"/>
  <c r="AP316" i="1"/>
  <c r="AP300" i="1"/>
  <c r="AP284" i="1"/>
  <c r="AP268" i="1"/>
  <c r="AP260" i="1"/>
  <c r="AP249" i="1"/>
  <c r="AP254" i="1"/>
  <c r="AP198" i="1"/>
  <c r="AP182" i="1"/>
  <c r="AP166" i="1"/>
  <c r="AP138" i="1"/>
  <c r="AP144" i="1"/>
  <c r="AP289" i="1"/>
  <c r="AP273" i="1"/>
  <c r="AP257" i="1"/>
  <c r="AP227" i="1"/>
  <c r="AP188" i="1"/>
  <c r="AP172" i="1"/>
  <c r="AP128" i="1"/>
  <c r="AP214" i="1"/>
  <c r="AP131" i="1"/>
  <c r="AP52" i="1"/>
  <c r="AP38" i="1"/>
  <c r="AP39" i="1"/>
  <c r="AP30" i="1"/>
  <c r="AH46" i="2"/>
  <c r="AK46" i="2" s="1"/>
  <c r="AP46" i="2" s="1"/>
  <c r="AH22" i="2"/>
  <c r="AK22" i="2" s="1"/>
  <c r="AP22" i="2" s="1"/>
  <c r="AH33" i="2"/>
  <c r="AK33" i="2" s="1"/>
  <c r="AP33" i="2" s="1"/>
  <c r="AH48" i="2"/>
  <c r="AK48" i="2" s="1"/>
  <c r="AP48" i="2" s="1"/>
  <c r="AH34" i="2"/>
  <c r="AK34" i="2" s="1"/>
  <c r="AP34" i="2" s="1"/>
  <c r="AH18" i="2"/>
  <c r="AK18" i="2" s="1"/>
  <c r="AP18" i="2" s="1"/>
  <c r="AH45" i="2"/>
  <c r="AK45" i="2" s="1"/>
  <c r="AP45" i="2" s="1"/>
  <c r="AH29" i="2"/>
  <c r="AK29" i="2" s="1"/>
  <c r="AP29" i="2" s="1"/>
  <c r="AH13" i="2"/>
  <c r="AK13" i="2" s="1"/>
  <c r="AP13" i="2" s="1"/>
  <c r="AH345" i="1"/>
  <c r="AK345" i="1" s="1"/>
  <c r="AP345" i="1" s="1"/>
  <c r="AH329" i="1"/>
  <c r="AK329" i="1" s="1"/>
  <c r="AP329" i="1" s="1"/>
  <c r="AP253" i="1"/>
  <c r="AP237" i="1"/>
  <c r="AP221" i="1"/>
  <c r="AP157" i="1"/>
  <c r="AP159" i="1"/>
  <c r="AP153" i="1"/>
  <c r="AP118" i="1"/>
  <c r="AP110" i="1"/>
  <c r="AP102" i="1"/>
  <c r="AP94" i="1"/>
  <c r="AP86" i="1"/>
  <c r="AP78" i="1"/>
  <c r="AP70" i="1"/>
  <c r="AP48" i="1"/>
  <c r="AP306" i="1"/>
  <c r="AP298" i="1"/>
  <c r="AP311" i="1"/>
  <c r="AP295" i="1"/>
  <c r="AP279" i="1"/>
  <c r="AH250" i="1"/>
  <c r="AK250" i="1" s="1"/>
  <c r="AH234" i="1"/>
  <c r="AK234" i="1" s="1"/>
  <c r="AH218" i="1"/>
  <c r="AK218" i="1" s="1"/>
  <c r="AP266" i="1"/>
  <c r="AP313" i="1"/>
  <c r="AP305" i="1"/>
  <c r="AH206" i="1"/>
  <c r="AK206" i="1" s="1"/>
  <c r="AP148" i="1"/>
  <c r="AH202" i="1"/>
  <c r="AK202" i="1" s="1"/>
  <c r="AP150" i="1"/>
  <c r="AP239" i="1"/>
  <c r="AP161" i="1"/>
  <c r="AH142" i="1"/>
  <c r="AK142" i="1" s="1"/>
  <c r="AP154" i="1"/>
  <c r="AP146" i="1"/>
  <c r="AP203" i="1"/>
  <c r="AP119" i="1"/>
  <c r="AP115" i="1"/>
  <c r="AP111" i="1"/>
  <c r="AP107" i="1"/>
  <c r="AP103" i="1"/>
  <c r="AP99" i="1"/>
  <c r="AP95" i="1"/>
  <c r="AP91" i="1"/>
  <c r="AP87" i="1"/>
  <c r="AP83" i="1"/>
  <c r="AP75" i="1"/>
  <c r="AP100" i="1"/>
  <c r="AP92" i="1"/>
  <c r="AP84" i="1"/>
  <c r="AP76" i="1"/>
  <c r="AP256" i="1"/>
  <c r="AP127" i="1"/>
  <c r="AH43" i="1"/>
  <c r="AK43" i="1" s="1"/>
  <c r="AP77" i="1"/>
  <c r="AP67" i="1"/>
  <c r="AP29" i="1"/>
  <c r="AP25" i="1"/>
  <c r="AP23" i="1"/>
  <c r="AP21" i="1"/>
  <c r="AP17" i="1"/>
  <c r="AP14" i="1"/>
  <c r="AP9" i="1"/>
  <c r="AP5" i="1"/>
  <c r="AP45" i="1"/>
  <c r="AP42" i="1"/>
  <c r="AP37" i="1"/>
  <c r="AP34" i="1"/>
  <c r="AP26" i="1"/>
  <c r="AP18" i="1"/>
  <c r="AP13" i="1"/>
  <c r="AP6" i="1"/>
  <c r="AP2" i="1"/>
  <c r="AH14" i="2"/>
  <c r="AK14" i="2"/>
  <c r="AP14" i="2" s="1"/>
  <c r="AH41" i="2"/>
  <c r="AK41" i="2" s="1"/>
  <c r="AP41" i="2" s="1"/>
  <c r="AH25" i="2"/>
  <c r="AK25" i="2" s="1"/>
  <c r="AP25" i="2" s="1"/>
  <c r="AH341" i="1"/>
  <c r="AK341" i="1" s="1"/>
  <c r="AP341" i="1" s="1"/>
  <c r="AH122" i="2"/>
  <c r="AK122" i="2" s="1"/>
  <c r="AP122" i="2" s="1"/>
  <c r="AH42" i="2"/>
  <c r="AK42" i="2" s="1"/>
  <c r="AP42" i="2" s="1"/>
  <c r="AH26" i="2"/>
  <c r="AK26" i="2"/>
  <c r="AP26" i="2" s="1"/>
  <c r="AH10" i="2"/>
  <c r="AK10" i="2" s="1"/>
  <c r="AP10" i="2" s="1"/>
  <c r="AH37" i="2"/>
  <c r="AK37" i="2" s="1"/>
  <c r="AP37" i="2" s="1"/>
  <c r="AH21" i="2"/>
  <c r="AK21" i="2" s="1"/>
  <c r="AP21" i="2" s="1"/>
  <c r="AH337" i="1"/>
  <c r="AK337" i="1" s="1"/>
  <c r="AP337" i="1" s="1"/>
  <c r="AP245" i="1"/>
  <c r="AP229" i="1"/>
  <c r="AP143" i="1"/>
  <c r="AP145" i="1"/>
  <c r="AH235" i="1"/>
  <c r="AK235" i="1" s="1"/>
  <c r="AH215" i="1"/>
  <c r="AK215" i="1" s="1"/>
  <c r="AP114" i="1"/>
  <c r="AP106" i="1"/>
  <c r="AP98" i="1"/>
  <c r="AP90" i="1"/>
  <c r="AP82" i="1"/>
  <c r="AP74" i="1"/>
  <c r="AP66" i="1"/>
  <c r="AH30" i="2"/>
  <c r="AK30" i="2"/>
  <c r="AP30" i="2" s="1"/>
  <c r="AH38" i="2"/>
  <c r="AK38" i="2" s="1"/>
  <c r="AP38" i="2" s="1"/>
  <c r="AH17" i="2"/>
  <c r="AK17" i="2" s="1"/>
  <c r="AP17" i="2" s="1"/>
  <c r="AH333" i="1"/>
  <c r="AK333" i="1" s="1"/>
  <c r="AP333" i="1" s="1"/>
  <c r="AP310" i="1"/>
  <c r="AP302" i="1"/>
  <c r="AP294" i="1"/>
  <c r="AP286" i="1"/>
  <c r="AP278" i="1"/>
  <c r="AP270" i="1"/>
  <c r="AP315" i="1"/>
  <c r="AP307" i="1"/>
  <c r="AP299" i="1"/>
  <c r="AP291" i="1"/>
  <c r="AP283" i="1"/>
  <c r="AP275" i="1"/>
  <c r="AH258" i="1"/>
  <c r="AK258" i="1" s="1"/>
  <c r="AH242" i="1"/>
  <c r="AK242" i="1" s="1"/>
  <c r="AH226" i="1"/>
  <c r="AK226" i="1" s="1"/>
  <c r="AP267" i="1"/>
  <c r="AP263" i="1"/>
  <c r="AP317" i="1"/>
  <c r="AP309" i="1"/>
  <c r="AH251" i="1"/>
  <c r="AK251" i="1" s="1"/>
  <c r="AH219" i="1"/>
  <c r="AK219" i="1" s="1"/>
  <c r="AP149" i="1"/>
  <c r="AH243" i="1"/>
  <c r="AK243" i="1" s="1"/>
  <c r="AP151" i="1"/>
  <c r="AP246" i="1"/>
  <c r="AP233" i="1"/>
  <c r="AP204" i="1"/>
  <c r="AP160" i="1"/>
  <c r="AP259" i="1"/>
  <c r="AP207" i="1"/>
  <c r="AP199" i="1"/>
  <c r="AP191" i="1"/>
  <c r="AP183" i="1"/>
  <c r="AP175" i="1"/>
  <c r="AP167" i="1"/>
  <c r="AP121" i="1"/>
  <c r="AP117" i="1"/>
  <c r="AP113" i="1"/>
  <c r="AP109" i="1"/>
  <c r="AP105" i="1"/>
  <c r="AP101" i="1"/>
  <c r="AP97" i="1"/>
  <c r="AP93" i="1"/>
  <c r="AP89" i="1"/>
  <c r="AP85" i="1"/>
  <c r="AP79" i="1"/>
  <c r="AP71" i="1"/>
  <c r="AP120" i="1"/>
  <c r="AP112" i="1"/>
  <c r="AP104" i="1"/>
  <c r="AP72" i="1"/>
  <c r="AH41" i="1"/>
  <c r="AK41" i="1" s="1"/>
  <c r="AP232" i="1"/>
  <c r="AP216" i="1"/>
  <c r="AP124" i="1"/>
  <c r="AP122" i="1"/>
  <c r="AP81" i="1"/>
  <c r="AP35" i="1"/>
  <c r="AP31" i="1"/>
  <c r="AP27" i="1"/>
  <c r="AP24" i="1"/>
  <c r="AP22" i="1"/>
  <c r="AP19" i="1"/>
  <c r="AP15" i="1"/>
  <c r="AP12" i="1"/>
  <c r="AP7" i="1"/>
  <c r="AP3" i="1"/>
  <c r="AP44" i="1"/>
  <c r="AP28" i="1"/>
  <c r="AP20" i="1"/>
  <c r="AP11" i="1"/>
  <c r="AP8" i="1"/>
  <c r="AP282" i="1" l="1"/>
  <c r="AP129" i="1"/>
  <c r="AP96" i="1"/>
  <c r="AP88" i="1"/>
  <c r="AP210" i="1"/>
  <c r="AP252" i="1"/>
  <c r="AP173" i="1"/>
  <c r="AP68" i="1"/>
  <c r="AP141" i="1"/>
  <c r="AP80" i="1"/>
  <c r="AP69" i="1"/>
  <c r="AP224" i="1"/>
  <c r="AP116" i="1"/>
  <c r="AP220" i="1"/>
  <c r="AP133" i="1"/>
  <c r="AP200" i="1"/>
  <c r="AP303" i="1"/>
  <c r="AP314" i="1"/>
  <c r="AP163" i="1"/>
  <c r="AP244" i="1"/>
  <c r="AP187" i="1"/>
  <c r="AP4" i="1"/>
  <c r="AP195" i="1"/>
  <c r="AP271" i="1"/>
  <c r="AP189" i="1"/>
  <c r="AP301" i="1"/>
  <c r="AP240" i="1"/>
  <c r="AP169" i="1"/>
  <c r="AP185" i="1"/>
  <c r="AP262" i="1"/>
  <c r="AP165" i="1"/>
  <c r="AP197" i="1"/>
  <c r="AP287" i="1"/>
  <c r="AP208" i="1"/>
  <c r="AP181" i="1"/>
  <c r="AP193" i="1"/>
  <c r="AP243" i="1"/>
  <c r="AP242" i="1"/>
  <c r="AP202" i="1"/>
  <c r="AP218" i="1"/>
  <c r="AP258" i="1"/>
  <c r="AP215" i="1"/>
  <c r="AP142" i="1"/>
  <c r="AP234" i="1"/>
  <c r="AP235" i="1"/>
  <c r="AP43" i="1"/>
  <c r="AP250" i="1"/>
  <c r="AP251" i="1"/>
  <c r="AP219" i="1"/>
  <c r="AP226" i="1"/>
  <c r="AP206" i="1"/>
  <c r="AP41" i="1"/>
</calcChain>
</file>

<file path=xl/sharedStrings.xml><?xml version="1.0" encoding="utf-8"?>
<sst xmlns="http://schemas.openxmlformats.org/spreadsheetml/2006/main" count="794" uniqueCount="414">
  <si>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</si>
  <si>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</si>
  <si>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</si>
  <si>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</si>
  <si>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</si>
  <si>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</si>
  <si>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</si>
  <si>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</si>
  <si>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</si>
  <si>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</si>
  <si>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</si>
  <si>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</si>
  <si>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</si>
  <si>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</si>
  <si>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</si>
  <si>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</si>
  <si>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</si>
  <si>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</si>
  <si>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</si>
  <si>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</si>
  <si>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</si>
  <si>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</si>
  <si>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</si>
  <si>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</si>
  <si>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</si>
  <si>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</si>
  <si>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</si>
  <si>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</si>
  <si>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</si>
  <si>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</si>
  <si>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</si>
  <si>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</si>
  <si>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</si>
  <si>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</si>
  <si>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</si>
  <si>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</si>
  <si>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</si>
  <si>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</si>
  <si>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</si>
  <si>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</si>
  <si>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</si>
  <si>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</si>
  <si>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</si>
  <si>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</si>
  <si>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</si>
  <si>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</si>
  <si>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</si>
  <si>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</si>
  <si>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</si>
  <si>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</si>
  <si>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</si>
  <si>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</si>
  <si>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</si>
  <si>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</si>
  <si>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</si>
  <si>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</si>
  <si>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</si>
  <si>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</si>
  <si>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</si>
  <si>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</si>
  <si>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</si>
  <si>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</si>
  <si>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</si>
  <si>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</si>
  <si>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</si>
  <si>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</si>
  <si>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</si>
  <si>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</si>
  <si>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</si>
  <si>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</si>
  <si>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</si>
  <si>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</si>
  <si>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</si>
  <si>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</si>
  <si>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</si>
  <si>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</si>
  <si>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</si>
  <si>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</si>
  <si>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</si>
  <si>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</si>
  <si>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</si>
  <si>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</si>
  <si>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</si>
  <si>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</si>
  <si>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</si>
  <si>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</si>
  <si>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</si>
  <si>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</si>
  <si>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</si>
  <si>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</si>
  <si>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</si>
  <si>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</si>
  <si>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</si>
  <si>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</si>
  <si>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</si>
  <si>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</si>
  <si>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</si>
  <si>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</si>
  <si>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</si>
  <si>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</si>
  <si>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</si>
  <si>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</si>
  <si>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</si>
  <si>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</si>
  <si>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</si>
  <si>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</si>
  <si>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</si>
  <si>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</si>
  <si>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</si>
  <si>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</si>
  <si>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</si>
  <si>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</si>
  <si>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</si>
  <si>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</si>
  <si>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</si>
  <si>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</si>
  <si>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</si>
  <si>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</si>
  <si>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</si>
  <si>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</si>
  <si>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</si>
  <si>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</si>
  <si>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</si>
  <si>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</si>
  <si>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</si>
  <si>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</si>
  <si>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</si>
  <si>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</si>
  <si>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</si>
  <si>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</si>
  <si>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</si>
  <si>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</si>
  <si>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</si>
  <si>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</si>
  <si>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</si>
  <si>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</si>
  <si>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</si>
  <si>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</si>
  <si>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</si>
  <si>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</si>
  <si>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</si>
  <si>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</si>
  <si>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</si>
  <si>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</si>
  <si>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</si>
  <si>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</si>
  <si>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</si>
  <si>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</si>
  <si>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</si>
  <si>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</si>
  <si>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</si>
  <si>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</si>
  <si>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</si>
  <si>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</si>
  <si>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</si>
  <si>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</si>
  <si>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</si>
  <si>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</si>
  <si>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</si>
  <si>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</si>
  <si>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</si>
  <si>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</si>
  <si>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</si>
  <si>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</si>
  <si>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</si>
  <si>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</si>
  <si>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</si>
  <si>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</si>
  <si>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</si>
  <si>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</si>
  <si>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</si>
  <si>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</si>
  <si>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</si>
  <si>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</si>
  <si>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</si>
  <si>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</si>
  <si>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</si>
  <si>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</si>
  <si>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</si>
  <si>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</si>
  <si>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</si>
  <si>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</si>
  <si>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</si>
  <si>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</si>
  <si>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</si>
  <si>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</si>
  <si>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</si>
  <si>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</si>
  <si>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</si>
  <si>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</si>
  <si>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</si>
  <si>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</si>
  <si>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</si>
  <si>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</si>
  <si>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</si>
  <si>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</si>
  <si>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</si>
  <si>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</si>
  <si>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</si>
  <si>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</si>
  <si>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</si>
  <si>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</si>
  <si>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</si>
  <si>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</si>
  <si>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</si>
  <si>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</si>
  <si>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</si>
  <si>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</si>
  <si>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</si>
  <si>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</si>
  <si>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</si>
  <si>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</si>
  <si>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</si>
  <si>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</si>
  <si>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</si>
  <si>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</si>
  <si>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</si>
  <si>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</si>
  <si>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</si>
  <si>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</si>
  <si>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</si>
  <si>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</si>
  <si>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</si>
  <si>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</si>
  <si>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</si>
  <si>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</si>
  <si>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</si>
  <si>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</si>
  <si>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</si>
  <si>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</si>
  <si>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</si>
  <si>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</si>
  <si>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</si>
  <si>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</si>
  <si>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</si>
  <si>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</si>
  <si>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</si>
  <si>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</si>
  <si>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</si>
  <si>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</si>
  <si>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</si>
  <si>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</si>
  <si>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</si>
  <si>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</si>
  <si>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</si>
  <si>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</si>
  <si>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</si>
  <si>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</si>
  <si>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</si>
  <si>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</si>
  <si>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</si>
  <si>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</si>
  <si>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</si>
  <si>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</si>
  <si>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</si>
  <si>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</si>
  <si>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</si>
  <si>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</si>
  <si>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</si>
  <si>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</si>
  <si>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</si>
  <si>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</si>
  <si>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</si>
  <si>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</si>
  <si>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</si>
  <si>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</si>
  <si>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</si>
  <si>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</si>
  <si>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</si>
  <si>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</si>
  <si>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</si>
  <si>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</si>
  <si>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</si>
  <si>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</si>
  <si>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</si>
  <si>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</si>
  <si>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</si>
  <si>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</si>
  <si>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</si>
  <si>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</si>
  <si>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</si>
  <si>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</si>
  <si>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</si>
  <si>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</si>
  <si>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</si>
  <si>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</si>
  <si>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</si>
  <si>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</si>
  <si>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</si>
  <si>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</si>
  <si>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</si>
  <si>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</si>
  <si>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</si>
  <si>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</si>
  <si>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</si>
  <si>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</si>
  <si>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</si>
  <si>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</si>
  <si>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</si>
  <si>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</si>
  <si>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</si>
  <si>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</si>
  <si>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</si>
  <si>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</si>
  <si>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</si>
  <si>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</si>
  <si>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</si>
  <si>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</si>
  <si>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</si>
  <si>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</si>
  <si>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</si>
  <si>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</si>
  <si>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</si>
  <si>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</si>
  <si>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</si>
  <si>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</si>
  <si>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</si>
  <si>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</si>
  <si>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</si>
  <si>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</si>
  <si>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</si>
  <si>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</si>
  <si>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</si>
  <si>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</si>
  <si>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</si>
  <si>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</si>
  <si>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</si>
  <si>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</si>
  <si>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</si>
  <si>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</si>
  <si>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</si>
  <si>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</si>
  <si>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</si>
  <si>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</si>
  <si>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</si>
  <si>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</si>
  <si>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</si>
  <si>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</si>
  <si>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</si>
  <si>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</si>
  <si>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</si>
  <si>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</si>
  <si>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</si>
  <si>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</si>
  <si>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</si>
  <si>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</si>
  <si>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</si>
  <si>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</si>
  <si>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</si>
  <si>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</si>
  <si>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</si>
  <si>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</si>
  <si>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</si>
  <si>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</si>
  <si>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</si>
  <si>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</si>
  <si>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</si>
  <si>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</si>
  <si>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</si>
  <si>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</si>
  <si>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</si>
  <si>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</si>
  <si>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</si>
  <si>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</si>
  <si>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</si>
  <si>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</si>
  <si>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</si>
  <si>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</si>
  <si>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</si>
  <si>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</si>
  <si>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</si>
  <si>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</si>
  <si>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</si>
  <si>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</si>
  <si>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</si>
  <si>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</si>
  <si>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</si>
  <si>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</si>
  <si>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</si>
  <si>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</si>
  <si>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</si>
  <si>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</si>
  <si>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</si>
  <si>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</si>
  <si>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</si>
  <si>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</si>
  <si>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</si>
  <si>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</si>
  <si>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</si>
  <si>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</si>
  <si>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</si>
  <si>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</si>
  <si>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</si>
  <si>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</si>
  <si>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</si>
  <si>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</si>
  <si>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</si>
  <si>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</si>
  <si>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</si>
  <si>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</si>
  <si>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</si>
  <si>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</si>
  <si>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</si>
  <si>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</si>
  <si>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</si>
  <si>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</si>
  <si>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</si>
  <si>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</si>
  <si>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</si>
  <si>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</si>
  <si>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Issue price</t>
  </si>
  <si>
    <t>Fin_low</t>
  </si>
  <si>
    <t>Fin_high</t>
  </si>
  <si>
    <t>Listing_price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</si>
</sst>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b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3" fillId="0" borderId="0" xfId="0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B514"/>
  <sheetViews>
    <sheetView tabSelected="1" topLeftCell="AI1" zoomScale="85" zoomScaleNormal="85" workbookViewId="0">
      <pane ySplit="1" topLeftCell="A117" activePane="bottomLeft" state="frozen"/>
      <selection activeCell="J1" sqref="J1"/>
      <selection pane="bottomLeft" activeCell="AS124" sqref="AS124"/>
    </sheetView>
  </sheetViews>
  <sheetFormatPr defaultColWidth="8.7109375" defaultRowHeight="12.75" customHeight="1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" customWidth="1"/>
    <col min="20" max="20" width="5.28515625" customWidth="1"/>
    <col min="21" max="21" width="4.7109375" customWidth="1"/>
    <col min="22" max="22" width="4.28515625" customWidth="1"/>
    <col min="23" max="34" width="7.28515625" customWidth="1"/>
    <col min="35" max="35" width="5.5703125" customWidth="1"/>
    <col min="36" max="36" width="5.85546875" customWidth="1"/>
    <col min="37" max="38" width="7.28515625" customWidth="1"/>
    <col min="39" max="39" width="20.5703125" customWidth="1"/>
    <col min="40" max="42" width="7.28515625" customWidth="1"/>
    <col min="43" max="47" width="7.28515625" style="2" customWidth="1"/>
    <col min="48" max="54" width="7.28515625" customWidth="1"/>
  </cols>
  <sheetData>
    <row r="1" spans="1:55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3" t="s">
        <v>410</v>
      </c>
      <c r="AS1" s="3" t="s">
        <v>411</v>
      </c>
      <c r="AT1" s="3" t="s">
        <v>412</v>
      </c>
      <c r="AU1" s="3" t="s">
        <v>413</v>
      </c>
      <c r="AV1" s="8" t="s">
        <v>44</v>
      </c>
      <c r="AW1" s="3" t="s">
        <v>46</v>
      </c>
      <c r="AX1" s="3" t="s">
        <v>47</v>
      </c>
      <c r="AY1" s="3" t="s">
        <v>48</v>
      </c>
      <c r="AZ1" s="8" t="s">
        <v>49</v>
      </c>
      <c r="BA1" s="3" t="s">
        <v>50</v>
      </c>
      <c r="BB1" s="3" t="s">
        <v>51</v>
      </c>
      <c r="BC1" s="3" t="s">
        <v>52</v>
      </c>
    </row>
    <row r="2" spans="1:55" ht="12.75" customHeight="1">
      <c r="B2" s="9" t="s">
        <v>53</v>
      </c>
      <c r="C2" s="10">
        <v>2025</v>
      </c>
      <c r="D2" s="10" t="s">
        <v>54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IF(AK2&gt;14.9,IF(Z2&lt;101,IF(Z2&lt;35,IF(Z2&lt;6,3,2),1),0),0)</f>
        <v>3</v>
      </c>
      <c r="AQ2" s="11">
        <v>1</v>
      </c>
      <c r="AR2" s="10">
        <v>100</v>
      </c>
      <c r="AS2" s="11"/>
      <c r="AT2" s="11"/>
      <c r="AU2" s="10">
        <v>120</v>
      </c>
      <c r="AV2" s="13"/>
      <c r="AW2" s="11">
        <v>125</v>
      </c>
      <c r="AX2" s="11">
        <v>132</v>
      </c>
      <c r="AY2" s="11">
        <v>138</v>
      </c>
      <c r="AZ2" s="11">
        <v>208</v>
      </c>
      <c r="BA2" s="11">
        <v>186</v>
      </c>
      <c r="BB2" s="11">
        <v>86</v>
      </c>
      <c r="BC2" s="11">
        <v>55</v>
      </c>
    </row>
    <row r="3" spans="1:55" ht="12.75" customHeight="1">
      <c r="B3" s="15" t="s">
        <v>55</v>
      </c>
      <c r="C3" s="10">
        <v>2025</v>
      </c>
      <c r="D3" s="10" t="s">
        <v>54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1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0">
        <v>87</v>
      </c>
      <c r="AS3" s="11"/>
      <c r="AT3" s="11"/>
      <c r="AU3" s="10">
        <v>101</v>
      </c>
      <c r="AV3" s="13"/>
      <c r="AW3" s="11"/>
      <c r="AX3" s="11"/>
      <c r="AY3" s="11"/>
      <c r="AZ3" s="11"/>
      <c r="BA3" s="11">
        <v>127</v>
      </c>
      <c r="BB3" s="11">
        <v>45.977011494252899</v>
      </c>
      <c r="BC3" s="11">
        <v>25.742574257425701</v>
      </c>
    </row>
    <row r="4" spans="1:55" ht="12.75" customHeight="1">
      <c r="B4" s="15" t="s">
        <v>56</v>
      </c>
      <c r="C4" s="10">
        <v>2025</v>
      </c>
      <c r="D4" s="10" t="s">
        <v>54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1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0</v>
      </c>
      <c r="AQ4" s="11">
        <v>1</v>
      </c>
      <c r="AR4" s="10">
        <v>136</v>
      </c>
      <c r="AS4" s="11"/>
      <c r="AT4" s="11"/>
      <c r="AU4" s="10">
        <v>154</v>
      </c>
      <c r="AV4" s="13"/>
      <c r="AW4" s="11"/>
      <c r="AX4" s="11"/>
      <c r="AY4" s="11"/>
      <c r="AZ4" s="11"/>
      <c r="BA4" s="11">
        <v>343</v>
      </c>
      <c r="BB4" s="11">
        <v>152.20588235294099</v>
      </c>
      <c r="BC4" s="11">
        <v>122.727272727273</v>
      </c>
    </row>
    <row r="5" spans="1:55" ht="12.75" customHeight="1">
      <c r="B5" s="15" t="s">
        <v>57</v>
      </c>
      <c r="C5" s="10">
        <v>2025</v>
      </c>
      <c r="D5" s="10" t="s">
        <v>54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1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0">
        <v>63</v>
      </c>
      <c r="AS5" s="11"/>
      <c r="AT5" s="11"/>
      <c r="AU5" s="10">
        <v>91</v>
      </c>
      <c r="AV5" s="13"/>
      <c r="AW5" s="11"/>
      <c r="AX5" s="11"/>
      <c r="AY5" s="11"/>
      <c r="AZ5" s="11"/>
      <c r="BA5" s="11">
        <v>80</v>
      </c>
      <c r="BB5" s="11">
        <v>26.984126984126998</v>
      </c>
      <c r="BC5" s="11">
        <v>-12.0879120879121</v>
      </c>
    </row>
    <row r="6" spans="1:55" ht="12.75" customHeight="1">
      <c r="B6" s="9" t="s">
        <v>58</v>
      </c>
      <c r="C6" s="10">
        <v>2025</v>
      </c>
      <c r="D6" s="10" t="s">
        <v>54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1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0">
        <v>155</v>
      </c>
      <c r="AS6" s="11"/>
      <c r="AT6" s="11"/>
      <c r="AU6" s="10">
        <v>294</v>
      </c>
      <c r="AV6" s="13"/>
      <c r="AW6" s="11">
        <v>368</v>
      </c>
      <c r="AX6" s="11">
        <v>405</v>
      </c>
      <c r="AY6" s="11">
        <v>413</v>
      </c>
      <c r="AZ6" s="11"/>
      <c r="BA6" s="11">
        <v>372</v>
      </c>
      <c r="BB6" s="11">
        <v>140</v>
      </c>
      <c r="BC6" s="11">
        <v>26.530612244897998</v>
      </c>
    </row>
    <row r="7" spans="1:55" ht="12.75" customHeight="1">
      <c r="B7" s="9" t="s">
        <v>59</v>
      </c>
      <c r="C7" s="10">
        <v>2025</v>
      </c>
      <c r="D7" s="10" t="s">
        <v>54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1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0</v>
      </c>
      <c r="AQ7" s="11">
        <v>1</v>
      </c>
      <c r="AR7" s="10">
        <v>51</v>
      </c>
      <c r="AS7" s="11"/>
      <c r="AT7" s="11"/>
      <c r="AU7" s="10">
        <v>80</v>
      </c>
      <c r="AV7" s="13"/>
      <c r="AW7" s="11"/>
      <c r="AX7" s="11"/>
      <c r="AY7" s="11"/>
      <c r="AZ7" s="11"/>
      <c r="BA7" s="11">
        <v>121</v>
      </c>
      <c r="BB7" s="11">
        <v>137.254901960784</v>
      </c>
      <c r="BC7" s="11">
        <v>51.25</v>
      </c>
    </row>
    <row r="8" spans="1:55" ht="12.75" customHeight="1">
      <c r="B8" s="16" t="s">
        <v>60</v>
      </c>
      <c r="C8" s="10">
        <v>2025</v>
      </c>
      <c r="D8" s="10" t="s">
        <v>54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1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0">
        <v>111</v>
      </c>
      <c r="AS8" s="11"/>
      <c r="AT8" s="11"/>
      <c r="AU8" s="10">
        <v>154</v>
      </c>
      <c r="AV8" s="13"/>
      <c r="AW8" s="11">
        <v>175</v>
      </c>
      <c r="AX8" s="11">
        <v>177.29</v>
      </c>
      <c r="AY8" s="11">
        <v>181.76</v>
      </c>
      <c r="AZ8" s="11"/>
      <c r="BA8" s="11">
        <v>170</v>
      </c>
      <c r="BB8" s="11">
        <v>53.153153153153198</v>
      </c>
      <c r="BC8" s="11">
        <v>10.3896103896104</v>
      </c>
    </row>
    <row r="9" spans="1:55" ht="12.75" customHeight="1">
      <c r="B9" s="16" t="s">
        <v>61</v>
      </c>
      <c r="C9" s="10">
        <v>2025</v>
      </c>
      <c r="D9" s="10" t="s">
        <v>54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1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0">
        <v>81</v>
      </c>
      <c r="AS9" s="11"/>
      <c r="AT9" s="11"/>
      <c r="AU9" s="10">
        <v>154</v>
      </c>
      <c r="AV9" s="13"/>
      <c r="AW9" s="11"/>
      <c r="AX9" s="11"/>
      <c r="AY9" s="11"/>
      <c r="AZ9" s="11"/>
      <c r="BA9" s="11">
        <v>113</v>
      </c>
      <c r="BB9" s="11">
        <v>39.506172839506199</v>
      </c>
      <c r="BC9" s="11">
        <v>-26.6233766233766</v>
      </c>
    </row>
    <row r="10" spans="1:55" ht="12.75" customHeight="1">
      <c r="B10" s="9" t="s">
        <v>62</v>
      </c>
      <c r="C10" s="10">
        <v>2025</v>
      </c>
      <c r="D10" s="10" t="s">
        <v>54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1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0">
        <v>193</v>
      </c>
      <c r="AS10" s="11"/>
      <c r="AT10" s="11"/>
      <c r="AU10" s="10">
        <v>366</v>
      </c>
      <c r="AV10" s="13"/>
      <c r="AW10" s="11"/>
      <c r="AX10" s="11"/>
      <c r="AY10" s="11"/>
      <c r="AZ10" s="11"/>
      <c r="BA10" s="11">
        <v>765</v>
      </c>
      <c r="BB10" s="11">
        <v>296.37305699481902</v>
      </c>
      <c r="BC10" s="11">
        <v>109.016393442623</v>
      </c>
    </row>
    <row r="11" spans="1:55" ht="12.75" customHeight="1">
      <c r="B11" s="16" t="s">
        <v>63</v>
      </c>
      <c r="C11" s="10">
        <v>2024</v>
      </c>
      <c r="D11" s="10" t="s">
        <v>54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1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0">
        <v>54</v>
      </c>
      <c r="AS11" s="11"/>
      <c r="AT11" s="11"/>
      <c r="AU11" s="10">
        <v>95</v>
      </c>
      <c r="AV11" s="13"/>
      <c r="AW11" s="11"/>
      <c r="AX11" s="11"/>
      <c r="AY11" s="11"/>
      <c r="AZ11" s="11"/>
      <c r="BA11" s="11">
        <v>39</v>
      </c>
      <c r="BB11" s="11">
        <v>-27.7777777777778</v>
      </c>
      <c r="BC11" s="11">
        <v>-58.947368421052602</v>
      </c>
    </row>
    <row r="12" spans="1:55" ht="12.75" customHeight="1">
      <c r="B12" s="15" t="s">
        <v>64</v>
      </c>
      <c r="C12" s="10">
        <v>2024</v>
      </c>
      <c r="D12" s="10" t="s">
        <v>54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1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7">
        <v>35</v>
      </c>
      <c r="AS12" s="11"/>
      <c r="AT12" s="11"/>
      <c r="AU12" s="17">
        <v>67</v>
      </c>
      <c r="AV12" s="13"/>
      <c r="AW12" s="11"/>
      <c r="AX12" s="11"/>
      <c r="AY12" s="11"/>
      <c r="AZ12" s="11"/>
      <c r="BA12" s="11">
        <v>36</v>
      </c>
      <c r="BB12" s="11">
        <v>2.8571428571428599</v>
      </c>
      <c r="BC12" s="11">
        <v>-46.268656716417901</v>
      </c>
    </row>
    <row r="13" spans="1:55" ht="12.75" customHeight="1">
      <c r="B13" s="15" t="s">
        <v>65</v>
      </c>
      <c r="C13" s="10">
        <v>2024</v>
      </c>
      <c r="D13" s="10" t="s">
        <v>54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1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0">
        <v>51</v>
      </c>
      <c r="AS13" s="11"/>
      <c r="AT13" s="11"/>
      <c r="AU13" s="10">
        <v>97</v>
      </c>
      <c r="AV13" s="13"/>
      <c r="AW13" s="11">
        <v>50.82</v>
      </c>
      <c r="AX13" s="11">
        <v>53.44</v>
      </c>
      <c r="AY13" s="11">
        <v>50.71</v>
      </c>
      <c r="AZ13" s="11">
        <v>50.9</v>
      </c>
      <c r="BA13" s="11">
        <v>26</v>
      </c>
      <c r="BB13" s="11">
        <v>-49.019607843137301</v>
      </c>
      <c r="BC13" s="11">
        <v>-73.195876288659804</v>
      </c>
    </row>
    <row r="14" spans="1:55" ht="12.75" customHeight="1">
      <c r="B14" s="15" t="s">
        <v>66</v>
      </c>
      <c r="C14" s="10">
        <v>2024</v>
      </c>
      <c r="D14" s="10" t="s">
        <v>54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1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0">
        <v>146</v>
      </c>
      <c r="AS14" s="11"/>
      <c r="AT14" s="11"/>
      <c r="AU14" s="10">
        <v>277</v>
      </c>
      <c r="AV14" s="13"/>
      <c r="AW14" s="11"/>
      <c r="AX14" s="11"/>
      <c r="AY14" s="11"/>
      <c r="AZ14" s="11"/>
      <c r="BA14" s="11">
        <v>509</v>
      </c>
      <c r="BB14" s="11">
        <v>248.63013698630101</v>
      </c>
      <c r="BC14" s="11">
        <v>83.754512635379101</v>
      </c>
    </row>
    <row r="15" spans="1:55" ht="12.75" customHeight="1">
      <c r="B15" s="15" t="s">
        <v>67</v>
      </c>
      <c r="C15" s="10">
        <v>2024</v>
      </c>
      <c r="D15" s="10" t="s">
        <v>54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1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0">
        <v>126</v>
      </c>
      <c r="AS15" s="11"/>
      <c r="AT15" s="11"/>
      <c r="AU15" s="10">
        <v>199</v>
      </c>
      <c r="AV15" s="13"/>
      <c r="AW15" s="11">
        <v>208</v>
      </c>
      <c r="AX15" s="11">
        <v>220</v>
      </c>
      <c r="AY15" s="11">
        <v>230</v>
      </c>
      <c r="AZ15" s="11">
        <v>588</v>
      </c>
      <c r="BA15" s="11">
        <v>576</v>
      </c>
      <c r="BB15" s="11">
        <v>357.142857142857</v>
      </c>
      <c r="BC15" s="11">
        <v>189.44723618090501</v>
      </c>
    </row>
    <row r="16" spans="1:55" ht="12.75" customHeight="1">
      <c r="B16" s="15" t="s">
        <v>68</v>
      </c>
      <c r="C16" s="10">
        <v>2024</v>
      </c>
      <c r="D16" s="10" t="s">
        <v>54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1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0">
        <v>182</v>
      </c>
      <c r="AS16" s="11"/>
      <c r="AT16" s="11"/>
      <c r="AU16" s="10">
        <v>346</v>
      </c>
      <c r="AV16" s="13"/>
      <c r="AW16" s="11"/>
      <c r="AX16" s="11"/>
      <c r="AY16" s="11"/>
      <c r="AZ16" s="11"/>
      <c r="BA16" s="11">
        <v>308</v>
      </c>
      <c r="BB16" s="11">
        <v>69.230769230769198</v>
      </c>
      <c r="BC16" s="11">
        <v>-10.9826589595376</v>
      </c>
    </row>
    <row r="17" spans="2:105" ht="12.75" customHeight="1">
      <c r="B17" s="15" t="s">
        <v>69</v>
      </c>
      <c r="C17" s="10">
        <v>2024</v>
      </c>
      <c r="D17" s="10" t="s">
        <v>54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1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0">
        <v>73</v>
      </c>
      <c r="AS17" s="11"/>
      <c r="AT17" s="11"/>
      <c r="AU17" s="10">
        <v>139</v>
      </c>
      <c r="AV17" s="13"/>
      <c r="AW17" s="11"/>
      <c r="AX17" s="11"/>
      <c r="AY17" s="11"/>
      <c r="AZ17" s="11"/>
      <c r="BA17" s="11">
        <v>124</v>
      </c>
      <c r="BB17" s="11">
        <v>69.863013698630098</v>
      </c>
      <c r="BC17" s="11">
        <v>-10.791366906474799</v>
      </c>
    </row>
    <row r="18" spans="2:105" ht="12.75" customHeight="1">
      <c r="B18" s="15" t="s">
        <v>70</v>
      </c>
      <c r="C18" s="10">
        <v>2024</v>
      </c>
      <c r="D18" s="10" t="s">
        <v>54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1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0">
        <v>180</v>
      </c>
      <c r="AS18" s="11"/>
      <c r="AT18" s="11"/>
      <c r="AU18" s="10">
        <v>342</v>
      </c>
      <c r="AV18" s="13"/>
      <c r="AW18" s="11">
        <v>358</v>
      </c>
      <c r="AX18" s="11">
        <v>340</v>
      </c>
      <c r="AY18" s="11">
        <v>322</v>
      </c>
      <c r="AZ18" s="11"/>
      <c r="BA18" s="11">
        <v>129</v>
      </c>
      <c r="BB18" s="11">
        <v>-28.3333333333333</v>
      </c>
      <c r="BC18" s="11">
        <v>-62.280701754386001</v>
      </c>
    </row>
    <row r="19" spans="2:105" ht="12.75" customHeight="1">
      <c r="B19" s="15" t="s">
        <v>71</v>
      </c>
      <c r="C19" s="10">
        <v>2024</v>
      </c>
      <c r="D19" s="10" t="s">
        <v>54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1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0">
        <v>82</v>
      </c>
      <c r="AS19" s="11"/>
      <c r="AT19" s="11"/>
      <c r="AU19" s="10">
        <v>125</v>
      </c>
      <c r="AV19" s="13"/>
      <c r="AW19" s="11"/>
      <c r="AX19" s="11"/>
      <c r="AY19" s="11"/>
      <c r="AZ19" s="11"/>
      <c r="BA19" s="11">
        <v>295</v>
      </c>
      <c r="BB19" s="11">
        <v>259.756097560976</v>
      </c>
      <c r="BC19" s="11">
        <v>136</v>
      </c>
    </row>
    <row r="20" spans="2:105" ht="12.75" customHeight="1">
      <c r="B20" s="16" t="s">
        <v>72</v>
      </c>
      <c r="C20" s="10">
        <v>2023</v>
      </c>
      <c r="D20" s="10" t="s">
        <v>54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1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0"/>
      <c r="AS20" s="11"/>
      <c r="AT20" s="11"/>
      <c r="AU20" s="10"/>
      <c r="AV20" s="13"/>
      <c r="AW20" s="11"/>
      <c r="AX20" s="11"/>
      <c r="AY20" s="11"/>
      <c r="AZ20" s="11"/>
      <c r="BA20" s="11"/>
      <c r="BB20" s="11"/>
      <c r="BC20" s="11"/>
    </row>
    <row r="21" spans="2:105" ht="12.75" customHeight="1">
      <c r="B21" s="16" t="s">
        <v>73</v>
      </c>
      <c r="C21" s="10">
        <v>2023</v>
      </c>
      <c r="D21" s="10" t="s">
        <v>54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74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1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0"/>
      <c r="AS21" s="11"/>
      <c r="AT21" s="11"/>
      <c r="AU21" s="10"/>
      <c r="AV21" s="13"/>
      <c r="AW21" s="11"/>
      <c r="AX21" s="11"/>
      <c r="AY21" s="11"/>
      <c r="AZ21" s="11"/>
      <c r="BA21" s="11"/>
      <c r="BB21" s="11"/>
      <c r="BC21" s="11"/>
    </row>
    <row r="22" spans="2:105" ht="12.75" customHeight="1">
      <c r="B22" s="9" t="s">
        <v>75</v>
      </c>
      <c r="C22" s="10">
        <v>2023</v>
      </c>
      <c r="D22" s="10" t="s">
        <v>54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1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0"/>
      <c r="AS22" s="11"/>
      <c r="AT22" s="11"/>
      <c r="AU22" s="10"/>
      <c r="AV22" s="13"/>
      <c r="AW22" s="11"/>
      <c r="AX22" s="11"/>
      <c r="AY22" s="11"/>
      <c r="AZ22" s="11"/>
      <c r="BA22" s="11"/>
      <c r="BB22" s="11"/>
      <c r="BC22" s="11"/>
    </row>
    <row r="23" spans="2:105" ht="12.75" customHeight="1">
      <c r="B23" s="18" t="s">
        <v>76</v>
      </c>
      <c r="C23" s="10">
        <v>2025</v>
      </c>
      <c r="D23" s="10" t="s">
        <v>77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1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0">
        <v>143</v>
      </c>
      <c r="AS23" s="11"/>
      <c r="AT23" s="11"/>
      <c r="AU23" s="10">
        <v>114</v>
      </c>
      <c r="AV23" s="13"/>
      <c r="AW23" s="11"/>
      <c r="AX23" s="11"/>
      <c r="AY23" s="11"/>
      <c r="AZ23" s="11"/>
      <c r="BA23" s="11">
        <v>52</v>
      </c>
      <c r="BB23" s="11">
        <v>-63.636363636363598</v>
      </c>
      <c r="BC23" s="11">
        <v>-54.385964912280699</v>
      </c>
    </row>
    <row r="24" spans="2:105" ht="12.75" customHeight="1">
      <c r="B24" s="18" t="s">
        <v>78</v>
      </c>
      <c r="C24" s="10">
        <v>2025</v>
      </c>
      <c r="D24" s="10" t="s">
        <v>77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1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0">
        <v>21</v>
      </c>
      <c r="AS24" s="11"/>
      <c r="AT24" s="11"/>
      <c r="AU24" s="10">
        <v>17</v>
      </c>
      <c r="AV24" s="13"/>
      <c r="AW24" s="11"/>
      <c r="AX24" s="11"/>
      <c r="AY24" s="11"/>
      <c r="AZ24" s="11"/>
      <c r="BA24" s="11">
        <v>13</v>
      </c>
      <c r="BB24" s="11">
        <v>-38.095238095238102</v>
      </c>
      <c r="BC24" s="11">
        <v>-23.529411764705898</v>
      </c>
    </row>
    <row r="25" spans="2:105" ht="12.75" customHeight="1">
      <c r="B25" s="19" t="s">
        <v>79</v>
      </c>
      <c r="C25" s="10">
        <v>2025</v>
      </c>
      <c r="D25" s="10" t="s">
        <v>77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1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0">
        <v>72</v>
      </c>
      <c r="AS25" s="11"/>
      <c r="AT25" s="11"/>
      <c r="AU25" s="10">
        <v>58</v>
      </c>
      <c r="AV25" s="13"/>
      <c r="AW25" s="11"/>
      <c r="AX25" s="11"/>
      <c r="AY25" s="11"/>
      <c r="AZ25" s="11"/>
      <c r="BA25" s="11">
        <v>42</v>
      </c>
      <c r="BB25" s="11">
        <v>-41.6666666666667</v>
      </c>
      <c r="BC25" s="11">
        <v>-27.586206896551701</v>
      </c>
    </row>
    <row r="26" spans="2:105" ht="12.75" customHeight="1">
      <c r="B26" s="19" t="s">
        <v>80</v>
      </c>
      <c r="C26" s="10">
        <v>2025</v>
      </c>
      <c r="D26" s="10" t="s">
        <v>77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1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0">
        <v>99</v>
      </c>
      <c r="AS26" s="11"/>
      <c r="AT26" s="11"/>
      <c r="AU26" s="10">
        <v>79</v>
      </c>
      <c r="AV26" s="13"/>
      <c r="AW26" s="11">
        <v>73</v>
      </c>
      <c r="AX26" s="11">
        <v>73</v>
      </c>
      <c r="AY26" s="11">
        <v>72</v>
      </c>
      <c r="AZ26" s="11"/>
      <c r="BA26" s="11">
        <v>59</v>
      </c>
      <c r="BB26" s="11">
        <v>-40.404040404040401</v>
      </c>
      <c r="BC26" s="11">
        <v>-25.3164556962025</v>
      </c>
    </row>
    <row r="27" spans="2:105" ht="12.75" customHeight="1">
      <c r="B27" s="20" t="s">
        <v>81</v>
      </c>
      <c r="C27" s="10">
        <v>2025</v>
      </c>
      <c r="D27" s="10" t="s">
        <v>77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1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0">
        <v>75</v>
      </c>
      <c r="AS27" s="11"/>
      <c r="AT27" s="11"/>
      <c r="AU27" s="10">
        <v>60</v>
      </c>
      <c r="AV27" s="13"/>
      <c r="AW27" s="11"/>
      <c r="AX27" s="11"/>
      <c r="AY27" s="11"/>
      <c r="AZ27" s="11"/>
      <c r="BA27" s="11">
        <v>34</v>
      </c>
      <c r="BB27" s="11">
        <v>-54.6666666666667</v>
      </c>
      <c r="BC27" s="11">
        <v>-43.3333333333333</v>
      </c>
    </row>
    <row r="28" spans="2:105" ht="12.75" customHeight="1">
      <c r="B28" s="20" t="s">
        <v>82</v>
      </c>
      <c r="C28" s="10">
        <v>2025</v>
      </c>
      <c r="D28" s="10" t="s">
        <v>77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1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0">
        <v>108</v>
      </c>
      <c r="AS28" s="11"/>
      <c r="AT28" s="11"/>
      <c r="AU28" s="10">
        <v>86</v>
      </c>
      <c r="AV28" s="13"/>
      <c r="AW28" s="11"/>
      <c r="AX28" s="11"/>
      <c r="AY28" s="11"/>
      <c r="AZ28" s="11"/>
      <c r="BA28" s="11">
        <v>34</v>
      </c>
      <c r="BB28" s="11">
        <v>-68.518518518518505</v>
      </c>
      <c r="BC28" s="11">
        <v>-60.465116279069797</v>
      </c>
    </row>
    <row r="29" spans="2:105" ht="12.75" customHeight="1">
      <c r="B29" s="20" t="s">
        <v>83</v>
      </c>
      <c r="C29" s="10">
        <v>2025</v>
      </c>
      <c r="D29" s="10" t="s">
        <v>77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1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0">
        <v>72</v>
      </c>
      <c r="AS29" s="11"/>
      <c r="AT29" s="11"/>
      <c r="AU29" s="10">
        <v>58</v>
      </c>
      <c r="AV29" s="13"/>
      <c r="AW29" s="11"/>
      <c r="AX29" s="11"/>
      <c r="AY29" s="11"/>
      <c r="AZ29" s="11"/>
      <c r="BA29" s="11">
        <v>52</v>
      </c>
      <c r="BB29" s="11">
        <v>-27.7777777777778</v>
      </c>
      <c r="BC29" s="11">
        <v>-10.3448275862069</v>
      </c>
      <c r="DA29" t="s">
        <v>84</v>
      </c>
    </row>
    <row r="30" spans="2:105" ht="12.75" customHeight="1">
      <c r="B30" s="20" t="s">
        <v>85</v>
      </c>
      <c r="C30" s="10">
        <v>2025</v>
      </c>
      <c r="D30" s="10" t="s">
        <v>77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1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0">
        <v>61</v>
      </c>
      <c r="AS30" s="11"/>
      <c r="AT30" s="11"/>
      <c r="AU30" s="10">
        <v>49</v>
      </c>
      <c r="AV30" s="13"/>
      <c r="AW30" s="11"/>
      <c r="AX30" s="11"/>
      <c r="AY30" s="11"/>
      <c r="AZ30" s="11"/>
      <c r="BA30" s="11">
        <v>42</v>
      </c>
      <c r="BB30" s="11">
        <v>-31.1475409836066</v>
      </c>
      <c r="BC30" s="11">
        <v>-14.285714285714301</v>
      </c>
    </row>
    <row r="31" spans="2:105" ht="12.75" customHeight="1">
      <c r="B31" s="20" t="s">
        <v>86</v>
      </c>
      <c r="C31" s="10">
        <v>2025</v>
      </c>
      <c r="D31" s="10" t="s">
        <v>77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1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0">
        <v>72</v>
      </c>
      <c r="AS31" s="11"/>
      <c r="AT31" s="11"/>
      <c r="AU31" s="10">
        <v>58</v>
      </c>
      <c r="AV31" s="13"/>
      <c r="AW31" s="11"/>
      <c r="AX31" s="11"/>
      <c r="AY31" s="11"/>
      <c r="AZ31" s="11"/>
      <c r="BA31" s="11">
        <v>30</v>
      </c>
      <c r="BB31" s="11">
        <v>-58.3333333333333</v>
      </c>
      <c r="BC31" s="11">
        <v>-48.275862068965502</v>
      </c>
    </row>
    <row r="32" spans="2:105" ht="12.75" customHeight="1">
      <c r="B32" s="20" t="s">
        <v>87</v>
      </c>
      <c r="C32" s="10">
        <v>2024</v>
      </c>
      <c r="D32" s="10" t="s">
        <v>77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1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0">
        <v>200</v>
      </c>
      <c r="AS32" s="11"/>
      <c r="AT32" s="11"/>
      <c r="AU32" s="10">
        <v>164</v>
      </c>
      <c r="AV32" s="13"/>
      <c r="AW32" s="11"/>
      <c r="AX32" s="11"/>
      <c r="AY32" s="11"/>
      <c r="AZ32" s="11"/>
      <c r="BA32" s="11">
        <v>40</v>
      </c>
      <c r="BB32" s="11">
        <v>-80</v>
      </c>
      <c r="BC32" s="11">
        <v>-75.609756097561004</v>
      </c>
    </row>
    <row r="33" spans="2:106" ht="12.75" customHeight="1">
      <c r="B33" s="19" t="s">
        <v>88</v>
      </c>
      <c r="C33" s="10">
        <v>2024</v>
      </c>
      <c r="D33" s="10" t="s">
        <v>77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1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0">
        <v>62</v>
      </c>
      <c r="AS33" s="11"/>
      <c r="AT33" s="11"/>
      <c r="AU33" s="10">
        <v>45</v>
      </c>
      <c r="AV33" s="13"/>
      <c r="AW33" s="11"/>
      <c r="AX33" s="11"/>
      <c r="AY33" s="11"/>
      <c r="AZ33" s="11"/>
      <c r="BA33" s="11">
        <v>16</v>
      </c>
      <c r="BB33" s="11">
        <v>-74.193548387096797</v>
      </c>
      <c r="BC33" s="11">
        <v>-64.4444444444444</v>
      </c>
      <c r="DB33" t="s">
        <v>89</v>
      </c>
    </row>
    <row r="34" spans="2:106" ht="12.75" customHeight="1">
      <c r="B34" s="20" t="s">
        <v>90</v>
      </c>
      <c r="C34" s="10">
        <v>2024</v>
      </c>
      <c r="D34" s="10" t="s">
        <v>77</v>
      </c>
      <c r="E34" s="11">
        <v>4.6100000000000003</v>
      </c>
      <c r="F34" s="11">
        <v>10.82</v>
      </c>
      <c r="G34" s="11">
        <f t="shared" ref="G34:G65" si="12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74</v>
      </c>
      <c r="N34" s="11"/>
      <c r="O34" s="11">
        <v>73.95</v>
      </c>
      <c r="P34" s="11">
        <f t="shared" ref="P34:P65" si="13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1"/>
        <v>0</v>
      </c>
      <c r="AD34" s="11">
        <v>373</v>
      </c>
      <c r="AE34" s="11">
        <v>-11</v>
      </c>
      <c r="AF34" s="11" t="s">
        <v>74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4">D34</f>
        <v>Neg</v>
      </c>
      <c r="AM34" s="14" t="str">
        <f t="shared" ref="AM34:AM65" si="15">B34</f>
        <v>Kalana Ispat</v>
      </c>
      <c r="AN34" s="13"/>
      <c r="AO34" s="13">
        <f t="shared" ref="AO34:AO65" si="16">AN34+1</f>
        <v>1</v>
      </c>
      <c r="AP34" s="13">
        <f t="shared" si="10"/>
        <v>0</v>
      </c>
      <c r="AQ34" s="11">
        <v>1</v>
      </c>
      <c r="AR34" s="10">
        <v>66</v>
      </c>
      <c r="AS34" s="11"/>
      <c r="AT34" s="11"/>
      <c r="AU34" s="10">
        <v>45</v>
      </c>
      <c r="AV34" s="13"/>
      <c r="AW34" s="11"/>
      <c r="AX34" s="11"/>
      <c r="AY34" s="11"/>
      <c r="AZ34" s="11"/>
      <c r="BA34" s="11">
        <v>30</v>
      </c>
      <c r="BB34" s="11">
        <v>-54.545454545454596</v>
      </c>
      <c r="BC34" s="11">
        <v>-33.3333333333333</v>
      </c>
    </row>
    <row r="35" spans="2:106" ht="12.75" customHeight="1">
      <c r="B35" s="20" t="s">
        <v>91</v>
      </c>
      <c r="C35" s="10">
        <v>2024</v>
      </c>
      <c r="D35" s="10" t="s">
        <v>77</v>
      </c>
      <c r="E35" s="11">
        <v>0</v>
      </c>
      <c r="F35" s="11">
        <v>4.5999999999999996</v>
      </c>
      <c r="G35" s="11">
        <f t="shared" si="12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3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1"/>
        <v>0</v>
      </c>
      <c r="AD35" s="11">
        <v>3</v>
      </c>
      <c r="AE35" s="11">
        <v>-6</v>
      </c>
      <c r="AF35" s="11" t="s">
        <v>74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4"/>
        <v>Neg</v>
      </c>
      <c r="AM35" s="14" t="str">
        <f t="shared" si="15"/>
        <v>3C IT</v>
      </c>
      <c r="AN35" s="13"/>
      <c r="AO35" s="13">
        <f t="shared" si="16"/>
        <v>1</v>
      </c>
      <c r="AP35" s="13">
        <f t="shared" si="10"/>
        <v>0</v>
      </c>
      <c r="AQ35" s="11">
        <v>1</v>
      </c>
      <c r="AR35" s="10">
        <v>52</v>
      </c>
      <c r="AS35" s="11"/>
      <c r="AT35" s="11"/>
      <c r="AU35" s="10">
        <v>43</v>
      </c>
      <c r="AV35" s="13"/>
      <c r="AW35" s="11"/>
      <c r="AX35" s="11"/>
      <c r="AY35" s="11"/>
      <c r="AZ35" s="11"/>
      <c r="BA35" s="11">
        <v>18</v>
      </c>
      <c r="BB35" s="11">
        <v>-65.384615384615401</v>
      </c>
      <c r="BC35" s="11">
        <v>-58.139534883720899</v>
      </c>
    </row>
    <row r="36" spans="2:106" ht="12.75" customHeight="1">
      <c r="B36" s="20" t="s">
        <v>92</v>
      </c>
      <c r="C36" s="10">
        <v>2024</v>
      </c>
      <c r="D36" s="10" t="s">
        <v>77</v>
      </c>
      <c r="E36" s="11">
        <v>91.56</v>
      </c>
      <c r="F36" s="11">
        <v>13.38</v>
      </c>
      <c r="G36" s="11">
        <f t="shared" si="12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3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74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1"/>
        <v>0</v>
      </c>
      <c r="AD36" s="11">
        <v>18</v>
      </c>
      <c r="AE36" s="11">
        <v>-29</v>
      </c>
      <c r="AF36" s="11" t="s">
        <v>74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4"/>
        <v>Neg</v>
      </c>
      <c r="AM36" s="14" t="str">
        <f t="shared" si="15"/>
        <v>M.V.K. Agro Food</v>
      </c>
      <c r="AN36" s="13"/>
      <c r="AO36" s="13">
        <f t="shared" si="16"/>
        <v>1</v>
      </c>
      <c r="AP36" s="13">
        <f t="shared" si="10"/>
        <v>0</v>
      </c>
      <c r="AQ36" s="11">
        <v>1</v>
      </c>
      <c r="AR36" s="10">
        <v>120</v>
      </c>
      <c r="AS36" s="11"/>
      <c r="AT36" s="11"/>
      <c r="AU36" s="10">
        <v>79</v>
      </c>
      <c r="AV36" s="13"/>
      <c r="AW36" s="11"/>
      <c r="AX36" s="11"/>
      <c r="AY36" s="11"/>
      <c r="AZ36" s="11"/>
      <c r="BA36" s="11">
        <v>525</v>
      </c>
      <c r="BB36" s="11">
        <v>337.5</v>
      </c>
      <c r="BC36" s="11">
        <v>564.55696202531703</v>
      </c>
    </row>
    <row r="37" spans="2:106" ht="12.75" customHeight="1">
      <c r="B37" s="20" t="s">
        <v>93</v>
      </c>
      <c r="C37" s="10">
        <v>2024</v>
      </c>
      <c r="D37" s="14" t="s">
        <v>94</v>
      </c>
      <c r="E37" s="11">
        <v>2.5299999999999998</v>
      </c>
      <c r="F37" s="11">
        <v>11.32</v>
      </c>
      <c r="G37" s="11">
        <f t="shared" si="12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3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1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4"/>
        <v>Rec</v>
      </c>
      <c r="AM37" s="14" t="str">
        <f t="shared" si="15"/>
        <v>Sona Machinery</v>
      </c>
      <c r="AN37" s="13"/>
      <c r="AO37" s="13">
        <f t="shared" si="16"/>
        <v>1</v>
      </c>
      <c r="AP37" s="13">
        <f t="shared" si="10"/>
        <v>0</v>
      </c>
      <c r="AQ37" s="11">
        <v>1</v>
      </c>
      <c r="AR37" s="10">
        <v>143</v>
      </c>
      <c r="AS37" s="11"/>
      <c r="AT37" s="11"/>
      <c r="AU37" s="10">
        <v>125</v>
      </c>
      <c r="AV37" s="13"/>
      <c r="AW37" s="11">
        <v>126.3</v>
      </c>
      <c r="AX37" s="11">
        <v>143</v>
      </c>
      <c r="AY37" s="11">
        <v>142</v>
      </c>
      <c r="AZ37" s="11"/>
      <c r="BA37" s="11">
        <v>73</v>
      </c>
      <c r="BB37" s="11">
        <v>-48.951048951049003</v>
      </c>
      <c r="BC37" s="11">
        <v>-41.6</v>
      </c>
    </row>
    <row r="38" spans="2:106" ht="12.75" customHeight="1">
      <c r="B38" s="20" t="s">
        <v>95</v>
      </c>
      <c r="C38" s="10">
        <v>2024</v>
      </c>
      <c r="D38" s="10" t="s">
        <v>77</v>
      </c>
      <c r="E38" s="11">
        <v>20.57</v>
      </c>
      <c r="F38" s="11">
        <v>40.840000000000003</v>
      </c>
      <c r="G38" s="11">
        <f t="shared" si="12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3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1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4"/>
        <v>Neg</v>
      </c>
      <c r="AM38" s="14" t="str">
        <f t="shared" si="15"/>
        <v>Italian Edibles</v>
      </c>
      <c r="AN38" s="13"/>
      <c r="AO38" s="13">
        <f t="shared" si="16"/>
        <v>1</v>
      </c>
      <c r="AP38" s="13">
        <f t="shared" si="10"/>
        <v>0</v>
      </c>
      <c r="AQ38" s="11">
        <v>1</v>
      </c>
      <c r="AR38" s="10">
        <v>68</v>
      </c>
      <c r="AS38" s="11"/>
      <c r="AT38" s="11"/>
      <c r="AU38" s="10">
        <v>55</v>
      </c>
      <c r="AV38" s="13"/>
      <c r="AW38" s="11"/>
      <c r="AX38" s="11"/>
      <c r="AY38" s="11"/>
      <c r="AZ38" s="11"/>
      <c r="BA38" s="11">
        <v>34</v>
      </c>
      <c r="BB38" s="11">
        <v>-50</v>
      </c>
      <c r="BC38" s="11">
        <v>-38.181818181818201</v>
      </c>
    </row>
    <row r="39" spans="2:106" ht="12.75" customHeight="1">
      <c r="B39" s="20" t="s">
        <v>96</v>
      </c>
      <c r="C39" s="10">
        <v>2024</v>
      </c>
      <c r="D39" s="10" t="s">
        <v>77</v>
      </c>
      <c r="E39" s="11">
        <v>10.29</v>
      </c>
      <c r="F39" s="11">
        <v>11.32</v>
      </c>
      <c r="G39" s="11">
        <f t="shared" si="12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3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1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4"/>
        <v>Neg</v>
      </c>
      <c r="AM39" s="14" t="str">
        <f t="shared" si="15"/>
        <v>Mandeep Auto Industries</v>
      </c>
      <c r="AN39" s="13"/>
      <c r="AO39" s="13">
        <f t="shared" si="16"/>
        <v>1</v>
      </c>
      <c r="AP39" s="13">
        <f t="shared" si="10"/>
        <v>0</v>
      </c>
      <c r="AQ39" s="11">
        <v>1</v>
      </c>
      <c r="AR39" s="10">
        <v>67</v>
      </c>
      <c r="AS39" s="11"/>
      <c r="AT39" s="11"/>
      <c r="AU39" s="10">
        <v>62</v>
      </c>
      <c r="AV39" s="13"/>
      <c r="AW39" s="11"/>
      <c r="AX39" s="11"/>
      <c r="AY39" s="11"/>
      <c r="AZ39" s="11"/>
      <c r="BA39" s="11">
        <v>26</v>
      </c>
      <c r="BB39" s="11">
        <v>-61.194029850746297</v>
      </c>
      <c r="BC39" s="11">
        <v>-58.064516129032299</v>
      </c>
    </row>
    <row r="40" spans="2:106" ht="12.75" customHeight="1">
      <c r="B40" s="20" t="s">
        <v>97</v>
      </c>
      <c r="C40" s="10">
        <v>2024</v>
      </c>
      <c r="D40" s="10" t="s">
        <v>77</v>
      </c>
      <c r="E40" s="11">
        <v>7.7</v>
      </c>
      <c r="F40" s="11">
        <v>9.01</v>
      </c>
      <c r="G40" s="11">
        <f t="shared" si="12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3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1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4"/>
        <v>Neg</v>
      </c>
      <c r="AM40" s="14" t="str">
        <f t="shared" si="15"/>
        <v>Falcon Technoprojects India</v>
      </c>
      <c r="AN40" s="13"/>
      <c r="AO40" s="13">
        <f t="shared" si="16"/>
        <v>1</v>
      </c>
      <c r="AP40" s="13">
        <f t="shared" si="10"/>
        <v>0</v>
      </c>
      <c r="AQ40" s="11">
        <v>1</v>
      </c>
      <c r="AR40" s="10">
        <v>92</v>
      </c>
      <c r="AS40" s="11"/>
      <c r="AT40" s="11"/>
      <c r="AU40" s="10">
        <v>84</v>
      </c>
      <c r="AV40" s="13"/>
      <c r="AW40" s="11"/>
      <c r="AX40" s="11"/>
      <c r="AY40" s="11"/>
      <c r="AZ40" s="11"/>
      <c r="BA40" s="11">
        <v>18</v>
      </c>
      <c r="BB40" s="11">
        <v>-80.434782608695699</v>
      </c>
      <c r="BC40" s="11">
        <v>-78.571428571428598</v>
      </c>
    </row>
    <row r="41" spans="2:106" ht="12.75" customHeight="1">
      <c r="B41" s="20" t="s">
        <v>98</v>
      </c>
      <c r="C41" s="10">
        <v>2023</v>
      </c>
      <c r="D41" s="10" t="s">
        <v>77</v>
      </c>
      <c r="E41" s="10">
        <v>8.94</v>
      </c>
      <c r="F41" s="10">
        <v>11.02</v>
      </c>
      <c r="G41" s="11">
        <f t="shared" si="12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3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1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4"/>
        <v>Neg</v>
      </c>
      <c r="AM41" s="14" t="str">
        <f t="shared" si="15"/>
        <v>Aatmaj Healthcare</v>
      </c>
      <c r="AN41" s="13"/>
      <c r="AO41" s="13">
        <f t="shared" si="16"/>
        <v>1</v>
      </c>
      <c r="AP41" s="13">
        <f t="shared" si="10"/>
        <v>0</v>
      </c>
      <c r="AQ41" s="11">
        <v>1</v>
      </c>
      <c r="AR41" s="10"/>
      <c r="AS41" s="11"/>
      <c r="AT41" s="11"/>
      <c r="AU41" s="10"/>
      <c r="AV41" s="13"/>
      <c r="AW41" s="11"/>
      <c r="AX41" s="11"/>
      <c r="AY41" s="11"/>
      <c r="AZ41" s="11"/>
      <c r="BA41" s="11"/>
      <c r="BB41" s="11"/>
      <c r="BC41" s="11"/>
    </row>
    <row r="42" spans="2:106" ht="12.75" customHeight="1">
      <c r="B42" s="20" t="s">
        <v>99</v>
      </c>
      <c r="C42" s="10">
        <v>2023</v>
      </c>
      <c r="D42" s="10" t="s">
        <v>77</v>
      </c>
      <c r="E42" s="10">
        <v>3.98</v>
      </c>
      <c r="F42" s="10">
        <v>16.48</v>
      </c>
      <c r="G42" s="11">
        <f t="shared" si="12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3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1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4"/>
        <v>Neg</v>
      </c>
      <c r="AM42" s="14" t="str">
        <f t="shared" si="15"/>
        <v>Micropro Software Solutions</v>
      </c>
      <c r="AN42" s="13"/>
      <c r="AO42" s="13">
        <f t="shared" si="16"/>
        <v>1</v>
      </c>
      <c r="AP42" s="13">
        <f t="shared" si="10"/>
        <v>0</v>
      </c>
      <c r="AQ42" s="11">
        <v>1</v>
      </c>
      <c r="AR42" s="10"/>
      <c r="AS42" s="11"/>
      <c r="AT42" s="11"/>
      <c r="AU42" s="10"/>
      <c r="AV42" s="13"/>
      <c r="AW42" s="11"/>
      <c r="AX42" s="11"/>
      <c r="AY42" s="11"/>
      <c r="AZ42" s="11"/>
      <c r="BA42" s="11"/>
      <c r="BB42" s="11"/>
      <c r="BC42" s="11"/>
    </row>
    <row r="43" spans="2:106" ht="12.75" customHeight="1">
      <c r="B43" s="20" t="s">
        <v>100</v>
      </c>
      <c r="C43" s="10">
        <v>2023</v>
      </c>
      <c r="D43" s="10" t="s">
        <v>77</v>
      </c>
      <c r="E43" s="10">
        <v>1.96</v>
      </c>
      <c r="F43" s="10">
        <v>4.1399999999999997</v>
      </c>
      <c r="G43" s="11">
        <f t="shared" si="12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3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1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4"/>
        <v>Neg</v>
      </c>
      <c r="AM43" s="14" t="str">
        <f t="shared" si="15"/>
        <v>Vrundavan Plantation</v>
      </c>
      <c r="AN43" s="13"/>
      <c r="AO43" s="13">
        <f t="shared" si="16"/>
        <v>1</v>
      </c>
      <c r="AP43" s="13">
        <f t="shared" si="10"/>
        <v>0</v>
      </c>
      <c r="AQ43" s="11">
        <v>1</v>
      </c>
      <c r="AR43" s="10"/>
      <c r="AS43" s="11"/>
      <c r="AT43" s="11"/>
      <c r="AU43" s="10"/>
      <c r="AV43" s="13"/>
      <c r="AW43" s="11"/>
      <c r="AX43" s="11"/>
      <c r="AY43" s="11"/>
      <c r="AZ43" s="11"/>
      <c r="BA43" s="11"/>
      <c r="BB43" s="11"/>
      <c r="BC43" s="11"/>
    </row>
    <row r="44" spans="2:106" ht="27.75" customHeight="1">
      <c r="B44" s="17" t="s">
        <v>101</v>
      </c>
      <c r="C44" s="10">
        <v>2025</v>
      </c>
      <c r="D44" s="17" t="s">
        <v>54</v>
      </c>
      <c r="E44" s="11">
        <v>9.74</v>
      </c>
      <c r="F44" s="11">
        <v>21.01</v>
      </c>
      <c r="G44" s="11">
        <f t="shared" si="12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3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1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22.25</v>
      </c>
      <c r="AL44" s="10" t="str">
        <f t="shared" si="14"/>
        <v>Pos</v>
      </c>
      <c r="AM44" s="14" t="str">
        <f t="shared" si="15"/>
        <v>Game Changers Tefab</v>
      </c>
      <c r="AN44" s="21"/>
      <c r="AO44" s="13">
        <f t="shared" si="16"/>
        <v>1</v>
      </c>
      <c r="AP44" s="13">
        <f t="shared" si="10"/>
        <v>3</v>
      </c>
      <c r="AQ44" s="11">
        <v>1</v>
      </c>
      <c r="AR44" s="22">
        <v>102</v>
      </c>
      <c r="AS44" s="11"/>
      <c r="AT44" s="11"/>
      <c r="AU44" s="22">
        <v>104.15</v>
      </c>
      <c r="AV44" s="21"/>
      <c r="AW44" s="23">
        <v>109.32</v>
      </c>
      <c r="AX44" s="23">
        <v>114.89</v>
      </c>
      <c r="AY44" s="23">
        <v>112</v>
      </c>
      <c r="AZ44" s="23">
        <v>162</v>
      </c>
      <c r="BA44" s="11"/>
      <c r="BB44" s="11" t="e">
        <f>#DIV/0!</f>
        <v>#DIV/0!</v>
      </c>
      <c r="BC44" s="11" t="e">
        <f>#DIV/0!</f>
        <v>#DIV/0!</v>
      </c>
    </row>
    <row r="45" spans="2:106" ht="11.25" customHeight="1">
      <c r="B45" s="24" t="s">
        <v>102</v>
      </c>
      <c r="C45" s="10">
        <v>2025</v>
      </c>
      <c r="D45" s="10" t="s">
        <v>77</v>
      </c>
      <c r="E45" s="11">
        <v>27.99</v>
      </c>
      <c r="F45" s="11">
        <v>17.329999999999998</v>
      </c>
      <c r="G45" s="11">
        <f t="shared" si="12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3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1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13</v>
      </c>
      <c r="AL45" s="10" t="str">
        <f t="shared" si="14"/>
        <v>Neg</v>
      </c>
      <c r="AM45" s="14" t="str">
        <f t="shared" si="15"/>
        <v>Jayesh Logistics</v>
      </c>
      <c r="AN45" s="13"/>
      <c r="AO45" s="13">
        <f t="shared" si="16"/>
        <v>1</v>
      </c>
      <c r="AP45" s="13">
        <f t="shared" si="10"/>
        <v>0</v>
      </c>
      <c r="AQ45" s="11">
        <v>1</v>
      </c>
      <c r="AR45" s="10"/>
      <c r="AS45" s="11"/>
      <c r="AT45" s="11"/>
      <c r="AU45" s="10"/>
      <c r="AV45" s="13"/>
      <c r="AW45" s="11"/>
      <c r="AX45" s="11"/>
      <c r="AY45" s="11"/>
      <c r="AZ45" s="11"/>
      <c r="BA45" s="11"/>
      <c r="BB45" s="11" t="e">
        <f>#DIV/0!</f>
        <v>#DIV/0!</v>
      </c>
      <c r="BC45" s="11" t="e">
        <f>#DIV/0!</f>
        <v>#DIV/0!</v>
      </c>
    </row>
    <row r="46" spans="2:106" ht="12.75" customHeight="1">
      <c r="B46" s="17" t="s">
        <v>103</v>
      </c>
      <c r="C46" s="10">
        <v>2025</v>
      </c>
      <c r="D46" s="10" t="s">
        <v>77</v>
      </c>
      <c r="E46" s="11">
        <v>20.55</v>
      </c>
      <c r="F46" s="11">
        <v>20.93</v>
      </c>
      <c r="G46" s="11">
        <f t="shared" si="12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3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1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11.05</v>
      </c>
      <c r="AL46" s="10" t="str">
        <f t="shared" si="14"/>
        <v>Neg</v>
      </c>
      <c r="AM46" s="14" t="str">
        <f t="shared" si="15"/>
        <v>Safecure Services</v>
      </c>
      <c r="AN46" s="13"/>
      <c r="AO46" s="13">
        <f t="shared" si="16"/>
        <v>1</v>
      </c>
      <c r="AP46" s="13">
        <f t="shared" si="10"/>
        <v>0</v>
      </c>
      <c r="AQ46" s="11">
        <v>1</v>
      </c>
      <c r="AR46" s="10"/>
      <c r="AS46" s="11"/>
      <c r="AT46" s="11"/>
      <c r="AU46" s="10"/>
      <c r="AV46" s="13"/>
      <c r="AW46" s="11"/>
      <c r="AX46" s="11"/>
      <c r="AY46" s="11"/>
      <c r="AZ46" s="11"/>
      <c r="BA46" s="11"/>
      <c r="BB46" s="11" t="e">
        <f>#DIV/0!</f>
        <v>#DIV/0!</v>
      </c>
      <c r="BC46" s="11" t="e">
        <f>#DIV/0!</f>
        <v>#DIV/0!</v>
      </c>
    </row>
    <row r="47" spans="2:106" ht="12.75" customHeight="1">
      <c r="B47" s="17" t="s">
        <v>104</v>
      </c>
      <c r="C47" s="10">
        <v>2025</v>
      </c>
      <c r="D47" s="10" t="s">
        <v>77</v>
      </c>
      <c r="E47" s="11">
        <v>30.45</v>
      </c>
      <c r="F47" s="11">
        <v>29.56</v>
      </c>
      <c r="G47" s="11">
        <f t="shared" si="12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3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1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9.5</v>
      </c>
      <c r="AL47" s="10" t="str">
        <f t="shared" si="14"/>
        <v>Neg</v>
      </c>
      <c r="AM47" s="14" t="str">
        <f t="shared" si="15"/>
        <v>Shreeji Global FMCG</v>
      </c>
      <c r="AN47" s="13"/>
      <c r="AO47" s="13">
        <f t="shared" si="16"/>
        <v>1</v>
      </c>
      <c r="AP47" s="13">
        <f t="shared" si="10"/>
        <v>0</v>
      </c>
      <c r="AQ47" s="11">
        <v>1</v>
      </c>
      <c r="AR47" s="10"/>
      <c r="AS47" s="11"/>
      <c r="AT47" s="11"/>
      <c r="AU47" s="10"/>
      <c r="AV47" s="13"/>
      <c r="AW47" s="11"/>
      <c r="AX47" s="11"/>
      <c r="AY47" s="11"/>
      <c r="AZ47" s="11"/>
      <c r="BA47" s="11"/>
      <c r="BB47" s="11" t="e">
        <f>#DIV/0!</f>
        <v>#DIV/0!</v>
      </c>
      <c r="BC47" s="11" t="e">
        <f>#DIV/0!</f>
        <v>#DIV/0!</v>
      </c>
    </row>
    <row r="48" spans="2:106" ht="12.75" customHeight="1">
      <c r="B48" s="17" t="s">
        <v>105</v>
      </c>
      <c r="C48" s="17">
        <v>2025</v>
      </c>
      <c r="D48" s="10" t="s">
        <v>77</v>
      </c>
      <c r="E48" s="17">
        <v>27.92</v>
      </c>
      <c r="F48" s="17">
        <v>27.19</v>
      </c>
      <c r="G48" s="11">
        <f t="shared" si="12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3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1"/>
        <v>0</v>
      </c>
      <c r="AD48" s="17">
        <v>104</v>
      </c>
      <c r="AE48" s="17">
        <v>68</v>
      </c>
      <c r="AF48" s="17">
        <v>55</v>
      </c>
      <c r="AG48" s="12">
        <f t="shared" si="3"/>
        <v>4</v>
      </c>
      <c r="AH48" s="11">
        <f t="shared" si="4"/>
        <v>6</v>
      </c>
      <c r="AI48" s="11">
        <v>11</v>
      </c>
      <c r="AJ48" s="11">
        <f t="shared" si="5"/>
        <v>1</v>
      </c>
      <c r="AK48" s="11">
        <f t="shared" si="6"/>
        <v>12</v>
      </c>
      <c r="AL48" s="10" t="str">
        <f t="shared" si="14"/>
        <v>Neg</v>
      </c>
      <c r="AM48" s="14" t="str">
        <f t="shared" si="15"/>
        <v>Shlokka Dyes</v>
      </c>
      <c r="AN48" s="13"/>
      <c r="AO48" s="13">
        <f t="shared" si="16"/>
        <v>1</v>
      </c>
      <c r="AP48" s="13">
        <f t="shared" si="10"/>
        <v>0</v>
      </c>
      <c r="AQ48" s="11">
        <v>1</v>
      </c>
      <c r="AR48" s="10"/>
      <c r="AS48" s="11"/>
      <c r="AT48" s="11"/>
      <c r="AU48" s="10"/>
      <c r="AV48" s="13"/>
      <c r="AW48" s="11"/>
      <c r="AX48" s="11"/>
      <c r="AY48" s="11"/>
      <c r="AZ48" s="11"/>
      <c r="BA48" s="11"/>
      <c r="BB48" s="11" t="e">
        <f>#DIV/0!</f>
        <v>#DIV/0!</v>
      </c>
      <c r="BC48" s="11" t="e">
        <f>#DIV/0!</f>
        <v>#DIV/0!</v>
      </c>
    </row>
    <row r="49" spans="2:55" ht="15" customHeight="1">
      <c r="B49" s="24" t="s">
        <v>106</v>
      </c>
      <c r="C49" s="17">
        <v>2025</v>
      </c>
      <c r="D49" s="17" t="s">
        <v>54</v>
      </c>
      <c r="E49" s="17">
        <v>18.5</v>
      </c>
      <c r="F49" s="17">
        <v>35.979999999999997</v>
      </c>
      <c r="G49" s="11">
        <f t="shared" si="12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3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1"/>
        <v>1</v>
      </c>
      <c r="AD49" s="17">
        <v>43.16</v>
      </c>
      <c r="AE49" s="17">
        <v>17.350000000000001</v>
      </c>
      <c r="AF49" s="17">
        <v>198.18</v>
      </c>
      <c r="AG49" s="12">
        <f t="shared" si="3"/>
        <v>5.4</v>
      </c>
      <c r="AH49" s="11">
        <f t="shared" si="4"/>
        <v>9.4</v>
      </c>
      <c r="AI49" s="11">
        <v>11</v>
      </c>
      <c r="AJ49" s="11">
        <f t="shared" si="5"/>
        <v>1</v>
      </c>
      <c r="AK49" s="11">
        <f t="shared" si="6"/>
        <v>17.5</v>
      </c>
      <c r="AL49" s="10" t="str">
        <f t="shared" si="14"/>
        <v>Pos</v>
      </c>
      <c r="AM49" s="14" t="str">
        <f t="shared" si="15"/>
        <v>Finbud Financial Services</v>
      </c>
      <c r="AN49" s="13"/>
      <c r="AO49" s="13">
        <f t="shared" si="16"/>
        <v>1</v>
      </c>
      <c r="AP49" s="13">
        <f t="shared" si="10"/>
        <v>3</v>
      </c>
      <c r="AQ49" s="11">
        <v>1</v>
      </c>
      <c r="AR49" s="10">
        <v>142</v>
      </c>
      <c r="AS49" s="11"/>
      <c r="AT49" s="11"/>
      <c r="AU49" s="10">
        <v>157</v>
      </c>
      <c r="AV49" s="13"/>
      <c r="AW49" s="11">
        <v>164</v>
      </c>
      <c r="AX49" s="11">
        <v>156</v>
      </c>
      <c r="AY49" s="11">
        <v>156</v>
      </c>
      <c r="AZ49" s="11">
        <v>164.8</v>
      </c>
      <c r="BA49" s="11"/>
      <c r="BB49" s="11" t="e">
        <f>#DIV/0!</f>
        <v>#DIV/0!</v>
      </c>
      <c r="BC49" s="11" t="e">
        <f>#DIV/0!</f>
        <v>#DIV/0!</v>
      </c>
    </row>
    <row r="50" spans="2:55" ht="12" customHeight="1">
      <c r="B50" s="17" t="s">
        <v>107</v>
      </c>
      <c r="C50" s="17">
        <v>2025</v>
      </c>
      <c r="D50" s="17" t="s">
        <v>54</v>
      </c>
      <c r="E50" s="17">
        <v>15.6</v>
      </c>
      <c r="F50" s="17">
        <v>16.22</v>
      </c>
      <c r="G50" s="11">
        <f t="shared" si="12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3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1"/>
        <v>1</v>
      </c>
      <c r="AD50" s="17">
        <v>14.02</v>
      </c>
      <c r="AE50" s="17">
        <v>38.130000000000003</v>
      </c>
      <c r="AF50" s="17">
        <v>186.05</v>
      </c>
      <c r="AG50" s="12">
        <f t="shared" si="3"/>
        <v>5.7</v>
      </c>
      <c r="AH50" s="11">
        <f t="shared" si="4"/>
        <v>9.6999999999999993</v>
      </c>
      <c r="AI50" s="11">
        <v>11</v>
      </c>
      <c r="AJ50" s="11">
        <f t="shared" si="5"/>
        <v>1</v>
      </c>
      <c r="AK50" s="11">
        <f t="shared" si="6"/>
        <v>18.25</v>
      </c>
      <c r="AL50" s="10" t="str">
        <f t="shared" si="14"/>
        <v>Pos</v>
      </c>
      <c r="AM50" s="14" t="str">
        <f t="shared" si="15"/>
        <v>Curis Lifesciences</v>
      </c>
      <c r="AN50" s="13"/>
      <c r="AO50" s="13">
        <f t="shared" si="16"/>
        <v>1</v>
      </c>
      <c r="AP50" s="13">
        <f t="shared" si="10"/>
        <v>1</v>
      </c>
      <c r="AQ50" s="11">
        <v>1</v>
      </c>
      <c r="AR50" s="10"/>
      <c r="AS50" s="11"/>
      <c r="AT50" s="11"/>
      <c r="AU50" s="10"/>
      <c r="AV50" s="13"/>
      <c r="AW50" s="11"/>
      <c r="AX50" s="11"/>
      <c r="AY50" s="11"/>
      <c r="AZ50" s="11"/>
      <c r="BA50" s="11"/>
      <c r="BB50" s="11" t="e">
        <f>#DIV/0!</f>
        <v>#DIV/0!</v>
      </c>
      <c r="BC50" s="11" t="e">
        <f>#DIV/0!</f>
        <v>#DIV/0!</v>
      </c>
    </row>
    <row r="51" spans="2:55" ht="12.75" customHeight="1">
      <c r="B51" s="17" t="s">
        <v>108</v>
      </c>
      <c r="C51" s="17">
        <v>2025</v>
      </c>
      <c r="D51" s="10" t="s">
        <v>77</v>
      </c>
      <c r="E51" s="17">
        <v>8.18</v>
      </c>
      <c r="F51" s="17">
        <v>8.01</v>
      </c>
      <c r="G51" s="11">
        <f t="shared" si="12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3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1"/>
        <v>0</v>
      </c>
      <c r="AD51" s="17">
        <v>86</v>
      </c>
      <c r="AE51" s="17">
        <v>39</v>
      </c>
      <c r="AF51" s="17">
        <v>123</v>
      </c>
      <c r="AG51" s="12">
        <f t="shared" si="3"/>
        <v>4</v>
      </c>
      <c r="AH51" s="11">
        <f t="shared" si="4"/>
        <v>2.2999999999999998</v>
      </c>
      <c r="AI51" s="11">
        <v>11</v>
      </c>
      <c r="AJ51" s="11">
        <f t="shared" si="5"/>
        <v>1</v>
      </c>
      <c r="AK51" s="11">
        <f t="shared" si="6"/>
        <v>8.3000000000000007</v>
      </c>
      <c r="AL51" s="10" t="str">
        <f t="shared" si="14"/>
        <v>Neg</v>
      </c>
      <c r="AM51" s="14" t="str">
        <f t="shared" si="15"/>
        <v>Shining Tools</v>
      </c>
      <c r="AN51" s="13"/>
      <c r="AO51" s="13">
        <f t="shared" si="16"/>
        <v>1</v>
      </c>
      <c r="AP51" s="13">
        <f t="shared" si="10"/>
        <v>0</v>
      </c>
      <c r="AQ51" s="11">
        <v>1</v>
      </c>
      <c r="AR51" s="10"/>
      <c r="AS51" s="11"/>
      <c r="AT51" s="11"/>
      <c r="AU51" s="10"/>
      <c r="AV51" s="13"/>
      <c r="AW51" s="11"/>
      <c r="AX51" s="11"/>
      <c r="AY51" s="11"/>
      <c r="AZ51" s="11"/>
      <c r="BA51" s="11"/>
      <c r="BB51" s="11" t="e">
        <f>#DIV/0!</f>
        <v>#DIV/0!</v>
      </c>
      <c r="BC51" s="11" t="e">
        <f>#DIV/0!</f>
        <v>#DIV/0!</v>
      </c>
    </row>
    <row r="52" spans="2:55" ht="24" customHeight="1">
      <c r="B52" s="17" t="s">
        <v>109</v>
      </c>
      <c r="C52" s="17">
        <v>2025</v>
      </c>
      <c r="D52" s="17" t="s">
        <v>54</v>
      </c>
      <c r="E52" s="17">
        <v>58.11</v>
      </c>
      <c r="F52" s="17">
        <v>49.42</v>
      </c>
      <c r="G52" s="11">
        <f t="shared" si="12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3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1"/>
        <v>0</v>
      </c>
      <c r="AD52" s="17">
        <v>148</v>
      </c>
      <c r="AE52" s="17">
        <v>64</v>
      </c>
      <c r="AF52" s="17">
        <v>100</v>
      </c>
      <c r="AG52" s="12">
        <f t="shared" si="3"/>
        <v>3</v>
      </c>
      <c r="AH52" s="11">
        <f t="shared" si="4"/>
        <v>4</v>
      </c>
      <c r="AI52" s="11">
        <v>11</v>
      </c>
      <c r="AJ52" s="11">
        <f t="shared" si="5"/>
        <v>1</v>
      </c>
      <c r="AK52" s="11">
        <f t="shared" si="6"/>
        <v>8.5</v>
      </c>
      <c r="AL52" s="10" t="str">
        <f t="shared" si="14"/>
        <v>Pos</v>
      </c>
      <c r="AM52" s="14" t="str">
        <f t="shared" si="15"/>
        <v>Mahamaya Lifesciences</v>
      </c>
      <c r="AN52" s="13"/>
      <c r="AO52" s="13">
        <f t="shared" si="16"/>
        <v>1</v>
      </c>
      <c r="AP52" s="13">
        <f t="shared" si="10"/>
        <v>0</v>
      </c>
      <c r="AQ52" s="11">
        <v>1</v>
      </c>
      <c r="AR52" s="10"/>
      <c r="AS52" s="11"/>
      <c r="AT52" s="11"/>
      <c r="AU52" s="10"/>
      <c r="AV52" s="13"/>
      <c r="AW52" s="11"/>
      <c r="AX52" s="11"/>
      <c r="AY52" s="11"/>
      <c r="AZ52" s="11"/>
      <c r="BA52" s="11"/>
      <c r="BB52" s="11" t="e">
        <f>#DIV/0!</f>
        <v>#DIV/0!</v>
      </c>
      <c r="BC52" s="11" t="e">
        <f>#DIV/0!</f>
        <v>#DIV/0!</v>
      </c>
    </row>
    <row r="53" spans="2:55" ht="12" customHeight="1">
      <c r="B53" s="24" t="s">
        <v>110</v>
      </c>
      <c r="C53" s="17">
        <v>2025</v>
      </c>
      <c r="D53" s="17" t="s">
        <v>54</v>
      </c>
      <c r="E53" s="17">
        <v>0</v>
      </c>
      <c r="F53" s="17">
        <v>20.65</v>
      </c>
      <c r="G53" s="11">
        <f t="shared" si="12"/>
        <v>100</v>
      </c>
      <c r="H53" s="17" t="s">
        <v>74</v>
      </c>
      <c r="I53" s="17">
        <v>13.93</v>
      </c>
      <c r="J53" s="17"/>
      <c r="K53" s="17">
        <v>13.91</v>
      </c>
      <c r="L53" s="17"/>
      <c r="M53" s="17" t="s">
        <v>74</v>
      </c>
      <c r="N53" s="17"/>
      <c r="O53" s="17">
        <v>108.39</v>
      </c>
      <c r="P53" s="11">
        <f t="shared" si="13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1"/>
        <v>2</v>
      </c>
      <c r="AD53" s="17">
        <v>160</v>
      </c>
      <c r="AE53" s="17">
        <v>102</v>
      </c>
      <c r="AF53" s="17">
        <v>126</v>
      </c>
      <c r="AG53" s="12">
        <f t="shared" si="3"/>
        <v>7.1</v>
      </c>
      <c r="AH53" s="11">
        <f t="shared" si="4"/>
        <v>10.4</v>
      </c>
      <c r="AI53" s="11">
        <v>11</v>
      </c>
      <c r="AJ53" s="11">
        <f t="shared" si="5"/>
        <v>1</v>
      </c>
      <c r="AK53" s="11">
        <f t="shared" si="6"/>
        <v>21.049999999999997</v>
      </c>
      <c r="AL53" s="10" t="str">
        <f t="shared" si="14"/>
        <v>Pos</v>
      </c>
      <c r="AM53" s="14" t="str">
        <f t="shared" si="15"/>
        <v>Workmates Core2Cloud</v>
      </c>
      <c r="AN53" s="13"/>
      <c r="AO53" s="13">
        <f t="shared" si="16"/>
        <v>1</v>
      </c>
      <c r="AP53" s="13">
        <f t="shared" si="10"/>
        <v>0</v>
      </c>
      <c r="AQ53" s="11">
        <v>1</v>
      </c>
      <c r="AR53" s="10"/>
      <c r="AS53" s="11"/>
      <c r="AT53" s="11"/>
      <c r="AU53" s="10"/>
      <c r="AV53" s="13"/>
      <c r="AW53" s="11"/>
      <c r="AX53" s="11"/>
      <c r="AY53" s="11"/>
      <c r="AZ53" s="11"/>
      <c r="BA53" s="11"/>
      <c r="BB53" s="11" t="e">
        <f>#DIV/0!</f>
        <v>#DIV/0!</v>
      </c>
      <c r="BC53" s="11" t="e">
        <f>#DIV/0!</f>
        <v>#DIV/0!</v>
      </c>
    </row>
    <row r="54" spans="2:55" ht="24" customHeight="1">
      <c r="B54" s="10" t="s">
        <v>111</v>
      </c>
      <c r="C54" s="10">
        <v>2025</v>
      </c>
      <c r="D54" s="17" t="s">
        <v>54</v>
      </c>
      <c r="E54" s="10">
        <v>20.38</v>
      </c>
      <c r="F54" s="10">
        <v>17.079999999999998</v>
      </c>
      <c r="G54" s="11">
        <f t="shared" si="12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3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1"/>
        <v>2</v>
      </c>
      <c r="AD54" s="10">
        <v>90</v>
      </c>
      <c r="AE54" s="10">
        <v>92</v>
      </c>
      <c r="AF54" s="10">
        <v>55</v>
      </c>
      <c r="AG54" s="12">
        <f t="shared" si="3"/>
        <v>5</v>
      </c>
      <c r="AH54" s="11">
        <f t="shared" si="4"/>
        <v>10</v>
      </c>
      <c r="AI54" s="11">
        <v>11</v>
      </c>
      <c r="AJ54" s="11">
        <f t="shared" si="5"/>
        <v>1</v>
      </c>
      <c r="AK54" s="11">
        <f t="shared" si="6"/>
        <v>17.5</v>
      </c>
      <c r="AL54" s="10" t="str">
        <f t="shared" si="14"/>
        <v>Pos</v>
      </c>
      <c r="AM54" s="14" t="str">
        <f t="shared" si="15"/>
        <v>Gallard Steel</v>
      </c>
      <c r="AN54" s="13">
        <v>24</v>
      </c>
      <c r="AO54" s="13">
        <f t="shared" si="16"/>
        <v>25</v>
      </c>
      <c r="AP54" s="13">
        <f t="shared" si="10"/>
        <v>0</v>
      </c>
      <c r="AQ54" s="11">
        <v>1</v>
      </c>
      <c r="AR54" s="10"/>
      <c r="AS54" s="11"/>
      <c r="AT54" s="11"/>
      <c r="AU54" s="10"/>
      <c r="AV54" s="13"/>
      <c r="AW54" s="11"/>
      <c r="AX54" s="11"/>
      <c r="AY54" s="11"/>
      <c r="AZ54" s="11"/>
      <c r="BA54" s="11"/>
      <c r="BB54" s="11" t="e">
        <f>#DIV/0!</f>
        <v>#DIV/0!</v>
      </c>
      <c r="BC54" s="11" t="e">
        <f>#DIV/0!</f>
        <v>#DIV/0!</v>
      </c>
    </row>
    <row r="55" spans="2:55" ht="12.75" customHeight="1">
      <c r="B55" s="10" t="s">
        <v>112</v>
      </c>
      <c r="C55" s="10">
        <v>2025</v>
      </c>
      <c r="D55" s="10" t="s">
        <v>77</v>
      </c>
      <c r="E55" s="10">
        <v>6.07</v>
      </c>
      <c r="F55" s="10">
        <v>6.92</v>
      </c>
      <c r="G55" s="11">
        <f t="shared" si="12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3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1"/>
        <v>0</v>
      </c>
      <c r="AD55" s="17">
        <v>389</v>
      </c>
      <c r="AE55" s="17">
        <v>35</v>
      </c>
      <c r="AF55" s="17">
        <v>420</v>
      </c>
      <c r="AG55" s="12">
        <f t="shared" si="3"/>
        <v>3.7</v>
      </c>
      <c r="AH55" s="11">
        <f t="shared" si="4"/>
        <v>6.7</v>
      </c>
      <c r="AI55" s="11">
        <v>11</v>
      </c>
      <c r="AJ55" s="11">
        <f t="shared" si="5"/>
        <v>1</v>
      </c>
      <c r="AK55" s="11">
        <f t="shared" si="6"/>
        <v>12.25</v>
      </c>
      <c r="AL55" s="10" t="str">
        <f t="shared" si="14"/>
        <v>Neg</v>
      </c>
      <c r="AM55" s="14" t="str">
        <f t="shared" si="15"/>
        <v>SSMD Agrotech India</v>
      </c>
      <c r="AN55" s="13">
        <v>27</v>
      </c>
      <c r="AO55" s="13">
        <f t="shared" si="16"/>
        <v>28</v>
      </c>
      <c r="AP55" s="13">
        <f t="shared" si="10"/>
        <v>0</v>
      </c>
      <c r="AQ55" s="11">
        <v>1</v>
      </c>
      <c r="AR55" s="10"/>
      <c r="AS55" s="11"/>
      <c r="AT55" s="11"/>
      <c r="AU55" s="10"/>
      <c r="AV55" s="13"/>
      <c r="AW55" s="11"/>
      <c r="AX55" s="11"/>
      <c r="AY55" s="11"/>
      <c r="AZ55" s="11"/>
      <c r="BA55" s="11"/>
      <c r="BB55" s="11"/>
      <c r="BC55" s="11"/>
    </row>
    <row r="56" spans="2:55" ht="12.75" customHeight="1">
      <c r="B56" s="17" t="s">
        <v>113</v>
      </c>
      <c r="C56" s="17">
        <v>2025</v>
      </c>
      <c r="D56" s="17" t="s">
        <v>54</v>
      </c>
      <c r="E56" s="17">
        <v>59.61</v>
      </c>
      <c r="F56" s="17">
        <v>24.89</v>
      </c>
      <c r="G56" s="11">
        <f t="shared" si="12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3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1"/>
        <v>0</v>
      </c>
      <c r="AD56" s="17">
        <v>35</v>
      </c>
      <c r="AE56" s="17">
        <v>12</v>
      </c>
      <c r="AF56" s="17">
        <v>138</v>
      </c>
      <c r="AG56" s="12">
        <f t="shared" si="3"/>
        <v>6</v>
      </c>
      <c r="AH56" s="11">
        <f t="shared" si="4"/>
        <v>8</v>
      </c>
      <c r="AI56" s="11">
        <v>11</v>
      </c>
      <c r="AJ56" s="11">
        <f t="shared" si="5"/>
        <v>1</v>
      </c>
      <c r="AK56" s="11">
        <f t="shared" si="6"/>
        <v>17</v>
      </c>
      <c r="AL56" s="10" t="str">
        <f t="shared" si="14"/>
        <v>Pos</v>
      </c>
      <c r="AM56" s="14" t="str">
        <f t="shared" si="15"/>
        <v>Mother Nutri Foods</v>
      </c>
      <c r="AN56" s="13">
        <v>28</v>
      </c>
      <c r="AO56" s="13">
        <f t="shared" si="16"/>
        <v>29</v>
      </c>
      <c r="AP56" s="13">
        <f t="shared" si="10"/>
        <v>3</v>
      </c>
      <c r="AQ56" s="11">
        <v>1</v>
      </c>
      <c r="AR56" s="10"/>
      <c r="AS56" s="11"/>
      <c r="AT56" s="11"/>
      <c r="AU56" s="10"/>
      <c r="AV56" s="13"/>
      <c r="AW56" s="11"/>
      <c r="AX56" s="11"/>
      <c r="AY56" s="11"/>
      <c r="AZ56" s="11"/>
      <c r="BA56" s="11"/>
      <c r="BB56" s="11"/>
      <c r="BC56" s="11"/>
    </row>
    <row r="57" spans="2:55" ht="12.75" customHeight="1">
      <c r="B57" s="17" t="s">
        <v>114</v>
      </c>
      <c r="C57" s="17">
        <v>2025</v>
      </c>
      <c r="D57" s="10" t="s">
        <v>77</v>
      </c>
      <c r="E57" s="17">
        <v>59.31</v>
      </c>
      <c r="F57" s="17">
        <v>39.72</v>
      </c>
      <c r="G57" s="11">
        <f t="shared" si="12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3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1"/>
        <v>0</v>
      </c>
      <c r="AD57" s="17">
        <v>107</v>
      </c>
      <c r="AE57" s="17">
        <v>15.88</v>
      </c>
      <c r="AF57" s="17">
        <v>13.35</v>
      </c>
      <c r="AG57" s="12">
        <f t="shared" si="3"/>
        <v>3</v>
      </c>
      <c r="AH57" s="11">
        <f t="shared" si="4"/>
        <v>2.2999999999999998</v>
      </c>
      <c r="AI57" s="11">
        <v>11</v>
      </c>
      <c r="AJ57" s="11">
        <f t="shared" si="5"/>
        <v>1</v>
      </c>
      <c r="AK57" s="11">
        <f t="shared" si="6"/>
        <v>6.8</v>
      </c>
      <c r="AL57" s="10" t="str">
        <f t="shared" si="14"/>
        <v>Neg</v>
      </c>
      <c r="AM57" s="14" t="str">
        <f t="shared" si="15"/>
        <v>K K Silk Mills</v>
      </c>
      <c r="AN57" s="13">
        <v>28</v>
      </c>
      <c r="AO57" s="13">
        <f t="shared" si="16"/>
        <v>29</v>
      </c>
      <c r="AP57" s="13">
        <f t="shared" si="10"/>
        <v>0</v>
      </c>
      <c r="AQ57" s="11">
        <v>1</v>
      </c>
      <c r="AR57" s="10"/>
      <c r="AS57" s="11"/>
      <c r="AT57" s="11"/>
      <c r="AU57" s="10"/>
      <c r="AV57" s="13"/>
      <c r="AW57" s="11"/>
      <c r="AX57" s="11"/>
      <c r="AY57" s="11"/>
      <c r="AZ57" s="11"/>
      <c r="BA57" s="11"/>
      <c r="BB57" s="11"/>
      <c r="BC57" s="11"/>
    </row>
    <row r="58" spans="2:55" ht="12.75" customHeight="1">
      <c r="B58" s="17" t="s">
        <v>115</v>
      </c>
      <c r="C58" s="17">
        <v>2025</v>
      </c>
      <c r="D58" s="17" t="s">
        <v>54</v>
      </c>
      <c r="E58" s="17">
        <v>14.66</v>
      </c>
      <c r="F58" s="17">
        <v>14.75</v>
      </c>
      <c r="G58" s="11">
        <f t="shared" si="12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3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1"/>
        <v>0</v>
      </c>
      <c r="AD58" s="17">
        <v>725</v>
      </c>
      <c r="AE58" s="17">
        <v>28</v>
      </c>
      <c r="AF58" s="17">
        <v>80</v>
      </c>
      <c r="AG58" s="12">
        <f t="shared" si="3"/>
        <v>5</v>
      </c>
      <c r="AH58" s="11">
        <f t="shared" si="4"/>
        <v>8</v>
      </c>
      <c r="AI58" s="11">
        <v>11</v>
      </c>
      <c r="AJ58" s="11">
        <f t="shared" si="5"/>
        <v>1</v>
      </c>
      <c r="AK58" s="11">
        <f t="shared" si="6"/>
        <v>15.5</v>
      </c>
      <c r="AL58" s="10" t="str">
        <f t="shared" si="14"/>
        <v>Pos</v>
      </c>
      <c r="AM58" s="14" t="str">
        <f t="shared" si="15"/>
        <v>Purple Wave Infocom</v>
      </c>
      <c r="AN58" s="27">
        <v>2</v>
      </c>
      <c r="AO58" s="13">
        <f t="shared" si="16"/>
        <v>3</v>
      </c>
      <c r="AP58" s="13">
        <f t="shared" si="10"/>
        <v>3</v>
      </c>
      <c r="AQ58" s="11">
        <v>1</v>
      </c>
      <c r="AR58" s="28"/>
      <c r="AS58" s="11"/>
      <c r="AT58" s="11"/>
      <c r="AU58" s="28"/>
      <c r="AV58" s="27"/>
      <c r="AW58" s="29"/>
      <c r="AX58" s="29"/>
      <c r="AY58" s="29"/>
      <c r="AZ58" s="29"/>
      <c r="BA58" s="11"/>
      <c r="BB58" s="11"/>
      <c r="BC58" s="11"/>
    </row>
    <row r="59" spans="2:55" ht="12" customHeight="1">
      <c r="B59" s="17" t="s">
        <v>116</v>
      </c>
      <c r="C59" s="17">
        <v>2025</v>
      </c>
      <c r="D59" s="17" t="s">
        <v>54</v>
      </c>
      <c r="E59" s="17">
        <v>31.63</v>
      </c>
      <c r="F59" s="17">
        <v>42.29</v>
      </c>
      <c r="G59" s="11">
        <f t="shared" si="12"/>
        <v>25.206904705604163</v>
      </c>
      <c r="H59" s="17">
        <v>95.16</v>
      </c>
      <c r="I59" s="17">
        <v>9.75</v>
      </c>
      <c r="J59" s="17"/>
      <c r="K59" s="17" t="s">
        <v>74</v>
      </c>
      <c r="L59" s="17"/>
      <c r="M59" s="17">
        <v>15.95</v>
      </c>
      <c r="N59" s="17"/>
      <c r="O59" s="17">
        <v>126.16</v>
      </c>
      <c r="P59" s="11">
        <f t="shared" si="13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1"/>
        <v>2</v>
      </c>
      <c r="AD59" s="17">
        <v>83.6</v>
      </c>
      <c r="AE59" s="17">
        <v>9.8000000000000007</v>
      </c>
      <c r="AF59" s="17">
        <v>56.7</v>
      </c>
      <c r="AG59" s="12">
        <f t="shared" si="3"/>
        <v>4.7</v>
      </c>
      <c r="AH59" s="11">
        <f t="shared" si="4"/>
        <v>9.6999999999999993</v>
      </c>
      <c r="AI59" s="11">
        <v>11</v>
      </c>
      <c r="AJ59" s="11">
        <f t="shared" si="5"/>
        <v>1</v>
      </c>
      <c r="AK59" s="11">
        <f t="shared" si="6"/>
        <v>16.75</v>
      </c>
      <c r="AL59" s="10" t="str">
        <f t="shared" si="14"/>
        <v>Pos</v>
      </c>
      <c r="AM59" s="14" t="str">
        <f t="shared" si="15"/>
        <v>Eato Technologies</v>
      </c>
      <c r="AN59" s="13">
        <v>2</v>
      </c>
      <c r="AO59" s="13">
        <f t="shared" si="16"/>
        <v>3</v>
      </c>
      <c r="AP59" s="13">
        <f t="shared" si="10"/>
        <v>0</v>
      </c>
      <c r="AQ59" s="11">
        <v>1</v>
      </c>
      <c r="AR59" s="10"/>
      <c r="AS59" s="11"/>
      <c r="AT59" s="11"/>
      <c r="AU59" s="10"/>
      <c r="AV59" s="13"/>
      <c r="AW59" s="11"/>
      <c r="AX59" s="11"/>
      <c r="AY59" s="11"/>
      <c r="AZ59" s="11"/>
      <c r="BA59" s="11"/>
      <c r="BB59" s="11"/>
      <c r="BC59" s="11"/>
    </row>
    <row r="60" spans="2:55" ht="12.75" customHeight="1">
      <c r="B60" s="17" t="s">
        <v>117</v>
      </c>
      <c r="C60" s="17">
        <v>2025</v>
      </c>
      <c r="D60" s="10" t="s">
        <v>77</v>
      </c>
      <c r="E60" s="17">
        <v>0.02</v>
      </c>
      <c r="F60" s="17">
        <v>23.72</v>
      </c>
      <c r="G60" s="11">
        <f t="shared" si="12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3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1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3"/>
        <v>6.1</v>
      </c>
      <c r="AH60" s="11">
        <f t="shared" si="4"/>
        <v>5.3999999999999995</v>
      </c>
      <c r="AI60" s="11">
        <v>11</v>
      </c>
      <c r="AJ60" s="11">
        <f t="shared" si="5"/>
        <v>1</v>
      </c>
      <c r="AK60" s="11">
        <f t="shared" si="6"/>
        <v>14.549999999999997</v>
      </c>
      <c r="AL60" s="10" t="str">
        <f t="shared" si="14"/>
        <v>Neg</v>
      </c>
      <c r="AM60" s="14" t="str">
        <f t="shared" si="15"/>
        <v>Logiciel Solutions</v>
      </c>
      <c r="AN60" s="13">
        <v>2</v>
      </c>
      <c r="AO60" s="13">
        <f t="shared" si="16"/>
        <v>3</v>
      </c>
      <c r="AP60" s="13">
        <f t="shared" si="10"/>
        <v>0</v>
      </c>
      <c r="AQ60" s="11">
        <v>1</v>
      </c>
      <c r="AR60" s="10"/>
      <c r="AS60" s="11"/>
      <c r="AT60" s="11"/>
      <c r="AU60" s="10"/>
      <c r="AV60" s="13"/>
      <c r="AW60" s="11"/>
      <c r="AX60" s="11"/>
      <c r="AY60" s="11"/>
      <c r="AZ60" s="11"/>
      <c r="BA60" s="11"/>
      <c r="BB60" s="11"/>
      <c r="BC60" s="11"/>
    </row>
    <row r="61" spans="2:55" ht="14.25" customHeight="1">
      <c r="B61" s="10" t="s">
        <v>118</v>
      </c>
      <c r="C61" s="10">
        <v>2025</v>
      </c>
      <c r="D61" s="17" t="s">
        <v>54</v>
      </c>
      <c r="E61" s="10">
        <v>0</v>
      </c>
      <c r="F61" s="10">
        <v>5.34</v>
      </c>
      <c r="G61" s="11">
        <f t="shared" si="12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3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1"/>
        <v>2</v>
      </c>
      <c r="AD61" s="10">
        <v>4.45</v>
      </c>
      <c r="AE61" s="10">
        <v>13.09</v>
      </c>
      <c r="AF61" s="10">
        <v>4.91</v>
      </c>
      <c r="AG61" s="12">
        <f t="shared" si="3"/>
        <v>6.1</v>
      </c>
      <c r="AH61" s="11">
        <f t="shared" si="4"/>
        <v>10.1</v>
      </c>
      <c r="AI61" s="11">
        <v>11</v>
      </c>
      <c r="AJ61" s="11">
        <f t="shared" si="5"/>
        <v>1</v>
      </c>
      <c r="AK61" s="11">
        <f t="shared" si="6"/>
        <v>19.25</v>
      </c>
      <c r="AL61" s="10" t="str">
        <f t="shared" si="14"/>
        <v>Pos</v>
      </c>
      <c r="AM61" s="14" t="str">
        <f t="shared" si="15"/>
        <v>Ravelcare</v>
      </c>
      <c r="AN61" s="13">
        <v>3</v>
      </c>
      <c r="AO61" s="13">
        <f t="shared" si="16"/>
        <v>4</v>
      </c>
      <c r="AP61" s="13">
        <f t="shared" si="10"/>
        <v>1</v>
      </c>
      <c r="AQ61" s="11">
        <v>1</v>
      </c>
      <c r="AR61" s="10"/>
      <c r="AS61" s="11"/>
      <c r="AT61" s="11"/>
      <c r="AU61" s="10"/>
      <c r="AV61" s="13"/>
      <c r="AW61" s="11"/>
      <c r="AX61" s="11"/>
      <c r="AY61" s="11"/>
      <c r="AZ61" s="11"/>
      <c r="BA61" s="11"/>
      <c r="BB61" s="11"/>
      <c r="BC61" s="11"/>
    </row>
    <row r="62" spans="2:55" ht="21.75" customHeight="1">
      <c r="B62" s="10" t="s">
        <v>119</v>
      </c>
      <c r="C62" s="10">
        <v>2025</v>
      </c>
      <c r="D62" s="10" t="s">
        <v>94</v>
      </c>
      <c r="E62" s="10">
        <v>85.59</v>
      </c>
      <c r="F62" s="10">
        <v>89.7</v>
      </c>
      <c r="G62" s="11">
        <f t="shared" si="12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3"/>
        <v>24.011925042589436</v>
      </c>
      <c r="Q62" s="10" t="s">
        <v>74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1"/>
        <v>1</v>
      </c>
      <c r="AD62" s="10">
        <v>68.400000000000006</v>
      </c>
      <c r="AE62" s="10">
        <v>13</v>
      </c>
      <c r="AF62" s="10">
        <v>15</v>
      </c>
      <c r="AG62" s="12">
        <f t="shared" si="3"/>
        <v>4.2</v>
      </c>
      <c r="AH62" s="11">
        <f t="shared" si="4"/>
        <v>8.1999999999999993</v>
      </c>
      <c r="AI62" s="11">
        <v>11</v>
      </c>
      <c r="AJ62" s="11">
        <f t="shared" si="5"/>
        <v>1</v>
      </c>
      <c r="AK62" s="11">
        <f t="shared" si="6"/>
        <v>14.5</v>
      </c>
      <c r="AL62" s="10" t="str">
        <f t="shared" si="14"/>
        <v>Rec</v>
      </c>
      <c r="AM62" s="14" t="str">
        <f t="shared" si="15"/>
        <v>Clear Secured Services</v>
      </c>
      <c r="AN62" s="13">
        <v>3</v>
      </c>
      <c r="AO62" s="13">
        <f t="shared" si="16"/>
        <v>4</v>
      </c>
      <c r="AP62" s="13">
        <f t="shared" si="10"/>
        <v>0</v>
      </c>
      <c r="AQ62" s="11">
        <v>1</v>
      </c>
      <c r="AR62" s="10"/>
      <c r="AS62" s="11"/>
      <c r="AT62" s="11"/>
      <c r="AU62" s="10"/>
      <c r="AV62" s="13"/>
      <c r="AW62" s="11"/>
      <c r="AX62" s="11"/>
      <c r="AY62" s="11"/>
      <c r="AZ62" s="11"/>
      <c r="BA62" s="11"/>
      <c r="BB62" s="11"/>
      <c r="BC62" s="11"/>
    </row>
    <row r="63" spans="2:55" ht="12.75" customHeight="1">
      <c r="B63" s="10" t="s">
        <v>120</v>
      </c>
      <c r="C63" s="10">
        <v>2025</v>
      </c>
      <c r="D63" s="17" t="s">
        <v>54</v>
      </c>
      <c r="E63" s="17">
        <v>3.54</v>
      </c>
      <c r="F63" s="17">
        <v>13.6</v>
      </c>
      <c r="G63" s="11">
        <f t="shared" si="12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3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1"/>
        <v>0</v>
      </c>
      <c r="AD63" s="10">
        <v>29.33</v>
      </c>
      <c r="AE63" s="10">
        <v>89.69</v>
      </c>
      <c r="AF63" s="10">
        <v>57</v>
      </c>
      <c r="AG63" s="12">
        <f t="shared" si="3"/>
        <v>7.6</v>
      </c>
      <c r="AH63" s="11">
        <f t="shared" si="4"/>
        <v>10.6</v>
      </c>
      <c r="AI63" s="11">
        <v>11</v>
      </c>
      <c r="AJ63" s="11">
        <f t="shared" si="5"/>
        <v>1</v>
      </c>
      <c r="AK63" s="11">
        <f t="shared" si="6"/>
        <v>22</v>
      </c>
      <c r="AL63" s="10" t="str">
        <f t="shared" si="14"/>
        <v>Pos</v>
      </c>
      <c r="AM63" s="14" t="str">
        <f t="shared" si="15"/>
        <v>Invicta Diagnostic</v>
      </c>
      <c r="AN63" s="27">
        <v>3</v>
      </c>
      <c r="AO63" s="13">
        <f t="shared" si="16"/>
        <v>4</v>
      </c>
      <c r="AP63" s="13">
        <f t="shared" si="10"/>
        <v>3</v>
      </c>
      <c r="AQ63" s="11">
        <v>1</v>
      </c>
      <c r="AR63" s="28">
        <v>85</v>
      </c>
      <c r="AS63" s="11"/>
      <c r="AT63" s="11"/>
      <c r="AU63" s="28">
        <v>99</v>
      </c>
      <c r="AV63" s="27"/>
      <c r="AW63" s="29">
        <v>100</v>
      </c>
      <c r="AX63" s="29">
        <v>91</v>
      </c>
      <c r="AY63" s="29">
        <v>87</v>
      </c>
      <c r="AZ63" s="29"/>
      <c r="BA63" s="11"/>
      <c r="BB63" s="11"/>
      <c r="BC63" s="11"/>
    </row>
    <row r="64" spans="2:55" ht="12.75" customHeight="1">
      <c r="B64" s="10" t="s">
        <v>121</v>
      </c>
      <c r="C64" s="17">
        <v>2025</v>
      </c>
      <c r="D64" s="10" t="s">
        <v>77</v>
      </c>
      <c r="E64" s="17">
        <v>6.75</v>
      </c>
      <c r="F64" s="17">
        <v>3.92</v>
      </c>
      <c r="G64" s="11">
        <f t="shared" si="12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3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1"/>
        <v>0</v>
      </c>
      <c r="AD64" s="10">
        <v>1290</v>
      </c>
      <c r="AE64" s="10">
        <v>58</v>
      </c>
      <c r="AF64" s="10">
        <v>55</v>
      </c>
      <c r="AG64" s="12">
        <f t="shared" si="3"/>
        <v>3.5</v>
      </c>
      <c r="AH64" s="11">
        <f t="shared" si="4"/>
        <v>2.8</v>
      </c>
      <c r="AI64" s="11">
        <v>11</v>
      </c>
      <c r="AJ64" s="11">
        <f t="shared" si="5"/>
        <v>1</v>
      </c>
      <c r="AK64" s="11">
        <f t="shared" si="6"/>
        <v>8.0500000000000007</v>
      </c>
      <c r="AL64" s="10" t="str">
        <f t="shared" si="14"/>
        <v>Neg</v>
      </c>
      <c r="AM64" s="14" t="str">
        <f t="shared" si="15"/>
        <v>Astron Multigrain</v>
      </c>
      <c r="AN64" s="13">
        <v>3</v>
      </c>
      <c r="AO64" s="13">
        <f t="shared" si="16"/>
        <v>4</v>
      </c>
      <c r="AP64" s="13">
        <f t="shared" si="10"/>
        <v>0</v>
      </c>
      <c r="AQ64" s="11">
        <v>1</v>
      </c>
      <c r="AR64" s="10"/>
      <c r="AS64" s="11"/>
      <c r="AT64" s="11"/>
      <c r="AU64" s="10"/>
      <c r="AV64" s="13"/>
      <c r="AW64" s="11"/>
      <c r="AX64" s="11"/>
      <c r="AY64" s="11"/>
      <c r="AZ64" s="11"/>
      <c r="BA64" s="11"/>
      <c r="BB64" s="11"/>
      <c r="BC64" s="11"/>
    </row>
    <row r="65" spans="2:55" ht="12.75" customHeight="1">
      <c r="B65" s="17" t="s">
        <v>122</v>
      </c>
      <c r="C65" s="17">
        <v>2025</v>
      </c>
      <c r="D65" s="17" t="s">
        <v>54</v>
      </c>
      <c r="E65" s="17">
        <v>0</v>
      </c>
      <c r="F65" s="17">
        <v>25.36</v>
      </c>
      <c r="G65" s="11">
        <f t="shared" si="12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3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1"/>
        <v>0</v>
      </c>
      <c r="AD65" s="10">
        <v>22.49</v>
      </c>
      <c r="AE65" s="10">
        <v>19.45</v>
      </c>
      <c r="AF65" s="10">
        <v>20.07</v>
      </c>
      <c r="AG65" s="12">
        <f t="shared" si="3"/>
        <v>5.6</v>
      </c>
      <c r="AH65" s="11">
        <f t="shared" si="4"/>
        <v>8.6</v>
      </c>
      <c r="AI65" s="11">
        <v>11</v>
      </c>
      <c r="AJ65" s="11">
        <f t="shared" si="5"/>
        <v>1</v>
      </c>
      <c r="AK65" s="11">
        <f t="shared" si="6"/>
        <v>17</v>
      </c>
      <c r="AL65" s="10" t="str">
        <f t="shared" si="14"/>
        <v>Pos</v>
      </c>
      <c r="AM65" s="14" t="str">
        <f t="shared" si="15"/>
        <v>Speb Adhesives</v>
      </c>
      <c r="AN65" s="27">
        <v>3</v>
      </c>
      <c r="AO65" s="13">
        <f t="shared" si="16"/>
        <v>4</v>
      </c>
      <c r="AP65" s="13">
        <f t="shared" si="10"/>
        <v>3</v>
      </c>
      <c r="AQ65" s="11">
        <v>1</v>
      </c>
      <c r="AR65" s="28">
        <v>56</v>
      </c>
      <c r="AS65" s="11"/>
      <c r="AT65" s="11"/>
      <c r="AU65" s="28">
        <v>60</v>
      </c>
      <c r="AV65" s="27">
        <v>56</v>
      </c>
      <c r="AW65" s="29">
        <v>60</v>
      </c>
      <c r="AX65" s="29">
        <v>56</v>
      </c>
      <c r="AY65" s="29">
        <v>56</v>
      </c>
      <c r="AZ65" s="29">
        <v>60</v>
      </c>
      <c r="BA65" s="11"/>
      <c r="BB65" s="11"/>
      <c r="BC65" s="11"/>
    </row>
    <row r="66" spans="2:55" ht="14.25" customHeight="1">
      <c r="B66" s="17" t="s">
        <v>123</v>
      </c>
      <c r="C66" s="17">
        <v>2025</v>
      </c>
      <c r="D66" s="17" t="s">
        <v>54</v>
      </c>
      <c r="E66" s="17">
        <v>35.619999999999997</v>
      </c>
      <c r="F66" s="17">
        <v>19.75</v>
      </c>
      <c r="G66" s="11">
        <f t="shared" ref="G66:G97" si="17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18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19">IF(X66&lt;50,IF(Y66&gt;(2.3*X66),0,1),1)-IF(Z66&gt;Y66,1.7,0)</f>
        <v>1</v>
      </c>
      <c r="AB66" s="17">
        <v>9</v>
      </c>
      <c r="AC66" s="11">
        <f t="shared" si="11"/>
        <v>1</v>
      </c>
      <c r="AD66" s="10">
        <v>50</v>
      </c>
      <c r="AE66" s="10">
        <v>17.98</v>
      </c>
      <c r="AF66" s="10">
        <v>33.33</v>
      </c>
      <c r="AG66" s="12">
        <f t="shared" ref="AG66:AG129" si="20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1">AG66+IF(X66&lt;1.35,0,1)+IF(Y66&lt;1.35,0,1)+AC66+AA66</f>
        <v>8.5</v>
      </c>
      <c r="AI66" s="11">
        <v>11</v>
      </c>
      <c r="AJ66" s="11">
        <f t="shared" ref="AJ66:AJ129" si="22">IF(AI66&gt;12.7,IF(AI66&gt;15.8,0.93,0.98),1)</f>
        <v>1</v>
      </c>
      <c r="AK66" s="11">
        <f t="shared" ref="AK66:AK129" si="23">(1.5*AG66+AH66)*AJ66*AQ66</f>
        <v>15.25</v>
      </c>
      <c r="AL66" s="10" t="str">
        <f t="shared" ref="AL66:AL97" si="24">D66</f>
        <v>Pos</v>
      </c>
      <c r="AM66" s="14" t="str">
        <f t="shared" ref="AM66:AM97" si="25">B66</f>
        <v>Neochem Bio Solutions</v>
      </c>
      <c r="AN66" s="13">
        <v>4</v>
      </c>
      <c r="AO66" s="13">
        <f t="shared" ref="AO66:AO97" si="26">AN66+1</f>
        <v>5</v>
      </c>
      <c r="AP66" s="13">
        <f t="shared" ref="AP66:AP129" si="27">IF(AK66&gt;14.9,IF(Z66&lt;101,IF(Z66&lt;35,IF(Z66&lt;6,3,2),1),0),0)</f>
        <v>2</v>
      </c>
      <c r="AQ66" s="11">
        <v>1</v>
      </c>
      <c r="AR66" s="10">
        <v>98</v>
      </c>
      <c r="AS66" s="11"/>
      <c r="AT66" s="11"/>
      <c r="AU66" s="10">
        <v>108</v>
      </c>
      <c r="AV66" s="13"/>
      <c r="AW66" s="11">
        <v>112</v>
      </c>
      <c r="AX66" s="11">
        <v>110.8</v>
      </c>
      <c r="AY66" s="11">
        <v>109</v>
      </c>
      <c r="AZ66" s="11">
        <v>113.4</v>
      </c>
      <c r="BA66" s="11"/>
      <c r="BB66" s="11"/>
      <c r="BC66" s="11"/>
    </row>
    <row r="67" spans="2:55" ht="18.75" customHeight="1">
      <c r="B67" s="10" t="s">
        <v>124</v>
      </c>
      <c r="C67" s="17">
        <v>2025</v>
      </c>
      <c r="D67" s="17" t="s">
        <v>54</v>
      </c>
      <c r="E67" s="10">
        <v>0.04</v>
      </c>
      <c r="F67" s="10">
        <v>6.26</v>
      </c>
      <c r="G67" s="11">
        <f t="shared" si="17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18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19"/>
        <v>1</v>
      </c>
      <c r="AB67" s="17">
        <v>9</v>
      </c>
      <c r="AC67" s="11">
        <f t="shared" ref="AC67:AC130" si="28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 t="shared" si="20"/>
        <v>5.6</v>
      </c>
      <c r="AH67" s="11">
        <f t="shared" si="21"/>
        <v>9.6</v>
      </c>
      <c r="AI67" s="11">
        <v>11</v>
      </c>
      <c r="AJ67" s="11">
        <f t="shared" si="22"/>
        <v>1</v>
      </c>
      <c r="AK67" s="11">
        <f t="shared" si="23"/>
        <v>18</v>
      </c>
      <c r="AL67" s="10" t="str">
        <f t="shared" si="24"/>
        <v>Pos</v>
      </c>
      <c r="AM67" s="14" t="str">
        <f t="shared" si="25"/>
        <v>Helloji Holidays</v>
      </c>
      <c r="AN67" s="13">
        <v>4</v>
      </c>
      <c r="AO67" s="13">
        <f t="shared" si="26"/>
        <v>5</v>
      </c>
      <c r="AP67" s="13">
        <f t="shared" si="27"/>
        <v>2</v>
      </c>
      <c r="AQ67" s="11">
        <v>1</v>
      </c>
      <c r="AR67" s="10">
        <v>118</v>
      </c>
      <c r="AS67" s="11"/>
      <c r="AT67" s="11"/>
      <c r="AU67" s="10">
        <v>118</v>
      </c>
      <c r="AV67" s="13"/>
      <c r="AW67" s="11">
        <v>124</v>
      </c>
      <c r="AX67" s="11">
        <v>130</v>
      </c>
      <c r="AY67" s="11">
        <v>136</v>
      </c>
      <c r="AZ67" s="11"/>
      <c r="BA67" s="11"/>
      <c r="BB67" s="11"/>
      <c r="BC67" s="11"/>
    </row>
    <row r="68" spans="2:55" ht="12.75" customHeight="1">
      <c r="B68" s="17" t="s">
        <v>125</v>
      </c>
      <c r="C68" s="17">
        <v>2025</v>
      </c>
      <c r="D68" s="10" t="s">
        <v>77</v>
      </c>
      <c r="E68" s="17">
        <v>50.98</v>
      </c>
      <c r="F68" s="17">
        <v>12.16</v>
      </c>
      <c r="G68" s="11">
        <f t="shared" si="17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18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19"/>
        <v>-0.7</v>
      </c>
      <c r="AB68" s="17">
        <v>0</v>
      </c>
      <c r="AC68" s="11">
        <f t="shared" si="28"/>
        <v>0</v>
      </c>
      <c r="AD68" s="17">
        <v>122</v>
      </c>
      <c r="AE68" s="10">
        <v>12</v>
      </c>
      <c r="AF68" s="10">
        <v>91</v>
      </c>
      <c r="AG68" s="12">
        <f t="shared" si="20"/>
        <v>2.5</v>
      </c>
      <c r="AH68" s="11">
        <f t="shared" si="21"/>
        <v>1.8</v>
      </c>
      <c r="AI68" s="11">
        <v>11</v>
      </c>
      <c r="AJ68" s="11">
        <f t="shared" si="22"/>
        <v>1</v>
      </c>
      <c r="AK68" s="11">
        <f t="shared" si="23"/>
        <v>5.55</v>
      </c>
      <c r="AL68" s="10" t="str">
        <f t="shared" si="24"/>
        <v>Neg</v>
      </c>
      <c r="AM68" s="14" t="str">
        <f t="shared" si="25"/>
        <v>Shri Kanha Stainless</v>
      </c>
      <c r="AN68" s="13">
        <v>5</v>
      </c>
      <c r="AO68" s="13">
        <f t="shared" si="26"/>
        <v>6</v>
      </c>
      <c r="AP68" s="13">
        <f t="shared" si="27"/>
        <v>0</v>
      </c>
      <c r="AQ68" s="11">
        <v>1</v>
      </c>
      <c r="AR68" s="10"/>
      <c r="AS68" s="11"/>
      <c r="AT68" s="11"/>
      <c r="AU68" s="10"/>
      <c r="AV68" s="13"/>
      <c r="AW68" s="11"/>
      <c r="AX68" s="11"/>
      <c r="AY68" s="11"/>
      <c r="AZ68" s="11"/>
      <c r="BA68" s="11"/>
      <c r="BB68" s="11"/>
      <c r="BC68" s="11"/>
    </row>
    <row r="69" spans="2:55" ht="12" customHeight="1">
      <c r="B69" s="10" t="s">
        <v>126</v>
      </c>
      <c r="C69" s="17">
        <v>2025</v>
      </c>
      <c r="D69" s="17" t="s">
        <v>54</v>
      </c>
      <c r="E69" s="17">
        <v>1.49</v>
      </c>
      <c r="F69" s="17">
        <v>18.63</v>
      </c>
      <c r="G69" s="11">
        <f t="shared" si="17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18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19"/>
        <v>-1.7</v>
      </c>
      <c r="AB69" s="17">
        <v>109.6</v>
      </c>
      <c r="AC69" s="11">
        <f t="shared" si="28"/>
        <v>2</v>
      </c>
      <c r="AD69" s="10">
        <v>121</v>
      </c>
      <c r="AE69" s="10">
        <v>20</v>
      </c>
      <c r="AF69" s="10">
        <v>42</v>
      </c>
      <c r="AG69" s="12">
        <f t="shared" si="20"/>
        <v>6.6</v>
      </c>
      <c r="AH69" s="11">
        <f t="shared" si="21"/>
        <v>7.8999999999999995</v>
      </c>
      <c r="AI69" s="11">
        <v>11</v>
      </c>
      <c r="AJ69" s="11">
        <f t="shared" si="22"/>
        <v>1</v>
      </c>
      <c r="AK69" s="11">
        <f t="shared" si="23"/>
        <v>17.799999999999997</v>
      </c>
      <c r="AL69" s="10" t="str">
        <f t="shared" si="24"/>
        <v>Pos</v>
      </c>
      <c r="AM69" s="14" t="str">
        <f t="shared" si="25"/>
        <v>Luxury Time</v>
      </c>
      <c r="AN69" s="13">
        <v>8</v>
      </c>
      <c r="AO69" s="13">
        <f t="shared" si="26"/>
        <v>9</v>
      </c>
      <c r="AP69" s="13">
        <f t="shared" si="27"/>
        <v>0</v>
      </c>
      <c r="AQ69" s="11">
        <v>1</v>
      </c>
      <c r="AR69" s="10">
        <v>82</v>
      </c>
      <c r="AS69" s="11"/>
      <c r="AT69" s="11"/>
      <c r="AU69" s="10">
        <v>155</v>
      </c>
      <c r="AV69" s="13"/>
      <c r="AW69" s="11">
        <v>163</v>
      </c>
      <c r="AX69" s="30">
        <v>155</v>
      </c>
      <c r="AY69" s="30">
        <v>147</v>
      </c>
      <c r="AZ69" s="11">
        <v>163</v>
      </c>
      <c r="BA69" s="11"/>
      <c r="BB69" s="11"/>
      <c r="BC69" s="11"/>
    </row>
    <row r="70" spans="2:55" ht="12.75" customHeight="1">
      <c r="B70" s="10" t="s">
        <v>127</v>
      </c>
      <c r="C70" s="17">
        <v>2025</v>
      </c>
      <c r="D70" s="10" t="s">
        <v>77</v>
      </c>
      <c r="E70" s="10">
        <v>4.09</v>
      </c>
      <c r="F70" s="10">
        <v>6.53</v>
      </c>
      <c r="G70" s="11">
        <f t="shared" si="17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18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19"/>
        <v>-0.7</v>
      </c>
      <c r="AB70" s="17">
        <v>0</v>
      </c>
      <c r="AC70" s="11">
        <f t="shared" si="28"/>
        <v>0</v>
      </c>
      <c r="AD70" s="10">
        <v>86</v>
      </c>
      <c r="AE70" s="10">
        <v>12</v>
      </c>
      <c r="AF70" s="10">
        <v>46</v>
      </c>
      <c r="AG70" s="12">
        <f t="shared" si="20"/>
        <v>4.9000000000000004</v>
      </c>
      <c r="AH70" s="11">
        <f t="shared" si="21"/>
        <v>4.2</v>
      </c>
      <c r="AI70" s="11">
        <v>11</v>
      </c>
      <c r="AJ70" s="11">
        <f t="shared" si="22"/>
        <v>1</v>
      </c>
      <c r="AK70" s="11">
        <f t="shared" si="23"/>
        <v>11.55</v>
      </c>
      <c r="AL70" s="10" t="str">
        <f t="shared" si="24"/>
        <v>Neg</v>
      </c>
      <c r="AM70" s="14" t="str">
        <f t="shared" si="25"/>
        <v>Western Overseas Study Abroad</v>
      </c>
      <c r="AN70" s="10">
        <v>8</v>
      </c>
      <c r="AO70" s="13">
        <f t="shared" si="26"/>
        <v>9</v>
      </c>
      <c r="AP70" s="13">
        <f t="shared" si="27"/>
        <v>0</v>
      </c>
      <c r="AQ70" s="11">
        <v>1</v>
      </c>
      <c r="AR70" s="10"/>
      <c r="AS70" s="11"/>
      <c r="AT70" s="11"/>
      <c r="AU70" s="10"/>
      <c r="AV70" s="13"/>
      <c r="AW70" s="11"/>
      <c r="AX70" s="11"/>
      <c r="AY70" s="11"/>
      <c r="AZ70" s="11"/>
      <c r="BA70" s="11"/>
      <c r="BB70" s="11"/>
      <c r="BC70" s="11"/>
    </row>
    <row r="71" spans="2:55" ht="17.25" customHeight="1">
      <c r="B71" s="17" t="s">
        <v>128</v>
      </c>
      <c r="C71" s="17">
        <v>2025</v>
      </c>
      <c r="D71" s="10" t="s">
        <v>77</v>
      </c>
      <c r="E71" s="17">
        <v>32.159999999999997</v>
      </c>
      <c r="F71" s="17">
        <v>42.72</v>
      </c>
      <c r="G71" s="11">
        <f t="shared" si="17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18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19"/>
        <v>1</v>
      </c>
      <c r="AB71" s="17">
        <v>10</v>
      </c>
      <c r="AC71" s="11">
        <f t="shared" si="28"/>
        <v>1</v>
      </c>
      <c r="AD71" s="10">
        <v>113</v>
      </c>
      <c r="AE71" s="10">
        <v>136</v>
      </c>
      <c r="AF71" s="10">
        <v>35</v>
      </c>
      <c r="AG71" s="12">
        <f t="shared" si="20"/>
        <v>5.2</v>
      </c>
      <c r="AH71" s="11">
        <f t="shared" si="21"/>
        <v>9.1999999999999993</v>
      </c>
      <c r="AI71" s="11">
        <v>11</v>
      </c>
      <c r="AJ71" s="11">
        <f t="shared" si="22"/>
        <v>1</v>
      </c>
      <c r="AK71" s="11">
        <f t="shared" si="23"/>
        <v>16.149999999999999</v>
      </c>
      <c r="AL71" s="10" t="str">
        <f t="shared" si="24"/>
        <v>Neg</v>
      </c>
      <c r="AM71" s="14" t="str">
        <f t="shared" si="25"/>
        <v>Methodhub Software</v>
      </c>
      <c r="AN71" s="13">
        <v>9</v>
      </c>
      <c r="AO71" s="13">
        <f t="shared" si="26"/>
        <v>10</v>
      </c>
      <c r="AP71" s="13">
        <f t="shared" si="27"/>
        <v>3</v>
      </c>
      <c r="AQ71" s="11">
        <v>0.95</v>
      </c>
      <c r="AR71" s="10">
        <v>194</v>
      </c>
      <c r="AS71" s="11"/>
      <c r="AT71" s="11"/>
      <c r="AU71" s="10">
        <v>163</v>
      </c>
      <c r="AV71" s="13"/>
      <c r="AW71" s="11">
        <v>163</v>
      </c>
      <c r="AX71" s="11">
        <v>156</v>
      </c>
      <c r="AY71" s="11">
        <v>153</v>
      </c>
      <c r="AZ71" s="11"/>
      <c r="BA71" s="11"/>
      <c r="BB71" s="11"/>
      <c r="BC71" s="11"/>
    </row>
    <row r="72" spans="2:55" ht="12.75" customHeight="1">
      <c r="B72" s="17" t="s">
        <v>129</v>
      </c>
      <c r="C72" s="17">
        <v>2025</v>
      </c>
      <c r="D72" s="17" t="s">
        <v>54</v>
      </c>
      <c r="E72" s="17">
        <v>0</v>
      </c>
      <c r="F72" s="17">
        <v>32.58</v>
      </c>
      <c r="G72" s="11">
        <f t="shared" si="17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18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19"/>
        <v>0</v>
      </c>
      <c r="AB72" s="17">
        <v>2.5</v>
      </c>
      <c r="AC72" s="11">
        <f t="shared" si="28"/>
        <v>0</v>
      </c>
      <c r="AD72" s="10">
        <v>57</v>
      </c>
      <c r="AE72" s="10">
        <v>37</v>
      </c>
      <c r="AF72" s="10">
        <v>214</v>
      </c>
      <c r="AG72" s="12">
        <f t="shared" si="20"/>
        <v>5.6999999999999993</v>
      </c>
      <c r="AH72" s="11">
        <f t="shared" si="21"/>
        <v>6.6999999999999993</v>
      </c>
      <c r="AI72" s="11">
        <v>11</v>
      </c>
      <c r="AJ72" s="11">
        <f t="shared" si="22"/>
        <v>1</v>
      </c>
      <c r="AK72" s="11">
        <f t="shared" si="23"/>
        <v>15.249999999999998</v>
      </c>
      <c r="AL72" s="10" t="str">
        <f t="shared" si="24"/>
        <v>Pos</v>
      </c>
      <c r="AM72" s="14" t="str">
        <f t="shared" si="25"/>
        <v>ScaleSauce</v>
      </c>
      <c r="AN72" s="27">
        <v>9</v>
      </c>
      <c r="AO72" s="13">
        <f t="shared" si="26"/>
        <v>10</v>
      </c>
      <c r="AP72" s="13">
        <f t="shared" si="27"/>
        <v>3</v>
      </c>
      <c r="AQ72" s="11">
        <v>1</v>
      </c>
      <c r="AR72" s="28">
        <v>107</v>
      </c>
      <c r="AS72" s="11"/>
      <c r="AT72" s="11"/>
      <c r="AU72" s="28">
        <v>203</v>
      </c>
      <c r="AV72" s="27">
        <v>187</v>
      </c>
      <c r="AW72" s="31">
        <v>192</v>
      </c>
      <c r="AX72" s="31">
        <v>183</v>
      </c>
      <c r="AY72" s="29">
        <v>175</v>
      </c>
      <c r="AZ72" s="29">
        <v>295</v>
      </c>
      <c r="BA72" s="11"/>
      <c r="BB72" s="11"/>
      <c r="BC72" s="11"/>
    </row>
    <row r="73" spans="2:55" ht="12.75" customHeight="1">
      <c r="B73" s="32" t="s">
        <v>130</v>
      </c>
      <c r="C73" s="17">
        <v>2025</v>
      </c>
      <c r="D73" s="17" t="s">
        <v>54</v>
      </c>
      <c r="E73" s="17">
        <v>18.09</v>
      </c>
      <c r="F73" s="17">
        <v>39</v>
      </c>
      <c r="G73" s="11">
        <f t="shared" si="17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18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19"/>
        <v>1</v>
      </c>
      <c r="AB73" s="17">
        <v>0</v>
      </c>
      <c r="AC73" s="11">
        <f t="shared" si="28"/>
        <v>0</v>
      </c>
      <c r="AD73" s="17">
        <v>3</v>
      </c>
      <c r="AE73" s="10">
        <v>5</v>
      </c>
      <c r="AF73" s="10">
        <v>70</v>
      </c>
      <c r="AG73" s="12">
        <f t="shared" si="20"/>
        <v>4.6999999999999993</v>
      </c>
      <c r="AH73" s="11">
        <f t="shared" si="21"/>
        <v>7.6999999999999993</v>
      </c>
      <c r="AI73" s="11">
        <v>11</v>
      </c>
      <c r="AJ73" s="11">
        <f t="shared" si="22"/>
        <v>1</v>
      </c>
      <c r="AK73" s="11">
        <f t="shared" si="23"/>
        <v>14.749999999999998</v>
      </c>
      <c r="AL73" s="10" t="str">
        <f t="shared" si="24"/>
        <v>Pos</v>
      </c>
      <c r="AM73" s="14" t="str">
        <f t="shared" si="25"/>
        <v>Flywings Simulator Training</v>
      </c>
      <c r="AN73" s="21">
        <v>9</v>
      </c>
      <c r="AO73" s="13">
        <f t="shared" si="26"/>
        <v>10</v>
      </c>
      <c r="AP73" s="13">
        <f t="shared" si="27"/>
        <v>0</v>
      </c>
      <c r="AQ73" s="11">
        <v>1</v>
      </c>
      <c r="AR73" s="22">
        <v>191</v>
      </c>
      <c r="AS73" s="11"/>
      <c r="AT73" s="11"/>
      <c r="AU73" s="22">
        <v>205</v>
      </c>
      <c r="AV73" s="21"/>
      <c r="AW73" s="23">
        <v>215</v>
      </c>
      <c r="AX73" s="23">
        <v>225</v>
      </c>
      <c r="AY73" s="23">
        <v>237</v>
      </c>
      <c r="AZ73" s="23"/>
      <c r="BA73" s="11"/>
      <c r="BB73" s="11"/>
      <c r="BC73" s="11"/>
    </row>
    <row r="74" spans="2:55" ht="15" customHeight="1">
      <c r="B74" s="17" t="s">
        <v>131</v>
      </c>
      <c r="C74" s="17">
        <v>2025</v>
      </c>
      <c r="D74" s="17" t="s">
        <v>54</v>
      </c>
      <c r="E74" s="33">
        <v>44.03</v>
      </c>
      <c r="F74" s="33">
        <v>9.09</v>
      </c>
      <c r="G74" s="11">
        <f t="shared" si="17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18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19"/>
        <v>1</v>
      </c>
      <c r="AB74" s="17">
        <v>50</v>
      </c>
      <c r="AC74" s="11">
        <f t="shared" si="28"/>
        <v>2</v>
      </c>
      <c r="AD74">
        <v>191</v>
      </c>
      <c r="AE74">
        <v>50</v>
      </c>
      <c r="AF74">
        <v>17</v>
      </c>
      <c r="AG74" s="12">
        <f t="shared" si="20"/>
        <v>3.5</v>
      </c>
      <c r="AH74" s="11">
        <f t="shared" si="21"/>
        <v>8.5</v>
      </c>
      <c r="AI74" s="11">
        <v>11</v>
      </c>
      <c r="AJ74" s="11">
        <f t="shared" si="22"/>
        <v>1</v>
      </c>
      <c r="AK74" s="11">
        <f t="shared" si="23"/>
        <v>13.75</v>
      </c>
      <c r="AL74" s="10" t="str">
        <f t="shared" si="24"/>
        <v>Pos</v>
      </c>
      <c r="AM74" s="14" t="str">
        <f t="shared" si="25"/>
        <v>K. V. Toys India</v>
      </c>
      <c r="AN74" s="13">
        <v>10</v>
      </c>
      <c r="AO74" s="13">
        <f t="shared" si="26"/>
        <v>11</v>
      </c>
      <c r="AP74" s="13">
        <f t="shared" si="27"/>
        <v>0</v>
      </c>
      <c r="AQ74" s="11">
        <v>1</v>
      </c>
      <c r="AR74" s="10">
        <v>239</v>
      </c>
      <c r="AS74" s="11"/>
      <c r="AT74" s="11"/>
      <c r="AU74" s="10">
        <v>320</v>
      </c>
      <c r="AV74" s="13">
        <v>368</v>
      </c>
      <c r="AW74" s="11">
        <v>336</v>
      </c>
      <c r="AX74" s="11">
        <v>327</v>
      </c>
      <c r="AY74" s="11">
        <v>311</v>
      </c>
      <c r="AZ74" s="11">
        <v>364</v>
      </c>
      <c r="BA74" s="11"/>
      <c r="BB74" s="11"/>
      <c r="BC74" s="11"/>
    </row>
    <row r="75" spans="2:55" ht="12.75" customHeight="1">
      <c r="B75" s="10" t="s">
        <v>132</v>
      </c>
      <c r="C75" s="17">
        <v>2025</v>
      </c>
      <c r="D75" s="10" t="s">
        <v>77</v>
      </c>
      <c r="E75" s="10">
        <v>10.79</v>
      </c>
      <c r="F75" s="10">
        <v>10.36</v>
      </c>
      <c r="G75" s="11">
        <f t="shared" si="17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18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19"/>
        <v>-0.7</v>
      </c>
      <c r="AB75" s="17">
        <v>0</v>
      </c>
      <c r="AC75" s="11">
        <f t="shared" si="28"/>
        <v>0</v>
      </c>
      <c r="AD75" s="33">
        <v>100</v>
      </c>
      <c r="AE75" s="33">
        <v>25</v>
      </c>
      <c r="AF75" s="33">
        <v>190</v>
      </c>
      <c r="AG75" s="12">
        <f t="shared" si="20"/>
        <v>3.5</v>
      </c>
      <c r="AH75" s="11">
        <f t="shared" si="21"/>
        <v>3.8</v>
      </c>
      <c r="AI75" s="11">
        <v>11</v>
      </c>
      <c r="AJ75" s="11">
        <f t="shared" si="22"/>
        <v>1</v>
      </c>
      <c r="AK75" s="11">
        <f t="shared" si="23"/>
        <v>9.0500000000000007</v>
      </c>
      <c r="AL75" s="10" t="str">
        <f t="shared" si="24"/>
        <v>Neg</v>
      </c>
      <c r="AM75" s="14" t="str">
        <f t="shared" si="25"/>
        <v>Riddhi Display Equipments</v>
      </c>
      <c r="AN75" s="13">
        <v>10</v>
      </c>
      <c r="AO75" s="13">
        <f t="shared" si="26"/>
        <v>11</v>
      </c>
      <c r="AP75" s="13">
        <f t="shared" si="27"/>
        <v>0</v>
      </c>
      <c r="AQ75" s="11">
        <v>1</v>
      </c>
      <c r="AR75" s="10"/>
      <c r="AS75" s="11"/>
      <c r="AT75" s="11"/>
      <c r="AU75" s="10"/>
      <c r="AV75" s="13"/>
      <c r="AW75" s="11"/>
      <c r="AX75" s="11"/>
      <c r="AY75" s="11"/>
      <c r="AZ75" s="11"/>
      <c r="BA75" s="11"/>
      <c r="BB75" s="11"/>
      <c r="BC75" s="11"/>
    </row>
    <row r="76" spans="2:55" ht="12.75" customHeight="1">
      <c r="B76" t="s">
        <v>133</v>
      </c>
      <c r="C76" s="17">
        <v>2025</v>
      </c>
      <c r="D76" s="17" t="s">
        <v>54</v>
      </c>
      <c r="E76">
        <v>7.99</v>
      </c>
      <c r="F76">
        <v>19.190000000000001</v>
      </c>
      <c r="G76" s="11">
        <f t="shared" si="17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18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19"/>
        <v>0</v>
      </c>
      <c r="AB76" s="17">
        <v>0</v>
      </c>
      <c r="AC76" s="11">
        <f t="shared" si="28"/>
        <v>0</v>
      </c>
      <c r="AD76" s="33">
        <v>70</v>
      </c>
      <c r="AE76" s="33">
        <v>-20</v>
      </c>
      <c r="AF76" s="33">
        <v>190</v>
      </c>
      <c r="AG76" s="12">
        <f t="shared" si="20"/>
        <v>3.5999999999999996</v>
      </c>
      <c r="AH76" s="11">
        <f t="shared" si="21"/>
        <v>4.5999999999999996</v>
      </c>
      <c r="AI76" s="11">
        <v>11</v>
      </c>
      <c r="AJ76" s="11">
        <f t="shared" si="22"/>
        <v>1</v>
      </c>
      <c r="AK76" s="11">
        <f t="shared" si="23"/>
        <v>10</v>
      </c>
      <c r="AL76" s="10" t="str">
        <f t="shared" si="24"/>
        <v>Pos</v>
      </c>
      <c r="AM76" s="14" t="str">
        <f t="shared" si="25"/>
        <v>Prodocs Solutions</v>
      </c>
      <c r="AN76" s="13">
        <v>10</v>
      </c>
      <c r="AO76" s="13">
        <f t="shared" si="26"/>
        <v>11</v>
      </c>
      <c r="AP76" s="13">
        <f t="shared" si="27"/>
        <v>0</v>
      </c>
      <c r="AQ76" s="11">
        <v>1</v>
      </c>
      <c r="AR76" s="33">
        <v>138</v>
      </c>
      <c r="AS76" s="11"/>
      <c r="AT76" s="11"/>
      <c r="AU76" s="33">
        <v>144</v>
      </c>
      <c r="AV76" s="13"/>
      <c r="AW76" s="11">
        <v>151</v>
      </c>
      <c r="AX76" s="11">
        <v>158</v>
      </c>
      <c r="AY76" s="11">
        <v>168</v>
      </c>
      <c r="AZ76" s="11"/>
      <c r="BA76" s="11"/>
      <c r="BB76" s="11"/>
      <c r="BC76" s="11"/>
    </row>
    <row r="77" spans="2:55" ht="12.75" customHeight="1">
      <c r="B77" t="s">
        <v>134</v>
      </c>
      <c r="C77" s="17">
        <v>2025</v>
      </c>
      <c r="D77" s="17" t="s">
        <v>77</v>
      </c>
      <c r="E77">
        <v>11.9</v>
      </c>
      <c r="F77">
        <v>9.6</v>
      </c>
      <c r="G77" s="11">
        <f t="shared" si="17"/>
        <v>-23.958333333333339</v>
      </c>
      <c r="H77" t="s">
        <v>74</v>
      </c>
      <c r="I77">
        <v>4.2699999999999996</v>
      </c>
      <c r="K77" t="s">
        <v>74</v>
      </c>
      <c r="M77">
        <v>7.1</v>
      </c>
      <c r="O77">
        <v>69.08</v>
      </c>
      <c r="P77" s="11">
        <f t="shared" si="18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19"/>
        <v>-0.7</v>
      </c>
      <c r="AB77" s="17">
        <v>0</v>
      </c>
      <c r="AC77" s="11">
        <f t="shared" si="28"/>
        <v>0</v>
      </c>
      <c r="AD77" s="33">
        <v>98</v>
      </c>
      <c r="AE77" s="33">
        <v>13</v>
      </c>
      <c r="AF77" s="33">
        <v>45.89</v>
      </c>
      <c r="AG77" s="12">
        <f t="shared" si="20"/>
        <v>3.5</v>
      </c>
      <c r="AH77" s="11">
        <f t="shared" si="21"/>
        <v>4.8</v>
      </c>
      <c r="AI77" s="11">
        <v>11</v>
      </c>
      <c r="AJ77" s="11">
        <f t="shared" si="22"/>
        <v>1</v>
      </c>
      <c r="AK77" s="11">
        <f t="shared" si="23"/>
        <v>10.050000000000001</v>
      </c>
      <c r="AL77" s="10" t="str">
        <f t="shared" si="24"/>
        <v>Neg</v>
      </c>
      <c r="AM77" s="14" t="str">
        <f t="shared" si="25"/>
        <v>Unisem Agritech</v>
      </c>
      <c r="AN77" s="35">
        <v>12</v>
      </c>
      <c r="AO77" s="13">
        <f t="shared" si="26"/>
        <v>13</v>
      </c>
      <c r="AP77" s="13">
        <f t="shared" si="27"/>
        <v>0</v>
      </c>
      <c r="AQ77" s="11">
        <v>1</v>
      </c>
      <c r="AR77" s="33"/>
      <c r="AS77" s="11"/>
      <c r="AT77" s="11"/>
      <c r="AU77" s="33"/>
      <c r="AV77" s="13"/>
      <c r="AW77" s="11"/>
      <c r="AX77" s="11"/>
      <c r="AY77" s="11"/>
      <c r="AZ77" s="11"/>
      <c r="BA77" s="11"/>
      <c r="BB77" s="11"/>
      <c r="BC77" s="11"/>
    </row>
    <row r="78" spans="2:55" ht="12.75" customHeight="1">
      <c r="B78" t="s">
        <v>135</v>
      </c>
      <c r="C78" s="17">
        <v>2025</v>
      </c>
      <c r="D78" s="17" t="s">
        <v>77</v>
      </c>
      <c r="G78" s="11" t="e">
        <f t="shared" si="17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18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19"/>
        <v>1</v>
      </c>
      <c r="AB78" s="17">
        <v>0</v>
      </c>
      <c r="AC78" s="11">
        <f t="shared" si="28"/>
        <v>0</v>
      </c>
      <c r="AD78" s="33"/>
      <c r="AE78" s="33"/>
      <c r="AF78" s="33"/>
      <c r="AG78" s="12" t="e">
        <f t="shared" si="20"/>
        <v>#DIV/0!</v>
      </c>
      <c r="AH78" s="11" t="e">
        <f t="shared" si="21"/>
        <v>#DIV/0!</v>
      </c>
      <c r="AI78" s="11">
        <v>11</v>
      </c>
      <c r="AJ78" s="11">
        <f t="shared" si="22"/>
        <v>1</v>
      </c>
      <c r="AK78" s="11" t="e">
        <f t="shared" si="23"/>
        <v>#DIV/0!</v>
      </c>
      <c r="AL78" s="10" t="str">
        <f t="shared" si="24"/>
        <v>Neg</v>
      </c>
      <c r="AM78" s="14" t="str">
        <f t="shared" si="25"/>
        <v>Shipwaves Online</v>
      </c>
      <c r="AN78" s="35">
        <v>12</v>
      </c>
      <c r="AO78" s="13">
        <f t="shared" si="26"/>
        <v>13</v>
      </c>
      <c r="AP78" s="13" t="e">
        <f t="shared" si="27"/>
        <v>#DIV/0!</v>
      </c>
      <c r="AQ78" s="11">
        <v>1</v>
      </c>
      <c r="AR78" s="33"/>
      <c r="AS78" s="11"/>
      <c r="AT78" s="11"/>
      <c r="AU78" s="33"/>
      <c r="AV78" s="13"/>
      <c r="AW78" s="11"/>
      <c r="AX78" s="11"/>
      <c r="AY78" s="11"/>
      <c r="AZ78" s="11"/>
      <c r="BA78" s="11"/>
      <c r="BB78" s="11"/>
      <c r="BC78" s="11"/>
    </row>
    <row r="79" spans="2:55" ht="17.25" customHeight="1">
      <c r="B79" t="s">
        <v>136</v>
      </c>
      <c r="C79" s="17">
        <v>2025</v>
      </c>
      <c r="D79" s="17" t="s">
        <v>54</v>
      </c>
      <c r="E79">
        <v>38.659999999999997</v>
      </c>
      <c r="F79">
        <v>20.11</v>
      </c>
      <c r="G79" s="11">
        <f t="shared" si="17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18"/>
        <v>8.1825242718446596</v>
      </c>
      <c r="Q79" s="33">
        <v>26.07</v>
      </c>
      <c r="R79" s="34" t="s">
        <v>74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19"/>
        <v>0</v>
      </c>
      <c r="AB79" s="17">
        <v>20</v>
      </c>
      <c r="AC79" s="11">
        <f t="shared" si="28"/>
        <v>2</v>
      </c>
      <c r="AD79" s="33">
        <v>188</v>
      </c>
      <c r="AE79" s="33">
        <v>56</v>
      </c>
      <c r="AF79" s="33">
        <v>101.71</v>
      </c>
      <c r="AG79" s="12">
        <f t="shared" si="20"/>
        <v>3</v>
      </c>
      <c r="AH79" s="11">
        <f t="shared" si="21"/>
        <v>7</v>
      </c>
      <c r="AI79" s="11">
        <v>11</v>
      </c>
      <c r="AJ79" s="11">
        <f t="shared" si="22"/>
        <v>1</v>
      </c>
      <c r="AK79" s="11">
        <f t="shared" si="23"/>
        <v>11.5</v>
      </c>
      <c r="AL79" s="10" t="str">
        <f t="shared" si="24"/>
        <v>Pos</v>
      </c>
      <c r="AM79" s="14" t="str">
        <f t="shared" si="25"/>
        <v>HRS Aluglaze</v>
      </c>
      <c r="AN79" s="36">
        <v>15</v>
      </c>
      <c r="AO79" s="13">
        <f t="shared" si="26"/>
        <v>16</v>
      </c>
      <c r="AP79" s="13">
        <f t="shared" si="27"/>
        <v>0</v>
      </c>
      <c r="AQ79" s="11">
        <v>1</v>
      </c>
      <c r="AR79" s="33">
        <v>96</v>
      </c>
      <c r="AS79" s="11"/>
      <c r="AT79" s="11"/>
      <c r="AU79" s="33">
        <v>126</v>
      </c>
      <c r="AV79" s="13"/>
      <c r="AW79" s="11">
        <v>132</v>
      </c>
      <c r="AX79" s="11">
        <v>139</v>
      </c>
      <c r="AY79" s="11">
        <v>146</v>
      </c>
      <c r="AZ79" s="11">
        <v>174</v>
      </c>
      <c r="BA79" s="11"/>
      <c r="BB79" s="11"/>
      <c r="BC79" s="11"/>
    </row>
    <row r="80" spans="2:55" ht="15" customHeight="1">
      <c r="B80" t="s">
        <v>137</v>
      </c>
      <c r="C80" s="17">
        <v>2025</v>
      </c>
      <c r="D80" s="17" t="s">
        <v>54</v>
      </c>
      <c r="E80">
        <v>14.57</v>
      </c>
      <c r="F80">
        <v>44.21</v>
      </c>
      <c r="G80" s="11">
        <f t="shared" si="17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18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19"/>
        <v>1</v>
      </c>
      <c r="AB80" s="17">
        <v>4.26</v>
      </c>
      <c r="AC80" s="11">
        <f t="shared" si="28"/>
        <v>1</v>
      </c>
      <c r="AD80" s="33">
        <v>509</v>
      </c>
      <c r="AE80" s="33">
        <v>95</v>
      </c>
      <c r="AF80" s="33">
        <v>86</v>
      </c>
      <c r="AG80" s="12">
        <f t="shared" si="20"/>
        <v>7.5</v>
      </c>
      <c r="AH80" s="11">
        <f t="shared" si="21"/>
        <v>11.5</v>
      </c>
      <c r="AI80" s="11">
        <v>11</v>
      </c>
      <c r="AJ80" s="11">
        <f t="shared" si="22"/>
        <v>1</v>
      </c>
      <c r="AK80" s="11">
        <f t="shared" si="23"/>
        <v>22.75</v>
      </c>
      <c r="AL80" s="10" t="str">
        <f t="shared" si="24"/>
        <v>Pos</v>
      </c>
      <c r="AM80" s="14" t="str">
        <f t="shared" si="25"/>
        <v>Pajson Agro India</v>
      </c>
      <c r="AN80" s="37">
        <v>15</v>
      </c>
      <c r="AO80" s="13">
        <f t="shared" si="26"/>
        <v>16</v>
      </c>
      <c r="AP80" s="13">
        <f t="shared" si="27"/>
        <v>3</v>
      </c>
      <c r="AQ80" s="11">
        <v>1</v>
      </c>
      <c r="AR80" s="38">
        <v>118</v>
      </c>
      <c r="AS80" s="11"/>
      <c r="AT80" s="11"/>
      <c r="AU80" s="38">
        <v>124</v>
      </c>
      <c r="AV80" s="21">
        <v>124</v>
      </c>
      <c r="AW80" s="23">
        <v>130</v>
      </c>
      <c r="AX80" s="23">
        <v>136</v>
      </c>
      <c r="AY80" s="23">
        <v>143.4</v>
      </c>
      <c r="AZ80" s="11"/>
      <c r="BA80" s="11"/>
      <c r="BB80" s="11"/>
      <c r="BC80" s="11"/>
    </row>
    <row r="81" spans="2:55" ht="12.75" customHeight="1">
      <c r="B81" t="s">
        <v>138</v>
      </c>
      <c r="C81" s="17">
        <v>2025</v>
      </c>
      <c r="D81" s="17" t="s">
        <v>54</v>
      </c>
      <c r="E81">
        <v>62.57</v>
      </c>
      <c r="F81">
        <v>20.420000000000002</v>
      </c>
      <c r="G81" s="11">
        <f t="shared" si="17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18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19"/>
        <v>0</v>
      </c>
      <c r="AB81" s="17">
        <v>2.11</v>
      </c>
      <c r="AC81" s="11">
        <f t="shared" si="28"/>
        <v>0</v>
      </c>
      <c r="AD81" s="33">
        <v>731</v>
      </c>
      <c r="AE81" s="33">
        <v>21</v>
      </c>
      <c r="AF81" s="33">
        <v>117.45</v>
      </c>
      <c r="AG81" s="12">
        <f t="shared" si="20"/>
        <v>4.5</v>
      </c>
      <c r="AH81" s="11">
        <f t="shared" si="21"/>
        <v>5.5</v>
      </c>
      <c r="AI81" s="11">
        <v>11</v>
      </c>
      <c r="AJ81" s="11">
        <f t="shared" si="22"/>
        <v>1</v>
      </c>
      <c r="AK81" s="11">
        <f t="shared" si="23"/>
        <v>12.25</v>
      </c>
      <c r="AL81" s="10" t="str">
        <f t="shared" si="24"/>
        <v>Pos</v>
      </c>
      <c r="AM81" s="14" t="str">
        <f t="shared" si="25"/>
        <v>Ashwini Container Movers</v>
      </c>
      <c r="AN81" s="39">
        <v>16</v>
      </c>
      <c r="AO81" s="13">
        <f t="shared" si="26"/>
        <v>17</v>
      </c>
      <c r="AP81" s="13">
        <f t="shared" si="27"/>
        <v>0</v>
      </c>
      <c r="AQ81" s="11">
        <v>1</v>
      </c>
      <c r="AR81" s="33"/>
      <c r="AS81" s="11"/>
      <c r="AT81" s="11"/>
      <c r="AU81" s="33"/>
      <c r="AV81" s="13"/>
      <c r="AW81" s="11"/>
      <c r="AX81" s="11"/>
      <c r="AY81" s="11"/>
      <c r="AZ81" s="11"/>
      <c r="BA81" s="11"/>
      <c r="BB81" s="11"/>
      <c r="BC81" s="11"/>
    </row>
    <row r="82" spans="2:55" ht="12.75" customHeight="1">
      <c r="B82" t="s">
        <v>139</v>
      </c>
      <c r="C82" s="17">
        <v>2025</v>
      </c>
      <c r="D82" s="17" t="s">
        <v>54</v>
      </c>
      <c r="E82">
        <v>2.75</v>
      </c>
      <c r="F82">
        <v>15.6</v>
      </c>
      <c r="G82" s="11">
        <f t="shared" si="17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18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19"/>
        <v>1</v>
      </c>
      <c r="AB82" s="17">
        <v>4</v>
      </c>
      <c r="AC82" s="11">
        <f t="shared" si="28"/>
        <v>0</v>
      </c>
      <c r="AD82" s="33">
        <v>72.17</v>
      </c>
      <c r="AE82" s="33">
        <v>73.34</v>
      </c>
      <c r="AF82" s="33">
        <v>40.57</v>
      </c>
      <c r="AG82" s="12">
        <f t="shared" si="20"/>
        <v>4.5999999999999996</v>
      </c>
      <c r="AH82" s="11">
        <f t="shared" si="21"/>
        <v>7.6</v>
      </c>
      <c r="AI82" s="11">
        <v>11</v>
      </c>
      <c r="AJ82" s="11">
        <f t="shared" si="22"/>
        <v>1</v>
      </c>
      <c r="AK82" s="11">
        <f t="shared" si="23"/>
        <v>14.5</v>
      </c>
      <c r="AL82" s="10" t="str">
        <f t="shared" si="24"/>
        <v>Pos</v>
      </c>
      <c r="AM82" s="14" t="str">
        <f t="shared" si="25"/>
        <v>Exim Routes</v>
      </c>
      <c r="AN82" s="37">
        <v>16</v>
      </c>
      <c r="AO82" s="13">
        <f t="shared" si="26"/>
        <v>17</v>
      </c>
      <c r="AP82" s="13">
        <f t="shared" si="27"/>
        <v>0</v>
      </c>
      <c r="AQ82" s="11">
        <v>1</v>
      </c>
      <c r="AR82" s="38">
        <v>88</v>
      </c>
      <c r="AS82" s="11"/>
      <c r="AT82" s="11"/>
      <c r="AU82" s="38">
        <v>110</v>
      </c>
      <c r="AV82" s="21">
        <v>120</v>
      </c>
      <c r="AW82" s="23">
        <v>115.7</v>
      </c>
      <c r="AX82" s="23">
        <v>120</v>
      </c>
      <c r="AY82" s="23">
        <v>125.51</v>
      </c>
      <c r="AZ82" s="23"/>
      <c r="BA82" s="11"/>
      <c r="BB82" s="11"/>
      <c r="BC82" s="11"/>
    </row>
    <row r="83" spans="2:55" ht="12.75" customHeight="1">
      <c r="B83" s="40" t="s">
        <v>140</v>
      </c>
      <c r="C83" s="17">
        <v>2025</v>
      </c>
      <c r="D83" s="17" t="s">
        <v>54</v>
      </c>
      <c r="E83">
        <v>0.09</v>
      </c>
      <c r="F83">
        <v>16.739999999999998</v>
      </c>
      <c r="G83" s="11">
        <f t="shared" si="17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18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19"/>
        <v>1</v>
      </c>
      <c r="AB83" s="17">
        <v>0</v>
      </c>
      <c r="AC83" s="11">
        <f t="shared" si="28"/>
        <v>0</v>
      </c>
      <c r="AD83" s="33">
        <v>102</v>
      </c>
      <c r="AE83" s="33">
        <v>98</v>
      </c>
      <c r="AF83" s="33">
        <v>481.25</v>
      </c>
      <c r="AG83" s="12">
        <f t="shared" si="20"/>
        <v>5.0999999999999996</v>
      </c>
      <c r="AH83" s="11">
        <f t="shared" si="21"/>
        <v>7.1</v>
      </c>
      <c r="AI83" s="11">
        <v>11</v>
      </c>
      <c r="AJ83" s="11">
        <f t="shared" si="22"/>
        <v>1</v>
      </c>
      <c r="AK83" s="11">
        <f t="shared" si="23"/>
        <v>14.75</v>
      </c>
      <c r="AL83" s="10" t="str">
        <f t="shared" si="24"/>
        <v>Pos</v>
      </c>
      <c r="AM83" s="14" t="str">
        <f t="shared" si="25"/>
        <v>Stanbik Agro</v>
      </c>
      <c r="AN83" s="37">
        <v>16</v>
      </c>
      <c r="AO83" s="13">
        <f t="shared" si="26"/>
        <v>17</v>
      </c>
      <c r="AP83" s="13">
        <f t="shared" si="27"/>
        <v>0</v>
      </c>
      <c r="AQ83" s="11">
        <v>1</v>
      </c>
      <c r="AR83" s="38">
        <v>30</v>
      </c>
      <c r="AS83" s="11"/>
      <c r="AT83" s="11"/>
      <c r="AU83" s="38">
        <v>31.75</v>
      </c>
      <c r="AV83" s="21">
        <v>30</v>
      </c>
      <c r="AW83" s="23">
        <v>33.33</v>
      </c>
      <c r="AX83" s="23">
        <v>34</v>
      </c>
      <c r="AY83" s="23">
        <v>33.5</v>
      </c>
      <c r="AZ83" s="23">
        <v>35</v>
      </c>
      <c r="BA83" s="11"/>
      <c r="BB83" s="11"/>
      <c r="BC83" s="11"/>
    </row>
    <row r="84" spans="2:55" ht="12.75" customHeight="1">
      <c r="B84" t="s">
        <v>141</v>
      </c>
      <c r="C84" s="17">
        <v>2025</v>
      </c>
      <c r="D84" s="10" t="s">
        <v>77</v>
      </c>
      <c r="E84">
        <v>57.99</v>
      </c>
      <c r="F84">
        <v>19.95</v>
      </c>
      <c r="G84" s="11">
        <f t="shared" si="17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18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19"/>
        <v>-0.7</v>
      </c>
      <c r="AB84" s="17">
        <v>0</v>
      </c>
      <c r="AC84" s="11">
        <f t="shared" si="28"/>
        <v>0</v>
      </c>
      <c r="AD84" s="33">
        <v>32.700000000000003</v>
      </c>
      <c r="AE84" s="33">
        <v>47</v>
      </c>
      <c r="AF84" s="33">
        <v>85</v>
      </c>
      <c r="AG84" s="12">
        <f t="shared" si="20"/>
        <v>2.5</v>
      </c>
      <c r="AH84" s="11">
        <f t="shared" si="21"/>
        <v>1.8</v>
      </c>
      <c r="AI84" s="11">
        <v>11</v>
      </c>
      <c r="AJ84" s="11">
        <f t="shared" si="22"/>
        <v>1</v>
      </c>
      <c r="AK84" s="11">
        <f t="shared" si="23"/>
        <v>5.55</v>
      </c>
      <c r="AL84" s="10" t="str">
        <f t="shared" si="24"/>
        <v>Neg</v>
      </c>
      <c r="AM84" s="14" t="str">
        <f t="shared" si="25"/>
        <v>Neptune Logitek</v>
      </c>
      <c r="AN84" s="41">
        <v>17</v>
      </c>
      <c r="AO84" s="13">
        <f t="shared" si="26"/>
        <v>18</v>
      </c>
      <c r="AP84" s="13">
        <f t="shared" si="27"/>
        <v>0</v>
      </c>
      <c r="AQ84" s="11">
        <v>1</v>
      </c>
      <c r="AR84" s="33"/>
      <c r="AS84" s="11"/>
      <c r="AT84" s="11"/>
      <c r="AU84" s="33"/>
      <c r="AV84" s="13"/>
      <c r="AW84" s="11"/>
      <c r="AX84" s="11"/>
      <c r="AY84" s="11"/>
      <c r="AZ84" s="11"/>
      <c r="BA84" s="11"/>
      <c r="BB84" s="11"/>
      <c r="BC84" s="11"/>
    </row>
    <row r="85" spans="2:55" ht="12.75" customHeight="1">
      <c r="B85" t="s">
        <v>142</v>
      </c>
      <c r="C85" s="17">
        <v>2025</v>
      </c>
      <c r="D85" s="17" t="s">
        <v>54</v>
      </c>
      <c r="E85">
        <v>1.1499999999999999</v>
      </c>
      <c r="F85">
        <v>17.39</v>
      </c>
      <c r="G85" s="11">
        <f t="shared" si="17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18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19"/>
        <v>0</v>
      </c>
      <c r="AB85" s="17">
        <v>0</v>
      </c>
      <c r="AC85" s="11">
        <f t="shared" si="28"/>
        <v>0</v>
      </c>
      <c r="AD85" s="33">
        <v>159</v>
      </c>
      <c r="AE85" s="33">
        <v>85</v>
      </c>
      <c r="AF85" s="33">
        <v>103</v>
      </c>
      <c r="AG85" s="12">
        <f t="shared" si="20"/>
        <v>5.6</v>
      </c>
      <c r="AH85" s="11">
        <f t="shared" si="21"/>
        <v>7.6</v>
      </c>
      <c r="AI85" s="11">
        <v>11</v>
      </c>
      <c r="AJ85" s="11">
        <f t="shared" si="22"/>
        <v>1</v>
      </c>
      <c r="AK85" s="11">
        <f t="shared" si="23"/>
        <v>15.999999999999998</v>
      </c>
      <c r="AL85" s="10" t="str">
        <f t="shared" si="24"/>
        <v>Pos</v>
      </c>
      <c r="AM85" s="14" t="str">
        <f t="shared" si="25"/>
        <v>Global Ocean Logistics</v>
      </c>
      <c r="AN85" s="42">
        <v>19</v>
      </c>
      <c r="AO85" s="13">
        <f t="shared" si="26"/>
        <v>20</v>
      </c>
      <c r="AP85" s="13">
        <f t="shared" si="27"/>
        <v>2</v>
      </c>
      <c r="AQ85" s="11">
        <v>1</v>
      </c>
      <c r="AR85" s="33"/>
      <c r="AS85" s="11"/>
      <c r="AT85" s="11"/>
      <c r="AU85" s="33"/>
      <c r="AV85" s="13"/>
      <c r="AW85" s="11"/>
      <c r="AX85" s="11"/>
      <c r="AY85" s="11"/>
      <c r="AZ85" s="11"/>
      <c r="BA85" s="11"/>
      <c r="BB85" s="11"/>
      <c r="BC85" s="11"/>
    </row>
    <row r="86" spans="2:55" ht="12.75" customHeight="1">
      <c r="B86" t="s">
        <v>143</v>
      </c>
      <c r="C86" s="17">
        <v>2025</v>
      </c>
      <c r="D86" s="10" t="s">
        <v>77</v>
      </c>
      <c r="E86">
        <v>0.94</v>
      </c>
      <c r="F86">
        <v>27.85</v>
      </c>
      <c r="G86" s="11">
        <f t="shared" si="17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18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19"/>
        <v>-0.7</v>
      </c>
      <c r="AB86" s="17">
        <v>2.15</v>
      </c>
      <c r="AC86" s="11">
        <f t="shared" si="28"/>
        <v>0</v>
      </c>
      <c r="AD86" s="33">
        <v>117</v>
      </c>
      <c r="AE86" s="33">
        <v>80</v>
      </c>
      <c r="AF86" s="33">
        <v>37</v>
      </c>
      <c r="AG86" s="12">
        <f t="shared" si="20"/>
        <v>5.6</v>
      </c>
      <c r="AH86" s="11">
        <f t="shared" si="21"/>
        <v>6.8999999999999995</v>
      </c>
      <c r="AI86" s="11">
        <v>11</v>
      </c>
      <c r="AJ86" s="11">
        <f t="shared" si="22"/>
        <v>1</v>
      </c>
      <c r="AK86" s="11">
        <f t="shared" si="23"/>
        <v>15.299999999999997</v>
      </c>
      <c r="AL86" s="10" t="str">
        <f t="shared" si="24"/>
        <v>Neg</v>
      </c>
      <c r="AM86" s="73" t="str">
        <f t="shared" si="25"/>
        <v>MARC Technocrats</v>
      </c>
      <c r="AN86" s="42">
        <v>19</v>
      </c>
      <c r="AO86" s="13">
        <f t="shared" si="26"/>
        <v>20</v>
      </c>
      <c r="AP86" s="13">
        <f t="shared" si="27"/>
        <v>2</v>
      </c>
      <c r="AQ86" s="11">
        <v>1</v>
      </c>
      <c r="AR86" s="33">
        <v>93</v>
      </c>
      <c r="AS86" s="11"/>
      <c r="AT86" s="11"/>
      <c r="AU86" s="33">
        <v>74</v>
      </c>
      <c r="AV86" s="13"/>
      <c r="AW86">
        <v>70</v>
      </c>
      <c r="AX86" s="11">
        <v>67</v>
      </c>
      <c r="AY86" s="11">
        <v>63</v>
      </c>
      <c r="AZ86" s="11"/>
      <c r="BA86" s="11"/>
      <c r="BB86" s="11"/>
      <c r="BC86" s="11"/>
    </row>
    <row r="87" spans="2:55" ht="13.5" customHeight="1">
      <c r="B87" t="s">
        <v>144</v>
      </c>
      <c r="C87" s="17">
        <v>2025</v>
      </c>
      <c r="D87" s="17" t="s">
        <v>77</v>
      </c>
      <c r="E87">
        <v>18.690000000000001</v>
      </c>
      <c r="F87">
        <v>13.14</v>
      </c>
      <c r="G87" s="11">
        <f t="shared" si="17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18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19"/>
        <v>-0.7</v>
      </c>
      <c r="AB87" s="17"/>
      <c r="AC87" s="11">
        <f t="shared" si="28"/>
        <v>0</v>
      </c>
      <c r="AD87" s="33">
        <v>94</v>
      </c>
      <c r="AE87" s="33">
        <v>12</v>
      </c>
      <c r="AF87" s="33">
        <v>50.23</v>
      </c>
      <c r="AG87" s="12">
        <f t="shared" si="20"/>
        <v>3.5</v>
      </c>
      <c r="AH87" s="11">
        <f t="shared" si="21"/>
        <v>2.8</v>
      </c>
      <c r="AI87" s="11">
        <v>11</v>
      </c>
      <c r="AJ87" s="11">
        <f t="shared" si="22"/>
        <v>1</v>
      </c>
      <c r="AK87" s="11">
        <f t="shared" si="23"/>
        <v>8.0500000000000007</v>
      </c>
      <c r="AL87" s="10" t="str">
        <f t="shared" si="24"/>
        <v>Neg</v>
      </c>
      <c r="AM87" s="14" t="str">
        <f t="shared" si="25"/>
        <v>Phytochem Remedies</v>
      </c>
      <c r="AN87" s="35">
        <v>22</v>
      </c>
      <c r="AO87" s="13">
        <f t="shared" si="26"/>
        <v>23</v>
      </c>
      <c r="AP87" s="13">
        <f t="shared" si="27"/>
        <v>0</v>
      </c>
      <c r="AQ87" s="11">
        <v>1</v>
      </c>
      <c r="AR87" s="33"/>
      <c r="AS87" s="11"/>
      <c r="AT87" s="11"/>
      <c r="AU87" s="33"/>
      <c r="AV87" s="13"/>
      <c r="AW87" s="11"/>
      <c r="AX87" s="11"/>
      <c r="AY87" s="11"/>
      <c r="AZ87" s="11"/>
      <c r="BA87" s="11"/>
      <c r="BB87" s="11"/>
      <c r="BC87" s="11"/>
    </row>
    <row r="88" spans="2:55" ht="19.5" customHeight="1">
      <c r="B88" t="s">
        <v>145</v>
      </c>
      <c r="C88" s="17">
        <v>2025</v>
      </c>
      <c r="D88" s="17" t="s">
        <v>54</v>
      </c>
      <c r="E88">
        <v>47.24</v>
      </c>
      <c r="F88">
        <v>23.61</v>
      </c>
      <c r="G88" s="11">
        <f t="shared" si="17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18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19"/>
        <v>1</v>
      </c>
      <c r="AB88" s="17">
        <v>100</v>
      </c>
      <c r="AC88" s="11">
        <f t="shared" si="28"/>
        <v>2</v>
      </c>
      <c r="AD88" s="33">
        <v>28</v>
      </c>
      <c r="AE88" s="33">
        <v>16</v>
      </c>
      <c r="AF88" s="33">
        <v>51.67</v>
      </c>
      <c r="AG88" s="12">
        <f t="shared" si="20"/>
        <v>3.5</v>
      </c>
      <c r="AH88" s="11">
        <f t="shared" si="21"/>
        <v>8.5</v>
      </c>
      <c r="AI88" s="11">
        <v>11</v>
      </c>
      <c r="AJ88" s="11">
        <f t="shared" si="22"/>
        <v>1</v>
      </c>
      <c r="AK88" s="11">
        <f t="shared" si="23"/>
        <v>13.75</v>
      </c>
      <c r="AL88" s="10" t="str">
        <f t="shared" si="24"/>
        <v>Pos</v>
      </c>
      <c r="AM88" s="14" t="str">
        <f t="shared" si="25"/>
        <v>Shyam Dhani Industries</v>
      </c>
      <c r="AN88" s="41">
        <v>24</v>
      </c>
      <c r="AO88" s="13">
        <f t="shared" si="26"/>
        <v>25</v>
      </c>
      <c r="AP88" s="13">
        <f t="shared" si="27"/>
        <v>0</v>
      </c>
      <c r="AQ88" s="11">
        <v>1</v>
      </c>
      <c r="AR88" s="33">
        <v>70</v>
      </c>
      <c r="AS88" s="11"/>
      <c r="AT88" s="11"/>
      <c r="AU88" s="33">
        <v>133</v>
      </c>
      <c r="AV88" s="13">
        <v>138</v>
      </c>
      <c r="AW88" s="11">
        <v>139.65</v>
      </c>
      <c r="AX88" s="11">
        <v>132.6</v>
      </c>
      <c r="AY88" s="11">
        <v>130</v>
      </c>
      <c r="AZ88" s="11">
        <v>139</v>
      </c>
      <c r="BA88" s="11"/>
      <c r="BB88" s="11"/>
      <c r="BC88" s="11"/>
    </row>
    <row r="89" spans="2:55" ht="12.75" customHeight="1">
      <c r="B89" s="33" t="s">
        <v>146</v>
      </c>
      <c r="C89" s="17">
        <v>2025</v>
      </c>
      <c r="D89" s="17" t="s">
        <v>77</v>
      </c>
      <c r="E89" s="33">
        <v>44.11</v>
      </c>
      <c r="F89" s="33">
        <v>27.32</v>
      </c>
      <c r="G89" s="11">
        <f t="shared" si="17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18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19"/>
        <v>1</v>
      </c>
      <c r="AB89" s="17">
        <v>3.92</v>
      </c>
      <c r="AC89" s="11">
        <f t="shared" si="28"/>
        <v>0</v>
      </c>
      <c r="AD89" s="33">
        <v>128</v>
      </c>
      <c r="AE89" s="33">
        <v>26</v>
      </c>
      <c r="AF89" s="33">
        <v>31</v>
      </c>
      <c r="AG89" s="12">
        <f t="shared" si="20"/>
        <v>4.5</v>
      </c>
      <c r="AH89" s="11">
        <f t="shared" si="21"/>
        <v>6.5</v>
      </c>
      <c r="AI89" s="11">
        <v>11</v>
      </c>
      <c r="AJ89" s="11">
        <f t="shared" si="22"/>
        <v>1</v>
      </c>
      <c r="AK89" s="11">
        <f t="shared" si="23"/>
        <v>13.25</v>
      </c>
      <c r="AL89" s="10" t="str">
        <f t="shared" si="24"/>
        <v>Neg</v>
      </c>
      <c r="AM89" s="14" t="str">
        <f t="shared" si="25"/>
        <v>Dachepalli Publishers</v>
      </c>
      <c r="AN89" s="41">
        <v>24</v>
      </c>
      <c r="AO89" s="13">
        <f t="shared" si="26"/>
        <v>25</v>
      </c>
      <c r="AP89" s="13">
        <f t="shared" si="27"/>
        <v>0</v>
      </c>
      <c r="AQ89" s="11">
        <v>1</v>
      </c>
      <c r="AR89" s="33"/>
      <c r="AS89" s="11"/>
      <c r="AT89" s="11"/>
      <c r="AU89" s="33"/>
      <c r="AV89" s="13"/>
      <c r="AW89" s="11"/>
      <c r="AX89" s="11"/>
      <c r="AY89" s="11"/>
      <c r="AZ89" s="11"/>
      <c r="BA89" s="11"/>
      <c r="BB89" s="11"/>
      <c r="BC89" s="11"/>
    </row>
    <row r="90" spans="2:55" ht="12.75" customHeight="1">
      <c r="B90" t="s">
        <v>147</v>
      </c>
      <c r="C90" s="17">
        <v>2025</v>
      </c>
      <c r="D90" s="17" t="s">
        <v>54</v>
      </c>
      <c r="E90">
        <v>12.25</v>
      </c>
      <c r="F90">
        <v>5.28</v>
      </c>
      <c r="G90" s="11">
        <f t="shared" si="17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18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19"/>
        <v>1</v>
      </c>
      <c r="AB90" s="33">
        <v>0</v>
      </c>
      <c r="AC90" s="11">
        <f t="shared" si="28"/>
        <v>0</v>
      </c>
      <c r="AD90" s="33">
        <v>485</v>
      </c>
      <c r="AE90" s="33">
        <v>188</v>
      </c>
      <c r="AF90" s="33">
        <v>456</v>
      </c>
      <c r="AG90" s="12">
        <f t="shared" si="20"/>
        <v>5.5</v>
      </c>
      <c r="AH90" s="11">
        <f t="shared" si="21"/>
        <v>7.5</v>
      </c>
      <c r="AI90" s="11">
        <v>11</v>
      </c>
      <c r="AJ90" s="11">
        <f t="shared" si="22"/>
        <v>1</v>
      </c>
      <c r="AK90" s="11">
        <f t="shared" si="23"/>
        <v>15.75</v>
      </c>
      <c r="AL90" s="10" t="str">
        <f t="shared" si="24"/>
        <v>Pos</v>
      </c>
      <c r="AM90" s="14" t="str">
        <f t="shared" si="25"/>
        <v>EPW India</v>
      </c>
      <c r="AN90" s="37">
        <v>24</v>
      </c>
      <c r="AO90" s="13">
        <f t="shared" si="26"/>
        <v>25</v>
      </c>
      <c r="AP90" s="13">
        <f t="shared" si="27"/>
        <v>3</v>
      </c>
      <c r="AQ90" s="11">
        <v>1</v>
      </c>
      <c r="AR90" s="38">
        <v>97</v>
      </c>
      <c r="AS90" s="11"/>
      <c r="AT90" s="11"/>
      <c r="AU90" s="38">
        <v>111</v>
      </c>
      <c r="AV90" s="21">
        <v>99.5</v>
      </c>
      <c r="AW90" s="23">
        <v>116</v>
      </c>
      <c r="AX90" s="23">
        <v>122</v>
      </c>
      <c r="AY90" s="23">
        <v>117</v>
      </c>
      <c r="AZ90" s="23">
        <v>130</v>
      </c>
      <c r="BA90" s="11"/>
      <c r="BB90" s="11"/>
      <c r="BC90" s="11"/>
    </row>
    <row r="91" spans="2:55" ht="12.75" customHeight="1">
      <c r="B91" s="33" t="s">
        <v>148</v>
      </c>
      <c r="C91" s="17">
        <v>2025</v>
      </c>
      <c r="D91" s="17" t="s">
        <v>77</v>
      </c>
      <c r="E91" s="33">
        <v>17.38</v>
      </c>
      <c r="F91" s="33">
        <v>15.28</v>
      </c>
      <c r="G91" s="11">
        <f t="shared" si="17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18"/>
        <v>12.705882352941176</v>
      </c>
      <c r="Q91">
        <v>10.69</v>
      </c>
      <c r="R91" s="34">
        <v>24</v>
      </c>
      <c r="S91" s="12">
        <v>0</v>
      </c>
      <c r="T91" s="43"/>
      <c r="U91" s="43"/>
      <c r="V91" s="43">
        <v>0</v>
      </c>
      <c r="W91" s="33"/>
      <c r="X91" s="33">
        <v>1</v>
      </c>
      <c r="Y91" s="33">
        <v>1</v>
      </c>
      <c r="Z91" s="33">
        <v>1.85</v>
      </c>
      <c r="AA91" s="11">
        <f t="shared" si="19"/>
        <v>-0.7</v>
      </c>
      <c r="AB91" s="33">
        <v>0</v>
      </c>
      <c r="AC91" s="11">
        <f t="shared" si="28"/>
        <v>0</v>
      </c>
      <c r="AD91">
        <v>112</v>
      </c>
      <c r="AE91">
        <v>41</v>
      </c>
      <c r="AF91">
        <v>286</v>
      </c>
      <c r="AG91" s="12">
        <f t="shared" si="20"/>
        <v>3.5</v>
      </c>
      <c r="AH91" s="11">
        <f t="shared" si="21"/>
        <v>2.8</v>
      </c>
      <c r="AI91" s="11">
        <v>11</v>
      </c>
      <c r="AJ91" s="11">
        <f t="shared" si="22"/>
        <v>1</v>
      </c>
      <c r="AK91" s="11">
        <f t="shared" si="23"/>
        <v>8.0500000000000007</v>
      </c>
      <c r="AL91" s="10" t="str">
        <f t="shared" si="24"/>
        <v>Neg</v>
      </c>
      <c r="AM91" s="14" t="str">
        <f t="shared" si="25"/>
        <v>Sundrex Oil</v>
      </c>
      <c r="AN91" s="41">
        <v>24</v>
      </c>
      <c r="AO91" s="13">
        <f t="shared" si="26"/>
        <v>25</v>
      </c>
      <c r="AP91" s="13">
        <f t="shared" si="27"/>
        <v>0</v>
      </c>
      <c r="AQ91" s="11">
        <v>1</v>
      </c>
      <c r="AR91" s="33"/>
      <c r="AS91" s="11"/>
      <c r="AT91" s="11"/>
      <c r="AU91" s="33"/>
      <c r="AV91" s="13"/>
      <c r="AW91" s="11"/>
      <c r="AX91" s="11"/>
      <c r="AY91" s="11"/>
      <c r="AZ91" s="11"/>
      <c r="BA91" s="11"/>
      <c r="BB91" s="11"/>
      <c r="BC91" s="11"/>
    </row>
    <row r="92" spans="2:55" ht="12.75" customHeight="1">
      <c r="B92" s="44" t="s">
        <v>149</v>
      </c>
      <c r="C92" s="17">
        <v>2025</v>
      </c>
      <c r="D92" s="17" t="s">
        <v>94</v>
      </c>
      <c r="E92" s="44">
        <v>10.66</v>
      </c>
      <c r="F92" s="44">
        <v>22.03</v>
      </c>
      <c r="G92" s="11">
        <f t="shared" si="17"/>
        <v>51.611438946890601</v>
      </c>
      <c r="H92" s="44">
        <v>55.9</v>
      </c>
      <c r="I92" s="44">
        <v>6.1</v>
      </c>
      <c r="J92" s="33"/>
      <c r="K92" s="44">
        <v>12.22</v>
      </c>
      <c r="L92" s="33"/>
      <c r="M92" s="44">
        <v>10.31</v>
      </c>
      <c r="N92" s="33"/>
      <c r="O92" s="44">
        <v>53.52</v>
      </c>
      <c r="P92" s="11">
        <f t="shared" si="18"/>
        <v>8.7737704918032797</v>
      </c>
      <c r="Q92">
        <v>19.559999999999999</v>
      </c>
      <c r="R92" s="2">
        <v>13.41</v>
      </c>
      <c r="S92" s="12">
        <v>-1</v>
      </c>
      <c r="T92" s="45"/>
      <c r="U92" s="45"/>
      <c r="V92" s="45">
        <v>1.44</v>
      </c>
      <c r="W92" s="44">
        <v>1</v>
      </c>
      <c r="X92" s="44">
        <v>1.44</v>
      </c>
      <c r="Y92" s="44">
        <v>6.57</v>
      </c>
      <c r="Z92" s="44">
        <v>3.18</v>
      </c>
      <c r="AA92" s="11">
        <f t="shared" si="19"/>
        <v>0</v>
      </c>
      <c r="AB92" s="44">
        <v>2.09</v>
      </c>
      <c r="AC92" s="11">
        <f t="shared" si="28"/>
        <v>0</v>
      </c>
      <c r="AD92" s="33">
        <v>82</v>
      </c>
      <c r="AE92" s="33">
        <v>170</v>
      </c>
      <c r="AF92" s="33">
        <v>284</v>
      </c>
      <c r="AG92" s="12">
        <f t="shared" si="20"/>
        <v>4.9000000000000004</v>
      </c>
      <c r="AH92" s="11">
        <f t="shared" si="21"/>
        <v>6.9</v>
      </c>
      <c r="AI92" s="11">
        <v>11</v>
      </c>
      <c r="AJ92" s="11">
        <f t="shared" si="22"/>
        <v>1</v>
      </c>
      <c r="AK92" s="11">
        <f t="shared" si="23"/>
        <v>14.25</v>
      </c>
      <c r="AL92" s="10" t="str">
        <f t="shared" si="24"/>
        <v>Rec</v>
      </c>
      <c r="AM92" s="73" t="str">
        <f t="shared" si="25"/>
        <v>Admach Systems</v>
      </c>
      <c r="AN92" s="46">
        <v>26</v>
      </c>
      <c r="AO92" s="13">
        <f t="shared" si="26"/>
        <v>27</v>
      </c>
      <c r="AP92" s="13">
        <f t="shared" si="27"/>
        <v>0</v>
      </c>
      <c r="AQ92" s="11">
        <v>1</v>
      </c>
      <c r="AR92" s="33">
        <v>239</v>
      </c>
      <c r="AS92" s="11"/>
      <c r="AT92" s="11"/>
      <c r="AU92" s="33">
        <v>191</v>
      </c>
      <c r="AV92" s="13">
        <v>250</v>
      </c>
      <c r="AW92" s="11">
        <v>200</v>
      </c>
      <c r="AX92" s="11">
        <v>211</v>
      </c>
      <c r="AY92" s="11">
        <v>221</v>
      </c>
      <c r="AZ92" s="11">
        <v>242</v>
      </c>
      <c r="BA92" s="11"/>
      <c r="BB92" s="11"/>
      <c r="BC92" s="11"/>
    </row>
    <row r="93" spans="2:55" ht="12.75" customHeight="1">
      <c r="B93" s="44" t="s">
        <v>150</v>
      </c>
      <c r="C93" s="17">
        <v>2025</v>
      </c>
      <c r="D93" s="17" t="s">
        <v>54</v>
      </c>
      <c r="E93" s="44">
        <v>0.5</v>
      </c>
      <c r="F93" s="44">
        <v>14.14</v>
      </c>
      <c r="G93" s="11">
        <f t="shared" si="17"/>
        <v>96.463932107496461</v>
      </c>
      <c r="H93" s="44">
        <v>31.23</v>
      </c>
      <c r="I93" s="44">
        <v>4.76</v>
      </c>
      <c r="J93" s="44"/>
      <c r="K93" s="44">
        <v>12.91</v>
      </c>
      <c r="L93" s="44"/>
      <c r="M93" s="44">
        <v>6.48</v>
      </c>
      <c r="N93" s="44"/>
      <c r="O93" s="44">
        <v>51.24</v>
      </c>
      <c r="P93" s="11">
        <f t="shared" si="18"/>
        <v>10.764705882352942</v>
      </c>
      <c r="Q93" s="44">
        <v>17.03</v>
      </c>
      <c r="R93" s="47">
        <v>12.85</v>
      </c>
      <c r="S93" s="12">
        <v>-1</v>
      </c>
      <c r="T93" s="45"/>
      <c r="U93" s="45"/>
      <c r="V93" s="45">
        <v>1</v>
      </c>
      <c r="W93" s="44">
        <v>0</v>
      </c>
      <c r="X93" s="44">
        <v>12</v>
      </c>
      <c r="Y93" s="44">
        <v>4.8</v>
      </c>
      <c r="Z93" s="44">
        <v>1.71</v>
      </c>
      <c r="AA93" s="11">
        <f t="shared" si="19"/>
        <v>1</v>
      </c>
      <c r="AB93" s="44">
        <v>0</v>
      </c>
      <c r="AC93" s="11">
        <f t="shared" si="28"/>
        <v>0</v>
      </c>
      <c r="AD93" s="33">
        <v>84</v>
      </c>
      <c r="AE93" s="33">
        <v>93</v>
      </c>
      <c r="AF93" s="33">
        <v>133</v>
      </c>
      <c r="AG93" s="12">
        <f t="shared" si="20"/>
        <v>5.6</v>
      </c>
      <c r="AH93" s="11">
        <f t="shared" si="21"/>
        <v>8.6</v>
      </c>
      <c r="AI93" s="11">
        <v>11</v>
      </c>
      <c r="AJ93" s="11">
        <f t="shared" si="22"/>
        <v>1</v>
      </c>
      <c r="AK93" s="11">
        <f t="shared" si="23"/>
        <v>17</v>
      </c>
      <c r="AL93" s="10" t="str">
        <f t="shared" si="24"/>
        <v>Pos</v>
      </c>
      <c r="AM93" s="14" t="str">
        <f t="shared" si="25"/>
        <v>Nanta Tech</v>
      </c>
      <c r="AN93" s="37">
        <v>26</v>
      </c>
      <c r="AO93" s="13">
        <f t="shared" si="26"/>
        <v>27</v>
      </c>
      <c r="AP93" s="13">
        <f t="shared" si="27"/>
        <v>3</v>
      </c>
      <c r="AQ93" s="11">
        <v>1</v>
      </c>
      <c r="AR93" s="38">
        <v>220</v>
      </c>
      <c r="AS93" s="11"/>
      <c r="AT93" s="11"/>
      <c r="AU93" s="38">
        <v>234</v>
      </c>
      <c r="AV93" s="21">
        <v>240</v>
      </c>
      <c r="AW93" s="23">
        <v>245</v>
      </c>
      <c r="AX93" s="23">
        <v>258</v>
      </c>
      <c r="AY93" s="23">
        <v>265</v>
      </c>
      <c r="AZ93" s="23"/>
      <c r="BA93" s="11"/>
      <c r="BB93" s="11"/>
      <c r="BC93" s="11"/>
    </row>
    <row r="94" spans="2:55" ht="12.75" customHeight="1">
      <c r="B94" t="s">
        <v>151</v>
      </c>
      <c r="C94" s="17">
        <v>2025</v>
      </c>
      <c r="D94" s="17" t="s">
        <v>54</v>
      </c>
      <c r="E94">
        <v>31.75</v>
      </c>
      <c r="F94">
        <v>25.32</v>
      </c>
      <c r="G94" s="11">
        <f t="shared" si="17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18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19"/>
        <v>0</v>
      </c>
      <c r="AB94">
        <v>4.62</v>
      </c>
      <c r="AC94" s="11">
        <f t="shared" si="28"/>
        <v>1</v>
      </c>
      <c r="AD94" s="33">
        <v>327</v>
      </c>
      <c r="AE94" s="33">
        <v>44</v>
      </c>
      <c r="AF94" s="33">
        <v>118</v>
      </c>
      <c r="AG94" s="12">
        <f t="shared" si="20"/>
        <v>4.5</v>
      </c>
      <c r="AH94" s="11">
        <f t="shared" si="21"/>
        <v>7.5</v>
      </c>
      <c r="AI94" s="11">
        <v>11</v>
      </c>
      <c r="AJ94" s="11">
        <f t="shared" si="22"/>
        <v>1</v>
      </c>
      <c r="AK94" s="11">
        <f t="shared" si="23"/>
        <v>14.25</v>
      </c>
      <c r="AL94" s="10" t="str">
        <f t="shared" si="24"/>
        <v>Pos</v>
      </c>
      <c r="AM94" s="14" t="str">
        <f t="shared" si="25"/>
        <v>Apollo Techno Industries</v>
      </c>
      <c r="AN94" s="46">
        <v>26</v>
      </c>
      <c r="AO94" s="13">
        <f t="shared" si="26"/>
        <v>27</v>
      </c>
      <c r="AP94" s="13">
        <f t="shared" si="27"/>
        <v>0</v>
      </c>
      <c r="AQ94" s="11">
        <v>1</v>
      </c>
      <c r="AR94" s="33"/>
      <c r="AS94" s="11"/>
      <c r="AT94" s="11"/>
      <c r="AU94" s="33"/>
      <c r="AV94" s="13"/>
      <c r="AW94" s="11"/>
      <c r="AX94" s="11"/>
      <c r="AY94" s="11"/>
      <c r="AZ94" s="11"/>
      <c r="BA94" s="11"/>
      <c r="BB94" s="11"/>
      <c r="BC94" s="11"/>
    </row>
    <row r="95" spans="2:55" ht="12.75" customHeight="1">
      <c r="B95" s="48" t="s">
        <v>152</v>
      </c>
      <c r="C95" s="17">
        <v>2025</v>
      </c>
      <c r="D95" s="17" t="s">
        <v>54</v>
      </c>
      <c r="E95" s="48">
        <v>109</v>
      </c>
      <c r="F95" s="48">
        <v>53.7</v>
      </c>
      <c r="G95" s="11">
        <f t="shared" si="17"/>
        <v>-102.97951582867783</v>
      </c>
      <c r="H95" s="48">
        <v>203</v>
      </c>
      <c r="I95" s="48">
        <v>18.3</v>
      </c>
      <c r="J95" s="48"/>
      <c r="K95" s="48">
        <v>11.66</v>
      </c>
      <c r="M95" s="33">
        <v>33.51</v>
      </c>
      <c r="N95" s="48"/>
      <c r="O95" s="48">
        <v>332.12</v>
      </c>
      <c r="P95" s="11">
        <f t="shared" si="18"/>
        <v>18.148633879781421</v>
      </c>
      <c r="Q95" s="48">
        <v>16</v>
      </c>
      <c r="R95" s="49"/>
      <c r="S95" s="12">
        <v>0</v>
      </c>
      <c r="T95" s="50"/>
      <c r="U95" s="50"/>
      <c r="V95" s="50">
        <v>1</v>
      </c>
      <c r="W95" s="48">
        <v>1</v>
      </c>
      <c r="X95" s="48">
        <v>7.9</v>
      </c>
      <c r="Y95" s="48">
        <v>5.4</v>
      </c>
      <c r="Z95" s="48">
        <v>2.39</v>
      </c>
      <c r="AA95" s="11">
        <f t="shared" si="19"/>
        <v>1</v>
      </c>
      <c r="AB95" s="48">
        <v>4.84</v>
      </c>
      <c r="AC95" s="11">
        <f t="shared" si="28"/>
        <v>1</v>
      </c>
      <c r="AD95" s="33">
        <v>100</v>
      </c>
      <c r="AE95" s="33">
        <v>12.16</v>
      </c>
      <c r="AF95" s="33">
        <v>55</v>
      </c>
      <c r="AG95" s="12">
        <f t="shared" si="20"/>
        <v>4</v>
      </c>
      <c r="AH95" s="11">
        <f t="shared" si="21"/>
        <v>8</v>
      </c>
      <c r="AI95" s="11">
        <v>11</v>
      </c>
      <c r="AJ95" s="11">
        <f t="shared" si="22"/>
        <v>1</v>
      </c>
      <c r="AK95" s="11">
        <f t="shared" si="23"/>
        <v>14</v>
      </c>
      <c r="AL95" s="10" t="str">
        <f t="shared" si="24"/>
        <v>Pos</v>
      </c>
      <c r="AM95" s="14" t="str">
        <f t="shared" si="25"/>
        <v>Bai Kakaji Polymers</v>
      </c>
      <c r="AN95" s="46">
        <v>26</v>
      </c>
      <c r="AO95" s="13">
        <f t="shared" si="26"/>
        <v>27</v>
      </c>
      <c r="AP95" s="13">
        <f t="shared" si="27"/>
        <v>0</v>
      </c>
      <c r="AQ95" s="11">
        <v>1</v>
      </c>
      <c r="AR95" s="33"/>
      <c r="AS95" s="11"/>
      <c r="AT95" s="11"/>
      <c r="AU95" s="33"/>
      <c r="AV95" s="13"/>
      <c r="AW95" s="11"/>
      <c r="AX95" s="11"/>
      <c r="AY95" s="11"/>
      <c r="AZ95" s="11"/>
      <c r="BA95" s="11"/>
      <c r="BB95" s="11"/>
      <c r="BC95" s="11"/>
    </row>
    <row r="96" spans="2:55" ht="11.25" customHeight="1">
      <c r="B96" t="s">
        <v>153</v>
      </c>
      <c r="C96" s="17">
        <v>2025</v>
      </c>
      <c r="D96" s="17" t="s">
        <v>54</v>
      </c>
      <c r="E96">
        <v>21.29</v>
      </c>
      <c r="F96">
        <v>12.9</v>
      </c>
      <c r="G96" s="11">
        <f t="shared" si="17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18"/>
        <v>7.3506891271056656</v>
      </c>
      <c r="Q96" s="48">
        <v>21.43</v>
      </c>
      <c r="R96" s="49">
        <v>26.07</v>
      </c>
      <c r="S96" s="12">
        <v>-0.5</v>
      </c>
      <c r="T96" s="50"/>
      <c r="U96" s="50"/>
      <c r="V96" s="50">
        <v>1</v>
      </c>
      <c r="W96" s="48">
        <v>1</v>
      </c>
      <c r="X96" s="48">
        <v>49.5</v>
      </c>
      <c r="Y96" s="48">
        <v>158</v>
      </c>
      <c r="Z96">
        <v>71.5</v>
      </c>
      <c r="AA96" s="11">
        <f t="shared" si="19"/>
        <v>0</v>
      </c>
      <c r="AB96">
        <v>11</v>
      </c>
      <c r="AC96" s="11">
        <f t="shared" si="28"/>
        <v>2</v>
      </c>
      <c r="AD96" s="33">
        <v>110</v>
      </c>
      <c r="AE96" s="33">
        <v>35</v>
      </c>
      <c r="AF96" s="33">
        <v>90</v>
      </c>
      <c r="AG96" s="12">
        <f t="shared" si="20"/>
        <v>4</v>
      </c>
      <c r="AH96" s="11">
        <f t="shared" si="21"/>
        <v>8</v>
      </c>
      <c r="AI96" s="11">
        <v>11</v>
      </c>
      <c r="AJ96" s="11">
        <f t="shared" si="22"/>
        <v>1</v>
      </c>
      <c r="AK96" s="11">
        <f t="shared" si="23"/>
        <v>14</v>
      </c>
      <c r="AL96" s="10" t="str">
        <f t="shared" si="24"/>
        <v>Pos</v>
      </c>
      <c r="AM96" s="14" t="str">
        <f t="shared" si="25"/>
        <v>Dhara Rail Projects</v>
      </c>
      <c r="AN96" s="46">
        <v>26</v>
      </c>
      <c r="AO96" s="13">
        <f t="shared" si="26"/>
        <v>27</v>
      </c>
      <c r="AP96" s="13">
        <f t="shared" si="27"/>
        <v>0</v>
      </c>
      <c r="AQ96" s="11">
        <v>1</v>
      </c>
      <c r="AR96" s="33"/>
      <c r="AS96" s="11"/>
      <c r="AT96" s="11"/>
      <c r="AU96" s="33"/>
      <c r="AV96" s="13"/>
      <c r="AW96" s="11"/>
      <c r="AX96" s="11"/>
      <c r="AY96" s="11"/>
      <c r="AZ96" s="11"/>
      <c r="BA96" s="11"/>
      <c r="BB96" s="11"/>
      <c r="BC96" s="11"/>
    </row>
    <row r="97" spans="1:55" ht="17.25" customHeight="1">
      <c r="B97" s="44" t="s">
        <v>154</v>
      </c>
      <c r="C97" s="17">
        <v>2025</v>
      </c>
      <c r="D97" s="17" t="s">
        <v>54</v>
      </c>
      <c r="E97" s="44">
        <v>66.180000000000007</v>
      </c>
      <c r="F97" s="44">
        <v>116.05</v>
      </c>
      <c r="G97" s="11">
        <f t="shared" si="17"/>
        <v>42.972856527358893</v>
      </c>
      <c r="H97" s="44">
        <v>295.44</v>
      </c>
      <c r="I97" s="44">
        <v>14.37</v>
      </c>
      <c r="J97" s="44"/>
      <c r="K97" s="44">
        <v>11.58</v>
      </c>
      <c r="L97" s="44"/>
      <c r="M97" s="44">
        <v>26.57</v>
      </c>
      <c r="N97" s="44"/>
      <c r="O97" s="44">
        <v>250.81</v>
      </c>
      <c r="P97" s="11">
        <f t="shared" si="18"/>
        <v>17.453723034098818</v>
      </c>
      <c r="Q97" s="44">
        <v>27.64</v>
      </c>
      <c r="R97" s="47">
        <v>10.11</v>
      </c>
      <c r="S97" s="12">
        <v>0</v>
      </c>
      <c r="T97" s="45"/>
      <c r="U97" s="45"/>
      <c r="V97" s="45">
        <v>1</v>
      </c>
      <c r="W97" s="44">
        <v>154.9</v>
      </c>
      <c r="X97" s="44">
        <v>759.6</v>
      </c>
      <c r="Y97" s="44">
        <v>470</v>
      </c>
      <c r="Z97" s="44">
        <v>100</v>
      </c>
      <c r="AA97" s="11">
        <f t="shared" si="19"/>
        <v>1</v>
      </c>
      <c r="AB97" s="44">
        <v>95</v>
      </c>
      <c r="AC97" s="11">
        <f t="shared" si="28"/>
        <v>2</v>
      </c>
      <c r="AD97" s="33">
        <v>48</v>
      </c>
      <c r="AE97" s="33">
        <v>47.37</v>
      </c>
      <c r="AF97" s="33">
        <v>73.53</v>
      </c>
      <c r="AG97" s="12">
        <f t="shared" si="20"/>
        <v>4.9000000000000004</v>
      </c>
      <c r="AH97" s="11">
        <f t="shared" si="21"/>
        <v>9.9</v>
      </c>
      <c r="AI97" s="11">
        <v>11</v>
      </c>
      <c r="AJ97" s="11">
        <f t="shared" si="22"/>
        <v>1</v>
      </c>
      <c r="AK97" s="11">
        <f t="shared" si="23"/>
        <v>17.25</v>
      </c>
      <c r="AL97" s="10" t="str">
        <f t="shared" si="24"/>
        <v>Pos</v>
      </c>
      <c r="AM97" s="14" t="str">
        <f t="shared" si="25"/>
        <v>E to E Transportation Infrastructure</v>
      </c>
      <c r="AN97" s="35">
        <v>30</v>
      </c>
      <c r="AO97" s="13">
        <f t="shared" si="26"/>
        <v>31</v>
      </c>
      <c r="AP97" s="13">
        <f t="shared" si="27"/>
        <v>1</v>
      </c>
      <c r="AQ97" s="11">
        <v>1</v>
      </c>
      <c r="AR97" s="33">
        <v>174</v>
      </c>
      <c r="AS97" s="11"/>
      <c r="AT97" s="11"/>
      <c r="AU97" s="33">
        <v>331</v>
      </c>
      <c r="AV97" s="13">
        <v>336</v>
      </c>
      <c r="AW97" s="11">
        <v>340</v>
      </c>
      <c r="AX97" s="11">
        <v>311</v>
      </c>
      <c r="AY97" s="11">
        <v>296</v>
      </c>
      <c r="AZ97" s="11"/>
      <c r="BA97" s="11"/>
      <c r="BB97" s="11"/>
      <c r="BC97" s="11"/>
    </row>
    <row r="98" spans="1:55" ht="11.25" customHeight="1">
      <c r="B98" t="s">
        <v>155</v>
      </c>
      <c r="C98" s="17">
        <v>2025</v>
      </c>
      <c r="D98" t="s">
        <v>54</v>
      </c>
      <c r="E98">
        <v>22.09</v>
      </c>
      <c r="F98">
        <v>20.73</v>
      </c>
      <c r="G98" s="11">
        <f t="shared" ref="G98:G129" si="29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0">O98/I98</f>
        <v>8.7959866220735794</v>
      </c>
      <c r="Q98" s="48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19"/>
        <v>0</v>
      </c>
      <c r="AB98">
        <v>15</v>
      </c>
      <c r="AC98" s="11">
        <f t="shared" si="28"/>
        <v>2</v>
      </c>
      <c r="AD98" s="33">
        <v>60</v>
      </c>
      <c r="AE98" s="33">
        <v>14</v>
      </c>
      <c r="AF98" s="33">
        <v>90</v>
      </c>
      <c r="AG98" s="12">
        <f t="shared" si="20"/>
        <v>4.5</v>
      </c>
      <c r="AH98" s="11">
        <f t="shared" si="21"/>
        <v>8.5</v>
      </c>
      <c r="AI98" s="11">
        <v>11</v>
      </c>
      <c r="AJ98" s="11">
        <f t="shared" si="22"/>
        <v>1</v>
      </c>
      <c r="AK98" s="11">
        <f t="shared" si="23"/>
        <v>15.25</v>
      </c>
      <c r="AL98" s="10" t="str">
        <f t="shared" ref="AL98:AL126" si="31">D98</f>
        <v>Pos</v>
      </c>
      <c r="AM98" s="14" t="str">
        <f t="shared" ref="AM98:AM129" si="32">B98</f>
        <v>Modern Diagnostic</v>
      </c>
      <c r="AN98" s="51">
        <v>2</v>
      </c>
      <c r="AO98" s="13">
        <f t="shared" ref="AO98:AO123" si="33">AN98+1</f>
        <v>3</v>
      </c>
      <c r="AP98" s="13">
        <f t="shared" si="27"/>
        <v>1</v>
      </c>
      <c r="AQ98" s="11">
        <v>1</v>
      </c>
      <c r="AR98" s="33">
        <v>90</v>
      </c>
      <c r="AS98" s="11"/>
      <c r="AT98" s="11"/>
      <c r="AU98" s="33">
        <v>99.5</v>
      </c>
      <c r="AV98" s="13">
        <v>104</v>
      </c>
      <c r="AW98" s="33">
        <v>98</v>
      </c>
      <c r="AX98" s="33">
        <v>94</v>
      </c>
      <c r="AY98" s="33">
        <v>95</v>
      </c>
      <c r="AZ98" s="33">
        <v>98</v>
      </c>
      <c r="BA98" s="33"/>
      <c r="BB98" s="33"/>
      <c r="BC98" s="33"/>
    </row>
    <row r="99" spans="1:55" ht="17.25" customHeight="1">
      <c r="A99" t="s">
        <v>156</v>
      </c>
      <c r="B99" t="s">
        <v>157</v>
      </c>
      <c r="C99" t="s">
        <v>158</v>
      </c>
      <c r="D99" s="17" t="s">
        <v>54</v>
      </c>
      <c r="E99">
        <v>46.71</v>
      </c>
      <c r="F99">
        <v>22.03</v>
      </c>
      <c r="G99" s="11">
        <f t="shared" si="29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0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19"/>
        <v>1</v>
      </c>
      <c r="AB99">
        <v>38</v>
      </c>
      <c r="AC99" s="11">
        <f t="shared" si="28"/>
        <v>2</v>
      </c>
      <c r="AD99">
        <v>13.92</v>
      </c>
      <c r="AE99">
        <v>-3.62</v>
      </c>
      <c r="AF99">
        <v>42.96</v>
      </c>
      <c r="AG99" s="12">
        <f t="shared" si="20"/>
        <v>-0.5</v>
      </c>
      <c r="AH99" s="11">
        <f t="shared" si="21"/>
        <v>4.5</v>
      </c>
      <c r="AI99" s="11">
        <v>11</v>
      </c>
      <c r="AJ99" s="11">
        <f t="shared" si="22"/>
        <v>1</v>
      </c>
      <c r="AK99" s="11">
        <f t="shared" si="23"/>
        <v>3.75</v>
      </c>
      <c r="AL99" s="10" t="str">
        <f t="shared" si="31"/>
        <v>Pos</v>
      </c>
      <c r="AM99" s="14" t="str">
        <f t="shared" si="32"/>
        <v xml:space="preserve">Gabion Technologies </v>
      </c>
      <c r="AN99" s="52">
        <v>8</v>
      </c>
      <c r="AO99" s="13">
        <f t="shared" si="33"/>
        <v>9</v>
      </c>
      <c r="AP99" s="13">
        <f t="shared" si="27"/>
        <v>0</v>
      </c>
      <c r="AQ99" s="11">
        <v>1</v>
      </c>
      <c r="AR99"/>
      <c r="AS99" s="11"/>
      <c r="AT99" s="11"/>
      <c r="AU99"/>
      <c r="AV99" s="13"/>
    </row>
    <row r="100" spans="1:55" ht="12.75" customHeight="1">
      <c r="A100" t="s">
        <v>159</v>
      </c>
      <c r="B100" t="s">
        <v>160</v>
      </c>
      <c r="C100" t="s">
        <v>158</v>
      </c>
      <c r="D100" s="17" t="s">
        <v>77</v>
      </c>
      <c r="E100">
        <v>9.2899999999999991</v>
      </c>
      <c r="F100">
        <v>14.87</v>
      </c>
      <c r="G100" s="11">
        <f t="shared" si="29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0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19"/>
        <v>-0.7</v>
      </c>
      <c r="AB100">
        <v>0</v>
      </c>
      <c r="AC100" s="11">
        <f t="shared" si="28"/>
        <v>0</v>
      </c>
      <c r="AD100">
        <v>5.73</v>
      </c>
      <c r="AE100">
        <v>4.72</v>
      </c>
      <c r="AF100">
        <v>53.3</v>
      </c>
      <c r="AG100" s="12">
        <f t="shared" si="20"/>
        <v>3.4000000000000004</v>
      </c>
      <c r="AH100" s="11">
        <f t="shared" si="21"/>
        <v>2.7</v>
      </c>
      <c r="AI100" s="11">
        <v>11</v>
      </c>
      <c r="AJ100" s="11">
        <f t="shared" si="22"/>
        <v>1</v>
      </c>
      <c r="AK100" s="11">
        <f t="shared" si="23"/>
        <v>7.8000000000000007</v>
      </c>
      <c r="AL100" s="10" t="str">
        <f t="shared" si="31"/>
        <v>Neg</v>
      </c>
      <c r="AM100" s="14" t="str">
        <f t="shared" si="32"/>
        <v>Victory Electric Veh</v>
      </c>
      <c r="AN100" s="52">
        <v>9</v>
      </c>
      <c r="AO100" s="13">
        <f t="shared" si="33"/>
        <v>10</v>
      </c>
      <c r="AP100" s="13">
        <f t="shared" si="27"/>
        <v>0</v>
      </c>
      <c r="AQ100" s="11">
        <v>1</v>
      </c>
      <c r="AR100"/>
      <c r="AS100" s="11"/>
      <c r="AT100" s="11"/>
      <c r="AU100"/>
      <c r="AV100" s="13"/>
    </row>
    <row r="101" spans="1:55" ht="12.75" customHeight="1">
      <c r="A101" t="s">
        <v>161</v>
      </c>
      <c r="B101" t="s">
        <v>162</v>
      </c>
      <c r="C101" t="s">
        <v>158</v>
      </c>
      <c r="D101" s="17" t="s">
        <v>77</v>
      </c>
      <c r="E101">
        <v>66.180000000000007</v>
      </c>
      <c r="F101">
        <v>42.32</v>
      </c>
      <c r="G101" s="11">
        <f t="shared" si="29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0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19"/>
        <v>-0.7</v>
      </c>
      <c r="AB101">
        <v>0</v>
      </c>
      <c r="AC101" s="11">
        <f t="shared" si="28"/>
        <v>0</v>
      </c>
      <c r="AD101">
        <v>173.54</v>
      </c>
      <c r="AE101">
        <v>67.34</v>
      </c>
      <c r="AF101">
        <v>37.99</v>
      </c>
      <c r="AG101" s="12">
        <f t="shared" si="20"/>
        <v>2.5</v>
      </c>
      <c r="AH101" s="11">
        <f t="shared" si="21"/>
        <v>1.8</v>
      </c>
      <c r="AI101" s="11">
        <v>11</v>
      </c>
      <c r="AJ101" s="11">
        <f t="shared" si="22"/>
        <v>1</v>
      </c>
      <c r="AK101" s="11">
        <f t="shared" si="23"/>
        <v>5.55</v>
      </c>
      <c r="AL101" s="10" t="str">
        <f t="shared" si="31"/>
        <v>Neg</v>
      </c>
      <c r="AM101" s="14" t="str">
        <f t="shared" si="32"/>
        <v>Yajur Fibres Date, P</v>
      </c>
      <c r="AN101" s="52">
        <v>9</v>
      </c>
      <c r="AO101" s="13">
        <f t="shared" si="33"/>
        <v>10</v>
      </c>
      <c r="AP101" s="13">
        <f t="shared" si="27"/>
        <v>0</v>
      </c>
      <c r="AQ101" s="11">
        <v>1</v>
      </c>
      <c r="AR101"/>
      <c r="AS101" s="11"/>
      <c r="AT101" s="11"/>
      <c r="AU101"/>
      <c r="AV101" s="13"/>
    </row>
    <row r="102" spans="1:55" ht="11.25" customHeight="1">
      <c r="A102" t="s">
        <v>163</v>
      </c>
      <c r="B102" t="s">
        <v>164</v>
      </c>
      <c r="C102">
        <v>2026</v>
      </c>
      <c r="D102" s="17" t="s">
        <v>54</v>
      </c>
      <c r="E102">
        <v>11.56</v>
      </c>
      <c r="F102">
        <v>9.1199999999999992</v>
      </c>
      <c r="G102" s="11">
        <f t="shared" si="29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0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19"/>
        <v>1</v>
      </c>
      <c r="AB102">
        <v>10.81</v>
      </c>
      <c r="AC102" s="11">
        <f t="shared" si="28"/>
        <v>2</v>
      </c>
      <c r="AD102">
        <v>3009.09</v>
      </c>
      <c r="AE102">
        <v>8541.67</v>
      </c>
      <c r="AF102">
        <v>5600</v>
      </c>
      <c r="AG102" s="12">
        <f t="shared" si="20"/>
        <v>2.5</v>
      </c>
      <c r="AH102" s="11">
        <f t="shared" si="21"/>
        <v>7.5</v>
      </c>
      <c r="AI102" s="11">
        <v>11</v>
      </c>
      <c r="AJ102" s="11">
        <f t="shared" si="22"/>
        <v>1</v>
      </c>
      <c r="AK102" s="11">
        <f t="shared" si="23"/>
        <v>11.25</v>
      </c>
      <c r="AL102" s="10" t="str">
        <f t="shared" si="31"/>
        <v>Pos</v>
      </c>
      <c r="AM102" s="14" t="str">
        <f t="shared" si="32"/>
        <v>Defrail Technologies</v>
      </c>
      <c r="AN102" s="52">
        <v>13</v>
      </c>
      <c r="AO102" s="13">
        <f t="shared" si="33"/>
        <v>14</v>
      </c>
      <c r="AP102" s="13">
        <f t="shared" si="27"/>
        <v>0</v>
      </c>
      <c r="AQ102" s="11">
        <v>1</v>
      </c>
      <c r="AR102"/>
      <c r="AS102" s="11"/>
      <c r="AT102" s="11"/>
      <c r="AU102"/>
      <c r="AV102" s="13"/>
    </row>
    <row r="103" spans="1:55" ht="15" customHeight="1">
      <c r="A103" t="s">
        <v>165</v>
      </c>
      <c r="B103" t="s">
        <v>166</v>
      </c>
      <c r="C103" t="s">
        <v>158</v>
      </c>
      <c r="D103" s="17" t="s">
        <v>54</v>
      </c>
      <c r="E103">
        <v>5.69</v>
      </c>
      <c r="F103">
        <v>21.8</v>
      </c>
      <c r="G103" s="11">
        <f t="shared" si="29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0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19"/>
        <v>1</v>
      </c>
      <c r="AB103">
        <v>18.64</v>
      </c>
      <c r="AC103" s="11">
        <f t="shared" si="28"/>
        <v>2</v>
      </c>
      <c r="AD103">
        <v>106.72</v>
      </c>
      <c r="AE103">
        <v>18.16</v>
      </c>
      <c r="AF103">
        <v>61.6</v>
      </c>
      <c r="AG103" s="12">
        <f t="shared" si="20"/>
        <v>7.6</v>
      </c>
      <c r="AH103" s="11">
        <f t="shared" si="21"/>
        <v>12.6</v>
      </c>
      <c r="AI103" s="11">
        <v>11</v>
      </c>
      <c r="AJ103" s="11">
        <f t="shared" si="22"/>
        <v>1</v>
      </c>
      <c r="AK103" s="11">
        <f t="shared" si="23"/>
        <v>24</v>
      </c>
      <c r="AL103" s="10" t="str">
        <f t="shared" si="31"/>
        <v>Pos</v>
      </c>
      <c r="AM103" s="14" t="str">
        <f t="shared" si="32"/>
        <v>Avana Electrosystems</v>
      </c>
      <c r="AN103" s="52">
        <v>14</v>
      </c>
      <c r="AO103" s="13">
        <f t="shared" si="33"/>
        <v>15</v>
      </c>
      <c r="AP103" s="13">
        <f t="shared" si="27"/>
        <v>0</v>
      </c>
      <c r="AQ103" s="11">
        <v>1</v>
      </c>
      <c r="AR103"/>
      <c r="AS103" s="11"/>
      <c r="AT103" s="11"/>
      <c r="AU103"/>
      <c r="AV103" s="13"/>
    </row>
    <row r="104" spans="1:55" ht="12.75" customHeight="1">
      <c r="A104" t="s">
        <v>167</v>
      </c>
      <c r="B104" t="s">
        <v>168</v>
      </c>
      <c r="C104" t="s">
        <v>158</v>
      </c>
      <c r="D104" s="17" t="s">
        <v>169</v>
      </c>
      <c r="E104">
        <v>24.73</v>
      </c>
      <c r="F104">
        <v>11.45</v>
      </c>
      <c r="G104" s="11">
        <f t="shared" si="29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0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19"/>
        <v>1</v>
      </c>
      <c r="AB104">
        <v>0</v>
      </c>
      <c r="AC104" s="11">
        <f t="shared" si="28"/>
        <v>0</v>
      </c>
      <c r="AD104">
        <v>-19.440000000000001</v>
      </c>
      <c r="AE104">
        <v>11.37</v>
      </c>
      <c r="AF104">
        <v>99.83</v>
      </c>
      <c r="AG104" s="12">
        <f t="shared" si="20"/>
        <v>1.5</v>
      </c>
      <c r="AH104" s="11">
        <f t="shared" si="21"/>
        <v>4.5</v>
      </c>
      <c r="AI104" s="11">
        <v>11</v>
      </c>
      <c r="AJ104" s="11">
        <f t="shared" si="22"/>
        <v>1</v>
      </c>
      <c r="AK104" s="11">
        <f t="shared" si="23"/>
        <v>6.75</v>
      </c>
      <c r="AL104" s="10" t="str">
        <f t="shared" si="31"/>
        <v>NEg</v>
      </c>
      <c r="AM104" s="14" t="str">
        <f t="shared" si="32"/>
        <v>Narmadesh Brass Indu</v>
      </c>
      <c r="AN104" s="52">
        <v>16</v>
      </c>
      <c r="AO104" s="13">
        <f t="shared" si="33"/>
        <v>17</v>
      </c>
      <c r="AP104" s="13">
        <f t="shared" si="27"/>
        <v>0</v>
      </c>
      <c r="AQ104" s="11">
        <v>1</v>
      </c>
      <c r="AR104"/>
      <c r="AS104" s="11"/>
      <c r="AT104" s="11"/>
      <c r="AU104"/>
      <c r="AV104" s="13"/>
    </row>
    <row r="105" spans="1:55" ht="14.25" customHeight="1">
      <c r="A105" t="s">
        <v>170</v>
      </c>
      <c r="B105" t="s">
        <v>171</v>
      </c>
      <c r="C105" t="s">
        <v>158</v>
      </c>
      <c r="D105" s="17" t="s">
        <v>54</v>
      </c>
      <c r="E105">
        <v>35.76</v>
      </c>
      <c r="F105">
        <v>35.69</v>
      </c>
      <c r="G105" s="11">
        <f t="shared" si="29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0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19"/>
        <v>1</v>
      </c>
      <c r="AB105">
        <v>21</v>
      </c>
      <c r="AC105" s="11">
        <f t="shared" si="28"/>
        <v>2</v>
      </c>
      <c r="AD105">
        <v>414.67</v>
      </c>
      <c r="AE105">
        <v>394.58</v>
      </c>
      <c r="AF105">
        <v>516.41</v>
      </c>
      <c r="AG105" s="12">
        <f t="shared" si="20"/>
        <v>3.5</v>
      </c>
      <c r="AH105" s="11">
        <f t="shared" si="21"/>
        <v>8.5</v>
      </c>
      <c r="AI105" s="11">
        <v>11</v>
      </c>
      <c r="AJ105" s="11">
        <f t="shared" si="22"/>
        <v>1</v>
      </c>
      <c r="AK105" s="11">
        <f t="shared" si="23"/>
        <v>13.75</v>
      </c>
      <c r="AL105" s="10" t="str">
        <f t="shared" si="31"/>
        <v>Pos</v>
      </c>
      <c r="AM105" s="14" t="str">
        <f t="shared" si="32"/>
        <v>INDO SMC Date, Price</v>
      </c>
      <c r="AN105" s="52">
        <v>16</v>
      </c>
      <c r="AO105" s="13">
        <f t="shared" si="33"/>
        <v>17</v>
      </c>
      <c r="AP105" s="13">
        <f t="shared" si="27"/>
        <v>0</v>
      </c>
      <c r="AQ105" s="11">
        <v>1</v>
      </c>
      <c r="AR105">
        <v>149</v>
      </c>
      <c r="AS105" s="11"/>
      <c r="AT105" s="11"/>
      <c r="AU105">
        <v>149</v>
      </c>
      <c r="AV105" s="13"/>
      <c r="AW105">
        <v>155</v>
      </c>
      <c r="AX105">
        <v>151</v>
      </c>
      <c r="AY105">
        <v>147</v>
      </c>
    </row>
    <row r="106" spans="1:55" ht="12.75" customHeight="1">
      <c r="A106" t="s">
        <v>172</v>
      </c>
      <c r="B106" t="s">
        <v>173</v>
      </c>
      <c r="C106" t="s">
        <v>158</v>
      </c>
      <c r="D106" s="17" t="s">
        <v>94</v>
      </c>
      <c r="E106">
        <v>1.59</v>
      </c>
      <c r="F106">
        <v>31.23</v>
      </c>
      <c r="G106" s="11">
        <f t="shared" si="29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0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19"/>
        <v>1</v>
      </c>
      <c r="AB106">
        <v>0</v>
      </c>
      <c r="AC106" s="11">
        <f t="shared" si="28"/>
        <v>0</v>
      </c>
      <c r="AD106">
        <v>-29.06</v>
      </c>
      <c r="AE106">
        <v>-8.44</v>
      </c>
      <c r="AF106">
        <v>48.5</v>
      </c>
      <c r="AG106" s="12">
        <f t="shared" si="20"/>
        <v>2.5999999999999996</v>
      </c>
      <c r="AH106" s="11">
        <f t="shared" si="21"/>
        <v>5.6</v>
      </c>
      <c r="AI106" s="11">
        <v>11</v>
      </c>
      <c r="AJ106" s="11">
        <f t="shared" si="22"/>
        <v>1</v>
      </c>
      <c r="AK106" s="11">
        <f t="shared" si="23"/>
        <v>9.5</v>
      </c>
      <c r="AL106" s="10" t="str">
        <f t="shared" si="31"/>
        <v>Rec</v>
      </c>
      <c r="AM106" s="14" t="str">
        <f t="shared" si="32"/>
        <v>GRE Renew Enertech D</v>
      </c>
      <c r="AN106" s="52">
        <v>16</v>
      </c>
      <c r="AO106" s="13">
        <f t="shared" si="33"/>
        <v>17</v>
      </c>
      <c r="AP106" s="13">
        <f t="shared" si="27"/>
        <v>0</v>
      </c>
      <c r="AQ106" s="11">
        <v>1</v>
      </c>
      <c r="AR106"/>
      <c r="AS106" s="11"/>
      <c r="AT106" s="11"/>
      <c r="AU106"/>
      <c r="AV106" s="13"/>
    </row>
    <row r="107" spans="1:55" ht="12.75" customHeight="1">
      <c r="A107" t="s">
        <v>174</v>
      </c>
      <c r="B107" t="s">
        <v>175</v>
      </c>
      <c r="C107" t="s">
        <v>158</v>
      </c>
      <c r="D107" s="17" t="s">
        <v>77</v>
      </c>
      <c r="E107">
        <v>4.6900000000000004</v>
      </c>
      <c r="F107">
        <v>18.43</v>
      </c>
      <c r="G107" s="11">
        <f t="shared" si="29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0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19"/>
        <v>-0.7</v>
      </c>
      <c r="AB107">
        <v>0</v>
      </c>
      <c r="AC107" s="11">
        <f t="shared" si="28"/>
        <v>0</v>
      </c>
      <c r="AD107">
        <v>51.53</v>
      </c>
      <c r="AE107">
        <v>10.45</v>
      </c>
      <c r="AF107">
        <v>27.46</v>
      </c>
      <c r="AG107" s="12">
        <f t="shared" si="20"/>
        <v>5.6</v>
      </c>
      <c r="AH107" s="11">
        <f t="shared" si="21"/>
        <v>4.8999999999999995</v>
      </c>
      <c r="AI107" s="11">
        <v>11</v>
      </c>
      <c r="AJ107" s="11">
        <f t="shared" si="22"/>
        <v>1</v>
      </c>
      <c r="AK107" s="11">
        <f t="shared" si="23"/>
        <v>13.299999999999997</v>
      </c>
      <c r="AL107" s="10" t="str">
        <f t="shared" si="31"/>
        <v>Neg</v>
      </c>
      <c r="AM107" s="14" t="str">
        <f t="shared" si="32"/>
        <v>Armour Security Date</v>
      </c>
      <c r="AN107" s="52">
        <v>19</v>
      </c>
      <c r="AO107" s="13">
        <f t="shared" si="33"/>
        <v>20</v>
      </c>
      <c r="AP107" s="13">
        <f t="shared" si="27"/>
        <v>0</v>
      </c>
      <c r="AQ107" s="11">
        <v>1</v>
      </c>
      <c r="AR107"/>
      <c r="AS107" s="11"/>
      <c r="AT107" s="11"/>
      <c r="AU107"/>
      <c r="AV107" s="13"/>
    </row>
    <row r="108" spans="1:55" ht="12.75" customHeight="1">
      <c r="A108" t="s">
        <v>176</v>
      </c>
      <c r="B108" t="s">
        <v>177</v>
      </c>
      <c r="C108" t="s">
        <v>158</v>
      </c>
      <c r="D108" s="17" t="s">
        <v>77</v>
      </c>
      <c r="E108">
        <v>36.82</v>
      </c>
      <c r="F108">
        <v>20.27</v>
      </c>
      <c r="G108" s="11">
        <f t="shared" si="29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0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19"/>
        <v>-0.7</v>
      </c>
      <c r="AB108">
        <v>0</v>
      </c>
      <c r="AC108" s="11">
        <f t="shared" si="28"/>
        <v>0</v>
      </c>
      <c r="AD108">
        <v>147.31</v>
      </c>
      <c r="AE108">
        <v>41.55</v>
      </c>
      <c r="AF108">
        <v>238.4</v>
      </c>
      <c r="AG108" s="12">
        <f t="shared" si="20"/>
        <v>3.5</v>
      </c>
      <c r="AH108" s="11">
        <f t="shared" si="21"/>
        <v>2.8</v>
      </c>
      <c r="AI108" s="11">
        <v>11</v>
      </c>
      <c r="AJ108" s="11">
        <f t="shared" si="22"/>
        <v>1</v>
      </c>
      <c r="AK108" s="11">
        <f t="shared" si="23"/>
        <v>8.0500000000000007</v>
      </c>
      <c r="AL108" s="10" t="str">
        <f t="shared" si="31"/>
        <v>Neg</v>
      </c>
      <c r="AM108" s="14" t="str">
        <f t="shared" si="32"/>
        <v>Aritas Vinyl Date, P</v>
      </c>
      <c r="AN108" s="52">
        <v>20</v>
      </c>
      <c r="AO108" s="13">
        <f t="shared" si="33"/>
        <v>21</v>
      </c>
      <c r="AP108" s="13">
        <f t="shared" si="27"/>
        <v>0</v>
      </c>
      <c r="AQ108" s="11">
        <v>1</v>
      </c>
      <c r="AR108"/>
      <c r="AS108" s="11"/>
      <c r="AT108" s="11"/>
      <c r="AU108"/>
      <c r="AV108" s="13"/>
    </row>
    <row r="109" spans="1:55" ht="12.75" customHeight="1">
      <c r="A109" t="s">
        <v>178</v>
      </c>
      <c r="B109" t="s">
        <v>179</v>
      </c>
      <c r="C109" t="s">
        <v>158</v>
      </c>
      <c r="D109" s="17" t="s">
        <v>94</v>
      </c>
      <c r="E109">
        <v>13.34</v>
      </c>
      <c r="F109">
        <v>33.46</v>
      </c>
      <c r="G109" s="11">
        <f t="shared" si="29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0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19"/>
        <v>-0.7</v>
      </c>
      <c r="AB109">
        <v>0</v>
      </c>
      <c r="AC109" s="11">
        <f t="shared" si="28"/>
        <v>0</v>
      </c>
      <c r="AD109">
        <v>237.92</v>
      </c>
      <c r="AE109">
        <v>39.61</v>
      </c>
      <c r="AF109">
        <v>148.22</v>
      </c>
      <c r="AG109" s="12">
        <f t="shared" si="20"/>
        <v>4.0999999999999996</v>
      </c>
      <c r="AH109" s="11">
        <f t="shared" si="21"/>
        <v>4.3999999999999995</v>
      </c>
      <c r="AI109" s="11">
        <v>13</v>
      </c>
      <c r="AJ109" s="11">
        <f t="shared" si="22"/>
        <v>0.98</v>
      </c>
      <c r="AK109" s="11">
        <f t="shared" si="23"/>
        <v>10.338999999999999</v>
      </c>
      <c r="AL109" s="10" t="str">
        <f t="shared" si="31"/>
        <v>Rec</v>
      </c>
      <c r="AM109" s="14" t="str">
        <f t="shared" si="32"/>
        <v>Digilogic Systems Da</v>
      </c>
      <c r="AN109" s="52">
        <v>22</v>
      </c>
      <c r="AO109" s="13">
        <f t="shared" si="33"/>
        <v>23</v>
      </c>
      <c r="AP109" s="13">
        <f t="shared" si="27"/>
        <v>0</v>
      </c>
      <c r="AQ109" s="11">
        <v>1</v>
      </c>
      <c r="AR109"/>
      <c r="AS109" s="11"/>
      <c r="AT109" s="11"/>
      <c r="AU109"/>
      <c r="AV109" s="13"/>
    </row>
    <row r="110" spans="1:55" ht="17.25" customHeight="1">
      <c r="A110" t="s">
        <v>180</v>
      </c>
      <c r="B110" t="s">
        <v>181</v>
      </c>
      <c r="C110" t="s">
        <v>158</v>
      </c>
      <c r="D110" s="17" t="s">
        <v>54</v>
      </c>
      <c r="E110">
        <v>31.2</v>
      </c>
      <c r="F110">
        <v>23.88</v>
      </c>
      <c r="G110" s="11">
        <f t="shared" si="29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0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19"/>
        <v>0</v>
      </c>
      <c r="AB110">
        <v>11.85</v>
      </c>
      <c r="AC110" s="11">
        <f t="shared" si="28"/>
        <v>2</v>
      </c>
      <c r="AD110">
        <v>254.84</v>
      </c>
      <c r="AE110">
        <v>13.88</v>
      </c>
      <c r="AF110">
        <v>102.72</v>
      </c>
      <c r="AG110" s="12">
        <f t="shared" si="20"/>
        <v>3.5</v>
      </c>
      <c r="AH110" s="11">
        <f t="shared" si="21"/>
        <v>7.5</v>
      </c>
      <c r="AI110" s="11">
        <v>13</v>
      </c>
      <c r="AJ110" s="11">
        <f t="shared" si="22"/>
        <v>0.98</v>
      </c>
      <c r="AK110" s="11">
        <f t="shared" si="23"/>
        <v>12.494999999999999</v>
      </c>
      <c r="AL110" s="10" t="str">
        <f t="shared" si="31"/>
        <v>Pos</v>
      </c>
      <c r="AM110" s="14" t="str">
        <f t="shared" si="32"/>
        <v>KRM Ayurveda Date, P</v>
      </c>
      <c r="AN110" s="52">
        <v>23</v>
      </c>
      <c r="AO110" s="13">
        <f t="shared" si="33"/>
        <v>24</v>
      </c>
      <c r="AP110" s="13">
        <f t="shared" si="27"/>
        <v>0</v>
      </c>
      <c r="AQ110" s="11">
        <v>1</v>
      </c>
      <c r="AR110"/>
      <c r="AS110" s="11"/>
      <c r="AT110" s="11"/>
      <c r="AU110"/>
      <c r="AV110" s="13"/>
    </row>
    <row r="111" spans="1:55" ht="12.75" customHeight="1">
      <c r="A111" t="s">
        <v>182</v>
      </c>
      <c r="B111" t="s">
        <v>183</v>
      </c>
      <c r="C111" t="s">
        <v>158</v>
      </c>
      <c r="D111" s="17" t="s">
        <v>94</v>
      </c>
      <c r="E111">
        <v>33.58</v>
      </c>
      <c r="F111">
        <v>48.93</v>
      </c>
      <c r="G111" s="11">
        <f t="shared" si="29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0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19"/>
        <v>1</v>
      </c>
      <c r="AB111">
        <v>2.85</v>
      </c>
      <c r="AC111" s="11">
        <f t="shared" si="28"/>
        <v>0</v>
      </c>
      <c r="AD111">
        <v>77.150000000000006</v>
      </c>
      <c r="AE111">
        <v>22.43</v>
      </c>
      <c r="AF111">
        <v>11.38</v>
      </c>
      <c r="AG111" s="12">
        <f t="shared" si="20"/>
        <v>6.2</v>
      </c>
      <c r="AH111" s="11">
        <f t="shared" si="21"/>
        <v>8.1999999999999993</v>
      </c>
      <c r="AI111" s="11">
        <v>13</v>
      </c>
      <c r="AJ111" s="11">
        <f t="shared" si="22"/>
        <v>0.98</v>
      </c>
      <c r="AK111" s="11">
        <f t="shared" si="23"/>
        <v>17.149999999999999</v>
      </c>
      <c r="AL111" s="10" t="str">
        <f t="shared" si="31"/>
        <v>Rec</v>
      </c>
      <c r="AM111" s="14" t="str">
        <f t="shared" si="32"/>
        <v>Hannah Joseph Hospit</v>
      </c>
      <c r="AN111" s="52">
        <v>27</v>
      </c>
      <c r="AO111" s="13">
        <f t="shared" si="33"/>
        <v>28</v>
      </c>
      <c r="AP111" s="13">
        <f t="shared" si="27"/>
        <v>3</v>
      </c>
      <c r="AQ111" s="11">
        <v>1</v>
      </c>
      <c r="AR111"/>
      <c r="AS111" s="11"/>
      <c r="AT111" s="11"/>
      <c r="AU111"/>
      <c r="AV111" s="13"/>
    </row>
    <row r="112" spans="1:55" ht="12.75" customHeight="1">
      <c r="A112" t="s">
        <v>184</v>
      </c>
      <c r="B112" t="s">
        <v>185</v>
      </c>
      <c r="C112" t="s">
        <v>158</v>
      </c>
      <c r="D112" s="17" t="s">
        <v>54</v>
      </c>
      <c r="E112">
        <v>13.92</v>
      </c>
      <c r="F112">
        <v>9.91</v>
      </c>
      <c r="G112" s="11">
        <f t="shared" si="29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0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19"/>
        <v>0</v>
      </c>
      <c r="AB112">
        <v>0</v>
      </c>
      <c r="AC112" s="11">
        <f t="shared" si="28"/>
        <v>0</v>
      </c>
      <c r="AD112">
        <v>41.52</v>
      </c>
      <c r="AE112">
        <v>51.7</v>
      </c>
      <c r="AF112">
        <v>148.37</v>
      </c>
      <c r="AG112" s="12">
        <f t="shared" si="20"/>
        <v>4.5</v>
      </c>
      <c r="AH112" s="11">
        <f t="shared" si="21"/>
        <v>6.5</v>
      </c>
      <c r="AI112" s="11">
        <v>13</v>
      </c>
      <c r="AJ112" s="11">
        <f t="shared" si="22"/>
        <v>0.98</v>
      </c>
      <c r="AK112" s="11">
        <f t="shared" si="23"/>
        <v>12.984999999999999</v>
      </c>
      <c r="AL112" s="10" t="str">
        <f t="shared" si="31"/>
        <v>Pos</v>
      </c>
      <c r="AM112" s="14" t="str">
        <f t="shared" si="32"/>
        <v xml:space="preserve">Shayona Engineering </v>
      </c>
      <c r="AN112" s="52">
        <v>27</v>
      </c>
      <c r="AO112" s="13">
        <f t="shared" si="33"/>
        <v>28</v>
      </c>
      <c r="AP112" s="13">
        <f t="shared" si="27"/>
        <v>0</v>
      </c>
      <c r="AQ112" s="11">
        <v>1</v>
      </c>
      <c r="AR112"/>
      <c r="AS112" s="11"/>
      <c r="AT112" s="11"/>
      <c r="AU112"/>
      <c r="AV112" s="13"/>
    </row>
    <row r="113" spans="1:51" ht="12.75" customHeight="1">
      <c r="A113" t="s">
        <v>186</v>
      </c>
      <c r="B113" t="s">
        <v>187</v>
      </c>
      <c r="C113" t="s">
        <v>158</v>
      </c>
      <c r="D113" s="17" t="s">
        <v>54</v>
      </c>
      <c r="E113">
        <v>13.15</v>
      </c>
      <c r="F113">
        <v>17.760000000000002</v>
      </c>
      <c r="G113" s="11">
        <f t="shared" si="29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0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19"/>
        <v>1</v>
      </c>
      <c r="AB113">
        <v>0</v>
      </c>
      <c r="AC113" s="11">
        <f t="shared" si="28"/>
        <v>0</v>
      </c>
      <c r="AD113">
        <v>-11.91</v>
      </c>
      <c r="AE113">
        <v>13.98</v>
      </c>
      <c r="AF113">
        <v>44.51</v>
      </c>
      <c r="AG113" s="12">
        <f t="shared" si="20"/>
        <v>3.7</v>
      </c>
      <c r="AH113" s="11">
        <f t="shared" si="21"/>
        <v>6.7</v>
      </c>
      <c r="AI113" s="11">
        <v>13</v>
      </c>
      <c r="AJ113" s="11">
        <f t="shared" si="22"/>
        <v>0.98</v>
      </c>
      <c r="AK113" s="11">
        <f t="shared" si="23"/>
        <v>12.004999999999999</v>
      </c>
      <c r="AL113" s="10" t="str">
        <f t="shared" si="31"/>
        <v>Pos</v>
      </c>
      <c r="AM113" s="14" t="str">
        <f t="shared" si="32"/>
        <v>Kasturi Metal Compos</v>
      </c>
      <c r="AN113" s="52">
        <v>29</v>
      </c>
      <c r="AO113" s="13">
        <f t="shared" si="33"/>
        <v>30</v>
      </c>
      <c r="AP113" s="13">
        <f t="shared" si="27"/>
        <v>0</v>
      </c>
      <c r="AQ113" s="11">
        <v>1</v>
      </c>
      <c r="AR113"/>
      <c r="AS113" s="11"/>
      <c r="AT113" s="11"/>
      <c r="AU113"/>
      <c r="AV113" s="13"/>
    </row>
    <row r="114" spans="1:51" ht="14.25" customHeight="1">
      <c r="A114" t="s">
        <v>188</v>
      </c>
      <c r="B114" t="s">
        <v>189</v>
      </c>
      <c r="C114" t="s">
        <v>158</v>
      </c>
      <c r="D114" s="17" t="s">
        <v>77</v>
      </c>
      <c r="E114">
        <v>22.74</v>
      </c>
      <c r="F114">
        <v>16.57</v>
      </c>
      <c r="G114" s="11">
        <f t="shared" si="29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0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19"/>
        <v>-1.7</v>
      </c>
      <c r="AB114">
        <v>9.59</v>
      </c>
      <c r="AC114" s="11">
        <f t="shared" si="28"/>
        <v>1</v>
      </c>
      <c r="AD114">
        <v>100</v>
      </c>
      <c r="AE114">
        <v>0.99</v>
      </c>
      <c r="AF114">
        <v>22.47</v>
      </c>
      <c r="AG114" s="12">
        <f t="shared" si="20"/>
        <v>0.5</v>
      </c>
      <c r="AH114" s="11">
        <f t="shared" si="21"/>
        <v>-0.19999999999999996</v>
      </c>
      <c r="AI114" s="11">
        <v>13</v>
      </c>
      <c r="AJ114" s="11">
        <f t="shared" si="22"/>
        <v>0.98</v>
      </c>
      <c r="AK114" s="11">
        <f t="shared" si="23"/>
        <v>0.53900000000000003</v>
      </c>
      <c r="AL114" s="10" t="str">
        <f t="shared" si="31"/>
        <v>Neg</v>
      </c>
      <c r="AM114" s="14" t="str">
        <f t="shared" si="32"/>
        <v>Kanishk Aluminium In</v>
      </c>
      <c r="AN114" s="52">
        <v>30</v>
      </c>
      <c r="AO114" s="13">
        <f t="shared" si="33"/>
        <v>31</v>
      </c>
      <c r="AP114" s="13">
        <f t="shared" si="27"/>
        <v>0</v>
      </c>
      <c r="AQ114" s="11">
        <v>1</v>
      </c>
      <c r="AR114"/>
      <c r="AS114" s="11"/>
      <c r="AT114" s="11"/>
      <c r="AU114"/>
      <c r="AV114" s="13"/>
    </row>
    <row r="115" spans="1:51" ht="12" customHeight="1">
      <c r="A115" t="s">
        <v>190</v>
      </c>
      <c r="B115" t="s">
        <v>191</v>
      </c>
      <c r="C115" t="s">
        <v>158</v>
      </c>
      <c r="D115" s="17" t="s">
        <v>54</v>
      </c>
      <c r="E115">
        <v>32.56</v>
      </c>
      <c r="F115">
        <v>25.65</v>
      </c>
      <c r="G115" s="11">
        <f t="shared" si="29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0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19"/>
        <v>1</v>
      </c>
      <c r="AB115">
        <v>20.329999999999998</v>
      </c>
      <c r="AC115" s="11">
        <f t="shared" si="28"/>
        <v>2</v>
      </c>
      <c r="AD115">
        <v>98.63</v>
      </c>
      <c r="AE115">
        <v>48.16</v>
      </c>
      <c r="AF115">
        <v>102.93</v>
      </c>
      <c r="AG115" s="12">
        <f t="shared" si="20"/>
        <v>4.5</v>
      </c>
      <c r="AH115" s="11">
        <f t="shared" si="21"/>
        <v>9.5</v>
      </c>
      <c r="AI115" s="11">
        <v>13</v>
      </c>
      <c r="AJ115" s="11">
        <f t="shared" si="22"/>
        <v>0.98</v>
      </c>
      <c r="AK115" s="11">
        <f t="shared" si="23"/>
        <v>15.924999999999999</v>
      </c>
      <c r="AL115" s="10" t="str">
        <f t="shared" si="31"/>
        <v>Pos</v>
      </c>
      <c r="AM115" s="14" t="str">
        <f t="shared" si="32"/>
        <v>Msafe Equipments Dat</v>
      </c>
      <c r="AN115" s="52">
        <v>30</v>
      </c>
      <c r="AO115" s="13">
        <f t="shared" si="33"/>
        <v>31</v>
      </c>
      <c r="AP115" s="13">
        <f t="shared" si="27"/>
        <v>1</v>
      </c>
      <c r="AQ115" s="11">
        <v>1</v>
      </c>
      <c r="AR115"/>
      <c r="AS115" s="11"/>
      <c r="AT115" s="11"/>
      <c r="AU115"/>
      <c r="AV115" s="13"/>
    </row>
    <row r="116" spans="1:51" ht="12.75" customHeight="1">
      <c r="A116" t="s">
        <v>192</v>
      </c>
      <c r="B116" t="s">
        <v>193</v>
      </c>
      <c r="C116" t="s">
        <v>158</v>
      </c>
      <c r="D116" s="17" t="s">
        <v>54</v>
      </c>
      <c r="E116">
        <v>3.86</v>
      </c>
      <c r="F116">
        <v>5.35</v>
      </c>
      <c r="G116" s="11">
        <f t="shared" si="29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0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19"/>
        <v>1</v>
      </c>
      <c r="AB116">
        <v>0</v>
      </c>
      <c r="AC116" s="11">
        <f t="shared" si="28"/>
        <v>0</v>
      </c>
      <c r="AD116">
        <v>218.29</v>
      </c>
      <c r="AE116">
        <v>208.85</v>
      </c>
      <c r="AF116">
        <v>395.37</v>
      </c>
      <c r="AG116" s="12">
        <f t="shared" si="20"/>
        <v>6.2</v>
      </c>
      <c r="AH116" s="11">
        <f t="shared" si="21"/>
        <v>8.1999999999999993</v>
      </c>
      <c r="AI116" s="11">
        <v>13</v>
      </c>
      <c r="AJ116" s="11">
        <f t="shared" si="22"/>
        <v>0.98</v>
      </c>
      <c r="AK116" s="11">
        <f t="shared" si="23"/>
        <v>17.149999999999999</v>
      </c>
      <c r="AL116" s="10" t="str">
        <f t="shared" si="31"/>
        <v>Pos</v>
      </c>
      <c r="AM116" s="14" t="str">
        <f t="shared" si="32"/>
        <v xml:space="preserve">Accretion Nutraveda </v>
      </c>
      <c r="AN116" s="52">
        <v>30</v>
      </c>
      <c r="AO116" s="13">
        <f t="shared" si="33"/>
        <v>31</v>
      </c>
      <c r="AP116" s="13">
        <f t="shared" si="27"/>
        <v>3</v>
      </c>
      <c r="AQ116" s="11">
        <v>1</v>
      </c>
      <c r="AR116"/>
      <c r="AS116" s="11"/>
      <c r="AT116" s="11"/>
      <c r="AU116"/>
      <c r="AV116" s="13"/>
    </row>
    <row r="117" spans="1:51" ht="12.75" customHeight="1">
      <c r="A117" t="s">
        <v>194</v>
      </c>
      <c r="B117" t="s">
        <v>195</v>
      </c>
      <c r="C117" t="s">
        <v>158</v>
      </c>
      <c r="D117" s="17" t="s">
        <v>54</v>
      </c>
      <c r="E117">
        <v>0</v>
      </c>
      <c r="F117">
        <v>42.53</v>
      </c>
      <c r="G117" s="11">
        <f t="shared" si="29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0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19"/>
        <v>-0.7</v>
      </c>
      <c r="AB117">
        <v>0</v>
      </c>
      <c r="AC117" s="11">
        <f t="shared" si="28"/>
        <v>0</v>
      </c>
      <c r="AD117">
        <v>29.12</v>
      </c>
      <c r="AE117">
        <v>29.36</v>
      </c>
      <c r="AF117">
        <v>62.51</v>
      </c>
      <c r="AG117" s="12">
        <f t="shared" si="20"/>
        <v>3.5999999999999996</v>
      </c>
      <c r="AH117" s="11">
        <f t="shared" si="21"/>
        <v>3.8999999999999995</v>
      </c>
      <c r="AI117" s="11">
        <v>12</v>
      </c>
      <c r="AJ117" s="11">
        <f t="shared" si="22"/>
        <v>1</v>
      </c>
      <c r="AK117" s="11">
        <f t="shared" si="23"/>
        <v>9.2999999999999989</v>
      </c>
      <c r="AL117" s="10" t="str">
        <f t="shared" si="31"/>
        <v>Pos</v>
      </c>
      <c r="AM117" s="14" t="str">
        <f t="shared" si="32"/>
        <v>CKK Retail Mart Date</v>
      </c>
      <c r="AN117" s="53">
        <v>3</v>
      </c>
      <c r="AO117" s="13">
        <f t="shared" si="33"/>
        <v>4</v>
      </c>
      <c r="AP117" s="13">
        <f t="shared" si="27"/>
        <v>0</v>
      </c>
      <c r="AQ117" s="11">
        <v>1</v>
      </c>
      <c r="AR117"/>
      <c r="AS117" s="11"/>
      <c r="AT117" s="11"/>
      <c r="AU117" s="54"/>
      <c r="AV117" s="21"/>
      <c r="AW117" s="54"/>
      <c r="AX117" s="54"/>
      <c r="AY117" s="54"/>
    </row>
    <row r="118" spans="1:51" ht="17.25" customHeight="1">
      <c r="A118" t="s">
        <v>196</v>
      </c>
      <c r="B118" t="s">
        <v>197</v>
      </c>
      <c r="C118" t="s">
        <v>158</v>
      </c>
      <c r="D118" s="17" t="s">
        <v>54</v>
      </c>
      <c r="E118">
        <v>11.87</v>
      </c>
      <c r="F118">
        <v>29.79</v>
      </c>
      <c r="G118" s="11">
        <f t="shared" si="29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0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19"/>
        <v>1</v>
      </c>
      <c r="AB118">
        <v>15.91</v>
      </c>
      <c r="AC118" s="11">
        <f t="shared" si="28"/>
        <v>2</v>
      </c>
      <c r="AD118">
        <v>153.33000000000001</v>
      </c>
      <c r="AE118">
        <v>10.37</v>
      </c>
      <c r="AF118">
        <v>236.99</v>
      </c>
      <c r="AG118" s="12">
        <f t="shared" si="20"/>
        <v>6.6</v>
      </c>
      <c r="AH118" s="11">
        <f t="shared" si="21"/>
        <v>11.6</v>
      </c>
      <c r="AI118" s="11">
        <v>12</v>
      </c>
      <c r="AJ118" s="11">
        <f t="shared" si="22"/>
        <v>1</v>
      </c>
      <c r="AK118" s="11">
        <f t="shared" si="23"/>
        <v>21.5</v>
      </c>
      <c r="AL118" s="10" t="str">
        <f t="shared" si="31"/>
        <v>Pos</v>
      </c>
      <c r="AM118" s="14" t="str">
        <f t="shared" si="32"/>
        <v>Brandman Retail Date</v>
      </c>
      <c r="AN118" s="53">
        <v>6</v>
      </c>
      <c r="AO118" s="13">
        <f t="shared" si="33"/>
        <v>7</v>
      </c>
      <c r="AP118" s="13">
        <f t="shared" si="27"/>
        <v>1</v>
      </c>
      <c r="AQ118" s="11">
        <v>1</v>
      </c>
      <c r="AR118"/>
      <c r="AS118" s="11"/>
      <c r="AT118" s="11"/>
      <c r="AU118"/>
      <c r="AV118" s="13"/>
    </row>
    <row r="119" spans="1:51" ht="12.75" customHeight="1">
      <c r="A119" t="s">
        <v>198</v>
      </c>
      <c r="B119" t="s">
        <v>199</v>
      </c>
      <c r="C119" t="s">
        <v>158</v>
      </c>
      <c r="D119" s="17" t="s">
        <v>54</v>
      </c>
      <c r="E119">
        <v>9.34</v>
      </c>
      <c r="F119">
        <v>16.690000000000001</v>
      </c>
      <c r="G119" s="11">
        <f t="shared" si="29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0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19"/>
        <v>0</v>
      </c>
      <c r="AB119">
        <v>3.4</v>
      </c>
      <c r="AC119" s="11">
        <f t="shared" si="28"/>
        <v>0</v>
      </c>
      <c r="AD119">
        <v>174.1</v>
      </c>
      <c r="AE119">
        <v>78.66</v>
      </c>
      <c r="AF119">
        <v>84.01</v>
      </c>
      <c r="AG119" s="12">
        <f t="shared" si="20"/>
        <v>6.4</v>
      </c>
      <c r="AH119" s="11">
        <f t="shared" si="21"/>
        <v>8.4</v>
      </c>
      <c r="AI119" s="11">
        <v>12</v>
      </c>
      <c r="AJ119" s="11">
        <f t="shared" si="22"/>
        <v>1</v>
      </c>
      <c r="AK119" s="11">
        <f t="shared" si="23"/>
        <v>18</v>
      </c>
      <c r="AL119" s="10" t="str">
        <f t="shared" si="31"/>
        <v>Pos</v>
      </c>
      <c r="AM119" s="14" t="str">
        <f t="shared" si="32"/>
        <v>Grover Jewells Date,</v>
      </c>
      <c r="AN119" s="55">
        <v>6</v>
      </c>
      <c r="AO119" s="13">
        <f t="shared" si="33"/>
        <v>7</v>
      </c>
      <c r="AP119" s="13">
        <f t="shared" si="27"/>
        <v>2</v>
      </c>
      <c r="AQ119" s="11">
        <v>1</v>
      </c>
      <c r="AR119"/>
      <c r="AS119" s="11"/>
      <c r="AT119" s="11"/>
      <c r="AU119" s="54"/>
      <c r="AV119" s="21"/>
      <c r="AW119" s="54"/>
      <c r="AX119" s="54"/>
      <c r="AY119" s="54"/>
    </row>
    <row r="120" spans="1:51" ht="12.75" customHeight="1">
      <c r="A120" t="s">
        <v>200</v>
      </c>
      <c r="B120" t="s">
        <v>201</v>
      </c>
      <c r="C120" t="s">
        <v>158</v>
      </c>
      <c r="D120" s="17" t="s">
        <v>77</v>
      </c>
      <c r="E120">
        <v>0</v>
      </c>
      <c r="F120">
        <v>18.260000000000002</v>
      </c>
      <c r="G120" s="11">
        <f t="shared" si="29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0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19"/>
        <v>1</v>
      </c>
      <c r="AB120">
        <v>0</v>
      </c>
      <c r="AC120" s="11">
        <f t="shared" si="28"/>
        <v>0</v>
      </c>
      <c r="AD120">
        <v>19.52</v>
      </c>
      <c r="AE120">
        <v>0.63</v>
      </c>
      <c r="AF120">
        <v>30.06</v>
      </c>
      <c r="AG120" s="12">
        <f t="shared" si="20"/>
        <v>4.0999999999999996</v>
      </c>
      <c r="AH120" s="11">
        <f t="shared" si="21"/>
        <v>7.1</v>
      </c>
      <c r="AI120" s="11">
        <v>12</v>
      </c>
      <c r="AJ120" s="11">
        <f t="shared" si="22"/>
        <v>1</v>
      </c>
      <c r="AK120" s="11">
        <f t="shared" si="23"/>
        <v>13.25</v>
      </c>
      <c r="AL120" s="10" t="str">
        <f t="shared" si="31"/>
        <v>Neg</v>
      </c>
      <c r="AM120" s="14" t="str">
        <f t="shared" si="32"/>
        <v>PAN HR Solutions Dat</v>
      </c>
      <c r="AN120" s="53">
        <v>10</v>
      </c>
      <c r="AO120" s="13">
        <f t="shared" si="33"/>
        <v>11</v>
      </c>
      <c r="AP120" s="13">
        <f t="shared" si="27"/>
        <v>0</v>
      </c>
      <c r="AQ120" s="11">
        <v>1</v>
      </c>
      <c r="AR120"/>
      <c r="AS120" s="11"/>
      <c r="AT120" s="11"/>
      <c r="AU120"/>
      <c r="AV120" s="13"/>
    </row>
    <row r="121" spans="1:51" ht="12.75" customHeight="1">
      <c r="A121" t="s">
        <v>202</v>
      </c>
      <c r="B121" t="s">
        <v>203</v>
      </c>
      <c r="C121" t="s">
        <v>158</v>
      </c>
      <c r="D121" s="17" t="s">
        <v>77</v>
      </c>
      <c r="E121">
        <v>7.69</v>
      </c>
      <c r="F121">
        <v>13.53</v>
      </c>
      <c r="G121" s="11">
        <f t="shared" si="29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0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19"/>
        <v>1</v>
      </c>
      <c r="AB121">
        <v>2.78</v>
      </c>
      <c r="AC121" s="11">
        <f t="shared" si="28"/>
        <v>0</v>
      </c>
      <c r="AD121">
        <v>46.28</v>
      </c>
      <c r="AE121">
        <v>181.99</v>
      </c>
      <c r="AF121">
        <v>47.07</v>
      </c>
      <c r="AG121" s="12">
        <f t="shared" si="20"/>
        <v>3.9</v>
      </c>
      <c r="AH121" s="11">
        <f t="shared" si="21"/>
        <v>6.9</v>
      </c>
      <c r="AI121" s="11">
        <v>12</v>
      </c>
      <c r="AJ121" s="11">
        <f t="shared" si="22"/>
        <v>1</v>
      </c>
      <c r="AK121" s="11">
        <f t="shared" si="23"/>
        <v>12.75</v>
      </c>
      <c r="AL121" s="10" t="str">
        <f t="shared" si="31"/>
        <v>Neg</v>
      </c>
      <c r="AM121" s="14" t="str">
        <f t="shared" si="32"/>
        <v>Biopol Chemicals Dat</v>
      </c>
      <c r="AN121" s="53">
        <v>10</v>
      </c>
      <c r="AO121" s="13">
        <f t="shared" si="33"/>
        <v>11</v>
      </c>
      <c r="AP121" s="13">
        <f t="shared" si="27"/>
        <v>0</v>
      </c>
      <c r="AQ121" s="11">
        <v>1</v>
      </c>
      <c r="AR121"/>
      <c r="AS121" s="11"/>
      <c r="AT121" s="11"/>
      <c r="AU121"/>
      <c r="AV121" s="13"/>
    </row>
    <row r="122" spans="1:51" ht="12.75" customHeight="1">
      <c r="A122" t="s">
        <v>204</v>
      </c>
      <c r="B122" t="s">
        <v>205</v>
      </c>
      <c r="C122" t="s">
        <v>158</v>
      </c>
      <c r="D122" s="17" t="s">
        <v>54</v>
      </c>
      <c r="E122">
        <v>21.37</v>
      </c>
      <c r="F122">
        <v>15.37</v>
      </c>
      <c r="G122" s="11">
        <f t="shared" si="29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0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19"/>
        <v>0</v>
      </c>
      <c r="AB122">
        <v>0</v>
      </c>
      <c r="AC122" s="11">
        <f t="shared" si="28"/>
        <v>0</v>
      </c>
      <c r="AD122">
        <v>100.32</v>
      </c>
      <c r="AE122">
        <v>40.770000000000003</v>
      </c>
      <c r="AF122">
        <v>81.89</v>
      </c>
      <c r="AG122" s="12">
        <f t="shared" si="20"/>
        <v>3.5</v>
      </c>
      <c r="AH122" s="11">
        <f t="shared" si="21"/>
        <v>4.5</v>
      </c>
      <c r="AI122" s="11">
        <v>13</v>
      </c>
      <c r="AJ122" s="11">
        <f t="shared" si="22"/>
        <v>0.98</v>
      </c>
      <c r="AK122" s="11">
        <f t="shared" si="23"/>
        <v>9.5549999999999997</v>
      </c>
      <c r="AL122" s="10" t="str">
        <f t="shared" si="31"/>
        <v>Pos</v>
      </c>
      <c r="AM122" s="14" t="str">
        <f t="shared" si="32"/>
        <v>Marushika Technology</v>
      </c>
      <c r="AN122" s="53">
        <v>16</v>
      </c>
      <c r="AO122" s="13">
        <f t="shared" si="33"/>
        <v>17</v>
      </c>
      <c r="AP122" s="13">
        <f t="shared" si="27"/>
        <v>0</v>
      </c>
      <c r="AQ122" s="11">
        <v>1</v>
      </c>
      <c r="AR122"/>
      <c r="AS122" s="11"/>
      <c r="AT122" s="11"/>
      <c r="AU122"/>
      <c r="AV122" s="13"/>
    </row>
    <row r="123" spans="1:51" ht="12.75" customHeight="1">
      <c r="A123" t="s">
        <v>206</v>
      </c>
      <c r="B123" t="s">
        <v>207</v>
      </c>
      <c r="C123" t="s">
        <v>158</v>
      </c>
      <c r="D123" s="17" t="s">
        <v>54</v>
      </c>
      <c r="E123">
        <v>27.61</v>
      </c>
      <c r="F123">
        <v>15.7</v>
      </c>
      <c r="G123" s="11">
        <f t="shared" si="29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0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19"/>
        <v>1</v>
      </c>
      <c r="AB123">
        <v>0</v>
      </c>
      <c r="AC123" s="11">
        <f t="shared" si="28"/>
        <v>0</v>
      </c>
      <c r="AD123">
        <v>232.16</v>
      </c>
      <c r="AE123">
        <v>70.989999999999995</v>
      </c>
      <c r="AF123">
        <v>92.4</v>
      </c>
      <c r="AG123" s="12">
        <f t="shared" si="20"/>
        <v>5.4</v>
      </c>
      <c r="AH123" s="11">
        <f t="shared" si="21"/>
        <v>8.4</v>
      </c>
      <c r="AI123" s="11">
        <v>13</v>
      </c>
      <c r="AJ123" s="11">
        <f t="shared" si="22"/>
        <v>0.98</v>
      </c>
      <c r="AK123" s="11">
        <f t="shared" si="23"/>
        <v>16.169999999999998</v>
      </c>
      <c r="AL123" s="10" t="str">
        <f t="shared" si="31"/>
        <v>Pos</v>
      </c>
      <c r="AM123" s="14" t="str">
        <f t="shared" si="32"/>
        <v>Fractal Industries D</v>
      </c>
      <c r="AN123" s="53">
        <v>18</v>
      </c>
      <c r="AO123" s="13">
        <f t="shared" si="33"/>
        <v>19</v>
      </c>
      <c r="AP123" s="13">
        <f t="shared" si="27"/>
        <v>3</v>
      </c>
      <c r="AQ123" s="11">
        <v>1</v>
      </c>
      <c r="AR123">
        <v>224</v>
      </c>
      <c r="AS123" s="11">
        <v>260</v>
      </c>
      <c r="AT123" s="11">
        <v>380</v>
      </c>
      <c r="AU123">
        <v>229</v>
      </c>
      <c r="AV123" s="13"/>
    </row>
    <row r="124" spans="1:51" ht="12.75" customHeight="1">
      <c r="A124" t="s">
        <v>208</v>
      </c>
      <c r="B124" t="s">
        <v>209</v>
      </c>
      <c r="C124" t="s">
        <v>158</v>
      </c>
      <c r="D124" s="17" t="s">
        <v>77</v>
      </c>
      <c r="E124">
        <v>43.85</v>
      </c>
      <c r="F124">
        <v>19.62</v>
      </c>
      <c r="G124" s="11">
        <f t="shared" si="29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0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19"/>
        <v>1</v>
      </c>
      <c r="AB124">
        <v>0</v>
      </c>
      <c r="AC124" s="11">
        <f t="shared" si="28"/>
        <v>0</v>
      </c>
      <c r="AD124">
        <v>923.89</v>
      </c>
      <c r="AE124">
        <v>448.46</v>
      </c>
      <c r="AF124">
        <v>143.72999999999999</v>
      </c>
      <c r="AG124" s="12">
        <f t="shared" si="20"/>
        <v>1.5</v>
      </c>
      <c r="AH124" s="11">
        <f t="shared" si="21"/>
        <v>2.5</v>
      </c>
      <c r="AI124" s="11">
        <v>14</v>
      </c>
      <c r="AJ124" s="11">
        <f t="shared" si="22"/>
        <v>0.98</v>
      </c>
      <c r="AK124" s="11">
        <f t="shared" si="23"/>
        <v>4.6550000000000002</v>
      </c>
      <c r="AL124" s="10" t="str">
        <f t="shared" si="31"/>
        <v>Neg</v>
      </c>
      <c r="AM124" s="14" t="str">
        <f t="shared" si="32"/>
        <v xml:space="preserve">Yashhtej Industries </v>
      </c>
      <c r="AN124" s="53">
        <v>20</v>
      </c>
      <c r="AO124" s="13">
        <v>23</v>
      </c>
      <c r="AP124" s="13">
        <f t="shared" si="27"/>
        <v>0</v>
      </c>
      <c r="AQ124" s="11">
        <v>1</v>
      </c>
      <c r="AR124">
        <v>110</v>
      </c>
      <c r="AS124" s="11">
        <v>57</v>
      </c>
      <c r="AT124" s="11">
        <v>69</v>
      </c>
      <c r="AU124" s="11">
        <v>88</v>
      </c>
      <c r="AV124" s="13"/>
    </row>
    <row r="125" spans="1:51" ht="12.75" customHeight="1">
      <c r="A125" t="s">
        <v>210</v>
      </c>
      <c r="B125" t="s">
        <v>211</v>
      </c>
      <c r="C125" t="s">
        <v>158</v>
      </c>
      <c r="D125" s="17" t="s">
        <v>77</v>
      </c>
      <c r="E125">
        <v>62.44</v>
      </c>
      <c r="F125">
        <v>33.869999999999997</v>
      </c>
      <c r="G125" s="11">
        <f t="shared" si="29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0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19"/>
        <v>0</v>
      </c>
      <c r="AB125">
        <v>0</v>
      </c>
      <c r="AC125" s="11">
        <f t="shared" si="28"/>
        <v>0</v>
      </c>
      <c r="AD125">
        <v>138.06</v>
      </c>
      <c r="AE125">
        <v>2.98</v>
      </c>
      <c r="AF125">
        <v>28.39</v>
      </c>
      <c r="AG125" s="12">
        <f t="shared" si="20"/>
        <v>0.5</v>
      </c>
      <c r="AH125" s="11">
        <f t="shared" si="21"/>
        <v>1.5</v>
      </c>
      <c r="AI125" s="11">
        <v>14</v>
      </c>
      <c r="AJ125" s="11">
        <f t="shared" si="22"/>
        <v>0.98</v>
      </c>
      <c r="AK125" s="11">
        <f t="shared" si="23"/>
        <v>2.2050000000000001</v>
      </c>
      <c r="AL125" s="10" t="str">
        <f t="shared" si="31"/>
        <v>Neg</v>
      </c>
      <c r="AM125" s="14" t="str">
        <f t="shared" si="32"/>
        <v>Manilam Industries D</v>
      </c>
      <c r="AN125" s="53">
        <v>24</v>
      </c>
      <c r="AO125" s="13">
        <v>25</v>
      </c>
      <c r="AP125" s="13">
        <f t="shared" si="27"/>
        <v>0</v>
      </c>
      <c r="AQ125" s="11">
        <v>1</v>
      </c>
      <c r="AR125">
        <v>69</v>
      </c>
      <c r="AS125" s="11">
        <v>43</v>
      </c>
      <c r="AT125" s="11">
        <v>52</v>
      </c>
      <c r="AU125">
        <v>55</v>
      </c>
      <c r="AV125" s="13"/>
      <c r="AW125">
        <v>55</v>
      </c>
    </row>
    <row r="126" spans="1:51" ht="15" customHeight="1">
      <c r="A126" t="s">
        <v>212</v>
      </c>
      <c r="B126" t="s">
        <v>213</v>
      </c>
      <c r="C126" t="s">
        <v>158</v>
      </c>
      <c r="D126" s="17" t="s">
        <v>77</v>
      </c>
      <c r="E126">
        <v>28.67</v>
      </c>
      <c r="F126">
        <v>40.67</v>
      </c>
      <c r="G126" s="11">
        <f t="shared" si="29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0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19"/>
        <v>-0.7</v>
      </c>
      <c r="AB126">
        <v>6</v>
      </c>
      <c r="AC126" s="11">
        <f t="shared" si="28"/>
        <v>1</v>
      </c>
      <c r="AD126">
        <v>45.99</v>
      </c>
      <c r="AE126">
        <v>41.68</v>
      </c>
      <c r="AF126">
        <v>219.98</v>
      </c>
      <c r="AG126" s="12">
        <f t="shared" si="20"/>
        <v>3.3000000000000003</v>
      </c>
      <c r="AH126" s="11">
        <f t="shared" si="21"/>
        <v>5.6000000000000005</v>
      </c>
      <c r="AI126" s="11">
        <v>13</v>
      </c>
      <c r="AJ126" s="11">
        <f t="shared" si="22"/>
        <v>0.98</v>
      </c>
      <c r="AK126" s="11">
        <f t="shared" si="23"/>
        <v>10.339</v>
      </c>
      <c r="AL126" s="10" t="str">
        <f t="shared" si="31"/>
        <v>Neg</v>
      </c>
      <c r="AM126" s="73" t="str">
        <f t="shared" si="32"/>
        <v xml:space="preserve">Kiaasa Retail Date, </v>
      </c>
      <c r="AN126" s="53">
        <v>25</v>
      </c>
      <c r="AO126" s="13">
        <v>26</v>
      </c>
      <c r="AP126" s="13">
        <f t="shared" si="27"/>
        <v>0</v>
      </c>
      <c r="AQ126" s="11">
        <v>1</v>
      </c>
      <c r="AR126">
        <v>127</v>
      </c>
      <c r="AS126" s="11">
        <v>58</v>
      </c>
      <c r="AT126" s="11">
        <v>73</v>
      </c>
      <c r="AU126">
        <v>123</v>
      </c>
      <c r="AV126" s="13"/>
      <c r="AW126">
        <v>116</v>
      </c>
    </row>
    <row r="127" spans="1:51" ht="15" customHeight="1">
      <c r="A127" t="s">
        <v>214</v>
      </c>
      <c r="B127" t="s">
        <v>215</v>
      </c>
      <c r="C127" t="s">
        <v>158</v>
      </c>
      <c r="D127" s="17" t="s">
        <v>77</v>
      </c>
      <c r="E127">
        <v>0.11</v>
      </c>
      <c r="F127">
        <v>8.26</v>
      </c>
      <c r="G127" s="11">
        <f t="shared" si="29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0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19"/>
        <v>0</v>
      </c>
      <c r="AB127">
        <v>8.75</v>
      </c>
      <c r="AC127" s="11">
        <f t="shared" si="28"/>
        <v>1</v>
      </c>
      <c r="AD127">
        <v>51.94</v>
      </c>
      <c r="AE127">
        <v>33.880000000000003</v>
      </c>
      <c r="AF127">
        <v>130.72999999999999</v>
      </c>
      <c r="AG127" s="12">
        <f t="shared" si="20"/>
        <v>7.6</v>
      </c>
      <c r="AH127" s="11">
        <f t="shared" si="21"/>
        <v>10.6</v>
      </c>
      <c r="AI127" s="11">
        <v>13</v>
      </c>
      <c r="AJ127" s="11">
        <f t="shared" si="22"/>
        <v>0.98</v>
      </c>
      <c r="AK127" s="11">
        <f t="shared" si="23"/>
        <v>20.481999999999999</v>
      </c>
      <c r="AL127" s="10" t="s">
        <v>94</v>
      </c>
      <c r="AM127" s="14" t="str">
        <f t="shared" si="32"/>
        <v>Mobilise App Date, P</v>
      </c>
      <c r="AN127" s="53">
        <v>25</v>
      </c>
      <c r="AO127" s="13">
        <v>26</v>
      </c>
      <c r="AP127" s="13">
        <f t="shared" si="27"/>
        <v>1</v>
      </c>
      <c r="AQ127" s="11">
        <v>0.95</v>
      </c>
      <c r="AR127">
        <v>80</v>
      </c>
      <c r="AS127" s="11">
        <v>45</v>
      </c>
      <c r="AT127" s="11">
        <v>68</v>
      </c>
      <c r="AU127" s="11">
        <v>64</v>
      </c>
      <c r="AW127" s="13">
        <v>67</v>
      </c>
    </row>
    <row r="128" spans="1:51" ht="15" customHeight="1">
      <c r="A128" t="s">
        <v>216</v>
      </c>
      <c r="B128" t="s">
        <v>217</v>
      </c>
      <c r="C128" t="s">
        <v>158</v>
      </c>
      <c r="D128" s="17" t="s">
        <v>54</v>
      </c>
      <c r="E128">
        <v>11.81</v>
      </c>
      <c r="F128">
        <v>21.54</v>
      </c>
      <c r="G128" s="11">
        <f t="shared" si="29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0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19"/>
        <v>1</v>
      </c>
      <c r="AB128">
        <v>26.09</v>
      </c>
      <c r="AC128" s="11">
        <f t="shared" si="28"/>
        <v>2</v>
      </c>
      <c r="AD128">
        <v>275.77999999999997</v>
      </c>
      <c r="AE128">
        <v>62.96</v>
      </c>
      <c r="AF128">
        <v>256.62</v>
      </c>
      <c r="AG128" s="12">
        <f t="shared" si="20"/>
        <v>4.9000000000000004</v>
      </c>
      <c r="AH128" s="11">
        <f t="shared" si="21"/>
        <v>9.9</v>
      </c>
      <c r="AI128" s="11">
        <v>13</v>
      </c>
      <c r="AJ128" s="11">
        <f t="shared" si="22"/>
        <v>0.98</v>
      </c>
      <c r="AK128" s="11">
        <f t="shared" si="23"/>
        <v>16.905000000000001</v>
      </c>
      <c r="AL128" s="10" t="str">
        <f t="shared" ref="AL128:AL191" si="34">D128</f>
        <v>Pos</v>
      </c>
      <c r="AM128" s="14" t="str">
        <f t="shared" si="32"/>
        <v>Accord Transformer &amp;</v>
      </c>
      <c r="AN128" s="53">
        <v>25</v>
      </c>
      <c r="AO128" s="13">
        <v>26</v>
      </c>
      <c r="AP128" s="13">
        <f t="shared" si="27"/>
        <v>0</v>
      </c>
      <c r="AQ128" s="11">
        <v>1</v>
      </c>
      <c r="AR128">
        <v>46</v>
      </c>
      <c r="AS128" s="11">
        <v>52</v>
      </c>
      <c r="AT128" s="11">
        <v>65</v>
      </c>
      <c r="AU128">
        <v>50</v>
      </c>
      <c r="AW128" s="13">
        <v>52</v>
      </c>
    </row>
    <row r="129" spans="1:50" ht="12.75" customHeight="1">
      <c r="A129" t="s">
        <v>218</v>
      </c>
      <c r="B129" t="s">
        <v>219</v>
      </c>
      <c r="C129" t="s">
        <v>158</v>
      </c>
      <c r="D129" s="17" t="s">
        <v>77</v>
      </c>
      <c r="E129">
        <v>22.8</v>
      </c>
      <c r="F129">
        <v>22.25</v>
      </c>
      <c r="G129" s="11">
        <f t="shared" si="29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0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19"/>
        <v>1</v>
      </c>
      <c r="AB129">
        <v>1</v>
      </c>
      <c r="AC129" s="11">
        <f t="shared" si="28"/>
        <v>0</v>
      </c>
      <c r="AD129">
        <v>375.3</v>
      </c>
      <c r="AE129">
        <v>36.56</v>
      </c>
      <c r="AF129">
        <v>123.62</v>
      </c>
      <c r="AG129" s="12">
        <f t="shared" si="20"/>
        <v>3.6</v>
      </c>
      <c r="AH129" s="11">
        <f t="shared" si="21"/>
        <v>6.6</v>
      </c>
      <c r="AI129" s="11">
        <v>13</v>
      </c>
      <c r="AJ129" s="11">
        <f t="shared" si="22"/>
        <v>0.98</v>
      </c>
      <c r="AK129" s="11">
        <f t="shared" si="23"/>
        <v>11.76</v>
      </c>
      <c r="AL129" s="10" t="str">
        <f t="shared" si="34"/>
        <v>Neg</v>
      </c>
      <c r="AM129" s="14" t="str">
        <f t="shared" si="32"/>
        <v>Yaap Digital Date, P</v>
      </c>
      <c r="AN129" s="53">
        <v>27</v>
      </c>
      <c r="AO129" s="13">
        <v>30</v>
      </c>
      <c r="AP129" s="13">
        <f t="shared" si="27"/>
        <v>0</v>
      </c>
      <c r="AQ129" s="11">
        <v>1</v>
      </c>
      <c r="AR129">
        <v>145</v>
      </c>
      <c r="AS129" s="11">
        <v>59</v>
      </c>
      <c r="AT129" s="11">
        <v>70</v>
      </c>
      <c r="AU129">
        <v>127</v>
      </c>
      <c r="AV129" s="13"/>
      <c r="AW129">
        <v>133.37</v>
      </c>
    </row>
    <row r="130" spans="1:50" ht="12.75" customHeight="1">
      <c r="A130" t="s">
        <v>220</v>
      </c>
      <c r="B130" t="s">
        <v>221</v>
      </c>
      <c r="C130" t="s">
        <v>158</v>
      </c>
      <c r="D130" s="17" t="s">
        <v>77</v>
      </c>
      <c r="E130">
        <v>20.55</v>
      </c>
      <c r="F130">
        <v>14.88</v>
      </c>
      <c r="G130" s="11">
        <f t="shared" ref="G130:G142" si="35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36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37">IF(X130&lt;50,IF(Y130&gt;(2.3*X130),0,1),1)-IF(Z130&gt;Y130,1.7,0)</f>
        <v>1</v>
      </c>
      <c r="AB130">
        <v>0</v>
      </c>
      <c r="AC130" s="11">
        <f t="shared" si="28"/>
        <v>0</v>
      </c>
      <c r="AD130">
        <v>91.57</v>
      </c>
      <c r="AE130">
        <v>48.31</v>
      </c>
      <c r="AF130">
        <v>129.97999999999999</v>
      </c>
      <c r="AG130" s="12">
        <f t="shared" ref="AG130:AG193" si="38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39">AG130+IF(X130&lt;1.35,0,1)+IF(Y130&lt;1.35,0,1)+AC130+AA130</f>
        <v>5.5</v>
      </c>
      <c r="AI130" s="11">
        <v>18</v>
      </c>
      <c r="AJ130" s="11">
        <f t="shared" ref="AJ130:AJ193" si="40">IF(AI130&gt;12.7,IF(AI130&gt;15.8,0.93,0.98),1)</f>
        <v>0.93</v>
      </c>
      <c r="AK130" s="11">
        <f t="shared" ref="AK130:AK193" si="41">(1.5*AG130+AH130)*AJ130*AQ130</f>
        <v>8.6025000000000009</v>
      </c>
      <c r="AL130" s="10" t="str">
        <f t="shared" si="34"/>
        <v>Neg</v>
      </c>
      <c r="AM130" s="14" t="str">
        <f t="shared" ref="AM130:AM142" si="42">B130</f>
        <v>Striders Impex Date,</v>
      </c>
      <c r="AN130" s="52">
        <v>2</v>
      </c>
      <c r="AO130" s="13">
        <v>3</v>
      </c>
      <c r="AP130" s="13">
        <f t="shared" ref="AP130:AP193" si="43">IF(AK130&gt;14.9,IF(Z130&lt;101,IF(Z130&lt;35,IF(Z130&lt;6,3,2),1),0),0)</f>
        <v>0</v>
      </c>
      <c r="AQ130" s="11">
        <v>1</v>
      </c>
      <c r="AR130">
        <v>72</v>
      </c>
      <c r="AS130" s="11">
        <v>48</v>
      </c>
      <c r="AT130" s="11">
        <v>52</v>
      </c>
      <c r="AU130">
        <v>70</v>
      </c>
      <c r="AV130" s="13"/>
    </row>
    <row r="131" spans="1:50" ht="12.75" customHeight="1">
      <c r="A131" t="s">
        <v>222</v>
      </c>
      <c r="B131" t="s">
        <v>223</v>
      </c>
      <c r="C131" t="s">
        <v>158</v>
      </c>
      <c r="D131" s="17" t="s">
        <v>54</v>
      </c>
      <c r="E131">
        <v>0.49</v>
      </c>
      <c r="F131">
        <v>12.77</v>
      </c>
      <c r="G131" s="11">
        <f t="shared" si="35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36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37"/>
        <v>1</v>
      </c>
      <c r="AB131">
        <v>0</v>
      </c>
      <c r="AC131" s="11">
        <f t="shared" ref="AC131:AC194" si="44">IF(AB131&gt;4,1,0)+IF(AB131&gt;10,1,0)</f>
        <v>0</v>
      </c>
      <c r="AD131">
        <v>71.14</v>
      </c>
      <c r="AE131">
        <v>16.8</v>
      </c>
      <c r="AF131">
        <v>116.81</v>
      </c>
      <c r="AG131" s="12">
        <f t="shared" si="38"/>
        <v>6.6</v>
      </c>
      <c r="AH131" s="11">
        <f t="shared" si="39"/>
        <v>8.6</v>
      </c>
      <c r="AI131" s="11">
        <v>18</v>
      </c>
      <c r="AJ131" s="11">
        <f t="shared" si="40"/>
        <v>0.93</v>
      </c>
      <c r="AK131" s="11">
        <f t="shared" si="41"/>
        <v>17.205000000000002</v>
      </c>
      <c r="AL131" s="10" t="str">
        <f t="shared" si="34"/>
        <v>Pos</v>
      </c>
      <c r="AM131" s="14" t="str">
        <f t="shared" si="42"/>
        <v>Acetech E-Commerce D</v>
      </c>
      <c r="AN131" s="52">
        <v>4</v>
      </c>
      <c r="AO131" s="13">
        <v>5</v>
      </c>
      <c r="AP131" s="13">
        <f t="shared" si="43"/>
        <v>3</v>
      </c>
      <c r="AQ131" s="11">
        <v>1</v>
      </c>
      <c r="AR131">
        <v>112</v>
      </c>
      <c r="AS131" s="11">
        <v>84</v>
      </c>
      <c r="AT131" s="11">
        <v>98</v>
      </c>
      <c r="AU131">
        <v>112</v>
      </c>
      <c r="AV131" s="13"/>
      <c r="AW131">
        <v>117</v>
      </c>
    </row>
    <row r="132" spans="1:50" ht="12.75" customHeight="1">
      <c r="A132" t="s">
        <v>224</v>
      </c>
      <c r="B132" t="s">
        <v>225</v>
      </c>
      <c r="C132" t="s">
        <v>158</v>
      </c>
      <c r="D132" s="17" t="s">
        <v>54</v>
      </c>
      <c r="E132">
        <v>12.19</v>
      </c>
      <c r="F132">
        <v>13.78</v>
      </c>
      <c r="G132" s="11">
        <f t="shared" si="35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36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37"/>
        <v>1</v>
      </c>
      <c r="AB132">
        <v>0</v>
      </c>
      <c r="AC132" s="11">
        <f t="shared" si="44"/>
        <v>0</v>
      </c>
      <c r="AD132">
        <v>38.04</v>
      </c>
      <c r="AE132">
        <v>17.420000000000002</v>
      </c>
      <c r="AF132">
        <v>58.39</v>
      </c>
      <c r="AG132" s="12">
        <f t="shared" si="38"/>
        <v>2.2000000000000002</v>
      </c>
      <c r="AH132" s="11">
        <f t="shared" si="39"/>
        <v>5.2</v>
      </c>
      <c r="AI132" s="11">
        <v>18</v>
      </c>
      <c r="AJ132" s="11">
        <f t="shared" si="40"/>
        <v>0.93</v>
      </c>
      <c r="AK132" s="11">
        <f t="shared" si="41"/>
        <v>7.9050000000000002</v>
      </c>
      <c r="AL132" s="10" t="str">
        <f t="shared" si="34"/>
        <v>Pos</v>
      </c>
      <c r="AM132" s="14" t="str">
        <f t="shared" si="42"/>
        <v>Elfin Agro India Dat</v>
      </c>
      <c r="AN132" s="52">
        <v>9</v>
      </c>
      <c r="AO132" s="13">
        <v>10</v>
      </c>
      <c r="AP132" s="13">
        <f t="shared" si="43"/>
        <v>0</v>
      </c>
      <c r="AQ132" s="11">
        <v>1</v>
      </c>
      <c r="AR132">
        <v>47</v>
      </c>
      <c r="AS132" s="11">
        <v>33</v>
      </c>
      <c r="AT132" s="11">
        <v>41</v>
      </c>
      <c r="AU132">
        <v>47.3</v>
      </c>
      <c r="AV132" s="13"/>
    </row>
    <row r="133" spans="1:50" ht="15" customHeight="1">
      <c r="A133" t="s">
        <v>226</v>
      </c>
      <c r="B133" t="s">
        <v>227</v>
      </c>
      <c r="C133" t="s">
        <v>158</v>
      </c>
      <c r="D133" s="17" t="s">
        <v>54</v>
      </c>
      <c r="E133">
        <v>17.25</v>
      </c>
      <c r="F133">
        <v>15.91</v>
      </c>
      <c r="G133" s="11">
        <f t="shared" si="35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36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37"/>
        <v>1</v>
      </c>
      <c r="AB133">
        <v>0</v>
      </c>
      <c r="AC133" s="11">
        <f t="shared" si="44"/>
        <v>0</v>
      </c>
      <c r="AD133">
        <v>85.63</v>
      </c>
      <c r="AE133">
        <v>154.41</v>
      </c>
      <c r="AF133">
        <v>106.09</v>
      </c>
      <c r="AG133" s="12">
        <f t="shared" si="38"/>
        <v>4.4000000000000004</v>
      </c>
      <c r="AH133" s="11">
        <f t="shared" si="39"/>
        <v>6.4</v>
      </c>
      <c r="AI133" s="11">
        <v>18</v>
      </c>
      <c r="AJ133" s="11">
        <f t="shared" si="40"/>
        <v>0.93</v>
      </c>
      <c r="AK133" s="11">
        <f t="shared" si="41"/>
        <v>12.09</v>
      </c>
      <c r="AL133" s="10" t="str">
        <f t="shared" si="34"/>
        <v>Pos</v>
      </c>
      <c r="AM133" s="14" t="str">
        <f t="shared" si="42"/>
        <v>Srinibas Pradhan Con</v>
      </c>
      <c r="AN133" s="52">
        <v>10</v>
      </c>
      <c r="AO133" s="13">
        <v>11</v>
      </c>
      <c r="AP133" s="13">
        <f t="shared" si="43"/>
        <v>0</v>
      </c>
      <c r="AQ133" s="11">
        <v>1</v>
      </c>
      <c r="AR133">
        <v>98</v>
      </c>
      <c r="AS133" s="11">
        <v>62</v>
      </c>
      <c r="AT133" s="11">
        <v>78</v>
      </c>
      <c r="AU133">
        <v>100</v>
      </c>
      <c r="AV133" s="13"/>
    </row>
    <row r="134" spans="1:50" ht="15" customHeight="1">
      <c r="A134" t="s">
        <v>228</v>
      </c>
      <c r="B134" t="s">
        <v>229</v>
      </c>
      <c r="C134" t="s">
        <v>158</v>
      </c>
      <c r="D134" s="17" t="s">
        <v>54</v>
      </c>
      <c r="E134">
        <v>2.84</v>
      </c>
      <c r="F134">
        <v>10.57</v>
      </c>
      <c r="G134" s="11">
        <f t="shared" si="35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36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37"/>
        <v>1</v>
      </c>
      <c r="AB134">
        <v>16</v>
      </c>
      <c r="AC134" s="11">
        <f t="shared" si="44"/>
        <v>2</v>
      </c>
      <c r="AD134">
        <v>160.38999999999999</v>
      </c>
      <c r="AE134">
        <v>21.86</v>
      </c>
      <c r="AF134">
        <v>168.96</v>
      </c>
      <c r="AG134" s="12">
        <f t="shared" si="38"/>
        <v>6.1</v>
      </c>
      <c r="AH134" s="11">
        <f t="shared" si="39"/>
        <v>11.1</v>
      </c>
      <c r="AI134" s="11">
        <v>18</v>
      </c>
      <c r="AJ134" s="11">
        <f t="shared" si="40"/>
        <v>0.93</v>
      </c>
      <c r="AK134" s="11">
        <f t="shared" si="41"/>
        <v>18.8325</v>
      </c>
      <c r="AL134" s="10" t="str">
        <f t="shared" si="34"/>
        <v>Pos</v>
      </c>
      <c r="AM134" s="14" t="str">
        <f t="shared" si="42"/>
        <v xml:space="preserve">Apsis Aerocom Date, </v>
      </c>
      <c r="AN134" s="52">
        <v>13</v>
      </c>
      <c r="AO134" s="13">
        <v>16</v>
      </c>
      <c r="AP134" s="13">
        <f t="shared" si="43"/>
        <v>1</v>
      </c>
      <c r="AQ134" s="11">
        <v>1</v>
      </c>
      <c r="AR134">
        <v>110</v>
      </c>
      <c r="AS134" s="11">
        <v>137</v>
      </c>
      <c r="AT134" s="11">
        <v>165</v>
      </c>
      <c r="AU134">
        <v>153</v>
      </c>
      <c r="AV134" s="13"/>
      <c r="AW134">
        <v>160</v>
      </c>
    </row>
    <row r="135" spans="1:50" ht="12.75" customHeight="1">
      <c r="A135" t="s">
        <v>230</v>
      </c>
      <c r="B135" t="s">
        <v>231</v>
      </c>
      <c r="C135" t="s">
        <v>158</v>
      </c>
      <c r="D135" s="17" t="s">
        <v>54</v>
      </c>
      <c r="E135">
        <v>0</v>
      </c>
      <c r="F135">
        <v>13.09</v>
      </c>
      <c r="G135" s="11">
        <f t="shared" si="35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36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37"/>
        <v>-0.7</v>
      </c>
      <c r="AB135">
        <v>0.23499999999999999</v>
      </c>
      <c r="AC135" s="11">
        <f t="shared" si="44"/>
        <v>0</v>
      </c>
      <c r="AD135">
        <v>20.95</v>
      </c>
      <c r="AE135">
        <v>42.14</v>
      </c>
      <c r="AF135">
        <v>37.79</v>
      </c>
      <c r="AG135" s="12">
        <f t="shared" si="38"/>
        <v>6.5</v>
      </c>
      <c r="AH135" s="11">
        <f t="shared" si="39"/>
        <v>5.8</v>
      </c>
      <c r="AI135" s="11">
        <v>17.204999999999998</v>
      </c>
      <c r="AJ135" s="11">
        <f t="shared" si="40"/>
        <v>0.93</v>
      </c>
      <c r="AK135" s="11">
        <f t="shared" si="41"/>
        <v>14.461500000000001</v>
      </c>
      <c r="AL135" s="10" t="str">
        <f t="shared" si="34"/>
        <v>Pos</v>
      </c>
      <c r="AM135" s="14" t="str">
        <f t="shared" si="42"/>
        <v xml:space="preserve">Novus Loyalty Date, </v>
      </c>
      <c r="AN135" s="52">
        <v>20</v>
      </c>
      <c r="AO135" s="13">
        <v>23</v>
      </c>
      <c r="AP135" s="13">
        <f t="shared" si="43"/>
        <v>0</v>
      </c>
      <c r="AQ135" s="11">
        <v>1</v>
      </c>
      <c r="AR135">
        <v>146</v>
      </c>
      <c r="AS135" s="11">
        <v>90</v>
      </c>
      <c r="AT135" s="11">
        <v>105</v>
      </c>
      <c r="AU135">
        <v>146</v>
      </c>
      <c r="AV135" s="13"/>
      <c r="AW135">
        <v>147</v>
      </c>
      <c r="AX135">
        <v>149.5</v>
      </c>
    </row>
    <row r="136" spans="1:50" ht="12.75" customHeight="1">
      <c r="A136" t="s">
        <v>232</v>
      </c>
      <c r="B136" t="s">
        <v>233</v>
      </c>
      <c r="C136" t="s">
        <v>158</v>
      </c>
      <c r="D136" s="17" t="s">
        <v>54</v>
      </c>
      <c r="E136">
        <v>5.05</v>
      </c>
      <c r="F136">
        <v>30.42</v>
      </c>
      <c r="G136" s="11">
        <f t="shared" si="35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36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37"/>
        <v>-0.7</v>
      </c>
      <c r="AB136">
        <v>0.23499999999999999</v>
      </c>
      <c r="AC136" s="11">
        <f t="shared" si="44"/>
        <v>0</v>
      </c>
      <c r="AD136">
        <v>193.86</v>
      </c>
      <c r="AE136">
        <v>111.64</v>
      </c>
      <c r="AF136">
        <v>101.99</v>
      </c>
      <c r="AG136" s="12">
        <f t="shared" si="38"/>
        <v>4.6999999999999993</v>
      </c>
      <c r="AH136" s="11">
        <f t="shared" si="39"/>
        <v>3.9999999999999991</v>
      </c>
      <c r="AI136" s="11">
        <v>17.204999999999998</v>
      </c>
      <c r="AJ136" s="11">
        <f t="shared" si="40"/>
        <v>0.93</v>
      </c>
      <c r="AK136" s="11">
        <f t="shared" si="41"/>
        <v>10.276499999999999</v>
      </c>
      <c r="AL136" s="10" t="str">
        <f t="shared" si="34"/>
        <v>Pos</v>
      </c>
      <c r="AM136" s="14" t="str">
        <f t="shared" si="42"/>
        <v>Speciality Medicines</v>
      </c>
      <c r="AN136" s="52">
        <v>20</v>
      </c>
      <c r="AO136" s="13">
        <v>23</v>
      </c>
      <c r="AP136" s="13">
        <f t="shared" si="43"/>
        <v>0</v>
      </c>
      <c r="AQ136" s="11">
        <v>1</v>
      </c>
      <c r="AR136" s="11">
        <v>124</v>
      </c>
      <c r="AS136" s="11">
        <v>94</v>
      </c>
      <c r="AT136" s="11">
        <v>118</v>
      </c>
      <c r="AU136" s="11">
        <v>124</v>
      </c>
      <c r="AV136" s="13"/>
      <c r="AW136" s="11">
        <v>126</v>
      </c>
    </row>
    <row r="137" spans="1:50" ht="12.75" customHeight="1">
      <c r="A137" t="s">
        <v>234</v>
      </c>
      <c r="B137" t="s">
        <v>235</v>
      </c>
      <c r="C137" t="s">
        <v>158</v>
      </c>
      <c r="D137" s="17" t="s">
        <v>54</v>
      </c>
      <c r="E137">
        <v>37.229999999999997</v>
      </c>
      <c r="F137">
        <v>33.229999999999997</v>
      </c>
      <c r="G137" s="11">
        <f t="shared" si="35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36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37"/>
        <v>1</v>
      </c>
      <c r="AB137">
        <v>0</v>
      </c>
      <c r="AC137" s="11">
        <f t="shared" si="44"/>
        <v>0</v>
      </c>
      <c r="AD137">
        <v>84.73</v>
      </c>
      <c r="AE137">
        <v>31.58</v>
      </c>
      <c r="AF137">
        <v>165.63</v>
      </c>
      <c r="AG137" s="12">
        <f t="shared" si="38"/>
        <v>4</v>
      </c>
      <c r="AH137" s="11">
        <f t="shared" si="39"/>
        <v>7</v>
      </c>
      <c r="AI137" s="11">
        <v>24</v>
      </c>
      <c r="AJ137" s="11">
        <f t="shared" si="40"/>
        <v>0.93</v>
      </c>
      <c r="AK137" s="11">
        <f t="shared" si="41"/>
        <v>12.09</v>
      </c>
      <c r="AL137" s="10" t="str">
        <f t="shared" si="34"/>
        <v>Pos</v>
      </c>
      <c r="AM137" s="14" t="str">
        <f t="shared" si="42"/>
        <v>Tipco Engineering Da</v>
      </c>
      <c r="AN137" s="52">
        <v>25</v>
      </c>
      <c r="AO137" s="13">
        <v>26</v>
      </c>
      <c r="AP137" s="13">
        <f t="shared" si="43"/>
        <v>0</v>
      </c>
      <c r="AQ137" s="11">
        <v>1</v>
      </c>
      <c r="AR137" s="11">
        <v>89</v>
      </c>
      <c r="AS137" s="11">
        <v>102</v>
      </c>
      <c r="AT137" s="11">
        <v>119</v>
      </c>
      <c r="AU137" s="11">
        <v>89.25</v>
      </c>
      <c r="AV137" s="13"/>
    </row>
    <row r="138" spans="1:50" ht="12.75" customHeight="1">
      <c r="A138" t="s">
        <v>236</v>
      </c>
      <c r="B138" t="s">
        <v>237</v>
      </c>
      <c r="C138" t="s">
        <v>158</v>
      </c>
      <c r="D138" s="17" t="s">
        <v>54</v>
      </c>
      <c r="E138">
        <v>4.93</v>
      </c>
      <c r="F138">
        <v>6.62</v>
      </c>
      <c r="G138" s="11">
        <f t="shared" si="35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36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37"/>
        <v>1</v>
      </c>
      <c r="AB138">
        <v>0.23499999999999999</v>
      </c>
      <c r="AC138" s="11">
        <f t="shared" si="44"/>
        <v>0</v>
      </c>
      <c r="AD138">
        <v>5.44</v>
      </c>
      <c r="AE138">
        <v>28.94</v>
      </c>
      <c r="AF138">
        <v>61.46</v>
      </c>
      <c r="AG138" s="12">
        <f t="shared" si="38"/>
        <v>4.7</v>
      </c>
      <c r="AH138" s="11">
        <f t="shared" si="39"/>
        <v>7.7</v>
      </c>
      <c r="AI138" s="11">
        <v>17.204999999999998</v>
      </c>
      <c r="AJ138" s="11">
        <f t="shared" si="40"/>
        <v>0.93</v>
      </c>
      <c r="AK138" s="11">
        <f t="shared" si="41"/>
        <v>13.717500000000001</v>
      </c>
      <c r="AL138" s="10" t="str">
        <f t="shared" si="34"/>
        <v>Pos</v>
      </c>
      <c r="AM138" s="14" t="str">
        <f t="shared" si="42"/>
        <v>Highness Microelectro</v>
      </c>
      <c r="AN138">
        <v>27</v>
      </c>
      <c r="AO138" s="13">
        <v>30</v>
      </c>
      <c r="AP138" s="13">
        <f t="shared" si="43"/>
        <v>0</v>
      </c>
      <c r="AQ138" s="11">
        <v>1</v>
      </c>
      <c r="AR138" s="11">
        <v>120</v>
      </c>
      <c r="AS138" s="11">
        <v>88</v>
      </c>
      <c r="AT138" s="11">
        <v>123</v>
      </c>
      <c r="AU138">
        <v>125</v>
      </c>
      <c r="AV138" s="13"/>
      <c r="AW138">
        <v>129</v>
      </c>
    </row>
    <row r="139" spans="1:50" ht="12.75" customHeight="1">
      <c r="A139" t="s">
        <v>238</v>
      </c>
      <c r="B139" t="s">
        <v>239</v>
      </c>
      <c r="C139" t="s">
        <v>158</v>
      </c>
      <c r="D139" s="17" t="s">
        <v>54</v>
      </c>
      <c r="E139">
        <v>4.2300000000000004</v>
      </c>
      <c r="F139">
        <v>27.45</v>
      </c>
      <c r="G139" s="11">
        <f t="shared" si="35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36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37"/>
        <v>1</v>
      </c>
      <c r="AB139">
        <v>0.23499999999999999</v>
      </c>
      <c r="AC139" s="11">
        <f t="shared" si="44"/>
        <v>0</v>
      </c>
      <c r="AD139">
        <v>372.9</v>
      </c>
      <c r="AE139">
        <v>73.95</v>
      </c>
      <c r="AF139">
        <v>293.27</v>
      </c>
      <c r="AG139" s="12">
        <f t="shared" si="38"/>
        <v>6.1</v>
      </c>
      <c r="AH139" s="11">
        <f t="shared" si="39"/>
        <v>9.1</v>
      </c>
      <c r="AI139" s="11">
        <v>17.204999999999998</v>
      </c>
      <c r="AJ139" s="11">
        <f t="shared" si="40"/>
        <v>0.93</v>
      </c>
      <c r="AK139" s="11">
        <f t="shared" si="41"/>
        <v>16.9725</v>
      </c>
      <c r="AL139" s="10" t="str">
        <f t="shared" si="34"/>
        <v>Pos</v>
      </c>
      <c r="AM139" s="14" t="str">
        <f t="shared" si="42"/>
        <v>Vivid Electromech  Pr</v>
      </c>
      <c r="AN139">
        <v>30</v>
      </c>
      <c r="AO139" s="13">
        <v>31</v>
      </c>
      <c r="AP139" s="13">
        <f t="shared" si="43"/>
        <v>3</v>
      </c>
      <c r="AQ139" s="11">
        <v>1</v>
      </c>
      <c r="AR139" s="11">
        <v>555</v>
      </c>
      <c r="AS139" s="11">
        <v>410</v>
      </c>
      <c r="AT139" s="11">
        <v>546</v>
      </c>
      <c r="AU139" s="11">
        <v>565</v>
      </c>
      <c r="AV139" s="13"/>
    </row>
    <row r="140" spans="1:50" ht="12.75" customHeight="1">
      <c r="A140" t="s">
        <v>240</v>
      </c>
      <c r="B140" t="s">
        <v>241</v>
      </c>
      <c r="C140" t="s">
        <v>158</v>
      </c>
      <c r="D140" s="17" t="s">
        <v>54</v>
      </c>
      <c r="E140">
        <v>33.840000000000003</v>
      </c>
      <c r="F140">
        <v>42.17</v>
      </c>
      <c r="G140" s="11">
        <f t="shared" si="35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36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37"/>
        <v>1</v>
      </c>
      <c r="AB140">
        <v>0.23499999999999999</v>
      </c>
      <c r="AC140" s="11">
        <f t="shared" si="44"/>
        <v>0</v>
      </c>
      <c r="AD140">
        <v>124.19</v>
      </c>
      <c r="AE140">
        <v>126.48</v>
      </c>
      <c r="AF140">
        <v>141.25</v>
      </c>
      <c r="AG140" s="12">
        <f t="shared" si="38"/>
        <v>4.7</v>
      </c>
      <c r="AH140" s="11">
        <f t="shared" si="39"/>
        <v>6.7</v>
      </c>
      <c r="AI140" s="11">
        <v>17.204999999999998</v>
      </c>
      <c r="AJ140" s="11">
        <f t="shared" si="40"/>
        <v>0.93</v>
      </c>
      <c r="AK140" s="11">
        <f t="shared" si="41"/>
        <v>12.787500000000001</v>
      </c>
      <c r="AL140" s="10" t="str">
        <f t="shared" si="34"/>
        <v>Pos</v>
      </c>
      <c r="AM140" s="14" t="str">
        <f t="shared" si="42"/>
        <v>Safety Controls  Pric</v>
      </c>
      <c r="AN140">
        <v>8</v>
      </c>
      <c r="AO140" s="13">
        <v>9</v>
      </c>
      <c r="AP140" s="13">
        <f t="shared" si="43"/>
        <v>0</v>
      </c>
      <c r="AQ140" s="11">
        <v>1</v>
      </c>
      <c r="AR140" s="11">
        <v>80</v>
      </c>
      <c r="AS140" s="11">
        <v>36</v>
      </c>
      <c r="AT140" s="11">
        <v>52</v>
      </c>
      <c r="AU140" s="11">
        <v>83</v>
      </c>
      <c r="AV140" s="13">
        <v>83</v>
      </c>
    </row>
    <row r="141" spans="1:50" ht="12.75" customHeight="1">
      <c r="A141" t="s">
        <v>242</v>
      </c>
      <c r="B141" t="s">
        <v>243</v>
      </c>
      <c r="C141" t="s">
        <v>158</v>
      </c>
      <c r="D141" s="17" t="s">
        <v>54</v>
      </c>
      <c r="E141">
        <v>7.0000000000000007E-2</v>
      </c>
      <c r="F141">
        <v>17.100000000000001</v>
      </c>
      <c r="G141" s="11">
        <f t="shared" si="35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36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37"/>
        <v>1</v>
      </c>
      <c r="AB141">
        <v>0</v>
      </c>
      <c r="AC141" s="11">
        <f t="shared" si="44"/>
        <v>0</v>
      </c>
      <c r="AD141">
        <v>-57500</v>
      </c>
      <c r="AE141">
        <v>14</v>
      </c>
      <c r="AF141">
        <v>18900</v>
      </c>
      <c r="AG141" s="12">
        <f t="shared" si="38"/>
        <v>6.6</v>
      </c>
      <c r="AH141" s="11">
        <f t="shared" si="39"/>
        <v>9.6</v>
      </c>
      <c r="AI141" s="11">
        <v>17.204999999999998</v>
      </c>
      <c r="AJ141" s="11">
        <f t="shared" si="40"/>
        <v>0.93</v>
      </c>
      <c r="AK141" s="11">
        <f t="shared" si="41"/>
        <v>18.135000000000002</v>
      </c>
      <c r="AL141" s="10" t="str">
        <f t="shared" si="34"/>
        <v>Pos</v>
      </c>
      <c r="AM141" s="14" t="str">
        <f t="shared" si="42"/>
        <v>Mehul Telecom  Price,</v>
      </c>
      <c r="AN141">
        <v>21</v>
      </c>
      <c r="AO141" s="13">
        <v>22</v>
      </c>
      <c r="AP141" s="13">
        <f t="shared" si="43"/>
        <v>1</v>
      </c>
      <c r="AQ141" s="11">
        <v>1</v>
      </c>
      <c r="AR141" s="11">
        <v>98</v>
      </c>
      <c r="AS141" s="11">
        <v>95</v>
      </c>
      <c r="AT141" s="11">
        <v>113</v>
      </c>
      <c r="AU141" s="11">
        <v>108</v>
      </c>
      <c r="AV141" s="13"/>
    </row>
    <row r="142" spans="1:50" ht="12.75" customHeight="1">
      <c r="A142" t="s">
        <v>244</v>
      </c>
      <c r="B142" t="s">
        <v>245</v>
      </c>
      <c r="C142" t="s">
        <v>158</v>
      </c>
      <c r="D142" s="17" t="s">
        <v>54</v>
      </c>
      <c r="E142">
        <v>0.01</v>
      </c>
      <c r="F142">
        <v>9.0299999999999994</v>
      </c>
      <c r="G142" s="11">
        <f t="shared" si="35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36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37"/>
        <v>0</v>
      </c>
      <c r="AB142">
        <v>0</v>
      </c>
      <c r="AC142" s="11">
        <f t="shared" si="44"/>
        <v>0</v>
      </c>
      <c r="AD142">
        <v>402.38</v>
      </c>
      <c r="AE142">
        <v>272.86</v>
      </c>
      <c r="AF142">
        <v>589.30999999999995</v>
      </c>
      <c r="AG142" s="12">
        <f t="shared" si="38"/>
        <v>6.1</v>
      </c>
      <c r="AH142" s="11">
        <f t="shared" si="39"/>
        <v>7.1</v>
      </c>
      <c r="AI142" s="11">
        <v>18.59</v>
      </c>
      <c r="AJ142" s="11">
        <f t="shared" si="40"/>
        <v>0.93</v>
      </c>
      <c r="AK142" s="11">
        <f t="shared" si="41"/>
        <v>15.112500000000001</v>
      </c>
      <c r="AL142" s="10" t="str">
        <f t="shared" si="34"/>
        <v>Pos</v>
      </c>
      <c r="AM142" s="14" t="str">
        <f t="shared" si="42"/>
        <v>Emiac Technologies  P</v>
      </c>
      <c r="AN142">
        <v>8</v>
      </c>
      <c r="AO142" s="13">
        <v>9</v>
      </c>
      <c r="AP142" s="13">
        <f t="shared" si="43"/>
        <v>3</v>
      </c>
      <c r="AQ142" s="11">
        <v>1</v>
      </c>
      <c r="AR142" s="11">
        <v>98</v>
      </c>
      <c r="AS142" s="11">
        <v>74</v>
      </c>
      <c r="AT142" s="11">
        <v>104</v>
      </c>
      <c r="AU142" s="11">
        <v>107.8</v>
      </c>
      <c r="AV142" s="13"/>
    </row>
    <row r="143" spans="1:50" ht="12.75" customHeight="1">
      <c r="A143" t="s">
        <v>246</v>
      </c>
      <c r="B143" t="s">
        <v>247</v>
      </c>
      <c r="C143" t="s">
        <v>158</v>
      </c>
      <c r="D143" s="17" t="s">
        <v>54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37"/>
        <v>1</v>
      </c>
      <c r="AB143">
        <v>12.21</v>
      </c>
      <c r="AC143" s="11">
        <f t="shared" si="44"/>
        <v>2</v>
      </c>
      <c r="AD143">
        <v>36.99</v>
      </c>
      <c r="AE143">
        <v>27.73</v>
      </c>
      <c r="AF143">
        <v>48.61</v>
      </c>
      <c r="AG143" s="12">
        <f t="shared" si="38"/>
        <v>4.9000000000000004</v>
      </c>
      <c r="AH143" s="11">
        <f t="shared" si="39"/>
        <v>9.9</v>
      </c>
      <c r="AI143" s="11">
        <v>18.46</v>
      </c>
      <c r="AJ143" s="11">
        <f t="shared" si="40"/>
        <v>0.93</v>
      </c>
      <c r="AK143" s="11">
        <f t="shared" si="41"/>
        <v>15.240375</v>
      </c>
      <c r="AL143" s="10" t="str">
        <f t="shared" si="34"/>
        <v>Pos</v>
      </c>
      <c r="AM143" s="14" t="s">
        <v>247</v>
      </c>
      <c r="AN143">
        <v>26</v>
      </c>
      <c r="AO143" s="13">
        <v>28</v>
      </c>
      <c r="AP143" s="13">
        <f t="shared" si="43"/>
        <v>1</v>
      </c>
      <c r="AQ143" s="11">
        <v>0.95</v>
      </c>
      <c r="AR143" s="11">
        <v>172</v>
      </c>
      <c r="AS143" s="11">
        <v>79</v>
      </c>
      <c r="AT143" s="11">
        <v>119</v>
      </c>
      <c r="AU143" s="11">
        <v>205</v>
      </c>
      <c r="AV143" s="13"/>
    </row>
    <row r="144" spans="1:50" ht="12.75" customHeight="1">
      <c r="A144" t="s">
        <v>248</v>
      </c>
      <c r="B144" t="s">
        <v>249</v>
      </c>
      <c r="C144" t="s">
        <v>158</v>
      </c>
      <c r="D144" s="17" t="s">
        <v>54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37"/>
        <v>0</v>
      </c>
      <c r="AB144">
        <v>0</v>
      </c>
      <c r="AC144" s="11">
        <f t="shared" si="44"/>
        <v>0</v>
      </c>
      <c r="AD144">
        <v>169.2</v>
      </c>
      <c r="AE144">
        <v>14.73</v>
      </c>
      <c r="AF144">
        <v>105.43</v>
      </c>
      <c r="AG144" s="12">
        <f t="shared" si="38"/>
        <v>2</v>
      </c>
      <c r="AH144" s="11">
        <f t="shared" si="39"/>
        <v>4</v>
      </c>
      <c r="AI144" s="11">
        <v>17.907499999999999</v>
      </c>
      <c r="AJ144" s="11">
        <f t="shared" si="40"/>
        <v>0.93</v>
      </c>
      <c r="AK144" s="11">
        <f t="shared" si="41"/>
        <v>6.5100000000000007</v>
      </c>
      <c r="AL144" s="10" t="str">
        <f t="shared" si="34"/>
        <v>Pos</v>
      </c>
      <c r="AM144" s="14" t="s">
        <v>249</v>
      </c>
      <c r="AN144">
        <v>29</v>
      </c>
      <c r="AO144" s="13">
        <v>30</v>
      </c>
      <c r="AP144" s="13">
        <f t="shared" si="43"/>
        <v>0</v>
      </c>
      <c r="AQ144" s="11">
        <v>1</v>
      </c>
      <c r="AR144" s="11">
        <v>135</v>
      </c>
      <c r="AS144" s="11">
        <v>114</v>
      </c>
      <c r="AT144" s="11">
        <v>149</v>
      </c>
      <c r="AU144" s="11">
        <v>134.5</v>
      </c>
      <c r="AV144" s="13"/>
    </row>
    <row r="145" spans="1:48" ht="12.75" customHeight="1">
      <c r="A145" t="s">
        <v>250</v>
      </c>
      <c r="B145" t="s">
        <v>251</v>
      </c>
      <c r="C145" t="s">
        <v>158</v>
      </c>
      <c r="D145" s="17" t="s">
        <v>77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37"/>
        <v>0</v>
      </c>
      <c r="AB145">
        <v>0</v>
      </c>
      <c r="AC145" s="11">
        <f t="shared" si="44"/>
        <v>0</v>
      </c>
      <c r="AD145">
        <v>40.53</v>
      </c>
      <c r="AE145">
        <v>7.76</v>
      </c>
      <c r="AF145">
        <v>121.57</v>
      </c>
      <c r="AG145" s="12">
        <f t="shared" si="38"/>
        <v>5.6</v>
      </c>
      <c r="AH145" s="11">
        <f t="shared" si="39"/>
        <v>7.6</v>
      </c>
      <c r="AI145" s="11">
        <v>16.677499999999998</v>
      </c>
      <c r="AJ145" s="11">
        <f t="shared" si="40"/>
        <v>0.93</v>
      </c>
      <c r="AK145" s="11">
        <f t="shared" si="41"/>
        <v>14.879999999999999</v>
      </c>
      <c r="AL145" s="10" t="str">
        <f t="shared" si="34"/>
        <v>Neg</v>
      </c>
      <c r="AM145" s="73" t="s">
        <v>251</v>
      </c>
      <c r="AN145">
        <v>4</v>
      </c>
      <c r="AO145" s="13">
        <v>5</v>
      </c>
      <c r="AP145" s="13">
        <f t="shared" si="43"/>
        <v>0</v>
      </c>
      <c r="AQ145" s="11">
        <v>1</v>
      </c>
      <c r="AR145" s="11"/>
      <c r="AS145" s="11"/>
      <c r="AT145" s="11"/>
      <c r="AU145" s="11"/>
      <c r="AV145" s="13"/>
    </row>
    <row r="146" spans="1:48" ht="12.75" customHeight="1">
      <c r="A146" t="s">
        <v>252</v>
      </c>
      <c r="B146" t="s">
        <v>253</v>
      </c>
      <c r="C146" t="s">
        <v>158</v>
      </c>
      <c r="D146" s="17" t="s">
        <v>54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37"/>
        <v>0</v>
      </c>
      <c r="AB146">
        <v>27.85</v>
      </c>
      <c r="AC146" s="11">
        <f t="shared" si="44"/>
        <v>2</v>
      </c>
      <c r="AD146">
        <v>1122.22</v>
      </c>
      <c r="AE146">
        <v>29.81</v>
      </c>
      <c r="AF146">
        <v>60.33</v>
      </c>
      <c r="AG146" s="12">
        <f t="shared" si="38"/>
        <v>6.2</v>
      </c>
      <c r="AH146" s="11">
        <f t="shared" si="39"/>
        <v>10.199999999999999</v>
      </c>
      <c r="AI146" s="11">
        <v>16.677499999999998</v>
      </c>
      <c r="AJ146" s="11">
        <f t="shared" si="40"/>
        <v>0.93</v>
      </c>
      <c r="AK146" s="11">
        <f t="shared" si="41"/>
        <v>17.228249999999999</v>
      </c>
      <c r="AL146" s="10" t="str">
        <f t="shared" si="34"/>
        <v>Pos</v>
      </c>
      <c r="AM146" s="14" t="s">
        <v>253</v>
      </c>
      <c r="AN146">
        <v>11</v>
      </c>
      <c r="AO146" s="13">
        <v>8</v>
      </c>
      <c r="AP146" s="13">
        <f t="shared" si="43"/>
        <v>2</v>
      </c>
      <c r="AQ146" s="11">
        <v>0.95</v>
      </c>
      <c r="AR146" s="11">
        <v>158</v>
      </c>
      <c r="AS146" s="11">
        <v>153</v>
      </c>
      <c r="AT146" s="11">
        <v>170</v>
      </c>
      <c r="AU146" s="11">
        <v>213</v>
      </c>
      <c r="AV146" s="13"/>
    </row>
    <row r="147" spans="1:48" ht="12.75" customHeight="1">
      <c r="A147" t="s">
        <v>254</v>
      </c>
      <c r="B147" t="s">
        <v>255</v>
      </c>
      <c r="C147" t="s">
        <v>158</v>
      </c>
      <c r="D147" s="17" t="s">
        <v>77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37"/>
        <v>1</v>
      </c>
      <c r="AB147">
        <v>12.57</v>
      </c>
      <c r="AC147" s="11">
        <f t="shared" si="44"/>
        <v>2</v>
      </c>
      <c r="AD147">
        <v>72.66</v>
      </c>
      <c r="AE147">
        <v>52.28</v>
      </c>
      <c r="AF147">
        <v>135.05000000000001</v>
      </c>
      <c r="AG147" s="12">
        <f t="shared" si="38"/>
        <v>5.0999999999999996</v>
      </c>
      <c r="AH147" s="11">
        <f t="shared" si="39"/>
        <v>10.1</v>
      </c>
      <c r="AI147" s="11">
        <v>16.677499999999998</v>
      </c>
      <c r="AJ147" s="11">
        <f t="shared" si="40"/>
        <v>0.93</v>
      </c>
      <c r="AK147" s="11">
        <f t="shared" si="41"/>
        <v>15.682124999999999</v>
      </c>
      <c r="AL147" s="10" t="str">
        <f t="shared" si="34"/>
        <v>Neg</v>
      </c>
      <c r="AM147" s="73" t="s">
        <v>255</v>
      </c>
      <c r="AN147">
        <v>12</v>
      </c>
      <c r="AO147" s="13">
        <v>13</v>
      </c>
      <c r="AP147" s="13">
        <f t="shared" si="43"/>
        <v>1</v>
      </c>
      <c r="AQ147" s="11">
        <v>0.95</v>
      </c>
      <c r="AR147" s="11">
        <v>183</v>
      </c>
      <c r="AS147" s="11">
        <v>119</v>
      </c>
      <c r="AT147" s="11">
        <v>143</v>
      </c>
      <c r="AU147" s="11">
        <v>156</v>
      </c>
      <c r="AV147" s="13"/>
    </row>
    <row r="148" spans="1:48" ht="12.75" customHeight="1">
      <c r="A148" t="s">
        <v>256</v>
      </c>
      <c r="B148" t="s">
        <v>257</v>
      </c>
      <c r="C148" t="s">
        <v>158</v>
      </c>
      <c r="E148">
        <v>11.03</v>
      </c>
      <c r="F148">
        <v>10.35</v>
      </c>
      <c r="G148" s="11">
        <v>-6.57</v>
      </c>
      <c r="H148">
        <v>26.28</v>
      </c>
      <c r="I148">
        <v>2.83</v>
      </c>
      <c r="J148">
        <v>10.38</v>
      </c>
      <c r="K148">
        <v>4.1100000000000003</v>
      </c>
      <c r="L148">
        <v>21.02</v>
      </c>
      <c r="M148">
        <v>5.83</v>
      </c>
      <c r="N148">
        <v>19.41</v>
      </c>
      <c r="O148">
        <v>28.06</v>
      </c>
      <c r="P148" s="11">
        <v>9.92</v>
      </c>
      <c r="Q148">
        <v>10.47</v>
      </c>
      <c r="R148" s="2">
        <v>13.93</v>
      </c>
      <c r="S148" s="12">
        <v>-1</v>
      </c>
      <c r="T148">
        <v>11.61</v>
      </c>
      <c r="U148">
        <v>0</v>
      </c>
      <c r="V148">
        <v>1</v>
      </c>
      <c r="W148">
        <v>1</v>
      </c>
      <c r="X148">
        <v>180.22</v>
      </c>
      <c r="Y148">
        <v>1662.04</v>
      </c>
      <c r="Z148">
        <v>881.15</v>
      </c>
      <c r="AA148" s="11">
        <f t="shared" si="37"/>
        <v>1</v>
      </c>
      <c r="AB148">
        <v>34.880000000000003</v>
      </c>
      <c r="AC148" s="11">
        <f t="shared" si="44"/>
        <v>2</v>
      </c>
      <c r="AD148">
        <v>56.35</v>
      </c>
      <c r="AE148">
        <v>19.05</v>
      </c>
      <c r="AF148">
        <v>31.68</v>
      </c>
      <c r="AG148" s="12">
        <f t="shared" si="38"/>
        <v>3.5</v>
      </c>
      <c r="AH148" s="11">
        <f t="shared" si="39"/>
        <v>8.5</v>
      </c>
      <c r="AI148" s="11">
        <v>17.797499999999999</v>
      </c>
      <c r="AJ148" s="11">
        <f t="shared" si="40"/>
        <v>0.93</v>
      </c>
      <c r="AK148" s="11">
        <f t="shared" si="41"/>
        <v>12.787500000000001</v>
      </c>
      <c r="AL148" s="10">
        <f t="shared" si="34"/>
        <v>0</v>
      </c>
      <c r="AM148" s="14" t="s">
        <v>257</v>
      </c>
      <c r="AN148">
        <v>14</v>
      </c>
      <c r="AO148" s="13">
        <v>15</v>
      </c>
      <c r="AP148" s="13">
        <f t="shared" si="43"/>
        <v>0</v>
      </c>
      <c r="AQ148" s="11">
        <v>1</v>
      </c>
      <c r="AR148" s="11"/>
      <c r="AS148" s="11"/>
      <c r="AT148" s="11"/>
      <c r="AU148" s="11"/>
      <c r="AV148" s="13"/>
    </row>
    <row r="149" spans="1:48" ht="12.75" customHeight="1">
      <c r="A149" t="s">
        <v>258</v>
      </c>
      <c r="B149" t="s">
        <v>259</v>
      </c>
      <c r="C149" t="s">
        <v>158</v>
      </c>
      <c r="E149">
        <v>18.88</v>
      </c>
      <c r="F149">
        <v>18</v>
      </c>
      <c r="G149" s="11">
        <v>-4.8899999999999997</v>
      </c>
      <c r="H149">
        <v>46.94</v>
      </c>
      <c r="I149">
        <v>8.33</v>
      </c>
      <c r="J149">
        <v>5.51</v>
      </c>
      <c r="K149">
        <v>5.13</v>
      </c>
      <c r="L149">
        <v>19.260000000000002</v>
      </c>
      <c r="M149">
        <v>12.57</v>
      </c>
      <c r="N149">
        <v>8.5500000000000007</v>
      </c>
      <c r="O149">
        <v>135.46</v>
      </c>
      <c r="P149" s="11">
        <v>16.260000000000002</v>
      </c>
      <c r="Q149">
        <v>9.75</v>
      </c>
      <c r="R149" s="2">
        <v>15.19</v>
      </c>
      <c r="S149" s="12">
        <v>-1</v>
      </c>
      <c r="T149">
        <v>35.33</v>
      </c>
      <c r="U149">
        <v>0</v>
      </c>
      <c r="V149">
        <v>0</v>
      </c>
      <c r="W149">
        <v>1</v>
      </c>
      <c r="X149">
        <v>124.39</v>
      </c>
      <c r="Y149">
        <v>24.12</v>
      </c>
      <c r="Z149">
        <v>11.36</v>
      </c>
      <c r="AA149" s="11">
        <f t="shared" si="37"/>
        <v>1</v>
      </c>
      <c r="AB149">
        <v>4</v>
      </c>
      <c r="AC149" s="11">
        <f t="shared" si="44"/>
        <v>0</v>
      </c>
      <c r="AD149">
        <v>43.87</v>
      </c>
      <c r="AE149">
        <v>69.41</v>
      </c>
      <c r="AF149">
        <v>85.95</v>
      </c>
      <c r="AG149" s="12">
        <f t="shared" si="38"/>
        <v>1.5</v>
      </c>
      <c r="AH149" s="11">
        <f t="shared" si="39"/>
        <v>4.5</v>
      </c>
      <c r="AI149" s="11">
        <v>17.815000000000001</v>
      </c>
      <c r="AJ149" s="11">
        <f t="shared" si="40"/>
        <v>0.93</v>
      </c>
      <c r="AK149" s="11">
        <f t="shared" si="41"/>
        <v>6.2775000000000007</v>
      </c>
      <c r="AL149" s="10">
        <f t="shared" si="34"/>
        <v>0</v>
      </c>
      <c r="AM149" s="14" t="s">
        <v>259</v>
      </c>
      <c r="AN149">
        <v>14</v>
      </c>
      <c r="AO149" s="13">
        <v>15</v>
      </c>
      <c r="AP149" s="13">
        <f t="shared" si="43"/>
        <v>0</v>
      </c>
      <c r="AQ149" s="11">
        <v>1</v>
      </c>
      <c r="AR149" s="11"/>
      <c r="AS149" s="11"/>
      <c r="AT149" s="11"/>
      <c r="AU149" s="11"/>
      <c r="AV149" s="13"/>
    </row>
    <row r="150" spans="1:48" ht="12.75" customHeight="1">
      <c r="A150" t="s">
        <v>260</v>
      </c>
      <c r="B150" t="s">
        <v>261</v>
      </c>
      <c r="C150" t="s">
        <v>158</v>
      </c>
      <c r="E150">
        <v>11.36</v>
      </c>
      <c r="F150">
        <v>9.02</v>
      </c>
      <c r="G150" s="11">
        <v>-25.94</v>
      </c>
      <c r="H150">
        <v>27.03</v>
      </c>
      <c r="I150">
        <v>2.67</v>
      </c>
      <c r="J150">
        <v>9.4600000000000009</v>
      </c>
      <c r="K150">
        <v>3.27</v>
      </c>
      <c r="L150">
        <v>28.21</v>
      </c>
      <c r="M150">
        <v>4.6900000000000004</v>
      </c>
      <c r="N150">
        <v>18.010000000000002</v>
      </c>
      <c r="O150">
        <v>35.76</v>
      </c>
      <c r="P150" s="11">
        <v>13.39</v>
      </c>
      <c r="Q150">
        <v>16.809999999999999</v>
      </c>
      <c r="R150" s="2">
        <v>13.28</v>
      </c>
      <c r="S150" s="12">
        <v>-1</v>
      </c>
      <c r="T150">
        <v>24.53</v>
      </c>
      <c r="U150">
        <v>0</v>
      </c>
      <c r="V150">
        <v>0</v>
      </c>
      <c r="W150">
        <v>1</v>
      </c>
      <c r="X150">
        <v>1</v>
      </c>
      <c r="Y150">
        <v>0.8</v>
      </c>
      <c r="Z150">
        <v>2.8</v>
      </c>
      <c r="AA150" s="11">
        <f t="shared" si="37"/>
        <v>-0.7</v>
      </c>
      <c r="AB150">
        <v>0</v>
      </c>
      <c r="AC150" s="11">
        <f t="shared" si="44"/>
        <v>0</v>
      </c>
      <c r="AD150">
        <v>1680</v>
      </c>
      <c r="AE150">
        <v>496</v>
      </c>
      <c r="AF150">
        <v>42.27</v>
      </c>
      <c r="AG150" s="12">
        <f t="shared" si="38"/>
        <v>2.5</v>
      </c>
      <c r="AH150" s="11">
        <f t="shared" si="39"/>
        <v>1.8</v>
      </c>
      <c r="AI150" s="11">
        <v>17.7925</v>
      </c>
      <c r="AJ150" s="11">
        <f t="shared" si="40"/>
        <v>0.93</v>
      </c>
      <c r="AK150" s="11">
        <f t="shared" si="41"/>
        <v>5.1615000000000002</v>
      </c>
      <c r="AL150" s="10">
        <f t="shared" si="34"/>
        <v>0</v>
      </c>
      <c r="AM150" s="14" t="s">
        <v>261</v>
      </c>
      <c r="AN150">
        <v>20</v>
      </c>
      <c r="AO150" s="13">
        <v>21</v>
      </c>
      <c r="AP150" s="13">
        <f t="shared" si="43"/>
        <v>0</v>
      </c>
      <c r="AQ150" s="11">
        <v>1</v>
      </c>
      <c r="AR150" s="11"/>
      <c r="AS150" s="11"/>
      <c r="AT150" s="11"/>
      <c r="AU150" s="11"/>
      <c r="AV150" s="13"/>
    </row>
    <row r="151" spans="1:48" ht="12.75" customHeight="1">
      <c r="A151" t="s">
        <v>262</v>
      </c>
      <c r="B151" t="s">
        <v>263</v>
      </c>
      <c r="C151" t="s">
        <v>158</v>
      </c>
      <c r="E151">
        <v>11.1</v>
      </c>
      <c r="F151">
        <v>21.63</v>
      </c>
      <c r="G151" s="11">
        <v>48.68</v>
      </c>
      <c r="H151">
        <v>40</v>
      </c>
      <c r="I151">
        <v>7.84</v>
      </c>
      <c r="J151">
        <v>21.6</v>
      </c>
      <c r="K151">
        <v>5.26</v>
      </c>
      <c r="L151">
        <v>42.26</v>
      </c>
      <c r="M151">
        <v>9.24</v>
      </c>
      <c r="N151">
        <v>32.61</v>
      </c>
      <c r="O151">
        <v>32.979999999999997</v>
      </c>
      <c r="P151" s="11">
        <v>4.21</v>
      </c>
      <c r="Q151">
        <v>11.97</v>
      </c>
      <c r="R151" s="2">
        <v>16.29</v>
      </c>
      <c r="S151" s="12">
        <v>-0.5</v>
      </c>
      <c r="T151">
        <v>50.15</v>
      </c>
      <c r="U151">
        <v>0</v>
      </c>
      <c r="V151">
        <v>1</v>
      </c>
      <c r="W151">
        <v>1</v>
      </c>
      <c r="X151">
        <v>0.66</v>
      </c>
      <c r="Y151">
        <v>0.59</v>
      </c>
      <c r="Z151">
        <v>0.72</v>
      </c>
      <c r="AA151" s="11">
        <f t="shared" si="37"/>
        <v>-0.7</v>
      </c>
      <c r="AB151">
        <v>0</v>
      </c>
      <c r="AC151" s="11">
        <f t="shared" si="44"/>
        <v>0</v>
      </c>
      <c r="AD151">
        <v>1.95</v>
      </c>
      <c r="AE151">
        <v>8.81</v>
      </c>
      <c r="AF151">
        <v>56.85</v>
      </c>
      <c r="AG151" s="12">
        <f t="shared" si="38"/>
        <v>4.4000000000000004</v>
      </c>
      <c r="AH151" s="11">
        <f t="shared" si="39"/>
        <v>3.7</v>
      </c>
      <c r="AI151" s="11">
        <v>17.782499999999999</v>
      </c>
      <c r="AJ151" s="11">
        <f t="shared" si="40"/>
        <v>0.93</v>
      </c>
      <c r="AK151" s="11">
        <f t="shared" si="41"/>
        <v>9.1000499999999995</v>
      </c>
      <c r="AL151" s="10">
        <f t="shared" si="34"/>
        <v>0</v>
      </c>
      <c r="AM151" s="14" t="s">
        <v>263</v>
      </c>
      <c r="AN151">
        <v>19</v>
      </c>
      <c r="AO151" s="13">
        <v>20</v>
      </c>
      <c r="AP151" s="13">
        <f t="shared" si="43"/>
        <v>0</v>
      </c>
      <c r="AQ151" s="11">
        <v>0.95</v>
      </c>
      <c r="AR151" s="11"/>
      <c r="AS151" s="11"/>
      <c r="AT151" s="11"/>
      <c r="AU151" s="11"/>
      <c r="AV151" s="13"/>
    </row>
    <row r="152" spans="1:48" ht="12.75" customHeight="1">
      <c r="A152" t="s">
        <v>264</v>
      </c>
      <c r="B152" t="s">
        <v>265</v>
      </c>
      <c r="C152" t="s">
        <v>158</v>
      </c>
      <c r="E152">
        <v>5.05</v>
      </c>
      <c r="F152">
        <v>14.34</v>
      </c>
      <c r="G152" s="11">
        <v>64.78</v>
      </c>
      <c r="H152">
        <v>24.77</v>
      </c>
      <c r="I152">
        <v>8.2200000000000006</v>
      </c>
      <c r="J152">
        <v>8.6</v>
      </c>
      <c r="K152">
        <v>6.51</v>
      </c>
      <c r="L152">
        <v>47.93</v>
      </c>
      <c r="M152">
        <v>10.86</v>
      </c>
      <c r="N152">
        <v>11.81</v>
      </c>
      <c r="O152">
        <v>102.06</v>
      </c>
      <c r="P152" s="11">
        <v>12.42</v>
      </c>
      <c r="Q152">
        <v>11.82</v>
      </c>
      <c r="R152" s="2">
        <v>10.61</v>
      </c>
      <c r="S152" s="12">
        <v>-0.5</v>
      </c>
      <c r="T152">
        <v>38.380000000000003</v>
      </c>
      <c r="U152">
        <v>7.6800000000000033</v>
      </c>
      <c r="V152">
        <v>1</v>
      </c>
      <c r="W152">
        <v>1</v>
      </c>
      <c r="X152">
        <v>1</v>
      </c>
      <c r="Y152">
        <v>9.24</v>
      </c>
      <c r="Z152">
        <v>4.47</v>
      </c>
      <c r="AA152" s="11">
        <f t="shared" si="37"/>
        <v>0</v>
      </c>
      <c r="AB152">
        <v>6.49</v>
      </c>
      <c r="AC152" s="11">
        <f t="shared" si="44"/>
        <v>1</v>
      </c>
      <c r="AD152">
        <v>77.16</v>
      </c>
      <c r="AE152">
        <v>53.77</v>
      </c>
      <c r="AF152">
        <v>134.31</v>
      </c>
      <c r="AG152" s="12">
        <f t="shared" si="38"/>
        <v>6.1</v>
      </c>
      <c r="AH152" s="11">
        <f t="shared" si="39"/>
        <v>8.1</v>
      </c>
      <c r="AI152" s="11">
        <v>17.782499999999999</v>
      </c>
      <c r="AJ152" s="11">
        <f t="shared" si="40"/>
        <v>0.93</v>
      </c>
      <c r="AK152" s="11">
        <f t="shared" si="41"/>
        <v>16.0425</v>
      </c>
      <c r="AL152" s="10">
        <f t="shared" si="34"/>
        <v>0</v>
      </c>
      <c r="AM152" s="14" t="s">
        <v>265</v>
      </c>
      <c r="AN152">
        <v>22</v>
      </c>
      <c r="AO152" s="13">
        <v>25</v>
      </c>
      <c r="AP152" s="13">
        <f t="shared" si="43"/>
        <v>3</v>
      </c>
      <c r="AQ152" s="11">
        <v>1</v>
      </c>
      <c r="AR152" s="11"/>
      <c r="AS152" s="11"/>
      <c r="AT152" s="11"/>
      <c r="AU152" s="11"/>
      <c r="AV152" s="13"/>
    </row>
    <row r="153" spans="1:48" ht="12.75" customHeight="1">
      <c r="A153" t="s">
        <v>266</v>
      </c>
      <c r="B153" t="s">
        <v>267</v>
      </c>
      <c r="C153" t="s">
        <v>158</v>
      </c>
      <c r="E153">
        <v>3.26</v>
      </c>
      <c r="F153">
        <v>13.79</v>
      </c>
      <c r="G153" s="11">
        <v>76.36</v>
      </c>
      <c r="H153">
        <v>23.12</v>
      </c>
      <c r="I153">
        <v>4.47</v>
      </c>
      <c r="J153">
        <v>19.5</v>
      </c>
      <c r="K153">
        <v>6.21</v>
      </c>
      <c r="L153">
        <v>31.15</v>
      </c>
      <c r="M153">
        <v>6.72</v>
      </c>
      <c r="N153">
        <v>27.97</v>
      </c>
      <c r="O153">
        <v>35.5</v>
      </c>
      <c r="P153" s="11">
        <v>7.94</v>
      </c>
      <c r="Q153">
        <v>15.46</v>
      </c>
      <c r="R153" s="2">
        <v>12.42</v>
      </c>
      <c r="S153" s="12">
        <v>-1</v>
      </c>
      <c r="T153">
        <v>25.63</v>
      </c>
      <c r="U153">
        <v>0</v>
      </c>
      <c r="V153">
        <v>0</v>
      </c>
      <c r="W153">
        <v>0</v>
      </c>
      <c r="X153">
        <v>1</v>
      </c>
      <c r="Y153">
        <v>0.11</v>
      </c>
      <c r="Z153">
        <v>0.05</v>
      </c>
      <c r="AA153" s="11">
        <f t="shared" si="37"/>
        <v>1</v>
      </c>
      <c r="AB153">
        <v>0</v>
      </c>
      <c r="AC153" s="11">
        <f t="shared" si="44"/>
        <v>0</v>
      </c>
      <c r="AD153">
        <v>0</v>
      </c>
      <c r="AE153">
        <v>0</v>
      </c>
      <c r="AF153">
        <v>0</v>
      </c>
      <c r="AG153" s="12">
        <f t="shared" si="38"/>
        <v>1.5999999999999996</v>
      </c>
      <c r="AH153" s="11">
        <f t="shared" si="39"/>
        <v>2.5999999999999996</v>
      </c>
      <c r="AI153" s="11">
        <v>17.762499999999999</v>
      </c>
      <c r="AJ153" s="11">
        <f t="shared" si="40"/>
        <v>0.93</v>
      </c>
      <c r="AK153" s="11">
        <f t="shared" si="41"/>
        <v>4.6499999999999995</v>
      </c>
      <c r="AL153" s="10">
        <f t="shared" si="34"/>
        <v>0</v>
      </c>
      <c r="AM153" s="14" t="s">
        <v>267</v>
      </c>
      <c r="AN153">
        <v>22</v>
      </c>
      <c r="AO153" s="13">
        <v>25</v>
      </c>
      <c r="AP153" s="13">
        <f t="shared" si="43"/>
        <v>0</v>
      </c>
      <c r="AQ153" s="11">
        <v>1</v>
      </c>
      <c r="AR153" s="11"/>
      <c r="AS153" s="11"/>
      <c r="AT153" s="11"/>
      <c r="AU153" s="11"/>
      <c r="AV153" s="13"/>
    </row>
    <row r="154" spans="1:48" ht="12.75" customHeight="1">
      <c r="A154" t="s">
        <v>268</v>
      </c>
      <c r="B154" t="s">
        <v>269</v>
      </c>
      <c r="C154" t="s">
        <v>158</v>
      </c>
      <c r="E154">
        <v>15.01</v>
      </c>
      <c r="F154">
        <v>14.73</v>
      </c>
      <c r="G154" s="11">
        <v>-1.9</v>
      </c>
      <c r="H154">
        <v>39.119999999999997</v>
      </c>
      <c r="I154">
        <v>9.7899999999999991</v>
      </c>
      <c r="J154">
        <v>30.35</v>
      </c>
      <c r="K154">
        <v>10.67</v>
      </c>
      <c r="L154">
        <v>54.41</v>
      </c>
      <c r="M154">
        <v>15.21</v>
      </c>
      <c r="N154">
        <v>47.11</v>
      </c>
      <c r="O154">
        <v>38.33</v>
      </c>
      <c r="P154" s="11">
        <v>3.92</v>
      </c>
      <c r="Q154">
        <v>13.03</v>
      </c>
      <c r="R154" s="2">
        <v>13.45</v>
      </c>
      <c r="S154" s="12">
        <v>-1</v>
      </c>
      <c r="T154">
        <v>52.43</v>
      </c>
      <c r="U154">
        <v>5.240000000000002</v>
      </c>
      <c r="V154">
        <v>0</v>
      </c>
      <c r="W154">
        <v>1</v>
      </c>
      <c r="X154">
        <v>20</v>
      </c>
      <c r="Y154">
        <v>20</v>
      </c>
      <c r="Z154">
        <v>10</v>
      </c>
      <c r="AA154" s="11">
        <f t="shared" si="37"/>
        <v>1</v>
      </c>
      <c r="AB154">
        <v>0</v>
      </c>
      <c r="AC154" s="11">
        <f t="shared" si="44"/>
        <v>0</v>
      </c>
      <c r="AD154">
        <v>291.60000000000002</v>
      </c>
      <c r="AE154">
        <v>149.87</v>
      </c>
      <c r="AF154">
        <v>198.18</v>
      </c>
      <c r="AG154" s="12">
        <f t="shared" si="38"/>
        <v>2.5</v>
      </c>
      <c r="AH154" s="11">
        <f t="shared" si="39"/>
        <v>5.5</v>
      </c>
      <c r="AI154" s="11">
        <v>17.765000000000001</v>
      </c>
      <c r="AJ154" s="11">
        <f t="shared" si="40"/>
        <v>0.93</v>
      </c>
      <c r="AK154" s="11">
        <f t="shared" si="41"/>
        <v>8.6025000000000009</v>
      </c>
      <c r="AL154" s="10">
        <f t="shared" si="34"/>
        <v>0</v>
      </c>
      <c r="AM154" s="14" t="s">
        <v>269</v>
      </c>
      <c r="AN154">
        <v>25</v>
      </c>
      <c r="AO154" s="13">
        <v>26</v>
      </c>
      <c r="AP154" s="13">
        <f t="shared" si="43"/>
        <v>0</v>
      </c>
      <c r="AQ154" s="11">
        <v>1</v>
      </c>
      <c r="AR154" s="11"/>
      <c r="AS154" s="11"/>
      <c r="AT154" s="11"/>
      <c r="AU154" s="11"/>
      <c r="AV154" s="13"/>
    </row>
    <row r="155" spans="1:48" ht="12.75" customHeight="1">
      <c r="A155" t="s">
        <v>270</v>
      </c>
      <c r="B155" t="s">
        <v>271</v>
      </c>
      <c r="C155" t="s">
        <v>158</v>
      </c>
      <c r="E155">
        <v>0</v>
      </c>
      <c r="F155">
        <v>14.71</v>
      </c>
      <c r="G155" s="11">
        <v>100</v>
      </c>
      <c r="H155">
        <v>23.28</v>
      </c>
      <c r="I155">
        <v>3.5</v>
      </c>
      <c r="J155">
        <v>9.99</v>
      </c>
      <c r="K155">
        <v>3.52</v>
      </c>
      <c r="L155">
        <v>16.09</v>
      </c>
      <c r="M155">
        <v>5.1100000000000003</v>
      </c>
      <c r="N155">
        <v>16.93</v>
      </c>
      <c r="O155">
        <v>33.880000000000003</v>
      </c>
      <c r="P155" s="11">
        <v>9.68</v>
      </c>
      <c r="Q155">
        <v>11.64</v>
      </c>
      <c r="R155" s="2">
        <v>14.7</v>
      </c>
      <c r="S155" s="12">
        <v>-0.5</v>
      </c>
      <c r="T155">
        <v>14.6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37"/>
        <v>1</v>
      </c>
      <c r="AB155">
        <v>0</v>
      </c>
      <c r="AC155" s="11">
        <f t="shared" si="44"/>
        <v>0</v>
      </c>
      <c r="AD155">
        <v>114.72</v>
      </c>
      <c r="AE155">
        <v>112.81</v>
      </c>
      <c r="AF155">
        <v>62.18</v>
      </c>
      <c r="AG155" s="12">
        <f t="shared" si="38"/>
        <v>5.0999999999999996</v>
      </c>
      <c r="AH155" s="11">
        <f t="shared" si="39"/>
        <v>8.1</v>
      </c>
      <c r="AI155" s="11">
        <v>17.745000000000001</v>
      </c>
      <c r="AJ155" s="11">
        <f t="shared" si="40"/>
        <v>0.93</v>
      </c>
      <c r="AK155" s="11">
        <f t="shared" si="41"/>
        <v>14.647500000000001</v>
      </c>
      <c r="AL155" s="10">
        <f t="shared" si="34"/>
        <v>0</v>
      </c>
      <c r="AM155" s="14" t="s">
        <v>271</v>
      </c>
      <c r="AN155">
        <v>25</v>
      </c>
      <c r="AO155" s="13">
        <v>26</v>
      </c>
      <c r="AP155" s="13">
        <f t="shared" si="43"/>
        <v>0</v>
      </c>
      <c r="AQ155" s="11">
        <v>1</v>
      </c>
      <c r="AR155" s="11"/>
      <c r="AS155" s="11"/>
      <c r="AT155" s="11"/>
      <c r="AU155" s="11"/>
      <c r="AV155" s="13"/>
    </row>
    <row r="156" spans="1:48" ht="12.75" customHeight="1">
      <c r="A156" t="s">
        <v>272</v>
      </c>
      <c r="B156" t="s">
        <v>273</v>
      </c>
      <c r="C156" t="s">
        <v>158</v>
      </c>
      <c r="E156">
        <v>164.95</v>
      </c>
      <c r="F156">
        <v>189.95</v>
      </c>
      <c r="G156" s="11">
        <v>13.16</v>
      </c>
      <c r="H156">
        <v>455.49</v>
      </c>
      <c r="I156">
        <v>28.13</v>
      </c>
      <c r="J156">
        <v>16.649999999999999</v>
      </c>
      <c r="K156">
        <v>0</v>
      </c>
      <c r="L156">
        <v>16.88</v>
      </c>
      <c r="M156">
        <v>71.319999999999993</v>
      </c>
      <c r="N156">
        <v>27.64</v>
      </c>
      <c r="O156">
        <v>322.58</v>
      </c>
      <c r="P156" s="11">
        <v>11.47</v>
      </c>
      <c r="Q156">
        <v>0</v>
      </c>
      <c r="R156" s="2">
        <v>0</v>
      </c>
      <c r="S156" s="12">
        <v>-0.5</v>
      </c>
      <c r="T156">
        <v>214.48</v>
      </c>
      <c r="U156">
        <v>0</v>
      </c>
      <c r="V156">
        <v>1</v>
      </c>
      <c r="W156">
        <v>1</v>
      </c>
      <c r="X156">
        <v>20</v>
      </c>
      <c r="Y156">
        <v>20</v>
      </c>
      <c r="Z156">
        <v>10</v>
      </c>
      <c r="AA156" s="11">
        <f t="shared" si="37"/>
        <v>1</v>
      </c>
      <c r="AB156">
        <v>41.11</v>
      </c>
      <c r="AC156" s="11">
        <f t="shared" si="44"/>
        <v>2</v>
      </c>
      <c r="AD156">
        <v>-18.32</v>
      </c>
      <c r="AE156">
        <v>56.25</v>
      </c>
      <c r="AF156">
        <v>17.39</v>
      </c>
      <c r="AG156" s="12">
        <f t="shared" si="38"/>
        <v>5.2</v>
      </c>
      <c r="AH156" s="11">
        <f t="shared" si="39"/>
        <v>10.199999999999999</v>
      </c>
      <c r="AI156" s="11">
        <v>17.752500000000001</v>
      </c>
      <c r="AJ156" s="11">
        <f t="shared" si="40"/>
        <v>0.93</v>
      </c>
      <c r="AK156" s="11">
        <f t="shared" si="41"/>
        <v>15.903</v>
      </c>
      <c r="AL156" s="10">
        <f t="shared" si="34"/>
        <v>0</v>
      </c>
      <c r="AM156" s="14" t="s">
        <v>273</v>
      </c>
      <c r="AN156">
        <v>25</v>
      </c>
      <c r="AO156" s="13">
        <v>26</v>
      </c>
      <c r="AP156" s="13">
        <f t="shared" si="43"/>
        <v>2</v>
      </c>
      <c r="AQ156" s="11">
        <v>0.95</v>
      </c>
      <c r="AR156" s="11"/>
      <c r="AS156" s="11"/>
      <c r="AT156" s="11"/>
      <c r="AU156" s="11"/>
      <c r="AV156" s="13"/>
    </row>
    <row r="157" spans="1:48" ht="12.75" customHeight="1">
      <c r="A157" t="s">
        <v>274</v>
      </c>
      <c r="B157" t="s">
        <v>275</v>
      </c>
      <c r="C157" t="s">
        <v>158</v>
      </c>
      <c r="E157">
        <v>20.46</v>
      </c>
      <c r="F157">
        <v>18.59</v>
      </c>
      <c r="G157" s="11">
        <v>-10.06</v>
      </c>
      <c r="H157">
        <v>41.12</v>
      </c>
      <c r="I157">
        <v>4.13</v>
      </c>
      <c r="J157">
        <v>2.87</v>
      </c>
      <c r="K157">
        <v>2.87</v>
      </c>
      <c r="L157">
        <v>16.48</v>
      </c>
      <c r="M157">
        <v>7.82</v>
      </c>
      <c r="N157">
        <v>5.74</v>
      </c>
      <c r="O157">
        <v>203.52</v>
      </c>
      <c r="P157" s="11">
        <v>49.28</v>
      </c>
      <c r="Q157">
        <v>18.11</v>
      </c>
      <c r="R157" s="2">
        <v>22.87</v>
      </c>
      <c r="S157" s="12">
        <v>-0.5</v>
      </c>
      <c r="T157">
        <v>27.04</v>
      </c>
      <c r="U157">
        <v>0</v>
      </c>
      <c r="V157">
        <v>1</v>
      </c>
      <c r="W157">
        <v>0</v>
      </c>
      <c r="X157">
        <v>20</v>
      </c>
      <c r="Y157">
        <v>20</v>
      </c>
      <c r="Z157">
        <v>10</v>
      </c>
      <c r="AA157" s="11">
        <f t="shared" si="37"/>
        <v>1</v>
      </c>
      <c r="AB157">
        <v>0</v>
      </c>
      <c r="AC157" s="11">
        <f t="shared" si="44"/>
        <v>0</v>
      </c>
      <c r="AD157">
        <v>89.45</v>
      </c>
      <c r="AE157">
        <v>31.3</v>
      </c>
      <c r="AF157">
        <v>50.4</v>
      </c>
      <c r="AG157" s="12">
        <f t="shared" si="38"/>
        <v>3</v>
      </c>
      <c r="AH157" s="11">
        <f t="shared" si="39"/>
        <v>6</v>
      </c>
      <c r="AI157" s="11">
        <v>17.752500000000001</v>
      </c>
      <c r="AJ157" s="11">
        <f t="shared" si="40"/>
        <v>0.93</v>
      </c>
      <c r="AK157" s="11">
        <f t="shared" si="41"/>
        <v>9.7650000000000006</v>
      </c>
      <c r="AL157" s="10">
        <f t="shared" si="34"/>
        <v>0</v>
      </c>
      <c r="AM157" s="14" t="s">
        <v>275</v>
      </c>
      <c r="AN157">
        <v>26</v>
      </c>
      <c r="AO157" s="13">
        <v>27</v>
      </c>
      <c r="AP157" s="13">
        <f t="shared" si="43"/>
        <v>0</v>
      </c>
      <c r="AQ157" s="11">
        <v>1</v>
      </c>
      <c r="AR157" s="11"/>
      <c r="AS157" s="11"/>
      <c r="AT157" s="11"/>
      <c r="AU157" s="11"/>
      <c r="AV157" s="13"/>
    </row>
    <row r="158" spans="1:48" ht="12.75" customHeight="1">
      <c r="A158" t="s">
        <v>276</v>
      </c>
      <c r="B158" t="s">
        <v>277</v>
      </c>
      <c r="C158" t="s">
        <v>158</v>
      </c>
      <c r="E158">
        <v>43.11</v>
      </c>
      <c r="F158">
        <v>24.15</v>
      </c>
      <c r="G158" s="11">
        <v>-78.510000000000005</v>
      </c>
      <c r="H158">
        <v>70.94</v>
      </c>
      <c r="I158">
        <v>11.28</v>
      </c>
      <c r="J158">
        <v>4.08</v>
      </c>
      <c r="K158">
        <v>14.82</v>
      </c>
      <c r="L158">
        <v>54.07</v>
      </c>
      <c r="M158">
        <v>18.329999999999998</v>
      </c>
      <c r="N158">
        <v>6.67</v>
      </c>
      <c r="O158">
        <v>297.76</v>
      </c>
      <c r="P158" s="11">
        <v>26.4</v>
      </c>
      <c r="Q158">
        <v>5.6</v>
      </c>
      <c r="R158" s="2">
        <v>8</v>
      </c>
      <c r="S158" s="12">
        <v>-1</v>
      </c>
      <c r="T158">
        <v>43.88</v>
      </c>
      <c r="U158">
        <v>0</v>
      </c>
      <c r="V158">
        <v>0</v>
      </c>
      <c r="W158">
        <v>1</v>
      </c>
      <c r="X158">
        <v>20</v>
      </c>
      <c r="Y158">
        <v>20</v>
      </c>
      <c r="Z158">
        <v>10</v>
      </c>
      <c r="AA158" s="11">
        <f t="shared" si="37"/>
        <v>1</v>
      </c>
      <c r="AB158">
        <v>0</v>
      </c>
      <c r="AC158" s="11">
        <f t="shared" si="44"/>
        <v>0</v>
      </c>
      <c r="AD158">
        <v>475.51</v>
      </c>
      <c r="AE158">
        <v>48.19</v>
      </c>
      <c r="AF158">
        <v>176</v>
      </c>
      <c r="AG158" s="12">
        <f t="shared" si="38"/>
        <v>2</v>
      </c>
      <c r="AH158" s="11">
        <f t="shared" si="39"/>
        <v>5</v>
      </c>
      <c r="AI158" s="11">
        <v>17.725000000000001</v>
      </c>
      <c r="AJ158" s="11">
        <f t="shared" si="40"/>
        <v>0.93</v>
      </c>
      <c r="AK158" s="11">
        <f t="shared" si="41"/>
        <v>7.44</v>
      </c>
      <c r="AL158" s="10">
        <f t="shared" si="34"/>
        <v>0</v>
      </c>
      <c r="AM158" s="14" t="s">
        <v>277</v>
      </c>
      <c r="AN158">
        <v>27</v>
      </c>
      <c r="AO158" s="13">
        <v>28</v>
      </c>
      <c r="AP158" s="13">
        <f t="shared" si="43"/>
        <v>0</v>
      </c>
      <c r="AQ158" s="11">
        <v>1</v>
      </c>
      <c r="AR158" s="11"/>
      <c r="AS158" s="11"/>
      <c r="AT158" s="11"/>
      <c r="AU158" s="11"/>
      <c r="AV158" s="13"/>
    </row>
    <row r="159" spans="1:48" ht="12.75" customHeight="1">
      <c r="A159" t="s">
        <v>278</v>
      </c>
      <c r="B159" t="s">
        <v>279</v>
      </c>
      <c r="C159" t="s">
        <v>158</v>
      </c>
      <c r="E159">
        <v>8.84</v>
      </c>
      <c r="F159">
        <v>9.2899999999999991</v>
      </c>
      <c r="G159" s="11">
        <v>4.84</v>
      </c>
      <c r="H159">
        <v>25.35</v>
      </c>
      <c r="I159">
        <v>5.05</v>
      </c>
      <c r="J159">
        <v>16.45</v>
      </c>
      <c r="K159">
        <v>6.75</v>
      </c>
      <c r="L159">
        <v>74.59</v>
      </c>
      <c r="M159">
        <v>7.48</v>
      </c>
      <c r="N159">
        <v>24.38</v>
      </c>
      <c r="O159">
        <v>31.27</v>
      </c>
      <c r="P159" s="11">
        <v>6.19</v>
      </c>
      <c r="Q159">
        <v>9.33</v>
      </c>
      <c r="R159" s="2">
        <v>12.94</v>
      </c>
      <c r="S159" s="12">
        <v>-0.5</v>
      </c>
      <c r="T159">
        <v>18.21</v>
      </c>
      <c r="U159">
        <v>0</v>
      </c>
      <c r="V159">
        <v>0</v>
      </c>
      <c r="W159">
        <v>1</v>
      </c>
      <c r="X159">
        <v>20</v>
      </c>
      <c r="Y159">
        <v>20</v>
      </c>
      <c r="Z159">
        <v>10</v>
      </c>
      <c r="AA159" s="11">
        <f t="shared" si="37"/>
        <v>1</v>
      </c>
      <c r="AB159">
        <v>0</v>
      </c>
      <c r="AC159" s="11">
        <f t="shared" si="44"/>
        <v>0</v>
      </c>
      <c r="AD159">
        <v>120.52</v>
      </c>
      <c r="AE159">
        <v>32.5</v>
      </c>
      <c r="AF159">
        <v>119.1</v>
      </c>
      <c r="AG159" s="12">
        <f t="shared" si="38"/>
        <v>3.7</v>
      </c>
      <c r="AH159" s="11">
        <f t="shared" si="39"/>
        <v>6.7</v>
      </c>
      <c r="AI159" s="11">
        <v>17.712499999999999</v>
      </c>
      <c r="AJ159" s="11">
        <f t="shared" si="40"/>
        <v>0.93</v>
      </c>
      <c r="AK159" s="11">
        <f t="shared" si="41"/>
        <v>10.822875</v>
      </c>
      <c r="AL159" s="10">
        <f t="shared" si="34"/>
        <v>0</v>
      </c>
      <c r="AM159" s="14" t="s">
        <v>279</v>
      </c>
      <c r="AN159">
        <v>29</v>
      </c>
      <c r="AO159" s="13">
        <v>32</v>
      </c>
      <c r="AP159" s="13">
        <f t="shared" si="43"/>
        <v>0</v>
      </c>
      <c r="AQ159" s="11">
        <v>0.95</v>
      </c>
      <c r="AR159" s="11"/>
      <c r="AS159" s="11"/>
      <c r="AT159" s="11"/>
      <c r="AU159" s="11"/>
      <c r="AV159" s="13"/>
    </row>
    <row r="160" spans="1:48" ht="12.75" customHeight="1">
      <c r="A160" t="s">
        <v>280</v>
      </c>
      <c r="B160" t="s">
        <v>281</v>
      </c>
      <c r="C160" t="s">
        <v>158</v>
      </c>
      <c r="E160">
        <v>8.57</v>
      </c>
      <c r="F160">
        <v>24.14</v>
      </c>
      <c r="G160" s="11">
        <v>64.5</v>
      </c>
      <c r="H160">
        <v>43.35</v>
      </c>
      <c r="I160">
        <v>10.41</v>
      </c>
      <c r="J160">
        <v>6.01</v>
      </c>
      <c r="K160">
        <v>7.11</v>
      </c>
      <c r="L160">
        <v>55.52</v>
      </c>
      <c r="M160">
        <v>15.17</v>
      </c>
      <c r="N160">
        <v>8.65</v>
      </c>
      <c r="O160">
        <v>263.25</v>
      </c>
      <c r="P160" s="11">
        <v>25.29</v>
      </c>
      <c r="Q160">
        <v>19</v>
      </c>
      <c r="R160" s="2">
        <v>10.18</v>
      </c>
      <c r="S160" s="12">
        <v>1</v>
      </c>
      <c r="T160">
        <v>67.23</v>
      </c>
      <c r="U160">
        <v>13.23</v>
      </c>
      <c r="V160">
        <v>1</v>
      </c>
      <c r="W160">
        <v>1</v>
      </c>
      <c r="X160">
        <v>20</v>
      </c>
      <c r="Y160">
        <v>20</v>
      </c>
      <c r="Z160">
        <v>10</v>
      </c>
      <c r="AA160" s="11">
        <f t="shared" si="37"/>
        <v>1</v>
      </c>
      <c r="AB160">
        <v>0</v>
      </c>
      <c r="AC160" s="11">
        <f t="shared" si="44"/>
        <v>0</v>
      </c>
      <c r="AD160">
        <v>170.39</v>
      </c>
      <c r="AE160">
        <v>111.41</v>
      </c>
      <c r="AF160">
        <v>394.67</v>
      </c>
      <c r="AG160" s="12">
        <f t="shared" si="38"/>
        <v>6.6</v>
      </c>
      <c r="AH160" s="11">
        <f t="shared" si="39"/>
        <v>9.6</v>
      </c>
      <c r="AI160" s="11">
        <v>17.702500000000001</v>
      </c>
      <c r="AJ160" s="11">
        <f t="shared" si="40"/>
        <v>0.93</v>
      </c>
      <c r="AK160" s="11">
        <f t="shared" si="41"/>
        <v>18.135000000000002</v>
      </c>
      <c r="AL160" s="10">
        <f t="shared" si="34"/>
        <v>0</v>
      </c>
      <c r="AM160" s="14" t="s">
        <v>281</v>
      </c>
      <c r="AN160">
        <v>29</v>
      </c>
      <c r="AO160" s="13">
        <v>32</v>
      </c>
      <c r="AP160" s="13">
        <f t="shared" si="43"/>
        <v>2</v>
      </c>
      <c r="AQ160" s="11">
        <v>1</v>
      </c>
      <c r="AR160" s="11"/>
      <c r="AS160" s="11"/>
      <c r="AT160" s="11"/>
      <c r="AU160" s="11"/>
      <c r="AV160" s="13"/>
    </row>
    <row r="161" spans="1:48" ht="12.75" customHeight="1">
      <c r="A161" t="s">
        <v>282</v>
      </c>
      <c r="B161" t="s">
        <v>283</v>
      </c>
      <c r="C161" t="s">
        <v>158</v>
      </c>
      <c r="E161">
        <v>18.57</v>
      </c>
      <c r="F161">
        <v>16.23</v>
      </c>
      <c r="G161" s="11">
        <v>-14.42</v>
      </c>
      <c r="H161">
        <v>74.180000000000007</v>
      </c>
      <c r="I161">
        <v>8.66</v>
      </c>
      <c r="J161">
        <v>10.33</v>
      </c>
      <c r="K161">
        <v>12.6</v>
      </c>
      <c r="L161">
        <v>46.03</v>
      </c>
      <c r="M161">
        <v>15.18</v>
      </c>
      <c r="N161">
        <v>17.420000000000002</v>
      </c>
      <c r="O161">
        <v>114.04</v>
      </c>
      <c r="P161" s="11">
        <v>13.17</v>
      </c>
      <c r="Q161">
        <v>11.83</v>
      </c>
      <c r="R161" s="2">
        <v>16.18</v>
      </c>
      <c r="S161" s="12">
        <v>-0.5</v>
      </c>
      <c r="T161">
        <v>70.03</v>
      </c>
      <c r="U161">
        <v>0</v>
      </c>
      <c r="V161">
        <v>1</v>
      </c>
      <c r="W161">
        <v>1</v>
      </c>
      <c r="X161">
        <v>20</v>
      </c>
      <c r="Y161">
        <v>20</v>
      </c>
      <c r="Z161">
        <v>10</v>
      </c>
      <c r="AA161" s="11">
        <f t="shared" si="37"/>
        <v>1</v>
      </c>
      <c r="AB161">
        <v>30.2</v>
      </c>
      <c r="AC161" s="11">
        <f t="shared" si="44"/>
        <v>2</v>
      </c>
      <c r="AD161">
        <v>183.93</v>
      </c>
      <c r="AE161">
        <v>32.590000000000003</v>
      </c>
      <c r="AF161">
        <v>114.12</v>
      </c>
      <c r="AG161" s="12">
        <f t="shared" si="38"/>
        <v>4</v>
      </c>
      <c r="AH161" s="11">
        <f t="shared" si="39"/>
        <v>9</v>
      </c>
      <c r="AI161" s="11">
        <v>17.66</v>
      </c>
      <c r="AJ161" s="11">
        <f t="shared" si="40"/>
        <v>0.93</v>
      </c>
      <c r="AK161" s="11">
        <f t="shared" si="41"/>
        <v>13.950000000000001</v>
      </c>
      <c r="AL161" s="10">
        <f t="shared" si="34"/>
        <v>0</v>
      </c>
      <c r="AM161" s="14" t="s">
        <v>283</v>
      </c>
      <c r="AN161">
        <v>3</v>
      </c>
      <c r="AO161" s="13">
        <v>4</v>
      </c>
      <c r="AP161" s="13">
        <f t="shared" si="43"/>
        <v>0</v>
      </c>
      <c r="AQ161" s="11">
        <v>1</v>
      </c>
      <c r="AR161" s="11"/>
      <c r="AS161" s="11"/>
      <c r="AT161" s="11"/>
      <c r="AU161" s="11"/>
      <c r="AV161" s="13"/>
    </row>
    <row r="162" spans="1:48" ht="12.75" customHeight="1">
      <c r="G162" s="11" t="e">
        <f t="shared" ref="G162:G225" si="45">100*(F162-E162)/F162</f>
        <v>#DIV/0!</v>
      </c>
      <c r="P162" s="11" t="e">
        <f t="shared" ref="P162:P225" si="46">O162/I162</f>
        <v>#DIV/0!</v>
      </c>
      <c r="R162" s="2"/>
      <c r="S162" s="12">
        <v>5</v>
      </c>
      <c r="Y162">
        <v>70</v>
      </c>
      <c r="AA162" s="11">
        <f t="shared" si="37"/>
        <v>0</v>
      </c>
      <c r="AC162" s="11">
        <f t="shared" si="44"/>
        <v>0</v>
      </c>
      <c r="AG162" s="12" t="e">
        <f t="shared" si="38"/>
        <v>#DIV/0!</v>
      </c>
      <c r="AH162" s="11" t="e">
        <f t="shared" si="39"/>
        <v>#DIV/0!</v>
      </c>
      <c r="AI162" s="11"/>
      <c r="AJ162" s="11">
        <f t="shared" si="40"/>
        <v>1</v>
      </c>
      <c r="AK162" s="11" t="e">
        <f t="shared" si="41"/>
        <v>#DIV/0!</v>
      </c>
      <c r="AL162" s="10">
        <f t="shared" si="34"/>
        <v>0</v>
      </c>
      <c r="AM162" s="14">
        <f t="shared" ref="AM162:AM225" si="47">B162</f>
        <v>0</v>
      </c>
      <c r="AO162" s="13">
        <f t="shared" ref="AO162:AO193" si="48">AN162+1</f>
        <v>1</v>
      </c>
      <c r="AP162" s="13" t="e">
        <f t="shared" si="43"/>
        <v>#DIV/0!</v>
      </c>
      <c r="AQ162" s="11">
        <v>1</v>
      </c>
      <c r="AR162" s="11"/>
      <c r="AS162" s="11"/>
      <c r="AT162" s="11"/>
      <c r="AU162" s="11"/>
      <c r="AV162" s="13"/>
    </row>
    <row r="163" spans="1:48" ht="12.75" customHeight="1">
      <c r="G163" s="11" t="e">
        <f t="shared" si="45"/>
        <v>#DIV/0!</v>
      </c>
      <c r="P163" s="11" t="e">
        <f t="shared" si="46"/>
        <v>#DIV/0!</v>
      </c>
      <c r="R163" s="2"/>
      <c r="S163" s="12">
        <v>5</v>
      </c>
      <c r="Y163">
        <v>70</v>
      </c>
      <c r="AA163" s="11">
        <f t="shared" si="37"/>
        <v>0</v>
      </c>
      <c r="AC163" s="11">
        <f t="shared" si="44"/>
        <v>0</v>
      </c>
      <c r="AG163" s="12" t="e">
        <f t="shared" si="38"/>
        <v>#DIV/0!</v>
      </c>
      <c r="AH163" s="11" t="e">
        <f t="shared" si="39"/>
        <v>#DIV/0!</v>
      </c>
      <c r="AI163" s="11"/>
      <c r="AJ163" s="11">
        <f t="shared" si="40"/>
        <v>1</v>
      </c>
      <c r="AK163" s="11" t="e">
        <f t="shared" si="41"/>
        <v>#DIV/0!</v>
      </c>
      <c r="AL163" s="10">
        <f t="shared" si="34"/>
        <v>0</v>
      </c>
      <c r="AM163" s="14">
        <f t="shared" si="47"/>
        <v>0</v>
      </c>
      <c r="AO163" s="13">
        <f t="shared" si="48"/>
        <v>1</v>
      </c>
      <c r="AP163" s="13" t="e">
        <f t="shared" si="43"/>
        <v>#DIV/0!</v>
      </c>
      <c r="AQ163" s="11">
        <v>1</v>
      </c>
      <c r="AR163" s="11"/>
      <c r="AS163" s="11"/>
      <c r="AT163" s="11"/>
      <c r="AU163" s="11"/>
      <c r="AV163" s="13"/>
    </row>
    <row r="164" spans="1:48" ht="12.75" customHeight="1">
      <c r="G164" s="11" t="e">
        <f t="shared" si="45"/>
        <v>#DIV/0!</v>
      </c>
      <c r="P164" s="11" t="e">
        <f t="shared" si="46"/>
        <v>#DIV/0!</v>
      </c>
      <c r="R164" s="2"/>
      <c r="S164" s="12">
        <v>5</v>
      </c>
      <c r="Y164">
        <v>70</v>
      </c>
      <c r="AA164" s="11">
        <f t="shared" si="37"/>
        <v>0</v>
      </c>
      <c r="AC164" s="11">
        <f t="shared" si="44"/>
        <v>0</v>
      </c>
      <c r="AG164" s="12" t="e">
        <f t="shared" si="38"/>
        <v>#DIV/0!</v>
      </c>
      <c r="AH164" s="11" t="e">
        <f t="shared" si="39"/>
        <v>#DIV/0!</v>
      </c>
      <c r="AI164" s="11"/>
      <c r="AJ164" s="11">
        <f t="shared" si="40"/>
        <v>1</v>
      </c>
      <c r="AK164" s="11" t="e">
        <f t="shared" si="41"/>
        <v>#DIV/0!</v>
      </c>
      <c r="AL164" s="10">
        <f t="shared" si="34"/>
        <v>0</v>
      </c>
      <c r="AM164" s="14">
        <f t="shared" si="47"/>
        <v>0</v>
      </c>
      <c r="AO164" s="13">
        <f t="shared" si="48"/>
        <v>1</v>
      </c>
      <c r="AP164" s="13" t="e">
        <f t="shared" si="43"/>
        <v>#DIV/0!</v>
      </c>
      <c r="AQ164" s="11">
        <v>1</v>
      </c>
      <c r="AR164" s="11"/>
      <c r="AS164" s="11"/>
      <c r="AT164" s="11"/>
      <c r="AU164" s="11"/>
      <c r="AV164" s="13"/>
    </row>
    <row r="165" spans="1:48" ht="12.75" customHeight="1">
      <c r="G165" s="11" t="e">
        <f t="shared" si="45"/>
        <v>#DIV/0!</v>
      </c>
      <c r="P165" s="11" t="e">
        <f t="shared" si="46"/>
        <v>#DIV/0!</v>
      </c>
      <c r="R165" s="2"/>
      <c r="S165" s="12">
        <v>5</v>
      </c>
      <c r="Y165">
        <v>70</v>
      </c>
      <c r="AA165" s="11">
        <f t="shared" si="37"/>
        <v>0</v>
      </c>
      <c r="AC165" s="11">
        <f t="shared" si="44"/>
        <v>0</v>
      </c>
      <c r="AG165" s="12" t="e">
        <f t="shared" si="38"/>
        <v>#DIV/0!</v>
      </c>
      <c r="AH165" s="11" t="e">
        <f t="shared" si="39"/>
        <v>#DIV/0!</v>
      </c>
      <c r="AI165" s="11"/>
      <c r="AJ165" s="11">
        <f t="shared" si="40"/>
        <v>1</v>
      </c>
      <c r="AK165" s="11" t="e">
        <f t="shared" si="41"/>
        <v>#DIV/0!</v>
      </c>
      <c r="AL165" s="10">
        <f t="shared" si="34"/>
        <v>0</v>
      </c>
      <c r="AM165" s="14">
        <f t="shared" si="47"/>
        <v>0</v>
      </c>
      <c r="AO165" s="13">
        <f t="shared" si="48"/>
        <v>1</v>
      </c>
      <c r="AP165" s="13" t="e">
        <f t="shared" si="43"/>
        <v>#DIV/0!</v>
      </c>
      <c r="AQ165" s="11">
        <v>1</v>
      </c>
      <c r="AR165" s="11"/>
      <c r="AS165" s="11"/>
      <c r="AT165" s="11"/>
      <c r="AU165" s="11"/>
      <c r="AV165" s="13"/>
    </row>
    <row r="166" spans="1:48" ht="12.75" customHeight="1">
      <c r="G166" s="11" t="e">
        <f t="shared" si="45"/>
        <v>#DIV/0!</v>
      </c>
      <c r="P166" s="11" t="e">
        <f t="shared" si="46"/>
        <v>#DIV/0!</v>
      </c>
      <c r="R166" s="2"/>
      <c r="S166" s="12">
        <v>5</v>
      </c>
      <c r="Y166">
        <v>70</v>
      </c>
      <c r="AA166" s="11">
        <f t="shared" si="37"/>
        <v>0</v>
      </c>
      <c r="AC166" s="11">
        <f t="shared" si="44"/>
        <v>0</v>
      </c>
      <c r="AG166" s="12" t="e">
        <f t="shared" si="38"/>
        <v>#DIV/0!</v>
      </c>
      <c r="AH166" s="11" t="e">
        <f t="shared" si="39"/>
        <v>#DIV/0!</v>
      </c>
      <c r="AI166" s="11"/>
      <c r="AJ166" s="11">
        <f t="shared" si="40"/>
        <v>1</v>
      </c>
      <c r="AK166" s="11" t="e">
        <f t="shared" si="41"/>
        <v>#DIV/0!</v>
      </c>
      <c r="AL166" s="10">
        <f t="shared" si="34"/>
        <v>0</v>
      </c>
      <c r="AM166" s="14">
        <f t="shared" si="47"/>
        <v>0</v>
      </c>
      <c r="AO166" s="13">
        <f t="shared" si="48"/>
        <v>1</v>
      </c>
      <c r="AP166" s="13" t="e">
        <f t="shared" si="43"/>
        <v>#DIV/0!</v>
      </c>
      <c r="AQ166" s="11">
        <v>1</v>
      </c>
      <c r="AR166" s="11"/>
      <c r="AS166" s="11"/>
      <c r="AT166" s="11"/>
      <c r="AU166" s="11"/>
      <c r="AV166" s="13"/>
    </row>
    <row r="167" spans="1:48" ht="12.75" customHeight="1">
      <c r="G167" s="11" t="e">
        <f t="shared" si="45"/>
        <v>#DIV/0!</v>
      </c>
      <c r="P167" s="11" t="e">
        <f t="shared" si="46"/>
        <v>#DIV/0!</v>
      </c>
      <c r="R167" s="2"/>
      <c r="S167" s="12">
        <v>5</v>
      </c>
      <c r="Y167">
        <v>70</v>
      </c>
      <c r="AA167" s="11">
        <f t="shared" si="37"/>
        <v>0</v>
      </c>
      <c r="AC167" s="11">
        <f t="shared" si="44"/>
        <v>0</v>
      </c>
      <c r="AG167" s="12" t="e">
        <f t="shared" si="38"/>
        <v>#DIV/0!</v>
      </c>
      <c r="AH167" s="11" t="e">
        <f t="shared" si="39"/>
        <v>#DIV/0!</v>
      </c>
      <c r="AI167" s="11"/>
      <c r="AJ167" s="11">
        <f t="shared" si="40"/>
        <v>1</v>
      </c>
      <c r="AK167" s="11" t="e">
        <f t="shared" si="41"/>
        <v>#DIV/0!</v>
      </c>
      <c r="AL167" s="10">
        <f t="shared" si="34"/>
        <v>0</v>
      </c>
      <c r="AM167" s="14">
        <f t="shared" si="47"/>
        <v>0</v>
      </c>
      <c r="AO167" s="13">
        <f t="shared" si="48"/>
        <v>1</v>
      </c>
      <c r="AP167" s="13" t="e">
        <f t="shared" si="43"/>
        <v>#DIV/0!</v>
      </c>
      <c r="AQ167" s="11">
        <v>1</v>
      </c>
      <c r="AR167" s="11"/>
      <c r="AS167" s="11"/>
      <c r="AT167" s="11"/>
      <c r="AU167" s="11"/>
      <c r="AV167" s="13"/>
    </row>
    <row r="168" spans="1:48" ht="12.75" customHeight="1">
      <c r="G168" s="11" t="e">
        <f t="shared" si="45"/>
        <v>#DIV/0!</v>
      </c>
      <c r="P168" s="11" t="e">
        <f t="shared" si="46"/>
        <v>#DIV/0!</v>
      </c>
      <c r="R168" s="2"/>
      <c r="S168" s="12">
        <v>5</v>
      </c>
      <c r="Y168">
        <v>70</v>
      </c>
      <c r="AA168" s="11">
        <f t="shared" si="37"/>
        <v>0</v>
      </c>
      <c r="AC168" s="11">
        <f t="shared" si="44"/>
        <v>0</v>
      </c>
      <c r="AG168" s="12" t="e">
        <f t="shared" si="38"/>
        <v>#DIV/0!</v>
      </c>
      <c r="AH168" s="11" t="e">
        <f t="shared" si="39"/>
        <v>#DIV/0!</v>
      </c>
      <c r="AI168" s="11"/>
      <c r="AJ168" s="11">
        <f t="shared" si="40"/>
        <v>1</v>
      </c>
      <c r="AK168" s="11" t="e">
        <f t="shared" si="41"/>
        <v>#DIV/0!</v>
      </c>
      <c r="AL168" s="10">
        <f t="shared" si="34"/>
        <v>0</v>
      </c>
      <c r="AM168" s="14">
        <f t="shared" si="47"/>
        <v>0</v>
      </c>
      <c r="AO168" s="13">
        <f t="shared" si="48"/>
        <v>1</v>
      </c>
      <c r="AP168" s="13" t="e">
        <f t="shared" si="43"/>
        <v>#DIV/0!</v>
      </c>
      <c r="AQ168" s="11">
        <v>1</v>
      </c>
      <c r="AR168" s="11"/>
      <c r="AS168" s="11"/>
      <c r="AT168" s="11"/>
      <c r="AU168" s="11"/>
      <c r="AV168" s="13"/>
    </row>
    <row r="169" spans="1:48" ht="12.75" customHeight="1">
      <c r="G169" s="11" t="e">
        <f t="shared" si="45"/>
        <v>#DIV/0!</v>
      </c>
      <c r="P169" s="11" t="e">
        <f t="shared" si="46"/>
        <v>#DIV/0!</v>
      </c>
      <c r="R169" s="2"/>
      <c r="S169" s="12">
        <v>5</v>
      </c>
      <c r="Y169">
        <v>70</v>
      </c>
      <c r="AA169" s="11">
        <f t="shared" si="37"/>
        <v>0</v>
      </c>
      <c r="AC169" s="11">
        <f t="shared" si="44"/>
        <v>0</v>
      </c>
      <c r="AG169" s="12" t="e">
        <f t="shared" si="38"/>
        <v>#DIV/0!</v>
      </c>
      <c r="AH169" s="11" t="e">
        <f t="shared" si="39"/>
        <v>#DIV/0!</v>
      </c>
      <c r="AI169" s="11"/>
      <c r="AJ169" s="11">
        <f t="shared" si="40"/>
        <v>1</v>
      </c>
      <c r="AK169" s="11" t="e">
        <f t="shared" si="41"/>
        <v>#DIV/0!</v>
      </c>
      <c r="AL169" s="10">
        <f t="shared" si="34"/>
        <v>0</v>
      </c>
      <c r="AM169" s="14">
        <f t="shared" si="47"/>
        <v>0</v>
      </c>
      <c r="AO169" s="13">
        <f t="shared" si="48"/>
        <v>1</v>
      </c>
      <c r="AP169" s="13" t="e">
        <f t="shared" si="43"/>
        <v>#DIV/0!</v>
      </c>
      <c r="AQ169" s="11">
        <v>1</v>
      </c>
      <c r="AR169" s="11"/>
      <c r="AS169" s="11"/>
      <c r="AT169" s="11"/>
      <c r="AU169" s="11"/>
      <c r="AV169" s="13"/>
    </row>
    <row r="170" spans="1:48" ht="12.75" customHeight="1">
      <c r="G170" s="11" t="e">
        <f t="shared" si="45"/>
        <v>#DIV/0!</v>
      </c>
      <c r="P170" s="11" t="e">
        <f t="shared" si="46"/>
        <v>#DIV/0!</v>
      </c>
      <c r="R170" s="2"/>
      <c r="S170" s="12">
        <v>5</v>
      </c>
      <c r="Y170">
        <v>70</v>
      </c>
      <c r="AA170" s="11">
        <f t="shared" si="37"/>
        <v>0</v>
      </c>
      <c r="AC170" s="11">
        <f t="shared" si="44"/>
        <v>0</v>
      </c>
      <c r="AG170" s="12" t="e">
        <f t="shared" si="38"/>
        <v>#DIV/0!</v>
      </c>
      <c r="AH170" s="11" t="e">
        <f t="shared" si="39"/>
        <v>#DIV/0!</v>
      </c>
      <c r="AI170" s="11"/>
      <c r="AJ170" s="11">
        <f t="shared" si="40"/>
        <v>1</v>
      </c>
      <c r="AK170" s="11" t="e">
        <f t="shared" si="41"/>
        <v>#DIV/0!</v>
      </c>
      <c r="AL170" s="10">
        <f t="shared" si="34"/>
        <v>0</v>
      </c>
      <c r="AM170" s="14">
        <f t="shared" si="47"/>
        <v>0</v>
      </c>
      <c r="AO170" s="13">
        <f t="shared" si="48"/>
        <v>1</v>
      </c>
      <c r="AP170" s="13" t="e">
        <f t="shared" si="43"/>
        <v>#DIV/0!</v>
      </c>
      <c r="AQ170" s="11">
        <v>1</v>
      </c>
      <c r="AR170" s="11"/>
      <c r="AS170" s="11"/>
      <c r="AT170" s="11"/>
      <c r="AU170" s="11"/>
      <c r="AV170" s="13"/>
    </row>
    <row r="171" spans="1:48" ht="12.75" customHeight="1">
      <c r="G171" s="11" t="e">
        <f t="shared" si="45"/>
        <v>#DIV/0!</v>
      </c>
      <c r="P171" s="11" t="e">
        <f t="shared" si="46"/>
        <v>#DIV/0!</v>
      </c>
      <c r="R171" s="2"/>
      <c r="S171" s="12">
        <v>5</v>
      </c>
      <c r="Y171">
        <v>70</v>
      </c>
      <c r="AA171" s="11">
        <f t="shared" si="37"/>
        <v>0</v>
      </c>
      <c r="AC171" s="11">
        <f t="shared" si="44"/>
        <v>0</v>
      </c>
      <c r="AG171" s="12" t="e">
        <f t="shared" si="38"/>
        <v>#DIV/0!</v>
      </c>
      <c r="AH171" s="11" t="e">
        <f t="shared" si="39"/>
        <v>#DIV/0!</v>
      </c>
      <c r="AI171" s="11"/>
      <c r="AJ171" s="11">
        <f t="shared" si="40"/>
        <v>1</v>
      </c>
      <c r="AK171" s="11" t="e">
        <f t="shared" si="41"/>
        <v>#DIV/0!</v>
      </c>
      <c r="AL171" s="10">
        <f t="shared" si="34"/>
        <v>0</v>
      </c>
      <c r="AM171" s="14">
        <f t="shared" si="47"/>
        <v>0</v>
      </c>
      <c r="AO171" s="13">
        <f t="shared" si="48"/>
        <v>1</v>
      </c>
      <c r="AP171" s="13" t="e">
        <f t="shared" si="43"/>
        <v>#DIV/0!</v>
      </c>
      <c r="AQ171" s="11">
        <v>1</v>
      </c>
      <c r="AR171" s="11"/>
      <c r="AS171" s="11"/>
      <c r="AT171" s="11"/>
      <c r="AU171" s="11"/>
      <c r="AV171" s="13"/>
    </row>
    <row r="172" spans="1:48" ht="12.75" customHeight="1">
      <c r="G172" s="11" t="e">
        <f t="shared" si="45"/>
        <v>#DIV/0!</v>
      </c>
      <c r="P172" s="11" t="e">
        <f t="shared" si="46"/>
        <v>#DIV/0!</v>
      </c>
      <c r="R172" s="2"/>
      <c r="S172" s="12">
        <v>5</v>
      </c>
      <c r="Y172">
        <v>70</v>
      </c>
      <c r="AA172" s="11">
        <f t="shared" si="37"/>
        <v>0</v>
      </c>
      <c r="AC172" s="11">
        <f t="shared" si="44"/>
        <v>0</v>
      </c>
      <c r="AG172" s="12" t="e">
        <f t="shared" si="38"/>
        <v>#DIV/0!</v>
      </c>
      <c r="AH172" s="11" t="e">
        <f t="shared" si="39"/>
        <v>#DIV/0!</v>
      </c>
      <c r="AI172" s="11"/>
      <c r="AJ172" s="11">
        <f t="shared" si="40"/>
        <v>1</v>
      </c>
      <c r="AK172" s="11" t="e">
        <f t="shared" si="41"/>
        <v>#DIV/0!</v>
      </c>
      <c r="AL172" s="10">
        <f t="shared" si="34"/>
        <v>0</v>
      </c>
      <c r="AM172" s="14">
        <f t="shared" si="47"/>
        <v>0</v>
      </c>
      <c r="AO172" s="13">
        <f t="shared" si="48"/>
        <v>1</v>
      </c>
      <c r="AP172" s="13" t="e">
        <f t="shared" si="43"/>
        <v>#DIV/0!</v>
      </c>
      <c r="AQ172" s="11">
        <v>1</v>
      </c>
      <c r="AR172" s="11"/>
      <c r="AS172" s="11"/>
      <c r="AT172" s="11"/>
      <c r="AU172" s="11"/>
      <c r="AV172" s="13"/>
    </row>
    <row r="173" spans="1:48" ht="12.75" customHeight="1">
      <c r="G173" s="11" t="e">
        <f t="shared" si="45"/>
        <v>#DIV/0!</v>
      </c>
      <c r="P173" s="11" t="e">
        <f t="shared" si="46"/>
        <v>#DIV/0!</v>
      </c>
      <c r="R173" s="2"/>
      <c r="S173" s="12">
        <v>5</v>
      </c>
      <c r="Y173">
        <v>70</v>
      </c>
      <c r="AA173" s="11">
        <f t="shared" si="37"/>
        <v>0</v>
      </c>
      <c r="AC173" s="11">
        <f t="shared" si="44"/>
        <v>0</v>
      </c>
      <c r="AG173" s="12" t="e">
        <f t="shared" si="38"/>
        <v>#DIV/0!</v>
      </c>
      <c r="AH173" s="11" t="e">
        <f t="shared" si="39"/>
        <v>#DIV/0!</v>
      </c>
      <c r="AI173" s="11"/>
      <c r="AJ173" s="11">
        <f t="shared" si="40"/>
        <v>1</v>
      </c>
      <c r="AK173" s="11" t="e">
        <f t="shared" si="41"/>
        <v>#DIV/0!</v>
      </c>
      <c r="AL173" s="10">
        <f t="shared" si="34"/>
        <v>0</v>
      </c>
      <c r="AM173" s="14">
        <f t="shared" si="47"/>
        <v>0</v>
      </c>
      <c r="AO173" s="13">
        <f t="shared" si="48"/>
        <v>1</v>
      </c>
      <c r="AP173" s="13" t="e">
        <f t="shared" si="43"/>
        <v>#DIV/0!</v>
      </c>
      <c r="AQ173" s="11">
        <v>1</v>
      </c>
      <c r="AR173" s="11"/>
      <c r="AS173" s="11"/>
      <c r="AT173" s="11"/>
      <c r="AU173" s="11"/>
      <c r="AV173" s="13"/>
    </row>
    <row r="174" spans="1:48" ht="12.75" customHeight="1">
      <c r="G174" s="11" t="e">
        <f t="shared" si="45"/>
        <v>#DIV/0!</v>
      </c>
      <c r="P174" s="11" t="e">
        <f t="shared" si="46"/>
        <v>#DIV/0!</v>
      </c>
      <c r="R174" s="2"/>
      <c r="S174" s="12">
        <v>5</v>
      </c>
      <c r="Y174">
        <v>70</v>
      </c>
      <c r="AA174" s="11">
        <f t="shared" si="37"/>
        <v>0</v>
      </c>
      <c r="AC174" s="11">
        <f t="shared" si="44"/>
        <v>0</v>
      </c>
      <c r="AG174" s="12" t="e">
        <f t="shared" si="38"/>
        <v>#DIV/0!</v>
      </c>
      <c r="AH174" s="11" t="e">
        <f t="shared" si="39"/>
        <v>#DIV/0!</v>
      </c>
      <c r="AI174" s="11"/>
      <c r="AJ174" s="11">
        <f t="shared" si="40"/>
        <v>1</v>
      </c>
      <c r="AK174" s="11" t="e">
        <f t="shared" si="41"/>
        <v>#DIV/0!</v>
      </c>
      <c r="AL174" s="10">
        <f t="shared" si="34"/>
        <v>0</v>
      </c>
      <c r="AM174" s="14">
        <f t="shared" si="47"/>
        <v>0</v>
      </c>
      <c r="AO174" s="13">
        <f t="shared" si="48"/>
        <v>1</v>
      </c>
      <c r="AP174" s="13" t="e">
        <f t="shared" si="43"/>
        <v>#DIV/0!</v>
      </c>
      <c r="AQ174" s="11">
        <v>1</v>
      </c>
      <c r="AR174" s="11"/>
      <c r="AS174" s="11"/>
      <c r="AT174" s="11"/>
      <c r="AU174" s="11"/>
      <c r="AV174" s="13"/>
    </row>
    <row r="175" spans="1:48" ht="12.75" customHeight="1">
      <c r="G175" s="11" t="e">
        <f t="shared" si="45"/>
        <v>#DIV/0!</v>
      </c>
      <c r="P175" s="11" t="e">
        <f t="shared" si="46"/>
        <v>#DIV/0!</v>
      </c>
      <c r="R175" s="2"/>
      <c r="S175" s="12">
        <v>5</v>
      </c>
      <c r="Y175">
        <v>70</v>
      </c>
      <c r="AA175" s="11">
        <f t="shared" si="37"/>
        <v>0</v>
      </c>
      <c r="AC175" s="11">
        <f t="shared" si="44"/>
        <v>0</v>
      </c>
      <c r="AG175" s="12" t="e">
        <f t="shared" si="38"/>
        <v>#DIV/0!</v>
      </c>
      <c r="AH175" s="11" t="e">
        <f t="shared" si="39"/>
        <v>#DIV/0!</v>
      </c>
      <c r="AI175" s="11"/>
      <c r="AJ175" s="11">
        <f t="shared" si="40"/>
        <v>1</v>
      </c>
      <c r="AK175" s="11" t="e">
        <f t="shared" si="41"/>
        <v>#DIV/0!</v>
      </c>
      <c r="AL175" s="10">
        <f t="shared" si="34"/>
        <v>0</v>
      </c>
      <c r="AM175" s="14">
        <f t="shared" si="47"/>
        <v>0</v>
      </c>
      <c r="AO175" s="13">
        <f t="shared" si="48"/>
        <v>1</v>
      </c>
      <c r="AP175" s="13" t="e">
        <f t="shared" si="43"/>
        <v>#DIV/0!</v>
      </c>
      <c r="AQ175" s="11">
        <v>1</v>
      </c>
      <c r="AR175" s="11"/>
      <c r="AS175" s="11"/>
      <c r="AT175" s="11"/>
      <c r="AU175" s="11"/>
      <c r="AV175" s="13"/>
    </row>
    <row r="176" spans="1:48" ht="12.75" customHeight="1">
      <c r="G176" s="11" t="e">
        <f t="shared" si="45"/>
        <v>#DIV/0!</v>
      </c>
      <c r="P176" s="11" t="e">
        <f t="shared" si="46"/>
        <v>#DIV/0!</v>
      </c>
      <c r="R176" s="2"/>
      <c r="S176" s="12">
        <v>5</v>
      </c>
      <c r="Y176">
        <v>70</v>
      </c>
      <c r="AA176" s="11">
        <f t="shared" si="37"/>
        <v>0</v>
      </c>
      <c r="AC176" s="11">
        <f t="shared" si="44"/>
        <v>0</v>
      </c>
      <c r="AG176" s="12" t="e">
        <f t="shared" si="38"/>
        <v>#DIV/0!</v>
      </c>
      <c r="AH176" s="11" t="e">
        <f t="shared" si="39"/>
        <v>#DIV/0!</v>
      </c>
      <c r="AI176" s="11"/>
      <c r="AJ176" s="11">
        <f t="shared" si="40"/>
        <v>1</v>
      </c>
      <c r="AK176" s="11" t="e">
        <f t="shared" si="41"/>
        <v>#DIV/0!</v>
      </c>
      <c r="AL176" s="10">
        <f t="shared" si="34"/>
        <v>0</v>
      </c>
      <c r="AM176" s="14">
        <f t="shared" si="47"/>
        <v>0</v>
      </c>
      <c r="AO176" s="13">
        <f t="shared" si="48"/>
        <v>1</v>
      </c>
      <c r="AP176" s="13" t="e">
        <f t="shared" si="43"/>
        <v>#DIV/0!</v>
      </c>
      <c r="AQ176" s="11">
        <v>1</v>
      </c>
      <c r="AR176" s="11"/>
      <c r="AS176" s="11"/>
      <c r="AT176" s="11"/>
      <c r="AU176" s="11"/>
      <c r="AV176" s="13"/>
    </row>
    <row r="177" spans="7:48" ht="12.75" customHeight="1">
      <c r="G177" s="11" t="e">
        <f t="shared" si="45"/>
        <v>#DIV/0!</v>
      </c>
      <c r="P177" s="11" t="e">
        <f t="shared" si="46"/>
        <v>#DIV/0!</v>
      </c>
      <c r="R177" s="2"/>
      <c r="S177" s="12">
        <v>5</v>
      </c>
      <c r="Y177">
        <v>70</v>
      </c>
      <c r="AA177" s="11">
        <f t="shared" si="37"/>
        <v>0</v>
      </c>
      <c r="AC177" s="11">
        <f t="shared" si="44"/>
        <v>0</v>
      </c>
      <c r="AG177" s="12" t="e">
        <f t="shared" si="38"/>
        <v>#DIV/0!</v>
      </c>
      <c r="AH177" s="11" t="e">
        <f t="shared" si="39"/>
        <v>#DIV/0!</v>
      </c>
      <c r="AI177" s="11"/>
      <c r="AJ177" s="11">
        <f t="shared" si="40"/>
        <v>1</v>
      </c>
      <c r="AK177" s="11" t="e">
        <f t="shared" si="41"/>
        <v>#DIV/0!</v>
      </c>
      <c r="AL177" s="10">
        <f t="shared" si="34"/>
        <v>0</v>
      </c>
      <c r="AM177" s="14">
        <f t="shared" si="47"/>
        <v>0</v>
      </c>
      <c r="AO177" s="13">
        <f t="shared" si="48"/>
        <v>1</v>
      </c>
      <c r="AP177" s="13" t="e">
        <f t="shared" si="43"/>
        <v>#DIV/0!</v>
      </c>
      <c r="AQ177" s="11">
        <v>1</v>
      </c>
      <c r="AR177" s="11"/>
      <c r="AS177" s="11"/>
      <c r="AT177" s="11"/>
      <c r="AU177" s="11"/>
      <c r="AV177" s="13"/>
    </row>
    <row r="178" spans="7:48" ht="12.75" customHeight="1">
      <c r="G178" s="11" t="e">
        <f t="shared" si="45"/>
        <v>#DIV/0!</v>
      </c>
      <c r="P178" s="11" t="e">
        <f t="shared" si="46"/>
        <v>#DIV/0!</v>
      </c>
      <c r="R178" s="2"/>
      <c r="S178" s="12">
        <v>5</v>
      </c>
      <c r="Y178">
        <v>70</v>
      </c>
      <c r="AA178" s="11">
        <f t="shared" si="37"/>
        <v>0</v>
      </c>
      <c r="AC178" s="11">
        <f t="shared" si="44"/>
        <v>0</v>
      </c>
      <c r="AG178" s="12" t="e">
        <f t="shared" si="38"/>
        <v>#DIV/0!</v>
      </c>
      <c r="AH178" s="11" t="e">
        <f t="shared" si="39"/>
        <v>#DIV/0!</v>
      </c>
      <c r="AI178" s="11"/>
      <c r="AJ178" s="11">
        <f t="shared" si="40"/>
        <v>1</v>
      </c>
      <c r="AK178" s="11" t="e">
        <f t="shared" si="41"/>
        <v>#DIV/0!</v>
      </c>
      <c r="AL178" s="10">
        <f t="shared" si="34"/>
        <v>0</v>
      </c>
      <c r="AM178" s="14">
        <f t="shared" si="47"/>
        <v>0</v>
      </c>
      <c r="AO178" s="13">
        <f t="shared" si="48"/>
        <v>1</v>
      </c>
      <c r="AP178" s="13" t="e">
        <f t="shared" si="43"/>
        <v>#DIV/0!</v>
      </c>
      <c r="AQ178" s="11">
        <v>1</v>
      </c>
      <c r="AR178" s="11"/>
      <c r="AS178" s="11"/>
      <c r="AT178" s="11"/>
      <c r="AU178" s="11"/>
      <c r="AV178" s="13"/>
    </row>
    <row r="179" spans="7:48" ht="12.75" customHeight="1">
      <c r="G179" s="11" t="e">
        <f t="shared" si="45"/>
        <v>#DIV/0!</v>
      </c>
      <c r="P179" s="11" t="e">
        <f t="shared" si="46"/>
        <v>#DIV/0!</v>
      </c>
      <c r="R179" s="2"/>
      <c r="S179" s="12">
        <v>5</v>
      </c>
      <c r="Y179">
        <v>70</v>
      </c>
      <c r="AA179" s="11">
        <f t="shared" si="37"/>
        <v>0</v>
      </c>
      <c r="AC179" s="11">
        <f t="shared" si="44"/>
        <v>0</v>
      </c>
      <c r="AG179" s="12" t="e">
        <f t="shared" si="38"/>
        <v>#DIV/0!</v>
      </c>
      <c r="AH179" s="11" t="e">
        <f t="shared" si="39"/>
        <v>#DIV/0!</v>
      </c>
      <c r="AI179" s="11"/>
      <c r="AJ179" s="11">
        <f t="shared" si="40"/>
        <v>1</v>
      </c>
      <c r="AK179" s="11" t="e">
        <f t="shared" si="41"/>
        <v>#DIV/0!</v>
      </c>
      <c r="AL179" s="10">
        <f t="shared" si="34"/>
        <v>0</v>
      </c>
      <c r="AM179" s="14">
        <f t="shared" si="47"/>
        <v>0</v>
      </c>
      <c r="AO179" s="13">
        <f t="shared" si="48"/>
        <v>1</v>
      </c>
      <c r="AP179" s="13" t="e">
        <f t="shared" si="43"/>
        <v>#DIV/0!</v>
      </c>
      <c r="AQ179" s="11">
        <v>1</v>
      </c>
      <c r="AR179" s="11"/>
      <c r="AS179" s="11"/>
      <c r="AT179" s="11"/>
      <c r="AU179" s="11"/>
      <c r="AV179" s="13"/>
    </row>
    <row r="180" spans="7:48" ht="12.75" customHeight="1">
      <c r="G180" s="11" t="e">
        <f t="shared" si="45"/>
        <v>#DIV/0!</v>
      </c>
      <c r="P180" s="11" t="e">
        <f t="shared" si="46"/>
        <v>#DIV/0!</v>
      </c>
      <c r="R180" s="2"/>
      <c r="S180" s="12">
        <v>5</v>
      </c>
      <c r="Y180">
        <v>70</v>
      </c>
      <c r="AA180" s="11">
        <f t="shared" si="37"/>
        <v>0</v>
      </c>
      <c r="AC180" s="11">
        <f t="shared" si="44"/>
        <v>0</v>
      </c>
      <c r="AG180" s="12" t="e">
        <f t="shared" si="38"/>
        <v>#DIV/0!</v>
      </c>
      <c r="AH180" s="11" t="e">
        <f t="shared" si="39"/>
        <v>#DIV/0!</v>
      </c>
      <c r="AI180" s="11"/>
      <c r="AJ180" s="11">
        <f t="shared" si="40"/>
        <v>1</v>
      </c>
      <c r="AK180" s="11" t="e">
        <f t="shared" si="41"/>
        <v>#DIV/0!</v>
      </c>
      <c r="AL180" s="10">
        <f t="shared" si="34"/>
        <v>0</v>
      </c>
      <c r="AM180" s="14">
        <f t="shared" si="47"/>
        <v>0</v>
      </c>
      <c r="AO180" s="13">
        <f t="shared" si="48"/>
        <v>1</v>
      </c>
      <c r="AP180" s="13" t="e">
        <f t="shared" si="43"/>
        <v>#DIV/0!</v>
      </c>
      <c r="AQ180" s="11">
        <v>1</v>
      </c>
      <c r="AR180" s="11"/>
      <c r="AS180" s="11"/>
      <c r="AT180" s="11"/>
      <c r="AU180" s="11"/>
      <c r="AV180" s="13"/>
    </row>
    <row r="181" spans="7:48" ht="12.75" customHeight="1">
      <c r="G181" s="11" t="e">
        <f t="shared" si="45"/>
        <v>#DIV/0!</v>
      </c>
      <c r="P181" s="11" t="e">
        <f t="shared" si="46"/>
        <v>#DIV/0!</v>
      </c>
      <c r="R181" s="2"/>
      <c r="S181" s="12">
        <v>5</v>
      </c>
      <c r="Y181">
        <v>70</v>
      </c>
      <c r="AA181" s="11">
        <f t="shared" si="37"/>
        <v>0</v>
      </c>
      <c r="AC181" s="11">
        <f t="shared" si="44"/>
        <v>0</v>
      </c>
      <c r="AG181" s="12" t="e">
        <f t="shared" si="38"/>
        <v>#DIV/0!</v>
      </c>
      <c r="AH181" s="11" t="e">
        <f t="shared" si="39"/>
        <v>#DIV/0!</v>
      </c>
      <c r="AI181" s="11"/>
      <c r="AJ181" s="11">
        <f t="shared" si="40"/>
        <v>1</v>
      </c>
      <c r="AK181" s="11" t="e">
        <f t="shared" si="41"/>
        <v>#DIV/0!</v>
      </c>
      <c r="AL181" s="10">
        <f t="shared" si="34"/>
        <v>0</v>
      </c>
      <c r="AM181" s="14">
        <f t="shared" si="47"/>
        <v>0</v>
      </c>
      <c r="AO181" s="13">
        <f t="shared" si="48"/>
        <v>1</v>
      </c>
      <c r="AP181" s="13" t="e">
        <f t="shared" si="43"/>
        <v>#DIV/0!</v>
      </c>
      <c r="AQ181" s="11">
        <v>1</v>
      </c>
      <c r="AR181" s="11"/>
      <c r="AS181" s="11"/>
      <c r="AT181" s="11"/>
      <c r="AU181" s="11"/>
      <c r="AV181" s="13"/>
    </row>
    <row r="182" spans="7:48" ht="12.75" customHeight="1">
      <c r="G182" s="11" t="e">
        <f t="shared" si="45"/>
        <v>#DIV/0!</v>
      </c>
      <c r="P182" s="11" t="e">
        <f t="shared" si="46"/>
        <v>#DIV/0!</v>
      </c>
      <c r="R182" s="2"/>
      <c r="S182" s="12">
        <v>5</v>
      </c>
      <c r="Y182">
        <v>70</v>
      </c>
      <c r="AA182" s="11">
        <f t="shared" si="37"/>
        <v>0</v>
      </c>
      <c r="AC182" s="11">
        <f t="shared" si="44"/>
        <v>0</v>
      </c>
      <c r="AG182" s="12" t="e">
        <f t="shared" si="38"/>
        <v>#DIV/0!</v>
      </c>
      <c r="AH182" s="11" t="e">
        <f t="shared" si="39"/>
        <v>#DIV/0!</v>
      </c>
      <c r="AI182" s="11"/>
      <c r="AJ182" s="11">
        <f t="shared" si="40"/>
        <v>1</v>
      </c>
      <c r="AK182" s="11" t="e">
        <f t="shared" si="41"/>
        <v>#DIV/0!</v>
      </c>
      <c r="AL182" s="10">
        <f t="shared" si="34"/>
        <v>0</v>
      </c>
      <c r="AM182" s="14">
        <f t="shared" si="47"/>
        <v>0</v>
      </c>
      <c r="AO182" s="13">
        <f t="shared" si="48"/>
        <v>1</v>
      </c>
      <c r="AP182" s="13" t="e">
        <f t="shared" si="43"/>
        <v>#DIV/0!</v>
      </c>
      <c r="AQ182" s="11">
        <v>1</v>
      </c>
      <c r="AR182" s="11"/>
      <c r="AS182" s="11"/>
      <c r="AT182" s="11"/>
      <c r="AU182" s="11"/>
      <c r="AV182" s="13"/>
    </row>
    <row r="183" spans="7:48" ht="12.75" customHeight="1">
      <c r="G183" s="11" t="e">
        <f t="shared" si="45"/>
        <v>#DIV/0!</v>
      </c>
      <c r="P183" s="11" t="e">
        <f t="shared" si="46"/>
        <v>#DIV/0!</v>
      </c>
      <c r="R183" s="2"/>
      <c r="S183" s="12">
        <v>5</v>
      </c>
      <c r="Y183">
        <v>70</v>
      </c>
      <c r="AA183" s="11">
        <f t="shared" si="37"/>
        <v>0</v>
      </c>
      <c r="AC183" s="11">
        <f t="shared" si="44"/>
        <v>0</v>
      </c>
      <c r="AG183" s="12" t="e">
        <f t="shared" si="38"/>
        <v>#DIV/0!</v>
      </c>
      <c r="AH183" s="11" t="e">
        <f t="shared" si="39"/>
        <v>#DIV/0!</v>
      </c>
      <c r="AI183" s="11"/>
      <c r="AJ183" s="11">
        <f t="shared" si="40"/>
        <v>1</v>
      </c>
      <c r="AK183" s="11" t="e">
        <f t="shared" si="41"/>
        <v>#DIV/0!</v>
      </c>
      <c r="AL183" s="10">
        <f t="shared" si="34"/>
        <v>0</v>
      </c>
      <c r="AM183" s="14">
        <f t="shared" si="47"/>
        <v>0</v>
      </c>
      <c r="AO183" s="13">
        <f t="shared" si="48"/>
        <v>1</v>
      </c>
      <c r="AP183" s="13" t="e">
        <f t="shared" si="43"/>
        <v>#DIV/0!</v>
      </c>
      <c r="AQ183" s="11">
        <v>1</v>
      </c>
      <c r="AR183" s="11"/>
      <c r="AS183" s="11"/>
      <c r="AT183" s="11"/>
      <c r="AU183" s="11"/>
      <c r="AV183" s="13"/>
    </row>
    <row r="184" spans="7:48" ht="12.75" customHeight="1">
      <c r="G184" s="11" t="e">
        <f t="shared" si="45"/>
        <v>#DIV/0!</v>
      </c>
      <c r="P184" s="11" t="e">
        <f t="shared" si="46"/>
        <v>#DIV/0!</v>
      </c>
      <c r="R184" s="2"/>
      <c r="S184" s="12">
        <v>5</v>
      </c>
      <c r="Y184">
        <v>70</v>
      </c>
      <c r="AA184" s="11">
        <f t="shared" si="37"/>
        <v>0</v>
      </c>
      <c r="AC184" s="11">
        <f t="shared" si="44"/>
        <v>0</v>
      </c>
      <c r="AG184" s="12" t="e">
        <f t="shared" si="38"/>
        <v>#DIV/0!</v>
      </c>
      <c r="AH184" s="11" t="e">
        <f t="shared" si="39"/>
        <v>#DIV/0!</v>
      </c>
      <c r="AI184" s="11"/>
      <c r="AJ184" s="11">
        <f t="shared" si="40"/>
        <v>1</v>
      </c>
      <c r="AK184" s="11" t="e">
        <f t="shared" si="41"/>
        <v>#DIV/0!</v>
      </c>
      <c r="AL184" s="10">
        <f t="shared" si="34"/>
        <v>0</v>
      </c>
      <c r="AM184" s="14">
        <f t="shared" si="47"/>
        <v>0</v>
      </c>
      <c r="AO184" s="13">
        <f t="shared" si="48"/>
        <v>1</v>
      </c>
      <c r="AP184" s="13" t="e">
        <f t="shared" si="43"/>
        <v>#DIV/0!</v>
      </c>
      <c r="AQ184" s="11">
        <v>1</v>
      </c>
      <c r="AR184" s="11"/>
      <c r="AS184" s="11"/>
      <c r="AT184" s="11"/>
      <c r="AU184" s="11"/>
      <c r="AV184" s="13"/>
    </row>
    <row r="185" spans="7:48" ht="12.75" customHeight="1">
      <c r="G185" s="11" t="e">
        <f t="shared" si="45"/>
        <v>#DIV/0!</v>
      </c>
      <c r="P185" s="11" t="e">
        <f t="shared" si="46"/>
        <v>#DIV/0!</v>
      </c>
      <c r="R185" s="2"/>
      <c r="S185" s="12">
        <v>5</v>
      </c>
      <c r="Y185">
        <v>70</v>
      </c>
      <c r="AA185" s="11">
        <f t="shared" si="37"/>
        <v>0</v>
      </c>
      <c r="AC185" s="11">
        <f t="shared" si="44"/>
        <v>0</v>
      </c>
      <c r="AG185" s="12" t="e">
        <f t="shared" si="38"/>
        <v>#DIV/0!</v>
      </c>
      <c r="AH185" s="11" t="e">
        <f t="shared" si="39"/>
        <v>#DIV/0!</v>
      </c>
      <c r="AI185" s="11"/>
      <c r="AJ185" s="11">
        <f t="shared" si="40"/>
        <v>1</v>
      </c>
      <c r="AK185" s="11" t="e">
        <f t="shared" si="41"/>
        <v>#DIV/0!</v>
      </c>
      <c r="AL185" s="10">
        <f t="shared" si="34"/>
        <v>0</v>
      </c>
      <c r="AM185" s="14">
        <f t="shared" si="47"/>
        <v>0</v>
      </c>
      <c r="AO185" s="13">
        <f t="shared" si="48"/>
        <v>1</v>
      </c>
      <c r="AP185" s="13" t="e">
        <f t="shared" si="43"/>
        <v>#DIV/0!</v>
      </c>
      <c r="AQ185" s="11">
        <v>1</v>
      </c>
      <c r="AR185" s="11"/>
      <c r="AS185" s="11"/>
      <c r="AT185" s="11"/>
      <c r="AU185" s="11"/>
      <c r="AV185" s="13"/>
    </row>
    <row r="186" spans="7:48" ht="12.75" customHeight="1">
      <c r="G186" s="11" t="e">
        <f t="shared" si="45"/>
        <v>#DIV/0!</v>
      </c>
      <c r="P186" s="11" t="e">
        <f t="shared" si="46"/>
        <v>#DIV/0!</v>
      </c>
      <c r="R186" s="2"/>
      <c r="S186" s="12">
        <v>5</v>
      </c>
      <c r="Y186">
        <v>70</v>
      </c>
      <c r="AA186" s="11">
        <f t="shared" si="37"/>
        <v>0</v>
      </c>
      <c r="AC186" s="11">
        <f t="shared" si="44"/>
        <v>0</v>
      </c>
      <c r="AG186" s="12" t="e">
        <f t="shared" si="38"/>
        <v>#DIV/0!</v>
      </c>
      <c r="AH186" s="11" t="e">
        <f t="shared" si="39"/>
        <v>#DIV/0!</v>
      </c>
      <c r="AI186" s="11"/>
      <c r="AJ186" s="11">
        <f t="shared" si="40"/>
        <v>1</v>
      </c>
      <c r="AK186" s="11" t="e">
        <f t="shared" si="41"/>
        <v>#DIV/0!</v>
      </c>
      <c r="AL186" s="10">
        <f t="shared" si="34"/>
        <v>0</v>
      </c>
      <c r="AM186" s="14">
        <f t="shared" si="47"/>
        <v>0</v>
      </c>
      <c r="AO186" s="13">
        <f t="shared" si="48"/>
        <v>1</v>
      </c>
      <c r="AP186" s="13" t="e">
        <f t="shared" si="43"/>
        <v>#DIV/0!</v>
      </c>
      <c r="AQ186" s="11">
        <v>1</v>
      </c>
      <c r="AR186" s="11"/>
      <c r="AS186" s="11"/>
      <c r="AT186" s="11"/>
      <c r="AU186" s="11"/>
      <c r="AV186" s="13"/>
    </row>
    <row r="187" spans="7:48" ht="12.75" customHeight="1">
      <c r="G187" s="11" t="e">
        <f t="shared" si="45"/>
        <v>#DIV/0!</v>
      </c>
      <c r="P187" s="11" t="e">
        <f t="shared" si="46"/>
        <v>#DIV/0!</v>
      </c>
      <c r="R187" s="2"/>
      <c r="S187" s="12">
        <v>5</v>
      </c>
      <c r="Y187">
        <v>70</v>
      </c>
      <c r="AA187" s="11">
        <f t="shared" si="37"/>
        <v>0</v>
      </c>
      <c r="AC187" s="11">
        <f t="shared" si="44"/>
        <v>0</v>
      </c>
      <c r="AG187" s="12" t="e">
        <f t="shared" si="38"/>
        <v>#DIV/0!</v>
      </c>
      <c r="AH187" s="11" t="e">
        <f t="shared" si="39"/>
        <v>#DIV/0!</v>
      </c>
      <c r="AI187" s="11"/>
      <c r="AJ187" s="11">
        <f t="shared" si="40"/>
        <v>1</v>
      </c>
      <c r="AK187" s="11" t="e">
        <f t="shared" si="41"/>
        <v>#DIV/0!</v>
      </c>
      <c r="AL187" s="10">
        <f t="shared" si="34"/>
        <v>0</v>
      </c>
      <c r="AM187" s="14">
        <f t="shared" si="47"/>
        <v>0</v>
      </c>
      <c r="AO187" s="13">
        <f t="shared" si="48"/>
        <v>1</v>
      </c>
      <c r="AP187" s="13" t="e">
        <f t="shared" si="43"/>
        <v>#DIV/0!</v>
      </c>
      <c r="AQ187" s="11">
        <v>1</v>
      </c>
      <c r="AR187" s="11"/>
      <c r="AS187" s="11"/>
      <c r="AT187" s="11"/>
      <c r="AU187" s="11"/>
      <c r="AV187" s="13"/>
    </row>
    <row r="188" spans="7:48" ht="12.75" customHeight="1">
      <c r="G188" s="11" t="e">
        <f t="shared" si="45"/>
        <v>#DIV/0!</v>
      </c>
      <c r="P188" s="11" t="e">
        <f t="shared" si="46"/>
        <v>#DIV/0!</v>
      </c>
      <c r="R188" s="2"/>
      <c r="S188" s="12">
        <v>5</v>
      </c>
      <c r="Y188">
        <v>70</v>
      </c>
      <c r="AA188" s="11">
        <f t="shared" si="37"/>
        <v>0</v>
      </c>
      <c r="AC188" s="11">
        <f t="shared" si="44"/>
        <v>0</v>
      </c>
      <c r="AG188" s="12" t="e">
        <f t="shared" si="38"/>
        <v>#DIV/0!</v>
      </c>
      <c r="AH188" s="11" t="e">
        <f t="shared" si="39"/>
        <v>#DIV/0!</v>
      </c>
      <c r="AI188" s="11"/>
      <c r="AJ188" s="11">
        <f t="shared" si="40"/>
        <v>1</v>
      </c>
      <c r="AK188" s="11" t="e">
        <f t="shared" si="41"/>
        <v>#DIV/0!</v>
      </c>
      <c r="AL188" s="10">
        <f t="shared" si="34"/>
        <v>0</v>
      </c>
      <c r="AM188" s="14">
        <f t="shared" si="47"/>
        <v>0</v>
      </c>
      <c r="AO188" s="13">
        <f t="shared" si="48"/>
        <v>1</v>
      </c>
      <c r="AP188" s="13" t="e">
        <f t="shared" si="43"/>
        <v>#DIV/0!</v>
      </c>
      <c r="AQ188" s="11">
        <v>1</v>
      </c>
      <c r="AR188" s="11"/>
      <c r="AS188" s="11"/>
      <c r="AT188" s="11"/>
      <c r="AU188" s="11"/>
      <c r="AV188" s="13"/>
    </row>
    <row r="189" spans="7:48" ht="12.75" customHeight="1">
      <c r="G189" s="11" t="e">
        <f t="shared" si="45"/>
        <v>#DIV/0!</v>
      </c>
      <c r="P189" s="11" t="e">
        <f t="shared" si="46"/>
        <v>#DIV/0!</v>
      </c>
      <c r="R189" s="2"/>
      <c r="S189" s="12">
        <v>5</v>
      </c>
      <c r="Y189">
        <v>70</v>
      </c>
      <c r="AA189" s="11">
        <f t="shared" si="37"/>
        <v>0</v>
      </c>
      <c r="AC189" s="11">
        <f t="shared" si="44"/>
        <v>0</v>
      </c>
      <c r="AG189" s="12" t="e">
        <f t="shared" si="38"/>
        <v>#DIV/0!</v>
      </c>
      <c r="AH189" s="11" t="e">
        <f t="shared" si="39"/>
        <v>#DIV/0!</v>
      </c>
      <c r="AI189" s="11"/>
      <c r="AJ189" s="11">
        <f t="shared" si="40"/>
        <v>1</v>
      </c>
      <c r="AK189" s="11" t="e">
        <f t="shared" si="41"/>
        <v>#DIV/0!</v>
      </c>
      <c r="AL189" s="10">
        <f t="shared" si="34"/>
        <v>0</v>
      </c>
      <c r="AM189" s="14">
        <f t="shared" si="47"/>
        <v>0</v>
      </c>
      <c r="AO189" s="13">
        <f t="shared" si="48"/>
        <v>1</v>
      </c>
      <c r="AP189" s="13" t="e">
        <f t="shared" si="43"/>
        <v>#DIV/0!</v>
      </c>
      <c r="AQ189" s="11">
        <v>1</v>
      </c>
      <c r="AR189" s="11"/>
      <c r="AS189" s="11"/>
      <c r="AT189" s="11"/>
      <c r="AU189" s="11"/>
      <c r="AV189" s="13"/>
    </row>
    <row r="190" spans="7:48" ht="12.75" customHeight="1">
      <c r="G190" s="11" t="e">
        <f t="shared" si="45"/>
        <v>#DIV/0!</v>
      </c>
      <c r="P190" s="11" t="e">
        <f t="shared" si="46"/>
        <v>#DIV/0!</v>
      </c>
      <c r="R190" s="2"/>
      <c r="S190" s="12">
        <v>5</v>
      </c>
      <c r="Y190">
        <v>70</v>
      </c>
      <c r="AA190" s="11">
        <f t="shared" si="37"/>
        <v>0</v>
      </c>
      <c r="AC190" s="11">
        <f t="shared" si="44"/>
        <v>0</v>
      </c>
      <c r="AG190" s="12" t="e">
        <f t="shared" si="38"/>
        <v>#DIV/0!</v>
      </c>
      <c r="AH190" s="11" t="e">
        <f t="shared" si="39"/>
        <v>#DIV/0!</v>
      </c>
      <c r="AI190" s="11"/>
      <c r="AJ190" s="11">
        <f t="shared" si="40"/>
        <v>1</v>
      </c>
      <c r="AK190" s="11" t="e">
        <f t="shared" si="41"/>
        <v>#DIV/0!</v>
      </c>
      <c r="AL190" s="10">
        <f t="shared" si="34"/>
        <v>0</v>
      </c>
      <c r="AM190" s="14">
        <f t="shared" si="47"/>
        <v>0</v>
      </c>
      <c r="AO190" s="13">
        <f t="shared" si="48"/>
        <v>1</v>
      </c>
      <c r="AP190" s="13" t="e">
        <f t="shared" si="43"/>
        <v>#DIV/0!</v>
      </c>
      <c r="AQ190" s="11">
        <v>1</v>
      </c>
      <c r="AR190" s="11"/>
      <c r="AS190" s="11"/>
      <c r="AT190" s="11"/>
      <c r="AU190" s="11"/>
      <c r="AV190" s="13"/>
    </row>
    <row r="191" spans="7:48" ht="12.75" customHeight="1">
      <c r="G191" s="11" t="e">
        <f t="shared" si="45"/>
        <v>#DIV/0!</v>
      </c>
      <c r="P191" s="11" t="e">
        <f t="shared" si="46"/>
        <v>#DIV/0!</v>
      </c>
      <c r="R191" s="2"/>
      <c r="S191" s="12">
        <v>5</v>
      </c>
      <c r="Y191">
        <v>70</v>
      </c>
      <c r="AA191" s="11">
        <f t="shared" si="37"/>
        <v>0</v>
      </c>
      <c r="AC191" s="11">
        <f t="shared" si="44"/>
        <v>0</v>
      </c>
      <c r="AG191" s="12" t="e">
        <f t="shared" si="38"/>
        <v>#DIV/0!</v>
      </c>
      <c r="AH191" s="11" t="e">
        <f t="shared" si="39"/>
        <v>#DIV/0!</v>
      </c>
      <c r="AI191" s="11"/>
      <c r="AJ191" s="11">
        <f t="shared" si="40"/>
        <v>1</v>
      </c>
      <c r="AK191" s="11" t="e">
        <f t="shared" si="41"/>
        <v>#DIV/0!</v>
      </c>
      <c r="AL191" s="10">
        <f t="shared" si="34"/>
        <v>0</v>
      </c>
      <c r="AM191" s="14">
        <f t="shared" si="47"/>
        <v>0</v>
      </c>
      <c r="AO191" s="13">
        <f t="shared" si="48"/>
        <v>1</v>
      </c>
      <c r="AP191" s="13" t="e">
        <f t="shared" si="43"/>
        <v>#DIV/0!</v>
      </c>
      <c r="AQ191" s="11">
        <v>1</v>
      </c>
      <c r="AR191" s="11"/>
      <c r="AS191" s="11"/>
      <c r="AT191" s="11"/>
      <c r="AU191" s="11"/>
      <c r="AV191" s="13"/>
    </row>
    <row r="192" spans="7:48" ht="12.75" customHeight="1">
      <c r="G192" s="11" t="e">
        <f t="shared" si="45"/>
        <v>#DIV/0!</v>
      </c>
      <c r="P192" s="11" t="e">
        <f t="shared" si="46"/>
        <v>#DIV/0!</v>
      </c>
      <c r="R192" s="2"/>
      <c r="S192" s="12">
        <v>5</v>
      </c>
      <c r="Y192">
        <v>70</v>
      </c>
      <c r="AA192" s="11">
        <f t="shared" si="37"/>
        <v>0</v>
      </c>
      <c r="AC192" s="11">
        <f t="shared" si="44"/>
        <v>0</v>
      </c>
      <c r="AG192" s="12" t="e">
        <f t="shared" si="38"/>
        <v>#DIV/0!</v>
      </c>
      <c r="AH192" s="11" t="e">
        <f t="shared" si="39"/>
        <v>#DIV/0!</v>
      </c>
      <c r="AI192" s="11"/>
      <c r="AJ192" s="11">
        <f t="shared" si="40"/>
        <v>1</v>
      </c>
      <c r="AK192" s="11" t="e">
        <f t="shared" si="41"/>
        <v>#DIV/0!</v>
      </c>
      <c r="AL192" s="10">
        <f t="shared" ref="AL192:AL255" si="49">D192</f>
        <v>0</v>
      </c>
      <c r="AM192" s="14">
        <f t="shared" si="47"/>
        <v>0</v>
      </c>
      <c r="AO192" s="13">
        <f t="shared" si="48"/>
        <v>1</v>
      </c>
      <c r="AP192" s="13" t="e">
        <f t="shared" si="43"/>
        <v>#DIV/0!</v>
      </c>
      <c r="AQ192" s="11">
        <v>1</v>
      </c>
      <c r="AR192" s="11"/>
      <c r="AS192" s="11"/>
      <c r="AT192" s="11"/>
      <c r="AU192" s="11"/>
      <c r="AV192" s="13"/>
    </row>
    <row r="193" spans="7:48" ht="12.75" customHeight="1">
      <c r="G193" s="11" t="e">
        <f t="shared" si="45"/>
        <v>#DIV/0!</v>
      </c>
      <c r="P193" s="11" t="e">
        <f t="shared" si="46"/>
        <v>#DIV/0!</v>
      </c>
      <c r="R193" s="2"/>
      <c r="S193" s="12">
        <v>5</v>
      </c>
      <c r="Y193">
        <v>70</v>
      </c>
      <c r="AA193" s="11">
        <f t="shared" si="37"/>
        <v>0</v>
      </c>
      <c r="AC193" s="11">
        <f t="shared" si="44"/>
        <v>0</v>
      </c>
      <c r="AG193" s="12" t="e">
        <f t="shared" si="38"/>
        <v>#DIV/0!</v>
      </c>
      <c r="AH193" s="11" t="e">
        <f t="shared" si="39"/>
        <v>#DIV/0!</v>
      </c>
      <c r="AI193" s="11"/>
      <c r="AJ193" s="11">
        <f t="shared" si="40"/>
        <v>1</v>
      </c>
      <c r="AK193" s="11" t="e">
        <f t="shared" si="41"/>
        <v>#DIV/0!</v>
      </c>
      <c r="AL193" s="10">
        <f t="shared" si="49"/>
        <v>0</v>
      </c>
      <c r="AM193" s="14">
        <f t="shared" si="47"/>
        <v>0</v>
      </c>
      <c r="AO193" s="13">
        <f t="shared" si="48"/>
        <v>1</v>
      </c>
      <c r="AP193" s="13" t="e">
        <f t="shared" si="43"/>
        <v>#DIV/0!</v>
      </c>
      <c r="AQ193" s="11">
        <v>1</v>
      </c>
      <c r="AR193" s="11"/>
      <c r="AS193" s="11"/>
      <c r="AT193" s="11"/>
      <c r="AU193" s="11"/>
      <c r="AV193" s="13"/>
    </row>
    <row r="194" spans="7:48" ht="12.75" customHeight="1">
      <c r="G194" s="11" t="e">
        <f t="shared" si="45"/>
        <v>#DIV/0!</v>
      </c>
      <c r="P194" s="11" t="e">
        <f t="shared" si="46"/>
        <v>#DIV/0!</v>
      </c>
      <c r="R194" s="2"/>
      <c r="S194" s="12">
        <v>5</v>
      </c>
      <c r="Y194">
        <v>70</v>
      </c>
      <c r="AA194" s="11">
        <f t="shared" ref="AA194:AA257" si="50">IF(X194&lt;50,IF(Y194&gt;(2.3*X194),0,1),1)-IF(Z194&gt;Y194,1.7,0)</f>
        <v>0</v>
      </c>
      <c r="AC194" s="11">
        <f t="shared" si="44"/>
        <v>0</v>
      </c>
      <c r="AG194" s="12" t="e">
        <f t="shared" ref="AG194:AG257" si="51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52">AG194+IF(X194&lt;1.35,0,1)+IF(Y194&lt;1.35,0,1)+AC194+AA194</f>
        <v>#DIV/0!</v>
      </c>
      <c r="AI194" s="11"/>
      <c r="AJ194" s="11">
        <f t="shared" ref="AJ194:AJ257" si="53">IF(AI194&gt;12.7,IF(AI194&gt;15.8,0.93,0.98),1)</f>
        <v>1</v>
      </c>
      <c r="AK194" s="11" t="e">
        <f t="shared" ref="AK194:AK257" si="54">(1.5*AG194+AH194)*AJ194*AQ194</f>
        <v>#DIV/0!</v>
      </c>
      <c r="AL194" s="10">
        <f t="shared" si="49"/>
        <v>0</v>
      </c>
      <c r="AM194" s="14">
        <f t="shared" si="47"/>
        <v>0</v>
      </c>
      <c r="AO194" s="13">
        <f t="shared" ref="AO194:AO225" si="55">AN194+1</f>
        <v>1</v>
      </c>
      <c r="AP194" s="13" t="e">
        <f t="shared" ref="AP194:AP257" si="56">IF(AK194&gt;14.9,IF(Z194&lt;101,IF(Z194&lt;35,IF(Z194&lt;6,3,2),1),0),0)</f>
        <v>#DIV/0!</v>
      </c>
      <c r="AQ194" s="11">
        <v>1</v>
      </c>
      <c r="AR194" s="11"/>
      <c r="AS194" s="11"/>
      <c r="AT194" s="11"/>
      <c r="AU194" s="11"/>
      <c r="AV194" s="13"/>
    </row>
    <row r="195" spans="7:48" ht="12.75" customHeight="1">
      <c r="G195" s="11" t="e">
        <f t="shared" si="45"/>
        <v>#DIV/0!</v>
      </c>
      <c r="P195" s="11" t="e">
        <f t="shared" si="46"/>
        <v>#DIV/0!</v>
      </c>
      <c r="R195" s="2"/>
      <c r="S195" s="12">
        <v>5</v>
      </c>
      <c r="Y195">
        <v>70</v>
      </c>
      <c r="AA195" s="11">
        <f t="shared" si="50"/>
        <v>0</v>
      </c>
      <c r="AC195" s="11">
        <f t="shared" ref="AC195:AC258" si="57">IF(AB195&gt;4,1,0)+IF(AB195&gt;10,1,0)</f>
        <v>0</v>
      </c>
      <c r="AG195" s="12" t="e">
        <f t="shared" si="51"/>
        <v>#DIV/0!</v>
      </c>
      <c r="AH195" s="11" t="e">
        <f t="shared" si="52"/>
        <v>#DIV/0!</v>
      </c>
      <c r="AI195" s="11"/>
      <c r="AJ195" s="11">
        <f t="shared" si="53"/>
        <v>1</v>
      </c>
      <c r="AK195" s="11" t="e">
        <f t="shared" si="54"/>
        <v>#DIV/0!</v>
      </c>
      <c r="AL195" s="10">
        <f t="shared" si="49"/>
        <v>0</v>
      </c>
      <c r="AM195" s="14">
        <f t="shared" si="47"/>
        <v>0</v>
      </c>
      <c r="AO195" s="13">
        <f t="shared" si="55"/>
        <v>1</v>
      </c>
      <c r="AP195" s="13" t="e">
        <f t="shared" si="56"/>
        <v>#DIV/0!</v>
      </c>
      <c r="AQ195" s="11">
        <v>1</v>
      </c>
      <c r="AR195" s="11"/>
      <c r="AS195" s="11"/>
      <c r="AT195" s="11"/>
      <c r="AU195" s="11"/>
      <c r="AV195" s="13"/>
    </row>
    <row r="196" spans="7:48" ht="12.75" customHeight="1">
      <c r="G196" s="11" t="e">
        <f t="shared" si="45"/>
        <v>#DIV/0!</v>
      </c>
      <c r="P196" s="11" t="e">
        <f t="shared" si="46"/>
        <v>#DIV/0!</v>
      </c>
      <c r="R196" s="2"/>
      <c r="S196" s="12">
        <v>5</v>
      </c>
      <c r="Y196">
        <v>70</v>
      </c>
      <c r="AA196" s="11">
        <f t="shared" si="50"/>
        <v>0</v>
      </c>
      <c r="AC196" s="11">
        <f t="shared" si="57"/>
        <v>0</v>
      </c>
      <c r="AG196" s="12" t="e">
        <f t="shared" si="51"/>
        <v>#DIV/0!</v>
      </c>
      <c r="AH196" s="11" t="e">
        <f t="shared" si="52"/>
        <v>#DIV/0!</v>
      </c>
      <c r="AI196" s="11"/>
      <c r="AJ196" s="11">
        <f t="shared" si="53"/>
        <v>1</v>
      </c>
      <c r="AK196" s="11" t="e">
        <f t="shared" si="54"/>
        <v>#DIV/0!</v>
      </c>
      <c r="AL196" s="10">
        <f t="shared" si="49"/>
        <v>0</v>
      </c>
      <c r="AM196" s="14">
        <f t="shared" si="47"/>
        <v>0</v>
      </c>
      <c r="AO196" s="13">
        <f t="shared" si="55"/>
        <v>1</v>
      </c>
      <c r="AP196" s="13" t="e">
        <f t="shared" si="56"/>
        <v>#DIV/0!</v>
      </c>
      <c r="AQ196" s="11">
        <v>1</v>
      </c>
      <c r="AR196" s="11"/>
      <c r="AS196" s="11"/>
      <c r="AT196" s="11"/>
      <c r="AU196" s="11"/>
      <c r="AV196" s="13"/>
    </row>
    <row r="197" spans="7:48" ht="12.75" customHeight="1">
      <c r="G197" s="11" t="e">
        <f t="shared" si="45"/>
        <v>#DIV/0!</v>
      </c>
      <c r="P197" s="11" t="e">
        <f t="shared" si="46"/>
        <v>#DIV/0!</v>
      </c>
      <c r="R197" s="2"/>
      <c r="S197" s="12">
        <v>5</v>
      </c>
      <c r="Y197">
        <v>70</v>
      </c>
      <c r="AA197" s="11">
        <f t="shared" si="50"/>
        <v>0</v>
      </c>
      <c r="AC197" s="11">
        <f t="shared" si="57"/>
        <v>0</v>
      </c>
      <c r="AG197" s="12" t="e">
        <f t="shared" si="51"/>
        <v>#DIV/0!</v>
      </c>
      <c r="AH197" s="11" t="e">
        <f t="shared" si="52"/>
        <v>#DIV/0!</v>
      </c>
      <c r="AI197" s="11"/>
      <c r="AJ197" s="11">
        <f t="shared" si="53"/>
        <v>1</v>
      </c>
      <c r="AK197" s="11" t="e">
        <f t="shared" si="54"/>
        <v>#DIV/0!</v>
      </c>
      <c r="AL197" s="10">
        <f t="shared" si="49"/>
        <v>0</v>
      </c>
      <c r="AM197" s="14">
        <f t="shared" si="47"/>
        <v>0</v>
      </c>
      <c r="AO197" s="13">
        <f t="shared" si="55"/>
        <v>1</v>
      </c>
      <c r="AP197" s="13" t="e">
        <f t="shared" si="56"/>
        <v>#DIV/0!</v>
      </c>
      <c r="AQ197" s="11">
        <v>1</v>
      </c>
      <c r="AR197" s="11"/>
      <c r="AS197" s="11"/>
      <c r="AT197" s="11"/>
      <c r="AU197" s="11"/>
      <c r="AV197" s="13"/>
    </row>
    <row r="198" spans="7:48" ht="12.75" customHeight="1">
      <c r="G198" s="11" t="e">
        <f t="shared" si="45"/>
        <v>#DIV/0!</v>
      </c>
      <c r="P198" s="11" t="e">
        <f t="shared" si="46"/>
        <v>#DIV/0!</v>
      </c>
      <c r="R198" s="2"/>
      <c r="S198" s="12">
        <v>5</v>
      </c>
      <c r="Y198">
        <v>70</v>
      </c>
      <c r="AA198" s="11">
        <f t="shared" si="50"/>
        <v>0</v>
      </c>
      <c r="AC198" s="11">
        <f t="shared" si="57"/>
        <v>0</v>
      </c>
      <c r="AG198" s="12" t="e">
        <f t="shared" si="51"/>
        <v>#DIV/0!</v>
      </c>
      <c r="AH198" s="11" t="e">
        <f t="shared" si="52"/>
        <v>#DIV/0!</v>
      </c>
      <c r="AI198" s="11"/>
      <c r="AJ198" s="11">
        <f t="shared" si="53"/>
        <v>1</v>
      </c>
      <c r="AK198" s="11" t="e">
        <f t="shared" si="54"/>
        <v>#DIV/0!</v>
      </c>
      <c r="AL198" s="10">
        <f t="shared" si="49"/>
        <v>0</v>
      </c>
      <c r="AM198" s="14">
        <f t="shared" si="47"/>
        <v>0</v>
      </c>
      <c r="AO198" s="13">
        <f t="shared" si="55"/>
        <v>1</v>
      </c>
      <c r="AP198" s="13" t="e">
        <f t="shared" si="56"/>
        <v>#DIV/0!</v>
      </c>
      <c r="AQ198" s="11">
        <v>1</v>
      </c>
      <c r="AR198" s="11"/>
      <c r="AS198" s="11"/>
      <c r="AT198" s="11"/>
      <c r="AU198" s="11"/>
      <c r="AV198" s="13"/>
    </row>
    <row r="199" spans="7:48" ht="12.75" customHeight="1">
      <c r="G199" s="11" t="e">
        <f t="shared" si="45"/>
        <v>#DIV/0!</v>
      </c>
      <c r="P199" s="11" t="e">
        <f t="shared" si="46"/>
        <v>#DIV/0!</v>
      </c>
      <c r="R199" s="2"/>
      <c r="S199" s="12">
        <v>5</v>
      </c>
      <c r="Y199">
        <v>70</v>
      </c>
      <c r="AA199" s="11">
        <f t="shared" si="50"/>
        <v>0</v>
      </c>
      <c r="AC199" s="11">
        <f t="shared" si="57"/>
        <v>0</v>
      </c>
      <c r="AG199" s="12" t="e">
        <f t="shared" si="51"/>
        <v>#DIV/0!</v>
      </c>
      <c r="AH199" s="11" t="e">
        <f t="shared" si="52"/>
        <v>#DIV/0!</v>
      </c>
      <c r="AI199" s="11"/>
      <c r="AJ199" s="11">
        <f t="shared" si="53"/>
        <v>1</v>
      </c>
      <c r="AK199" s="11" t="e">
        <f t="shared" si="54"/>
        <v>#DIV/0!</v>
      </c>
      <c r="AL199" s="10">
        <f t="shared" si="49"/>
        <v>0</v>
      </c>
      <c r="AM199" s="14">
        <f t="shared" si="47"/>
        <v>0</v>
      </c>
      <c r="AO199" s="13">
        <f t="shared" si="55"/>
        <v>1</v>
      </c>
      <c r="AP199" s="13" t="e">
        <f t="shared" si="56"/>
        <v>#DIV/0!</v>
      </c>
      <c r="AQ199" s="11">
        <v>1</v>
      </c>
      <c r="AR199" s="11"/>
      <c r="AS199" s="11"/>
      <c r="AT199" s="11"/>
      <c r="AU199" s="11"/>
      <c r="AV199" s="13"/>
    </row>
    <row r="200" spans="7:48" ht="12.75" customHeight="1">
      <c r="G200" s="11" t="e">
        <f t="shared" si="45"/>
        <v>#DIV/0!</v>
      </c>
      <c r="P200" s="11" t="e">
        <f t="shared" si="46"/>
        <v>#DIV/0!</v>
      </c>
      <c r="R200" s="2"/>
      <c r="S200" s="12">
        <v>5</v>
      </c>
      <c r="Y200">
        <v>70</v>
      </c>
      <c r="AA200" s="11">
        <f t="shared" si="50"/>
        <v>0</v>
      </c>
      <c r="AC200" s="11">
        <f t="shared" si="57"/>
        <v>0</v>
      </c>
      <c r="AG200" s="12" t="e">
        <f t="shared" si="51"/>
        <v>#DIV/0!</v>
      </c>
      <c r="AH200" s="11" t="e">
        <f t="shared" si="52"/>
        <v>#DIV/0!</v>
      </c>
      <c r="AI200" s="11"/>
      <c r="AJ200" s="11">
        <f t="shared" si="53"/>
        <v>1</v>
      </c>
      <c r="AK200" s="11" t="e">
        <f t="shared" si="54"/>
        <v>#DIV/0!</v>
      </c>
      <c r="AL200" s="10">
        <f t="shared" si="49"/>
        <v>0</v>
      </c>
      <c r="AM200" s="14">
        <f t="shared" si="47"/>
        <v>0</v>
      </c>
      <c r="AO200" s="13">
        <f t="shared" si="55"/>
        <v>1</v>
      </c>
      <c r="AP200" s="13" t="e">
        <f t="shared" si="56"/>
        <v>#DIV/0!</v>
      </c>
      <c r="AQ200" s="11">
        <v>1</v>
      </c>
      <c r="AR200" s="11"/>
      <c r="AS200" s="11"/>
      <c r="AT200" s="11"/>
      <c r="AU200" s="11"/>
      <c r="AV200" s="13"/>
    </row>
    <row r="201" spans="7:48" ht="12.75" customHeight="1">
      <c r="G201" s="11" t="e">
        <f t="shared" si="45"/>
        <v>#DIV/0!</v>
      </c>
      <c r="P201" s="11" t="e">
        <f t="shared" si="46"/>
        <v>#DIV/0!</v>
      </c>
      <c r="R201" s="2"/>
      <c r="S201" s="12">
        <v>5</v>
      </c>
      <c r="Y201">
        <v>70</v>
      </c>
      <c r="AA201" s="11">
        <f t="shared" si="50"/>
        <v>0</v>
      </c>
      <c r="AC201" s="11">
        <f t="shared" si="57"/>
        <v>0</v>
      </c>
      <c r="AG201" s="12" t="e">
        <f t="shared" si="51"/>
        <v>#DIV/0!</v>
      </c>
      <c r="AH201" s="11" t="e">
        <f t="shared" si="52"/>
        <v>#DIV/0!</v>
      </c>
      <c r="AI201" s="11"/>
      <c r="AJ201" s="11">
        <f t="shared" si="53"/>
        <v>1</v>
      </c>
      <c r="AK201" s="11" t="e">
        <f t="shared" si="54"/>
        <v>#DIV/0!</v>
      </c>
      <c r="AL201" s="10">
        <f t="shared" si="49"/>
        <v>0</v>
      </c>
      <c r="AM201" s="14">
        <f t="shared" si="47"/>
        <v>0</v>
      </c>
      <c r="AO201" s="13">
        <f t="shared" si="55"/>
        <v>1</v>
      </c>
      <c r="AP201" s="13" t="e">
        <f t="shared" si="56"/>
        <v>#DIV/0!</v>
      </c>
      <c r="AQ201" s="11">
        <v>1</v>
      </c>
      <c r="AR201" s="11"/>
      <c r="AS201" s="11"/>
      <c r="AT201" s="11"/>
      <c r="AU201" s="11"/>
      <c r="AV201" s="13"/>
    </row>
    <row r="202" spans="7:48" ht="12.75" customHeight="1">
      <c r="G202" s="11" t="e">
        <f t="shared" si="45"/>
        <v>#DIV/0!</v>
      </c>
      <c r="P202" s="11" t="e">
        <f t="shared" si="46"/>
        <v>#DIV/0!</v>
      </c>
      <c r="R202" s="2"/>
      <c r="S202" s="12">
        <v>5</v>
      </c>
      <c r="Y202">
        <v>70</v>
      </c>
      <c r="AA202" s="11">
        <f t="shared" si="50"/>
        <v>0</v>
      </c>
      <c r="AC202" s="11">
        <f t="shared" si="57"/>
        <v>0</v>
      </c>
      <c r="AG202" s="12" t="e">
        <f t="shared" si="51"/>
        <v>#DIV/0!</v>
      </c>
      <c r="AH202" s="11" t="e">
        <f t="shared" si="52"/>
        <v>#DIV/0!</v>
      </c>
      <c r="AI202" s="11"/>
      <c r="AJ202" s="11">
        <f t="shared" si="53"/>
        <v>1</v>
      </c>
      <c r="AK202" s="11" t="e">
        <f t="shared" si="54"/>
        <v>#DIV/0!</v>
      </c>
      <c r="AL202" s="10">
        <f t="shared" si="49"/>
        <v>0</v>
      </c>
      <c r="AM202" s="14">
        <f t="shared" si="47"/>
        <v>0</v>
      </c>
      <c r="AO202" s="13">
        <f t="shared" si="55"/>
        <v>1</v>
      </c>
      <c r="AP202" s="13" t="e">
        <f t="shared" si="56"/>
        <v>#DIV/0!</v>
      </c>
      <c r="AQ202" s="11">
        <v>1</v>
      </c>
      <c r="AR202" s="11"/>
      <c r="AS202" s="11"/>
      <c r="AT202" s="11"/>
      <c r="AU202" s="11"/>
      <c r="AV202" s="13"/>
    </row>
    <row r="203" spans="7:48" ht="12.75" customHeight="1">
      <c r="G203" s="11" t="e">
        <f t="shared" si="45"/>
        <v>#DIV/0!</v>
      </c>
      <c r="P203" s="11" t="e">
        <f t="shared" si="46"/>
        <v>#DIV/0!</v>
      </c>
      <c r="R203" s="2"/>
      <c r="S203" s="12">
        <v>5</v>
      </c>
      <c r="Y203">
        <v>70</v>
      </c>
      <c r="AA203" s="11">
        <f t="shared" si="50"/>
        <v>0</v>
      </c>
      <c r="AC203" s="11">
        <f t="shared" si="57"/>
        <v>0</v>
      </c>
      <c r="AG203" s="12" t="e">
        <f t="shared" si="51"/>
        <v>#DIV/0!</v>
      </c>
      <c r="AH203" s="11" t="e">
        <f t="shared" si="52"/>
        <v>#DIV/0!</v>
      </c>
      <c r="AI203" s="11"/>
      <c r="AJ203" s="11">
        <f t="shared" si="53"/>
        <v>1</v>
      </c>
      <c r="AK203" s="11" t="e">
        <f t="shared" si="54"/>
        <v>#DIV/0!</v>
      </c>
      <c r="AL203" s="10">
        <f t="shared" si="49"/>
        <v>0</v>
      </c>
      <c r="AM203" s="14">
        <f t="shared" si="47"/>
        <v>0</v>
      </c>
      <c r="AO203" s="13">
        <f t="shared" si="55"/>
        <v>1</v>
      </c>
      <c r="AP203" s="13" t="e">
        <f t="shared" si="56"/>
        <v>#DIV/0!</v>
      </c>
      <c r="AQ203" s="11">
        <v>1</v>
      </c>
      <c r="AR203" s="11"/>
      <c r="AS203" s="11"/>
      <c r="AT203" s="11"/>
      <c r="AU203" s="11"/>
      <c r="AV203" s="13"/>
    </row>
    <row r="204" spans="7:48" ht="12.75" customHeight="1">
      <c r="G204" s="11" t="e">
        <f t="shared" si="45"/>
        <v>#DIV/0!</v>
      </c>
      <c r="P204" s="11" t="e">
        <f t="shared" si="46"/>
        <v>#DIV/0!</v>
      </c>
      <c r="R204" s="2"/>
      <c r="S204" s="12">
        <v>5</v>
      </c>
      <c r="Y204">
        <v>70</v>
      </c>
      <c r="AA204" s="11">
        <f t="shared" si="50"/>
        <v>0</v>
      </c>
      <c r="AC204" s="11">
        <f t="shared" si="57"/>
        <v>0</v>
      </c>
      <c r="AG204" s="12" t="e">
        <f t="shared" si="51"/>
        <v>#DIV/0!</v>
      </c>
      <c r="AH204" s="11" t="e">
        <f t="shared" si="52"/>
        <v>#DIV/0!</v>
      </c>
      <c r="AI204" s="11"/>
      <c r="AJ204" s="11">
        <f t="shared" si="53"/>
        <v>1</v>
      </c>
      <c r="AK204" s="11" t="e">
        <f t="shared" si="54"/>
        <v>#DIV/0!</v>
      </c>
      <c r="AL204" s="10">
        <f t="shared" si="49"/>
        <v>0</v>
      </c>
      <c r="AM204" s="14">
        <f t="shared" si="47"/>
        <v>0</v>
      </c>
      <c r="AO204" s="13">
        <f t="shared" si="55"/>
        <v>1</v>
      </c>
      <c r="AP204" s="13" t="e">
        <f t="shared" si="56"/>
        <v>#DIV/0!</v>
      </c>
      <c r="AQ204" s="11">
        <v>1</v>
      </c>
      <c r="AR204" s="11"/>
      <c r="AS204" s="11"/>
      <c r="AT204" s="11"/>
      <c r="AU204" s="11"/>
      <c r="AV204" s="13"/>
    </row>
    <row r="205" spans="7:48" ht="12.75" customHeight="1">
      <c r="G205" s="11" t="e">
        <f t="shared" si="45"/>
        <v>#DIV/0!</v>
      </c>
      <c r="P205" s="11" t="e">
        <f t="shared" si="46"/>
        <v>#DIV/0!</v>
      </c>
      <c r="R205" s="2"/>
      <c r="S205" s="12">
        <v>5</v>
      </c>
      <c r="Y205">
        <v>70</v>
      </c>
      <c r="AA205" s="11">
        <f t="shared" si="50"/>
        <v>0</v>
      </c>
      <c r="AC205" s="11">
        <f t="shared" si="57"/>
        <v>0</v>
      </c>
      <c r="AG205" s="12" t="e">
        <f t="shared" si="51"/>
        <v>#DIV/0!</v>
      </c>
      <c r="AH205" s="11" t="e">
        <f t="shared" si="52"/>
        <v>#DIV/0!</v>
      </c>
      <c r="AI205" s="11"/>
      <c r="AJ205" s="11">
        <f t="shared" si="53"/>
        <v>1</v>
      </c>
      <c r="AK205" s="11" t="e">
        <f t="shared" si="54"/>
        <v>#DIV/0!</v>
      </c>
      <c r="AL205" s="10">
        <f t="shared" si="49"/>
        <v>0</v>
      </c>
      <c r="AM205" s="14">
        <f t="shared" si="47"/>
        <v>0</v>
      </c>
      <c r="AO205" s="13">
        <f t="shared" si="55"/>
        <v>1</v>
      </c>
      <c r="AP205" s="13" t="e">
        <f t="shared" si="56"/>
        <v>#DIV/0!</v>
      </c>
      <c r="AQ205" s="11">
        <v>1</v>
      </c>
      <c r="AR205" s="11"/>
      <c r="AS205" s="11"/>
      <c r="AT205" s="11"/>
      <c r="AU205" s="11"/>
      <c r="AV205" s="13"/>
    </row>
    <row r="206" spans="7:48" ht="12.75" customHeight="1">
      <c r="G206" s="11" t="e">
        <f t="shared" si="45"/>
        <v>#DIV/0!</v>
      </c>
      <c r="P206" s="11" t="e">
        <f t="shared" si="46"/>
        <v>#DIV/0!</v>
      </c>
      <c r="R206" s="2"/>
      <c r="S206" s="12">
        <v>5</v>
      </c>
      <c r="Y206">
        <v>70</v>
      </c>
      <c r="AA206" s="11">
        <f t="shared" si="50"/>
        <v>0</v>
      </c>
      <c r="AC206" s="11">
        <f t="shared" si="57"/>
        <v>0</v>
      </c>
      <c r="AG206" s="12" t="e">
        <f t="shared" si="51"/>
        <v>#DIV/0!</v>
      </c>
      <c r="AH206" s="11" t="e">
        <f t="shared" si="52"/>
        <v>#DIV/0!</v>
      </c>
      <c r="AI206" s="11"/>
      <c r="AJ206" s="11">
        <f t="shared" si="53"/>
        <v>1</v>
      </c>
      <c r="AK206" s="11" t="e">
        <f t="shared" si="54"/>
        <v>#DIV/0!</v>
      </c>
      <c r="AL206" s="10">
        <f t="shared" si="49"/>
        <v>0</v>
      </c>
      <c r="AM206" s="14">
        <f t="shared" si="47"/>
        <v>0</v>
      </c>
      <c r="AO206" s="13">
        <f t="shared" si="55"/>
        <v>1</v>
      </c>
      <c r="AP206" s="13" t="e">
        <f t="shared" si="56"/>
        <v>#DIV/0!</v>
      </c>
      <c r="AQ206" s="11">
        <v>1</v>
      </c>
      <c r="AR206" s="11"/>
      <c r="AS206" s="11"/>
      <c r="AT206" s="11"/>
      <c r="AU206" s="11"/>
      <c r="AV206" s="13"/>
    </row>
    <row r="207" spans="7:48" ht="12.75" customHeight="1">
      <c r="G207" s="11" t="e">
        <f t="shared" si="45"/>
        <v>#DIV/0!</v>
      </c>
      <c r="P207" s="11" t="e">
        <f t="shared" si="46"/>
        <v>#DIV/0!</v>
      </c>
      <c r="R207" s="2"/>
      <c r="S207" s="12">
        <v>5</v>
      </c>
      <c r="Y207">
        <v>70</v>
      </c>
      <c r="AA207" s="11">
        <f t="shared" si="50"/>
        <v>0</v>
      </c>
      <c r="AC207" s="11">
        <f t="shared" si="57"/>
        <v>0</v>
      </c>
      <c r="AG207" s="12" t="e">
        <f t="shared" si="51"/>
        <v>#DIV/0!</v>
      </c>
      <c r="AH207" s="11" t="e">
        <f t="shared" si="52"/>
        <v>#DIV/0!</v>
      </c>
      <c r="AI207" s="11"/>
      <c r="AJ207" s="11">
        <f t="shared" si="53"/>
        <v>1</v>
      </c>
      <c r="AK207" s="11" t="e">
        <f t="shared" si="54"/>
        <v>#DIV/0!</v>
      </c>
      <c r="AL207" s="10">
        <f t="shared" si="49"/>
        <v>0</v>
      </c>
      <c r="AM207" s="14">
        <f t="shared" si="47"/>
        <v>0</v>
      </c>
      <c r="AO207" s="13">
        <f t="shared" si="55"/>
        <v>1</v>
      </c>
      <c r="AP207" s="13" t="e">
        <f t="shared" si="56"/>
        <v>#DIV/0!</v>
      </c>
      <c r="AQ207" s="11">
        <v>1</v>
      </c>
      <c r="AR207" s="11"/>
      <c r="AS207" s="11"/>
      <c r="AT207" s="11"/>
      <c r="AU207" s="11"/>
      <c r="AV207" s="13"/>
    </row>
    <row r="208" spans="7:48" ht="12.75" customHeight="1">
      <c r="G208" s="11" t="e">
        <f t="shared" si="45"/>
        <v>#DIV/0!</v>
      </c>
      <c r="P208" s="11" t="e">
        <f t="shared" si="46"/>
        <v>#DIV/0!</v>
      </c>
      <c r="R208" s="2"/>
      <c r="S208" s="12">
        <v>5</v>
      </c>
      <c r="Y208">
        <v>70</v>
      </c>
      <c r="AA208" s="11">
        <f t="shared" si="50"/>
        <v>0</v>
      </c>
      <c r="AC208" s="11">
        <f t="shared" si="57"/>
        <v>0</v>
      </c>
      <c r="AG208" s="12" t="e">
        <f t="shared" si="51"/>
        <v>#DIV/0!</v>
      </c>
      <c r="AH208" s="11" t="e">
        <f t="shared" si="52"/>
        <v>#DIV/0!</v>
      </c>
      <c r="AI208" s="11"/>
      <c r="AJ208" s="11">
        <f t="shared" si="53"/>
        <v>1</v>
      </c>
      <c r="AK208" s="11" t="e">
        <f t="shared" si="54"/>
        <v>#DIV/0!</v>
      </c>
      <c r="AL208" s="10">
        <f t="shared" si="49"/>
        <v>0</v>
      </c>
      <c r="AM208" s="14">
        <f t="shared" si="47"/>
        <v>0</v>
      </c>
      <c r="AO208" s="13">
        <f t="shared" si="55"/>
        <v>1</v>
      </c>
      <c r="AP208" s="13" t="e">
        <f t="shared" si="56"/>
        <v>#DIV/0!</v>
      </c>
      <c r="AQ208" s="11">
        <v>1</v>
      </c>
      <c r="AR208" s="11"/>
      <c r="AS208" s="11"/>
      <c r="AT208" s="11"/>
      <c r="AU208" s="11"/>
      <c r="AV208" s="13"/>
    </row>
    <row r="209" spans="7:48" ht="12.75" customHeight="1">
      <c r="G209" s="11" t="e">
        <f t="shared" si="45"/>
        <v>#DIV/0!</v>
      </c>
      <c r="P209" s="11" t="e">
        <f t="shared" si="46"/>
        <v>#DIV/0!</v>
      </c>
      <c r="R209" s="2"/>
      <c r="S209" s="12">
        <v>5</v>
      </c>
      <c r="Y209">
        <v>70</v>
      </c>
      <c r="AA209" s="11">
        <f t="shared" si="50"/>
        <v>0</v>
      </c>
      <c r="AC209" s="11">
        <f t="shared" si="57"/>
        <v>0</v>
      </c>
      <c r="AG209" s="12" t="e">
        <f t="shared" si="51"/>
        <v>#DIV/0!</v>
      </c>
      <c r="AH209" s="11" t="e">
        <f t="shared" si="52"/>
        <v>#DIV/0!</v>
      </c>
      <c r="AI209" s="11"/>
      <c r="AJ209" s="11">
        <f t="shared" si="53"/>
        <v>1</v>
      </c>
      <c r="AK209" s="11" t="e">
        <f t="shared" si="54"/>
        <v>#DIV/0!</v>
      </c>
      <c r="AL209" s="10">
        <f t="shared" si="49"/>
        <v>0</v>
      </c>
      <c r="AM209" s="14">
        <f t="shared" si="47"/>
        <v>0</v>
      </c>
      <c r="AO209" s="13">
        <f t="shared" si="55"/>
        <v>1</v>
      </c>
      <c r="AP209" s="13" t="e">
        <f t="shared" si="56"/>
        <v>#DIV/0!</v>
      </c>
      <c r="AQ209" s="11">
        <v>1</v>
      </c>
      <c r="AR209" s="11"/>
      <c r="AS209" s="11"/>
      <c r="AT209" s="11"/>
      <c r="AU209" s="11"/>
      <c r="AV209" s="13"/>
    </row>
    <row r="210" spans="7:48" ht="12.75" customHeight="1">
      <c r="G210" s="11" t="e">
        <f t="shared" si="45"/>
        <v>#DIV/0!</v>
      </c>
      <c r="P210" s="11" t="e">
        <f t="shared" si="46"/>
        <v>#DIV/0!</v>
      </c>
      <c r="R210" s="2"/>
      <c r="S210" s="12">
        <v>5</v>
      </c>
      <c r="Y210">
        <v>70</v>
      </c>
      <c r="AA210" s="11">
        <f t="shared" si="50"/>
        <v>0</v>
      </c>
      <c r="AC210" s="11">
        <f t="shared" si="57"/>
        <v>0</v>
      </c>
      <c r="AG210" s="12" t="e">
        <f t="shared" si="51"/>
        <v>#DIV/0!</v>
      </c>
      <c r="AH210" s="11" t="e">
        <f t="shared" si="52"/>
        <v>#DIV/0!</v>
      </c>
      <c r="AI210" s="11"/>
      <c r="AJ210" s="11">
        <f t="shared" si="53"/>
        <v>1</v>
      </c>
      <c r="AK210" s="11" t="e">
        <f t="shared" si="54"/>
        <v>#DIV/0!</v>
      </c>
      <c r="AL210" s="10">
        <f t="shared" si="49"/>
        <v>0</v>
      </c>
      <c r="AM210" s="14">
        <f t="shared" si="47"/>
        <v>0</v>
      </c>
      <c r="AO210" s="13">
        <f t="shared" si="55"/>
        <v>1</v>
      </c>
      <c r="AP210" s="13" t="e">
        <f t="shared" si="56"/>
        <v>#DIV/0!</v>
      </c>
      <c r="AQ210" s="11">
        <v>1</v>
      </c>
      <c r="AR210" s="11"/>
      <c r="AS210" s="11"/>
      <c r="AT210" s="11"/>
      <c r="AU210" s="11"/>
      <c r="AV210" s="13"/>
    </row>
    <row r="211" spans="7:48" ht="12.75" customHeight="1">
      <c r="G211" s="11" t="e">
        <f t="shared" si="45"/>
        <v>#DIV/0!</v>
      </c>
      <c r="P211" s="11" t="e">
        <f t="shared" si="46"/>
        <v>#DIV/0!</v>
      </c>
      <c r="R211" s="2"/>
      <c r="S211" s="12">
        <v>5</v>
      </c>
      <c r="Y211">
        <v>70</v>
      </c>
      <c r="AA211" s="11">
        <f t="shared" si="50"/>
        <v>0</v>
      </c>
      <c r="AC211" s="11">
        <f t="shared" si="57"/>
        <v>0</v>
      </c>
      <c r="AG211" s="12" t="e">
        <f t="shared" si="51"/>
        <v>#DIV/0!</v>
      </c>
      <c r="AH211" s="11" t="e">
        <f t="shared" si="52"/>
        <v>#DIV/0!</v>
      </c>
      <c r="AI211" s="11"/>
      <c r="AJ211" s="11">
        <f t="shared" si="53"/>
        <v>1</v>
      </c>
      <c r="AK211" s="11" t="e">
        <f t="shared" si="54"/>
        <v>#DIV/0!</v>
      </c>
      <c r="AL211" s="10">
        <f t="shared" si="49"/>
        <v>0</v>
      </c>
      <c r="AM211" s="14">
        <f t="shared" si="47"/>
        <v>0</v>
      </c>
      <c r="AO211" s="13">
        <f t="shared" si="55"/>
        <v>1</v>
      </c>
      <c r="AP211" s="13" t="e">
        <f t="shared" si="56"/>
        <v>#DIV/0!</v>
      </c>
      <c r="AQ211" s="11">
        <v>1</v>
      </c>
      <c r="AR211" s="11"/>
      <c r="AS211" s="11"/>
      <c r="AT211" s="11"/>
      <c r="AU211" s="11"/>
      <c r="AV211" s="13"/>
    </row>
    <row r="212" spans="7:48" ht="12.75" customHeight="1">
      <c r="G212" s="11" t="e">
        <f t="shared" si="45"/>
        <v>#DIV/0!</v>
      </c>
      <c r="P212" s="11" t="e">
        <f t="shared" si="46"/>
        <v>#DIV/0!</v>
      </c>
      <c r="R212" s="2"/>
      <c r="S212" s="12">
        <v>5</v>
      </c>
      <c r="Y212">
        <v>70</v>
      </c>
      <c r="AA212" s="11">
        <f t="shared" si="50"/>
        <v>0</v>
      </c>
      <c r="AC212" s="11">
        <f t="shared" si="57"/>
        <v>0</v>
      </c>
      <c r="AG212" s="12" t="e">
        <f t="shared" si="51"/>
        <v>#DIV/0!</v>
      </c>
      <c r="AH212" s="11" t="e">
        <f t="shared" si="52"/>
        <v>#DIV/0!</v>
      </c>
      <c r="AI212" s="11"/>
      <c r="AJ212" s="11">
        <f t="shared" si="53"/>
        <v>1</v>
      </c>
      <c r="AK212" s="11" t="e">
        <f t="shared" si="54"/>
        <v>#DIV/0!</v>
      </c>
      <c r="AL212" s="10">
        <f t="shared" si="49"/>
        <v>0</v>
      </c>
      <c r="AM212" s="14">
        <f t="shared" si="47"/>
        <v>0</v>
      </c>
      <c r="AO212" s="13">
        <f t="shared" si="55"/>
        <v>1</v>
      </c>
      <c r="AP212" s="13" t="e">
        <f t="shared" si="56"/>
        <v>#DIV/0!</v>
      </c>
      <c r="AQ212" s="11">
        <v>1</v>
      </c>
      <c r="AR212" s="11"/>
      <c r="AS212" s="11"/>
      <c r="AT212" s="11"/>
      <c r="AU212" s="11"/>
      <c r="AV212" s="13"/>
    </row>
    <row r="213" spans="7:48" ht="12.75" customHeight="1">
      <c r="G213" s="11" t="e">
        <f t="shared" si="45"/>
        <v>#DIV/0!</v>
      </c>
      <c r="P213" s="11" t="e">
        <f t="shared" si="46"/>
        <v>#DIV/0!</v>
      </c>
      <c r="R213" s="2"/>
      <c r="S213" s="12">
        <v>5</v>
      </c>
      <c r="Y213">
        <v>70</v>
      </c>
      <c r="AA213" s="11">
        <f t="shared" si="50"/>
        <v>0</v>
      </c>
      <c r="AC213" s="11">
        <f t="shared" si="57"/>
        <v>0</v>
      </c>
      <c r="AG213" s="12" t="e">
        <f t="shared" si="51"/>
        <v>#DIV/0!</v>
      </c>
      <c r="AH213" s="11" t="e">
        <f t="shared" si="52"/>
        <v>#DIV/0!</v>
      </c>
      <c r="AI213" s="11"/>
      <c r="AJ213" s="11">
        <f t="shared" si="53"/>
        <v>1</v>
      </c>
      <c r="AK213" s="11" t="e">
        <f t="shared" si="54"/>
        <v>#DIV/0!</v>
      </c>
      <c r="AL213" s="10">
        <f t="shared" si="49"/>
        <v>0</v>
      </c>
      <c r="AM213" s="14">
        <f t="shared" si="47"/>
        <v>0</v>
      </c>
      <c r="AO213" s="13">
        <f t="shared" si="55"/>
        <v>1</v>
      </c>
      <c r="AP213" s="13" t="e">
        <f t="shared" si="56"/>
        <v>#DIV/0!</v>
      </c>
      <c r="AQ213" s="11">
        <v>1</v>
      </c>
      <c r="AR213" s="11"/>
      <c r="AS213" s="11"/>
      <c r="AT213" s="11"/>
      <c r="AU213" s="11"/>
      <c r="AV213" s="13"/>
    </row>
    <row r="214" spans="7:48" ht="12.75" customHeight="1">
      <c r="G214" s="11" t="e">
        <f t="shared" si="45"/>
        <v>#DIV/0!</v>
      </c>
      <c r="P214" s="11" t="e">
        <f t="shared" si="46"/>
        <v>#DIV/0!</v>
      </c>
      <c r="R214" s="2"/>
      <c r="S214" s="12">
        <v>5</v>
      </c>
      <c r="Y214">
        <v>70</v>
      </c>
      <c r="AA214" s="11">
        <f t="shared" si="50"/>
        <v>0</v>
      </c>
      <c r="AC214" s="11">
        <f t="shared" si="57"/>
        <v>0</v>
      </c>
      <c r="AG214" s="12" t="e">
        <f t="shared" si="51"/>
        <v>#DIV/0!</v>
      </c>
      <c r="AH214" s="11" t="e">
        <f t="shared" si="52"/>
        <v>#DIV/0!</v>
      </c>
      <c r="AI214" s="11"/>
      <c r="AJ214" s="11">
        <f t="shared" si="53"/>
        <v>1</v>
      </c>
      <c r="AK214" s="11" t="e">
        <f t="shared" si="54"/>
        <v>#DIV/0!</v>
      </c>
      <c r="AL214" s="10">
        <f t="shared" si="49"/>
        <v>0</v>
      </c>
      <c r="AM214" s="14">
        <f t="shared" si="47"/>
        <v>0</v>
      </c>
      <c r="AO214" s="13">
        <f t="shared" si="55"/>
        <v>1</v>
      </c>
      <c r="AP214" s="13" t="e">
        <f t="shared" si="56"/>
        <v>#DIV/0!</v>
      </c>
      <c r="AQ214" s="11">
        <v>1</v>
      </c>
      <c r="AR214" s="11"/>
      <c r="AS214" s="11"/>
      <c r="AT214" s="11"/>
      <c r="AU214" s="11"/>
      <c r="AV214" s="13"/>
    </row>
    <row r="215" spans="7:48" ht="12.75" customHeight="1">
      <c r="G215" s="11" t="e">
        <f t="shared" si="45"/>
        <v>#DIV/0!</v>
      </c>
      <c r="P215" s="11" t="e">
        <f t="shared" si="46"/>
        <v>#DIV/0!</v>
      </c>
      <c r="R215" s="2"/>
      <c r="S215" s="12">
        <v>5</v>
      </c>
      <c r="Y215">
        <v>70</v>
      </c>
      <c r="AA215" s="11">
        <f t="shared" si="50"/>
        <v>0</v>
      </c>
      <c r="AC215" s="11">
        <f t="shared" si="57"/>
        <v>0</v>
      </c>
      <c r="AG215" s="12" t="e">
        <f t="shared" si="51"/>
        <v>#DIV/0!</v>
      </c>
      <c r="AH215" s="11" t="e">
        <f t="shared" si="52"/>
        <v>#DIV/0!</v>
      </c>
      <c r="AI215" s="11"/>
      <c r="AJ215" s="11">
        <f t="shared" si="53"/>
        <v>1</v>
      </c>
      <c r="AK215" s="11" t="e">
        <f t="shared" si="54"/>
        <v>#DIV/0!</v>
      </c>
      <c r="AL215" s="10">
        <f t="shared" si="49"/>
        <v>0</v>
      </c>
      <c r="AM215" s="14">
        <f t="shared" si="47"/>
        <v>0</v>
      </c>
      <c r="AO215" s="13">
        <f t="shared" si="55"/>
        <v>1</v>
      </c>
      <c r="AP215" s="13" t="e">
        <f t="shared" si="56"/>
        <v>#DIV/0!</v>
      </c>
      <c r="AQ215" s="11">
        <v>1</v>
      </c>
      <c r="AR215" s="11"/>
      <c r="AS215" s="11"/>
      <c r="AT215" s="11"/>
      <c r="AU215" s="11"/>
      <c r="AV215" s="13"/>
    </row>
    <row r="216" spans="7:48" ht="12.75" customHeight="1">
      <c r="G216" s="11" t="e">
        <f t="shared" si="45"/>
        <v>#DIV/0!</v>
      </c>
      <c r="P216" s="11" t="e">
        <f t="shared" si="46"/>
        <v>#DIV/0!</v>
      </c>
      <c r="R216" s="2"/>
      <c r="S216" s="12">
        <v>5</v>
      </c>
      <c r="Y216">
        <v>70</v>
      </c>
      <c r="AA216" s="11">
        <f t="shared" si="50"/>
        <v>0</v>
      </c>
      <c r="AC216" s="11">
        <f t="shared" si="57"/>
        <v>0</v>
      </c>
      <c r="AG216" s="12" t="e">
        <f t="shared" si="51"/>
        <v>#DIV/0!</v>
      </c>
      <c r="AH216" s="11" t="e">
        <f t="shared" si="52"/>
        <v>#DIV/0!</v>
      </c>
      <c r="AI216" s="11"/>
      <c r="AJ216" s="11">
        <f t="shared" si="53"/>
        <v>1</v>
      </c>
      <c r="AK216" s="11" t="e">
        <f t="shared" si="54"/>
        <v>#DIV/0!</v>
      </c>
      <c r="AL216" s="10">
        <f t="shared" si="49"/>
        <v>0</v>
      </c>
      <c r="AM216" s="14">
        <f t="shared" si="47"/>
        <v>0</v>
      </c>
      <c r="AO216" s="13">
        <f t="shared" si="55"/>
        <v>1</v>
      </c>
      <c r="AP216" s="13" t="e">
        <f t="shared" si="56"/>
        <v>#DIV/0!</v>
      </c>
      <c r="AQ216" s="11">
        <v>1</v>
      </c>
      <c r="AR216" s="11"/>
      <c r="AS216" s="11"/>
      <c r="AT216" s="11"/>
      <c r="AU216" s="11"/>
      <c r="AV216" s="13"/>
    </row>
    <row r="217" spans="7:48" ht="12.75" customHeight="1">
      <c r="G217" s="11" t="e">
        <f t="shared" si="45"/>
        <v>#DIV/0!</v>
      </c>
      <c r="P217" s="11" t="e">
        <f t="shared" si="46"/>
        <v>#DIV/0!</v>
      </c>
      <c r="R217" s="2"/>
      <c r="S217" s="12">
        <v>5</v>
      </c>
      <c r="Y217">
        <v>70</v>
      </c>
      <c r="AA217" s="11">
        <f t="shared" si="50"/>
        <v>0</v>
      </c>
      <c r="AC217" s="11">
        <f t="shared" si="57"/>
        <v>0</v>
      </c>
      <c r="AG217" s="12" t="e">
        <f t="shared" si="51"/>
        <v>#DIV/0!</v>
      </c>
      <c r="AH217" s="11" t="e">
        <f t="shared" si="52"/>
        <v>#DIV/0!</v>
      </c>
      <c r="AI217" s="11"/>
      <c r="AJ217" s="11">
        <f t="shared" si="53"/>
        <v>1</v>
      </c>
      <c r="AK217" s="11" t="e">
        <f t="shared" si="54"/>
        <v>#DIV/0!</v>
      </c>
      <c r="AL217" s="10">
        <f t="shared" si="49"/>
        <v>0</v>
      </c>
      <c r="AM217" s="14">
        <f t="shared" si="47"/>
        <v>0</v>
      </c>
      <c r="AO217" s="13">
        <f t="shared" si="55"/>
        <v>1</v>
      </c>
      <c r="AP217" s="13" t="e">
        <f t="shared" si="56"/>
        <v>#DIV/0!</v>
      </c>
      <c r="AQ217" s="11">
        <v>1</v>
      </c>
      <c r="AR217" s="11"/>
      <c r="AS217" s="11"/>
      <c r="AT217" s="11"/>
      <c r="AU217" s="11"/>
      <c r="AV217" s="13"/>
    </row>
    <row r="218" spans="7:48" ht="12.75" customHeight="1">
      <c r="G218" s="11" t="e">
        <f t="shared" si="45"/>
        <v>#DIV/0!</v>
      </c>
      <c r="P218" s="11" t="e">
        <f t="shared" si="46"/>
        <v>#DIV/0!</v>
      </c>
      <c r="R218" s="2"/>
      <c r="S218" s="12">
        <v>5</v>
      </c>
      <c r="Y218">
        <v>70</v>
      </c>
      <c r="AA218" s="11">
        <f t="shared" si="50"/>
        <v>0</v>
      </c>
      <c r="AC218" s="11">
        <f t="shared" si="57"/>
        <v>0</v>
      </c>
      <c r="AG218" s="12" t="e">
        <f t="shared" si="51"/>
        <v>#DIV/0!</v>
      </c>
      <c r="AH218" s="11" t="e">
        <f t="shared" si="52"/>
        <v>#DIV/0!</v>
      </c>
      <c r="AI218" s="11"/>
      <c r="AJ218" s="11">
        <f t="shared" si="53"/>
        <v>1</v>
      </c>
      <c r="AK218" s="11" t="e">
        <f t="shared" si="54"/>
        <v>#DIV/0!</v>
      </c>
      <c r="AL218" s="10">
        <f t="shared" si="49"/>
        <v>0</v>
      </c>
      <c r="AM218" s="14">
        <f t="shared" si="47"/>
        <v>0</v>
      </c>
      <c r="AO218" s="13">
        <f t="shared" si="55"/>
        <v>1</v>
      </c>
      <c r="AP218" s="13" t="e">
        <f t="shared" si="56"/>
        <v>#DIV/0!</v>
      </c>
      <c r="AQ218" s="11">
        <v>1</v>
      </c>
      <c r="AR218" s="11"/>
      <c r="AS218" s="11"/>
      <c r="AT218" s="11"/>
      <c r="AU218" s="11"/>
      <c r="AV218" s="13"/>
    </row>
    <row r="219" spans="7:48" ht="12.75" customHeight="1">
      <c r="G219" s="11" t="e">
        <f t="shared" si="45"/>
        <v>#DIV/0!</v>
      </c>
      <c r="P219" s="11" t="e">
        <f t="shared" si="46"/>
        <v>#DIV/0!</v>
      </c>
      <c r="R219" s="2"/>
      <c r="S219" s="12">
        <v>5</v>
      </c>
      <c r="Y219">
        <v>70</v>
      </c>
      <c r="AA219" s="11">
        <f t="shared" si="50"/>
        <v>0</v>
      </c>
      <c r="AC219" s="11">
        <f t="shared" si="57"/>
        <v>0</v>
      </c>
      <c r="AG219" s="12" t="e">
        <f t="shared" si="51"/>
        <v>#DIV/0!</v>
      </c>
      <c r="AH219" s="11" t="e">
        <f t="shared" si="52"/>
        <v>#DIV/0!</v>
      </c>
      <c r="AI219" s="11"/>
      <c r="AJ219" s="11">
        <f t="shared" si="53"/>
        <v>1</v>
      </c>
      <c r="AK219" s="11" t="e">
        <f t="shared" si="54"/>
        <v>#DIV/0!</v>
      </c>
      <c r="AL219" s="10">
        <f t="shared" si="49"/>
        <v>0</v>
      </c>
      <c r="AM219" s="14">
        <f t="shared" si="47"/>
        <v>0</v>
      </c>
      <c r="AO219" s="13">
        <f t="shared" si="55"/>
        <v>1</v>
      </c>
      <c r="AP219" s="13" t="e">
        <f t="shared" si="56"/>
        <v>#DIV/0!</v>
      </c>
      <c r="AQ219" s="11">
        <v>1</v>
      </c>
      <c r="AR219" s="11"/>
      <c r="AS219" s="11"/>
      <c r="AT219" s="11"/>
      <c r="AU219" s="11"/>
      <c r="AV219" s="13"/>
    </row>
    <row r="220" spans="7:48" ht="12.75" customHeight="1">
      <c r="G220" s="11" t="e">
        <f t="shared" si="45"/>
        <v>#DIV/0!</v>
      </c>
      <c r="P220" s="11" t="e">
        <f t="shared" si="46"/>
        <v>#DIV/0!</v>
      </c>
      <c r="R220" s="2"/>
      <c r="S220" s="12">
        <v>5</v>
      </c>
      <c r="Y220">
        <v>70</v>
      </c>
      <c r="AA220" s="11">
        <f t="shared" si="50"/>
        <v>0</v>
      </c>
      <c r="AC220" s="11">
        <f t="shared" si="57"/>
        <v>0</v>
      </c>
      <c r="AG220" s="12" t="e">
        <f t="shared" si="51"/>
        <v>#DIV/0!</v>
      </c>
      <c r="AH220" s="11" t="e">
        <f t="shared" si="52"/>
        <v>#DIV/0!</v>
      </c>
      <c r="AI220" s="11"/>
      <c r="AJ220" s="11">
        <f t="shared" si="53"/>
        <v>1</v>
      </c>
      <c r="AK220" s="11" t="e">
        <f t="shared" si="54"/>
        <v>#DIV/0!</v>
      </c>
      <c r="AL220" s="10">
        <f t="shared" si="49"/>
        <v>0</v>
      </c>
      <c r="AM220" s="14">
        <f t="shared" si="47"/>
        <v>0</v>
      </c>
      <c r="AO220" s="13">
        <f t="shared" si="55"/>
        <v>1</v>
      </c>
      <c r="AP220" s="13" t="e">
        <f t="shared" si="56"/>
        <v>#DIV/0!</v>
      </c>
      <c r="AQ220" s="11">
        <v>1</v>
      </c>
      <c r="AR220" s="11"/>
      <c r="AS220" s="11"/>
      <c r="AT220" s="11"/>
      <c r="AU220" s="11"/>
      <c r="AV220" s="13"/>
    </row>
    <row r="221" spans="7:48" ht="12.75" customHeight="1">
      <c r="G221" s="11" t="e">
        <f t="shared" si="45"/>
        <v>#DIV/0!</v>
      </c>
      <c r="P221" s="11" t="e">
        <f t="shared" si="46"/>
        <v>#DIV/0!</v>
      </c>
      <c r="R221" s="2"/>
      <c r="S221" s="12">
        <v>5</v>
      </c>
      <c r="Y221">
        <v>70</v>
      </c>
      <c r="AA221" s="11">
        <f t="shared" si="50"/>
        <v>0</v>
      </c>
      <c r="AC221" s="11">
        <f t="shared" si="57"/>
        <v>0</v>
      </c>
      <c r="AG221" s="12" t="e">
        <f t="shared" si="51"/>
        <v>#DIV/0!</v>
      </c>
      <c r="AH221" s="11" t="e">
        <f t="shared" si="52"/>
        <v>#DIV/0!</v>
      </c>
      <c r="AI221" s="11"/>
      <c r="AJ221" s="11">
        <f t="shared" si="53"/>
        <v>1</v>
      </c>
      <c r="AK221" s="11" t="e">
        <f t="shared" si="54"/>
        <v>#DIV/0!</v>
      </c>
      <c r="AL221" s="10">
        <f t="shared" si="49"/>
        <v>0</v>
      </c>
      <c r="AM221" s="14">
        <f t="shared" si="47"/>
        <v>0</v>
      </c>
      <c r="AO221" s="13">
        <f t="shared" si="55"/>
        <v>1</v>
      </c>
      <c r="AP221" s="13" t="e">
        <f t="shared" si="56"/>
        <v>#DIV/0!</v>
      </c>
      <c r="AQ221" s="11">
        <v>1</v>
      </c>
      <c r="AR221" s="11"/>
      <c r="AS221" s="11"/>
      <c r="AT221" s="11"/>
      <c r="AU221" s="11"/>
      <c r="AV221" s="13"/>
    </row>
    <row r="222" spans="7:48" ht="12.75" customHeight="1">
      <c r="G222" s="11" t="e">
        <f t="shared" si="45"/>
        <v>#DIV/0!</v>
      </c>
      <c r="P222" s="11" t="e">
        <f t="shared" si="46"/>
        <v>#DIV/0!</v>
      </c>
      <c r="R222" s="2"/>
      <c r="S222" s="12">
        <v>5</v>
      </c>
      <c r="Y222">
        <v>70</v>
      </c>
      <c r="AA222" s="11">
        <f t="shared" si="50"/>
        <v>0</v>
      </c>
      <c r="AC222" s="11">
        <f t="shared" si="57"/>
        <v>0</v>
      </c>
      <c r="AG222" s="12" t="e">
        <f t="shared" si="51"/>
        <v>#DIV/0!</v>
      </c>
      <c r="AH222" s="11" t="e">
        <f t="shared" si="52"/>
        <v>#DIV/0!</v>
      </c>
      <c r="AI222" s="11"/>
      <c r="AJ222" s="11">
        <f t="shared" si="53"/>
        <v>1</v>
      </c>
      <c r="AK222" s="11" t="e">
        <f t="shared" si="54"/>
        <v>#DIV/0!</v>
      </c>
      <c r="AL222" s="10">
        <f t="shared" si="49"/>
        <v>0</v>
      </c>
      <c r="AM222" s="14">
        <f t="shared" si="47"/>
        <v>0</v>
      </c>
      <c r="AO222" s="13">
        <f t="shared" si="55"/>
        <v>1</v>
      </c>
      <c r="AP222" s="13" t="e">
        <f t="shared" si="56"/>
        <v>#DIV/0!</v>
      </c>
      <c r="AQ222" s="11">
        <v>1</v>
      </c>
      <c r="AR222" s="11"/>
      <c r="AS222" s="11"/>
      <c r="AT222" s="11"/>
      <c r="AU222" s="11"/>
      <c r="AV222" s="13"/>
    </row>
    <row r="223" spans="7:48" ht="12.75" customHeight="1">
      <c r="G223" s="11" t="e">
        <f t="shared" si="45"/>
        <v>#DIV/0!</v>
      </c>
      <c r="P223" s="11" t="e">
        <f t="shared" si="46"/>
        <v>#DIV/0!</v>
      </c>
      <c r="R223" s="2"/>
      <c r="S223" s="12">
        <v>5</v>
      </c>
      <c r="Y223">
        <v>70</v>
      </c>
      <c r="AA223" s="11">
        <f t="shared" si="50"/>
        <v>0</v>
      </c>
      <c r="AC223" s="11">
        <f t="shared" si="57"/>
        <v>0</v>
      </c>
      <c r="AG223" s="12" t="e">
        <f t="shared" si="51"/>
        <v>#DIV/0!</v>
      </c>
      <c r="AH223" s="11" t="e">
        <f t="shared" si="52"/>
        <v>#DIV/0!</v>
      </c>
      <c r="AI223" s="11"/>
      <c r="AJ223" s="11">
        <f t="shared" si="53"/>
        <v>1</v>
      </c>
      <c r="AK223" s="11" t="e">
        <f t="shared" si="54"/>
        <v>#DIV/0!</v>
      </c>
      <c r="AL223" s="10">
        <f t="shared" si="49"/>
        <v>0</v>
      </c>
      <c r="AM223" s="14">
        <f t="shared" si="47"/>
        <v>0</v>
      </c>
      <c r="AO223" s="13">
        <f t="shared" si="55"/>
        <v>1</v>
      </c>
      <c r="AP223" s="13" t="e">
        <f t="shared" si="56"/>
        <v>#DIV/0!</v>
      </c>
      <c r="AQ223" s="11">
        <v>1</v>
      </c>
      <c r="AR223" s="11"/>
      <c r="AS223" s="11"/>
      <c r="AT223" s="11"/>
      <c r="AU223" s="11"/>
      <c r="AV223" s="13"/>
    </row>
    <row r="224" spans="7:48" ht="12.75" customHeight="1">
      <c r="G224" s="11" t="e">
        <f t="shared" si="45"/>
        <v>#DIV/0!</v>
      </c>
      <c r="P224" s="11" t="e">
        <f t="shared" si="46"/>
        <v>#DIV/0!</v>
      </c>
      <c r="R224" s="2"/>
      <c r="S224" s="12">
        <v>5</v>
      </c>
      <c r="Y224">
        <v>70</v>
      </c>
      <c r="AA224" s="11">
        <f t="shared" si="50"/>
        <v>0</v>
      </c>
      <c r="AC224" s="11">
        <f t="shared" si="57"/>
        <v>0</v>
      </c>
      <c r="AG224" s="12" t="e">
        <f t="shared" si="51"/>
        <v>#DIV/0!</v>
      </c>
      <c r="AH224" s="11" t="e">
        <f t="shared" si="52"/>
        <v>#DIV/0!</v>
      </c>
      <c r="AI224" s="11"/>
      <c r="AJ224" s="11">
        <f t="shared" si="53"/>
        <v>1</v>
      </c>
      <c r="AK224" s="11" t="e">
        <f t="shared" si="54"/>
        <v>#DIV/0!</v>
      </c>
      <c r="AL224" s="10">
        <f t="shared" si="49"/>
        <v>0</v>
      </c>
      <c r="AM224" s="14">
        <f t="shared" si="47"/>
        <v>0</v>
      </c>
      <c r="AO224" s="13">
        <f t="shared" si="55"/>
        <v>1</v>
      </c>
      <c r="AP224" s="13" t="e">
        <f t="shared" si="56"/>
        <v>#DIV/0!</v>
      </c>
      <c r="AQ224" s="11">
        <v>1</v>
      </c>
      <c r="AR224" s="11"/>
      <c r="AS224" s="11"/>
      <c r="AT224" s="11"/>
      <c r="AU224" s="11"/>
      <c r="AV224" s="13"/>
    </row>
    <row r="225" spans="7:48" ht="12.75" customHeight="1">
      <c r="G225" s="11" t="e">
        <f t="shared" si="45"/>
        <v>#DIV/0!</v>
      </c>
      <c r="P225" s="11" t="e">
        <f t="shared" si="46"/>
        <v>#DIV/0!</v>
      </c>
      <c r="R225" s="2"/>
      <c r="S225" s="12">
        <v>5</v>
      </c>
      <c r="Y225">
        <v>70</v>
      </c>
      <c r="AA225" s="11">
        <f t="shared" si="50"/>
        <v>0</v>
      </c>
      <c r="AC225" s="11">
        <f t="shared" si="57"/>
        <v>0</v>
      </c>
      <c r="AG225" s="12" t="e">
        <f t="shared" si="51"/>
        <v>#DIV/0!</v>
      </c>
      <c r="AH225" s="11" t="e">
        <f t="shared" si="52"/>
        <v>#DIV/0!</v>
      </c>
      <c r="AI225" s="11"/>
      <c r="AJ225" s="11">
        <f t="shared" si="53"/>
        <v>1</v>
      </c>
      <c r="AK225" s="11" t="e">
        <f t="shared" si="54"/>
        <v>#DIV/0!</v>
      </c>
      <c r="AL225" s="10">
        <f t="shared" si="49"/>
        <v>0</v>
      </c>
      <c r="AM225" s="14">
        <f t="shared" si="47"/>
        <v>0</v>
      </c>
      <c r="AO225" s="13">
        <f t="shared" si="55"/>
        <v>1</v>
      </c>
      <c r="AP225" s="13" t="e">
        <f t="shared" si="56"/>
        <v>#DIV/0!</v>
      </c>
      <c r="AQ225" s="11">
        <v>1</v>
      </c>
      <c r="AR225" s="11"/>
      <c r="AS225" s="11"/>
      <c r="AT225" s="11"/>
      <c r="AU225" s="11"/>
      <c r="AV225" s="13"/>
    </row>
    <row r="226" spans="7:48" ht="12.75" customHeight="1">
      <c r="G226" s="11" t="e">
        <f t="shared" ref="G226:G289" si="58">100*(F226-E226)/F226</f>
        <v>#DIV/0!</v>
      </c>
      <c r="P226" s="11" t="e">
        <f t="shared" ref="P226:P289" si="59">O226/I226</f>
        <v>#DIV/0!</v>
      </c>
      <c r="R226" s="2"/>
      <c r="S226" s="12">
        <v>5</v>
      </c>
      <c r="Y226">
        <v>70</v>
      </c>
      <c r="AA226" s="11">
        <f t="shared" si="50"/>
        <v>0</v>
      </c>
      <c r="AC226" s="11">
        <f t="shared" si="57"/>
        <v>0</v>
      </c>
      <c r="AG226" s="12" t="e">
        <f t="shared" si="51"/>
        <v>#DIV/0!</v>
      </c>
      <c r="AH226" s="11" t="e">
        <f t="shared" si="52"/>
        <v>#DIV/0!</v>
      </c>
      <c r="AI226" s="11"/>
      <c r="AJ226" s="11">
        <f t="shared" si="53"/>
        <v>1</v>
      </c>
      <c r="AK226" s="11" t="e">
        <f t="shared" si="54"/>
        <v>#DIV/0!</v>
      </c>
      <c r="AL226" s="10">
        <f t="shared" si="49"/>
        <v>0</v>
      </c>
      <c r="AM226" s="14">
        <f t="shared" ref="AM226:AM289" si="60">B226</f>
        <v>0</v>
      </c>
      <c r="AO226" s="13">
        <f t="shared" ref="AO226:AO257" si="61">AN226+1</f>
        <v>1</v>
      </c>
      <c r="AP226" s="13" t="e">
        <f t="shared" si="56"/>
        <v>#DIV/0!</v>
      </c>
      <c r="AQ226" s="11">
        <v>1</v>
      </c>
      <c r="AR226" s="11"/>
      <c r="AS226" s="11"/>
      <c r="AT226" s="11"/>
      <c r="AU226" s="11"/>
      <c r="AV226" s="13"/>
    </row>
    <row r="227" spans="7:48" ht="12.75" customHeight="1">
      <c r="G227" s="11" t="e">
        <f t="shared" si="58"/>
        <v>#DIV/0!</v>
      </c>
      <c r="P227" s="11" t="e">
        <f t="shared" si="59"/>
        <v>#DIV/0!</v>
      </c>
      <c r="R227" s="2"/>
      <c r="S227" s="12">
        <v>5</v>
      </c>
      <c r="Y227">
        <v>70</v>
      </c>
      <c r="AA227" s="11">
        <f t="shared" si="50"/>
        <v>0</v>
      </c>
      <c r="AC227" s="11">
        <f t="shared" si="57"/>
        <v>0</v>
      </c>
      <c r="AG227" s="12" t="e">
        <f t="shared" si="51"/>
        <v>#DIV/0!</v>
      </c>
      <c r="AH227" s="11" t="e">
        <f t="shared" si="52"/>
        <v>#DIV/0!</v>
      </c>
      <c r="AI227" s="11"/>
      <c r="AJ227" s="11">
        <f t="shared" si="53"/>
        <v>1</v>
      </c>
      <c r="AK227" s="11" t="e">
        <f t="shared" si="54"/>
        <v>#DIV/0!</v>
      </c>
      <c r="AL227" s="10">
        <f t="shared" si="49"/>
        <v>0</v>
      </c>
      <c r="AM227" s="14">
        <f t="shared" si="60"/>
        <v>0</v>
      </c>
      <c r="AO227" s="13">
        <f t="shared" si="61"/>
        <v>1</v>
      </c>
      <c r="AP227" s="13" t="e">
        <f t="shared" si="56"/>
        <v>#DIV/0!</v>
      </c>
      <c r="AQ227" s="11">
        <v>1</v>
      </c>
      <c r="AR227" s="11"/>
      <c r="AS227" s="11"/>
      <c r="AT227" s="11"/>
      <c r="AU227" s="11"/>
      <c r="AV227" s="13"/>
    </row>
    <row r="228" spans="7:48" ht="12.75" customHeight="1">
      <c r="G228" s="11" t="e">
        <f t="shared" si="58"/>
        <v>#DIV/0!</v>
      </c>
      <c r="P228" s="11" t="e">
        <f t="shared" si="59"/>
        <v>#DIV/0!</v>
      </c>
      <c r="R228" s="2"/>
      <c r="S228" s="12">
        <v>5</v>
      </c>
      <c r="Y228">
        <v>70</v>
      </c>
      <c r="AA228" s="11">
        <f t="shared" si="50"/>
        <v>0</v>
      </c>
      <c r="AC228" s="11">
        <f t="shared" si="57"/>
        <v>0</v>
      </c>
      <c r="AG228" s="12" t="e">
        <f t="shared" si="51"/>
        <v>#DIV/0!</v>
      </c>
      <c r="AH228" s="11" t="e">
        <f t="shared" si="52"/>
        <v>#DIV/0!</v>
      </c>
      <c r="AI228" s="11"/>
      <c r="AJ228" s="11">
        <f t="shared" si="53"/>
        <v>1</v>
      </c>
      <c r="AK228" s="11" t="e">
        <f t="shared" si="54"/>
        <v>#DIV/0!</v>
      </c>
      <c r="AL228" s="10">
        <f t="shared" si="49"/>
        <v>0</v>
      </c>
      <c r="AM228" s="14">
        <f t="shared" si="60"/>
        <v>0</v>
      </c>
      <c r="AO228" s="13">
        <f t="shared" si="61"/>
        <v>1</v>
      </c>
      <c r="AP228" s="13" t="e">
        <f t="shared" si="56"/>
        <v>#DIV/0!</v>
      </c>
      <c r="AQ228" s="11">
        <v>1</v>
      </c>
      <c r="AR228" s="11"/>
      <c r="AS228" s="11"/>
      <c r="AT228" s="11"/>
      <c r="AU228" s="11"/>
      <c r="AV228" s="13"/>
    </row>
    <row r="229" spans="7:48" ht="12.75" customHeight="1">
      <c r="G229" s="11" t="e">
        <f t="shared" si="58"/>
        <v>#DIV/0!</v>
      </c>
      <c r="P229" s="11" t="e">
        <f t="shared" si="59"/>
        <v>#DIV/0!</v>
      </c>
      <c r="R229" s="2"/>
      <c r="S229" s="12">
        <v>5</v>
      </c>
      <c r="Y229">
        <v>70</v>
      </c>
      <c r="AA229" s="11">
        <f t="shared" si="50"/>
        <v>0</v>
      </c>
      <c r="AC229" s="11">
        <f t="shared" si="57"/>
        <v>0</v>
      </c>
      <c r="AG229" s="12" t="e">
        <f t="shared" si="51"/>
        <v>#DIV/0!</v>
      </c>
      <c r="AH229" s="11" t="e">
        <f t="shared" si="52"/>
        <v>#DIV/0!</v>
      </c>
      <c r="AI229" s="11"/>
      <c r="AJ229" s="11">
        <f t="shared" si="53"/>
        <v>1</v>
      </c>
      <c r="AK229" s="11" t="e">
        <f t="shared" si="54"/>
        <v>#DIV/0!</v>
      </c>
      <c r="AL229" s="10">
        <f t="shared" si="49"/>
        <v>0</v>
      </c>
      <c r="AM229" s="14">
        <f t="shared" si="60"/>
        <v>0</v>
      </c>
      <c r="AO229" s="13">
        <f t="shared" si="61"/>
        <v>1</v>
      </c>
      <c r="AP229" s="13" t="e">
        <f t="shared" si="56"/>
        <v>#DIV/0!</v>
      </c>
      <c r="AQ229" s="11">
        <v>1</v>
      </c>
      <c r="AR229" s="11"/>
      <c r="AS229" s="11"/>
      <c r="AT229" s="11"/>
      <c r="AU229" s="11"/>
      <c r="AV229" s="13"/>
    </row>
    <row r="230" spans="7:48" ht="12.75" customHeight="1">
      <c r="G230" s="11" t="e">
        <f t="shared" si="58"/>
        <v>#DIV/0!</v>
      </c>
      <c r="P230" s="11" t="e">
        <f t="shared" si="59"/>
        <v>#DIV/0!</v>
      </c>
      <c r="R230" s="2"/>
      <c r="S230" s="12">
        <v>5</v>
      </c>
      <c r="Y230">
        <v>70</v>
      </c>
      <c r="AA230" s="11">
        <f t="shared" si="50"/>
        <v>0</v>
      </c>
      <c r="AC230" s="11">
        <f t="shared" si="57"/>
        <v>0</v>
      </c>
      <c r="AG230" s="12" t="e">
        <f t="shared" si="51"/>
        <v>#DIV/0!</v>
      </c>
      <c r="AH230" s="11" t="e">
        <f t="shared" si="52"/>
        <v>#DIV/0!</v>
      </c>
      <c r="AI230" s="11"/>
      <c r="AJ230" s="11">
        <f t="shared" si="53"/>
        <v>1</v>
      </c>
      <c r="AK230" s="11" t="e">
        <f t="shared" si="54"/>
        <v>#DIV/0!</v>
      </c>
      <c r="AL230" s="10">
        <f t="shared" si="49"/>
        <v>0</v>
      </c>
      <c r="AM230" s="14">
        <f t="shared" si="60"/>
        <v>0</v>
      </c>
      <c r="AO230" s="13">
        <f t="shared" si="61"/>
        <v>1</v>
      </c>
      <c r="AP230" s="13" t="e">
        <f t="shared" si="56"/>
        <v>#DIV/0!</v>
      </c>
      <c r="AQ230" s="11">
        <v>1</v>
      </c>
      <c r="AR230" s="11"/>
      <c r="AS230" s="11"/>
      <c r="AT230" s="11"/>
      <c r="AU230" s="11"/>
      <c r="AV230" s="13"/>
    </row>
    <row r="231" spans="7:48" ht="12.75" customHeight="1">
      <c r="G231" s="11" t="e">
        <f t="shared" si="58"/>
        <v>#DIV/0!</v>
      </c>
      <c r="P231" s="11" t="e">
        <f t="shared" si="59"/>
        <v>#DIV/0!</v>
      </c>
      <c r="R231" s="2"/>
      <c r="S231" s="12">
        <v>5</v>
      </c>
      <c r="Y231">
        <v>70</v>
      </c>
      <c r="AA231" s="11">
        <f t="shared" si="50"/>
        <v>0</v>
      </c>
      <c r="AC231" s="11">
        <f t="shared" si="57"/>
        <v>0</v>
      </c>
      <c r="AG231" s="12" t="e">
        <f t="shared" si="51"/>
        <v>#DIV/0!</v>
      </c>
      <c r="AH231" s="11" t="e">
        <f t="shared" si="52"/>
        <v>#DIV/0!</v>
      </c>
      <c r="AI231" s="11"/>
      <c r="AJ231" s="11">
        <f t="shared" si="53"/>
        <v>1</v>
      </c>
      <c r="AK231" s="11" t="e">
        <f t="shared" si="54"/>
        <v>#DIV/0!</v>
      </c>
      <c r="AL231" s="10">
        <f t="shared" si="49"/>
        <v>0</v>
      </c>
      <c r="AM231" s="14">
        <f t="shared" si="60"/>
        <v>0</v>
      </c>
      <c r="AO231" s="13">
        <f t="shared" si="61"/>
        <v>1</v>
      </c>
      <c r="AP231" s="13" t="e">
        <f t="shared" si="56"/>
        <v>#DIV/0!</v>
      </c>
      <c r="AQ231" s="11">
        <v>1</v>
      </c>
      <c r="AR231" s="11"/>
      <c r="AS231" s="11"/>
      <c r="AT231" s="11"/>
      <c r="AU231" s="11"/>
      <c r="AV231" s="13"/>
    </row>
    <row r="232" spans="7:48" ht="12.75" customHeight="1">
      <c r="G232" s="11" t="e">
        <f t="shared" si="58"/>
        <v>#DIV/0!</v>
      </c>
      <c r="P232" s="11" t="e">
        <f t="shared" si="59"/>
        <v>#DIV/0!</v>
      </c>
      <c r="R232" s="2"/>
      <c r="S232" s="12">
        <v>5</v>
      </c>
      <c r="Y232">
        <v>70</v>
      </c>
      <c r="AA232" s="11">
        <f t="shared" si="50"/>
        <v>0</v>
      </c>
      <c r="AC232" s="11">
        <f t="shared" si="57"/>
        <v>0</v>
      </c>
      <c r="AG232" s="12" t="e">
        <f t="shared" si="51"/>
        <v>#DIV/0!</v>
      </c>
      <c r="AH232" s="11" t="e">
        <f t="shared" si="52"/>
        <v>#DIV/0!</v>
      </c>
      <c r="AI232" s="11"/>
      <c r="AJ232" s="11">
        <f t="shared" si="53"/>
        <v>1</v>
      </c>
      <c r="AK232" s="11" t="e">
        <f t="shared" si="54"/>
        <v>#DIV/0!</v>
      </c>
      <c r="AL232" s="10">
        <f t="shared" si="49"/>
        <v>0</v>
      </c>
      <c r="AM232" s="14">
        <f t="shared" si="60"/>
        <v>0</v>
      </c>
      <c r="AO232" s="13">
        <f t="shared" si="61"/>
        <v>1</v>
      </c>
      <c r="AP232" s="13" t="e">
        <f t="shared" si="56"/>
        <v>#DIV/0!</v>
      </c>
      <c r="AQ232" s="11">
        <v>1</v>
      </c>
      <c r="AR232" s="11"/>
      <c r="AS232" s="11"/>
      <c r="AT232" s="11"/>
      <c r="AU232" s="11"/>
      <c r="AV232" s="13"/>
    </row>
    <row r="233" spans="7:48" ht="12.75" customHeight="1">
      <c r="G233" s="11" t="e">
        <f t="shared" si="58"/>
        <v>#DIV/0!</v>
      </c>
      <c r="P233" s="11" t="e">
        <f t="shared" si="59"/>
        <v>#DIV/0!</v>
      </c>
      <c r="R233" s="2"/>
      <c r="S233" s="12">
        <v>5</v>
      </c>
      <c r="Y233">
        <v>70</v>
      </c>
      <c r="AA233" s="11">
        <f t="shared" si="50"/>
        <v>0</v>
      </c>
      <c r="AC233" s="11">
        <f t="shared" si="57"/>
        <v>0</v>
      </c>
      <c r="AG233" s="12" t="e">
        <f t="shared" si="51"/>
        <v>#DIV/0!</v>
      </c>
      <c r="AH233" s="11" t="e">
        <f t="shared" si="52"/>
        <v>#DIV/0!</v>
      </c>
      <c r="AI233" s="11"/>
      <c r="AJ233" s="11">
        <f t="shared" si="53"/>
        <v>1</v>
      </c>
      <c r="AK233" s="11" t="e">
        <f t="shared" si="54"/>
        <v>#DIV/0!</v>
      </c>
      <c r="AL233" s="10">
        <f t="shared" si="49"/>
        <v>0</v>
      </c>
      <c r="AM233" s="14">
        <f t="shared" si="60"/>
        <v>0</v>
      </c>
      <c r="AO233" s="13">
        <f t="shared" si="61"/>
        <v>1</v>
      </c>
      <c r="AP233" s="13" t="e">
        <f t="shared" si="56"/>
        <v>#DIV/0!</v>
      </c>
      <c r="AQ233" s="11">
        <v>1</v>
      </c>
      <c r="AR233" s="11"/>
      <c r="AS233" s="11"/>
      <c r="AT233" s="11"/>
      <c r="AU233" s="11"/>
      <c r="AV233" s="13"/>
    </row>
    <row r="234" spans="7:48" ht="12.75" customHeight="1">
      <c r="G234" s="11" t="e">
        <f t="shared" si="58"/>
        <v>#DIV/0!</v>
      </c>
      <c r="P234" s="11" t="e">
        <f t="shared" si="59"/>
        <v>#DIV/0!</v>
      </c>
      <c r="R234" s="2"/>
      <c r="S234" s="12">
        <v>5</v>
      </c>
      <c r="Y234">
        <v>70</v>
      </c>
      <c r="AA234" s="11">
        <f t="shared" si="50"/>
        <v>0</v>
      </c>
      <c r="AC234" s="11">
        <f t="shared" si="57"/>
        <v>0</v>
      </c>
      <c r="AG234" s="12" t="e">
        <f t="shared" si="51"/>
        <v>#DIV/0!</v>
      </c>
      <c r="AH234" s="11" t="e">
        <f t="shared" si="52"/>
        <v>#DIV/0!</v>
      </c>
      <c r="AI234" s="11"/>
      <c r="AJ234" s="11">
        <f t="shared" si="53"/>
        <v>1</v>
      </c>
      <c r="AK234" s="11" t="e">
        <f t="shared" si="54"/>
        <v>#DIV/0!</v>
      </c>
      <c r="AL234" s="10">
        <f t="shared" si="49"/>
        <v>0</v>
      </c>
      <c r="AM234" s="14">
        <f t="shared" si="60"/>
        <v>0</v>
      </c>
      <c r="AO234" s="13">
        <f t="shared" si="61"/>
        <v>1</v>
      </c>
      <c r="AP234" s="13" t="e">
        <f t="shared" si="56"/>
        <v>#DIV/0!</v>
      </c>
      <c r="AQ234" s="11">
        <v>1</v>
      </c>
      <c r="AR234" s="11"/>
      <c r="AS234" s="11"/>
      <c r="AT234" s="11"/>
      <c r="AU234" s="11"/>
      <c r="AV234" s="13"/>
    </row>
    <row r="235" spans="7:48" ht="12.75" customHeight="1">
      <c r="G235" s="11" t="e">
        <f t="shared" si="58"/>
        <v>#DIV/0!</v>
      </c>
      <c r="P235" s="11" t="e">
        <f t="shared" si="59"/>
        <v>#DIV/0!</v>
      </c>
      <c r="R235" s="2"/>
      <c r="S235" s="12">
        <v>5</v>
      </c>
      <c r="Y235">
        <v>70</v>
      </c>
      <c r="AA235" s="11">
        <f t="shared" si="50"/>
        <v>0</v>
      </c>
      <c r="AC235" s="11">
        <f t="shared" si="57"/>
        <v>0</v>
      </c>
      <c r="AG235" s="12" t="e">
        <f t="shared" si="51"/>
        <v>#DIV/0!</v>
      </c>
      <c r="AH235" s="11" t="e">
        <f t="shared" si="52"/>
        <v>#DIV/0!</v>
      </c>
      <c r="AI235" s="11"/>
      <c r="AJ235" s="11">
        <f t="shared" si="53"/>
        <v>1</v>
      </c>
      <c r="AK235" s="11" t="e">
        <f t="shared" si="54"/>
        <v>#DIV/0!</v>
      </c>
      <c r="AL235" s="10">
        <f t="shared" si="49"/>
        <v>0</v>
      </c>
      <c r="AM235" s="14">
        <f t="shared" si="60"/>
        <v>0</v>
      </c>
      <c r="AO235" s="13">
        <f t="shared" si="61"/>
        <v>1</v>
      </c>
      <c r="AP235" s="13" t="e">
        <f t="shared" si="56"/>
        <v>#DIV/0!</v>
      </c>
      <c r="AQ235" s="11">
        <v>1</v>
      </c>
      <c r="AR235" s="11"/>
      <c r="AS235" s="11"/>
      <c r="AT235" s="11"/>
      <c r="AU235" s="11"/>
      <c r="AV235" s="13"/>
    </row>
    <row r="236" spans="7:48" ht="12.75" customHeight="1">
      <c r="G236" s="11" t="e">
        <f t="shared" si="58"/>
        <v>#DIV/0!</v>
      </c>
      <c r="P236" s="11" t="e">
        <f t="shared" si="59"/>
        <v>#DIV/0!</v>
      </c>
      <c r="R236" s="2"/>
      <c r="S236" s="12">
        <v>5</v>
      </c>
      <c r="Y236">
        <v>70</v>
      </c>
      <c r="AA236" s="11">
        <f t="shared" si="50"/>
        <v>0</v>
      </c>
      <c r="AC236" s="11">
        <f t="shared" si="57"/>
        <v>0</v>
      </c>
      <c r="AG236" s="12" t="e">
        <f t="shared" si="51"/>
        <v>#DIV/0!</v>
      </c>
      <c r="AH236" s="11" t="e">
        <f t="shared" si="52"/>
        <v>#DIV/0!</v>
      </c>
      <c r="AI236" s="11"/>
      <c r="AJ236" s="11">
        <f t="shared" si="53"/>
        <v>1</v>
      </c>
      <c r="AK236" s="11" t="e">
        <f t="shared" si="54"/>
        <v>#DIV/0!</v>
      </c>
      <c r="AL236" s="10">
        <f t="shared" si="49"/>
        <v>0</v>
      </c>
      <c r="AM236" s="14">
        <f t="shared" si="60"/>
        <v>0</v>
      </c>
      <c r="AO236" s="13">
        <f t="shared" si="61"/>
        <v>1</v>
      </c>
      <c r="AP236" s="13" t="e">
        <f t="shared" si="56"/>
        <v>#DIV/0!</v>
      </c>
      <c r="AQ236" s="11">
        <v>1</v>
      </c>
      <c r="AR236" s="11"/>
      <c r="AS236" s="11"/>
      <c r="AT236" s="11"/>
      <c r="AU236" s="11"/>
      <c r="AV236" s="13"/>
    </row>
    <row r="237" spans="7:48" ht="12.75" customHeight="1">
      <c r="G237" s="11" t="e">
        <f t="shared" si="58"/>
        <v>#DIV/0!</v>
      </c>
      <c r="P237" s="11" t="e">
        <f t="shared" si="59"/>
        <v>#DIV/0!</v>
      </c>
      <c r="R237" s="2"/>
      <c r="S237" s="12">
        <v>5</v>
      </c>
      <c r="Y237">
        <v>70</v>
      </c>
      <c r="AA237" s="11">
        <f t="shared" si="50"/>
        <v>0</v>
      </c>
      <c r="AC237" s="11">
        <f t="shared" si="57"/>
        <v>0</v>
      </c>
      <c r="AG237" s="12" t="e">
        <f t="shared" si="51"/>
        <v>#DIV/0!</v>
      </c>
      <c r="AH237" s="11" t="e">
        <f t="shared" si="52"/>
        <v>#DIV/0!</v>
      </c>
      <c r="AI237" s="11"/>
      <c r="AJ237" s="11">
        <f t="shared" si="53"/>
        <v>1</v>
      </c>
      <c r="AK237" s="11" t="e">
        <f t="shared" si="54"/>
        <v>#DIV/0!</v>
      </c>
      <c r="AL237" s="10">
        <f t="shared" si="49"/>
        <v>0</v>
      </c>
      <c r="AM237" s="14">
        <f t="shared" si="60"/>
        <v>0</v>
      </c>
      <c r="AO237" s="13">
        <f t="shared" si="61"/>
        <v>1</v>
      </c>
      <c r="AP237" s="13" t="e">
        <f t="shared" si="56"/>
        <v>#DIV/0!</v>
      </c>
      <c r="AQ237" s="11">
        <v>1</v>
      </c>
      <c r="AR237" s="11"/>
      <c r="AS237" s="11"/>
      <c r="AT237" s="11"/>
      <c r="AU237" s="11"/>
      <c r="AV237" s="13"/>
    </row>
    <row r="238" spans="7:48" ht="12.75" customHeight="1">
      <c r="G238" s="11" t="e">
        <f t="shared" si="58"/>
        <v>#DIV/0!</v>
      </c>
      <c r="P238" s="11" t="e">
        <f t="shared" si="59"/>
        <v>#DIV/0!</v>
      </c>
      <c r="R238" s="2"/>
      <c r="S238" s="12">
        <v>5</v>
      </c>
      <c r="Y238">
        <v>70</v>
      </c>
      <c r="AA238" s="11">
        <f t="shared" si="50"/>
        <v>0</v>
      </c>
      <c r="AC238" s="11">
        <f t="shared" si="57"/>
        <v>0</v>
      </c>
      <c r="AG238" s="12" t="e">
        <f t="shared" si="51"/>
        <v>#DIV/0!</v>
      </c>
      <c r="AH238" s="11" t="e">
        <f t="shared" si="52"/>
        <v>#DIV/0!</v>
      </c>
      <c r="AI238" s="11"/>
      <c r="AJ238" s="11">
        <f t="shared" si="53"/>
        <v>1</v>
      </c>
      <c r="AK238" s="11" t="e">
        <f t="shared" si="54"/>
        <v>#DIV/0!</v>
      </c>
      <c r="AL238" s="10">
        <f t="shared" si="49"/>
        <v>0</v>
      </c>
      <c r="AM238" s="14">
        <f t="shared" si="60"/>
        <v>0</v>
      </c>
      <c r="AO238" s="13">
        <f t="shared" si="61"/>
        <v>1</v>
      </c>
      <c r="AP238" s="13" t="e">
        <f t="shared" si="56"/>
        <v>#DIV/0!</v>
      </c>
      <c r="AQ238" s="11">
        <v>1</v>
      </c>
      <c r="AR238" s="11"/>
      <c r="AS238" s="11"/>
      <c r="AT238" s="11"/>
      <c r="AU238" s="11"/>
      <c r="AV238" s="13"/>
    </row>
    <row r="239" spans="7:48" ht="12.75" customHeight="1">
      <c r="G239" s="11" t="e">
        <f t="shared" si="58"/>
        <v>#DIV/0!</v>
      </c>
      <c r="P239" s="11" t="e">
        <f t="shared" si="59"/>
        <v>#DIV/0!</v>
      </c>
      <c r="R239" s="2"/>
      <c r="S239" s="12">
        <v>5</v>
      </c>
      <c r="Y239">
        <v>70</v>
      </c>
      <c r="AA239" s="11">
        <f t="shared" si="50"/>
        <v>0</v>
      </c>
      <c r="AC239" s="11">
        <f t="shared" si="57"/>
        <v>0</v>
      </c>
      <c r="AG239" s="12" t="e">
        <f t="shared" si="51"/>
        <v>#DIV/0!</v>
      </c>
      <c r="AH239" s="11" t="e">
        <f t="shared" si="52"/>
        <v>#DIV/0!</v>
      </c>
      <c r="AI239" s="11"/>
      <c r="AJ239" s="11">
        <f t="shared" si="53"/>
        <v>1</v>
      </c>
      <c r="AK239" s="11" t="e">
        <f t="shared" si="54"/>
        <v>#DIV/0!</v>
      </c>
      <c r="AL239" s="10">
        <f t="shared" si="49"/>
        <v>0</v>
      </c>
      <c r="AM239" s="14">
        <f t="shared" si="60"/>
        <v>0</v>
      </c>
      <c r="AO239" s="13">
        <f t="shared" si="61"/>
        <v>1</v>
      </c>
      <c r="AP239" s="13" t="e">
        <f t="shared" si="56"/>
        <v>#DIV/0!</v>
      </c>
      <c r="AQ239" s="11">
        <v>1</v>
      </c>
      <c r="AR239" s="11"/>
      <c r="AS239" s="11"/>
      <c r="AT239" s="11"/>
      <c r="AU239" s="11"/>
      <c r="AV239" s="13"/>
    </row>
    <row r="240" spans="7:48" ht="12.75" customHeight="1">
      <c r="G240" s="11" t="e">
        <f t="shared" si="58"/>
        <v>#DIV/0!</v>
      </c>
      <c r="P240" s="11" t="e">
        <f t="shared" si="59"/>
        <v>#DIV/0!</v>
      </c>
      <c r="R240" s="2"/>
      <c r="S240" s="12">
        <v>5</v>
      </c>
      <c r="Y240">
        <v>70</v>
      </c>
      <c r="AA240" s="11">
        <f t="shared" si="50"/>
        <v>0</v>
      </c>
      <c r="AC240" s="11">
        <f t="shared" si="57"/>
        <v>0</v>
      </c>
      <c r="AG240" s="12" t="e">
        <f t="shared" si="51"/>
        <v>#DIV/0!</v>
      </c>
      <c r="AH240" s="11" t="e">
        <f t="shared" si="52"/>
        <v>#DIV/0!</v>
      </c>
      <c r="AI240" s="11"/>
      <c r="AJ240" s="11">
        <f t="shared" si="53"/>
        <v>1</v>
      </c>
      <c r="AK240" s="11" t="e">
        <f t="shared" si="54"/>
        <v>#DIV/0!</v>
      </c>
      <c r="AL240" s="10">
        <f t="shared" si="49"/>
        <v>0</v>
      </c>
      <c r="AM240" s="14">
        <f t="shared" si="60"/>
        <v>0</v>
      </c>
      <c r="AO240" s="13">
        <f t="shared" si="61"/>
        <v>1</v>
      </c>
      <c r="AP240" s="13" t="e">
        <f t="shared" si="56"/>
        <v>#DIV/0!</v>
      </c>
      <c r="AQ240" s="11">
        <v>1</v>
      </c>
      <c r="AR240" s="11"/>
      <c r="AS240" s="11"/>
      <c r="AT240" s="11"/>
      <c r="AU240" s="11"/>
      <c r="AV240" s="13"/>
    </row>
    <row r="241" spans="7:48" ht="12.75" customHeight="1">
      <c r="G241" s="11" t="e">
        <f t="shared" si="58"/>
        <v>#DIV/0!</v>
      </c>
      <c r="P241" s="11" t="e">
        <f t="shared" si="59"/>
        <v>#DIV/0!</v>
      </c>
      <c r="R241" s="2"/>
      <c r="S241" s="12">
        <v>5</v>
      </c>
      <c r="Y241">
        <v>70</v>
      </c>
      <c r="AA241" s="11">
        <f t="shared" si="50"/>
        <v>0</v>
      </c>
      <c r="AC241" s="11">
        <f t="shared" si="57"/>
        <v>0</v>
      </c>
      <c r="AG241" s="12" t="e">
        <f t="shared" si="51"/>
        <v>#DIV/0!</v>
      </c>
      <c r="AH241" s="11" t="e">
        <f t="shared" si="52"/>
        <v>#DIV/0!</v>
      </c>
      <c r="AI241" s="11"/>
      <c r="AJ241" s="11">
        <f t="shared" si="53"/>
        <v>1</v>
      </c>
      <c r="AK241" s="11" t="e">
        <f t="shared" si="54"/>
        <v>#DIV/0!</v>
      </c>
      <c r="AL241" s="10">
        <f t="shared" si="49"/>
        <v>0</v>
      </c>
      <c r="AM241" s="14">
        <f t="shared" si="60"/>
        <v>0</v>
      </c>
      <c r="AO241" s="13">
        <f t="shared" si="61"/>
        <v>1</v>
      </c>
      <c r="AP241" s="13" t="e">
        <f t="shared" si="56"/>
        <v>#DIV/0!</v>
      </c>
      <c r="AQ241" s="11">
        <v>1</v>
      </c>
      <c r="AR241" s="11"/>
      <c r="AS241" s="11"/>
      <c r="AT241" s="11"/>
      <c r="AU241" s="11"/>
      <c r="AV241" s="13"/>
    </row>
    <row r="242" spans="7:48" ht="12.75" customHeight="1">
      <c r="G242" s="11" t="e">
        <f t="shared" si="58"/>
        <v>#DIV/0!</v>
      </c>
      <c r="P242" s="11" t="e">
        <f t="shared" si="59"/>
        <v>#DIV/0!</v>
      </c>
      <c r="R242" s="2"/>
      <c r="S242" s="12">
        <v>5</v>
      </c>
      <c r="Y242">
        <v>70</v>
      </c>
      <c r="AA242" s="11">
        <f t="shared" si="50"/>
        <v>0</v>
      </c>
      <c r="AC242" s="11">
        <f t="shared" si="57"/>
        <v>0</v>
      </c>
      <c r="AG242" s="12" t="e">
        <f t="shared" si="51"/>
        <v>#DIV/0!</v>
      </c>
      <c r="AH242" s="11" t="e">
        <f t="shared" si="52"/>
        <v>#DIV/0!</v>
      </c>
      <c r="AI242" s="11"/>
      <c r="AJ242" s="11">
        <f t="shared" si="53"/>
        <v>1</v>
      </c>
      <c r="AK242" s="11" t="e">
        <f t="shared" si="54"/>
        <v>#DIV/0!</v>
      </c>
      <c r="AL242" s="10">
        <f t="shared" si="49"/>
        <v>0</v>
      </c>
      <c r="AM242" s="14">
        <f t="shared" si="60"/>
        <v>0</v>
      </c>
      <c r="AO242" s="13">
        <f t="shared" si="61"/>
        <v>1</v>
      </c>
      <c r="AP242" s="13" t="e">
        <f t="shared" si="56"/>
        <v>#DIV/0!</v>
      </c>
      <c r="AQ242" s="11">
        <v>1</v>
      </c>
      <c r="AR242" s="11"/>
      <c r="AS242" s="11"/>
      <c r="AT242" s="11"/>
      <c r="AU242" s="11"/>
      <c r="AV242" s="13"/>
    </row>
    <row r="243" spans="7:48" ht="12.75" customHeight="1">
      <c r="G243" s="11" t="e">
        <f t="shared" si="58"/>
        <v>#DIV/0!</v>
      </c>
      <c r="P243" s="11" t="e">
        <f t="shared" si="59"/>
        <v>#DIV/0!</v>
      </c>
      <c r="R243" s="2"/>
      <c r="S243" s="12">
        <v>5</v>
      </c>
      <c r="Y243">
        <v>70</v>
      </c>
      <c r="AA243" s="11">
        <f t="shared" si="50"/>
        <v>0</v>
      </c>
      <c r="AC243" s="11">
        <f t="shared" si="57"/>
        <v>0</v>
      </c>
      <c r="AG243" s="12" t="e">
        <f t="shared" si="51"/>
        <v>#DIV/0!</v>
      </c>
      <c r="AH243" s="11" t="e">
        <f t="shared" si="52"/>
        <v>#DIV/0!</v>
      </c>
      <c r="AI243" s="11"/>
      <c r="AJ243" s="11">
        <f t="shared" si="53"/>
        <v>1</v>
      </c>
      <c r="AK243" s="11" t="e">
        <f t="shared" si="54"/>
        <v>#DIV/0!</v>
      </c>
      <c r="AL243" s="10">
        <f t="shared" si="49"/>
        <v>0</v>
      </c>
      <c r="AM243" s="14">
        <f t="shared" si="60"/>
        <v>0</v>
      </c>
      <c r="AO243" s="13">
        <f t="shared" si="61"/>
        <v>1</v>
      </c>
      <c r="AP243" s="13" t="e">
        <f t="shared" si="56"/>
        <v>#DIV/0!</v>
      </c>
      <c r="AQ243" s="11">
        <v>1</v>
      </c>
      <c r="AR243" s="11"/>
      <c r="AS243" s="11"/>
      <c r="AT243" s="11"/>
      <c r="AU243" s="11"/>
      <c r="AV243" s="13"/>
    </row>
    <row r="244" spans="7:48" ht="12.75" customHeight="1">
      <c r="G244" s="11" t="e">
        <f t="shared" si="58"/>
        <v>#DIV/0!</v>
      </c>
      <c r="P244" s="11" t="e">
        <f t="shared" si="59"/>
        <v>#DIV/0!</v>
      </c>
      <c r="R244" s="2"/>
      <c r="S244" s="12">
        <v>5</v>
      </c>
      <c r="Y244">
        <v>70</v>
      </c>
      <c r="AA244" s="11">
        <f t="shared" si="50"/>
        <v>0</v>
      </c>
      <c r="AC244" s="11">
        <f t="shared" si="57"/>
        <v>0</v>
      </c>
      <c r="AG244" s="12" t="e">
        <f t="shared" si="51"/>
        <v>#DIV/0!</v>
      </c>
      <c r="AH244" s="11" t="e">
        <f t="shared" si="52"/>
        <v>#DIV/0!</v>
      </c>
      <c r="AI244" s="11"/>
      <c r="AJ244" s="11">
        <f t="shared" si="53"/>
        <v>1</v>
      </c>
      <c r="AK244" s="11" t="e">
        <f t="shared" si="54"/>
        <v>#DIV/0!</v>
      </c>
      <c r="AL244" s="10">
        <f t="shared" si="49"/>
        <v>0</v>
      </c>
      <c r="AM244" s="14">
        <f t="shared" si="60"/>
        <v>0</v>
      </c>
      <c r="AO244" s="13">
        <f t="shared" si="61"/>
        <v>1</v>
      </c>
      <c r="AP244" s="13" t="e">
        <f t="shared" si="56"/>
        <v>#DIV/0!</v>
      </c>
      <c r="AQ244" s="11">
        <v>1</v>
      </c>
      <c r="AR244" s="11"/>
      <c r="AS244" s="11"/>
      <c r="AT244" s="11"/>
      <c r="AU244" s="11"/>
      <c r="AV244" s="13"/>
    </row>
    <row r="245" spans="7:48" ht="12.75" customHeight="1">
      <c r="G245" s="11" t="e">
        <f t="shared" si="58"/>
        <v>#DIV/0!</v>
      </c>
      <c r="P245" s="11" t="e">
        <f t="shared" si="59"/>
        <v>#DIV/0!</v>
      </c>
      <c r="R245" s="2"/>
      <c r="S245" s="12">
        <v>5</v>
      </c>
      <c r="Y245">
        <v>70</v>
      </c>
      <c r="AA245" s="11">
        <f t="shared" si="50"/>
        <v>0</v>
      </c>
      <c r="AC245" s="11">
        <f t="shared" si="57"/>
        <v>0</v>
      </c>
      <c r="AG245" s="12" t="e">
        <f t="shared" si="51"/>
        <v>#DIV/0!</v>
      </c>
      <c r="AH245" s="11" t="e">
        <f t="shared" si="52"/>
        <v>#DIV/0!</v>
      </c>
      <c r="AI245" s="11"/>
      <c r="AJ245" s="11">
        <f t="shared" si="53"/>
        <v>1</v>
      </c>
      <c r="AK245" s="11" t="e">
        <f t="shared" si="54"/>
        <v>#DIV/0!</v>
      </c>
      <c r="AL245" s="10">
        <f t="shared" si="49"/>
        <v>0</v>
      </c>
      <c r="AM245" s="14">
        <f t="shared" si="60"/>
        <v>0</v>
      </c>
      <c r="AO245" s="13">
        <f t="shared" si="61"/>
        <v>1</v>
      </c>
      <c r="AP245" s="13" t="e">
        <f t="shared" si="56"/>
        <v>#DIV/0!</v>
      </c>
      <c r="AQ245" s="11">
        <v>1</v>
      </c>
      <c r="AR245" s="11"/>
      <c r="AS245" s="11"/>
      <c r="AT245" s="11"/>
      <c r="AU245" s="11"/>
      <c r="AV245" s="13"/>
    </row>
    <row r="246" spans="7:48" ht="12.75" customHeight="1">
      <c r="G246" s="11" t="e">
        <f t="shared" si="58"/>
        <v>#DIV/0!</v>
      </c>
      <c r="P246" s="11" t="e">
        <f t="shared" si="59"/>
        <v>#DIV/0!</v>
      </c>
      <c r="R246" s="2"/>
      <c r="S246" s="12">
        <v>5</v>
      </c>
      <c r="Y246">
        <v>70</v>
      </c>
      <c r="AA246" s="11">
        <f t="shared" si="50"/>
        <v>0</v>
      </c>
      <c r="AC246" s="11">
        <f t="shared" si="57"/>
        <v>0</v>
      </c>
      <c r="AG246" s="12" t="e">
        <f t="shared" si="51"/>
        <v>#DIV/0!</v>
      </c>
      <c r="AH246" s="11" t="e">
        <f t="shared" si="52"/>
        <v>#DIV/0!</v>
      </c>
      <c r="AI246" s="11"/>
      <c r="AJ246" s="11">
        <f t="shared" si="53"/>
        <v>1</v>
      </c>
      <c r="AK246" s="11" t="e">
        <f t="shared" si="54"/>
        <v>#DIV/0!</v>
      </c>
      <c r="AL246" s="10">
        <f t="shared" si="49"/>
        <v>0</v>
      </c>
      <c r="AM246" s="14">
        <f t="shared" si="60"/>
        <v>0</v>
      </c>
      <c r="AO246" s="13">
        <f t="shared" si="61"/>
        <v>1</v>
      </c>
      <c r="AP246" s="13" t="e">
        <f t="shared" si="56"/>
        <v>#DIV/0!</v>
      </c>
      <c r="AQ246" s="11">
        <v>1</v>
      </c>
      <c r="AR246" s="11"/>
      <c r="AS246" s="11"/>
      <c r="AT246" s="11"/>
      <c r="AU246" s="11"/>
      <c r="AV246" s="13"/>
    </row>
    <row r="247" spans="7:48" ht="12.75" customHeight="1">
      <c r="G247" s="11" t="e">
        <f t="shared" si="58"/>
        <v>#DIV/0!</v>
      </c>
      <c r="P247" s="11" t="e">
        <f t="shared" si="59"/>
        <v>#DIV/0!</v>
      </c>
      <c r="R247" s="2"/>
      <c r="S247" s="12">
        <v>5</v>
      </c>
      <c r="Y247">
        <v>70</v>
      </c>
      <c r="AA247" s="11">
        <f t="shared" si="50"/>
        <v>0</v>
      </c>
      <c r="AC247" s="11">
        <f t="shared" si="57"/>
        <v>0</v>
      </c>
      <c r="AG247" s="12" t="e">
        <f t="shared" si="51"/>
        <v>#DIV/0!</v>
      </c>
      <c r="AH247" s="11" t="e">
        <f t="shared" si="52"/>
        <v>#DIV/0!</v>
      </c>
      <c r="AI247" s="11"/>
      <c r="AJ247" s="11">
        <f t="shared" si="53"/>
        <v>1</v>
      </c>
      <c r="AK247" s="11" t="e">
        <f t="shared" si="54"/>
        <v>#DIV/0!</v>
      </c>
      <c r="AL247" s="10">
        <f t="shared" si="49"/>
        <v>0</v>
      </c>
      <c r="AM247" s="14">
        <f t="shared" si="60"/>
        <v>0</v>
      </c>
      <c r="AO247" s="13">
        <f t="shared" si="61"/>
        <v>1</v>
      </c>
      <c r="AP247" s="13" t="e">
        <f t="shared" si="56"/>
        <v>#DIV/0!</v>
      </c>
      <c r="AQ247" s="11">
        <v>1</v>
      </c>
      <c r="AR247" s="11"/>
      <c r="AS247" s="11"/>
      <c r="AT247" s="11"/>
      <c r="AU247" s="11"/>
      <c r="AV247" s="13"/>
    </row>
    <row r="248" spans="7:48" ht="12.75" customHeight="1">
      <c r="G248" s="11" t="e">
        <f t="shared" si="58"/>
        <v>#DIV/0!</v>
      </c>
      <c r="P248" s="11" t="e">
        <f t="shared" si="59"/>
        <v>#DIV/0!</v>
      </c>
      <c r="R248" s="2"/>
      <c r="S248" s="12">
        <v>5</v>
      </c>
      <c r="Y248">
        <v>70</v>
      </c>
      <c r="AA248" s="11">
        <f t="shared" si="50"/>
        <v>0</v>
      </c>
      <c r="AC248" s="11">
        <f t="shared" si="57"/>
        <v>0</v>
      </c>
      <c r="AG248" s="12" t="e">
        <f t="shared" si="51"/>
        <v>#DIV/0!</v>
      </c>
      <c r="AH248" s="11" t="e">
        <f t="shared" si="52"/>
        <v>#DIV/0!</v>
      </c>
      <c r="AI248" s="11"/>
      <c r="AJ248" s="11">
        <f t="shared" si="53"/>
        <v>1</v>
      </c>
      <c r="AK248" s="11" t="e">
        <f t="shared" si="54"/>
        <v>#DIV/0!</v>
      </c>
      <c r="AL248" s="10">
        <f t="shared" si="49"/>
        <v>0</v>
      </c>
      <c r="AM248" s="14">
        <f t="shared" si="60"/>
        <v>0</v>
      </c>
      <c r="AO248" s="13">
        <f t="shared" si="61"/>
        <v>1</v>
      </c>
      <c r="AP248" s="13" t="e">
        <f t="shared" si="56"/>
        <v>#DIV/0!</v>
      </c>
      <c r="AQ248" s="11">
        <v>1</v>
      </c>
      <c r="AR248" s="11"/>
      <c r="AS248" s="11"/>
      <c r="AT248" s="11"/>
      <c r="AU248" s="11"/>
      <c r="AV248" s="13"/>
    </row>
    <row r="249" spans="7:48" ht="12.75" customHeight="1">
      <c r="G249" s="11" t="e">
        <f t="shared" si="58"/>
        <v>#DIV/0!</v>
      </c>
      <c r="P249" s="11" t="e">
        <f t="shared" si="59"/>
        <v>#DIV/0!</v>
      </c>
      <c r="R249" s="2"/>
      <c r="S249" s="12">
        <v>5</v>
      </c>
      <c r="Y249">
        <v>70</v>
      </c>
      <c r="AA249" s="11">
        <f t="shared" si="50"/>
        <v>0</v>
      </c>
      <c r="AC249" s="11">
        <f t="shared" si="57"/>
        <v>0</v>
      </c>
      <c r="AG249" s="12" t="e">
        <f t="shared" si="51"/>
        <v>#DIV/0!</v>
      </c>
      <c r="AH249" s="11" t="e">
        <f t="shared" si="52"/>
        <v>#DIV/0!</v>
      </c>
      <c r="AI249" s="11"/>
      <c r="AJ249" s="11">
        <f t="shared" si="53"/>
        <v>1</v>
      </c>
      <c r="AK249" s="11" t="e">
        <f t="shared" si="54"/>
        <v>#DIV/0!</v>
      </c>
      <c r="AL249" s="10">
        <f t="shared" si="49"/>
        <v>0</v>
      </c>
      <c r="AM249" s="14">
        <f t="shared" si="60"/>
        <v>0</v>
      </c>
      <c r="AO249" s="13">
        <f t="shared" si="61"/>
        <v>1</v>
      </c>
      <c r="AP249" s="13" t="e">
        <f t="shared" si="56"/>
        <v>#DIV/0!</v>
      </c>
      <c r="AQ249" s="11">
        <v>1</v>
      </c>
      <c r="AR249" s="11"/>
      <c r="AS249" s="11"/>
      <c r="AT249" s="11"/>
      <c r="AU249" s="11"/>
      <c r="AV249" s="13"/>
    </row>
    <row r="250" spans="7:48" ht="12.75" customHeight="1">
      <c r="G250" s="11" t="e">
        <f t="shared" si="58"/>
        <v>#DIV/0!</v>
      </c>
      <c r="P250" s="11" t="e">
        <f t="shared" si="59"/>
        <v>#DIV/0!</v>
      </c>
      <c r="R250" s="2"/>
      <c r="S250" s="12">
        <v>5</v>
      </c>
      <c r="Y250">
        <v>70</v>
      </c>
      <c r="AA250" s="11">
        <f t="shared" si="50"/>
        <v>0</v>
      </c>
      <c r="AC250" s="11">
        <f t="shared" si="57"/>
        <v>0</v>
      </c>
      <c r="AG250" s="12" t="e">
        <f t="shared" si="51"/>
        <v>#DIV/0!</v>
      </c>
      <c r="AH250" s="11" t="e">
        <f t="shared" si="52"/>
        <v>#DIV/0!</v>
      </c>
      <c r="AI250" s="11"/>
      <c r="AJ250" s="11">
        <f t="shared" si="53"/>
        <v>1</v>
      </c>
      <c r="AK250" s="11" t="e">
        <f t="shared" si="54"/>
        <v>#DIV/0!</v>
      </c>
      <c r="AL250" s="10">
        <f t="shared" si="49"/>
        <v>0</v>
      </c>
      <c r="AM250" s="14">
        <f t="shared" si="60"/>
        <v>0</v>
      </c>
      <c r="AO250" s="13">
        <f t="shared" si="61"/>
        <v>1</v>
      </c>
      <c r="AP250" s="13" t="e">
        <f t="shared" si="56"/>
        <v>#DIV/0!</v>
      </c>
      <c r="AQ250" s="11">
        <v>1</v>
      </c>
      <c r="AR250" s="11"/>
      <c r="AS250" s="11"/>
      <c r="AT250" s="11"/>
      <c r="AU250" s="11"/>
      <c r="AV250" s="13"/>
    </row>
    <row r="251" spans="7:48" ht="12.75" customHeight="1">
      <c r="G251" s="11" t="e">
        <f t="shared" si="58"/>
        <v>#DIV/0!</v>
      </c>
      <c r="P251" s="11" t="e">
        <f t="shared" si="59"/>
        <v>#DIV/0!</v>
      </c>
      <c r="R251" s="2"/>
      <c r="S251" s="12">
        <v>5</v>
      </c>
      <c r="Y251">
        <v>70</v>
      </c>
      <c r="AA251" s="11">
        <f t="shared" si="50"/>
        <v>0</v>
      </c>
      <c r="AC251" s="11">
        <f t="shared" si="57"/>
        <v>0</v>
      </c>
      <c r="AG251" s="12" t="e">
        <f t="shared" si="51"/>
        <v>#DIV/0!</v>
      </c>
      <c r="AH251" s="11" t="e">
        <f t="shared" si="52"/>
        <v>#DIV/0!</v>
      </c>
      <c r="AI251" s="11"/>
      <c r="AJ251" s="11">
        <f t="shared" si="53"/>
        <v>1</v>
      </c>
      <c r="AK251" s="11" t="e">
        <f t="shared" si="54"/>
        <v>#DIV/0!</v>
      </c>
      <c r="AL251" s="10">
        <f t="shared" si="49"/>
        <v>0</v>
      </c>
      <c r="AM251" s="14">
        <f t="shared" si="60"/>
        <v>0</v>
      </c>
      <c r="AO251" s="13">
        <f t="shared" si="61"/>
        <v>1</v>
      </c>
      <c r="AP251" s="13" t="e">
        <f t="shared" si="56"/>
        <v>#DIV/0!</v>
      </c>
      <c r="AQ251" s="11">
        <v>1</v>
      </c>
      <c r="AR251" s="11"/>
      <c r="AS251" s="11"/>
      <c r="AT251" s="11"/>
      <c r="AU251" s="11"/>
      <c r="AV251" s="13"/>
    </row>
    <row r="252" spans="7:48" ht="12.75" customHeight="1">
      <c r="G252" s="11" t="e">
        <f t="shared" si="58"/>
        <v>#DIV/0!</v>
      </c>
      <c r="P252" s="11" t="e">
        <f t="shared" si="59"/>
        <v>#DIV/0!</v>
      </c>
      <c r="R252" s="2"/>
      <c r="S252" s="12">
        <v>5</v>
      </c>
      <c r="Y252">
        <v>70</v>
      </c>
      <c r="AA252" s="11">
        <f t="shared" si="50"/>
        <v>0</v>
      </c>
      <c r="AC252" s="11">
        <f t="shared" si="57"/>
        <v>0</v>
      </c>
      <c r="AG252" s="12" t="e">
        <f t="shared" si="51"/>
        <v>#DIV/0!</v>
      </c>
      <c r="AH252" s="11" t="e">
        <f t="shared" si="52"/>
        <v>#DIV/0!</v>
      </c>
      <c r="AI252" s="11"/>
      <c r="AJ252" s="11">
        <f t="shared" si="53"/>
        <v>1</v>
      </c>
      <c r="AK252" s="11" t="e">
        <f t="shared" si="54"/>
        <v>#DIV/0!</v>
      </c>
      <c r="AL252" s="10">
        <f t="shared" si="49"/>
        <v>0</v>
      </c>
      <c r="AM252" s="14">
        <f t="shared" si="60"/>
        <v>0</v>
      </c>
      <c r="AO252" s="13">
        <f t="shared" si="61"/>
        <v>1</v>
      </c>
      <c r="AP252" s="13" t="e">
        <f t="shared" si="56"/>
        <v>#DIV/0!</v>
      </c>
      <c r="AQ252" s="11">
        <v>1</v>
      </c>
      <c r="AR252" s="11"/>
      <c r="AS252" s="11"/>
      <c r="AT252" s="11"/>
      <c r="AU252" s="11"/>
      <c r="AV252" s="13"/>
    </row>
    <row r="253" spans="7:48" ht="12.75" customHeight="1">
      <c r="G253" s="11" t="e">
        <f t="shared" si="58"/>
        <v>#DIV/0!</v>
      </c>
      <c r="P253" s="11" t="e">
        <f t="shared" si="59"/>
        <v>#DIV/0!</v>
      </c>
      <c r="R253" s="2"/>
      <c r="S253" s="12">
        <v>5</v>
      </c>
      <c r="Y253">
        <v>70</v>
      </c>
      <c r="AA253" s="11">
        <f t="shared" si="50"/>
        <v>0</v>
      </c>
      <c r="AC253" s="11">
        <f t="shared" si="57"/>
        <v>0</v>
      </c>
      <c r="AG253" s="12" t="e">
        <f t="shared" si="51"/>
        <v>#DIV/0!</v>
      </c>
      <c r="AH253" s="11" t="e">
        <f t="shared" si="52"/>
        <v>#DIV/0!</v>
      </c>
      <c r="AI253" s="11"/>
      <c r="AJ253" s="11">
        <f t="shared" si="53"/>
        <v>1</v>
      </c>
      <c r="AK253" s="11" t="e">
        <f t="shared" si="54"/>
        <v>#DIV/0!</v>
      </c>
      <c r="AL253" s="10">
        <f t="shared" si="49"/>
        <v>0</v>
      </c>
      <c r="AM253" s="14">
        <f t="shared" si="60"/>
        <v>0</v>
      </c>
      <c r="AO253" s="13">
        <f t="shared" si="61"/>
        <v>1</v>
      </c>
      <c r="AP253" s="13" t="e">
        <f t="shared" si="56"/>
        <v>#DIV/0!</v>
      </c>
      <c r="AQ253" s="11">
        <v>1</v>
      </c>
      <c r="AR253" s="11"/>
      <c r="AS253" s="11"/>
      <c r="AT253" s="11"/>
      <c r="AU253" s="11"/>
      <c r="AV253" s="13"/>
    </row>
    <row r="254" spans="7:48" ht="12.75" customHeight="1">
      <c r="G254" s="11" t="e">
        <f t="shared" si="58"/>
        <v>#DIV/0!</v>
      </c>
      <c r="P254" s="11" t="e">
        <f t="shared" si="59"/>
        <v>#DIV/0!</v>
      </c>
      <c r="R254" s="2"/>
      <c r="S254" s="12">
        <v>5</v>
      </c>
      <c r="Y254">
        <v>70</v>
      </c>
      <c r="AA254" s="11">
        <f t="shared" si="50"/>
        <v>0</v>
      </c>
      <c r="AC254" s="11">
        <f t="shared" si="57"/>
        <v>0</v>
      </c>
      <c r="AG254" s="12" t="e">
        <f t="shared" si="51"/>
        <v>#DIV/0!</v>
      </c>
      <c r="AH254" s="11" t="e">
        <f t="shared" si="52"/>
        <v>#DIV/0!</v>
      </c>
      <c r="AI254" s="11"/>
      <c r="AJ254" s="11">
        <f t="shared" si="53"/>
        <v>1</v>
      </c>
      <c r="AK254" s="11" t="e">
        <f t="shared" si="54"/>
        <v>#DIV/0!</v>
      </c>
      <c r="AL254" s="10">
        <f t="shared" si="49"/>
        <v>0</v>
      </c>
      <c r="AM254" s="14">
        <f t="shared" si="60"/>
        <v>0</v>
      </c>
      <c r="AO254" s="13">
        <f t="shared" si="61"/>
        <v>1</v>
      </c>
      <c r="AP254" s="13" t="e">
        <f t="shared" si="56"/>
        <v>#DIV/0!</v>
      </c>
      <c r="AQ254" s="11">
        <v>1</v>
      </c>
      <c r="AR254" s="11"/>
      <c r="AS254" s="11"/>
      <c r="AT254" s="11"/>
      <c r="AU254" s="11"/>
      <c r="AV254" s="13"/>
    </row>
    <row r="255" spans="7:48" ht="12.75" customHeight="1">
      <c r="G255" s="11" t="e">
        <f t="shared" si="58"/>
        <v>#DIV/0!</v>
      </c>
      <c r="P255" s="11" t="e">
        <f t="shared" si="59"/>
        <v>#DIV/0!</v>
      </c>
      <c r="R255" s="2"/>
      <c r="S255" s="12">
        <v>5</v>
      </c>
      <c r="Y255">
        <v>70</v>
      </c>
      <c r="AA255" s="11">
        <f t="shared" si="50"/>
        <v>0</v>
      </c>
      <c r="AC255" s="11">
        <f t="shared" si="57"/>
        <v>0</v>
      </c>
      <c r="AG255" s="12" t="e">
        <f t="shared" si="51"/>
        <v>#DIV/0!</v>
      </c>
      <c r="AH255" s="11" t="e">
        <f t="shared" si="52"/>
        <v>#DIV/0!</v>
      </c>
      <c r="AI255" s="11"/>
      <c r="AJ255" s="11">
        <f t="shared" si="53"/>
        <v>1</v>
      </c>
      <c r="AK255" s="11" t="e">
        <f t="shared" si="54"/>
        <v>#DIV/0!</v>
      </c>
      <c r="AL255" s="10">
        <f t="shared" si="49"/>
        <v>0</v>
      </c>
      <c r="AM255" s="14">
        <f t="shared" si="60"/>
        <v>0</v>
      </c>
      <c r="AO255" s="13">
        <f t="shared" si="61"/>
        <v>1</v>
      </c>
      <c r="AP255" s="13" t="e">
        <f t="shared" si="56"/>
        <v>#DIV/0!</v>
      </c>
      <c r="AQ255" s="11">
        <v>1</v>
      </c>
      <c r="AR255" s="11"/>
      <c r="AS255" s="11"/>
      <c r="AT255" s="11"/>
      <c r="AU255" s="11"/>
      <c r="AV255" s="13"/>
    </row>
    <row r="256" spans="7:48" ht="12.75" customHeight="1">
      <c r="G256" s="11" t="e">
        <f t="shared" si="58"/>
        <v>#DIV/0!</v>
      </c>
      <c r="P256" s="11" t="e">
        <f t="shared" si="59"/>
        <v>#DIV/0!</v>
      </c>
      <c r="R256" s="2"/>
      <c r="S256" s="12">
        <v>5</v>
      </c>
      <c r="Y256">
        <v>70</v>
      </c>
      <c r="AA256" s="11">
        <f t="shared" si="50"/>
        <v>0</v>
      </c>
      <c r="AC256" s="11">
        <f t="shared" si="57"/>
        <v>0</v>
      </c>
      <c r="AG256" s="12" t="e">
        <f t="shared" si="51"/>
        <v>#DIV/0!</v>
      </c>
      <c r="AH256" s="11" t="e">
        <f t="shared" si="52"/>
        <v>#DIV/0!</v>
      </c>
      <c r="AI256" s="11"/>
      <c r="AJ256" s="11">
        <f t="shared" si="53"/>
        <v>1</v>
      </c>
      <c r="AK256" s="11" t="e">
        <f t="shared" si="54"/>
        <v>#DIV/0!</v>
      </c>
      <c r="AL256" s="10">
        <f t="shared" ref="AL256:AL319" si="62">D256</f>
        <v>0</v>
      </c>
      <c r="AM256" s="14">
        <f t="shared" si="60"/>
        <v>0</v>
      </c>
      <c r="AO256" s="13">
        <f t="shared" si="61"/>
        <v>1</v>
      </c>
      <c r="AP256" s="13" t="e">
        <f t="shared" si="56"/>
        <v>#DIV/0!</v>
      </c>
      <c r="AQ256" s="11">
        <v>1</v>
      </c>
      <c r="AR256" s="11"/>
      <c r="AS256" s="11"/>
      <c r="AT256" s="11"/>
      <c r="AU256" s="11"/>
      <c r="AV256" s="13"/>
    </row>
    <row r="257" spans="7:48" ht="12.75" customHeight="1">
      <c r="G257" s="11" t="e">
        <f t="shared" si="58"/>
        <v>#DIV/0!</v>
      </c>
      <c r="P257" s="11" t="e">
        <f t="shared" si="59"/>
        <v>#DIV/0!</v>
      </c>
      <c r="R257" s="2"/>
      <c r="S257" s="12">
        <v>5</v>
      </c>
      <c r="Y257">
        <v>70</v>
      </c>
      <c r="AA257" s="11">
        <f t="shared" si="50"/>
        <v>0</v>
      </c>
      <c r="AC257" s="11">
        <f t="shared" si="57"/>
        <v>0</v>
      </c>
      <c r="AG257" s="12" t="e">
        <f t="shared" si="51"/>
        <v>#DIV/0!</v>
      </c>
      <c r="AH257" s="11" t="e">
        <f t="shared" si="52"/>
        <v>#DIV/0!</v>
      </c>
      <c r="AI257" s="11"/>
      <c r="AJ257" s="11">
        <f t="shared" si="53"/>
        <v>1</v>
      </c>
      <c r="AK257" s="11" t="e">
        <f t="shared" si="54"/>
        <v>#DIV/0!</v>
      </c>
      <c r="AL257" s="10">
        <f t="shared" si="62"/>
        <v>0</v>
      </c>
      <c r="AM257" s="14">
        <f t="shared" si="60"/>
        <v>0</v>
      </c>
      <c r="AO257" s="13">
        <f t="shared" si="61"/>
        <v>1</v>
      </c>
      <c r="AP257" s="13" t="e">
        <f t="shared" si="56"/>
        <v>#DIV/0!</v>
      </c>
      <c r="AQ257" s="11">
        <v>1</v>
      </c>
      <c r="AR257" s="11"/>
      <c r="AS257" s="11"/>
      <c r="AT257" s="11"/>
      <c r="AU257" s="11"/>
      <c r="AV257" s="13"/>
    </row>
    <row r="258" spans="7:48" ht="12.75" customHeight="1">
      <c r="G258" s="11" t="e">
        <f t="shared" si="58"/>
        <v>#DIV/0!</v>
      </c>
      <c r="P258" s="11" t="e">
        <f t="shared" si="59"/>
        <v>#DIV/0!</v>
      </c>
      <c r="R258" s="2"/>
      <c r="S258" s="12">
        <v>5</v>
      </c>
      <c r="Y258">
        <v>70</v>
      </c>
      <c r="AA258" s="11">
        <f t="shared" ref="AA258:AA321" si="63">IF(X258&lt;50,IF(Y258&gt;(2.3*X258),0,1),1)-IF(Z258&gt;Y258,1.7,0)</f>
        <v>0</v>
      </c>
      <c r="AC258" s="11">
        <f t="shared" si="57"/>
        <v>0</v>
      </c>
      <c r="AG258" s="12" t="e">
        <f t="shared" ref="AG258:AG321" si="64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65">AG258+IF(X258&lt;1.35,0,1)+IF(Y258&lt;1.35,0,1)+AC258+AA258</f>
        <v>#DIV/0!</v>
      </c>
      <c r="AI258" s="11"/>
      <c r="AJ258" s="11">
        <f t="shared" ref="AJ258:AJ321" si="66">IF(AI258&gt;12.7,IF(AI258&gt;15.8,0.93,0.98),1)</f>
        <v>1</v>
      </c>
      <c r="AK258" s="11" t="e">
        <f t="shared" ref="AK258:AK321" si="67">(1.5*AG258+AH258)*AJ258*AQ258</f>
        <v>#DIV/0!</v>
      </c>
      <c r="AL258" s="10">
        <f t="shared" si="62"/>
        <v>0</v>
      </c>
      <c r="AM258" s="14">
        <f t="shared" si="60"/>
        <v>0</v>
      </c>
      <c r="AO258" s="13">
        <f t="shared" ref="AO258:AO267" si="68">AN258+1</f>
        <v>1</v>
      </c>
      <c r="AP258" s="13" t="e">
        <f t="shared" ref="AP258:AP321" si="69">IF(AK258&gt;14.9,IF(Z258&lt;101,IF(Z258&lt;35,IF(Z258&lt;6,3,2),1),0),0)</f>
        <v>#DIV/0!</v>
      </c>
      <c r="AQ258" s="11">
        <v>1</v>
      </c>
      <c r="AR258" s="11"/>
      <c r="AS258" s="11"/>
      <c r="AT258" s="11"/>
      <c r="AU258" s="11"/>
      <c r="AV258" s="13"/>
    </row>
    <row r="259" spans="7:48" ht="12.75" customHeight="1">
      <c r="G259" s="11" t="e">
        <f t="shared" si="58"/>
        <v>#DIV/0!</v>
      </c>
      <c r="P259" s="11" t="e">
        <f t="shared" si="59"/>
        <v>#DIV/0!</v>
      </c>
      <c r="R259" s="2"/>
      <c r="S259" s="12">
        <v>5</v>
      </c>
      <c r="Y259">
        <v>70</v>
      </c>
      <c r="AA259" s="11">
        <f t="shared" si="63"/>
        <v>0</v>
      </c>
      <c r="AC259" s="11">
        <f t="shared" ref="AC259:AC322" si="70">IF(AB259&gt;4,1,0)+IF(AB259&gt;10,1,0)</f>
        <v>0</v>
      </c>
      <c r="AG259" s="12" t="e">
        <f t="shared" si="64"/>
        <v>#DIV/0!</v>
      </c>
      <c r="AH259" s="11" t="e">
        <f t="shared" si="65"/>
        <v>#DIV/0!</v>
      </c>
      <c r="AI259" s="11"/>
      <c r="AJ259" s="11">
        <f t="shared" si="66"/>
        <v>1</v>
      </c>
      <c r="AK259" s="11" t="e">
        <f t="shared" si="67"/>
        <v>#DIV/0!</v>
      </c>
      <c r="AL259" s="10">
        <f t="shared" si="62"/>
        <v>0</v>
      </c>
      <c r="AM259" s="14">
        <f t="shared" si="60"/>
        <v>0</v>
      </c>
      <c r="AO259" s="13">
        <f t="shared" si="68"/>
        <v>1</v>
      </c>
      <c r="AP259" s="13" t="e">
        <f t="shared" si="69"/>
        <v>#DIV/0!</v>
      </c>
      <c r="AQ259" s="11">
        <v>1</v>
      </c>
      <c r="AR259" s="11"/>
      <c r="AS259" s="11"/>
      <c r="AT259" s="11"/>
      <c r="AU259" s="11"/>
      <c r="AV259" s="13"/>
    </row>
    <row r="260" spans="7:48" ht="12.75" customHeight="1">
      <c r="G260" s="11" t="e">
        <f t="shared" si="58"/>
        <v>#DIV/0!</v>
      </c>
      <c r="P260" s="11" t="e">
        <f t="shared" si="59"/>
        <v>#DIV/0!</v>
      </c>
      <c r="R260" s="2"/>
      <c r="S260" s="12">
        <v>5</v>
      </c>
      <c r="Y260">
        <v>70</v>
      </c>
      <c r="AA260" s="11">
        <f t="shared" si="63"/>
        <v>0</v>
      </c>
      <c r="AC260" s="11">
        <f t="shared" si="70"/>
        <v>0</v>
      </c>
      <c r="AG260" s="12" t="e">
        <f t="shared" si="64"/>
        <v>#DIV/0!</v>
      </c>
      <c r="AH260" s="11" t="e">
        <f t="shared" si="65"/>
        <v>#DIV/0!</v>
      </c>
      <c r="AI260" s="11"/>
      <c r="AJ260" s="11">
        <f t="shared" si="66"/>
        <v>1</v>
      </c>
      <c r="AK260" s="11" t="e">
        <f t="shared" si="67"/>
        <v>#DIV/0!</v>
      </c>
      <c r="AL260" s="10">
        <f t="shared" si="62"/>
        <v>0</v>
      </c>
      <c r="AM260" s="14">
        <f t="shared" si="60"/>
        <v>0</v>
      </c>
      <c r="AO260" s="13">
        <f t="shared" si="68"/>
        <v>1</v>
      </c>
      <c r="AP260" s="13" t="e">
        <f t="shared" si="69"/>
        <v>#DIV/0!</v>
      </c>
      <c r="AQ260" s="11">
        <v>1</v>
      </c>
      <c r="AR260" s="11"/>
      <c r="AS260" s="11"/>
      <c r="AT260" s="11"/>
      <c r="AU260" s="11"/>
      <c r="AV260" s="13"/>
    </row>
    <row r="261" spans="7:48" ht="12.75" customHeight="1">
      <c r="G261" s="11" t="e">
        <f t="shared" si="58"/>
        <v>#DIV/0!</v>
      </c>
      <c r="P261" s="11" t="e">
        <f t="shared" si="59"/>
        <v>#DIV/0!</v>
      </c>
      <c r="R261" s="2"/>
      <c r="S261" s="12">
        <v>5</v>
      </c>
      <c r="Y261">
        <v>70</v>
      </c>
      <c r="AA261" s="11">
        <f t="shared" si="63"/>
        <v>0</v>
      </c>
      <c r="AC261" s="11">
        <f t="shared" si="70"/>
        <v>0</v>
      </c>
      <c r="AG261" s="12" t="e">
        <f t="shared" si="64"/>
        <v>#DIV/0!</v>
      </c>
      <c r="AH261" s="11" t="e">
        <f t="shared" si="65"/>
        <v>#DIV/0!</v>
      </c>
      <c r="AI261" s="11"/>
      <c r="AJ261" s="11">
        <f t="shared" si="66"/>
        <v>1</v>
      </c>
      <c r="AK261" s="11" t="e">
        <f t="shared" si="67"/>
        <v>#DIV/0!</v>
      </c>
      <c r="AL261" s="10">
        <f t="shared" si="62"/>
        <v>0</v>
      </c>
      <c r="AM261" s="14">
        <f t="shared" si="60"/>
        <v>0</v>
      </c>
      <c r="AO261" s="13">
        <f t="shared" si="68"/>
        <v>1</v>
      </c>
      <c r="AP261" s="13" t="e">
        <f t="shared" si="69"/>
        <v>#DIV/0!</v>
      </c>
      <c r="AQ261" s="11">
        <v>1</v>
      </c>
      <c r="AR261" s="11"/>
      <c r="AS261" s="11"/>
      <c r="AT261" s="11"/>
      <c r="AU261" s="11"/>
      <c r="AV261" s="13"/>
    </row>
    <row r="262" spans="7:48" ht="12.75" customHeight="1">
      <c r="G262" s="11" t="e">
        <f t="shared" si="58"/>
        <v>#DIV/0!</v>
      </c>
      <c r="P262" s="11" t="e">
        <f t="shared" si="59"/>
        <v>#DIV/0!</v>
      </c>
      <c r="R262" s="2"/>
      <c r="S262" s="12">
        <v>5</v>
      </c>
      <c r="Y262">
        <v>70</v>
      </c>
      <c r="AA262" s="11">
        <f t="shared" si="63"/>
        <v>0</v>
      </c>
      <c r="AC262" s="11">
        <f t="shared" si="70"/>
        <v>0</v>
      </c>
      <c r="AG262" s="12" t="e">
        <f t="shared" si="64"/>
        <v>#DIV/0!</v>
      </c>
      <c r="AH262" s="11" t="e">
        <f t="shared" si="65"/>
        <v>#DIV/0!</v>
      </c>
      <c r="AI262" s="11"/>
      <c r="AJ262" s="11">
        <f t="shared" si="66"/>
        <v>1</v>
      </c>
      <c r="AK262" s="11" t="e">
        <f t="shared" si="67"/>
        <v>#DIV/0!</v>
      </c>
      <c r="AL262" s="10">
        <f t="shared" si="62"/>
        <v>0</v>
      </c>
      <c r="AM262" s="14">
        <f t="shared" si="60"/>
        <v>0</v>
      </c>
      <c r="AO262" s="13">
        <f t="shared" si="68"/>
        <v>1</v>
      </c>
      <c r="AP262" s="13" t="e">
        <f t="shared" si="69"/>
        <v>#DIV/0!</v>
      </c>
      <c r="AQ262" s="11">
        <v>1</v>
      </c>
      <c r="AR262" s="11"/>
      <c r="AS262" s="11"/>
      <c r="AT262" s="11"/>
      <c r="AU262" s="11"/>
      <c r="AV262" s="13"/>
    </row>
    <row r="263" spans="7:48" ht="12.75" customHeight="1">
      <c r="G263" s="11" t="e">
        <f t="shared" si="58"/>
        <v>#DIV/0!</v>
      </c>
      <c r="P263" s="11" t="e">
        <f t="shared" si="59"/>
        <v>#DIV/0!</v>
      </c>
      <c r="R263" s="2"/>
      <c r="S263" s="12">
        <v>5</v>
      </c>
      <c r="Y263">
        <v>70</v>
      </c>
      <c r="AA263" s="11">
        <f t="shared" si="63"/>
        <v>0</v>
      </c>
      <c r="AC263" s="11">
        <f t="shared" si="70"/>
        <v>0</v>
      </c>
      <c r="AG263" s="12" t="e">
        <f t="shared" si="64"/>
        <v>#DIV/0!</v>
      </c>
      <c r="AH263" s="11" t="e">
        <f t="shared" si="65"/>
        <v>#DIV/0!</v>
      </c>
      <c r="AI263" s="11"/>
      <c r="AJ263" s="11">
        <f t="shared" si="66"/>
        <v>1</v>
      </c>
      <c r="AK263" s="11" t="e">
        <f t="shared" si="67"/>
        <v>#DIV/0!</v>
      </c>
      <c r="AL263" s="10">
        <f t="shared" si="62"/>
        <v>0</v>
      </c>
      <c r="AM263" s="14">
        <f t="shared" si="60"/>
        <v>0</v>
      </c>
      <c r="AO263" s="13">
        <f t="shared" si="68"/>
        <v>1</v>
      </c>
      <c r="AP263" s="13" t="e">
        <f t="shared" si="69"/>
        <v>#DIV/0!</v>
      </c>
      <c r="AQ263" s="11">
        <v>1</v>
      </c>
      <c r="AR263" s="11"/>
      <c r="AS263" s="11"/>
      <c r="AT263" s="11"/>
      <c r="AU263" s="11"/>
      <c r="AV263" s="13"/>
    </row>
    <row r="264" spans="7:48" ht="12.75" customHeight="1">
      <c r="G264" s="11" t="e">
        <f t="shared" si="58"/>
        <v>#DIV/0!</v>
      </c>
      <c r="P264" s="11" t="e">
        <f t="shared" si="59"/>
        <v>#DIV/0!</v>
      </c>
      <c r="R264" s="2"/>
      <c r="S264" s="12">
        <v>5</v>
      </c>
      <c r="Y264">
        <v>70</v>
      </c>
      <c r="AA264" s="11">
        <f t="shared" si="63"/>
        <v>0</v>
      </c>
      <c r="AC264" s="11">
        <f t="shared" si="70"/>
        <v>0</v>
      </c>
      <c r="AG264" s="12" t="e">
        <f t="shared" si="64"/>
        <v>#DIV/0!</v>
      </c>
      <c r="AH264" s="11" t="e">
        <f t="shared" si="65"/>
        <v>#DIV/0!</v>
      </c>
      <c r="AI264" s="11"/>
      <c r="AJ264" s="11">
        <f t="shared" si="66"/>
        <v>1</v>
      </c>
      <c r="AK264" s="11" t="e">
        <f t="shared" si="67"/>
        <v>#DIV/0!</v>
      </c>
      <c r="AL264" s="10">
        <f t="shared" si="62"/>
        <v>0</v>
      </c>
      <c r="AM264" s="14">
        <f t="shared" si="60"/>
        <v>0</v>
      </c>
      <c r="AO264" s="13">
        <f t="shared" si="68"/>
        <v>1</v>
      </c>
      <c r="AP264" s="13" t="e">
        <f t="shared" si="69"/>
        <v>#DIV/0!</v>
      </c>
      <c r="AQ264" s="11">
        <v>1</v>
      </c>
      <c r="AR264" s="11"/>
      <c r="AS264" s="11"/>
      <c r="AT264" s="11"/>
      <c r="AU264" s="11"/>
      <c r="AV264" s="13"/>
    </row>
    <row r="265" spans="7:48" ht="12.75" customHeight="1">
      <c r="G265" s="11" t="e">
        <f t="shared" si="58"/>
        <v>#DIV/0!</v>
      </c>
      <c r="P265" s="11" t="e">
        <f t="shared" si="59"/>
        <v>#DIV/0!</v>
      </c>
      <c r="R265" s="2"/>
      <c r="S265" s="12">
        <v>5</v>
      </c>
      <c r="Y265">
        <v>70</v>
      </c>
      <c r="AA265" s="11">
        <f t="shared" si="63"/>
        <v>0</v>
      </c>
      <c r="AC265" s="11">
        <f t="shared" si="70"/>
        <v>0</v>
      </c>
      <c r="AG265" s="12" t="e">
        <f t="shared" si="64"/>
        <v>#DIV/0!</v>
      </c>
      <c r="AH265" s="11" t="e">
        <f t="shared" si="65"/>
        <v>#DIV/0!</v>
      </c>
      <c r="AI265" s="11"/>
      <c r="AJ265" s="11">
        <f t="shared" si="66"/>
        <v>1</v>
      </c>
      <c r="AK265" s="11" t="e">
        <f t="shared" si="67"/>
        <v>#DIV/0!</v>
      </c>
      <c r="AL265" s="10">
        <f t="shared" si="62"/>
        <v>0</v>
      </c>
      <c r="AM265" s="14">
        <f t="shared" si="60"/>
        <v>0</v>
      </c>
      <c r="AO265" s="13">
        <f t="shared" si="68"/>
        <v>1</v>
      </c>
      <c r="AP265" s="13" t="e">
        <f t="shared" si="69"/>
        <v>#DIV/0!</v>
      </c>
      <c r="AQ265" s="11">
        <v>1</v>
      </c>
      <c r="AR265" s="11"/>
      <c r="AS265" s="11"/>
      <c r="AT265" s="11"/>
      <c r="AU265" s="11"/>
      <c r="AV265" s="13"/>
    </row>
    <row r="266" spans="7:48" ht="12.75" customHeight="1">
      <c r="G266" s="11" t="e">
        <f t="shared" si="58"/>
        <v>#DIV/0!</v>
      </c>
      <c r="P266" s="11" t="e">
        <f t="shared" si="59"/>
        <v>#DIV/0!</v>
      </c>
      <c r="R266" s="2"/>
      <c r="S266" s="12">
        <v>5</v>
      </c>
      <c r="Y266">
        <v>70</v>
      </c>
      <c r="AA266" s="11">
        <f t="shared" si="63"/>
        <v>0</v>
      </c>
      <c r="AC266" s="11">
        <f t="shared" si="70"/>
        <v>0</v>
      </c>
      <c r="AG266" s="12" t="e">
        <f t="shared" si="64"/>
        <v>#DIV/0!</v>
      </c>
      <c r="AH266" s="11" t="e">
        <f t="shared" si="65"/>
        <v>#DIV/0!</v>
      </c>
      <c r="AI266" s="11"/>
      <c r="AJ266" s="11">
        <f t="shared" si="66"/>
        <v>1</v>
      </c>
      <c r="AK266" s="11" t="e">
        <f t="shared" si="67"/>
        <v>#DIV/0!</v>
      </c>
      <c r="AL266" s="10">
        <f t="shared" si="62"/>
        <v>0</v>
      </c>
      <c r="AM266" s="14">
        <f t="shared" si="60"/>
        <v>0</v>
      </c>
      <c r="AO266" s="13">
        <f t="shared" si="68"/>
        <v>1</v>
      </c>
      <c r="AP266" s="13" t="e">
        <f t="shared" si="69"/>
        <v>#DIV/0!</v>
      </c>
      <c r="AQ266" s="11">
        <v>1</v>
      </c>
      <c r="AR266" s="11"/>
      <c r="AS266" s="11"/>
      <c r="AT266" s="11"/>
      <c r="AU266" s="11"/>
      <c r="AV266" s="13"/>
    </row>
    <row r="267" spans="7:48" ht="12.75" customHeight="1">
      <c r="G267" s="11" t="e">
        <f t="shared" si="58"/>
        <v>#DIV/0!</v>
      </c>
      <c r="P267" s="11" t="e">
        <f t="shared" si="59"/>
        <v>#DIV/0!</v>
      </c>
      <c r="R267" s="2"/>
      <c r="S267" s="12">
        <v>5</v>
      </c>
      <c r="Y267">
        <v>70</v>
      </c>
      <c r="AA267" s="11">
        <f t="shared" si="63"/>
        <v>0</v>
      </c>
      <c r="AC267" s="11">
        <f t="shared" si="70"/>
        <v>0</v>
      </c>
      <c r="AG267" s="12" t="e">
        <f t="shared" si="64"/>
        <v>#DIV/0!</v>
      </c>
      <c r="AH267" s="11" t="e">
        <f t="shared" si="65"/>
        <v>#DIV/0!</v>
      </c>
      <c r="AI267" s="11"/>
      <c r="AJ267" s="11">
        <f t="shared" si="66"/>
        <v>1</v>
      </c>
      <c r="AK267" s="11" t="e">
        <f t="shared" si="67"/>
        <v>#DIV/0!</v>
      </c>
      <c r="AL267" s="10">
        <f t="shared" si="62"/>
        <v>0</v>
      </c>
      <c r="AM267" s="14">
        <f t="shared" si="60"/>
        <v>0</v>
      </c>
      <c r="AO267" s="13">
        <f t="shared" si="68"/>
        <v>1</v>
      </c>
      <c r="AP267" s="13" t="e">
        <f t="shared" si="69"/>
        <v>#DIV/0!</v>
      </c>
      <c r="AQ267" s="11">
        <v>1</v>
      </c>
      <c r="AR267" s="11"/>
      <c r="AS267" s="11"/>
      <c r="AT267" s="11"/>
      <c r="AU267" s="11"/>
      <c r="AV267" s="13"/>
    </row>
    <row r="268" spans="7:48" ht="12.75" customHeight="1">
      <c r="G268" s="11" t="e">
        <f t="shared" si="58"/>
        <v>#DIV/0!</v>
      </c>
      <c r="P268" s="11" t="e">
        <f t="shared" si="59"/>
        <v>#DIV/0!</v>
      </c>
      <c r="R268" s="2"/>
      <c r="S268" s="12">
        <v>5</v>
      </c>
      <c r="Y268">
        <v>70</v>
      </c>
      <c r="AA268" s="11">
        <f t="shared" si="63"/>
        <v>0</v>
      </c>
      <c r="AC268" s="11">
        <f t="shared" si="70"/>
        <v>0</v>
      </c>
      <c r="AG268" s="12" t="e">
        <f t="shared" si="64"/>
        <v>#DIV/0!</v>
      </c>
      <c r="AH268" s="11" t="e">
        <f t="shared" si="65"/>
        <v>#DIV/0!</v>
      </c>
      <c r="AI268" s="11"/>
      <c r="AJ268" s="11">
        <f t="shared" si="66"/>
        <v>1</v>
      </c>
      <c r="AK268" s="11" t="e">
        <f t="shared" si="67"/>
        <v>#DIV/0!</v>
      </c>
      <c r="AL268" s="10">
        <f t="shared" si="62"/>
        <v>0</v>
      </c>
      <c r="AM268" s="14">
        <f t="shared" si="60"/>
        <v>0</v>
      </c>
      <c r="AP268" s="13" t="e">
        <f t="shared" si="69"/>
        <v>#DIV/0!</v>
      </c>
      <c r="AQ268" s="11">
        <v>1</v>
      </c>
      <c r="AR268" s="11"/>
      <c r="AS268" s="11"/>
      <c r="AT268" s="11"/>
      <c r="AU268" s="11"/>
      <c r="AV268" s="13"/>
    </row>
    <row r="269" spans="7:48" ht="12.75" customHeight="1">
      <c r="G269" s="11" t="e">
        <f t="shared" si="58"/>
        <v>#DIV/0!</v>
      </c>
      <c r="P269" s="11" t="e">
        <f t="shared" si="59"/>
        <v>#DIV/0!</v>
      </c>
      <c r="R269" s="2"/>
      <c r="S269" s="12">
        <v>5</v>
      </c>
      <c r="Y269">
        <v>70</v>
      </c>
      <c r="AA269" s="11">
        <f t="shared" si="63"/>
        <v>0</v>
      </c>
      <c r="AC269" s="11">
        <f t="shared" si="70"/>
        <v>0</v>
      </c>
      <c r="AG269" s="12" t="e">
        <f t="shared" si="64"/>
        <v>#DIV/0!</v>
      </c>
      <c r="AH269" s="11" t="e">
        <f t="shared" si="65"/>
        <v>#DIV/0!</v>
      </c>
      <c r="AI269" s="11"/>
      <c r="AJ269" s="11">
        <f t="shared" si="66"/>
        <v>1</v>
      </c>
      <c r="AK269" s="11" t="e">
        <f t="shared" si="67"/>
        <v>#DIV/0!</v>
      </c>
      <c r="AL269" s="10">
        <f t="shared" si="62"/>
        <v>0</v>
      </c>
      <c r="AM269" s="14">
        <f t="shared" si="60"/>
        <v>0</v>
      </c>
      <c r="AP269" s="13" t="e">
        <f t="shared" si="69"/>
        <v>#DIV/0!</v>
      </c>
      <c r="AQ269" s="11">
        <v>1</v>
      </c>
      <c r="AR269" s="11"/>
      <c r="AS269" s="11"/>
      <c r="AT269" s="11"/>
      <c r="AU269" s="11"/>
      <c r="AV269" s="13"/>
    </row>
    <row r="270" spans="7:48" ht="12.75" customHeight="1">
      <c r="G270" s="11" t="e">
        <f t="shared" si="58"/>
        <v>#DIV/0!</v>
      </c>
      <c r="P270" s="11" t="e">
        <f t="shared" si="59"/>
        <v>#DIV/0!</v>
      </c>
      <c r="R270" s="2"/>
      <c r="S270" s="12">
        <v>5</v>
      </c>
      <c r="Y270">
        <v>70</v>
      </c>
      <c r="AA270" s="11">
        <f t="shared" si="63"/>
        <v>0</v>
      </c>
      <c r="AC270" s="11">
        <f t="shared" si="70"/>
        <v>0</v>
      </c>
      <c r="AG270" s="12" t="e">
        <f t="shared" si="64"/>
        <v>#DIV/0!</v>
      </c>
      <c r="AH270" s="11" t="e">
        <f t="shared" si="65"/>
        <v>#DIV/0!</v>
      </c>
      <c r="AI270" s="11"/>
      <c r="AJ270" s="11">
        <f t="shared" si="66"/>
        <v>1</v>
      </c>
      <c r="AK270" s="11" t="e">
        <f t="shared" si="67"/>
        <v>#DIV/0!</v>
      </c>
      <c r="AL270" s="10">
        <f t="shared" si="62"/>
        <v>0</v>
      </c>
      <c r="AM270" s="14">
        <f t="shared" si="60"/>
        <v>0</v>
      </c>
      <c r="AP270" s="13" t="e">
        <f t="shared" si="69"/>
        <v>#DIV/0!</v>
      </c>
      <c r="AQ270" s="11">
        <v>1</v>
      </c>
      <c r="AR270" s="11"/>
      <c r="AS270" s="11"/>
      <c r="AT270" s="11"/>
      <c r="AU270" s="11"/>
      <c r="AV270" s="13"/>
    </row>
    <row r="271" spans="7:48" ht="12.75" customHeight="1">
      <c r="G271" s="11" t="e">
        <f t="shared" si="58"/>
        <v>#DIV/0!</v>
      </c>
      <c r="P271" s="11" t="e">
        <f t="shared" si="59"/>
        <v>#DIV/0!</v>
      </c>
      <c r="R271" s="2"/>
      <c r="S271" s="12">
        <v>5</v>
      </c>
      <c r="Y271">
        <v>70</v>
      </c>
      <c r="AA271" s="11">
        <f t="shared" si="63"/>
        <v>0</v>
      </c>
      <c r="AC271" s="11">
        <f t="shared" si="70"/>
        <v>0</v>
      </c>
      <c r="AG271" s="12" t="e">
        <f t="shared" si="64"/>
        <v>#DIV/0!</v>
      </c>
      <c r="AH271" s="11" t="e">
        <f t="shared" si="65"/>
        <v>#DIV/0!</v>
      </c>
      <c r="AI271" s="11"/>
      <c r="AJ271" s="11">
        <f t="shared" si="66"/>
        <v>1</v>
      </c>
      <c r="AK271" s="11" t="e">
        <f t="shared" si="67"/>
        <v>#DIV/0!</v>
      </c>
      <c r="AL271" s="10">
        <f t="shared" si="62"/>
        <v>0</v>
      </c>
      <c r="AM271" s="14">
        <f t="shared" si="60"/>
        <v>0</v>
      </c>
      <c r="AP271" s="13" t="e">
        <f t="shared" si="69"/>
        <v>#DIV/0!</v>
      </c>
      <c r="AQ271" s="11">
        <v>1</v>
      </c>
      <c r="AR271" s="11"/>
      <c r="AS271" s="11"/>
      <c r="AT271" s="11"/>
      <c r="AU271" s="11"/>
      <c r="AV271" s="13"/>
    </row>
    <row r="272" spans="7:48" ht="12.75" customHeight="1">
      <c r="G272" s="11" t="e">
        <f t="shared" si="58"/>
        <v>#DIV/0!</v>
      </c>
      <c r="P272" s="11" t="e">
        <f t="shared" si="59"/>
        <v>#DIV/0!</v>
      </c>
      <c r="R272" s="2"/>
      <c r="S272" s="12">
        <v>5</v>
      </c>
      <c r="Y272">
        <v>70</v>
      </c>
      <c r="AA272" s="11">
        <f t="shared" si="63"/>
        <v>0</v>
      </c>
      <c r="AC272" s="11">
        <f t="shared" si="70"/>
        <v>0</v>
      </c>
      <c r="AG272" s="12" t="e">
        <f t="shared" si="64"/>
        <v>#DIV/0!</v>
      </c>
      <c r="AH272" s="11" t="e">
        <f t="shared" si="65"/>
        <v>#DIV/0!</v>
      </c>
      <c r="AI272" s="11"/>
      <c r="AJ272" s="11">
        <f t="shared" si="66"/>
        <v>1</v>
      </c>
      <c r="AK272" s="11" t="e">
        <f t="shared" si="67"/>
        <v>#DIV/0!</v>
      </c>
      <c r="AL272" s="10">
        <f t="shared" si="62"/>
        <v>0</v>
      </c>
      <c r="AM272" s="14">
        <f t="shared" si="60"/>
        <v>0</v>
      </c>
      <c r="AP272" s="13" t="e">
        <f t="shared" si="69"/>
        <v>#DIV/0!</v>
      </c>
      <c r="AQ272" s="11">
        <v>1</v>
      </c>
      <c r="AR272" s="11"/>
      <c r="AS272" s="11"/>
      <c r="AT272" s="11"/>
      <c r="AU272" s="11"/>
      <c r="AV272" s="13"/>
    </row>
    <row r="273" spans="7:48" ht="12.75" customHeight="1">
      <c r="G273" s="11" t="e">
        <f t="shared" si="58"/>
        <v>#DIV/0!</v>
      </c>
      <c r="P273" s="11" t="e">
        <f t="shared" si="59"/>
        <v>#DIV/0!</v>
      </c>
      <c r="R273" s="2"/>
      <c r="S273" s="12">
        <v>5</v>
      </c>
      <c r="Y273">
        <v>70</v>
      </c>
      <c r="AA273" s="11">
        <f t="shared" si="63"/>
        <v>0</v>
      </c>
      <c r="AC273" s="11">
        <f t="shared" si="70"/>
        <v>0</v>
      </c>
      <c r="AG273" s="12" t="e">
        <f t="shared" si="64"/>
        <v>#DIV/0!</v>
      </c>
      <c r="AH273" s="11" t="e">
        <f t="shared" si="65"/>
        <v>#DIV/0!</v>
      </c>
      <c r="AI273" s="11"/>
      <c r="AJ273" s="11">
        <f t="shared" si="66"/>
        <v>1</v>
      </c>
      <c r="AK273" s="11" t="e">
        <f t="shared" si="67"/>
        <v>#DIV/0!</v>
      </c>
      <c r="AL273" s="10">
        <f t="shared" si="62"/>
        <v>0</v>
      </c>
      <c r="AM273" s="14">
        <f t="shared" si="60"/>
        <v>0</v>
      </c>
      <c r="AP273" s="13" t="e">
        <f t="shared" si="69"/>
        <v>#DIV/0!</v>
      </c>
      <c r="AQ273" s="11">
        <v>1</v>
      </c>
      <c r="AR273" s="11"/>
      <c r="AS273" s="11"/>
      <c r="AT273" s="11"/>
      <c r="AU273" s="11"/>
      <c r="AV273" s="13"/>
    </row>
    <row r="274" spans="7:48" ht="12.75" customHeight="1">
      <c r="G274" s="11" t="e">
        <f t="shared" si="58"/>
        <v>#DIV/0!</v>
      </c>
      <c r="P274" s="11" t="e">
        <f t="shared" si="59"/>
        <v>#DIV/0!</v>
      </c>
      <c r="R274" s="2"/>
      <c r="S274" s="12">
        <v>5</v>
      </c>
      <c r="Y274">
        <v>70</v>
      </c>
      <c r="AA274" s="11">
        <f t="shared" si="63"/>
        <v>0</v>
      </c>
      <c r="AC274" s="11">
        <f t="shared" si="70"/>
        <v>0</v>
      </c>
      <c r="AG274" s="12" t="e">
        <f t="shared" si="64"/>
        <v>#DIV/0!</v>
      </c>
      <c r="AH274" s="11" t="e">
        <f t="shared" si="65"/>
        <v>#DIV/0!</v>
      </c>
      <c r="AI274" s="11"/>
      <c r="AJ274" s="11">
        <f t="shared" si="66"/>
        <v>1</v>
      </c>
      <c r="AK274" s="11" t="e">
        <f t="shared" si="67"/>
        <v>#DIV/0!</v>
      </c>
      <c r="AL274" s="10">
        <f t="shared" si="62"/>
        <v>0</v>
      </c>
      <c r="AM274" s="14">
        <f t="shared" si="60"/>
        <v>0</v>
      </c>
      <c r="AP274" s="13" t="e">
        <f t="shared" si="69"/>
        <v>#DIV/0!</v>
      </c>
      <c r="AQ274" s="11">
        <v>1</v>
      </c>
      <c r="AR274" s="11"/>
      <c r="AS274" s="11"/>
      <c r="AT274" s="11"/>
      <c r="AU274" s="11"/>
      <c r="AV274" s="13"/>
    </row>
    <row r="275" spans="7:48" ht="12.75" customHeight="1">
      <c r="G275" s="11" t="e">
        <f t="shared" si="58"/>
        <v>#DIV/0!</v>
      </c>
      <c r="P275" s="11" t="e">
        <f t="shared" si="59"/>
        <v>#DIV/0!</v>
      </c>
      <c r="R275" s="2"/>
      <c r="S275" s="12">
        <v>5</v>
      </c>
      <c r="Y275">
        <v>70</v>
      </c>
      <c r="AA275" s="11">
        <f t="shared" si="63"/>
        <v>0</v>
      </c>
      <c r="AC275" s="11">
        <f t="shared" si="70"/>
        <v>0</v>
      </c>
      <c r="AG275" s="12" t="e">
        <f t="shared" si="64"/>
        <v>#DIV/0!</v>
      </c>
      <c r="AH275" s="11" t="e">
        <f t="shared" si="65"/>
        <v>#DIV/0!</v>
      </c>
      <c r="AI275" s="11"/>
      <c r="AJ275" s="11">
        <f t="shared" si="66"/>
        <v>1</v>
      </c>
      <c r="AK275" s="11" t="e">
        <f t="shared" si="67"/>
        <v>#DIV/0!</v>
      </c>
      <c r="AL275" s="10">
        <f t="shared" si="62"/>
        <v>0</v>
      </c>
      <c r="AM275" s="14">
        <f t="shared" si="60"/>
        <v>0</v>
      </c>
      <c r="AP275" s="13" t="e">
        <f t="shared" si="69"/>
        <v>#DIV/0!</v>
      </c>
      <c r="AQ275" s="11">
        <v>1</v>
      </c>
      <c r="AR275" s="11"/>
      <c r="AS275" s="11"/>
      <c r="AT275" s="11"/>
      <c r="AU275" s="11"/>
      <c r="AV275" s="13"/>
    </row>
    <row r="276" spans="7:48" ht="12.75" customHeight="1">
      <c r="G276" s="11" t="e">
        <f t="shared" si="58"/>
        <v>#DIV/0!</v>
      </c>
      <c r="P276" s="11" t="e">
        <f t="shared" si="59"/>
        <v>#DIV/0!</v>
      </c>
      <c r="R276" s="2"/>
      <c r="S276" s="12">
        <v>5</v>
      </c>
      <c r="Y276">
        <v>70</v>
      </c>
      <c r="AA276" s="11">
        <f t="shared" si="63"/>
        <v>0</v>
      </c>
      <c r="AC276" s="11">
        <f t="shared" si="70"/>
        <v>0</v>
      </c>
      <c r="AG276" s="12" t="e">
        <f t="shared" si="64"/>
        <v>#DIV/0!</v>
      </c>
      <c r="AH276" s="11" t="e">
        <f t="shared" si="65"/>
        <v>#DIV/0!</v>
      </c>
      <c r="AI276" s="11"/>
      <c r="AJ276" s="11">
        <f t="shared" si="66"/>
        <v>1</v>
      </c>
      <c r="AK276" s="11" t="e">
        <f t="shared" si="67"/>
        <v>#DIV/0!</v>
      </c>
      <c r="AL276" s="10">
        <f t="shared" si="62"/>
        <v>0</v>
      </c>
      <c r="AM276" s="14">
        <f t="shared" si="60"/>
        <v>0</v>
      </c>
      <c r="AP276" s="13" t="e">
        <f t="shared" si="69"/>
        <v>#DIV/0!</v>
      </c>
      <c r="AQ276" s="11">
        <v>1</v>
      </c>
      <c r="AR276" s="11"/>
      <c r="AS276" s="11"/>
      <c r="AT276" s="11"/>
      <c r="AU276" s="11"/>
      <c r="AV276" s="13"/>
    </row>
    <row r="277" spans="7:48" ht="12.75" customHeight="1">
      <c r="G277" s="11" t="e">
        <f t="shared" si="58"/>
        <v>#DIV/0!</v>
      </c>
      <c r="P277" s="11" t="e">
        <f t="shared" si="59"/>
        <v>#DIV/0!</v>
      </c>
      <c r="R277" s="2"/>
      <c r="S277" s="12">
        <v>5</v>
      </c>
      <c r="Y277">
        <v>70</v>
      </c>
      <c r="AA277" s="11">
        <f t="shared" si="63"/>
        <v>0</v>
      </c>
      <c r="AC277" s="11">
        <f t="shared" si="70"/>
        <v>0</v>
      </c>
      <c r="AG277" s="12" t="e">
        <f t="shared" si="64"/>
        <v>#DIV/0!</v>
      </c>
      <c r="AH277" s="11" t="e">
        <f t="shared" si="65"/>
        <v>#DIV/0!</v>
      </c>
      <c r="AI277" s="11"/>
      <c r="AJ277" s="11">
        <f t="shared" si="66"/>
        <v>1</v>
      </c>
      <c r="AK277" s="11" t="e">
        <f t="shared" si="67"/>
        <v>#DIV/0!</v>
      </c>
      <c r="AL277" s="10">
        <f t="shared" si="62"/>
        <v>0</v>
      </c>
      <c r="AM277" s="14">
        <f t="shared" si="60"/>
        <v>0</v>
      </c>
      <c r="AP277" s="13" t="e">
        <f t="shared" si="69"/>
        <v>#DIV/0!</v>
      </c>
      <c r="AQ277" s="11">
        <v>1</v>
      </c>
      <c r="AR277" s="11"/>
      <c r="AS277" s="11"/>
      <c r="AT277" s="11"/>
      <c r="AU277" s="11"/>
      <c r="AV277" s="13"/>
    </row>
    <row r="278" spans="7:48" ht="12.75" customHeight="1">
      <c r="G278" s="11" t="e">
        <f t="shared" si="58"/>
        <v>#DIV/0!</v>
      </c>
      <c r="P278" s="11" t="e">
        <f t="shared" si="59"/>
        <v>#DIV/0!</v>
      </c>
      <c r="R278" s="2"/>
      <c r="S278" s="12">
        <v>5</v>
      </c>
      <c r="Y278">
        <v>70</v>
      </c>
      <c r="AA278" s="11">
        <f t="shared" si="63"/>
        <v>0</v>
      </c>
      <c r="AC278" s="11">
        <f t="shared" si="70"/>
        <v>0</v>
      </c>
      <c r="AG278" s="12" t="e">
        <f t="shared" si="64"/>
        <v>#DIV/0!</v>
      </c>
      <c r="AH278" s="11" t="e">
        <f t="shared" si="65"/>
        <v>#DIV/0!</v>
      </c>
      <c r="AI278" s="11"/>
      <c r="AJ278" s="11">
        <f t="shared" si="66"/>
        <v>1</v>
      </c>
      <c r="AK278" s="11" t="e">
        <f t="shared" si="67"/>
        <v>#DIV/0!</v>
      </c>
      <c r="AL278" s="10">
        <f t="shared" si="62"/>
        <v>0</v>
      </c>
      <c r="AM278" s="14">
        <f t="shared" si="60"/>
        <v>0</v>
      </c>
      <c r="AP278" s="13" t="e">
        <f t="shared" si="69"/>
        <v>#DIV/0!</v>
      </c>
      <c r="AQ278" s="11">
        <v>1</v>
      </c>
      <c r="AR278" s="11"/>
      <c r="AS278" s="11"/>
      <c r="AT278" s="11"/>
      <c r="AU278" s="11"/>
      <c r="AV278" s="13"/>
    </row>
    <row r="279" spans="7:48" ht="12.75" customHeight="1">
      <c r="G279" s="11" t="e">
        <f t="shared" si="58"/>
        <v>#DIV/0!</v>
      </c>
      <c r="P279" s="11" t="e">
        <f t="shared" si="59"/>
        <v>#DIV/0!</v>
      </c>
      <c r="R279" s="2"/>
      <c r="S279" s="12">
        <v>5</v>
      </c>
      <c r="Y279">
        <v>70</v>
      </c>
      <c r="AA279" s="11">
        <f t="shared" si="63"/>
        <v>0</v>
      </c>
      <c r="AC279" s="11">
        <f t="shared" si="70"/>
        <v>0</v>
      </c>
      <c r="AG279" s="12" t="e">
        <f t="shared" si="64"/>
        <v>#DIV/0!</v>
      </c>
      <c r="AH279" s="11" t="e">
        <f t="shared" si="65"/>
        <v>#DIV/0!</v>
      </c>
      <c r="AI279" s="11"/>
      <c r="AJ279" s="11">
        <f t="shared" si="66"/>
        <v>1</v>
      </c>
      <c r="AK279" s="11" t="e">
        <f t="shared" si="67"/>
        <v>#DIV/0!</v>
      </c>
      <c r="AL279" s="10">
        <f t="shared" si="62"/>
        <v>0</v>
      </c>
      <c r="AM279" s="14">
        <f t="shared" si="60"/>
        <v>0</v>
      </c>
      <c r="AP279" s="13" t="e">
        <f t="shared" si="69"/>
        <v>#DIV/0!</v>
      </c>
      <c r="AQ279" s="11">
        <v>1</v>
      </c>
      <c r="AR279" s="11"/>
      <c r="AS279" s="11"/>
      <c r="AT279" s="11"/>
      <c r="AU279" s="11"/>
      <c r="AV279" s="13"/>
    </row>
    <row r="280" spans="7:48" ht="12.75" customHeight="1">
      <c r="G280" s="11" t="e">
        <f t="shared" si="58"/>
        <v>#DIV/0!</v>
      </c>
      <c r="P280" s="11" t="e">
        <f t="shared" si="59"/>
        <v>#DIV/0!</v>
      </c>
      <c r="R280" s="2"/>
      <c r="S280" s="12">
        <v>5</v>
      </c>
      <c r="Y280">
        <v>70</v>
      </c>
      <c r="AA280" s="11">
        <f t="shared" si="63"/>
        <v>0</v>
      </c>
      <c r="AC280" s="11">
        <f t="shared" si="70"/>
        <v>0</v>
      </c>
      <c r="AG280" s="12" t="e">
        <f t="shared" si="64"/>
        <v>#DIV/0!</v>
      </c>
      <c r="AH280" s="11" t="e">
        <f t="shared" si="65"/>
        <v>#DIV/0!</v>
      </c>
      <c r="AI280" s="11"/>
      <c r="AJ280" s="11">
        <f t="shared" si="66"/>
        <v>1</v>
      </c>
      <c r="AK280" s="11" t="e">
        <f t="shared" si="67"/>
        <v>#DIV/0!</v>
      </c>
      <c r="AL280" s="10">
        <f t="shared" si="62"/>
        <v>0</v>
      </c>
      <c r="AM280" s="14">
        <f t="shared" si="60"/>
        <v>0</v>
      </c>
      <c r="AP280" s="13" t="e">
        <f t="shared" si="69"/>
        <v>#DIV/0!</v>
      </c>
      <c r="AQ280" s="11">
        <v>1</v>
      </c>
      <c r="AR280" s="11"/>
      <c r="AS280" s="11"/>
      <c r="AT280" s="11"/>
      <c r="AU280" s="11"/>
      <c r="AV280" s="13"/>
    </row>
    <row r="281" spans="7:48" ht="12.75" customHeight="1">
      <c r="G281" s="11" t="e">
        <f t="shared" si="58"/>
        <v>#DIV/0!</v>
      </c>
      <c r="P281" s="11" t="e">
        <f t="shared" si="59"/>
        <v>#DIV/0!</v>
      </c>
      <c r="R281" s="2"/>
      <c r="S281" s="12">
        <v>5</v>
      </c>
      <c r="Y281">
        <v>70</v>
      </c>
      <c r="AA281" s="11">
        <f t="shared" si="63"/>
        <v>0</v>
      </c>
      <c r="AC281" s="11">
        <f t="shared" si="70"/>
        <v>0</v>
      </c>
      <c r="AG281" s="12" t="e">
        <f t="shared" si="64"/>
        <v>#DIV/0!</v>
      </c>
      <c r="AH281" s="11" t="e">
        <f t="shared" si="65"/>
        <v>#DIV/0!</v>
      </c>
      <c r="AI281" s="11"/>
      <c r="AJ281" s="11">
        <f t="shared" si="66"/>
        <v>1</v>
      </c>
      <c r="AK281" s="11" t="e">
        <f t="shared" si="67"/>
        <v>#DIV/0!</v>
      </c>
      <c r="AL281" s="10">
        <f t="shared" si="62"/>
        <v>0</v>
      </c>
      <c r="AM281" s="14">
        <f t="shared" si="60"/>
        <v>0</v>
      </c>
      <c r="AP281" s="13" t="e">
        <f t="shared" si="69"/>
        <v>#DIV/0!</v>
      </c>
      <c r="AQ281" s="11">
        <v>1</v>
      </c>
      <c r="AR281" s="11"/>
      <c r="AS281" s="11"/>
      <c r="AT281" s="11"/>
      <c r="AU281" s="11"/>
      <c r="AV281" s="13"/>
    </row>
    <row r="282" spans="7:48" ht="12.75" customHeight="1">
      <c r="G282" s="11" t="e">
        <f t="shared" si="58"/>
        <v>#DIV/0!</v>
      </c>
      <c r="P282" s="11" t="e">
        <f t="shared" si="59"/>
        <v>#DIV/0!</v>
      </c>
      <c r="R282" s="2"/>
      <c r="S282" s="12">
        <v>5</v>
      </c>
      <c r="Y282">
        <v>70</v>
      </c>
      <c r="AA282" s="11">
        <f t="shared" si="63"/>
        <v>0</v>
      </c>
      <c r="AC282" s="11">
        <f t="shared" si="70"/>
        <v>0</v>
      </c>
      <c r="AG282" s="12" t="e">
        <f t="shared" si="64"/>
        <v>#DIV/0!</v>
      </c>
      <c r="AH282" s="11" t="e">
        <f t="shared" si="65"/>
        <v>#DIV/0!</v>
      </c>
      <c r="AI282" s="11"/>
      <c r="AJ282" s="11">
        <f t="shared" si="66"/>
        <v>1</v>
      </c>
      <c r="AK282" s="11" t="e">
        <f t="shared" si="67"/>
        <v>#DIV/0!</v>
      </c>
      <c r="AL282" s="10">
        <f t="shared" si="62"/>
        <v>0</v>
      </c>
      <c r="AM282" s="14">
        <f t="shared" si="60"/>
        <v>0</v>
      </c>
      <c r="AP282" s="13" t="e">
        <f t="shared" si="69"/>
        <v>#DIV/0!</v>
      </c>
      <c r="AQ282" s="11">
        <v>1</v>
      </c>
      <c r="AR282" s="11"/>
      <c r="AS282" s="11"/>
      <c r="AT282" s="11"/>
      <c r="AU282" s="11"/>
      <c r="AV282" s="13"/>
    </row>
    <row r="283" spans="7:48" ht="12.75" customHeight="1">
      <c r="G283" s="11" t="e">
        <f t="shared" si="58"/>
        <v>#DIV/0!</v>
      </c>
      <c r="P283" s="11" t="e">
        <f t="shared" si="59"/>
        <v>#DIV/0!</v>
      </c>
      <c r="R283" s="2"/>
      <c r="S283" s="12">
        <v>5</v>
      </c>
      <c r="Y283">
        <v>70</v>
      </c>
      <c r="AA283" s="11">
        <f t="shared" si="63"/>
        <v>0</v>
      </c>
      <c r="AC283" s="11">
        <f t="shared" si="70"/>
        <v>0</v>
      </c>
      <c r="AG283" s="12" t="e">
        <f t="shared" si="64"/>
        <v>#DIV/0!</v>
      </c>
      <c r="AH283" s="11" t="e">
        <f t="shared" si="65"/>
        <v>#DIV/0!</v>
      </c>
      <c r="AI283" s="11"/>
      <c r="AJ283" s="11">
        <f t="shared" si="66"/>
        <v>1</v>
      </c>
      <c r="AK283" s="11" t="e">
        <f t="shared" si="67"/>
        <v>#DIV/0!</v>
      </c>
      <c r="AL283" s="10">
        <f t="shared" si="62"/>
        <v>0</v>
      </c>
      <c r="AM283" s="14">
        <f t="shared" si="60"/>
        <v>0</v>
      </c>
      <c r="AP283" s="13" t="e">
        <f t="shared" si="69"/>
        <v>#DIV/0!</v>
      </c>
      <c r="AQ283" s="11">
        <v>1</v>
      </c>
      <c r="AR283" s="11"/>
      <c r="AS283" s="11"/>
      <c r="AT283" s="11"/>
      <c r="AU283" s="11"/>
      <c r="AV283" s="13"/>
    </row>
    <row r="284" spans="7:48" ht="12.75" customHeight="1">
      <c r="G284" s="11" t="e">
        <f t="shared" si="58"/>
        <v>#DIV/0!</v>
      </c>
      <c r="P284" s="11" t="e">
        <f t="shared" si="59"/>
        <v>#DIV/0!</v>
      </c>
      <c r="R284" s="2"/>
      <c r="S284" s="12">
        <v>5</v>
      </c>
      <c r="Y284">
        <v>70</v>
      </c>
      <c r="AA284" s="11">
        <f t="shared" si="63"/>
        <v>0</v>
      </c>
      <c r="AC284" s="11">
        <f t="shared" si="70"/>
        <v>0</v>
      </c>
      <c r="AG284" s="12" t="e">
        <f t="shared" si="64"/>
        <v>#DIV/0!</v>
      </c>
      <c r="AH284" s="11" t="e">
        <f t="shared" si="65"/>
        <v>#DIV/0!</v>
      </c>
      <c r="AI284" s="11"/>
      <c r="AJ284" s="11">
        <f t="shared" si="66"/>
        <v>1</v>
      </c>
      <c r="AK284" s="11" t="e">
        <f t="shared" si="67"/>
        <v>#DIV/0!</v>
      </c>
      <c r="AL284" s="10">
        <f t="shared" si="62"/>
        <v>0</v>
      </c>
      <c r="AM284" s="14">
        <f t="shared" si="60"/>
        <v>0</v>
      </c>
      <c r="AP284" s="13" t="e">
        <f t="shared" si="69"/>
        <v>#DIV/0!</v>
      </c>
      <c r="AQ284" s="11">
        <v>1</v>
      </c>
      <c r="AR284" s="11"/>
      <c r="AS284" s="11"/>
      <c r="AT284" s="11"/>
      <c r="AU284" s="11"/>
      <c r="AV284" s="13"/>
    </row>
    <row r="285" spans="7:48" ht="12.75" customHeight="1">
      <c r="G285" s="11" t="e">
        <f t="shared" si="58"/>
        <v>#DIV/0!</v>
      </c>
      <c r="P285" s="11" t="e">
        <f t="shared" si="59"/>
        <v>#DIV/0!</v>
      </c>
      <c r="R285" s="2"/>
      <c r="S285" s="12">
        <v>5</v>
      </c>
      <c r="Y285">
        <v>70</v>
      </c>
      <c r="AA285" s="11">
        <f t="shared" si="63"/>
        <v>0</v>
      </c>
      <c r="AC285" s="11">
        <f t="shared" si="70"/>
        <v>0</v>
      </c>
      <c r="AG285" s="12" t="e">
        <f t="shared" si="64"/>
        <v>#DIV/0!</v>
      </c>
      <c r="AH285" s="11" t="e">
        <f t="shared" si="65"/>
        <v>#DIV/0!</v>
      </c>
      <c r="AI285" s="11"/>
      <c r="AJ285" s="11">
        <f t="shared" si="66"/>
        <v>1</v>
      </c>
      <c r="AK285" s="11" t="e">
        <f t="shared" si="67"/>
        <v>#DIV/0!</v>
      </c>
      <c r="AL285" s="10">
        <f t="shared" si="62"/>
        <v>0</v>
      </c>
      <c r="AM285" s="14">
        <f t="shared" si="60"/>
        <v>0</v>
      </c>
      <c r="AP285" s="13" t="e">
        <f t="shared" si="69"/>
        <v>#DIV/0!</v>
      </c>
      <c r="AQ285" s="11">
        <v>1</v>
      </c>
      <c r="AR285" s="11"/>
      <c r="AS285" s="11"/>
      <c r="AT285" s="11"/>
      <c r="AU285" s="11"/>
      <c r="AV285" s="13"/>
    </row>
    <row r="286" spans="7:48" ht="12.75" customHeight="1">
      <c r="G286" s="11" t="e">
        <f t="shared" si="58"/>
        <v>#DIV/0!</v>
      </c>
      <c r="P286" s="11" t="e">
        <f t="shared" si="59"/>
        <v>#DIV/0!</v>
      </c>
      <c r="R286" s="2"/>
      <c r="S286" s="12">
        <v>5</v>
      </c>
      <c r="Y286">
        <v>70</v>
      </c>
      <c r="AA286" s="11">
        <f t="shared" si="63"/>
        <v>0</v>
      </c>
      <c r="AC286" s="11">
        <f t="shared" si="70"/>
        <v>0</v>
      </c>
      <c r="AG286" s="12" t="e">
        <f t="shared" si="64"/>
        <v>#DIV/0!</v>
      </c>
      <c r="AH286" s="11" t="e">
        <f t="shared" si="65"/>
        <v>#DIV/0!</v>
      </c>
      <c r="AI286" s="11"/>
      <c r="AJ286" s="11">
        <f t="shared" si="66"/>
        <v>1</v>
      </c>
      <c r="AK286" s="11" t="e">
        <f t="shared" si="67"/>
        <v>#DIV/0!</v>
      </c>
      <c r="AL286" s="10">
        <f t="shared" si="62"/>
        <v>0</v>
      </c>
      <c r="AM286" s="14">
        <f t="shared" si="60"/>
        <v>0</v>
      </c>
      <c r="AP286" s="13" t="e">
        <f t="shared" si="69"/>
        <v>#DIV/0!</v>
      </c>
      <c r="AQ286" s="11">
        <v>1</v>
      </c>
      <c r="AR286" s="11"/>
      <c r="AS286" s="11"/>
      <c r="AT286" s="11"/>
      <c r="AU286" s="11"/>
      <c r="AV286" s="13"/>
    </row>
    <row r="287" spans="7:48" ht="12.75" customHeight="1">
      <c r="G287" s="11" t="e">
        <f t="shared" si="58"/>
        <v>#DIV/0!</v>
      </c>
      <c r="P287" s="11" t="e">
        <f t="shared" si="59"/>
        <v>#DIV/0!</v>
      </c>
      <c r="R287" s="2"/>
      <c r="S287" s="12">
        <v>5</v>
      </c>
      <c r="Y287">
        <v>70</v>
      </c>
      <c r="AA287" s="11">
        <f t="shared" si="63"/>
        <v>0</v>
      </c>
      <c r="AC287" s="11">
        <f t="shared" si="70"/>
        <v>0</v>
      </c>
      <c r="AG287" s="12" t="e">
        <f t="shared" si="64"/>
        <v>#DIV/0!</v>
      </c>
      <c r="AH287" s="11" t="e">
        <f t="shared" si="65"/>
        <v>#DIV/0!</v>
      </c>
      <c r="AI287" s="11"/>
      <c r="AJ287" s="11">
        <f t="shared" si="66"/>
        <v>1</v>
      </c>
      <c r="AK287" s="11" t="e">
        <f t="shared" si="67"/>
        <v>#DIV/0!</v>
      </c>
      <c r="AL287" s="10">
        <f t="shared" si="62"/>
        <v>0</v>
      </c>
      <c r="AM287" s="14">
        <f t="shared" si="60"/>
        <v>0</v>
      </c>
      <c r="AP287" s="13" t="e">
        <f t="shared" si="69"/>
        <v>#DIV/0!</v>
      </c>
      <c r="AQ287" s="11">
        <v>1</v>
      </c>
      <c r="AR287" s="11"/>
      <c r="AS287" s="11"/>
      <c r="AT287" s="11"/>
      <c r="AU287" s="11"/>
      <c r="AV287" s="13"/>
    </row>
    <row r="288" spans="7:48" ht="12.75" customHeight="1">
      <c r="G288" s="11" t="e">
        <f t="shared" si="58"/>
        <v>#DIV/0!</v>
      </c>
      <c r="P288" s="11" t="e">
        <f t="shared" si="59"/>
        <v>#DIV/0!</v>
      </c>
      <c r="R288" s="2"/>
      <c r="S288" s="12">
        <v>5</v>
      </c>
      <c r="Y288">
        <v>70</v>
      </c>
      <c r="AA288" s="11">
        <f t="shared" si="63"/>
        <v>0</v>
      </c>
      <c r="AC288" s="11">
        <f t="shared" si="70"/>
        <v>0</v>
      </c>
      <c r="AG288" s="12" t="e">
        <f t="shared" si="64"/>
        <v>#DIV/0!</v>
      </c>
      <c r="AH288" s="11" t="e">
        <f t="shared" si="65"/>
        <v>#DIV/0!</v>
      </c>
      <c r="AI288" s="11"/>
      <c r="AJ288" s="11">
        <f t="shared" si="66"/>
        <v>1</v>
      </c>
      <c r="AK288" s="11" t="e">
        <f t="shared" si="67"/>
        <v>#DIV/0!</v>
      </c>
      <c r="AL288" s="10">
        <f t="shared" si="62"/>
        <v>0</v>
      </c>
      <c r="AM288" s="14">
        <f t="shared" si="60"/>
        <v>0</v>
      </c>
      <c r="AP288" s="13" t="e">
        <f t="shared" si="69"/>
        <v>#DIV/0!</v>
      </c>
      <c r="AQ288" s="11">
        <v>1</v>
      </c>
      <c r="AR288" s="11"/>
      <c r="AS288" s="11"/>
      <c r="AT288" s="11"/>
      <c r="AU288" s="11"/>
      <c r="AV288" s="13"/>
    </row>
    <row r="289" spans="7:48" ht="12.75" customHeight="1">
      <c r="G289" s="11" t="e">
        <f t="shared" si="58"/>
        <v>#DIV/0!</v>
      </c>
      <c r="P289" s="11" t="e">
        <f t="shared" si="59"/>
        <v>#DIV/0!</v>
      </c>
      <c r="R289" s="2"/>
      <c r="S289" s="12">
        <v>5</v>
      </c>
      <c r="Y289">
        <v>70</v>
      </c>
      <c r="AA289" s="11">
        <f t="shared" si="63"/>
        <v>0</v>
      </c>
      <c r="AC289" s="11">
        <f t="shared" si="70"/>
        <v>0</v>
      </c>
      <c r="AG289" s="12" t="e">
        <f t="shared" si="64"/>
        <v>#DIV/0!</v>
      </c>
      <c r="AH289" s="11" t="e">
        <f t="shared" si="65"/>
        <v>#DIV/0!</v>
      </c>
      <c r="AI289" s="11"/>
      <c r="AJ289" s="11">
        <f t="shared" si="66"/>
        <v>1</v>
      </c>
      <c r="AK289" s="11" t="e">
        <f t="shared" si="67"/>
        <v>#DIV/0!</v>
      </c>
      <c r="AL289" s="10">
        <f t="shared" si="62"/>
        <v>0</v>
      </c>
      <c r="AM289" s="14">
        <f t="shared" si="60"/>
        <v>0</v>
      </c>
      <c r="AP289" s="13" t="e">
        <f t="shared" si="69"/>
        <v>#DIV/0!</v>
      </c>
      <c r="AQ289" s="11">
        <v>1</v>
      </c>
      <c r="AR289" s="11"/>
      <c r="AS289" s="11"/>
      <c r="AT289" s="11"/>
      <c r="AU289" s="11"/>
      <c r="AV289" s="13"/>
    </row>
    <row r="290" spans="7:48" ht="12.75" customHeight="1">
      <c r="G290" s="11" t="e">
        <f t="shared" ref="G290:G353" si="71">100*(F290-E290)/F290</f>
        <v>#DIV/0!</v>
      </c>
      <c r="P290" s="11" t="e">
        <f t="shared" ref="P290:P353" si="72">O290/I290</f>
        <v>#DIV/0!</v>
      </c>
      <c r="R290" s="2"/>
      <c r="S290" s="12">
        <v>5</v>
      </c>
      <c r="Y290">
        <v>70</v>
      </c>
      <c r="AA290" s="11">
        <f t="shared" si="63"/>
        <v>0</v>
      </c>
      <c r="AC290" s="11">
        <f t="shared" si="70"/>
        <v>0</v>
      </c>
      <c r="AG290" s="12" t="e">
        <f t="shared" si="64"/>
        <v>#DIV/0!</v>
      </c>
      <c r="AH290" s="11" t="e">
        <f t="shared" si="65"/>
        <v>#DIV/0!</v>
      </c>
      <c r="AI290" s="11"/>
      <c r="AJ290" s="11">
        <f t="shared" si="66"/>
        <v>1</v>
      </c>
      <c r="AK290" s="11" t="e">
        <f t="shared" si="67"/>
        <v>#DIV/0!</v>
      </c>
      <c r="AL290" s="10">
        <f t="shared" si="62"/>
        <v>0</v>
      </c>
      <c r="AM290" s="14">
        <f t="shared" ref="AM290:AM353" si="73">B290</f>
        <v>0</v>
      </c>
      <c r="AP290" s="13" t="e">
        <f t="shared" si="69"/>
        <v>#DIV/0!</v>
      </c>
      <c r="AQ290" s="11">
        <v>1</v>
      </c>
      <c r="AR290" s="11"/>
      <c r="AS290" s="11"/>
      <c r="AT290" s="11"/>
      <c r="AU290" s="11"/>
      <c r="AV290" s="13"/>
    </row>
    <row r="291" spans="7:48" ht="12.75" customHeight="1">
      <c r="G291" s="11" t="e">
        <f t="shared" si="71"/>
        <v>#DIV/0!</v>
      </c>
      <c r="P291" s="11" t="e">
        <f t="shared" si="72"/>
        <v>#DIV/0!</v>
      </c>
      <c r="R291" s="2"/>
      <c r="S291" s="12">
        <v>5</v>
      </c>
      <c r="Y291">
        <v>70</v>
      </c>
      <c r="AA291" s="11">
        <f t="shared" si="63"/>
        <v>0</v>
      </c>
      <c r="AC291" s="11">
        <f t="shared" si="70"/>
        <v>0</v>
      </c>
      <c r="AG291" s="12" t="e">
        <f t="shared" si="64"/>
        <v>#DIV/0!</v>
      </c>
      <c r="AH291" s="11" t="e">
        <f t="shared" si="65"/>
        <v>#DIV/0!</v>
      </c>
      <c r="AI291" s="11"/>
      <c r="AJ291" s="11">
        <f t="shared" si="66"/>
        <v>1</v>
      </c>
      <c r="AK291" s="11" t="e">
        <f t="shared" si="67"/>
        <v>#DIV/0!</v>
      </c>
      <c r="AL291" s="10">
        <f t="shared" si="62"/>
        <v>0</v>
      </c>
      <c r="AM291" s="14">
        <f t="shared" si="73"/>
        <v>0</v>
      </c>
      <c r="AP291" s="13" t="e">
        <f t="shared" si="69"/>
        <v>#DIV/0!</v>
      </c>
      <c r="AQ291" s="11">
        <v>1</v>
      </c>
      <c r="AR291" s="11"/>
      <c r="AS291" s="11"/>
      <c r="AT291" s="11"/>
      <c r="AU291" s="11"/>
      <c r="AV291" s="13"/>
    </row>
    <row r="292" spans="7:48" ht="12.75" customHeight="1">
      <c r="G292" s="11" t="e">
        <f t="shared" si="71"/>
        <v>#DIV/0!</v>
      </c>
      <c r="P292" s="11" t="e">
        <f t="shared" si="72"/>
        <v>#DIV/0!</v>
      </c>
      <c r="R292" s="2"/>
      <c r="S292" s="12">
        <v>5</v>
      </c>
      <c r="Y292">
        <v>70</v>
      </c>
      <c r="AA292" s="11">
        <f t="shared" si="63"/>
        <v>0</v>
      </c>
      <c r="AC292" s="11">
        <f t="shared" si="70"/>
        <v>0</v>
      </c>
      <c r="AG292" s="12" t="e">
        <f t="shared" si="64"/>
        <v>#DIV/0!</v>
      </c>
      <c r="AH292" s="11" t="e">
        <f t="shared" si="65"/>
        <v>#DIV/0!</v>
      </c>
      <c r="AI292" s="11"/>
      <c r="AJ292" s="11">
        <f t="shared" si="66"/>
        <v>1</v>
      </c>
      <c r="AK292" s="11" t="e">
        <f t="shared" si="67"/>
        <v>#DIV/0!</v>
      </c>
      <c r="AL292" s="10">
        <f t="shared" si="62"/>
        <v>0</v>
      </c>
      <c r="AM292" s="14">
        <f t="shared" si="73"/>
        <v>0</v>
      </c>
      <c r="AP292" s="13" t="e">
        <f t="shared" si="69"/>
        <v>#DIV/0!</v>
      </c>
      <c r="AQ292" s="11">
        <v>1</v>
      </c>
      <c r="AR292" s="11"/>
      <c r="AS292" s="11"/>
      <c r="AT292" s="11"/>
      <c r="AU292" s="11"/>
      <c r="AV292" s="13"/>
    </row>
    <row r="293" spans="7:48" ht="12.75" customHeight="1">
      <c r="G293" s="11" t="e">
        <f t="shared" si="71"/>
        <v>#DIV/0!</v>
      </c>
      <c r="P293" s="11" t="e">
        <f t="shared" si="72"/>
        <v>#DIV/0!</v>
      </c>
      <c r="R293" s="2"/>
      <c r="S293" s="12">
        <v>5</v>
      </c>
      <c r="Y293">
        <v>70</v>
      </c>
      <c r="AA293" s="11">
        <f t="shared" si="63"/>
        <v>0</v>
      </c>
      <c r="AC293" s="11">
        <f t="shared" si="70"/>
        <v>0</v>
      </c>
      <c r="AG293" s="12" t="e">
        <f t="shared" si="64"/>
        <v>#DIV/0!</v>
      </c>
      <c r="AH293" s="11" t="e">
        <f t="shared" si="65"/>
        <v>#DIV/0!</v>
      </c>
      <c r="AI293" s="11"/>
      <c r="AJ293" s="11">
        <f t="shared" si="66"/>
        <v>1</v>
      </c>
      <c r="AK293" s="11" t="e">
        <f t="shared" si="67"/>
        <v>#DIV/0!</v>
      </c>
      <c r="AL293" s="10">
        <f t="shared" si="62"/>
        <v>0</v>
      </c>
      <c r="AM293" s="14">
        <f t="shared" si="73"/>
        <v>0</v>
      </c>
      <c r="AP293" s="13" t="e">
        <f t="shared" si="69"/>
        <v>#DIV/0!</v>
      </c>
      <c r="AQ293" s="11">
        <v>1</v>
      </c>
      <c r="AR293" s="11"/>
      <c r="AS293" s="11"/>
      <c r="AT293" s="11"/>
      <c r="AU293" s="11"/>
      <c r="AV293" s="13"/>
    </row>
    <row r="294" spans="7:48" ht="12.75" customHeight="1">
      <c r="G294" s="11" t="e">
        <f t="shared" si="71"/>
        <v>#DIV/0!</v>
      </c>
      <c r="P294" s="11" t="e">
        <f t="shared" si="72"/>
        <v>#DIV/0!</v>
      </c>
      <c r="R294" s="2"/>
      <c r="S294" s="12">
        <v>5</v>
      </c>
      <c r="Y294">
        <v>70</v>
      </c>
      <c r="AA294" s="11">
        <f t="shared" si="63"/>
        <v>0</v>
      </c>
      <c r="AC294" s="11">
        <f t="shared" si="70"/>
        <v>0</v>
      </c>
      <c r="AG294" s="12" t="e">
        <f t="shared" si="64"/>
        <v>#DIV/0!</v>
      </c>
      <c r="AH294" s="11" t="e">
        <f t="shared" si="65"/>
        <v>#DIV/0!</v>
      </c>
      <c r="AI294" s="11"/>
      <c r="AJ294" s="11">
        <f t="shared" si="66"/>
        <v>1</v>
      </c>
      <c r="AK294" s="11" t="e">
        <f t="shared" si="67"/>
        <v>#DIV/0!</v>
      </c>
      <c r="AL294" s="10">
        <f t="shared" si="62"/>
        <v>0</v>
      </c>
      <c r="AM294" s="14">
        <f t="shared" si="73"/>
        <v>0</v>
      </c>
      <c r="AP294" s="13" t="e">
        <f t="shared" si="69"/>
        <v>#DIV/0!</v>
      </c>
      <c r="AQ294" s="11">
        <v>1</v>
      </c>
      <c r="AR294" s="11"/>
      <c r="AS294" s="11"/>
      <c r="AT294" s="11"/>
      <c r="AU294" s="11"/>
      <c r="AV294" s="13"/>
    </row>
    <row r="295" spans="7:48" ht="12.75" customHeight="1">
      <c r="G295" s="11" t="e">
        <f t="shared" si="71"/>
        <v>#DIV/0!</v>
      </c>
      <c r="P295" s="11" t="e">
        <f t="shared" si="72"/>
        <v>#DIV/0!</v>
      </c>
      <c r="R295" s="2"/>
      <c r="S295" s="12">
        <v>5</v>
      </c>
      <c r="Y295">
        <v>70</v>
      </c>
      <c r="AA295" s="11">
        <f t="shared" si="63"/>
        <v>0</v>
      </c>
      <c r="AC295" s="11">
        <f t="shared" si="70"/>
        <v>0</v>
      </c>
      <c r="AG295" s="12" t="e">
        <f t="shared" si="64"/>
        <v>#DIV/0!</v>
      </c>
      <c r="AH295" s="11" t="e">
        <f t="shared" si="65"/>
        <v>#DIV/0!</v>
      </c>
      <c r="AI295" s="11"/>
      <c r="AJ295" s="11">
        <f t="shared" si="66"/>
        <v>1</v>
      </c>
      <c r="AK295" s="11" t="e">
        <f t="shared" si="67"/>
        <v>#DIV/0!</v>
      </c>
      <c r="AL295" s="10">
        <f t="shared" si="62"/>
        <v>0</v>
      </c>
      <c r="AM295" s="14">
        <f t="shared" si="73"/>
        <v>0</v>
      </c>
      <c r="AP295" s="13" t="e">
        <f t="shared" si="69"/>
        <v>#DIV/0!</v>
      </c>
      <c r="AQ295" s="11">
        <v>1</v>
      </c>
      <c r="AR295" s="11"/>
      <c r="AS295" s="11"/>
      <c r="AT295" s="11"/>
      <c r="AU295" s="11"/>
      <c r="AV295" s="13"/>
    </row>
    <row r="296" spans="7:48" ht="12.75" customHeight="1">
      <c r="G296" s="11" t="e">
        <f t="shared" si="71"/>
        <v>#DIV/0!</v>
      </c>
      <c r="P296" s="11" t="e">
        <f t="shared" si="72"/>
        <v>#DIV/0!</v>
      </c>
      <c r="R296" s="2"/>
      <c r="S296" s="12">
        <v>5</v>
      </c>
      <c r="Y296">
        <v>70</v>
      </c>
      <c r="AA296" s="11">
        <f t="shared" si="63"/>
        <v>0</v>
      </c>
      <c r="AC296" s="11">
        <f t="shared" si="70"/>
        <v>0</v>
      </c>
      <c r="AG296" s="12" t="e">
        <f t="shared" si="64"/>
        <v>#DIV/0!</v>
      </c>
      <c r="AH296" s="11" t="e">
        <f t="shared" si="65"/>
        <v>#DIV/0!</v>
      </c>
      <c r="AI296" s="11"/>
      <c r="AJ296" s="11">
        <f t="shared" si="66"/>
        <v>1</v>
      </c>
      <c r="AK296" s="11" t="e">
        <f t="shared" si="67"/>
        <v>#DIV/0!</v>
      </c>
      <c r="AL296" s="10">
        <f t="shared" si="62"/>
        <v>0</v>
      </c>
      <c r="AM296" s="14">
        <f t="shared" si="73"/>
        <v>0</v>
      </c>
      <c r="AP296" s="13" t="e">
        <f t="shared" si="69"/>
        <v>#DIV/0!</v>
      </c>
      <c r="AQ296" s="11">
        <v>1</v>
      </c>
      <c r="AR296" s="11"/>
      <c r="AS296" s="11"/>
      <c r="AT296" s="11"/>
      <c r="AU296" s="11"/>
      <c r="AV296" s="13"/>
    </row>
    <row r="297" spans="7:48" ht="12.75" customHeight="1">
      <c r="G297" s="11" t="e">
        <f t="shared" si="71"/>
        <v>#DIV/0!</v>
      </c>
      <c r="P297" s="11" t="e">
        <f t="shared" si="72"/>
        <v>#DIV/0!</v>
      </c>
      <c r="R297" s="2"/>
      <c r="S297" s="12">
        <v>5</v>
      </c>
      <c r="Y297">
        <v>70</v>
      </c>
      <c r="AA297" s="11">
        <f t="shared" si="63"/>
        <v>0</v>
      </c>
      <c r="AC297" s="11">
        <f t="shared" si="70"/>
        <v>0</v>
      </c>
      <c r="AG297" s="12" t="e">
        <f t="shared" si="64"/>
        <v>#DIV/0!</v>
      </c>
      <c r="AH297" s="11" t="e">
        <f t="shared" si="65"/>
        <v>#DIV/0!</v>
      </c>
      <c r="AI297" s="11"/>
      <c r="AJ297" s="11">
        <f t="shared" si="66"/>
        <v>1</v>
      </c>
      <c r="AK297" s="11" t="e">
        <f t="shared" si="67"/>
        <v>#DIV/0!</v>
      </c>
      <c r="AL297" s="10">
        <f t="shared" si="62"/>
        <v>0</v>
      </c>
      <c r="AM297" s="14">
        <f t="shared" si="73"/>
        <v>0</v>
      </c>
      <c r="AP297" s="13" t="e">
        <f t="shared" si="69"/>
        <v>#DIV/0!</v>
      </c>
      <c r="AQ297" s="11">
        <v>1</v>
      </c>
      <c r="AR297" s="11"/>
      <c r="AS297" s="11"/>
      <c r="AT297" s="11"/>
      <c r="AU297" s="11"/>
      <c r="AV297" s="13"/>
    </row>
    <row r="298" spans="7:48" ht="12.75" customHeight="1">
      <c r="G298" s="11" t="e">
        <f t="shared" si="71"/>
        <v>#DIV/0!</v>
      </c>
      <c r="P298" s="11" t="e">
        <f t="shared" si="72"/>
        <v>#DIV/0!</v>
      </c>
      <c r="R298" s="2"/>
      <c r="S298" s="12">
        <v>5</v>
      </c>
      <c r="Y298">
        <v>70</v>
      </c>
      <c r="AA298" s="11">
        <f t="shared" si="63"/>
        <v>0</v>
      </c>
      <c r="AC298" s="11">
        <f t="shared" si="70"/>
        <v>0</v>
      </c>
      <c r="AG298" s="12" t="e">
        <f t="shared" si="64"/>
        <v>#DIV/0!</v>
      </c>
      <c r="AH298" s="11" t="e">
        <f t="shared" si="65"/>
        <v>#DIV/0!</v>
      </c>
      <c r="AI298" s="11"/>
      <c r="AJ298" s="11">
        <f t="shared" si="66"/>
        <v>1</v>
      </c>
      <c r="AK298" s="11" t="e">
        <f t="shared" si="67"/>
        <v>#DIV/0!</v>
      </c>
      <c r="AL298" s="10">
        <f t="shared" si="62"/>
        <v>0</v>
      </c>
      <c r="AM298" s="14">
        <f t="shared" si="73"/>
        <v>0</v>
      </c>
      <c r="AP298" s="13" t="e">
        <f t="shared" si="69"/>
        <v>#DIV/0!</v>
      </c>
      <c r="AQ298" s="11">
        <v>1</v>
      </c>
      <c r="AR298" s="11"/>
      <c r="AS298" s="11"/>
      <c r="AT298" s="11"/>
      <c r="AU298" s="11"/>
      <c r="AV298" s="13"/>
    </row>
    <row r="299" spans="7:48" ht="12.75" customHeight="1">
      <c r="G299" s="11" t="e">
        <f t="shared" si="71"/>
        <v>#DIV/0!</v>
      </c>
      <c r="P299" s="11" t="e">
        <f t="shared" si="72"/>
        <v>#DIV/0!</v>
      </c>
      <c r="R299" s="2"/>
      <c r="S299" s="12">
        <v>5</v>
      </c>
      <c r="Y299">
        <v>70</v>
      </c>
      <c r="AA299" s="11">
        <f t="shared" si="63"/>
        <v>0</v>
      </c>
      <c r="AC299" s="11">
        <f t="shared" si="70"/>
        <v>0</v>
      </c>
      <c r="AG299" s="12" t="e">
        <f t="shared" si="64"/>
        <v>#DIV/0!</v>
      </c>
      <c r="AH299" s="11" t="e">
        <f t="shared" si="65"/>
        <v>#DIV/0!</v>
      </c>
      <c r="AI299" s="11"/>
      <c r="AJ299" s="11">
        <f t="shared" si="66"/>
        <v>1</v>
      </c>
      <c r="AK299" s="11" t="e">
        <f t="shared" si="67"/>
        <v>#DIV/0!</v>
      </c>
      <c r="AL299" s="10">
        <f t="shared" si="62"/>
        <v>0</v>
      </c>
      <c r="AM299" s="14">
        <f t="shared" si="73"/>
        <v>0</v>
      </c>
      <c r="AP299" s="13" t="e">
        <f t="shared" si="69"/>
        <v>#DIV/0!</v>
      </c>
      <c r="AQ299" s="11">
        <v>1</v>
      </c>
      <c r="AR299" s="11"/>
      <c r="AS299" s="11"/>
      <c r="AT299" s="11"/>
      <c r="AU299" s="11"/>
      <c r="AV299" s="13"/>
    </row>
    <row r="300" spans="7:48" ht="12.75" customHeight="1">
      <c r="G300" s="11" t="e">
        <f t="shared" si="71"/>
        <v>#DIV/0!</v>
      </c>
      <c r="P300" s="11" t="e">
        <f t="shared" si="72"/>
        <v>#DIV/0!</v>
      </c>
      <c r="R300" s="2"/>
      <c r="S300" s="12">
        <v>5</v>
      </c>
      <c r="Y300">
        <v>70</v>
      </c>
      <c r="AA300" s="11">
        <f t="shared" si="63"/>
        <v>0</v>
      </c>
      <c r="AC300" s="11">
        <f t="shared" si="70"/>
        <v>0</v>
      </c>
      <c r="AG300" s="12" t="e">
        <f t="shared" si="64"/>
        <v>#DIV/0!</v>
      </c>
      <c r="AH300" s="11" t="e">
        <f t="shared" si="65"/>
        <v>#DIV/0!</v>
      </c>
      <c r="AI300" s="11"/>
      <c r="AJ300" s="11">
        <f t="shared" si="66"/>
        <v>1</v>
      </c>
      <c r="AK300" s="11" t="e">
        <f t="shared" si="67"/>
        <v>#DIV/0!</v>
      </c>
      <c r="AL300" s="10">
        <f t="shared" si="62"/>
        <v>0</v>
      </c>
      <c r="AM300" s="14">
        <f t="shared" si="73"/>
        <v>0</v>
      </c>
      <c r="AP300" s="13" t="e">
        <f t="shared" si="69"/>
        <v>#DIV/0!</v>
      </c>
      <c r="AQ300" s="11">
        <v>1</v>
      </c>
      <c r="AR300" s="11"/>
      <c r="AS300" s="11"/>
      <c r="AT300" s="11"/>
      <c r="AU300" s="11"/>
      <c r="AV300" s="13"/>
    </row>
    <row r="301" spans="7:48" ht="12.75" customHeight="1">
      <c r="G301" s="11" t="e">
        <f t="shared" si="71"/>
        <v>#DIV/0!</v>
      </c>
      <c r="P301" s="11" t="e">
        <f t="shared" si="72"/>
        <v>#DIV/0!</v>
      </c>
      <c r="R301" s="2"/>
      <c r="S301" s="12">
        <v>5</v>
      </c>
      <c r="Y301">
        <v>70</v>
      </c>
      <c r="AA301" s="11">
        <f t="shared" si="63"/>
        <v>0</v>
      </c>
      <c r="AC301" s="11">
        <f t="shared" si="70"/>
        <v>0</v>
      </c>
      <c r="AG301" s="12" t="e">
        <f t="shared" si="64"/>
        <v>#DIV/0!</v>
      </c>
      <c r="AH301" s="11" t="e">
        <f t="shared" si="65"/>
        <v>#DIV/0!</v>
      </c>
      <c r="AI301" s="11"/>
      <c r="AJ301" s="11">
        <f t="shared" si="66"/>
        <v>1</v>
      </c>
      <c r="AK301" s="11" t="e">
        <f t="shared" si="67"/>
        <v>#DIV/0!</v>
      </c>
      <c r="AL301" s="10">
        <f t="shared" si="62"/>
        <v>0</v>
      </c>
      <c r="AM301" s="14">
        <f t="shared" si="73"/>
        <v>0</v>
      </c>
      <c r="AP301" s="13" t="e">
        <f t="shared" si="69"/>
        <v>#DIV/0!</v>
      </c>
      <c r="AQ301" s="11">
        <v>1</v>
      </c>
      <c r="AR301" s="11"/>
      <c r="AS301" s="11"/>
      <c r="AT301" s="11"/>
      <c r="AU301" s="11"/>
      <c r="AV301" s="13"/>
    </row>
    <row r="302" spans="7:48" ht="12.75" customHeight="1">
      <c r="G302" s="11" t="e">
        <f t="shared" si="71"/>
        <v>#DIV/0!</v>
      </c>
      <c r="P302" s="11" t="e">
        <f t="shared" si="72"/>
        <v>#DIV/0!</v>
      </c>
      <c r="R302" s="2"/>
      <c r="S302" s="12">
        <v>5</v>
      </c>
      <c r="Y302">
        <v>70</v>
      </c>
      <c r="AA302" s="11">
        <f t="shared" si="63"/>
        <v>0</v>
      </c>
      <c r="AC302" s="11">
        <f t="shared" si="70"/>
        <v>0</v>
      </c>
      <c r="AG302" s="12" t="e">
        <f t="shared" si="64"/>
        <v>#DIV/0!</v>
      </c>
      <c r="AH302" s="11" t="e">
        <f t="shared" si="65"/>
        <v>#DIV/0!</v>
      </c>
      <c r="AI302" s="11"/>
      <c r="AJ302" s="11">
        <f t="shared" si="66"/>
        <v>1</v>
      </c>
      <c r="AK302" s="11" t="e">
        <f t="shared" si="67"/>
        <v>#DIV/0!</v>
      </c>
      <c r="AL302" s="10">
        <f t="shared" si="62"/>
        <v>0</v>
      </c>
      <c r="AM302" s="14">
        <f t="shared" si="73"/>
        <v>0</v>
      </c>
      <c r="AP302" s="13" t="e">
        <f t="shared" si="69"/>
        <v>#DIV/0!</v>
      </c>
      <c r="AQ302" s="11">
        <v>1</v>
      </c>
      <c r="AR302" s="11"/>
      <c r="AS302" s="11"/>
      <c r="AT302" s="11"/>
      <c r="AU302" s="11"/>
      <c r="AV302" s="13"/>
    </row>
    <row r="303" spans="7:48" ht="12.75" customHeight="1">
      <c r="G303" s="11" t="e">
        <f t="shared" si="71"/>
        <v>#DIV/0!</v>
      </c>
      <c r="P303" s="11" t="e">
        <f t="shared" si="72"/>
        <v>#DIV/0!</v>
      </c>
      <c r="R303" s="2"/>
      <c r="S303" s="12">
        <v>5</v>
      </c>
      <c r="Y303">
        <v>70</v>
      </c>
      <c r="AA303" s="11">
        <f t="shared" si="63"/>
        <v>0</v>
      </c>
      <c r="AC303" s="11">
        <f t="shared" si="70"/>
        <v>0</v>
      </c>
      <c r="AG303" s="12" t="e">
        <f t="shared" si="64"/>
        <v>#DIV/0!</v>
      </c>
      <c r="AH303" s="11" t="e">
        <f t="shared" si="65"/>
        <v>#DIV/0!</v>
      </c>
      <c r="AI303" s="11"/>
      <c r="AJ303" s="11">
        <f t="shared" si="66"/>
        <v>1</v>
      </c>
      <c r="AK303" s="11" t="e">
        <f t="shared" si="67"/>
        <v>#DIV/0!</v>
      </c>
      <c r="AL303" s="10">
        <f t="shared" si="62"/>
        <v>0</v>
      </c>
      <c r="AM303" s="14">
        <f t="shared" si="73"/>
        <v>0</v>
      </c>
      <c r="AP303" s="13" t="e">
        <f t="shared" si="69"/>
        <v>#DIV/0!</v>
      </c>
      <c r="AQ303" s="11">
        <v>1</v>
      </c>
      <c r="AR303" s="11"/>
      <c r="AS303" s="11"/>
      <c r="AT303" s="11"/>
      <c r="AU303" s="11"/>
      <c r="AV303" s="13"/>
    </row>
    <row r="304" spans="7:48" ht="12.75" customHeight="1">
      <c r="G304" s="11" t="e">
        <f t="shared" si="71"/>
        <v>#DIV/0!</v>
      </c>
      <c r="P304" s="11" t="e">
        <f t="shared" si="72"/>
        <v>#DIV/0!</v>
      </c>
      <c r="R304" s="2"/>
      <c r="S304" s="12">
        <v>5</v>
      </c>
      <c r="Y304">
        <v>70</v>
      </c>
      <c r="AA304" s="11">
        <f t="shared" si="63"/>
        <v>0</v>
      </c>
      <c r="AC304" s="11">
        <f t="shared" si="70"/>
        <v>0</v>
      </c>
      <c r="AG304" s="12" t="e">
        <f t="shared" si="64"/>
        <v>#DIV/0!</v>
      </c>
      <c r="AH304" s="11" t="e">
        <f t="shared" si="65"/>
        <v>#DIV/0!</v>
      </c>
      <c r="AI304" s="11"/>
      <c r="AJ304" s="11">
        <f t="shared" si="66"/>
        <v>1</v>
      </c>
      <c r="AK304" s="11" t="e">
        <f t="shared" si="67"/>
        <v>#DIV/0!</v>
      </c>
      <c r="AL304" s="10">
        <f t="shared" si="62"/>
        <v>0</v>
      </c>
      <c r="AM304" s="14">
        <f t="shared" si="73"/>
        <v>0</v>
      </c>
      <c r="AP304" s="13" t="e">
        <f t="shared" si="69"/>
        <v>#DIV/0!</v>
      </c>
      <c r="AQ304" s="11">
        <v>1</v>
      </c>
      <c r="AR304" s="11"/>
      <c r="AS304" s="11"/>
      <c r="AT304" s="11"/>
      <c r="AU304" s="11"/>
      <c r="AV304" s="13"/>
    </row>
    <row r="305" spans="7:48" ht="12.75" customHeight="1">
      <c r="G305" s="11" t="e">
        <f t="shared" si="71"/>
        <v>#DIV/0!</v>
      </c>
      <c r="P305" s="11" t="e">
        <f t="shared" si="72"/>
        <v>#DIV/0!</v>
      </c>
      <c r="R305" s="2"/>
      <c r="S305" s="12">
        <v>5</v>
      </c>
      <c r="Y305">
        <v>70</v>
      </c>
      <c r="AA305" s="11">
        <f t="shared" si="63"/>
        <v>0</v>
      </c>
      <c r="AC305" s="11">
        <f t="shared" si="70"/>
        <v>0</v>
      </c>
      <c r="AG305" s="12" t="e">
        <f t="shared" si="64"/>
        <v>#DIV/0!</v>
      </c>
      <c r="AH305" s="11" t="e">
        <f t="shared" si="65"/>
        <v>#DIV/0!</v>
      </c>
      <c r="AI305" s="11"/>
      <c r="AJ305" s="11">
        <f t="shared" si="66"/>
        <v>1</v>
      </c>
      <c r="AK305" s="11" t="e">
        <f t="shared" si="67"/>
        <v>#DIV/0!</v>
      </c>
      <c r="AL305" s="10">
        <f t="shared" si="62"/>
        <v>0</v>
      </c>
      <c r="AM305" s="14">
        <f t="shared" si="73"/>
        <v>0</v>
      </c>
      <c r="AP305" s="13" t="e">
        <f t="shared" si="69"/>
        <v>#DIV/0!</v>
      </c>
      <c r="AQ305" s="11">
        <v>1</v>
      </c>
      <c r="AR305" s="11"/>
      <c r="AS305" s="11"/>
      <c r="AT305" s="11"/>
      <c r="AU305" s="11"/>
      <c r="AV305" s="13"/>
    </row>
    <row r="306" spans="7:48" ht="12.75" customHeight="1">
      <c r="G306" s="11" t="e">
        <f t="shared" si="71"/>
        <v>#DIV/0!</v>
      </c>
      <c r="P306" s="11" t="e">
        <f t="shared" si="72"/>
        <v>#DIV/0!</v>
      </c>
      <c r="R306" s="2"/>
      <c r="S306" s="12">
        <v>5</v>
      </c>
      <c r="Y306">
        <v>70</v>
      </c>
      <c r="AA306" s="11">
        <f t="shared" si="63"/>
        <v>0</v>
      </c>
      <c r="AC306" s="11">
        <f t="shared" si="70"/>
        <v>0</v>
      </c>
      <c r="AG306" s="12" t="e">
        <f t="shared" si="64"/>
        <v>#DIV/0!</v>
      </c>
      <c r="AH306" s="11" t="e">
        <f t="shared" si="65"/>
        <v>#DIV/0!</v>
      </c>
      <c r="AI306" s="11"/>
      <c r="AJ306" s="11">
        <f t="shared" si="66"/>
        <v>1</v>
      </c>
      <c r="AK306" s="11" t="e">
        <f t="shared" si="67"/>
        <v>#DIV/0!</v>
      </c>
      <c r="AL306" s="10">
        <f t="shared" si="62"/>
        <v>0</v>
      </c>
      <c r="AM306" s="14">
        <f t="shared" si="73"/>
        <v>0</v>
      </c>
      <c r="AP306" s="13" t="e">
        <f t="shared" si="69"/>
        <v>#DIV/0!</v>
      </c>
      <c r="AQ306" s="11">
        <v>1</v>
      </c>
      <c r="AR306" s="11"/>
      <c r="AS306" s="11"/>
      <c r="AT306" s="11"/>
      <c r="AU306" s="11"/>
      <c r="AV306" s="13"/>
    </row>
    <row r="307" spans="7:48" ht="12.75" customHeight="1">
      <c r="G307" s="11" t="e">
        <f t="shared" si="71"/>
        <v>#DIV/0!</v>
      </c>
      <c r="P307" s="11" t="e">
        <f t="shared" si="72"/>
        <v>#DIV/0!</v>
      </c>
      <c r="R307" s="2"/>
      <c r="S307" s="12">
        <v>5</v>
      </c>
      <c r="Y307">
        <v>70</v>
      </c>
      <c r="AA307" s="11">
        <f t="shared" si="63"/>
        <v>0</v>
      </c>
      <c r="AC307" s="11">
        <f t="shared" si="70"/>
        <v>0</v>
      </c>
      <c r="AG307" s="12" t="e">
        <f t="shared" si="64"/>
        <v>#DIV/0!</v>
      </c>
      <c r="AH307" s="11" t="e">
        <f t="shared" si="65"/>
        <v>#DIV/0!</v>
      </c>
      <c r="AI307" s="11"/>
      <c r="AJ307" s="11">
        <f t="shared" si="66"/>
        <v>1</v>
      </c>
      <c r="AK307" s="11" t="e">
        <f t="shared" si="67"/>
        <v>#DIV/0!</v>
      </c>
      <c r="AL307" s="10">
        <f t="shared" si="62"/>
        <v>0</v>
      </c>
      <c r="AM307" s="14">
        <f t="shared" si="73"/>
        <v>0</v>
      </c>
      <c r="AP307" s="13" t="e">
        <f t="shared" si="69"/>
        <v>#DIV/0!</v>
      </c>
      <c r="AQ307" s="11">
        <v>1</v>
      </c>
      <c r="AR307" s="11"/>
      <c r="AS307" s="11"/>
      <c r="AT307" s="11"/>
      <c r="AU307" s="11"/>
      <c r="AV307" s="13"/>
    </row>
    <row r="308" spans="7:48" ht="12.75" customHeight="1">
      <c r="G308" s="11" t="e">
        <f t="shared" si="71"/>
        <v>#DIV/0!</v>
      </c>
      <c r="P308" s="11" t="e">
        <f t="shared" si="72"/>
        <v>#DIV/0!</v>
      </c>
      <c r="R308" s="2"/>
      <c r="S308" s="12">
        <v>5</v>
      </c>
      <c r="Y308">
        <v>70</v>
      </c>
      <c r="AA308" s="11">
        <f t="shared" si="63"/>
        <v>0</v>
      </c>
      <c r="AC308" s="11">
        <f t="shared" si="70"/>
        <v>0</v>
      </c>
      <c r="AG308" s="12" t="e">
        <f t="shared" si="64"/>
        <v>#DIV/0!</v>
      </c>
      <c r="AH308" s="11" t="e">
        <f t="shared" si="65"/>
        <v>#DIV/0!</v>
      </c>
      <c r="AI308" s="11"/>
      <c r="AJ308" s="11">
        <f t="shared" si="66"/>
        <v>1</v>
      </c>
      <c r="AK308" s="11" t="e">
        <f t="shared" si="67"/>
        <v>#DIV/0!</v>
      </c>
      <c r="AL308" s="10">
        <f t="shared" si="62"/>
        <v>0</v>
      </c>
      <c r="AM308" s="14">
        <f t="shared" si="73"/>
        <v>0</v>
      </c>
      <c r="AP308" s="13" t="e">
        <f t="shared" si="69"/>
        <v>#DIV/0!</v>
      </c>
      <c r="AQ308" s="11">
        <v>1</v>
      </c>
      <c r="AR308" s="11"/>
      <c r="AS308" s="11"/>
      <c r="AT308" s="11"/>
      <c r="AU308" s="11"/>
      <c r="AV308" s="13"/>
    </row>
    <row r="309" spans="7:48" ht="12.75" customHeight="1">
      <c r="G309" s="11" t="e">
        <f t="shared" si="71"/>
        <v>#DIV/0!</v>
      </c>
      <c r="P309" s="11" t="e">
        <f t="shared" si="72"/>
        <v>#DIV/0!</v>
      </c>
      <c r="R309" s="2"/>
      <c r="S309" s="12">
        <v>5</v>
      </c>
      <c r="Y309">
        <v>70</v>
      </c>
      <c r="AA309" s="11">
        <f t="shared" si="63"/>
        <v>0</v>
      </c>
      <c r="AC309" s="11">
        <f t="shared" si="70"/>
        <v>0</v>
      </c>
      <c r="AG309" s="12" t="e">
        <f t="shared" si="64"/>
        <v>#DIV/0!</v>
      </c>
      <c r="AH309" s="11" t="e">
        <f t="shared" si="65"/>
        <v>#DIV/0!</v>
      </c>
      <c r="AI309" s="11"/>
      <c r="AJ309" s="11">
        <f t="shared" si="66"/>
        <v>1</v>
      </c>
      <c r="AK309" s="11" t="e">
        <f t="shared" si="67"/>
        <v>#DIV/0!</v>
      </c>
      <c r="AL309" s="10">
        <f t="shared" si="62"/>
        <v>0</v>
      </c>
      <c r="AM309" s="14">
        <f t="shared" si="73"/>
        <v>0</v>
      </c>
      <c r="AP309" s="13" t="e">
        <f t="shared" si="69"/>
        <v>#DIV/0!</v>
      </c>
      <c r="AQ309" s="11">
        <v>1</v>
      </c>
      <c r="AR309" s="11"/>
      <c r="AS309" s="11"/>
      <c r="AT309" s="11"/>
      <c r="AU309" s="11"/>
      <c r="AV309" s="13"/>
    </row>
    <row r="310" spans="7:48" ht="12.75" customHeight="1">
      <c r="G310" s="11" t="e">
        <f t="shared" si="71"/>
        <v>#DIV/0!</v>
      </c>
      <c r="P310" s="11" t="e">
        <f t="shared" si="72"/>
        <v>#DIV/0!</v>
      </c>
      <c r="R310" s="2"/>
      <c r="S310" s="12">
        <v>5</v>
      </c>
      <c r="Y310">
        <v>70</v>
      </c>
      <c r="AA310" s="11">
        <f t="shared" si="63"/>
        <v>0</v>
      </c>
      <c r="AC310" s="11">
        <f t="shared" si="70"/>
        <v>0</v>
      </c>
      <c r="AG310" s="12" t="e">
        <f t="shared" si="64"/>
        <v>#DIV/0!</v>
      </c>
      <c r="AH310" s="11" t="e">
        <f t="shared" si="65"/>
        <v>#DIV/0!</v>
      </c>
      <c r="AI310" s="11"/>
      <c r="AJ310" s="11">
        <f t="shared" si="66"/>
        <v>1</v>
      </c>
      <c r="AK310" s="11" t="e">
        <f t="shared" si="67"/>
        <v>#DIV/0!</v>
      </c>
      <c r="AL310" s="10">
        <f t="shared" si="62"/>
        <v>0</v>
      </c>
      <c r="AM310" s="14">
        <f t="shared" si="73"/>
        <v>0</v>
      </c>
      <c r="AP310" s="13" t="e">
        <f t="shared" si="69"/>
        <v>#DIV/0!</v>
      </c>
      <c r="AQ310" s="11">
        <v>1</v>
      </c>
      <c r="AR310" s="11"/>
      <c r="AS310" s="11"/>
      <c r="AT310" s="11"/>
      <c r="AU310" s="11"/>
      <c r="AV310" s="13"/>
    </row>
    <row r="311" spans="7:48" ht="12.75" customHeight="1">
      <c r="G311" s="11" t="e">
        <f t="shared" si="71"/>
        <v>#DIV/0!</v>
      </c>
      <c r="P311" s="11" t="e">
        <f t="shared" si="72"/>
        <v>#DIV/0!</v>
      </c>
      <c r="R311" s="2"/>
      <c r="S311" s="12">
        <v>5</v>
      </c>
      <c r="Y311">
        <v>70</v>
      </c>
      <c r="AA311" s="11">
        <f t="shared" si="63"/>
        <v>0</v>
      </c>
      <c r="AC311" s="11">
        <f t="shared" si="70"/>
        <v>0</v>
      </c>
      <c r="AG311" s="12" t="e">
        <f t="shared" si="64"/>
        <v>#DIV/0!</v>
      </c>
      <c r="AH311" s="11" t="e">
        <f t="shared" si="65"/>
        <v>#DIV/0!</v>
      </c>
      <c r="AI311" s="11"/>
      <c r="AJ311" s="11">
        <f t="shared" si="66"/>
        <v>1</v>
      </c>
      <c r="AK311" s="11" t="e">
        <f t="shared" si="67"/>
        <v>#DIV/0!</v>
      </c>
      <c r="AL311" s="10">
        <f t="shared" si="62"/>
        <v>0</v>
      </c>
      <c r="AM311" s="14">
        <f t="shared" si="73"/>
        <v>0</v>
      </c>
      <c r="AP311" s="13" t="e">
        <f t="shared" si="69"/>
        <v>#DIV/0!</v>
      </c>
      <c r="AQ311" s="11">
        <v>1</v>
      </c>
      <c r="AR311" s="11"/>
      <c r="AS311" s="11"/>
      <c r="AT311" s="11"/>
      <c r="AU311" s="11"/>
      <c r="AV311" s="13"/>
    </row>
    <row r="312" spans="7:48" ht="12.75" customHeight="1">
      <c r="G312" s="11" t="e">
        <f t="shared" si="71"/>
        <v>#DIV/0!</v>
      </c>
      <c r="P312" s="11" t="e">
        <f t="shared" si="72"/>
        <v>#DIV/0!</v>
      </c>
      <c r="R312" s="2"/>
      <c r="S312" s="12">
        <v>5</v>
      </c>
      <c r="Y312">
        <v>70</v>
      </c>
      <c r="AA312" s="11">
        <f t="shared" si="63"/>
        <v>0</v>
      </c>
      <c r="AC312" s="11">
        <f t="shared" si="70"/>
        <v>0</v>
      </c>
      <c r="AG312" s="12" t="e">
        <f t="shared" si="64"/>
        <v>#DIV/0!</v>
      </c>
      <c r="AH312" s="11" t="e">
        <f t="shared" si="65"/>
        <v>#DIV/0!</v>
      </c>
      <c r="AI312" s="11"/>
      <c r="AJ312" s="11">
        <f t="shared" si="66"/>
        <v>1</v>
      </c>
      <c r="AK312" s="11" t="e">
        <f t="shared" si="67"/>
        <v>#DIV/0!</v>
      </c>
      <c r="AL312" s="10">
        <f t="shared" si="62"/>
        <v>0</v>
      </c>
      <c r="AM312" s="14">
        <f t="shared" si="73"/>
        <v>0</v>
      </c>
      <c r="AP312" s="13" t="e">
        <f t="shared" si="69"/>
        <v>#DIV/0!</v>
      </c>
      <c r="AQ312" s="11">
        <v>1</v>
      </c>
      <c r="AR312" s="11"/>
      <c r="AS312" s="11"/>
      <c r="AT312" s="11"/>
      <c r="AU312" s="11"/>
      <c r="AV312" s="13"/>
    </row>
    <row r="313" spans="7:48" ht="12.75" customHeight="1">
      <c r="G313" s="11" t="e">
        <f t="shared" si="71"/>
        <v>#DIV/0!</v>
      </c>
      <c r="P313" s="11" t="e">
        <f t="shared" si="72"/>
        <v>#DIV/0!</v>
      </c>
      <c r="R313" s="2"/>
      <c r="S313" s="12">
        <v>5</v>
      </c>
      <c r="Y313">
        <v>70</v>
      </c>
      <c r="AA313" s="11">
        <f t="shared" si="63"/>
        <v>0</v>
      </c>
      <c r="AC313" s="11">
        <f t="shared" si="70"/>
        <v>0</v>
      </c>
      <c r="AG313" s="12" t="e">
        <f t="shared" si="64"/>
        <v>#DIV/0!</v>
      </c>
      <c r="AH313" s="11" t="e">
        <f t="shared" si="65"/>
        <v>#DIV/0!</v>
      </c>
      <c r="AI313" s="11"/>
      <c r="AJ313" s="11">
        <f t="shared" si="66"/>
        <v>1</v>
      </c>
      <c r="AK313" s="11" t="e">
        <f t="shared" si="67"/>
        <v>#DIV/0!</v>
      </c>
      <c r="AL313" s="10">
        <f t="shared" si="62"/>
        <v>0</v>
      </c>
      <c r="AM313" s="14">
        <f t="shared" si="73"/>
        <v>0</v>
      </c>
      <c r="AP313" s="13" t="e">
        <f t="shared" si="69"/>
        <v>#DIV/0!</v>
      </c>
      <c r="AQ313" s="11">
        <v>1</v>
      </c>
      <c r="AR313" s="11"/>
      <c r="AS313" s="11"/>
      <c r="AT313" s="11"/>
      <c r="AU313" s="11"/>
      <c r="AV313" s="13"/>
    </row>
    <row r="314" spans="7:48" ht="12.75" customHeight="1">
      <c r="G314" s="11" t="e">
        <f t="shared" si="71"/>
        <v>#DIV/0!</v>
      </c>
      <c r="P314" s="11" t="e">
        <f t="shared" si="72"/>
        <v>#DIV/0!</v>
      </c>
      <c r="R314" s="2"/>
      <c r="S314" s="12">
        <v>5</v>
      </c>
      <c r="Y314">
        <v>70</v>
      </c>
      <c r="AA314" s="11">
        <f t="shared" si="63"/>
        <v>0</v>
      </c>
      <c r="AC314" s="11">
        <f t="shared" si="70"/>
        <v>0</v>
      </c>
      <c r="AG314" s="12" t="e">
        <f t="shared" si="64"/>
        <v>#DIV/0!</v>
      </c>
      <c r="AH314" s="11" t="e">
        <f t="shared" si="65"/>
        <v>#DIV/0!</v>
      </c>
      <c r="AI314" s="11"/>
      <c r="AJ314" s="11">
        <f t="shared" si="66"/>
        <v>1</v>
      </c>
      <c r="AK314" s="11" t="e">
        <f t="shared" si="67"/>
        <v>#DIV/0!</v>
      </c>
      <c r="AL314" s="10">
        <f t="shared" si="62"/>
        <v>0</v>
      </c>
      <c r="AM314" s="14">
        <f t="shared" si="73"/>
        <v>0</v>
      </c>
      <c r="AP314" s="13" t="e">
        <f t="shared" si="69"/>
        <v>#DIV/0!</v>
      </c>
      <c r="AQ314" s="11">
        <v>1</v>
      </c>
      <c r="AR314" s="11"/>
      <c r="AS314" s="11"/>
      <c r="AT314" s="11"/>
      <c r="AU314" s="11"/>
      <c r="AV314" s="13"/>
    </row>
    <row r="315" spans="7:48" ht="12.75" customHeight="1">
      <c r="G315" s="11" t="e">
        <f t="shared" si="71"/>
        <v>#DIV/0!</v>
      </c>
      <c r="P315" s="11" t="e">
        <f t="shared" si="72"/>
        <v>#DIV/0!</v>
      </c>
      <c r="R315" s="2"/>
      <c r="S315" s="12">
        <v>5</v>
      </c>
      <c r="Y315">
        <v>70</v>
      </c>
      <c r="AA315" s="11">
        <f t="shared" si="63"/>
        <v>0</v>
      </c>
      <c r="AC315" s="11">
        <f t="shared" si="70"/>
        <v>0</v>
      </c>
      <c r="AG315" s="12" t="e">
        <f t="shared" si="64"/>
        <v>#DIV/0!</v>
      </c>
      <c r="AH315" s="11" t="e">
        <f t="shared" si="65"/>
        <v>#DIV/0!</v>
      </c>
      <c r="AI315" s="11"/>
      <c r="AJ315" s="11">
        <f t="shared" si="66"/>
        <v>1</v>
      </c>
      <c r="AK315" s="11" t="e">
        <f t="shared" si="67"/>
        <v>#DIV/0!</v>
      </c>
      <c r="AL315" s="10">
        <f t="shared" si="62"/>
        <v>0</v>
      </c>
      <c r="AM315" s="14">
        <f t="shared" si="73"/>
        <v>0</v>
      </c>
      <c r="AP315" s="13" t="e">
        <f t="shared" si="69"/>
        <v>#DIV/0!</v>
      </c>
      <c r="AQ315" s="11">
        <v>1</v>
      </c>
      <c r="AR315" s="11"/>
      <c r="AS315" s="11"/>
      <c r="AT315" s="11"/>
      <c r="AU315" s="11"/>
      <c r="AV315" s="13"/>
    </row>
    <row r="316" spans="7:48" ht="12.75" customHeight="1">
      <c r="G316" s="11" t="e">
        <f t="shared" si="71"/>
        <v>#DIV/0!</v>
      </c>
      <c r="P316" s="11" t="e">
        <f t="shared" si="72"/>
        <v>#DIV/0!</v>
      </c>
      <c r="R316" s="2"/>
      <c r="S316" s="12">
        <v>5</v>
      </c>
      <c r="Y316">
        <v>70</v>
      </c>
      <c r="AA316" s="11">
        <f t="shared" si="63"/>
        <v>0</v>
      </c>
      <c r="AC316" s="11">
        <f t="shared" si="70"/>
        <v>0</v>
      </c>
      <c r="AG316" s="12" t="e">
        <f t="shared" si="64"/>
        <v>#DIV/0!</v>
      </c>
      <c r="AH316" s="11" t="e">
        <f t="shared" si="65"/>
        <v>#DIV/0!</v>
      </c>
      <c r="AI316" s="11"/>
      <c r="AJ316" s="11">
        <f t="shared" si="66"/>
        <v>1</v>
      </c>
      <c r="AK316" s="11" t="e">
        <f t="shared" si="67"/>
        <v>#DIV/0!</v>
      </c>
      <c r="AL316" s="10">
        <f t="shared" si="62"/>
        <v>0</v>
      </c>
      <c r="AM316" s="14">
        <f t="shared" si="73"/>
        <v>0</v>
      </c>
      <c r="AP316" s="13" t="e">
        <f t="shared" si="69"/>
        <v>#DIV/0!</v>
      </c>
      <c r="AQ316" s="11">
        <v>1</v>
      </c>
      <c r="AR316" s="11"/>
      <c r="AS316" s="11"/>
      <c r="AT316" s="11"/>
      <c r="AU316" s="11"/>
      <c r="AV316" s="13"/>
    </row>
    <row r="317" spans="7:48" ht="12.75" customHeight="1">
      <c r="G317" s="11" t="e">
        <f t="shared" si="71"/>
        <v>#DIV/0!</v>
      </c>
      <c r="P317" s="11" t="e">
        <f t="shared" si="72"/>
        <v>#DIV/0!</v>
      </c>
      <c r="R317" s="2"/>
      <c r="S317" s="12">
        <v>5</v>
      </c>
      <c r="Y317">
        <v>70</v>
      </c>
      <c r="AA317" s="11">
        <f t="shared" si="63"/>
        <v>0</v>
      </c>
      <c r="AC317" s="11">
        <f t="shared" si="70"/>
        <v>0</v>
      </c>
      <c r="AG317" s="12" t="e">
        <f t="shared" si="64"/>
        <v>#DIV/0!</v>
      </c>
      <c r="AH317" s="11" t="e">
        <f t="shared" si="65"/>
        <v>#DIV/0!</v>
      </c>
      <c r="AI317" s="11"/>
      <c r="AJ317" s="11">
        <f t="shared" si="66"/>
        <v>1</v>
      </c>
      <c r="AK317" s="11" t="e">
        <f t="shared" si="67"/>
        <v>#DIV/0!</v>
      </c>
      <c r="AL317" s="10">
        <f t="shared" si="62"/>
        <v>0</v>
      </c>
      <c r="AM317" s="14">
        <f t="shared" si="73"/>
        <v>0</v>
      </c>
      <c r="AP317" s="13" t="e">
        <f t="shared" si="69"/>
        <v>#DIV/0!</v>
      </c>
      <c r="AQ317" s="11">
        <v>1</v>
      </c>
      <c r="AR317" s="11"/>
      <c r="AS317" s="11"/>
      <c r="AT317" s="11"/>
      <c r="AU317" s="11"/>
      <c r="AV317" s="13"/>
    </row>
    <row r="318" spans="7:48" ht="12.75" customHeight="1">
      <c r="G318" s="11" t="e">
        <f t="shared" si="71"/>
        <v>#DIV/0!</v>
      </c>
      <c r="P318" s="11" t="e">
        <f t="shared" si="72"/>
        <v>#DIV/0!</v>
      </c>
      <c r="R318" s="2"/>
      <c r="S318" s="12">
        <v>5</v>
      </c>
      <c r="Y318">
        <v>70</v>
      </c>
      <c r="AA318" s="11">
        <f t="shared" si="63"/>
        <v>0</v>
      </c>
      <c r="AC318" s="11">
        <f t="shared" si="70"/>
        <v>0</v>
      </c>
      <c r="AG318" s="12" t="e">
        <f t="shared" si="64"/>
        <v>#DIV/0!</v>
      </c>
      <c r="AH318" s="11" t="e">
        <f t="shared" si="65"/>
        <v>#DIV/0!</v>
      </c>
      <c r="AI318" s="11"/>
      <c r="AJ318" s="11">
        <f t="shared" si="66"/>
        <v>1</v>
      </c>
      <c r="AK318" s="11" t="e">
        <f t="shared" si="67"/>
        <v>#DIV/0!</v>
      </c>
      <c r="AL318" s="10">
        <f t="shared" si="62"/>
        <v>0</v>
      </c>
      <c r="AM318" s="14">
        <f t="shared" si="73"/>
        <v>0</v>
      </c>
      <c r="AP318" s="13" t="e">
        <f t="shared" si="69"/>
        <v>#DIV/0!</v>
      </c>
      <c r="AQ318" s="11">
        <v>0.95</v>
      </c>
      <c r="AR318" s="11"/>
      <c r="AS318" s="11"/>
      <c r="AT318" s="11"/>
      <c r="AU318" s="11"/>
      <c r="AV318" s="13"/>
    </row>
    <row r="319" spans="7:48" ht="12.75" customHeight="1">
      <c r="G319" s="11" t="e">
        <f t="shared" si="71"/>
        <v>#DIV/0!</v>
      </c>
      <c r="P319" s="11" t="e">
        <f t="shared" si="72"/>
        <v>#DIV/0!</v>
      </c>
      <c r="R319" s="2"/>
      <c r="S319" s="12">
        <v>5</v>
      </c>
      <c r="Y319">
        <v>70</v>
      </c>
      <c r="AA319" s="11">
        <f t="shared" si="63"/>
        <v>0</v>
      </c>
      <c r="AC319" s="11">
        <f t="shared" si="70"/>
        <v>0</v>
      </c>
      <c r="AG319" s="12" t="e">
        <f t="shared" si="64"/>
        <v>#DIV/0!</v>
      </c>
      <c r="AH319" s="11" t="e">
        <f t="shared" si="65"/>
        <v>#DIV/0!</v>
      </c>
      <c r="AI319" s="11"/>
      <c r="AJ319" s="11">
        <f t="shared" si="66"/>
        <v>1</v>
      </c>
      <c r="AK319" s="11" t="e">
        <f t="shared" si="67"/>
        <v>#DIV/0!</v>
      </c>
      <c r="AL319" s="10">
        <f t="shared" si="62"/>
        <v>0</v>
      </c>
      <c r="AM319" s="14">
        <f t="shared" si="73"/>
        <v>0</v>
      </c>
      <c r="AP319" s="13" t="e">
        <f t="shared" si="69"/>
        <v>#DIV/0!</v>
      </c>
      <c r="AQ319" s="11">
        <v>0.95</v>
      </c>
      <c r="AR319" s="11"/>
      <c r="AS319" s="11"/>
      <c r="AT319" s="11"/>
      <c r="AU319" s="11"/>
      <c r="AV319" s="13"/>
    </row>
    <row r="320" spans="7:48" ht="12.75" customHeight="1">
      <c r="G320" s="11" t="e">
        <f t="shared" si="71"/>
        <v>#DIV/0!</v>
      </c>
      <c r="P320" s="11" t="e">
        <f t="shared" si="72"/>
        <v>#DIV/0!</v>
      </c>
      <c r="R320" s="2"/>
      <c r="S320" s="12">
        <v>5</v>
      </c>
      <c r="Y320">
        <v>70</v>
      </c>
      <c r="AA320" s="11">
        <f t="shared" si="63"/>
        <v>0</v>
      </c>
      <c r="AC320" s="11">
        <f t="shared" si="70"/>
        <v>0</v>
      </c>
      <c r="AG320" s="12" t="e">
        <f t="shared" si="64"/>
        <v>#DIV/0!</v>
      </c>
      <c r="AH320" s="11" t="e">
        <f t="shared" si="65"/>
        <v>#DIV/0!</v>
      </c>
      <c r="AI320" s="11"/>
      <c r="AJ320" s="11">
        <f t="shared" si="66"/>
        <v>1</v>
      </c>
      <c r="AK320" s="11" t="e">
        <f t="shared" si="67"/>
        <v>#DIV/0!</v>
      </c>
      <c r="AL320" s="10">
        <f t="shared" ref="AL320:AL382" si="74">D320</f>
        <v>0</v>
      </c>
      <c r="AM320" s="14">
        <f t="shared" si="73"/>
        <v>0</v>
      </c>
      <c r="AP320" s="13" t="e">
        <f t="shared" si="69"/>
        <v>#DIV/0!</v>
      </c>
      <c r="AQ320" s="11">
        <v>0.95</v>
      </c>
      <c r="AR320" s="11"/>
      <c r="AS320" s="11"/>
      <c r="AT320" s="11"/>
      <c r="AU320" s="11"/>
      <c r="AV320" s="13"/>
    </row>
    <row r="321" spans="7:48" ht="12.75" customHeight="1">
      <c r="G321" s="11" t="e">
        <f t="shared" si="71"/>
        <v>#DIV/0!</v>
      </c>
      <c r="P321" s="11" t="e">
        <f t="shared" si="72"/>
        <v>#DIV/0!</v>
      </c>
      <c r="R321" s="2"/>
      <c r="S321" s="12">
        <v>5</v>
      </c>
      <c r="Y321">
        <v>70</v>
      </c>
      <c r="AA321" s="11">
        <f t="shared" si="63"/>
        <v>0</v>
      </c>
      <c r="AC321" s="11">
        <f t="shared" si="70"/>
        <v>0</v>
      </c>
      <c r="AG321" s="12" t="e">
        <f t="shared" si="64"/>
        <v>#DIV/0!</v>
      </c>
      <c r="AH321" s="11" t="e">
        <f t="shared" si="65"/>
        <v>#DIV/0!</v>
      </c>
      <c r="AI321" s="11"/>
      <c r="AJ321" s="11">
        <f t="shared" si="66"/>
        <v>1</v>
      </c>
      <c r="AK321" s="11" t="e">
        <f t="shared" si="67"/>
        <v>#DIV/0!</v>
      </c>
      <c r="AL321" s="10">
        <f t="shared" si="74"/>
        <v>0</v>
      </c>
      <c r="AM321" s="14">
        <f t="shared" si="73"/>
        <v>0</v>
      </c>
      <c r="AP321" s="13" t="e">
        <f t="shared" si="69"/>
        <v>#DIV/0!</v>
      </c>
      <c r="AQ321" s="11">
        <v>0.95</v>
      </c>
      <c r="AR321" s="11"/>
      <c r="AS321" s="11"/>
      <c r="AT321" s="11"/>
      <c r="AU321" s="11"/>
      <c r="AV321" s="13"/>
    </row>
    <row r="322" spans="7:48" ht="12.75" customHeight="1">
      <c r="G322" s="11" t="e">
        <f t="shared" si="71"/>
        <v>#DIV/0!</v>
      </c>
      <c r="P322" s="11" t="e">
        <f t="shared" si="72"/>
        <v>#DIV/0!</v>
      </c>
      <c r="R322" s="2"/>
      <c r="S322" s="12">
        <v>5</v>
      </c>
      <c r="Y322">
        <v>70</v>
      </c>
      <c r="AA322" s="11">
        <f t="shared" ref="AA322:AA375" si="75">IF(X322&lt;50,IF(Y322&gt;(2.3*X322),0,1),1)-IF(Z322&gt;Y322,1.7,0)</f>
        <v>0</v>
      </c>
      <c r="AC322" s="11">
        <f t="shared" si="70"/>
        <v>0</v>
      </c>
      <c r="AG322" s="12" t="e">
        <f t="shared" ref="AG322:AG376" si="76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85" si="77">AG322+IF(X322&lt;1.35,0,1)+IF(Y322&lt;1.35,0,1)+AC322+AA322</f>
        <v>#DIV/0!</v>
      </c>
      <c r="AI322" s="11"/>
      <c r="AJ322" s="11">
        <f t="shared" ref="AJ322:AJ382" si="78">IF(AI322&gt;12.7,IF(AI322&gt;15.8,0.93,0.98),1)</f>
        <v>1</v>
      </c>
      <c r="AK322" s="11" t="e">
        <f t="shared" ref="AK322:AK375" si="79">(1.5*AG322+AH322)*AJ322*AQ322</f>
        <v>#DIV/0!</v>
      </c>
      <c r="AL322" s="10">
        <f t="shared" si="74"/>
        <v>0</v>
      </c>
      <c r="AM322" s="14">
        <f t="shared" si="73"/>
        <v>0</v>
      </c>
      <c r="AP322" s="13" t="e">
        <f t="shared" ref="AP322:AP382" si="80">IF(AK322&gt;14.9,IF(Z322&lt;101,IF(Z322&lt;35,IF(Z322&lt;6,3,2),1),0),0)</f>
        <v>#DIV/0!</v>
      </c>
      <c r="AQ322" s="11">
        <v>0.95</v>
      </c>
      <c r="AR322" s="11"/>
      <c r="AS322" s="11"/>
      <c r="AT322" s="11"/>
      <c r="AU322" s="11"/>
      <c r="AV322" s="13"/>
    </row>
    <row r="323" spans="7:48" ht="12.75" customHeight="1">
      <c r="G323" s="11" t="e">
        <f t="shared" si="71"/>
        <v>#DIV/0!</v>
      </c>
      <c r="P323" s="11" t="e">
        <f t="shared" si="72"/>
        <v>#DIV/0!</v>
      </c>
      <c r="R323" s="2"/>
      <c r="S323" s="12">
        <v>5</v>
      </c>
      <c r="Y323">
        <v>70</v>
      </c>
      <c r="AA323" s="11">
        <f t="shared" si="75"/>
        <v>0</v>
      </c>
      <c r="AC323" s="11">
        <f t="shared" ref="AC323:AC376" si="81">IF(AB323&gt;4,1,0)+IF(AB323&gt;10,1,0)</f>
        <v>0</v>
      </c>
      <c r="AG323" s="12" t="e">
        <f t="shared" si="76"/>
        <v>#DIV/0!</v>
      </c>
      <c r="AH323" s="11" t="e">
        <f t="shared" si="77"/>
        <v>#DIV/0!</v>
      </c>
      <c r="AI323" s="11"/>
      <c r="AJ323" s="11">
        <f t="shared" si="78"/>
        <v>1</v>
      </c>
      <c r="AK323" s="11" t="e">
        <f t="shared" si="79"/>
        <v>#DIV/0!</v>
      </c>
      <c r="AL323" s="10">
        <f t="shared" si="74"/>
        <v>0</v>
      </c>
      <c r="AM323" s="14">
        <f t="shared" si="73"/>
        <v>0</v>
      </c>
      <c r="AP323" s="13" t="e">
        <f t="shared" si="80"/>
        <v>#DIV/0!</v>
      </c>
      <c r="AQ323" s="11">
        <v>0.95</v>
      </c>
      <c r="AR323" s="11"/>
      <c r="AS323" s="11"/>
      <c r="AT323" s="11"/>
      <c r="AU323" s="11"/>
      <c r="AV323" s="13"/>
    </row>
    <row r="324" spans="7:48" ht="12.75" customHeight="1">
      <c r="G324" s="11" t="e">
        <f t="shared" si="71"/>
        <v>#DIV/0!</v>
      </c>
      <c r="P324" s="11" t="e">
        <f t="shared" si="72"/>
        <v>#DIV/0!</v>
      </c>
      <c r="R324" s="2"/>
      <c r="S324" s="12">
        <v>5</v>
      </c>
      <c r="Y324">
        <v>70</v>
      </c>
      <c r="AA324" s="11">
        <f t="shared" si="75"/>
        <v>0</v>
      </c>
      <c r="AC324" s="11">
        <f t="shared" si="81"/>
        <v>0</v>
      </c>
      <c r="AG324" s="12" t="e">
        <f t="shared" si="76"/>
        <v>#DIV/0!</v>
      </c>
      <c r="AH324" s="11" t="e">
        <f t="shared" si="77"/>
        <v>#DIV/0!</v>
      </c>
      <c r="AI324" s="11"/>
      <c r="AJ324" s="11">
        <f t="shared" si="78"/>
        <v>1</v>
      </c>
      <c r="AK324" s="11" t="e">
        <f t="shared" si="79"/>
        <v>#DIV/0!</v>
      </c>
      <c r="AL324" s="10">
        <f t="shared" si="74"/>
        <v>0</v>
      </c>
      <c r="AM324" s="14">
        <f t="shared" si="73"/>
        <v>0</v>
      </c>
      <c r="AP324" s="13" t="e">
        <f t="shared" si="80"/>
        <v>#DIV/0!</v>
      </c>
      <c r="AQ324" s="11">
        <v>0.95</v>
      </c>
      <c r="AR324" s="11"/>
      <c r="AS324" s="11"/>
      <c r="AT324" s="11"/>
      <c r="AU324" s="11"/>
      <c r="AV324" s="13"/>
    </row>
    <row r="325" spans="7:48" ht="12.75" customHeight="1">
      <c r="G325" s="11" t="e">
        <f t="shared" si="71"/>
        <v>#DIV/0!</v>
      </c>
      <c r="P325" s="11" t="e">
        <f t="shared" si="72"/>
        <v>#DIV/0!</v>
      </c>
      <c r="R325" s="2"/>
      <c r="S325" s="12">
        <v>5</v>
      </c>
      <c r="Y325">
        <v>70</v>
      </c>
      <c r="AA325" s="11">
        <f t="shared" si="75"/>
        <v>0</v>
      </c>
      <c r="AC325" s="11">
        <f t="shared" si="81"/>
        <v>0</v>
      </c>
      <c r="AG325" s="12" t="e">
        <f t="shared" si="76"/>
        <v>#DIV/0!</v>
      </c>
      <c r="AH325" s="11" t="e">
        <f t="shared" si="77"/>
        <v>#DIV/0!</v>
      </c>
      <c r="AI325" s="11"/>
      <c r="AJ325" s="11">
        <f t="shared" si="78"/>
        <v>1</v>
      </c>
      <c r="AK325" s="11" t="e">
        <f t="shared" si="79"/>
        <v>#DIV/0!</v>
      </c>
      <c r="AL325" s="10">
        <f t="shared" si="74"/>
        <v>0</v>
      </c>
      <c r="AM325" s="14">
        <f t="shared" si="73"/>
        <v>0</v>
      </c>
      <c r="AP325" s="13" t="e">
        <f t="shared" si="80"/>
        <v>#DIV/0!</v>
      </c>
      <c r="AQ325" s="11">
        <v>0.95</v>
      </c>
      <c r="AR325" s="11"/>
      <c r="AS325" s="11"/>
      <c r="AT325" s="11"/>
      <c r="AU325" s="11"/>
      <c r="AV325" s="13"/>
    </row>
    <row r="326" spans="7:48" ht="12.75" customHeight="1">
      <c r="G326" s="11" t="e">
        <f t="shared" si="71"/>
        <v>#DIV/0!</v>
      </c>
      <c r="P326" s="11" t="e">
        <f t="shared" si="72"/>
        <v>#DIV/0!</v>
      </c>
      <c r="R326" s="2"/>
      <c r="S326" s="12">
        <v>5</v>
      </c>
      <c r="Y326">
        <v>70</v>
      </c>
      <c r="AA326" s="11">
        <f t="shared" si="75"/>
        <v>0</v>
      </c>
      <c r="AC326" s="11">
        <f t="shared" si="81"/>
        <v>0</v>
      </c>
      <c r="AG326" s="12" t="e">
        <f t="shared" si="76"/>
        <v>#DIV/0!</v>
      </c>
      <c r="AH326" s="11" t="e">
        <f t="shared" si="77"/>
        <v>#DIV/0!</v>
      </c>
      <c r="AI326" s="11"/>
      <c r="AJ326" s="11">
        <f t="shared" si="78"/>
        <v>1</v>
      </c>
      <c r="AK326" s="11" t="e">
        <f t="shared" si="79"/>
        <v>#DIV/0!</v>
      </c>
      <c r="AL326" s="10">
        <f t="shared" si="74"/>
        <v>0</v>
      </c>
      <c r="AM326" s="14">
        <f t="shared" si="73"/>
        <v>0</v>
      </c>
      <c r="AP326" s="13" t="e">
        <f t="shared" si="80"/>
        <v>#DIV/0!</v>
      </c>
      <c r="AQ326" s="11">
        <v>0.95</v>
      </c>
      <c r="AR326" s="11"/>
      <c r="AS326" s="11"/>
      <c r="AT326" s="11"/>
      <c r="AU326" s="11"/>
      <c r="AV326" s="13"/>
    </row>
    <row r="327" spans="7:48" ht="12.75" customHeight="1">
      <c r="G327" s="11" t="e">
        <f t="shared" si="71"/>
        <v>#DIV/0!</v>
      </c>
      <c r="P327" s="11" t="e">
        <f t="shared" si="72"/>
        <v>#DIV/0!</v>
      </c>
      <c r="R327" s="2"/>
      <c r="S327" s="12">
        <v>5</v>
      </c>
      <c r="Y327">
        <v>70</v>
      </c>
      <c r="AA327" s="11">
        <f t="shared" si="75"/>
        <v>0</v>
      </c>
      <c r="AC327" s="11">
        <f t="shared" si="81"/>
        <v>0</v>
      </c>
      <c r="AG327" s="12" t="e">
        <f t="shared" si="76"/>
        <v>#DIV/0!</v>
      </c>
      <c r="AH327" s="11" t="e">
        <f t="shared" si="77"/>
        <v>#DIV/0!</v>
      </c>
      <c r="AI327" s="11"/>
      <c r="AJ327" s="11">
        <f t="shared" si="78"/>
        <v>1</v>
      </c>
      <c r="AK327" s="11" t="e">
        <f t="shared" si="79"/>
        <v>#DIV/0!</v>
      </c>
      <c r="AL327" s="10">
        <f t="shared" si="74"/>
        <v>0</v>
      </c>
      <c r="AM327" s="14">
        <f t="shared" si="73"/>
        <v>0</v>
      </c>
      <c r="AP327" s="13" t="e">
        <f t="shared" si="80"/>
        <v>#DIV/0!</v>
      </c>
      <c r="AQ327" s="11">
        <v>0.95</v>
      </c>
      <c r="AR327" s="11"/>
      <c r="AS327" s="11"/>
      <c r="AT327" s="11"/>
      <c r="AU327" s="11"/>
      <c r="AV327" s="13"/>
    </row>
    <row r="328" spans="7:48" ht="12.75" customHeight="1">
      <c r="G328" s="11" t="e">
        <f t="shared" si="71"/>
        <v>#DIV/0!</v>
      </c>
      <c r="P328" s="11" t="e">
        <f t="shared" si="72"/>
        <v>#DIV/0!</v>
      </c>
      <c r="R328" s="2"/>
      <c r="S328" s="12">
        <v>5</v>
      </c>
      <c r="Y328">
        <v>70</v>
      </c>
      <c r="AA328" s="11">
        <f t="shared" si="75"/>
        <v>0</v>
      </c>
      <c r="AC328" s="11">
        <f t="shared" si="81"/>
        <v>0</v>
      </c>
      <c r="AG328" s="12" t="e">
        <f t="shared" si="76"/>
        <v>#DIV/0!</v>
      </c>
      <c r="AH328" s="11" t="e">
        <f t="shared" si="77"/>
        <v>#DIV/0!</v>
      </c>
      <c r="AI328" s="11"/>
      <c r="AJ328" s="11">
        <f t="shared" si="78"/>
        <v>1</v>
      </c>
      <c r="AK328" s="11" t="e">
        <f t="shared" si="79"/>
        <v>#DIV/0!</v>
      </c>
      <c r="AL328" s="10">
        <f t="shared" si="74"/>
        <v>0</v>
      </c>
      <c r="AM328" s="14">
        <f t="shared" si="73"/>
        <v>0</v>
      </c>
      <c r="AP328" s="13" t="e">
        <f t="shared" si="80"/>
        <v>#DIV/0!</v>
      </c>
      <c r="AQ328" s="11">
        <v>0.95</v>
      </c>
      <c r="AR328" s="11"/>
      <c r="AS328" s="11"/>
      <c r="AT328" s="11"/>
      <c r="AU328" s="11"/>
      <c r="AV328" s="13"/>
    </row>
    <row r="329" spans="7:48" ht="12.75" customHeight="1">
      <c r="G329" s="11" t="e">
        <f t="shared" si="71"/>
        <v>#DIV/0!</v>
      </c>
      <c r="P329" s="11" t="e">
        <f t="shared" si="72"/>
        <v>#DIV/0!</v>
      </c>
      <c r="R329" s="2"/>
      <c r="S329" s="12">
        <v>5</v>
      </c>
      <c r="Y329">
        <v>70</v>
      </c>
      <c r="AA329" s="11">
        <f t="shared" si="75"/>
        <v>0</v>
      </c>
      <c r="AC329" s="11">
        <f t="shared" si="81"/>
        <v>0</v>
      </c>
      <c r="AG329" s="12" t="e">
        <f t="shared" si="76"/>
        <v>#DIV/0!</v>
      </c>
      <c r="AH329" s="11" t="e">
        <f t="shared" si="77"/>
        <v>#DIV/0!</v>
      </c>
      <c r="AI329" s="11"/>
      <c r="AJ329" s="11">
        <f t="shared" si="78"/>
        <v>1</v>
      </c>
      <c r="AK329" s="11" t="e">
        <f t="shared" si="79"/>
        <v>#DIV/0!</v>
      </c>
      <c r="AL329" s="10">
        <f t="shared" si="74"/>
        <v>0</v>
      </c>
      <c r="AM329" s="14">
        <f t="shared" si="73"/>
        <v>0</v>
      </c>
      <c r="AP329" s="13" t="e">
        <f t="shared" si="80"/>
        <v>#DIV/0!</v>
      </c>
      <c r="AQ329" s="11">
        <v>0.95</v>
      </c>
      <c r="AR329" s="11"/>
      <c r="AS329" s="11"/>
      <c r="AT329" s="11"/>
      <c r="AU329" s="11"/>
      <c r="AV329" s="13"/>
    </row>
    <row r="330" spans="7:48" ht="12.75" customHeight="1">
      <c r="G330" s="11" t="e">
        <f t="shared" si="71"/>
        <v>#DIV/0!</v>
      </c>
      <c r="P330" s="11" t="e">
        <f t="shared" si="72"/>
        <v>#DIV/0!</v>
      </c>
      <c r="R330" s="2"/>
      <c r="S330" s="12">
        <v>5</v>
      </c>
      <c r="Y330">
        <v>70</v>
      </c>
      <c r="AA330" s="11">
        <f t="shared" si="75"/>
        <v>0</v>
      </c>
      <c r="AC330" s="11">
        <f t="shared" si="81"/>
        <v>0</v>
      </c>
      <c r="AG330" s="12" t="e">
        <f t="shared" si="76"/>
        <v>#DIV/0!</v>
      </c>
      <c r="AH330" s="11" t="e">
        <f t="shared" si="77"/>
        <v>#DIV/0!</v>
      </c>
      <c r="AI330" s="11"/>
      <c r="AJ330" s="11">
        <f t="shared" si="78"/>
        <v>1</v>
      </c>
      <c r="AK330" s="11" t="e">
        <f t="shared" si="79"/>
        <v>#DIV/0!</v>
      </c>
      <c r="AL330" s="10">
        <f t="shared" si="74"/>
        <v>0</v>
      </c>
      <c r="AM330" s="14">
        <f t="shared" si="73"/>
        <v>0</v>
      </c>
      <c r="AP330" s="13" t="e">
        <f t="shared" si="80"/>
        <v>#DIV/0!</v>
      </c>
      <c r="AQ330" s="11">
        <v>0.95</v>
      </c>
      <c r="AR330" s="11"/>
      <c r="AS330" s="11"/>
      <c r="AT330" s="11"/>
      <c r="AU330" s="11"/>
      <c r="AV330" s="13"/>
    </row>
    <row r="331" spans="7:48" ht="12.75" customHeight="1">
      <c r="G331" s="11" t="e">
        <f t="shared" si="71"/>
        <v>#DIV/0!</v>
      </c>
      <c r="P331" s="11" t="e">
        <f t="shared" si="72"/>
        <v>#DIV/0!</v>
      </c>
      <c r="R331" s="2"/>
      <c r="S331" s="12">
        <v>5</v>
      </c>
      <c r="Y331">
        <v>70</v>
      </c>
      <c r="AA331" s="11">
        <f t="shared" si="75"/>
        <v>0</v>
      </c>
      <c r="AC331" s="11">
        <f t="shared" si="81"/>
        <v>0</v>
      </c>
      <c r="AG331" s="12" t="e">
        <f t="shared" si="76"/>
        <v>#DIV/0!</v>
      </c>
      <c r="AH331" s="11" t="e">
        <f t="shared" si="77"/>
        <v>#DIV/0!</v>
      </c>
      <c r="AI331" s="11"/>
      <c r="AJ331" s="11">
        <f t="shared" si="78"/>
        <v>1</v>
      </c>
      <c r="AK331" s="11" t="e">
        <f t="shared" si="79"/>
        <v>#DIV/0!</v>
      </c>
      <c r="AL331" s="10">
        <f t="shared" si="74"/>
        <v>0</v>
      </c>
      <c r="AM331" s="14">
        <f t="shared" si="73"/>
        <v>0</v>
      </c>
      <c r="AP331" s="13" t="e">
        <f t="shared" si="80"/>
        <v>#DIV/0!</v>
      </c>
      <c r="AQ331" s="11">
        <v>0.95</v>
      </c>
      <c r="AR331" s="11"/>
      <c r="AS331" s="11"/>
      <c r="AT331" s="11"/>
      <c r="AU331" s="11"/>
      <c r="AV331" s="13"/>
    </row>
    <row r="332" spans="7:48" ht="12.75" customHeight="1">
      <c r="G332" s="11" t="e">
        <f t="shared" si="71"/>
        <v>#DIV/0!</v>
      </c>
      <c r="P332" s="11" t="e">
        <f t="shared" si="72"/>
        <v>#DIV/0!</v>
      </c>
      <c r="R332" s="2"/>
      <c r="S332" s="12">
        <v>5</v>
      </c>
      <c r="Y332">
        <v>70</v>
      </c>
      <c r="AA332" s="11">
        <f t="shared" si="75"/>
        <v>0</v>
      </c>
      <c r="AC332" s="11">
        <f t="shared" si="81"/>
        <v>0</v>
      </c>
      <c r="AG332" s="12" t="e">
        <f t="shared" si="76"/>
        <v>#DIV/0!</v>
      </c>
      <c r="AH332" s="11" t="e">
        <f t="shared" si="77"/>
        <v>#DIV/0!</v>
      </c>
      <c r="AI332" s="11"/>
      <c r="AJ332" s="11">
        <f t="shared" si="78"/>
        <v>1</v>
      </c>
      <c r="AK332" s="11" t="e">
        <f t="shared" si="79"/>
        <v>#DIV/0!</v>
      </c>
      <c r="AL332" s="10">
        <f t="shared" si="74"/>
        <v>0</v>
      </c>
      <c r="AM332" s="14">
        <f t="shared" si="73"/>
        <v>0</v>
      </c>
      <c r="AP332" s="13" t="e">
        <f t="shared" si="80"/>
        <v>#DIV/0!</v>
      </c>
      <c r="AQ332" s="11">
        <v>0.95</v>
      </c>
      <c r="AR332" s="11"/>
      <c r="AS332" s="11"/>
      <c r="AT332" s="11"/>
      <c r="AU332" s="11"/>
      <c r="AV332" s="13"/>
    </row>
    <row r="333" spans="7:48" ht="12.75" customHeight="1">
      <c r="G333" s="11" t="e">
        <f t="shared" si="71"/>
        <v>#DIV/0!</v>
      </c>
      <c r="P333" s="11" t="e">
        <f t="shared" si="72"/>
        <v>#DIV/0!</v>
      </c>
      <c r="R333" s="2"/>
      <c r="S333" s="12">
        <v>5</v>
      </c>
      <c r="Y333">
        <v>70</v>
      </c>
      <c r="AA333" s="11">
        <f t="shared" si="75"/>
        <v>0</v>
      </c>
      <c r="AC333" s="11">
        <f t="shared" si="81"/>
        <v>0</v>
      </c>
      <c r="AG333" s="12" t="e">
        <f t="shared" si="76"/>
        <v>#DIV/0!</v>
      </c>
      <c r="AH333" s="11" t="e">
        <f t="shared" si="77"/>
        <v>#DIV/0!</v>
      </c>
      <c r="AI333" s="11"/>
      <c r="AJ333" s="11">
        <f t="shared" si="78"/>
        <v>1</v>
      </c>
      <c r="AK333" s="11" t="e">
        <f t="shared" si="79"/>
        <v>#DIV/0!</v>
      </c>
      <c r="AL333" s="10">
        <f t="shared" si="74"/>
        <v>0</v>
      </c>
      <c r="AM333" s="14">
        <f t="shared" si="73"/>
        <v>0</v>
      </c>
      <c r="AP333" s="13" t="e">
        <f t="shared" si="80"/>
        <v>#DIV/0!</v>
      </c>
      <c r="AQ333" s="11">
        <v>0.95</v>
      </c>
      <c r="AR333" s="11"/>
      <c r="AS333" s="11"/>
      <c r="AT333" s="11"/>
      <c r="AU333" s="11"/>
      <c r="AV333" s="13"/>
    </row>
    <row r="334" spans="7:48" ht="12.75" customHeight="1">
      <c r="G334" s="11" t="e">
        <f t="shared" si="71"/>
        <v>#DIV/0!</v>
      </c>
      <c r="P334" s="11" t="e">
        <f t="shared" si="72"/>
        <v>#DIV/0!</v>
      </c>
      <c r="R334" s="2"/>
      <c r="S334" s="12">
        <v>5</v>
      </c>
      <c r="Y334">
        <v>70</v>
      </c>
      <c r="AA334" s="11">
        <f t="shared" si="75"/>
        <v>0</v>
      </c>
      <c r="AC334" s="11">
        <f t="shared" si="81"/>
        <v>0</v>
      </c>
      <c r="AG334" s="12" t="e">
        <f t="shared" si="76"/>
        <v>#DIV/0!</v>
      </c>
      <c r="AH334" s="11" t="e">
        <f t="shared" si="77"/>
        <v>#DIV/0!</v>
      </c>
      <c r="AI334" s="11"/>
      <c r="AJ334" s="11">
        <f t="shared" si="78"/>
        <v>1</v>
      </c>
      <c r="AK334" s="11" t="e">
        <f t="shared" si="79"/>
        <v>#DIV/0!</v>
      </c>
      <c r="AL334" s="10">
        <f t="shared" si="74"/>
        <v>0</v>
      </c>
      <c r="AM334" s="14">
        <f t="shared" si="73"/>
        <v>0</v>
      </c>
      <c r="AP334" s="13" t="e">
        <f t="shared" si="80"/>
        <v>#DIV/0!</v>
      </c>
      <c r="AQ334" s="11">
        <v>0.95</v>
      </c>
      <c r="AR334" s="11"/>
      <c r="AS334" s="11"/>
      <c r="AT334" s="11"/>
      <c r="AU334" s="11"/>
      <c r="AV334" s="13"/>
    </row>
    <row r="335" spans="7:48" ht="12.75" customHeight="1">
      <c r="G335" s="11" t="e">
        <f t="shared" si="71"/>
        <v>#DIV/0!</v>
      </c>
      <c r="P335" s="11" t="e">
        <f t="shared" si="72"/>
        <v>#DIV/0!</v>
      </c>
      <c r="R335" s="2"/>
      <c r="S335" s="12">
        <v>5</v>
      </c>
      <c r="Y335">
        <v>70</v>
      </c>
      <c r="AA335" s="11">
        <f t="shared" si="75"/>
        <v>0</v>
      </c>
      <c r="AC335" s="11">
        <f t="shared" si="81"/>
        <v>0</v>
      </c>
      <c r="AG335" s="12" t="e">
        <f t="shared" si="76"/>
        <v>#DIV/0!</v>
      </c>
      <c r="AH335" s="11" t="e">
        <f t="shared" si="77"/>
        <v>#DIV/0!</v>
      </c>
      <c r="AI335" s="11"/>
      <c r="AJ335" s="11">
        <f t="shared" si="78"/>
        <v>1</v>
      </c>
      <c r="AK335" s="11" t="e">
        <f t="shared" si="79"/>
        <v>#DIV/0!</v>
      </c>
      <c r="AL335" s="10">
        <f t="shared" si="74"/>
        <v>0</v>
      </c>
      <c r="AM335" s="14">
        <f t="shared" si="73"/>
        <v>0</v>
      </c>
      <c r="AP335" s="13" t="e">
        <f t="shared" si="80"/>
        <v>#DIV/0!</v>
      </c>
      <c r="AQ335" s="11">
        <v>0.95</v>
      </c>
      <c r="AR335" s="11"/>
      <c r="AS335" s="11"/>
      <c r="AT335" s="11"/>
      <c r="AU335" s="11"/>
      <c r="AV335" s="13"/>
    </row>
    <row r="336" spans="7:48" ht="12.75" customHeight="1">
      <c r="G336" s="11" t="e">
        <f t="shared" si="71"/>
        <v>#DIV/0!</v>
      </c>
      <c r="P336" s="11" t="e">
        <f t="shared" si="72"/>
        <v>#DIV/0!</v>
      </c>
      <c r="R336" s="2"/>
      <c r="S336" s="12">
        <v>5</v>
      </c>
      <c r="Y336">
        <v>70</v>
      </c>
      <c r="AA336" s="11">
        <f t="shared" si="75"/>
        <v>0</v>
      </c>
      <c r="AC336" s="11">
        <f t="shared" si="81"/>
        <v>0</v>
      </c>
      <c r="AG336" s="12" t="e">
        <f t="shared" si="76"/>
        <v>#DIV/0!</v>
      </c>
      <c r="AH336" s="11" t="e">
        <f t="shared" si="77"/>
        <v>#DIV/0!</v>
      </c>
      <c r="AI336" s="11"/>
      <c r="AJ336" s="11">
        <f t="shared" si="78"/>
        <v>1</v>
      </c>
      <c r="AK336" s="11" t="e">
        <f t="shared" si="79"/>
        <v>#DIV/0!</v>
      </c>
      <c r="AL336" s="10">
        <f t="shared" si="74"/>
        <v>0</v>
      </c>
      <c r="AM336" s="14">
        <f t="shared" si="73"/>
        <v>0</v>
      </c>
      <c r="AP336" s="13" t="e">
        <f t="shared" si="80"/>
        <v>#DIV/0!</v>
      </c>
      <c r="AQ336" s="11">
        <v>0.95</v>
      </c>
      <c r="AR336" s="11"/>
      <c r="AS336" s="11"/>
      <c r="AT336" s="11"/>
      <c r="AU336" s="11"/>
      <c r="AV336" s="13"/>
    </row>
    <row r="337" spans="7:48" ht="12.75" customHeight="1">
      <c r="G337" s="11" t="e">
        <f t="shared" si="71"/>
        <v>#DIV/0!</v>
      </c>
      <c r="P337" s="11" t="e">
        <f t="shared" si="72"/>
        <v>#DIV/0!</v>
      </c>
      <c r="R337" s="2"/>
      <c r="S337" s="12">
        <v>5</v>
      </c>
      <c r="Y337">
        <v>70</v>
      </c>
      <c r="AA337" s="11">
        <f t="shared" si="75"/>
        <v>0</v>
      </c>
      <c r="AC337" s="11">
        <f t="shared" si="81"/>
        <v>0</v>
      </c>
      <c r="AG337" s="12" t="e">
        <f t="shared" si="76"/>
        <v>#DIV/0!</v>
      </c>
      <c r="AH337" s="11" t="e">
        <f t="shared" si="77"/>
        <v>#DIV/0!</v>
      </c>
      <c r="AI337" s="11"/>
      <c r="AJ337" s="11">
        <f t="shared" si="78"/>
        <v>1</v>
      </c>
      <c r="AK337" s="11" t="e">
        <f t="shared" si="79"/>
        <v>#DIV/0!</v>
      </c>
      <c r="AL337" s="10">
        <f t="shared" si="74"/>
        <v>0</v>
      </c>
      <c r="AM337" s="14">
        <f t="shared" si="73"/>
        <v>0</v>
      </c>
      <c r="AP337" s="13" t="e">
        <f t="shared" si="80"/>
        <v>#DIV/0!</v>
      </c>
      <c r="AQ337" s="11">
        <v>0.95</v>
      </c>
      <c r="AR337" s="11"/>
      <c r="AS337" s="11"/>
      <c r="AT337" s="11"/>
      <c r="AU337" s="11"/>
      <c r="AV337" s="13"/>
    </row>
    <row r="338" spans="7:48" ht="12.75" customHeight="1">
      <c r="G338" s="11" t="e">
        <f t="shared" si="71"/>
        <v>#DIV/0!</v>
      </c>
      <c r="P338" s="11" t="e">
        <f t="shared" si="72"/>
        <v>#DIV/0!</v>
      </c>
      <c r="R338" s="2"/>
      <c r="S338" s="12">
        <v>5</v>
      </c>
      <c r="Y338">
        <v>70</v>
      </c>
      <c r="AA338" s="11">
        <f t="shared" si="75"/>
        <v>0</v>
      </c>
      <c r="AC338" s="11">
        <f t="shared" si="81"/>
        <v>0</v>
      </c>
      <c r="AG338" s="12" t="e">
        <f t="shared" si="76"/>
        <v>#DIV/0!</v>
      </c>
      <c r="AH338" s="11" t="e">
        <f t="shared" si="77"/>
        <v>#DIV/0!</v>
      </c>
      <c r="AI338" s="11"/>
      <c r="AJ338" s="11">
        <f t="shared" si="78"/>
        <v>1</v>
      </c>
      <c r="AK338" s="11" t="e">
        <f t="shared" si="79"/>
        <v>#DIV/0!</v>
      </c>
      <c r="AL338" s="10">
        <f t="shared" si="74"/>
        <v>0</v>
      </c>
      <c r="AM338" s="14">
        <f t="shared" si="73"/>
        <v>0</v>
      </c>
      <c r="AP338" s="13" t="e">
        <f t="shared" si="80"/>
        <v>#DIV/0!</v>
      </c>
      <c r="AQ338" s="11">
        <v>0.95</v>
      </c>
      <c r="AR338" s="11"/>
      <c r="AS338" s="11"/>
      <c r="AT338" s="11"/>
      <c r="AU338" s="11"/>
      <c r="AV338" s="13"/>
    </row>
    <row r="339" spans="7:48" ht="12.75" customHeight="1">
      <c r="G339" s="11" t="e">
        <f t="shared" si="71"/>
        <v>#DIV/0!</v>
      </c>
      <c r="P339" s="11" t="e">
        <f t="shared" si="72"/>
        <v>#DIV/0!</v>
      </c>
      <c r="R339" s="2"/>
      <c r="S339" s="12">
        <v>5</v>
      </c>
      <c r="Y339">
        <v>70</v>
      </c>
      <c r="AA339" s="11">
        <f t="shared" si="75"/>
        <v>0</v>
      </c>
      <c r="AC339" s="11">
        <f t="shared" si="81"/>
        <v>0</v>
      </c>
      <c r="AG339" s="12" t="e">
        <f t="shared" si="76"/>
        <v>#DIV/0!</v>
      </c>
      <c r="AH339" s="11" t="e">
        <f t="shared" si="77"/>
        <v>#DIV/0!</v>
      </c>
      <c r="AI339" s="11"/>
      <c r="AJ339" s="11">
        <f t="shared" si="78"/>
        <v>1</v>
      </c>
      <c r="AK339" s="11" t="e">
        <f t="shared" si="79"/>
        <v>#DIV/0!</v>
      </c>
      <c r="AL339" s="10">
        <f t="shared" si="74"/>
        <v>0</v>
      </c>
      <c r="AM339" s="14">
        <f t="shared" si="73"/>
        <v>0</v>
      </c>
      <c r="AP339" s="13" t="e">
        <f t="shared" si="80"/>
        <v>#DIV/0!</v>
      </c>
      <c r="AQ339" s="11">
        <v>0.95</v>
      </c>
      <c r="AR339" s="11"/>
      <c r="AS339" s="11"/>
      <c r="AT339" s="11"/>
      <c r="AU339" s="11"/>
      <c r="AV339" s="13"/>
    </row>
    <row r="340" spans="7:48" ht="12.75" customHeight="1">
      <c r="G340" s="11" t="e">
        <f t="shared" si="71"/>
        <v>#DIV/0!</v>
      </c>
      <c r="P340" s="11" t="e">
        <f t="shared" si="72"/>
        <v>#DIV/0!</v>
      </c>
      <c r="R340" s="2"/>
      <c r="S340" s="12">
        <v>5</v>
      </c>
      <c r="Y340">
        <v>70</v>
      </c>
      <c r="AA340" s="11">
        <f t="shared" si="75"/>
        <v>0</v>
      </c>
      <c r="AC340" s="11">
        <f t="shared" si="81"/>
        <v>0</v>
      </c>
      <c r="AG340" s="12" t="e">
        <f t="shared" si="76"/>
        <v>#DIV/0!</v>
      </c>
      <c r="AH340" s="11" t="e">
        <f t="shared" si="77"/>
        <v>#DIV/0!</v>
      </c>
      <c r="AI340" s="11"/>
      <c r="AJ340" s="11">
        <f t="shared" si="78"/>
        <v>1</v>
      </c>
      <c r="AK340" s="11" t="e">
        <f t="shared" si="79"/>
        <v>#DIV/0!</v>
      </c>
      <c r="AL340" s="10">
        <f t="shared" si="74"/>
        <v>0</v>
      </c>
      <c r="AM340" s="14">
        <f t="shared" si="73"/>
        <v>0</v>
      </c>
      <c r="AP340" s="13" t="e">
        <f t="shared" si="80"/>
        <v>#DIV/0!</v>
      </c>
      <c r="AQ340" s="11">
        <v>0.95</v>
      </c>
      <c r="AR340" s="11"/>
      <c r="AS340" s="11"/>
      <c r="AT340" s="11"/>
      <c r="AU340" s="11"/>
      <c r="AV340" s="13"/>
    </row>
    <row r="341" spans="7:48" ht="12.75" customHeight="1">
      <c r="G341" s="11" t="e">
        <f t="shared" si="71"/>
        <v>#DIV/0!</v>
      </c>
      <c r="P341" s="11" t="e">
        <f t="shared" si="72"/>
        <v>#DIV/0!</v>
      </c>
      <c r="R341" s="2"/>
      <c r="S341" s="12">
        <v>5</v>
      </c>
      <c r="Y341">
        <v>70</v>
      </c>
      <c r="AA341" s="11">
        <f t="shared" si="75"/>
        <v>0</v>
      </c>
      <c r="AC341" s="11">
        <f t="shared" si="81"/>
        <v>0</v>
      </c>
      <c r="AG341" s="12" t="e">
        <f t="shared" si="76"/>
        <v>#DIV/0!</v>
      </c>
      <c r="AH341" s="11" t="e">
        <f t="shared" si="77"/>
        <v>#DIV/0!</v>
      </c>
      <c r="AI341" s="11"/>
      <c r="AJ341" s="11">
        <f t="shared" si="78"/>
        <v>1</v>
      </c>
      <c r="AK341" s="11" t="e">
        <f t="shared" si="79"/>
        <v>#DIV/0!</v>
      </c>
      <c r="AL341" s="10">
        <f t="shared" si="74"/>
        <v>0</v>
      </c>
      <c r="AM341" s="14">
        <f t="shared" si="73"/>
        <v>0</v>
      </c>
      <c r="AP341" s="13" t="e">
        <f t="shared" si="80"/>
        <v>#DIV/0!</v>
      </c>
      <c r="AQ341" s="11">
        <v>0.95</v>
      </c>
      <c r="AR341" s="11"/>
      <c r="AS341" s="11"/>
      <c r="AT341" s="11"/>
      <c r="AU341" s="11"/>
      <c r="AV341" s="13"/>
    </row>
    <row r="342" spans="7:48" ht="12.75" customHeight="1">
      <c r="G342" s="11" t="e">
        <f t="shared" si="71"/>
        <v>#DIV/0!</v>
      </c>
      <c r="P342" s="11" t="e">
        <f t="shared" si="72"/>
        <v>#DIV/0!</v>
      </c>
      <c r="R342" s="2"/>
      <c r="S342" s="12">
        <v>5</v>
      </c>
      <c r="Y342">
        <v>70</v>
      </c>
      <c r="AA342" s="11">
        <f t="shared" si="75"/>
        <v>0</v>
      </c>
      <c r="AC342" s="11">
        <f t="shared" si="81"/>
        <v>0</v>
      </c>
      <c r="AG342" s="12" t="e">
        <f t="shared" si="76"/>
        <v>#DIV/0!</v>
      </c>
      <c r="AH342" s="11" t="e">
        <f t="shared" si="77"/>
        <v>#DIV/0!</v>
      </c>
      <c r="AI342" s="11"/>
      <c r="AJ342" s="11">
        <f t="shared" si="78"/>
        <v>1</v>
      </c>
      <c r="AK342" s="11" t="e">
        <f t="shared" si="79"/>
        <v>#DIV/0!</v>
      </c>
      <c r="AL342" s="10">
        <f t="shared" si="74"/>
        <v>0</v>
      </c>
      <c r="AM342" s="14">
        <f t="shared" si="73"/>
        <v>0</v>
      </c>
      <c r="AP342" s="13" t="e">
        <f t="shared" si="80"/>
        <v>#DIV/0!</v>
      </c>
      <c r="AQ342" s="11">
        <v>0.95</v>
      </c>
      <c r="AR342" s="11"/>
      <c r="AS342" s="11"/>
      <c r="AT342" s="11"/>
      <c r="AU342" s="11"/>
      <c r="AV342" s="13"/>
    </row>
    <row r="343" spans="7:48" ht="12.75" customHeight="1">
      <c r="G343" s="11" t="e">
        <f t="shared" si="71"/>
        <v>#DIV/0!</v>
      </c>
      <c r="P343" s="11" t="e">
        <f t="shared" si="72"/>
        <v>#DIV/0!</v>
      </c>
      <c r="R343" s="2"/>
      <c r="S343" s="12">
        <v>5</v>
      </c>
      <c r="Y343">
        <v>70</v>
      </c>
      <c r="AA343" s="11">
        <f t="shared" si="75"/>
        <v>0</v>
      </c>
      <c r="AC343" s="11">
        <f t="shared" si="81"/>
        <v>0</v>
      </c>
      <c r="AG343" s="12" t="e">
        <f t="shared" si="76"/>
        <v>#DIV/0!</v>
      </c>
      <c r="AH343" s="11" t="e">
        <f t="shared" si="77"/>
        <v>#DIV/0!</v>
      </c>
      <c r="AI343" s="11"/>
      <c r="AJ343" s="11">
        <f t="shared" si="78"/>
        <v>1</v>
      </c>
      <c r="AK343" s="11" t="e">
        <f t="shared" si="79"/>
        <v>#DIV/0!</v>
      </c>
      <c r="AL343" s="10">
        <f t="shared" si="74"/>
        <v>0</v>
      </c>
      <c r="AM343" s="14">
        <f t="shared" si="73"/>
        <v>0</v>
      </c>
      <c r="AP343" s="13" t="e">
        <f t="shared" si="80"/>
        <v>#DIV/0!</v>
      </c>
      <c r="AQ343" s="11">
        <v>0.95</v>
      </c>
      <c r="AR343" s="11"/>
      <c r="AS343" s="11"/>
      <c r="AT343" s="11"/>
      <c r="AU343" s="11"/>
      <c r="AV343" s="13"/>
    </row>
    <row r="344" spans="7:48" ht="12.75" customHeight="1">
      <c r="G344" s="11" t="e">
        <f t="shared" si="71"/>
        <v>#DIV/0!</v>
      </c>
      <c r="P344" s="11" t="e">
        <f t="shared" si="72"/>
        <v>#DIV/0!</v>
      </c>
      <c r="R344" s="2"/>
      <c r="S344" s="12">
        <v>5</v>
      </c>
      <c r="Y344">
        <v>70</v>
      </c>
      <c r="AA344" s="11">
        <f t="shared" si="75"/>
        <v>0</v>
      </c>
      <c r="AC344" s="11">
        <f t="shared" si="81"/>
        <v>0</v>
      </c>
      <c r="AG344" s="12" t="e">
        <f t="shared" si="76"/>
        <v>#DIV/0!</v>
      </c>
      <c r="AH344" s="11" t="e">
        <f t="shared" si="77"/>
        <v>#DIV/0!</v>
      </c>
      <c r="AI344" s="11"/>
      <c r="AJ344" s="11">
        <f t="shared" si="78"/>
        <v>1</v>
      </c>
      <c r="AK344" s="11" t="e">
        <f t="shared" si="79"/>
        <v>#DIV/0!</v>
      </c>
      <c r="AL344" s="10">
        <f t="shared" si="74"/>
        <v>0</v>
      </c>
      <c r="AM344" s="14">
        <f t="shared" si="73"/>
        <v>0</v>
      </c>
      <c r="AP344" s="13" t="e">
        <f t="shared" si="80"/>
        <v>#DIV/0!</v>
      </c>
      <c r="AQ344" s="11">
        <v>0.95</v>
      </c>
      <c r="AR344" s="11"/>
      <c r="AS344" s="11"/>
      <c r="AT344" s="11"/>
      <c r="AU344" s="11"/>
      <c r="AV344" s="13"/>
    </row>
    <row r="345" spans="7:48" ht="12.75" customHeight="1">
      <c r="G345" s="11" t="e">
        <f t="shared" si="71"/>
        <v>#DIV/0!</v>
      </c>
      <c r="P345" s="11" t="e">
        <f t="shared" si="72"/>
        <v>#DIV/0!</v>
      </c>
      <c r="R345" s="2"/>
      <c r="S345" s="12">
        <v>5</v>
      </c>
      <c r="Y345">
        <v>70</v>
      </c>
      <c r="AA345" s="11">
        <f t="shared" si="75"/>
        <v>0</v>
      </c>
      <c r="AC345" s="11">
        <f t="shared" si="81"/>
        <v>0</v>
      </c>
      <c r="AG345" s="12" t="e">
        <f t="shared" si="76"/>
        <v>#DIV/0!</v>
      </c>
      <c r="AH345" s="11" t="e">
        <f t="shared" si="77"/>
        <v>#DIV/0!</v>
      </c>
      <c r="AI345" s="11"/>
      <c r="AJ345" s="11">
        <f t="shared" si="78"/>
        <v>1</v>
      </c>
      <c r="AK345" s="11" t="e">
        <f t="shared" si="79"/>
        <v>#DIV/0!</v>
      </c>
      <c r="AL345" s="10">
        <f t="shared" si="74"/>
        <v>0</v>
      </c>
      <c r="AM345" s="14">
        <f t="shared" si="73"/>
        <v>0</v>
      </c>
      <c r="AP345" s="13" t="e">
        <f t="shared" si="80"/>
        <v>#DIV/0!</v>
      </c>
      <c r="AQ345" s="11">
        <v>0.95</v>
      </c>
      <c r="AR345" s="11"/>
      <c r="AS345" s="11"/>
      <c r="AT345" s="11"/>
      <c r="AU345" s="11"/>
      <c r="AV345" s="13"/>
    </row>
    <row r="346" spans="7:48" ht="12.75" customHeight="1">
      <c r="G346" s="11" t="e">
        <f t="shared" si="71"/>
        <v>#DIV/0!</v>
      </c>
      <c r="P346" s="11" t="e">
        <f t="shared" si="72"/>
        <v>#DIV/0!</v>
      </c>
      <c r="R346" s="2"/>
      <c r="S346" s="12">
        <v>5</v>
      </c>
      <c r="Y346">
        <v>70</v>
      </c>
      <c r="AA346" s="11">
        <f t="shared" si="75"/>
        <v>0</v>
      </c>
      <c r="AC346" s="11">
        <f t="shared" si="81"/>
        <v>0</v>
      </c>
      <c r="AG346" s="12" t="e">
        <f t="shared" si="76"/>
        <v>#DIV/0!</v>
      </c>
      <c r="AH346" s="11" t="e">
        <f t="shared" si="77"/>
        <v>#DIV/0!</v>
      </c>
      <c r="AI346" s="11"/>
      <c r="AJ346" s="11">
        <f t="shared" si="78"/>
        <v>1</v>
      </c>
      <c r="AK346" s="11" t="e">
        <f t="shared" si="79"/>
        <v>#DIV/0!</v>
      </c>
      <c r="AL346" s="10">
        <f t="shared" si="74"/>
        <v>0</v>
      </c>
      <c r="AM346" s="14">
        <f t="shared" si="73"/>
        <v>0</v>
      </c>
      <c r="AP346" s="13" t="e">
        <f t="shared" si="80"/>
        <v>#DIV/0!</v>
      </c>
      <c r="AQ346" s="11">
        <v>0.95</v>
      </c>
      <c r="AR346" s="11"/>
      <c r="AS346" s="11"/>
      <c r="AT346" s="11"/>
      <c r="AU346" s="11"/>
      <c r="AV346" s="13" t="e">
        <f>#REF!+(#REF!*AB346)/100</f>
        <v>#REF!</v>
      </c>
    </row>
    <row r="347" spans="7:48" ht="12.75" customHeight="1">
      <c r="G347" s="11" t="e">
        <f t="shared" si="71"/>
        <v>#DIV/0!</v>
      </c>
      <c r="P347" s="11" t="e">
        <f t="shared" si="72"/>
        <v>#DIV/0!</v>
      </c>
      <c r="R347" s="2"/>
      <c r="S347" s="12">
        <v>5</v>
      </c>
      <c r="Y347">
        <v>70</v>
      </c>
      <c r="AA347" s="11">
        <f t="shared" si="75"/>
        <v>0</v>
      </c>
      <c r="AC347" s="11">
        <f t="shared" si="81"/>
        <v>0</v>
      </c>
      <c r="AG347" s="12" t="e">
        <f t="shared" si="76"/>
        <v>#DIV/0!</v>
      </c>
      <c r="AH347" s="11" t="e">
        <f t="shared" si="77"/>
        <v>#DIV/0!</v>
      </c>
      <c r="AI347" s="11"/>
      <c r="AJ347" s="11">
        <f t="shared" si="78"/>
        <v>1</v>
      </c>
      <c r="AK347" s="11" t="e">
        <f t="shared" si="79"/>
        <v>#DIV/0!</v>
      </c>
      <c r="AL347" s="10">
        <f t="shared" si="74"/>
        <v>0</v>
      </c>
      <c r="AM347" s="14">
        <f t="shared" si="73"/>
        <v>0</v>
      </c>
      <c r="AP347" s="13" t="e">
        <f t="shared" si="80"/>
        <v>#DIV/0!</v>
      </c>
      <c r="AQ347" s="11">
        <v>0.95</v>
      </c>
      <c r="AR347" s="11"/>
      <c r="AS347" s="11"/>
      <c r="AT347" s="11"/>
      <c r="AU347" s="11"/>
      <c r="AV347" s="13" t="e">
        <f>#REF!+(#REF!*AB347)/100</f>
        <v>#REF!</v>
      </c>
    </row>
    <row r="348" spans="7:48" ht="12.75" customHeight="1">
      <c r="G348" s="11" t="e">
        <f t="shared" si="71"/>
        <v>#DIV/0!</v>
      </c>
      <c r="P348" s="11" t="e">
        <f t="shared" si="72"/>
        <v>#DIV/0!</v>
      </c>
      <c r="R348" s="2"/>
      <c r="S348" s="12">
        <v>5</v>
      </c>
      <c r="Y348">
        <v>70</v>
      </c>
      <c r="AA348" s="11">
        <f t="shared" si="75"/>
        <v>0</v>
      </c>
      <c r="AC348" s="11">
        <f t="shared" si="81"/>
        <v>0</v>
      </c>
      <c r="AG348" s="12" t="e">
        <f t="shared" si="76"/>
        <v>#DIV/0!</v>
      </c>
      <c r="AH348" s="11" t="e">
        <f t="shared" si="77"/>
        <v>#DIV/0!</v>
      </c>
      <c r="AI348" s="11"/>
      <c r="AJ348" s="11">
        <f t="shared" si="78"/>
        <v>1</v>
      </c>
      <c r="AK348" s="11" t="e">
        <f t="shared" si="79"/>
        <v>#DIV/0!</v>
      </c>
      <c r="AL348" s="10">
        <f t="shared" si="74"/>
        <v>0</v>
      </c>
      <c r="AM348" s="14">
        <f t="shared" si="73"/>
        <v>0</v>
      </c>
      <c r="AP348" s="13" t="e">
        <f t="shared" si="80"/>
        <v>#DIV/0!</v>
      </c>
      <c r="AQ348" s="11">
        <v>0.95</v>
      </c>
      <c r="AR348" s="11"/>
      <c r="AS348" s="11"/>
      <c r="AT348" s="11"/>
      <c r="AU348" s="11"/>
      <c r="AV348" s="13" t="e">
        <f>#REF!+(#REF!*AB348)/100</f>
        <v>#REF!</v>
      </c>
    </row>
    <row r="349" spans="7:48" ht="12.75" customHeight="1">
      <c r="G349" s="11" t="e">
        <f t="shared" si="71"/>
        <v>#DIV/0!</v>
      </c>
      <c r="P349" s="11" t="e">
        <f t="shared" si="72"/>
        <v>#DIV/0!</v>
      </c>
      <c r="R349" s="2"/>
      <c r="S349" s="12">
        <v>5</v>
      </c>
      <c r="Y349">
        <v>70</v>
      </c>
      <c r="AA349" s="11">
        <f t="shared" si="75"/>
        <v>0</v>
      </c>
      <c r="AC349" s="11">
        <f t="shared" si="81"/>
        <v>0</v>
      </c>
      <c r="AG349" s="12" t="e">
        <f t="shared" si="76"/>
        <v>#DIV/0!</v>
      </c>
      <c r="AH349" s="11" t="e">
        <f t="shared" si="77"/>
        <v>#DIV/0!</v>
      </c>
      <c r="AI349" s="11"/>
      <c r="AJ349" s="11">
        <f t="shared" si="78"/>
        <v>1</v>
      </c>
      <c r="AK349" s="11" t="e">
        <f t="shared" si="79"/>
        <v>#DIV/0!</v>
      </c>
      <c r="AL349" s="10">
        <f t="shared" si="74"/>
        <v>0</v>
      </c>
      <c r="AM349" s="14">
        <f t="shared" si="73"/>
        <v>0</v>
      </c>
      <c r="AP349" s="13" t="e">
        <f t="shared" si="80"/>
        <v>#DIV/0!</v>
      </c>
      <c r="AQ349" s="11">
        <v>0.95</v>
      </c>
      <c r="AR349" s="11"/>
      <c r="AS349" s="11"/>
      <c r="AT349" s="11"/>
      <c r="AU349" s="11"/>
      <c r="AV349" s="13" t="e">
        <f>#REF!+(#REF!*AB349)/100</f>
        <v>#REF!</v>
      </c>
    </row>
    <row r="350" spans="7:48" ht="12.75" customHeight="1">
      <c r="G350" s="11" t="e">
        <f t="shared" si="71"/>
        <v>#DIV/0!</v>
      </c>
      <c r="P350" s="11" t="e">
        <f t="shared" si="72"/>
        <v>#DIV/0!</v>
      </c>
      <c r="R350" s="2"/>
      <c r="S350" s="12">
        <v>5</v>
      </c>
      <c r="Y350">
        <v>70</v>
      </c>
      <c r="AA350" s="11">
        <f t="shared" si="75"/>
        <v>0</v>
      </c>
      <c r="AC350" s="11">
        <f t="shared" si="81"/>
        <v>0</v>
      </c>
      <c r="AG350" s="12" t="e">
        <f t="shared" si="76"/>
        <v>#DIV/0!</v>
      </c>
      <c r="AH350" s="11" t="e">
        <f t="shared" si="77"/>
        <v>#DIV/0!</v>
      </c>
      <c r="AI350" s="11"/>
      <c r="AJ350" s="11">
        <f t="shared" si="78"/>
        <v>1</v>
      </c>
      <c r="AK350" s="11" t="e">
        <f t="shared" si="79"/>
        <v>#DIV/0!</v>
      </c>
      <c r="AL350" s="10">
        <f t="shared" si="74"/>
        <v>0</v>
      </c>
      <c r="AM350" s="14">
        <f t="shared" si="73"/>
        <v>0</v>
      </c>
      <c r="AP350" s="13" t="e">
        <f t="shared" si="80"/>
        <v>#DIV/0!</v>
      </c>
      <c r="AQ350" s="11">
        <v>0.95</v>
      </c>
      <c r="AR350" s="11"/>
      <c r="AS350" s="11"/>
      <c r="AT350" s="11"/>
      <c r="AU350" s="11"/>
      <c r="AV350" s="13" t="e">
        <f>#REF!+(#REF!*AB350)/100</f>
        <v>#REF!</v>
      </c>
    </row>
    <row r="351" spans="7:48" ht="12.75" customHeight="1">
      <c r="G351" s="11" t="e">
        <f t="shared" si="71"/>
        <v>#DIV/0!</v>
      </c>
      <c r="P351" s="11" t="e">
        <f t="shared" si="72"/>
        <v>#DIV/0!</v>
      </c>
      <c r="R351" s="2"/>
      <c r="S351" s="12">
        <v>5</v>
      </c>
      <c r="Y351">
        <v>70</v>
      </c>
      <c r="AA351" s="11">
        <f t="shared" si="75"/>
        <v>0</v>
      </c>
      <c r="AC351" s="11">
        <f t="shared" si="81"/>
        <v>0</v>
      </c>
      <c r="AG351" s="12" t="e">
        <f t="shared" si="76"/>
        <v>#DIV/0!</v>
      </c>
      <c r="AH351" s="11" t="e">
        <f t="shared" si="77"/>
        <v>#DIV/0!</v>
      </c>
      <c r="AI351" s="11"/>
      <c r="AJ351" s="11">
        <f t="shared" si="78"/>
        <v>1</v>
      </c>
      <c r="AK351" s="11" t="e">
        <f t="shared" si="79"/>
        <v>#DIV/0!</v>
      </c>
      <c r="AL351" s="10">
        <f t="shared" si="74"/>
        <v>0</v>
      </c>
      <c r="AM351" s="14">
        <f t="shared" si="73"/>
        <v>0</v>
      </c>
      <c r="AP351" s="13" t="e">
        <f t="shared" si="80"/>
        <v>#DIV/0!</v>
      </c>
      <c r="AQ351" s="11">
        <v>0.95</v>
      </c>
      <c r="AR351" s="11"/>
      <c r="AS351" s="11"/>
      <c r="AT351" s="11"/>
      <c r="AU351" s="11"/>
      <c r="AV351" s="13" t="e">
        <f>#REF!+(#REF!*AB351)/100</f>
        <v>#REF!</v>
      </c>
    </row>
    <row r="352" spans="7:48" ht="12.75" customHeight="1">
      <c r="G352" s="11" t="e">
        <f t="shared" si="71"/>
        <v>#DIV/0!</v>
      </c>
      <c r="P352" s="11" t="e">
        <f t="shared" si="72"/>
        <v>#DIV/0!</v>
      </c>
      <c r="R352" s="2"/>
      <c r="S352" s="12">
        <v>5</v>
      </c>
      <c r="Y352">
        <v>70</v>
      </c>
      <c r="AA352" s="11">
        <f t="shared" si="75"/>
        <v>0</v>
      </c>
      <c r="AC352" s="11">
        <f t="shared" si="81"/>
        <v>0</v>
      </c>
      <c r="AG352" s="12" t="e">
        <f t="shared" si="76"/>
        <v>#DIV/0!</v>
      </c>
      <c r="AH352" s="11" t="e">
        <f t="shared" si="77"/>
        <v>#DIV/0!</v>
      </c>
      <c r="AI352" s="11"/>
      <c r="AJ352" s="11">
        <f t="shared" si="78"/>
        <v>1</v>
      </c>
      <c r="AK352" s="11" t="e">
        <f t="shared" si="79"/>
        <v>#DIV/0!</v>
      </c>
      <c r="AL352" s="10">
        <f t="shared" si="74"/>
        <v>0</v>
      </c>
      <c r="AM352" s="14">
        <f t="shared" si="73"/>
        <v>0</v>
      </c>
      <c r="AP352" s="13" t="e">
        <f t="shared" si="80"/>
        <v>#DIV/0!</v>
      </c>
      <c r="AQ352" s="11">
        <v>0.95</v>
      </c>
      <c r="AR352" s="11"/>
      <c r="AS352" s="11"/>
      <c r="AT352" s="11"/>
      <c r="AU352" s="11"/>
      <c r="AV352" s="13" t="e">
        <f>#REF!+(#REF!*AB352)/100</f>
        <v>#REF!</v>
      </c>
    </row>
    <row r="353" spans="7:48" ht="12.75" customHeight="1">
      <c r="G353" s="11" t="e">
        <f t="shared" si="71"/>
        <v>#DIV/0!</v>
      </c>
      <c r="P353" s="11" t="e">
        <f t="shared" si="72"/>
        <v>#DIV/0!</v>
      </c>
      <c r="R353" s="2"/>
      <c r="S353" s="12">
        <v>5</v>
      </c>
      <c r="Y353">
        <v>70</v>
      </c>
      <c r="AA353" s="11">
        <f t="shared" si="75"/>
        <v>0</v>
      </c>
      <c r="AC353" s="11">
        <f t="shared" si="81"/>
        <v>0</v>
      </c>
      <c r="AG353" s="12" t="e">
        <f t="shared" si="76"/>
        <v>#DIV/0!</v>
      </c>
      <c r="AH353" s="11" t="e">
        <f t="shared" si="77"/>
        <v>#DIV/0!</v>
      </c>
      <c r="AI353" s="11"/>
      <c r="AJ353" s="11">
        <f t="shared" si="78"/>
        <v>1</v>
      </c>
      <c r="AK353" s="11" t="e">
        <f t="shared" si="79"/>
        <v>#DIV/0!</v>
      </c>
      <c r="AL353" s="10">
        <f t="shared" si="74"/>
        <v>0</v>
      </c>
      <c r="AM353" s="14">
        <f t="shared" si="73"/>
        <v>0</v>
      </c>
      <c r="AP353" s="13" t="e">
        <f t="shared" si="80"/>
        <v>#DIV/0!</v>
      </c>
      <c r="AQ353" s="11">
        <v>0.95</v>
      </c>
      <c r="AR353" s="11"/>
      <c r="AS353" s="11"/>
      <c r="AT353" s="11"/>
      <c r="AU353" s="11"/>
      <c r="AV353" s="13" t="e">
        <f>#REF!+(#REF!*AB353)/100</f>
        <v>#REF!</v>
      </c>
    </row>
    <row r="354" spans="7:48" ht="12.75" customHeight="1">
      <c r="G354" s="11" t="e">
        <f t="shared" ref="G354:G379" si="82">100*(F354-E354)/F354</f>
        <v>#DIV/0!</v>
      </c>
      <c r="P354" s="11" t="e">
        <f t="shared" ref="P354:P379" si="83">O354/I354</f>
        <v>#DIV/0!</v>
      </c>
      <c r="R354" s="2"/>
      <c r="S354" s="12">
        <v>5</v>
      </c>
      <c r="Y354">
        <v>70</v>
      </c>
      <c r="AA354" s="11">
        <f t="shared" si="75"/>
        <v>0</v>
      </c>
      <c r="AC354" s="11">
        <f t="shared" si="81"/>
        <v>0</v>
      </c>
      <c r="AG354" s="12" t="e">
        <f t="shared" si="76"/>
        <v>#DIV/0!</v>
      </c>
      <c r="AH354" s="11" t="e">
        <f t="shared" si="77"/>
        <v>#DIV/0!</v>
      </c>
      <c r="AI354" s="11"/>
      <c r="AJ354" s="11">
        <f t="shared" si="78"/>
        <v>1</v>
      </c>
      <c r="AK354" s="11" t="e">
        <f t="shared" si="79"/>
        <v>#DIV/0!</v>
      </c>
      <c r="AL354" s="10">
        <f t="shared" si="74"/>
        <v>0</v>
      </c>
      <c r="AM354" s="14">
        <f t="shared" ref="AM354:AM382" si="84">B354</f>
        <v>0</v>
      </c>
      <c r="AP354" s="13" t="e">
        <f t="shared" si="80"/>
        <v>#DIV/0!</v>
      </c>
      <c r="AQ354" s="11">
        <v>0.95</v>
      </c>
      <c r="AR354" s="11"/>
      <c r="AS354" s="11"/>
      <c r="AT354" s="11"/>
      <c r="AU354" s="11"/>
      <c r="AV354" s="13" t="e">
        <f>#REF!+(#REF!*AB354)/100</f>
        <v>#REF!</v>
      </c>
    </row>
    <row r="355" spans="7:48" ht="12.75" customHeight="1">
      <c r="G355" s="11" t="e">
        <f t="shared" si="82"/>
        <v>#DIV/0!</v>
      </c>
      <c r="P355" s="11" t="e">
        <f t="shared" si="83"/>
        <v>#DIV/0!</v>
      </c>
      <c r="R355" s="2"/>
      <c r="S355" s="12">
        <v>5</v>
      </c>
      <c r="Y355">
        <v>70</v>
      </c>
      <c r="AA355" s="11">
        <f t="shared" si="75"/>
        <v>0</v>
      </c>
      <c r="AC355" s="11">
        <f t="shared" si="81"/>
        <v>0</v>
      </c>
      <c r="AG355" s="12" t="e">
        <f t="shared" si="76"/>
        <v>#DIV/0!</v>
      </c>
      <c r="AH355" s="11" t="e">
        <f t="shared" si="77"/>
        <v>#DIV/0!</v>
      </c>
      <c r="AI355" s="11"/>
      <c r="AJ355" s="11">
        <f t="shared" si="78"/>
        <v>1</v>
      </c>
      <c r="AK355" s="11" t="e">
        <f t="shared" si="79"/>
        <v>#DIV/0!</v>
      </c>
      <c r="AL355" s="10">
        <f t="shared" si="74"/>
        <v>0</v>
      </c>
      <c r="AM355" s="14">
        <f t="shared" si="84"/>
        <v>0</v>
      </c>
      <c r="AP355" s="13" t="e">
        <f t="shared" si="80"/>
        <v>#DIV/0!</v>
      </c>
      <c r="AQ355" s="11">
        <v>0.95</v>
      </c>
      <c r="AR355" s="11"/>
      <c r="AS355" s="11"/>
      <c r="AT355" s="11"/>
      <c r="AU355" s="11"/>
      <c r="AV355" s="13" t="e">
        <f>#REF!+(#REF!*AB355)/100</f>
        <v>#REF!</v>
      </c>
    </row>
    <row r="356" spans="7:48" ht="12.75" customHeight="1">
      <c r="G356" s="11" t="e">
        <f t="shared" si="82"/>
        <v>#DIV/0!</v>
      </c>
      <c r="P356" s="11" t="e">
        <f t="shared" si="83"/>
        <v>#DIV/0!</v>
      </c>
      <c r="R356" s="2"/>
      <c r="S356" s="12">
        <v>5</v>
      </c>
      <c r="Y356">
        <v>70</v>
      </c>
      <c r="AA356" s="11">
        <f t="shared" si="75"/>
        <v>0</v>
      </c>
      <c r="AC356" s="11">
        <f t="shared" si="81"/>
        <v>0</v>
      </c>
      <c r="AG356" s="12" t="e">
        <f t="shared" si="76"/>
        <v>#DIV/0!</v>
      </c>
      <c r="AH356" s="11" t="e">
        <f t="shared" si="77"/>
        <v>#DIV/0!</v>
      </c>
      <c r="AI356" s="11"/>
      <c r="AJ356" s="11">
        <f t="shared" si="78"/>
        <v>1</v>
      </c>
      <c r="AK356" s="11" t="e">
        <f t="shared" si="79"/>
        <v>#DIV/0!</v>
      </c>
      <c r="AL356" s="10">
        <f t="shared" si="74"/>
        <v>0</v>
      </c>
      <c r="AM356" s="14">
        <f t="shared" si="84"/>
        <v>0</v>
      </c>
      <c r="AP356" s="13" t="e">
        <f t="shared" si="80"/>
        <v>#DIV/0!</v>
      </c>
      <c r="AQ356" s="11">
        <v>0.95</v>
      </c>
      <c r="AR356" s="11"/>
      <c r="AS356" s="11"/>
      <c r="AT356" s="11"/>
      <c r="AU356" s="11"/>
      <c r="AV356" s="13" t="e">
        <f>#REF!+(#REF!*AB356)/100</f>
        <v>#REF!</v>
      </c>
    </row>
    <row r="357" spans="7:48" ht="12.75" customHeight="1">
      <c r="G357" s="11" t="e">
        <f t="shared" si="82"/>
        <v>#DIV/0!</v>
      </c>
      <c r="P357" s="11" t="e">
        <f t="shared" si="83"/>
        <v>#DIV/0!</v>
      </c>
      <c r="R357" s="2"/>
      <c r="S357" s="12">
        <v>5</v>
      </c>
      <c r="Y357">
        <v>70</v>
      </c>
      <c r="AA357" s="11">
        <f t="shared" si="75"/>
        <v>0</v>
      </c>
      <c r="AC357" s="11">
        <f t="shared" si="81"/>
        <v>0</v>
      </c>
      <c r="AG357" s="12" t="e">
        <f t="shared" si="76"/>
        <v>#DIV/0!</v>
      </c>
      <c r="AH357" s="11" t="e">
        <f t="shared" si="77"/>
        <v>#DIV/0!</v>
      </c>
      <c r="AI357" s="11"/>
      <c r="AJ357" s="11">
        <f t="shared" si="78"/>
        <v>1</v>
      </c>
      <c r="AK357" s="11" t="e">
        <f t="shared" si="79"/>
        <v>#DIV/0!</v>
      </c>
      <c r="AL357" s="10">
        <f t="shared" si="74"/>
        <v>0</v>
      </c>
      <c r="AM357" s="14">
        <f t="shared" si="84"/>
        <v>0</v>
      </c>
      <c r="AP357" s="13" t="e">
        <f t="shared" si="80"/>
        <v>#DIV/0!</v>
      </c>
      <c r="AQ357" s="11">
        <v>0.95</v>
      </c>
      <c r="AR357" s="11"/>
      <c r="AS357" s="11"/>
      <c r="AT357" s="11"/>
      <c r="AU357" s="11"/>
      <c r="AV357" s="13" t="e">
        <f>#REF!+(#REF!*AB357)/100</f>
        <v>#REF!</v>
      </c>
    </row>
    <row r="358" spans="7:48" ht="12.75" customHeight="1">
      <c r="G358" s="11" t="e">
        <f t="shared" si="82"/>
        <v>#DIV/0!</v>
      </c>
      <c r="P358" s="11" t="e">
        <f t="shared" si="83"/>
        <v>#DIV/0!</v>
      </c>
      <c r="R358" s="2"/>
      <c r="S358" s="12">
        <v>5</v>
      </c>
      <c r="Y358">
        <v>70</v>
      </c>
      <c r="AA358" s="11">
        <f t="shared" si="75"/>
        <v>0</v>
      </c>
      <c r="AC358" s="11">
        <f t="shared" si="81"/>
        <v>0</v>
      </c>
      <c r="AG358" s="12" t="e">
        <f t="shared" si="76"/>
        <v>#DIV/0!</v>
      </c>
      <c r="AH358" s="11" t="e">
        <f t="shared" si="77"/>
        <v>#DIV/0!</v>
      </c>
      <c r="AI358" s="11"/>
      <c r="AJ358" s="11">
        <f t="shared" si="78"/>
        <v>1</v>
      </c>
      <c r="AK358" s="11" t="e">
        <f t="shared" si="79"/>
        <v>#DIV/0!</v>
      </c>
      <c r="AL358" s="10">
        <f t="shared" si="74"/>
        <v>0</v>
      </c>
      <c r="AM358" s="14">
        <f t="shared" si="84"/>
        <v>0</v>
      </c>
      <c r="AP358" s="13" t="e">
        <f t="shared" si="80"/>
        <v>#DIV/0!</v>
      </c>
      <c r="AQ358" s="11">
        <v>0.95</v>
      </c>
      <c r="AR358" s="11"/>
      <c r="AS358" s="11"/>
      <c r="AT358" s="11"/>
      <c r="AU358" s="11"/>
      <c r="AV358" s="13" t="e">
        <f>#REF!+(#REF!*AB358)/100</f>
        <v>#REF!</v>
      </c>
    </row>
    <row r="359" spans="7:48" ht="12.75" customHeight="1">
      <c r="G359" s="11" t="e">
        <f t="shared" si="82"/>
        <v>#DIV/0!</v>
      </c>
      <c r="P359" s="11" t="e">
        <f t="shared" si="83"/>
        <v>#DIV/0!</v>
      </c>
      <c r="R359" s="2"/>
      <c r="S359" s="12">
        <v>5</v>
      </c>
      <c r="Y359">
        <v>70</v>
      </c>
      <c r="AA359" s="11">
        <f t="shared" si="75"/>
        <v>0</v>
      </c>
      <c r="AC359" s="11">
        <f t="shared" si="81"/>
        <v>0</v>
      </c>
      <c r="AG359" s="12" t="e">
        <f t="shared" si="76"/>
        <v>#DIV/0!</v>
      </c>
      <c r="AH359" s="11" t="e">
        <f t="shared" si="77"/>
        <v>#DIV/0!</v>
      </c>
      <c r="AI359" s="11"/>
      <c r="AJ359" s="11">
        <f t="shared" si="78"/>
        <v>1</v>
      </c>
      <c r="AK359" s="11" t="e">
        <f t="shared" si="79"/>
        <v>#DIV/0!</v>
      </c>
      <c r="AL359" s="10">
        <f t="shared" si="74"/>
        <v>0</v>
      </c>
      <c r="AM359" s="14">
        <f t="shared" si="84"/>
        <v>0</v>
      </c>
      <c r="AP359" s="13" t="e">
        <f t="shared" si="80"/>
        <v>#DIV/0!</v>
      </c>
      <c r="AQ359" s="11">
        <v>0.95</v>
      </c>
      <c r="AR359" s="11"/>
      <c r="AS359" s="11"/>
      <c r="AT359" s="11"/>
      <c r="AU359" s="11"/>
      <c r="AV359" s="13" t="e">
        <f>#REF!+(#REF!*AB359)/100</f>
        <v>#REF!</v>
      </c>
    </row>
    <row r="360" spans="7:48" ht="12.75" customHeight="1">
      <c r="G360" s="11" t="e">
        <f t="shared" si="82"/>
        <v>#DIV/0!</v>
      </c>
      <c r="P360" s="11" t="e">
        <f t="shared" si="83"/>
        <v>#DIV/0!</v>
      </c>
      <c r="R360" s="2"/>
      <c r="S360" s="12">
        <v>5</v>
      </c>
      <c r="Y360">
        <v>70</v>
      </c>
      <c r="AA360" s="11">
        <f t="shared" si="75"/>
        <v>0</v>
      </c>
      <c r="AC360" s="11">
        <f t="shared" si="81"/>
        <v>0</v>
      </c>
      <c r="AG360" s="12" t="e">
        <f t="shared" si="76"/>
        <v>#DIV/0!</v>
      </c>
      <c r="AH360" s="11" t="e">
        <f t="shared" si="77"/>
        <v>#DIV/0!</v>
      </c>
      <c r="AI360" s="11"/>
      <c r="AJ360" s="11">
        <f t="shared" si="78"/>
        <v>1</v>
      </c>
      <c r="AK360" s="11" t="e">
        <f t="shared" si="79"/>
        <v>#DIV/0!</v>
      </c>
      <c r="AL360" s="10">
        <f t="shared" si="74"/>
        <v>0</v>
      </c>
      <c r="AM360" s="14">
        <f t="shared" si="84"/>
        <v>0</v>
      </c>
      <c r="AP360" s="13" t="e">
        <f t="shared" si="80"/>
        <v>#DIV/0!</v>
      </c>
      <c r="AQ360" s="11">
        <v>0.95</v>
      </c>
      <c r="AR360" s="11"/>
      <c r="AS360" s="11"/>
      <c r="AT360" s="11"/>
      <c r="AU360" s="11"/>
      <c r="AV360" s="13" t="e">
        <f>#REF!+(#REF!*AB360)/100</f>
        <v>#REF!</v>
      </c>
    </row>
    <row r="361" spans="7:48" ht="12.75" customHeight="1">
      <c r="G361" s="11" t="e">
        <f t="shared" si="82"/>
        <v>#DIV/0!</v>
      </c>
      <c r="P361" s="11" t="e">
        <f t="shared" si="83"/>
        <v>#DIV/0!</v>
      </c>
      <c r="R361" s="2"/>
      <c r="S361" s="12">
        <v>5</v>
      </c>
      <c r="Y361">
        <v>70</v>
      </c>
      <c r="AA361" s="11">
        <f t="shared" si="75"/>
        <v>0</v>
      </c>
      <c r="AC361" s="11">
        <f t="shared" si="81"/>
        <v>0</v>
      </c>
      <c r="AG361" s="12" t="e">
        <f t="shared" si="76"/>
        <v>#DIV/0!</v>
      </c>
      <c r="AH361" s="11" t="e">
        <f t="shared" si="77"/>
        <v>#DIV/0!</v>
      </c>
      <c r="AI361" s="11"/>
      <c r="AJ361" s="11">
        <f t="shared" si="78"/>
        <v>1</v>
      </c>
      <c r="AK361" s="11" t="e">
        <f t="shared" si="79"/>
        <v>#DIV/0!</v>
      </c>
      <c r="AL361" s="10">
        <f t="shared" si="74"/>
        <v>0</v>
      </c>
      <c r="AM361" s="14">
        <f t="shared" si="84"/>
        <v>0</v>
      </c>
      <c r="AP361" s="13" t="e">
        <f t="shared" si="80"/>
        <v>#DIV/0!</v>
      </c>
      <c r="AQ361" s="11">
        <v>0.95</v>
      </c>
      <c r="AR361" s="11"/>
      <c r="AS361" s="11"/>
      <c r="AT361" s="11"/>
      <c r="AU361" s="11"/>
      <c r="AV361" s="13" t="e">
        <f>#REF!+(#REF!*AB361)/100</f>
        <v>#REF!</v>
      </c>
    </row>
    <row r="362" spans="7:48" ht="12.75" customHeight="1">
      <c r="G362" s="11" t="e">
        <f t="shared" si="82"/>
        <v>#DIV/0!</v>
      </c>
      <c r="P362" s="11" t="e">
        <f t="shared" si="83"/>
        <v>#DIV/0!</v>
      </c>
      <c r="R362" s="2"/>
      <c r="S362" s="12">
        <v>5</v>
      </c>
      <c r="Y362">
        <v>70</v>
      </c>
      <c r="AA362" s="11">
        <f t="shared" si="75"/>
        <v>0</v>
      </c>
      <c r="AC362" s="11">
        <f t="shared" si="81"/>
        <v>0</v>
      </c>
      <c r="AG362" s="12" t="e">
        <f t="shared" si="76"/>
        <v>#DIV/0!</v>
      </c>
      <c r="AH362" s="11" t="e">
        <f t="shared" si="77"/>
        <v>#DIV/0!</v>
      </c>
      <c r="AI362" s="11"/>
      <c r="AJ362" s="11">
        <f t="shared" si="78"/>
        <v>1</v>
      </c>
      <c r="AK362" s="11" t="e">
        <f t="shared" si="79"/>
        <v>#DIV/0!</v>
      </c>
      <c r="AL362" s="10">
        <f t="shared" si="74"/>
        <v>0</v>
      </c>
      <c r="AM362" s="14">
        <f t="shared" si="84"/>
        <v>0</v>
      </c>
      <c r="AP362" s="13" t="e">
        <f t="shared" si="80"/>
        <v>#DIV/0!</v>
      </c>
      <c r="AQ362" s="11">
        <v>0.95</v>
      </c>
      <c r="AR362" s="11"/>
      <c r="AS362" s="11"/>
      <c r="AT362" s="11"/>
      <c r="AU362" s="11"/>
      <c r="AV362" s="13" t="e">
        <f>#REF!+(#REF!*AB362)/100</f>
        <v>#REF!</v>
      </c>
    </row>
    <row r="363" spans="7:48" ht="12.75" customHeight="1">
      <c r="G363" s="11" t="e">
        <f t="shared" si="82"/>
        <v>#DIV/0!</v>
      </c>
      <c r="P363" s="11" t="e">
        <f t="shared" si="83"/>
        <v>#DIV/0!</v>
      </c>
      <c r="R363" s="2"/>
      <c r="S363" s="12">
        <v>5</v>
      </c>
      <c r="Y363">
        <v>70</v>
      </c>
      <c r="AA363" s="11">
        <f t="shared" si="75"/>
        <v>0</v>
      </c>
      <c r="AC363" s="11">
        <f t="shared" si="81"/>
        <v>0</v>
      </c>
      <c r="AG363" s="12" t="e">
        <f t="shared" si="76"/>
        <v>#DIV/0!</v>
      </c>
      <c r="AH363" s="11" t="e">
        <f t="shared" si="77"/>
        <v>#DIV/0!</v>
      </c>
      <c r="AI363" s="11"/>
      <c r="AJ363" s="11">
        <f t="shared" si="78"/>
        <v>1</v>
      </c>
      <c r="AK363" s="11" t="e">
        <f t="shared" si="79"/>
        <v>#DIV/0!</v>
      </c>
      <c r="AL363" s="10">
        <f t="shared" si="74"/>
        <v>0</v>
      </c>
      <c r="AM363" s="14">
        <f t="shared" si="84"/>
        <v>0</v>
      </c>
      <c r="AP363" s="13" t="e">
        <f t="shared" si="80"/>
        <v>#DIV/0!</v>
      </c>
      <c r="AQ363" s="11">
        <v>0.95</v>
      </c>
      <c r="AR363" s="11"/>
      <c r="AS363" s="11"/>
      <c r="AT363" s="11"/>
      <c r="AU363" s="11"/>
      <c r="AV363" s="13" t="e">
        <f>#REF!+(#REF!*AB363)/100</f>
        <v>#REF!</v>
      </c>
    </row>
    <row r="364" spans="7:48" ht="12.75" customHeight="1">
      <c r="G364" s="11" t="e">
        <f t="shared" si="82"/>
        <v>#DIV/0!</v>
      </c>
      <c r="P364" s="11" t="e">
        <f t="shared" si="83"/>
        <v>#DIV/0!</v>
      </c>
      <c r="R364" s="2"/>
      <c r="S364" s="12">
        <v>5</v>
      </c>
      <c r="Y364">
        <v>70</v>
      </c>
      <c r="AA364" s="11">
        <f t="shared" si="75"/>
        <v>0</v>
      </c>
      <c r="AC364" s="11">
        <f t="shared" si="81"/>
        <v>0</v>
      </c>
      <c r="AG364" s="12" t="e">
        <f t="shared" si="76"/>
        <v>#DIV/0!</v>
      </c>
      <c r="AH364" s="11" t="e">
        <f t="shared" si="77"/>
        <v>#DIV/0!</v>
      </c>
      <c r="AI364" s="11"/>
      <c r="AJ364" s="11">
        <f t="shared" si="78"/>
        <v>1</v>
      </c>
      <c r="AK364" s="11" t="e">
        <f t="shared" si="79"/>
        <v>#DIV/0!</v>
      </c>
      <c r="AL364" s="10">
        <f t="shared" si="74"/>
        <v>0</v>
      </c>
      <c r="AM364" s="14">
        <f t="shared" si="84"/>
        <v>0</v>
      </c>
      <c r="AP364" s="13" t="e">
        <f t="shared" si="80"/>
        <v>#DIV/0!</v>
      </c>
      <c r="AQ364" s="11">
        <v>0.95</v>
      </c>
      <c r="AR364" s="11"/>
      <c r="AS364" s="11"/>
      <c r="AT364" s="11"/>
      <c r="AU364" s="11"/>
      <c r="AV364" s="13" t="e">
        <f>#REF!+(#REF!*AB364)/100</f>
        <v>#REF!</v>
      </c>
    </row>
    <row r="365" spans="7:48" ht="12.75" customHeight="1">
      <c r="G365" s="11" t="e">
        <f t="shared" si="82"/>
        <v>#DIV/0!</v>
      </c>
      <c r="P365" s="11" t="e">
        <f t="shared" si="83"/>
        <v>#DIV/0!</v>
      </c>
      <c r="R365" s="2"/>
      <c r="S365" s="12">
        <v>5</v>
      </c>
      <c r="Y365">
        <v>70</v>
      </c>
      <c r="AA365" s="11">
        <f t="shared" si="75"/>
        <v>0</v>
      </c>
      <c r="AC365" s="11">
        <f t="shared" si="81"/>
        <v>0</v>
      </c>
      <c r="AG365" s="12" t="e">
        <f t="shared" si="76"/>
        <v>#DIV/0!</v>
      </c>
      <c r="AH365" s="11" t="e">
        <f t="shared" si="77"/>
        <v>#DIV/0!</v>
      </c>
      <c r="AI365" s="11"/>
      <c r="AJ365" s="11">
        <f t="shared" si="78"/>
        <v>1</v>
      </c>
      <c r="AK365" s="11" t="e">
        <f t="shared" si="79"/>
        <v>#DIV/0!</v>
      </c>
      <c r="AL365" s="10">
        <f t="shared" si="74"/>
        <v>0</v>
      </c>
      <c r="AM365" s="14">
        <f t="shared" si="84"/>
        <v>0</v>
      </c>
      <c r="AP365" s="13" t="e">
        <f t="shared" si="80"/>
        <v>#DIV/0!</v>
      </c>
      <c r="AQ365" s="11">
        <v>0.95</v>
      </c>
      <c r="AR365" s="11"/>
      <c r="AS365" s="11"/>
      <c r="AT365" s="11"/>
      <c r="AU365" s="11"/>
      <c r="AV365" s="13" t="e">
        <f>#REF!+(#REF!*AB365)/100</f>
        <v>#REF!</v>
      </c>
    </row>
    <row r="366" spans="7:48" ht="12.75" customHeight="1">
      <c r="G366" s="11" t="e">
        <f t="shared" si="82"/>
        <v>#DIV/0!</v>
      </c>
      <c r="P366" s="11" t="e">
        <f t="shared" si="83"/>
        <v>#DIV/0!</v>
      </c>
      <c r="R366" s="2"/>
      <c r="S366" s="12">
        <v>5</v>
      </c>
      <c r="Y366">
        <v>70</v>
      </c>
      <c r="AA366" s="11">
        <f t="shared" si="75"/>
        <v>0</v>
      </c>
      <c r="AC366" s="11">
        <f t="shared" si="81"/>
        <v>0</v>
      </c>
      <c r="AG366" s="12" t="e">
        <f t="shared" si="76"/>
        <v>#DIV/0!</v>
      </c>
      <c r="AH366" s="11" t="e">
        <f t="shared" si="77"/>
        <v>#DIV/0!</v>
      </c>
      <c r="AI366" s="11"/>
      <c r="AJ366" s="11">
        <f t="shared" si="78"/>
        <v>1</v>
      </c>
      <c r="AK366" s="11" t="e">
        <f t="shared" si="79"/>
        <v>#DIV/0!</v>
      </c>
      <c r="AL366" s="10">
        <f t="shared" si="74"/>
        <v>0</v>
      </c>
      <c r="AM366" s="14">
        <f t="shared" si="84"/>
        <v>0</v>
      </c>
      <c r="AP366" s="13" t="e">
        <f t="shared" si="80"/>
        <v>#DIV/0!</v>
      </c>
      <c r="AQ366" s="11">
        <v>0.95</v>
      </c>
      <c r="AR366" s="11"/>
      <c r="AS366" s="11"/>
      <c r="AT366" s="11"/>
      <c r="AU366" s="11"/>
      <c r="AV366" s="13" t="e">
        <f>#REF!+(#REF!*AB366)/100</f>
        <v>#REF!</v>
      </c>
    </row>
    <row r="367" spans="7:48" ht="12.75" customHeight="1">
      <c r="G367" s="11" t="e">
        <f t="shared" si="82"/>
        <v>#DIV/0!</v>
      </c>
      <c r="P367" s="11" t="e">
        <f t="shared" si="83"/>
        <v>#DIV/0!</v>
      </c>
      <c r="R367" s="2"/>
      <c r="S367" s="12">
        <v>5</v>
      </c>
      <c r="Y367">
        <v>70</v>
      </c>
      <c r="AA367" s="11">
        <f t="shared" si="75"/>
        <v>0</v>
      </c>
      <c r="AC367" s="11">
        <f t="shared" si="81"/>
        <v>0</v>
      </c>
      <c r="AG367" s="12" t="e">
        <f t="shared" si="76"/>
        <v>#DIV/0!</v>
      </c>
      <c r="AH367" s="11" t="e">
        <f t="shared" si="77"/>
        <v>#DIV/0!</v>
      </c>
      <c r="AI367" s="11"/>
      <c r="AJ367" s="11">
        <f t="shared" si="78"/>
        <v>1</v>
      </c>
      <c r="AK367" s="11" t="e">
        <f t="shared" si="79"/>
        <v>#DIV/0!</v>
      </c>
      <c r="AL367" s="10">
        <f t="shared" si="74"/>
        <v>0</v>
      </c>
      <c r="AM367" s="14">
        <f t="shared" si="84"/>
        <v>0</v>
      </c>
      <c r="AP367" s="13" t="e">
        <f t="shared" si="80"/>
        <v>#DIV/0!</v>
      </c>
      <c r="AQ367" s="11">
        <v>0.95</v>
      </c>
      <c r="AR367" s="11"/>
      <c r="AS367" s="11"/>
      <c r="AT367" s="11"/>
      <c r="AU367" s="11"/>
      <c r="AV367" s="13" t="e">
        <f>#REF!+(#REF!*AB367)/100</f>
        <v>#REF!</v>
      </c>
    </row>
    <row r="368" spans="7:48" ht="12.75" customHeight="1">
      <c r="G368" s="11" t="e">
        <f t="shared" si="82"/>
        <v>#DIV/0!</v>
      </c>
      <c r="P368" s="11" t="e">
        <f t="shared" si="83"/>
        <v>#DIV/0!</v>
      </c>
      <c r="R368" s="2"/>
      <c r="S368" s="12">
        <v>5</v>
      </c>
      <c r="Y368">
        <v>70</v>
      </c>
      <c r="AA368" s="11">
        <f t="shared" si="75"/>
        <v>0</v>
      </c>
      <c r="AC368" s="11">
        <f t="shared" si="81"/>
        <v>0</v>
      </c>
      <c r="AG368" s="12" t="e">
        <f t="shared" si="76"/>
        <v>#DIV/0!</v>
      </c>
      <c r="AH368" s="11" t="e">
        <f t="shared" si="77"/>
        <v>#DIV/0!</v>
      </c>
      <c r="AI368" s="11"/>
      <c r="AJ368" s="11">
        <f t="shared" si="78"/>
        <v>1</v>
      </c>
      <c r="AK368" s="11" t="e">
        <f t="shared" si="79"/>
        <v>#DIV/0!</v>
      </c>
      <c r="AL368" s="10">
        <f t="shared" si="74"/>
        <v>0</v>
      </c>
      <c r="AM368" s="14">
        <f t="shared" si="84"/>
        <v>0</v>
      </c>
      <c r="AP368" s="13" t="e">
        <f t="shared" si="80"/>
        <v>#DIV/0!</v>
      </c>
      <c r="AQ368" s="11">
        <v>0.95</v>
      </c>
      <c r="AR368" s="11"/>
      <c r="AS368" s="11"/>
      <c r="AT368" s="11"/>
      <c r="AU368" s="11"/>
      <c r="AV368" s="13" t="e">
        <f>#REF!+(#REF!*AB368)/100</f>
        <v>#REF!</v>
      </c>
    </row>
    <row r="369" spans="7:48" ht="12.75" customHeight="1">
      <c r="G369" s="11" t="e">
        <f t="shared" si="82"/>
        <v>#DIV/0!</v>
      </c>
      <c r="P369" s="11" t="e">
        <f t="shared" si="83"/>
        <v>#DIV/0!</v>
      </c>
      <c r="R369" s="2"/>
      <c r="S369" s="12">
        <v>0</v>
      </c>
      <c r="Y369">
        <v>70</v>
      </c>
      <c r="AA369" s="11">
        <f t="shared" si="75"/>
        <v>0</v>
      </c>
      <c r="AC369" s="11">
        <f t="shared" si="81"/>
        <v>0</v>
      </c>
      <c r="AG369" s="12" t="e">
        <f t="shared" si="76"/>
        <v>#DIV/0!</v>
      </c>
      <c r="AH369" s="11" t="e">
        <f t="shared" si="77"/>
        <v>#DIV/0!</v>
      </c>
      <c r="AI369" s="11"/>
      <c r="AJ369" s="11">
        <f t="shared" si="78"/>
        <v>1</v>
      </c>
      <c r="AK369" s="11" t="e">
        <f t="shared" si="79"/>
        <v>#DIV/0!</v>
      </c>
      <c r="AL369" s="10">
        <f t="shared" si="74"/>
        <v>0</v>
      </c>
      <c r="AM369" s="14">
        <f t="shared" si="84"/>
        <v>0</v>
      </c>
      <c r="AP369" s="13" t="e">
        <f t="shared" si="80"/>
        <v>#DIV/0!</v>
      </c>
      <c r="AQ369" s="11">
        <v>0.95</v>
      </c>
      <c r="AR369" s="11"/>
      <c r="AS369" s="11"/>
      <c r="AT369" s="11"/>
      <c r="AU369" s="11"/>
      <c r="AV369" s="13" t="e">
        <f>#REF!+(#REF!*AB369)/100</f>
        <v>#REF!</v>
      </c>
    </row>
    <row r="370" spans="7:48" ht="12.75" customHeight="1">
      <c r="G370" s="11" t="e">
        <f t="shared" si="82"/>
        <v>#DIV/0!</v>
      </c>
      <c r="P370" s="11" t="e">
        <f t="shared" si="83"/>
        <v>#DIV/0!</v>
      </c>
      <c r="R370" s="2"/>
      <c r="S370" s="12">
        <v>0</v>
      </c>
      <c r="Y370">
        <v>70</v>
      </c>
      <c r="AA370" s="11">
        <f t="shared" si="75"/>
        <v>0</v>
      </c>
      <c r="AC370" s="11">
        <f t="shared" si="81"/>
        <v>0</v>
      </c>
      <c r="AG370" s="12" t="e">
        <f t="shared" si="76"/>
        <v>#DIV/0!</v>
      </c>
      <c r="AH370" s="11" t="e">
        <f t="shared" si="77"/>
        <v>#DIV/0!</v>
      </c>
      <c r="AI370" s="11"/>
      <c r="AJ370" s="11">
        <f t="shared" si="78"/>
        <v>1</v>
      </c>
      <c r="AK370" s="11" t="e">
        <f t="shared" si="79"/>
        <v>#DIV/0!</v>
      </c>
      <c r="AL370" s="10">
        <f t="shared" si="74"/>
        <v>0</v>
      </c>
      <c r="AM370" s="14">
        <f t="shared" si="84"/>
        <v>0</v>
      </c>
      <c r="AP370" s="13" t="e">
        <f t="shared" si="80"/>
        <v>#DIV/0!</v>
      </c>
      <c r="AQ370" s="11">
        <v>0.95</v>
      </c>
      <c r="AR370" s="11"/>
      <c r="AS370" s="11"/>
      <c r="AT370" s="11"/>
      <c r="AU370" s="11"/>
      <c r="AV370" s="13" t="e">
        <f>#REF!+(#REF!*AB370)/100</f>
        <v>#REF!</v>
      </c>
    </row>
    <row r="371" spans="7:48" ht="12.75" customHeight="1">
      <c r="G371" s="11" t="e">
        <f t="shared" si="82"/>
        <v>#DIV/0!</v>
      </c>
      <c r="P371" s="11" t="e">
        <f t="shared" si="83"/>
        <v>#DIV/0!</v>
      </c>
      <c r="R371" s="2"/>
      <c r="Y371">
        <v>70</v>
      </c>
      <c r="AA371" s="11">
        <f t="shared" si="75"/>
        <v>0</v>
      </c>
      <c r="AC371" s="11">
        <f t="shared" si="81"/>
        <v>0</v>
      </c>
      <c r="AG371" s="12" t="e">
        <f t="shared" si="76"/>
        <v>#DIV/0!</v>
      </c>
      <c r="AH371" s="11" t="e">
        <f t="shared" si="77"/>
        <v>#DIV/0!</v>
      </c>
      <c r="AI371" s="11"/>
      <c r="AJ371" s="11">
        <f t="shared" si="78"/>
        <v>1</v>
      </c>
      <c r="AK371" s="11" t="e">
        <f t="shared" si="79"/>
        <v>#DIV/0!</v>
      </c>
      <c r="AL371" s="10">
        <f t="shared" si="74"/>
        <v>0</v>
      </c>
      <c r="AM371" s="14">
        <f t="shared" si="84"/>
        <v>0</v>
      </c>
      <c r="AP371" s="13" t="e">
        <f t="shared" si="80"/>
        <v>#DIV/0!</v>
      </c>
      <c r="AQ371" s="11">
        <v>0.95</v>
      </c>
      <c r="AR371" s="11"/>
      <c r="AS371" s="11"/>
      <c r="AT371" s="11"/>
      <c r="AU371" s="11"/>
      <c r="AV371" s="13" t="e">
        <f>#REF!+(#REF!*AB371)/100</f>
        <v>#REF!</v>
      </c>
    </row>
    <row r="372" spans="7:48" ht="12.75" customHeight="1">
      <c r="G372" s="11" t="e">
        <f t="shared" si="82"/>
        <v>#DIV/0!</v>
      </c>
      <c r="P372" s="11" t="e">
        <f t="shared" si="83"/>
        <v>#DIV/0!</v>
      </c>
      <c r="R372" s="2"/>
      <c r="Y372">
        <v>70</v>
      </c>
      <c r="AA372" s="11">
        <f t="shared" si="75"/>
        <v>0</v>
      </c>
      <c r="AC372" s="11">
        <f t="shared" si="81"/>
        <v>0</v>
      </c>
      <c r="AG372" s="12" t="e">
        <f t="shared" si="76"/>
        <v>#DIV/0!</v>
      </c>
      <c r="AH372" s="11" t="e">
        <f t="shared" si="77"/>
        <v>#DIV/0!</v>
      </c>
      <c r="AI372" s="11"/>
      <c r="AJ372" s="11">
        <f t="shared" si="78"/>
        <v>1</v>
      </c>
      <c r="AK372" s="11" t="e">
        <f t="shared" si="79"/>
        <v>#DIV/0!</v>
      </c>
      <c r="AL372" s="10">
        <f t="shared" si="74"/>
        <v>0</v>
      </c>
      <c r="AM372" s="14">
        <f t="shared" si="84"/>
        <v>0</v>
      </c>
      <c r="AP372" s="13" t="e">
        <f t="shared" si="80"/>
        <v>#DIV/0!</v>
      </c>
      <c r="AQ372" s="11">
        <v>0.95</v>
      </c>
      <c r="AR372" s="11"/>
      <c r="AS372" s="11"/>
      <c r="AT372" s="11"/>
      <c r="AU372" s="11"/>
      <c r="AV372" s="13" t="e">
        <f>#REF!+(#REF!*AB372)/100</f>
        <v>#REF!</v>
      </c>
    </row>
    <row r="373" spans="7:48" ht="12.75" customHeight="1">
      <c r="G373" s="11" t="e">
        <f t="shared" si="82"/>
        <v>#DIV/0!</v>
      </c>
      <c r="P373" s="11" t="e">
        <f t="shared" si="83"/>
        <v>#DIV/0!</v>
      </c>
      <c r="R373" s="2"/>
      <c r="Y373">
        <v>70</v>
      </c>
      <c r="AA373" s="11">
        <f t="shared" si="75"/>
        <v>0</v>
      </c>
      <c r="AC373" s="11">
        <f t="shared" si="81"/>
        <v>0</v>
      </c>
      <c r="AG373" s="12" t="e">
        <f t="shared" si="76"/>
        <v>#DIV/0!</v>
      </c>
      <c r="AH373" s="11" t="e">
        <f t="shared" si="77"/>
        <v>#DIV/0!</v>
      </c>
      <c r="AI373" s="11"/>
      <c r="AJ373" s="11">
        <f t="shared" si="78"/>
        <v>1</v>
      </c>
      <c r="AK373" s="11" t="e">
        <f t="shared" si="79"/>
        <v>#DIV/0!</v>
      </c>
      <c r="AL373" s="10">
        <f t="shared" si="74"/>
        <v>0</v>
      </c>
      <c r="AM373" s="14">
        <f t="shared" si="84"/>
        <v>0</v>
      </c>
      <c r="AP373" s="13" t="e">
        <f t="shared" si="80"/>
        <v>#DIV/0!</v>
      </c>
      <c r="AQ373" s="11">
        <v>0.95</v>
      </c>
      <c r="AR373" s="11"/>
      <c r="AS373" s="11"/>
      <c r="AT373" s="11"/>
      <c r="AU373" s="11"/>
      <c r="AV373" s="13" t="e">
        <f>#REF!+(#REF!*AB373)/100</f>
        <v>#REF!</v>
      </c>
    </row>
    <row r="374" spans="7:48" ht="12.75" customHeight="1">
      <c r="G374" s="11" t="e">
        <f t="shared" si="82"/>
        <v>#DIV/0!</v>
      </c>
      <c r="P374" s="11" t="e">
        <f t="shared" si="83"/>
        <v>#DIV/0!</v>
      </c>
      <c r="R374" s="2"/>
      <c r="Y374">
        <v>70</v>
      </c>
      <c r="AA374" s="11">
        <f t="shared" si="75"/>
        <v>0</v>
      </c>
      <c r="AC374" s="11">
        <f t="shared" si="81"/>
        <v>0</v>
      </c>
      <c r="AG374" s="12" t="e">
        <f t="shared" si="76"/>
        <v>#DIV/0!</v>
      </c>
      <c r="AH374" s="11" t="e">
        <f t="shared" si="77"/>
        <v>#DIV/0!</v>
      </c>
      <c r="AI374" s="11"/>
      <c r="AJ374" s="11">
        <f t="shared" si="78"/>
        <v>1</v>
      </c>
      <c r="AK374" s="11" t="e">
        <f t="shared" si="79"/>
        <v>#DIV/0!</v>
      </c>
      <c r="AL374" s="10">
        <f t="shared" si="74"/>
        <v>0</v>
      </c>
      <c r="AM374" s="14">
        <f t="shared" si="84"/>
        <v>0</v>
      </c>
      <c r="AP374" s="13" t="e">
        <f t="shared" si="80"/>
        <v>#DIV/0!</v>
      </c>
      <c r="AQ374" s="11">
        <v>0.95</v>
      </c>
      <c r="AR374" s="11"/>
      <c r="AS374" s="11"/>
      <c r="AT374" s="11"/>
      <c r="AU374" s="11"/>
      <c r="AV374" s="13" t="e">
        <f>#REF!+(#REF!*AB374)/100</f>
        <v>#REF!</v>
      </c>
    </row>
    <row r="375" spans="7:48" ht="12.75" customHeight="1">
      <c r="G375" s="11" t="e">
        <f t="shared" si="82"/>
        <v>#DIV/0!</v>
      </c>
      <c r="P375" s="11" t="e">
        <f t="shared" si="83"/>
        <v>#DIV/0!</v>
      </c>
      <c r="R375" s="2"/>
      <c r="Y375">
        <v>70</v>
      </c>
      <c r="AA375" s="11">
        <f t="shared" si="75"/>
        <v>0</v>
      </c>
      <c r="AC375" s="11">
        <f t="shared" si="81"/>
        <v>0</v>
      </c>
      <c r="AG375" s="12" t="e">
        <f t="shared" si="76"/>
        <v>#DIV/0!</v>
      </c>
      <c r="AH375" s="11" t="e">
        <f t="shared" si="77"/>
        <v>#DIV/0!</v>
      </c>
      <c r="AI375" s="11"/>
      <c r="AJ375" s="11">
        <f t="shared" si="78"/>
        <v>1</v>
      </c>
      <c r="AK375" s="11" t="e">
        <f t="shared" si="79"/>
        <v>#DIV/0!</v>
      </c>
      <c r="AL375" s="10">
        <f t="shared" si="74"/>
        <v>0</v>
      </c>
      <c r="AM375" s="14">
        <f t="shared" si="84"/>
        <v>0</v>
      </c>
      <c r="AP375" s="13" t="e">
        <f t="shared" si="80"/>
        <v>#DIV/0!</v>
      </c>
      <c r="AQ375" s="11">
        <v>0.95</v>
      </c>
      <c r="AR375" s="11"/>
      <c r="AS375" s="11"/>
      <c r="AT375" s="11"/>
      <c r="AU375" s="11"/>
      <c r="AV375" s="13" t="e">
        <f>#REF!+(#REF!*AB375)/100</f>
        <v>#REF!</v>
      </c>
    </row>
    <row r="376" spans="7:48" ht="12.75" customHeight="1">
      <c r="G376" s="11" t="e">
        <f t="shared" si="82"/>
        <v>#DIV/0!</v>
      </c>
      <c r="P376" s="11" t="e">
        <f t="shared" si="83"/>
        <v>#DIV/0!</v>
      </c>
      <c r="R376" s="2"/>
      <c r="Y376">
        <v>70</v>
      </c>
      <c r="AA376" s="11">
        <f>IF(X376&lt;50,IF(Y376&gt;(2.3*X376),0,1),1)</f>
        <v>0</v>
      </c>
      <c r="AC376" s="11">
        <f t="shared" si="81"/>
        <v>0</v>
      </c>
      <c r="AG376" s="12" t="e">
        <f t="shared" si="76"/>
        <v>#DIV/0!</v>
      </c>
      <c r="AH376" s="11" t="e">
        <f t="shared" si="77"/>
        <v>#DIV/0!</v>
      </c>
      <c r="AI376" s="11"/>
      <c r="AJ376" s="11">
        <f t="shared" si="78"/>
        <v>1</v>
      </c>
      <c r="AK376" s="11"/>
      <c r="AL376" s="10">
        <f t="shared" si="74"/>
        <v>0</v>
      </c>
      <c r="AM376" s="14">
        <f t="shared" si="84"/>
        <v>0</v>
      </c>
      <c r="AP376" s="13">
        <f t="shared" si="80"/>
        <v>0</v>
      </c>
      <c r="AQ376" s="11">
        <v>0.95</v>
      </c>
      <c r="AR376" s="11"/>
      <c r="AS376" s="11"/>
      <c r="AT376" s="11"/>
      <c r="AU376" s="11"/>
      <c r="AV376" s="13" t="e">
        <f>#REF!+(#REF!*AB376)/100</f>
        <v>#REF!</v>
      </c>
    </row>
    <row r="377" spans="7:48" ht="12.75" customHeight="1">
      <c r="G377" s="11" t="e">
        <f t="shared" si="82"/>
        <v>#DIV/0!</v>
      </c>
      <c r="P377" s="11" t="e">
        <f t="shared" si="83"/>
        <v>#DIV/0!</v>
      </c>
      <c r="R377" s="2"/>
      <c r="Y377">
        <v>70</v>
      </c>
      <c r="AJ377" s="11">
        <f t="shared" si="78"/>
        <v>1</v>
      </c>
      <c r="AK377" s="11">
        <f t="shared" ref="AK377:AK382" si="85">(1.2*AG377+AH377)*AJ377*AQ377</f>
        <v>0</v>
      </c>
      <c r="AL377" s="10">
        <f t="shared" si="74"/>
        <v>0</v>
      </c>
      <c r="AM377" s="14">
        <f t="shared" si="84"/>
        <v>0</v>
      </c>
      <c r="AP377" s="13">
        <f t="shared" si="80"/>
        <v>0</v>
      </c>
      <c r="AQ377" s="11">
        <v>0.95</v>
      </c>
      <c r="AR377" s="11"/>
      <c r="AS377" s="11"/>
      <c r="AT377" s="11"/>
      <c r="AU377" s="11"/>
      <c r="AV377" s="13" t="e">
        <f>#REF!+(#REF!*AB377)/100</f>
        <v>#REF!</v>
      </c>
    </row>
    <row r="378" spans="7:48" ht="12.75" customHeight="1">
      <c r="G378" s="11" t="e">
        <f t="shared" si="82"/>
        <v>#DIV/0!</v>
      </c>
      <c r="P378" s="11" t="e">
        <f t="shared" si="83"/>
        <v>#DIV/0!</v>
      </c>
      <c r="R378" s="2"/>
      <c r="Y378">
        <v>70</v>
      </c>
      <c r="AJ378" s="11">
        <f t="shared" si="78"/>
        <v>1</v>
      </c>
      <c r="AK378" s="11">
        <f t="shared" si="85"/>
        <v>0</v>
      </c>
      <c r="AL378" s="10">
        <f t="shared" si="74"/>
        <v>0</v>
      </c>
      <c r="AM378" s="14">
        <f t="shared" si="84"/>
        <v>0</v>
      </c>
      <c r="AP378" s="13">
        <f t="shared" si="80"/>
        <v>0</v>
      </c>
      <c r="AV378" s="13" t="e">
        <f>#REF!+(#REF!*AB378)/100</f>
        <v>#REF!</v>
      </c>
    </row>
    <row r="379" spans="7:48" ht="15" customHeight="1">
      <c r="G379" s="11" t="e">
        <f t="shared" si="82"/>
        <v>#DIV/0!</v>
      </c>
      <c r="P379" s="11" t="e">
        <f t="shared" si="83"/>
        <v>#DIV/0!</v>
      </c>
      <c r="R379" s="2"/>
      <c r="Y379">
        <v>70</v>
      </c>
      <c r="AJ379" s="11">
        <f t="shared" si="78"/>
        <v>1</v>
      </c>
      <c r="AK379" s="11">
        <f t="shared" si="85"/>
        <v>0</v>
      </c>
      <c r="AL379" s="10">
        <f t="shared" si="74"/>
        <v>0</v>
      </c>
      <c r="AM379" s="14">
        <f t="shared" si="84"/>
        <v>0</v>
      </c>
      <c r="AP379" s="13">
        <f t="shared" si="80"/>
        <v>0</v>
      </c>
      <c r="AV379" s="13" t="e">
        <f>#REF!+(#REF!*AB379)/100</f>
        <v>#REF!</v>
      </c>
    </row>
    <row r="380" spans="7:48" ht="15" customHeight="1">
      <c r="R380" s="2"/>
      <c r="Y380">
        <v>70</v>
      </c>
      <c r="AJ380" s="11">
        <f t="shared" si="78"/>
        <v>1</v>
      </c>
      <c r="AK380" s="11">
        <f t="shared" si="85"/>
        <v>0</v>
      </c>
      <c r="AL380" s="10">
        <f t="shared" si="74"/>
        <v>0</v>
      </c>
      <c r="AM380" s="14">
        <f t="shared" si="84"/>
        <v>0</v>
      </c>
      <c r="AP380" s="13">
        <f t="shared" si="80"/>
        <v>0</v>
      </c>
      <c r="AV380" s="13" t="e">
        <f>#REF!+(#REF!*AB380)/100</f>
        <v>#REF!</v>
      </c>
    </row>
    <row r="381" spans="7:48" ht="15" customHeight="1">
      <c r="R381" s="2"/>
      <c r="Y381">
        <v>70</v>
      </c>
      <c r="AJ381" s="11">
        <f t="shared" si="78"/>
        <v>1</v>
      </c>
      <c r="AK381" s="11">
        <f t="shared" si="85"/>
        <v>0</v>
      </c>
      <c r="AL381" s="10">
        <f t="shared" si="74"/>
        <v>0</v>
      </c>
      <c r="AM381" s="14">
        <f t="shared" si="84"/>
        <v>0</v>
      </c>
      <c r="AP381" s="13">
        <f t="shared" si="80"/>
        <v>0</v>
      </c>
      <c r="AV381" s="13" t="e">
        <f>#REF!+(#REF!*AB381)/100</f>
        <v>#REF!</v>
      </c>
    </row>
    <row r="382" spans="7:48" ht="15" customHeight="1">
      <c r="R382" s="2"/>
      <c r="Y382">
        <v>70</v>
      </c>
      <c r="AJ382" s="11">
        <f t="shared" si="78"/>
        <v>1</v>
      </c>
      <c r="AK382" s="11">
        <f t="shared" si="85"/>
        <v>0</v>
      </c>
      <c r="AL382" s="10">
        <f t="shared" si="74"/>
        <v>0</v>
      </c>
      <c r="AM382" s="14">
        <f t="shared" si="84"/>
        <v>0</v>
      </c>
      <c r="AP382" s="13">
        <f t="shared" si="80"/>
        <v>0</v>
      </c>
      <c r="AV382" s="13" t="e">
        <f>#REF!+(#REF!*AB382)/100</f>
        <v>#REF!</v>
      </c>
    </row>
    <row r="383" spans="7:48" ht="14.25" customHeight="1">
      <c r="R383" s="2"/>
      <c r="Y383">
        <v>70</v>
      </c>
      <c r="AV383" s="13" t="e">
        <f>#REF!+(#REF!*AB383)/100</f>
        <v>#REF!</v>
      </c>
    </row>
    <row r="384" spans="7:48" ht="14.25" customHeight="1">
      <c r="R384" s="2"/>
      <c r="Y384">
        <v>70</v>
      </c>
    </row>
    <row r="385" spans="18:25" ht="17.25" customHeight="1">
      <c r="R385" s="2"/>
      <c r="Y385">
        <v>70</v>
      </c>
    </row>
    <row r="386" spans="18:25" ht="15" customHeight="1">
      <c r="R386" s="2"/>
      <c r="Y386">
        <v>70</v>
      </c>
    </row>
    <row r="387" spans="18:25" ht="21" customHeight="1">
      <c r="R387" s="2"/>
      <c r="Y387">
        <v>70</v>
      </c>
    </row>
    <row r="388" spans="18:25" ht="12.75" customHeight="1">
      <c r="Y388">
        <v>70</v>
      </c>
    </row>
    <row r="389" spans="18:25" ht="12.75" customHeight="1">
      <c r="Y389">
        <v>70</v>
      </c>
    </row>
    <row r="390" spans="18:25" ht="12.75" customHeight="1">
      <c r="Y390">
        <v>70</v>
      </c>
    </row>
    <row r="391" spans="18:25" ht="12.75" customHeight="1">
      <c r="Y391">
        <v>70</v>
      </c>
    </row>
    <row r="392" spans="18:25" ht="12.75" customHeight="1">
      <c r="Y392">
        <v>70</v>
      </c>
    </row>
    <row r="393" spans="18:25" ht="12.75" customHeight="1">
      <c r="Y393">
        <v>70</v>
      </c>
    </row>
    <row r="394" spans="18:25" ht="12.75" customHeight="1">
      <c r="Y394">
        <v>70</v>
      </c>
    </row>
    <row r="395" spans="18:25" ht="12.75" customHeight="1">
      <c r="Y395">
        <v>70</v>
      </c>
    </row>
    <row r="396" spans="18:25" ht="12.75" customHeight="1">
      <c r="Y396">
        <v>70</v>
      </c>
    </row>
    <row r="397" spans="18:25" ht="12.75" customHeight="1">
      <c r="Y397">
        <v>70</v>
      </c>
    </row>
    <row r="398" spans="18:25" ht="12.75" customHeight="1">
      <c r="Y398">
        <v>70</v>
      </c>
    </row>
    <row r="399" spans="18:25" ht="12.75" customHeight="1">
      <c r="Y399">
        <v>70</v>
      </c>
    </row>
    <row r="400" spans="18:25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</sheetData>
  <autoFilter ref="AB1:AB387"/>
  <conditionalFormatting sqref="D2:D147">
    <cfRule type="containsText" dxfId="43" priority="27" operator="containsText" text="neg">
      <formula>NOT(ISERROR(SEARCH("neg",D2)))</formula>
    </cfRule>
  </conditionalFormatting>
  <conditionalFormatting sqref="G2:G379">
    <cfRule type="cellIs" dxfId="42" priority="20" operator="lessThan">
      <formula>16</formula>
    </cfRule>
  </conditionalFormatting>
  <conditionalFormatting sqref="P2:P379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6">
    <cfRule type="cellIs" dxfId="36" priority="25" operator="greaterThan">
      <formula>5.6</formula>
    </cfRule>
  </conditionalFormatting>
  <conditionalFormatting sqref="AH2:AH376">
    <cfRule type="cellIs" dxfId="35" priority="23" operator="greaterThan">
      <formula>7.6</formula>
    </cfRule>
  </conditionalFormatting>
  <conditionalFormatting sqref="AK2:AK382">
    <cfRule type="cellIs" dxfId="34" priority="26" operator="greaterThan">
      <formula>14.9</formula>
    </cfRule>
  </conditionalFormatting>
  <conditionalFormatting sqref="AL2:AL382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2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AW2:BC85 AX86:BC86 AW87:BC97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5"/>
  <sheetViews>
    <sheetView topLeftCell="I1" zoomScale="80" zoomScaleNormal="80" workbookViewId="0">
      <pane ySplit="1" topLeftCell="A2" activePane="bottomLeft" state="frozen"/>
      <selection pane="bottomLeft" activeCell="AR1" sqref="AR1:AT1"/>
    </sheetView>
  </sheetViews>
  <sheetFormatPr defaultColWidth="8.7109375" defaultRowHeight="12.75" customHeight="1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9.140625" customWidth="1"/>
    <col min="40" max="40" width="4.5703125" customWidth="1"/>
    <col min="41" max="41" width="5.42578125" customWidth="1"/>
    <col min="42" max="42" width="10.85546875" customWidth="1"/>
    <col min="43" max="43" width="7" customWidth="1"/>
    <col min="44" max="44" width="4.140625" customWidth="1"/>
    <col min="45" max="46" width="5.28515625" customWidth="1"/>
    <col min="47" max="47" width="6.7109375" customWidth="1"/>
    <col min="48" max="48" width="3.85546875" customWidth="1"/>
    <col min="49" max="49" width="4" customWidth="1"/>
    <col min="50" max="50" width="4.7109375" customWidth="1"/>
  </cols>
  <sheetData>
    <row r="1" spans="1:50" ht="92.25" customHeight="1">
      <c r="A1" s="17" t="s">
        <v>0</v>
      </c>
      <c r="B1" s="56" t="s">
        <v>1</v>
      </c>
      <c r="C1" s="56" t="s">
        <v>2</v>
      </c>
      <c r="D1" s="56" t="s">
        <v>284</v>
      </c>
      <c r="E1" s="56" t="s">
        <v>4</v>
      </c>
      <c r="F1" s="56" t="s">
        <v>5</v>
      </c>
      <c r="G1" s="57" t="s">
        <v>285</v>
      </c>
      <c r="H1" s="56" t="s">
        <v>7</v>
      </c>
      <c r="I1" s="56" t="s">
        <v>286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287</v>
      </c>
      <c r="O1" s="56" t="s">
        <v>14</v>
      </c>
      <c r="P1" s="57" t="s">
        <v>288</v>
      </c>
      <c r="Q1" s="56" t="s">
        <v>289</v>
      </c>
      <c r="R1" s="56" t="s">
        <v>290</v>
      </c>
      <c r="S1" s="56" t="s">
        <v>18</v>
      </c>
      <c r="T1" s="56" t="s">
        <v>19</v>
      </c>
      <c r="U1" s="56" t="s">
        <v>20</v>
      </c>
      <c r="V1" s="56" t="s">
        <v>21</v>
      </c>
      <c r="W1" s="58" t="s">
        <v>22</v>
      </c>
      <c r="X1" s="59" t="s">
        <v>291</v>
      </c>
      <c r="Y1" s="58" t="s">
        <v>292</v>
      </c>
      <c r="Z1" s="58" t="s">
        <v>293</v>
      </c>
      <c r="AA1" s="60" t="s">
        <v>26</v>
      </c>
      <c r="AB1" s="6" t="s">
        <v>27</v>
      </c>
      <c r="AC1" s="7" t="s">
        <v>28</v>
      </c>
      <c r="AD1" s="56" t="s">
        <v>294</v>
      </c>
      <c r="AE1" s="56" t="s">
        <v>295</v>
      </c>
      <c r="AF1" s="56" t="s">
        <v>296</v>
      </c>
      <c r="AG1" s="7" t="s">
        <v>297</v>
      </c>
      <c r="AH1" s="7" t="s">
        <v>298</v>
      </c>
      <c r="AI1" s="6" t="s">
        <v>34</v>
      </c>
      <c r="AJ1" s="7" t="s">
        <v>35</v>
      </c>
      <c r="AK1" s="7" t="s">
        <v>299</v>
      </c>
      <c r="AL1" s="57" t="s">
        <v>284</v>
      </c>
      <c r="AM1" s="57" t="s">
        <v>1</v>
      </c>
      <c r="AN1" s="3" t="s">
        <v>300</v>
      </c>
      <c r="AO1" s="3" t="s">
        <v>301</v>
      </c>
      <c r="AP1" s="4" t="s">
        <v>41</v>
      </c>
      <c r="AQ1" s="3" t="s">
        <v>42</v>
      </c>
      <c r="AR1" s="56" t="s">
        <v>43</v>
      </c>
      <c r="AS1" s="56" t="s">
        <v>45</v>
      </c>
      <c r="AT1" s="56" t="s">
        <v>302</v>
      </c>
      <c r="AU1" s="56" t="s">
        <v>303</v>
      </c>
      <c r="AV1" s="56" t="s">
        <v>50</v>
      </c>
      <c r="AW1" s="56" t="s">
        <v>51</v>
      </c>
      <c r="AX1" s="56" t="s">
        <v>52</v>
      </c>
    </row>
    <row r="2" spans="1:50" ht="12.75" customHeight="1">
      <c r="A2" s="17"/>
      <c r="B2" s="61" t="s">
        <v>304</v>
      </c>
      <c r="C2" s="13">
        <v>2025</v>
      </c>
      <c r="D2" s="11" t="s">
        <v>54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2">
        <v>130.26</v>
      </c>
      <c r="Y2" s="12">
        <v>117.77</v>
      </c>
      <c r="Z2" s="12">
        <v>37.33</v>
      </c>
      <c r="AA2" s="63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2"/>
      <c r="AS2" s="12"/>
      <c r="AT2" s="12">
        <v>28</v>
      </c>
      <c r="AU2" s="12">
        <v>30</v>
      </c>
      <c r="AV2" s="12"/>
      <c r="AW2" s="12">
        <v>47</v>
      </c>
      <c r="AX2" s="12"/>
    </row>
    <row r="3" spans="1:50" ht="12.75" customHeight="1">
      <c r="A3" s="17"/>
      <c r="B3" s="61" t="s">
        <v>305</v>
      </c>
      <c r="C3" s="13">
        <v>2025</v>
      </c>
      <c r="D3" s="11" t="s">
        <v>54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2">
        <v>166.51</v>
      </c>
      <c r="Y3" s="12">
        <v>24.68</v>
      </c>
      <c r="Z3" s="12">
        <v>3.55</v>
      </c>
      <c r="AA3" s="63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2"/>
      <c r="AS3" s="12"/>
      <c r="AT3" s="12">
        <v>50</v>
      </c>
      <c r="AU3" s="12">
        <v>48</v>
      </c>
      <c r="AV3" s="12"/>
      <c r="AW3" s="12">
        <v>42</v>
      </c>
      <c r="AX3" s="12"/>
    </row>
    <row r="4" spans="1:50" ht="12.75" customHeight="1">
      <c r="A4" s="17"/>
      <c r="B4" s="61" t="s">
        <v>306</v>
      </c>
      <c r="C4" s="13">
        <v>2025</v>
      </c>
      <c r="D4" s="11" t="s">
        <v>54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2">
        <v>147.35</v>
      </c>
      <c r="Y4" s="12">
        <v>77.819999999999993</v>
      </c>
      <c r="Z4" s="12">
        <v>41.49</v>
      </c>
      <c r="AA4" s="63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2"/>
      <c r="AS4" s="12"/>
      <c r="AT4" s="12">
        <v>58</v>
      </c>
      <c r="AU4" s="12">
        <v>62</v>
      </c>
      <c r="AV4" s="12"/>
      <c r="AW4" s="12">
        <v>37</v>
      </c>
      <c r="AX4" s="12"/>
    </row>
    <row r="5" spans="1:50" ht="12.75" customHeight="1">
      <c r="A5" s="17"/>
      <c r="B5" s="61" t="s">
        <v>307</v>
      </c>
      <c r="C5" s="13">
        <v>2025</v>
      </c>
      <c r="D5" s="11" t="s">
        <v>54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2">
        <v>190.96</v>
      </c>
      <c r="Y5" s="12">
        <v>356.72</v>
      </c>
      <c r="Z5" s="12">
        <v>57.75</v>
      </c>
      <c r="AA5" s="63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2"/>
      <c r="AS5" s="12"/>
      <c r="AT5" s="12">
        <v>38</v>
      </c>
      <c r="AU5" s="12">
        <v>29</v>
      </c>
      <c r="AV5" s="12"/>
      <c r="AW5" s="12">
        <v>-11</v>
      </c>
      <c r="AX5" s="12"/>
    </row>
    <row r="6" spans="1:50" ht="12.75" customHeight="1">
      <c r="A6" s="17"/>
      <c r="B6" s="61" t="s">
        <v>308</v>
      </c>
      <c r="C6" s="13">
        <v>2025</v>
      </c>
      <c r="D6" s="11" t="s">
        <v>54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2">
        <v>6.46</v>
      </c>
      <c r="Y6" s="12">
        <v>89.1</v>
      </c>
      <c r="Z6" s="12">
        <v>70.45</v>
      </c>
      <c r="AA6" s="63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2"/>
      <c r="AS6" s="12"/>
      <c r="AT6" s="12">
        <v>64</v>
      </c>
      <c r="AU6" s="12">
        <v>75</v>
      </c>
      <c r="AV6" s="12"/>
      <c r="AW6" s="12">
        <v>-1</v>
      </c>
      <c r="AX6" s="12"/>
    </row>
    <row r="7" spans="1:50" ht="12.75" customHeight="1">
      <c r="A7" s="17"/>
      <c r="B7" s="61" t="s">
        <v>309</v>
      </c>
      <c r="C7" s="13">
        <v>2025</v>
      </c>
      <c r="D7" s="11" t="s">
        <v>54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2">
        <v>140.5</v>
      </c>
      <c r="Y7" s="12">
        <v>75.930000000000007</v>
      </c>
      <c r="Z7" s="12">
        <v>53.81</v>
      </c>
      <c r="AA7" s="63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2"/>
      <c r="AS7" s="12"/>
      <c r="AT7" s="12">
        <v>50</v>
      </c>
      <c r="AU7" s="12">
        <v>61</v>
      </c>
      <c r="AV7" s="12"/>
      <c r="AW7" s="12">
        <v>140</v>
      </c>
      <c r="AX7" s="12"/>
    </row>
    <row r="8" spans="1:50" ht="12.75" customHeight="1">
      <c r="A8" s="17"/>
      <c r="B8" s="61" t="s">
        <v>310</v>
      </c>
      <c r="C8" s="13">
        <v>2025</v>
      </c>
      <c r="D8" s="11" t="s">
        <v>54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2">
        <v>275.75</v>
      </c>
      <c r="Y8" s="12">
        <v>264.14</v>
      </c>
      <c r="Z8" s="12">
        <v>49.01</v>
      </c>
      <c r="AA8" s="63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2"/>
      <c r="AS8" s="12"/>
      <c r="AT8" s="12">
        <v>50</v>
      </c>
      <c r="AU8" s="12">
        <v>41</v>
      </c>
      <c r="AV8" s="12"/>
      <c r="AW8" s="12">
        <v>40</v>
      </c>
      <c r="AX8" s="12"/>
    </row>
    <row r="9" spans="1:50" ht="12.75" customHeight="1">
      <c r="A9" s="17"/>
      <c r="B9" s="61" t="s">
        <v>311</v>
      </c>
      <c r="C9" s="13">
        <v>2025</v>
      </c>
      <c r="D9" s="11" t="s">
        <v>54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2">
        <v>66.36</v>
      </c>
      <c r="Y9" s="12">
        <v>33.880000000000003</v>
      </c>
      <c r="Z9" s="12">
        <v>8.56</v>
      </c>
      <c r="AA9" s="63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2"/>
      <c r="AS9" s="12"/>
      <c r="AT9" s="12">
        <v>34</v>
      </c>
      <c r="AU9" s="12">
        <v>19</v>
      </c>
      <c r="AV9" s="12"/>
      <c r="AW9" s="12">
        <v>34</v>
      </c>
      <c r="AX9" s="12"/>
    </row>
    <row r="10" spans="1:50" ht="12.75" customHeight="1">
      <c r="A10" s="17"/>
      <c r="B10" s="61" t="s">
        <v>312</v>
      </c>
      <c r="C10" s="13">
        <v>2025</v>
      </c>
      <c r="D10" s="11" t="s">
        <v>54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2">
        <v>110.38</v>
      </c>
      <c r="Y10" s="12">
        <v>147.69</v>
      </c>
      <c r="Z10" s="12">
        <v>75.099999999999994</v>
      </c>
      <c r="AA10" s="63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2"/>
      <c r="AS10" s="12"/>
      <c r="AT10" s="12">
        <v>27</v>
      </c>
      <c r="AU10" s="12">
        <v>29</v>
      </c>
      <c r="AV10" s="12"/>
      <c r="AW10" s="12">
        <v>-27</v>
      </c>
      <c r="AX10" s="12"/>
    </row>
    <row r="11" spans="1:50" ht="12.75" customHeight="1">
      <c r="A11" s="17"/>
      <c r="B11" s="61" t="s">
        <v>313</v>
      </c>
      <c r="C11" s="13">
        <v>2024</v>
      </c>
      <c r="D11" s="11" t="s">
        <v>54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2">
        <v>116.01</v>
      </c>
      <c r="Y11" s="12">
        <v>196.78</v>
      </c>
      <c r="Z11" s="12">
        <v>44.11</v>
      </c>
      <c r="AA11" s="63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2"/>
      <c r="AS11" s="12"/>
      <c r="AT11" s="12">
        <v>86</v>
      </c>
      <c r="AU11" s="12">
        <v>75</v>
      </c>
      <c r="AV11" s="12"/>
      <c r="AW11" s="12">
        <v>28</v>
      </c>
      <c r="AX11" s="12"/>
    </row>
    <row r="12" spans="1:50" ht="12.75" customHeight="1">
      <c r="A12" s="17"/>
      <c r="B12" s="61" t="s">
        <v>314</v>
      </c>
      <c r="C12" s="13">
        <v>2024</v>
      </c>
      <c r="D12" s="11" t="s">
        <v>54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2">
        <v>97.84</v>
      </c>
      <c r="Y12" s="12">
        <v>100.35</v>
      </c>
      <c r="Z12" s="12">
        <v>93.16</v>
      </c>
      <c r="AA12" s="63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2"/>
      <c r="AS12" s="12"/>
      <c r="AT12" s="12">
        <v>53</v>
      </c>
      <c r="AU12" s="12">
        <v>43</v>
      </c>
      <c r="AV12" s="12"/>
      <c r="AW12" s="12">
        <v>100</v>
      </c>
      <c r="AX12" s="12"/>
    </row>
    <row r="13" spans="1:50" ht="12.75" customHeight="1">
      <c r="A13" s="17"/>
      <c r="B13" s="61" t="s">
        <v>315</v>
      </c>
      <c r="C13" s="13">
        <v>2024</v>
      </c>
      <c r="D13" s="11" t="s">
        <v>54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2">
        <v>235.88</v>
      </c>
      <c r="Y13" s="12">
        <v>274.38</v>
      </c>
      <c r="Z13" s="12">
        <v>138.08000000000001</v>
      </c>
      <c r="AA13" s="63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2"/>
      <c r="AS13" s="12"/>
      <c r="AT13" s="12">
        <v>147</v>
      </c>
      <c r="AU13" s="12">
        <v>159</v>
      </c>
      <c r="AV13" s="12"/>
      <c r="AW13" s="12">
        <v>73</v>
      </c>
      <c r="AX13" s="12"/>
    </row>
    <row r="14" spans="1:50" ht="12.75" customHeight="1">
      <c r="A14" s="17"/>
      <c r="B14" s="61" t="s">
        <v>316</v>
      </c>
      <c r="C14" s="13">
        <v>2024</v>
      </c>
      <c r="D14" s="11" t="s">
        <v>54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2">
        <v>125</v>
      </c>
      <c r="Y14" s="12">
        <v>114.7</v>
      </c>
      <c r="Z14" s="12">
        <v>141.78</v>
      </c>
      <c r="AA14" s="63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2"/>
      <c r="AS14" s="12"/>
      <c r="AT14" s="12">
        <v>58</v>
      </c>
      <c r="AU14" s="12">
        <v>90</v>
      </c>
      <c r="AV14" s="12"/>
      <c r="AW14" s="12">
        <v>-9</v>
      </c>
      <c r="AX14" s="12"/>
    </row>
    <row r="15" spans="1:50" ht="12.75" customHeight="1">
      <c r="A15" s="17"/>
      <c r="B15" s="61" t="s">
        <v>317</v>
      </c>
      <c r="C15" s="13">
        <v>2024</v>
      </c>
      <c r="D15" s="11" t="s">
        <v>54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2">
        <v>157.05000000000001</v>
      </c>
      <c r="Y15" s="12">
        <v>153.80000000000001</v>
      </c>
      <c r="Z15" s="12">
        <v>24.48</v>
      </c>
      <c r="AA15" s="63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2"/>
      <c r="AS15" s="12"/>
      <c r="AT15" s="12">
        <v>49</v>
      </c>
      <c r="AU15" s="12">
        <v>40</v>
      </c>
      <c r="AV15" s="12"/>
      <c r="AW15" s="12">
        <v>53</v>
      </c>
      <c r="AX15" s="12"/>
    </row>
    <row r="16" spans="1:50" ht="12.75" customHeight="1">
      <c r="A16" s="17"/>
      <c r="B16" s="61" t="s">
        <v>318</v>
      </c>
      <c r="C16" s="13">
        <v>2024</v>
      </c>
      <c r="D16" s="11" t="s">
        <v>54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2">
        <v>223.48</v>
      </c>
      <c r="Y16" s="12">
        <v>410.11</v>
      </c>
      <c r="Z16" s="12">
        <v>88.29</v>
      </c>
      <c r="AA16" s="63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2"/>
      <c r="AS16" s="12"/>
      <c r="AT16" s="12">
        <v>118</v>
      </c>
      <c r="AU16" s="12">
        <v>118</v>
      </c>
      <c r="AV16" s="12"/>
      <c r="AW16" s="12">
        <v>275</v>
      </c>
      <c r="AX16" s="12"/>
    </row>
    <row r="17" spans="1:50" ht="12.75" customHeight="1">
      <c r="A17" s="17"/>
      <c r="B17" s="61" t="s">
        <v>319</v>
      </c>
      <c r="C17" s="13">
        <v>2024</v>
      </c>
      <c r="D17" s="11" t="s">
        <v>54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2">
        <v>136.85</v>
      </c>
      <c r="Y17" s="12">
        <v>56.08</v>
      </c>
      <c r="Z17" s="12">
        <v>16.579999999999998</v>
      </c>
      <c r="AA17" s="63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2"/>
      <c r="AS17" s="12"/>
      <c r="AT17" s="12">
        <v>73</v>
      </c>
      <c r="AU17" s="12">
        <v>65</v>
      </c>
      <c r="AV17" s="12"/>
      <c r="AW17" s="12">
        <v>34</v>
      </c>
      <c r="AX17" s="12"/>
    </row>
    <row r="18" spans="1:50" ht="12.75" customHeight="1">
      <c r="A18" s="17"/>
      <c r="B18" s="61" t="s">
        <v>320</v>
      </c>
      <c r="C18" s="13">
        <v>2024</v>
      </c>
      <c r="D18" s="11" t="s">
        <v>54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2">
        <v>212.42</v>
      </c>
      <c r="Y18" s="12">
        <v>50.98</v>
      </c>
      <c r="Z18" s="12">
        <v>7.44</v>
      </c>
      <c r="AA18" s="63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2"/>
      <c r="AS18" s="12"/>
      <c r="AT18" s="12">
        <v>120</v>
      </c>
      <c r="AU18" s="12">
        <v>87</v>
      </c>
      <c r="AV18" s="12"/>
      <c r="AW18" s="12">
        <v>122</v>
      </c>
      <c r="AX18" s="12"/>
    </row>
    <row r="19" spans="1:50" ht="12.75" customHeight="1">
      <c r="A19" s="17"/>
      <c r="B19" s="61" t="s">
        <v>321</v>
      </c>
      <c r="C19" s="13">
        <v>2024</v>
      </c>
      <c r="D19" s="11" t="s">
        <v>54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2">
        <v>123.3</v>
      </c>
      <c r="Y19" s="12">
        <v>300.05</v>
      </c>
      <c r="Z19" s="12">
        <v>236.53</v>
      </c>
      <c r="AA19" s="63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2"/>
      <c r="AS19" s="12"/>
      <c r="AT19" s="12">
        <v>126</v>
      </c>
      <c r="AU19" s="12">
        <v>175</v>
      </c>
      <c r="AV19" s="12"/>
      <c r="AW19" s="12">
        <v>56</v>
      </c>
      <c r="AX19" s="12"/>
    </row>
    <row r="20" spans="1:50" ht="12.75" customHeight="1">
      <c r="A20" s="17"/>
      <c r="B20" s="64" t="s">
        <v>322</v>
      </c>
      <c r="C20" s="13">
        <v>2025</v>
      </c>
      <c r="D20" s="11" t="s">
        <v>54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2">
        <v>16.71</v>
      </c>
      <c r="Y20" s="12">
        <v>11.6</v>
      </c>
      <c r="Z20" s="12">
        <v>1.91</v>
      </c>
      <c r="AA20" s="63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2"/>
      <c r="AS20" s="12"/>
      <c r="AT20" s="12">
        <v>4</v>
      </c>
      <c r="AU20" s="12">
        <v>-1</v>
      </c>
      <c r="AV20" s="12"/>
      <c r="AW20" s="12">
        <v>-14</v>
      </c>
      <c r="AX20" s="12"/>
    </row>
    <row r="21" spans="1:50" ht="12.75" customHeight="1">
      <c r="A21" s="17"/>
      <c r="B21" s="64" t="s">
        <v>323</v>
      </c>
      <c r="C21" s="13">
        <v>2025</v>
      </c>
      <c r="D21" s="11" t="s">
        <v>54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2">
        <v>24.92</v>
      </c>
      <c r="Y21" s="12">
        <v>23.68</v>
      </c>
      <c r="Z21" s="12">
        <v>3.69</v>
      </c>
      <c r="AA21" s="63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2"/>
      <c r="AS21" s="12"/>
      <c r="AT21" s="12">
        <v>7</v>
      </c>
      <c r="AU21" s="12">
        <v>9</v>
      </c>
      <c r="AV21" s="12"/>
      <c r="AW21" s="12">
        <v>42</v>
      </c>
      <c r="AX21" s="12"/>
    </row>
    <row r="22" spans="1:50" ht="12.75" customHeight="1">
      <c r="A22" s="17"/>
      <c r="B22" s="65" t="s">
        <v>324</v>
      </c>
      <c r="C22" s="13">
        <v>2024</v>
      </c>
      <c r="D22" s="11" t="s">
        <v>77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2">
        <v>2.33</v>
      </c>
      <c r="Y22" s="12">
        <v>0.63</v>
      </c>
      <c r="Z22" s="12">
        <v>0.75</v>
      </c>
      <c r="AA22" s="63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2"/>
      <c r="AS22" s="12"/>
      <c r="AT22" s="12"/>
      <c r="AU22" s="12"/>
      <c r="AV22" s="12"/>
      <c r="AW22" s="12"/>
      <c r="AX22" s="12"/>
    </row>
    <row r="23" spans="1:50" ht="12.75" customHeight="1">
      <c r="A23" s="17"/>
      <c r="B23" s="65" t="s">
        <v>325</v>
      </c>
      <c r="C23" s="13">
        <v>2024</v>
      </c>
      <c r="D23" s="11" t="s">
        <v>77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2">
        <v>3.72</v>
      </c>
      <c r="Y23" s="12">
        <v>1.02</v>
      </c>
      <c r="Z23" s="12">
        <v>3.25</v>
      </c>
      <c r="AA23" s="63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2"/>
      <c r="AS23" s="12"/>
      <c r="AT23" s="12"/>
      <c r="AU23" s="12"/>
      <c r="AV23" s="12"/>
      <c r="AW23" s="12"/>
      <c r="AX23" s="12"/>
    </row>
    <row r="24" spans="1:50" ht="12.75" customHeight="1">
      <c r="A24" s="17"/>
      <c r="B24" s="65" t="s">
        <v>326</v>
      </c>
      <c r="C24" s="13">
        <v>2024</v>
      </c>
      <c r="D24" s="11" t="s">
        <v>77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2">
        <v>3.99</v>
      </c>
      <c r="Y24" s="12">
        <v>5.31</v>
      </c>
      <c r="Z24" s="12">
        <v>0.99</v>
      </c>
      <c r="AA24" s="63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2"/>
      <c r="AS24" s="12"/>
      <c r="AT24" s="12"/>
      <c r="AU24" s="12"/>
      <c r="AV24" s="12"/>
      <c r="AW24" s="12"/>
      <c r="AX24" s="12"/>
    </row>
    <row r="25" spans="1:50" ht="12.75" customHeight="1">
      <c r="A25" s="17"/>
      <c r="B25" s="65" t="s">
        <v>327</v>
      </c>
      <c r="C25" s="13">
        <v>2024</v>
      </c>
      <c r="D25" s="11" t="s">
        <v>77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2">
        <v>2.76</v>
      </c>
      <c r="Y25" s="12">
        <v>0.93</v>
      </c>
      <c r="Z25" s="12">
        <v>1.76</v>
      </c>
      <c r="AA25" s="63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2"/>
      <c r="AS25" s="12"/>
      <c r="AT25" s="12"/>
      <c r="AU25" s="12"/>
      <c r="AV25" s="12"/>
      <c r="AW25" s="12"/>
      <c r="AX25" s="12"/>
    </row>
    <row r="26" spans="1:50" ht="12.75" customHeight="1">
      <c r="A26" s="17"/>
      <c r="B26" s="65" t="s">
        <v>328</v>
      </c>
      <c r="C26" s="13">
        <v>2024</v>
      </c>
      <c r="D26" s="11" t="s">
        <v>77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2">
        <v>32.33</v>
      </c>
      <c r="Y26" s="12">
        <v>47.92</v>
      </c>
      <c r="Z26" s="12">
        <v>18.03</v>
      </c>
      <c r="AA26" s="63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2"/>
      <c r="AS26" s="12"/>
      <c r="AT26" s="12"/>
      <c r="AU26" s="12"/>
      <c r="AV26" s="12"/>
      <c r="AW26" s="12"/>
      <c r="AX26" s="12"/>
    </row>
    <row r="27" spans="1:50" ht="12.75" customHeight="1">
      <c r="A27" s="17"/>
      <c r="B27" s="65" t="s">
        <v>329</v>
      </c>
      <c r="C27" s="13">
        <v>2024</v>
      </c>
      <c r="D27" s="11" t="s">
        <v>77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2">
        <v>18.420000000000002</v>
      </c>
      <c r="Y27" s="12">
        <v>10</v>
      </c>
      <c r="Z27" s="12">
        <v>4.22</v>
      </c>
      <c r="AA27" s="63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2"/>
      <c r="AS27" s="12"/>
      <c r="AT27" s="12"/>
      <c r="AU27" s="12"/>
      <c r="AV27" s="12"/>
      <c r="AW27" s="12"/>
      <c r="AX27" s="12"/>
    </row>
    <row r="28" spans="1:50" ht="12.75" customHeight="1">
      <c r="A28" s="17"/>
      <c r="B28" s="65" t="s">
        <v>330</v>
      </c>
      <c r="C28" s="13">
        <v>2024</v>
      </c>
      <c r="D28" s="11" t="s">
        <v>94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2">
        <v>20.58</v>
      </c>
      <c r="Y28" s="12">
        <v>34.24</v>
      </c>
      <c r="Z28" s="12">
        <v>33.31</v>
      </c>
      <c r="AA28" s="63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2"/>
      <c r="AS28" s="12"/>
      <c r="AT28" s="12">
        <v>-13.5</v>
      </c>
      <c r="AU28" s="12"/>
      <c r="AV28" s="12"/>
      <c r="AW28" s="12"/>
      <c r="AX28" s="12"/>
    </row>
    <row r="29" spans="1:50" ht="12.75" customHeight="1">
      <c r="A29" s="17"/>
      <c r="B29" s="65" t="s">
        <v>331</v>
      </c>
      <c r="C29" s="13">
        <v>2024</v>
      </c>
      <c r="D29" s="11" t="s">
        <v>77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2">
        <v>1.21</v>
      </c>
      <c r="Y29" s="12">
        <v>2.25</v>
      </c>
      <c r="Z29" s="12">
        <v>1.97</v>
      </c>
      <c r="AA29" s="63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2"/>
      <c r="AS29" s="12"/>
      <c r="AT29" s="12">
        <v>-8</v>
      </c>
      <c r="AU29" s="12"/>
      <c r="AV29" s="12"/>
      <c r="AW29" s="12"/>
      <c r="AX29" s="12"/>
    </row>
    <row r="30" spans="1:50" ht="12.75" customHeight="1">
      <c r="A30" s="17"/>
      <c r="B30" s="65" t="s">
        <v>332</v>
      </c>
      <c r="C30" s="13">
        <v>2024</v>
      </c>
      <c r="D30" s="11" t="s">
        <v>77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2">
        <v>25.59</v>
      </c>
      <c r="Y30" s="12">
        <v>29.07</v>
      </c>
      <c r="Z30" s="12">
        <v>6.5</v>
      </c>
      <c r="AA30" s="63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2"/>
      <c r="AS30" s="12"/>
      <c r="AT30" s="12"/>
      <c r="AU30" s="12"/>
      <c r="AV30" s="12"/>
      <c r="AW30" s="12"/>
      <c r="AX30" s="12"/>
    </row>
    <row r="31" spans="1:50" ht="12.75" customHeight="1">
      <c r="A31" s="17"/>
      <c r="B31" s="65" t="s">
        <v>333</v>
      </c>
      <c r="C31" s="13">
        <v>2025</v>
      </c>
      <c r="D31" s="11" t="s">
        <v>77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2">
        <v>3.97</v>
      </c>
      <c r="Y31" s="12">
        <v>7.39</v>
      </c>
      <c r="Z31" s="12">
        <v>2.75</v>
      </c>
      <c r="AA31" s="63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2"/>
      <c r="AS31" s="12"/>
      <c r="AT31" s="12"/>
      <c r="AU31" s="12"/>
      <c r="AV31" s="12"/>
      <c r="AW31" s="12"/>
      <c r="AX31" s="12"/>
    </row>
    <row r="32" spans="1:50" ht="12.75" customHeight="1">
      <c r="A32" s="17"/>
      <c r="B32" s="65" t="s">
        <v>334</v>
      </c>
      <c r="C32" s="13">
        <v>2025</v>
      </c>
      <c r="D32" s="11" t="s">
        <v>77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2">
        <v>1.84</v>
      </c>
      <c r="Y32" s="12">
        <v>3.08</v>
      </c>
      <c r="Z32" s="12">
        <v>1.47</v>
      </c>
      <c r="AA32" s="63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2"/>
      <c r="AS32" s="12"/>
      <c r="AT32" s="12">
        <v>-34</v>
      </c>
      <c r="AU32" s="12"/>
      <c r="AV32" s="12"/>
      <c r="AW32" s="12"/>
      <c r="AX32" s="12"/>
    </row>
    <row r="33" spans="1:50" ht="12.75" customHeight="1">
      <c r="A33" s="17"/>
      <c r="B33" s="65" t="s">
        <v>335</v>
      </c>
      <c r="C33" s="13">
        <v>2025</v>
      </c>
      <c r="D33" s="11" t="s">
        <v>77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2">
        <v>5.09</v>
      </c>
      <c r="Y33" s="12">
        <v>3.79</v>
      </c>
      <c r="Z33" s="12">
        <v>1.74</v>
      </c>
      <c r="AA33" s="63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2"/>
      <c r="AS33" s="12"/>
      <c r="AT33" s="12">
        <v>-9</v>
      </c>
      <c r="AU33" s="12"/>
      <c r="AV33" s="12"/>
      <c r="AW33" s="12">
        <v>60</v>
      </c>
      <c r="AX33" s="12"/>
    </row>
    <row r="34" spans="1:50" ht="12.75" customHeight="1">
      <c r="A34" s="17"/>
      <c r="B34" s="65" t="s">
        <v>336</v>
      </c>
      <c r="C34" s="13">
        <v>2025</v>
      </c>
      <c r="D34" s="11" t="s">
        <v>77</v>
      </c>
      <c r="E34" s="13">
        <v>428.39</v>
      </c>
      <c r="F34" s="13">
        <v>210.12</v>
      </c>
      <c r="G34" s="13">
        <f t="shared" ref="G34:G65" si="11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2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2">
        <v>0.23</v>
      </c>
      <c r="Y34" s="12">
        <v>5.62</v>
      </c>
      <c r="Z34" s="12">
        <v>17.55</v>
      </c>
      <c r="AA34" s="63">
        <f t="shared" ref="AA34:AA65" si="13">IF(X34&lt;33,IF(Y34&gt;(1.1*X34),0,1),1)+IF(Y34&gt;(4*X34),-1,0)</f>
        <v>-1</v>
      </c>
      <c r="AB34" s="13">
        <v>0</v>
      </c>
      <c r="AC34" s="12">
        <f t="shared" ref="AC34:AC65" si="14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5">IF(G34&lt;0,0,1.2)+IF(G34&lt;14,0,0.9)+IF(P34&lt;0,0.7,0)+IF(P34&lt;6.5,1,0)+IF(P34&lt;23,1,0)+IF(R34&gt;88,0,1)+S34+IF(AD34&lt;20,0,1)+IF(AE34&lt;14,0,1)+IF(AF34&lt;26,0,1)</f>
        <v>1</v>
      </c>
      <c r="AH34" s="12">
        <f t="shared" ref="AH34:AH65" si="16">AG34+IF(AG34&gt;6,1,0)+IF(X34&lt;17,0,1)+IF(Y34&lt;11,0,1)+IF(Z34&lt;1.35,0,1)+AC34+AA34</f>
        <v>1</v>
      </c>
      <c r="AI34" s="12">
        <v>11</v>
      </c>
      <c r="AJ34" s="11">
        <f t="shared" ref="AJ34:AJ65" si="17">IF(AI34&gt;12.8,IF(AI34&gt;15.8,0.9,0.97),1)</f>
        <v>1</v>
      </c>
      <c r="AK34" s="12">
        <f t="shared" ref="AK34:AK65" si="18">(AG34*2.6+AH34)*AJ34*AQ34</f>
        <v>3.6</v>
      </c>
      <c r="AL34" s="11" t="str">
        <f t="shared" ref="AL34:AL65" si="19">D34</f>
        <v>Neg</v>
      </c>
      <c r="AM34" s="11" t="str">
        <f t="shared" ref="AM34:AM68" si="20">B34</f>
        <v>BMW Ventures</v>
      </c>
      <c r="AN34" s="13"/>
      <c r="AO34" s="13"/>
      <c r="AP34" s="13">
        <f t="shared" ref="AP34:AP65" si="21">IF(AK34&gt;23.2,IF(Y34&lt;101,IF(Y34&lt;35,IF(Y34&lt;8,3,2),1),0),0)</f>
        <v>0</v>
      </c>
      <c r="AQ34" s="13">
        <v>1</v>
      </c>
      <c r="AR34" s="12"/>
      <c r="AS34" s="12"/>
      <c r="AT34" s="12"/>
      <c r="AU34" s="12"/>
      <c r="AV34" s="12"/>
      <c r="AW34" s="12"/>
      <c r="AX34" s="12"/>
    </row>
    <row r="35" spans="1:50" ht="12.75" customHeight="1">
      <c r="A35" s="17"/>
      <c r="B35" s="65" t="s">
        <v>337</v>
      </c>
      <c r="C35" s="13">
        <v>2025</v>
      </c>
      <c r="D35" s="11" t="s">
        <v>77</v>
      </c>
      <c r="E35" s="13">
        <v>50</v>
      </c>
      <c r="F35" s="13">
        <v>224.13</v>
      </c>
      <c r="G35" s="13">
        <f t="shared" si="11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2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2">
        <v>4.03</v>
      </c>
      <c r="Y35" s="12">
        <v>4.41</v>
      </c>
      <c r="Z35" s="12">
        <v>1.17</v>
      </c>
      <c r="AA35" s="63">
        <f t="shared" si="13"/>
        <v>1</v>
      </c>
      <c r="AB35" s="13">
        <v>0</v>
      </c>
      <c r="AC35" s="12">
        <f t="shared" si="14"/>
        <v>0</v>
      </c>
      <c r="AD35" s="12">
        <v>31.1</v>
      </c>
      <c r="AE35" s="12">
        <v>12</v>
      </c>
      <c r="AF35" s="12">
        <v>2.5</v>
      </c>
      <c r="AG35" s="12">
        <f t="shared" si="15"/>
        <v>4.0999999999999996</v>
      </c>
      <c r="AH35" s="12">
        <f t="shared" si="16"/>
        <v>5.0999999999999996</v>
      </c>
      <c r="AI35" s="12">
        <v>11</v>
      </c>
      <c r="AJ35" s="11">
        <f t="shared" si="17"/>
        <v>1</v>
      </c>
      <c r="AK35" s="12">
        <f t="shared" si="18"/>
        <v>15.76</v>
      </c>
      <c r="AL35" s="11" t="str">
        <f t="shared" si="19"/>
        <v>Neg</v>
      </c>
      <c r="AM35" s="11" t="str">
        <f t="shared" si="20"/>
        <v>Ganesh Consumer Products</v>
      </c>
      <c r="AN35" s="13"/>
      <c r="AO35" s="13"/>
      <c r="AP35" s="13">
        <f t="shared" si="21"/>
        <v>0</v>
      </c>
      <c r="AQ35" s="13">
        <v>1</v>
      </c>
      <c r="AR35" s="12"/>
      <c r="AS35" s="12"/>
      <c r="AT35" s="12"/>
      <c r="AU35" s="12"/>
      <c r="AV35" s="12"/>
      <c r="AW35" s="12"/>
      <c r="AX35" s="12"/>
    </row>
    <row r="36" spans="1:50" ht="12.75" customHeight="1">
      <c r="A36" s="17"/>
      <c r="B36" s="65" t="s">
        <v>338</v>
      </c>
      <c r="C36" s="13">
        <v>2025</v>
      </c>
      <c r="D36" s="11" t="s">
        <v>77</v>
      </c>
      <c r="E36" s="13">
        <v>1137.06</v>
      </c>
      <c r="F36" s="13">
        <v>257.47000000000003</v>
      </c>
      <c r="G36" s="13">
        <f t="shared" si="11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2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2">
        <v>1.2</v>
      </c>
      <c r="Y36" s="12">
        <v>1.83</v>
      </c>
      <c r="Z36" s="12">
        <v>2.2000000000000002</v>
      </c>
      <c r="AA36" s="63">
        <f t="shared" si="13"/>
        <v>0</v>
      </c>
      <c r="AB36" s="13">
        <v>0</v>
      </c>
      <c r="AC36" s="12">
        <f t="shared" si="14"/>
        <v>0</v>
      </c>
      <c r="AD36" s="12">
        <v>58.75</v>
      </c>
      <c r="AE36" s="12">
        <v>41.95</v>
      </c>
      <c r="AF36" s="12">
        <v>27.95</v>
      </c>
      <c r="AG36" s="12">
        <f t="shared" si="15"/>
        <v>5</v>
      </c>
      <c r="AH36" s="12">
        <f t="shared" si="16"/>
        <v>6</v>
      </c>
      <c r="AI36" s="12">
        <v>11</v>
      </c>
      <c r="AJ36" s="11">
        <f t="shared" si="17"/>
        <v>1</v>
      </c>
      <c r="AK36" s="12">
        <f t="shared" si="18"/>
        <v>19</v>
      </c>
      <c r="AL36" s="11" t="str">
        <f t="shared" si="19"/>
        <v>Neg</v>
      </c>
      <c r="AM36" s="11" t="str">
        <f t="shared" si="20"/>
        <v>Lami India Finance</v>
      </c>
      <c r="AN36" s="13"/>
      <c r="AO36" s="13"/>
      <c r="AP36" s="13">
        <f t="shared" si="21"/>
        <v>0</v>
      </c>
      <c r="AQ36" s="13">
        <v>1</v>
      </c>
      <c r="AR36" s="12"/>
      <c r="AS36" s="12"/>
      <c r="AT36" s="12"/>
      <c r="AU36" s="12"/>
      <c r="AV36" s="12"/>
      <c r="AW36" s="12"/>
      <c r="AX36" s="12"/>
    </row>
    <row r="37" spans="1:50" ht="12.75" customHeight="1">
      <c r="A37" s="17"/>
      <c r="B37" s="65" t="s">
        <v>339</v>
      </c>
      <c r="C37" s="13">
        <v>2025</v>
      </c>
      <c r="D37" s="11" t="s">
        <v>77</v>
      </c>
      <c r="E37" s="13">
        <v>781.2</v>
      </c>
      <c r="F37" s="13">
        <v>86.9</v>
      </c>
      <c r="G37" s="13">
        <f t="shared" si="11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2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2">
        <v>5.74</v>
      </c>
      <c r="Y37" s="12">
        <v>2.0299999999999998</v>
      </c>
      <c r="Z37" s="12">
        <v>6.83</v>
      </c>
      <c r="AA37" s="63">
        <f t="shared" si="13"/>
        <v>1</v>
      </c>
      <c r="AB37" s="13">
        <v>0</v>
      </c>
      <c r="AC37" s="12">
        <f t="shared" si="14"/>
        <v>0</v>
      </c>
      <c r="AD37" s="12">
        <v>-23.8</v>
      </c>
      <c r="AE37" s="12">
        <v>16.600000000000001</v>
      </c>
      <c r="AF37" s="12">
        <v>29.6</v>
      </c>
      <c r="AG37" s="12">
        <f t="shared" si="15"/>
        <v>3</v>
      </c>
      <c r="AH37" s="12">
        <f t="shared" si="16"/>
        <v>5</v>
      </c>
      <c r="AI37" s="12">
        <v>11</v>
      </c>
      <c r="AJ37" s="11">
        <f t="shared" si="17"/>
        <v>1</v>
      </c>
      <c r="AK37" s="12">
        <f t="shared" si="18"/>
        <v>12.8</v>
      </c>
      <c r="AL37" s="11" t="str">
        <f t="shared" si="19"/>
        <v>Neg</v>
      </c>
      <c r="AM37" s="11" t="str">
        <f t="shared" si="20"/>
        <v>Brigade Hotel Ventures</v>
      </c>
      <c r="AN37" s="13"/>
      <c r="AO37" s="13"/>
      <c r="AP37" s="13">
        <f t="shared" si="21"/>
        <v>0</v>
      </c>
      <c r="AQ37" s="13">
        <v>1</v>
      </c>
      <c r="AR37" s="12"/>
      <c r="AS37" s="12"/>
      <c r="AT37" s="12"/>
      <c r="AU37" s="12"/>
      <c r="AV37" s="12"/>
      <c r="AW37" s="12"/>
      <c r="AX37" s="12"/>
    </row>
    <row r="38" spans="1:50" ht="12.75" customHeight="1">
      <c r="A38" s="17"/>
      <c r="B38" s="65" t="s">
        <v>340</v>
      </c>
      <c r="C38" s="13">
        <v>2025</v>
      </c>
      <c r="D38" s="11" t="s">
        <v>77</v>
      </c>
      <c r="E38" s="13">
        <v>343.96</v>
      </c>
      <c r="F38" s="13">
        <v>1</v>
      </c>
      <c r="G38" s="13">
        <f t="shared" si="11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2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2">
        <v>1.49</v>
      </c>
      <c r="Y38" s="12">
        <v>1.95</v>
      </c>
      <c r="Z38" s="12">
        <v>7.53</v>
      </c>
      <c r="AA38" s="63">
        <f t="shared" si="13"/>
        <v>0</v>
      </c>
      <c r="AB38" s="13">
        <v>0</v>
      </c>
      <c r="AC38" s="12">
        <f t="shared" si="14"/>
        <v>0</v>
      </c>
      <c r="AD38" s="12">
        <v>59</v>
      </c>
      <c r="AE38" s="12">
        <v>27</v>
      </c>
      <c r="AF38" s="12">
        <v>-102</v>
      </c>
      <c r="AG38" s="12">
        <f t="shared" si="15"/>
        <v>5.7</v>
      </c>
      <c r="AH38" s="12">
        <f t="shared" si="16"/>
        <v>6.7</v>
      </c>
      <c r="AI38" s="12">
        <v>11</v>
      </c>
      <c r="AJ38" s="11">
        <f t="shared" si="17"/>
        <v>1</v>
      </c>
      <c r="AK38" s="12">
        <f t="shared" si="18"/>
        <v>21.52</v>
      </c>
      <c r="AL38" s="11" t="str">
        <f t="shared" si="19"/>
        <v>Neg</v>
      </c>
      <c r="AM38" s="11" t="str">
        <f t="shared" si="20"/>
        <v>Indiqube Spaces</v>
      </c>
      <c r="AN38" s="13"/>
      <c r="AO38" s="13"/>
      <c r="AP38" s="13">
        <f t="shared" si="21"/>
        <v>0</v>
      </c>
      <c r="AQ38" s="13">
        <v>1</v>
      </c>
      <c r="AR38" s="12"/>
      <c r="AS38" s="12"/>
      <c r="AT38" s="12"/>
      <c r="AU38" s="12"/>
      <c r="AV38" s="12"/>
      <c r="AW38" s="12"/>
      <c r="AX38" s="12"/>
    </row>
    <row r="39" spans="1:50" ht="12.75" customHeight="1">
      <c r="A39" s="17"/>
      <c r="B39" s="65" t="s">
        <v>341</v>
      </c>
      <c r="C39" s="13">
        <v>2025</v>
      </c>
      <c r="D39" s="11" t="s">
        <v>77</v>
      </c>
      <c r="E39" s="13">
        <v>273.98</v>
      </c>
      <c r="F39" s="13">
        <v>141.6</v>
      </c>
      <c r="G39" s="13">
        <f t="shared" si="11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2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2">
        <v>1.5</v>
      </c>
      <c r="Y39" s="12">
        <v>3.32</v>
      </c>
      <c r="Z39" s="12">
        <v>5.9</v>
      </c>
      <c r="AA39" s="63">
        <f t="shared" si="13"/>
        <v>0</v>
      </c>
      <c r="AB39" s="13">
        <v>0</v>
      </c>
      <c r="AC39" s="12">
        <f t="shared" si="14"/>
        <v>0</v>
      </c>
      <c r="AD39" s="12">
        <v>-12</v>
      </c>
      <c r="AE39" s="12">
        <v>-7</v>
      </c>
      <c r="AF39" s="12">
        <v>35</v>
      </c>
      <c r="AG39" s="12">
        <f t="shared" si="15"/>
        <v>4.7</v>
      </c>
      <c r="AH39" s="12">
        <f t="shared" si="16"/>
        <v>5.7</v>
      </c>
      <c r="AI39" s="12">
        <v>11</v>
      </c>
      <c r="AJ39" s="11">
        <f t="shared" si="17"/>
        <v>1</v>
      </c>
      <c r="AK39" s="12">
        <f t="shared" si="18"/>
        <v>17.920000000000002</v>
      </c>
      <c r="AL39" s="11" t="str">
        <f t="shared" si="19"/>
        <v>Neg</v>
      </c>
      <c r="AM39" s="11" t="str">
        <f t="shared" si="20"/>
        <v>Arisinfra Solutions</v>
      </c>
      <c r="AN39" s="13"/>
      <c r="AO39" s="13"/>
      <c r="AP39" s="13">
        <f t="shared" si="21"/>
        <v>0</v>
      </c>
      <c r="AQ39" s="13">
        <v>1</v>
      </c>
      <c r="AR39" s="12"/>
      <c r="AS39" s="12"/>
      <c r="AT39" s="12"/>
      <c r="AU39" s="12"/>
      <c r="AV39" s="12"/>
      <c r="AW39" s="12"/>
      <c r="AX39" s="12"/>
    </row>
    <row r="40" spans="1:50" ht="12.75" customHeight="1">
      <c r="A40" s="17"/>
      <c r="B40" s="66" t="s">
        <v>342</v>
      </c>
      <c r="C40" s="13">
        <v>2024</v>
      </c>
      <c r="D40" s="11" t="s">
        <v>77</v>
      </c>
      <c r="E40" s="13">
        <v>0</v>
      </c>
      <c r="F40" s="13">
        <v>1626.41</v>
      </c>
      <c r="G40" s="13">
        <f t="shared" si="11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2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2">
        <v>2.2799999999999998</v>
      </c>
      <c r="Y40" s="12">
        <v>0.22</v>
      </c>
      <c r="Z40" s="12">
        <v>1.33</v>
      </c>
      <c r="AA40" s="63">
        <f t="shared" si="13"/>
        <v>1</v>
      </c>
      <c r="AB40" s="13">
        <v>0</v>
      </c>
      <c r="AC40" s="12">
        <f t="shared" si="14"/>
        <v>0</v>
      </c>
      <c r="AD40" s="12">
        <v>62</v>
      </c>
      <c r="AE40" s="12">
        <v>19</v>
      </c>
      <c r="AF40" s="12">
        <v>0</v>
      </c>
      <c r="AG40" s="12">
        <f t="shared" si="15"/>
        <v>4.0999999999999996</v>
      </c>
      <c r="AH40" s="12">
        <f t="shared" si="16"/>
        <v>5.0999999999999996</v>
      </c>
      <c r="AI40" s="12">
        <v>11</v>
      </c>
      <c r="AJ40" s="11">
        <f t="shared" si="17"/>
        <v>1</v>
      </c>
      <c r="AK40" s="12">
        <f t="shared" si="18"/>
        <v>15.76</v>
      </c>
      <c r="AL40" s="11" t="str">
        <f t="shared" si="19"/>
        <v>Neg</v>
      </c>
      <c r="AM40" s="11" t="str">
        <f t="shared" si="20"/>
        <v>Entero Healthcare Solutions</v>
      </c>
      <c r="AN40" s="13"/>
      <c r="AO40" s="13"/>
      <c r="AP40" s="13">
        <f t="shared" si="21"/>
        <v>0</v>
      </c>
      <c r="AQ40" s="13">
        <v>1</v>
      </c>
      <c r="AR40" s="12"/>
      <c r="AS40" s="12"/>
      <c r="AT40" s="12"/>
      <c r="AU40" s="12"/>
      <c r="AV40" s="12"/>
      <c r="AW40" s="12"/>
      <c r="AX40" s="12"/>
    </row>
    <row r="41" spans="1:50" ht="12.75" customHeight="1">
      <c r="A41" s="17"/>
      <c r="B41" s="66" t="s">
        <v>343</v>
      </c>
      <c r="C41" s="13">
        <v>2024</v>
      </c>
      <c r="D41" s="11" t="s">
        <v>77</v>
      </c>
      <c r="E41" s="13">
        <v>1530</v>
      </c>
      <c r="F41" s="13">
        <v>1601</v>
      </c>
      <c r="G41" s="13">
        <f t="shared" si="11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2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2">
        <v>13.91</v>
      </c>
      <c r="Y41" s="12">
        <v>82.47</v>
      </c>
      <c r="Z41" s="12">
        <v>39.79</v>
      </c>
      <c r="AA41" s="63">
        <f t="shared" si="13"/>
        <v>-1</v>
      </c>
      <c r="AB41" s="13">
        <v>24</v>
      </c>
      <c r="AC41" s="12">
        <f t="shared" si="14"/>
        <v>9</v>
      </c>
      <c r="AD41" s="12">
        <v>182</v>
      </c>
      <c r="AE41" s="12">
        <v>18</v>
      </c>
      <c r="AF41" s="12">
        <v>59</v>
      </c>
      <c r="AG41" s="12">
        <f t="shared" si="15"/>
        <v>5.3000000000000007</v>
      </c>
      <c r="AH41" s="12">
        <f t="shared" si="16"/>
        <v>15.3</v>
      </c>
      <c r="AI41" s="12">
        <v>11</v>
      </c>
      <c r="AJ41" s="11">
        <f t="shared" si="17"/>
        <v>1</v>
      </c>
      <c r="AK41" s="12">
        <f t="shared" si="18"/>
        <v>29.080000000000005</v>
      </c>
      <c r="AL41" s="11" t="str">
        <f t="shared" si="19"/>
        <v>Neg</v>
      </c>
      <c r="AM41" s="11" t="str">
        <f t="shared" si="20"/>
        <v>Deepak Builders Engineers</v>
      </c>
      <c r="AN41" s="13"/>
      <c r="AO41" s="13"/>
      <c r="AP41" s="13">
        <f t="shared" si="21"/>
        <v>1</v>
      </c>
      <c r="AQ41" s="13">
        <v>1</v>
      </c>
      <c r="AR41" s="12"/>
      <c r="AS41" s="12"/>
      <c r="AT41" s="12">
        <v>-2</v>
      </c>
      <c r="AU41" s="12">
        <v>-20</v>
      </c>
      <c r="AV41" s="12"/>
      <c r="AW41" s="12">
        <v>-31</v>
      </c>
      <c r="AX41" s="12"/>
    </row>
    <row r="42" spans="1:50" ht="12.75" customHeight="1">
      <c r="A42" s="17"/>
      <c r="B42" s="66" t="s">
        <v>344</v>
      </c>
      <c r="C42" s="13">
        <v>2025</v>
      </c>
      <c r="D42" s="11" t="s">
        <v>77</v>
      </c>
      <c r="E42" s="13">
        <v>92.12</v>
      </c>
      <c r="F42" s="13">
        <v>114.99</v>
      </c>
      <c r="G42" s="13">
        <f t="shared" si="11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2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2">
        <v>11.09</v>
      </c>
      <c r="Y42" s="12">
        <v>19.78</v>
      </c>
      <c r="Z42" s="12">
        <v>5.09</v>
      </c>
      <c r="AA42" s="63">
        <f t="shared" si="13"/>
        <v>0</v>
      </c>
      <c r="AB42" s="13">
        <v>0</v>
      </c>
      <c r="AC42" s="12">
        <f t="shared" si="14"/>
        <v>0</v>
      </c>
      <c r="AD42" s="12">
        <v>-15.33</v>
      </c>
      <c r="AE42" s="12">
        <v>26.88</v>
      </c>
      <c r="AF42" s="12">
        <v>22.4</v>
      </c>
      <c r="AG42" s="12">
        <f t="shared" si="15"/>
        <v>5.0999999999999996</v>
      </c>
      <c r="AH42" s="12">
        <f t="shared" si="16"/>
        <v>7.1</v>
      </c>
      <c r="AI42" s="12">
        <v>11</v>
      </c>
      <c r="AJ42" s="11">
        <f t="shared" si="17"/>
        <v>1</v>
      </c>
      <c r="AK42" s="12">
        <f t="shared" si="18"/>
        <v>20.36</v>
      </c>
      <c r="AL42" s="11" t="str">
        <f t="shared" si="19"/>
        <v>Neg</v>
      </c>
      <c r="AM42" s="11" t="str">
        <f t="shared" si="20"/>
        <v>Mangal Electrical Industries</v>
      </c>
      <c r="AN42" s="13"/>
      <c r="AO42" s="13"/>
      <c r="AP42" s="13">
        <f t="shared" si="21"/>
        <v>0</v>
      </c>
      <c r="AQ42" s="13">
        <v>1</v>
      </c>
      <c r="AR42" s="12"/>
      <c r="AS42" s="12"/>
      <c r="AT42" s="12">
        <v>-0.8</v>
      </c>
      <c r="AU42" s="12"/>
      <c r="AV42" s="12"/>
      <c r="AW42" s="12"/>
      <c r="AX42" s="12"/>
    </row>
    <row r="43" spans="1:50" ht="12.75" customHeight="1">
      <c r="A43" s="17"/>
      <c r="B43" s="11" t="s">
        <v>345</v>
      </c>
      <c r="C43" s="13">
        <v>2025</v>
      </c>
      <c r="D43" s="11" t="s">
        <v>54</v>
      </c>
      <c r="E43" s="13">
        <v>0</v>
      </c>
      <c r="F43" s="13">
        <v>600.05999999999995</v>
      </c>
      <c r="G43" s="13">
        <f t="shared" si="11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2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2">
        <v>25.92</v>
      </c>
      <c r="Y43" s="12">
        <v>6.45</v>
      </c>
      <c r="Z43" s="12">
        <v>1.91</v>
      </c>
      <c r="AA43" s="63">
        <f t="shared" si="13"/>
        <v>1</v>
      </c>
      <c r="AB43" s="13">
        <v>7.5</v>
      </c>
      <c r="AC43" s="12">
        <f t="shared" si="14"/>
        <v>2.5</v>
      </c>
      <c r="AD43" s="12">
        <v>26.35</v>
      </c>
      <c r="AE43" s="12">
        <v>26.94</v>
      </c>
      <c r="AF43" s="12">
        <v>32.07</v>
      </c>
      <c r="AG43" s="12">
        <f t="shared" si="15"/>
        <v>8.8000000000000007</v>
      </c>
      <c r="AH43" s="12">
        <f t="shared" si="16"/>
        <v>15.3</v>
      </c>
      <c r="AI43" s="12">
        <v>11</v>
      </c>
      <c r="AJ43" s="11">
        <f t="shared" si="17"/>
        <v>1</v>
      </c>
      <c r="AK43" s="12">
        <f t="shared" si="18"/>
        <v>38.180000000000007</v>
      </c>
      <c r="AL43" s="11" t="str">
        <f t="shared" si="19"/>
        <v>Pos</v>
      </c>
      <c r="AM43" s="11" t="str">
        <f t="shared" si="20"/>
        <v>Canara Robeco Asset Management</v>
      </c>
      <c r="AN43" s="13"/>
      <c r="AO43" s="13"/>
      <c r="AP43" s="13">
        <f t="shared" si="21"/>
        <v>3</v>
      </c>
      <c r="AQ43" s="13">
        <v>1</v>
      </c>
      <c r="AR43" s="12"/>
      <c r="AS43" s="12"/>
      <c r="AT43" s="12">
        <v>5</v>
      </c>
      <c r="AU43" s="12">
        <v>13</v>
      </c>
      <c r="AV43" s="12"/>
      <c r="AW43" s="12">
        <v>10</v>
      </c>
      <c r="AX43" s="12"/>
    </row>
    <row r="44" spans="1:50" ht="12.75" customHeight="1">
      <c r="A44" s="17"/>
      <c r="B44" s="11" t="s">
        <v>346</v>
      </c>
      <c r="C44" s="13">
        <v>2025</v>
      </c>
      <c r="D44" s="11" t="s">
        <v>54</v>
      </c>
      <c r="E44" s="13">
        <v>0</v>
      </c>
      <c r="F44" s="13">
        <v>1516.86</v>
      </c>
      <c r="G44" s="13">
        <f t="shared" si="11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2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2">
        <v>7.05</v>
      </c>
      <c r="Y44" s="12">
        <v>0.33</v>
      </c>
      <c r="Z44" s="12">
        <v>0.42</v>
      </c>
      <c r="AA44" s="63">
        <f t="shared" si="13"/>
        <v>1</v>
      </c>
      <c r="AB44" s="13">
        <v>0</v>
      </c>
      <c r="AC44" s="12">
        <f t="shared" si="14"/>
        <v>0</v>
      </c>
      <c r="AD44" s="12">
        <v>39</v>
      </c>
      <c r="AE44" s="12">
        <v>7</v>
      </c>
      <c r="AF44" s="12">
        <v>7</v>
      </c>
      <c r="AG44" s="12">
        <f t="shared" si="15"/>
        <v>1.1000000000000001</v>
      </c>
      <c r="AH44" s="12">
        <f t="shared" si="16"/>
        <v>2.1</v>
      </c>
      <c r="AI44" s="12">
        <v>11</v>
      </c>
      <c r="AJ44" s="11">
        <f t="shared" si="17"/>
        <v>1</v>
      </c>
      <c r="AK44" s="12">
        <f t="shared" si="18"/>
        <v>4.9600000000000009</v>
      </c>
      <c r="AL44" s="11" t="str">
        <f t="shared" si="19"/>
        <v>Pos</v>
      </c>
      <c r="AM44" s="11" t="str">
        <f t="shared" si="20"/>
        <v>Canara HSBC Life Insurance</v>
      </c>
      <c r="AN44" s="13"/>
      <c r="AO44" s="13"/>
      <c r="AP44" s="13">
        <f t="shared" si="21"/>
        <v>0</v>
      </c>
      <c r="AQ44" s="13">
        <v>1</v>
      </c>
      <c r="AR44" s="12"/>
      <c r="AS44" s="12"/>
      <c r="AT44" s="12"/>
      <c r="AU44" s="12"/>
      <c r="AV44" s="12"/>
      <c r="AW44" s="12"/>
      <c r="AX44" s="12"/>
    </row>
    <row r="45" spans="1:50" ht="12.75" customHeight="1">
      <c r="A45" s="17"/>
      <c r="B45" s="11" t="s">
        <v>347</v>
      </c>
      <c r="C45" s="13">
        <v>2025</v>
      </c>
      <c r="D45" s="11" t="s">
        <v>77</v>
      </c>
      <c r="E45" s="13">
        <v>0</v>
      </c>
      <c r="F45" s="13">
        <v>1853.47</v>
      </c>
      <c r="G45" s="13">
        <f t="shared" si="11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2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2">
        <v>118</v>
      </c>
      <c r="Y45" s="12">
        <v>54.42</v>
      </c>
      <c r="Z45" s="12">
        <v>7</v>
      </c>
      <c r="AA45" s="63">
        <f t="shared" si="13"/>
        <v>1</v>
      </c>
      <c r="AB45" s="13">
        <v>2.7</v>
      </c>
      <c r="AC45" s="12">
        <f t="shared" si="14"/>
        <v>0.9</v>
      </c>
      <c r="AD45" s="12">
        <v>13</v>
      </c>
      <c r="AE45" s="12">
        <v>1.6</v>
      </c>
      <c r="AF45" s="12">
        <v>-4</v>
      </c>
      <c r="AG45" s="12">
        <f t="shared" si="15"/>
        <v>3.5999999999999996</v>
      </c>
      <c r="AH45" s="12">
        <f t="shared" si="16"/>
        <v>8.5</v>
      </c>
      <c r="AI45" s="12">
        <v>11</v>
      </c>
      <c r="AJ45" s="11">
        <f t="shared" si="17"/>
        <v>1</v>
      </c>
      <c r="AK45" s="12">
        <f t="shared" si="18"/>
        <v>17.86</v>
      </c>
      <c r="AL45" s="11" t="str">
        <f t="shared" si="19"/>
        <v>Neg</v>
      </c>
      <c r="AM45" s="11" t="str">
        <f t="shared" si="20"/>
        <v>Orkla India</v>
      </c>
      <c r="AN45" s="13"/>
      <c r="AO45" s="13"/>
      <c r="AP45" s="13">
        <f t="shared" si="21"/>
        <v>0</v>
      </c>
      <c r="AQ45" s="13">
        <v>1</v>
      </c>
      <c r="AR45" s="12"/>
      <c r="AS45" s="12"/>
      <c r="AT45" s="12"/>
      <c r="AU45" s="12"/>
      <c r="AV45" s="12"/>
      <c r="AW45" s="12"/>
      <c r="AX45" s="12"/>
    </row>
    <row r="46" spans="1:50" ht="12.75" customHeight="1">
      <c r="A46" s="17"/>
      <c r="B46" s="11" t="s">
        <v>348</v>
      </c>
      <c r="C46" s="13">
        <v>2025</v>
      </c>
      <c r="D46" s="11" t="s">
        <v>94</v>
      </c>
      <c r="E46" s="13">
        <v>346</v>
      </c>
      <c r="F46" s="13">
        <v>6099</v>
      </c>
      <c r="G46" s="13">
        <f t="shared" si="11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2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2">
        <v>40.36</v>
      </c>
      <c r="Y46" s="12">
        <v>20</v>
      </c>
      <c r="Z46" s="12">
        <v>7.56</v>
      </c>
      <c r="AA46" s="63">
        <f t="shared" si="13"/>
        <v>1</v>
      </c>
      <c r="AB46" s="13">
        <v>2.5</v>
      </c>
      <c r="AC46" s="12">
        <f t="shared" si="14"/>
        <v>0.83333333333333337</v>
      </c>
      <c r="AD46" s="12">
        <v>3031</v>
      </c>
      <c r="AE46" s="12">
        <v>22.6</v>
      </c>
      <c r="AF46" s="12">
        <v>7.9</v>
      </c>
      <c r="AG46" s="12">
        <f t="shared" si="15"/>
        <v>4.5999999999999996</v>
      </c>
      <c r="AH46" s="12">
        <f t="shared" si="16"/>
        <v>9.4333333333333336</v>
      </c>
      <c r="AI46" s="12">
        <v>11</v>
      </c>
      <c r="AJ46" s="11">
        <f t="shared" si="17"/>
        <v>1</v>
      </c>
      <c r="AK46" s="12">
        <f t="shared" si="18"/>
        <v>21.393333333333331</v>
      </c>
      <c r="AL46" s="11" t="str">
        <f t="shared" si="19"/>
        <v>Rec</v>
      </c>
      <c r="AM46" s="11" t="str">
        <f t="shared" si="20"/>
        <v>Lenskart Solutions</v>
      </c>
      <c r="AN46" s="13"/>
      <c r="AO46" s="13"/>
      <c r="AP46" s="13">
        <f t="shared" si="21"/>
        <v>0</v>
      </c>
      <c r="AQ46" s="13">
        <v>1</v>
      </c>
      <c r="AR46" s="12"/>
      <c r="AS46" s="12"/>
      <c r="AT46" s="12">
        <v>-1.75</v>
      </c>
      <c r="AU46" s="12"/>
      <c r="AV46" s="12"/>
      <c r="AW46" s="12"/>
      <c r="AX46" s="12"/>
    </row>
    <row r="47" spans="1:50" ht="12.75" customHeight="1">
      <c r="A47" s="17"/>
      <c r="B47" s="11" t="s">
        <v>349</v>
      </c>
      <c r="C47" s="13">
        <v>2025</v>
      </c>
      <c r="D47" s="11" t="s">
        <v>54</v>
      </c>
      <c r="E47" s="13">
        <v>351.99</v>
      </c>
      <c r="F47" s="13">
        <v>4855.3500000000004</v>
      </c>
      <c r="G47" s="13">
        <f t="shared" si="11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2"/>
        <v>2.2263301852146222</v>
      </c>
      <c r="Q47" s="13">
        <v>33.26</v>
      </c>
      <c r="R47" s="13">
        <v>33.26</v>
      </c>
      <c r="S47" s="13">
        <v>-1</v>
      </c>
      <c r="T47" s="13" t="s">
        <v>350</v>
      </c>
      <c r="U47" s="13"/>
      <c r="V47" s="13">
        <v>1</v>
      </c>
      <c r="W47" s="13">
        <v>1</v>
      </c>
      <c r="X47" s="62">
        <v>22.3</v>
      </c>
      <c r="Y47" s="12">
        <v>14</v>
      </c>
      <c r="Z47" s="12">
        <v>9</v>
      </c>
      <c r="AA47" s="63">
        <f t="shared" si="13"/>
        <v>1</v>
      </c>
      <c r="AB47" s="13">
        <v>5</v>
      </c>
      <c r="AC47" s="12">
        <f t="shared" si="14"/>
        <v>1.6666666666666667</v>
      </c>
      <c r="AD47" s="12">
        <v>0</v>
      </c>
      <c r="AE47" s="12">
        <v>45.2</v>
      </c>
      <c r="AF47" s="12">
        <v>91</v>
      </c>
      <c r="AG47" s="12">
        <f t="shared" si="15"/>
        <v>6.1</v>
      </c>
      <c r="AH47" s="12">
        <f t="shared" si="16"/>
        <v>12.766666666666666</v>
      </c>
      <c r="AI47" s="12">
        <v>11</v>
      </c>
      <c r="AJ47" s="11">
        <f t="shared" si="17"/>
        <v>1</v>
      </c>
      <c r="AK47" s="12">
        <f t="shared" si="18"/>
        <v>28.626666666666665</v>
      </c>
      <c r="AL47" s="11" t="str">
        <f t="shared" si="19"/>
        <v>Pos</v>
      </c>
      <c r="AM47" s="11" t="str">
        <f t="shared" si="20"/>
        <v>Groww</v>
      </c>
      <c r="AN47" s="13"/>
      <c r="AO47" s="13"/>
      <c r="AP47" s="13">
        <f t="shared" si="21"/>
        <v>2</v>
      </c>
      <c r="AQ47" s="13">
        <v>1</v>
      </c>
      <c r="AR47" s="12"/>
      <c r="AS47" s="12"/>
      <c r="AT47" s="12">
        <v>12</v>
      </c>
      <c r="AU47" s="12">
        <v>31</v>
      </c>
      <c r="AV47" s="12"/>
      <c r="AW47" s="12">
        <v>49</v>
      </c>
      <c r="AX47" s="12"/>
    </row>
    <row r="48" spans="1:50" ht="12.75" customHeight="1">
      <c r="A48" s="17"/>
      <c r="B48" s="11" t="s">
        <v>351</v>
      </c>
      <c r="C48" s="13">
        <v>2025</v>
      </c>
      <c r="D48" s="11" t="s">
        <v>54</v>
      </c>
      <c r="E48" s="13">
        <v>829.48</v>
      </c>
      <c r="F48" s="13">
        <v>3506.15</v>
      </c>
      <c r="G48" s="13">
        <f t="shared" si="11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2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2">
        <v>3.97</v>
      </c>
      <c r="Y48" s="12">
        <v>0.3</v>
      </c>
      <c r="Z48" s="12">
        <v>1.27</v>
      </c>
      <c r="AA48" s="63">
        <f t="shared" si="13"/>
        <v>1</v>
      </c>
      <c r="AB48" s="13">
        <v>2.5</v>
      </c>
      <c r="AC48" s="12">
        <f t="shared" si="14"/>
        <v>0.83333333333333337</v>
      </c>
      <c r="AD48" s="12">
        <v>57.47</v>
      </c>
      <c r="AE48" s="12">
        <v>28.5</v>
      </c>
      <c r="AF48" s="12">
        <v>-1</v>
      </c>
      <c r="AG48" s="12">
        <f t="shared" si="15"/>
        <v>7.8</v>
      </c>
      <c r="AH48" s="12">
        <f t="shared" si="16"/>
        <v>10.633333333333335</v>
      </c>
      <c r="AI48" s="12">
        <v>11</v>
      </c>
      <c r="AJ48" s="11">
        <f t="shared" si="17"/>
        <v>1</v>
      </c>
      <c r="AK48" s="12">
        <f t="shared" si="18"/>
        <v>30.913333333333334</v>
      </c>
      <c r="AL48" s="11" t="str">
        <f t="shared" si="19"/>
        <v>Pos</v>
      </c>
      <c r="AM48" s="11" t="str">
        <f t="shared" si="20"/>
        <v>Pine Labs</v>
      </c>
      <c r="AN48" s="13"/>
      <c r="AO48" s="13"/>
      <c r="AP48" s="13">
        <f t="shared" si="21"/>
        <v>3</v>
      </c>
      <c r="AQ48" s="13">
        <v>1</v>
      </c>
      <c r="AR48" s="12"/>
      <c r="AS48" s="12"/>
      <c r="AT48" s="12"/>
      <c r="AU48" s="12"/>
      <c r="AV48" s="12"/>
      <c r="AW48" s="12"/>
      <c r="AX48" s="12"/>
    </row>
    <row r="49" spans="1:50" ht="12.75" customHeight="1">
      <c r="A49" s="17"/>
      <c r="B49" s="11" t="s">
        <v>352</v>
      </c>
      <c r="C49" s="13">
        <v>2025</v>
      </c>
      <c r="D49" s="11" t="s">
        <v>54</v>
      </c>
      <c r="E49" s="13">
        <v>1949.69</v>
      </c>
      <c r="F49" s="13">
        <v>531.41</v>
      </c>
      <c r="G49" s="13">
        <f t="shared" si="11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2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2">
        <v>1.2</v>
      </c>
      <c r="Y49" s="12">
        <v>1</v>
      </c>
      <c r="Z49" s="12">
        <v>1.1000000000000001</v>
      </c>
      <c r="AA49" s="63">
        <f t="shared" si="13"/>
        <v>1</v>
      </c>
      <c r="AB49" s="13">
        <v>0</v>
      </c>
      <c r="AC49" s="12">
        <f t="shared" si="14"/>
        <v>0</v>
      </c>
      <c r="AD49" s="12">
        <v>1177</v>
      </c>
      <c r="AE49" s="12">
        <v>145</v>
      </c>
      <c r="AF49" s="12">
        <v>218</v>
      </c>
      <c r="AG49" s="12">
        <f t="shared" si="15"/>
        <v>6.7</v>
      </c>
      <c r="AH49" s="12">
        <f t="shared" si="16"/>
        <v>8.6999999999999993</v>
      </c>
      <c r="AI49" s="12">
        <v>11</v>
      </c>
      <c r="AJ49" s="11">
        <f t="shared" si="17"/>
        <v>1</v>
      </c>
      <c r="AK49" s="12">
        <f t="shared" si="18"/>
        <v>26.12</v>
      </c>
      <c r="AL49" s="11" t="str">
        <f t="shared" si="19"/>
        <v>Pos</v>
      </c>
      <c r="AM49" s="11" t="str">
        <f t="shared" si="20"/>
        <v>Emmvee Photovoltaic</v>
      </c>
      <c r="AN49" s="13"/>
      <c r="AO49" s="13"/>
      <c r="AP49" s="13">
        <f t="shared" si="21"/>
        <v>3</v>
      </c>
      <c r="AQ49" s="13">
        <v>1</v>
      </c>
      <c r="AR49" s="12"/>
      <c r="AS49" s="12"/>
      <c r="AT49" s="12"/>
      <c r="AU49" s="12"/>
      <c r="AV49" s="12"/>
      <c r="AW49" s="12"/>
      <c r="AX49" s="12"/>
    </row>
    <row r="50" spans="1:50" ht="12.75" customHeight="1">
      <c r="A50" s="17"/>
      <c r="B50" s="11" t="s">
        <v>353</v>
      </c>
      <c r="C50" s="13">
        <v>2025</v>
      </c>
      <c r="D50" s="11" t="s">
        <v>54</v>
      </c>
      <c r="E50" s="13">
        <v>0.33</v>
      </c>
      <c r="F50" s="13">
        <v>1524.55</v>
      </c>
      <c r="G50" s="13">
        <f t="shared" si="11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2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2">
        <v>3</v>
      </c>
      <c r="Y50" s="12">
        <v>0.5</v>
      </c>
      <c r="Z50" s="12">
        <v>1.1399999999999999</v>
      </c>
      <c r="AA50" s="63">
        <f t="shared" si="13"/>
        <v>1</v>
      </c>
      <c r="AB50" s="13">
        <v>0</v>
      </c>
      <c r="AC50" s="12">
        <f t="shared" si="14"/>
        <v>0</v>
      </c>
      <c r="AD50" s="12">
        <v>78.489999999999995</v>
      </c>
      <c r="AE50" s="12">
        <v>48.76</v>
      </c>
      <c r="AF50" s="12">
        <v>222.37</v>
      </c>
      <c r="AG50" s="12">
        <f t="shared" si="15"/>
        <v>8.3000000000000007</v>
      </c>
      <c r="AH50" s="12">
        <f t="shared" si="16"/>
        <v>10.3</v>
      </c>
      <c r="AI50" s="12">
        <v>11</v>
      </c>
      <c r="AJ50" s="11">
        <f t="shared" si="17"/>
        <v>1</v>
      </c>
      <c r="AK50" s="12">
        <f t="shared" si="18"/>
        <v>31.880000000000003</v>
      </c>
      <c r="AL50" s="11" t="str">
        <f t="shared" si="19"/>
        <v>Pos</v>
      </c>
      <c r="AM50" s="11" t="str">
        <f t="shared" si="20"/>
        <v>PhysicsWallah</v>
      </c>
      <c r="AN50" s="13"/>
      <c r="AO50" s="13"/>
      <c r="AP50" s="13">
        <f t="shared" si="21"/>
        <v>3</v>
      </c>
      <c r="AQ50" s="13">
        <v>1</v>
      </c>
      <c r="AR50" s="12"/>
      <c r="AS50" s="12"/>
      <c r="AT50" s="12"/>
      <c r="AU50" s="12"/>
      <c r="AV50" s="12"/>
      <c r="AW50" s="12"/>
      <c r="AX50" s="12"/>
    </row>
    <row r="51" spans="1:50" ht="12.75" customHeight="1">
      <c r="A51" s="17"/>
      <c r="B51" s="11" t="s">
        <v>354</v>
      </c>
      <c r="C51" s="13">
        <v>2025</v>
      </c>
      <c r="D51" s="11" t="s">
        <v>94</v>
      </c>
      <c r="E51" s="13">
        <v>2.9</v>
      </c>
      <c r="F51" s="13">
        <v>449.5</v>
      </c>
      <c r="G51" s="13">
        <f t="shared" si="11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2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2">
        <v>159.99</v>
      </c>
      <c r="Y51" s="12">
        <v>76.989999999999995</v>
      </c>
      <c r="Z51" s="12">
        <v>22.09</v>
      </c>
      <c r="AA51" s="63">
        <f t="shared" si="13"/>
        <v>1</v>
      </c>
      <c r="AB51" s="13">
        <v>3.4</v>
      </c>
      <c r="AC51" s="12">
        <f t="shared" si="14"/>
        <v>1.1333333333333333</v>
      </c>
      <c r="AD51" s="12">
        <v>21.7</v>
      </c>
      <c r="AE51" s="12">
        <v>10.4</v>
      </c>
      <c r="AF51" s="12">
        <v>16</v>
      </c>
      <c r="AG51" s="12">
        <f t="shared" si="15"/>
        <v>4.5</v>
      </c>
      <c r="AH51" s="12">
        <f t="shared" si="16"/>
        <v>9.6333333333333329</v>
      </c>
      <c r="AI51" s="12">
        <v>11</v>
      </c>
      <c r="AJ51" s="11">
        <f t="shared" si="17"/>
        <v>1</v>
      </c>
      <c r="AK51" s="12">
        <f t="shared" si="18"/>
        <v>21.333333333333336</v>
      </c>
      <c r="AL51" s="11" t="str">
        <f t="shared" si="19"/>
        <v>Rec</v>
      </c>
      <c r="AM51" s="11" t="str">
        <f t="shared" si="20"/>
        <v>Studds Accessories</v>
      </c>
      <c r="AN51" s="13"/>
      <c r="AO51" s="13"/>
      <c r="AP51" s="13">
        <f t="shared" si="21"/>
        <v>0</v>
      </c>
      <c r="AQ51" s="13">
        <v>1</v>
      </c>
      <c r="AR51" s="12"/>
      <c r="AS51" s="12"/>
      <c r="AT51" s="12"/>
      <c r="AU51" s="12"/>
      <c r="AV51" s="12"/>
      <c r="AW51" s="12"/>
      <c r="AX51" s="12"/>
    </row>
    <row r="52" spans="1:50" ht="12.75" customHeight="1">
      <c r="A52" s="17"/>
      <c r="B52" s="11" t="s">
        <v>355</v>
      </c>
      <c r="C52" s="13">
        <v>2025</v>
      </c>
      <c r="D52" s="11" t="s">
        <v>54</v>
      </c>
      <c r="E52" s="13">
        <v>0</v>
      </c>
      <c r="F52" s="13">
        <v>12550.93</v>
      </c>
      <c r="G52" s="13">
        <f t="shared" si="11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2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2">
        <v>175</v>
      </c>
      <c r="Y52" s="12">
        <v>43</v>
      </c>
      <c r="Z52" s="12">
        <v>5</v>
      </c>
      <c r="AA52" s="63">
        <f t="shared" si="13"/>
        <v>1</v>
      </c>
      <c r="AB52" s="13">
        <v>26</v>
      </c>
      <c r="AC52" s="12">
        <f t="shared" si="14"/>
        <v>9.6666666666666661</v>
      </c>
      <c r="AD52" s="12">
        <v>32.72</v>
      </c>
      <c r="AE52" s="12">
        <v>-10.56</v>
      </c>
      <c r="AF52" s="12">
        <v>12.39</v>
      </c>
      <c r="AG52" s="12">
        <f t="shared" si="15"/>
        <v>4.1999999999999993</v>
      </c>
      <c r="AH52" s="12">
        <f t="shared" si="16"/>
        <v>17.866666666666667</v>
      </c>
      <c r="AI52" s="12">
        <v>11</v>
      </c>
      <c r="AJ52" s="11">
        <f t="shared" si="17"/>
        <v>1</v>
      </c>
      <c r="AK52" s="12">
        <f t="shared" si="18"/>
        <v>28.786666666666665</v>
      </c>
      <c r="AL52" s="11" t="str">
        <f t="shared" si="19"/>
        <v>Pos</v>
      </c>
      <c r="AM52" s="11" t="str">
        <f t="shared" si="20"/>
        <v>Tenneco Clean Air</v>
      </c>
      <c r="AN52" s="13"/>
      <c r="AO52" s="13"/>
      <c r="AP52" s="13">
        <f t="shared" si="21"/>
        <v>1</v>
      </c>
      <c r="AQ52" s="13">
        <v>1</v>
      </c>
      <c r="AR52" s="12"/>
      <c r="AS52" s="12"/>
      <c r="AT52" s="12"/>
      <c r="AU52" s="12"/>
      <c r="AV52" s="12"/>
      <c r="AW52" s="12"/>
      <c r="AX52" s="12"/>
    </row>
    <row r="53" spans="1:50" ht="12.75" customHeight="1">
      <c r="A53" s="17"/>
      <c r="B53" s="11" t="s">
        <v>356</v>
      </c>
      <c r="C53" s="13">
        <v>2025</v>
      </c>
      <c r="D53" s="11" t="s">
        <v>94</v>
      </c>
      <c r="E53" s="13">
        <v>346.22</v>
      </c>
      <c r="F53" s="13">
        <v>396.82</v>
      </c>
      <c r="G53" s="13">
        <f t="shared" si="11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2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2">
        <v>5.24</v>
      </c>
      <c r="Y53" s="12">
        <v>0.87</v>
      </c>
      <c r="Z53" s="12">
        <v>0.88</v>
      </c>
      <c r="AA53" s="63">
        <f t="shared" si="13"/>
        <v>1</v>
      </c>
      <c r="AB53" s="13">
        <v>1.3</v>
      </c>
      <c r="AC53" s="12">
        <f t="shared" si="14"/>
        <v>0.43333333333333335</v>
      </c>
      <c r="AD53" s="12">
        <v>245</v>
      </c>
      <c r="AE53" s="12">
        <v>67</v>
      </c>
      <c r="AF53" s="12">
        <v>66</v>
      </c>
      <c r="AG53" s="12">
        <f t="shared" si="15"/>
        <v>6.9</v>
      </c>
      <c r="AH53" s="12">
        <f t="shared" si="16"/>
        <v>9.3333333333333339</v>
      </c>
      <c r="AI53" s="12">
        <v>11</v>
      </c>
      <c r="AJ53" s="11">
        <f t="shared" si="17"/>
        <v>1</v>
      </c>
      <c r="AK53" s="12">
        <f t="shared" si="18"/>
        <v>27.273333333333333</v>
      </c>
      <c r="AL53" s="11" t="str">
        <f t="shared" si="19"/>
        <v>Rec</v>
      </c>
      <c r="AM53" s="67" t="str">
        <f t="shared" si="20"/>
        <v>Fujiyama Power Systems</v>
      </c>
      <c r="AN53" s="13"/>
      <c r="AO53" s="13"/>
      <c r="AP53" s="13">
        <f t="shared" si="21"/>
        <v>3</v>
      </c>
      <c r="AQ53" s="13">
        <v>1</v>
      </c>
      <c r="AR53" s="12"/>
      <c r="AS53" s="12"/>
      <c r="AT53" s="12"/>
      <c r="AU53" s="12"/>
      <c r="AV53" s="12"/>
      <c r="AW53" s="12"/>
      <c r="AX53" s="12"/>
    </row>
    <row r="54" spans="1:50" ht="12.75" customHeight="1">
      <c r="A54" s="17"/>
      <c r="B54" s="11" t="s">
        <v>357</v>
      </c>
      <c r="C54" s="13">
        <v>2025</v>
      </c>
      <c r="D54" s="11" t="s">
        <v>54</v>
      </c>
      <c r="E54" s="13">
        <v>100.09</v>
      </c>
      <c r="F54" s="13">
        <v>481.42</v>
      </c>
      <c r="G54" s="13">
        <f t="shared" si="11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2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2">
        <v>45</v>
      </c>
      <c r="Y54" s="12">
        <v>70</v>
      </c>
      <c r="Z54" s="12">
        <v>16</v>
      </c>
      <c r="AA54" s="63">
        <f t="shared" si="13"/>
        <v>1</v>
      </c>
      <c r="AB54" s="13">
        <v>14</v>
      </c>
      <c r="AC54" s="12">
        <f t="shared" si="14"/>
        <v>5.666666666666667</v>
      </c>
      <c r="AD54" s="12">
        <v>20</v>
      </c>
      <c r="AE54" s="12">
        <v>20</v>
      </c>
      <c r="AF54" s="12">
        <v>6.48</v>
      </c>
      <c r="AG54" s="12">
        <f t="shared" si="15"/>
        <v>4.0999999999999996</v>
      </c>
      <c r="AH54" s="12">
        <f t="shared" si="16"/>
        <v>13.766666666666666</v>
      </c>
      <c r="AI54" s="12">
        <v>11</v>
      </c>
      <c r="AJ54" s="11">
        <f t="shared" si="17"/>
        <v>1</v>
      </c>
      <c r="AK54" s="12">
        <f t="shared" si="18"/>
        <v>24.426666666666666</v>
      </c>
      <c r="AL54" s="11" t="str">
        <f t="shared" si="19"/>
        <v>Pos</v>
      </c>
      <c r="AM54" s="11" t="str">
        <f t="shared" si="20"/>
        <v>Capillary Technologies</v>
      </c>
      <c r="AN54" s="13"/>
      <c r="AO54" s="13"/>
      <c r="AP54" s="13">
        <f t="shared" si="21"/>
        <v>1</v>
      </c>
      <c r="AQ54" s="13">
        <v>1</v>
      </c>
      <c r="AR54" s="12"/>
      <c r="AS54" s="12"/>
      <c r="AT54" s="12"/>
      <c r="AU54" s="12"/>
      <c r="AV54" s="12"/>
      <c r="AW54" s="12"/>
      <c r="AX54" s="12"/>
    </row>
    <row r="55" spans="1:50" ht="12.75" customHeight="1">
      <c r="A55" s="17"/>
      <c r="B55" s="11" t="s">
        <v>358</v>
      </c>
      <c r="C55" s="13">
        <v>2025</v>
      </c>
      <c r="D55" s="11" t="s">
        <v>54</v>
      </c>
      <c r="E55" s="13">
        <v>76.73</v>
      </c>
      <c r="F55" s="13">
        <v>297.3</v>
      </c>
      <c r="G55" s="13">
        <f t="shared" si="11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2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2">
        <v>50</v>
      </c>
      <c r="Y55" s="12">
        <v>106</v>
      </c>
      <c r="Z55" s="12">
        <v>16</v>
      </c>
      <c r="AA55" s="63">
        <f t="shared" si="13"/>
        <v>1</v>
      </c>
      <c r="AB55" s="13">
        <v>6</v>
      </c>
      <c r="AC55" s="12">
        <f t="shared" si="14"/>
        <v>2</v>
      </c>
      <c r="AD55" s="12">
        <v>200</v>
      </c>
      <c r="AE55" s="12">
        <v>24</v>
      </c>
      <c r="AF55" s="12">
        <v>27</v>
      </c>
      <c r="AG55" s="12">
        <f t="shared" si="15"/>
        <v>6.1</v>
      </c>
      <c r="AH55" s="12">
        <f t="shared" si="16"/>
        <v>13.1</v>
      </c>
      <c r="AI55" s="12">
        <v>11</v>
      </c>
      <c r="AJ55" s="11">
        <f t="shared" si="17"/>
        <v>1</v>
      </c>
      <c r="AK55" s="12">
        <f t="shared" si="18"/>
        <v>28.96</v>
      </c>
      <c r="AL55" s="11" t="str">
        <f t="shared" si="19"/>
        <v>Pos</v>
      </c>
      <c r="AM55" s="11" t="str">
        <f t="shared" si="20"/>
        <v>Ecelsoft Technologies</v>
      </c>
      <c r="AN55" s="13"/>
      <c r="AO55" s="13"/>
      <c r="AP55" s="13">
        <f t="shared" si="21"/>
        <v>0</v>
      </c>
      <c r="AQ55" s="13">
        <v>1</v>
      </c>
      <c r="AR55" s="12"/>
      <c r="AS55" s="12"/>
      <c r="AT55" s="12"/>
      <c r="AU55" s="12"/>
      <c r="AV55" s="12"/>
      <c r="AW55" s="12"/>
      <c r="AX55" s="12"/>
    </row>
    <row r="56" spans="1:50" ht="12.75" customHeight="1">
      <c r="A56" s="17"/>
      <c r="B56" s="11" t="s">
        <v>359</v>
      </c>
      <c r="C56" s="13">
        <v>2025</v>
      </c>
      <c r="D56" s="11" t="s">
        <v>54</v>
      </c>
      <c r="E56" s="13">
        <v>135.25</v>
      </c>
      <c r="F56" s="13">
        <v>497.53</v>
      </c>
      <c r="G56" s="13">
        <f t="shared" si="11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2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2">
        <v>213</v>
      </c>
      <c r="Y56" s="12">
        <v>116</v>
      </c>
      <c r="Z56" s="12">
        <v>15</v>
      </c>
      <c r="AA56" s="63">
        <f t="shared" si="13"/>
        <v>1</v>
      </c>
      <c r="AB56" s="13">
        <v>19</v>
      </c>
      <c r="AC56" s="12">
        <f t="shared" si="14"/>
        <v>7.333333333333333</v>
      </c>
      <c r="AD56" s="12">
        <v>4</v>
      </c>
      <c r="AE56" s="12">
        <v>10</v>
      </c>
      <c r="AF56" s="12">
        <v>39</v>
      </c>
      <c r="AG56" s="12">
        <f t="shared" si="15"/>
        <v>5.6</v>
      </c>
      <c r="AH56" s="12">
        <f t="shared" si="16"/>
        <v>16.933333333333334</v>
      </c>
      <c r="AI56" s="12">
        <v>11</v>
      </c>
      <c r="AJ56" s="11">
        <f t="shared" si="17"/>
        <v>1</v>
      </c>
      <c r="AK56" s="12">
        <f t="shared" si="18"/>
        <v>31.493333333333332</v>
      </c>
      <c r="AL56" s="11" t="str">
        <f t="shared" si="19"/>
        <v>Pos</v>
      </c>
      <c r="AM56" s="11" t="str">
        <f t="shared" si="20"/>
        <v>Sudeep Pharma</v>
      </c>
      <c r="AN56" s="13">
        <v>25</v>
      </c>
      <c r="AO56" s="13">
        <v>26</v>
      </c>
      <c r="AP56" s="13">
        <f t="shared" si="21"/>
        <v>0</v>
      </c>
      <c r="AQ56" s="13">
        <v>1</v>
      </c>
      <c r="AR56" s="12"/>
      <c r="AS56" s="12"/>
      <c r="AT56" s="12"/>
      <c r="AU56" s="12"/>
      <c r="AV56" s="12"/>
      <c r="AW56" s="12"/>
      <c r="AX56" s="12"/>
    </row>
    <row r="57" spans="1:50" ht="12.75" customHeight="1">
      <c r="A57" s="17"/>
      <c r="B57" s="10" t="s">
        <v>360</v>
      </c>
      <c r="C57" s="13">
        <v>2025</v>
      </c>
      <c r="D57" s="11" t="s">
        <v>54</v>
      </c>
      <c r="E57" s="13">
        <v>437.04</v>
      </c>
      <c r="F57" s="13">
        <v>716.92</v>
      </c>
      <c r="G57" s="13">
        <f t="shared" si="11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2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68">
        <v>20</v>
      </c>
      <c r="Y57" s="10">
        <v>20</v>
      </c>
      <c r="Z57" s="10">
        <v>20</v>
      </c>
      <c r="AA57" s="63">
        <f t="shared" si="13"/>
        <v>1</v>
      </c>
      <c r="AB57" s="13">
        <v>35</v>
      </c>
      <c r="AC57" s="12">
        <f t="shared" si="14"/>
        <v>12.666666666666666</v>
      </c>
      <c r="AD57" s="10">
        <v>-620</v>
      </c>
      <c r="AE57" s="10">
        <v>-4</v>
      </c>
      <c r="AF57" s="10">
        <v>-12</v>
      </c>
      <c r="AG57" s="12">
        <f t="shared" si="15"/>
        <v>5.3</v>
      </c>
      <c r="AH57" s="12">
        <f t="shared" si="16"/>
        <v>21.966666666666669</v>
      </c>
      <c r="AI57" s="12">
        <v>11</v>
      </c>
      <c r="AJ57" s="11">
        <f t="shared" si="17"/>
        <v>1</v>
      </c>
      <c r="AK57" s="12">
        <f t="shared" si="18"/>
        <v>35.74666666666667</v>
      </c>
      <c r="AL57" s="11" t="str">
        <f t="shared" si="19"/>
        <v>Pos</v>
      </c>
      <c r="AM57" s="11" t="str">
        <f t="shared" si="20"/>
        <v>Aequs</v>
      </c>
      <c r="AN57" s="69">
        <v>5</v>
      </c>
      <c r="AO57" s="13">
        <v>8</v>
      </c>
      <c r="AP57" s="13">
        <f t="shared" si="21"/>
        <v>2</v>
      </c>
      <c r="AQ57" s="13">
        <v>1</v>
      </c>
      <c r="AR57" s="10"/>
      <c r="AS57" s="10"/>
      <c r="AT57" s="10"/>
      <c r="AU57" s="10"/>
      <c r="AV57" s="10"/>
      <c r="AW57" s="10"/>
      <c r="AX57" s="10"/>
    </row>
    <row r="58" spans="1:50" ht="12.75" customHeight="1">
      <c r="A58" s="17"/>
      <c r="B58" s="10" t="s">
        <v>361</v>
      </c>
      <c r="C58" s="13">
        <v>2025</v>
      </c>
      <c r="D58" s="11" t="s">
        <v>54</v>
      </c>
      <c r="E58" s="13">
        <v>0</v>
      </c>
      <c r="F58" s="13">
        <v>1203.6199999999999</v>
      </c>
      <c r="G58" s="13">
        <f t="shared" si="11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2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68">
        <v>20</v>
      </c>
      <c r="Y58" s="10">
        <v>20</v>
      </c>
      <c r="Z58" s="10">
        <v>20</v>
      </c>
      <c r="AA58" s="63">
        <f t="shared" si="13"/>
        <v>1</v>
      </c>
      <c r="AB58" s="13">
        <v>38</v>
      </c>
      <c r="AC58" s="12">
        <f t="shared" si="14"/>
        <v>13.666666666666666</v>
      </c>
      <c r="AD58" s="10">
        <v>-1103</v>
      </c>
      <c r="AE58" s="10">
        <v>23</v>
      </c>
      <c r="AF58" s="10">
        <v>11.11</v>
      </c>
      <c r="AG58" s="12">
        <f t="shared" si="15"/>
        <v>6.3</v>
      </c>
      <c r="AH58" s="12">
        <f t="shared" si="16"/>
        <v>24.966666666666669</v>
      </c>
      <c r="AI58" s="12">
        <v>11</v>
      </c>
      <c r="AJ58" s="11">
        <f t="shared" si="17"/>
        <v>1</v>
      </c>
      <c r="AK58" s="12">
        <f t="shared" si="18"/>
        <v>41.346666666666664</v>
      </c>
      <c r="AL58" s="11" t="str">
        <f t="shared" si="19"/>
        <v>Pos</v>
      </c>
      <c r="AM58" s="11" t="str">
        <f t="shared" si="20"/>
        <v>Meesho</v>
      </c>
      <c r="AN58" s="69">
        <v>5</v>
      </c>
      <c r="AO58" s="13">
        <v>8</v>
      </c>
      <c r="AP58" s="13">
        <f t="shared" si="21"/>
        <v>2</v>
      </c>
      <c r="AQ58" s="13">
        <v>1</v>
      </c>
      <c r="AR58" s="10"/>
      <c r="AS58" s="10"/>
      <c r="AT58" s="10"/>
      <c r="AU58" s="10"/>
      <c r="AV58" s="10"/>
      <c r="AW58" s="10"/>
      <c r="AX58" s="10"/>
    </row>
    <row r="59" spans="1:50" ht="12.75" customHeight="1">
      <c r="A59" s="17" t="s">
        <v>362</v>
      </c>
      <c r="B59" s="10" t="s">
        <v>363</v>
      </c>
      <c r="C59" s="13">
        <v>2025</v>
      </c>
      <c r="D59" s="11" t="s">
        <v>54</v>
      </c>
      <c r="E59" s="13">
        <v>146.38</v>
      </c>
      <c r="F59" s="13">
        <v>166.34</v>
      </c>
      <c r="G59" s="13">
        <f t="shared" si="11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2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68">
        <v>6</v>
      </c>
      <c r="Y59" s="10">
        <v>55</v>
      </c>
      <c r="Z59" s="10">
        <v>30</v>
      </c>
      <c r="AA59" s="63">
        <f t="shared" si="13"/>
        <v>-1</v>
      </c>
      <c r="AB59" s="13">
        <v>19</v>
      </c>
      <c r="AC59" s="12">
        <f t="shared" si="14"/>
        <v>7.333333333333333</v>
      </c>
      <c r="AD59" s="10">
        <v>59</v>
      </c>
      <c r="AE59" s="10">
        <v>25</v>
      </c>
      <c r="AF59" s="10">
        <v>60</v>
      </c>
      <c r="AG59" s="12">
        <f t="shared" si="15"/>
        <v>4.7</v>
      </c>
      <c r="AH59" s="12">
        <f t="shared" si="16"/>
        <v>13.033333333333333</v>
      </c>
      <c r="AI59" s="12">
        <v>11</v>
      </c>
      <c r="AJ59" s="11">
        <f t="shared" si="17"/>
        <v>1</v>
      </c>
      <c r="AK59" s="12">
        <f t="shared" si="18"/>
        <v>25.253333333333334</v>
      </c>
      <c r="AL59" s="11" t="str">
        <f t="shared" si="19"/>
        <v>Pos</v>
      </c>
      <c r="AM59" s="11" t="str">
        <f t="shared" si="20"/>
        <v>Vidya Wires</v>
      </c>
      <c r="AN59" s="69">
        <v>5</v>
      </c>
      <c r="AO59" s="13">
        <v>8</v>
      </c>
      <c r="AP59" s="13">
        <f t="shared" si="21"/>
        <v>1</v>
      </c>
      <c r="AQ59" s="13">
        <v>1</v>
      </c>
      <c r="AR59" s="10"/>
      <c r="AS59" s="10"/>
      <c r="AT59" s="10"/>
      <c r="AU59" s="10"/>
      <c r="AV59" s="10"/>
      <c r="AW59" s="10"/>
      <c r="AX59" s="10"/>
    </row>
    <row r="60" spans="1:50" ht="12.75" customHeight="1">
      <c r="A60" s="17" t="s">
        <v>364</v>
      </c>
      <c r="B60" s="10" t="s">
        <v>365</v>
      </c>
      <c r="C60" s="13">
        <v>2025</v>
      </c>
      <c r="D60" s="11" t="s">
        <v>54</v>
      </c>
      <c r="E60" s="13">
        <v>0</v>
      </c>
      <c r="F60" s="13">
        <v>520</v>
      </c>
      <c r="G60" s="13">
        <f t="shared" si="11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2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68">
        <v>2.25</v>
      </c>
      <c r="Y60" s="10">
        <v>0.82</v>
      </c>
      <c r="Z60" s="10">
        <v>2.76</v>
      </c>
      <c r="AA60" s="63">
        <f t="shared" si="13"/>
        <v>1</v>
      </c>
      <c r="AB60" s="13">
        <v>0</v>
      </c>
      <c r="AC60" s="12">
        <f t="shared" si="14"/>
        <v>0</v>
      </c>
      <c r="AD60" s="10">
        <v>-132.44999999999999</v>
      </c>
      <c r="AE60" s="10">
        <v>35.33</v>
      </c>
      <c r="AF60" s="10">
        <v>-4.2</v>
      </c>
      <c r="AG60" s="12">
        <f t="shared" si="15"/>
        <v>6.8</v>
      </c>
      <c r="AH60" s="12">
        <f t="shared" si="16"/>
        <v>9.8000000000000007</v>
      </c>
      <c r="AI60" s="12">
        <v>11</v>
      </c>
      <c r="AJ60" s="11">
        <f t="shared" si="17"/>
        <v>1</v>
      </c>
      <c r="AK60" s="12">
        <f t="shared" si="18"/>
        <v>27.48</v>
      </c>
      <c r="AL60" s="11" t="str">
        <f t="shared" si="19"/>
        <v>Pos</v>
      </c>
      <c r="AM60" s="11" t="str">
        <f t="shared" si="20"/>
        <v>Wakefit Innovations</v>
      </c>
      <c r="AN60" s="69">
        <v>10</v>
      </c>
      <c r="AO60" s="13">
        <v>11</v>
      </c>
      <c r="AP60" s="13">
        <f t="shared" si="21"/>
        <v>3</v>
      </c>
      <c r="AQ60" s="13">
        <v>1</v>
      </c>
      <c r="AR60" s="10"/>
      <c r="AS60" s="10"/>
      <c r="AT60" s="10"/>
      <c r="AU60" s="10"/>
      <c r="AV60" s="10"/>
      <c r="AW60" s="10"/>
      <c r="AX60" s="10"/>
    </row>
    <row r="61" spans="1:50" ht="12.75" customHeight="1">
      <c r="A61" s="17"/>
      <c r="B61" s="10" t="s">
        <v>366</v>
      </c>
      <c r="C61" s="13">
        <v>2025</v>
      </c>
      <c r="D61" s="11" t="s">
        <v>54</v>
      </c>
      <c r="E61" s="13">
        <v>0</v>
      </c>
      <c r="F61" s="13">
        <v>3516.94</v>
      </c>
      <c r="G61" s="13">
        <f t="shared" si="11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2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68">
        <v>21.59</v>
      </c>
      <c r="Y61" s="10">
        <v>16.75</v>
      </c>
      <c r="Z61" s="10">
        <v>2.77</v>
      </c>
      <c r="AA61" s="63">
        <f t="shared" si="13"/>
        <v>1</v>
      </c>
      <c r="AB61" s="13">
        <v>15.52</v>
      </c>
      <c r="AC61" s="12">
        <f t="shared" si="14"/>
        <v>6.1733333333333329</v>
      </c>
      <c r="AD61" s="10">
        <v>100</v>
      </c>
      <c r="AE61" s="10">
        <v>32</v>
      </c>
      <c r="AF61" s="10">
        <v>10.97</v>
      </c>
      <c r="AG61" s="12">
        <f t="shared" si="15"/>
        <v>7.1</v>
      </c>
      <c r="AH61" s="12">
        <f t="shared" si="16"/>
        <v>18.273333333333333</v>
      </c>
      <c r="AI61" s="12">
        <v>11</v>
      </c>
      <c r="AJ61" s="11">
        <f t="shared" si="17"/>
        <v>1</v>
      </c>
      <c r="AK61" s="12">
        <f t="shared" si="18"/>
        <v>36.733333333333334</v>
      </c>
      <c r="AL61" s="11" t="str">
        <f t="shared" si="19"/>
        <v>Pos</v>
      </c>
      <c r="AM61" s="11" t="str">
        <f t="shared" si="20"/>
        <v>ICICI Prudential AMC</v>
      </c>
      <c r="AN61" s="69">
        <v>16</v>
      </c>
      <c r="AO61" s="13">
        <v>17</v>
      </c>
      <c r="AP61" s="13">
        <f t="shared" si="21"/>
        <v>2</v>
      </c>
      <c r="AQ61" s="13">
        <v>1</v>
      </c>
      <c r="AR61" s="10"/>
      <c r="AS61" s="10"/>
      <c r="AT61" s="10"/>
      <c r="AU61" s="10"/>
      <c r="AV61" s="10"/>
      <c r="AW61" s="10"/>
      <c r="AX61" s="10"/>
    </row>
    <row r="62" spans="1:50" ht="12.75" customHeight="1">
      <c r="A62" s="17"/>
      <c r="B62" s="10" t="s">
        <v>367</v>
      </c>
      <c r="C62" s="13">
        <v>2025</v>
      </c>
      <c r="D62" s="10" t="s">
        <v>77</v>
      </c>
      <c r="E62" s="13">
        <v>360.05</v>
      </c>
      <c r="F62" s="13">
        <v>298.55</v>
      </c>
      <c r="G62" s="13">
        <f t="shared" si="11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2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68">
        <v>1.1200000000000001</v>
      </c>
      <c r="Y62" s="10">
        <v>0.44</v>
      </c>
      <c r="Z62" s="10">
        <v>0.91</v>
      </c>
      <c r="AA62" s="63">
        <f t="shared" si="13"/>
        <v>1</v>
      </c>
      <c r="AB62" s="13"/>
      <c r="AC62" s="12">
        <f t="shared" si="14"/>
        <v>0</v>
      </c>
      <c r="AD62" s="10">
        <v>78.959999999999994</v>
      </c>
      <c r="AE62" s="10">
        <v>82</v>
      </c>
      <c r="AF62" s="10">
        <v>39</v>
      </c>
      <c r="AG62" s="12">
        <f t="shared" si="15"/>
        <v>4</v>
      </c>
      <c r="AH62" s="12">
        <f t="shared" si="16"/>
        <v>5</v>
      </c>
      <c r="AI62" s="12">
        <v>11</v>
      </c>
      <c r="AJ62" s="11">
        <f t="shared" si="17"/>
        <v>1</v>
      </c>
      <c r="AK62" s="12">
        <f t="shared" si="18"/>
        <v>15.4</v>
      </c>
      <c r="AL62" s="11" t="str">
        <f t="shared" si="19"/>
        <v>Neg</v>
      </c>
      <c r="AM62" s="11" t="str">
        <f t="shared" si="20"/>
        <v>KSH International</v>
      </c>
      <c r="AN62" s="69">
        <v>18</v>
      </c>
      <c r="AO62" s="13">
        <v>19</v>
      </c>
      <c r="AP62" s="13">
        <f t="shared" si="21"/>
        <v>0</v>
      </c>
      <c r="AQ62" s="13">
        <v>1</v>
      </c>
      <c r="AR62" s="10"/>
      <c r="AS62" s="10"/>
      <c r="AT62" s="10"/>
      <c r="AU62" s="10"/>
      <c r="AV62" s="10"/>
      <c r="AW62" s="10"/>
      <c r="AX62" s="10"/>
    </row>
    <row r="63" spans="1:50" ht="12.75" customHeight="1">
      <c r="A63" s="17"/>
      <c r="B63" s="10" t="s">
        <v>368</v>
      </c>
      <c r="C63" s="13">
        <v>2025</v>
      </c>
      <c r="D63" s="11" t="s">
        <v>54</v>
      </c>
      <c r="E63" s="13">
        <v>3.88</v>
      </c>
      <c r="F63" s="13">
        <v>25.71</v>
      </c>
      <c r="G63" s="13">
        <f t="shared" si="11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2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68">
        <v>1.06</v>
      </c>
      <c r="Y63" s="10">
        <v>5.73</v>
      </c>
      <c r="Z63" s="10">
        <v>19.04</v>
      </c>
      <c r="AA63" s="63">
        <f t="shared" si="13"/>
        <v>-1</v>
      </c>
      <c r="AB63" s="13"/>
      <c r="AC63" s="12">
        <f t="shared" si="14"/>
        <v>0</v>
      </c>
      <c r="AD63" s="10">
        <v>454</v>
      </c>
      <c r="AE63" s="10">
        <v>637</v>
      </c>
      <c r="AF63" s="10">
        <v>138</v>
      </c>
      <c r="AG63" s="12">
        <f t="shared" si="15"/>
        <v>8.1</v>
      </c>
      <c r="AH63" s="12">
        <f t="shared" si="16"/>
        <v>9.1</v>
      </c>
      <c r="AI63" s="12">
        <v>11</v>
      </c>
      <c r="AJ63" s="11">
        <f t="shared" si="17"/>
        <v>1</v>
      </c>
      <c r="AK63" s="12">
        <f t="shared" si="18"/>
        <v>30.159999999999997</v>
      </c>
      <c r="AL63" s="11" t="str">
        <f t="shared" si="19"/>
        <v>Pos</v>
      </c>
      <c r="AM63" s="11" t="str">
        <f t="shared" si="20"/>
        <v>Gujarat Kidney</v>
      </c>
      <c r="AN63" s="69">
        <v>24</v>
      </c>
      <c r="AO63" s="13">
        <v>26</v>
      </c>
      <c r="AP63" s="13">
        <f t="shared" si="21"/>
        <v>3</v>
      </c>
      <c r="AQ63" s="13">
        <v>1</v>
      </c>
      <c r="AR63" s="10"/>
      <c r="AS63" s="10"/>
      <c r="AT63" s="10"/>
      <c r="AU63" s="10"/>
      <c r="AV63" s="10"/>
      <c r="AW63" s="10"/>
      <c r="AX63" s="10"/>
    </row>
    <row r="64" spans="1:50" ht="12.75" customHeight="1">
      <c r="A64" s="17" t="s">
        <v>369</v>
      </c>
      <c r="B64" s="17" t="s">
        <v>370</v>
      </c>
      <c r="C64" s="17" t="s">
        <v>158</v>
      </c>
      <c r="D64" s="11" t="s">
        <v>54</v>
      </c>
      <c r="E64" s="17">
        <v>0</v>
      </c>
      <c r="F64" s="17">
        <v>6551.23</v>
      </c>
      <c r="G64" s="13">
        <f t="shared" si="11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2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3">
        <f t="shared" si="13"/>
        <v>1</v>
      </c>
      <c r="AB64" s="17">
        <v>80</v>
      </c>
      <c r="AC64" s="12">
        <f t="shared" si="14"/>
        <v>27.666666666666668</v>
      </c>
      <c r="AD64" s="17">
        <v>-20.73</v>
      </c>
      <c r="AE64" s="17">
        <v>-1.71</v>
      </c>
      <c r="AF64" s="17">
        <v>22.33</v>
      </c>
      <c r="AG64" s="12">
        <f t="shared" si="15"/>
        <v>4.0999999999999996</v>
      </c>
      <c r="AH64" s="12">
        <f t="shared" si="16"/>
        <v>35.766666666666666</v>
      </c>
      <c r="AI64" s="12">
        <v>11</v>
      </c>
      <c r="AJ64" s="11">
        <f t="shared" si="17"/>
        <v>1</v>
      </c>
      <c r="AK64" s="12">
        <f t="shared" si="18"/>
        <v>46.426666666666662</v>
      </c>
      <c r="AL64" s="11" t="str">
        <f t="shared" si="19"/>
        <v>Pos</v>
      </c>
      <c r="AM64" s="11" t="str">
        <f t="shared" si="20"/>
        <v>Bharat Coking Coal D</v>
      </c>
      <c r="AN64" s="70">
        <v>13</v>
      </c>
      <c r="AO64" s="17">
        <v>15</v>
      </c>
      <c r="AP64" s="13">
        <f t="shared" si="21"/>
        <v>0</v>
      </c>
      <c r="AQ64" s="13">
        <v>1</v>
      </c>
      <c r="AR64" s="17"/>
      <c r="AS64" s="17"/>
      <c r="AT64" s="17"/>
      <c r="AU64" s="17"/>
      <c r="AV64" s="17"/>
      <c r="AW64" s="17"/>
      <c r="AX64" s="17"/>
    </row>
    <row r="65" spans="1:50" ht="12.75" customHeight="1">
      <c r="A65" s="17" t="s">
        <v>371</v>
      </c>
      <c r="B65" s="17" t="s">
        <v>372</v>
      </c>
      <c r="C65" s="17" t="s">
        <v>158</v>
      </c>
      <c r="D65" s="11" t="s">
        <v>94</v>
      </c>
      <c r="E65" s="17">
        <v>0</v>
      </c>
      <c r="F65" s="17">
        <v>509.45</v>
      </c>
      <c r="G65" s="13">
        <f t="shared" si="11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2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3">
        <f t="shared" si="13"/>
        <v>1</v>
      </c>
      <c r="AB65" s="17">
        <v>0.23499999999999999</v>
      </c>
      <c r="AC65" s="12">
        <f t="shared" si="14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5"/>
        <v>5.8</v>
      </c>
      <c r="AH65" s="12">
        <f t="shared" si="16"/>
        <v>9.8783333333333339</v>
      </c>
      <c r="AI65" s="12">
        <v>11</v>
      </c>
      <c r="AJ65" s="11">
        <f t="shared" si="17"/>
        <v>1</v>
      </c>
      <c r="AK65" s="12">
        <f t="shared" si="18"/>
        <v>24.958333333333336</v>
      </c>
      <c r="AL65" s="11" t="str">
        <f t="shared" si="19"/>
        <v>Rec</v>
      </c>
      <c r="AM65" s="11" t="str">
        <f t="shared" si="20"/>
        <v>Amagi Media Labs Dat</v>
      </c>
      <c r="AN65" s="70">
        <v>16</v>
      </c>
      <c r="AO65" s="17">
        <v>18</v>
      </c>
      <c r="AP65" s="13">
        <f t="shared" si="21"/>
        <v>1</v>
      </c>
      <c r="AQ65" s="13">
        <v>1</v>
      </c>
      <c r="AR65" s="17"/>
      <c r="AS65" s="17"/>
      <c r="AT65" s="17"/>
      <c r="AU65" s="17"/>
      <c r="AV65" s="17"/>
      <c r="AW65" s="17"/>
      <c r="AX65" s="17"/>
    </row>
    <row r="66" spans="1:50" ht="12.75" customHeight="1">
      <c r="A66" s="17" t="s">
        <v>373</v>
      </c>
      <c r="B66" s="17" t="s">
        <v>374</v>
      </c>
      <c r="C66" s="17" t="s">
        <v>158</v>
      </c>
      <c r="D66" s="11" t="s">
        <v>77</v>
      </c>
      <c r="E66" s="17">
        <v>132.22999999999999</v>
      </c>
      <c r="F66" s="17">
        <v>660.43</v>
      </c>
      <c r="G66" s="13">
        <f t="shared" ref="G66:G67" si="22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3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3">
        <f t="shared" ref="AA66:AA97" si="24">IF(X66&lt;33,IF(Y66&gt;(1.1*X66),0,1),1)+IF(Y66&gt;(4*X66),-1,0)</f>
        <v>1</v>
      </c>
      <c r="AB66" s="17">
        <v>0</v>
      </c>
      <c r="AC66" s="12">
        <f t="shared" ref="AC66:AC97" si="25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6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7">AG66+IF(AG66&gt;6,1,0)+IF(X66&lt;17,0,1)+IF(Y66&lt;11,0,1)+IF(Z66&lt;1.35,0,1)+AC66+AA66</f>
        <v>6.1</v>
      </c>
      <c r="AI66" s="12">
        <v>13</v>
      </c>
      <c r="AJ66" s="11">
        <f t="shared" ref="AJ66:AJ78" si="28">IF(AI66&gt;12.8,IF(AI66&gt;15.8,0.9,0.97),1)</f>
        <v>0.97</v>
      </c>
      <c r="AK66" s="12">
        <f t="shared" ref="AK66:AK97" si="29">(AG66*2.6+AH66)*AJ66*AQ66</f>
        <v>16.257199999999997</v>
      </c>
      <c r="AL66" s="11" t="str">
        <f t="shared" ref="AL66:AL97" si="30">D66</f>
        <v>Neg</v>
      </c>
      <c r="AM66" s="11" t="str">
        <f t="shared" si="20"/>
        <v>Shadowfax Technologi</v>
      </c>
      <c r="AN66" s="70">
        <v>22</v>
      </c>
      <c r="AO66" s="17">
        <v>24</v>
      </c>
      <c r="AP66" s="13">
        <f t="shared" ref="AP66:AP97" si="31">IF(AK66&gt;23.2,IF(Y66&lt;101,IF(Y66&lt;35,IF(Y66&lt;8,3,2),1),0),0)</f>
        <v>0</v>
      </c>
      <c r="AQ66" s="13">
        <v>1</v>
      </c>
      <c r="AR66" s="17"/>
      <c r="AS66" s="17"/>
      <c r="AT66" s="17"/>
      <c r="AU66" s="17"/>
      <c r="AV66" s="17"/>
      <c r="AW66" s="17"/>
      <c r="AX66" s="17"/>
    </row>
    <row r="67" spans="1:50" ht="12.75" customHeight="1">
      <c r="A67" s="17" t="s">
        <v>375</v>
      </c>
      <c r="B67" s="17" t="s">
        <v>376</v>
      </c>
      <c r="C67" s="17" t="s">
        <v>158</v>
      </c>
      <c r="D67" s="11" t="s">
        <v>77</v>
      </c>
      <c r="E67" s="17">
        <v>266.2</v>
      </c>
      <c r="F67" s="17">
        <v>1748.3</v>
      </c>
      <c r="G67" s="13">
        <f t="shared" si="22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3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3">
        <f t="shared" si="24"/>
        <v>1</v>
      </c>
      <c r="AB67" s="17">
        <v>0</v>
      </c>
      <c r="AC67" s="12">
        <f t="shared" si="25"/>
        <v>0</v>
      </c>
      <c r="AD67" s="17">
        <v>-503.29</v>
      </c>
      <c r="AE67" s="17">
        <v>25.62</v>
      </c>
      <c r="AF67" s="17">
        <v>25.15</v>
      </c>
      <c r="AG67" s="12">
        <f t="shared" si="26"/>
        <v>4.0999999999999996</v>
      </c>
      <c r="AH67" s="12">
        <f t="shared" si="27"/>
        <v>5.0999999999999996</v>
      </c>
      <c r="AI67" s="12">
        <v>11</v>
      </c>
      <c r="AJ67" s="11">
        <f t="shared" si="28"/>
        <v>1</v>
      </c>
      <c r="AK67" s="12">
        <f t="shared" si="29"/>
        <v>15.76</v>
      </c>
      <c r="AL67" s="11" t="str">
        <f t="shared" si="30"/>
        <v>Neg</v>
      </c>
      <c r="AM67" s="11" t="str">
        <f t="shared" si="20"/>
        <v>Fractal Analytics Da</v>
      </c>
      <c r="AN67" s="71">
        <v>11</v>
      </c>
      <c r="AO67" s="17">
        <v>13</v>
      </c>
      <c r="AP67" s="13">
        <f t="shared" si="31"/>
        <v>0</v>
      </c>
      <c r="AQ67" s="13">
        <v>1</v>
      </c>
      <c r="AR67" s="17"/>
      <c r="AS67" s="17"/>
      <c r="AT67" s="17"/>
      <c r="AU67" s="17"/>
      <c r="AV67" s="17"/>
      <c r="AW67" s="17"/>
      <c r="AX67" s="17"/>
    </row>
    <row r="68" spans="1:50" ht="12.75" customHeight="1">
      <c r="A68" s="17" t="s">
        <v>377</v>
      </c>
      <c r="B68" s="17" t="s">
        <v>378</v>
      </c>
      <c r="C68" s="17" t="s">
        <v>158</v>
      </c>
      <c r="D68" s="11" t="s">
        <v>77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3">
        <f t="shared" si="24"/>
        <v>1</v>
      </c>
      <c r="AB68" s="17">
        <v>0</v>
      </c>
      <c r="AC68" s="12">
        <f t="shared" si="25"/>
        <v>0</v>
      </c>
      <c r="AD68" s="17">
        <v>2.08</v>
      </c>
      <c r="AE68" s="17">
        <v>40.42</v>
      </c>
      <c r="AF68" s="17">
        <v>34.58</v>
      </c>
      <c r="AG68" s="12">
        <f t="shared" si="26"/>
        <v>4</v>
      </c>
      <c r="AH68" s="12">
        <f t="shared" si="27"/>
        <v>5</v>
      </c>
      <c r="AI68" s="12">
        <v>12</v>
      </c>
      <c r="AJ68" s="11">
        <f t="shared" si="28"/>
        <v>1</v>
      </c>
      <c r="AK68" s="12">
        <f t="shared" si="29"/>
        <v>15.4</v>
      </c>
      <c r="AL68" s="11" t="str">
        <f t="shared" si="30"/>
        <v>Neg</v>
      </c>
      <c r="AM68" s="11" t="str">
        <f t="shared" si="20"/>
        <v>Aye Finance Date, Pr</v>
      </c>
      <c r="AN68" s="71">
        <v>11</v>
      </c>
      <c r="AO68" s="17">
        <v>13</v>
      </c>
      <c r="AP68" s="13">
        <f t="shared" si="31"/>
        <v>0</v>
      </c>
      <c r="AQ68" s="13">
        <v>1</v>
      </c>
      <c r="AR68" s="17"/>
      <c r="AS68" s="17"/>
      <c r="AT68" s="17"/>
      <c r="AU68" s="17"/>
      <c r="AV68" s="17"/>
      <c r="AW68" s="17"/>
      <c r="AX68" s="17"/>
    </row>
    <row r="69" spans="1:50" ht="12.75" customHeight="1">
      <c r="A69" s="17" t="s">
        <v>379</v>
      </c>
      <c r="B69" s="17" t="s">
        <v>380</v>
      </c>
      <c r="C69" s="17" t="s">
        <v>158</v>
      </c>
      <c r="D69" s="17" t="s">
        <v>54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3">
        <f t="shared" si="24"/>
        <v>1</v>
      </c>
      <c r="AB69" s="17">
        <v>5.0599999999999996</v>
      </c>
      <c r="AC69" s="12">
        <f t="shared" si="25"/>
        <v>1.6866666666666665</v>
      </c>
      <c r="AD69" s="17">
        <v>85.37</v>
      </c>
      <c r="AE69" s="17">
        <v>47.37</v>
      </c>
      <c r="AF69" s="17">
        <v>71.55</v>
      </c>
      <c r="AG69" s="12">
        <f t="shared" si="26"/>
        <v>8.1</v>
      </c>
      <c r="AH69" s="12">
        <f t="shared" si="27"/>
        <v>12.786666666666665</v>
      </c>
      <c r="AI69" s="12">
        <v>13</v>
      </c>
      <c r="AJ69" s="11">
        <f t="shared" si="28"/>
        <v>0.97</v>
      </c>
      <c r="AK69" s="12">
        <f t="shared" si="29"/>
        <v>32.831266666666664</v>
      </c>
      <c r="AL69" s="11" t="str">
        <f t="shared" si="30"/>
        <v>Pos</v>
      </c>
      <c r="AM69" s="11" t="s">
        <v>380</v>
      </c>
      <c r="AN69" s="71">
        <v>24</v>
      </c>
      <c r="AO69" s="17">
        <v>25</v>
      </c>
      <c r="AP69" s="13">
        <f t="shared" si="31"/>
        <v>3</v>
      </c>
      <c r="AQ69" s="13">
        <v>1</v>
      </c>
      <c r="AR69" s="17"/>
      <c r="AS69" s="17"/>
      <c r="AT69" s="17"/>
      <c r="AU69" s="17"/>
      <c r="AV69" s="17"/>
      <c r="AW69" s="17"/>
      <c r="AX69" s="17"/>
    </row>
    <row r="70" spans="1:50" ht="12.75" customHeight="1">
      <c r="A70" s="17" t="s">
        <v>381</v>
      </c>
      <c r="B70" s="17" t="s">
        <v>382</v>
      </c>
      <c r="C70" s="17" t="s">
        <v>158</v>
      </c>
      <c r="D70" s="17" t="s">
        <v>77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3">
        <f t="shared" si="24"/>
        <v>-1</v>
      </c>
      <c r="AB70" s="17">
        <v>0</v>
      </c>
      <c r="AC70" s="12">
        <f t="shared" si="25"/>
        <v>0</v>
      </c>
      <c r="AD70" s="17">
        <v>22.14</v>
      </c>
      <c r="AE70" s="17">
        <v>10.62</v>
      </c>
      <c r="AF70" s="17">
        <v>10.82</v>
      </c>
      <c r="AG70" s="12">
        <f t="shared" si="26"/>
        <v>3.2</v>
      </c>
      <c r="AH70" s="12">
        <f t="shared" si="27"/>
        <v>4.2</v>
      </c>
      <c r="AI70" s="12">
        <v>14</v>
      </c>
      <c r="AJ70" s="11">
        <f t="shared" si="28"/>
        <v>0.97</v>
      </c>
      <c r="AK70" s="12">
        <f t="shared" si="29"/>
        <v>12.144399999999999</v>
      </c>
      <c r="AL70" s="11" t="str">
        <f t="shared" si="30"/>
        <v>Neg</v>
      </c>
      <c r="AM70" s="72" t="s">
        <v>382</v>
      </c>
      <c r="AN70" s="71">
        <v>25</v>
      </c>
      <c r="AO70" s="17">
        <v>26</v>
      </c>
      <c r="AP70" s="13">
        <f t="shared" si="31"/>
        <v>0</v>
      </c>
      <c r="AQ70" s="13">
        <v>1</v>
      </c>
      <c r="AR70" s="17"/>
      <c r="AS70" s="17"/>
      <c r="AT70" s="17"/>
      <c r="AU70" s="17"/>
      <c r="AV70" s="17"/>
      <c r="AW70" s="17"/>
      <c r="AX70" s="17"/>
    </row>
    <row r="71" spans="1:50" ht="12.75" customHeight="1">
      <c r="A71" s="17" t="s">
        <v>383</v>
      </c>
      <c r="B71" s="17" t="s">
        <v>384</v>
      </c>
      <c r="C71" s="17" t="s">
        <v>158</v>
      </c>
      <c r="D71" s="17" t="s">
        <v>77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3">
        <f t="shared" si="24"/>
        <v>1</v>
      </c>
      <c r="AB71" s="17">
        <v>0</v>
      </c>
      <c r="AC71" s="12">
        <f t="shared" si="25"/>
        <v>0</v>
      </c>
      <c r="AD71" s="17">
        <v>-151.62</v>
      </c>
      <c r="AE71" s="17">
        <v>12.98</v>
      </c>
      <c r="AF71" s="17">
        <v>40.020000000000003</v>
      </c>
      <c r="AG71" s="12">
        <f t="shared" si="26"/>
        <v>1</v>
      </c>
      <c r="AH71" s="12">
        <f t="shared" si="27"/>
        <v>2</v>
      </c>
      <c r="AI71" s="12">
        <v>14</v>
      </c>
      <c r="AJ71" s="11">
        <f t="shared" si="28"/>
        <v>0.97</v>
      </c>
      <c r="AK71" s="12">
        <f t="shared" si="29"/>
        <v>4.4619999999999997</v>
      </c>
      <c r="AL71" s="11" t="str">
        <f t="shared" si="30"/>
        <v>Neg</v>
      </c>
      <c r="AM71" s="11" t="s">
        <v>384</v>
      </c>
      <c r="AN71" s="71">
        <v>25</v>
      </c>
      <c r="AO71" s="17">
        <v>26</v>
      </c>
      <c r="AP71" s="13">
        <f t="shared" si="31"/>
        <v>0</v>
      </c>
      <c r="AQ71" s="13">
        <v>1</v>
      </c>
      <c r="AR71" s="17"/>
      <c r="AS71" s="17"/>
      <c r="AT71" s="17"/>
      <c r="AU71" s="17"/>
      <c r="AV71" s="17"/>
      <c r="AW71" s="17"/>
      <c r="AX71" s="17"/>
    </row>
    <row r="72" spans="1:50" ht="12.75" customHeight="1">
      <c r="A72" s="17" t="s">
        <v>385</v>
      </c>
      <c r="B72" s="17" t="s">
        <v>386</v>
      </c>
      <c r="C72" s="17" t="s">
        <v>158</v>
      </c>
      <c r="D72" s="17" t="s">
        <v>54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3">
        <f t="shared" si="24"/>
        <v>0</v>
      </c>
      <c r="AB72" s="17">
        <v>0</v>
      </c>
      <c r="AC72" s="12">
        <f t="shared" si="25"/>
        <v>0</v>
      </c>
      <c r="AD72" s="17">
        <v>40.229999999999997</v>
      </c>
      <c r="AE72" s="17">
        <v>32.04</v>
      </c>
      <c r="AF72" s="17">
        <v>-451.54</v>
      </c>
      <c r="AG72" s="12">
        <f t="shared" si="26"/>
        <v>5.3000000000000007</v>
      </c>
      <c r="AH72" s="12">
        <f t="shared" si="27"/>
        <v>5.3000000000000007</v>
      </c>
      <c r="AI72" s="12">
        <v>15</v>
      </c>
      <c r="AJ72" s="11">
        <f t="shared" si="28"/>
        <v>0.97</v>
      </c>
      <c r="AK72" s="12">
        <f t="shared" si="29"/>
        <v>18.507600000000004</v>
      </c>
      <c r="AL72" s="11" t="str">
        <f t="shared" si="30"/>
        <v>Pos</v>
      </c>
      <c r="AM72" s="72" t="s">
        <v>386</v>
      </c>
      <c r="AN72" s="71">
        <v>26</v>
      </c>
      <c r="AO72" s="17">
        <v>27</v>
      </c>
      <c r="AP72" s="13">
        <f t="shared" si="31"/>
        <v>0</v>
      </c>
      <c r="AQ72" s="13">
        <v>1</v>
      </c>
      <c r="AR72" s="17"/>
      <c r="AS72" s="17"/>
      <c r="AT72" s="17"/>
      <c r="AU72" s="17"/>
      <c r="AV72" s="17"/>
      <c r="AW72" s="17"/>
      <c r="AX72" s="17"/>
    </row>
    <row r="73" spans="1:50" ht="12.75" customHeight="1">
      <c r="A73" s="17" t="s">
        <v>387</v>
      </c>
      <c r="B73" s="17" t="s">
        <v>388</v>
      </c>
      <c r="C73" s="17" t="s">
        <v>158</v>
      </c>
      <c r="D73" s="17" t="s">
        <v>77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3">
        <f t="shared" si="24"/>
        <v>1</v>
      </c>
      <c r="AB73" s="17">
        <v>0</v>
      </c>
      <c r="AC73" s="12">
        <f t="shared" si="25"/>
        <v>0</v>
      </c>
      <c r="AD73" s="17">
        <v>131.99</v>
      </c>
      <c r="AE73" s="17">
        <v>92.2</v>
      </c>
      <c r="AF73" s="17">
        <v>159.41</v>
      </c>
      <c r="AG73" s="12">
        <f t="shared" si="26"/>
        <v>5</v>
      </c>
      <c r="AH73" s="12">
        <f t="shared" si="27"/>
        <v>6</v>
      </c>
      <c r="AI73" s="12">
        <v>16</v>
      </c>
      <c r="AJ73" s="11">
        <f t="shared" si="28"/>
        <v>0.9</v>
      </c>
      <c r="AK73" s="12">
        <f t="shared" si="29"/>
        <v>17.100000000000001</v>
      </c>
      <c r="AL73" s="11" t="str">
        <f t="shared" si="30"/>
        <v>Neg</v>
      </c>
      <c r="AM73" s="11" t="s">
        <v>388</v>
      </c>
      <c r="AN73" s="71">
        <v>27</v>
      </c>
      <c r="AO73" s="17">
        <v>30</v>
      </c>
      <c r="AP73" s="13">
        <f t="shared" si="31"/>
        <v>0</v>
      </c>
      <c r="AQ73" s="13">
        <v>1</v>
      </c>
      <c r="AR73" s="17"/>
      <c r="AS73" s="17"/>
      <c r="AT73" s="17"/>
      <c r="AU73" s="17"/>
      <c r="AV73" s="17"/>
      <c r="AW73" s="17"/>
      <c r="AX73" s="17"/>
    </row>
    <row r="74" spans="1:50" ht="12.75" customHeight="1">
      <c r="A74" s="17" t="s">
        <v>389</v>
      </c>
      <c r="B74" s="17" t="s">
        <v>390</v>
      </c>
      <c r="C74" s="17" t="s">
        <v>158</v>
      </c>
      <c r="D74" s="17" t="s">
        <v>54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3">
        <f t="shared" si="24"/>
        <v>1</v>
      </c>
      <c r="AB74" s="17">
        <v>1</v>
      </c>
      <c r="AC74" s="12">
        <f t="shared" si="25"/>
        <v>0.33333333333333331</v>
      </c>
      <c r="AD74" s="17">
        <v>700.17</v>
      </c>
      <c r="AE74" s="17">
        <v>23.63</v>
      </c>
      <c r="AF74" s="17">
        <v>144.22</v>
      </c>
      <c r="AG74" s="12">
        <f t="shared" si="26"/>
        <v>7.8</v>
      </c>
      <c r="AH74" s="12">
        <f t="shared" si="27"/>
        <v>10.133333333333335</v>
      </c>
      <c r="AI74" s="12">
        <v>17</v>
      </c>
      <c r="AJ74" s="11">
        <f t="shared" si="28"/>
        <v>0.9</v>
      </c>
      <c r="AK74" s="12">
        <f t="shared" si="29"/>
        <v>27.372</v>
      </c>
      <c r="AL74" s="11" t="str">
        <f t="shared" si="30"/>
        <v>Pos</v>
      </c>
      <c r="AM74" s="11" t="s">
        <v>390</v>
      </c>
      <c r="AN74" s="70">
        <v>6</v>
      </c>
      <c r="AO74" s="17">
        <v>9</v>
      </c>
      <c r="AP74" s="13">
        <f t="shared" si="31"/>
        <v>3</v>
      </c>
      <c r="AQ74" s="13">
        <v>1</v>
      </c>
      <c r="AR74" s="17"/>
      <c r="AS74" s="17"/>
      <c r="AT74" s="17"/>
      <c r="AU74" s="17"/>
      <c r="AV74" s="17"/>
      <c r="AW74" s="17"/>
      <c r="AX74" s="17"/>
    </row>
    <row r="75" spans="1:50" ht="12.75" customHeight="1">
      <c r="A75" s="17" t="s">
        <v>391</v>
      </c>
      <c r="B75" s="17" t="s">
        <v>392</v>
      </c>
      <c r="C75" s="17" t="s">
        <v>158</v>
      </c>
      <c r="D75" s="17" t="s">
        <v>77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3">
        <f t="shared" si="24"/>
        <v>1</v>
      </c>
      <c r="AB75" s="17">
        <v>2</v>
      </c>
      <c r="AC75" s="12">
        <f t="shared" si="25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6"/>
        <v>4.2</v>
      </c>
      <c r="AH75" s="12">
        <f t="shared" si="27"/>
        <v>7.8666666666666671</v>
      </c>
      <c r="AI75" s="12">
        <v>18</v>
      </c>
      <c r="AJ75" s="11">
        <f t="shared" si="28"/>
        <v>0.9</v>
      </c>
      <c r="AK75" s="12">
        <f t="shared" si="29"/>
        <v>16.908000000000001</v>
      </c>
      <c r="AL75" s="11" t="str">
        <f t="shared" si="30"/>
        <v>Neg</v>
      </c>
      <c r="AM75" s="11" t="s">
        <v>392</v>
      </c>
      <c r="AN75" s="70">
        <v>11</v>
      </c>
      <c r="AO75" s="17">
        <v>12</v>
      </c>
      <c r="AP75" s="13">
        <f t="shared" si="31"/>
        <v>0</v>
      </c>
      <c r="AQ75" s="13">
        <v>1</v>
      </c>
      <c r="AR75" s="17"/>
      <c r="AS75" s="17"/>
      <c r="AT75" s="17"/>
      <c r="AU75" s="17"/>
      <c r="AV75" s="17"/>
      <c r="AW75" s="17"/>
      <c r="AX75" s="17"/>
    </row>
    <row r="76" spans="1:50" ht="12.75" customHeight="1">
      <c r="A76" s="17" t="s">
        <v>393</v>
      </c>
      <c r="B76" s="17" t="s">
        <v>394</v>
      </c>
      <c r="C76" s="17" t="s">
        <v>158</v>
      </c>
      <c r="D76" s="17" t="s">
        <v>77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3">
        <f t="shared" si="24"/>
        <v>1</v>
      </c>
      <c r="AB76" s="17">
        <v>0.5</v>
      </c>
      <c r="AC76" s="12">
        <f t="shared" si="25"/>
        <v>0.16666666666666666</v>
      </c>
      <c r="AD76" s="17">
        <v>182.57</v>
      </c>
      <c r="AE76" s="17">
        <v>74.95</v>
      </c>
      <c r="AF76" s="17">
        <v>56.41</v>
      </c>
      <c r="AG76" s="12">
        <f t="shared" si="26"/>
        <v>4.3000000000000007</v>
      </c>
      <c r="AH76" s="12">
        <f t="shared" si="27"/>
        <v>7.4666666666666677</v>
      </c>
      <c r="AI76" s="12">
        <v>18</v>
      </c>
      <c r="AJ76" s="11">
        <f t="shared" si="28"/>
        <v>0.9</v>
      </c>
      <c r="AK76" s="12">
        <f t="shared" si="29"/>
        <v>16.782000000000004</v>
      </c>
      <c r="AL76" s="11" t="str">
        <f t="shared" si="30"/>
        <v>Neg</v>
      </c>
      <c r="AM76" s="11" t="s">
        <v>394</v>
      </c>
      <c r="AN76" s="70">
        <v>12</v>
      </c>
      <c r="AO76" s="17">
        <v>13</v>
      </c>
      <c r="AP76" s="13">
        <f t="shared" si="31"/>
        <v>0</v>
      </c>
      <c r="AQ76" s="13">
        <v>1</v>
      </c>
      <c r="AR76" s="17"/>
      <c r="AS76" s="17"/>
      <c r="AT76" s="17"/>
      <c r="AU76" s="17"/>
      <c r="AV76" s="17"/>
      <c r="AW76" s="17"/>
      <c r="AX76" s="17"/>
    </row>
    <row r="77" spans="1:50" ht="12.75" customHeight="1">
      <c r="A77" s="17" t="s">
        <v>395</v>
      </c>
      <c r="B77" s="17" t="s">
        <v>396</v>
      </c>
      <c r="C77" s="17" t="s">
        <v>158</v>
      </c>
      <c r="D77" s="17" t="s">
        <v>54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3">
        <f t="shared" si="24"/>
        <v>0</v>
      </c>
      <c r="AB77" s="17">
        <v>0.62</v>
      </c>
      <c r="AC77" s="12">
        <f t="shared" si="25"/>
        <v>0.20666666666666667</v>
      </c>
      <c r="AD77" s="17">
        <v>46.6</v>
      </c>
      <c r="AE77" s="17">
        <v>12.33</v>
      </c>
      <c r="AF77" s="17">
        <v>21.48</v>
      </c>
      <c r="AG77" s="12">
        <f t="shared" si="26"/>
        <v>5.8</v>
      </c>
      <c r="AH77" s="12">
        <f t="shared" si="27"/>
        <v>6.0066666666666668</v>
      </c>
      <c r="AI77" s="12">
        <v>18</v>
      </c>
      <c r="AJ77" s="11">
        <f t="shared" si="28"/>
        <v>0.9</v>
      </c>
      <c r="AK77" s="12">
        <f t="shared" si="29"/>
        <v>18.978000000000002</v>
      </c>
      <c r="AL77" s="11" t="str">
        <f t="shared" si="30"/>
        <v>Pos</v>
      </c>
      <c r="AM77" s="11" t="s">
        <v>396</v>
      </c>
      <c r="AN77" s="70">
        <v>18</v>
      </c>
      <c r="AO77" s="17">
        <v>19</v>
      </c>
      <c r="AP77" s="13">
        <f t="shared" si="31"/>
        <v>0</v>
      </c>
      <c r="AQ77" s="13">
        <v>1</v>
      </c>
      <c r="AR77" s="17"/>
      <c r="AS77" s="17"/>
      <c r="AT77" s="17"/>
      <c r="AU77" s="17"/>
      <c r="AV77" s="17"/>
      <c r="AW77" s="17"/>
      <c r="AX77" s="17"/>
    </row>
    <row r="78" spans="1:50" ht="12.75" customHeight="1">
      <c r="A78" s="17" t="s">
        <v>397</v>
      </c>
      <c r="B78" s="17" t="s">
        <v>398</v>
      </c>
      <c r="C78" s="17" t="s">
        <v>158</v>
      </c>
      <c r="D78" s="17" t="s">
        <v>94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3">
        <f t="shared" si="24"/>
        <v>1</v>
      </c>
      <c r="AB78" s="17">
        <v>4</v>
      </c>
      <c r="AC78" s="12">
        <f t="shared" si="25"/>
        <v>1.3333333333333333</v>
      </c>
      <c r="AD78" s="17">
        <v>32.53</v>
      </c>
      <c r="AE78" s="17">
        <v>23.01</v>
      </c>
      <c r="AF78" s="17">
        <v>28.29</v>
      </c>
      <c r="AG78" s="12">
        <f t="shared" si="26"/>
        <v>7.1999999999999993</v>
      </c>
      <c r="AH78" s="12">
        <f t="shared" si="27"/>
        <v>10.533333333333333</v>
      </c>
      <c r="AI78" s="12">
        <v>18</v>
      </c>
      <c r="AJ78" s="11">
        <f t="shared" si="28"/>
        <v>0.9</v>
      </c>
      <c r="AK78" s="12">
        <f t="shared" si="29"/>
        <v>26.327999999999999</v>
      </c>
      <c r="AL78" s="11" t="str">
        <f t="shared" si="30"/>
        <v>Rec</v>
      </c>
      <c r="AM78" s="11" t="s">
        <v>398</v>
      </c>
      <c r="AN78" s="70">
        <v>26</v>
      </c>
      <c r="AO78" s="17">
        <v>24</v>
      </c>
      <c r="AP78" s="13">
        <f t="shared" si="31"/>
        <v>3</v>
      </c>
      <c r="AQ78" s="13">
        <v>1</v>
      </c>
      <c r="AR78" s="17"/>
      <c r="AS78" s="17"/>
      <c r="AT78" s="17"/>
      <c r="AU78" s="17"/>
      <c r="AV78" s="17"/>
      <c r="AW78" s="17"/>
      <c r="AX78" s="17"/>
    </row>
    <row r="79" spans="1:50" ht="12.75" customHeight="1">
      <c r="A79" s="17" t="s">
        <v>399</v>
      </c>
      <c r="B79" s="17" t="s">
        <v>400</v>
      </c>
      <c r="C79" s="17" t="s">
        <v>158</v>
      </c>
      <c r="D79" s="17" t="s">
        <v>54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3">
        <f t="shared" si="24"/>
        <v>0</v>
      </c>
      <c r="AB79" s="17">
        <v>0</v>
      </c>
      <c r="AC79" s="12">
        <f t="shared" si="25"/>
        <v>0</v>
      </c>
      <c r="AD79" s="17">
        <v>71.38</v>
      </c>
      <c r="AE79" s="17">
        <v>5.52</v>
      </c>
      <c r="AF79" s="17">
        <v>25.37</v>
      </c>
      <c r="AG79" s="12">
        <f t="shared" si="26"/>
        <v>4.6500000000000004</v>
      </c>
      <c r="AH79" s="12">
        <f t="shared" si="27"/>
        <v>4.6500000000000004</v>
      </c>
      <c r="AI79" s="12">
        <v>18</v>
      </c>
      <c r="AJ79" s="11" t="s">
        <v>401</v>
      </c>
      <c r="AK79" s="12" t="e">
        <f t="shared" si="29"/>
        <v>#VALUE!</v>
      </c>
      <c r="AL79" s="11" t="str">
        <f t="shared" si="30"/>
        <v>Pos</v>
      </c>
      <c r="AM79" s="11" t="s">
        <v>400</v>
      </c>
      <c r="AN79" s="70">
        <v>27</v>
      </c>
      <c r="AO79" s="17">
        <v>25</v>
      </c>
      <c r="AP79" s="13" t="e">
        <f t="shared" si="31"/>
        <v>#VALUE!</v>
      </c>
      <c r="AQ79" s="13">
        <v>1</v>
      </c>
      <c r="AR79" s="17"/>
      <c r="AS79" s="17"/>
      <c r="AT79" s="17"/>
      <c r="AU79" s="17"/>
      <c r="AV79" s="17"/>
      <c r="AW79" s="17"/>
      <c r="AX79" s="17"/>
    </row>
    <row r="80" spans="1:50" ht="12.75" customHeight="1">
      <c r="A80" s="17" t="s">
        <v>402</v>
      </c>
      <c r="B80" s="17" t="s">
        <v>403</v>
      </c>
      <c r="C80" s="17" t="s">
        <v>158</v>
      </c>
      <c r="D80" s="17" t="s">
        <v>77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3">
        <f t="shared" si="24"/>
        <v>0</v>
      </c>
      <c r="AB80" s="17">
        <v>3.77</v>
      </c>
      <c r="AC80" s="12">
        <f t="shared" si="25"/>
        <v>1.2566666666666666</v>
      </c>
      <c r="AD80" s="17">
        <v>100</v>
      </c>
      <c r="AE80" s="17">
        <v>29.17</v>
      </c>
      <c r="AF80" s="17">
        <v>21.73</v>
      </c>
      <c r="AG80" s="12">
        <f t="shared" si="26"/>
        <v>2.1</v>
      </c>
      <c r="AH80" s="12">
        <f t="shared" si="27"/>
        <v>3.3566666666666665</v>
      </c>
      <c r="AI80" s="12">
        <v>21</v>
      </c>
      <c r="AJ80" s="11">
        <f t="shared" ref="AJ80:AJ111" si="32">IF(AI80&gt;12.8,IF(AI80&gt;15.8,0.9,0.97),1)</f>
        <v>0.9</v>
      </c>
      <c r="AK80" s="12">
        <f t="shared" si="29"/>
        <v>7.9349999999999996</v>
      </c>
      <c r="AL80" s="11" t="str">
        <f t="shared" si="30"/>
        <v>Neg</v>
      </c>
      <c r="AM80" s="11" t="s">
        <v>403</v>
      </c>
      <c r="AN80" s="70">
        <v>27</v>
      </c>
      <c r="AO80" s="17">
        <v>25</v>
      </c>
      <c r="AP80" s="13">
        <f t="shared" si="31"/>
        <v>0</v>
      </c>
      <c r="AQ80" s="13">
        <v>1</v>
      </c>
      <c r="AR80" s="17"/>
      <c r="AS80" s="17"/>
      <c r="AT80" s="17"/>
      <c r="AU80" s="17"/>
      <c r="AV80" s="17"/>
      <c r="AW80" s="17"/>
      <c r="AX80" s="17"/>
    </row>
    <row r="81" spans="1:50" ht="12.75" customHeight="1">
      <c r="A81" s="17" t="s">
        <v>404</v>
      </c>
      <c r="B81" s="17" t="s">
        <v>405</v>
      </c>
      <c r="C81" s="17" t="s">
        <v>158</v>
      </c>
      <c r="D81" s="17" t="s">
        <v>54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3">
        <f t="shared" si="24"/>
        <v>1</v>
      </c>
      <c r="AB81" s="17">
        <v>0.7</v>
      </c>
      <c r="AC81" s="12">
        <f t="shared" si="25"/>
        <v>0.23333333333333331</v>
      </c>
      <c r="AD81" s="17">
        <v>-22.24</v>
      </c>
      <c r="AE81" s="17">
        <v>15.03</v>
      </c>
      <c r="AF81" s="17">
        <v>18.97</v>
      </c>
      <c r="AG81" s="12">
        <f t="shared" si="26"/>
        <v>5.8</v>
      </c>
      <c r="AH81" s="12">
        <f t="shared" si="27"/>
        <v>7.0333333333333332</v>
      </c>
      <c r="AI81" s="12">
        <v>20</v>
      </c>
      <c r="AJ81" s="11">
        <f t="shared" si="32"/>
        <v>0.9</v>
      </c>
      <c r="AK81" s="12">
        <f t="shared" si="29"/>
        <v>19.902000000000001</v>
      </c>
      <c r="AL81" s="11" t="str">
        <f t="shared" si="30"/>
        <v>Pos</v>
      </c>
      <c r="AM81" s="11" t="s">
        <v>405</v>
      </c>
      <c r="AN81" s="70">
        <v>27</v>
      </c>
      <c r="AO81" s="17">
        <v>25</v>
      </c>
      <c r="AP81" s="13">
        <f t="shared" si="31"/>
        <v>0</v>
      </c>
      <c r="AQ81" s="13">
        <v>1</v>
      </c>
      <c r="AR81" s="17"/>
      <c r="AS81" s="17"/>
      <c r="AT81" s="17"/>
      <c r="AU81" s="17"/>
      <c r="AV81" s="17"/>
      <c r="AW81" s="17"/>
      <c r="AX81" s="17"/>
    </row>
    <row r="82" spans="1:50" ht="12.75" customHeight="1">
      <c r="A82" s="17" t="s">
        <v>406</v>
      </c>
      <c r="B82" s="17" t="s">
        <v>407</v>
      </c>
      <c r="C82" s="17" t="s">
        <v>158</v>
      </c>
      <c r="D82" s="17" t="s">
        <v>54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3">
        <f t="shared" si="24"/>
        <v>0</v>
      </c>
      <c r="AB82" s="17">
        <v>0.23499999999999999</v>
      </c>
      <c r="AC82" s="12">
        <f t="shared" si="25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6"/>
        <v>7.8</v>
      </c>
      <c r="AH82" s="12">
        <f t="shared" si="27"/>
        <v>9.8783333333333339</v>
      </c>
      <c r="AI82" s="12">
        <v>18.59</v>
      </c>
      <c r="AJ82" s="11">
        <f t="shared" si="32"/>
        <v>0.9</v>
      </c>
      <c r="AK82" s="12">
        <f t="shared" si="29"/>
        <v>27.142500000000002</v>
      </c>
      <c r="AL82" s="11" t="str">
        <f t="shared" si="30"/>
        <v>Pos</v>
      </c>
      <c r="AM82" s="11" t="s">
        <v>407</v>
      </c>
      <c r="AN82" s="17">
        <v>13</v>
      </c>
      <c r="AO82" s="17">
        <v>14</v>
      </c>
      <c r="AP82" s="13">
        <f t="shared" si="31"/>
        <v>3</v>
      </c>
      <c r="AQ82" s="13">
        <v>1</v>
      </c>
      <c r="AR82" s="17"/>
      <c r="AS82" s="17"/>
      <c r="AT82" s="17"/>
      <c r="AU82" s="17"/>
      <c r="AV82" s="17"/>
      <c r="AW82" s="17"/>
      <c r="AX82" s="17"/>
    </row>
    <row r="83" spans="1:50" ht="12.75" customHeight="1">
      <c r="A83" s="17" t="s">
        <v>408</v>
      </c>
      <c r="B83" s="17" t="s">
        <v>409</v>
      </c>
      <c r="C83" s="17" t="s">
        <v>158</v>
      </c>
      <c r="D83" s="17" t="s">
        <v>54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3">
        <f t="shared" si="24"/>
        <v>1</v>
      </c>
      <c r="AB83" s="17">
        <v>0</v>
      </c>
      <c r="AC83" s="12">
        <f t="shared" si="25"/>
        <v>0</v>
      </c>
      <c r="AD83" s="17">
        <v>-18.59</v>
      </c>
      <c r="AE83" s="17">
        <v>-20.440000000000001</v>
      </c>
      <c r="AF83" s="17">
        <v>25.03</v>
      </c>
      <c r="AG83" s="12">
        <f t="shared" si="26"/>
        <v>2.7</v>
      </c>
      <c r="AH83" s="12">
        <f t="shared" si="27"/>
        <v>5.7</v>
      </c>
      <c r="AI83" s="12">
        <v>17.907499999999999</v>
      </c>
      <c r="AJ83" s="11">
        <f t="shared" si="32"/>
        <v>0.9</v>
      </c>
      <c r="AK83" s="12">
        <f t="shared" si="29"/>
        <v>10.8756</v>
      </c>
      <c r="AL83" s="11" t="str">
        <f t="shared" si="30"/>
        <v>Pos</v>
      </c>
      <c r="AM83" s="11" t="s">
        <v>409</v>
      </c>
      <c r="AN83" s="17">
        <v>5</v>
      </c>
      <c r="AO83" s="17">
        <v>6</v>
      </c>
      <c r="AP83" s="13">
        <f t="shared" si="31"/>
        <v>0</v>
      </c>
      <c r="AQ83" s="13">
        <v>0.95</v>
      </c>
      <c r="AR83" s="17"/>
      <c r="AS83" s="17"/>
      <c r="AT83" s="17"/>
      <c r="AU83" s="17"/>
      <c r="AV83" s="17"/>
      <c r="AW83" s="17"/>
      <c r="AX83" s="17"/>
    </row>
    <row r="84" spans="1:50" ht="12.75" customHeight="1">
      <c r="A84" s="17"/>
      <c r="B84" s="17"/>
      <c r="C84" s="17"/>
      <c r="D84" s="17"/>
      <c r="E84" s="17"/>
      <c r="F84" s="17"/>
      <c r="G84" s="13" t="e">
        <f t="shared" ref="G84:G129" si="33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4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3">
        <f t="shared" si="24"/>
        <v>1</v>
      </c>
      <c r="AB84" s="17"/>
      <c r="AC84" s="12">
        <f t="shared" si="25"/>
        <v>0</v>
      </c>
      <c r="AD84" s="17"/>
      <c r="AE84" s="17"/>
      <c r="AF84" s="17"/>
      <c r="AG84" s="12" t="e">
        <f t="shared" si="26"/>
        <v>#DIV/0!</v>
      </c>
      <c r="AH84" s="12" t="e">
        <f t="shared" si="27"/>
        <v>#DIV/0!</v>
      </c>
      <c r="AI84" s="12"/>
      <c r="AJ84" s="11">
        <f t="shared" si="32"/>
        <v>1</v>
      </c>
      <c r="AK84" s="12" t="e">
        <f t="shared" si="29"/>
        <v>#DIV/0!</v>
      </c>
      <c r="AL84" s="11">
        <f t="shared" si="30"/>
        <v>0</v>
      </c>
      <c r="AM84" s="11">
        <f t="shared" ref="AM84:AM121" si="35">B84</f>
        <v>0</v>
      </c>
      <c r="AN84" s="17"/>
      <c r="AO84" s="17"/>
      <c r="AP84" s="13" t="e">
        <f t="shared" si="31"/>
        <v>#DIV/0!</v>
      </c>
      <c r="AQ84" s="13">
        <v>1</v>
      </c>
      <c r="AR84" s="17"/>
      <c r="AS84" s="17"/>
      <c r="AT84" s="17"/>
      <c r="AU84" s="17"/>
      <c r="AV84" s="17"/>
      <c r="AW84" s="17"/>
      <c r="AX84" s="17"/>
    </row>
    <row r="85" spans="1:50" ht="12.75" customHeight="1">
      <c r="A85" s="17"/>
      <c r="B85" s="17"/>
      <c r="C85" s="17"/>
      <c r="D85" s="17"/>
      <c r="E85" s="17"/>
      <c r="F85" s="17"/>
      <c r="G85" s="13" t="e">
        <f t="shared" si="33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4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3">
        <f t="shared" si="24"/>
        <v>1</v>
      </c>
      <c r="AB85" s="17"/>
      <c r="AC85" s="12">
        <f t="shared" si="25"/>
        <v>0</v>
      </c>
      <c r="AD85" s="17"/>
      <c r="AE85" s="17"/>
      <c r="AF85" s="17"/>
      <c r="AG85" s="12" t="e">
        <f t="shared" si="26"/>
        <v>#DIV/0!</v>
      </c>
      <c r="AH85" s="12" t="e">
        <f t="shared" si="27"/>
        <v>#DIV/0!</v>
      </c>
      <c r="AI85" s="12"/>
      <c r="AJ85" s="11">
        <f t="shared" si="32"/>
        <v>1</v>
      </c>
      <c r="AK85" s="12" t="e">
        <f t="shared" si="29"/>
        <v>#DIV/0!</v>
      </c>
      <c r="AL85" s="11">
        <f t="shared" si="30"/>
        <v>0</v>
      </c>
      <c r="AM85" s="11">
        <f t="shared" si="35"/>
        <v>0</v>
      </c>
      <c r="AN85" s="17"/>
      <c r="AO85" s="17"/>
      <c r="AP85" s="13" t="e">
        <f t="shared" si="31"/>
        <v>#DIV/0!</v>
      </c>
      <c r="AQ85" s="13">
        <v>1</v>
      </c>
      <c r="AR85" s="17"/>
      <c r="AS85" s="17"/>
      <c r="AT85" s="17"/>
      <c r="AU85" s="17"/>
      <c r="AV85" s="17"/>
      <c r="AW85" s="17"/>
      <c r="AX85" s="17"/>
    </row>
    <row r="86" spans="1:50" ht="12.75" customHeight="1">
      <c r="A86" s="17"/>
      <c r="B86" s="17"/>
      <c r="C86" s="17"/>
      <c r="D86" s="17"/>
      <c r="E86" s="17"/>
      <c r="F86" s="17"/>
      <c r="G86" s="13" t="e">
        <f t="shared" si="33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4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3">
        <f t="shared" si="24"/>
        <v>1</v>
      </c>
      <c r="AB86" s="17"/>
      <c r="AC86" s="12">
        <f t="shared" si="25"/>
        <v>0</v>
      </c>
      <c r="AD86" s="17"/>
      <c r="AE86" s="17"/>
      <c r="AF86" s="17"/>
      <c r="AG86" s="12" t="e">
        <f t="shared" si="26"/>
        <v>#DIV/0!</v>
      </c>
      <c r="AH86" s="12" t="e">
        <f t="shared" si="27"/>
        <v>#DIV/0!</v>
      </c>
      <c r="AI86" s="12"/>
      <c r="AJ86" s="11">
        <f t="shared" si="32"/>
        <v>1</v>
      </c>
      <c r="AK86" s="12" t="e">
        <f t="shared" si="29"/>
        <v>#DIV/0!</v>
      </c>
      <c r="AL86" s="11">
        <f t="shared" si="30"/>
        <v>0</v>
      </c>
      <c r="AM86" s="11">
        <f t="shared" si="35"/>
        <v>0</v>
      </c>
      <c r="AN86" s="17"/>
      <c r="AO86" s="17"/>
      <c r="AP86" s="13" t="e">
        <f t="shared" si="31"/>
        <v>#DIV/0!</v>
      </c>
      <c r="AQ86" s="13">
        <v>1</v>
      </c>
      <c r="AR86" s="17"/>
      <c r="AS86" s="17"/>
      <c r="AT86" s="17"/>
      <c r="AU86" s="17"/>
      <c r="AV86" s="17"/>
      <c r="AW86" s="17"/>
      <c r="AX86" s="17"/>
    </row>
    <row r="87" spans="1:50" ht="12.75" customHeight="1">
      <c r="A87" s="17"/>
      <c r="B87" s="17"/>
      <c r="C87" s="17"/>
      <c r="D87" s="17"/>
      <c r="E87" s="17"/>
      <c r="F87" s="17"/>
      <c r="G87" s="13" t="e">
        <f t="shared" si="33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4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3">
        <f t="shared" si="24"/>
        <v>1</v>
      </c>
      <c r="AB87" s="17"/>
      <c r="AC87" s="12">
        <f t="shared" si="25"/>
        <v>0</v>
      </c>
      <c r="AD87" s="17"/>
      <c r="AE87" s="17"/>
      <c r="AF87" s="17"/>
      <c r="AG87" s="12" t="e">
        <f t="shared" si="26"/>
        <v>#DIV/0!</v>
      </c>
      <c r="AH87" s="12" t="e">
        <f t="shared" si="27"/>
        <v>#DIV/0!</v>
      </c>
      <c r="AI87" s="12"/>
      <c r="AJ87" s="11">
        <f t="shared" si="32"/>
        <v>1</v>
      </c>
      <c r="AK87" s="12" t="e">
        <f t="shared" si="29"/>
        <v>#DIV/0!</v>
      </c>
      <c r="AL87" s="11">
        <f t="shared" si="30"/>
        <v>0</v>
      </c>
      <c r="AM87" s="11">
        <f t="shared" si="35"/>
        <v>0</v>
      </c>
      <c r="AN87" s="17"/>
      <c r="AO87" s="17"/>
      <c r="AP87" s="13" t="e">
        <f t="shared" si="31"/>
        <v>#DIV/0!</v>
      </c>
      <c r="AQ87" s="13">
        <v>1</v>
      </c>
      <c r="AR87" s="17"/>
      <c r="AS87" s="17"/>
      <c r="AT87" s="17"/>
      <c r="AU87" s="17"/>
      <c r="AV87" s="17"/>
      <c r="AW87" s="17"/>
      <c r="AX87" s="17"/>
    </row>
    <row r="88" spans="1:50" ht="12.75" customHeight="1">
      <c r="A88" s="17"/>
      <c r="B88" s="17"/>
      <c r="C88" s="17"/>
      <c r="D88" s="17"/>
      <c r="E88" s="17"/>
      <c r="F88" s="17"/>
      <c r="G88" s="13" t="e">
        <f t="shared" si="33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4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3">
        <f t="shared" si="24"/>
        <v>1</v>
      </c>
      <c r="AB88" s="17"/>
      <c r="AC88" s="12">
        <f t="shared" si="25"/>
        <v>0</v>
      </c>
      <c r="AD88" s="17"/>
      <c r="AE88" s="17"/>
      <c r="AF88" s="17"/>
      <c r="AG88" s="12" t="e">
        <f t="shared" si="26"/>
        <v>#DIV/0!</v>
      </c>
      <c r="AH88" s="12" t="e">
        <f t="shared" si="27"/>
        <v>#DIV/0!</v>
      </c>
      <c r="AI88" s="12"/>
      <c r="AJ88" s="11">
        <f t="shared" si="32"/>
        <v>1</v>
      </c>
      <c r="AK88" s="12" t="e">
        <f t="shared" si="29"/>
        <v>#DIV/0!</v>
      </c>
      <c r="AL88" s="11">
        <f t="shared" si="30"/>
        <v>0</v>
      </c>
      <c r="AM88" s="11">
        <f t="shared" si="35"/>
        <v>0</v>
      </c>
      <c r="AN88" s="17"/>
      <c r="AO88" s="17"/>
      <c r="AP88" s="13" t="e">
        <f t="shared" si="31"/>
        <v>#DIV/0!</v>
      </c>
      <c r="AQ88" s="13">
        <v>1</v>
      </c>
      <c r="AR88" s="17"/>
      <c r="AS88" s="17"/>
      <c r="AT88" s="17"/>
      <c r="AU88" s="17"/>
      <c r="AV88" s="17"/>
      <c r="AW88" s="17"/>
      <c r="AX88" s="17"/>
    </row>
    <row r="89" spans="1:50" ht="12.75" customHeight="1">
      <c r="A89" s="17"/>
      <c r="B89" s="17"/>
      <c r="C89" s="17"/>
      <c r="D89" s="17"/>
      <c r="E89" s="17"/>
      <c r="F89" s="17"/>
      <c r="G89" s="13" t="e">
        <f t="shared" si="33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4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3">
        <f t="shared" si="24"/>
        <v>1</v>
      </c>
      <c r="AB89" s="17"/>
      <c r="AC89" s="12">
        <f t="shared" si="25"/>
        <v>0</v>
      </c>
      <c r="AD89" s="17"/>
      <c r="AE89" s="17"/>
      <c r="AF89" s="17"/>
      <c r="AG89" s="12" t="e">
        <f t="shared" si="26"/>
        <v>#DIV/0!</v>
      </c>
      <c r="AH89" s="12" t="e">
        <f t="shared" si="27"/>
        <v>#DIV/0!</v>
      </c>
      <c r="AI89" s="12"/>
      <c r="AJ89" s="11">
        <f t="shared" si="32"/>
        <v>1</v>
      </c>
      <c r="AK89" s="12" t="e">
        <f t="shared" si="29"/>
        <v>#DIV/0!</v>
      </c>
      <c r="AL89" s="11">
        <f t="shared" si="30"/>
        <v>0</v>
      </c>
      <c r="AM89" s="11">
        <f t="shared" si="35"/>
        <v>0</v>
      </c>
      <c r="AN89" s="17"/>
      <c r="AO89" s="17"/>
      <c r="AP89" s="13" t="e">
        <f t="shared" si="31"/>
        <v>#DIV/0!</v>
      </c>
      <c r="AQ89" s="13">
        <v>1</v>
      </c>
      <c r="AR89" s="17"/>
      <c r="AS89" s="17"/>
      <c r="AT89" s="17"/>
      <c r="AU89" s="17"/>
      <c r="AV89" s="17"/>
      <c r="AW89" s="17"/>
      <c r="AX89" s="17"/>
    </row>
    <row r="90" spans="1:50" ht="12.75" customHeight="1">
      <c r="A90" s="17"/>
      <c r="B90" s="17"/>
      <c r="C90" s="17"/>
      <c r="D90" s="17"/>
      <c r="E90" s="17"/>
      <c r="F90" s="17"/>
      <c r="G90" s="13" t="e">
        <f t="shared" si="33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4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3">
        <f t="shared" si="24"/>
        <v>1</v>
      </c>
      <c r="AB90" s="17"/>
      <c r="AC90" s="12">
        <f t="shared" si="25"/>
        <v>0</v>
      </c>
      <c r="AD90" s="17"/>
      <c r="AE90" s="17"/>
      <c r="AF90" s="17"/>
      <c r="AG90" s="12" t="e">
        <f t="shared" si="26"/>
        <v>#DIV/0!</v>
      </c>
      <c r="AH90" s="12" t="e">
        <f t="shared" si="27"/>
        <v>#DIV/0!</v>
      </c>
      <c r="AI90" s="12"/>
      <c r="AJ90" s="11">
        <f t="shared" si="32"/>
        <v>1</v>
      </c>
      <c r="AK90" s="12" t="e">
        <f t="shared" si="29"/>
        <v>#DIV/0!</v>
      </c>
      <c r="AL90" s="11">
        <f t="shared" si="30"/>
        <v>0</v>
      </c>
      <c r="AM90" s="11">
        <f t="shared" si="35"/>
        <v>0</v>
      </c>
      <c r="AN90" s="17"/>
      <c r="AO90" s="17"/>
      <c r="AP90" s="13" t="e">
        <f t="shared" si="31"/>
        <v>#DIV/0!</v>
      </c>
      <c r="AQ90" s="13">
        <v>1</v>
      </c>
      <c r="AR90" s="17"/>
      <c r="AS90" s="17"/>
      <c r="AT90" s="17"/>
      <c r="AU90" s="17"/>
      <c r="AV90" s="17"/>
      <c r="AW90" s="17"/>
      <c r="AX90" s="17"/>
    </row>
    <row r="91" spans="1:50" ht="12.75" customHeight="1">
      <c r="A91" s="17"/>
      <c r="B91" s="17"/>
      <c r="C91" s="17"/>
      <c r="D91" s="17"/>
      <c r="E91" s="17"/>
      <c r="F91" s="17"/>
      <c r="G91" s="13" t="e">
        <f t="shared" si="33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4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3">
        <f t="shared" si="24"/>
        <v>1</v>
      </c>
      <c r="AB91" s="17"/>
      <c r="AC91" s="12">
        <f t="shared" si="25"/>
        <v>0</v>
      </c>
      <c r="AD91" s="17"/>
      <c r="AE91" s="17"/>
      <c r="AF91" s="17"/>
      <c r="AG91" s="12" t="e">
        <f t="shared" si="26"/>
        <v>#DIV/0!</v>
      </c>
      <c r="AH91" s="12" t="e">
        <f t="shared" si="27"/>
        <v>#DIV/0!</v>
      </c>
      <c r="AI91" s="12"/>
      <c r="AJ91" s="11">
        <f t="shared" si="32"/>
        <v>1</v>
      </c>
      <c r="AK91" s="12" t="e">
        <f t="shared" si="29"/>
        <v>#DIV/0!</v>
      </c>
      <c r="AL91" s="11">
        <f t="shared" si="30"/>
        <v>0</v>
      </c>
      <c r="AM91" s="11">
        <f t="shared" si="35"/>
        <v>0</v>
      </c>
      <c r="AN91" s="17"/>
      <c r="AO91" s="17"/>
      <c r="AP91" s="13" t="e">
        <f t="shared" si="31"/>
        <v>#DIV/0!</v>
      </c>
      <c r="AQ91" s="13">
        <v>1</v>
      </c>
      <c r="AR91" s="17"/>
      <c r="AS91" s="17"/>
      <c r="AT91" s="17"/>
      <c r="AU91" s="17"/>
      <c r="AV91" s="17"/>
      <c r="AW91" s="17"/>
      <c r="AX91" s="17"/>
    </row>
    <row r="92" spans="1:50" ht="12.75" customHeight="1">
      <c r="A92" s="17"/>
      <c r="B92" s="17"/>
      <c r="C92" s="17"/>
      <c r="D92" s="17"/>
      <c r="E92" s="17"/>
      <c r="F92" s="17"/>
      <c r="G92" s="13" t="e">
        <f t="shared" si="33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4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3">
        <f t="shared" si="24"/>
        <v>1</v>
      </c>
      <c r="AB92" s="17"/>
      <c r="AC92" s="12">
        <f t="shared" si="25"/>
        <v>0</v>
      </c>
      <c r="AD92" s="17"/>
      <c r="AE92" s="17"/>
      <c r="AF92" s="17"/>
      <c r="AG92" s="12" t="e">
        <f t="shared" si="26"/>
        <v>#DIV/0!</v>
      </c>
      <c r="AH92" s="12" t="e">
        <f t="shared" si="27"/>
        <v>#DIV/0!</v>
      </c>
      <c r="AI92" s="12"/>
      <c r="AJ92" s="11">
        <f t="shared" si="32"/>
        <v>1</v>
      </c>
      <c r="AK92" s="12" t="e">
        <f t="shared" si="29"/>
        <v>#DIV/0!</v>
      </c>
      <c r="AL92" s="11">
        <f t="shared" si="30"/>
        <v>0</v>
      </c>
      <c r="AM92" s="11">
        <f t="shared" si="35"/>
        <v>0</v>
      </c>
      <c r="AN92" s="17"/>
      <c r="AO92" s="17"/>
      <c r="AP92" s="13" t="e">
        <f t="shared" si="31"/>
        <v>#DIV/0!</v>
      </c>
      <c r="AQ92" s="13">
        <v>1</v>
      </c>
      <c r="AR92" s="17"/>
      <c r="AS92" s="17"/>
      <c r="AT92" s="17"/>
      <c r="AU92" s="17"/>
      <c r="AV92" s="17"/>
      <c r="AW92" s="17"/>
      <c r="AX92" s="17"/>
    </row>
    <row r="93" spans="1:50" ht="12.75" customHeight="1">
      <c r="A93" s="17"/>
      <c r="B93" s="17"/>
      <c r="C93" s="17"/>
      <c r="D93" s="17"/>
      <c r="E93" s="17"/>
      <c r="F93" s="17"/>
      <c r="G93" s="13" t="e">
        <f t="shared" si="33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4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3">
        <f t="shared" si="24"/>
        <v>1</v>
      </c>
      <c r="AB93" s="17"/>
      <c r="AC93" s="12">
        <f t="shared" si="25"/>
        <v>0</v>
      </c>
      <c r="AD93" s="17"/>
      <c r="AE93" s="17"/>
      <c r="AF93" s="17"/>
      <c r="AG93" s="12" t="e">
        <f t="shared" si="26"/>
        <v>#DIV/0!</v>
      </c>
      <c r="AH93" s="12" t="e">
        <f t="shared" si="27"/>
        <v>#DIV/0!</v>
      </c>
      <c r="AI93" s="12"/>
      <c r="AJ93" s="11">
        <f t="shared" si="32"/>
        <v>1</v>
      </c>
      <c r="AK93" s="12" t="e">
        <f t="shared" si="29"/>
        <v>#DIV/0!</v>
      </c>
      <c r="AL93" s="11">
        <f t="shared" si="30"/>
        <v>0</v>
      </c>
      <c r="AM93" s="11">
        <f t="shared" si="35"/>
        <v>0</v>
      </c>
      <c r="AN93" s="17"/>
      <c r="AO93" s="17"/>
      <c r="AP93" s="13" t="e">
        <f t="shared" si="31"/>
        <v>#DIV/0!</v>
      </c>
      <c r="AQ93" s="13">
        <v>1</v>
      </c>
      <c r="AR93" s="17"/>
      <c r="AS93" s="17"/>
      <c r="AT93" s="17"/>
      <c r="AU93" s="17"/>
      <c r="AV93" s="17"/>
      <c r="AW93" s="17"/>
      <c r="AX93" s="17"/>
    </row>
    <row r="94" spans="1:50" ht="12.75" customHeight="1">
      <c r="A94" s="17"/>
      <c r="B94" s="17"/>
      <c r="C94" s="17"/>
      <c r="D94" s="17"/>
      <c r="E94" s="17"/>
      <c r="F94" s="17"/>
      <c r="G94" s="13" t="e">
        <f t="shared" si="33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4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3">
        <f t="shared" si="24"/>
        <v>1</v>
      </c>
      <c r="AB94" s="17"/>
      <c r="AC94" s="12">
        <f t="shared" si="25"/>
        <v>0</v>
      </c>
      <c r="AD94" s="17"/>
      <c r="AE94" s="17"/>
      <c r="AF94" s="17"/>
      <c r="AG94" s="12" t="e">
        <f t="shared" si="26"/>
        <v>#DIV/0!</v>
      </c>
      <c r="AH94" s="12" t="e">
        <f t="shared" si="27"/>
        <v>#DIV/0!</v>
      </c>
      <c r="AI94" s="12"/>
      <c r="AJ94" s="11">
        <f t="shared" si="32"/>
        <v>1</v>
      </c>
      <c r="AK94" s="12" t="e">
        <f t="shared" si="29"/>
        <v>#DIV/0!</v>
      </c>
      <c r="AL94" s="11">
        <f t="shared" si="30"/>
        <v>0</v>
      </c>
      <c r="AM94" s="11">
        <f t="shared" si="35"/>
        <v>0</v>
      </c>
      <c r="AN94" s="17"/>
      <c r="AO94" s="17"/>
      <c r="AP94" s="13" t="e">
        <f t="shared" si="31"/>
        <v>#DIV/0!</v>
      </c>
      <c r="AQ94" s="13">
        <v>1</v>
      </c>
      <c r="AR94" s="17"/>
      <c r="AS94" s="17"/>
      <c r="AT94" s="17"/>
      <c r="AU94" s="17"/>
      <c r="AV94" s="17"/>
      <c r="AW94" s="17"/>
      <c r="AX94" s="17"/>
    </row>
    <row r="95" spans="1:50" ht="12.75" customHeight="1">
      <c r="A95" s="17"/>
      <c r="B95" s="17"/>
      <c r="C95" s="17"/>
      <c r="D95" s="17"/>
      <c r="E95" s="17"/>
      <c r="F95" s="17"/>
      <c r="G95" s="13" t="e">
        <f t="shared" si="33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4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3">
        <f t="shared" si="24"/>
        <v>1</v>
      </c>
      <c r="AB95" s="17"/>
      <c r="AC95" s="12">
        <f t="shared" si="25"/>
        <v>0</v>
      </c>
      <c r="AD95" s="17"/>
      <c r="AE95" s="17"/>
      <c r="AF95" s="17"/>
      <c r="AG95" s="12" t="e">
        <f t="shared" si="26"/>
        <v>#DIV/0!</v>
      </c>
      <c r="AH95" s="12" t="e">
        <f t="shared" si="27"/>
        <v>#DIV/0!</v>
      </c>
      <c r="AI95" s="12"/>
      <c r="AJ95" s="11">
        <f t="shared" si="32"/>
        <v>1</v>
      </c>
      <c r="AK95" s="12" t="e">
        <f t="shared" si="29"/>
        <v>#DIV/0!</v>
      </c>
      <c r="AL95" s="11">
        <f t="shared" si="30"/>
        <v>0</v>
      </c>
      <c r="AM95" s="11">
        <f t="shared" si="35"/>
        <v>0</v>
      </c>
      <c r="AN95" s="17"/>
      <c r="AO95" s="17"/>
      <c r="AP95" s="13" t="e">
        <f t="shared" si="31"/>
        <v>#DIV/0!</v>
      </c>
      <c r="AQ95" s="13">
        <v>1</v>
      </c>
      <c r="AR95" s="17"/>
      <c r="AS95" s="17"/>
      <c r="AT95" s="17"/>
      <c r="AU95" s="17"/>
      <c r="AV95" s="17"/>
      <c r="AW95" s="17"/>
      <c r="AX95" s="17"/>
    </row>
    <row r="96" spans="1:50" ht="12.75" customHeight="1">
      <c r="A96" s="17"/>
      <c r="B96" s="17"/>
      <c r="C96" s="17"/>
      <c r="D96" s="17"/>
      <c r="E96" s="17"/>
      <c r="F96" s="17"/>
      <c r="G96" s="13" t="e">
        <f t="shared" si="33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4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3">
        <f t="shared" si="24"/>
        <v>1</v>
      </c>
      <c r="AB96" s="17"/>
      <c r="AC96" s="12">
        <f t="shared" si="25"/>
        <v>0</v>
      </c>
      <c r="AD96" s="17"/>
      <c r="AE96" s="17"/>
      <c r="AF96" s="17"/>
      <c r="AG96" s="12" t="e">
        <f t="shared" si="26"/>
        <v>#DIV/0!</v>
      </c>
      <c r="AH96" s="12" t="e">
        <f t="shared" si="27"/>
        <v>#DIV/0!</v>
      </c>
      <c r="AI96" s="12"/>
      <c r="AJ96" s="11">
        <f t="shared" si="32"/>
        <v>1</v>
      </c>
      <c r="AK96" s="12" t="e">
        <f t="shared" si="29"/>
        <v>#DIV/0!</v>
      </c>
      <c r="AL96" s="11">
        <f t="shared" si="30"/>
        <v>0</v>
      </c>
      <c r="AM96" s="11">
        <f t="shared" si="35"/>
        <v>0</v>
      </c>
      <c r="AN96" s="17"/>
      <c r="AO96" s="17"/>
      <c r="AP96" s="13" t="e">
        <f t="shared" si="31"/>
        <v>#DIV/0!</v>
      </c>
      <c r="AQ96" s="13">
        <v>1</v>
      </c>
      <c r="AR96" s="17"/>
      <c r="AS96" s="17"/>
      <c r="AT96" s="17"/>
      <c r="AU96" s="17"/>
      <c r="AV96" s="17"/>
      <c r="AW96" s="17"/>
      <c r="AX96" s="17"/>
    </row>
    <row r="97" spans="1:50" ht="12.75" customHeight="1">
      <c r="A97" s="17"/>
      <c r="B97" s="17"/>
      <c r="C97" s="17"/>
      <c r="D97" s="17"/>
      <c r="E97" s="17"/>
      <c r="F97" s="17"/>
      <c r="G97" s="13" t="e">
        <f t="shared" si="33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4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3">
        <f t="shared" si="24"/>
        <v>1</v>
      </c>
      <c r="AB97" s="17"/>
      <c r="AC97" s="12">
        <f t="shared" si="25"/>
        <v>0</v>
      </c>
      <c r="AD97" s="17"/>
      <c r="AE97" s="17"/>
      <c r="AF97" s="17"/>
      <c r="AG97" s="12" t="e">
        <f t="shared" si="26"/>
        <v>#DIV/0!</v>
      </c>
      <c r="AH97" s="12" t="e">
        <f t="shared" si="27"/>
        <v>#DIV/0!</v>
      </c>
      <c r="AI97" s="12"/>
      <c r="AJ97" s="11">
        <f t="shared" si="32"/>
        <v>1</v>
      </c>
      <c r="AK97" s="12" t="e">
        <f t="shared" si="29"/>
        <v>#DIV/0!</v>
      </c>
      <c r="AL97" s="11">
        <f t="shared" si="30"/>
        <v>0</v>
      </c>
      <c r="AM97" s="11">
        <f t="shared" si="35"/>
        <v>0</v>
      </c>
      <c r="AN97" s="17"/>
      <c r="AO97" s="17"/>
      <c r="AP97" s="13" t="e">
        <f t="shared" si="31"/>
        <v>#DIV/0!</v>
      </c>
      <c r="AQ97" s="13">
        <v>1</v>
      </c>
      <c r="AR97" s="17"/>
      <c r="AS97" s="17"/>
      <c r="AT97" s="17"/>
      <c r="AU97" s="17"/>
      <c r="AV97" s="17"/>
      <c r="AW97" s="17"/>
      <c r="AX97" s="17"/>
    </row>
    <row r="98" spans="1:50" ht="12.75" customHeight="1">
      <c r="A98" s="17"/>
      <c r="B98" s="17"/>
      <c r="C98" s="17"/>
      <c r="D98" s="17"/>
      <c r="E98" s="17"/>
      <c r="F98" s="17"/>
      <c r="G98" s="13" t="e">
        <f t="shared" si="33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4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3">
        <f t="shared" ref="AA98:AA123" si="36">IF(X98&lt;33,IF(Y98&gt;(1.1*X98),0,1),1)+IF(Y98&gt;(4*X98),-1,0)</f>
        <v>1</v>
      </c>
      <c r="AB98" s="17"/>
      <c r="AC98" s="12">
        <f t="shared" ref="AC98:AC119" si="37">IF(AB98&gt;9,1,0)+AB98/3</f>
        <v>0</v>
      </c>
      <c r="AD98" s="17"/>
      <c r="AE98" s="17"/>
      <c r="AF98" s="17"/>
      <c r="AG98" s="12" t="e">
        <f t="shared" ref="AG98:AG127" si="38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39">AG98+IF(AG98&gt;6,1,0)+IF(X98&lt;17,0,1)+IF(Y98&lt;11,0,1)+IF(Z98&lt;1.35,0,1)+AC98+AA98</f>
        <v>#DIV/0!</v>
      </c>
      <c r="AI98" s="12"/>
      <c r="AJ98" s="11">
        <f t="shared" si="32"/>
        <v>1</v>
      </c>
      <c r="AK98" s="12" t="e">
        <f t="shared" ref="AK98:AK129" si="40">(AG98*2.6+AH98)*AJ98*AQ98</f>
        <v>#DIV/0!</v>
      </c>
      <c r="AL98" s="11">
        <f t="shared" ref="AL98:AL121" si="41">D98</f>
        <v>0</v>
      </c>
      <c r="AM98" s="11">
        <f t="shared" si="35"/>
        <v>0</v>
      </c>
      <c r="AN98" s="17"/>
      <c r="AO98" s="17"/>
      <c r="AP98" s="13" t="e">
        <f t="shared" ref="AP98:AP127" si="42">IF(AK98&gt;23.2,IF(Y98&lt;101,IF(Y98&lt;35,IF(Y98&lt;8,3,2),1),0),0)</f>
        <v>#DIV/0!</v>
      </c>
      <c r="AQ98" s="13">
        <v>1</v>
      </c>
      <c r="AR98" s="17"/>
      <c r="AS98" s="17"/>
      <c r="AT98" s="17"/>
      <c r="AU98" s="17"/>
      <c r="AV98" s="17"/>
      <c r="AW98" s="17"/>
      <c r="AX98" s="17"/>
    </row>
    <row r="99" spans="1:50" ht="12.75" customHeight="1">
      <c r="A99" s="17"/>
      <c r="B99" s="17"/>
      <c r="C99" s="17"/>
      <c r="D99" s="17"/>
      <c r="E99" s="17"/>
      <c r="F99" s="17"/>
      <c r="G99" s="13" t="e">
        <f t="shared" si="33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4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3">
        <f t="shared" si="36"/>
        <v>1</v>
      </c>
      <c r="AB99" s="17"/>
      <c r="AC99" s="12">
        <f t="shared" si="37"/>
        <v>0</v>
      </c>
      <c r="AD99" s="17"/>
      <c r="AE99" s="17"/>
      <c r="AF99" s="17"/>
      <c r="AG99" s="12" t="e">
        <f t="shared" si="38"/>
        <v>#DIV/0!</v>
      </c>
      <c r="AH99" s="12" t="e">
        <f t="shared" si="39"/>
        <v>#DIV/0!</v>
      </c>
      <c r="AI99" s="12"/>
      <c r="AJ99" s="11">
        <f t="shared" si="32"/>
        <v>1</v>
      </c>
      <c r="AK99" s="12" t="e">
        <f t="shared" si="40"/>
        <v>#DIV/0!</v>
      </c>
      <c r="AL99" s="11">
        <f t="shared" si="41"/>
        <v>0</v>
      </c>
      <c r="AM99" s="11">
        <f t="shared" si="35"/>
        <v>0</v>
      </c>
      <c r="AN99" s="17"/>
      <c r="AO99" s="17"/>
      <c r="AP99" s="13" t="e">
        <f t="shared" si="42"/>
        <v>#DIV/0!</v>
      </c>
      <c r="AQ99" s="13">
        <v>1</v>
      </c>
      <c r="AR99" s="17"/>
      <c r="AS99" s="17"/>
      <c r="AT99" s="17"/>
      <c r="AU99" s="17"/>
      <c r="AV99" s="17"/>
      <c r="AW99" s="17"/>
      <c r="AX99" s="17"/>
    </row>
    <row r="100" spans="1:50" ht="12.75" customHeight="1">
      <c r="A100" s="17"/>
      <c r="B100" s="17"/>
      <c r="C100" s="17"/>
      <c r="D100" s="17"/>
      <c r="E100" s="17"/>
      <c r="F100" s="17"/>
      <c r="G100" s="13" t="e">
        <f t="shared" si="33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4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3">
        <f t="shared" si="36"/>
        <v>1</v>
      </c>
      <c r="AB100" s="17"/>
      <c r="AC100" s="12">
        <f t="shared" si="37"/>
        <v>0</v>
      </c>
      <c r="AD100" s="17"/>
      <c r="AE100" s="17"/>
      <c r="AF100" s="17"/>
      <c r="AG100" s="12" t="e">
        <f t="shared" si="38"/>
        <v>#DIV/0!</v>
      </c>
      <c r="AH100" s="12" t="e">
        <f t="shared" si="39"/>
        <v>#DIV/0!</v>
      </c>
      <c r="AI100" s="12"/>
      <c r="AJ100" s="11">
        <f t="shared" si="32"/>
        <v>1</v>
      </c>
      <c r="AK100" s="12" t="e">
        <f t="shared" si="40"/>
        <v>#DIV/0!</v>
      </c>
      <c r="AL100" s="11">
        <f t="shared" si="41"/>
        <v>0</v>
      </c>
      <c r="AM100" s="11">
        <f t="shared" si="35"/>
        <v>0</v>
      </c>
      <c r="AN100" s="17"/>
      <c r="AO100" s="17"/>
      <c r="AP100" s="13" t="e">
        <f t="shared" si="42"/>
        <v>#DIV/0!</v>
      </c>
      <c r="AQ100" s="13">
        <v>1</v>
      </c>
      <c r="AR100" s="17"/>
      <c r="AS100" s="17"/>
      <c r="AT100" s="17"/>
      <c r="AU100" s="17"/>
      <c r="AV100" s="17"/>
      <c r="AW100" s="17"/>
      <c r="AX100" s="17"/>
    </row>
    <row r="101" spans="1:50" ht="12.75" customHeight="1">
      <c r="A101" s="17"/>
      <c r="B101" s="17"/>
      <c r="C101" s="17"/>
      <c r="D101" s="17"/>
      <c r="E101" s="17"/>
      <c r="F101" s="17"/>
      <c r="G101" s="13" t="e">
        <f t="shared" si="33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4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3">
        <f t="shared" si="36"/>
        <v>1</v>
      </c>
      <c r="AB101" s="17"/>
      <c r="AC101" s="12">
        <f t="shared" si="37"/>
        <v>0</v>
      </c>
      <c r="AD101" s="17"/>
      <c r="AE101" s="17"/>
      <c r="AF101" s="17"/>
      <c r="AG101" s="12" t="e">
        <f t="shared" si="38"/>
        <v>#DIV/0!</v>
      </c>
      <c r="AH101" s="12" t="e">
        <f t="shared" si="39"/>
        <v>#DIV/0!</v>
      </c>
      <c r="AI101" s="12"/>
      <c r="AJ101" s="11">
        <f t="shared" si="32"/>
        <v>1</v>
      </c>
      <c r="AK101" s="12" t="e">
        <f t="shared" si="40"/>
        <v>#DIV/0!</v>
      </c>
      <c r="AL101" s="11">
        <f t="shared" si="41"/>
        <v>0</v>
      </c>
      <c r="AM101" s="11">
        <f t="shared" si="35"/>
        <v>0</v>
      </c>
      <c r="AN101" s="17"/>
      <c r="AO101" s="17"/>
      <c r="AP101" s="13" t="e">
        <f t="shared" si="42"/>
        <v>#DIV/0!</v>
      </c>
      <c r="AQ101" s="13">
        <v>1</v>
      </c>
      <c r="AR101" s="17"/>
      <c r="AS101" s="17"/>
      <c r="AT101" s="17"/>
      <c r="AU101" s="17"/>
      <c r="AV101" s="17"/>
      <c r="AW101" s="17"/>
      <c r="AX101" s="17"/>
    </row>
    <row r="102" spans="1:50" ht="12.75" customHeight="1">
      <c r="A102" s="17"/>
      <c r="B102" s="17"/>
      <c r="C102" s="17"/>
      <c r="D102" s="17"/>
      <c r="E102" s="17"/>
      <c r="F102" s="17"/>
      <c r="G102" s="13" t="e">
        <f t="shared" si="33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4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3">
        <f t="shared" si="36"/>
        <v>1</v>
      </c>
      <c r="AB102" s="17"/>
      <c r="AC102" s="12">
        <f t="shared" si="37"/>
        <v>0</v>
      </c>
      <c r="AD102" s="17"/>
      <c r="AE102" s="17"/>
      <c r="AF102" s="17"/>
      <c r="AG102" s="12" t="e">
        <f t="shared" si="38"/>
        <v>#DIV/0!</v>
      </c>
      <c r="AH102" s="12" t="e">
        <f t="shared" si="39"/>
        <v>#DIV/0!</v>
      </c>
      <c r="AI102" s="12"/>
      <c r="AJ102" s="11">
        <f t="shared" si="32"/>
        <v>1</v>
      </c>
      <c r="AK102" s="12" t="e">
        <f t="shared" si="40"/>
        <v>#DIV/0!</v>
      </c>
      <c r="AL102" s="11">
        <f t="shared" si="41"/>
        <v>0</v>
      </c>
      <c r="AM102" s="11">
        <f t="shared" si="35"/>
        <v>0</v>
      </c>
      <c r="AN102" s="17"/>
      <c r="AO102" s="17"/>
      <c r="AP102" s="13" t="e">
        <f t="shared" si="42"/>
        <v>#DIV/0!</v>
      </c>
      <c r="AQ102" s="13">
        <v>1</v>
      </c>
      <c r="AR102" s="17"/>
      <c r="AS102" s="17"/>
      <c r="AT102" s="17"/>
      <c r="AU102" s="17"/>
      <c r="AV102" s="17"/>
      <c r="AW102" s="17"/>
      <c r="AX102" s="17"/>
    </row>
    <row r="103" spans="1:50" ht="12.75" customHeight="1">
      <c r="A103" s="17"/>
      <c r="B103" s="17"/>
      <c r="C103" s="17"/>
      <c r="D103" s="17"/>
      <c r="E103" s="17"/>
      <c r="F103" s="17"/>
      <c r="G103" s="13" t="e">
        <f t="shared" si="33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4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3">
        <f t="shared" si="36"/>
        <v>1</v>
      </c>
      <c r="AB103" s="17"/>
      <c r="AC103" s="12">
        <f t="shared" si="37"/>
        <v>0</v>
      </c>
      <c r="AD103" s="17"/>
      <c r="AE103" s="17"/>
      <c r="AF103" s="17"/>
      <c r="AG103" s="12" t="e">
        <f t="shared" si="38"/>
        <v>#DIV/0!</v>
      </c>
      <c r="AH103" s="12" t="e">
        <f t="shared" si="39"/>
        <v>#DIV/0!</v>
      </c>
      <c r="AI103" s="12"/>
      <c r="AJ103" s="11">
        <f t="shared" si="32"/>
        <v>1</v>
      </c>
      <c r="AK103" s="12" t="e">
        <f t="shared" si="40"/>
        <v>#DIV/0!</v>
      </c>
      <c r="AL103" s="11">
        <f t="shared" si="41"/>
        <v>0</v>
      </c>
      <c r="AM103" s="11">
        <f t="shared" si="35"/>
        <v>0</v>
      </c>
      <c r="AN103" s="17"/>
      <c r="AO103" s="17"/>
      <c r="AP103" s="13" t="e">
        <f t="shared" si="42"/>
        <v>#DIV/0!</v>
      </c>
      <c r="AQ103" s="13">
        <v>1</v>
      </c>
      <c r="AR103" s="17"/>
      <c r="AS103" s="17"/>
      <c r="AT103" s="17"/>
      <c r="AU103" s="17"/>
      <c r="AV103" s="17"/>
      <c r="AW103" s="17"/>
      <c r="AX103" s="17"/>
    </row>
    <row r="104" spans="1:50" ht="12.75" customHeight="1">
      <c r="A104" s="17"/>
      <c r="B104" s="17"/>
      <c r="C104" s="17"/>
      <c r="D104" s="17"/>
      <c r="E104" s="17"/>
      <c r="F104" s="17"/>
      <c r="G104" s="13" t="e">
        <f t="shared" si="33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4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3">
        <f t="shared" si="36"/>
        <v>1</v>
      </c>
      <c r="AB104" s="17"/>
      <c r="AC104" s="12">
        <f t="shared" si="37"/>
        <v>0</v>
      </c>
      <c r="AD104" s="17"/>
      <c r="AE104" s="17"/>
      <c r="AF104" s="17"/>
      <c r="AG104" s="12" t="e">
        <f t="shared" si="38"/>
        <v>#DIV/0!</v>
      </c>
      <c r="AH104" s="12" t="e">
        <f t="shared" si="39"/>
        <v>#DIV/0!</v>
      </c>
      <c r="AI104" s="12"/>
      <c r="AJ104" s="11">
        <f t="shared" si="32"/>
        <v>1</v>
      </c>
      <c r="AK104" s="12" t="e">
        <f t="shared" si="40"/>
        <v>#DIV/0!</v>
      </c>
      <c r="AL104" s="11">
        <f t="shared" si="41"/>
        <v>0</v>
      </c>
      <c r="AM104" s="11">
        <f t="shared" si="35"/>
        <v>0</v>
      </c>
      <c r="AN104" s="17"/>
      <c r="AO104" s="17"/>
      <c r="AP104" s="13" t="e">
        <f t="shared" si="42"/>
        <v>#DIV/0!</v>
      </c>
      <c r="AQ104" s="13">
        <v>1</v>
      </c>
      <c r="AR104" s="17"/>
      <c r="AS104" s="17"/>
      <c r="AT104" s="17"/>
      <c r="AU104" s="17"/>
      <c r="AV104" s="17"/>
      <c r="AW104" s="17"/>
      <c r="AX104" s="17"/>
    </row>
    <row r="105" spans="1:50" ht="12.75" customHeight="1">
      <c r="A105" s="17"/>
      <c r="B105" s="17"/>
      <c r="C105" s="17"/>
      <c r="D105" s="17"/>
      <c r="E105" s="17"/>
      <c r="F105" s="17"/>
      <c r="G105" s="13" t="e">
        <f t="shared" si="33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4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3">
        <f t="shared" si="36"/>
        <v>1</v>
      </c>
      <c r="AB105" s="17"/>
      <c r="AC105" s="12">
        <f t="shared" si="37"/>
        <v>0</v>
      </c>
      <c r="AD105" s="17"/>
      <c r="AE105" s="17"/>
      <c r="AF105" s="17"/>
      <c r="AG105" s="12" t="e">
        <f t="shared" si="38"/>
        <v>#DIV/0!</v>
      </c>
      <c r="AH105" s="12" t="e">
        <f t="shared" si="39"/>
        <v>#DIV/0!</v>
      </c>
      <c r="AI105" s="12"/>
      <c r="AJ105" s="11">
        <f t="shared" si="32"/>
        <v>1</v>
      </c>
      <c r="AK105" s="12" t="e">
        <f t="shared" si="40"/>
        <v>#DIV/0!</v>
      </c>
      <c r="AL105" s="11">
        <f t="shared" si="41"/>
        <v>0</v>
      </c>
      <c r="AM105" s="11">
        <f t="shared" si="35"/>
        <v>0</v>
      </c>
      <c r="AN105" s="17"/>
      <c r="AO105" s="17"/>
      <c r="AP105" s="13" t="e">
        <f t="shared" si="42"/>
        <v>#DIV/0!</v>
      </c>
      <c r="AQ105" s="13">
        <v>1</v>
      </c>
      <c r="AR105" s="17"/>
      <c r="AS105" s="17"/>
      <c r="AT105" s="17"/>
      <c r="AU105" s="17"/>
      <c r="AV105" s="17"/>
      <c r="AW105" s="17"/>
      <c r="AX105" s="17"/>
    </row>
    <row r="106" spans="1:50" ht="12.75" customHeight="1">
      <c r="A106" s="17"/>
      <c r="B106" s="17"/>
      <c r="C106" s="17"/>
      <c r="D106" s="17"/>
      <c r="E106" s="17"/>
      <c r="F106" s="17"/>
      <c r="G106" s="13" t="e">
        <f t="shared" si="33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4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3">
        <f t="shared" si="36"/>
        <v>1</v>
      </c>
      <c r="AB106" s="17"/>
      <c r="AC106" s="12">
        <f t="shared" si="37"/>
        <v>0</v>
      </c>
      <c r="AD106" s="17"/>
      <c r="AE106" s="17"/>
      <c r="AF106" s="17"/>
      <c r="AG106" s="12" t="e">
        <f t="shared" si="38"/>
        <v>#DIV/0!</v>
      </c>
      <c r="AH106" s="12" t="e">
        <f t="shared" si="39"/>
        <v>#DIV/0!</v>
      </c>
      <c r="AI106" s="12"/>
      <c r="AJ106" s="11">
        <f t="shared" si="32"/>
        <v>1</v>
      </c>
      <c r="AK106" s="12" t="e">
        <f t="shared" si="40"/>
        <v>#DIV/0!</v>
      </c>
      <c r="AL106" s="11">
        <f t="shared" si="41"/>
        <v>0</v>
      </c>
      <c r="AM106" s="11">
        <f t="shared" si="35"/>
        <v>0</v>
      </c>
      <c r="AN106" s="17"/>
      <c r="AO106" s="17"/>
      <c r="AP106" s="13" t="e">
        <f t="shared" si="42"/>
        <v>#DIV/0!</v>
      </c>
      <c r="AQ106" s="13">
        <v>1</v>
      </c>
      <c r="AR106" s="17"/>
      <c r="AS106" s="17"/>
      <c r="AT106" s="17"/>
      <c r="AU106" s="17"/>
      <c r="AV106" s="17"/>
      <c r="AW106" s="17"/>
      <c r="AX106" s="17"/>
    </row>
    <row r="107" spans="1:50" ht="12.75" customHeight="1">
      <c r="A107" s="17"/>
      <c r="B107" s="17"/>
      <c r="C107" s="17"/>
      <c r="D107" s="17"/>
      <c r="E107" s="17"/>
      <c r="F107" s="17"/>
      <c r="G107" s="13" t="e">
        <f t="shared" si="33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4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3">
        <f t="shared" si="36"/>
        <v>1</v>
      </c>
      <c r="AB107" s="17"/>
      <c r="AC107" s="12">
        <f t="shared" si="37"/>
        <v>0</v>
      </c>
      <c r="AD107" s="17"/>
      <c r="AE107" s="17"/>
      <c r="AF107" s="17"/>
      <c r="AG107" s="12" t="e">
        <f t="shared" si="38"/>
        <v>#DIV/0!</v>
      </c>
      <c r="AH107" s="12" t="e">
        <f t="shared" si="39"/>
        <v>#DIV/0!</v>
      </c>
      <c r="AI107" s="12"/>
      <c r="AJ107" s="11">
        <f t="shared" si="32"/>
        <v>1</v>
      </c>
      <c r="AK107" s="12" t="e">
        <f t="shared" si="40"/>
        <v>#DIV/0!</v>
      </c>
      <c r="AL107" s="11">
        <f t="shared" si="41"/>
        <v>0</v>
      </c>
      <c r="AM107" s="11">
        <f t="shared" si="35"/>
        <v>0</v>
      </c>
      <c r="AN107" s="17"/>
      <c r="AO107" s="17"/>
      <c r="AP107" s="13" t="e">
        <f t="shared" si="42"/>
        <v>#DIV/0!</v>
      </c>
      <c r="AQ107" s="13">
        <v>1</v>
      </c>
      <c r="AR107" s="17"/>
      <c r="AS107" s="17"/>
      <c r="AT107" s="17"/>
      <c r="AU107" s="17"/>
      <c r="AV107" s="17"/>
      <c r="AW107" s="17"/>
      <c r="AX107" s="17"/>
    </row>
    <row r="108" spans="1:50" ht="12.75" customHeight="1">
      <c r="A108" s="17"/>
      <c r="B108" s="17"/>
      <c r="C108" s="17"/>
      <c r="D108" s="17"/>
      <c r="E108" s="17"/>
      <c r="F108" s="17"/>
      <c r="G108" s="13" t="e">
        <f t="shared" si="33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4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3">
        <f t="shared" si="36"/>
        <v>1</v>
      </c>
      <c r="AB108" s="17"/>
      <c r="AC108" s="12">
        <f t="shared" si="37"/>
        <v>0</v>
      </c>
      <c r="AD108" s="17"/>
      <c r="AE108" s="17"/>
      <c r="AF108" s="17"/>
      <c r="AG108" s="12" t="e">
        <f t="shared" si="38"/>
        <v>#DIV/0!</v>
      </c>
      <c r="AH108" s="12" t="e">
        <f t="shared" si="39"/>
        <v>#DIV/0!</v>
      </c>
      <c r="AI108" s="12"/>
      <c r="AJ108" s="11">
        <f t="shared" si="32"/>
        <v>1</v>
      </c>
      <c r="AK108" s="12" t="e">
        <f t="shared" si="40"/>
        <v>#DIV/0!</v>
      </c>
      <c r="AL108" s="11">
        <f t="shared" si="41"/>
        <v>0</v>
      </c>
      <c r="AM108" s="11">
        <f t="shared" si="35"/>
        <v>0</v>
      </c>
      <c r="AN108" s="17"/>
      <c r="AO108" s="17"/>
      <c r="AP108" s="13" t="e">
        <f t="shared" si="42"/>
        <v>#DIV/0!</v>
      </c>
      <c r="AQ108" s="13">
        <v>1</v>
      </c>
      <c r="AR108" s="17"/>
      <c r="AS108" s="17"/>
      <c r="AT108" s="17"/>
      <c r="AU108" s="17"/>
      <c r="AV108" s="17"/>
      <c r="AW108" s="17"/>
      <c r="AX108" s="17"/>
    </row>
    <row r="109" spans="1:50" ht="12.75" customHeight="1">
      <c r="A109" s="17"/>
      <c r="B109" s="17"/>
      <c r="C109" s="17"/>
      <c r="D109" s="17"/>
      <c r="E109" s="17"/>
      <c r="F109" s="17"/>
      <c r="G109" s="13" t="e">
        <f t="shared" si="33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4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3">
        <f t="shared" si="36"/>
        <v>1</v>
      </c>
      <c r="AB109" s="17"/>
      <c r="AC109" s="12">
        <f t="shared" si="37"/>
        <v>0</v>
      </c>
      <c r="AD109" s="17"/>
      <c r="AE109" s="17"/>
      <c r="AF109" s="17"/>
      <c r="AG109" s="12" t="e">
        <f t="shared" si="38"/>
        <v>#DIV/0!</v>
      </c>
      <c r="AH109" s="12" t="e">
        <f t="shared" si="39"/>
        <v>#DIV/0!</v>
      </c>
      <c r="AI109" s="12"/>
      <c r="AJ109" s="11">
        <f t="shared" si="32"/>
        <v>1</v>
      </c>
      <c r="AK109" s="12" t="e">
        <f t="shared" si="40"/>
        <v>#DIV/0!</v>
      </c>
      <c r="AL109" s="11">
        <f t="shared" si="41"/>
        <v>0</v>
      </c>
      <c r="AM109" s="11">
        <f t="shared" si="35"/>
        <v>0</v>
      </c>
      <c r="AN109" s="17"/>
      <c r="AO109" s="17"/>
      <c r="AP109" s="13" t="e">
        <f t="shared" si="42"/>
        <v>#DIV/0!</v>
      </c>
      <c r="AQ109" s="13">
        <v>1</v>
      </c>
      <c r="AR109" s="17"/>
      <c r="AS109" s="17"/>
      <c r="AT109" s="17"/>
      <c r="AU109" s="17"/>
      <c r="AV109" s="17"/>
      <c r="AW109" s="17"/>
      <c r="AX109" s="17"/>
    </row>
    <row r="110" spans="1:50" ht="12.75" customHeight="1">
      <c r="A110" s="17"/>
      <c r="B110" s="17"/>
      <c r="C110" s="17"/>
      <c r="D110" s="17"/>
      <c r="E110" s="17"/>
      <c r="F110" s="17"/>
      <c r="G110" s="13" t="e">
        <f t="shared" si="33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4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3">
        <f t="shared" si="36"/>
        <v>1</v>
      </c>
      <c r="AB110" s="17"/>
      <c r="AC110" s="12">
        <f t="shared" si="37"/>
        <v>0</v>
      </c>
      <c r="AD110" s="17"/>
      <c r="AE110" s="17"/>
      <c r="AF110" s="17"/>
      <c r="AG110" s="12" t="e">
        <f t="shared" si="38"/>
        <v>#DIV/0!</v>
      </c>
      <c r="AH110" s="12" t="e">
        <f t="shared" si="39"/>
        <v>#DIV/0!</v>
      </c>
      <c r="AI110" s="12"/>
      <c r="AJ110" s="11">
        <f t="shared" si="32"/>
        <v>1</v>
      </c>
      <c r="AK110" s="12" t="e">
        <f t="shared" si="40"/>
        <v>#DIV/0!</v>
      </c>
      <c r="AL110" s="11">
        <f t="shared" si="41"/>
        <v>0</v>
      </c>
      <c r="AM110" s="11">
        <f t="shared" si="35"/>
        <v>0</v>
      </c>
      <c r="AN110" s="17"/>
      <c r="AO110" s="17"/>
      <c r="AP110" s="13" t="e">
        <f t="shared" si="42"/>
        <v>#DIV/0!</v>
      </c>
      <c r="AQ110" s="13">
        <v>1</v>
      </c>
      <c r="AR110" s="17"/>
      <c r="AS110" s="17"/>
      <c r="AT110" s="17"/>
      <c r="AU110" s="17"/>
      <c r="AV110" s="17"/>
      <c r="AW110" s="17"/>
      <c r="AX110" s="17"/>
    </row>
    <row r="111" spans="1:50" ht="12.75" customHeight="1">
      <c r="A111" s="17"/>
      <c r="B111" s="17"/>
      <c r="C111" s="17"/>
      <c r="D111" s="17"/>
      <c r="E111" s="17"/>
      <c r="F111" s="17"/>
      <c r="G111" s="13" t="e">
        <f t="shared" si="33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4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3">
        <f t="shared" si="36"/>
        <v>1</v>
      </c>
      <c r="AB111" s="17"/>
      <c r="AC111" s="12">
        <f t="shared" si="37"/>
        <v>0</v>
      </c>
      <c r="AD111" s="17"/>
      <c r="AE111" s="17"/>
      <c r="AF111" s="17"/>
      <c r="AG111" s="12" t="e">
        <f t="shared" si="38"/>
        <v>#DIV/0!</v>
      </c>
      <c r="AH111" s="12" t="e">
        <f t="shared" si="39"/>
        <v>#DIV/0!</v>
      </c>
      <c r="AI111" s="12"/>
      <c r="AJ111" s="11">
        <f t="shared" si="32"/>
        <v>1</v>
      </c>
      <c r="AK111" s="12" t="e">
        <f t="shared" si="40"/>
        <v>#DIV/0!</v>
      </c>
      <c r="AL111" s="11">
        <f t="shared" si="41"/>
        <v>0</v>
      </c>
      <c r="AM111" s="11">
        <f t="shared" si="35"/>
        <v>0</v>
      </c>
      <c r="AN111" s="17"/>
      <c r="AO111" s="17"/>
      <c r="AP111" s="13" t="e">
        <f t="shared" si="42"/>
        <v>#DIV/0!</v>
      </c>
      <c r="AQ111" s="13">
        <v>1</v>
      </c>
      <c r="AR111" s="17"/>
      <c r="AS111" s="17"/>
      <c r="AT111" s="17"/>
      <c r="AU111" s="17"/>
      <c r="AV111" s="17"/>
      <c r="AW111" s="17"/>
      <c r="AX111" s="17"/>
    </row>
    <row r="112" spans="1:50" ht="12.75" customHeight="1">
      <c r="A112" s="17"/>
      <c r="B112" s="17"/>
      <c r="C112" s="17"/>
      <c r="D112" s="17"/>
      <c r="E112" s="17"/>
      <c r="F112" s="17"/>
      <c r="G112" s="13" t="e">
        <f t="shared" si="33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4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3">
        <f t="shared" si="36"/>
        <v>1</v>
      </c>
      <c r="AB112" s="17"/>
      <c r="AC112" s="12">
        <f t="shared" si="37"/>
        <v>0</v>
      </c>
      <c r="AD112" s="17"/>
      <c r="AE112" s="17"/>
      <c r="AF112" s="17"/>
      <c r="AG112" s="12" t="e">
        <f t="shared" si="38"/>
        <v>#DIV/0!</v>
      </c>
      <c r="AH112" s="12" t="e">
        <f t="shared" si="39"/>
        <v>#DIV/0!</v>
      </c>
      <c r="AI112" s="12"/>
      <c r="AJ112" s="11">
        <f t="shared" ref="AJ112:AJ135" si="43">IF(AI112&gt;12.8,IF(AI112&gt;15.8,0.9,0.97),1)</f>
        <v>1</v>
      </c>
      <c r="AK112" s="12" t="e">
        <f t="shared" si="40"/>
        <v>#DIV/0!</v>
      </c>
      <c r="AL112" s="11">
        <f t="shared" si="41"/>
        <v>0</v>
      </c>
      <c r="AM112" s="11">
        <f t="shared" si="35"/>
        <v>0</v>
      </c>
      <c r="AN112" s="17"/>
      <c r="AO112" s="17"/>
      <c r="AP112" s="13" t="e">
        <f t="shared" si="42"/>
        <v>#DIV/0!</v>
      </c>
      <c r="AQ112" s="13">
        <v>1</v>
      </c>
      <c r="AR112" s="17"/>
      <c r="AS112" s="17"/>
      <c r="AT112" s="17"/>
      <c r="AU112" s="17"/>
      <c r="AV112" s="17"/>
      <c r="AW112" s="17"/>
      <c r="AX112" s="17"/>
    </row>
    <row r="113" spans="1:50" ht="12.75" customHeight="1">
      <c r="A113" s="17"/>
      <c r="B113" s="17"/>
      <c r="C113" s="17"/>
      <c r="D113" s="17"/>
      <c r="E113" s="17"/>
      <c r="F113" s="17"/>
      <c r="G113" s="13" t="e">
        <f t="shared" si="33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4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3">
        <f t="shared" si="36"/>
        <v>1</v>
      </c>
      <c r="AB113" s="17"/>
      <c r="AC113" s="12">
        <f t="shared" si="37"/>
        <v>0</v>
      </c>
      <c r="AD113" s="17"/>
      <c r="AE113" s="17"/>
      <c r="AF113" s="17"/>
      <c r="AG113" s="12" t="e">
        <f t="shared" si="38"/>
        <v>#DIV/0!</v>
      </c>
      <c r="AH113" s="12" t="e">
        <f t="shared" si="39"/>
        <v>#DIV/0!</v>
      </c>
      <c r="AI113" s="12"/>
      <c r="AJ113" s="11">
        <f t="shared" si="43"/>
        <v>1</v>
      </c>
      <c r="AK113" s="12" t="e">
        <f t="shared" si="40"/>
        <v>#DIV/0!</v>
      </c>
      <c r="AL113" s="11">
        <f t="shared" si="41"/>
        <v>0</v>
      </c>
      <c r="AM113" s="11">
        <f t="shared" si="35"/>
        <v>0</v>
      </c>
      <c r="AN113" s="17"/>
      <c r="AO113" s="17"/>
      <c r="AP113" s="13" t="e">
        <f t="shared" si="42"/>
        <v>#DIV/0!</v>
      </c>
      <c r="AQ113" s="13">
        <v>1</v>
      </c>
      <c r="AR113" s="17"/>
      <c r="AS113" s="17"/>
      <c r="AT113" s="17"/>
      <c r="AU113" s="17"/>
      <c r="AV113" s="17"/>
      <c r="AW113" s="17"/>
      <c r="AX113" s="17"/>
    </row>
    <row r="114" spans="1:50" ht="12.75" customHeight="1">
      <c r="A114" s="17"/>
      <c r="B114" s="17"/>
      <c r="C114" s="17"/>
      <c r="D114" s="17"/>
      <c r="E114" s="17"/>
      <c r="F114" s="17"/>
      <c r="G114" s="13" t="e">
        <f t="shared" si="33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4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3">
        <f t="shared" si="36"/>
        <v>1</v>
      </c>
      <c r="AB114" s="17"/>
      <c r="AC114" s="12">
        <f t="shared" si="37"/>
        <v>0</v>
      </c>
      <c r="AD114" s="17"/>
      <c r="AE114" s="17"/>
      <c r="AF114" s="17"/>
      <c r="AG114" s="12" t="e">
        <f t="shared" si="38"/>
        <v>#DIV/0!</v>
      </c>
      <c r="AH114" s="12" t="e">
        <f t="shared" si="39"/>
        <v>#DIV/0!</v>
      </c>
      <c r="AI114" s="12"/>
      <c r="AJ114" s="11">
        <f t="shared" si="43"/>
        <v>1</v>
      </c>
      <c r="AK114" s="12" t="e">
        <f t="shared" si="40"/>
        <v>#DIV/0!</v>
      </c>
      <c r="AL114" s="11">
        <f t="shared" si="41"/>
        <v>0</v>
      </c>
      <c r="AM114" s="11">
        <f t="shared" si="35"/>
        <v>0</v>
      </c>
      <c r="AN114" s="17"/>
      <c r="AO114" s="17"/>
      <c r="AP114" s="13" t="e">
        <f t="shared" si="42"/>
        <v>#DIV/0!</v>
      </c>
      <c r="AQ114" s="13">
        <v>1</v>
      </c>
      <c r="AR114" s="17"/>
      <c r="AS114" s="17"/>
      <c r="AT114" s="17"/>
      <c r="AU114" s="17"/>
      <c r="AV114" s="17"/>
      <c r="AW114" s="17"/>
      <c r="AX114" s="17"/>
    </row>
    <row r="115" spans="1:50" ht="12.75" customHeight="1">
      <c r="A115" s="17"/>
      <c r="B115" s="17"/>
      <c r="C115" s="17"/>
      <c r="D115" s="17"/>
      <c r="E115" s="17"/>
      <c r="F115" s="17"/>
      <c r="G115" s="13" t="e">
        <f t="shared" si="33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4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3">
        <f t="shared" si="36"/>
        <v>1</v>
      </c>
      <c r="AB115" s="17"/>
      <c r="AC115" s="12">
        <f t="shared" si="37"/>
        <v>0</v>
      </c>
      <c r="AD115" s="17"/>
      <c r="AE115" s="17"/>
      <c r="AF115" s="17"/>
      <c r="AG115" s="12" t="e">
        <f t="shared" si="38"/>
        <v>#DIV/0!</v>
      </c>
      <c r="AH115" s="12" t="e">
        <f t="shared" si="39"/>
        <v>#DIV/0!</v>
      </c>
      <c r="AI115" s="12"/>
      <c r="AJ115" s="11">
        <f t="shared" si="43"/>
        <v>1</v>
      </c>
      <c r="AK115" s="12" t="e">
        <f t="shared" si="40"/>
        <v>#DIV/0!</v>
      </c>
      <c r="AL115" s="11">
        <f t="shared" si="41"/>
        <v>0</v>
      </c>
      <c r="AM115" s="11">
        <f t="shared" si="35"/>
        <v>0</v>
      </c>
      <c r="AN115" s="17"/>
      <c r="AO115" s="17"/>
      <c r="AP115" s="13" t="e">
        <f t="shared" si="42"/>
        <v>#DIV/0!</v>
      </c>
      <c r="AQ115" s="13">
        <v>1</v>
      </c>
      <c r="AR115" s="17"/>
      <c r="AS115" s="17"/>
      <c r="AT115" s="17"/>
      <c r="AU115" s="17"/>
      <c r="AV115" s="17"/>
      <c r="AW115" s="17"/>
      <c r="AX115" s="17"/>
    </row>
    <row r="116" spans="1:50" ht="12.75" customHeight="1">
      <c r="A116" s="17"/>
      <c r="B116" s="17"/>
      <c r="C116" s="17"/>
      <c r="D116" s="17"/>
      <c r="E116" s="17"/>
      <c r="F116" s="17"/>
      <c r="G116" s="13" t="e">
        <f t="shared" si="33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4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3">
        <f t="shared" si="36"/>
        <v>1</v>
      </c>
      <c r="AB116" s="17"/>
      <c r="AC116" s="12">
        <f t="shared" si="37"/>
        <v>0</v>
      </c>
      <c r="AD116" s="17"/>
      <c r="AE116" s="17"/>
      <c r="AF116" s="17"/>
      <c r="AG116" s="12" t="e">
        <f t="shared" si="38"/>
        <v>#DIV/0!</v>
      </c>
      <c r="AH116" s="12" t="e">
        <f t="shared" si="39"/>
        <v>#DIV/0!</v>
      </c>
      <c r="AI116" s="12"/>
      <c r="AJ116" s="11">
        <f t="shared" si="43"/>
        <v>1</v>
      </c>
      <c r="AK116" s="12" t="e">
        <f t="shared" si="40"/>
        <v>#DIV/0!</v>
      </c>
      <c r="AL116" s="11">
        <f t="shared" si="41"/>
        <v>0</v>
      </c>
      <c r="AM116" s="11">
        <f t="shared" si="35"/>
        <v>0</v>
      </c>
      <c r="AN116" s="17"/>
      <c r="AO116" s="17"/>
      <c r="AP116" s="13" t="e">
        <f t="shared" si="42"/>
        <v>#DIV/0!</v>
      </c>
      <c r="AQ116" s="13">
        <v>1</v>
      </c>
      <c r="AR116" s="17"/>
      <c r="AS116" s="17"/>
      <c r="AT116" s="17"/>
      <c r="AU116" s="17"/>
      <c r="AV116" s="17"/>
      <c r="AW116" s="17"/>
      <c r="AX116" s="17"/>
    </row>
    <row r="117" spans="1:50" ht="12.75" customHeight="1">
      <c r="A117" s="17"/>
      <c r="B117" s="17"/>
      <c r="C117" s="17"/>
      <c r="D117" s="17"/>
      <c r="E117" s="17"/>
      <c r="F117" s="17"/>
      <c r="G117" s="13" t="e">
        <f t="shared" si="33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4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3">
        <f t="shared" si="36"/>
        <v>1</v>
      </c>
      <c r="AB117" s="17"/>
      <c r="AC117" s="12">
        <f t="shared" si="37"/>
        <v>0</v>
      </c>
      <c r="AD117" s="17"/>
      <c r="AE117" s="17"/>
      <c r="AF117" s="17"/>
      <c r="AG117" s="12" t="e">
        <f t="shared" si="38"/>
        <v>#DIV/0!</v>
      </c>
      <c r="AH117" s="12" t="e">
        <f t="shared" si="39"/>
        <v>#DIV/0!</v>
      </c>
      <c r="AI117" s="12"/>
      <c r="AJ117" s="11">
        <f t="shared" si="43"/>
        <v>1</v>
      </c>
      <c r="AK117" s="12" t="e">
        <f t="shared" si="40"/>
        <v>#DIV/0!</v>
      </c>
      <c r="AL117" s="11">
        <f t="shared" si="41"/>
        <v>0</v>
      </c>
      <c r="AM117" s="11">
        <f t="shared" si="35"/>
        <v>0</v>
      </c>
      <c r="AN117" s="17"/>
      <c r="AO117" s="17"/>
      <c r="AP117" s="13" t="e">
        <f t="shared" si="42"/>
        <v>#DIV/0!</v>
      </c>
      <c r="AQ117" s="13">
        <v>1</v>
      </c>
      <c r="AR117" s="17"/>
      <c r="AS117" s="17"/>
      <c r="AT117" s="17"/>
      <c r="AU117" s="17"/>
      <c r="AV117" s="17"/>
      <c r="AW117" s="17"/>
      <c r="AX117" s="17"/>
    </row>
    <row r="118" spans="1:50" ht="12.75" customHeight="1">
      <c r="A118" s="17"/>
      <c r="B118" s="17"/>
      <c r="C118" s="17"/>
      <c r="D118" s="17"/>
      <c r="E118" s="17"/>
      <c r="F118" s="17"/>
      <c r="G118" s="13" t="e">
        <f t="shared" si="33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4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3">
        <f t="shared" si="36"/>
        <v>1</v>
      </c>
      <c r="AB118" s="17"/>
      <c r="AC118" s="12">
        <f t="shared" si="37"/>
        <v>0</v>
      </c>
      <c r="AD118" s="17"/>
      <c r="AE118" s="17"/>
      <c r="AF118" s="17"/>
      <c r="AG118" s="12" t="e">
        <f t="shared" si="38"/>
        <v>#DIV/0!</v>
      </c>
      <c r="AH118" s="12" t="e">
        <f t="shared" si="39"/>
        <v>#DIV/0!</v>
      </c>
      <c r="AI118" s="12"/>
      <c r="AJ118" s="11">
        <f t="shared" si="43"/>
        <v>1</v>
      </c>
      <c r="AK118" s="12" t="e">
        <f t="shared" si="40"/>
        <v>#DIV/0!</v>
      </c>
      <c r="AL118" s="11">
        <f t="shared" si="41"/>
        <v>0</v>
      </c>
      <c r="AM118" s="11">
        <f t="shared" si="35"/>
        <v>0</v>
      </c>
      <c r="AN118" s="17"/>
      <c r="AO118" s="17"/>
      <c r="AP118" s="13" t="e">
        <f t="shared" si="42"/>
        <v>#DIV/0!</v>
      </c>
      <c r="AQ118" s="13">
        <v>1</v>
      </c>
      <c r="AR118" s="17"/>
      <c r="AS118" s="17"/>
      <c r="AT118" s="17"/>
      <c r="AU118" s="17"/>
      <c r="AV118" s="17"/>
      <c r="AW118" s="17"/>
      <c r="AX118" s="17"/>
    </row>
    <row r="119" spans="1:50" ht="12.75" customHeight="1">
      <c r="A119" s="17"/>
      <c r="B119" s="17"/>
      <c r="C119" s="17"/>
      <c r="D119" s="17"/>
      <c r="E119" s="17"/>
      <c r="F119" s="17"/>
      <c r="G119" s="13" t="e">
        <f t="shared" si="33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4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3">
        <f t="shared" si="36"/>
        <v>1</v>
      </c>
      <c r="AB119" s="17"/>
      <c r="AC119" s="12">
        <f t="shared" si="37"/>
        <v>0</v>
      </c>
      <c r="AD119" s="17"/>
      <c r="AE119" s="17"/>
      <c r="AF119" s="17"/>
      <c r="AG119" s="12" t="e">
        <f t="shared" si="38"/>
        <v>#DIV/0!</v>
      </c>
      <c r="AH119" s="12" t="e">
        <f t="shared" si="39"/>
        <v>#DIV/0!</v>
      </c>
      <c r="AI119" s="12"/>
      <c r="AJ119" s="11">
        <f t="shared" si="43"/>
        <v>1</v>
      </c>
      <c r="AK119" s="12" t="e">
        <f t="shared" si="40"/>
        <v>#DIV/0!</v>
      </c>
      <c r="AL119" s="11">
        <f t="shared" si="41"/>
        <v>0</v>
      </c>
      <c r="AM119" s="11">
        <f t="shared" si="35"/>
        <v>0</v>
      </c>
      <c r="AN119" s="17"/>
      <c r="AO119" s="17"/>
      <c r="AP119" s="13" t="e">
        <f t="shared" si="42"/>
        <v>#DIV/0!</v>
      </c>
      <c r="AQ119" s="13">
        <v>1</v>
      </c>
      <c r="AR119" s="17"/>
      <c r="AS119" s="17"/>
      <c r="AT119" s="17"/>
      <c r="AU119" s="17"/>
      <c r="AV119" s="17"/>
      <c r="AW119" s="17"/>
      <c r="AX119" s="17"/>
    </row>
    <row r="120" spans="1:50" ht="12.75" customHeight="1">
      <c r="A120" s="17"/>
      <c r="B120" s="17"/>
      <c r="C120" s="17"/>
      <c r="D120" s="17"/>
      <c r="E120" s="17"/>
      <c r="F120" s="17"/>
      <c r="G120" s="13" t="e">
        <f t="shared" si="33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4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3">
        <f t="shared" si="36"/>
        <v>1</v>
      </c>
      <c r="AB120" s="17"/>
      <c r="AC120" s="17"/>
      <c r="AD120" s="17"/>
      <c r="AE120" s="17"/>
      <c r="AF120" s="17"/>
      <c r="AG120" s="12" t="e">
        <f t="shared" si="38"/>
        <v>#DIV/0!</v>
      </c>
      <c r="AH120" s="12" t="e">
        <f t="shared" si="39"/>
        <v>#DIV/0!</v>
      </c>
      <c r="AI120" s="12"/>
      <c r="AJ120" s="11">
        <f t="shared" si="43"/>
        <v>1</v>
      </c>
      <c r="AK120" s="12" t="e">
        <f t="shared" si="40"/>
        <v>#DIV/0!</v>
      </c>
      <c r="AL120" s="11">
        <f t="shared" si="41"/>
        <v>0</v>
      </c>
      <c r="AM120" s="11">
        <f t="shared" si="35"/>
        <v>0</v>
      </c>
      <c r="AN120" s="17"/>
      <c r="AO120" s="17"/>
      <c r="AP120" s="13" t="e">
        <f t="shared" si="42"/>
        <v>#DIV/0!</v>
      </c>
      <c r="AQ120" s="13">
        <v>1</v>
      </c>
      <c r="AR120" s="17"/>
      <c r="AS120" s="17"/>
      <c r="AT120" s="17"/>
      <c r="AU120" s="17"/>
      <c r="AV120" s="17"/>
      <c r="AW120" s="17"/>
      <c r="AX120" s="17"/>
    </row>
    <row r="121" spans="1:50" ht="12.75" customHeight="1">
      <c r="A121" s="17"/>
      <c r="B121" s="17"/>
      <c r="C121" s="17"/>
      <c r="D121" s="17"/>
      <c r="E121" s="17"/>
      <c r="F121" s="17"/>
      <c r="G121" s="13" t="e">
        <f t="shared" si="33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4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3">
        <f t="shared" si="36"/>
        <v>1</v>
      </c>
      <c r="AB121" s="17"/>
      <c r="AC121" s="17"/>
      <c r="AD121" s="17"/>
      <c r="AE121" s="17"/>
      <c r="AF121" s="17"/>
      <c r="AG121" s="12" t="e">
        <f t="shared" si="38"/>
        <v>#DIV/0!</v>
      </c>
      <c r="AH121" s="12" t="e">
        <f t="shared" si="39"/>
        <v>#DIV/0!</v>
      </c>
      <c r="AI121" s="12"/>
      <c r="AJ121" s="11">
        <f t="shared" si="43"/>
        <v>1</v>
      </c>
      <c r="AK121" s="12" t="e">
        <f t="shared" si="40"/>
        <v>#DIV/0!</v>
      </c>
      <c r="AL121" s="11">
        <f t="shared" si="41"/>
        <v>0</v>
      </c>
      <c r="AM121" s="11">
        <f t="shared" si="35"/>
        <v>0</v>
      </c>
      <c r="AN121" s="17"/>
      <c r="AO121" s="17"/>
      <c r="AP121" s="13" t="e">
        <f t="shared" si="42"/>
        <v>#DIV/0!</v>
      </c>
      <c r="AQ121" s="13">
        <v>1</v>
      </c>
      <c r="AR121" s="17"/>
      <c r="AS121" s="17"/>
      <c r="AT121" s="17"/>
      <c r="AU121" s="17"/>
      <c r="AV121" s="17"/>
      <c r="AW121" s="17"/>
      <c r="AX121" s="17"/>
    </row>
    <row r="122" spans="1:50" ht="12.75" customHeight="1">
      <c r="A122" s="17"/>
      <c r="B122" s="17"/>
      <c r="C122" s="17"/>
      <c r="D122" s="17"/>
      <c r="E122" s="17"/>
      <c r="F122" s="17"/>
      <c r="G122" s="13" t="e">
        <f t="shared" si="33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4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3">
        <f t="shared" si="36"/>
        <v>1</v>
      </c>
      <c r="AB122" s="17"/>
      <c r="AC122" s="17"/>
      <c r="AD122" s="17"/>
      <c r="AE122" s="17"/>
      <c r="AF122" s="17"/>
      <c r="AG122" s="12" t="e">
        <f t="shared" si="38"/>
        <v>#DIV/0!</v>
      </c>
      <c r="AH122" s="12" t="e">
        <f t="shared" si="39"/>
        <v>#DIV/0!</v>
      </c>
      <c r="AI122" s="12"/>
      <c r="AJ122" s="11">
        <f t="shared" si="43"/>
        <v>1</v>
      </c>
      <c r="AK122" s="12" t="e">
        <f t="shared" si="40"/>
        <v>#DIV/0!</v>
      </c>
      <c r="AL122" s="17"/>
      <c r="AM122" s="17"/>
      <c r="AN122" s="17"/>
      <c r="AO122" s="17"/>
      <c r="AP122" s="13" t="e">
        <f t="shared" si="42"/>
        <v>#DIV/0!</v>
      </c>
      <c r="AQ122" s="13">
        <v>1</v>
      </c>
      <c r="AR122" s="17"/>
      <c r="AS122" s="17"/>
      <c r="AT122" s="17"/>
      <c r="AU122" s="17"/>
      <c r="AV122" s="17"/>
      <c r="AW122" s="17"/>
      <c r="AX122" s="17"/>
    </row>
    <row r="123" spans="1:50" ht="12.75" customHeight="1">
      <c r="A123" s="17"/>
      <c r="B123" s="17"/>
      <c r="C123" s="17"/>
      <c r="D123" s="17"/>
      <c r="E123" s="17"/>
      <c r="F123" s="17"/>
      <c r="G123" s="13" t="e">
        <f t="shared" si="33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4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3">
        <f t="shared" si="36"/>
        <v>1</v>
      </c>
      <c r="AB123" s="17"/>
      <c r="AC123" s="17"/>
      <c r="AD123" s="17"/>
      <c r="AE123" s="17"/>
      <c r="AF123" s="17"/>
      <c r="AG123" s="12" t="e">
        <f t="shared" si="38"/>
        <v>#DIV/0!</v>
      </c>
      <c r="AH123" s="12" t="e">
        <f t="shared" si="39"/>
        <v>#DIV/0!</v>
      </c>
      <c r="AI123" s="12"/>
      <c r="AJ123" s="11">
        <f t="shared" si="43"/>
        <v>1</v>
      </c>
      <c r="AK123" s="12" t="e">
        <f t="shared" si="40"/>
        <v>#DIV/0!</v>
      </c>
      <c r="AL123" s="17"/>
      <c r="AM123" s="17"/>
      <c r="AN123" s="17"/>
      <c r="AO123" s="17"/>
      <c r="AP123" s="13" t="e">
        <f t="shared" si="42"/>
        <v>#DIV/0!</v>
      </c>
      <c r="AQ123" s="13">
        <v>1</v>
      </c>
      <c r="AR123" s="17"/>
      <c r="AS123" s="17"/>
      <c r="AT123" s="17"/>
      <c r="AU123" s="17"/>
      <c r="AV123" s="17"/>
      <c r="AW123" s="17"/>
      <c r="AX123" s="17"/>
    </row>
    <row r="124" spans="1:50" ht="12.75" customHeight="1">
      <c r="A124" s="17"/>
      <c r="B124" s="17"/>
      <c r="C124" s="17"/>
      <c r="D124" s="17"/>
      <c r="E124" s="17"/>
      <c r="F124" s="17"/>
      <c r="G124" s="13" t="e">
        <f t="shared" si="33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4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38"/>
        <v>#DIV/0!</v>
      </c>
      <c r="AH124" s="17"/>
      <c r="AI124" s="17"/>
      <c r="AJ124" s="11">
        <f t="shared" si="43"/>
        <v>1</v>
      </c>
      <c r="AK124" s="12" t="e">
        <f t="shared" si="40"/>
        <v>#DIV/0!</v>
      </c>
      <c r="AL124" s="17"/>
      <c r="AM124" s="17"/>
      <c r="AN124" s="17"/>
      <c r="AO124" s="17"/>
      <c r="AP124" s="13" t="e">
        <f t="shared" si="42"/>
        <v>#DIV/0!</v>
      </c>
      <c r="AQ124" s="13">
        <v>1</v>
      </c>
      <c r="AR124" s="17"/>
      <c r="AS124" s="17"/>
      <c r="AT124" s="17"/>
      <c r="AU124" s="17"/>
      <c r="AV124" s="17"/>
      <c r="AW124" s="17"/>
      <c r="AX124" s="17"/>
    </row>
    <row r="125" spans="1:50" ht="12.75" customHeight="1">
      <c r="A125" s="17"/>
      <c r="B125" s="17"/>
      <c r="C125" s="17"/>
      <c r="D125" s="17"/>
      <c r="E125" s="17"/>
      <c r="F125" s="17"/>
      <c r="G125" s="13" t="e">
        <f t="shared" si="33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4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38"/>
        <v>#DIV/0!</v>
      </c>
      <c r="AH125" s="17"/>
      <c r="AI125" s="17"/>
      <c r="AJ125" s="11">
        <f t="shared" si="43"/>
        <v>1</v>
      </c>
      <c r="AK125" s="12" t="e">
        <f t="shared" si="40"/>
        <v>#DIV/0!</v>
      </c>
      <c r="AL125" s="17"/>
      <c r="AM125" s="17"/>
      <c r="AN125" s="17"/>
      <c r="AO125" s="17"/>
      <c r="AP125" s="13" t="e">
        <f t="shared" si="42"/>
        <v>#DIV/0!</v>
      </c>
      <c r="AQ125" s="13">
        <v>1</v>
      </c>
      <c r="AR125" s="17"/>
      <c r="AS125" s="17"/>
      <c r="AT125" s="17"/>
      <c r="AU125" s="17"/>
      <c r="AV125" s="17"/>
      <c r="AW125" s="17"/>
      <c r="AX125" s="17"/>
    </row>
    <row r="126" spans="1:50" ht="12.75" customHeight="1">
      <c r="A126" s="17"/>
      <c r="B126" s="17"/>
      <c r="C126" s="17"/>
      <c r="D126" s="17"/>
      <c r="E126" s="17"/>
      <c r="F126" s="17"/>
      <c r="G126" s="13" t="e">
        <f t="shared" si="33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4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38"/>
        <v>#DIV/0!</v>
      </c>
      <c r="AH126" s="17"/>
      <c r="AI126" s="17"/>
      <c r="AJ126" s="11">
        <f t="shared" si="43"/>
        <v>1</v>
      </c>
      <c r="AK126" s="12" t="e">
        <f t="shared" si="40"/>
        <v>#DIV/0!</v>
      </c>
      <c r="AL126" s="17"/>
      <c r="AM126" s="17"/>
      <c r="AN126" s="17"/>
      <c r="AO126" s="17"/>
      <c r="AP126" s="13" t="e">
        <f t="shared" si="42"/>
        <v>#DIV/0!</v>
      </c>
      <c r="AQ126" s="13">
        <v>1</v>
      </c>
      <c r="AR126" s="17"/>
      <c r="AS126" s="17"/>
      <c r="AT126" s="17"/>
      <c r="AU126" s="17"/>
      <c r="AV126" s="17"/>
      <c r="AW126" s="17"/>
      <c r="AX126" s="17"/>
    </row>
    <row r="127" spans="1:50" ht="12.75" customHeight="1">
      <c r="A127" s="17"/>
      <c r="B127" s="17"/>
      <c r="C127" s="17"/>
      <c r="D127" s="17"/>
      <c r="E127" s="17"/>
      <c r="F127" s="17"/>
      <c r="G127" s="13" t="e">
        <f t="shared" si="33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4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38"/>
        <v>#DIV/0!</v>
      </c>
      <c r="AH127" s="17"/>
      <c r="AI127" s="17"/>
      <c r="AJ127" s="11">
        <f t="shared" si="43"/>
        <v>1</v>
      </c>
      <c r="AK127" s="12" t="e">
        <f t="shared" si="40"/>
        <v>#DIV/0!</v>
      </c>
      <c r="AL127" s="17"/>
      <c r="AM127" s="17"/>
      <c r="AN127" s="17"/>
      <c r="AO127" s="17"/>
      <c r="AP127" s="13" t="e">
        <f t="shared" si="42"/>
        <v>#DIV/0!</v>
      </c>
      <c r="AQ127" s="13">
        <v>1</v>
      </c>
      <c r="AR127" s="17"/>
      <c r="AS127" s="17"/>
      <c r="AT127" s="17"/>
      <c r="AU127" s="17"/>
      <c r="AV127" s="17"/>
      <c r="AW127" s="17"/>
      <c r="AX127" s="17"/>
    </row>
    <row r="128" spans="1:50" ht="12.75" customHeight="1">
      <c r="A128" s="17"/>
      <c r="B128" s="17"/>
      <c r="C128" s="17"/>
      <c r="D128" s="17"/>
      <c r="E128" s="17"/>
      <c r="F128" s="17"/>
      <c r="G128" s="13" t="e">
        <f t="shared" si="33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4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3"/>
        <v>1</v>
      </c>
      <c r="AK128" s="12">
        <f t="shared" si="40"/>
        <v>0</v>
      </c>
      <c r="AL128" s="17"/>
      <c r="AM128" s="17"/>
      <c r="AN128" s="17"/>
      <c r="AO128" s="17"/>
      <c r="AP128" s="13">
        <f t="shared" ref="AP128:AP135" si="44">IF(AK128&gt;23.73,IF(Z128&lt;101,IF(Z128&lt;30,IF(Z128&lt;6,3,2),1),0),0)</f>
        <v>0</v>
      </c>
      <c r="AQ128" s="13">
        <v>1</v>
      </c>
      <c r="AR128" s="17"/>
      <c r="AS128" s="17"/>
      <c r="AT128" s="17"/>
      <c r="AU128" s="17"/>
      <c r="AV128" s="17"/>
      <c r="AW128" s="17"/>
      <c r="AX128" s="17"/>
    </row>
    <row r="129" spans="1:50" ht="12.75" customHeight="1">
      <c r="A129" s="17"/>
      <c r="B129" s="17"/>
      <c r="C129" s="17"/>
      <c r="D129" s="17"/>
      <c r="E129" s="17"/>
      <c r="F129" s="17"/>
      <c r="G129" s="13" t="e">
        <f t="shared" si="33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4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3"/>
        <v>1</v>
      </c>
      <c r="AK129" s="12">
        <f t="shared" si="40"/>
        <v>0</v>
      </c>
      <c r="AL129" s="17"/>
      <c r="AM129" s="17"/>
      <c r="AN129" s="17"/>
      <c r="AO129" s="17"/>
      <c r="AP129" s="13">
        <f t="shared" si="44"/>
        <v>0</v>
      </c>
      <c r="AQ129" s="17"/>
      <c r="AR129" s="17"/>
      <c r="AS129" s="17"/>
      <c r="AT129" s="17"/>
      <c r="AU129" s="17"/>
      <c r="AV129" s="17"/>
      <c r="AW129" s="17"/>
      <c r="AX129" s="17"/>
    </row>
    <row r="130" spans="1:50" ht="12.75" customHeight="1">
      <c r="AJ130" s="11">
        <f t="shared" si="43"/>
        <v>1</v>
      </c>
      <c r="AK130" s="12">
        <f t="shared" ref="AK130" si="45">(AG130*2.6+AH130)*AJ130*AQ130</f>
        <v>0</v>
      </c>
      <c r="AP130" s="13">
        <f t="shared" si="44"/>
        <v>0</v>
      </c>
    </row>
    <row r="131" spans="1:50" ht="12.75" customHeight="1">
      <c r="AJ131" s="11">
        <f t="shared" si="43"/>
        <v>1</v>
      </c>
      <c r="AP131" s="13">
        <f t="shared" si="44"/>
        <v>0</v>
      </c>
    </row>
    <row r="132" spans="1:50" ht="12.75" customHeight="1">
      <c r="AJ132" s="11">
        <f t="shared" si="43"/>
        <v>1</v>
      </c>
      <c r="AP132" s="13">
        <f t="shared" si="44"/>
        <v>0</v>
      </c>
    </row>
    <row r="133" spans="1:50" ht="12.75" customHeight="1">
      <c r="AJ133" s="11">
        <f t="shared" si="43"/>
        <v>1</v>
      </c>
      <c r="AP133" s="13">
        <f t="shared" si="44"/>
        <v>0</v>
      </c>
    </row>
    <row r="134" spans="1:50" ht="12.75" customHeight="1">
      <c r="AJ134" s="11">
        <f t="shared" si="43"/>
        <v>1</v>
      </c>
      <c r="AP134" s="13">
        <f t="shared" si="44"/>
        <v>0</v>
      </c>
    </row>
    <row r="135" spans="1:50" ht="12.75" customHeight="1">
      <c r="AJ135" s="11">
        <f t="shared" si="43"/>
        <v>1</v>
      </c>
      <c r="AP135" s="13">
        <f t="shared" si="44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cp:revision>5</cp:revision>
  <dcterms:created xsi:type="dcterms:W3CDTF">2026-01-08T17:06:38Z</dcterms:created>
  <dcterms:modified xsi:type="dcterms:W3CDTF">2026-05-27T11:57:26Z</dcterms:modified>
  <dc:language>en-GB</dc:language>
</cp:coreProperties>
</file>