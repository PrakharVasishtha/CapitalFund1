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apitalFund1\"/>
    </mc:Choice>
  </mc:AlternateContent>
  <xr:revisionPtr revIDLastSave="0" documentId="13_ncr:1_{F3EE56BB-B232-46A7-A26A-E1A0E5BD3E44}" xr6:coauthVersionLast="47" xr6:coauthVersionMax="47" xr10:uidLastSave="{00000000-0000-0000-0000-000000000000}"/>
  <bookViews>
    <workbookView xWindow="-38505" yWindow="2460" windowWidth="19410" windowHeight="20985" tabRatio="360" activeTab="1" xr2:uid="{00000000-000D-0000-FFFF-FFFF00000000}"/>
  </bookViews>
  <sheets>
    <sheet name="IPOSME" sheetId="1" r:id="rId1"/>
    <sheet name="IPOMB" sheetId="2" r:id="rId2"/>
    <sheet name="SMEr&amp;d" sheetId="3" r:id="rId3"/>
    <sheet name="mbr&amp;d" sheetId="4" r:id="rId4"/>
    <sheet name="Sheet2" sheetId="5" r:id="rId5"/>
    <sheet name="Notes Remarks" sheetId="6" r:id="rId6"/>
  </sheets>
  <definedNames>
    <definedName name="_xlnm._FilterDatabase" localSheetId="1" hidden="1">IPOMB!$AR$1:$AR$96</definedName>
    <definedName name="_xlnm._FilterDatabase" localSheetId="0" hidden="1">IPOSME!$AP$1:$AR$363</definedName>
  </definedNames>
  <calcPr calcId="191029"/>
</workbook>
</file>

<file path=xl/calcChain.xml><?xml version="1.0" encoding="utf-8"?>
<calcChain xmlns="http://schemas.openxmlformats.org/spreadsheetml/2006/main">
  <c r="AO3" i="2" l="1"/>
  <c r="AO4" i="2"/>
  <c r="AO5" i="2"/>
  <c r="AO6" i="2"/>
  <c r="AO7" i="2"/>
  <c r="AO8" i="2"/>
  <c r="AO9" i="2"/>
  <c r="AO10" i="2"/>
  <c r="AO11" i="2"/>
  <c r="AO12" i="2"/>
  <c r="AO13" i="2"/>
  <c r="AO14" i="2"/>
  <c r="AO15" i="2"/>
  <c r="AO16" i="2"/>
  <c r="AO17" i="2"/>
  <c r="AO18" i="2"/>
  <c r="AO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38" i="2"/>
  <c r="AO39" i="2"/>
  <c r="AO40" i="2"/>
  <c r="AO41" i="2"/>
  <c r="AO42" i="2"/>
  <c r="AO43" i="2"/>
  <c r="AO44" i="2"/>
  <c r="AO45" i="2"/>
  <c r="AO46" i="2"/>
  <c r="AO47" i="2"/>
  <c r="AO48" i="2"/>
  <c r="AO49" i="2"/>
  <c r="AO50" i="2"/>
  <c r="AO51" i="2"/>
  <c r="AO52" i="2"/>
  <c r="AO53" i="2"/>
  <c r="AO54" i="2"/>
  <c r="AO55" i="2"/>
  <c r="AO56" i="2"/>
  <c r="AO57" i="2"/>
  <c r="AO58" i="2"/>
  <c r="AO59" i="2"/>
  <c r="AO60" i="2"/>
  <c r="AO61" i="2"/>
  <c r="AO62" i="2"/>
  <c r="AO63" i="2"/>
  <c r="AO64" i="2"/>
  <c r="AO65" i="2"/>
  <c r="AO66" i="2"/>
  <c r="AO67" i="2"/>
  <c r="AO68" i="2"/>
  <c r="AO69" i="2"/>
  <c r="AO70" i="2"/>
  <c r="AO71" i="2"/>
  <c r="AO72" i="2"/>
  <c r="AO73" i="2"/>
  <c r="AO74" i="2"/>
  <c r="AO75" i="2"/>
  <c r="AO76" i="2"/>
  <c r="AO77" i="2"/>
  <c r="AO78" i="2"/>
  <c r="AO79" i="2"/>
  <c r="AO80" i="2"/>
  <c r="AO81" i="2"/>
  <c r="AO82" i="2"/>
  <c r="AO83" i="2"/>
  <c r="AO84" i="2"/>
  <c r="AO85" i="2"/>
  <c r="AO86" i="2"/>
  <c r="AO87" i="2"/>
  <c r="AO88" i="2"/>
  <c r="AO89" i="2"/>
  <c r="AO90" i="2"/>
  <c r="AO91" i="2"/>
  <c r="AO92" i="2"/>
  <c r="AO93" i="2"/>
  <c r="AO94" i="2"/>
  <c r="AO95" i="2"/>
  <c r="AO96" i="2"/>
  <c r="AO97" i="2"/>
  <c r="AO98" i="2"/>
  <c r="AO99" i="2"/>
  <c r="AO100" i="2"/>
  <c r="AO101" i="2"/>
  <c r="AO102" i="2"/>
  <c r="AO103" i="2"/>
  <c r="AO104" i="2"/>
  <c r="AO105" i="2"/>
  <c r="AO106" i="2"/>
  <c r="AO107" i="2"/>
  <c r="AO108" i="2"/>
  <c r="AO109" i="2"/>
  <c r="AR109" i="2" s="1"/>
  <c r="AO110" i="2"/>
  <c r="AO111" i="2"/>
  <c r="AO112" i="2"/>
  <c r="AO113" i="2"/>
  <c r="AO114" i="2"/>
  <c r="AO115" i="2"/>
  <c r="AO116" i="2"/>
  <c r="AO117" i="2"/>
  <c r="AO118" i="2"/>
  <c r="AO119" i="2"/>
  <c r="AO120" i="2"/>
  <c r="AO121" i="2"/>
  <c r="AO122" i="2"/>
  <c r="AO123" i="2"/>
  <c r="AO124" i="2"/>
  <c r="AO125" i="2"/>
  <c r="AO126" i="2"/>
  <c r="AO127" i="2"/>
  <c r="AO128" i="2"/>
  <c r="AO129" i="2"/>
  <c r="AO130" i="2"/>
  <c r="AO131" i="2"/>
  <c r="AO132" i="2"/>
  <c r="AO133" i="2"/>
  <c r="AO134" i="2"/>
  <c r="AO135" i="2"/>
  <c r="AO136" i="2"/>
  <c r="AO137" i="2"/>
  <c r="AO138" i="2"/>
  <c r="AO139" i="2"/>
  <c r="AO140" i="2"/>
  <c r="AO141" i="2"/>
  <c r="AR141" i="2" s="1"/>
  <c r="AO142" i="2"/>
  <c r="AO143" i="2"/>
  <c r="AO144" i="2"/>
  <c r="AO145" i="2"/>
  <c r="AO146" i="2"/>
  <c r="AO147" i="2"/>
  <c r="AO148" i="2"/>
  <c r="AO149" i="2"/>
  <c r="AR149" i="2" s="1"/>
  <c r="AO150" i="2"/>
  <c r="AO151" i="2"/>
  <c r="AO152" i="2"/>
  <c r="AO153" i="2"/>
  <c r="AO154" i="2"/>
  <c r="AO155" i="2"/>
  <c r="AO156" i="2"/>
  <c r="AO157" i="2"/>
  <c r="AO158" i="2"/>
  <c r="AO159" i="2"/>
  <c r="AO160" i="2"/>
  <c r="AO161" i="2"/>
  <c r="AO162" i="2"/>
  <c r="AO163" i="2"/>
  <c r="AO164" i="2"/>
  <c r="AO165" i="2"/>
  <c r="AO166" i="2"/>
  <c r="AO167" i="2"/>
  <c r="AO168" i="2"/>
  <c r="AO169" i="2"/>
  <c r="AO170" i="2"/>
  <c r="AO171" i="2"/>
  <c r="AO172" i="2"/>
  <c r="AO173" i="2"/>
  <c r="AO174" i="2"/>
  <c r="AO175" i="2"/>
  <c r="AO176" i="2"/>
  <c r="AO177" i="2"/>
  <c r="AO178" i="2"/>
  <c r="AO179" i="2"/>
  <c r="AO180" i="2"/>
  <c r="AO181" i="2"/>
  <c r="AO182" i="2"/>
  <c r="AO183" i="2"/>
  <c r="AO184" i="2"/>
  <c r="AO185" i="2"/>
  <c r="AO186" i="2"/>
  <c r="AO187" i="2"/>
  <c r="AO188" i="2"/>
  <c r="AO189" i="2"/>
  <c r="AO190" i="2"/>
  <c r="AO191" i="2"/>
  <c r="AO192" i="2"/>
  <c r="AO193" i="2"/>
  <c r="AO194" i="2"/>
  <c r="AO195" i="2"/>
  <c r="AO196" i="2"/>
  <c r="AO197" i="2"/>
  <c r="AO198" i="2"/>
  <c r="AO199" i="2"/>
  <c r="AO200" i="2"/>
  <c r="AO201" i="2"/>
  <c r="AO202" i="2"/>
  <c r="AO203" i="2"/>
  <c r="AO204" i="2"/>
  <c r="AO205" i="2"/>
  <c r="AO206" i="2"/>
  <c r="AO207" i="2"/>
  <c r="AO208" i="2"/>
  <c r="AO209" i="2"/>
  <c r="AO210" i="2"/>
  <c r="AO211" i="2"/>
  <c r="AO212" i="2"/>
  <c r="AO213" i="2"/>
  <c r="AO214" i="2"/>
  <c r="AO215" i="2"/>
  <c r="AO216" i="2"/>
  <c r="AO217" i="2"/>
  <c r="AO218" i="2"/>
  <c r="AO219" i="2"/>
  <c r="AO220" i="2"/>
  <c r="AO221" i="2"/>
  <c r="AO222" i="2"/>
  <c r="AO223" i="2"/>
  <c r="AO224" i="2"/>
  <c r="AO225" i="2"/>
  <c r="AO226" i="2"/>
  <c r="AO227" i="2"/>
  <c r="AO228" i="2"/>
  <c r="AO229" i="2"/>
  <c r="AO230" i="2"/>
  <c r="AO231" i="2"/>
  <c r="AO232" i="2"/>
  <c r="AO233" i="2"/>
  <c r="AO234" i="2"/>
  <c r="AO235" i="2"/>
  <c r="AO236" i="2"/>
  <c r="AO237" i="2"/>
  <c r="AO238" i="2"/>
  <c r="AO239" i="2"/>
  <c r="AO240" i="2"/>
  <c r="AO241" i="2"/>
  <c r="AO242" i="2"/>
  <c r="AO243" i="2"/>
  <c r="AO244" i="2"/>
  <c r="AO245" i="2"/>
  <c r="AO246" i="2"/>
  <c r="AO247" i="2"/>
  <c r="AO248" i="2"/>
  <c r="AO249" i="2"/>
  <c r="AO250" i="2"/>
  <c r="AO251" i="2"/>
  <c r="AO252" i="2"/>
  <c r="AO253" i="2"/>
  <c r="AO254" i="2"/>
  <c r="AO255" i="2"/>
  <c r="AO256" i="2"/>
  <c r="AO257" i="2"/>
  <c r="AO258" i="2"/>
  <c r="AO259" i="2"/>
  <c r="AO260" i="2"/>
  <c r="AO261" i="2"/>
  <c r="AO262" i="2"/>
  <c r="AO263" i="2"/>
  <c r="AO264" i="2"/>
  <c r="AO265" i="2"/>
  <c r="AO266" i="2"/>
  <c r="AO267" i="2"/>
  <c r="AO268" i="2"/>
  <c r="AO269" i="2"/>
  <c r="AO270" i="2"/>
  <c r="AO271" i="2"/>
  <c r="AO272" i="2"/>
  <c r="AO273" i="2"/>
  <c r="AO274" i="2"/>
  <c r="AO275" i="2"/>
  <c r="AO276" i="2"/>
  <c r="AO277" i="2"/>
  <c r="AO278" i="2"/>
  <c r="AO279" i="2"/>
  <c r="AO280" i="2"/>
  <c r="AO281" i="2"/>
  <c r="AO282" i="2"/>
  <c r="AO283" i="2"/>
  <c r="AO284" i="2"/>
  <c r="AO285" i="2"/>
  <c r="AO286" i="2"/>
  <c r="AO287" i="2"/>
  <c r="AO288" i="2"/>
  <c r="AO289" i="2"/>
  <c r="AO290" i="2"/>
  <c r="AO291" i="2"/>
  <c r="AO292" i="2"/>
  <c r="AO293" i="2"/>
  <c r="AO294" i="2"/>
  <c r="AO295" i="2"/>
  <c r="AO296" i="2"/>
  <c r="AO297" i="2"/>
  <c r="AO298" i="2"/>
  <c r="AO299" i="2"/>
  <c r="AO300" i="2"/>
  <c r="AO301" i="2"/>
  <c r="AO302" i="2"/>
  <c r="AO303" i="2"/>
  <c r="AO304" i="2"/>
  <c r="AO305" i="2"/>
  <c r="AO306" i="2"/>
  <c r="AO307" i="2"/>
  <c r="AO308" i="2"/>
  <c r="AO309" i="2"/>
  <c r="AO310" i="2"/>
  <c r="AO311" i="2"/>
  <c r="AO312" i="2"/>
  <c r="AO313" i="2"/>
  <c r="AO314" i="2"/>
  <c r="AO315" i="2"/>
  <c r="AO316" i="2"/>
  <c r="AO317" i="2"/>
  <c r="AO318" i="2"/>
  <c r="AO319" i="2"/>
  <c r="AO320" i="2"/>
  <c r="AO321" i="2"/>
  <c r="AO322" i="2"/>
  <c r="AO323" i="2"/>
  <c r="AO324" i="2"/>
  <c r="AO325" i="2"/>
  <c r="AO326" i="2"/>
  <c r="AO327" i="2"/>
  <c r="AO328" i="2"/>
  <c r="AO329" i="2"/>
  <c r="AO330" i="2"/>
  <c r="AO331" i="2"/>
  <c r="AO332" i="2"/>
  <c r="AO333" i="2"/>
  <c r="AO334" i="2"/>
  <c r="AO335" i="2"/>
  <c r="AO336" i="2"/>
  <c r="AO337" i="2"/>
  <c r="AO338" i="2"/>
  <c r="AO339" i="2"/>
  <c r="AO340" i="2"/>
  <c r="AO341" i="2"/>
  <c r="AO342" i="2"/>
  <c r="AO343" i="2"/>
  <c r="AO344" i="2"/>
  <c r="AO345" i="2"/>
  <c r="AO346" i="2"/>
  <c r="AO347" i="2"/>
  <c r="AO348" i="2"/>
  <c r="AO349" i="2"/>
  <c r="AO350" i="2"/>
  <c r="AO351" i="2"/>
  <c r="AO352" i="2"/>
  <c r="AO353" i="2"/>
  <c r="AO354" i="2"/>
  <c r="AO355" i="2"/>
  <c r="AO356" i="2"/>
  <c r="AO357" i="2"/>
  <c r="AO358" i="2"/>
  <c r="AO359" i="2"/>
  <c r="AO360" i="2"/>
  <c r="AO361" i="2"/>
  <c r="AO362" i="2"/>
  <c r="AO363" i="2"/>
  <c r="AO364" i="2"/>
  <c r="AO365" i="2"/>
  <c r="AO366" i="2"/>
  <c r="AO367" i="2"/>
  <c r="AO368" i="2"/>
  <c r="AO369" i="2"/>
  <c r="AO370" i="2"/>
  <c r="AO371" i="2"/>
  <c r="AO372" i="2"/>
  <c r="AO373" i="2"/>
  <c r="AO374" i="2"/>
  <c r="AO375" i="2"/>
  <c r="AO376" i="2"/>
  <c r="AO377" i="2"/>
  <c r="AO378" i="2"/>
  <c r="AO379" i="2"/>
  <c r="AO380" i="2"/>
  <c r="AO381" i="2"/>
  <c r="AO382" i="2"/>
  <c r="AO383" i="2"/>
  <c r="AO384" i="2"/>
  <c r="AO385" i="2"/>
  <c r="AO386" i="2"/>
  <c r="AO387" i="2"/>
  <c r="AO388" i="2"/>
  <c r="AO389" i="2"/>
  <c r="AO390" i="2"/>
  <c r="AO391" i="2"/>
  <c r="AO392" i="2"/>
  <c r="AO393" i="2"/>
  <c r="AO394" i="2"/>
  <c r="AO395" i="2"/>
  <c r="AO396" i="2"/>
  <c r="AO397" i="2"/>
  <c r="AO398" i="2"/>
  <c r="AO399" i="2"/>
  <c r="AO400" i="2"/>
  <c r="AO401" i="2"/>
  <c r="AO402" i="2"/>
  <c r="AO403" i="2"/>
  <c r="AO404" i="2"/>
  <c r="AO405" i="2"/>
  <c r="AO406" i="2"/>
  <c r="AO407" i="2"/>
  <c r="AO408" i="2"/>
  <c r="AO409" i="2"/>
  <c r="AO410" i="2"/>
  <c r="AO411" i="2"/>
  <c r="AO412" i="2"/>
  <c r="AO413" i="2"/>
  <c r="AO414" i="2"/>
  <c r="AO415" i="2"/>
  <c r="AO416" i="2"/>
  <c r="AO417" i="2"/>
  <c r="AO418" i="2"/>
  <c r="AO419" i="2"/>
  <c r="AO420" i="2"/>
  <c r="AO421" i="2"/>
  <c r="AO422" i="2"/>
  <c r="AO423" i="2"/>
  <c r="AO424" i="2"/>
  <c r="AO425" i="2"/>
  <c r="AO426" i="2"/>
  <c r="AO427" i="2"/>
  <c r="AO428" i="2"/>
  <c r="AO429" i="2"/>
  <c r="AO430" i="2"/>
  <c r="AO431" i="2"/>
  <c r="AO432" i="2"/>
  <c r="AO433" i="2"/>
  <c r="AO434" i="2"/>
  <c r="AO435" i="2"/>
  <c r="AO436" i="2"/>
  <c r="AO437" i="2"/>
  <c r="AO438" i="2"/>
  <c r="AO439" i="2"/>
  <c r="AO440" i="2"/>
  <c r="AO441" i="2"/>
  <c r="AO442" i="2"/>
  <c r="AO443" i="2"/>
  <c r="AO444" i="2"/>
  <c r="AO445" i="2"/>
  <c r="AO446" i="2"/>
  <c r="AO447" i="2"/>
  <c r="AO448" i="2"/>
  <c r="AO449" i="2"/>
  <c r="AO2" i="2"/>
  <c r="E12" i="5"/>
  <c r="H12" i="5" s="1"/>
  <c r="I12" i="5" s="1"/>
  <c r="E11" i="5"/>
  <c r="H11" i="5" s="1"/>
  <c r="I11" i="5" s="1"/>
  <c r="E10" i="5"/>
  <c r="H10" i="5" s="1"/>
  <c r="I10" i="5" s="1"/>
  <c r="H5" i="5"/>
  <c r="I5" i="5" s="1"/>
  <c r="E5" i="5"/>
  <c r="E4" i="5"/>
  <c r="H4" i="5" s="1"/>
  <c r="I4" i="5" s="1"/>
  <c r="E3" i="5"/>
  <c r="H3" i="5" s="1"/>
  <c r="I3" i="5" s="1"/>
  <c r="J19" i="4"/>
  <c r="I19" i="4"/>
  <c r="H19" i="4"/>
  <c r="F19" i="4"/>
  <c r="G19" i="4" s="1"/>
  <c r="K19" i="4" s="1"/>
  <c r="L19" i="4" s="1"/>
  <c r="M19" i="4" s="1"/>
  <c r="N19" i="4" s="1"/>
  <c r="E19" i="4"/>
  <c r="I18" i="4"/>
  <c r="H18" i="4"/>
  <c r="J18" i="4" s="1"/>
  <c r="F18" i="4"/>
  <c r="E18" i="4"/>
  <c r="G18" i="4" s="1"/>
  <c r="K18" i="4" s="1"/>
  <c r="L18" i="4" s="1"/>
  <c r="M18" i="4" s="1"/>
  <c r="N18" i="4" s="1"/>
  <c r="J17" i="4"/>
  <c r="I17" i="4"/>
  <c r="H17" i="4"/>
  <c r="F17" i="4"/>
  <c r="G17" i="4" s="1"/>
  <c r="K17" i="4" s="1"/>
  <c r="L17" i="4" s="1"/>
  <c r="M17" i="4" s="1"/>
  <c r="N17" i="4" s="1"/>
  <c r="E17" i="4"/>
  <c r="I16" i="4"/>
  <c r="H16" i="4"/>
  <c r="J16" i="4" s="1"/>
  <c r="F16" i="4"/>
  <c r="E16" i="4"/>
  <c r="G16" i="4" s="1"/>
  <c r="J15" i="4"/>
  <c r="I15" i="4"/>
  <c r="H15" i="4"/>
  <c r="F15" i="4"/>
  <c r="G15" i="4" s="1"/>
  <c r="K15" i="4" s="1"/>
  <c r="L15" i="4" s="1"/>
  <c r="M15" i="4" s="1"/>
  <c r="N15" i="4" s="1"/>
  <c r="E15" i="4"/>
  <c r="I14" i="4"/>
  <c r="H14" i="4"/>
  <c r="J14" i="4" s="1"/>
  <c r="F14" i="4"/>
  <c r="E14" i="4"/>
  <c r="G14" i="4" s="1"/>
  <c r="J13" i="4"/>
  <c r="I13" i="4"/>
  <c r="H13" i="4"/>
  <c r="F13" i="4"/>
  <c r="G13" i="4" s="1"/>
  <c r="K13" i="4" s="1"/>
  <c r="L13" i="4" s="1"/>
  <c r="M13" i="4" s="1"/>
  <c r="N13" i="4" s="1"/>
  <c r="E13" i="4"/>
  <c r="I12" i="4"/>
  <c r="H12" i="4"/>
  <c r="J12" i="4" s="1"/>
  <c r="F12" i="4"/>
  <c r="E12" i="4"/>
  <c r="G12" i="4" s="1"/>
  <c r="K12" i="4" s="1"/>
  <c r="L12" i="4" s="1"/>
  <c r="M12" i="4" s="1"/>
  <c r="N12" i="4" s="1"/>
  <c r="J11" i="4"/>
  <c r="I11" i="4"/>
  <c r="H11" i="4"/>
  <c r="F11" i="4"/>
  <c r="G11" i="4" s="1"/>
  <c r="K11" i="4" s="1"/>
  <c r="L11" i="4" s="1"/>
  <c r="M11" i="4" s="1"/>
  <c r="N11" i="4" s="1"/>
  <c r="E11" i="4"/>
  <c r="I10" i="4"/>
  <c r="H10" i="4"/>
  <c r="J10" i="4" s="1"/>
  <c r="F10" i="4"/>
  <c r="E10" i="4"/>
  <c r="G10" i="4" s="1"/>
  <c r="K10" i="4" s="1"/>
  <c r="L10" i="4" s="1"/>
  <c r="M10" i="4" s="1"/>
  <c r="N10" i="4" s="1"/>
  <c r="J9" i="4"/>
  <c r="I9" i="4"/>
  <c r="H9" i="4"/>
  <c r="F9" i="4"/>
  <c r="G9" i="4" s="1"/>
  <c r="K9" i="4" s="1"/>
  <c r="L9" i="4" s="1"/>
  <c r="M9" i="4" s="1"/>
  <c r="N9" i="4" s="1"/>
  <c r="E9" i="4"/>
  <c r="I8" i="4"/>
  <c r="H8" i="4"/>
  <c r="J8" i="4" s="1"/>
  <c r="F8" i="4"/>
  <c r="E8" i="4"/>
  <c r="G8" i="4" s="1"/>
  <c r="J7" i="4"/>
  <c r="I7" i="4"/>
  <c r="E7" i="4"/>
  <c r="G7" i="4" s="1"/>
  <c r="K7" i="4" s="1"/>
  <c r="L7" i="4" s="1"/>
  <c r="M7" i="4" s="1"/>
  <c r="N7" i="4" s="1"/>
  <c r="J6" i="4"/>
  <c r="I6" i="4"/>
  <c r="E6" i="4"/>
  <c r="G6" i="4" s="1"/>
  <c r="K6" i="4" s="1"/>
  <c r="L6" i="4" s="1"/>
  <c r="M6" i="4" s="1"/>
  <c r="N6" i="4" s="1"/>
  <c r="J5" i="4"/>
  <c r="I5" i="4"/>
  <c r="E5" i="4"/>
  <c r="G5" i="4" s="1"/>
  <c r="K5" i="4" s="1"/>
  <c r="L5" i="4" s="1"/>
  <c r="M5" i="4" s="1"/>
  <c r="N5" i="4" s="1"/>
  <c r="J4" i="4"/>
  <c r="I4" i="4"/>
  <c r="E4" i="4"/>
  <c r="G4" i="4" s="1"/>
  <c r="K4" i="4" s="1"/>
  <c r="L4" i="4" s="1"/>
  <c r="M4" i="4" s="1"/>
  <c r="N4" i="4" s="1"/>
  <c r="J3" i="4"/>
  <c r="I3" i="4"/>
  <c r="E3" i="4"/>
  <c r="G3" i="4" s="1"/>
  <c r="K3" i="4" s="1"/>
  <c r="L3" i="4" s="1"/>
  <c r="M3" i="4" s="1"/>
  <c r="N3" i="4" s="1"/>
  <c r="J2" i="4"/>
  <c r="I2" i="4"/>
  <c r="E2" i="4"/>
  <c r="G2" i="4" s="1"/>
  <c r="K2" i="4" s="1"/>
  <c r="L2" i="4" s="1"/>
  <c r="M2" i="4" s="1"/>
  <c r="N2" i="4" s="1"/>
  <c r="I33" i="3"/>
  <c r="H33" i="3"/>
  <c r="D33" i="3"/>
  <c r="F33" i="3" s="1"/>
  <c r="J33" i="3" s="1"/>
  <c r="K33" i="3" s="1"/>
  <c r="L33" i="3" s="1"/>
  <c r="M33" i="3" s="1"/>
  <c r="I32" i="3"/>
  <c r="H32" i="3"/>
  <c r="G32" i="3"/>
  <c r="E32" i="3"/>
  <c r="F32" i="3" s="1"/>
  <c r="J32" i="3" s="1"/>
  <c r="K32" i="3" s="1"/>
  <c r="L32" i="3" s="1"/>
  <c r="M32" i="3" s="1"/>
  <c r="D32" i="3"/>
  <c r="H31" i="3"/>
  <c r="G31" i="3"/>
  <c r="I31" i="3" s="1"/>
  <c r="E31" i="3"/>
  <c r="D31" i="3"/>
  <c r="F31" i="3" s="1"/>
  <c r="J31" i="3" s="1"/>
  <c r="K31" i="3" s="1"/>
  <c r="L31" i="3" s="1"/>
  <c r="M31" i="3" s="1"/>
  <c r="I30" i="3"/>
  <c r="H30" i="3"/>
  <c r="D30" i="3"/>
  <c r="F30" i="3" s="1"/>
  <c r="J30" i="3" s="1"/>
  <c r="K30" i="3" s="1"/>
  <c r="L30" i="3" s="1"/>
  <c r="M30" i="3" s="1"/>
  <c r="I29" i="3"/>
  <c r="H29" i="3"/>
  <c r="G29" i="3"/>
  <c r="E29" i="3"/>
  <c r="F29" i="3" s="1"/>
  <c r="J29" i="3" s="1"/>
  <c r="K29" i="3" s="1"/>
  <c r="L29" i="3" s="1"/>
  <c r="M29" i="3" s="1"/>
  <c r="D29" i="3"/>
  <c r="H28" i="3"/>
  <c r="G28" i="3"/>
  <c r="I28" i="3" s="1"/>
  <c r="E28" i="3"/>
  <c r="D28" i="3"/>
  <c r="F28" i="3" s="1"/>
  <c r="J28" i="3" s="1"/>
  <c r="K28" i="3" s="1"/>
  <c r="L28" i="3" s="1"/>
  <c r="M28" i="3" s="1"/>
  <c r="I27" i="3"/>
  <c r="H27" i="3"/>
  <c r="D27" i="3"/>
  <c r="F27" i="3" s="1"/>
  <c r="J27" i="3" s="1"/>
  <c r="K27" i="3" s="1"/>
  <c r="L27" i="3" s="1"/>
  <c r="M27" i="3" s="1"/>
  <c r="I26" i="3"/>
  <c r="H26" i="3"/>
  <c r="D26" i="3"/>
  <c r="F26" i="3" s="1"/>
  <c r="J26" i="3" s="1"/>
  <c r="K26" i="3" s="1"/>
  <c r="L26" i="3" s="1"/>
  <c r="M26" i="3" s="1"/>
  <c r="I25" i="3"/>
  <c r="H25" i="3"/>
  <c r="D25" i="3"/>
  <c r="F25" i="3" s="1"/>
  <c r="J25" i="3" s="1"/>
  <c r="K25" i="3" s="1"/>
  <c r="L25" i="3" s="1"/>
  <c r="M25" i="3" s="1"/>
  <c r="I19" i="3"/>
  <c r="H19" i="3"/>
  <c r="G19" i="3"/>
  <c r="E19" i="3"/>
  <c r="F19" i="3" s="1"/>
  <c r="J19" i="3" s="1"/>
  <c r="K19" i="3" s="1"/>
  <c r="L19" i="3" s="1"/>
  <c r="M19" i="3" s="1"/>
  <c r="D19" i="3"/>
  <c r="H18" i="3"/>
  <c r="G18" i="3"/>
  <c r="I18" i="3" s="1"/>
  <c r="E18" i="3"/>
  <c r="D18" i="3"/>
  <c r="F18" i="3" s="1"/>
  <c r="I17" i="3"/>
  <c r="H17" i="3"/>
  <c r="G17" i="3"/>
  <c r="E17" i="3"/>
  <c r="F17" i="3" s="1"/>
  <c r="J17" i="3" s="1"/>
  <c r="K17" i="3" s="1"/>
  <c r="L17" i="3" s="1"/>
  <c r="M17" i="3" s="1"/>
  <c r="D17" i="3"/>
  <c r="H16" i="3"/>
  <c r="G16" i="3"/>
  <c r="I16" i="3" s="1"/>
  <c r="E16" i="3"/>
  <c r="D16" i="3"/>
  <c r="F16" i="3" s="1"/>
  <c r="I15" i="3"/>
  <c r="H15" i="3"/>
  <c r="G15" i="3"/>
  <c r="E15" i="3"/>
  <c r="F15" i="3" s="1"/>
  <c r="J15" i="3" s="1"/>
  <c r="K15" i="3" s="1"/>
  <c r="L15" i="3" s="1"/>
  <c r="M15" i="3" s="1"/>
  <c r="D15" i="3"/>
  <c r="H14" i="3"/>
  <c r="G14" i="3"/>
  <c r="I14" i="3" s="1"/>
  <c r="E14" i="3"/>
  <c r="D14" i="3"/>
  <c r="F14" i="3" s="1"/>
  <c r="J14" i="3" s="1"/>
  <c r="K14" i="3" s="1"/>
  <c r="L14" i="3" s="1"/>
  <c r="M14" i="3" s="1"/>
  <c r="I13" i="3"/>
  <c r="H13" i="3"/>
  <c r="G13" i="3"/>
  <c r="E13" i="3"/>
  <c r="F13" i="3" s="1"/>
  <c r="J13" i="3" s="1"/>
  <c r="K13" i="3" s="1"/>
  <c r="L13" i="3" s="1"/>
  <c r="M13" i="3" s="1"/>
  <c r="D13" i="3"/>
  <c r="H12" i="3"/>
  <c r="G12" i="3"/>
  <c r="I12" i="3" s="1"/>
  <c r="E12" i="3"/>
  <c r="D12" i="3"/>
  <c r="F12" i="3" s="1"/>
  <c r="J12" i="3" s="1"/>
  <c r="K12" i="3" s="1"/>
  <c r="L12" i="3" s="1"/>
  <c r="M12" i="3" s="1"/>
  <c r="I11" i="3"/>
  <c r="H11" i="3"/>
  <c r="G11" i="3"/>
  <c r="E11" i="3"/>
  <c r="F11" i="3" s="1"/>
  <c r="J11" i="3" s="1"/>
  <c r="K11" i="3" s="1"/>
  <c r="L11" i="3" s="1"/>
  <c r="M11" i="3" s="1"/>
  <c r="D11" i="3"/>
  <c r="H10" i="3"/>
  <c r="G10" i="3"/>
  <c r="I10" i="3" s="1"/>
  <c r="E10" i="3"/>
  <c r="D10" i="3"/>
  <c r="F10" i="3" s="1"/>
  <c r="I9" i="3"/>
  <c r="H9" i="3"/>
  <c r="G9" i="3"/>
  <c r="E9" i="3"/>
  <c r="F9" i="3" s="1"/>
  <c r="J9" i="3" s="1"/>
  <c r="K9" i="3" s="1"/>
  <c r="L9" i="3" s="1"/>
  <c r="M9" i="3" s="1"/>
  <c r="D9" i="3"/>
  <c r="H8" i="3"/>
  <c r="G8" i="3"/>
  <c r="I8" i="3" s="1"/>
  <c r="E8" i="3"/>
  <c r="D8" i="3"/>
  <c r="F8" i="3" s="1"/>
  <c r="I7" i="3"/>
  <c r="H7" i="3"/>
  <c r="D7" i="3"/>
  <c r="F7" i="3" s="1"/>
  <c r="J7" i="3" s="1"/>
  <c r="K7" i="3" s="1"/>
  <c r="L7" i="3" s="1"/>
  <c r="M7" i="3" s="1"/>
  <c r="I6" i="3"/>
  <c r="H6" i="3"/>
  <c r="D6" i="3"/>
  <c r="F6" i="3" s="1"/>
  <c r="J6" i="3" s="1"/>
  <c r="K6" i="3" s="1"/>
  <c r="L6" i="3" s="1"/>
  <c r="M6" i="3" s="1"/>
  <c r="I5" i="3"/>
  <c r="H5" i="3"/>
  <c r="D5" i="3"/>
  <c r="F5" i="3" s="1"/>
  <c r="J5" i="3" s="1"/>
  <c r="K5" i="3" s="1"/>
  <c r="L5" i="3" s="1"/>
  <c r="M5" i="3" s="1"/>
  <c r="I4" i="3"/>
  <c r="H4" i="3"/>
  <c r="D4" i="3"/>
  <c r="F4" i="3" s="1"/>
  <c r="J4" i="3" s="1"/>
  <c r="K4" i="3" s="1"/>
  <c r="L4" i="3" s="1"/>
  <c r="M4" i="3" s="1"/>
  <c r="I3" i="3"/>
  <c r="H3" i="3"/>
  <c r="D3" i="3"/>
  <c r="F3" i="3" s="1"/>
  <c r="J3" i="3" s="1"/>
  <c r="K3" i="3" s="1"/>
  <c r="L3" i="3" s="1"/>
  <c r="M3" i="3" s="1"/>
  <c r="I2" i="3"/>
  <c r="H2" i="3"/>
  <c r="D2" i="3"/>
  <c r="F2" i="3" s="1"/>
  <c r="J2" i="3" s="1"/>
  <c r="K2" i="3" s="1"/>
  <c r="L2" i="3" s="1"/>
  <c r="M2" i="3" s="1"/>
  <c r="AG1557" i="2"/>
  <c r="AG1556" i="2"/>
  <c r="AG1555" i="2"/>
  <c r="AG1554" i="2"/>
  <c r="AG1553" i="2"/>
  <c r="AG1552" i="2"/>
  <c r="AG1551" i="2"/>
  <c r="AG1550" i="2"/>
  <c r="AG1549" i="2"/>
  <c r="AG1548" i="2"/>
  <c r="AG1547" i="2"/>
  <c r="AG1546" i="2"/>
  <c r="AG1545" i="2"/>
  <c r="AG1544" i="2"/>
  <c r="AG1543" i="2"/>
  <c r="AG1542" i="2"/>
  <c r="AG1541" i="2"/>
  <c r="AG1540" i="2"/>
  <c r="AG1539" i="2"/>
  <c r="AG1538" i="2"/>
  <c r="AG1537" i="2"/>
  <c r="AG1536" i="2"/>
  <c r="AG1535" i="2"/>
  <c r="AG1534" i="2"/>
  <c r="AG1533" i="2"/>
  <c r="AG1532" i="2"/>
  <c r="AG1531" i="2"/>
  <c r="AG1530" i="2"/>
  <c r="AG1529" i="2"/>
  <c r="AG1528" i="2"/>
  <c r="AG1527" i="2"/>
  <c r="AG1526" i="2"/>
  <c r="AG1525" i="2"/>
  <c r="AG1524" i="2"/>
  <c r="AG1523" i="2"/>
  <c r="AG1522" i="2"/>
  <c r="AG1521" i="2"/>
  <c r="AG1520" i="2"/>
  <c r="AG1519" i="2"/>
  <c r="AG1518" i="2"/>
  <c r="AG1517" i="2"/>
  <c r="AG1516" i="2"/>
  <c r="AG1515" i="2"/>
  <c r="AG1514" i="2"/>
  <c r="AG1513" i="2"/>
  <c r="AG1512" i="2"/>
  <c r="AG1511" i="2"/>
  <c r="AG1510" i="2"/>
  <c r="AG1509" i="2"/>
  <c r="AG1508" i="2"/>
  <c r="AG1507" i="2"/>
  <c r="AG1506" i="2"/>
  <c r="AG1505" i="2"/>
  <c r="AG1504" i="2"/>
  <c r="AG1503" i="2"/>
  <c r="AG1502" i="2"/>
  <c r="AG1501" i="2"/>
  <c r="AG1500" i="2"/>
  <c r="AG1499" i="2"/>
  <c r="AG1498" i="2"/>
  <c r="AG1497" i="2"/>
  <c r="AG1496" i="2"/>
  <c r="AG1495" i="2"/>
  <c r="AG1494" i="2"/>
  <c r="AG1493" i="2"/>
  <c r="AG1492" i="2"/>
  <c r="AG1491" i="2"/>
  <c r="AG1490" i="2"/>
  <c r="AG1489" i="2"/>
  <c r="AG1488" i="2"/>
  <c r="AG1487" i="2"/>
  <c r="AG1486" i="2"/>
  <c r="AG1485" i="2"/>
  <c r="AG1484" i="2"/>
  <c r="AG1483" i="2"/>
  <c r="AG1482" i="2"/>
  <c r="AG1481" i="2"/>
  <c r="AG1480" i="2"/>
  <c r="AG1479" i="2"/>
  <c r="AG1478" i="2"/>
  <c r="AG1477" i="2"/>
  <c r="AG1476" i="2"/>
  <c r="AG1475" i="2"/>
  <c r="AG1474" i="2"/>
  <c r="AG1473" i="2"/>
  <c r="AG1472" i="2"/>
  <c r="AG1471" i="2"/>
  <c r="AG1470" i="2"/>
  <c r="AG1469" i="2"/>
  <c r="AG1468" i="2"/>
  <c r="AG1467" i="2"/>
  <c r="AG1466" i="2"/>
  <c r="AG1465" i="2"/>
  <c r="AG1464" i="2"/>
  <c r="AG1463" i="2"/>
  <c r="AG1462" i="2"/>
  <c r="AG1461" i="2"/>
  <c r="AG1460" i="2"/>
  <c r="AG1459" i="2"/>
  <c r="AG1458" i="2"/>
  <c r="AG1457" i="2"/>
  <c r="AG1456" i="2"/>
  <c r="AG1455" i="2"/>
  <c r="AG1454" i="2"/>
  <c r="AG1453" i="2"/>
  <c r="AG1452" i="2"/>
  <c r="AG1451" i="2"/>
  <c r="AG1450" i="2"/>
  <c r="AG1449" i="2"/>
  <c r="AG1448" i="2"/>
  <c r="AG1447" i="2"/>
  <c r="AG1446" i="2"/>
  <c r="AG1445" i="2"/>
  <c r="AG1444" i="2"/>
  <c r="AG1443" i="2"/>
  <c r="AG1442" i="2"/>
  <c r="AG1441" i="2"/>
  <c r="AG1440" i="2"/>
  <c r="AG1439" i="2"/>
  <c r="AG1438" i="2"/>
  <c r="AG1437" i="2"/>
  <c r="AG1436" i="2"/>
  <c r="AG1435" i="2"/>
  <c r="AG1434" i="2"/>
  <c r="AG1433" i="2"/>
  <c r="AG1432" i="2"/>
  <c r="AG1431" i="2"/>
  <c r="AG1430" i="2"/>
  <c r="AG1429" i="2"/>
  <c r="AG1428" i="2"/>
  <c r="AG1427" i="2"/>
  <c r="AG1426" i="2"/>
  <c r="AG1425" i="2"/>
  <c r="AG1424" i="2"/>
  <c r="AG1423" i="2"/>
  <c r="AG1422" i="2"/>
  <c r="AG1421" i="2"/>
  <c r="AG1420" i="2"/>
  <c r="AG1419" i="2"/>
  <c r="AG1418" i="2"/>
  <c r="AG1417" i="2"/>
  <c r="AG1416" i="2"/>
  <c r="AG1415" i="2"/>
  <c r="AG1414" i="2"/>
  <c r="AG1413" i="2"/>
  <c r="AG1412" i="2"/>
  <c r="AG1411" i="2"/>
  <c r="AG1410" i="2"/>
  <c r="AG1409" i="2"/>
  <c r="AG1408" i="2"/>
  <c r="AG1407" i="2"/>
  <c r="AG1406" i="2"/>
  <c r="AG1405" i="2"/>
  <c r="AG1404" i="2"/>
  <c r="AG1403" i="2"/>
  <c r="AG1402" i="2"/>
  <c r="AG1401" i="2"/>
  <c r="AG1400" i="2"/>
  <c r="AG1399" i="2"/>
  <c r="AG1398" i="2"/>
  <c r="AG1397" i="2"/>
  <c r="AG1396" i="2"/>
  <c r="AG1395" i="2"/>
  <c r="AG1394" i="2"/>
  <c r="AG1393" i="2"/>
  <c r="AG1392" i="2"/>
  <c r="AG1391" i="2"/>
  <c r="AG1390" i="2"/>
  <c r="AG1389" i="2"/>
  <c r="AG1388" i="2"/>
  <c r="AG1387" i="2"/>
  <c r="AG1386" i="2"/>
  <c r="AG1385" i="2"/>
  <c r="AG1384" i="2"/>
  <c r="AG1383" i="2"/>
  <c r="AG1382" i="2"/>
  <c r="AG1381" i="2"/>
  <c r="AG1380" i="2"/>
  <c r="AG1379" i="2"/>
  <c r="AG1378" i="2"/>
  <c r="AG1377" i="2"/>
  <c r="AG1376" i="2"/>
  <c r="AG1375" i="2"/>
  <c r="AG1374" i="2"/>
  <c r="AG1373" i="2"/>
  <c r="AG1372" i="2"/>
  <c r="AG1371" i="2"/>
  <c r="AG1370" i="2"/>
  <c r="AG1369" i="2"/>
  <c r="AG1368" i="2"/>
  <c r="AG1367" i="2"/>
  <c r="AG1366" i="2"/>
  <c r="AG1365" i="2"/>
  <c r="AG1364" i="2"/>
  <c r="AG1363" i="2"/>
  <c r="AG1362" i="2"/>
  <c r="AG1361" i="2"/>
  <c r="AG1360" i="2"/>
  <c r="AG1359" i="2"/>
  <c r="AG1358" i="2"/>
  <c r="AG1357" i="2"/>
  <c r="AG1356" i="2"/>
  <c r="AG1355" i="2"/>
  <c r="AG1354" i="2"/>
  <c r="AG1353" i="2"/>
  <c r="AG1352" i="2"/>
  <c r="AG1351" i="2"/>
  <c r="AG1350" i="2"/>
  <c r="AG1349" i="2"/>
  <c r="AG1348" i="2"/>
  <c r="AG1347" i="2"/>
  <c r="AG1346" i="2"/>
  <c r="AG1345" i="2"/>
  <c r="AG1344" i="2"/>
  <c r="AG1343" i="2"/>
  <c r="AG1342" i="2"/>
  <c r="AG1341" i="2"/>
  <c r="AG1340" i="2"/>
  <c r="AG1339" i="2"/>
  <c r="AG1338" i="2"/>
  <c r="AG1337" i="2"/>
  <c r="AG1336" i="2"/>
  <c r="AG1335" i="2"/>
  <c r="AG1334" i="2"/>
  <c r="AG1333" i="2"/>
  <c r="AG1332" i="2"/>
  <c r="AG1331" i="2"/>
  <c r="AG1330" i="2"/>
  <c r="AG1329" i="2"/>
  <c r="AG1328" i="2"/>
  <c r="AG1327" i="2"/>
  <c r="AG1326" i="2"/>
  <c r="AG1325" i="2"/>
  <c r="AG1324" i="2"/>
  <c r="AG1323" i="2"/>
  <c r="AG1322" i="2"/>
  <c r="AG1321" i="2"/>
  <c r="AG1320" i="2"/>
  <c r="AG1319" i="2"/>
  <c r="AG1318" i="2"/>
  <c r="AG1317" i="2"/>
  <c r="AG1316" i="2"/>
  <c r="AG1315" i="2"/>
  <c r="AG1314" i="2"/>
  <c r="AG1313" i="2"/>
  <c r="AG1312" i="2"/>
  <c r="AG1311" i="2"/>
  <c r="AG1310" i="2"/>
  <c r="AG1309" i="2"/>
  <c r="AG1308" i="2"/>
  <c r="AG1307" i="2"/>
  <c r="AG1306" i="2"/>
  <c r="AG1305" i="2"/>
  <c r="AG1304" i="2"/>
  <c r="AG1303" i="2"/>
  <c r="AG1302" i="2"/>
  <c r="AG1301" i="2"/>
  <c r="AG1300" i="2"/>
  <c r="AG1299" i="2"/>
  <c r="AG1298" i="2"/>
  <c r="AG1297" i="2"/>
  <c r="AG1296" i="2"/>
  <c r="AG1295" i="2"/>
  <c r="AG1294" i="2"/>
  <c r="AG1293" i="2"/>
  <c r="AG1292" i="2"/>
  <c r="AG1291" i="2"/>
  <c r="AG1290" i="2"/>
  <c r="AG1289" i="2"/>
  <c r="AG1288" i="2"/>
  <c r="AG1287" i="2"/>
  <c r="AG1286" i="2"/>
  <c r="AG1285" i="2"/>
  <c r="AG1284" i="2"/>
  <c r="AG1283" i="2"/>
  <c r="AG1282" i="2"/>
  <c r="AG1281" i="2"/>
  <c r="AG1280" i="2"/>
  <c r="AG1279" i="2"/>
  <c r="AG1278" i="2"/>
  <c r="AG1277" i="2"/>
  <c r="AG1276" i="2"/>
  <c r="AG1275" i="2"/>
  <c r="AG1274" i="2"/>
  <c r="AG1273" i="2"/>
  <c r="AG1272" i="2"/>
  <c r="AG1271" i="2"/>
  <c r="AG1270" i="2"/>
  <c r="AG1269" i="2"/>
  <c r="AG1268" i="2"/>
  <c r="AG1267" i="2"/>
  <c r="AG1266" i="2"/>
  <c r="AG1265" i="2"/>
  <c r="AG1264" i="2"/>
  <c r="AG1263" i="2"/>
  <c r="AG1262" i="2"/>
  <c r="AG1261" i="2"/>
  <c r="AG1260" i="2"/>
  <c r="AG1259" i="2"/>
  <c r="AG1258" i="2"/>
  <c r="AG1257" i="2"/>
  <c r="AG1256" i="2"/>
  <c r="AG1255" i="2"/>
  <c r="AG1254" i="2"/>
  <c r="AG1253" i="2"/>
  <c r="AG1252" i="2"/>
  <c r="AG1251" i="2"/>
  <c r="AG1250" i="2"/>
  <c r="AG1249" i="2"/>
  <c r="AG1248" i="2"/>
  <c r="AG1247" i="2"/>
  <c r="AG1246" i="2"/>
  <c r="AG1245" i="2"/>
  <c r="AG1244" i="2"/>
  <c r="AG1243" i="2"/>
  <c r="AG1242" i="2"/>
  <c r="AG1241" i="2"/>
  <c r="AG1240" i="2"/>
  <c r="AG1239" i="2"/>
  <c r="AG1238" i="2"/>
  <c r="AG1237" i="2"/>
  <c r="AG1236" i="2"/>
  <c r="AG1235" i="2"/>
  <c r="AG1234" i="2"/>
  <c r="AG1233" i="2"/>
  <c r="AG1232" i="2"/>
  <c r="AG1231" i="2"/>
  <c r="AG1230" i="2"/>
  <c r="AG1229" i="2"/>
  <c r="AG1228" i="2"/>
  <c r="AG1227" i="2"/>
  <c r="AG1226" i="2"/>
  <c r="AG1225" i="2"/>
  <c r="AG1224" i="2"/>
  <c r="AG1223" i="2"/>
  <c r="AG1222" i="2"/>
  <c r="AG1221" i="2"/>
  <c r="AG1220" i="2"/>
  <c r="AG1219" i="2"/>
  <c r="AG1218" i="2"/>
  <c r="AG1217" i="2"/>
  <c r="AG1216" i="2"/>
  <c r="AG1215" i="2"/>
  <c r="AG1214" i="2"/>
  <c r="AG1213" i="2"/>
  <c r="AG1212" i="2"/>
  <c r="AG1211" i="2"/>
  <c r="AG1210" i="2"/>
  <c r="AG1209" i="2"/>
  <c r="AG1208" i="2"/>
  <c r="AG1207" i="2"/>
  <c r="AG1206" i="2"/>
  <c r="AG1205" i="2"/>
  <c r="AG1204" i="2"/>
  <c r="AG1203" i="2"/>
  <c r="AG1202" i="2"/>
  <c r="AG1201" i="2"/>
  <c r="AG1200" i="2"/>
  <c r="AG1199" i="2"/>
  <c r="AG1198" i="2"/>
  <c r="AG1197" i="2"/>
  <c r="AG1196" i="2"/>
  <c r="AG1195" i="2"/>
  <c r="AG1194" i="2"/>
  <c r="AG1193" i="2"/>
  <c r="AG1192" i="2"/>
  <c r="AG1191" i="2"/>
  <c r="AG1190" i="2"/>
  <c r="AG1189" i="2"/>
  <c r="AG1188" i="2"/>
  <c r="AG1187" i="2"/>
  <c r="AG1186" i="2"/>
  <c r="AG1185" i="2"/>
  <c r="AG1184" i="2"/>
  <c r="AG1183" i="2"/>
  <c r="AG1182" i="2"/>
  <c r="AG1181" i="2"/>
  <c r="AG1180" i="2"/>
  <c r="AG1179" i="2"/>
  <c r="AG1178" i="2"/>
  <c r="AG1177" i="2"/>
  <c r="AG1176" i="2"/>
  <c r="AG1175" i="2"/>
  <c r="AG1174" i="2"/>
  <c r="AG1173" i="2"/>
  <c r="AG1172" i="2"/>
  <c r="AG1171" i="2"/>
  <c r="AG1170" i="2"/>
  <c r="AG1169" i="2"/>
  <c r="AG1168" i="2"/>
  <c r="AG1167" i="2"/>
  <c r="AG1166" i="2"/>
  <c r="AG1165" i="2"/>
  <c r="AG1164" i="2"/>
  <c r="AG1163" i="2"/>
  <c r="AG1162" i="2"/>
  <c r="AG1161" i="2"/>
  <c r="AG1160" i="2"/>
  <c r="AG1159" i="2"/>
  <c r="AG1158" i="2"/>
  <c r="AG1157" i="2"/>
  <c r="AG1156" i="2"/>
  <c r="AG1155" i="2"/>
  <c r="AG1154" i="2"/>
  <c r="AG1153" i="2"/>
  <c r="AG1152" i="2"/>
  <c r="AG1151" i="2"/>
  <c r="AG1150" i="2"/>
  <c r="AG1149" i="2"/>
  <c r="AG1148" i="2"/>
  <c r="AG1147" i="2"/>
  <c r="AG1146" i="2"/>
  <c r="AG1145" i="2"/>
  <c r="AG1144" i="2"/>
  <c r="AG1143" i="2"/>
  <c r="AG1142" i="2"/>
  <c r="AG1141" i="2"/>
  <c r="AG1140" i="2"/>
  <c r="AG1139" i="2"/>
  <c r="AG1138" i="2"/>
  <c r="AG1137" i="2"/>
  <c r="AG1136" i="2"/>
  <c r="AG1135" i="2"/>
  <c r="AG1134" i="2"/>
  <c r="AG1133" i="2"/>
  <c r="AG1132" i="2"/>
  <c r="AG1131" i="2"/>
  <c r="AG1130" i="2"/>
  <c r="AG1129" i="2"/>
  <c r="AG1128" i="2"/>
  <c r="AG1127" i="2"/>
  <c r="AG1126" i="2"/>
  <c r="AG1125" i="2"/>
  <c r="AG1124" i="2"/>
  <c r="AG1123" i="2"/>
  <c r="AG1122" i="2"/>
  <c r="AG1121" i="2"/>
  <c r="AG1120" i="2"/>
  <c r="AG1119" i="2"/>
  <c r="AG1118" i="2"/>
  <c r="AG1117" i="2"/>
  <c r="AG1116" i="2"/>
  <c r="AG1115" i="2"/>
  <c r="AG1114" i="2"/>
  <c r="AG1113" i="2"/>
  <c r="AG1112" i="2"/>
  <c r="AG1111" i="2"/>
  <c r="AG1110" i="2"/>
  <c r="AG1109" i="2"/>
  <c r="AG1108" i="2"/>
  <c r="AG1107" i="2"/>
  <c r="AG1106" i="2"/>
  <c r="AG1105" i="2"/>
  <c r="AG1104" i="2"/>
  <c r="AG1103" i="2"/>
  <c r="AG1102" i="2"/>
  <c r="AG1101" i="2"/>
  <c r="AG1100" i="2"/>
  <c r="AG1099" i="2"/>
  <c r="AG1098" i="2"/>
  <c r="AG1097" i="2"/>
  <c r="AG1096" i="2"/>
  <c r="AG1095" i="2"/>
  <c r="AG1094" i="2"/>
  <c r="AG1093" i="2"/>
  <c r="AG1092" i="2"/>
  <c r="AG1091" i="2"/>
  <c r="AG1090" i="2"/>
  <c r="AG1089" i="2"/>
  <c r="AG1088" i="2"/>
  <c r="AG1087" i="2"/>
  <c r="AG1086" i="2"/>
  <c r="AG1085" i="2"/>
  <c r="AG1084" i="2"/>
  <c r="AG1083" i="2"/>
  <c r="AG1082" i="2"/>
  <c r="AG1081" i="2"/>
  <c r="AG1080" i="2"/>
  <c r="AG1079" i="2"/>
  <c r="AG1078" i="2"/>
  <c r="AG1077" i="2"/>
  <c r="AG1076" i="2"/>
  <c r="AG1075" i="2"/>
  <c r="AG1074" i="2"/>
  <c r="AG1073" i="2"/>
  <c r="AG1072" i="2"/>
  <c r="AG1071" i="2"/>
  <c r="AG1070" i="2"/>
  <c r="AG1069" i="2"/>
  <c r="AG1068" i="2"/>
  <c r="AG1067" i="2"/>
  <c r="AG1066" i="2"/>
  <c r="AG1065" i="2"/>
  <c r="AG1064" i="2"/>
  <c r="AG1063" i="2"/>
  <c r="AG1062" i="2"/>
  <c r="AG1061" i="2"/>
  <c r="AG1060" i="2"/>
  <c r="AG1059" i="2"/>
  <c r="AG1058" i="2"/>
  <c r="AG1057" i="2"/>
  <c r="AG1056" i="2"/>
  <c r="AG1055" i="2"/>
  <c r="AG1054" i="2"/>
  <c r="AG1053" i="2"/>
  <c r="AG1052" i="2"/>
  <c r="AG1051" i="2"/>
  <c r="AG1050" i="2"/>
  <c r="AG1049" i="2"/>
  <c r="AG1048" i="2"/>
  <c r="AG1047" i="2"/>
  <c r="AG1046" i="2"/>
  <c r="AG1045" i="2"/>
  <c r="AG1044" i="2"/>
  <c r="AG1043" i="2"/>
  <c r="AG1042" i="2"/>
  <c r="AG1041" i="2"/>
  <c r="AG1040" i="2"/>
  <c r="AG1039" i="2"/>
  <c r="AG1038" i="2"/>
  <c r="AG1037" i="2"/>
  <c r="AG1036" i="2"/>
  <c r="AG1035" i="2"/>
  <c r="AG1034" i="2"/>
  <c r="AG1033" i="2"/>
  <c r="AG1032" i="2"/>
  <c r="AG1031" i="2"/>
  <c r="AG1030" i="2"/>
  <c r="AG1029" i="2"/>
  <c r="AG1028" i="2"/>
  <c r="AG1027" i="2"/>
  <c r="AG1026" i="2"/>
  <c r="AG1025" i="2"/>
  <c r="AG1024" i="2"/>
  <c r="AG1023" i="2"/>
  <c r="AG1022" i="2"/>
  <c r="AG1021" i="2"/>
  <c r="AG1020" i="2"/>
  <c r="AG1019" i="2"/>
  <c r="AG1018" i="2"/>
  <c r="AG1017" i="2"/>
  <c r="AG1016" i="2"/>
  <c r="AG1015" i="2"/>
  <c r="AG1014" i="2"/>
  <c r="AG1013" i="2"/>
  <c r="AG1012" i="2"/>
  <c r="AG1011" i="2"/>
  <c r="AG1010" i="2"/>
  <c r="AG1009" i="2"/>
  <c r="AG1008" i="2"/>
  <c r="AG1007" i="2"/>
  <c r="AG1006" i="2"/>
  <c r="AG1005" i="2"/>
  <c r="AG1004" i="2"/>
  <c r="AG1003" i="2"/>
  <c r="AG1002" i="2"/>
  <c r="AG1001" i="2"/>
  <c r="AG1000" i="2"/>
  <c r="AG999" i="2"/>
  <c r="AG998" i="2"/>
  <c r="AG997" i="2"/>
  <c r="AG996" i="2"/>
  <c r="AG995" i="2"/>
  <c r="AG994" i="2"/>
  <c r="AG993" i="2"/>
  <c r="AG992" i="2"/>
  <c r="AG991" i="2"/>
  <c r="AG990" i="2"/>
  <c r="AG989" i="2"/>
  <c r="AG988" i="2"/>
  <c r="AG987" i="2"/>
  <c r="AG986" i="2"/>
  <c r="AG985" i="2"/>
  <c r="AG984" i="2"/>
  <c r="AG983" i="2"/>
  <c r="AG982" i="2"/>
  <c r="AG981" i="2"/>
  <c r="AG980" i="2"/>
  <c r="AG979" i="2"/>
  <c r="AG978" i="2"/>
  <c r="AG977" i="2"/>
  <c r="AG976" i="2"/>
  <c r="AG975" i="2"/>
  <c r="AG974" i="2"/>
  <c r="AG973" i="2"/>
  <c r="AG972" i="2"/>
  <c r="AG971" i="2"/>
  <c r="AG970" i="2"/>
  <c r="AG969" i="2"/>
  <c r="AG968" i="2"/>
  <c r="AG967" i="2"/>
  <c r="AG966" i="2"/>
  <c r="AG965" i="2"/>
  <c r="AG964" i="2"/>
  <c r="AG963" i="2"/>
  <c r="AG962" i="2"/>
  <c r="AG961" i="2"/>
  <c r="AG960" i="2"/>
  <c r="AG959" i="2"/>
  <c r="AG958" i="2"/>
  <c r="AG957" i="2"/>
  <c r="AG956" i="2"/>
  <c r="AG955" i="2"/>
  <c r="AG954" i="2"/>
  <c r="AG953" i="2"/>
  <c r="AG952" i="2"/>
  <c r="AG951" i="2"/>
  <c r="AG950" i="2"/>
  <c r="AG949" i="2"/>
  <c r="AG948" i="2"/>
  <c r="AG947" i="2"/>
  <c r="AG946" i="2"/>
  <c r="AG945" i="2"/>
  <c r="AG944" i="2"/>
  <c r="AG943" i="2"/>
  <c r="AG942" i="2"/>
  <c r="AG941" i="2"/>
  <c r="AG940" i="2"/>
  <c r="AG939" i="2"/>
  <c r="AG938" i="2"/>
  <c r="AG937" i="2"/>
  <c r="AG936" i="2"/>
  <c r="AG935" i="2"/>
  <c r="AG934" i="2"/>
  <c r="AG933" i="2"/>
  <c r="AG932" i="2"/>
  <c r="AG931" i="2"/>
  <c r="AG930" i="2"/>
  <c r="AG929" i="2"/>
  <c r="AG928" i="2"/>
  <c r="AG927" i="2"/>
  <c r="AG926" i="2"/>
  <c r="AG925" i="2"/>
  <c r="AG924" i="2"/>
  <c r="AG923" i="2"/>
  <c r="AG922" i="2"/>
  <c r="AG921" i="2"/>
  <c r="AG920" i="2"/>
  <c r="AG919" i="2"/>
  <c r="AG918" i="2"/>
  <c r="AG917" i="2"/>
  <c r="AG916" i="2"/>
  <c r="AG915" i="2"/>
  <c r="AG914" i="2"/>
  <c r="AG913" i="2"/>
  <c r="AG912" i="2"/>
  <c r="AG911" i="2"/>
  <c r="AG910" i="2"/>
  <c r="AG909" i="2"/>
  <c r="AG908" i="2"/>
  <c r="AG907" i="2"/>
  <c r="AG906" i="2"/>
  <c r="AG905" i="2"/>
  <c r="AG904" i="2"/>
  <c r="AG903" i="2"/>
  <c r="AG902" i="2"/>
  <c r="AG901" i="2"/>
  <c r="AG900" i="2"/>
  <c r="AG899" i="2"/>
  <c r="AG898" i="2"/>
  <c r="AG897" i="2"/>
  <c r="AG896" i="2"/>
  <c r="AG895" i="2"/>
  <c r="AG894" i="2"/>
  <c r="AG893" i="2"/>
  <c r="AG892" i="2"/>
  <c r="AG891" i="2"/>
  <c r="AG890" i="2"/>
  <c r="AG889" i="2"/>
  <c r="AG888" i="2"/>
  <c r="AG887" i="2"/>
  <c r="AG886" i="2"/>
  <c r="AG885" i="2"/>
  <c r="AG884" i="2"/>
  <c r="AG883" i="2"/>
  <c r="AG882" i="2"/>
  <c r="AG881" i="2"/>
  <c r="AG880" i="2"/>
  <c r="AG879" i="2"/>
  <c r="AG878" i="2"/>
  <c r="AG877" i="2"/>
  <c r="AG876" i="2"/>
  <c r="AG875" i="2"/>
  <c r="AG874" i="2"/>
  <c r="AG873" i="2"/>
  <c r="AG872" i="2"/>
  <c r="AG871" i="2"/>
  <c r="AG870" i="2"/>
  <c r="AG869" i="2"/>
  <c r="AG868" i="2"/>
  <c r="AG867" i="2"/>
  <c r="AG866" i="2"/>
  <c r="AG865" i="2"/>
  <c r="AG864" i="2"/>
  <c r="AG863" i="2"/>
  <c r="AG862" i="2"/>
  <c r="AG861" i="2"/>
  <c r="AG860" i="2"/>
  <c r="AG859" i="2"/>
  <c r="AG858" i="2"/>
  <c r="AG857" i="2"/>
  <c r="AG856" i="2"/>
  <c r="AG855" i="2"/>
  <c r="AG854" i="2"/>
  <c r="AG853" i="2"/>
  <c r="AG852" i="2"/>
  <c r="AG851" i="2"/>
  <c r="AG850" i="2"/>
  <c r="AG849" i="2"/>
  <c r="AG848" i="2"/>
  <c r="AG847" i="2"/>
  <c r="AG846" i="2"/>
  <c r="AG845" i="2"/>
  <c r="AG844" i="2"/>
  <c r="AG843" i="2"/>
  <c r="AG842" i="2"/>
  <c r="AG841" i="2"/>
  <c r="AG840" i="2"/>
  <c r="AG839" i="2"/>
  <c r="AG838" i="2"/>
  <c r="AG837" i="2"/>
  <c r="AG836" i="2"/>
  <c r="AG835" i="2"/>
  <c r="AG834" i="2"/>
  <c r="AG833" i="2"/>
  <c r="AG832" i="2"/>
  <c r="AG831" i="2"/>
  <c r="AG830" i="2"/>
  <c r="AG829" i="2"/>
  <c r="AG828" i="2"/>
  <c r="AG827" i="2"/>
  <c r="AG826" i="2"/>
  <c r="AG825" i="2"/>
  <c r="AG824" i="2"/>
  <c r="AG823" i="2"/>
  <c r="AG822" i="2"/>
  <c r="AG821" i="2"/>
  <c r="AG820" i="2"/>
  <c r="AG819" i="2"/>
  <c r="AG818" i="2"/>
  <c r="AG817" i="2"/>
  <c r="AG816" i="2"/>
  <c r="AG815" i="2"/>
  <c r="AG814" i="2"/>
  <c r="AG813" i="2"/>
  <c r="AG812" i="2"/>
  <c r="AG811" i="2"/>
  <c r="AG810" i="2"/>
  <c r="AG809" i="2"/>
  <c r="AG808" i="2"/>
  <c r="AG807" i="2"/>
  <c r="AG806" i="2"/>
  <c r="AG805" i="2"/>
  <c r="AG804" i="2"/>
  <c r="AG803" i="2"/>
  <c r="AG802" i="2"/>
  <c r="AG801" i="2"/>
  <c r="AG800" i="2"/>
  <c r="AG799" i="2"/>
  <c r="AG798" i="2"/>
  <c r="AG797" i="2"/>
  <c r="AG796" i="2"/>
  <c r="AG795" i="2"/>
  <c r="AG794" i="2"/>
  <c r="AG793" i="2"/>
  <c r="AG792" i="2"/>
  <c r="AG791" i="2"/>
  <c r="AG790" i="2"/>
  <c r="AG789" i="2"/>
  <c r="AG788" i="2"/>
  <c r="AO787" i="2"/>
  <c r="AG787" i="2"/>
  <c r="AO786" i="2"/>
  <c r="AG786" i="2"/>
  <c r="AO785" i="2"/>
  <c r="AG785" i="2"/>
  <c r="AO784" i="2"/>
  <c r="AG784" i="2"/>
  <c r="AO783" i="2"/>
  <c r="AG783" i="2"/>
  <c r="AO782" i="2"/>
  <c r="AG782" i="2"/>
  <c r="AO781" i="2"/>
  <c r="AG781" i="2"/>
  <c r="AO780" i="2"/>
  <c r="AG780" i="2"/>
  <c r="AO779" i="2"/>
  <c r="AG779" i="2"/>
  <c r="AO778" i="2"/>
  <c r="AG778" i="2"/>
  <c r="AO777" i="2"/>
  <c r="AG777" i="2"/>
  <c r="AO776" i="2"/>
  <c r="AG776" i="2"/>
  <c r="AO775" i="2"/>
  <c r="AG775" i="2"/>
  <c r="AO774" i="2"/>
  <c r="AG774" i="2"/>
  <c r="AO773" i="2"/>
  <c r="AG773" i="2"/>
  <c r="AO772" i="2"/>
  <c r="AG772" i="2"/>
  <c r="AO771" i="2"/>
  <c r="AG771" i="2"/>
  <c r="AO770" i="2"/>
  <c r="AG770" i="2"/>
  <c r="AO769" i="2"/>
  <c r="AG769" i="2"/>
  <c r="AO768" i="2"/>
  <c r="AG768" i="2"/>
  <c r="AO767" i="2"/>
  <c r="AG767" i="2"/>
  <c r="AO766" i="2"/>
  <c r="AG766" i="2"/>
  <c r="AO765" i="2"/>
  <c r="AG765" i="2"/>
  <c r="AO764" i="2"/>
  <c r="AG764" i="2"/>
  <c r="AO763" i="2"/>
  <c r="AG763" i="2"/>
  <c r="AO762" i="2"/>
  <c r="AG762" i="2"/>
  <c r="AO761" i="2"/>
  <c r="AG761" i="2"/>
  <c r="AO760" i="2"/>
  <c r="AG760" i="2"/>
  <c r="AO759" i="2"/>
  <c r="AG759" i="2"/>
  <c r="AO758" i="2"/>
  <c r="AG758" i="2"/>
  <c r="AO757" i="2"/>
  <c r="AG757" i="2"/>
  <c r="AO756" i="2"/>
  <c r="AG756" i="2"/>
  <c r="AO755" i="2"/>
  <c r="AG755" i="2"/>
  <c r="AO754" i="2"/>
  <c r="AG754" i="2"/>
  <c r="AO753" i="2"/>
  <c r="AG753" i="2"/>
  <c r="AO752" i="2"/>
  <c r="AG752" i="2"/>
  <c r="AO751" i="2"/>
  <c r="AG751" i="2"/>
  <c r="AO750" i="2"/>
  <c r="AG750" i="2"/>
  <c r="AO749" i="2"/>
  <c r="AG749" i="2"/>
  <c r="AO748" i="2"/>
  <c r="AG748" i="2"/>
  <c r="AO747" i="2"/>
  <c r="AG747" i="2"/>
  <c r="AO746" i="2"/>
  <c r="AG746" i="2"/>
  <c r="AO745" i="2"/>
  <c r="AG745" i="2"/>
  <c r="AO744" i="2"/>
  <c r="AG744" i="2"/>
  <c r="AO743" i="2"/>
  <c r="AG743" i="2"/>
  <c r="AO742" i="2"/>
  <c r="AG742" i="2"/>
  <c r="AO741" i="2"/>
  <c r="AG741" i="2"/>
  <c r="AO740" i="2"/>
  <c r="AG740" i="2"/>
  <c r="AO739" i="2"/>
  <c r="AG739" i="2"/>
  <c r="AO738" i="2"/>
  <c r="AG738" i="2"/>
  <c r="AO737" i="2"/>
  <c r="AG737" i="2"/>
  <c r="AO736" i="2"/>
  <c r="AG736" i="2"/>
  <c r="AO735" i="2"/>
  <c r="AG735" i="2"/>
  <c r="AO734" i="2"/>
  <c r="AG734" i="2"/>
  <c r="AO733" i="2"/>
  <c r="AG733" i="2"/>
  <c r="AO732" i="2"/>
  <c r="AG732" i="2"/>
  <c r="AO731" i="2"/>
  <c r="AG731" i="2"/>
  <c r="AO730" i="2"/>
  <c r="AG730" i="2"/>
  <c r="AO729" i="2"/>
  <c r="AG729" i="2"/>
  <c r="AO728" i="2"/>
  <c r="AG728" i="2"/>
  <c r="AO727" i="2"/>
  <c r="AG727" i="2"/>
  <c r="AO726" i="2"/>
  <c r="AG726" i="2"/>
  <c r="AO725" i="2"/>
  <c r="AG725" i="2"/>
  <c r="AO724" i="2"/>
  <c r="AG724" i="2"/>
  <c r="AO723" i="2"/>
  <c r="AG723" i="2"/>
  <c r="AO722" i="2"/>
  <c r="AG722" i="2"/>
  <c r="AO721" i="2"/>
  <c r="AG721" i="2"/>
  <c r="AO720" i="2"/>
  <c r="AG720" i="2"/>
  <c r="AO719" i="2"/>
  <c r="AG719" i="2"/>
  <c r="AO718" i="2"/>
  <c r="AG718" i="2"/>
  <c r="AO717" i="2"/>
  <c r="AG717" i="2"/>
  <c r="AO716" i="2"/>
  <c r="AG716" i="2"/>
  <c r="AO715" i="2"/>
  <c r="AG715" i="2"/>
  <c r="AO714" i="2"/>
  <c r="AG714" i="2"/>
  <c r="AO713" i="2"/>
  <c r="AG713" i="2"/>
  <c r="AO712" i="2"/>
  <c r="AG712" i="2"/>
  <c r="AO711" i="2"/>
  <c r="AG711" i="2"/>
  <c r="AO710" i="2"/>
  <c r="AG710" i="2"/>
  <c r="AO709" i="2"/>
  <c r="AG709" i="2"/>
  <c r="AO708" i="2"/>
  <c r="AG708" i="2"/>
  <c r="AO707" i="2"/>
  <c r="AG707" i="2"/>
  <c r="AO706" i="2"/>
  <c r="AG706" i="2"/>
  <c r="AO705" i="2"/>
  <c r="AG705" i="2"/>
  <c r="AO704" i="2"/>
  <c r="AG704" i="2"/>
  <c r="AO703" i="2"/>
  <c r="AG703" i="2"/>
  <c r="AO702" i="2"/>
  <c r="AG702" i="2"/>
  <c r="AO701" i="2"/>
  <c r="AG701" i="2"/>
  <c r="AO700" i="2"/>
  <c r="AG700" i="2"/>
  <c r="AO699" i="2"/>
  <c r="AG699" i="2"/>
  <c r="AO698" i="2"/>
  <c r="AG698" i="2"/>
  <c r="AO697" i="2"/>
  <c r="AG697" i="2"/>
  <c r="AO696" i="2"/>
  <c r="AG696" i="2"/>
  <c r="AO695" i="2"/>
  <c r="AG695" i="2"/>
  <c r="AO694" i="2"/>
  <c r="AG694" i="2"/>
  <c r="AO693" i="2"/>
  <c r="AG693" i="2"/>
  <c r="AO692" i="2"/>
  <c r="AG692" i="2"/>
  <c r="AO691" i="2"/>
  <c r="AG691" i="2"/>
  <c r="AO690" i="2"/>
  <c r="AG690" i="2"/>
  <c r="AO689" i="2"/>
  <c r="AG689" i="2"/>
  <c r="AO688" i="2"/>
  <c r="AG688" i="2"/>
  <c r="AO687" i="2"/>
  <c r="AG687" i="2"/>
  <c r="AO686" i="2"/>
  <c r="AG686" i="2"/>
  <c r="AO685" i="2"/>
  <c r="AG685" i="2"/>
  <c r="AO684" i="2"/>
  <c r="AG684" i="2"/>
  <c r="AO683" i="2"/>
  <c r="AG683" i="2"/>
  <c r="AO682" i="2"/>
  <c r="AG682" i="2"/>
  <c r="AO681" i="2"/>
  <c r="AG681" i="2"/>
  <c r="AO680" i="2"/>
  <c r="AG680" i="2"/>
  <c r="AO679" i="2"/>
  <c r="AG679" i="2"/>
  <c r="AO678" i="2"/>
  <c r="AG678" i="2"/>
  <c r="AO677" i="2"/>
  <c r="AG677" i="2"/>
  <c r="AO676" i="2"/>
  <c r="AG676" i="2"/>
  <c r="AO675" i="2"/>
  <c r="AG675" i="2"/>
  <c r="AO674" i="2"/>
  <c r="AG674" i="2"/>
  <c r="AO673" i="2"/>
  <c r="AG673" i="2"/>
  <c r="AO672" i="2"/>
  <c r="AG672" i="2"/>
  <c r="AO671" i="2"/>
  <c r="AG671" i="2"/>
  <c r="AO670" i="2"/>
  <c r="AG670" i="2"/>
  <c r="AO669" i="2"/>
  <c r="AG669" i="2"/>
  <c r="AO668" i="2"/>
  <c r="AG668" i="2"/>
  <c r="AO667" i="2"/>
  <c r="AG667" i="2"/>
  <c r="AO666" i="2"/>
  <c r="AG666" i="2"/>
  <c r="AO665" i="2"/>
  <c r="AG665" i="2"/>
  <c r="AO664" i="2"/>
  <c r="AG664" i="2"/>
  <c r="AO663" i="2"/>
  <c r="AG663" i="2"/>
  <c r="AO662" i="2"/>
  <c r="AG662" i="2"/>
  <c r="AO661" i="2"/>
  <c r="AG661" i="2"/>
  <c r="AO660" i="2"/>
  <c r="AG660" i="2"/>
  <c r="AO659" i="2"/>
  <c r="AG659" i="2"/>
  <c r="AO658" i="2"/>
  <c r="AG658" i="2"/>
  <c r="AO657" i="2"/>
  <c r="AG657" i="2"/>
  <c r="AO656" i="2"/>
  <c r="AG656" i="2"/>
  <c r="AO655" i="2"/>
  <c r="AG655" i="2"/>
  <c r="AO654" i="2"/>
  <c r="AG654" i="2"/>
  <c r="AO653" i="2"/>
  <c r="AG653" i="2"/>
  <c r="AO652" i="2"/>
  <c r="AG652" i="2"/>
  <c r="AO651" i="2"/>
  <c r="AG651" i="2"/>
  <c r="AO650" i="2"/>
  <c r="AG650" i="2"/>
  <c r="AO649" i="2"/>
  <c r="AG649" i="2"/>
  <c r="AO648" i="2"/>
  <c r="AG648" i="2"/>
  <c r="AO647" i="2"/>
  <c r="AG647" i="2"/>
  <c r="AO646" i="2"/>
  <c r="AG646" i="2"/>
  <c r="AO645" i="2"/>
  <c r="AG645" i="2"/>
  <c r="AO644" i="2"/>
  <c r="AG644" i="2"/>
  <c r="AO643" i="2"/>
  <c r="AG643" i="2"/>
  <c r="AO642" i="2"/>
  <c r="AG642" i="2"/>
  <c r="AO641" i="2"/>
  <c r="AG641" i="2"/>
  <c r="AO640" i="2"/>
  <c r="AG640" i="2"/>
  <c r="AO639" i="2"/>
  <c r="AG639" i="2"/>
  <c r="AO638" i="2"/>
  <c r="AG638" i="2"/>
  <c r="AO637" i="2"/>
  <c r="AG637" i="2"/>
  <c r="AO636" i="2"/>
  <c r="AG636" i="2"/>
  <c r="AO635" i="2"/>
  <c r="AG635" i="2"/>
  <c r="AO634" i="2"/>
  <c r="AG634" i="2"/>
  <c r="AO633" i="2"/>
  <c r="AG633" i="2"/>
  <c r="AO632" i="2"/>
  <c r="AG632" i="2"/>
  <c r="AO631" i="2"/>
  <c r="AG631" i="2"/>
  <c r="AO630" i="2"/>
  <c r="AG630" i="2"/>
  <c r="AO629" i="2"/>
  <c r="AG629" i="2"/>
  <c r="AO628" i="2"/>
  <c r="AG628" i="2"/>
  <c r="AO627" i="2"/>
  <c r="AG627" i="2"/>
  <c r="AO626" i="2"/>
  <c r="AG626" i="2"/>
  <c r="AO625" i="2"/>
  <c r="AG625" i="2"/>
  <c r="AO624" i="2"/>
  <c r="AG624" i="2"/>
  <c r="AO623" i="2"/>
  <c r="AG623" i="2"/>
  <c r="AO622" i="2"/>
  <c r="AG622" i="2"/>
  <c r="AO621" i="2"/>
  <c r="AG621" i="2"/>
  <c r="AO620" i="2"/>
  <c r="AG620" i="2"/>
  <c r="AO619" i="2"/>
  <c r="AG619" i="2"/>
  <c r="AO618" i="2"/>
  <c r="AG618" i="2"/>
  <c r="AO617" i="2"/>
  <c r="AG617" i="2"/>
  <c r="AO616" i="2"/>
  <c r="AG616" i="2"/>
  <c r="AO615" i="2"/>
  <c r="AG615" i="2"/>
  <c r="AO614" i="2"/>
  <c r="AG614" i="2"/>
  <c r="AO613" i="2"/>
  <c r="AG613" i="2"/>
  <c r="AO612" i="2"/>
  <c r="AG612" i="2"/>
  <c r="AO611" i="2"/>
  <c r="AG611" i="2"/>
  <c r="AO610" i="2"/>
  <c r="AG610" i="2"/>
  <c r="AO609" i="2"/>
  <c r="AG609" i="2"/>
  <c r="AO608" i="2"/>
  <c r="AG608" i="2"/>
  <c r="AO607" i="2"/>
  <c r="AG607" i="2"/>
  <c r="AO606" i="2"/>
  <c r="AG606" i="2"/>
  <c r="AO605" i="2"/>
  <c r="AG605" i="2"/>
  <c r="AO604" i="2"/>
  <c r="AG604" i="2"/>
  <c r="AO603" i="2"/>
  <c r="AG603" i="2"/>
  <c r="AO602" i="2"/>
  <c r="AG602" i="2"/>
  <c r="AO601" i="2"/>
  <c r="AG601" i="2"/>
  <c r="AO600" i="2"/>
  <c r="AG600" i="2"/>
  <c r="AO599" i="2"/>
  <c r="AG599" i="2"/>
  <c r="AO598" i="2"/>
  <c r="AG598" i="2"/>
  <c r="AO597" i="2"/>
  <c r="AG597" i="2"/>
  <c r="AO596" i="2"/>
  <c r="AG596" i="2"/>
  <c r="AO595" i="2"/>
  <c r="AG595" i="2"/>
  <c r="AO594" i="2"/>
  <c r="AG594" i="2"/>
  <c r="AO593" i="2"/>
  <c r="AG593" i="2"/>
  <c r="AO592" i="2"/>
  <c r="AG592" i="2"/>
  <c r="AO591" i="2"/>
  <c r="AG591" i="2"/>
  <c r="AO590" i="2"/>
  <c r="AG590" i="2"/>
  <c r="AO589" i="2"/>
  <c r="AG589" i="2"/>
  <c r="AO588" i="2"/>
  <c r="AG588" i="2"/>
  <c r="AO587" i="2"/>
  <c r="AG587" i="2"/>
  <c r="AO586" i="2"/>
  <c r="AG586" i="2"/>
  <c r="AO585" i="2"/>
  <c r="AG585" i="2"/>
  <c r="AO584" i="2"/>
  <c r="AG584" i="2"/>
  <c r="AO583" i="2"/>
  <c r="AG583" i="2"/>
  <c r="AO582" i="2"/>
  <c r="AG582" i="2"/>
  <c r="AO581" i="2"/>
  <c r="AG581" i="2"/>
  <c r="AO580" i="2"/>
  <c r="AG580" i="2"/>
  <c r="AO579" i="2"/>
  <c r="AG579" i="2"/>
  <c r="AO578" i="2"/>
  <c r="AG578" i="2"/>
  <c r="AO577" i="2"/>
  <c r="AG577" i="2"/>
  <c r="AO576" i="2"/>
  <c r="AG576" i="2"/>
  <c r="AO575" i="2"/>
  <c r="AG575" i="2"/>
  <c r="AO574" i="2"/>
  <c r="AG574" i="2"/>
  <c r="AO573" i="2"/>
  <c r="AG573" i="2"/>
  <c r="AO572" i="2"/>
  <c r="AG572" i="2"/>
  <c r="AO571" i="2"/>
  <c r="AG571" i="2"/>
  <c r="AO570" i="2"/>
  <c r="AG570" i="2"/>
  <c r="AO569" i="2"/>
  <c r="AG569" i="2"/>
  <c r="AO568" i="2"/>
  <c r="AG568" i="2"/>
  <c r="AO567" i="2"/>
  <c r="AG567" i="2"/>
  <c r="AO566" i="2"/>
  <c r="AG566" i="2"/>
  <c r="AO565" i="2"/>
  <c r="AG565" i="2"/>
  <c r="AO564" i="2"/>
  <c r="AG564" i="2"/>
  <c r="AO563" i="2"/>
  <c r="AG563" i="2"/>
  <c r="AO562" i="2"/>
  <c r="AG562" i="2"/>
  <c r="AO561" i="2"/>
  <c r="AG561" i="2"/>
  <c r="AO560" i="2"/>
  <c r="AG560" i="2"/>
  <c r="AO559" i="2"/>
  <c r="AG559" i="2"/>
  <c r="AO558" i="2"/>
  <c r="AG558" i="2"/>
  <c r="AO557" i="2"/>
  <c r="AG557" i="2"/>
  <c r="AO556" i="2"/>
  <c r="AG556" i="2"/>
  <c r="AO555" i="2"/>
  <c r="AG555" i="2"/>
  <c r="AO554" i="2"/>
  <c r="AG554" i="2"/>
  <c r="AO553" i="2"/>
  <c r="AG553" i="2"/>
  <c r="AO552" i="2"/>
  <c r="AG552" i="2"/>
  <c r="AO551" i="2"/>
  <c r="AG551" i="2"/>
  <c r="AO550" i="2"/>
  <c r="AG550" i="2"/>
  <c r="AO549" i="2"/>
  <c r="AG549" i="2"/>
  <c r="AO548" i="2"/>
  <c r="AG548" i="2"/>
  <c r="AO547" i="2"/>
  <c r="AG547" i="2"/>
  <c r="AO546" i="2"/>
  <c r="AG546" i="2"/>
  <c r="AO545" i="2"/>
  <c r="AG545" i="2"/>
  <c r="AO544" i="2"/>
  <c r="AG544" i="2"/>
  <c r="AO543" i="2"/>
  <c r="AG543" i="2"/>
  <c r="AO542" i="2"/>
  <c r="AG542" i="2"/>
  <c r="AO541" i="2"/>
  <c r="AG541" i="2"/>
  <c r="AO540" i="2"/>
  <c r="AG540" i="2"/>
  <c r="AO539" i="2"/>
  <c r="AG539" i="2"/>
  <c r="AO538" i="2"/>
  <c r="AG538" i="2"/>
  <c r="AO537" i="2"/>
  <c r="AG537" i="2"/>
  <c r="AO536" i="2"/>
  <c r="AG536" i="2"/>
  <c r="AO535" i="2"/>
  <c r="AG535" i="2"/>
  <c r="AO534" i="2"/>
  <c r="AG534" i="2"/>
  <c r="AO533" i="2"/>
  <c r="AG533" i="2"/>
  <c r="AO532" i="2"/>
  <c r="AG532" i="2"/>
  <c r="AO531" i="2"/>
  <c r="AG531" i="2"/>
  <c r="AO530" i="2"/>
  <c r="AG530" i="2"/>
  <c r="AO529" i="2"/>
  <c r="AG529" i="2"/>
  <c r="AO528" i="2"/>
  <c r="AG528" i="2"/>
  <c r="AO527" i="2"/>
  <c r="AG527" i="2"/>
  <c r="AO526" i="2"/>
  <c r="AG526" i="2"/>
  <c r="AO525" i="2"/>
  <c r="AG525" i="2"/>
  <c r="AO524" i="2"/>
  <c r="AG524" i="2"/>
  <c r="AO523" i="2"/>
  <c r="AG523" i="2"/>
  <c r="AO522" i="2"/>
  <c r="AG522" i="2"/>
  <c r="AO521" i="2"/>
  <c r="AG521" i="2"/>
  <c r="AO520" i="2"/>
  <c r="AG520" i="2"/>
  <c r="AO519" i="2"/>
  <c r="AG519" i="2"/>
  <c r="AO518" i="2"/>
  <c r="AG518" i="2"/>
  <c r="AO517" i="2"/>
  <c r="AG517" i="2"/>
  <c r="AO516" i="2"/>
  <c r="AG516" i="2"/>
  <c r="AO515" i="2"/>
  <c r="AG515" i="2"/>
  <c r="AO514" i="2"/>
  <c r="AG514" i="2"/>
  <c r="AO513" i="2"/>
  <c r="AG513" i="2"/>
  <c r="AO512" i="2"/>
  <c r="AG512" i="2"/>
  <c r="AO511" i="2"/>
  <c r="AG511" i="2"/>
  <c r="AO510" i="2"/>
  <c r="AG510" i="2"/>
  <c r="AO509" i="2"/>
  <c r="AG509" i="2"/>
  <c r="AO508" i="2"/>
  <c r="AG508" i="2"/>
  <c r="AO507" i="2"/>
  <c r="AG507" i="2"/>
  <c r="AO506" i="2"/>
  <c r="AG506" i="2"/>
  <c r="AO505" i="2"/>
  <c r="AG505" i="2"/>
  <c r="AO504" i="2"/>
  <c r="AG504" i="2"/>
  <c r="AO503" i="2"/>
  <c r="AG503" i="2"/>
  <c r="AO502" i="2"/>
  <c r="AG502" i="2"/>
  <c r="AO501" i="2"/>
  <c r="AG501" i="2"/>
  <c r="AO500" i="2"/>
  <c r="AG500" i="2"/>
  <c r="AO499" i="2"/>
  <c r="AG499" i="2"/>
  <c r="AO498" i="2"/>
  <c r="AG498" i="2"/>
  <c r="AO497" i="2"/>
  <c r="AG497" i="2"/>
  <c r="AO496" i="2"/>
  <c r="AG496" i="2"/>
  <c r="AO495" i="2"/>
  <c r="AG495" i="2"/>
  <c r="AC495" i="2"/>
  <c r="AO494" i="2"/>
  <c r="AG494" i="2"/>
  <c r="AC494" i="2"/>
  <c r="AO493" i="2"/>
  <c r="AG493" i="2"/>
  <c r="AC493" i="2"/>
  <c r="AO492" i="2"/>
  <c r="AG492" i="2"/>
  <c r="AC492" i="2"/>
  <c r="AO491" i="2"/>
  <c r="AG491" i="2"/>
  <c r="AC491" i="2"/>
  <c r="AO490" i="2"/>
  <c r="AG490" i="2"/>
  <c r="AC490" i="2"/>
  <c r="AO489" i="2"/>
  <c r="AG489" i="2"/>
  <c r="AC489" i="2"/>
  <c r="AO488" i="2"/>
  <c r="AG488" i="2"/>
  <c r="AC488" i="2"/>
  <c r="AO487" i="2"/>
  <c r="AG487" i="2"/>
  <c r="AC487" i="2"/>
  <c r="AO486" i="2"/>
  <c r="AG486" i="2"/>
  <c r="AC486" i="2"/>
  <c r="AO485" i="2"/>
  <c r="AG485" i="2"/>
  <c r="AC485" i="2"/>
  <c r="AO484" i="2"/>
  <c r="AG484" i="2"/>
  <c r="AC484" i="2"/>
  <c r="AO483" i="2"/>
  <c r="AG483" i="2"/>
  <c r="AC483" i="2"/>
  <c r="AO482" i="2"/>
  <c r="AG482" i="2"/>
  <c r="AC482" i="2"/>
  <c r="AO481" i="2"/>
  <c r="AG481" i="2"/>
  <c r="AC481" i="2"/>
  <c r="AO480" i="2"/>
  <c r="AG480" i="2"/>
  <c r="AC480" i="2"/>
  <c r="AO479" i="2"/>
  <c r="AG479" i="2"/>
  <c r="AC479" i="2"/>
  <c r="AO478" i="2"/>
  <c r="AG478" i="2"/>
  <c r="AC478" i="2"/>
  <c r="AO477" i="2"/>
  <c r="AG477" i="2"/>
  <c r="AC477" i="2"/>
  <c r="AO476" i="2"/>
  <c r="AG476" i="2"/>
  <c r="AC476" i="2"/>
  <c r="AO475" i="2"/>
  <c r="AG475" i="2"/>
  <c r="AC475" i="2"/>
  <c r="AO474" i="2"/>
  <c r="AG474" i="2"/>
  <c r="AC474" i="2"/>
  <c r="AO473" i="2"/>
  <c r="AG473" i="2"/>
  <c r="AC473" i="2"/>
  <c r="AO472" i="2"/>
  <c r="AG472" i="2"/>
  <c r="AC472" i="2"/>
  <c r="AO471" i="2"/>
  <c r="AG471" i="2"/>
  <c r="AC471" i="2"/>
  <c r="AO470" i="2"/>
  <c r="AG470" i="2"/>
  <c r="AH470" i="2" s="1"/>
  <c r="AC470" i="2"/>
  <c r="AO469" i="2"/>
  <c r="AG469" i="2"/>
  <c r="AH469" i="2" s="1"/>
  <c r="AC469" i="2"/>
  <c r="AO468" i="2"/>
  <c r="AG468" i="2"/>
  <c r="AH468" i="2" s="1"/>
  <c r="AC468" i="2"/>
  <c r="AO467" i="2"/>
  <c r="AG467" i="2"/>
  <c r="AH467" i="2" s="1"/>
  <c r="AC467" i="2"/>
  <c r="AO466" i="2"/>
  <c r="AG466" i="2"/>
  <c r="AH466" i="2" s="1"/>
  <c r="AC466" i="2"/>
  <c r="AO465" i="2"/>
  <c r="AH465" i="2"/>
  <c r="AG465" i="2"/>
  <c r="AC465" i="2"/>
  <c r="AO464" i="2"/>
  <c r="AH464" i="2"/>
  <c r="AG464" i="2"/>
  <c r="AC464" i="2"/>
  <c r="AO463" i="2"/>
  <c r="AH463" i="2"/>
  <c r="AG463" i="2"/>
  <c r="AC463" i="2"/>
  <c r="AO462" i="2"/>
  <c r="AH462" i="2"/>
  <c r="AG462" i="2"/>
  <c r="AC462" i="2"/>
  <c r="AO461" i="2"/>
  <c r="AH461" i="2"/>
  <c r="AG461" i="2"/>
  <c r="AC461" i="2"/>
  <c r="AO460" i="2"/>
  <c r="AH460" i="2"/>
  <c r="AG460" i="2"/>
  <c r="AC460" i="2"/>
  <c r="AO459" i="2"/>
  <c r="AH459" i="2"/>
  <c r="AG459" i="2"/>
  <c r="AC459" i="2"/>
  <c r="AO458" i="2"/>
  <c r="AH458" i="2"/>
  <c r="AG458" i="2"/>
  <c r="AC458" i="2"/>
  <c r="AO457" i="2"/>
  <c r="AH457" i="2"/>
  <c r="AG457" i="2"/>
  <c r="AC457" i="2"/>
  <c r="AO456" i="2"/>
  <c r="AH456" i="2"/>
  <c r="AG456" i="2"/>
  <c r="AC456" i="2"/>
  <c r="AO455" i="2"/>
  <c r="AH455" i="2"/>
  <c r="AG455" i="2"/>
  <c r="AC455" i="2"/>
  <c r="AA455" i="2"/>
  <c r="AO454" i="2"/>
  <c r="AG454" i="2"/>
  <c r="AC454" i="2"/>
  <c r="AA454" i="2"/>
  <c r="AH454" i="2" s="1"/>
  <c r="AO453" i="2"/>
  <c r="AG453" i="2"/>
  <c r="AC453" i="2"/>
  <c r="AA453" i="2"/>
  <c r="AO452" i="2"/>
  <c r="AG452" i="2"/>
  <c r="AH452" i="2" s="1"/>
  <c r="AC452" i="2"/>
  <c r="AA452" i="2"/>
  <c r="AO451" i="2"/>
  <c r="AH451" i="2"/>
  <c r="AG451" i="2"/>
  <c r="AC451" i="2"/>
  <c r="AA451" i="2"/>
  <c r="AO450" i="2"/>
  <c r="AG450" i="2"/>
  <c r="AC450" i="2"/>
  <c r="AA450" i="2"/>
  <c r="AH450" i="2" s="1"/>
  <c r="AG449" i="2"/>
  <c r="AH449" i="2" s="1"/>
  <c r="AC449" i="2"/>
  <c r="AA449" i="2"/>
  <c r="AG448" i="2"/>
  <c r="AH448" i="2" s="1"/>
  <c r="AC448" i="2"/>
  <c r="AA448" i="2"/>
  <c r="AH447" i="2"/>
  <c r="AG447" i="2"/>
  <c r="AC447" i="2"/>
  <c r="AA447" i="2"/>
  <c r="AG446" i="2"/>
  <c r="AC446" i="2"/>
  <c r="AA446" i="2"/>
  <c r="AH446" i="2" s="1"/>
  <c r="AG445" i="2"/>
  <c r="AC445" i="2"/>
  <c r="AA445" i="2"/>
  <c r="AG444" i="2"/>
  <c r="AH444" i="2" s="1"/>
  <c r="AC444" i="2"/>
  <c r="AA444" i="2"/>
  <c r="AH443" i="2"/>
  <c r="AG443" i="2"/>
  <c r="AC443" i="2"/>
  <c r="AA443" i="2"/>
  <c r="AG442" i="2"/>
  <c r="AC442" i="2"/>
  <c r="AA442" i="2"/>
  <c r="AH442" i="2" s="1"/>
  <c r="AG441" i="2"/>
  <c r="AH441" i="2" s="1"/>
  <c r="AC441" i="2"/>
  <c r="AA441" i="2"/>
  <c r="AG440" i="2"/>
  <c r="AH440" i="2" s="1"/>
  <c r="AC440" i="2"/>
  <c r="AA440" i="2"/>
  <c r="AH439" i="2"/>
  <c r="AG439" i="2"/>
  <c r="AC439" i="2"/>
  <c r="AA439" i="2"/>
  <c r="AG438" i="2"/>
  <c r="AC438" i="2"/>
  <c r="AA438" i="2"/>
  <c r="AH438" i="2" s="1"/>
  <c r="AG437" i="2"/>
  <c r="AC437" i="2"/>
  <c r="AA437" i="2"/>
  <c r="AG436" i="2"/>
  <c r="AH436" i="2" s="1"/>
  <c r="AC436" i="2"/>
  <c r="AA436" i="2"/>
  <c r="AH435" i="2"/>
  <c r="AG435" i="2"/>
  <c r="AC435" i="2"/>
  <c r="AA435" i="2"/>
  <c r="AG434" i="2"/>
  <c r="AC434" i="2"/>
  <c r="AA434" i="2"/>
  <c r="AH434" i="2" s="1"/>
  <c r="AG433" i="2"/>
  <c r="AH433" i="2" s="1"/>
  <c r="AC433" i="2"/>
  <c r="AA433" i="2"/>
  <c r="AC432" i="2"/>
  <c r="AA432" i="2"/>
  <c r="P432" i="2"/>
  <c r="G432" i="2"/>
  <c r="AG432" i="2" s="1"/>
  <c r="AH432" i="2" s="1"/>
  <c r="AC431" i="2"/>
  <c r="AA431" i="2"/>
  <c r="P431" i="2"/>
  <c r="G431" i="2"/>
  <c r="AG431" i="2" s="1"/>
  <c r="AC430" i="2"/>
  <c r="AA430" i="2"/>
  <c r="P430" i="2"/>
  <c r="G430" i="2"/>
  <c r="AG430" i="2" s="1"/>
  <c r="AC429" i="2"/>
  <c r="AA429" i="2"/>
  <c r="P429" i="2"/>
  <c r="G429" i="2"/>
  <c r="AG429" i="2" s="1"/>
  <c r="AH429" i="2" s="1"/>
  <c r="AC428" i="2"/>
  <c r="AA428" i="2"/>
  <c r="P428" i="2"/>
  <c r="G428" i="2"/>
  <c r="AG428" i="2" s="1"/>
  <c r="AH428" i="2" s="1"/>
  <c r="AC427" i="2"/>
  <c r="AA427" i="2"/>
  <c r="P427" i="2"/>
  <c r="G427" i="2"/>
  <c r="AG427" i="2" s="1"/>
  <c r="AC426" i="2"/>
  <c r="AA426" i="2"/>
  <c r="P426" i="2"/>
  <c r="G426" i="2"/>
  <c r="AG426" i="2" s="1"/>
  <c r="AH426" i="2" s="1"/>
  <c r="AC425" i="2"/>
  <c r="AA425" i="2"/>
  <c r="P425" i="2"/>
  <c r="G425" i="2"/>
  <c r="AG425" i="2" s="1"/>
  <c r="AH425" i="2" s="1"/>
  <c r="AC424" i="2"/>
  <c r="AA424" i="2"/>
  <c r="P424" i="2"/>
  <c r="G424" i="2"/>
  <c r="AG424" i="2" s="1"/>
  <c r="AH424" i="2" s="1"/>
  <c r="AC423" i="2"/>
  <c r="AA423" i="2"/>
  <c r="P423" i="2"/>
  <c r="G423" i="2"/>
  <c r="AG423" i="2" s="1"/>
  <c r="AC422" i="2"/>
  <c r="AA422" i="2"/>
  <c r="P422" i="2"/>
  <c r="G422" i="2"/>
  <c r="AG422" i="2" s="1"/>
  <c r="AC421" i="2"/>
  <c r="AA421" i="2"/>
  <c r="P421" i="2"/>
  <c r="G421" i="2"/>
  <c r="AG421" i="2" s="1"/>
  <c r="AH421" i="2" s="1"/>
  <c r="AC420" i="2"/>
  <c r="AA420" i="2"/>
  <c r="P420" i="2"/>
  <c r="G420" i="2"/>
  <c r="AG420" i="2" s="1"/>
  <c r="AH420" i="2" s="1"/>
  <c r="AC419" i="2"/>
  <c r="AA419" i="2"/>
  <c r="P419" i="2"/>
  <c r="G419" i="2"/>
  <c r="AG419" i="2" s="1"/>
  <c r="AC418" i="2"/>
  <c r="AA418" i="2"/>
  <c r="P418" i="2"/>
  <c r="G418" i="2"/>
  <c r="AG418" i="2" s="1"/>
  <c r="AH418" i="2" s="1"/>
  <c r="AC417" i="2"/>
  <c r="AA417" i="2"/>
  <c r="P417" i="2"/>
  <c r="G417" i="2"/>
  <c r="AG417" i="2" s="1"/>
  <c r="AH417" i="2" s="1"/>
  <c r="AC416" i="2"/>
  <c r="AA416" i="2"/>
  <c r="P416" i="2"/>
  <c r="G416" i="2"/>
  <c r="AG416" i="2" s="1"/>
  <c r="AH416" i="2" s="1"/>
  <c r="AC415" i="2"/>
  <c r="AA415" i="2"/>
  <c r="P415" i="2"/>
  <c r="G415" i="2"/>
  <c r="AG415" i="2" s="1"/>
  <c r="AC414" i="2"/>
  <c r="AA414" i="2"/>
  <c r="P414" i="2"/>
  <c r="G414" i="2"/>
  <c r="AG414" i="2" s="1"/>
  <c r="AC413" i="2"/>
  <c r="AA413" i="2"/>
  <c r="P413" i="2"/>
  <c r="G413" i="2"/>
  <c r="AG413" i="2" s="1"/>
  <c r="AH413" i="2" s="1"/>
  <c r="AC412" i="2"/>
  <c r="AA412" i="2"/>
  <c r="P412" i="2"/>
  <c r="G412" i="2"/>
  <c r="AG412" i="2" s="1"/>
  <c r="AH412" i="2" s="1"/>
  <c r="AC411" i="2"/>
  <c r="AA411" i="2"/>
  <c r="P411" i="2"/>
  <c r="G411" i="2"/>
  <c r="AG411" i="2" s="1"/>
  <c r="AC410" i="2"/>
  <c r="AA410" i="2"/>
  <c r="P410" i="2"/>
  <c r="G410" i="2"/>
  <c r="AG410" i="2" s="1"/>
  <c r="AH410" i="2" s="1"/>
  <c r="AC409" i="2"/>
  <c r="AA409" i="2"/>
  <c r="P409" i="2"/>
  <c r="G409" i="2"/>
  <c r="AG409" i="2" s="1"/>
  <c r="AH409" i="2" s="1"/>
  <c r="AC408" i="2"/>
  <c r="AA408" i="2"/>
  <c r="P408" i="2"/>
  <c r="G408" i="2"/>
  <c r="AG408" i="2" s="1"/>
  <c r="AH408" i="2" s="1"/>
  <c r="AC407" i="2"/>
  <c r="AA407" i="2"/>
  <c r="P407" i="2"/>
  <c r="G407" i="2"/>
  <c r="AG407" i="2" s="1"/>
  <c r="AC406" i="2"/>
  <c r="AA406" i="2"/>
  <c r="P406" i="2"/>
  <c r="G406" i="2"/>
  <c r="AG406" i="2" s="1"/>
  <c r="AC405" i="2"/>
  <c r="AA405" i="2"/>
  <c r="P405" i="2"/>
  <c r="G405" i="2"/>
  <c r="AG405" i="2" s="1"/>
  <c r="AH405" i="2" s="1"/>
  <c r="AC404" i="2"/>
  <c r="AA404" i="2"/>
  <c r="P404" i="2"/>
  <c r="G404" i="2"/>
  <c r="AG404" i="2" s="1"/>
  <c r="AH404" i="2" s="1"/>
  <c r="AC403" i="2"/>
  <c r="AA403" i="2"/>
  <c r="P403" i="2"/>
  <c r="G403" i="2"/>
  <c r="AG403" i="2" s="1"/>
  <c r="AC402" i="2"/>
  <c r="AA402" i="2"/>
  <c r="P402" i="2"/>
  <c r="G402" i="2"/>
  <c r="AG402" i="2" s="1"/>
  <c r="AH402" i="2" s="1"/>
  <c r="AC401" i="2"/>
  <c r="AA401" i="2"/>
  <c r="P401" i="2"/>
  <c r="G401" i="2"/>
  <c r="AG401" i="2" s="1"/>
  <c r="AH401" i="2" s="1"/>
  <c r="AC400" i="2"/>
  <c r="AA400" i="2"/>
  <c r="P400" i="2"/>
  <c r="G400" i="2"/>
  <c r="AG400" i="2" s="1"/>
  <c r="AH400" i="2" s="1"/>
  <c r="AM399" i="2"/>
  <c r="AL399" i="2"/>
  <c r="AJ399" i="2"/>
  <c r="AC399" i="2"/>
  <c r="AA399" i="2"/>
  <c r="P399" i="2"/>
  <c r="G399" i="2"/>
  <c r="AG399" i="2" s="1"/>
  <c r="AM398" i="2"/>
  <c r="AL398" i="2"/>
  <c r="AJ398" i="2"/>
  <c r="AC398" i="2"/>
  <c r="AA398" i="2"/>
  <c r="P398" i="2"/>
  <c r="G398" i="2"/>
  <c r="AG398" i="2" s="1"/>
  <c r="AH398" i="2" s="1"/>
  <c r="AK398" i="2" s="1"/>
  <c r="AM397" i="2"/>
  <c r="AL397" i="2"/>
  <c r="AJ397" i="2"/>
  <c r="AC397" i="2"/>
  <c r="AA397" i="2"/>
  <c r="P397" i="2"/>
  <c r="G397" i="2"/>
  <c r="AG397" i="2" s="1"/>
  <c r="AM396" i="2"/>
  <c r="AL396" i="2"/>
  <c r="AJ396" i="2"/>
  <c r="AC396" i="2"/>
  <c r="AA396" i="2"/>
  <c r="P396" i="2"/>
  <c r="G396" i="2"/>
  <c r="AG396" i="2" s="1"/>
  <c r="AM395" i="2"/>
  <c r="AL395" i="2"/>
  <c r="AJ395" i="2"/>
  <c r="AC395" i="2"/>
  <c r="AA395" i="2"/>
  <c r="P395" i="2"/>
  <c r="G395" i="2"/>
  <c r="AG395" i="2" s="1"/>
  <c r="AM394" i="2"/>
  <c r="AL394" i="2"/>
  <c r="AJ394" i="2"/>
  <c r="AC394" i="2"/>
  <c r="AA394" i="2"/>
  <c r="P394" i="2"/>
  <c r="G394" i="2"/>
  <c r="AG394" i="2" s="1"/>
  <c r="AM393" i="2"/>
  <c r="AL393" i="2"/>
  <c r="AJ393" i="2"/>
  <c r="AC393" i="2"/>
  <c r="AA393" i="2"/>
  <c r="P393" i="2"/>
  <c r="G393" i="2"/>
  <c r="AG393" i="2" s="1"/>
  <c r="AM392" i="2"/>
  <c r="AL392" i="2"/>
  <c r="AJ392" i="2"/>
  <c r="AC392" i="2"/>
  <c r="AA392" i="2"/>
  <c r="P392" i="2"/>
  <c r="G392" i="2"/>
  <c r="AG392" i="2" s="1"/>
  <c r="AM391" i="2"/>
  <c r="AL391" i="2"/>
  <c r="AJ391" i="2"/>
  <c r="AC391" i="2"/>
  <c r="AA391" i="2"/>
  <c r="P391" i="2"/>
  <c r="G391" i="2"/>
  <c r="AG391" i="2" s="1"/>
  <c r="AM390" i="2"/>
  <c r="AL390" i="2"/>
  <c r="AJ390" i="2"/>
  <c r="AC390" i="2"/>
  <c r="AA390" i="2"/>
  <c r="P390" i="2"/>
  <c r="G390" i="2"/>
  <c r="AG390" i="2" s="1"/>
  <c r="AM389" i="2"/>
  <c r="AL389" i="2"/>
  <c r="AJ389" i="2"/>
  <c r="AC389" i="2"/>
  <c r="AA389" i="2"/>
  <c r="P389" i="2"/>
  <c r="G389" i="2"/>
  <c r="AG389" i="2" s="1"/>
  <c r="AM388" i="2"/>
  <c r="AL388" i="2"/>
  <c r="AJ388" i="2"/>
  <c r="AC388" i="2"/>
  <c r="AA388" i="2"/>
  <c r="P388" i="2"/>
  <c r="G388" i="2"/>
  <c r="AG388" i="2" s="1"/>
  <c r="AM387" i="2"/>
  <c r="AL387" i="2"/>
  <c r="AJ387" i="2"/>
  <c r="AC387" i="2"/>
  <c r="AA387" i="2"/>
  <c r="P387" i="2"/>
  <c r="G387" i="2"/>
  <c r="AG387" i="2" s="1"/>
  <c r="AM386" i="2"/>
  <c r="AL386" i="2"/>
  <c r="AK386" i="2"/>
  <c r="AJ386" i="2"/>
  <c r="AC386" i="2"/>
  <c r="AA386" i="2"/>
  <c r="P386" i="2"/>
  <c r="G386" i="2"/>
  <c r="AG386" i="2" s="1"/>
  <c r="AH386" i="2" s="1"/>
  <c r="AM385" i="2"/>
  <c r="AL385" i="2"/>
  <c r="AJ385" i="2"/>
  <c r="AC385" i="2"/>
  <c r="AA385" i="2"/>
  <c r="P385" i="2"/>
  <c r="G385" i="2"/>
  <c r="AG385" i="2" s="1"/>
  <c r="AM384" i="2"/>
  <c r="AL384" i="2"/>
  <c r="AJ384" i="2"/>
  <c r="AC384" i="2"/>
  <c r="AA384" i="2"/>
  <c r="P384" i="2"/>
  <c r="G384" i="2"/>
  <c r="AG384" i="2" s="1"/>
  <c r="AM383" i="2"/>
  <c r="AL383" i="2"/>
  <c r="AJ383" i="2"/>
  <c r="AC383" i="2"/>
  <c r="AA383" i="2"/>
  <c r="P383" i="2"/>
  <c r="G383" i="2"/>
  <c r="AG383" i="2" s="1"/>
  <c r="AM382" i="2"/>
  <c r="AL382" i="2"/>
  <c r="AJ382" i="2"/>
  <c r="AC382" i="2"/>
  <c r="AA382" i="2"/>
  <c r="P382" i="2"/>
  <c r="G382" i="2"/>
  <c r="AG382" i="2" s="1"/>
  <c r="AM381" i="2"/>
  <c r="AL381" i="2"/>
  <c r="AJ381" i="2"/>
  <c r="AC381" i="2"/>
  <c r="AA381" i="2"/>
  <c r="P381" i="2"/>
  <c r="G381" i="2"/>
  <c r="AG381" i="2" s="1"/>
  <c r="AM380" i="2"/>
  <c r="AL380" i="2"/>
  <c r="AJ380" i="2"/>
  <c r="AC380" i="2"/>
  <c r="AA380" i="2"/>
  <c r="P380" i="2"/>
  <c r="G380" i="2"/>
  <c r="AG380" i="2" s="1"/>
  <c r="AM379" i="2"/>
  <c r="AL379" i="2"/>
  <c r="AJ379" i="2"/>
  <c r="AC379" i="2"/>
  <c r="AA379" i="2"/>
  <c r="P379" i="2"/>
  <c r="G379" i="2"/>
  <c r="AG379" i="2" s="1"/>
  <c r="AM378" i="2"/>
  <c r="AL378" i="2"/>
  <c r="AJ378" i="2"/>
  <c r="AC378" i="2"/>
  <c r="AA378" i="2"/>
  <c r="P378" i="2"/>
  <c r="G378" i="2"/>
  <c r="AG378" i="2" s="1"/>
  <c r="AM377" i="2"/>
  <c r="AL377" i="2"/>
  <c r="AJ377" i="2"/>
  <c r="AC377" i="2"/>
  <c r="AA377" i="2"/>
  <c r="P377" i="2"/>
  <c r="G377" i="2"/>
  <c r="AG377" i="2" s="1"/>
  <c r="AM376" i="2"/>
  <c r="AL376" i="2"/>
  <c r="AJ376" i="2"/>
  <c r="AC376" i="2"/>
  <c r="AA376" i="2"/>
  <c r="P376" i="2"/>
  <c r="G376" i="2"/>
  <c r="AG376" i="2" s="1"/>
  <c r="AM375" i="2"/>
  <c r="AL375" i="2"/>
  <c r="AJ375" i="2"/>
  <c r="AC375" i="2"/>
  <c r="AA375" i="2"/>
  <c r="P375" i="2"/>
  <c r="G375" i="2"/>
  <c r="AG375" i="2" s="1"/>
  <c r="AM374" i="2"/>
  <c r="AL374" i="2"/>
  <c r="AJ374" i="2"/>
  <c r="AC374" i="2"/>
  <c r="AA374" i="2"/>
  <c r="P374" i="2"/>
  <c r="G374" i="2"/>
  <c r="AG374" i="2" s="1"/>
  <c r="AM373" i="2"/>
  <c r="AL373" i="2"/>
  <c r="AJ373" i="2"/>
  <c r="AC373" i="2"/>
  <c r="AA373" i="2"/>
  <c r="P373" i="2"/>
  <c r="G373" i="2"/>
  <c r="AG373" i="2" s="1"/>
  <c r="AM372" i="2"/>
  <c r="AL372" i="2"/>
  <c r="AJ372" i="2"/>
  <c r="AC372" i="2"/>
  <c r="AA372" i="2"/>
  <c r="P372" i="2"/>
  <c r="G372" i="2"/>
  <c r="AG372" i="2" s="1"/>
  <c r="AM371" i="2"/>
  <c r="AL371" i="2"/>
  <c r="AJ371" i="2"/>
  <c r="AC371" i="2"/>
  <c r="AA371" i="2"/>
  <c r="P371" i="2"/>
  <c r="G371" i="2"/>
  <c r="AG371" i="2" s="1"/>
  <c r="AM370" i="2"/>
  <c r="AL370" i="2"/>
  <c r="AJ370" i="2"/>
  <c r="AC370" i="2"/>
  <c r="AA370" i="2"/>
  <c r="P370" i="2"/>
  <c r="G370" i="2"/>
  <c r="AG370" i="2" s="1"/>
  <c r="AM369" i="2"/>
  <c r="AL369" i="2"/>
  <c r="AJ369" i="2"/>
  <c r="AC369" i="2"/>
  <c r="AA369" i="2"/>
  <c r="P369" i="2"/>
  <c r="G369" i="2"/>
  <c r="AG369" i="2" s="1"/>
  <c r="AM368" i="2"/>
  <c r="AL368" i="2"/>
  <c r="AJ368" i="2"/>
  <c r="AC368" i="2"/>
  <c r="AA368" i="2"/>
  <c r="P368" i="2"/>
  <c r="G368" i="2"/>
  <c r="AG368" i="2" s="1"/>
  <c r="AM367" i="2"/>
  <c r="AL367" i="2"/>
  <c r="AJ367" i="2"/>
  <c r="AC367" i="2"/>
  <c r="AA367" i="2"/>
  <c r="P367" i="2"/>
  <c r="G367" i="2"/>
  <c r="AG367" i="2" s="1"/>
  <c r="AM366" i="2"/>
  <c r="AL366" i="2"/>
  <c r="AJ366" i="2"/>
  <c r="AC366" i="2"/>
  <c r="AA366" i="2"/>
  <c r="P366" i="2"/>
  <c r="G366" i="2"/>
  <c r="AG366" i="2" s="1"/>
  <c r="AM365" i="2"/>
  <c r="AL365" i="2"/>
  <c r="AJ365" i="2"/>
  <c r="AC365" i="2"/>
  <c r="AA365" i="2"/>
  <c r="P365" i="2"/>
  <c r="G365" i="2"/>
  <c r="AG365" i="2" s="1"/>
  <c r="AM364" i="2"/>
  <c r="AL364" i="2"/>
  <c r="AJ364" i="2"/>
  <c r="AC364" i="2"/>
  <c r="AA364" i="2"/>
  <c r="P364" i="2"/>
  <c r="G364" i="2"/>
  <c r="AG364" i="2" s="1"/>
  <c r="AM363" i="2"/>
  <c r="AL363" i="2"/>
  <c r="AJ363" i="2"/>
  <c r="AC363" i="2"/>
  <c r="AA363" i="2"/>
  <c r="P363" i="2"/>
  <c r="G363" i="2"/>
  <c r="AG363" i="2" s="1"/>
  <c r="AM362" i="2"/>
  <c r="AL362" i="2"/>
  <c r="AJ362" i="2"/>
  <c r="AC362" i="2"/>
  <c r="AA362" i="2"/>
  <c r="P362" i="2"/>
  <c r="G362" i="2"/>
  <c r="AG362" i="2" s="1"/>
  <c r="AM361" i="2"/>
  <c r="AL361" i="2"/>
  <c r="AJ361" i="2"/>
  <c r="AC361" i="2"/>
  <c r="AA361" i="2"/>
  <c r="P361" i="2"/>
  <c r="G361" i="2"/>
  <c r="AG361" i="2" s="1"/>
  <c r="AM360" i="2"/>
  <c r="AL360" i="2"/>
  <c r="AJ360" i="2"/>
  <c r="AC360" i="2"/>
  <c r="AA360" i="2"/>
  <c r="P360" i="2"/>
  <c r="G360" i="2"/>
  <c r="AG360" i="2" s="1"/>
  <c r="AM359" i="2"/>
  <c r="AL359" i="2"/>
  <c r="AJ359" i="2"/>
  <c r="AC359" i="2"/>
  <c r="AA359" i="2"/>
  <c r="P359" i="2"/>
  <c r="G359" i="2"/>
  <c r="AG359" i="2" s="1"/>
  <c r="AM358" i="2"/>
  <c r="AL358" i="2"/>
  <c r="AJ358" i="2"/>
  <c r="AC358" i="2"/>
  <c r="AA358" i="2"/>
  <c r="P358" i="2"/>
  <c r="G358" i="2"/>
  <c r="AG358" i="2" s="1"/>
  <c r="AM357" i="2"/>
  <c r="AL357" i="2"/>
  <c r="AJ357" i="2"/>
  <c r="AC357" i="2"/>
  <c r="AA357" i="2"/>
  <c r="P357" i="2"/>
  <c r="G357" i="2"/>
  <c r="AG357" i="2" s="1"/>
  <c r="AM356" i="2"/>
  <c r="AL356" i="2"/>
  <c r="AJ356" i="2"/>
  <c r="AC356" i="2"/>
  <c r="AA356" i="2"/>
  <c r="P356" i="2"/>
  <c r="G356" i="2"/>
  <c r="AG356" i="2" s="1"/>
  <c r="AM355" i="2"/>
  <c r="AL355" i="2"/>
  <c r="AJ355" i="2"/>
  <c r="AC355" i="2"/>
  <c r="AA355" i="2"/>
  <c r="P355" i="2"/>
  <c r="G355" i="2"/>
  <c r="AG355" i="2" s="1"/>
  <c r="AM354" i="2"/>
  <c r="AL354" i="2"/>
  <c r="AJ354" i="2"/>
  <c r="AC354" i="2"/>
  <c r="AA354" i="2"/>
  <c r="P354" i="2"/>
  <c r="G354" i="2"/>
  <c r="AG354" i="2" s="1"/>
  <c r="AM353" i="2"/>
  <c r="AL353" i="2"/>
  <c r="AJ353" i="2"/>
  <c r="AC353" i="2"/>
  <c r="AA353" i="2"/>
  <c r="P353" i="2"/>
  <c r="G353" i="2"/>
  <c r="AG353" i="2" s="1"/>
  <c r="AM352" i="2"/>
  <c r="AL352" i="2"/>
  <c r="AJ352" i="2"/>
  <c r="AC352" i="2"/>
  <c r="AA352" i="2"/>
  <c r="P352" i="2"/>
  <c r="G352" i="2"/>
  <c r="AG352" i="2" s="1"/>
  <c r="AM351" i="2"/>
  <c r="AL351" i="2"/>
  <c r="AJ351" i="2"/>
  <c r="AC351" i="2"/>
  <c r="AA351" i="2"/>
  <c r="P351" i="2"/>
  <c r="G351" i="2"/>
  <c r="AG351" i="2" s="1"/>
  <c r="AM350" i="2"/>
  <c r="AL350" i="2"/>
  <c r="AJ350" i="2"/>
  <c r="AC350" i="2"/>
  <c r="AA350" i="2"/>
  <c r="P350" i="2"/>
  <c r="G350" i="2"/>
  <c r="AG350" i="2" s="1"/>
  <c r="AM349" i="2"/>
  <c r="AL349" i="2"/>
  <c r="AJ349" i="2"/>
  <c r="AC349" i="2"/>
  <c r="AA349" i="2"/>
  <c r="P349" i="2"/>
  <c r="G349" i="2"/>
  <c r="AG349" i="2" s="1"/>
  <c r="AM348" i="2"/>
  <c r="AL348" i="2"/>
  <c r="AJ348" i="2"/>
  <c r="AC348" i="2"/>
  <c r="AA348" i="2"/>
  <c r="P348" i="2"/>
  <c r="G348" i="2"/>
  <c r="AG348" i="2" s="1"/>
  <c r="AM347" i="2"/>
  <c r="AL347" i="2"/>
  <c r="AJ347" i="2"/>
  <c r="AC347" i="2"/>
  <c r="AA347" i="2"/>
  <c r="P347" i="2"/>
  <c r="G347" i="2"/>
  <c r="AG347" i="2" s="1"/>
  <c r="AM346" i="2"/>
  <c r="AL346" i="2"/>
  <c r="AJ346" i="2"/>
  <c r="AC346" i="2"/>
  <c r="AA346" i="2"/>
  <c r="P346" i="2"/>
  <c r="G346" i="2"/>
  <c r="AG346" i="2" s="1"/>
  <c r="AM345" i="2"/>
  <c r="AL345" i="2"/>
  <c r="AJ345" i="2"/>
  <c r="AC345" i="2"/>
  <c r="AA345" i="2"/>
  <c r="P345" i="2"/>
  <c r="G345" i="2"/>
  <c r="AG345" i="2" s="1"/>
  <c r="AM344" i="2"/>
  <c r="AL344" i="2"/>
  <c r="AJ344" i="2"/>
  <c r="AC344" i="2"/>
  <c r="AA344" i="2"/>
  <c r="P344" i="2"/>
  <c r="G344" i="2"/>
  <c r="AG344" i="2" s="1"/>
  <c r="AM343" i="2"/>
  <c r="AL343" i="2"/>
  <c r="AJ343" i="2"/>
  <c r="AC343" i="2"/>
  <c r="AA343" i="2"/>
  <c r="P343" i="2"/>
  <c r="G343" i="2"/>
  <c r="AG343" i="2" s="1"/>
  <c r="AM342" i="2"/>
  <c r="AL342" i="2"/>
  <c r="AJ342" i="2"/>
  <c r="AC342" i="2"/>
  <c r="AA342" i="2"/>
  <c r="P342" i="2"/>
  <c r="G342" i="2"/>
  <c r="AG342" i="2" s="1"/>
  <c r="AM341" i="2"/>
  <c r="AL341" i="2"/>
  <c r="AJ341" i="2"/>
  <c r="AC341" i="2"/>
  <c r="AA341" i="2"/>
  <c r="P341" i="2"/>
  <c r="G341" i="2"/>
  <c r="AG341" i="2" s="1"/>
  <c r="AM340" i="2"/>
  <c r="AL340" i="2"/>
  <c r="AJ340" i="2"/>
  <c r="AC340" i="2"/>
  <c r="AA340" i="2"/>
  <c r="P340" i="2"/>
  <c r="G340" i="2"/>
  <c r="AG340" i="2" s="1"/>
  <c r="AM339" i="2"/>
  <c r="AL339" i="2"/>
  <c r="AJ339" i="2"/>
  <c r="AC339" i="2"/>
  <c r="AA339" i="2"/>
  <c r="P339" i="2"/>
  <c r="G339" i="2"/>
  <c r="AG339" i="2" s="1"/>
  <c r="AM338" i="2"/>
  <c r="AL338" i="2"/>
  <c r="AJ338" i="2"/>
  <c r="AC338" i="2"/>
  <c r="AA338" i="2"/>
  <c r="P338" i="2"/>
  <c r="G338" i="2"/>
  <c r="AG338" i="2" s="1"/>
  <c r="AM337" i="2"/>
  <c r="AL337" i="2"/>
  <c r="AJ337" i="2"/>
  <c r="AC337" i="2"/>
  <c r="AA337" i="2"/>
  <c r="P337" i="2"/>
  <c r="G337" i="2"/>
  <c r="AG337" i="2" s="1"/>
  <c r="AM336" i="2"/>
  <c r="AL336" i="2"/>
  <c r="AJ336" i="2"/>
  <c r="AC336" i="2"/>
  <c r="AA336" i="2"/>
  <c r="P336" i="2"/>
  <c r="G336" i="2"/>
  <c r="AG336" i="2" s="1"/>
  <c r="AH336" i="2" s="1"/>
  <c r="AM335" i="2"/>
  <c r="AL335" i="2"/>
  <c r="AJ335" i="2"/>
  <c r="AC335" i="2"/>
  <c r="AA335" i="2"/>
  <c r="P335" i="2"/>
  <c r="G335" i="2"/>
  <c r="AG335" i="2" s="1"/>
  <c r="AM334" i="2"/>
  <c r="AL334" i="2"/>
  <c r="AJ334" i="2"/>
  <c r="AC334" i="2"/>
  <c r="AA334" i="2"/>
  <c r="P334" i="2"/>
  <c r="G334" i="2"/>
  <c r="AM333" i="2"/>
  <c r="AL333" i="2"/>
  <c r="AJ333" i="2"/>
  <c r="AC333" i="2"/>
  <c r="AA333" i="2"/>
  <c r="P333" i="2"/>
  <c r="G333" i="2"/>
  <c r="AG333" i="2" s="1"/>
  <c r="AM332" i="2"/>
  <c r="AL332" i="2"/>
  <c r="AJ332" i="2"/>
  <c r="AC332" i="2"/>
  <c r="AA332" i="2"/>
  <c r="P332" i="2"/>
  <c r="G332" i="2"/>
  <c r="AG332" i="2" s="1"/>
  <c r="AM331" i="2"/>
  <c r="AL331" i="2"/>
  <c r="AJ331" i="2"/>
  <c r="AC331" i="2"/>
  <c r="AA331" i="2"/>
  <c r="P331" i="2"/>
  <c r="G331" i="2"/>
  <c r="AG331" i="2" s="1"/>
  <c r="AM330" i="2"/>
  <c r="AL330" i="2"/>
  <c r="AJ330" i="2"/>
  <c r="AC330" i="2"/>
  <c r="AA330" i="2"/>
  <c r="P330" i="2"/>
  <c r="G330" i="2"/>
  <c r="AG330" i="2" s="1"/>
  <c r="AM329" i="2"/>
  <c r="AL329" i="2"/>
  <c r="AJ329" i="2"/>
  <c r="AC329" i="2"/>
  <c r="AA329" i="2"/>
  <c r="P329" i="2"/>
  <c r="G329" i="2"/>
  <c r="AG329" i="2" s="1"/>
  <c r="AM328" i="2"/>
  <c r="AL328" i="2"/>
  <c r="AK328" i="2"/>
  <c r="AJ328" i="2"/>
  <c r="AC328" i="2"/>
  <c r="AA328" i="2"/>
  <c r="P328" i="2"/>
  <c r="G328" i="2"/>
  <c r="AG328" i="2" s="1"/>
  <c r="AH328" i="2" s="1"/>
  <c r="AM327" i="2"/>
  <c r="AL327" i="2"/>
  <c r="AJ327" i="2"/>
  <c r="AC327" i="2"/>
  <c r="AA327" i="2"/>
  <c r="P327" i="2"/>
  <c r="G327" i="2"/>
  <c r="AG327" i="2" s="1"/>
  <c r="AM326" i="2"/>
  <c r="AL326" i="2"/>
  <c r="AJ326" i="2"/>
  <c r="AC326" i="2"/>
  <c r="AA326" i="2"/>
  <c r="P326" i="2"/>
  <c r="G326" i="2"/>
  <c r="AM325" i="2"/>
  <c r="AL325" i="2"/>
  <c r="AJ325" i="2"/>
  <c r="AC325" i="2"/>
  <c r="AA325" i="2"/>
  <c r="P325" i="2"/>
  <c r="G325" i="2"/>
  <c r="AG325" i="2" s="1"/>
  <c r="AM324" i="2"/>
  <c r="AL324" i="2"/>
  <c r="AJ324" i="2"/>
  <c r="AC324" i="2"/>
  <c r="AA324" i="2"/>
  <c r="P324" i="2"/>
  <c r="G324" i="2"/>
  <c r="AG324" i="2" s="1"/>
  <c r="AM323" i="2"/>
  <c r="AL323" i="2"/>
  <c r="AJ323" i="2"/>
  <c r="AC323" i="2"/>
  <c r="AA323" i="2"/>
  <c r="P323" i="2"/>
  <c r="G323" i="2"/>
  <c r="AG323" i="2" s="1"/>
  <c r="AM322" i="2"/>
  <c r="AL322" i="2"/>
  <c r="AJ322" i="2"/>
  <c r="AC322" i="2"/>
  <c r="AA322" i="2"/>
  <c r="P322" i="2"/>
  <c r="G322" i="2"/>
  <c r="AG322" i="2" s="1"/>
  <c r="AM321" i="2"/>
  <c r="AL321" i="2"/>
  <c r="AJ321" i="2"/>
  <c r="AC321" i="2"/>
  <c r="AA321" i="2"/>
  <c r="P321" i="2"/>
  <c r="G321" i="2"/>
  <c r="AG321" i="2" s="1"/>
  <c r="AM320" i="2"/>
  <c r="AL320" i="2"/>
  <c r="AJ320" i="2"/>
  <c r="AC320" i="2"/>
  <c r="AA320" i="2"/>
  <c r="P320" i="2"/>
  <c r="G320" i="2"/>
  <c r="AG320" i="2" s="1"/>
  <c r="AH320" i="2" s="1"/>
  <c r="AM319" i="2"/>
  <c r="AL319" i="2"/>
  <c r="AJ319" i="2"/>
  <c r="AC319" i="2"/>
  <c r="AA319" i="2"/>
  <c r="P319" i="2"/>
  <c r="G319" i="2"/>
  <c r="AG319" i="2" s="1"/>
  <c r="AM318" i="2"/>
  <c r="AL318" i="2"/>
  <c r="AJ318" i="2"/>
  <c r="AC318" i="2"/>
  <c r="AA318" i="2"/>
  <c r="P318" i="2"/>
  <c r="G318" i="2"/>
  <c r="AM317" i="2"/>
  <c r="AL317" i="2"/>
  <c r="AJ317" i="2"/>
  <c r="AC317" i="2"/>
  <c r="AA317" i="2"/>
  <c r="P317" i="2"/>
  <c r="G317" i="2"/>
  <c r="AG317" i="2" s="1"/>
  <c r="AM316" i="2"/>
  <c r="AL316" i="2"/>
  <c r="AJ316" i="2"/>
  <c r="AC316" i="2"/>
  <c r="AA316" i="2"/>
  <c r="P316" i="2"/>
  <c r="G316" i="2"/>
  <c r="AG316" i="2" s="1"/>
  <c r="AM315" i="2"/>
  <c r="AL315" i="2"/>
  <c r="AJ315" i="2"/>
  <c r="AC315" i="2"/>
  <c r="AA315" i="2"/>
  <c r="P315" i="2"/>
  <c r="G315" i="2"/>
  <c r="AG315" i="2" s="1"/>
  <c r="AM314" i="2"/>
  <c r="AL314" i="2"/>
  <c r="AJ314" i="2"/>
  <c r="AC314" i="2"/>
  <c r="AA314" i="2"/>
  <c r="P314" i="2"/>
  <c r="G314" i="2"/>
  <c r="AG314" i="2" s="1"/>
  <c r="AM313" i="2"/>
  <c r="AL313" i="2"/>
  <c r="AJ313" i="2"/>
  <c r="AC313" i="2"/>
  <c r="AA313" i="2"/>
  <c r="P313" i="2"/>
  <c r="G313" i="2"/>
  <c r="AG313" i="2" s="1"/>
  <c r="AM312" i="2"/>
  <c r="AL312" i="2"/>
  <c r="AJ312" i="2"/>
  <c r="AC312" i="2"/>
  <c r="AA312" i="2"/>
  <c r="P312" i="2"/>
  <c r="G312" i="2"/>
  <c r="AG312" i="2" s="1"/>
  <c r="AM311" i="2"/>
  <c r="AL311" i="2"/>
  <c r="AJ311" i="2"/>
  <c r="AC311" i="2"/>
  <c r="AA311" i="2"/>
  <c r="P311" i="2"/>
  <c r="G311" i="2"/>
  <c r="AG311" i="2" s="1"/>
  <c r="AM310" i="2"/>
  <c r="AL310" i="2"/>
  <c r="AJ310" i="2"/>
  <c r="AC310" i="2"/>
  <c r="AA310" i="2"/>
  <c r="P310" i="2"/>
  <c r="G310" i="2"/>
  <c r="AG310" i="2" s="1"/>
  <c r="AM309" i="2"/>
  <c r="AL309" i="2"/>
  <c r="AJ309" i="2"/>
  <c r="AC309" i="2"/>
  <c r="AA309" i="2"/>
  <c r="P309" i="2"/>
  <c r="G309" i="2"/>
  <c r="AG309" i="2" s="1"/>
  <c r="AM308" i="2"/>
  <c r="AL308" i="2"/>
  <c r="AJ308" i="2"/>
  <c r="AC308" i="2"/>
  <c r="AA308" i="2"/>
  <c r="P308" i="2"/>
  <c r="G308" i="2"/>
  <c r="AG308" i="2" s="1"/>
  <c r="AM307" i="2"/>
  <c r="AL307" i="2"/>
  <c r="AJ307" i="2"/>
  <c r="AC307" i="2"/>
  <c r="AA307" i="2"/>
  <c r="P307" i="2"/>
  <c r="G307" i="2"/>
  <c r="AG307" i="2" s="1"/>
  <c r="AM306" i="2"/>
  <c r="AL306" i="2"/>
  <c r="AJ306" i="2"/>
  <c r="AC306" i="2"/>
  <c r="AA306" i="2"/>
  <c r="P306" i="2"/>
  <c r="G306" i="2"/>
  <c r="AG306" i="2" s="1"/>
  <c r="AM305" i="2"/>
  <c r="AL305" i="2"/>
  <c r="AJ305" i="2"/>
  <c r="AC305" i="2"/>
  <c r="AA305" i="2"/>
  <c r="P305" i="2"/>
  <c r="G305" i="2"/>
  <c r="AG305" i="2" s="1"/>
  <c r="AM304" i="2"/>
  <c r="AL304" i="2"/>
  <c r="AJ304" i="2"/>
  <c r="AC304" i="2"/>
  <c r="AA304" i="2"/>
  <c r="P304" i="2"/>
  <c r="G304" i="2"/>
  <c r="AG304" i="2" s="1"/>
  <c r="AM303" i="2"/>
  <c r="AL303" i="2"/>
  <c r="AJ303" i="2"/>
  <c r="AC303" i="2"/>
  <c r="AA303" i="2"/>
  <c r="P303" i="2"/>
  <c r="G303" i="2"/>
  <c r="AG303" i="2" s="1"/>
  <c r="AM302" i="2"/>
  <c r="AL302" i="2"/>
  <c r="AJ302" i="2"/>
  <c r="AC302" i="2"/>
  <c r="AA302" i="2"/>
  <c r="P302" i="2"/>
  <c r="G302" i="2"/>
  <c r="AG302" i="2" s="1"/>
  <c r="AM301" i="2"/>
  <c r="AL301" i="2"/>
  <c r="AJ301" i="2"/>
  <c r="AC301" i="2"/>
  <c r="AA301" i="2"/>
  <c r="P301" i="2"/>
  <c r="G301" i="2"/>
  <c r="AG301" i="2" s="1"/>
  <c r="AM300" i="2"/>
  <c r="AL300" i="2"/>
  <c r="AJ300" i="2"/>
  <c r="AC300" i="2"/>
  <c r="AA300" i="2"/>
  <c r="P300" i="2"/>
  <c r="G300" i="2"/>
  <c r="AG300" i="2" s="1"/>
  <c r="AM299" i="2"/>
  <c r="AL299" i="2"/>
  <c r="AJ299" i="2"/>
  <c r="AC299" i="2"/>
  <c r="AA299" i="2"/>
  <c r="P299" i="2"/>
  <c r="G299" i="2"/>
  <c r="AG299" i="2" s="1"/>
  <c r="AM298" i="2"/>
  <c r="AL298" i="2"/>
  <c r="AJ298" i="2"/>
  <c r="AC298" i="2"/>
  <c r="AA298" i="2"/>
  <c r="P298" i="2"/>
  <c r="G298" i="2"/>
  <c r="AM297" i="2"/>
  <c r="AL297" i="2"/>
  <c r="AJ297" i="2"/>
  <c r="AC297" i="2"/>
  <c r="AA297" i="2"/>
  <c r="P297" i="2"/>
  <c r="G297" i="2"/>
  <c r="AG297" i="2" s="1"/>
  <c r="AM296" i="2"/>
  <c r="AL296" i="2"/>
  <c r="AK296" i="2"/>
  <c r="AJ296" i="2"/>
  <c r="AC296" i="2"/>
  <c r="AA296" i="2"/>
  <c r="P296" i="2"/>
  <c r="G296" i="2"/>
  <c r="AG296" i="2" s="1"/>
  <c r="AH296" i="2" s="1"/>
  <c r="AM295" i="2"/>
  <c r="AL295" i="2"/>
  <c r="AJ295" i="2"/>
  <c r="AC295" i="2"/>
  <c r="AA295" i="2"/>
  <c r="P295" i="2"/>
  <c r="G295" i="2"/>
  <c r="AG295" i="2" s="1"/>
  <c r="AM294" i="2"/>
  <c r="AL294" i="2"/>
  <c r="AJ294" i="2"/>
  <c r="AC294" i="2"/>
  <c r="AA294" i="2"/>
  <c r="P294" i="2"/>
  <c r="G294" i="2"/>
  <c r="AG294" i="2" s="1"/>
  <c r="AM293" i="2"/>
  <c r="AL293" i="2"/>
  <c r="AJ293" i="2"/>
  <c r="AC293" i="2"/>
  <c r="AA293" i="2"/>
  <c r="P293" i="2"/>
  <c r="G293" i="2"/>
  <c r="AG293" i="2" s="1"/>
  <c r="AM292" i="2"/>
  <c r="AL292" i="2"/>
  <c r="AJ292" i="2"/>
  <c r="AC292" i="2"/>
  <c r="AA292" i="2"/>
  <c r="P292" i="2"/>
  <c r="G292" i="2"/>
  <c r="AG292" i="2" s="1"/>
  <c r="AM291" i="2"/>
  <c r="AL291" i="2"/>
  <c r="AJ291" i="2"/>
  <c r="AC291" i="2"/>
  <c r="AA291" i="2"/>
  <c r="P291" i="2"/>
  <c r="G291" i="2"/>
  <c r="AG291" i="2" s="1"/>
  <c r="AM290" i="2"/>
  <c r="AL290" i="2"/>
  <c r="AJ290" i="2"/>
  <c r="AC290" i="2"/>
  <c r="AA290" i="2"/>
  <c r="P290" i="2"/>
  <c r="G290" i="2"/>
  <c r="AM289" i="2"/>
  <c r="AL289" i="2"/>
  <c r="AJ289" i="2"/>
  <c r="AC289" i="2"/>
  <c r="AA289" i="2"/>
  <c r="P289" i="2"/>
  <c r="G289" i="2"/>
  <c r="AG289" i="2" s="1"/>
  <c r="AM288" i="2"/>
  <c r="AL288" i="2"/>
  <c r="AJ288" i="2"/>
  <c r="AC288" i="2"/>
  <c r="AA288" i="2"/>
  <c r="P288" i="2"/>
  <c r="G288" i="2"/>
  <c r="AM287" i="2"/>
  <c r="AL287" i="2"/>
  <c r="AJ287" i="2"/>
  <c r="AC287" i="2"/>
  <c r="AA287" i="2"/>
  <c r="P287" i="2"/>
  <c r="G287" i="2"/>
  <c r="AG287" i="2" s="1"/>
  <c r="AM286" i="2"/>
  <c r="AL286" i="2"/>
  <c r="AJ286" i="2"/>
  <c r="AC286" i="2"/>
  <c r="AA286" i="2"/>
  <c r="P286" i="2"/>
  <c r="G286" i="2"/>
  <c r="AM285" i="2"/>
  <c r="AL285" i="2"/>
  <c r="AJ285" i="2"/>
  <c r="AC285" i="2"/>
  <c r="AA285" i="2"/>
  <c r="P285" i="2"/>
  <c r="G285" i="2"/>
  <c r="AG285" i="2" s="1"/>
  <c r="AM284" i="2"/>
  <c r="AL284" i="2"/>
  <c r="AJ284" i="2"/>
  <c r="AC284" i="2"/>
  <c r="AA284" i="2"/>
  <c r="P284" i="2"/>
  <c r="G284" i="2"/>
  <c r="AG284" i="2" s="1"/>
  <c r="AM283" i="2"/>
  <c r="AL283" i="2"/>
  <c r="AJ283" i="2"/>
  <c r="AC283" i="2"/>
  <c r="AA283" i="2"/>
  <c r="P283" i="2"/>
  <c r="G283" i="2"/>
  <c r="AG283" i="2" s="1"/>
  <c r="AM282" i="2"/>
  <c r="AL282" i="2"/>
  <c r="AJ282" i="2"/>
  <c r="AC282" i="2"/>
  <c r="AA282" i="2"/>
  <c r="P282" i="2"/>
  <c r="G282" i="2"/>
  <c r="AM281" i="2"/>
  <c r="AL281" i="2"/>
  <c r="AJ281" i="2"/>
  <c r="AC281" i="2"/>
  <c r="AA281" i="2"/>
  <c r="P281" i="2"/>
  <c r="G281" i="2"/>
  <c r="AG281" i="2" s="1"/>
  <c r="AM280" i="2"/>
  <c r="AL280" i="2"/>
  <c r="AJ280" i="2"/>
  <c r="AC280" i="2"/>
  <c r="AA280" i="2"/>
  <c r="P280" i="2"/>
  <c r="G280" i="2"/>
  <c r="AG280" i="2" s="1"/>
  <c r="AM279" i="2"/>
  <c r="AL279" i="2"/>
  <c r="AJ279" i="2"/>
  <c r="AC279" i="2"/>
  <c r="AA279" i="2"/>
  <c r="P279" i="2"/>
  <c r="G279" i="2"/>
  <c r="AG279" i="2" s="1"/>
  <c r="AM278" i="2"/>
  <c r="AL278" i="2"/>
  <c r="AJ278" i="2"/>
  <c r="AC278" i="2"/>
  <c r="AA278" i="2"/>
  <c r="P278" i="2"/>
  <c r="G278" i="2"/>
  <c r="AG278" i="2" s="1"/>
  <c r="AM277" i="2"/>
  <c r="AL277" i="2"/>
  <c r="AJ277" i="2"/>
  <c r="AC277" i="2"/>
  <c r="AA277" i="2"/>
  <c r="P277" i="2"/>
  <c r="G277" i="2"/>
  <c r="AG277" i="2" s="1"/>
  <c r="AM276" i="2"/>
  <c r="AL276" i="2"/>
  <c r="AJ276" i="2"/>
  <c r="AC276" i="2"/>
  <c r="AA276" i="2"/>
  <c r="P276" i="2"/>
  <c r="G276" i="2"/>
  <c r="AG276" i="2" s="1"/>
  <c r="AM275" i="2"/>
  <c r="AL275" i="2"/>
  <c r="AJ275" i="2"/>
  <c r="AC275" i="2"/>
  <c r="AA275" i="2"/>
  <c r="P275" i="2"/>
  <c r="G275" i="2"/>
  <c r="AG275" i="2" s="1"/>
  <c r="AM274" i="2"/>
  <c r="AL274" i="2"/>
  <c r="AJ274" i="2"/>
  <c r="AC274" i="2"/>
  <c r="AA274" i="2"/>
  <c r="P274" i="2"/>
  <c r="G274" i="2"/>
  <c r="AM273" i="2"/>
  <c r="AL273" i="2"/>
  <c r="AJ273" i="2"/>
  <c r="AC273" i="2"/>
  <c r="AA273" i="2"/>
  <c r="P273" i="2"/>
  <c r="G273" i="2"/>
  <c r="AG273" i="2" s="1"/>
  <c r="AM272" i="2"/>
  <c r="AL272" i="2"/>
  <c r="AJ272" i="2"/>
  <c r="AC272" i="2"/>
  <c r="AA272" i="2"/>
  <c r="P272" i="2"/>
  <c r="G272" i="2"/>
  <c r="AM271" i="2"/>
  <c r="AL271" i="2"/>
  <c r="AJ271" i="2"/>
  <c r="AC271" i="2"/>
  <c r="AA271" i="2"/>
  <c r="P271" i="2"/>
  <c r="G271" i="2"/>
  <c r="AG271" i="2" s="1"/>
  <c r="AM270" i="2"/>
  <c r="AL270" i="2"/>
  <c r="AJ270" i="2"/>
  <c r="AC270" i="2"/>
  <c r="AA270" i="2"/>
  <c r="P270" i="2"/>
  <c r="G270" i="2"/>
  <c r="AM269" i="2"/>
  <c r="AL269" i="2"/>
  <c r="AJ269" i="2"/>
  <c r="AC269" i="2"/>
  <c r="AA269" i="2"/>
  <c r="P269" i="2"/>
  <c r="G269" i="2"/>
  <c r="AG269" i="2" s="1"/>
  <c r="AM268" i="2"/>
  <c r="AL268" i="2"/>
  <c r="AJ268" i="2"/>
  <c r="AC268" i="2"/>
  <c r="AA268" i="2"/>
  <c r="P268" i="2"/>
  <c r="G268" i="2"/>
  <c r="AG268" i="2" s="1"/>
  <c r="AM267" i="2"/>
  <c r="AL267" i="2"/>
  <c r="AJ267" i="2"/>
  <c r="AC267" i="2"/>
  <c r="AA267" i="2"/>
  <c r="P267" i="2"/>
  <c r="G267" i="2"/>
  <c r="AG267" i="2" s="1"/>
  <c r="AM266" i="2"/>
  <c r="AL266" i="2"/>
  <c r="AJ266" i="2"/>
  <c r="AC266" i="2"/>
  <c r="AA266" i="2"/>
  <c r="P266" i="2"/>
  <c r="G266" i="2"/>
  <c r="AG266" i="2" s="1"/>
  <c r="AM265" i="2"/>
  <c r="AL265" i="2"/>
  <c r="AJ265" i="2"/>
  <c r="AC265" i="2"/>
  <c r="AA265" i="2"/>
  <c r="P265" i="2"/>
  <c r="G265" i="2"/>
  <c r="AG265" i="2" s="1"/>
  <c r="AM264" i="2"/>
  <c r="AL264" i="2"/>
  <c r="AJ264" i="2"/>
  <c r="AC264" i="2"/>
  <c r="AA264" i="2"/>
  <c r="P264" i="2"/>
  <c r="G264" i="2"/>
  <c r="AG264" i="2" s="1"/>
  <c r="AM263" i="2"/>
  <c r="AL263" i="2"/>
  <c r="AJ263" i="2"/>
  <c r="AC263" i="2"/>
  <c r="AA263" i="2"/>
  <c r="P263" i="2"/>
  <c r="G263" i="2"/>
  <c r="AG263" i="2" s="1"/>
  <c r="AM262" i="2"/>
  <c r="AL262" i="2"/>
  <c r="AJ262" i="2"/>
  <c r="AC262" i="2"/>
  <c r="AA262" i="2"/>
  <c r="P262" i="2"/>
  <c r="G262" i="2"/>
  <c r="AG262" i="2" s="1"/>
  <c r="AM261" i="2"/>
  <c r="AL261" i="2"/>
  <c r="AJ261" i="2"/>
  <c r="AC261" i="2"/>
  <c r="AA261" i="2"/>
  <c r="P261" i="2"/>
  <c r="G261" i="2"/>
  <c r="AG261" i="2" s="1"/>
  <c r="AM260" i="2"/>
  <c r="AL260" i="2"/>
  <c r="AJ260" i="2"/>
  <c r="AC260" i="2"/>
  <c r="AA260" i="2"/>
  <c r="P260" i="2"/>
  <c r="G260" i="2"/>
  <c r="AG260" i="2" s="1"/>
  <c r="AM259" i="2"/>
  <c r="AL259" i="2"/>
  <c r="AJ259" i="2"/>
  <c r="AC259" i="2"/>
  <c r="AA259" i="2"/>
  <c r="P259" i="2"/>
  <c r="G259" i="2"/>
  <c r="AM258" i="2"/>
  <c r="AL258" i="2"/>
  <c r="AJ258" i="2"/>
  <c r="AC258" i="2"/>
  <c r="AA258" i="2"/>
  <c r="P258" i="2"/>
  <c r="G258" i="2"/>
  <c r="AG258" i="2" s="1"/>
  <c r="AM257" i="2"/>
  <c r="AL257" i="2"/>
  <c r="AJ257" i="2"/>
  <c r="AC257" i="2"/>
  <c r="AA257" i="2"/>
  <c r="P257" i="2"/>
  <c r="G257" i="2"/>
  <c r="AG257" i="2" s="1"/>
  <c r="AM256" i="2"/>
  <c r="AL256" i="2"/>
  <c r="AJ256" i="2"/>
  <c r="AC256" i="2"/>
  <c r="AA256" i="2"/>
  <c r="P256" i="2"/>
  <c r="G256" i="2"/>
  <c r="AG256" i="2" s="1"/>
  <c r="AM255" i="2"/>
  <c r="AL255" i="2"/>
  <c r="AJ255" i="2"/>
  <c r="AC255" i="2"/>
  <c r="AA255" i="2"/>
  <c r="P255" i="2"/>
  <c r="G255" i="2"/>
  <c r="AG255" i="2" s="1"/>
  <c r="AM254" i="2"/>
  <c r="AL254" i="2"/>
  <c r="AJ254" i="2"/>
  <c r="AC254" i="2"/>
  <c r="AA254" i="2"/>
  <c r="P254" i="2"/>
  <c r="G254" i="2"/>
  <c r="AG254" i="2" s="1"/>
  <c r="AM253" i="2"/>
  <c r="AL253" i="2"/>
  <c r="AJ253" i="2"/>
  <c r="AC253" i="2"/>
  <c r="AA253" i="2"/>
  <c r="P253" i="2"/>
  <c r="G253" i="2"/>
  <c r="AG253" i="2" s="1"/>
  <c r="AM252" i="2"/>
  <c r="AL252" i="2"/>
  <c r="AJ252" i="2"/>
  <c r="AC252" i="2"/>
  <c r="AA252" i="2"/>
  <c r="P252" i="2"/>
  <c r="G252" i="2"/>
  <c r="AG252" i="2" s="1"/>
  <c r="AM251" i="2"/>
  <c r="AL251" i="2"/>
  <c r="AJ251" i="2"/>
  <c r="AC251" i="2"/>
  <c r="AA251" i="2"/>
  <c r="P251" i="2"/>
  <c r="G251" i="2"/>
  <c r="AM250" i="2"/>
  <c r="AL250" i="2"/>
  <c r="AJ250" i="2"/>
  <c r="AC250" i="2"/>
  <c r="AA250" i="2"/>
  <c r="P250" i="2"/>
  <c r="G250" i="2"/>
  <c r="AG250" i="2" s="1"/>
  <c r="AM249" i="2"/>
  <c r="AL249" i="2"/>
  <c r="AJ249" i="2"/>
  <c r="AC249" i="2"/>
  <c r="AA249" i="2"/>
  <c r="P249" i="2"/>
  <c r="G249" i="2"/>
  <c r="AG249" i="2" s="1"/>
  <c r="AM248" i="2"/>
  <c r="AL248" i="2"/>
  <c r="AJ248" i="2"/>
  <c r="AC248" i="2"/>
  <c r="AA248" i="2"/>
  <c r="P248" i="2"/>
  <c r="G248" i="2"/>
  <c r="AM247" i="2"/>
  <c r="AL247" i="2"/>
  <c r="AJ247" i="2"/>
  <c r="AC247" i="2"/>
  <c r="AA247" i="2"/>
  <c r="P247" i="2"/>
  <c r="G247" i="2"/>
  <c r="AG247" i="2" s="1"/>
  <c r="AM246" i="2"/>
  <c r="AL246" i="2"/>
  <c r="AJ246" i="2"/>
  <c r="AC246" i="2"/>
  <c r="AA246" i="2"/>
  <c r="P246" i="2"/>
  <c r="G246" i="2"/>
  <c r="AG246" i="2" s="1"/>
  <c r="AM245" i="2"/>
  <c r="AL245" i="2"/>
  <c r="AJ245" i="2"/>
  <c r="AC245" i="2"/>
  <c r="AA245" i="2"/>
  <c r="P245" i="2"/>
  <c r="G245" i="2"/>
  <c r="AG245" i="2" s="1"/>
  <c r="AM244" i="2"/>
  <c r="AL244" i="2"/>
  <c r="AJ244" i="2"/>
  <c r="AC244" i="2"/>
  <c r="AA244" i="2"/>
  <c r="P244" i="2"/>
  <c r="G244" i="2"/>
  <c r="AG244" i="2" s="1"/>
  <c r="AM243" i="2"/>
  <c r="AL243" i="2"/>
  <c r="AJ243" i="2"/>
  <c r="AC243" i="2"/>
  <c r="AA243" i="2"/>
  <c r="P243" i="2"/>
  <c r="G243" i="2"/>
  <c r="AM242" i="2"/>
  <c r="AL242" i="2"/>
  <c r="AJ242" i="2"/>
  <c r="AC242" i="2"/>
  <c r="AA242" i="2"/>
  <c r="P242" i="2"/>
  <c r="G242" i="2"/>
  <c r="AG242" i="2" s="1"/>
  <c r="AM241" i="2"/>
  <c r="AL241" i="2"/>
  <c r="AJ241" i="2"/>
  <c r="AC241" i="2"/>
  <c r="AA241" i="2"/>
  <c r="P241" i="2"/>
  <c r="G241" i="2"/>
  <c r="AG241" i="2" s="1"/>
  <c r="AM240" i="2"/>
  <c r="AL240" i="2"/>
  <c r="AJ240" i="2"/>
  <c r="AC240" i="2"/>
  <c r="AA240" i="2"/>
  <c r="P240" i="2"/>
  <c r="G240" i="2"/>
  <c r="AG240" i="2" s="1"/>
  <c r="AM239" i="2"/>
  <c r="AL239" i="2"/>
  <c r="AJ239" i="2"/>
  <c r="AC239" i="2"/>
  <c r="AA239" i="2"/>
  <c r="P239" i="2"/>
  <c r="G239" i="2"/>
  <c r="AG239" i="2" s="1"/>
  <c r="AM238" i="2"/>
  <c r="AL238" i="2"/>
  <c r="AJ238" i="2"/>
  <c r="AC238" i="2"/>
  <c r="AA238" i="2"/>
  <c r="P238" i="2"/>
  <c r="G238" i="2"/>
  <c r="AG238" i="2" s="1"/>
  <c r="AM237" i="2"/>
  <c r="AL237" i="2"/>
  <c r="AJ237" i="2"/>
  <c r="AC237" i="2"/>
  <c r="AA237" i="2"/>
  <c r="P237" i="2"/>
  <c r="G237" i="2"/>
  <c r="AG237" i="2" s="1"/>
  <c r="AM236" i="2"/>
  <c r="AL236" i="2"/>
  <c r="AJ236" i="2"/>
  <c r="AC236" i="2"/>
  <c r="AA236" i="2"/>
  <c r="P236" i="2"/>
  <c r="G236" i="2"/>
  <c r="AG236" i="2" s="1"/>
  <c r="AM235" i="2"/>
  <c r="AL235" i="2"/>
  <c r="AJ235" i="2"/>
  <c r="AC235" i="2"/>
  <c r="AA235" i="2"/>
  <c r="P235" i="2"/>
  <c r="G235" i="2"/>
  <c r="AM234" i="2"/>
  <c r="AL234" i="2"/>
  <c r="AJ234" i="2"/>
  <c r="AC234" i="2"/>
  <c r="AA234" i="2"/>
  <c r="P234" i="2"/>
  <c r="G234" i="2"/>
  <c r="AG234" i="2" s="1"/>
  <c r="AM233" i="2"/>
  <c r="AL233" i="2"/>
  <c r="AJ233" i="2"/>
  <c r="AC233" i="2"/>
  <c r="AA233" i="2"/>
  <c r="P233" i="2"/>
  <c r="G233" i="2"/>
  <c r="AG233" i="2" s="1"/>
  <c r="AM232" i="2"/>
  <c r="AL232" i="2"/>
  <c r="AJ232" i="2"/>
  <c r="AC232" i="2"/>
  <c r="AA232" i="2"/>
  <c r="P232" i="2"/>
  <c r="G232" i="2"/>
  <c r="AG232" i="2" s="1"/>
  <c r="AM231" i="2"/>
  <c r="AL231" i="2"/>
  <c r="AJ231" i="2"/>
  <c r="AC231" i="2"/>
  <c r="AA231" i="2"/>
  <c r="P231" i="2"/>
  <c r="G231" i="2"/>
  <c r="AG231" i="2" s="1"/>
  <c r="AM230" i="2"/>
  <c r="AL230" i="2"/>
  <c r="AJ230" i="2"/>
  <c r="AC230" i="2"/>
  <c r="AA230" i="2"/>
  <c r="P230" i="2"/>
  <c r="G230" i="2"/>
  <c r="AG230" i="2" s="1"/>
  <c r="AM229" i="2"/>
  <c r="AL229" i="2"/>
  <c r="AJ229" i="2"/>
  <c r="AC229" i="2"/>
  <c r="AA229" i="2"/>
  <c r="P229" i="2"/>
  <c r="G229" i="2"/>
  <c r="AG229" i="2" s="1"/>
  <c r="AM228" i="2"/>
  <c r="AL228" i="2"/>
  <c r="AJ228" i="2"/>
  <c r="AC228" i="2"/>
  <c r="AA228" i="2"/>
  <c r="P228" i="2"/>
  <c r="G228" i="2"/>
  <c r="AG228" i="2" s="1"/>
  <c r="AM227" i="2"/>
  <c r="AL227" i="2"/>
  <c r="AJ227" i="2"/>
  <c r="AC227" i="2"/>
  <c r="AA227" i="2"/>
  <c r="P227" i="2"/>
  <c r="G227" i="2"/>
  <c r="AM226" i="2"/>
  <c r="AL226" i="2"/>
  <c r="AJ226" i="2"/>
  <c r="AC226" i="2"/>
  <c r="AA226" i="2"/>
  <c r="P226" i="2"/>
  <c r="G226" i="2"/>
  <c r="AG226" i="2" s="1"/>
  <c r="AM225" i="2"/>
  <c r="AL225" i="2"/>
  <c r="AJ225" i="2"/>
  <c r="AC225" i="2"/>
  <c r="AA225" i="2"/>
  <c r="P225" i="2"/>
  <c r="G225" i="2"/>
  <c r="AG225" i="2" s="1"/>
  <c r="AM224" i="2"/>
  <c r="AL224" i="2"/>
  <c r="AJ224" i="2"/>
  <c r="AC224" i="2"/>
  <c r="AA224" i="2"/>
  <c r="P224" i="2"/>
  <c r="G224" i="2"/>
  <c r="AG224" i="2" s="1"/>
  <c r="AM223" i="2"/>
  <c r="AL223" i="2"/>
  <c r="AJ223" i="2"/>
  <c r="AC223" i="2"/>
  <c r="AA223" i="2"/>
  <c r="P223" i="2"/>
  <c r="G223" i="2"/>
  <c r="AG223" i="2" s="1"/>
  <c r="AM222" i="2"/>
  <c r="AL222" i="2"/>
  <c r="AJ222" i="2"/>
  <c r="AC222" i="2"/>
  <c r="AA222" i="2"/>
  <c r="P222" i="2"/>
  <c r="G222" i="2"/>
  <c r="AG222" i="2" s="1"/>
  <c r="AM221" i="2"/>
  <c r="AL221" i="2"/>
  <c r="AJ221" i="2"/>
  <c r="AC221" i="2"/>
  <c r="AA221" i="2"/>
  <c r="P221" i="2"/>
  <c r="G221" i="2"/>
  <c r="AG221" i="2" s="1"/>
  <c r="AM220" i="2"/>
  <c r="AL220" i="2"/>
  <c r="AJ220" i="2"/>
  <c r="AC220" i="2"/>
  <c r="AA220" i="2"/>
  <c r="P220" i="2"/>
  <c r="G220" i="2"/>
  <c r="AG220" i="2" s="1"/>
  <c r="AM219" i="2"/>
  <c r="AL219" i="2"/>
  <c r="AJ219" i="2"/>
  <c r="AC219" i="2"/>
  <c r="AA219" i="2"/>
  <c r="P219" i="2"/>
  <c r="G219" i="2"/>
  <c r="AM218" i="2"/>
  <c r="AL218" i="2"/>
  <c r="AJ218" i="2"/>
  <c r="AC218" i="2"/>
  <c r="AA218" i="2"/>
  <c r="P218" i="2"/>
  <c r="G218" i="2"/>
  <c r="AG218" i="2" s="1"/>
  <c r="AM217" i="2"/>
  <c r="AL217" i="2"/>
  <c r="AJ217" i="2"/>
  <c r="AC217" i="2"/>
  <c r="AA217" i="2"/>
  <c r="P217" i="2"/>
  <c r="G217" i="2"/>
  <c r="AG217" i="2" s="1"/>
  <c r="AM216" i="2"/>
  <c r="AL216" i="2"/>
  <c r="AJ216" i="2"/>
  <c r="AC216" i="2"/>
  <c r="AA216" i="2"/>
  <c r="P216" i="2"/>
  <c r="G216" i="2"/>
  <c r="AM215" i="2"/>
  <c r="AL215" i="2"/>
  <c r="AJ215" i="2"/>
  <c r="AC215" i="2"/>
  <c r="AA215" i="2"/>
  <c r="P215" i="2"/>
  <c r="G215" i="2"/>
  <c r="AG215" i="2" s="1"/>
  <c r="AM214" i="2"/>
  <c r="AL214" i="2"/>
  <c r="AJ214" i="2"/>
  <c r="AC214" i="2"/>
  <c r="AA214" i="2"/>
  <c r="P214" i="2"/>
  <c r="G214" i="2"/>
  <c r="AG214" i="2" s="1"/>
  <c r="AM213" i="2"/>
  <c r="AL213" i="2"/>
  <c r="AJ213" i="2"/>
  <c r="AC213" i="2"/>
  <c r="AA213" i="2"/>
  <c r="P213" i="2"/>
  <c r="G213" i="2"/>
  <c r="AG213" i="2" s="1"/>
  <c r="AM212" i="2"/>
  <c r="AL212" i="2"/>
  <c r="AJ212" i="2"/>
  <c r="AC212" i="2"/>
  <c r="AA212" i="2"/>
  <c r="P212" i="2"/>
  <c r="G212" i="2"/>
  <c r="AG212" i="2" s="1"/>
  <c r="AM211" i="2"/>
  <c r="AL211" i="2"/>
  <c r="AJ211" i="2"/>
  <c r="AC211" i="2"/>
  <c r="AA211" i="2"/>
  <c r="P211" i="2"/>
  <c r="G211" i="2"/>
  <c r="AM210" i="2"/>
  <c r="AL210" i="2"/>
  <c r="AJ210" i="2"/>
  <c r="AC210" i="2"/>
  <c r="AA210" i="2"/>
  <c r="P210" i="2"/>
  <c r="G210" i="2"/>
  <c r="AG210" i="2" s="1"/>
  <c r="AM209" i="2"/>
  <c r="AL209" i="2"/>
  <c r="AJ209" i="2"/>
  <c r="AC209" i="2"/>
  <c r="AA209" i="2"/>
  <c r="P209" i="2"/>
  <c r="G209" i="2"/>
  <c r="AG209" i="2" s="1"/>
  <c r="AX208" i="2"/>
  <c r="AM208" i="2"/>
  <c r="AL208" i="2"/>
  <c r="AJ208" i="2"/>
  <c r="AC208" i="2"/>
  <c r="AA208" i="2"/>
  <c r="P208" i="2"/>
  <c r="G208" i="2"/>
  <c r="AG208" i="2" s="1"/>
  <c r="AX207" i="2"/>
  <c r="AM207" i="2"/>
  <c r="AL207" i="2"/>
  <c r="AJ207" i="2"/>
  <c r="AC207" i="2"/>
  <c r="AA207" i="2"/>
  <c r="P207" i="2"/>
  <c r="G207" i="2"/>
  <c r="AG207" i="2" s="1"/>
  <c r="AX206" i="2"/>
  <c r="AM206" i="2"/>
  <c r="AL206" i="2"/>
  <c r="AJ206" i="2"/>
  <c r="AC206" i="2"/>
  <c r="AA206" i="2"/>
  <c r="P206" i="2"/>
  <c r="G206" i="2"/>
  <c r="AG206" i="2" s="1"/>
  <c r="AX205" i="2"/>
  <c r="AM205" i="2"/>
  <c r="AL205" i="2"/>
  <c r="AK205" i="2"/>
  <c r="AJ205" i="2"/>
  <c r="AC205" i="2"/>
  <c r="AA205" i="2"/>
  <c r="P205" i="2"/>
  <c r="G205" i="2"/>
  <c r="AG205" i="2" s="1"/>
  <c r="AH205" i="2" s="1"/>
  <c r="AX204" i="2"/>
  <c r="AM204" i="2"/>
  <c r="AL204" i="2"/>
  <c r="AJ204" i="2"/>
  <c r="AC204" i="2"/>
  <c r="AA204" i="2"/>
  <c r="P204" i="2"/>
  <c r="G204" i="2"/>
  <c r="AX203" i="2"/>
  <c r="AM203" i="2"/>
  <c r="AL203" i="2"/>
  <c r="AJ203" i="2"/>
  <c r="AC203" i="2"/>
  <c r="AA203" i="2"/>
  <c r="P203" i="2"/>
  <c r="G203" i="2"/>
  <c r="AG203" i="2" s="1"/>
  <c r="AX202" i="2"/>
  <c r="AM202" i="2"/>
  <c r="AL202" i="2"/>
  <c r="AJ202" i="2"/>
  <c r="AC202" i="2"/>
  <c r="AA202" i="2"/>
  <c r="P202" i="2"/>
  <c r="G202" i="2"/>
  <c r="AG202" i="2" s="1"/>
  <c r="AX201" i="2"/>
  <c r="AM201" i="2"/>
  <c r="AL201" i="2"/>
  <c r="AJ201" i="2"/>
  <c r="AC201" i="2"/>
  <c r="AA201" i="2"/>
  <c r="P201" i="2"/>
  <c r="G201" i="2"/>
  <c r="AG201" i="2" s="1"/>
  <c r="AX200" i="2"/>
  <c r="AM200" i="2"/>
  <c r="AL200" i="2"/>
  <c r="AJ200" i="2"/>
  <c r="AC200" i="2"/>
  <c r="AA200" i="2"/>
  <c r="P200" i="2"/>
  <c r="G200" i="2"/>
  <c r="AG200" i="2" s="1"/>
  <c r="AX199" i="2"/>
  <c r="AM199" i="2"/>
  <c r="AL199" i="2"/>
  <c r="AJ199" i="2"/>
  <c r="AC199" i="2"/>
  <c r="AA199" i="2"/>
  <c r="P199" i="2"/>
  <c r="G199" i="2"/>
  <c r="AG199" i="2" s="1"/>
  <c r="AX198" i="2"/>
  <c r="AM198" i="2"/>
  <c r="AL198" i="2"/>
  <c r="AJ198" i="2"/>
  <c r="AC198" i="2"/>
  <c r="AA198" i="2"/>
  <c r="P198" i="2"/>
  <c r="G198" i="2"/>
  <c r="AG198" i="2" s="1"/>
  <c r="AX197" i="2"/>
  <c r="AM197" i="2"/>
  <c r="AL197" i="2"/>
  <c r="AJ197" i="2"/>
  <c r="AC197" i="2"/>
  <c r="AA197" i="2"/>
  <c r="P197" i="2"/>
  <c r="G197" i="2"/>
  <c r="AG197" i="2" s="1"/>
  <c r="AH197" i="2" s="1"/>
  <c r="AX196" i="2"/>
  <c r="AM196" i="2"/>
  <c r="AL196" i="2"/>
  <c r="AJ196" i="2"/>
  <c r="AC196" i="2"/>
  <c r="AA196" i="2"/>
  <c r="P196" i="2"/>
  <c r="G196" i="2"/>
  <c r="AX195" i="2"/>
  <c r="AM195" i="2"/>
  <c r="AL195" i="2"/>
  <c r="AJ195" i="2"/>
  <c r="AC195" i="2"/>
  <c r="AA195" i="2"/>
  <c r="P195" i="2"/>
  <c r="G195" i="2"/>
  <c r="AG195" i="2" s="1"/>
  <c r="AX194" i="2"/>
  <c r="AM194" i="2"/>
  <c r="AL194" i="2"/>
  <c r="AJ194" i="2"/>
  <c r="AC194" i="2"/>
  <c r="AA194" i="2"/>
  <c r="P194" i="2"/>
  <c r="G194" i="2"/>
  <c r="AX193" i="2"/>
  <c r="AM193" i="2"/>
  <c r="AL193" i="2"/>
  <c r="AJ193" i="2"/>
  <c r="AC193" i="2"/>
  <c r="AA193" i="2"/>
  <c r="P193" i="2"/>
  <c r="G193" i="2"/>
  <c r="AG193" i="2" s="1"/>
  <c r="AX192" i="2"/>
  <c r="AM192" i="2"/>
  <c r="AL192" i="2"/>
  <c r="AJ192" i="2"/>
  <c r="AC192" i="2"/>
  <c r="AA192" i="2"/>
  <c r="P192" i="2"/>
  <c r="G192" i="2"/>
  <c r="AG192" i="2" s="1"/>
  <c r="AX191" i="2"/>
  <c r="AM191" i="2"/>
  <c r="AL191" i="2"/>
  <c r="AJ191" i="2"/>
  <c r="AC191" i="2"/>
  <c r="AA191" i="2"/>
  <c r="P191" i="2"/>
  <c r="G191" i="2"/>
  <c r="AG191" i="2" s="1"/>
  <c r="AX190" i="2"/>
  <c r="AM190" i="2"/>
  <c r="AL190" i="2"/>
  <c r="AJ190" i="2"/>
  <c r="AC190" i="2"/>
  <c r="AA190" i="2"/>
  <c r="P190" i="2"/>
  <c r="G190" i="2"/>
  <c r="AG190" i="2" s="1"/>
  <c r="AX189" i="2"/>
  <c r="AM189" i="2"/>
  <c r="AL189" i="2"/>
  <c r="AK189" i="2"/>
  <c r="AJ189" i="2"/>
  <c r="AC189" i="2"/>
  <c r="AA189" i="2"/>
  <c r="P189" i="2"/>
  <c r="G189" i="2"/>
  <c r="AG189" i="2" s="1"/>
  <c r="AH189" i="2" s="1"/>
  <c r="AX188" i="2"/>
  <c r="AM188" i="2"/>
  <c r="AL188" i="2"/>
  <c r="AJ188" i="2"/>
  <c r="AC188" i="2"/>
  <c r="AA188" i="2"/>
  <c r="P188" i="2"/>
  <c r="G188" i="2"/>
  <c r="AX187" i="2"/>
  <c r="AM187" i="2"/>
  <c r="AL187" i="2"/>
  <c r="AJ187" i="2"/>
  <c r="AC187" i="2"/>
  <c r="AA187" i="2"/>
  <c r="P187" i="2"/>
  <c r="G187" i="2"/>
  <c r="AG187" i="2" s="1"/>
  <c r="AX186" i="2"/>
  <c r="AM186" i="2"/>
  <c r="AL186" i="2"/>
  <c r="AJ186" i="2"/>
  <c r="AC186" i="2"/>
  <c r="AA186" i="2"/>
  <c r="P186" i="2"/>
  <c r="G186" i="2"/>
  <c r="AG186" i="2" s="1"/>
  <c r="AX185" i="2"/>
  <c r="AM185" i="2"/>
  <c r="AL185" i="2"/>
  <c r="AJ185" i="2"/>
  <c r="AC185" i="2"/>
  <c r="AA185" i="2"/>
  <c r="P185" i="2"/>
  <c r="G185" i="2"/>
  <c r="AG185" i="2" s="1"/>
  <c r="AX184" i="2"/>
  <c r="AM184" i="2"/>
  <c r="AL184" i="2"/>
  <c r="AJ184" i="2"/>
  <c r="AC184" i="2"/>
  <c r="AA184" i="2"/>
  <c r="P184" i="2"/>
  <c r="G184" i="2"/>
  <c r="AG184" i="2" s="1"/>
  <c r="AX183" i="2"/>
  <c r="AM183" i="2"/>
  <c r="AL183" i="2"/>
  <c r="AJ183" i="2"/>
  <c r="AC183" i="2"/>
  <c r="AA183" i="2"/>
  <c r="P183" i="2"/>
  <c r="G183" i="2"/>
  <c r="AG183" i="2" s="1"/>
  <c r="AX182" i="2"/>
  <c r="AM182" i="2"/>
  <c r="AL182" i="2"/>
  <c r="AJ182" i="2"/>
  <c r="AC182" i="2"/>
  <c r="AA182" i="2"/>
  <c r="P182" i="2"/>
  <c r="G182" i="2"/>
  <c r="AG182" i="2" s="1"/>
  <c r="AX181" i="2"/>
  <c r="AM181" i="2"/>
  <c r="AL181" i="2"/>
  <c r="AJ181" i="2"/>
  <c r="AC181" i="2"/>
  <c r="AA181" i="2"/>
  <c r="P181" i="2"/>
  <c r="G181" i="2"/>
  <c r="AG181" i="2" s="1"/>
  <c r="AX180" i="2"/>
  <c r="AM180" i="2"/>
  <c r="AL180" i="2"/>
  <c r="AJ180" i="2"/>
  <c r="AC180" i="2"/>
  <c r="AA180" i="2"/>
  <c r="P180" i="2"/>
  <c r="G180" i="2"/>
  <c r="AG180" i="2" s="1"/>
  <c r="AX179" i="2"/>
  <c r="AM179" i="2"/>
  <c r="AL179" i="2"/>
  <c r="AJ179" i="2"/>
  <c r="AC179" i="2"/>
  <c r="AA179" i="2"/>
  <c r="P179" i="2"/>
  <c r="G179" i="2"/>
  <c r="AG179" i="2" s="1"/>
  <c r="AX178" i="2"/>
  <c r="AM178" i="2"/>
  <c r="AL178" i="2"/>
  <c r="AJ178" i="2"/>
  <c r="AC178" i="2"/>
  <c r="AA178" i="2"/>
  <c r="P178" i="2"/>
  <c r="G178" i="2"/>
  <c r="AG178" i="2" s="1"/>
  <c r="AX177" i="2"/>
  <c r="AM177" i="2"/>
  <c r="AL177" i="2"/>
  <c r="AJ177" i="2"/>
  <c r="AC177" i="2"/>
  <c r="AA177" i="2"/>
  <c r="P177" i="2"/>
  <c r="G177" i="2"/>
  <c r="AG177" i="2" s="1"/>
  <c r="AX176" i="2"/>
  <c r="AM176" i="2"/>
  <c r="AL176" i="2"/>
  <c r="AJ176" i="2"/>
  <c r="AC176" i="2"/>
  <c r="AA176" i="2"/>
  <c r="P176" i="2"/>
  <c r="G176" i="2"/>
  <c r="AG176" i="2" s="1"/>
  <c r="AX175" i="2"/>
  <c r="AM175" i="2"/>
  <c r="AL175" i="2"/>
  <c r="AJ175" i="2"/>
  <c r="AC175" i="2"/>
  <c r="AA175" i="2"/>
  <c r="P175" i="2"/>
  <c r="G175" i="2"/>
  <c r="AG175" i="2" s="1"/>
  <c r="AX174" i="2"/>
  <c r="AM174" i="2"/>
  <c r="AL174" i="2"/>
  <c r="AJ174" i="2"/>
  <c r="AC174" i="2"/>
  <c r="AA174" i="2"/>
  <c r="P174" i="2"/>
  <c r="G174" i="2"/>
  <c r="AG174" i="2" s="1"/>
  <c r="AX173" i="2"/>
  <c r="AM173" i="2"/>
  <c r="AL173" i="2"/>
  <c r="AJ173" i="2"/>
  <c r="AC173" i="2"/>
  <c r="AA173" i="2"/>
  <c r="P173" i="2"/>
  <c r="G173" i="2"/>
  <c r="AG173" i="2" s="1"/>
  <c r="AH173" i="2" s="1"/>
  <c r="AX172" i="2"/>
  <c r="AM172" i="2"/>
  <c r="AL172" i="2"/>
  <c r="AJ172" i="2"/>
  <c r="AC172" i="2"/>
  <c r="AA172" i="2"/>
  <c r="P172" i="2"/>
  <c r="G172" i="2"/>
  <c r="AX171" i="2"/>
  <c r="AM171" i="2"/>
  <c r="AL171" i="2"/>
  <c r="AJ171" i="2"/>
  <c r="AC171" i="2"/>
  <c r="AA171" i="2"/>
  <c r="P171" i="2"/>
  <c r="G171" i="2"/>
  <c r="AG171" i="2" s="1"/>
  <c r="AX170" i="2"/>
  <c r="AM170" i="2"/>
  <c r="AL170" i="2"/>
  <c r="AJ170" i="2"/>
  <c r="AC170" i="2"/>
  <c r="AA170" i="2"/>
  <c r="P170" i="2"/>
  <c r="G170" i="2"/>
  <c r="AG170" i="2" s="1"/>
  <c r="AX169" i="2"/>
  <c r="AM169" i="2"/>
  <c r="AL169" i="2"/>
  <c r="AJ169" i="2"/>
  <c r="AC169" i="2"/>
  <c r="AA169" i="2"/>
  <c r="P169" i="2"/>
  <c r="G169" i="2"/>
  <c r="AG169" i="2" s="1"/>
  <c r="AX168" i="2"/>
  <c r="AM168" i="2"/>
  <c r="AL168" i="2"/>
  <c r="AJ168" i="2"/>
  <c r="AC168" i="2"/>
  <c r="AA168" i="2"/>
  <c r="P168" i="2"/>
  <c r="G168" i="2"/>
  <c r="AG168" i="2" s="1"/>
  <c r="AX167" i="2"/>
  <c r="AM167" i="2"/>
  <c r="AL167" i="2"/>
  <c r="AJ167" i="2"/>
  <c r="AC167" i="2"/>
  <c r="AA167" i="2"/>
  <c r="P167" i="2"/>
  <c r="G167" i="2"/>
  <c r="AG167" i="2" s="1"/>
  <c r="AX166" i="2"/>
  <c r="AM166" i="2"/>
  <c r="AL166" i="2"/>
  <c r="AJ166" i="2"/>
  <c r="AC166" i="2"/>
  <c r="AA166" i="2"/>
  <c r="P166" i="2"/>
  <c r="G166" i="2"/>
  <c r="AG166" i="2" s="1"/>
  <c r="AX165" i="2"/>
  <c r="AM165" i="2"/>
  <c r="AL165" i="2"/>
  <c r="AJ165" i="2"/>
  <c r="AC165" i="2"/>
  <c r="AA165" i="2"/>
  <c r="P165" i="2"/>
  <c r="G165" i="2"/>
  <c r="AG165" i="2" s="1"/>
  <c r="AX164" i="2"/>
  <c r="AM164" i="2"/>
  <c r="AL164" i="2"/>
  <c r="AJ164" i="2"/>
  <c r="AC164" i="2"/>
  <c r="AA164" i="2"/>
  <c r="P164" i="2"/>
  <c r="G164" i="2"/>
  <c r="AG164" i="2" s="1"/>
  <c r="AX163" i="2"/>
  <c r="AM163" i="2"/>
  <c r="AL163" i="2"/>
  <c r="AJ163" i="2"/>
  <c r="AC163" i="2"/>
  <c r="AA163" i="2"/>
  <c r="P163" i="2"/>
  <c r="G163" i="2"/>
  <c r="AG163" i="2" s="1"/>
  <c r="AX162" i="2"/>
  <c r="AM162" i="2"/>
  <c r="AL162" i="2"/>
  <c r="AJ162" i="2"/>
  <c r="AC162" i="2"/>
  <c r="AA162" i="2"/>
  <c r="P162" i="2"/>
  <c r="G162" i="2"/>
  <c r="AG162" i="2" s="1"/>
  <c r="AX161" i="2"/>
  <c r="AM161" i="2"/>
  <c r="AL161" i="2"/>
  <c r="AJ161" i="2"/>
  <c r="AC161" i="2"/>
  <c r="AA161" i="2"/>
  <c r="P161" i="2"/>
  <c r="G161" i="2"/>
  <c r="AG161" i="2" s="1"/>
  <c r="AX160" i="2"/>
  <c r="AM160" i="2"/>
  <c r="AL160" i="2"/>
  <c r="AJ160" i="2"/>
  <c r="AC160" i="2"/>
  <c r="AA160" i="2"/>
  <c r="P160" i="2"/>
  <c r="G160" i="2"/>
  <c r="AG160" i="2" s="1"/>
  <c r="AX159" i="2"/>
  <c r="AM159" i="2"/>
  <c r="AL159" i="2"/>
  <c r="AJ159" i="2"/>
  <c r="AC159" i="2"/>
  <c r="AA159" i="2"/>
  <c r="P159" i="2"/>
  <c r="G159" i="2"/>
  <c r="AG159" i="2" s="1"/>
  <c r="AX158" i="2"/>
  <c r="AM158" i="2"/>
  <c r="AL158" i="2"/>
  <c r="AJ158" i="2"/>
  <c r="AC158" i="2"/>
  <c r="AA158" i="2"/>
  <c r="P158" i="2"/>
  <c r="G158" i="2"/>
  <c r="AG158" i="2" s="1"/>
  <c r="AX157" i="2"/>
  <c r="AM157" i="2"/>
  <c r="AL157" i="2"/>
  <c r="AJ157" i="2"/>
  <c r="AC157" i="2"/>
  <c r="AA157" i="2"/>
  <c r="P157" i="2"/>
  <c r="G157" i="2"/>
  <c r="AG157" i="2" s="1"/>
  <c r="AH157" i="2" s="1"/>
  <c r="AX156" i="2"/>
  <c r="AM156" i="2"/>
  <c r="AL156" i="2"/>
  <c r="AJ156" i="2"/>
  <c r="AC156" i="2"/>
  <c r="AA156" i="2"/>
  <c r="P156" i="2"/>
  <c r="G156" i="2"/>
  <c r="AX155" i="2"/>
  <c r="AM155" i="2"/>
  <c r="AL155" i="2"/>
  <c r="AJ155" i="2"/>
  <c r="AC155" i="2"/>
  <c r="AA155" i="2"/>
  <c r="P155" i="2"/>
  <c r="G155" i="2"/>
  <c r="AG155" i="2" s="1"/>
  <c r="AX154" i="2"/>
  <c r="AM154" i="2"/>
  <c r="AL154" i="2"/>
  <c r="AJ154" i="2"/>
  <c r="AC154" i="2"/>
  <c r="AA154" i="2"/>
  <c r="P154" i="2"/>
  <c r="G154" i="2"/>
  <c r="AG154" i="2" s="1"/>
  <c r="AX153" i="2"/>
  <c r="AM153" i="2"/>
  <c r="AL153" i="2"/>
  <c r="AJ153" i="2"/>
  <c r="AK153" i="2" s="1"/>
  <c r="AX152" i="2"/>
  <c r="AM152" i="2"/>
  <c r="AL152" i="2"/>
  <c r="AJ152" i="2"/>
  <c r="AC152" i="2"/>
  <c r="AA152" i="2"/>
  <c r="P152" i="2"/>
  <c r="G152" i="2"/>
  <c r="AG152" i="2" s="1"/>
  <c r="AX151" i="2"/>
  <c r="AM151" i="2"/>
  <c r="AL151" i="2"/>
  <c r="AJ151" i="2"/>
  <c r="AC151" i="2"/>
  <c r="AA151" i="2"/>
  <c r="P151" i="2"/>
  <c r="G151" i="2"/>
  <c r="AG151" i="2" s="1"/>
  <c r="AX150" i="2"/>
  <c r="AM150" i="2"/>
  <c r="AL150" i="2"/>
  <c r="AJ150" i="2"/>
  <c r="AC150" i="2"/>
  <c r="AA150" i="2"/>
  <c r="P150" i="2"/>
  <c r="G150" i="2"/>
  <c r="AG150" i="2" s="1"/>
  <c r="AX149" i="2"/>
  <c r="AM149" i="2"/>
  <c r="AL149" i="2"/>
  <c r="AJ149" i="2"/>
  <c r="AK149" i="2" s="1"/>
  <c r="AP149" i="2" s="1"/>
  <c r="AX148" i="2"/>
  <c r="AM148" i="2"/>
  <c r="AL148" i="2"/>
  <c r="AJ148" i="2"/>
  <c r="AK148" i="2" s="1"/>
  <c r="AX147" i="2"/>
  <c r="AR147" i="2"/>
  <c r="AM147" i="2"/>
  <c r="AL147" i="2"/>
  <c r="AJ147" i="2"/>
  <c r="AK147" i="2" s="1"/>
  <c r="AP147" i="2" s="1"/>
  <c r="AX146" i="2"/>
  <c r="AM146" i="2"/>
  <c r="AL146" i="2"/>
  <c r="AJ146" i="2"/>
  <c r="AK146" i="2" s="1"/>
  <c r="AX145" i="2"/>
  <c r="AR145" i="2"/>
  <c r="AM145" i="2"/>
  <c r="AL145" i="2"/>
  <c r="AJ145" i="2"/>
  <c r="AK145" i="2" s="1"/>
  <c r="AP145" i="2" s="1"/>
  <c r="AX144" i="2"/>
  <c r="AM144" i="2"/>
  <c r="AL144" i="2"/>
  <c r="AJ144" i="2"/>
  <c r="AK144" i="2" s="1"/>
  <c r="AX143" i="2"/>
  <c r="AR143" i="2"/>
  <c r="AM143" i="2"/>
  <c r="AL143" i="2"/>
  <c r="AJ143" i="2"/>
  <c r="AK143" i="2" s="1"/>
  <c r="AP143" i="2" s="1"/>
  <c r="AX142" i="2"/>
  <c r="AM142" i="2"/>
  <c r="AL142" i="2"/>
  <c r="AJ142" i="2"/>
  <c r="AK142" i="2" s="1"/>
  <c r="AX141" i="2"/>
  <c r="AM141" i="2"/>
  <c r="AL141" i="2"/>
  <c r="AJ141" i="2"/>
  <c r="AK141" i="2" s="1"/>
  <c r="AP141" i="2" s="1"/>
  <c r="AX140" i="2"/>
  <c r="AM140" i="2"/>
  <c r="AL140" i="2"/>
  <c r="AJ140" i="2"/>
  <c r="AK140" i="2" s="1"/>
  <c r="AX139" i="2"/>
  <c r="AR139" i="2"/>
  <c r="AM139" i="2"/>
  <c r="AL139" i="2"/>
  <c r="AJ139" i="2"/>
  <c r="AK139" i="2" s="1"/>
  <c r="AP139" i="2" s="1"/>
  <c r="AX138" i="2"/>
  <c r="AM138" i="2"/>
  <c r="AL138" i="2"/>
  <c r="AJ138" i="2"/>
  <c r="AK138" i="2" s="1"/>
  <c r="AX137" i="2"/>
  <c r="AR137" i="2"/>
  <c r="AM137" i="2"/>
  <c r="AL137" i="2"/>
  <c r="AJ137" i="2"/>
  <c r="AK137" i="2" s="1"/>
  <c r="AP137" i="2" s="1"/>
  <c r="AX136" i="2"/>
  <c r="AM136" i="2"/>
  <c r="AL136" i="2"/>
  <c r="AJ136" i="2"/>
  <c r="AC136" i="2"/>
  <c r="AA136" i="2"/>
  <c r="P136" i="2"/>
  <c r="G136" i="2"/>
  <c r="AG136" i="2" s="1"/>
  <c r="AX135" i="2"/>
  <c r="AM135" i="2"/>
  <c r="AL135" i="2"/>
  <c r="AJ135" i="2"/>
  <c r="AC135" i="2"/>
  <c r="AA135" i="2"/>
  <c r="P135" i="2"/>
  <c r="G135" i="2"/>
  <c r="AG135" i="2" s="1"/>
  <c r="AX134" i="2"/>
  <c r="AM134" i="2"/>
  <c r="AL134" i="2"/>
  <c r="AJ134" i="2"/>
  <c r="AK134" i="2" s="1"/>
  <c r="AP134" i="2" s="1"/>
  <c r="AX133" i="2"/>
  <c r="AR133" i="2"/>
  <c r="AM133" i="2"/>
  <c r="AL133" i="2"/>
  <c r="AJ133" i="2"/>
  <c r="AK133" i="2" s="1"/>
  <c r="AP133" i="2" s="1"/>
  <c r="AX132" i="2"/>
  <c r="AM132" i="2"/>
  <c r="AL132" i="2"/>
  <c r="AJ132" i="2"/>
  <c r="AK132" i="2" s="1"/>
  <c r="AP132" i="2" s="1"/>
  <c r="AX131" i="2"/>
  <c r="AM131" i="2"/>
  <c r="AL131" i="2"/>
  <c r="AJ131" i="2"/>
  <c r="AC131" i="2"/>
  <c r="AA131" i="2"/>
  <c r="P131" i="2"/>
  <c r="G131" i="2"/>
  <c r="AG131" i="2" s="1"/>
  <c r="AX130" i="2"/>
  <c r="AM130" i="2"/>
  <c r="AL130" i="2"/>
  <c r="AJ130" i="2"/>
  <c r="AC130" i="2"/>
  <c r="AA130" i="2"/>
  <c r="P130" i="2"/>
  <c r="G130" i="2"/>
  <c r="AG130" i="2" s="1"/>
  <c r="AX129" i="2"/>
  <c r="AM129" i="2"/>
  <c r="AL129" i="2"/>
  <c r="AJ129" i="2"/>
  <c r="AC129" i="2"/>
  <c r="AA129" i="2"/>
  <c r="P129" i="2"/>
  <c r="G129" i="2"/>
  <c r="AG129" i="2" s="1"/>
  <c r="AX128" i="2"/>
  <c r="AM128" i="2"/>
  <c r="AL128" i="2"/>
  <c r="AJ128" i="2"/>
  <c r="AK128" i="2" s="1"/>
  <c r="AX127" i="2"/>
  <c r="AM127" i="2"/>
  <c r="AL127" i="2"/>
  <c r="AJ127" i="2"/>
  <c r="AK127" i="2" s="1"/>
  <c r="AX126" i="2"/>
  <c r="AM126" i="2"/>
  <c r="AL126" i="2"/>
  <c r="AJ126" i="2"/>
  <c r="AC126" i="2"/>
  <c r="AA126" i="2"/>
  <c r="P126" i="2"/>
  <c r="G126" i="2"/>
  <c r="AG126" i="2" s="1"/>
  <c r="AX125" i="2"/>
  <c r="AM125" i="2"/>
  <c r="AL125" i="2"/>
  <c r="AJ125" i="2"/>
  <c r="AC125" i="2"/>
  <c r="AA125" i="2"/>
  <c r="P125" i="2"/>
  <c r="G125" i="2"/>
  <c r="AG125" i="2" s="1"/>
  <c r="AX124" i="2"/>
  <c r="AM124" i="2"/>
  <c r="AL124" i="2"/>
  <c r="AJ124" i="2"/>
  <c r="AC124" i="2"/>
  <c r="AA124" i="2"/>
  <c r="P124" i="2"/>
  <c r="G124" i="2"/>
  <c r="AG124" i="2" s="1"/>
  <c r="AX123" i="2"/>
  <c r="AM123" i="2"/>
  <c r="AL123" i="2"/>
  <c r="AJ123" i="2"/>
  <c r="AC123" i="2"/>
  <c r="AA123" i="2"/>
  <c r="P123" i="2"/>
  <c r="G123" i="2"/>
  <c r="AX122" i="2"/>
  <c r="AM122" i="2"/>
  <c r="AL122" i="2"/>
  <c r="AJ122" i="2"/>
  <c r="AC122" i="2"/>
  <c r="AA122" i="2"/>
  <c r="P122" i="2"/>
  <c r="G122" i="2"/>
  <c r="AG122" i="2" s="1"/>
  <c r="AX121" i="2"/>
  <c r="AM121" i="2"/>
  <c r="AL121" i="2"/>
  <c r="AJ121" i="2"/>
  <c r="AC121" i="2"/>
  <c r="AA121" i="2"/>
  <c r="P121" i="2"/>
  <c r="G121" i="2"/>
  <c r="AG121" i="2" s="1"/>
  <c r="AX120" i="2"/>
  <c r="AM120" i="2"/>
  <c r="AL120" i="2"/>
  <c r="AJ120" i="2"/>
  <c r="AC120" i="2"/>
  <c r="AA120" i="2"/>
  <c r="P120" i="2"/>
  <c r="G120" i="2"/>
  <c r="AG120" i="2" s="1"/>
  <c r="AX119" i="2"/>
  <c r="AM119" i="2"/>
  <c r="AL119" i="2"/>
  <c r="AJ119" i="2"/>
  <c r="AC119" i="2"/>
  <c r="AA119" i="2"/>
  <c r="P119" i="2"/>
  <c r="G119" i="2"/>
  <c r="AG119" i="2" s="1"/>
  <c r="AX118" i="2"/>
  <c r="AM118" i="2"/>
  <c r="AL118" i="2"/>
  <c r="AJ118" i="2"/>
  <c r="AK118" i="2" s="1"/>
  <c r="AX117" i="2"/>
  <c r="AM117" i="2"/>
  <c r="AL117" i="2"/>
  <c r="AJ117" i="2"/>
  <c r="AC117" i="2"/>
  <c r="AA117" i="2"/>
  <c r="P117" i="2"/>
  <c r="G117" i="2"/>
  <c r="AG117" i="2" s="1"/>
  <c r="AX116" i="2"/>
  <c r="AM116" i="2"/>
  <c r="AL116" i="2"/>
  <c r="AJ116" i="2"/>
  <c r="AC116" i="2"/>
  <c r="AA116" i="2"/>
  <c r="P116" i="2"/>
  <c r="G116" i="2"/>
  <c r="AG116" i="2" s="1"/>
  <c r="AX115" i="2"/>
  <c r="AM115" i="2"/>
  <c r="AL115" i="2"/>
  <c r="AJ115" i="2"/>
  <c r="AC115" i="2"/>
  <c r="AA115" i="2"/>
  <c r="P115" i="2"/>
  <c r="G115" i="2"/>
  <c r="AG115" i="2" s="1"/>
  <c r="AX114" i="2"/>
  <c r="AM114" i="2"/>
  <c r="AL114" i="2"/>
  <c r="AJ114" i="2"/>
  <c r="AC114" i="2"/>
  <c r="AA114" i="2"/>
  <c r="P114" i="2"/>
  <c r="G114" i="2"/>
  <c r="AG114" i="2" s="1"/>
  <c r="AX113" i="2"/>
  <c r="AM113" i="2"/>
  <c r="AL113" i="2"/>
  <c r="AJ113" i="2"/>
  <c r="AC113" i="2"/>
  <c r="AA113" i="2"/>
  <c r="P113" i="2"/>
  <c r="G113" i="2"/>
  <c r="AG113" i="2" s="1"/>
  <c r="AH113" i="2" s="1"/>
  <c r="AX112" i="2"/>
  <c r="AM112" i="2"/>
  <c r="AL112" i="2"/>
  <c r="AJ112" i="2"/>
  <c r="AC112" i="2"/>
  <c r="AA112" i="2"/>
  <c r="P112" i="2"/>
  <c r="G112" i="2"/>
  <c r="AX111" i="2"/>
  <c r="AM111" i="2"/>
  <c r="AL111" i="2"/>
  <c r="AJ111" i="2"/>
  <c r="AC111" i="2"/>
  <c r="AA111" i="2"/>
  <c r="P111" i="2"/>
  <c r="G111" i="2"/>
  <c r="AG111" i="2" s="1"/>
  <c r="AX110" i="2"/>
  <c r="AM110" i="2"/>
  <c r="AL110" i="2"/>
  <c r="AJ110" i="2"/>
  <c r="AK110" i="2" s="1"/>
  <c r="AX109" i="2"/>
  <c r="AM109" i="2"/>
  <c r="AL109" i="2"/>
  <c r="AJ109" i="2"/>
  <c r="AK109" i="2" s="1"/>
  <c r="AP109" i="2" s="1"/>
  <c r="AX108" i="2"/>
  <c r="AM108" i="2"/>
  <c r="AL108" i="2"/>
  <c r="AJ108" i="2"/>
  <c r="AK108" i="2" s="1"/>
  <c r="AX107" i="2"/>
  <c r="AM107" i="2"/>
  <c r="AL107" i="2"/>
  <c r="AJ107" i="2"/>
  <c r="AC107" i="2"/>
  <c r="AA107" i="2"/>
  <c r="P107" i="2"/>
  <c r="G107" i="2"/>
  <c r="AG107" i="2" s="1"/>
  <c r="AX106" i="2"/>
  <c r="AM106" i="2"/>
  <c r="AL106" i="2"/>
  <c r="AK106" i="2"/>
  <c r="AP106" i="2" s="1"/>
  <c r="AJ106" i="2"/>
  <c r="AX105" i="2"/>
  <c r="AP105" i="2"/>
  <c r="AM105" i="2"/>
  <c r="AL105" i="2"/>
  <c r="AK105" i="2"/>
  <c r="AJ105" i="2"/>
  <c r="AX104" i="2"/>
  <c r="AM104" i="2"/>
  <c r="AL104" i="2"/>
  <c r="AJ104" i="2"/>
  <c r="AK104" i="2" s="1"/>
  <c r="AP104" i="2" s="1"/>
  <c r="AX103" i="2"/>
  <c r="AM103" i="2"/>
  <c r="AL103" i="2"/>
  <c r="AJ103" i="2"/>
  <c r="AK103" i="2" s="1"/>
  <c r="AX102" i="2"/>
  <c r="AM102" i="2"/>
  <c r="AL102" i="2"/>
  <c r="AK102" i="2"/>
  <c r="AP102" i="2" s="1"/>
  <c r="AJ102" i="2"/>
  <c r="AX101" i="2"/>
  <c r="AP101" i="2"/>
  <c r="AM101" i="2"/>
  <c r="AL101" i="2"/>
  <c r="AK101" i="2"/>
  <c r="AJ101" i="2"/>
  <c r="AX100" i="2"/>
  <c r="AM100" i="2"/>
  <c r="AL100" i="2"/>
  <c r="AJ100" i="2"/>
  <c r="AC100" i="2"/>
  <c r="AA100" i="2"/>
  <c r="P100" i="2"/>
  <c r="G100" i="2"/>
  <c r="AG100" i="2" s="1"/>
  <c r="AX99" i="2"/>
  <c r="AM99" i="2"/>
  <c r="AL99" i="2"/>
  <c r="AJ99" i="2"/>
  <c r="AC99" i="2"/>
  <c r="AA99" i="2"/>
  <c r="P99" i="2"/>
  <c r="G99" i="2"/>
  <c r="AG99" i="2" s="1"/>
  <c r="AX98" i="2"/>
  <c r="AM98" i="2"/>
  <c r="AL98" i="2"/>
  <c r="AJ98" i="2"/>
  <c r="AC98" i="2"/>
  <c r="AA98" i="2"/>
  <c r="P98" i="2"/>
  <c r="G98" i="2"/>
  <c r="AG98" i="2" s="1"/>
  <c r="AX97" i="2"/>
  <c r="AM97" i="2"/>
  <c r="AL97" i="2"/>
  <c r="AJ97" i="2"/>
  <c r="AC97" i="2"/>
  <c r="AA97" i="2"/>
  <c r="P97" i="2"/>
  <c r="G97" i="2"/>
  <c r="AG97" i="2" s="1"/>
  <c r="AX96" i="2"/>
  <c r="AM96" i="2"/>
  <c r="AL96" i="2"/>
  <c r="AJ96" i="2"/>
  <c r="AC96" i="2"/>
  <c r="AA96" i="2"/>
  <c r="P96" i="2"/>
  <c r="G96" i="2"/>
  <c r="AG96" i="2" s="1"/>
  <c r="AZ95" i="2"/>
  <c r="AY95" i="2"/>
  <c r="AV95" i="2"/>
  <c r="AX95" i="2" s="1"/>
  <c r="AM95" i="2"/>
  <c r="AL95" i="2"/>
  <c r="AJ95" i="2"/>
  <c r="AC95" i="2"/>
  <c r="AA95" i="2"/>
  <c r="P95" i="2"/>
  <c r="G95" i="2"/>
  <c r="AG95" i="2" s="1"/>
  <c r="AZ94" i="2"/>
  <c r="AY94" i="2"/>
  <c r="AV94" i="2"/>
  <c r="AX94" i="2" s="1"/>
  <c r="AM94" i="2"/>
  <c r="AL94" i="2"/>
  <c r="AJ94" i="2"/>
  <c r="AC94" i="2"/>
  <c r="AA94" i="2"/>
  <c r="P94" i="2"/>
  <c r="G94" i="2"/>
  <c r="AG94" i="2" s="1"/>
  <c r="AY93" i="2"/>
  <c r="AZ93" i="2" s="1"/>
  <c r="AX93" i="2"/>
  <c r="AV93" i="2"/>
  <c r="AM93" i="2"/>
  <c r="AL93" i="2"/>
  <c r="AJ93" i="2"/>
  <c r="AC93" i="2"/>
  <c r="AA93" i="2"/>
  <c r="P93" i="2"/>
  <c r="G93" i="2"/>
  <c r="AG93" i="2" s="1"/>
  <c r="AZ92" i="2"/>
  <c r="AY92" i="2"/>
  <c r="AX92" i="2"/>
  <c r="AV92" i="2"/>
  <c r="AM92" i="2"/>
  <c r="AL92" i="2"/>
  <c r="AJ92" i="2"/>
  <c r="AK92" i="2" s="1"/>
  <c r="AY91" i="2"/>
  <c r="AZ91" i="2" s="1"/>
  <c r="AX91" i="2"/>
  <c r="AV91" i="2"/>
  <c r="AR91" i="2"/>
  <c r="AM91" i="2"/>
  <c r="AL91" i="2"/>
  <c r="AJ91" i="2"/>
  <c r="AK91" i="2" s="1"/>
  <c r="AP91" i="2" s="1"/>
  <c r="AZ90" i="2"/>
  <c r="AY90" i="2"/>
  <c r="AV90" i="2"/>
  <c r="AX90" i="2" s="1"/>
  <c r="AM90" i="2"/>
  <c r="AL90" i="2"/>
  <c r="AJ90" i="2"/>
  <c r="AK90" i="2" s="1"/>
  <c r="AY89" i="2"/>
  <c r="AZ89" i="2" s="1"/>
  <c r="AV89" i="2"/>
  <c r="AX89" i="2" s="1"/>
  <c r="AM89" i="2"/>
  <c r="AL89" i="2"/>
  <c r="AK89" i="2"/>
  <c r="AJ89" i="2"/>
  <c r="AY88" i="2"/>
  <c r="AZ88" i="2" s="1"/>
  <c r="AX88" i="2"/>
  <c r="AV88" i="2"/>
  <c r="AM88" i="2"/>
  <c r="AL88" i="2"/>
  <c r="AJ88" i="2"/>
  <c r="AC88" i="2"/>
  <c r="AA88" i="2"/>
  <c r="P88" i="2"/>
  <c r="G88" i="2"/>
  <c r="AG88" i="2" s="1"/>
  <c r="AY87" i="2"/>
  <c r="AZ87" i="2" s="1"/>
  <c r="AV87" i="2"/>
  <c r="AX87" i="2" s="1"/>
  <c r="AM87" i="2"/>
  <c r="AL87" i="2"/>
  <c r="AJ87" i="2"/>
  <c r="AC87" i="2"/>
  <c r="AA87" i="2"/>
  <c r="P87" i="2"/>
  <c r="G87" i="2"/>
  <c r="AG87" i="2" s="1"/>
  <c r="AZ86" i="2"/>
  <c r="AY86" i="2"/>
  <c r="AV86" i="2"/>
  <c r="AX86" i="2" s="1"/>
  <c r="AM86" i="2"/>
  <c r="AL86" i="2"/>
  <c r="AJ86" i="2"/>
  <c r="AC86" i="2"/>
  <c r="AA86" i="2"/>
  <c r="P86" i="2"/>
  <c r="G86" i="2"/>
  <c r="AG86" i="2" s="1"/>
  <c r="AY85" i="2"/>
  <c r="AZ85" i="2" s="1"/>
  <c r="AV85" i="2"/>
  <c r="AX85" i="2" s="1"/>
  <c r="AM85" i="2"/>
  <c r="AL85" i="2"/>
  <c r="AJ85" i="2"/>
  <c r="AC85" i="2"/>
  <c r="AA85" i="2"/>
  <c r="P85" i="2"/>
  <c r="G85" i="2"/>
  <c r="AY84" i="2"/>
  <c r="AZ84" i="2" s="1"/>
  <c r="AX84" i="2"/>
  <c r="AV84" i="2"/>
  <c r="AM84" i="2"/>
  <c r="AL84" i="2"/>
  <c r="AJ84" i="2"/>
  <c r="AK84" i="2" s="1"/>
  <c r="AP84" i="2" s="1"/>
  <c r="AY83" i="2"/>
  <c r="AZ83" i="2" s="1"/>
  <c r="AV83" i="2"/>
  <c r="AX83" i="2" s="1"/>
  <c r="AM83" i="2"/>
  <c r="AL83" i="2"/>
  <c r="AJ83" i="2"/>
  <c r="AC83" i="2"/>
  <c r="AA83" i="2"/>
  <c r="P83" i="2"/>
  <c r="G83" i="2"/>
  <c r="AG83" i="2" s="1"/>
  <c r="AZ82" i="2"/>
  <c r="AY82" i="2"/>
  <c r="AX82" i="2"/>
  <c r="AV82" i="2"/>
  <c r="AM82" i="2"/>
  <c r="AL82" i="2"/>
  <c r="AK82" i="2"/>
  <c r="AJ82" i="2"/>
  <c r="AC82" i="2"/>
  <c r="AA82" i="2"/>
  <c r="P82" i="2"/>
  <c r="G82" i="2"/>
  <c r="AG82" i="2" s="1"/>
  <c r="AH82" i="2" s="1"/>
  <c r="AY81" i="2"/>
  <c r="AZ81" i="2" s="1"/>
  <c r="AV81" i="2"/>
  <c r="AX81" i="2" s="1"/>
  <c r="AM81" i="2"/>
  <c r="AL81" i="2"/>
  <c r="AJ81" i="2"/>
  <c r="AC81" i="2"/>
  <c r="AA81" i="2"/>
  <c r="P81" i="2"/>
  <c r="G81" i="2"/>
  <c r="AZ80" i="2"/>
  <c r="AY80" i="2"/>
  <c r="AX80" i="2"/>
  <c r="AV80" i="2"/>
  <c r="AM80" i="2"/>
  <c r="AL80" i="2"/>
  <c r="AJ80" i="2"/>
  <c r="AC80" i="2"/>
  <c r="AA80" i="2"/>
  <c r="P80" i="2"/>
  <c r="G80" i="2"/>
  <c r="AG80" i="2" s="1"/>
  <c r="AY79" i="2"/>
  <c r="AZ79" i="2" s="1"/>
  <c r="AV79" i="2"/>
  <c r="AX79" i="2" s="1"/>
  <c r="AM79" i="2"/>
  <c r="AL79" i="2"/>
  <c r="AJ79" i="2"/>
  <c r="AC79" i="2"/>
  <c r="AA79" i="2"/>
  <c r="P79" i="2"/>
  <c r="G79" i="2"/>
  <c r="AG79" i="2" s="1"/>
  <c r="AY78" i="2"/>
  <c r="AZ78" i="2" s="1"/>
  <c r="AX78" i="2"/>
  <c r="AV78" i="2"/>
  <c r="AM78" i="2"/>
  <c r="AL78" i="2"/>
  <c r="AJ78" i="2"/>
  <c r="AC78" i="2"/>
  <c r="AA78" i="2"/>
  <c r="P78" i="2"/>
  <c r="G78" i="2"/>
  <c r="AG78" i="2" s="1"/>
  <c r="AZ77" i="2"/>
  <c r="AY77" i="2"/>
  <c r="AV77" i="2"/>
  <c r="AX77" i="2" s="1"/>
  <c r="AM77" i="2"/>
  <c r="AL77" i="2"/>
  <c r="AJ77" i="2"/>
  <c r="AC77" i="2"/>
  <c r="AA77" i="2"/>
  <c r="P77" i="2"/>
  <c r="G77" i="2"/>
  <c r="AG77" i="2" s="1"/>
  <c r="AZ76" i="2"/>
  <c r="AY76" i="2"/>
  <c r="AX76" i="2"/>
  <c r="AV76" i="2"/>
  <c r="AM76" i="2"/>
  <c r="AL76" i="2"/>
  <c r="AJ76" i="2"/>
  <c r="AC76" i="2"/>
  <c r="AA76" i="2"/>
  <c r="P76" i="2"/>
  <c r="G76" i="2"/>
  <c r="AY75" i="2"/>
  <c r="AZ75" i="2" s="1"/>
  <c r="AX75" i="2"/>
  <c r="AV75" i="2"/>
  <c r="AM75" i="2"/>
  <c r="AL75" i="2"/>
  <c r="AJ75" i="2"/>
  <c r="AC75" i="2"/>
  <c r="AA75" i="2"/>
  <c r="P75" i="2"/>
  <c r="G75" i="2"/>
  <c r="AG75" i="2" s="1"/>
  <c r="AY74" i="2"/>
  <c r="AZ74" i="2" s="1"/>
  <c r="AV74" i="2"/>
  <c r="AX74" i="2" s="1"/>
  <c r="AM74" i="2"/>
  <c r="AL74" i="2"/>
  <c r="AJ74" i="2"/>
  <c r="AC74" i="2"/>
  <c r="AA74" i="2"/>
  <c r="P74" i="2"/>
  <c r="G74" i="2"/>
  <c r="AG74" i="2" s="1"/>
  <c r="AZ73" i="2"/>
  <c r="AY73" i="2"/>
  <c r="AV73" i="2"/>
  <c r="AX73" i="2" s="1"/>
  <c r="AM73" i="2"/>
  <c r="AL73" i="2"/>
  <c r="AJ73" i="2"/>
  <c r="AC73" i="2"/>
  <c r="AA73" i="2"/>
  <c r="P73" i="2"/>
  <c r="G73" i="2"/>
  <c r="AG73" i="2" s="1"/>
  <c r="AY72" i="2"/>
  <c r="AZ72" i="2" s="1"/>
  <c r="AV72" i="2"/>
  <c r="AX72" i="2" s="1"/>
  <c r="AM72" i="2"/>
  <c r="AL72" i="2"/>
  <c r="AJ72" i="2"/>
  <c r="AC72" i="2"/>
  <c r="AA72" i="2"/>
  <c r="P72" i="2"/>
  <c r="G72" i="2"/>
  <c r="AG72" i="2" s="1"/>
  <c r="AY71" i="2"/>
  <c r="AZ71" i="2" s="1"/>
  <c r="AX71" i="2"/>
  <c r="AV71" i="2"/>
  <c r="AM71" i="2"/>
  <c r="AL71" i="2"/>
  <c r="AJ71" i="2"/>
  <c r="AC71" i="2"/>
  <c r="AA71" i="2"/>
  <c r="P71" i="2"/>
  <c r="G71" i="2"/>
  <c r="AG71" i="2" s="1"/>
  <c r="AY70" i="2"/>
  <c r="AZ70" i="2" s="1"/>
  <c r="AV70" i="2"/>
  <c r="AX70" i="2" s="1"/>
  <c r="AM70" i="2"/>
  <c r="AL70" i="2"/>
  <c r="AJ70" i="2"/>
  <c r="AC70" i="2"/>
  <c r="AA70" i="2"/>
  <c r="P70" i="2"/>
  <c r="G70" i="2"/>
  <c r="AG70" i="2" s="1"/>
  <c r="AZ69" i="2"/>
  <c r="AY69" i="2"/>
  <c r="AV69" i="2"/>
  <c r="AX69" i="2" s="1"/>
  <c r="AM69" i="2"/>
  <c r="AL69" i="2"/>
  <c r="AJ69" i="2"/>
  <c r="AC69" i="2"/>
  <c r="AA69" i="2"/>
  <c r="P69" i="2"/>
  <c r="G69" i="2"/>
  <c r="AG69" i="2" s="1"/>
  <c r="AY68" i="2"/>
  <c r="AZ68" i="2" s="1"/>
  <c r="AV68" i="2"/>
  <c r="AX68" i="2" s="1"/>
  <c r="AM68" i="2"/>
  <c r="AL68" i="2"/>
  <c r="AJ68" i="2"/>
  <c r="AC68" i="2"/>
  <c r="AA68" i="2"/>
  <c r="P68" i="2"/>
  <c r="G68" i="2"/>
  <c r="AY67" i="2"/>
  <c r="AZ67" i="2" s="1"/>
  <c r="AX67" i="2"/>
  <c r="AV67" i="2"/>
  <c r="AM67" i="2"/>
  <c r="AL67" i="2"/>
  <c r="AJ67" i="2"/>
  <c r="AC67" i="2"/>
  <c r="AA67" i="2"/>
  <c r="P67" i="2"/>
  <c r="G67" i="2"/>
  <c r="AG67" i="2" s="1"/>
  <c r="AY66" i="2"/>
  <c r="AZ66" i="2" s="1"/>
  <c r="AV66" i="2"/>
  <c r="AX66" i="2" s="1"/>
  <c r="AM66" i="2"/>
  <c r="AL66" i="2"/>
  <c r="AJ66" i="2"/>
  <c r="AC66" i="2"/>
  <c r="AA66" i="2"/>
  <c r="P66" i="2"/>
  <c r="G66" i="2"/>
  <c r="AG66" i="2" s="1"/>
  <c r="AZ65" i="2"/>
  <c r="AY65" i="2"/>
  <c r="AV65" i="2"/>
  <c r="AX65" i="2" s="1"/>
  <c r="AM65" i="2"/>
  <c r="AL65" i="2"/>
  <c r="AJ65" i="2"/>
  <c r="AC65" i="2"/>
  <c r="AA65" i="2"/>
  <c r="P65" i="2"/>
  <c r="G65" i="2"/>
  <c r="AG65" i="2" s="1"/>
  <c r="AY64" i="2"/>
  <c r="AZ64" i="2" s="1"/>
  <c r="AV64" i="2"/>
  <c r="AX64" i="2" s="1"/>
  <c r="AM64" i="2"/>
  <c r="AL64" i="2"/>
  <c r="AJ64" i="2"/>
  <c r="AC64" i="2"/>
  <c r="AA64" i="2"/>
  <c r="P64" i="2"/>
  <c r="G64" i="2"/>
  <c r="AG64" i="2" s="1"/>
  <c r="AY63" i="2"/>
  <c r="AZ63" i="2" s="1"/>
  <c r="AX63" i="2"/>
  <c r="AV63" i="2"/>
  <c r="AM63" i="2"/>
  <c r="AL63" i="2"/>
  <c r="AJ63" i="2"/>
  <c r="AC63" i="2"/>
  <c r="AA63" i="2"/>
  <c r="P63" i="2"/>
  <c r="G63" i="2"/>
  <c r="AG63" i="2" s="1"/>
  <c r="AY62" i="2"/>
  <c r="AZ62" i="2" s="1"/>
  <c r="AV62" i="2"/>
  <c r="AX62" i="2" s="1"/>
  <c r="AM62" i="2"/>
  <c r="AL62" i="2"/>
  <c r="AJ62" i="2"/>
  <c r="AC62" i="2"/>
  <c r="AA62" i="2"/>
  <c r="P62" i="2"/>
  <c r="G62" i="2"/>
  <c r="AG62" i="2" s="1"/>
  <c r="AZ61" i="2"/>
  <c r="AY61" i="2"/>
  <c r="AV61" i="2"/>
  <c r="AX61" i="2" s="1"/>
  <c r="AM61" i="2"/>
  <c r="AL61" i="2"/>
  <c r="AJ61" i="2"/>
  <c r="AC61" i="2"/>
  <c r="AA61" i="2"/>
  <c r="P61" i="2"/>
  <c r="G61" i="2"/>
  <c r="AG61" i="2" s="1"/>
  <c r="AY60" i="2"/>
  <c r="AZ60" i="2" s="1"/>
  <c r="AV60" i="2"/>
  <c r="AX60" i="2" s="1"/>
  <c r="AM60" i="2"/>
  <c r="AL60" i="2"/>
  <c r="AJ60" i="2"/>
  <c r="AC60" i="2"/>
  <c r="AA60" i="2"/>
  <c r="P60" i="2"/>
  <c r="G60" i="2"/>
  <c r="AY59" i="2"/>
  <c r="AZ59" i="2" s="1"/>
  <c r="AX59" i="2"/>
  <c r="AV59" i="2"/>
  <c r="AM59" i="2"/>
  <c r="AL59" i="2"/>
  <c r="AJ59" i="2"/>
  <c r="AC59" i="2"/>
  <c r="AA59" i="2"/>
  <c r="P59" i="2"/>
  <c r="G59" i="2"/>
  <c r="AG59" i="2" s="1"/>
  <c r="AY58" i="2"/>
  <c r="AZ58" i="2" s="1"/>
  <c r="AV58" i="2"/>
  <c r="AX58" i="2" s="1"/>
  <c r="AM58" i="2"/>
  <c r="AL58" i="2"/>
  <c r="AJ58" i="2"/>
  <c r="AC58" i="2"/>
  <c r="AA58" i="2"/>
  <c r="P58" i="2"/>
  <c r="G58" i="2"/>
  <c r="AG58" i="2" s="1"/>
  <c r="AZ57" i="2"/>
  <c r="AY57" i="2"/>
  <c r="AV57" i="2"/>
  <c r="AX57" i="2" s="1"/>
  <c r="AM57" i="2"/>
  <c r="AL57" i="2"/>
  <c r="AJ57" i="2"/>
  <c r="AC57" i="2"/>
  <c r="AA57" i="2"/>
  <c r="P57" i="2"/>
  <c r="G57" i="2"/>
  <c r="AG57" i="2" s="1"/>
  <c r="AY56" i="2"/>
  <c r="AZ56" i="2" s="1"/>
  <c r="AV56" i="2"/>
  <c r="AX56" i="2" s="1"/>
  <c r="AM56" i="2"/>
  <c r="AL56" i="2"/>
  <c r="AJ56" i="2"/>
  <c r="AC56" i="2"/>
  <c r="AA56" i="2"/>
  <c r="P56" i="2"/>
  <c r="G56" i="2"/>
  <c r="AG56" i="2" s="1"/>
  <c r="AY55" i="2"/>
  <c r="AZ55" i="2" s="1"/>
  <c r="AX55" i="2"/>
  <c r="AV55" i="2"/>
  <c r="AM55" i="2"/>
  <c r="AL55" i="2"/>
  <c r="AJ55" i="2"/>
  <c r="AC55" i="2"/>
  <c r="AA55" i="2"/>
  <c r="P55" i="2"/>
  <c r="G55" i="2"/>
  <c r="AG55" i="2" s="1"/>
  <c r="AY54" i="2"/>
  <c r="AZ54" i="2" s="1"/>
  <c r="AV54" i="2"/>
  <c r="AX54" i="2" s="1"/>
  <c r="AM54" i="2"/>
  <c r="AL54" i="2"/>
  <c r="AJ54" i="2"/>
  <c r="AC54" i="2"/>
  <c r="AA54" i="2"/>
  <c r="P54" i="2"/>
  <c r="G54" i="2"/>
  <c r="AG54" i="2" s="1"/>
  <c r="AZ53" i="2"/>
  <c r="AY53" i="2"/>
  <c r="AV53" i="2"/>
  <c r="AX53" i="2" s="1"/>
  <c r="AM53" i="2"/>
  <c r="AL53" i="2"/>
  <c r="AJ53" i="2"/>
  <c r="AC53" i="2"/>
  <c r="AA53" i="2"/>
  <c r="P53" i="2"/>
  <c r="G53" i="2"/>
  <c r="AG53" i="2" s="1"/>
  <c r="AY52" i="2"/>
  <c r="AZ52" i="2" s="1"/>
  <c r="AV52" i="2"/>
  <c r="AX52" i="2" s="1"/>
  <c r="AM52" i="2"/>
  <c r="AL52" i="2"/>
  <c r="AJ52" i="2"/>
  <c r="AC52" i="2"/>
  <c r="AA52" i="2"/>
  <c r="P52" i="2"/>
  <c r="G52" i="2"/>
  <c r="AY51" i="2"/>
  <c r="AZ51" i="2" s="1"/>
  <c r="AX51" i="2"/>
  <c r="AV51" i="2"/>
  <c r="AM51" i="2"/>
  <c r="AL51" i="2"/>
  <c r="AJ51" i="2"/>
  <c r="AC51" i="2"/>
  <c r="AA51" i="2"/>
  <c r="P51" i="2"/>
  <c r="G51" i="2"/>
  <c r="AG51" i="2" s="1"/>
  <c r="AY50" i="2"/>
  <c r="AZ50" i="2" s="1"/>
  <c r="AV50" i="2"/>
  <c r="AX50" i="2" s="1"/>
  <c r="AM50" i="2"/>
  <c r="AL50" i="2"/>
  <c r="AJ50" i="2"/>
  <c r="AC50" i="2"/>
  <c r="AA50" i="2"/>
  <c r="P50" i="2"/>
  <c r="G50" i="2"/>
  <c r="AG50" i="2" s="1"/>
  <c r="AZ49" i="2"/>
  <c r="AY49" i="2"/>
  <c r="AV49" i="2"/>
  <c r="AX49" i="2" s="1"/>
  <c r="AM49" i="2"/>
  <c r="AL49" i="2"/>
  <c r="AJ49" i="2"/>
  <c r="AC49" i="2"/>
  <c r="AA49" i="2"/>
  <c r="P49" i="2"/>
  <c r="G49" i="2"/>
  <c r="AG49" i="2" s="1"/>
  <c r="AY48" i="2"/>
  <c r="AZ48" i="2" s="1"/>
  <c r="AV48" i="2"/>
  <c r="AX48" i="2" s="1"/>
  <c r="AM48" i="2"/>
  <c r="AL48" i="2"/>
  <c r="AJ48" i="2"/>
  <c r="AC48" i="2"/>
  <c r="AA48" i="2"/>
  <c r="P48" i="2"/>
  <c r="G48" i="2"/>
  <c r="AG48" i="2" s="1"/>
  <c r="AY47" i="2"/>
  <c r="AZ47" i="2" s="1"/>
  <c r="AX47" i="2"/>
  <c r="AV47" i="2"/>
  <c r="AM47" i="2"/>
  <c r="AL47" i="2"/>
  <c r="AJ47" i="2"/>
  <c r="AC47" i="2"/>
  <c r="AA47" i="2"/>
  <c r="P47" i="2"/>
  <c r="G47" i="2"/>
  <c r="AG47" i="2" s="1"/>
  <c r="AY46" i="2"/>
  <c r="AZ46" i="2" s="1"/>
  <c r="AV46" i="2"/>
  <c r="AX46" i="2" s="1"/>
  <c r="AM46" i="2"/>
  <c r="AL46" i="2"/>
  <c r="AJ46" i="2"/>
  <c r="AC46" i="2"/>
  <c r="AA46" i="2"/>
  <c r="P46" i="2"/>
  <c r="G46" i="2"/>
  <c r="AG46" i="2" s="1"/>
  <c r="AZ45" i="2"/>
  <c r="AY45" i="2"/>
  <c r="AV45" i="2"/>
  <c r="AX45" i="2" s="1"/>
  <c r="AM45" i="2"/>
  <c r="AL45" i="2"/>
  <c r="AJ45" i="2"/>
  <c r="AC45" i="2"/>
  <c r="AA45" i="2"/>
  <c r="P45" i="2"/>
  <c r="G45" i="2"/>
  <c r="AG45" i="2" s="1"/>
  <c r="AY44" i="2"/>
  <c r="AZ44" i="2" s="1"/>
  <c r="AV44" i="2"/>
  <c r="AX44" i="2" s="1"/>
  <c r="AM44" i="2"/>
  <c r="AL44" i="2"/>
  <c r="AJ44" i="2"/>
  <c r="AC44" i="2"/>
  <c r="AA44" i="2"/>
  <c r="P44" i="2"/>
  <c r="G44" i="2"/>
  <c r="AY43" i="2"/>
  <c r="AZ43" i="2" s="1"/>
  <c r="AX43" i="2"/>
  <c r="AV43" i="2"/>
  <c r="AM43" i="2"/>
  <c r="AL43" i="2"/>
  <c r="AJ43" i="2"/>
  <c r="AC43" i="2"/>
  <c r="AA43" i="2"/>
  <c r="P43" i="2"/>
  <c r="G43" i="2"/>
  <c r="AG43" i="2" s="1"/>
  <c r="AY42" i="2"/>
  <c r="AZ42" i="2" s="1"/>
  <c r="AV42" i="2"/>
  <c r="AM42" i="2"/>
  <c r="AL42" i="2"/>
  <c r="AJ42" i="2"/>
  <c r="AC42" i="2"/>
  <c r="AA42" i="2"/>
  <c r="P42" i="2"/>
  <c r="G42" i="2"/>
  <c r="AG42" i="2" s="1"/>
  <c r="AY41" i="2"/>
  <c r="AZ41" i="2" s="1"/>
  <c r="AV41" i="2"/>
  <c r="AM41" i="2"/>
  <c r="AL41" i="2"/>
  <c r="AJ41" i="2"/>
  <c r="AC41" i="2"/>
  <c r="AA41" i="2"/>
  <c r="P41" i="2"/>
  <c r="G41" i="2"/>
  <c r="AG41" i="2" s="1"/>
  <c r="AZ40" i="2"/>
  <c r="AY40" i="2"/>
  <c r="AV40" i="2"/>
  <c r="AM40" i="2"/>
  <c r="AL40" i="2"/>
  <c r="AK40" i="2"/>
  <c r="AP40" i="2" s="1"/>
  <c r="AJ40" i="2"/>
  <c r="AC40" i="2"/>
  <c r="AA40" i="2"/>
  <c r="P40" i="2"/>
  <c r="G40" i="2"/>
  <c r="AG40" i="2" s="1"/>
  <c r="AH40" i="2" s="1"/>
  <c r="AY39" i="2"/>
  <c r="AZ39" i="2" s="1"/>
  <c r="AV39" i="2"/>
  <c r="AM39" i="2"/>
  <c r="AL39" i="2"/>
  <c r="AJ39" i="2"/>
  <c r="AC39" i="2"/>
  <c r="AA39" i="2"/>
  <c r="P39" i="2"/>
  <c r="G39" i="2"/>
  <c r="AG39" i="2" s="1"/>
  <c r="AY38" i="2"/>
  <c r="AZ38" i="2" s="1"/>
  <c r="AV38" i="2"/>
  <c r="AM38" i="2"/>
  <c r="AL38" i="2"/>
  <c r="AJ38" i="2"/>
  <c r="AC38" i="2"/>
  <c r="AA38" i="2"/>
  <c r="P38" i="2"/>
  <c r="G38" i="2"/>
  <c r="AG38" i="2" s="1"/>
  <c r="AY37" i="2"/>
  <c r="AZ37" i="2" s="1"/>
  <c r="AV37" i="2"/>
  <c r="AM37" i="2"/>
  <c r="AL37" i="2"/>
  <c r="AJ37" i="2"/>
  <c r="AC37" i="2"/>
  <c r="AA37" i="2"/>
  <c r="P37" i="2"/>
  <c r="G37" i="2"/>
  <c r="AG37" i="2" s="1"/>
  <c r="AZ36" i="2"/>
  <c r="AY36" i="2"/>
  <c r="AV36" i="2"/>
  <c r="AM36" i="2"/>
  <c r="AL36" i="2"/>
  <c r="AK36" i="2"/>
  <c r="AP36" i="2" s="1"/>
  <c r="AJ36" i="2"/>
  <c r="AC36" i="2"/>
  <c r="AA36" i="2"/>
  <c r="P36" i="2"/>
  <c r="G36" i="2"/>
  <c r="AG36" i="2" s="1"/>
  <c r="AH36" i="2" s="1"/>
  <c r="AY35" i="2"/>
  <c r="AZ35" i="2" s="1"/>
  <c r="AV35" i="2"/>
  <c r="AM35" i="2"/>
  <c r="AL35" i="2"/>
  <c r="AJ35" i="2"/>
  <c r="AC35" i="2"/>
  <c r="AA35" i="2"/>
  <c r="P35" i="2"/>
  <c r="G35" i="2"/>
  <c r="AG35" i="2" s="1"/>
  <c r="AY34" i="2"/>
  <c r="AZ34" i="2" s="1"/>
  <c r="AV34" i="2"/>
  <c r="AM34" i="2"/>
  <c r="AL34" i="2"/>
  <c r="AJ34" i="2"/>
  <c r="AC34" i="2"/>
  <c r="AA34" i="2"/>
  <c r="P34" i="2"/>
  <c r="G34" i="2"/>
  <c r="AG34" i="2" s="1"/>
  <c r="AY33" i="2"/>
  <c r="AZ33" i="2" s="1"/>
  <c r="AV33" i="2"/>
  <c r="AM33" i="2"/>
  <c r="AL33" i="2"/>
  <c r="AJ33" i="2"/>
  <c r="AC33" i="2"/>
  <c r="AA33" i="2"/>
  <c r="P33" i="2"/>
  <c r="G33" i="2"/>
  <c r="AG33" i="2" s="1"/>
  <c r="AZ32" i="2"/>
  <c r="AY32" i="2"/>
  <c r="AV32" i="2"/>
  <c r="AM32" i="2"/>
  <c r="AL32" i="2"/>
  <c r="AK32" i="2"/>
  <c r="AP32" i="2" s="1"/>
  <c r="AJ32" i="2"/>
  <c r="AC32" i="2"/>
  <c r="AA32" i="2"/>
  <c r="P32" i="2"/>
  <c r="G32" i="2"/>
  <c r="AG32" i="2" s="1"/>
  <c r="AH32" i="2" s="1"/>
  <c r="AY31" i="2"/>
  <c r="AZ31" i="2" s="1"/>
  <c r="AV31" i="2"/>
  <c r="AM31" i="2"/>
  <c r="AL31" i="2"/>
  <c r="AJ31" i="2"/>
  <c r="AC31" i="2"/>
  <c r="AA31" i="2"/>
  <c r="P31" i="2"/>
  <c r="G31" i="2"/>
  <c r="AG31" i="2" s="1"/>
  <c r="AY30" i="2"/>
  <c r="AZ30" i="2" s="1"/>
  <c r="AV30" i="2"/>
  <c r="AM30" i="2"/>
  <c r="AL30" i="2"/>
  <c r="AJ30" i="2"/>
  <c r="AC30" i="2"/>
  <c r="AA30" i="2"/>
  <c r="P30" i="2"/>
  <c r="G30" i="2"/>
  <c r="AG30" i="2" s="1"/>
  <c r="AY29" i="2"/>
  <c r="AZ29" i="2" s="1"/>
  <c r="AV29" i="2"/>
  <c r="AM29" i="2"/>
  <c r="AL29" i="2"/>
  <c r="AJ29" i="2"/>
  <c r="AC29" i="2"/>
  <c r="AA29" i="2"/>
  <c r="P29" i="2"/>
  <c r="G29" i="2"/>
  <c r="AG29" i="2" s="1"/>
  <c r="AZ28" i="2"/>
  <c r="AY28" i="2"/>
  <c r="AV28" i="2"/>
  <c r="AM28" i="2"/>
  <c r="AL28" i="2"/>
  <c r="AK28" i="2"/>
  <c r="AP28" i="2" s="1"/>
  <c r="AJ28" i="2"/>
  <c r="AC28" i="2"/>
  <c r="AA28" i="2"/>
  <c r="P28" i="2"/>
  <c r="G28" i="2"/>
  <c r="AG28" i="2" s="1"/>
  <c r="AH28" i="2" s="1"/>
  <c r="AY27" i="2"/>
  <c r="AZ27" i="2" s="1"/>
  <c r="AV27" i="2"/>
  <c r="AM27" i="2"/>
  <c r="AL27" i="2"/>
  <c r="AJ27" i="2"/>
  <c r="AC27" i="2"/>
  <c r="AA27" i="2"/>
  <c r="P27" i="2"/>
  <c r="G27" i="2"/>
  <c r="AG27" i="2" s="1"/>
  <c r="AY26" i="2"/>
  <c r="AZ26" i="2" s="1"/>
  <c r="AV26" i="2"/>
  <c r="AM26" i="2"/>
  <c r="AL26" i="2"/>
  <c r="AJ26" i="2"/>
  <c r="AC26" i="2"/>
  <c r="AA26" i="2"/>
  <c r="P26" i="2"/>
  <c r="G26" i="2"/>
  <c r="AG26" i="2" s="1"/>
  <c r="AY25" i="2"/>
  <c r="AZ25" i="2" s="1"/>
  <c r="AV25" i="2"/>
  <c r="AM25" i="2"/>
  <c r="AL25" i="2"/>
  <c r="AJ25" i="2"/>
  <c r="AC25" i="2"/>
  <c r="AA25" i="2"/>
  <c r="P25" i="2"/>
  <c r="G25" i="2"/>
  <c r="AG25" i="2" s="1"/>
  <c r="AZ24" i="2"/>
  <c r="AY24" i="2"/>
  <c r="AV24" i="2"/>
  <c r="AM24" i="2"/>
  <c r="AL24" i="2"/>
  <c r="AK24" i="2"/>
  <c r="AP24" i="2" s="1"/>
  <c r="AJ24" i="2"/>
  <c r="AC24" i="2"/>
  <c r="AA24" i="2"/>
  <c r="P24" i="2"/>
  <c r="G24" i="2"/>
  <c r="AG24" i="2" s="1"/>
  <c r="AH24" i="2" s="1"/>
  <c r="AY23" i="2"/>
  <c r="AZ23" i="2" s="1"/>
  <c r="AV23" i="2"/>
  <c r="AM23" i="2"/>
  <c r="AL23" i="2"/>
  <c r="AJ23" i="2"/>
  <c r="AC23" i="2"/>
  <c r="AA23" i="2"/>
  <c r="P23" i="2"/>
  <c r="G23" i="2"/>
  <c r="AG23" i="2" s="1"/>
  <c r="AY22" i="2"/>
  <c r="AZ22" i="2" s="1"/>
  <c r="AV22" i="2"/>
  <c r="AM22" i="2"/>
  <c r="AL22" i="2"/>
  <c r="AJ22" i="2"/>
  <c r="AC22" i="2"/>
  <c r="AA22" i="2"/>
  <c r="P22" i="2"/>
  <c r="G22" i="2"/>
  <c r="AG22" i="2" s="1"/>
  <c r="AY21" i="2"/>
  <c r="AZ21" i="2" s="1"/>
  <c r="AV21" i="2"/>
  <c r="AM21" i="2"/>
  <c r="AL21" i="2"/>
  <c r="AJ21" i="2"/>
  <c r="AC21" i="2"/>
  <c r="AA21" i="2"/>
  <c r="P21" i="2"/>
  <c r="G21" i="2"/>
  <c r="AG21" i="2" s="1"/>
  <c r="AZ20" i="2"/>
  <c r="AY20" i="2"/>
  <c r="AV20" i="2"/>
  <c r="AM20" i="2"/>
  <c r="AL20" i="2"/>
  <c r="AK20" i="2"/>
  <c r="AP20" i="2" s="1"/>
  <c r="AJ20" i="2"/>
  <c r="AC20" i="2"/>
  <c r="AA20" i="2"/>
  <c r="P20" i="2"/>
  <c r="G20" i="2"/>
  <c r="AG20" i="2" s="1"/>
  <c r="AH20" i="2" s="1"/>
  <c r="AY19" i="2"/>
  <c r="AZ19" i="2" s="1"/>
  <c r="AV19" i="2"/>
  <c r="AM19" i="2"/>
  <c r="AL19" i="2"/>
  <c r="AJ19" i="2"/>
  <c r="AC19" i="2"/>
  <c r="AA19" i="2"/>
  <c r="P19" i="2"/>
  <c r="G19" i="2"/>
  <c r="AG19" i="2" s="1"/>
  <c r="AY18" i="2"/>
  <c r="AZ18" i="2" s="1"/>
  <c r="AV18" i="2"/>
  <c r="AM18" i="2"/>
  <c r="AL18" i="2"/>
  <c r="AJ18" i="2"/>
  <c r="AC18" i="2"/>
  <c r="AA18" i="2"/>
  <c r="P18" i="2"/>
  <c r="G18" i="2"/>
  <c r="AG18" i="2" s="1"/>
  <c r="AY17" i="2"/>
  <c r="AZ17" i="2" s="1"/>
  <c r="AV17" i="2"/>
  <c r="AM17" i="2"/>
  <c r="AL17" i="2"/>
  <c r="AJ17" i="2"/>
  <c r="AC17" i="2"/>
  <c r="AA17" i="2"/>
  <c r="P17" i="2"/>
  <c r="G17" i="2"/>
  <c r="AG17" i="2" s="1"/>
  <c r="AZ16" i="2"/>
  <c r="AY16" i="2"/>
  <c r="AV16" i="2"/>
  <c r="AM16" i="2"/>
  <c r="AL16" i="2"/>
  <c r="AK16" i="2"/>
  <c r="AP16" i="2" s="1"/>
  <c r="AJ16" i="2"/>
  <c r="AC16" i="2"/>
  <c r="AA16" i="2"/>
  <c r="P16" i="2"/>
  <c r="G16" i="2"/>
  <c r="AG16" i="2" s="1"/>
  <c r="AH16" i="2" s="1"/>
  <c r="AY15" i="2"/>
  <c r="AZ15" i="2" s="1"/>
  <c r="AV15" i="2"/>
  <c r="AM15" i="2"/>
  <c r="AL15" i="2"/>
  <c r="AJ15" i="2"/>
  <c r="AC15" i="2"/>
  <c r="AA15" i="2"/>
  <c r="P15" i="2"/>
  <c r="G15" i="2"/>
  <c r="AG15" i="2" s="1"/>
  <c r="AY14" i="2"/>
  <c r="AZ14" i="2" s="1"/>
  <c r="AV14" i="2"/>
  <c r="AM14" i="2"/>
  <c r="AL14" i="2"/>
  <c r="AJ14" i="2"/>
  <c r="AC14" i="2"/>
  <c r="AA14" i="2"/>
  <c r="P14" i="2"/>
  <c r="G14" i="2"/>
  <c r="AG14" i="2" s="1"/>
  <c r="AY13" i="2"/>
  <c r="AZ13" i="2" s="1"/>
  <c r="AV13" i="2"/>
  <c r="AM13" i="2"/>
  <c r="AL13" i="2"/>
  <c r="AJ13" i="2"/>
  <c r="AC13" i="2"/>
  <c r="AA13" i="2"/>
  <c r="P13" i="2"/>
  <c r="G13" i="2"/>
  <c r="AG13" i="2" s="1"/>
  <c r="AZ12" i="2"/>
  <c r="AY12" i="2"/>
  <c r="AV12" i="2"/>
  <c r="AM12" i="2"/>
  <c r="AL12" i="2"/>
  <c r="AJ12" i="2"/>
  <c r="AC12" i="2"/>
  <c r="AA12" i="2"/>
  <c r="P12" i="2"/>
  <c r="G12" i="2"/>
  <c r="AG12" i="2" s="1"/>
  <c r="AH12" i="2" s="1"/>
  <c r="AK12" i="2" s="1"/>
  <c r="AY11" i="2"/>
  <c r="AZ11" i="2" s="1"/>
  <c r="AV11" i="2"/>
  <c r="AM11" i="2"/>
  <c r="AL11" i="2"/>
  <c r="AJ11" i="2"/>
  <c r="AC11" i="2"/>
  <c r="AA11" i="2"/>
  <c r="P11" i="2"/>
  <c r="G11" i="2"/>
  <c r="AG11" i="2" s="1"/>
  <c r="AY10" i="2"/>
  <c r="AZ10" i="2" s="1"/>
  <c r="AV10" i="2"/>
  <c r="AM10" i="2"/>
  <c r="AL10" i="2"/>
  <c r="AJ10" i="2"/>
  <c r="AC10" i="2"/>
  <c r="AA10" i="2"/>
  <c r="P10" i="2"/>
  <c r="G10" i="2"/>
  <c r="AG10" i="2" s="1"/>
  <c r="AY9" i="2"/>
  <c r="AZ9" i="2" s="1"/>
  <c r="AV9" i="2"/>
  <c r="AM9" i="2"/>
  <c r="AL9" i="2"/>
  <c r="AJ9" i="2"/>
  <c r="AC9" i="2"/>
  <c r="AA9" i="2"/>
  <c r="P9" i="2"/>
  <c r="G9" i="2"/>
  <c r="AG9" i="2" s="1"/>
  <c r="AZ8" i="2"/>
  <c r="AY8" i="2"/>
  <c r="AV8" i="2"/>
  <c r="AM8" i="2"/>
  <c r="AL8" i="2"/>
  <c r="AJ8" i="2"/>
  <c r="AC8" i="2"/>
  <c r="AA8" i="2"/>
  <c r="P8" i="2"/>
  <c r="G8" i="2"/>
  <c r="AG8" i="2" s="1"/>
  <c r="AH8" i="2" s="1"/>
  <c r="AY7" i="2"/>
  <c r="AZ7" i="2" s="1"/>
  <c r="AV7" i="2"/>
  <c r="AM7" i="2"/>
  <c r="AL7" i="2"/>
  <c r="AJ7" i="2"/>
  <c r="AC7" i="2"/>
  <c r="AA7" i="2"/>
  <c r="P7" i="2"/>
  <c r="G7" i="2"/>
  <c r="AG7" i="2" s="1"/>
  <c r="AY6" i="2"/>
  <c r="AZ6" i="2" s="1"/>
  <c r="AV6" i="2"/>
  <c r="AM6" i="2"/>
  <c r="AL6" i="2"/>
  <c r="AJ6" i="2"/>
  <c r="AC6" i="2"/>
  <c r="AA6" i="2"/>
  <c r="P6" i="2"/>
  <c r="G6" i="2"/>
  <c r="AG6" i="2" s="1"/>
  <c r="AY5" i="2"/>
  <c r="AZ5" i="2" s="1"/>
  <c r="AV5" i="2"/>
  <c r="AM5" i="2"/>
  <c r="AL5" i="2"/>
  <c r="AJ5" i="2"/>
  <c r="AC5" i="2"/>
  <c r="AA5" i="2"/>
  <c r="P5" i="2"/>
  <c r="G5" i="2"/>
  <c r="AG5" i="2" s="1"/>
  <c r="AZ4" i="2"/>
  <c r="AY4" i="2"/>
  <c r="AV4" i="2"/>
  <c r="AM4" i="2"/>
  <c r="AL4" i="2"/>
  <c r="AJ4" i="2"/>
  <c r="AC4" i="2"/>
  <c r="AA4" i="2"/>
  <c r="P4" i="2"/>
  <c r="G4" i="2"/>
  <c r="AG4" i="2" s="1"/>
  <c r="AH4" i="2" s="1"/>
  <c r="AY3" i="2"/>
  <c r="AZ3" i="2" s="1"/>
  <c r="AV3" i="2"/>
  <c r="AM3" i="2"/>
  <c r="AL3" i="2"/>
  <c r="AJ3" i="2"/>
  <c r="AC3" i="2"/>
  <c r="AA3" i="2"/>
  <c r="P3" i="2"/>
  <c r="G3" i="2"/>
  <c r="AG3" i="2" s="1"/>
  <c r="AY2" i="2"/>
  <c r="AZ2" i="2" s="1"/>
  <c r="AV2" i="2"/>
  <c r="AM2" i="2"/>
  <c r="AL2" i="2"/>
  <c r="AJ2" i="2"/>
  <c r="AC2" i="2"/>
  <c r="AA2" i="2"/>
  <c r="P2" i="2"/>
  <c r="G2" i="2"/>
  <c r="AG2" i="2" s="1"/>
  <c r="AO388" i="1"/>
  <c r="AO387" i="1"/>
  <c r="AO386" i="1"/>
  <c r="AO385" i="1"/>
  <c r="AO384" i="1"/>
  <c r="AO383" i="1"/>
  <c r="AO382" i="1"/>
  <c r="AO381" i="1"/>
  <c r="AO380" i="1"/>
  <c r="AO379" i="1"/>
  <c r="AO378" i="1"/>
  <c r="AO377" i="1"/>
  <c r="AM377" i="1"/>
  <c r="AL377" i="1"/>
  <c r="AJ377" i="1"/>
  <c r="AC377" i="1"/>
  <c r="AA377" i="1"/>
  <c r="P377" i="1"/>
  <c r="G377" i="1"/>
  <c r="AG377" i="1" s="1"/>
  <c r="AO376" i="1"/>
  <c r="AM376" i="1"/>
  <c r="AL376" i="1"/>
  <c r="AJ376" i="1"/>
  <c r="AC376" i="1"/>
  <c r="AA376" i="1"/>
  <c r="P376" i="1"/>
  <c r="G376" i="1"/>
  <c r="AG376" i="1" s="1"/>
  <c r="AO375" i="1"/>
  <c r="AM375" i="1"/>
  <c r="AL375" i="1"/>
  <c r="AJ375" i="1"/>
  <c r="AC375" i="1"/>
  <c r="AA375" i="1"/>
  <c r="P375" i="1"/>
  <c r="G375" i="1"/>
  <c r="AG375" i="1" s="1"/>
  <c r="AO374" i="1"/>
  <c r="AM374" i="1"/>
  <c r="AL374" i="1"/>
  <c r="AJ374" i="1"/>
  <c r="AC374" i="1"/>
  <c r="AA374" i="1"/>
  <c r="P374" i="1"/>
  <c r="G374" i="1"/>
  <c r="AO373" i="1"/>
  <c r="AM373" i="1"/>
  <c r="AL373" i="1"/>
  <c r="AJ373" i="1"/>
  <c r="AC373" i="1"/>
  <c r="AA373" i="1"/>
  <c r="P373" i="1"/>
  <c r="G373" i="1"/>
  <c r="AG373" i="1" s="1"/>
  <c r="AO372" i="1"/>
  <c r="AM372" i="1"/>
  <c r="AL372" i="1"/>
  <c r="AJ372" i="1"/>
  <c r="AC372" i="1"/>
  <c r="AA372" i="1"/>
  <c r="P372" i="1"/>
  <c r="G372" i="1"/>
  <c r="AG372" i="1" s="1"/>
  <c r="AO371" i="1"/>
  <c r="AM371" i="1"/>
  <c r="AL371" i="1"/>
  <c r="AJ371" i="1"/>
  <c r="AC371" i="1"/>
  <c r="AA371" i="1"/>
  <c r="P371" i="1"/>
  <c r="G371" i="1"/>
  <c r="AG371" i="1" s="1"/>
  <c r="AO370" i="1"/>
  <c r="AM370" i="1"/>
  <c r="AL370" i="1"/>
  <c r="AJ370" i="1"/>
  <c r="AC370" i="1"/>
  <c r="AA370" i="1"/>
  <c r="P370" i="1"/>
  <c r="G370" i="1"/>
  <c r="AO369" i="1"/>
  <c r="AM369" i="1"/>
  <c r="AL369" i="1"/>
  <c r="AJ369" i="1"/>
  <c r="AC369" i="1"/>
  <c r="AA369" i="1"/>
  <c r="P369" i="1"/>
  <c r="G369" i="1"/>
  <c r="AG369" i="1" s="1"/>
  <c r="AO368" i="1"/>
  <c r="AM368" i="1"/>
  <c r="AL368" i="1"/>
  <c r="AJ368" i="1"/>
  <c r="AC368" i="1"/>
  <c r="AA368" i="1"/>
  <c r="P368" i="1"/>
  <c r="G368" i="1"/>
  <c r="AG368" i="1" s="1"/>
  <c r="AO367" i="1"/>
  <c r="AM367" i="1"/>
  <c r="AL367" i="1"/>
  <c r="AJ367" i="1"/>
  <c r="AC367" i="1"/>
  <c r="AA367" i="1"/>
  <c r="P367" i="1"/>
  <c r="G367" i="1"/>
  <c r="AG367" i="1" s="1"/>
  <c r="AO366" i="1"/>
  <c r="AM366" i="1"/>
  <c r="AL366" i="1"/>
  <c r="AJ366" i="1"/>
  <c r="AC366" i="1"/>
  <c r="AA366" i="1"/>
  <c r="P366" i="1"/>
  <c r="G366" i="1"/>
  <c r="AG366" i="1" s="1"/>
  <c r="AO365" i="1"/>
  <c r="AM365" i="1"/>
  <c r="AL365" i="1"/>
  <c r="AJ365" i="1"/>
  <c r="AC365" i="1"/>
  <c r="AA365" i="1"/>
  <c r="P365" i="1"/>
  <c r="G365" i="1"/>
  <c r="AO364" i="1"/>
  <c r="AM364" i="1"/>
  <c r="AL364" i="1"/>
  <c r="AJ364" i="1"/>
  <c r="AC364" i="1"/>
  <c r="AA364" i="1"/>
  <c r="P364" i="1"/>
  <c r="G364" i="1"/>
  <c r="AG364" i="1" s="1"/>
  <c r="AO363" i="1"/>
  <c r="AM363" i="1"/>
  <c r="AL363" i="1"/>
  <c r="AJ363" i="1"/>
  <c r="AC363" i="1"/>
  <c r="AA363" i="1"/>
  <c r="P363" i="1"/>
  <c r="G363" i="1"/>
  <c r="AG363" i="1" s="1"/>
  <c r="AH363" i="1" s="1"/>
  <c r="AO362" i="1"/>
  <c r="AM362" i="1"/>
  <c r="AL362" i="1"/>
  <c r="AJ362" i="1"/>
  <c r="AC362" i="1"/>
  <c r="AA362" i="1"/>
  <c r="P362" i="1"/>
  <c r="G362" i="1"/>
  <c r="AO361" i="1"/>
  <c r="AM361" i="1"/>
  <c r="AL361" i="1"/>
  <c r="AJ361" i="1"/>
  <c r="AC361" i="1"/>
  <c r="AA361" i="1"/>
  <c r="P361" i="1"/>
  <c r="G361" i="1"/>
  <c r="AO360" i="1"/>
  <c r="AM360" i="1"/>
  <c r="AL360" i="1"/>
  <c r="AJ360" i="1"/>
  <c r="AC360" i="1"/>
  <c r="AA360" i="1"/>
  <c r="P360" i="1"/>
  <c r="G360" i="1"/>
  <c r="AG360" i="1" s="1"/>
  <c r="AO359" i="1"/>
  <c r="AM359" i="1"/>
  <c r="AL359" i="1"/>
  <c r="AJ359" i="1"/>
  <c r="AC359" i="1"/>
  <c r="AA359" i="1"/>
  <c r="P359" i="1"/>
  <c r="G359" i="1"/>
  <c r="AG359" i="1" s="1"/>
  <c r="AO358" i="1"/>
  <c r="AM358" i="1"/>
  <c r="AL358" i="1"/>
  <c r="AJ358" i="1"/>
  <c r="AC358" i="1"/>
  <c r="AA358" i="1"/>
  <c r="P358" i="1"/>
  <c r="G358" i="1"/>
  <c r="AG358" i="1" s="1"/>
  <c r="AZ357" i="1"/>
  <c r="AO357" i="1"/>
  <c r="AM357" i="1"/>
  <c r="AL357" i="1"/>
  <c r="AR357" i="1" s="1"/>
  <c r="AJ357" i="1"/>
  <c r="AC357" i="1"/>
  <c r="AA357" i="1"/>
  <c r="P357" i="1"/>
  <c r="G357" i="1"/>
  <c r="AG357" i="1" s="1"/>
  <c r="AZ356" i="1"/>
  <c r="AO356" i="1"/>
  <c r="AM356" i="1"/>
  <c r="AL356" i="1"/>
  <c r="AR356" i="1" s="1"/>
  <c r="AJ356" i="1"/>
  <c r="AC356" i="1"/>
  <c r="AA356" i="1"/>
  <c r="P356" i="1"/>
  <c r="G356" i="1"/>
  <c r="AG356" i="1" s="1"/>
  <c r="AZ355" i="1"/>
  <c r="AR355" i="1"/>
  <c r="AO355" i="1"/>
  <c r="AM355" i="1"/>
  <c r="AL355" i="1"/>
  <c r="AJ355" i="1"/>
  <c r="AC355" i="1"/>
  <c r="AA355" i="1"/>
  <c r="P355" i="1"/>
  <c r="G355" i="1"/>
  <c r="AG355" i="1" s="1"/>
  <c r="AZ354" i="1"/>
  <c r="AO354" i="1"/>
  <c r="AR354" i="1" s="1"/>
  <c r="AM354" i="1"/>
  <c r="AL354" i="1"/>
  <c r="AJ354" i="1"/>
  <c r="AC354" i="1"/>
  <c r="AA354" i="1"/>
  <c r="P354" i="1"/>
  <c r="G354" i="1"/>
  <c r="AZ353" i="1"/>
  <c r="AR353" i="1"/>
  <c r="AO353" i="1"/>
  <c r="AM353" i="1"/>
  <c r="AL353" i="1"/>
  <c r="AJ353" i="1"/>
  <c r="AC353" i="1"/>
  <c r="AA353" i="1"/>
  <c r="P353" i="1"/>
  <c r="G353" i="1"/>
  <c r="AG353" i="1" s="1"/>
  <c r="AH353" i="1" s="1"/>
  <c r="AZ352" i="1"/>
  <c r="AO352" i="1"/>
  <c r="AR352" i="1" s="1"/>
  <c r="AM352" i="1"/>
  <c r="AL352" i="1"/>
  <c r="AJ352" i="1"/>
  <c r="AC352" i="1"/>
  <c r="AA352" i="1"/>
  <c r="P352" i="1"/>
  <c r="G352" i="1"/>
  <c r="AG352" i="1" s="1"/>
  <c r="AZ351" i="1"/>
  <c r="AR351" i="1"/>
  <c r="AO351" i="1"/>
  <c r="AM351" i="1"/>
  <c r="AL351" i="1"/>
  <c r="AJ351" i="1"/>
  <c r="AC351" i="1"/>
  <c r="AA351" i="1"/>
  <c r="P351" i="1"/>
  <c r="G351" i="1"/>
  <c r="AG351" i="1" s="1"/>
  <c r="AZ350" i="1"/>
  <c r="AO350" i="1"/>
  <c r="AR350" i="1" s="1"/>
  <c r="AM350" i="1"/>
  <c r="AL350" i="1"/>
  <c r="AJ350" i="1"/>
  <c r="AC350" i="1"/>
  <c r="AA350" i="1"/>
  <c r="P350" i="1"/>
  <c r="G350" i="1"/>
  <c r="AG350" i="1" s="1"/>
  <c r="AH350" i="1" s="1"/>
  <c r="AK350" i="1" s="1"/>
  <c r="AP350" i="1" s="1"/>
  <c r="AZ349" i="1"/>
  <c r="AR349" i="1"/>
  <c r="AO349" i="1"/>
  <c r="AM349" i="1"/>
  <c r="AL349" i="1"/>
  <c r="AJ349" i="1"/>
  <c r="AC349" i="1"/>
  <c r="AA349" i="1"/>
  <c r="P349" i="1"/>
  <c r="G349" i="1"/>
  <c r="AG349" i="1" s="1"/>
  <c r="AZ348" i="1"/>
  <c r="AO348" i="1"/>
  <c r="AR348" i="1" s="1"/>
  <c r="AM348" i="1"/>
  <c r="AL348" i="1"/>
  <c r="AJ348" i="1"/>
  <c r="AC348" i="1"/>
  <c r="AA348" i="1"/>
  <c r="P348" i="1"/>
  <c r="G348" i="1"/>
  <c r="AG348" i="1" s="1"/>
  <c r="AZ347" i="1"/>
  <c r="AR347" i="1"/>
  <c r="AO347" i="1"/>
  <c r="AM347" i="1"/>
  <c r="AL347" i="1"/>
  <c r="AJ347" i="1"/>
  <c r="AC347" i="1"/>
  <c r="AA347" i="1"/>
  <c r="P347" i="1"/>
  <c r="G347" i="1"/>
  <c r="AG347" i="1" s="1"/>
  <c r="AZ346" i="1"/>
  <c r="AO346" i="1"/>
  <c r="AR346" i="1" s="1"/>
  <c r="AM346" i="1"/>
  <c r="AL346" i="1"/>
  <c r="AJ346" i="1"/>
  <c r="AC346" i="1"/>
  <c r="AA346" i="1"/>
  <c r="P346" i="1"/>
  <c r="G346" i="1"/>
  <c r="AG346" i="1" s="1"/>
  <c r="AZ345" i="1"/>
  <c r="AR345" i="1"/>
  <c r="AO345" i="1"/>
  <c r="AM345" i="1"/>
  <c r="AL345" i="1"/>
  <c r="AJ345" i="1"/>
  <c r="AC345" i="1"/>
  <c r="AA345" i="1"/>
  <c r="P345" i="1"/>
  <c r="G345" i="1"/>
  <c r="AG345" i="1" s="1"/>
  <c r="AZ344" i="1"/>
  <c r="AO344" i="1"/>
  <c r="AR344" i="1" s="1"/>
  <c r="AM344" i="1"/>
  <c r="AL344" i="1"/>
  <c r="AJ344" i="1"/>
  <c r="AC344" i="1"/>
  <c r="AA344" i="1"/>
  <c r="P344" i="1"/>
  <c r="G344" i="1"/>
  <c r="AG344" i="1" s="1"/>
  <c r="AZ343" i="1"/>
  <c r="AR343" i="1"/>
  <c r="AO343" i="1"/>
  <c r="AM343" i="1"/>
  <c r="AL343" i="1"/>
  <c r="AJ343" i="1"/>
  <c r="AC343" i="1"/>
  <c r="AA343" i="1"/>
  <c r="P343" i="1"/>
  <c r="G343" i="1"/>
  <c r="AG343" i="1" s="1"/>
  <c r="AZ342" i="1"/>
  <c r="AO342" i="1"/>
  <c r="AR342" i="1" s="1"/>
  <c r="AM342" i="1"/>
  <c r="AL342" i="1"/>
  <c r="AJ342" i="1"/>
  <c r="AC342" i="1"/>
  <c r="AA342" i="1"/>
  <c r="P342" i="1"/>
  <c r="G342" i="1"/>
  <c r="AG342" i="1" s="1"/>
  <c r="AZ341" i="1"/>
  <c r="AR341" i="1"/>
  <c r="AO341" i="1"/>
  <c r="AM341" i="1"/>
  <c r="AL341" i="1"/>
  <c r="AJ341" i="1"/>
  <c r="AC341" i="1"/>
  <c r="AA341" i="1"/>
  <c r="P341" i="1"/>
  <c r="G341" i="1"/>
  <c r="AG341" i="1" s="1"/>
  <c r="AZ340" i="1"/>
  <c r="AO340" i="1"/>
  <c r="AR340" i="1" s="1"/>
  <c r="AM340" i="1"/>
  <c r="AL340" i="1"/>
  <c r="AJ340" i="1"/>
  <c r="AC340" i="1"/>
  <c r="AA340" i="1"/>
  <c r="P340" i="1"/>
  <c r="G340" i="1"/>
  <c r="AG340" i="1" s="1"/>
  <c r="AH340" i="1" s="1"/>
  <c r="AK340" i="1" s="1"/>
  <c r="AP340" i="1" s="1"/>
  <c r="AZ339" i="1"/>
  <c r="AR339" i="1"/>
  <c r="AO339" i="1"/>
  <c r="AM339" i="1"/>
  <c r="AL339" i="1"/>
  <c r="AJ339" i="1"/>
  <c r="AC339" i="1"/>
  <c r="AA339" i="1"/>
  <c r="P339" i="1"/>
  <c r="G339" i="1"/>
  <c r="AZ338" i="1"/>
  <c r="AO338" i="1"/>
  <c r="AR338" i="1" s="1"/>
  <c r="AM338" i="1"/>
  <c r="AL338" i="1"/>
  <c r="AJ338" i="1"/>
  <c r="AC338" i="1"/>
  <c r="AA338" i="1"/>
  <c r="P338" i="1"/>
  <c r="G338" i="1"/>
  <c r="AZ337" i="1"/>
  <c r="AV337" i="1"/>
  <c r="AR337" i="1"/>
  <c r="AO337" i="1"/>
  <c r="AM337" i="1"/>
  <c r="AL337" i="1"/>
  <c r="AJ337" i="1"/>
  <c r="AC337" i="1"/>
  <c r="AA337" i="1"/>
  <c r="P337" i="1"/>
  <c r="G337" i="1"/>
  <c r="AZ336" i="1"/>
  <c r="AV336" i="1"/>
  <c r="AR336" i="1"/>
  <c r="AO336" i="1"/>
  <c r="AM336" i="1"/>
  <c r="AL336" i="1"/>
  <c r="AJ336" i="1"/>
  <c r="AC336" i="1"/>
  <c r="AA336" i="1"/>
  <c r="P336" i="1"/>
  <c r="G336" i="1"/>
  <c r="AG336" i="1" s="1"/>
  <c r="AZ335" i="1"/>
  <c r="AV335" i="1"/>
  <c r="AR335" i="1"/>
  <c r="AO335" i="1"/>
  <c r="AM335" i="1"/>
  <c r="AL335" i="1"/>
  <c r="AJ335" i="1"/>
  <c r="AC335" i="1"/>
  <c r="AA335" i="1"/>
  <c r="P335" i="1"/>
  <c r="G335" i="1"/>
  <c r="AG335" i="1" s="1"/>
  <c r="AZ334" i="1"/>
  <c r="AV334" i="1"/>
  <c r="AO334" i="1"/>
  <c r="AR334" i="1" s="1"/>
  <c r="AM334" i="1"/>
  <c r="AL334" i="1"/>
  <c r="AJ334" i="1"/>
  <c r="AC334" i="1"/>
  <c r="AA334" i="1"/>
  <c r="P334" i="1"/>
  <c r="G334" i="1"/>
  <c r="AG334" i="1" s="1"/>
  <c r="AZ333" i="1"/>
  <c r="AV333" i="1"/>
  <c r="AO333" i="1"/>
  <c r="AR333" i="1" s="1"/>
  <c r="AM333" i="1"/>
  <c r="AL333" i="1"/>
  <c r="AJ333" i="1"/>
  <c r="AC333" i="1"/>
  <c r="AA333" i="1"/>
  <c r="P333" i="1"/>
  <c r="G333" i="1"/>
  <c r="AG333" i="1" s="1"/>
  <c r="AZ332" i="1"/>
  <c r="AV332" i="1"/>
  <c r="AR332" i="1"/>
  <c r="AO332" i="1"/>
  <c r="AM332" i="1"/>
  <c r="AL332" i="1"/>
  <c r="AJ332" i="1"/>
  <c r="AC332" i="1"/>
  <c r="AA332" i="1"/>
  <c r="P332" i="1"/>
  <c r="G332" i="1"/>
  <c r="AG332" i="1" s="1"/>
  <c r="AZ331" i="1"/>
  <c r="AV331" i="1"/>
  <c r="AO331" i="1"/>
  <c r="AR331" i="1" s="1"/>
  <c r="AM331" i="1"/>
  <c r="AL331" i="1"/>
  <c r="AJ331" i="1"/>
  <c r="AC331" i="1"/>
  <c r="AA331" i="1"/>
  <c r="P331" i="1"/>
  <c r="G331" i="1"/>
  <c r="AG331" i="1" s="1"/>
  <c r="AZ330" i="1"/>
  <c r="AV330" i="1"/>
  <c r="AO330" i="1"/>
  <c r="AR330" i="1" s="1"/>
  <c r="AM330" i="1"/>
  <c r="AL330" i="1"/>
  <c r="AJ330" i="1"/>
  <c r="AC330" i="1"/>
  <c r="AA330" i="1"/>
  <c r="P330" i="1"/>
  <c r="G330" i="1"/>
  <c r="AG330" i="1" s="1"/>
  <c r="AH330" i="1" s="1"/>
  <c r="AK330" i="1" s="1"/>
  <c r="AP330" i="1" s="1"/>
  <c r="AZ329" i="1"/>
  <c r="AV329" i="1"/>
  <c r="AO329" i="1"/>
  <c r="AR329" i="1" s="1"/>
  <c r="AM329" i="1"/>
  <c r="AL329" i="1"/>
  <c r="AJ329" i="1"/>
  <c r="AC329" i="1"/>
  <c r="AA329" i="1"/>
  <c r="P329" i="1"/>
  <c r="G329" i="1"/>
  <c r="AZ328" i="1"/>
  <c r="AV328" i="1"/>
  <c r="AR328" i="1"/>
  <c r="AO328" i="1"/>
  <c r="AM328" i="1"/>
  <c r="AL328" i="1"/>
  <c r="AJ328" i="1"/>
  <c r="AC328" i="1"/>
  <c r="AA328" i="1"/>
  <c r="P328" i="1"/>
  <c r="G328" i="1"/>
  <c r="AG328" i="1" s="1"/>
  <c r="AZ327" i="1"/>
  <c r="AV327" i="1"/>
  <c r="AO327" i="1"/>
  <c r="AR327" i="1" s="1"/>
  <c r="AM327" i="1"/>
  <c r="AL327" i="1"/>
  <c r="AJ327" i="1"/>
  <c r="AC327" i="1"/>
  <c r="AA327" i="1"/>
  <c r="P327" i="1"/>
  <c r="G327" i="1"/>
  <c r="AG327" i="1" s="1"/>
  <c r="AZ326" i="1"/>
  <c r="AV326" i="1"/>
  <c r="AO326" i="1"/>
  <c r="AR326" i="1" s="1"/>
  <c r="AM326" i="1"/>
  <c r="AL326" i="1"/>
  <c r="AJ326" i="1"/>
  <c r="AC326" i="1"/>
  <c r="AA326" i="1"/>
  <c r="P326" i="1"/>
  <c r="G326" i="1"/>
  <c r="AZ325" i="1"/>
  <c r="AV325" i="1"/>
  <c r="AR325" i="1"/>
  <c r="AO325" i="1"/>
  <c r="AM325" i="1"/>
  <c r="AL325" i="1"/>
  <c r="AJ325" i="1"/>
  <c r="AC325" i="1"/>
  <c r="AA325" i="1"/>
  <c r="P325" i="1"/>
  <c r="G325" i="1"/>
  <c r="AG325" i="1" s="1"/>
  <c r="AZ324" i="1"/>
  <c r="AV324" i="1"/>
  <c r="AR324" i="1"/>
  <c r="AO324" i="1"/>
  <c r="AM324" i="1"/>
  <c r="AL324" i="1"/>
  <c r="AJ324" i="1"/>
  <c r="AC324" i="1"/>
  <c r="AA324" i="1"/>
  <c r="P324" i="1"/>
  <c r="G324" i="1"/>
  <c r="AG324" i="1" s="1"/>
  <c r="AH324" i="1" s="1"/>
  <c r="AK324" i="1" s="1"/>
  <c r="AP324" i="1" s="1"/>
  <c r="AZ323" i="1"/>
  <c r="AV323" i="1"/>
  <c r="AO323" i="1"/>
  <c r="AR323" i="1" s="1"/>
  <c r="AM323" i="1"/>
  <c r="AL323" i="1"/>
  <c r="AJ323" i="1"/>
  <c r="AC323" i="1"/>
  <c r="AA323" i="1"/>
  <c r="P323" i="1"/>
  <c r="G323" i="1"/>
  <c r="AG323" i="1" s="1"/>
  <c r="AZ322" i="1"/>
  <c r="AV322" i="1"/>
  <c r="AO322" i="1"/>
  <c r="AR322" i="1" s="1"/>
  <c r="AM322" i="1"/>
  <c r="AL322" i="1"/>
  <c r="AJ322" i="1"/>
  <c r="AC322" i="1"/>
  <c r="AA322" i="1"/>
  <c r="P322" i="1"/>
  <c r="G322" i="1"/>
  <c r="AG322" i="1" s="1"/>
  <c r="AZ321" i="1"/>
  <c r="AV321" i="1"/>
  <c r="AO321" i="1"/>
  <c r="AR321" i="1" s="1"/>
  <c r="AM321" i="1"/>
  <c r="AL321" i="1"/>
  <c r="AJ321" i="1"/>
  <c r="AC321" i="1"/>
  <c r="AA321" i="1"/>
  <c r="P321" i="1"/>
  <c r="G321" i="1"/>
  <c r="AG321" i="1" s="1"/>
  <c r="AZ320" i="1"/>
  <c r="AV320" i="1"/>
  <c r="AR320" i="1"/>
  <c r="AO320" i="1"/>
  <c r="AM320" i="1"/>
  <c r="AL320" i="1"/>
  <c r="AJ320" i="1"/>
  <c r="AC320" i="1"/>
  <c r="AA320" i="1"/>
  <c r="P320" i="1"/>
  <c r="G320" i="1"/>
  <c r="AG320" i="1" s="1"/>
  <c r="AZ319" i="1"/>
  <c r="AV319" i="1"/>
  <c r="AR319" i="1"/>
  <c r="AO319" i="1"/>
  <c r="AM319" i="1"/>
  <c r="AL319" i="1"/>
  <c r="AJ319" i="1"/>
  <c r="AC319" i="1"/>
  <c r="AA319" i="1"/>
  <c r="P319" i="1"/>
  <c r="G319" i="1"/>
  <c r="AG319" i="1" s="1"/>
  <c r="AZ318" i="1"/>
  <c r="AV318" i="1"/>
  <c r="AO318" i="1"/>
  <c r="AR318" i="1" s="1"/>
  <c r="AM318" i="1"/>
  <c r="AL318" i="1"/>
  <c r="AJ318" i="1"/>
  <c r="AC318" i="1"/>
  <c r="AA318" i="1"/>
  <c r="P318" i="1"/>
  <c r="G318" i="1"/>
  <c r="AZ317" i="1"/>
  <c r="AV317" i="1"/>
  <c r="AR317" i="1"/>
  <c r="AO317" i="1"/>
  <c r="AM317" i="1"/>
  <c r="AL317" i="1"/>
  <c r="AJ317" i="1"/>
  <c r="AC317" i="1"/>
  <c r="AA317" i="1"/>
  <c r="P317" i="1"/>
  <c r="G317" i="1"/>
  <c r="AG317" i="1" s="1"/>
  <c r="AZ316" i="1"/>
  <c r="AV316" i="1"/>
  <c r="AR316" i="1"/>
  <c r="AO316" i="1"/>
  <c r="AM316" i="1"/>
  <c r="AL316" i="1"/>
  <c r="AJ316" i="1"/>
  <c r="AC316" i="1"/>
  <c r="AA316" i="1"/>
  <c r="P316" i="1"/>
  <c r="G316" i="1"/>
  <c r="AG316" i="1" s="1"/>
  <c r="AZ315" i="1"/>
  <c r="AV315" i="1"/>
  <c r="AR315" i="1"/>
  <c r="AO315" i="1"/>
  <c r="AM315" i="1"/>
  <c r="AL315" i="1"/>
  <c r="AJ315" i="1"/>
  <c r="AC315" i="1"/>
  <c r="AA315" i="1"/>
  <c r="P315" i="1"/>
  <c r="G315" i="1"/>
  <c r="AG315" i="1" s="1"/>
  <c r="AZ314" i="1"/>
  <c r="AV314" i="1"/>
  <c r="AO314" i="1"/>
  <c r="AR314" i="1" s="1"/>
  <c r="AM314" i="1"/>
  <c r="AL314" i="1"/>
  <c r="AJ314" i="1"/>
  <c r="AC314" i="1"/>
  <c r="AA314" i="1"/>
  <c r="P314" i="1"/>
  <c r="G314" i="1"/>
  <c r="AG314" i="1" s="1"/>
  <c r="AZ313" i="1"/>
  <c r="AV313" i="1"/>
  <c r="AO313" i="1"/>
  <c r="AR313" i="1" s="1"/>
  <c r="AM313" i="1"/>
  <c r="AL313" i="1"/>
  <c r="AJ313" i="1"/>
  <c r="AC313" i="1"/>
  <c r="AA313" i="1"/>
  <c r="P313" i="1"/>
  <c r="G313" i="1"/>
  <c r="AG313" i="1" s="1"/>
  <c r="AZ312" i="1"/>
  <c r="AV312" i="1"/>
  <c r="AR312" i="1"/>
  <c r="AO312" i="1"/>
  <c r="AM312" i="1"/>
  <c r="AL312" i="1"/>
  <c r="AJ312" i="1"/>
  <c r="AC312" i="1"/>
  <c r="AA312" i="1"/>
  <c r="P312" i="1"/>
  <c r="G312" i="1"/>
  <c r="AG312" i="1" s="1"/>
  <c r="AZ311" i="1"/>
  <c r="AV311" i="1"/>
  <c r="AO311" i="1"/>
  <c r="AR311" i="1" s="1"/>
  <c r="AM311" i="1"/>
  <c r="AL311" i="1"/>
  <c r="AJ311" i="1"/>
  <c r="AC311" i="1"/>
  <c r="AA311" i="1"/>
  <c r="P311" i="1"/>
  <c r="G311" i="1"/>
  <c r="AG311" i="1" s="1"/>
  <c r="AH311" i="1" s="1"/>
  <c r="AZ310" i="1"/>
  <c r="AV310" i="1"/>
  <c r="AO310" i="1"/>
  <c r="AR310" i="1" s="1"/>
  <c r="AM310" i="1"/>
  <c r="AL310" i="1"/>
  <c r="AJ310" i="1"/>
  <c r="AC310" i="1"/>
  <c r="AA310" i="1"/>
  <c r="P310" i="1"/>
  <c r="G310" i="1"/>
  <c r="AZ309" i="1"/>
  <c r="AV309" i="1"/>
  <c r="AR309" i="1"/>
  <c r="AO309" i="1"/>
  <c r="AM309" i="1"/>
  <c r="AL309" i="1"/>
  <c r="AJ309" i="1"/>
  <c r="AC309" i="1"/>
  <c r="AA309" i="1"/>
  <c r="P309" i="1"/>
  <c r="G309" i="1"/>
  <c r="AG309" i="1" s="1"/>
  <c r="AZ308" i="1"/>
  <c r="AV308" i="1"/>
  <c r="AR308" i="1"/>
  <c r="AO308" i="1"/>
  <c r="AM308" i="1"/>
  <c r="AL308" i="1"/>
  <c r="AJ308" i="1"/>
  <c r="AC308" i="1"/>
  <c r="AA308" i="1"/>
  <c r="P308" i="1"/>
  <c r="G308" i="1"/>
  <c r="AG308" i="1" s="1"/>
  <c r="AZ307" i="1"/>
  <c r="AV307" i="1"/>
  <c r="AO307" i="1"/>
  <c r="AR307" i="1" s="1"/>
  <c r="AM307" i="1"/>
  <c r="AL307" i="1"/>
  <c r="AJ307" i="1"/>
  <c r="AC307" i="1"/>
  <c r="AA307" i="1"/>
  <c r="P307" i="1"/>
  <c r="G307" i="1"/>
  <c r="AG307" i="1" s="1"/>
  <c r="AZ306" i="1"/>
  <c r="AV306" i="1"/>
  <c r="AO306" i="1"/>
  <c r="AR306" i="1" s="1"/>
  <c r="AM306" i="1"/>
  <c r="AL306" i="1"/>
  <c r="AJ306" i="1"/>
  <c r="AC306" i="1"/>
  <c r="AA306" i="1"/>
  <c r="P306" i="1"/>
  <c r="G306" i="1"/>
  <c r="AZ305" i="1"/>
  <c r="AV305" i="1"/>
  <c r="AR305" i="1"/>
  <c r="AO305" i="1"/>
  <c r="AM305" i="1"/>
  <c r="AL305" i="1"/>
  <c r="AJ305" i="1"/>
  <c r="AC305" i="1"/>
  <c r="AA305" i="1"/>
  <c r="P305" i="1"/>
  <c r="G305" i="1"/>
  <c r="AZ304" i="1"/>
  <c r="AV304" i="1"/>
  <c r="AR304" i="1"/>
  <c r="AO304" i="1"/>
  <c r="AM304" i="1"/>
  <c r="AL304" i="1"/>
  <c r="AJ304" i="1"/>
  <c r="AC304" i="1"/>
  <c r="AA304" i="1"/>
  <c r="P304" i="1"/>
  <c r="G304" i="1"/>
  <c r="AG304" i="1" s="1"/>
  <c r="AZ303" i="1"/>
  <c r="AV303" i="1"/>
  <c r="AR303" i="1"/>
  <c r="AO303" i="1"/>
  <c r="AM303" i="1"/>
  <c r="AL303" i="1"/>
  <c r="AJ303" i="1"/>
  <c r="AC303" i="1"/>
  <c r="AA303" i="1"/>
  <c r="P303" i="1"/>
  <c r="G303" i="1"/>
  <c r="AG303" i="1" s="1"/>
  <c r="AZ302" i="1"/>
  <c r="AV302" i="1"/>
  <c r="AO302" i="1"/>
  <c r="AR302" i="1" s="1"/>
  <c r="AM302" i="1"/>
  <c r="AL302" i="1"/>
  <c r="AJ302" i="1"/>
  <c r="AC302" i="1"/>
  <c r="AA302" i="1"/>
  <c r="P302" i="1"/>
  <c r="G302" i="1"/>
  <c r="AG302" i="1" s="1"/>
  <c r="AZ301" i="1"/>
  <c r="AV301" i="1"/>
  <c r="AO301" i="1"/>
  <c r="AR301" i="1" s="1"/>
  <c r="AM301" i="1"/>
  <c r="AL301" i="1"/>
  <c r="AJ301" i="1"/>
  <c r="AC301" i="1"/>
  <c r="AA301" i="1"/>
  <c r="P301" i="1"/>
  <c r="G301" i="1"/>
  <c r="AG301" i="1" s="1"/>
  <c r="AZ300" i="1"/>
  <c r="AV300" i="1"/>
  <c r="AO300" i="1"/>
  <c r="AR300" i="1" s="1"/>
  <c r="AM300" i="1"/>
  <c r="AL300" i="1"/>
  <c r="AJ300" i="1"/>
  <c r="AC300" i="1"/>
  <c r="AA300" i="1"/>
  <c r="P300" i="1"/>
  <c r="G300" i="1"/>
  <c r="AG300" i="1" s="1"/>
  <c r="AH300" i="1" s="1"/>
  <c r="AK300" i="1" s="1"/>
  <c r="AP300" i="1" s="1"/>
  <c r="AZ299" i="1"/>
  <c r="AV299" i="1"/>
  <c r="AO299" i="1"/>
  <c r="AR299" i="1" s="1"/>
  <c r="AM299" i="1"/>
  <c r="AL299" i="1"/>
  <c r="AJ299" i="1"/>
  <c r="AC299" i="1"/>
  <c r="AA299" i="1"/>
  <c r="P299" i="1"/>
  <c r="G299" i="1"/>
  <c r="AG299" i="1" s="1"/>
  <c r="AZ298" i="1"/>
  <c r="AV298" i="1"/>
  <c r="AR298" i="1"/>
  <c r="AO298" i="1"/>
  <c r="AM298" i="1"/>
  <c r="AL298" i="1"/>
  <c r="AJ298" i="1"/>
  <c r="AC298" i="1"/>
  <c r="AA298" i="1"/>
  <c r="P298" i="1"/>
  <c r="G298" i="1"/>
  <c r="AG298" i="1" s="1"/>
  <c r="AZ297" i="1"/>
  <c r="AV297" i="1"/>
  <c r="AO297" i="1"/>
  <c r="AR297" i="1" s="1"/>
  <c r="AM297" i="1"/>
  <c r="AL297" i="1"/>
  <c r="AJ297" i="1"/>
  <c r="AC297" i="1"/>
  <c r="AA297" i="1"/>
  <c r="P297" i="1"/>
  <c r="G297" i="1"/>
  <c r="AG297" i="1" s="1"/>
  <c r="AZ296" i="1"/>
  <c r="AV296" i="1"/>
  <c r="AO296" i="1"/>
  <c r="AR296" i="1" s="1"/>
  <c r="AM296" i="1"/>
  <c r="AL296" i="1"/>
  <c r="AJ296" i="1"/>
  <c r="AC296" i="1"/>
  <c r="AA296" i="1"/>
  <c r="P296" i="1"/>
  <c r="G296" i="1"/>
  <c r="AZ295" i="1"/>
  <c r="AV295" i="1"/>
  <c r="AR295" i="1"/>
  <c r="AO295" i="1"/>
  <c r="AM295" i="1"/>
  <c r="AL295" i="1"/>
  <c r="AJ295" i="1"/>
  <c r="AC295" i="1"/>
  <c r="AA295" i="1"/>
  <c r="P295" i="1"/>
  <c r="G295" i="1"/>
  <c r="AG295" i="1" s="1"/>
  <c r="AZ294" i="1"/>
  <c r="AV294" i="1"/>
  <c r="AR294" i="1"/>
  <c r="AO294" i="1"/>
  <c r="AM294" i="1"/>
  <c r="AL294" i="1"/>
  <c r="AJ294" i="1"/>
  <c r="AC294" i="1"/>
  <c r="AA294" i="1"/>
  <c r="P294" i="1"/>
  <c r="G294" i="1"/>
  <c r="AZ293" i="1"/>
  <c r="AV293" i="1"/>
  <c r="AR293" i="1"/>
  <c r="AO293" i="1"/>
  <c r="AM293" i="1"/>
  <c r="AL293" i="1"/>
  <c r="AJ293" i="1"/>
  <c r="AC293" i="1"/>
  <c r="AA293" i="1"/>
  <c r="P293" i="1"/>
  <c r="G293" i="1"/>
  <c r="AG293" i="1" s="1"/>
  <c r="AZ292" i="1"/>
  <c r="AV292" i="1"/>
  <c r="AO292" i="1"/>
  <c r="AR292" i="1" s="1"/>
  <c r="AM292" i="1"/>
  <c r="AL292" i="1"/>
  <c r="AJ292" i="1"/>
  <c r="AC292" i="1"/>
  <c r="AA292" i="1"/>
  <c r="P292" i="1"/>
  <c r="G292" i="1"/>
  <c r="AG292" i="1" s="1"/>
  <c r="AZ291" i="1"/>
  <c r="AV291" i="1"/>
  <c r="AO291" i="1"/>
  <c r="AR291" i="1" s="1"/>
  <c r="AM291" i="1"/>
  <c r="AL291" i="1"/>
  <c r="AJ291" i="1"/>
  <c r="AC291" i="1"/>
  <c r="AA291" i="1"/>
  <c r="P291" i="1"/>
  <c r="G291" i="1"/>
  <c r="AZ290" i="1"/>
  <c r="AV290" i="1"/>
  <c r="AR290" i="1"/>
  <c r="AO290" i="1"/>
  <c r="AM290" i="1"/>
  <c r="AL290" i="1"/>
  <c r="AJ290" i="1"/>
  <c r="AC290" i="1"/>
  <c r="AA290" i="1"/>
  <c r="P290" i="1"/>
  <c r="G290" i="1"/>
  <c r="AG290" i="1" s="1"/>
  <c r="AZ289" i="1"/>
  <c r="AV289" i="1"/>
  <c r="AR289" i="1"/>
  <c r="AO289" i="1"/>
  <c r="AM289" i="1"/>
  <c r="AL289" i="1"/>
  <c r="AJ289" i="1"/>
  <c r="AC289" i="1"/>
  <c r="AA289" i="1"/>
  <c r="P289" i="1"/>
  <c r="G289" i="1"/>
  <c r="AG289" i="1" s="1"/>
  <c r="AH289" i="1" s="1"/>
  <c r="AZ288" i="1"/>
  <c r="AV288" i="1"/>
  <c r="AO288" i="1"/>
  <c r="AR288" i="1" s="1"/>
  <c r="AM288" i="1"/>
  <c r="AL288" i="1"/>
  <c r="AJ288" i="1"/>
  <c r="AC288" i="1"/>
  <c r="AA288" i="1"/>
  <c r="P288" i="1"/>
  <c r="G288" i="1"/>
  <c r="AG288" i="1" s="1"/>
  <c r="AZ287" i="1"/>
  <c r="AV287" i="1"/>
  <c r="AO287" i="1"/>
  <c r="AR287" i="1" s="1"/>
  <c r="AM287" i="1"/>
  <c r="AL287" i="1"/>
  <c r="AJ287" i="1"/>
  <c r="AC287" i="1"/>
  <c r="AA287" i="1"/>
  <c r="P287" i="1"/>
  <c r="G287" i="1"/>
  <c r="AG287" i="1" s="1"/>
  <c r="AZ286" i="1"/>
  <c r="AV286" i="1"/>
  <c r="AR286" i="1"/>
  <c r="AO286" i="1"/>
  <c r="AM286" i="1"/>
  <c r="AL286" i="1"/>
  <c r="AK286" i="1"/>
  <c r="AP286" i="1" s="1"/>
  <c r="AJ286" i="1"/>
  <c r="AC286" i="1"/>
  <c r="AA286" i="1"/>
  <c r="P286" i="1"/>
  <c r="G286" i="1"/>
  <c r="AG286" i="1" s="1"/>
  <c r="AH286" i="1" s="1"/>
  <c r="AZ285" i="1"/>
  <c r="AV285" i="1"/>
  <c r="AO285" i="1"/>
  <c r="AR285" i="1" s="1"/>
  <c r="AM285" i="1"/>
  <c r="AL285" i="1"/>
  <c r="AJ285" i="1"/>
  <c r="AC285" i="1"/>
  <c r="AA285" i="1"/>
  <c r="P285" i="1"/>
  <c r="G285" i="1"/>
  <c r="AG285" i="1" s="1"/>
  <c r="AZ284" i="1"/>
  <c r="AV284" i="1"/>
  <c r="AO284" i="1"/>
  <c r="AR284" i="1" s="1"/>
  <c r="AM284" i="1"/>
  <c r="AL284" i="1"/>
  <c r="AJ284" i="1"/>
  <c r="AC284" i="1"/>
  <c r="AA284" i="1"/>
  <c r="P284" i="1"/>
  <c r="G284" i="1"/>
  <c r="AG284" i="1" s="1"/>
  <c r="AH284" i="1" s="1"/>
  <c r="AK284" i="1" s="1"/>
  <c r="AP284" i="1" s="1"/>
  <c r="AZ283" i="1"/>
  <c r="AV283" i="1"/>
  <c r="AO283" i="1"/>
  <c r="AR283" i="1" s="1"/>
  <c r="AM283" i="1"/>
  <c r="AL283" i="1"/>
  <c r="AJ283" i="1"/>
  <c r="AC283" i="1"/>
  <c r="AA283" i="1"/>
  <c r="P283" i="1"/>
  <c r="G283" i="1"/>
  <c r="AG283" i="1" s="1"/>
  <c r="AZ282" i="1"/>
  <c r="AV282" i="1"/>
  <c r="AR282" i="1"/>
  <c r="AO282" i="1"/>
  <c r="AM282" i="1"/>
  <c r="AL282" i="1"/>
  <c r="AJ282" i="1"/>
  <c r="AC282" i="1"/>
  <c r="AA282" i="1"/>
  <c r="P282" i="1"/>
  <c r="G282" i="1"/>
  <c r="AG282" i="1" s="1"/>
  <c r="AZ281" i="1"/>
  <c r="AV281" i="1"/>
  <c r="AO281" i="1"/>
  <c r="AR281" i="1" s="1"/>
  <c r="AM281" i="1"/>
  <c r="AL281" i="1"/>
  <c r="AJ281" i="1"/>
  <c r="AC281" i="1"/>
  <c r="AA281" i="1"/>
  <c r="P281" i="1"/>
  <c r="G281" i="1"/>
  <c r="AG281" i="1" s="1"/>
  <c r="AZ280" i="1"/>
  <c r="AV280" i="1"/>
  <c r="AO280" i="1"/>
  <c r="AR280" i="1" s="1"/>
  <c r="AM280" i="1"/>
  <c r="AL280" i="1"/>
  <c r="AJ280" i="1"/>
  <c r="AC280" i="1"/>
  <c r="AA280" i="1"/>
  <c r="P280" i="1"/>
  <c r="G280" i="1"/>
  <c r="AZ279" i="1"/>
  <c r="AV279" i="1"/>
  <c r="AR279" i="1"/>
  <c r="AO279" i="1"/>
  <c r="AM279" i="1"/>
  <c r="AL279" i="1"/>
  <c r="AJ279" i="1"/>
  <c r="AC279" i="1"/>
  <c r="AA279" i="1"/>
  <c r="P279" i="1"/>
  <c r="G279" i="1"/>
  <c r="AG279" i="1" s="1"/>
  <c r="AZ278" i="1"/>
  <c r="AV278" i="1"/>
  <c r="AR278" i="1"/>
  <c r="AO278" i="1"/>
  <c r="AM278" i="1"/>
  <c r="AL278" i="1"/>
  <c r="AJ278" i="1"/>
  <c r="AC278" i="1"/>
  <c r="AA278" i="1"/>
  <c r="P278" i="1"/>
  <c r="G278" i="1"/>
  <c r="AG278" i="1" s="1"/>
  <c r="AZ277" i="1"/>
  <c r="AV277" i="1"/>
  <c r="AR277" i="1"/>
  <c r="AO277" i="1"/>
  <c r="AM277" i="1"/>
  <c r="AL277" i="1"/>
  <c r="AJ277" i="1"/>
  <c r="AC277" i="1"/>
  <c r="AA277" i="1"/>
  <c r="P277" i="1"/>
  <c r="G277" i="1"/>
  <c r="AG277" i="1" s="1"/>
  <c r="AZ276" i="1"/>
  <c r="AV276" i="1"/>
  <c r="AO276" i="1"/>
  <c r="AR276" i="1" s="1"/>
  <c r="AM276" i="1"/>
  <c r="AL276" i="1"/>
  <c r="AJ276" i="1"/>
  <c r="AC276" i="1"/>
  <c r="AA276" i="1"/>
  <c r="P276" i="1"/>
  <c r="G276" i="1"/>
  <c r="AG276" i="1" s="1"/>
  <c r="AZ275" i="1"/>
  <c r="AV275" i="1"/>
  <c r="AO275" i="1"/>
  <c r="AR275" i="1" s="1"/>
  <c r="AM275" i="1"/>
  <c r="AL275" i="1"/>
  <c r="AJ275" i="1"/>
  <c r="AC275" i="1"/>
  <c r="AA275" i="1"/>
  <c r="P275" i="1"/>
  <c r="G275" i="1"/>
  <c r="AZ274" i="1"/>
  <c r="AV274" i="1"/>
  <c r="AR274" i="1"/>
  <c r="AO274" i="1"/>
  <c r="AM274" i="1"/>
  <c r="AL274" i="1"/>
  <c r="AJ274" i="1"/>
  <c r="AC274" i="1"/>
  <c r="AA274" i="1"/>
  <c r="P274" i="1"/>
  <c r="G274" i="1"/>
  <c r="AG274" i="1" s="1"/>
  <c r="AZ273" i="1"/>
  <c r="AV273" i="1"/>
  <c r="AR273" i="1"/>
  <c r="AO273" i="1"/>
  <c r="AM273" i="1"/>
  <c r="AL273" i="1"/>
  <c r="AJ273" i="1"/>
  <c r="AC273" i="1"/>
  <c r="AA273" i="1"/>
  <c r="P273" i="1"/>
  <c r="G273" i="1"/>
  <c r="AG273" i="1" s="1"/>
  <c r="AZ272" i="1"/>
  <c r="AV272" i="1"/>
  <c r="AO272" i="1"/>
  <c r="AR272" i="1" s="1"/>
  <c r="AM272" i="1"/>
  <c r="AL272" i="1"/>
  <c r="AJ272" i="1"/>
  <c r="AC272" i="1"/>
  <c r="AA272" i="1"/>
  <c r="P272" i="1"/>
  <c r="G272" i="1"/>
  <c r="AG272" i="1" s="1"/>
  <c r="AZ271" i="1"/>
  <c r="AV271" i="1"/>
  <c r="AO271" i="1"/>
  <c r="AR271" i="1" s="1"/>
  <c r="AM271" i="1"/>
  <c r="AL271" i="1"/>
  <c r="AJ271" i="1"/>
  <c r="AC271" i="1"/>
  <c r="AA271" i="1"/>
  <c r="P271" i="1"/>
  <c r="G271" i="1"/>
  <c r="AG271" i="1" s="1"/>
  <c r="AZ270" i="1"/>
  <c r="AV270" i="1"/>
  <c r="AR270" i="1"/>
  <c r="AO270" i="1"/>
  <c r="AM270" i="1"/>
  <c r="AL270" i="1"/>
  <c r="AJ270" i="1"/>
  <c r="AC270" i="1"/>
  <c r="AA270" i="1"/>
  <c r="P270" i="1"/>
  <c r="G270" i="1"/>
  <c r="AG270" i="1" s="1"/>
  <c r="AH270" i="1" s="1"/>
  <c r="AZ269" i="1"/>
  <c r="AV269" i="1"/>
  <c r="AO269" i="1"/>
  <c r="AR269" i="1" s="1"/>
  <c r="AM269" i="1"/>
  <c r="AL269" i="1"/>
  <c r="AJ269" i="1"/>
  <c r="AC269" i="1"/>
  <c r="AA269" i="1"/>
  <c r="P269" i="1"/>
  <c r="G269" i="1"/>
  <c r="AG269" i="1" s="1"/>
  <c r="AZ268" i="1"/>
  <c r="AV268" i="1"/>
  <c r="AO268" i="1"/>
  <c r="AR268" i="1" s="1"/>
  <c r="AM268" i="1"/>
  <c r="AL268" i="1"/>
  <c r="AJ268" i="1"/>
  <c r="AC268" i="1"/>
  <c r="AA268" i="1"/>
  <c r="P268" i="1"/>
  <c r="G268" i="1"/>
  <c r="AG268" i="1" s="1"/>
  <c r="AZ267" i="1"/>
  <c r="AV267" i="1"/>
  <c r="AO267" i="1"/>
  <c r="AR267" i="1" s="1"/>
  <c r="AM267" i="1"/>
  <c r="AL267" i="1"/>
  <c r="AJ267" i="1"/>
  <c r="AC267" i="1"/>
  <c r="AA267" i="1"/>
  <c r="P267" i="1"/>
  <c r="G267" i="1"/>
  <c r="AG267" i="1" s="1"/>
  <c r="AZ266" i="1"/>
  <c r="AV266" i="1"/>
  <c r="AR266" i="1"/>
  <c r="AO266" i="1"/>
  <c r="AM266" i="1"/>
  <c r="AL266" i="1"/>
  <c r="AJ266" i="1"/>
  <c r="AC266" i="1"/>
  <c r="AA266" i="1"/>
  <c r="P266" i="1"/>
  <c r="G266" i="1"/>
  <c r="AG266" i="1" s="1"/>
  <c r="AZ265" i="1"/>
  <c r="AV265" i="1"/>
  <c r="AO265" i="1"/>
  <c r="AR265" i="1" s="1"/>
  <c r="AM265" i="1"/>
  <c r="AL265" i="1"/>
  <c r="AJ265" i="1"/>
  <c r="AC265" i="1"/>
  <c r="AA265" i="1"/>
  <c r="P265" i="1"/>
  <c r="G265" i="1"/>
  <c r="AG265" i="1" s="1"/>
  <c r="AZ264" i="1"/>
  <c r="AV264" i="1"/>
  <c r="AO264" i="1"/>
  <c r="AR264" i="1" s="1"/>
  <c r="AM264" i="1"/>
  <c r="AL264" i="1"/>
  <c r="AJ264" i="1"/>
  <c r="AC264" i="1"/>
  <c r="AA264" i="1"/>
  <c r="P264" i="1"/>
  <c r="G264" i="1"/>
  <c r="AZ263" i="1"/>
  <c r="AV263" i="1"/>
  <c r="AR263" i="1"/>
  <c r="AO263" i="1"/>
  <c r="AM263" i="1"/>
  <c r="AL263" i="1"/>
  <c r="AJ263" i="1"/>
  <c r="AC263" i="1"/>
  <c r="AA263" i="1"/>
  <c r="P263" i="1"/>
  <c r="G263" i="1"/>
  <c r="AG263" i="1" s="1"/>
  <c r="AZ262" i="1"/>
  <c r="AV262" i="1"/>
  <c r="AR262" i="1"/>
  <c r="AO262" i="1"/>
  <c r="AM262" i="1"/>
  <c r="AL262" i="1"/>
  <c r="AJ262" i="1"/>
  <c r="AC262" i="1"/>
  <c r="AA262" i="1"/>
  <c r="P262" i="1"/>
  <c r="G262" i="1"/>
  <c r="AG262" i="1" s="1"/>
  <c r="AZ261" i="1"/>
  <c r="AV261" i="1"/>
  <c r="AR261" i="1"/>
  <c r="AO261" i="1"/>
  <c r="AM261" i="1"/>
  <c r="AL261" i="1"/>
  <c r="AJ261" i="1"/>
  <c r="AC261" i="1"/>
  <c r="AA261" i="1"/>
  <c r="P261" i="1"/>
  <c r="G261" i="1"/>
  <c r="AG261" i="1" s="1"/>
  <c r="AZ260" i="1"/>
  <c r="AV260" i="1"/>
  <c r="AO260" i="1"/>
  <c r="AR260" i="1" s="1"/>
  <c r="AM260" i="1"/>
  <c r="AL260" i="1"/>
  <c r="AJ260" i="1"/>
  <c r="AC260" i="1"/>
  <c r="AA260" i="1"/>
  <c r="P260" i="1"/>
  <c r="G260" i="1"/>
  <c r="AG260" i="1" s="1"/>
  <c r="AZ259" i="1"/>
  <c r="AV259" i="1"/>
  <c r="AO259" i="1"/>
  <c r="AR259" i="1" s="1"/>
  <c r="AM259" i="1"/>
  <c r="AL259" i="1"/>
  <c r="AJ259" i="1"/>
  <c r="AC259" i="1"/>
  <c r="AA259" i="1"/>
  <c r="P259" i="1"/>
  <c r="G259" i="1"/>
  <c r="AG259" i="1" s="1"/>
  <c r="AZ258" i="1"/>
  <c r="AV258" i="1"/>
  <c r="AR258" i="1"/>
  <c r="AO258" i="1"/>
  <c r="AM258" i="1"/>
  <c r="AL258" i="1"/>
  <c r="AJ258" i="1"/>
  <c r="AC258" i="1"/>
  <c r="AA258" i="1"/>
  <c r="P258" i="1"/>
  <c r="G258" i="1"/>
  <c r="AG258" i="1" s="1"/>
  <c r="AZ257" i="1"/>
  <c r="AV257" i="1"/>
  <c r="AR257" i="1"/>
  <c r="AO257" i="1"/>
  <c r="AM257" i="1"/>
  <c r="AL257" i="1"/>
  <c r="AJ257" i="1"/>
  <c r="AC257" i="1"/>
  <c r="AA257" i="1"/>
  <c r="P257" i="1"/>
  <c r="G257" i="1"/>
  <c r="AG257" i="1" s="1"/>
  <c r="AZ256" i="1"/>
  <c r="AV256" i="1"/>
  <c r="AO256" i="1"/>
  <c r="AR256" i="1" s="1"/>
  <c r="AM256" i="1"/>
  <c r="AL256" i="1"/>
  <c r="AJ256" i="1"/>
  <c r="AK256" i="1" s="1"/>
  <c r="AP256" i="1" s="1"/>
  <c r="AZ255" i="1"/>
  <c r="AV255" i="1"/>
  <c r="AO255" i="1"/>
  <c r="AR255" i="1" s="1"/>
  <c r="AM255" i="1"/>
  <c r="AL255" i="1"/>
  <c r="AJ255" i="1"/>
  <c r="AK255" i="1" s="1"/>
  <c r="AP255" i="1" s="1"/>
  <c r="AZ254" i="1"/>
  <c r="AV254" i="1"/>
  <c r="AR254" i="1"/>
  <c r="AO254" i="1"/>
  <c r="AM254" i="1"/>
  <c r="AL254" i="1"/>
  <c r="AK254" i="1"/>
  <c r="AP254" i="1" s="1"/>
  <c r="AJ254" i="1"/>
  <c r="AZ253" i="1"/>
  <c r="AV253" i="1"/>
  <c r="AO253" i="1"/>
  <c r="AR253" i="1" s="1"/>
  <c r="AM253" i="1"/>
  <c r="AL253" i="1"/>
  <c r="AJ253" i="1"/>
  <c r="AK253" i="1" s="1"/>
  <c r="AP253" i="1" s="1"/>
  <c r="AZ252" i="1"/>
  <c r="AV252" i="1"/>
  <c r="AO252" i="1"/>
  <c r="AR252" i="1" s="1"/>
  <c r="AM252" i="1"/>
  <c r="AL252" i="1"/>
  <c r="AJ252" i="1"/>
  <c r="AK252" i="1" s="1"/>
  <c r="AP252" i="1" s="1"/>
  <c r="AZ251" i="1"/>
  <c r="AV251" i="1"/>
  <c r="AO251" i="1"/>
  <c r="AR251" i="1" s="1"/>
  <c r="AM251" i="1"/>
  <c r="AL251" i="1"/>
  <c r="AJ251" i="1"/>
  <c r="AK251" i="1" s="1"/>
  <c r="AP251" i="1" s="1"/>
  <c r="AZ250" i="1"/>
  <c r="AV250" i="1"/>
  <c r="AR250" i="1"/>
  <c r="AO250" i="1"/>
  <c r="AM250" i="1"/>
  <c r="AL250" i="1"/>
  <c r="AK250" i="1"/>
  <c r="AP250" i="1" s="1"/>
  <c r="AJ250" i="1"/>
  <c r="AZ249" i="1"/>
  <c r="AV249" i="1"/>
  <c r="AM249" i="1"/>
  <c r="AL249" i="1"/>
  <c r="AJ249" i="1"/>
  <c r="AK249" i="1" s="1"/>
  <c r="AZ248" i="1"/>
  <c r="AV248" i="1"/>
  <c r="AM248" i="1"/>
  <c r="AL248" i="1"/>
  <c r="AJ248" i="1"/>
  <c r="AK248" i="1" s="1"/>
  <c r="AP248" i="1" s="1"/>
  <c r="AZ247" i="1"/>
  <c r="AV247" i="1"/>
  <c r="AR247" i="1"/>
  <c r="AO247" i="1"/>
  <c r="AM247" i="1"/>
  <c r="AL247" i="1"/>
  <c r="AK247" i="1"/>
  <c r="AP247" i="1" s="1"/>
  <c r="AJ247" i="1"/>
  <c r="AZ246" i="1"/>
  <c r="AV246" i="1"/>
  <c r="AR246" i="1"/>
  <c r="AO246" i="1"/>
  <c r="AM246" i="1"/>
  <c r="AL246" i="1"/>
  <c r="AJ246" i="1"/>
  <c r="AC246" i="1"/>
  <c r="AA246" i="1"/>
  <c r="P246" i="1"/>
  <c r="G246" i="1"/>
  <c r="AG246" i="1" s="1"/>
  <c r="AZ245" i="1"/>
  <c r="AV245" i="1"/>
  <c r="AR245" i="1"/>
  <c r="AO245" i="1"/>
  <c r="AM245" i="1"/>
  <c r="AL245" i="1"/>
  <c r="AK245" i="1"/>
  <c r="AP245" i="1" s="1"/>
  <c r="AJ245" i="1"/>
  <c r="AZ244" i="1"/>
  <c r="AV244" i="1"/>
  <c r="AR244" i="1"/>
  <c r="AO244" i="1"/>
  <c r="AM244" i="1"/>
  <c r="AL244" i="1"/>
  <c r="AK244" i="1"/>
  <c r="AP244" i="1" s="1"/>
  <c r="AJ244" i="1"/>
  <c r="AZ243" i="1"/>
  <c r="AV243" i="1"/>
  <c r="AR243" i="1"/>
  <c r="AO243" i="1"/>
  <c r="AM243" i="1"/>
  <c r="AL243" i="1"/>
  <c r="AJ243" i="1"/>
  <c r="AK243" i="1" s="1"/>
  <c r="AP243" i="1" s="1"/>
  <c r="AZ242" i="1"/>
  <c r="AV242" i="1"/>
  <c r="AO242" i="1"/>
  <c r="AR242" i="1" s="1"/>
  <c r="AM242" i="1"/>
  <c r="AL242" i="1"/>
  <c r="AK242" i="1"/>
  <c r="AP242" i="1" s="1"/>
  <c r="AJ242" i="1"/>
  <c r="AZ241" i="1"/>
  <c r="AV241" i="1"/>
  <c r="AR241" i="1"/>
  <c r="AO241" i="1"/>
  <c r="AM241" i="1"/>
  <c r="AL241" i="1"/>
  <c r="AK241" i="1"/>
  <c r="AP241" i="1" s="1"/>
  <c r="AJ241" i="1"/>
  <c r="AZ240" i="1"/>
  <c r="AV240" i="1"/>
  <c r="AR240" i="1"/>
  <c r="AO240" i="1"/>
  <c r="AM240" i="1"/>
  <c r="AL240" i="1"/>
  <c r="AK240" i="1"/>
  <c r="AP240" i="1" s="1"/>
  <c r="AJ240" i="1"/>
  <c r="AZ239" i="1"/>
  <c r="AV239" i="1"/>
  <c r="AO239" i="1"/>
  <c r="AR239" i="1" s="1"/>
  <c r="AM239" i="1"/>
  <c r="AL239" i="1"/>
  <c r="AJ239" i="1"/>
  <c r="AK239" i="1" s="1"/>
  <c r="AP239" i="1" s="1"/>
  <c r="AZ238" i="1"/>
  <c r="AV238" i="1"/>
  <c r="AO238" i="1"/>
  <c r="AR238" i="1" s="1"/>
  <c r="AM238" i="1"/>
  <c r="AL238" i="1"/>
  <c r="AK238" i="1"/>
  <c r="AP238" i="1" s="1"/>
  <c r="AJ238" i="1"/>
  <c r="AZ237" i="1"/>
  <c r="AV237" i="1"/>
  <c r="AO237" i="1"/>
  <c r="AR237" i="1" s="1"/>
  <c r="AM237" i="1"/>
  <c r="AL237" i="1"/>
  <c r="AJ237" i="1"/>
  <c r="AC237" i="1"/>
  <c r="AA237" i="1"/>
  <c r="P237" i="1"/>
  <c r="G237" i="1"/>
  <c r="AG237" i="1" s="1"/>
  <c r="AZ236" i="1"/>
  <c r="AV236" i="1"/>
  <c r="AO236" i="1"/>
  <c r="AR236" i="1" s="1"/>
  <c r="AM236" i="1"/>
  <c r="AL236" i="1"/>
  <c r="AJ236" i="1"/>
  <c r="AC236" i="1"/>
  <c r="AA236" i="1"/>
  <c r="P236" i="1"/>
  <c r="G236" i="1"/>
  <c r="AZ235" i="1"/>
  <c r="AV235" i="1"/>
  <c r="AR235" i="1"/>
  <c r="AO235" i="1"/>
  <c r="AM235" i="1"/>
  <c r="AL235" i="1"/>
  <c r="AJ235" i="1"/>
  <c r="AK235" i="1" s="1"/>
  <c r="AP235" i="1" s="1"/>
  <c r="AZ234" i="1"/>
  <c r="AV234" i="1"/>
  <c r="AO234" i="1"/>
  <c r="AR234" i="1" s="1"/>
  <c r="AM234" i="1"/>
  <c r="AL234" i="1"/>
  <c r="AJ234" i="1"/>
  <c r="AC234" i="1"/>
  <c r="AA234" i="1"/>
  <c r="P234" i="1"/>
  <c r="G234" i="1"/>
  <c r="AZ233" i="1"/>
  <c r="AV233" i="1"/>
  <c r="AR233" i="1"/>
  <c r="AO233" i="1"/>
  <c r="AM233" i="1"/>
  <c r="AL233" i="1"/>
  <c r="AJ233" i="1"/>
  <c r="AC233" i="1"/>
  <c r="AA233" i="1"/>
  <c r="P233" i="1"/>
  <c r="G233" i="1"/>
  <c r="AG233" i="1" s="1"/>
  <c r="BA232" i="1"/>
  <c r="AZ232" i="1"/>
  <c r="AV232" i="1"/>
  <c r="AO232" i="1"/>
  <c r="AR232" i="1" s="1"/>
  <c r="AM232" i="1"/>
  <c r="AL232" i="1"/>
  <c r="AJ232" i="1"/>
  <c r="AC232" i="1"/>
  <c r="AA232" i="1"/>
  <c r="P232" i="1"/>
  <c r="G232" i="1"/>
  <c r="AG232" i="1" s="1"/>
  <c r="BA231" i="1"/>
  <c r="AY231" i="1"/>
  <c r="AZ231" i="1" s="1"/>
  <c r="AV231" i="1"/>
  <c r="AO231" i="1"/>
  <c r="AR231" i="1" s="1"/>
  <c r="AM231" i="1"/>
  <c r="AL231" i="1"/>
  <c r="AJ231" i="1"/>
  <c r="AC231" i="1"/>
  <c r="AA231" i="1"/>
  <c r="P231" i="1"/>
  <c r="G231" i="1"/>
  <c r="AG231" i="1" s="1"/>
  <c r="BA230" i="1"/>
  <c r="AZ230" i="1"/>
  <c r="AY230" i="1"/>
  <c r="AV230" i="1"/>
  <c r="AR230" i="1"/>
  <c r="AO230" i="1"/>
  <c r="AM230" i="1"/>
  <c r="AL230" i="1"/>
  <c r="AK230" i="1"/>
  <c r="AP230" i="1" s="1"/>
  <c r="AJ230" i="1"/>
  <c r="BA229" i="1"/>
  <c r="AZ229" i="1"/>
  <c r="AY229" i="1"/>
  <c r="AV229" i="1"/>
  <c r="AO229" i="1"/>
  <c r="AR229" i="1" s="1"/>
  <c r="AM229" i="1"/>
  <c r="AL229" i="1"/>
  <c r="AJ229" i="1"/>
  <c r="AK229" i="1" s="1"/>
  <c r="AP229" i="1" s="1"/>
  <c r="BA228" i="1"/>
  <c r="AY228" i="1"/>
  <c r="AZ228" i="1" s="1"/>
  <c r="AV228" i="1"/>
  <c r="AR228" i="1"/>
  <c r="AO228" i="1"/>
  <c r="AM228" i="1"/>
  <c r="AL228" i="1"/>
  <c r="AJ228" i="1"/>
  <c r="AK228" i="1" s="1"/>
  <c r="AP228" i="1" s="1"/>
  <c r="BA227" i="1"/>
  <c r="AZ227" i="1"/>
  <c r="AY227" i="1"/>
  <c r="AX227" i="1"/>
  <c r="AV227" i="1"/>
  <c r="AO227" i="1"/>
  <c r="AR227" i="1" s="1"/>
  <c r="AM227" i="1"/>
  <c r="AL227" i="1"/>
  <c r="AJ227" i="1"/>
  <c r="AK227" i="1" s="1"/>
  <c r="AP227" i="1" s="1"/>
  <c r="BA226" i="1"/>
  <c r="AZ226" i="1"/>
  <c r="AY226" i="1"/>
  <c r="AV226" i="1"/>
  <c r="AX226" i="1" s="1"/>
  <c r="AR226" i="1"/>
  <c r="AO226" i="1"/>
  <c r="AM226" i="1"/>
  <c r="AL226" i="1"/>
  <c r="AJ226" i="1"/>
  <c r="AK226" i="1" s="1"/>
  <c r="AP226" i="1" s="1"/>
  <c r="BA225" i="1"/>
  <c r="AZ225" i="1"/>
  <c r="AY225" i="1"/>
  <c r="AX225" i="1"/>
  <c r="AV225" i="1"/>
  <c r="AO225" i="1"/>
  <c r="AR225" i="1" s="1"/>
  <c r="AM225" i="1"/>
  <c r="AL225" i="1"/>
  <c r="AJ225" i="1"/>
  <c r="AK225" i="1" s="1"/>
  <c r="AP225" i="1" s="1"/>
  <c r="BA224" i="1"/>
  <c r="AZ224" i="1"/>
  <c r="AY224" i="1"/>
  <c r="AV224" i="1"/>
  <c r="AX224" i="1" s="1"/>
  <c r="AM224" i="1"/>
  <c r="AL224" i="1"/>
  <c r="AJ224" i="1"/>
  <c r="AK224" i="1" s="1"/>
  <c r="BA223" i="1"/>
  <c r="AZ223" i="1"/>
  <c r="AY223" i="1"/>
  <c r="AX223" i="1"/>
  <c r="AV223" i="1"/>
  <c r="AO223" i="1"/>
  <c r="AR223" i="1" s="1"/>
  <c r="AM223" i="1"/>
  <c r="AL223" i="1"/>
  <c r="AJ223" i="1"/>
  <c r="AK223" i="1" s="1"/>
  <c r="AP223" i="1" s="1"/>
  <c r="BA222" i="1"/>
  <c r="AZ222" i="1"/>
  <c r="AY222" i="1"/>
  <c r="AV222" i="1"/>
  <c r="AX222" i="1" s="1"/>
  <c r="AM222" i="1"/>
  <c r="AL222" i="1"/>
  <c r="AJ222" i="1"/>
  <c r="AK222" i="1" s="1"/>
  <c r="BA221" i="1"/>
  <c r="AZ221" i="1"/>
  <c r="AY221" i="1"/>
  <c r="AX221" i="1"/>
  <c r="AV221" i="1"/>
  <c r="AO221" i="1"/>
  <c r="AR221" i="1" s="1"/>
  <c r="AM221" i="1"/>
  <c r="AL221" i="1"/>
  <c r="AJ221" i="1"/>
  <c r="AK221" i="1" s="1"/>
  <c r="AP221" i="1" s="1"/>
  <c r="BA220" i="1"/>
  <c r="AZ220" i="1"/>
  <c r="AY220" i="1"/>
  <c r="AV220" i="1"/>
  <c r="AX220" i="1" s="1"/>
  <c r="AR220" i="1"/>
  <c r="AO220" i="1"/>
  <c r="AM220" i="1"/>
  <c r="AL220" i="1"/>
  <c r="AJ220" i="1"/>
  <c r="AK220" i="1" s="1"/>
  <c r="AP220" i="1" s="1"/>
  <c r="BA219" i="1"/>
  <c r="AZ219" i="1"/>
  <c r="AY219" i="1"/>
  <c r="AX219" i="1"/>
  <c r="AV219" i="1"/>
  <c r="AO219" i="1"/>
  <c r="AR219" i="1" s="1"/>
  <c r="AM219" i="1"/>
  <c r="AL219" i="1"/>
  <c r="AJ219" i="1"/>
  <c r="AK219" i="1" s="1"/>
  <c r="AP219" i="1" s="1"/>
  <c r="BA218" i="1"/>
  <c r="AZ218" i="1"/>
  <c r="AY218" i="1"/>
  <c r="AV218" i="1"/>
  <c r="AX218" i="1" s="1"/>
  <c r="AR218" i="1"/>
  <c r="AO218" i="1"/>
  <c r="AM218" i="1"/>
  <c r="AL218" i="1"/>
  <c r="AJ218" i="1"/>
  <c r="AK218" i="1" s="1"/>
  <c r="AP218" i="1" s="1"/>
  <c r="BA217" i="1"/>
  <c r="AZ217" i="1"/>
  <c r="AY217" i="1"/>
  <c r="AX217" i="1"/>
  <c r="AV217" i="1"/>
  <c r="AM217" i="1"/>
  <c r="AL217" i="1"/>
  <c r="AJ217" i="1"/>
  <c r="AC217" i="1"/>
  <c r="AA217" i="1"/>
  <c r="P217" i="1"/>
  <c r="G217" i="1"/>
  <c r="AG217" i="1" s="1"/>
  <c r="BA216" i="1"/>
  <c r="AY216" i="1"/>
  <c r="AZ216" i="1" s="1"/>
  <c r="AX216" i="1"/>
  <c r="AV216" i="1"/>
  <c r="AO216" i="1"/>
  <c r="AR216" i="1" s="1"/>
  <c r="AM216" i="1"/>
  <c r="AL216" i="1"/>
  <c r="AJ216" i="1"/>
  <c r="AC216" i="1"/>
  <c r="AA216" i="1"/>
  <c r="P216" i="1"/>
  <c r="G216" i="1"/>
  <c r="AG216" i="1" s="1"/>
  <c r="BA215" i="1"/>
  <c r="AZ215" i="1"/>
  <c r="AY215" i="1"/>
  <c r="AX215" i="1"/>
  <c r="AV215" i="1"/>
  <c r="AO215" i="1"/>
  <c r="AR215" i="1" s="1"/>
  <c r="AM215" i="1"/>
  <c r="AL215" i="1"/>
  <c r="AJ215" i="1"/>
  <c r="AC215" i="1"/>
  <c r="AA215" i="1"/>
  <c r="P215" i="1"/>
  <c r="G215" i="1"/>
  <c r="AG215" i="1" s="1"/>
  <c r="BA214" i="1"/>
  <c r="AY214" i="1"/>
  <c r="AZ214" i="1" s="1"/>
  <c r="AX214" i="1"/>
  <c r="AV214" i="1"/>
  <c r="AM214" i="1"/>
  <c r="AL214" i="1"/>
  <c r="AJ214" i="1"/>
  <c r="AC214" i="1"/>
  <c r="AA214" i="1"/>
  <c r="P214" i="1"/>
  <c r="G214" i="1"/>
  <c r="AG214" i="1" s="1"/>
  <c r="AH214" i="1" s="1"/>
  <c r="BA213" i="1"/>
  <c r="AZ213" i="1"/>
  <c r="AY213" i="1"/>
  <c r="AV213" i="1"/>
  <c r="AX213" i="1" s="1"/>
  <c r="AM213" i="1"/>
  <c r="AL213" i="1"/>
  <c r="AJ213" i="1"/>
  <c r="AC213" i="1"/>
  <c r="AA213" i="1"/>
  <c r="P213" i="1"/>
  <c r="G213" i="1"/>
  <c r="AG213" i="1" s="1"/>
  <c r="BA212" i="1"/>
  <c r="AZ212" i="1"/>
  <c r="AY212" i="1"/>
  <c r="AX212" i="1"/>
  <c r="AV212" i="1"/>
  <c r="AM212" i="1"/>
  <c r="AL212" i="1"/>
  <c r="AJ212" i="1"/>
  <c r="AC212" i="1"/>
  <c r="AA212" i="1"/>
  <c r="P212" i="1"/>
  <c r="G212" i="1"/>
  <c r="AG212" i="1" s="1"/>
  <c r="BA211" i="1"/>
  <c r="AZ211" i="1"/>
  <c r="AY211" i="1"/>
  <c r="AV211" i="1"/>
  <c r="AX211" i="1" s="1"/>
  <c r="AM211" i="1"/>
  <c r="AL211" i="1"/>
  <c r="AJ211" i="1"/>
  <c r="AC211" i="1"/>
  <c r="AA211" i="1"/>
  <c r="P211" i="1"/>
  <c r="G211" i="1"/>
  <c r="AG211" i="1" s="1"/>
  <c r="BA210" i="1"/>
  <c r="AZ210" i="1"/>
  <c r="AY210" i="1"/>
  <c r="AX210" i="1"/>
  <c r="AV210" i="1"/>
  <c r="AO210" i="1"/>
  <c r="AR210" i="1" s="1"/>
  <c r="AM210" i="1"/>
  <c r="AL210" i="1"/>
  <c r="AJ210" i="1"/>
  <c r="AC210" i="1"/>
  <c r="AA210" i="1"/>
  <c r="P210" i="1"/>
  <c r="G210" i="1"/>
  <c r="AG210" i="1" s="1"/>
  <c r="AZ209" i="1"/>
  <c r="AY209" i="1"/>
  <c r="AV209" i="1"/>
  <c r="AX209" i="1" s="1"/>
  <c r="AM209" i="1"/>
  <c r="AL209" i="1"/>
  <c r="AJ209" i="1"/>
  <c r="AC209" i="1"/>
  <c r="AA209" i="1"/>
  <c r="P209" i="1"/>
  <c r="G209" i="1"/>
  <c r="AG209" i="1" s="1"/>
  <c r="AZ208" i="1"/>
  <c r="AY208" i="1"/>
  <c r="AV208" i="1"/>
  <c r="AX208" i="1" s="1"/>
  <c r="AR208" i="1"/>
  <c r="AO208" i="1"/>
  <c r="AM208" i="1"/>
  <c r="AL208" i="1"/>
  <c r="AJ208" i="1"/>
  <c r="AK208" i="1" s="1"/>
  <c r="AP208" i="1" s="1"/>
  <c r="AZ207" i="1"/>
  <c r="AY207" i="1"/>
  <c r="AV207" i="1"/>
  <c r="AX207" i="1" s="1"/>
  <c r="AR207" i="1"/>
  <c r="AO207" i="1"/>
  <c r="AM207" i="1"/>
  <c r="AL207" i="1"/>
  <c r="AJ207" i="1"/>
  <c r="AC207" i="1"/>
  <c r="AA207" i="1"/>
  <c r="P207" i="1"/>
  <c r="G207" i="1"/>
  <c r="AG207" i="1" s="1"/>
  <c r="AZ206" i="1"/>
  <c r="AY206" i="1"/>
  <c r="AX206" i="1"/>
  <c r="AV206" i="1"/>
  <c r="AR206" i="1"/>
  <c r="AO206" i="1"/>
  <c r="AM206" i="1"/>
  <c r="AL206" i="1"/>
  <c r="AJ206" i="1"/>
  <c r="AK206" i="1" s="1"/>
  <c r="AP206" i="1" s="1"/>
  <c r="AY205" i="1"/>
  <c r="AZ205" i="1" s="1"/>
  <c r="AV205" i="1"/>
  <c r="AX205" i="1" s="1"/>
  <c r="AR205" i="1"/>
  <c r="AO205" i="1"/>
  <c r="AM205" i="1"/>
  <c r="AL205" i="1"/>
  <c r="AJ205" i="1"/>
  <c r="AC205" i="1"/>
  <c r="AA205" i="1"/>
  <c r="P205" i="1"/>
  <c r="G205" i="1"/>
  <c r="AG205" i="1" s="1"/>
  <c r="AZ204" i="1"/>
  <c r="AY204" i="1"/>
  <c r="AX204" i="1"/>
  <c r="AV204" i="1"/>
  <c r="AO204" i="1"/>
  <c r="AR204" i="1" s="1"/>
  <c r="AM204" i="1"/>
  <c r="AL204" i="1"/>
  <c r="AJ204" i="1"/>
  <c r="AK204" i="1" s="1"/>
  <c r="AP204" i="1" s="1"/>
  <c r="AZ203" i="1"/>
  <c r="AY203" i="1"/>
  <c r="AV203" i="1"/>
  <c r="AX203" i="1" s="1"/>
  <c r="AR203" i="1"/>
  <c r="AO203" i="1"/>
  <c r="AM203" i="1"/>
  <c r="AL203" i="1"/>
  <c r="AK203" i="1"/>
  <c r="AP203" i="1" s="1"/>
  <c r="AJ203" i="1"/>
  <c r="AZ202" i="1"/>
  <c r="AY202" i="1"/>
  <c r="AX202" i="1"/>
  <c r="AV202" i="1"/>
  <c r="AO202" i="1"/>
  <c r="AR202" i="1" s="1"/>
  <c r="AM202" i="1"/>
  <c r="AL202" i="1"/>
  <c r="AJ202" i="1"/>
  <c r="AK202" i="1" s="1"/>
  <c r="AP202" i="1" s="1"/>
  <c r="AY201" i="1"/>
  <c r="AZ201" i="1" s="1"/>
  <c r="AX201" i="1"/>
  <c r="AV201" i="1"/>
  <c r="AO201" i="1"/>
  <c r="AR201" i="1" s="1"/>
  <c r="AM201" i="1"/>
  <c r="AL201" i="1"/>
  <c r="AK201" i="1"/>
  <c r="AP201" i="1" s="1"/>
  <c r="AJ201" i="1"/>
  <c r="AZ200" i="1"/>
  <c r="AY200" i="1"/>
  <c r="AX200" i="1"/>
  <c r="AV200" i="1"/>
  <c r="AM200" i="1"/>
  <c r="AL200" i="1"/>
  <c r="AJ200" i="1"/>
  <c r="AK200" i="1" s="1"/>
  <c r="AP200" i="1" s="1"/>
  <c r="AY199" i="1"/>
  <c r="AZ199" i="1" s="1"/>
  <c r="AV199" i="1"/>
  <c r="AX199" i="1" s="1"/>
  <c r="AM199" i="1"/>
  <c r="AL199" i="1"/>
  <c r="AK199" i="1"/>
  <c r="AO199" i="1" s="1"/>
  <c r="AR199" i="1" s="1"/>
  <c r="AJ199" i="1"/>
  <c r="AZ198" i="1"/>
  <c r="AY198" i="1"/>
  <c r="AX198" i="1"/>
  <c r="AV198" i="1"/>
  <c r="AM198" i="1"/>
  <c r="AL198" i="1"/>
  <c r="AJ198" i="1"/>
  <c r="AC198" i="1"/>
  <c r="AA198" i="1"/>
  <c r="P198" i="1"/>
  <c r="G198" i="1"/>
  <c r="AG198" i="1" s="1"/>
  <c r="AY197" i="1"/>
  <c r="AZ197" i="1" s="1"/>
  <c r="AV197" i="1"/>
  <c r="AX197" i="1" s="1"/>
  <c r="AR197" i="1"/>
  <c r="AO197" i="1"/>
  <c r="AM197" i="1"/>
  <c r="AL197" i="1"/>
  <c r="AJ197" i="1"/>
  <c r="AC197" i="1"/>
  <c r="AA197" i="1"/>
  <c r="P197" i="1"/>
  <c r="G197" i="1"/>
  <c r="AG197" i="1" s="1"/>
  <c r="AZ196" i="1"/>
  <c r="AY196" i="1"/>
  <c r="AX196" i="1"/>
  <c r="AV196" i="1"/>
  <c r="AR196" i="1"/>
  <c r="AO196" i="1"/>
  <c r="AM196" i="1"/>
  <c r="AL196" i="1"/>
  <c r="AJ196" i="1"/>
  <c r="AK196" i="1" s="1"/>
  <c r="AP196" i="1" s="1"/>
  <c r="AZ195" i="1"/>
  <c r="AY195" i="1"/>
  <c r="AV195" i="1"/>
  <c r="AX195" i="1" s="1"/>
  <c r="AR195" i="1"/>
  <c r="AO195" i="1"/>
  <c r="AM195" i="1"/>
  <c r="AL195" i="1"/>
  <c r="AJ195" i="1"/>
  <c r="AC195" i="1"/>
  <c r="AA195" i="1"/>
  <c r="P195" i="1"/>
  <c r="G195" i="1"/>
  <c r="AG195" i="1" s="1"/>
  <c r="AZ194" i="1"/>
  <c r="AY194" i="1"/>
  <c r="AV194" i="1"/>
  <c r="AX194" i="1" s="1"/>
  <c r="AR194" i="1"/>
  <c r="AO194" i="1"/>
  <c r="AM194" i="1"/>
  <c r="AL194" i="1"/>
  <c r="AJ194" i="1"/>
  <c r="AH194" i="1"/>
  <c r="AG194" i="1"/>
  <c r="AY193" i="1"/>
  <c r="AZ193" i="1" s="1"/>
  <c r="AX193" i="1"/>
  <c r="AV193" i="1"/>
  <c r="AM193" i="1"/>
  <c r="AL193" i="1"/>
  <c r="AJ193" i="1"/>
  <c r="AH193" i="1"/>
  <c r="AG193" i="1"/>
  <c r="AY192" i="1"/>
  <c r="AZ192" i="1" s="1"/>
  <c r="AX192" i="1"/>
  <c r="AV192" i="1"/>
  <c r="AM192" i="1"/>
  <c r="AL192" i="1"/>
  <c r="AJ192" i="1"/>
  <c r="AC192" i="1"/>
  <c r="AA192" i="1"/>
  <c r="P192" i="1"/>
  <c r="G192" i="1"/>
  <c r="AG192" i="1" s="1"/>
  <c r="AH192" i="1" s="1"/>
  <c r="AY191" i="1"/>
  <c r="AZ191" i="1" s="1"/>
  <c r="AV191" i="1"/>
  <c r="AX191" i="1" s="1"/>
  <c r="AR191" i="1"/>
  <c r="AO191" i="1"/>
  <c r="AM191" i="1"/>
  <c r="AL191" i="1"/>
  <c r="AJ191" i="1"/>
  <c r="AC191" i="1"/>
  <c r="AA191" i="1"/>
  <c r="P191" i="1"/>
  <c r="G191" i="1"/>
  <c r="AG191" i="1" s="1"/>
  <c r="AZ190" i="1"/>
  <c r="AY190" i="1"/>
  <c r="AX190" i="1"/>
  <c r="AV190" i="1"/>
  <c r="AM190" i="1"/>
  <c r="AL190" i="1"/>
  <c r="AJ190" i="1"/>
  <c r="AC190" i="1"/>
  <c r="AA190" i="1"/>
  <c r="P190" i="1"/>
  <c r="G190" i="1"/>
  <c r="AG190" i="1" s="1"/>
  <c r="AY189" i="1"/>
  <c r="AZ189" i="1" s="1"/>
  <c r="AV189" i="1"/>
  <c r="AX189" i="1" s="1"/>
  <c r="AO189" i="1"/>
  <c r="AR189" i="1" s="1"/>
  <c r="AM189" i="1"/>
  <c r="AL189" i="1"/>
  <c r="AJ189" i="1"/>
  <c r="AC189" i="1"/>
  <c r="AA189" i="1"/>
  <c r="P189" i="1"/>
  <c r="G189" i="1"/>
  <c r="AY188" i="1"/>
  <c r="AZ188" i="1" s="1"/>
  <c r="AX188" i="1"/>
  <c r="AV188" i="1"/>
  <c r="AR188" i="1"/>
  <c r="AO188" i="1"/>
  <c r="AM188" i="1"/>
  <c r="AL188" i="1"/>
  <c r="AJ188" i="1"/>
  <c r="AC188" i="1"/>
  <c r="AA188" i="1"/>
  <c r="P188" i="1"/>
  <c r="G188" i="1"/>
  <c r="AG188" i="1" s="1"/>
  <c r="AH188" i="1" s="1"/>
  <c r="AZ187" i="1"/>
  <c r="AY187" i="1"/>
  <c r="AV187" i="1"/>
  <c r="AX187" i="1" s="1"/>
  <c r="AM187" i="1"/>
  <c r="AL187" i="1"/>
  <c r="AJ187" i="1"/>
  <c r="AC187" i="1"/>
  <c r="AA187" i="1"/>
  <c r="P187" i="1"/>
  <c r="G187" i="1"/>
  <c r="AG187" i="1" s="1"/>
  <c r="AZ186" i="1"/>
  <c r="AY186" i="1"/>
  <c r="AX186" i="1"/>
  <c r="AV186" i="1"/>
  <c r="AO186" i="1"/>
  <c r="AR186" i="1" s="1"/>
  <c r="AM186" i="1"/>
  <c r="AL186" i="1"/>
  <c r="AJ186" i="1"/>
  <c r="AC186" i="1"/>
  <c r="AA186" i="1"/>
  <c r="P186" i="1"/>
  <c r="G186" i="1"/>
  <c r="AG186" i="1" s="1"/>
  <c r="AY185" i="1"/>
  <c r="AZ185" i="1" s="1"/>
  <c r="AV185" i="1"/>
  <c r="AX185" i="1" s="1"/>
  <c r="AM185" i="1"/>
  <c r="AL185" i="1"/>
  <c r="AJ185" i="1"/>
  <c r="AC185" i="1"/>
  <c r="AA185" i="1"/>
  <c r="P185" i="1"/>
  <c r="G185" i="1"/>
  <c r="AY184" i="1"/>
  <c r="AZ184" i="1" s="1"/>
  <c r="AX184" i="1"/>
  <c r="AV184" i="1"/>
  <c r="AR184" i="1"/>
  <c r="AO184" i="1"/>
  <c r="AM184" i="1"/>
  <c r="AL184" i="1"/>
  <c r="AJ184" i="1"/>
  <c r="AC184" i="1"/>
  <c r="AA184" i="1"/>
  <c r="P184" i="1"/>
  <c r="G184" i="1"/>
  <c r="AG184" i="1" s="1"/>
  <c r="AH184" i="1" s="1"/>
  <c r="AZ183" i="1"/>
  <c r="AY183" i="1"/>
  <c r="AV183" i="1"/>
  <c r="AX183" i="1" s="1"/>
  <c r="AR183" i="1"/>
  <c r="AO183" i="1"/>
  <c r="AM183" i="1"/>
  <c r="AL183" i="1"/>
  <c r="AJ183" i="1"/>
  <c r="AC183" i="1"/>
  <c r="AA183" i="1"/>
  <c r="P183" i="1"/>
  <c r="G183" i="1"/>
  <c r="AG183" i="1" s="1"/>
  <c r="AZ182" i="1"/>
  <c r="AY182" i="1"/>
  <c r="AX182" i="1"/>
  <c r="AV182" i="1"/>
  <c r="AO182" i="1"/>
  <c r="AR182" i="1" s="1"/>
  <c r="AM182" i="1"/>
  <c r="AL182" i="1"/>
  <c r="AJ182" i="1"/>
  <c r="AC182" i="1"/>
  <c r="AA182" i="1"/>
  <c r="P182" i="1"/>
  <c r="G182" i="1"/>
  <c r="AG182" i="1" s="1"/>
  <c r="AY181" i="1"/>
  <c r="AZ181" i="1" s="1"/>
  <c r="AV181" i="1"/>
  <c r="AX181" i="1" s="1"/>
  <c r="AM181" i="1"/>
  <c r="AL181" i="1"/>
  <c r="AJ181" i="1"/>
  <c r="AC181" i="1"/>
  <c r="AA181" i="1"/>
  <c r="P181" i="1"/>
  <c r="G181" i="1"/>
  <c r="AG181" i="1" s="1"/>
  <c r="AZ180" i="1"/>
  <c r="AY180" i="1"/>
  <c r="AX180" i="1"/>
  <c r="AV180" i="1"/>
  <c r="AM180" i="1"/>
  <c r="AL180" i="1"/>
  <c r="AJ180" i="1"/>
  <c r="AC180" i="1"/>
  <c r="AA180" i="1"/>
  <c r="P180" i="1"/>
  <c r="G180" i="1"/>
  <c r="AG180" i="1" s="1"/>
  <c r="AZ179" i="1"/>
  <c r="AY179" i="1"/>
  <c r="AV179" i="1"/>
  <c r="AX179" i="1" s="1"/>
  <c r="AM179" i="1"/>
  <c r="AL179" i="1"/>
  <c r="AK179" i="1"/>
  <c r="AO179" i="1" s="1"/>
  <c r="AR179" i="1" s="1"/>
  <c r="AJ179" i="1"/>
  <c r="AC179" i="1"/>
  <c r="AA179" i="1"/>
  <c r="P179" i="1"/>
  <c r="G179" i="1"/>
  <c r="AG179" i="1" s="1"/>
  <c r="AH179" i="1" s="1"/>
  <c r="AZ178" i="1"/>
  <c r="AY178" i="1"/>
  <c r="AX178" i="1"/>
  <c r="AV178" i="1"/>
  <c r="AO178" i="1"/>
  <c r="AR178" i="1" s="1"/>
  <c r="AM178" i="1"/>
  <c r="AL178" i="1"/>
  <c r="AJ178" i="1"/>
  <c r="AC178" i="1"/>
  <c r="AA178" i="1"/>
  <c r="P178" i="1"/>
  <c r="G178" i="1"/>
  <c r="AG178" i="1" s="1"/>
  <c r="AY177" i="1"/>
  <c r="AZ177" i="1" s="1"/>
  <c r="AX177" i="1"/>
  <c r="AV177" i="1"/>
  <c r="AM177" i="1"/>
  <c r="AL177" i="1"/>
  <c r="AJ177" i="1"/>
  <c r="AC177" i="1"/>
  <c r="AA177" i="1"/>
  <c r="P177" i="1"/>
  <c r="G177" i="1"/>
  <c r="AG177" i="1" s="1"/>
  <c r="AZ176" i="1"/>
  <c r="AY176" i="1"/>
  <c r="AV176" i="1"/>
  <c r="AX176" i="1" s="1"/>
  <c r="AM176" i="1"/>
  <c r="AL176" i="1"/>
  <c r="AJ176" i="1"/>
  <c r="AC176" i="1"/>
  <c r="AA176" i="1"/>
  <c r="P176" i="1"/>
  <c r="G176" i="1"/>
  <c r="AG176" i="1" s="1"/>
  <c r="AZ175" i="1"/>
  <c r="AY175" i="1"/>
  <c r="AV175" i="1"/>
  <c r="AX175" i="1" s="1"/>
  <c r="AM175" i="1"/>
  <c r="AL175" i="1"/>
  <c r="AJ175" i="1"/>
  <c r="AC175" i="1"/>
  <c r="AA175" i="1"/>
  <c r="P175" i="1"/>
  <c r="G175" i="1"/>
  <c r="AG175" i="1" s="1"/>
  <c r="AY174" i="1"/>
  <c r="AZ174" i="1" s="1"/>
  <c r="AX174" i="1"/>
  <c r="AV174" i="1"/>
  <c r="AM174" i="1"/>
  <c r="AL174" i="1"/>
  <c r="AJ174" i="1"/>
  <c r="AC174" i="1"/>
  <c r="AA174" i="1"/>
  <c r="P174" i="1"/>
  <c r="G174" i="1"/>
  <c r="AG174" i="1" s="1"/>
  <c r="AY173" i="1"/>
  <c r="AZ173" i="1" s="1"/>
  <c r="AX173" i="1"/>
  <c r="AV173" i="1"/>
  <c r="AR173" i="1"/>
  <c r="AO173" i="1"/>
  <c r="AM173" i="1"/>
  <c r="AL173" i="1"/>
  <c r="AJ173" i="1"/>
  <c r="AC173" i="1"/>
  <c r="AA173" i="1"/>
  <c r="P173" i="1"/>
  <c r="G173" i="1"/>
  <c r="AG173" i="1" s="1"/>
  <c r="AZ172" i="1"/>
  <c r="AY172" i="1"/>
  <c r="AV172" i="1"/>
  <c r="AX172" i="1" s="1"/>
  <c r="AM172" i="1"/>
  <c r="AL172" i="1"/>
  <c r="AJ172" i="1"/>
  <c r="AC172" i="1"/>
  <c r="AA172" i="1"/>
  <c r="P172" i="1"/>
  <c r="G172" i="1"/>
  <c r="AG172" i="1" s="1"/>
  <c r="AZ171" i="1"/>
  <c r="AY171" i="1"/>
  <c r="AX171" i="1"/>
  <c r="AV171" i="1"/>
  <c r="AO171" i="1"/>
  <c r="AR171" i="1" s="1"/>
  <c r="AM171" i="1"/>
  <c r="AL171" i="1"/>
  <c r="AJ171" i="1"/>
  <c r="AC171" i="1"/>
  <c r="AA171" i="1"/>
  <c r="P171" i="1"/>
  <c r="G171" i="1"/>
  <c r="AG171" i="1" s="1"/>
  <c r="AY170" i="1"/>
  <c r="AZ170" i="1" s="1"/>
  <c r="AX170" i="1"/>
  <c r="AV170" i="1"/>
  <c r="AM170" i="1"/>
  <c r="AL170" i="1"/>
  <c r="AJ170" i="1"/>
  <c r="AC170" i="1"/>
  <c r="AA170" i="1"/>
  <c r="P170" i="1"/>
  <c r="G170" i="1"/>
  <c r="AG170" i="1" s="1"/>
  <c r="AH170" i="1" s="1"/>
  <c r="AZ169" i="1"/>
  <c r="AY169" i="1"/>
  <c r="AX169" i="1"/>
  <c r="AV169" i="1"/>
  <c r="AR169" i="1"/>
  <c r="AO169" i="1"/>
  <c r="AM169" i="1"/>
  <c r="AL169" i="1"/>
  <c r="AJ169" i="1"/>
  <c r="AC169" i="1"/>
  <c r="AA169" i="1"/>
  <c r="P169" i="1"/>
  <c r="G169" i="1"/>
  <c r="AG169" i="1" s="1"/>
  <c r="AZ168" i="1"/>
  <c r="AY168" i="1"/>
  <c r="AV168" i="1"/>
  <c r="AX168" i="1" s="1"/>
  <c r="AM168" i="1"/>
  <c r="AL168" i="1"/>
  <c r="AJ168" i="1"/>
  <c r="AC168" i="1"/>
  <c r="AA168" i="1"/>
  <c r="P168" i="1"/>
  <c r="G168" i="1"/>
  <c r="AG168" i="1" s="1"/>
  <c r="AZ167" i="1"/>
  <c r="AY167" i="1"/>
  <c r="AX167" i="1"/>
  <c r="AV167" i="1"/>
  <c r="AO167" i="1"/>
  <c r="AR167" i="1" s="1"/>
  <c r="AM167" i="1"/>
  <c r="AL167" i="1"/>
  <c r="AJ167" i="1"/>
  <c r="AC167" i="1"/>
  <c r="AA167" i="1"/>
  <c r="P167" i="1"/>
  <c r="G167" i="1"/>
  <c r="AY166" i="1"/>
  <c r="AZ166" i="1" s="1"/>
  <c r="AX166" i="1"/>
  <c r="AV166" i="1"/>
  <c r="AO166" i="1"/>
  <c r="AR166" i="1" s="1"/>
  <c r="AM166" i="1"/>
  <c r="AL166" i="1"/>
  <c r="AJ166" i="1"/>
  <c r="AC166" i="1"/>
  <c r="AA166" i="1"/>
  <c r="P166" i="1"/>
  <c r="G166" i="1"/>
  <c r="AG166" i="1" s="1"/>
  <c r="AZ165" i="1"/>
  <c r="AY165" i="1"/>
  <c r="AX165" i="1"/>
  <c r="AV165" i="1"/>
  <c r="AM165" i="1"/>
  <c r="AL165" i="1"/>
  <c r="AJ165" i="1"/>
  <c r="AC165" i="1"/>
  <c r="AA165" i="1"/>
  <c r="P165" i="1"/>
  <c r="G165" i="1"/>
  <c r="AG165" i="1" s="1"/>
  <c r="AZ164" i="1"/>
  <c r="AY164" i="1"/>
  <c r="AV164" i="1"/>
  <c r="AX164" i="1" s="1"/>
  <c r="AM164" i="1"/>
  <c r="AL164" i="1"/>
  <c r="AJ164" i="1"/>
  <c r="AC164" i="1"/>
  <c r="AA164" i="1"/>
  <c r="P164" i="1"/>
  <c r="G164" i="1"/>
  <c r="AG164" i="1" s="1"/>
  <c r="AZ163" i="1"/>
  <c r="AY163" i="1"/>
  <c r="AV163" i="1"/>
  <c r="AX163" i="1" s="1"/>
  <c r="AM163" i="1"/>
  <c r="AL163" i="1"/>
  <c r="AJ163" i="1"/>
  <c r="AC163" i="1"/>
  <c r="AA163" i="1"/>
  <c r="P163" i="1"/>
  <c r="G163" i="1"/>
  <c r="AG163" i="1" s="1"/>
  <c r="AH163" i="1" s="1"/>
  <c r="AY162" i="1"/>
  <c r="AZ162" i="1" s="1"/>
  <c r="AX162" i="1"/>
  <c r="AV162" i="1"/>
  <c r="AO162" i="1"/>
  <c r="AR162" i="1" s="1"/>
  <c r="AM162" i="1"/>
  <c r="AL162" i="1"/>
  <c r="AJ162" i="1"/>
  <c r="AC162" i="1"/>
  <c r="AA162" i="1"/>
  <c r="P162" i="1"/>
  <c r="G162" i="1"/>
  <c r="AG162" i="1" s="1"/>
  <c r="AY161" i="1"/>
  <c r="AZ161" i="1" s="1"/>
  <c r="AX161" i="1"/>
  <c r="AV161" i="1"/>
  <c r="AM161" i="1"/>
  <c r="AL161" i="1"/>
  <c r="AJ161" i="1"/>
  <c r="AC161" i="1"/>
  <c r="AA161" i="1"/>
  <c r="P161" i="1"/>
  <c r="G161" i="1"/>
  <c r="AG161" i="1" s="1"/>
  <c r="AZ160" i="1"/>
  <c r="AY160" i="1"/>
  <c r="AV160" i="1"/>
  <c r="AX160" i="1" s="1"/>
  <c r="AR160" i="1"/>
  <c r="AO160" i="1"/>
  <c r="AM160" i="1"/>
  <c r="AL160" i="1"/>
  <c r="AJ160" i="1"/>
  <c r="AC160" i="1"/>
  <c r="AA160" i="1"/>
  <c r="P160" i="1"/>
  <c r="G160" i="1"/>
  <c r="AG160" i="1" s="1"/>
  <c r="AZ159" i="1"/>
  <c r="AY159" i="1"/>
  <c r="AX159" i="1"/>
  <c r="AV159" i="1"/>
  <c r="AM159" i="1"/>
  <c r="AL159" i="1"/>
  <c r="AJ159" i="1"/>
  <c r="AC159" i="1"/>
  <c r="AA159" i="1"/>
  <c r="P159" i="1"/>
  <c r="G159" i="1"/>
  <c r="AG159" i="1" s="1"/>
  <c r="AY158" i="1"/>
  <c r="AZ158" i="1" s="1"/>
  <c r="AX158" i="1"/>
  <c r="AV158" i="1"/>
  <c r="AO158" i="1"/>
  <c r="AR158" i="1" s="1"/>
  <c r="AM158" i="1"/>
  <c r="AL158" i="1"/>
  <c r="AJ158" i="1"/>
  <c r="AC158" i="1"/>
  <c r="AA158" i="1"/>
  <c r="P158" i="1"/>
  <c r="G158" i="1"/>
  <c r="AG158" i="1" s="1"/>
  <c r="AH158" i="1" s="1"/>
  <c r="AZ157" i="1"/>
  <c r="AY157" i="1"/>
  <c r="AX157" i="1"/>
  <c r="AV157" i="1"/>
  <c r="AR157" i="1"/>
  <c r="AO157" i="1"/>
  <c r="AM157" i="1"/>
  <c r="AL157" i="1"/>
  <c r="AJ157" i="1"/>
  <c r="AC157" i="1"/>
  <c r="AA157" i="1"/>
  <c r="P157" i="1"/>
  <c r="G157" i="1"/>
  <c r="AG157" i="1" s="1"/>
  <c r="AZ156" i="1"/>
  <c r="AY156" i="1"/>
  <c r="AV156" i="1"/>
  <c r="AX156" i="1" s="1"/>
  <c r="AM156" i="1"/>
  <c r="AL156" i="1"/>
  <c r="AJ156" i="1"/>
  <c r="AC156" i="1"/>
  <c r="AA156" i="1"/>
  <c r="P156" i="1"/>
  <c r="G156" i="1"/>
  <c r="AG156" i="1" s="1"/>
  <c r="AZ155" i="1"/>
  <c r="AY155" i="1"/>
  <c r="AX155" i="1"/>
  <c r="AV155" i="1"/>
  <c r="AO155" i="1"/>
  <c r="AR155" i="1" s="1"/>
  <c r="AM155" i="1"/>
  <c r="AL155" i="1"/>
  <c r="AJ155" i="1"/>
  <c r="AC155" i="1"/>
  <c r="AA155" i="1"/>
  <c r="P155" i="1"/>
  <c r="G155" i="1"/>
  <c r="AY154" i="1"/>
  <c r="AZ154" i="1" s="1"/>
  <c r="AX154" i="1"/>
  <c r="AV154" i="1"/>
  <c r="AO154" i="1"/>
  <c r="AR154" i="1" s="1"/>
  <c r="AM154" i="1"/>
  <c r="AL154" i="1"/>
  <c r="AJ154" i="1"/>
  <c r="AC154" i="1"/>
  <c r="AA154" i="1"/>
  <c r="P154" i="1"/>
  <c r="G154" i="1"/>
  <c r="AG154" i="1" s="1"/>
  <c r="AZ153" i="1"/>
  <c r="AY153" i="1"/>
  <c r="AX153" i="1"/>
  <c r="AV153" i="1"/>
  <c r="AM153" i="1"/>
  <c r="AL153" i="1"/>
  <c r="AJ153" i="1"/>
  <c r="AC153" i="1"/>
  <c r="AA153" i="1"/>
  <c r="P153" i="1"/>
  <c r="G153" i="1"/>
  <c r="AG153" i="1" s="1"/>
  <c r="AZ152" i="1"/>
  <c r="AY152" i="1"/>
  <c r="AV152" i="1"/>
  <c r="AX152" i="1" s="1"/>
  <c r="AR152" i="1"/>
  <c r="AO152" i="1"/>
  <c r="AM152" i="1"/>
  <c r="AL152" i="1"/>
  <c r="AJ152" i="1"/>
  <c r="AC152" i="1"/>
  <c r="AA152" i="1"/>
  <c r="P152" i="1"/>
  <c r="G152" i="1"/>
  <c r="AG152" i="1" s="1"/>
  <c r="AZ151" i="1"/>
  <c r="AY151" i="1"/>
  <c r="AV151" i="1"/>
  <c r="AX151" i="1" s="1"/>
  <c r="AO151" i="1"/>
  <c r="AR151" i="1" s="1"/>
  <c r="AM151" i="1"/>
  <c r="AL151" i="1"/>
  <c r="AJ151" i="1"/>
  <c r="AC151" i="1"/>
  <c r="AA151" i="1"/>
  <c r="P151" i="1"/>
  <c r="G151" i="1"/>
  <c r="AY150" i="1"/>
  <c r="AZ150" i="1" s="1"/>
  <c r="AX150" i="1"/>
  <c r="AV150" i="1"/>
  <c r="AO150" i="1"/>
  <c r="AR150" i="1" s="1"/>
  <c r="AM150" i="1"/>
  <c r="AL150" i="1"/>
  <c r="AJ150" i="1"/>
  <c r="AC150" i="1"/>
  <c r="AA150" i="1"/>
  <c r="P150" i="1"/>
  <c r="G150" i="1"/>
  <c r="AG150" i="1" s="1"/>
  <c r="AY149" i="1"/>
  <c r="AZ149" i="1" s="1"/>
  <c r="AX149" i="1"/>
  <c r="AV149" i="1"/>
  <c r="AM149" i="1"/>
  <c r="AL149" i="1"/>
  <c r="AJ149" i="1"/>
  <c r="AC149" i="1"/>
  <c r="AA149" i="1"/>
  <c r="P149" i="1"/>
  <c r="G149" i="1"/>
  <c r="AG149" i="1" s="1"/>
  <c r="AZ148" i="1"/>
  <c r="AY148" i="1"/>
  <c r="AV148" i="1"/>
  <c r="AX148" i="1" s="1"/>
  <c r="AR148" i="1"/>
  <c r="AO148" i="1"/>
  <c r="AM148" i="1"/>
  <c r="AL148" i="1"/>
  <c r="AJ148" i="1"/>
  <c r="AC148" i="1"/>
  <c r="AA148" i="1"/>
  <c r="P148" i="1"/>
  <c r="G148" i="1"/>
  <c r="AG148" i="1" s="1"/>
  <c r="AZ147" i="1"/>
  <c r="AY147" i="1"/>
  <c r="AV147" i="1"/>
  <c r="AX147" i="1" s="1"/>
  <c r="AO147" i="1"/>
  <c r="AR147" i="1" s="1"/>
  <c r="AM147" i="1"/>
  <c r="AL147" i="1"/>
  <c r="AJ147" i="1"/>
  <c r="AC147" i="1"/>
  <c r="AA147" i="1"/>
  <c r="P147" i="1"/>
  <c r="G147" i="1"/>
  <c r="AG147" i="1" s="1"/>
  <c r="AH147" i="1" s="1"/>
  <c r="AY146" i="1"/>
  <c r="AZ146" i="1" s="1"/>
  <c r="AX146" i="1"/>
  <c r="AV146" i="1"/>
  <c r="AM146" i="1"/>
  <c r="AL146" i="1"/>
  <c r="AJ146" i="1"/>
  <c r="AC146" i="1"/>
  <c r="AA146" i="1"/>
  <c r="P146" i="1"/>
  <c r="G146" i="1"/>
  <c r="AG146" i="1" s="1"/>
  <c r="AY145" i="1"/>
  <c r="AZ145" i="1" s="1"/>
  <c r="AX145" i="1"/>
  <c r="AV145" i="1"/>
  <c r="AM145" i="1"/>
  <c r="AL145" i="1"/>
  <c r="AJ145" i="1"/>
  <c r="AC145" i="1"/>
  <c r="AA145" i="1"/>
  <c r="P145" i="1"/>
  <c r="G145" i="1"/>
  <c r="AG145" i="1" s="1"/>
  <c r="AZ144" i="1"/>
  <c r="AY144" i="1"/>
  <c r="AV144" i="1"/>
  <c r="AX144" i="1" s="1"/>
  <c r="AM144" i="1"/>
  <c r="AL144" i="1"/>
  <c r="AJ144" i="1"/>
  <c r="AC144" i="1"/>
  <c r="AA144" i="1"/>
  <c r="P144" i="1"/>
  <c r="G144" i="1"/>
  <c r="AG144" i="1" s="1"/>
  <c r="AZ143" i="1"/>
  <c r="AY143" i="1"/>
  <c r="AX143" i="1"/>
  <c r="AV143" i="1"/>
  <c r="AM143" i="1"/>
  <c r="AL143" i="1"/>
  <c r="AJ143" i="1"/>
  <c r="AC143" i="1"/>
  <c r="AA143" i="1"/>
  <c r="P143" i="1"/>
  <c r="G143" i="1"/>
  <c r="AY142" i="1"/>
  <c r="AZ142" i="1" s="1"/>
  <c r="AX142" i="1"/>
  <c r="AV142" i="1"/>
  <c r="AO142" i="1"/>
  <c r="AR142" i="1" s="1"/>
  <c r="AM142" i="1"/>
  <c r="AL142" i="1"/>
  <c r="AJ142" i="1"/>
  <c r="AC142" i="1"/>
  <c r="AA142" i="1"/>
  <c r="P142" i="1"/>
  <c r="G142" i="1"/>
  <c r="AG142" i="1" s="1"/>
  <c r="AZ141" i="1"/>
  <c r="AY141" i="1"/>
  <c r="AX141" i="1"/>
  <c r="AV141" i="1"/>
  <c r="AR141" i="1"/>
  <c r="AO141" i="1"/>
  <c r="AM141" i="1"/>
  <c r="AL141" i="1"/>
  <c r="AJ141" i="1"/>
  <c r="AC141" i="1"/>
  <c r="AA141" i="1"/>
  <c r="P141" i="1"/>
  <c r="G141" i="1"/>
  <c r="AG141" i="1" s="1"/>
  <c r="AZ140" i="1"/>
  <c r="AY140" i="1"/>
  <c r="AV140" i="1"/>
  <c r="AX140" i="1" s="1"/>
  <c r="AM140" i="1"/>
  <c r="AL140" i="1"/>
  <c r="AJ140" i="1"/>
  <c r="AC140" i="1"/>
  <c r="AA140" i="1"/>
  <c r="P140" i="1"/>
  <c r="G140" i="1"/>
  <c r="AG140" i="1" s="1"/>
  <c r="AZ139" i="1"/>
  <c r="AY139" i="1"/>
  <c r="AV139" i="1"/>
  <c r="AX139" i="1" s="1"/>
  <c r="AO139" i="1"/>
  <c r="AR139" i="1" s="1"/>
  <c r="AM139" i="1"/>
  <c r="AL139" i="1"/>
  <c r="AJ139" i="1"/>
  <c r="AC139" i="1"/>
  <c r="AA139" i="1"/>
  <c r="P139" i="1"/>
  <c r="G139" i="1"/>
  <c r="AY138" i="1"/>
  <c r="AZ138" i="1" s="1"/>
  <c r="AX138" i="1"/>
  <c r="AV138" i="1"/>
  <c r="AM138" i="1"/>
  <c r="AL138" i="1"/>
  <c r="AJ138" i="1"/>
  <c r="AC138" i="1"/>
  <c r="AA138" i="1"/>
  <c r="P138" i="1"/>
  <c r="G138" i="1"/>
  <c r="AG138" i="1" s="1"/>
  <c r="AY137" i="1"/>
  <c r="AZ137" i="1" s="1"/>
  <c r="AX137" i="1"/>
  <c r="AV137" i="1"/>
  <c r="AR137" i="1"/>
  <c r="AO137" i="1"/>
  <c r="AM137" i="1"/>
  <c r="AL137" i="1"/>
  <c r="AJ137" i="1"/>
  <c r="AC137" i="1"/>
  <c r="AA137" i="1"/>
  <c r="P137" i="1"/>
  <c r="G137" i="1"/>
  <c r="AG137" i="1" s="1"/>
  <c r="AZ136" i="1"/>
  <c r="AY136" i="1"/>
  <c r="AV136" i="1"/>
  <c r="AX136" i="1" s="1"/>
  <c r="AR136" i="1"/>
  <c r="AO136" i="1"/>
  <c r="AM136" i="1"/>
  <c r="AL136" i="1"/>
  <c r="AJ136" i="1"/>
  <c r="AC136" i="1"/>
  <c r="AA136" i="1"/>
  <c r="P136" i="1"/>
  <c r="G136" i="1"/>
  <c r="AG136" i="1" s="1"/>
  <c r="AZ135" i="1"/>
  <c r="AY135" i="1"/>
  <c r="AV135" i="1"/>
  <c r="AX135" i="1" s="1"/>
  <c r="AM135" i="1"/>
  <c r="AL135" i="1"/>
  <c r="AJ135" i="1"/>
  <c r="AC135" i="1"/>
  <c r="AA135" i="1"/>
  <c r="P135" i="1"/>
  <c r="G135" i="1"/>
  <c r="AY134" i="1"/>
  <c r="AZ134" i="1" s="1"/>
  <c r="AX134" i="1"/>
  <c r="AV134" i="1"/>
  <c r="AO134" i="1"/>
  <c r="AR134" i="1" s="1"/>
  <c r="AM134" i="1"/>
  <c r="AL134" i="1"/>
  <c r="AJ134" i="1"/>
  <c r="AC134" i="1"/>
  <c r="AA134" i="1"/>
  <c r="P134" i="1"/>
  <c r="G134" i="1"/>
  <c r="AG134" i="1" s="1"/>
  <c r="AY133" i="1"/>
  <c r="AZ133" i="1" s="1"/>
  <c r="AX133" i="1"/>
  <c r="AV133" i="1"/>
  <c r="AR133" i="1"/>
  <c r="AO133" i="1"/>
  <c r="AM133" i="1"/>
  <c r="AL133" i="1"/>
  <c r="AJ133" i="1"/>
  <c r="AC133" i="1"/>
  <c r="AA133" i="1"/>
  <c r="P133" i="1"/>
  <c r="G133" i="1"/>
  <c r="AG133" i="1" s="1"/>
  <c r="AY132" i="1"/>
  <c r="AZ132" i="1" s="1"/>
  <c r="AV132" i="1"/>
  <c r="AX132" i="1" s="1"/>
  <c r="AR132" i="1"/>
  <c r="AO132" i="1"/>
  <c r="AM132" i="1"/>
  <c r="AL132" i="1"/>
  <c r="AJ132" i="1"/>
  <c r="AC132" i="1"/>
  <c r="AA132" i="1"/>
  <c r="P132" i="1"/>
  <c r="G132" i="1"/>
  <c r="AG132" i="1" s="1"/>
  <c r="AZ131" i="1"/>
  <c r="AY131" i="1"/>
  <c r="AV131" i="1"/>
  <c r="AX131" i="1" s="1"/>
  <c r="AM131" i="1"/>
  <c r="AL131" i="1"/>
  <c r="AJ131" i="1"/>
  <c r="AC131" i="1"/>
  <c r="AA131" i="1"/>
  <c r="P131" i="1"/>
  <c r="G131" i="1"/>
  <c r="AG131" i="1" s="1"/>
  <c r="AY130" i="1"/>
  <c r="AZ130" i="1" s="1"/>
  <c r="AV130" i="1"/>
  <c r="AX130" i="1" s="1"/>
  <c r="AO130" i="1"/>
  <c r="AR130" i="1" s="1"/>
  <c r="AM130" i="1"/>
  <c r="AL130" i="1"/>
  <c r="AJ130" i="1"/>
  <c r="AC130" i="1"/>
  <c r="AA130" i="1"/>
  <c r="P130" i="1"/>
  <c r="G130" i="1"/>
  <c r="AG130" i="1" s="1"/>
  <c r="AZ129" i="1"/>
  <c r="AY129" i="1"/>
  <c r="AX129" i="1"/>
  <c r="AV129" i="1"/>
  <c r="AR129" i="1"/>
  <c r="AO129" i="1"/>
  <c r="AM129" i="1"/>
  <c r="AL129" i="1"/>
  <c r="AJ129" i="1"/>
  <c r="AC129" i="1"/>
  <c r="AA129" i="1"/>
  <c r="P129" i="1"/>
  <c r="G129" i="1"/>
  <c r="AG129" i="1" s="1"/>
  <c r="AZ128" i="1"/>
  <c r="AY128" i="1"/>
  <c r="AV128" i="1"/>
  <c r="AX128" i="1" s="1"/>
  <c r="AR128" i="1"/>
  <c r="AO128" i="1"/>
  <c r="AM128" i="1"/>
  <c r="AL128" i="1"/>
  <c r="AJ128" i="1"/>
  <c r="AC128" i="1"/>
  <c r="AA128" i="1"/>
  <c r="P128" i="1"/>
  <c r="G128" i="1"/>
  <c r="AG128" i="1" s="1"/>
  <c r="AZ127" i="1"/>
  <c r="AY127" i="1"/>
  <c r="AV127" i="1"/>
  <c r="AX127" i="1" s="1"/>
  <c r="AR127" i="1"/>
  <c r="AO127" i="1"/>
  <c r="AM127" i="1"/>
  <c r="AL127" i="1"/>
  <c r="AJ127" i="1"/>
  <c r="AC127" i="1"/>
  <c r="AA127" i="1"/>
  <c r="P127" i="1"/>
  <c r="G127" i="1"/>
  <c r="AG127" i="1" s="1"/>
  <c r="AY126" i="1"/>
  <c r="AZ126" i="1" s="1"/>
  <c r="AX126" i="1"/>
  <c r="AV126" i="1"/>
  <c r="AO126" i="1"/>
  <c r="AR126" i="1" s="1"/>
  <c r="AM126" i="1"/>
  <c r="AL126" i="1"/>
  <c r="AJ126" i="1"/>
  <c r="AC126" i="1"/>
  <c r="AA126" i="1"/>
  <c r="P126" i="1"/>
  <c r="G126" i="1"/>
  <c r="AG126" i="1" s="1"/>
  <c r="AY125" i="1"/>
  <c r="AZ125" i="1" s="1"/>
  <c r="AX125" i="1"/>
  <c r="AV125" i="1"/>
  <c r="AM125" i="1"/>
  <c r="AL125" i="1"/>
  <c r="AJ125" i="1"/>
  <c r="AC125" i="1"/>
  <c r="AA125" i="1"/>
  <c r="P125" i="1"/>
  <c r="G125" i="1"/>
  <c r="AG125" i="1" s="1"/>
  <c r="AY124" i="1"/>
  <c r="AZ124" i="1" s="1"/>
  <c r="AV124" i="1"/>
  <c r="AX124" i="1" s="1"/>
  <c r="AM124" i="1"/>
  <c r="AL124" i="1"/>
  <c r="AJ124" i="1"/>
  <c r="AC124" i="1"/>
  <c r="AA124" i="1"/>
  <c r="P124" i="1"/>
  <c r="G124" i="1"/>
  <c r="AG124" i="1" s="1"/>
  <c r="AZ123" i="1"/>
  <c r="AY123" i="1"/>
  <c r="AV123" i="1"/>
  <c r="AX123" i="1" s="1"/>
  <c r="AR123" i="1"/>
  <c r="AO123" i="1"/>
  <c r="AM123" i="1"/>
  <c r="AL123" i="1"/>
  <c r="AJ123" i="1"/>
  <c r="AC123" i="1"/>
  <c r="AA123" i="1"/>
  <c r="P123" i="1"/>
  <c r="G123" i="1"/>
  <c r="AG123" i="1" s="1"/>
  <c r="AY122" i="1"/>
  <c r="AZ122" i="1" s="1"/>
  <c r="AX122" i="1"/>
  <c r="AV122" i="1"/>
  <c r="AO122" i="1"/>
  <c r="AR122" i="1" s="1"/>
  <c r="AM122" i="1"/>
  <c r="AL122" i="1"/>
  <c r="AJ122" i="1"/>
  <c r="AC122" i="1"/>
  <c r="AA122" i="1"/>
  <c r="P122" i="1"/>
  <c r="G122" i="1"/>
  <c r="AG122" i="1" s="1"/>
  <c r="AY121" i="1"/>
  <c r="AZ121" i="1" s="1"/>
  <c r="AX121" i="1"/>
  <c r="AV121" i="1"/>
  <c r="AO121" i="1"/>
  <c r="AR121" i="1" s="1"/>
  <c r="AM121" i="1"/>
  <c r="AL121" i="1"/>
  <c r="AJ121" i="1"/>
  <c r="AC121" i="1"/>
  <c r="AA121" i="1"/>
  <c r="P121" i="1"/>
  <c r="G121" i="1"/>
  <c r="AG121" i="1" s="1"/>
  <c r="AY120" i="1"/>
  <c r="AZ120" i="1" s="1"/>
  <c r="AV120" i="1"/>
  <c r="AX120" i="1" s="1"/>
  <c r="AR120" i="1"/>
  <c r="AO120" i="1"/>
  <c r="AM120" i="1"/>
  <c r="AL120" i="1"/>
  <c r="AJ120" i="1"/>
  <c r="AC120" i="1"/>
  <c r="AA120" i="1"/>
  <c r="P120" i="1"/>
  <c r="G120" i="1"/>
  <c r="AG120" i="1" s="1"/>
  <c r="AZ119" i="1"/>
  <c r="AY119" i="1"/>
  <c r="AV119" i="1"/>
  <c r="AX119" i="1" s="1"/>
  <c r="AO119" i="1"/>
  <c r="AR119" i="1" s="1"/>
  <c r="AM119" i="1"/>
  <c r="AL119" i="1"/>
  <c r="AJ119" i="1"/>
  <c r="AC119" i="1"/>
  <c r="AA119" i="1"/>
  <c r="P119" i="1"/>
  <c r="G119" i="1"/>
  <c r="AG119" i="1" s="1"/>
  <c r="AY118" i="1"/>
  <c r="AZ118" i="1" s="1"/>
  <c r="AV118" i="1"/>
  <c r="AX118" i="1" s="1"/>
  <c r="AM118" i="1"/>
  <c r="AL118" i="1"/>
  <c r="AJ118" i="1"/>
  <c r="AC118" i="1"/>
  <c r="AA118" i="1"/>
  <c r="P118" i="1"/>
  <c r="G118" i="1"/>
  <c r="AY117" i="1"/>
  <c r="AZ117" i="1" s="1"/>
  <c r="AX117" i="1"/>
  <c r="AV117" i="1"/>
  <c r="AO117" i="1"/>
  <c r="AR117" i="1" s="1"/>
  <c r="AM117" i="1"/>
  <c r="AL117" i="1"/>
  <c r="AJ117" i="1"/>
  <c r="AC117" i="1"/>
  <c r="AA117" i="1"/>
  <c r="P117" i="1"/>
  <c r="G117" i="1"/>
  <c r="AG117" i="1" s="1"/>
  <c r="AY116" i="1"/>
  <c r="AZ116" i="1" s="1"/>
  <c r="AV116" i="1"/>
  <c r="AX116" i="1" s="1"/>
  <c r="AM116" i="1"/>
  <c r="AL116" i="1"/>
  <c r="AJ116" i="1"/>
  <c r="AC116" i="1"/>
  <c r="AA116" i="1"/>
  <c r="P116" i="1"/>
  <c r="G116" i="1"/>
  <c r="AG116" i="1" s="1"/>
  <c r="AZ115" i="1"/>
  <c r="AY115" i="1"/>
  <c r="AV115" i="1"/>
  <c r="AX115" i="1" s="1"/>
  <c r="AM115" i="1"/>
  <c r="AL115" i="1"/>
  <c r="AJ115" i="1"/>
  <c r="AC115" i="1"/>
  <c r="AA115" i="1"/>
  <c r="P115" i="1"/>
  <c r="G115" i="1"/>
  <c r="AG115" i="1" s="1"/>
  <c r="AY114" i="1"/>
  <c r="AZ114" i="1" s="1"/>
  <c r="AV114" i="1"/>
  <c r="AX114" i="1" s="1"/>
  <c r="AO114" i="1"/>
  <c r="AR114" i="1" s="1"/>
  <c r="AM114" i="1"/>
  <c r="AL114" i="1"/>
  <c r="AJ114" i="1"/>
  <c r="AC114" i="1"/>
  <c r="AA114" i="1"/>
  <c r="P114" i="1"/>
  <c r="G114" i="1"/>
  <c r="AY113" i="1"/>
  <c r="AZ113" i="1" s="1"/>
  <c r="AX113" i="1"/>
  <c r="AV113" i="1"/>
  <c r="AO113" i="1"/>
  <c r="AR113" i="1" s="1"/>
  <c r="AM113" i="1"/>
  <c r="AL113" i="1"/>
  <c r="AJ113" i="1"/>
  <c r="AC113" i="1"/>
  <c r="AA113" i="1"/>
  <c r="P113" i="1"/>
  <c r="G113" i="1"/>
  <c r="AG113" i="1" s="1"/>
  <c r="AY112" i="1"/>
  <c r="AZ112" i="1" s="1"/>
  <c r="AV112" i="1"/>
  <c r="AX112" i="1" s="1"/>
  <c r="AM112" i="1"/>
  <c r="AL112" i="1"/>
  <c r="AJ112" i="1"/>
  <c r="AC112" i="1"/>
  <c r="AA112" i="1"/>
  <c r="P112" i="1"/>
  <c r="G112" i="1"/>
  <c r="AG112" i="1" s="1"/>
  <c r="AZ111" i="1"/>
  <c r="AY111" i="1"/>
  <c r="AV111" i="1"/>
  <c r="AX111" i="1" s="1"/>
  <c r="AO111" i="1"/>
  <c r="AR111" i="1" s="1"/>
  <c r="AM111" i="1"/>
  <c r="AL111" i="1"/>
  <c r="AJ111" i="1"/>
  <c r="AC111" i="1"/>
  <c r="AA111" i="1"/>
  <c r="P111" i="1"/>
  <c r="G111" i="1"/>
  <c r="AG111" i="1" s="1"/>
  <c r="AY110" i="1"/>
  <c r="AZ110" i="1" s="1"/>
  <c r="AV110" i="1"/>
  <c r="AX110" i="1" s="1"/>
  <c r="AM110" i="1"/>
  <c r="AL110" i="1"/>
  <c r="AJ110" i="1"/>
  <c r="AC110" i="1"/>
  <c r="AA110" i="1"/>
  <c r="P110" i="1"/>
  <c r="G110" i="1"/>
  <c r="AY109" i="1"/>
  <c r="AZ109" i="1" s="1"/>
  <c r="AX109" i="1"/>
  <c r="AV109" i="1"/>
  <c r="AO109" i="1"/>
  <c r="AR109" i="1" s="1"/>
  <c r="AM109" i="1"/>
  <c r="AL109" i="1"/>
  <c r="AJ109" i="1"/>
  <c r="AC109" i="1"/>
  <c r="AA109" i="1"/>
  <c r="P109" i="1"/>
  <c r="G109" i="1"/>
  <c r="AG109" i="1" s="1"/>
  <c r="AY108" i="1"/>
  <c r="AZ108" i="1" s="1"/>
  <c r="AV108" i="1"/>
  <c r="AX108" i="1" s="1"/>
  <c r="AR108" i="1"/>
  <c r="AO108" i="1"/>
  <c r="AM108" i="1"/>
  <c r="AL108" i="1"/>
  <c r="AJ108" i="1"/>
  <c r="AC108" i="1"/>
  <c r="AA108" i="1"/>
  <c r="P108" i="1"/>
  <c r="G108" i="1"/>
  <c r="AG108" i="1" s="1"/>
  <c r="AZ107" i="1"/>
  <c r="AY107" i="1"/>
  <c r="AX107" i="1"/>
  <c r="AV107" i="1"/>
  <c r="AM107" i="1"/>
  <c r="AL107" i="1"/>
  <c r="AJ107" i="1"/>
  <c r="AC107" i="1"/>
  <c r="AA107" i="1"/>
  <c r="P107" i="1"/>
  <c r="G107" i="1"/>
  <c r="AG107" i="1" s="1"/>
  <c r="AY106" i="1"/>
  <c r="AZ106" i="1" s="1"/>
  <c r="AV106" i="1"/>
  <c r="AX106" i="1" s="1"/>
  <c r="AO106" i="1"/>
  <c r="AR106" i="1" s="1"/>
  <c r="AM106" i="1"/>
  <c r="AL106" i="1"/>
  <c r="AJ106" i="1"/>
  <c r="AC106" i="1"/>
  <c r="AA106" i="1"/>
  <c r="P106" i="1"/>
  <c r="G106" i="1"/>
  <c r="AG106" i="1" s="1"/>
  <c r="AH106" i="1" s="1"/>
  <c r="AK106" i="1" s="1"/>
  <c r="AP106" i="1" s="1"/>
  <c r="AY105" i="1"/>
  <c r="AZ105" i="1" s="1"/>
  <c r="AX105" i="1"/>
  <c r="AV105" i="1"/>
  <c r="AR105" i="1"/>
  <c r="AO105" i="1"/>
  <c r="AM105" i="1"/>
  <c r="AL105" i="1"/>
  <c r="AJ105" i="1"/>
  <c r="AC105" i="1"/>
  <c r="AA105" i="1"/>
  <c r="P105" i="1"/>
  <c r="G105" i="1"/>
  <c r="AG105" i="1" s="1"/>
  <c r="AY104" i="1"/>
  <c r="AZ104" i="1" s="1"/>
  <c r="AV104" i="1"/>
  <c r="AX104" i="1" s="1"/>
  <c r="AR104" i="1"/>
  <c r="AO104" i="1"/>
  <c r="AM104" i="1"/>
  <c r="AL104" i="1"/>
  <c r="AJ104" i="1"/>
  <c r="AC104" i="1"/>
  <c r="AA104" i="1"/>
  <c r="P104" i="1"/>
  <c r="G104" i="1"/>
  <c r="AG104" i="1" s="1"/>
  <c r="AZ103" i="1"/>
  <c r="AY103" i="1"/>
  <c r="AV103" i="1"/>
  <c r="AX103" i="1" s="1"/>
  <c r="AM103" i="1"/>
  <c r="AL103" i="1"/>
  <c r="AJ103" i="1"/>
  <c r="AC103" i="1"/>
  <c r="AA103" i="1"/>
  <c r="P103" i="1"/>
  <c r="G103" i="1"/>
  <c r="AG103" i="1" s="1"/>
  <c r="AY102" i="1"/>
  <c r="AZ102" i="1" s="1"/>
  <c r="AV102" i="1"/>
  <c r="AX102" i="1" s="1"/>
  <c r="AM102" i="1"/>
  <c r="AL102" i="1"/>
  <c r="AJ102" i="1"/>
  <c r="AC102" i="1"/>
  <c r="AA102" i="1"/>
  <c r="P102" i="1"/>
  <c r="G102" i="1"/>
  <c r="AG102" i="1" s="1"/>
  <c r="AZ101" i="1"/>
  <c r="AY101" i="1"/>
  <c r="AX101" i="1"/>
  <c r="AV101" i="1"/>
  <c r="AR101" i="1"/>
  <c r="AO101" i="1"/>
  <c r="AM101" i="1"/>
  <c r="AL101" i="1"/>
  <c r="AJ101" i="1"/>
  <c r="AC101" i="1"/>
  <c r="AA101" i="1"/>
  <c r="P101" i="1"/>
  <c r="G101" i="1"/>
  <c r="AG101" i="1" s="1"/>
  <c r="AZ100" i="1"/>
  <c r="AY100" i="1"/>
  <c r="AV100" i="1"/>
  <c r="AX100" i="1" s="1"/>
  <c r="AM100" i="1"/>
  <c r="AL100" i="1"/>
  <c r="AJ100" i="1"/>
  <c r="AC100" i="1"/>
  <c r="AA100" i="1"/>
  <c r="P100" i="1"/>
  <c r="G100" i="1"/>
  <c r="AG100" i="1" s="1"/>
  <c r="AZ99" i="1"/>
  <c r="AY99" i="1"/>
  <c r="AV99" i="1"/>
  <c r="AX99" i="1" s="1"/>
  <c r="AM99" i="1"/>
  <c r="AL99" i="1"/>
  <c r="AJ99" i="1"/>
  <c r="AC99" i="1"/>
  <c r="AA99" i="1"/>
  <c r="P99" i="1"/>
  <c r="G99" i="1"/>
  <c r="AG99" i="1" s="1"/>
  <c r="AY98" i="1"/>
  <c r="AZ98" i="1" s="1"/>
  <c r="AV98" i="1"/>
  <c r="AX98" i="1" s="1"/>
  <c r="AO98" i="1"/>
  <c r="AR98" i="1" s="1"/>
  <c r="AM98" i="1"/>
  <c r="AL98" i="1"/>
  <c r="AJ98" i="1"/>
  <c r="AC98" i="1"/>
  <c r="AA98" i="1"/>
  <c r="P98" i="1"/>
  <c r="G98" i="1"/>
  <c r="AG98" i="1" s="1"/>
  <c r="AY97" i="1"/>
  <c r="AZ97" i="1" s="1"/>
  <c r="AX97" i="1"/>
  <c r="AV97" i="1"/>
  <c r="AO97" i="1"/>
  <c r="AR97" i="1" s="1"/>
  <c r="AM97" i="1"/>
  <c r="AL97" i="1"/>
  <c r="AJ97" i="1"/>
  <c r="AC97" i="1"/>
  <c r="AA97" i="1"/>
  <c r="P97" i="1"/>
  <c r="G97" i="1"/>
  <c r="AG97" i="1" s="1"/>
  <c r="AY96" i="1"/>
  <c r="AZ96" i="1" s="1"/>
  <c r="AV96" i="1"/>
  <c r="AX96" i="1" s="1"/>
  <c r="AM96" i="1"/>
  <c r="AL96" i="1"/>
  <c r="AJ96" i="1"/>
  <c r="AC96" i="1"/>
  <c r="AA96" i="1"/>
  <c r="P96" i="1"/>
  <c r="G96" i="1"/>
  <c r="AG96" i="1" s="1"/>
  <c r="AZ95" i="1"/>
  <c r="AY95" i="1"/>
  <c r="AV95" i="1"/>
  <c r="AX95" i="1" s="1"/>
  <c r="AM95" i="1"/>
  <c r="AL95" i="1"/>
  <c r="AJ95" i="1"/>
  <c r="AC95" i="1"/>
  <c r="AA95" i="1"/>
  <c r="P95" i="1"/>
  <c r="G95" i="1"/>
  <c r="AG95" i="1" s="1"/>
  <c r="AY94" i="1"/>
  <c r="AZ94" i="1" s="1"/>
  <c r="AV94" i="1"/>
  <c r="AX94" i="1" s="1"/>
  <c r="AM94" i="1"/>
  <c r="AL94" i="1"/>
  <c r="AJ94" i="1"/>
  <c r="AC94" i="1"/>
  <c r="AA94" i="1"/>
  <c r="P94" i="1"/>
  <c r="G94" i="1"/>
  <c r="AG94" i="1" s="1"/>
  <c r="AY93" i="1"/>
  <c r="AZ93" i="1" s="1"/>
  <c r="AX93" i="1"/>
  <c r="AV93" i="1"/>
  <c r="AM93" i="1"/>
  <c r="AL93" i="1"/>
  <c r="AJ93" i="1"/>
  <c r="AC93" i="1"/>
  <c r="AA93" i="1"/>
  <c r="P93" i="1"/>
  <c r="G93" i="1"/>
  <c r="AG93" i="1" s="1"/>
  <c r="AY92" i="1"/>
  <c r="AZ92" i="1" s="1"/>
  <c r="AV92" i="1"/>
  <c r="AX92" i="1" s="1"/>
  <c r="AR92" i="1"/>
  <c r="AO92" i="1"/>
  <c r="AM92" i="1"/>
  <c r="AL92" i="1"/>
  <c r="AJ92" i="1"/>
  <c r="AC92" i="1"/>
  <c r="AA92" i="1"/>
  <c r="P92" i="1"/>
  <c r="G92" i="1"/>
  <c r="AG92" i="1" s="1"/>
  <c r="AZ91" i="1"/>
  <c r="AY91" i="1"/>
  <c r="AV91" i="1"/>
  <c r="AX91" i="1" s="1"/>
  <c r="AM91" i="1"/>
  <c r="AL91" i="1"/>
  <c r="AJ91" i="1"/>
  <c r="AC91" i="1"/>
  <c r="AA91" i="1"/>
  <c r="P91" i="1"/>
  <c r="G91" i="1"/>
  <c r="AG91" i="1" s="1"/>
  <c r="AY90" i="1"/>
  <c r="AZ90" i="1" s="1"/>
  <c r="AV90" i="1"/>
  <c r="AX90" i="1" s="1"/>
  <c r="AO90" i="1"/>
  <c r="AR90" i="1" s="1"/>
  <c r="AM90" i="1"/>
  <c r="AL90" i="1"/>
  <c r="AJ90" i="1"/>
  <c r="AC90" i="1"/>
  <c r="AA90" i="1"/>
  <c r="P90" i="1"/>
  <c r="G90" i="1"/>
  <c r="AG90" i="1" s="1"/>
  <c r="AY89" i="1"/>
  <c r="AZ89" i="1" s="1"/>
  <c r="AX89" i="1"/>
  <c r="AV89" i="1"/>
  <c r="AO89" i="1"/>
  <c r="AR89" i="1" s="1"/>
  <c r="AM89" i="1"/>
  <c r="AL89" i="1"/>
  <c r="AJ89" i="1"/>
  <c r="AC89" i="1"/>
  <c r="AA89" i="1"/>
  <c r="P89" i="1"/>
  <c r="G89" i="1"/>
  <c r="AG89" i="1" s="1"/>
  <c r="AY88" i="1"/>
  <c r="AZ88" i="1" s="1"/>
  <c r="AV88" i="1"/>
  <c r="AX88" i="1" s="1"/>
  <c r="AR88" i="1"/>
  <c r="AO88" i="1"/>
  <c r="AM88" i="1"/>
  <c r="AL88" i="1"/>
  <c r="AJ88" i="1"/>
  <c r="AC88" i="1"/>
  <c r="AA88" i="1"/>
  <c r="P88" i="1"/>
  <c r="G88" i="1"/>
  <c r="AG88" i="1" s="1"/>
  <c r="AZ87" i="1"/>
  <c r="AY87" i="1"/>
  <c r="AV87" i="1"/>
  <c r="AX87" i="1" s="1"/>
  <c r="AR87" i="1"/>
  <c r="AO87" i="1"/>
  <c r="AM87" i="1"/>
  <c r="AL87" i="1"/>
  <c r="AJ87" i="1"/>
  <c r="AC87" i="1"/>
  <c r="AA87" i="1"/>
  <c r="P87" i="1"/>
  <c r="G87" i="1"/>
  <c r="AG87" i="1" s="1"/>
  <c r="AY86" i="1"/>
  <c r="AZ86" i="1" s="1"/>
  <c r="AV86" i="1"/>
  <c r="AX86" i="1" s="1"/>
  <c r="AO86" i="1"/>
  <c r="AR86" i="1" s="1"/>
  <c r="AM86" i="1"/>
  <c r="AL86" i="1"/>
  <c r="AJ86" i="1"/>
  <c r="AC86" i="1"/>
  <c r="AA86" i="1"/>
  <c r="P86" i="1"/>
  <c r="G86" i="1"/>
  <c r="AG86" i="1" s="1"/>
  <c r="AY85" i="1"/>
  <c r="AZ85" i="1" s="1"/>
  <c r="AX85" i="1"/>
  <c r="AV85" i="1"/>
  <c r="AM85" i="1"/>
  <c r="AL85" i="1"/>
  <c r="AJ85" i="1"/>
  <c r="AC85" i="1"/>
  <c r="AA85" i="1"/>
  <c r="P85" i="1"/>
  <c r="G85" i="1"/>
  <c r="AG85" i="1" s="1"/>
  <c r="AY84" i="1"/>
  <c r="AZ84" i="1" s="1"/>
  <c r="AV84" i="1"/>
  <c r="AX84" i="1" s="1"/>
  <c r="AM84" i="1"/>
  <c r="AL84" i="1"/>
  <c r="AJ84" i="1"/>
  <c r="AC84" i="1"/>
  <c r="AA84" i="1"/>
  <c r="P84" i="1"/>
  <c r="G84" i="1"/>
  <c r="AG84" i="1" s="1"/>
  <c r="AZ83" i="1"/>
  <c r="AY83" i="1"/>
  <c r="AV83" i="1"/>
  <c r="AX83" i="1" s="1"/>
  <c r="AM83" i="1"/>
  <c r="AL83" i="1"/>
  <c r="AJ83" i="1"/>
  <c r="AC83" i="1"/>
  <c r="AA83" i="1"/>
  <c r="P83" i="1"/>
  <c r="G83" i="1"/>
  <c r="AG83" i="1" s="1"/>
  <c r="AY82" i="1"/>
  <c r="AZ82" i="1" s="1"/>
  <c r="AV82" i="1"/>
  <c r="AX82" i="1" s="1"/>
  <c r="AO82" i="1"/>
  <c r="AR82" i="1" s="1"/>
  <c r="AM82" i="1"/>
  <c r="AL82" i="1"/>
  <c r="AJ82" i="1"/>
  <c r="AC82" i="1"/>
  <c r="AA82" i="1"/>
  <c r="P82" i="1"/>
  <c r="G82" i="1"/>
  <c r="AG82" i="1" s="1"/>
  <c r="AY81" i="1"/>
  <c r="AZ81" i="1" s="1"/>
  <c r="AX81" i="1"/>
  <c r="AV81" i="1"/>
  <c r="AO81" i="1"/>
  <c r="AR81" i="1" s="1"/>
  <c r="AM81" i="1"/>
  <c r="AL81" i="1"/>
  <c r="AJ81" i="1"/>
  <c r="AC81" i="1"/>
  <c r="AA81" i="1"/>
  <c r="P81" i="1"/>
  <c r="G81" i="1"/>
  <c r="AG81" i="1" s="1"/>
  <c r="AY80" i="1"/>
  <c r="AZ80" i="1" s="1"/>
  <c r="AV80" i="1"/>
  <c r="AX80" i="1" s="1"/>
  <c r="AM80" i="1"/>
  <c r="AL80" i="1"/>
  <c r="AJ80" i="1"/>
  <c r="AC80" i="1"/>
  <c r="AA80" i="1"/>
  <c r="P80" i="1"/>
  <c r="G80" i="1"/>
  <c r="AG80" i="1" s="1"/>
  <c r="AZ79" i="1"/>
  <c r="AY79" i="1"/>
  <c r="AV79" i="1"/>
  <c r="AX79" i="1" s="1"/>
  <c r="AR79" i="1"/>
  <c r="AO79" i="1"/>
  <c r="AM79" i="1"/>
  <c r="AL79" i="1"/>
  <c r="AJ79" i="1"/>
  <c r="AC79" i="1"/>
  <c r="AA79" i="1"/>
  <c r="P79" i="1"/>
  <c r="G79" i="1"/>
  <c r="AG79" i="1" s="1"/>
  <c r="AY78" i="1"/>
  <c r="AZ78" i="1" s="1"/>
  <c r="AV78" i="1"/>
  <c r="AX78" i="1" s="1"/>
  <c r="AO78" i="1"/>
  <c r="AR78" i="1" s="1"/>
  <c r="AM78" i="1"/>
  <c r="AL78" i="1"/>
  <c r="AJ78" i="1"/>
  <c r="AC78" i="1"/>
  <c r="AA78" i="1"/>
  <c r="P78" i="1"/>
  <c r="G78" i="1"/>
  <c r="AG78" i="1" s="1"/>
  <c r="AY77" i="1"/>
  <c r="AZ77" i="1" s="1"/>
  <c r="AX77" i="1"/>
  <c r="AV77" i="1"/>
  <c r="AM77" i="1"/>
  <c r="AL77" i="1"/>
  <c r="AJ77" i="1"/>
  <c r="AC77" i="1"/>
  <c r="AA77" i="1"/>
  <c r="P77" i="1"/>
  <c r="G77" i="1"/>
  <c r="AG77" i="1" s="1"/>
  <c r="AY76" i="1"/>
  <c r="AZ76" i="1" s="1"/>
  <c r="AV76" i="1"/>
  <c r="AX76" i="1" s="1"/>
  <c r="AR76" i="1"/>
  <c r="AO76" i="1"/>
  <c r="AM76" i="1"/>
  <c r="AL76" i="1"/>
  <c r="AJ76" i="1"/>
  <c r="AC76" i="1"/>
  <c r="AA76" i="1"/>
  <c r="P76" i="1"/>
  <c r="G76" i="1"/>
  <c r="AG76" i="1" s="1"/>
  <c r="AZ75" i="1"/>
  <c r="AY75" i="1"/>
  <c r="AV75" i="1"/>
  <c r="AX75" i="1" s="1"/>
  <c r="AR75" i="1"/>
  <c r="AO75" i="1"/>
  <c r="AM75" i="1"/>
  <c r="AL75" i="1"/>
  <c r="AJ75" i="1"/>
  <c r="AC75" i="1"/>
  <c r="AA75" i="1"/>
  <c r="P75" i="1"/>
  <c r="G75" i="1"/>
  <c r="AG75" i="1" s="1"/>
  <c r="AY74" i="1"/>
  <c r="AZ74" i="1" s="1"/>
  <c r="AV74" i="1"/>
  <c r="AX74" i="1" s="1"/>
  <c r="AM74" i="1"/>
  <c r="AL74" i="1"/>
  <c r="AJ74" i="1"/>
  <c r="AC74" i="1"/>
  <c r="AA74" i="1"/>
  <c r="P74" i="1"/>
  <c r="G74" i="1"/>
  <c r="AG74" i="1" s="1"/>
  <c r="AY73" i="1"/>
  <c r="AZ73" i="1" s="1"/>
  <c r="AX73" i="1"/>
  <c r="AV73" i="1"/>
  <c r="AM73" i="1"/>
  <c r="AL73" i="1"/>
  <c r="AJ73" i="1"/>
  <c r="AC73" i="1"/>
  <c r="AA73" i="1"/>
  <c r="P73" i="1"/>
  <c r="G73" i="1"/>
  <c r="AG73" i="1" s="1"/>
  <c r="AY72" i="1"/>
  <c r="AZ72" i="1" s="1"/>
  <c r="AV72" i="1"/>
  <c r="AX72" i="1" s="1"/>
  <c r="AR72" i="1"/>
  <c r="AO72" i="1"/>
  <c r="AM72" i="1"/>
  <c r="AL72" i="1"/>
  <c r="AJ72" i="1"/>
  <c r="AC72" i="1"/>
  <c r="AA72" i="1"/>
  <c r="P72" i="1"/>
  <c r="G72" i="1"/>
  <c r="AG72" i="1" s="1"/>
  <c r="AZ71" i="1"/>
  <c r="AY71" i="1"/>
  <c r="AV71" i="1"/>
  <c r="AX71" i="1" s="1"/>
  <c r="AR71" i="1"/>
  <c r="AO71" i="1"/>
  <c r="AM71" i="1"/>
  <c r="AL71" i="1"/>
  <c r="AJ71" i="1"/>
  <c r="AC71" i="1"/>
  <c r="AA71" i="1"/>
  <c r="P71" i="1"/>
  <c r="G71" i="1"/>
  <c r="AG71" i="1" s="1"/>
  <c r="AY70" i="1"/>
  <c r="AZ70" i="1" s="1"/>
  <c r="AV70" i="1"/>
  <c r="AX70" i="1" s="1"/>
  <c r="AM70" i="1"/>
  <c r="AL70" i="1"/>
  <c r="AJ70" i="1"/>
  <c r="AC70" i="1"/>
  <c r="AA70" i="1"/>
  <c r="P70" i="1"/>
  <c r="G70" i="1"/>
  <c r="AG70" i="1" s="1"/>
  <c r="AY69" i="1"/>
  <c r="AZ69" i="1" s="1"/>
  <c r="AX69" i="1"/>
  <c r="AV69" i="1"/>
  <c r="AO69" i="1"/>
  <c r="AR69" i="1" s="1"/>
  <c r="AM69" i="1"/>
  <c r="AL69" i="1"/>
  <c r="AJ69" i="1"/>
  <c r="AC69" i="1"/>
  <c r="AA69" i="1"/>
  <c r="P69" i="1"/>
  <c r="G69" i="1"/>
  <c r="AG69" i="1" s="1"/>
  <c r="AY68" i="1"/>
  <c r="AZ68" i="1" s="1"/>
  <c r="AV68" i="1"/>
  <c r="AX68" i="1" s="1"/>
  <c r="AM68" i="1"/>
  <c r="AL68" i="1"/>
  <c r="AJ68" i="1"/>
  <c r="AC68" i="1"/>
  <c r="AA68" i="1"/>
  <c r="P68" i="1"/>
  <c r="G68" i="1"/>
  <c r="AG68" i="1" s="1"/>
  <c r="AZ67" i="1"/>
  <c r="AY67" i="1"/>
  <c r="AV67" i="1"/>
  <c r="AX67" i="1" s="1"/>
  <c r="AM67" i="1"/>
  <c r="AL67" i="1"/>
  <c r="AJ67" i="1"/>
  <c r="AC67" i="1"/>
  <c r="AA67" i="1"/>
  <c r="P67" i="1"/>
  <c r="G67" i="1"/>
  <c r="AG67" i="1" s="1"/>
  <c r="AY66" i="1"/>
  <c r="AZ66" i="1" s="1"/>
  <c r="AV66" i="1"/>
  <c r="AX66" i="1" s="1"/>
  <c r="AM66" i="1"/>
  <c r="AL66" i="1"/>
  <c r="AJ66" i="1"/>
  <c r="AC66" i="1"/>
  <c r="AA66" i="1"/>
  <c r="P66" i="1"/>
  <c r="G66" i="1"/>
  <c r="AG66" i="1" s="1"/>
  <c r="AY65" i="1"/>
  <c r="AZ65" i="1" s="1"/>
  <c r="AX65" i="1"/>
  <c r="AV65" i="1"/>
  <c r="AM65" i="1"/>
  <c r="AL65" i="1"/>
  <c r="AJ65" i="1"/>
  <c r="AC65" i="1"/>
  <c r="AA65" i="1"/>
  <c r="P65" i="1"/>
  <c r="G65" i="1"/>
  <c r="AG65" i="1" s="1"/>
  <c r="AY64" i="1"/>
  <c r="AZ64" i="1" s="1"/>
  <c r="AV64" i="1"/>
  <c r="AX64" i="1" s="1"/>
  <c r="AR64" i="1"/>
  <c r="AO64" i="1"/>
  <c r="AM64" i="1"/>
  <c r="AL64" i="1"/>
  <c r="AJ64" i="1"/>
  <c r="AC64" i="1"/>
  <c r="AA64" i="1"/>
  <c r="P64" i="1"/>
  <c r="G64" i="1"/>
  <c r="AG64" i="1" s="1"/>
  <c r="AZ63" i="1"/>
  <c r="AY63" i="1"/>
  <c r="AV63" i="1"/>
  <c r="AX63" i="1" s="1"/>
  <c r="AR63" i="1"/>
  <c r="AO63" i="1"/>
  <c r="AM63" i="1"/>
  <c r="AL63" i="1"/>
  <c r="AJ63" i="1"/>
  <c r="AC63" i="1"/>
  <c r="AA63" i="1"/>
  <c r="P63" i="1"/>
  <c r="G63" i="1"/>
  <c r="AG63" i="1" s="1"/>
  <c r="AY62" i="1"/>
  <c r="AZ62" i="1" s="1"/>
  <c r="AV62" i="1"/>
  <c r="AX62" i="1" s="1"/>
  <c r="AO62" i="1"/>
  <c r="AR62" i="1" s="1"/>
  <c r="AM62" i="1"/>
  <c r="AL62" i="1"/>
  <c r="AJ62" i="1"/>
  <c r="AC62" i="1"/>
  <c r="AA62" i="1"/>
  <c r="P62" i="1"/>
  <c r="G62" i="1"/>
  <c r="AG62" i="1" s="1"/>
  <c r="AY61" i="1"/>
  <c r="AZ61" i="1" s="1"/>
  <c r="AX61" i="1"/>
  <c r="AV61" i="1"/>
  <c r="AO61" i="1"/>
  <c r="AR61" i="1" s="1"/>
  <c r="AM61" i="1"/>
  <c r="AL61" i="1"/>
  <c r="AJ61" i="1"/>
  <c r="AC61" i="1"/>
  <c r="AA61" i="1"/>
  <c r="P61" i="1"/>
  <c r="G61" i="1"/>
  <c r="AG61" i="1" s="1"/>
  <c r="AY60" i="1"/>
  <c r="AZ60" i="1" s="1"/>
  <c r="AX60" i="1"/>
  <c r="AV60" i="1"/>
  <c r="AM60" i="1"/>
  <c r="AL60" i="1"/>
  <c r="AJ60" i="1"/>
  <c r="AC60" i="1"/>
  <c r="AA60" i="1"/>
  <c r="P60" i="1"/>
  <c r="G60" i="1"/>
  <c r="AG60" i="1" s="1"/>
  <c r="AZ59" i="1"/>
  <c r="AY59" i="1"/>
  <c r="AV59" i="1"/>
  <c r="AX59" i="1" s="1"/>
  <c r="AR59" i="1"/>
  <c r="AO59" i="1"/>
  <c r="AM59" i="1"/>
  <c r="AL59" i="1"/>
  <c r="AJ59" i="1"/>
  <c r="AC59" i="1"/>
  <c r="AA59" i="1"/>
  <c r="P59" i="1"/>
  <c r="G59" i="1"/>
  <c r="AG59" i="1" s="1"/>
  <c r="AY58" i="1"/>
  <c r="AZ58" i="1" s="1"/>
  <c r="AV58" i="1"/>
  <c r="AX58" i="1" s="1"/>
  <c r="AM58" i="1"/>
  <c r="AL58" i="1"/>
  <c r="AJ58" i="1"/>
  <c r="AC58" i="1"/>
  <c r="AA58" i="1"/>
  <c r="P58" i="1"/>
  <c r="G58" i="1"/>
  <c r="AG58" i="1" s="1"/>
  <c r="AY57" i="1"/>
  <c r="AZ57" i="1" s="1"/>
  <c r="AX57" i="1"/>
  <c r="AV57" i="1"/>
  <c r="AO57" i="1"/>
  <c r="AR57" i="1" s="1"/>
  <c r="AM57" i="1"/>
  <c r="AL57" i="1"/>
  <c r="AJ57" i="1"/>
  <c r="AC57" i="1"/>
  <c r="AA57" i="1"/>
  <c r="P57" i="1"/>
  <c r="G57" i="1"/>
  <c r="AG57" i="1" s="1"/>
  <c r="AY56" i="1"/>
  <c r="AZ56" i="1" s="1"/>
  <c r="AV56" i="1"/>
  <c r="AX56" i="1" s="1"/>
  <c r="AM56" i="1"/>
  <c r="AL56" i="1"/>
  <c r="AJ56" i="1"/>
  <c r="AC56" i="1"/>
  <c r="AA56" i="1"/>
  <c r="P56" i="1"/>
  <c r="G56" i="1"/>
  <c r="AG56" i="1" s="1"/>
  <c r="AZ55" i="1"/>
  <c r="AY55" i="1"/>
  <c r="AV55" i="1"/>
  <c r="AX55" i="1" s="1"/>
  <c r="AR55" i="1"/>
  <c r="AO55" i="1"/>
  <c r="AM55" i="1"/>
  <c r="AL55" i="1"/>
  <c r="AJ55" i="1"/>
  <c r="AC55" i="1"/>
  <c r="AA55" i="1"/>
  <c r="P55" i="1"/>
  <c r="G55" i="1"/>
  <c r="AG55" i="1" s="1"/>
  <c r="AY54" i="1"/>
  <c r="AZ54" i="1" s="1"/>
  <c r="AV54" i="1"/>
  <c r="AX54" i="1" s="1"/>
  <c r="AO54" i="1"/>
  <c r="AR54" i="1" s="1"/>
  <c r="AM54" i="1"/>
  <c r="AL54" i="1"/>
  <c r="AJ54" i="1"/>
  <c r="AC54" i="1"/>
  <c r="AA54" i="1"/>
  <c r="P54" i="1"/>
  <c r="G54" i="1"/>
  <c r="AG54" i="1" s="1"/>
  <c r="BH53" i="1"/>
  <c r="BG53" i="1"/>
  <c r="AZ53" i="1"/>
  <c r="AY53" i="1"/>
  <c r="AV53" i="1"/>
  <c r="AX53" i="1" s="1"/>
  <c r="AM53" i="1"/>
  <c r="AL53" i="1"/>
  <c r="AJ53" i="1"/>
  <c r="AC53" i="1"/>
  <c r="AA53" i="1"/>
  <c r="P53" i="1"/>
  <c r="G53" i="1"/>
  <c r="AG53" i="1" s="1"/>
  <c r="BH52" i="1"/>
  <c r="BG52" i="1"/>
  <c r="AY52" i="1"/>
  <c r="AZ52" i="1" s="1"/>
  <c r="AV52" i="1"/>
  <c r="AX52" i="1" s="1"/>
  <c r="AM52" i="1"/>
  <c r="AL52" i="1"/>
  <c r="AJ52" i="1"/>
  <c r="AC52" i="1"/>
  <c r="AA52" i="1"/>
  <c r="P52" i="1"/>
  <c r="G52" i="1"/>
  <c r="AG52" i="1" s="1"/>
  <c r="BH51" i="1"/>
  <c r="BG51" i="1"/>
  <c r="AY51" i="1"/>
  <c r="AZ51" i="1" s="1"/>
  <c r="AX51" i="1"/>
  <c r="AV51" i="1"/>
  <c r="AO51" i="1"/>
  <c r="AR51" i="1" s="1"/>
  <c r="AM51" i="1"/>
  <c r="AL51" i="1"/>
  <c r="AJ51" i="1"/>
  <c r="AC51" i="1"/>
  <c r="AA51" i="1"/>
  <c r="P51" i="1"/>
  <c r="G51" i="1"/>
  <c r="AG51" i="1" s="1"/>
  <c r="BH50" i="1"/>
  <c r="BG50" i="1"/>
  <c r="AZ50" i="1"/>
  <c r="AY50" i="1"/>
  <c r="AV50" i="1"/>
  <c r="AX50" i="1" s="1"/>
  <c r="AO50" i="1"/>
  <c r="AR50" i="1" s="1"/>
  <c r="AM50" i="1"/>
  <c r="AL50" i="1"/>
  <c r="AJ50" i="1"/>
  <c r="AC50" i="1"/>
  <c r="AA50" i="1"/>
  <c r="P50" i="1"/>
  <c r="G50" i="1"/>
  <c r="AG50" i="1" s="1"/>
  <c r="BH49" i="1"/>
  <c r="BG49" i="1"/>
  <c r="AZ49" i="1"/>
  <c r="AY49" i="1"/>
  <c r="AV49" i="1"/>
  <c r="AX49" i="1" s="1"/>
  <c r="AM49" i="1"/>
  <c r="AL49" i="1"/>
  <c r="AJ49" i="1"/>
  <c r="AC49" i="1"/>
  <c r="AA49" i="1"/>
  <c r="P49" i="1"/>
  <c r="G49" i="1"/>
  <c r="AG49" i="1" s="1"/>
  <c r="BH48" i="1"/>
  <c r="BG48" i="1"/>
  <c r="AY48" i="1"/>
  <c r="AZ48" i="1" s="1"/>
  <c r="AX48" i="1"/>
  <c r="AV48" i="1"/>
  <c r="AR48" i="1"/>
  <c r="AO48" i="1"/>
  <c r="AM48" i="1"/>
  <c r="AL48" i="1"/>
  <c r="AJ48" i="1"/>
  <c r="AC48" i="1"/>
  <c r="AA48" i="1"/>
  <c r="P48" i="1"/>
  <c r="G48" i="1"/>
  <c r="AG48" i="1" s="1"/>
  <c r="BH47" i="1"/>
  <c r="BG47" i="1"/>
  <c r="AY47" i="1"/>
  <c r="AZ47" i="1" s="1"/>
  <c r="AX47" i="1"/>
  <c r="AV47" i="1"/>
  <c r="AO47" i="1"/>
  <c r="AR47" i="1" s="1"/>
  <c r="AM47" i="1"/>
  <c r="AL47" i="1"/>
  <c r="AJ47" i="1"/>
  <c r="AC47" i="1"/>
  <c r="AA47" i="1"/>
  <c r="P47" i="1"/>
  <c r="G47" i="1"/>
  <c r="AG47" i="1" s="1"/>
  <c r="BH46" i="1"/>
  <c r="BG46" i="1"/>
  <c r="AZ46" i="1"/>
  <c r="AY46" i="1"/>
  <c r="AV46" i="1"/>
  <c r="AX46" i="1" s="1"/>
  <c r="AO46" i="1"/>
  <c r="AR46" i="1" s="1"/>
  <c r="AM46" i="1"/>
  <c r="AL46" i="1"/>
  <c r="AJ46" i="1"/>
  <c r="AC46" i="1"/>
  <c r="AA46" i="1"/>
  <c r="P46" i="1"/>
  <c r="G46" i="1"/>
  <c r="AG46" i="1" s="1"/>
  <c r="BH45" i="1"/>
  <c r="BG45" i="1"/>
  <c r="AZ45" i="1"/>
  <c r="AY45" i="1"/>
  <c r="AV45" i="1"/>
  <c r="AX45" i="1" s="1"/>
  <c r="AM45" i="1"/>
  <c r="AL45" i="1"/>
  <c r="AJ45" i="1"/>
  <c r="AC45" i="1"/>
  <c r="AA45" i="1"/>
  <c r="P45" i="1"/>
  <c r="G45" i="1"/>
  <c r="AG45" i="1" s="1"/>
  <c r="BH44" i="1"/>
  <c r="BG44" i="1"/>
  <c r="AY44" i="1"/>
  <c r="AZ44" i="1" s="1"/>
  <c r="AX44" i="1"/>
  <c r="AV44" i="1"/>
  <c r="AR44" i="1"/>
  <c r="AO44" i="1"/>
  <c r="AM44" i="1"/>
  <c r="AL44" i="1"/>
  <c r="AJ44" i="1"/>
  <c r="AC44" i="1"/>
  <c r="AA44" i="1"/>
  <c r="P44" i="1"/>
  <c r="G44" i="1"/>
  <c r="AG44" i="1" s="1"/>
  <c r="AU43" i="1"/>
  <c r="AY43" i="1" s="1"/>
  <c r="AZ43" i="1" s="1"/>
  <c r="AM43" i="1"/>
  <c r="AL43" i="1"/>
  <c r="AJ43" i="1"/>
  <c r="AC43" i="1"/>
  <c r="AA43" i="1"/>
  <c r="P43" i="1"/>
  <c r="G43" i="1"/>
  <c r="AG43" i="1" s="1"/>
  <c r="AY42" i="1"/>
  <c r="AZ42" i="1" s="1"/>
  <c r="AX42" i="1"/>
  <c r="AV42" i="1"/>
  <c r="AU42" i="1"/>
  <c r="AM42" i="1"/>
  <c r="AL42" i="1"/>
  <c r="AJ42" i="1"/>
  <c r="AC42" i="1"/>
  <c r="AA42" i="1"/>
  <c r="P42" i="1"/>
  <c r="G42" i="1"/>
  <c r="AG42" i="1" s="1"/>
  <c r="AU41" i="1"/>
  <c r="AY41" i="1" s="1"/>
  <c r="AZ41" i="1" s="1"/>
  <c r="AM41" i="1"/>
  <c r="AL41" i="1"/>
  <c r="AJ41" i="1"/>
  <c r="AC41" i="1"/>
  <c r="AA41" i="1"/>
  <c r="P41" i="1"/>
  <c r="G41" i="1"/>
  <c r="AG41" i="1" s="1"/>
  <c r="AY40" i="1"/>
  <c r="AZ40" i="1" s="1"/>
  <c r="AX40" i="1"/>
  <c r="AV40" i="1"/>
  <c r="AU40" i="1"/>
  <c r="AM40" i="1"/>
  <c r="AL40" i="1"/>
  <c r="AJ40" i="1"/>
  <c r="AC40" i="1"/>
  <c r="AA40" i="1"/>
  <c r="P40" i="1"/>
  <c r="G40" i="1"/>
  <c r="AG40" i="1" s="1"/>
  <c r="AU39" i="1"/>
  <c r="AY39" i="1" s="1"/>
  <c r="AZ39" i="1" s="1"/>
  <c r="AM39" i="1"/>
  <c r="AL39" i="1"/>
  <c r="AJ39" i="1"/>
  <c r="AC39" i="1"/>
  <c r="AA39" i="1"/>
  <c r="P39" i="1"/>
  <c r="G39" i="1"/>
  <c r="AG39" i="1" s="1"/>
  <c r="AY38" i="1"/>
  <c r="AZ38" i="1" s="1"/>
  <c r="AX38" i="1"/>
  <c r="AV38" i="1"/>
  <c r="AU38" i="1"/>
  <c r="AM38" i="1"/>
  <c r="AL38" i="1"/>
  <c r="AJ38" i="1"/>
  <c r="AC38" i="1"/>
  <c r="AA38" i="1"/>
  <c r="P38" i="1"/>
  <c r="G38" i="1"/>
  <c r="AG38" i="1" s="1"/>
  <c r="AU37" i="1"/>
  <c r="AY37" i="1" s="1"/>
  <c r="AZ37" i="1" s="1"/>
  <c r="AM37" i="1"/>
  <c r="AL37" i="1"/>
  <c r="AJ37" i="1"/>
  <c r="AC37" i="1"/>
  <c r="AA37" i="1"/>
  <c r="P37" i="1"/>
  <c r="G37" i="1"/>
  <c r="AG37" i="1" s="1"/>
  <c r="AY36" i="1"/>
  <c r="AZ36" i="1" s="1"/>
  <c r="AX36" i="1"/>
  <c r="AV36" i="1"/>
  <c r="AU36" i="1"/>
  <c r="AM36" i="1"/>
  <c r="AL36" i="1"/>
  <c r="AJ36" i="1"/>
  <c r="AC36" i="1"/>
  <c r="AA36" i="1"/>
  <c r="P36" i="1"/>
  <c r="G36" i="1"/>
  <c r="AG36" i="1" s="1"/>
  <c r="AU35" i="1"/>
  <c r="AY35" i="1" s="1"/>
  <c r="AZ35" i="1" s="1"/>
  <c r="AM35" i="1"/>
  <c r="AL35" i="1"/>
  <c r="AJ35" i="1"/>
  <c r="AC35" i="1"/>
  <c r="AA35" i="1"/>
  <c r="P35" i="1"/>
  <c r="G35" i="1"/>
  <c r="AG35" i="1" s="1"/>
  <c r="AY34" i="1"/>
  <c r="AZ34" i="1" s="1"/>
  <c r="AX34" i="1"/>
  <c r="AV34" i="1"/>
  <c r="AU34" i="1"/>
  <c r="AM34" i="1"/>
  <c r="AL34" i="1"/>
  <c r="AJ34" i="1"/>
  <c r="AC34" i="1"/>
  <c r="AA34" i="1"/>
  <c r="P34" i="1"/>
  <c r="G34" i="1"/>
  <c r="AG34" i="1" s="1"/>
  <c r="AU33" i="1"/>
  <c r="AY33" i="1" s="1"/>
  <c r="AZ33" i="1" s="1"/>
  <c r="AM33" i="1"/>
  <c r="AL33" i="1"/>
  <c r="AJ33" i="1"/>
  <c r="AC33" i="1"/>
  <c r="AA33" i="1"/>
  <c r="P33" i="1"/>
  <c r="G33" i="1"/>
  <c r="AG33" i="1" s="1"/>
  <c r="AY32" i="1"/>
  <c r="AZ32" i="1" s="1"/>
  <c r="AX32" i="1"/>
  <c r="AV32" i="1"/>
  <c r="AU32" i="1"/>
  <c r="AR32" i="1"/>
  <c r="AO32" i="1"/>
  <c r="AM32" i="1"/>
  <c r="AL32" i="1"/>
  <c r="AJ32" i="1"/>
  <c r="AC32" i="1"/>
  <c r="AA32" i="1"/>
  <c r="P32" i="1"/>
  <c r="G32" i="1"/>
  <c r="AG32" i="1" s="1"/>
  <c r="AU31" i="1"/>
  <c r="AY31" i="1" s="1"/>
  <c r="AZ31" i="1" s="1"/>
  <c r="AO31" i="1"/>
  <c r="AR31" i="1" s="1"/>
  <c r="AM31" i="1"/>
  <c r="AL31" i="1"/>
  <c r="AJ31" i="1"/>
  <c r="AC31" i="1"/>
  <c r="AA31" i="1"/>
  <c r="P31" i="1"/>
  <c r="G31" i="1"/>
  <c r="AG31" i="1" s="1"/>
  <c r="AY30" i="1"/>
  <c r="AZ30" i="1" s="1"/>
  <c r="AX30" i="1"/>
  <c r="AV30" i="1"/>
  <c r="AU30" i="1"/>
  <c r="AM30" i="1"/>
  <c r="AL30" i="1"/>
  <c r="AJ30" i="1"/>
  <c r="AC30" i="1"/>
  <c r="AA30" i="1"/>
  <c r="P30" i="1"/>
  <c r="G30" i="1"/>
  <c r="AG30" i="1" s="1"/>
  <c r="AU29" i="1"/>
  <c r="AY29" i="1" s="1"/>
  <c r="AZ29" i="1" s="1"/>
  <c r="AO29" i="1"/>
  <c r="AR29" i="1" s="1"/>
  <c r="AM29" i="1"/>
  <c r="AL29" i="1"/>
  <c r="AJ29" i="1"/>
  <c r="AC29" i="1"/>
  <c r="AA29" i="1"/>
  <c r="P29" i="1"/>
  <c r="G29" i="1"/>
  <c r="AG29" i="1" s="1"/>
  <c r="AY28" i="1"/>
  <c r="AZ28" i="1" s="1"/>
  <c r="AX28" i="1"/>
  <c r="AV28" i="1"/>
  <c r="AU28" i="1"/>
  <c r="AR28" i="1"/>
  <c r="AO28" i="1"/>
  <c r="AM28" i="1"/>
  <c r="AL28" i="1"/>
  <c r="AJ28" i="1"/>
  <c r="AC28" i="1"/>
  <c r="AA28" i="1"/>
  <c r="P28" i="1"/>
  <c r="G28" i="1"/>
  <c r="AG28" i="1" s="1"/>
  <c r="AU27" i="1"/>
  <c r="AY27" i="1" s="1"/>
  <c r="AZ27" i="1" s="1"/>
  <c r="AO27" i="1"/>
  <c r="AR27" i="1" s="1"/>
  <c r="AM27" i="1"/>
  <c r="AL27" i="1"/>
  <c r="AJ27" i="1"/>
  <c r="AC27" i="1"/>
  <c r="AA27" i="1"/>
  <c r="P27" i="1"/>
  <c r="G27" i="1"/>
  <c r="AG27" i="1" s="1"/>
  <c r="AY26" i="1"/>
  <c r="AZ26" i="1" s="1"/>
  <c r="AX26" i="1"/>
  <c r="AV26" i="1"/>
  <c r="AU26" i="1"/>
  <c r="AM26" i="1"/>
  <c r="AL26" i="1"/>
  <c r="AJ26" i="1"/>
  <c r="AC26" i="1"/>
  <c r="AA26" i="1"/>
  <c r="P26" i="1"/>
  <c r="G26" i="1"/>
  <c r="AG26" i="1" s="1"/>
  <c r="AU25" i="1"/>
  <c r="AY25" i="1" s="1"/>
  <c r="AZ25" i="1" s="1"/>
  <c r="AM25" i="1"/>
  <c r="AL25" i="1"/>
  <c r="AJ25" i="1"/>
  <c r="AC25" i="1"/>
  <c r="AA25" i="1"/>
  <c r="P25" i="1"/>
  <c r="G25" i="1"/>
  <c r="AG25" i="1" s="1"/>
  <c r="AY24" i="1"/>
  <c r="AZ24" i="1" s="1"/>
  <c r="AX24" i="1"/>
  <c r="AV24" i="1"/>
  <c r="AU24" i="1"/>
  <c r="AR24" i="1"/>
  <c r="AO24" i="1"/>
  <c r="AM24" i="1"/>
  <c r="AL24" i="1"/>
  <c r="AJ24" i="1"/>
  <c r="AC24" i="1"/>
  <c r="AA24" i="1"/>
  <c r="P24" i="1"/>
  <c r="G24" i="1"/>
  <c r="AG24" i="1" s="1"/>
  <c r="AU23" i="1"/>
  <c r="AY23" i="1" s="1"/>
  <c r="AZ23" i="1" s="1"/>
  <c r="AO23" i="1"/>
  <c r="AR23" i="1" s="1"/>
  <c r="AM23" i="1"/>
  <c r="AL23" i="1"/>
  <c r="AJ23" i="1"/>
  <c r="AC23" i="1"/>
  <c r="AA23" i="1"/>
  <c r="P23" i="1"/>
  <c r="G23" i="1"/>
  <c r="AG23" i="1" s="1"/>
  <c r="AY22" i="1"/>
  <c r="AZ22" i="1" s="1"/>
  <c r="AX22" i="1"/>
  <c r="AV22" i="1"/>
  <c r="AU22" i="1"/>
  <c r="AR22" i="1"/>
  <c r="AO22" i="1"/>
  <c r="AM22" i="1"/>
  <c r="AL22" i="1"/>
  <c r="AJ22" i="1"/>
  <c r="AC22" i="1"/>
  <c r="AA22" i="1"/>
  <c r="P22" i="1"/>
  <c r="G22" i="1"/>
  <c r="AG22" i="1" s="1"/>
  <c r="AU21" i="1"/>
  <c r="AY21" i="1" s="1"/>
  <c r="AZ21" i="1" s="1"/>
  <c r="AO21" i="1"/>
  <c r="AR21" i="1" s="1"/>
  <c r="AM21" i="1"/>
  <c r="AL21" i="1"/>
  <c r="AJ21" i="1"/>
  <c r="AC21" i="1"/>
  <c r="AA21" i="1"/>
  <c r="P21" i="1"/>
  <c r="G21" i="1"/>
  <c r="AG21" i="1" s="1"/>
  <c r="AY20" i="1"/>
  <c r="AZ20" i="1" s="1"/>
  <c r="AX20" i="1"/>
  <c r="AV20" i="1"/>
  <c r="AU20" i="1"/>
  <c r="AM20" i="1"/>
  <c r="AL20" i="1"/>
  <c r="AJ20" i="1"/>
  <c r="AC20" i="1"/>
  <c r="AA20" i="1"/>
  <c r="P20" i="1"/>
  <c r="G20" i="1"/>
  <c r="AG20" i="1" s="1"/>
  <c r="AU19" i="1"/>
  <c r="AY19" i="1" s="1"/>
  <c r="AZ19" i="1" s="1"/>
  <c r="AM19" i="1"/>
  <c r="AL19" i="1"/>
  <c r="AJ19" i="1"/>
  <c r="AC19" i="1"/>
  <c r="AA19" i="1"/>
  <c r="P19" i="1"/>
  <c r="G19" i="1"/>
  <c r="AG19" i="1" s="1"/>
  <c r="AY18" i="1"/>
  <c r="AZ18" i="1" s="1"/>
  <c r="AX18" i="1"/>
  <c r="AV18" i="1"/>
  <c r="AU18" i="1"/>
  <c r="AM18" i="1"/>
  <c r="AL18" i="1"/>
  <c r="AJ18" i="1"/>
  <c r="AC18" i="1"/>
  <c r="AA18" i="1"/>
  <c r="P18" i="1"/>
  <c r="G18" i="1"/>
  <c r="AG18" i="1" s="1"/>
  <c r="AU17" i="1"/>
  <c r="AY17" i="1" s="1"/>
  <c r="AZ17" i="1" s="1"/>
  <c r="AM17" i="1"/>
  <c r="AL17" i="1"/>
  <c r="AJ17" i="1"/>
  <c r="AC17" i="1"/>
  <c r="AA17" i="1"/>
  <c r="P17" i="1"/>
  <c r="G17" i="1"/>
  <c r="AG17" i="1" s="1"/>
  <c r="AY16" i="1"/>
  <c r="AZ16" i="1" s="1"/>
  <c r="AX16" i="1"/>
  <c r="AV16" i="1"/>
  <c r="AU16" i="1"/>
  <c r="AM16" i="1"/>
  <c r="AL16" i="1"/>
  <c r="AJ16" i="1"/>
  <c r="AC16" i="1"/>
  <c r="AA16" i="1"/>
  <c r="P16" i="1"/>
  <c r="G16" i="1"/>
  <c r="AG16" i="1" s="1"/>
  <c r="AU15" i="1"/>
  <c r="AY15" i="1" s="1"/>
  <c r="AZ15" i="1" s="1"/>
  <c r="AM15" i="1"/>
  <c r="AL15" i="1"/>
  <c r="AJ15" i="1"/>
  <c r="AC15" i="1"/>
  <c r="AA15" i="1"/>
  <c r="P15" i="1"/>
  <c r="G15" i="1"/>
  <c r="AG15" i="1" s="1"/>
  <c r="AY14" i="1"/>
  <c r="AZ14" i="1" s="1"/>
  <c r="AX14" i="1"/>
  <c r="AV14" i="1"/>
  <c r="AU14" i="1"/>
  <c r="AM14" i="1"/>
  <c r="AL14" i="1"/>
  <c r="AJ14" i="1"/>
  <c r="AC14" i="1"/>
  <c r="AA14" i="1"/>
  <c r="P14" i="1"/>
  <c r="G14" i="1"/>
  <c r="AG14" i="1" s="1"/>
  <c r="AU13" i="1"/>
  <c r="AY13" i="1" s="1"/>
  <c r="AZ13" i="1" s="1"/>
  <c r="AM13" i="1"/>
  <c r="AL13" i="1"/>
  <c r="AJ13" i="1"/>
  <c r="AC13" i="1"/>
  <c r="AA13" i="1"/>
  <c r="P13" i="1"/>
  <c r="G13" i="1"/>
  <c r="AG13" i="1" s="1"/>
  <c r="AY12" i="1"/>
  <c r="AZ12" i="1" s="1"/>
  <c r="AX12" i="1"/>
  <c r="AV12" i="1"/>
  <c r="AU12" i="1"/>
  <c r="AM12" i="1"/>
  <c r="AL12" i="1"/>
  <c r="AJ12" i="1"/>
  <c r="AC12" i="1"/>
  <c r="AA12" i="1"/>
  <c r="P12" i="1"/>
  <c r="G12" i="1"/>
  <c r="AG12" i="1" s="1"/>
  <c r="AU11" i="1"/>
  <c r="AY11" i="1" s="1"/>
  <c r="AZ11" i="1" s="1"/>
  <c r="AM11" i="1"/>
  <c r="AL11" i="1"/>
  <c r="AJ11" i="1"/>
  <c r="AC11" i="1"/>
  <c r="AA11" i="1"/>
  <c r="P11" i="1"/>
  <c r="G11" i="1"/>
  <c r="AG11" i="1" s="1"/>
  <c r="AY10" i="1"/>
  <c r="AZ10" i="1" s="1"/>
  <c r="AX10" i="1"/>
  <c r="AV10" i="1"/>
  <c r="AU10" i="1"/>
  <c r="AM10" i="1"/>
  <c r="AL10" i="1"/>
  <c r="AJ10" i="1"/>
  <c r="AC10" i="1"/>
  <c r="AA10" i="1"/>
  <c r="P10" i="1"/>
  <c r="G10" i="1"/>
  <c r="AG10" i="1" s="1"/>
  <c r="AU9" i="1"/>
  <c r="AY9" i="1" s="1"/>
  <c r="AZ9" i="1" s="1"/>
  <c r="AO9" i="1"/>
  <c r="AR9" i="1" s="1"/>
  <c r="AM9" i="1"/>
  <c r="AL9" i="1"/>
  <c r="AJ9" i="1"/>
  <c r="AC9" i="1"/>
  <c r="AA9" i="1"/>
  <c r="P9" i="1"/>
  <c r="G9" i="1"/>
  <c r="AG9" i="1" s="1"/>
  <c r="AY8" i="1"/>
  <c r="AZ8" i="1" s="1"/>
  <c r="AX8" i="1"/>
  <c r="AV8" i="1"/>
  <c r="AU8" i="1"/>
  <c r="AM8" i="1"/>
  <c r="AL8" i="1"/>
  <c r="AJ8" i="1"/>
  <c r="AC8" i="1"/>
  <c r="AA8" i="1"/>
  <c r="P8" i="1"/>
  <c r="G8" i="1"/>
  <c r="AG8" i="1" s="1"/>
  <c r="AU7" i="1"/>
  <c r="AY7" i="1" s="1"/>
  <c r="AZ7" i="1" s="1"/>
  <c r="AM7" i="1"/>
  <c r="AL7" i="1"/>
  <c r="AJ7" i="1"/>
  <c r="AC7" i="1"/>
  <c r="AA7" i="1"/>
  <c r="P7" i="1"/>
  <c r="G7" i="1"/>
  <c r="AG7" i="1" s="1"/>
  <c r="AY6" i="1"/>
  <c r="AZ6" i="1" s="1"/>
  <c r="AX6" i="1"/>
  <c r="AV6" i="1"/>
  <c r="AU6" i="1"/>
  <c r="AM6" i="1"/>
  <c r="AL6" i="1"/>
  <c r="AJ6" i="1"/>
  <c r="AC6" i="1"/>
  <c r="AA6" i="1"/>
  <c r="P6" i="1"/>
  <c r="G6" i="1"/>
  <c r="AG6" i="1" s="1"/>
  <c r="AU5" i="1"/>
  <c r="AY5" i="1" s="1"/>
  <c r="AZ5" i="1" s="1"/>
  <c r="AM5" i="1"/>
  <c r="AL5" i="1"/>
  <c r="AJ5" i="1"/>
  <c r="AC5" i="1"/>
  <c r="AA5" i="1"/>
  <c r="P5" i="1"/>
  <c r="G5" i="1"/>
  <c r="AG5" i="1" s="1"/>
  <c r="AY4" i="1"/>
  <c r="AZ4" i="1" s="1"/>
  <c r="AV4" i="1"/>
  <c r="AX4" i="1" s="1"/>
  <c r="AU4" i="1"/>
  <c r="AO4" i="1"/>
  <c r="AR4" i="1" s="1"/>
  <c r="AM4" i="1"/>
  <c r="AL4" i="1"/>
  <c r="AJ4" i="1"/>
  <c r="AC4" i="1"/>
  <c r="AA4" i="1"/>
  <c r="P4" i="1"/>
  <c r="G4" i="1"/>
  <c r="AG4" i="1" s="1"/>
  <c r="AY3" i="1"/>
  <c r="AZ3" i="1" s="1"/>
  <c r="AU3" i="1"/>
  <c r="AV3" i="1" s="1"/>
  <c r="AX3" i="1" s="1"/>
  <c r="AR3" i="1"/>
  <c r="AO3" i="1"/>
  <c r="AM3" i="1"/>
  <c r="AL3" i="1"/>
  <c r="AJ3" i="1"/>
  <c r="AC3" i="1"/>
  <c r="AA3" i="1"/>
  <c r="P3" i="1"/>
  <c r="G3" i="1"/>
  <c r="AG3" i="1" s="1"/>
  <c r="AY2" i="1"/>
  <c r="AZ2" i="1" s="1"/>
  <c r="AV2" i="1"/>
  <c r="AX2" i="1" s="1"/>
  <c r="AU2" i="1"/>
  <c r="AO2" i="1"/>
  <c r="AR2" i="1" s="1"/>
  <c r="AM2" i="1"/>
  <c r="AL2" i="1"/>
  <c r="AJ2" i="1"/>
  <c r="AC2" i="1"/>
  <c r="AA2" i="1"/>
  <c r="P2" i="1"/>
  <c r="G2" i="1"/>
  <c r="AG2" i="1" s="1"/>
  <c r="AR105" i="2" l="1"/>
  <c r="AR101" i="2"/>
  <c r="AK5" i="1"/>
  <c r="AH5" i="1"/>
  <c r="AH16" i="1"/>
  <c r="AK16" i="1"/>
  <c r="AH24" i="1"/>
  <c r="AK24" i="1" s="1"/>
  <c r="AP24" i="1" s="1"/>
  <c r="AH34" i="1"/>
  <c r="AK34" i="1"/>
  <c r="AK41" i="1"/>
  <c r="AH41" i="1"/>
  <c r="AH55" i="1"/>
  <c r="AK55" i="1" s="1"/>
  <c r="AP55" i="1" s="1"/>
  <c r="AK58" i="1"/>
  <c r="AH58" i="1"/>
  <c r="AH64" i="1"/>
  <c r="AK64" i="1"/>
  <c r="AP64" i="1" s="1"/>
  <c r="AK70" i="1"/>
  <c r="AH70" i="1"/>
  <c r="AH73" i="1"/>
  <c r="AK73" i="1"/>
  <c r="AK83" i="1"/>
  <c r="AH83" i="1"/>
  <c r="AH93" i="1"/>
  <c r="AK93" i="1"/>
  <c r="AH127" i="1"/>
  <c r="AK127" i="1" s="1"/>
  <c r="AP127" i="1" s="1"/>
  <c r="AH129" i="1"/>
  <c r="AK129" i="1" s="1"/>
  <c r="AP129" i="1" s="1"/>
  <c r="AH141" i="1"/>
  <c r="AK141" i="1"/>
  <c r="AP141" i="1" s="1"/>
  <c r="AH149" i="1"/>
  <c r="AK149" i="1" s="1"/>
  <c r="AH153" i="1"/>
  <c r="AK153" i="1"/>
  <c r="AH4" i="1"/>
  <c r="AK4" i="1" s="1"/>
  <c r="AP4" i="1" s="1"/>
  <c r="AH14" i="1"/>
  <c r="AK14" i="1"/>
  <c r="AK21" i="1"/>
  <c r="AP21" i="1" s="1"/>
  <c r="AH21" i="1"/>
  <c r="AH26" i="1"/>
  <c r="AK26" i="1"/>
  <c r="AH40" i="1"/>
  <c r="AK40" i="1" s="1"/>
  <c r="AH46" i="1"/>
  <c r="AK46" i="1" s="1"/>
  <c r="AP46" i="1" s="1"/>
  <c r="AK50" i="1"/>
  <c r="AP50" i="1" s="1"/>
  <c r="AH50" i="1"/>
  <c r="AH59" i="1"/>
  <c r="AK59" i="1" s="1"/>
  <c r="AP59" i="1" s="1"/>
  <c r="AK66" i="1"/>
  <c r="AH66" i="1"/>
  <c r="AH71" i="1"/>
  <c r="AK71" i="1" s="1"/>
  <c r="AP71" i="1" s="1"/>
  <c r="AH92" i="1"/>
  <c r="AK92" i="1" s="1"/>
  <c r="AP92" i="1" s="1"/>
  <c r="AH96" i="1"/>
  <c r="AK96" i="1"/>
  <c r="AH100" i="1"/>
  <c r="AK100" i="1" s="1"/>
  <c r="AH132" i="1"/>
  <c r="AK132" i="1"/>
  <c r="AP132" i="1" s="1"/>
  <c r="AH137" i="1"/>
  <c r="AK137" i="1" s="1"/>
  <c r="AP137" i="1" s="1"/>
  <c r="AH145" i="1"/>
  <c r="AK145" i="1"/>
  <c r="AH173" i="1"/>
  <c r="AK173" i="1" s="1"/>
  <c r="AP173" i="1" s="1"/>
  <c r="AH176" i="1"/>
  <c r="AK176" i="1" s="1"/>
  <c r="AK186" i="1"/>
  <c r="AP186" i="1" s="1"/>
  <c r="AH186" i="1"/>
  <c r="AH190" i="1"/>
  <c r="AK190" i="1" s="1"/>
  <c r="AK217" i="1"/>
  <c r="AH217" i="1"/>
  <c r="AH237" i="1"/>
  <c r="AK237" i="1"/>
  <c r="AP237" i="1" s="1"/>
  <c r="AH281" i="1"/>
  <c r="AK281" i="1" s="1"/>
  <c r="AP281" i="1" s="1"/>
  <c r="AH297" i="1"/>
  <c r="AK297" i="1"/>
  <c r="AP297" i="1" s="1"/>
  <c r="AH307" i="1"/>
  <c r="AK307" i="1" s="1"/>
  <c r="AP307" i="1" s="1"/>
  <c r="AH333" i="1"/>
  <c r="AK333" i="1" s="1"/>
  <c r="AP333" i="1" s="1"/>
  <c r="AK343" i="1"/>
  <c r="AP343" i="1" s="1"/>
  <c r="AH343" i="1"/>
  <c r="AH3" i="1"/>
  <c r="AK3" i="1" s="1"/>
  <c r="AP3" i="1" s="1"/>
  <c r="AK9" i="1"/>
  <c r="AP9" i="1" s="1"/>
  <c r="AH9" i="1"/>
  <c r="AH11" i="1"/>
  <c r="AK11" i="1" s="1"/>
  <c r="AH12" i="1"/>
  <c r="AK12" i="1" s="1"/>
  <c r="AH19" i="1"/>
  <c r="AK19" i="1" s="1"/>
  <c r="AH20" i="1"/>
  <c r="AK20" i="1" s="1"/>
  <c r="AH22" i="1"/>
  <c r="AK22" i="1"/>
  <c r="AP22" i="1" s="1"/>
  <c r="AK29" i="1"/>
  <c r="AP29" i="1" s="1"/>
  <c r="AH29" i="1"/>
  <c r="AH31" i="1"/>
  <c r="AK31" i="1" s="1"/>
  <c r="AP31" i="1" s="1"/>
  <c r="AK37" i="1"/>
  <c r="AH37" i="1"/>
  <c r="AH38" i="1"/>
  <c r="AK38" i="1"/>
  <c r="AH47" i="1"/>
  <c r="AK47" i="1" s="1"/>
  <c r="AP47" i="1" s="1"/>
  <c r="AH51" i="1"/>
  <c r="AK51" i="1"/>
  <c r="AP51" i="1" s="1"/>
  <c r="AK53" i="1"/>
  <c r="AH53" i="1"/>
  <c r="AH54" i="1"/>
  <c r="AK54" i="1" s="1"/>
  <c r="AP54" i="1" s="1"/>
  <c r="AK62" i="1"/>
  <c r="AP62" i="1" s="1"/>
  <c r="AH62" i="1"/>
  <c r="AH67" i="1"/>
  <c r="AK67" i="1" s="1"/>
  <c r="AK74" i="1"/>
  <c r="AH74" i="1"/>
  <c r="AH77" i="1"/>
  <c r="AK77" i="1"/>
  <c r="AK79" i="1"/>
  <c r="AP79" i="1" s="1"/>
  <c r="AH79" i="1"/>
  <c r="AH80" i="1"/>
  <c r="AK80" i="1"/>
  <c r="AK82" i="1"/>
  <c r="AP82" i="1" s="1"/>
  <c r="AH82" i="1"/>
  <c r="AH84" i="1"/>
  <c r="AK84" i="1"/>
  <c r="AH89" i="1"/>
  <c r="AK89" i="1" s="1"/>
  <c r="AP89" i="1" s="1"/>
  <c r="AH94" i="1"/>
  <c r="AK94" i="1" s="1"/>
  <c r="AH97" i="1"/>
  <c r="AK97" i="1" s="1"/>
  <c r="AP97" i="1" s="1"/>
  <c r="AH105" i="1"/>
  <c r="AK105" i="1"/>
  <c r="AP105" i="1" s="1"/>
  <c r="AH109" i="1"/>
  <c r="AK109" i="1" s="1"/>
  <c r="AP109" i="1" s="1"/>
  <c r="AH111" i="1"/>
  <c r="AK111" i="1" s="1"/>
  <c r="AP111" i="1" s="1"/>
  <c r="AH113" i="1"/>
  <c r="AK113" i="1" s="1"/>
  <c r="AP113" i="1" s="1"/>
  <c r="AH117" i="1"/>
  <c r="AK117" i="1"/>
  <c r="AP117" i="1" s="1"/>
  <c r="AK119" i="1"/>
  <c r="AP119" i="1" s="1"/>
  <c r="AH119" i="1"/>
  <c r="AH123" i="1"/>
  <c r="AK123" i="1" s="1"/>
  <c r="AP123" i="1" s="1"/>
  <c r="AH124" i="1"/>
  <c r="AK124" i="1" s="1"/>
  <c r="AH140" i="1"/>
  <c r="AK140" i="1" s="1"/>
  <c r="AK156" i="1"/>
  <c r="AH156" i="1"/>
  <c r="AH164" i="1"/>
  <c r="AK164" i="1" s="1"/>
  <c r="AK168" i="1"/>
  <c r="AH168" i="1"/>
  <c r="AH210" i="1"/>
  <c r="AK210" i="1"/>
  <c r="AP210" i="1" s="1"/>
  <c r="AK246" i="1"/>
  <c r="AP246" i="1" s="1"/>
  <c r="AH246" i="1"/>
  <c r="AH265" i="1"/>
  <c r="AK265" i="1"/>
  <c r="AP265" i="1" s="1"/>
  <c r="AH303" i="1"/>
  <c r="AK303" i="1" s="1"/>
  <c r="AP303" i="1" s="1"/>
  <c r="AH320" i="1"/>
  <c r="AK320" i="1" s="1"/>
  <c r="AP320" i="1" s="1"/>
  <c r="AK325" i="1"/>
  <c r="AP325" i="1" s="1"/>
  <c r="AH325" i="1"/>
  <c r="AH6" i="1"/>
  <c r="AK6" i="1"/>
  <c r="AK15" i="1"/>
  <c r="AH15" i="1"/>
  <c r="AH27" i="1"/>
  <c r="AK27" i="1" s="1"/>
  <c r="AP27" i="1" s="1"/>
  <c r="AK33" i="1"/>
  <c r="AH33" i="1"/>
  <c r="AH42" i="1"/>
  <c r="AK42" i="1"/>
  <c r="AH56" i="1"/>
  <c r="AK56" i="1" s="1"/>
  <c r="AH63" i="1"/>
  <c r="AK63" i="1" s="1"/>
  <c r="AP63" i="1" s="1"/>
  <c r="AH68" i="1"/>
  <c r="AK68" i="1" s="1"/>
  <c r="AH78" i="1"/>
  <c r="AK78" i="1" s="1"/>
  <c r="AP78" i="1" s="1"/>
  <c r="AK107" i="1"/>
  <c r="AH107" i="1"/>
  <c r="AH121" i="1"/>
  <c r="AK121" i="1"/>
  <c r="AP121" i="1" s="1"/>
  <c r="AH128" i="1"/>
  <c r="AK128" i="1" s="1"/>
  <c r="AP128" i="1" s="1"/>
  <c r="AH133" i="1"/>
  <c r="AK133" i="1"/>
  <c r="AP133" i="1" s="1"/>
  <c r="AK148" i="1"/>
  <c r="AP148" i="1" s="1"/>
  <c r="AH148" i="1"/>
  <c r="AH152" i="1"/>
  <c r="AK152" i="1" s="1"/>
  <c r="AP152" i="1" s="1"/>
  <c r="AH157" i="1"/>
  <c r="AK157" i="1" s="1"/>
  <c r="AP157" i="1" s="1"/>
  <c r="AH13" i="1"/>
  <c r="AK13" i="1" s="1"/>
  <c r="AK25" i="1"/>
  <c r="AH25" i="1"/>
  <c r="AH28" i="1"/>
  <c r="AK28" i="1"/>
  <c r="AP28" i="1" s="1"/>
  <c r="AK39" i="1"/>
  <c r="AH39" i="1"/>
  <c r="AH45" i="1"/>
  <c r="AK45" i="1" s="1"/>
  <c r="AK49" i="1"/>
  <c r="AH49" i="1"/>
  <c r="AH57" i="1"/>
  <c r="AK57" i="1"/>
  <c r="AP57" i="1" s="1"/>
  <c r="AH60" i="1"/>
  <c r="AK60" i="1" s="1"/>
  <c r="AH69" i="1"/>
  <c r="AK69" i="1"/>
  <c r="AP69" i="1" s="1"/>
  <c r="AH72" i="1"/>
  <c r="AK72" i="1" s="1"/>
  <c r="AP72" i="1" s="1"/>
  <c r="AH86" i="1"/>
  <c r="AK86" i="1" s="1"/>
  <c r="AP86" i="1" s="1"/>
  <c r="AK90" i="1"/>
  <c r="AP90" i="1" s="1"/>
  <c r="AH90" i="1"/>
  <c r="AH98" i="1"/>
  <c r="AK98" i="1" s="1"/>
  <c r="AP98" i="1" s="1"/>
  <c r="AK103" i="1"/>
  <c r="AH103" i="1"/>
  <c r="AH112" i="1"/>
  <c r="AK112" i="1" s="1"/>
  <c r="AK116" i="1"/>
  <c r="AH116" i="1"/>
  <c r="AH120" i="1"/>
  <c r="AK120" i="1" s="1"/>
  <c r="AP120" i="1" s="1"/>
  <c r="AH136" i="1"/>
  <c r="AK136" i="1" s="1"/>
  <c r="AP136" i="1" s="1"/>
  <c r="AH335" i="1"/>
  <c r="AK335" i="1" s="1"/>
  <c r="AP335" i="1" s="1"/>
  <c r="AH49" i="2"/>
  <c r="AK49" i="2" s="1"/>
  <c r="AH2" i="1"/>
  <c r="AK2" i="1" s="1"/>
  <c r="AP2" i="1" s="1"/>
  <c r="AH7" i="1"/>
  <c r="AK7" i="1" s="1"/>
  <c r="AH8" i="1"/>
  <c r="AK8" i="1" s="1"/>
  <c r="AH10" i="1"/>
  <c r="AK10" i="1"/>
  <c r="AK17" i="1"/>
  <c r="AH17" i="1"/>
  <c r="AH18" i="1"/>
  <c r="AK18" i="1"/>
  <c r="AK23" i="1"/>
  <c r="AP23" i="1" s="1"/>
  <c r="AH23" i="1"/>
  <c r="AH30" i="1"/>
  <c r="AK30" i="1"/>
  <c r="AH32" i="1"/>
  <c r="AK32" i="1" s="1"/>
  <c r="AP32" i="1" s="1"/>
  <c r="AH35" i="1"/>
  <c r="AK35" i="1" s="1"/>
  <c r="AH36" i="1"/>
  <c r="AK36" i="1" s="1"/>
  <c r="AH43" i="1"/>
  <c r="AK43" i="1" s="1"/>
  <c r="AH44" i="1"/>
  <c r="AK44" i="1" s="1"/>
  <c r="AP44" i="1" s="1"/>
  <c r="AH48" i="1"/>
  <c r="AK48" i="1"/>
  <c r="AP48" i="1" s="1"/>
  <c r="AH52" i="1"/>
  <c r="AK52" i="1" s="1"/>
  <c r="AH61" i="1"/>
  <c r="AK61" i="1"/>
  <c r="AP61" i="1" s="1"/>
  <c r="AH65" i="1"/>
  <c r="AK65" i="1" s="1"/>
  <c r="AH75" i="1"/>
  <c r="AK75" i="1" s="1"/>
  <c r="AP75" i="1" s="1"/>
  <c r="AH76" i="1"/>
  <c r="AK76" i="1" s="1"/>
  <c r="AP76" i="1" s="1"/>
  <c r="AH81" i="1"/>
  <c r="AK81" i="1"/>
  <c r="AP81" i="1" s="1"/>
  <c r="AH85" i="1"/>
  <c r="AK85" i="1" s="1"/>
  <c r="AH87" i="1"/>
  <c r="AK87" i="1" s="1"/>
  <c r="AP87" i="1" s="1"/>
  <c r="AH88" i="1"/>
  <c r="AK88" i="1" s="1"/>
  <c r="AP88" i="1" s="1"/>
  <c r="AH91" i="1"/>
  <c r="AK91" i="1" s="1"/>
  <c r="AK95" i="1"/>
  <c r="AH95" i="1"/>
  <c r="AH99" i="1"/>
  <c r="AK99" i="1" s="1"/>
  <c r="AH101" i="1"/>
  <c r="AK101" i="1" s="1"/>
  <c r="AP101" i="1" s="1"/>
  <c r="AH104" i="1"/>
  <c r="AK104" i="1"/>
  <c r="AP104" i="1" s="1"/>
  <c r="AK108" i="1"/>
  <c r="AP108" i="1" s="1"/>
  <c r="AH108" i="1"/>
  <c r="AH115" i="1"/>
  <c r="AK115" i="1" s="1"/>
  <c r="AK122" i="1"/>
  <c r="AP122" i="1" s="1"/>
  <c r="AH125" i="1"/>
  <c r="AK125" i="1" s="1"/>
  <c r="AH131" i="1"/>
  <c r="AK131" i="1" s="1"/>
  <c r="AK144" i="1"/>
  <c r="AH144" i="1"/>
  <c r="AH160" i="1"/>
  <c r="AK160" i="1" s="1"/>
  <c r="AP160" i="1" s="1"/>
  <c r="AH161" i="1"/>
  <c r="AK161" i="1" s="1"/>
  <c r="AH172" i="1"/>
  <c r="AK172" i="1" s="1"/>
  <c r="AH195" i="1"/>
  <c r="AK195" i="1" s="1"/>
  <c r="AP195" i="1" s="1"/>
  <c r="AH211" i="1"/>
  <c r="AK211" i="1" s="1"/>
  <c r="AK274" i="1"/>
  <c r="AP274" i="1" s="1"/>
  <c r="AH274" i="1"/>
  <c r="AH290" i="1"/>
  <c r="AK290" i="1" s="1"/>
  <c r="AP290" i="1" s="1"/>
  <c r="AH327" i="1"/>
  <c r="AK327" i="1" s="1"/>
  <c r="AP327" i="1" s="1"/>
  <c r="AH165" i="1"/>
  <c r="AK165" i="1"/>
  <c r="AH169" i="1"/>
  <c r="AK169" i="1" s="1"/>
  <c r="AP169" i="1" s="1"/>
  <c r="AH180" i="1"/>
  <c r="AK180" i="1"/>
  <c r="AK207" i="1"/>
  <c r="AP207" i="1" s="1"/>
  <c r="AH207" i="1"/>
  <c r="AH209" i="1"/>
  <c r="AK209" i="1"/>
  <c r="AK232" i="1"/>
  <c r="AP232" i="1" s="1"/>
  <c r="AH232" i="1"/>
  <c r="AH258" i="1"/>
  <c r="AK258" i="1" s="1"/>
  <c r="AP258" i="1" s="1"/>
  <c r="AK271" i="1"/>
  <c r="AP271" i="1" s="1"/>
  <c r="AH271" i="1"/>
  <c r="AH287" i="1"/>
  <c r="AK287" i="1" s="1"/>
  <c r="AP287" i="1" s="1"/>
  <c r="AH345" i="1"/>
  <c r="AK345" i="1" s="1"/>
  <c r="AP345" i="1" s="1"/>
  <c r="AH126" i="1"/>
  <c r="AK126" i="1" s="1"/>
  <c r="AP126" i="1" s="1"/>
  <c r="AK182" i="1"/>
  <c r="AP182" i="1" s="1"/>
  <c r="AH182" i="1"/>
  <c r="AH187" i="1"/>
  <c r="AK187" i="1" s="1"/>
  <c r="AK213" i="1"/>
  <c r="AH213" i="1"/>
  <c r="AP222" i="1"/>
  <c r="AO222" i="1"/>
  <c r="AR222" i="1" s="1"/>
  <c r="AK259" i="1"/>
  <c r="AP259" i="1" s="1"/>
  <c r="AH259" i="1"/>
  <c r="AH267" i="1"/>
  <c r="AK267" i="1" s="1"/>
  <c r="AP267" i="1" s="1"/>
  <c r="AK272" i="1"/>
  <c r="AP272" i="1" s="1"/>
  <c r="AK279" i="1"/>
  <c r="AP279" i="1" s="1"/>
  <c r="AH279" i="1"/>
  <c r="AH304" i="1"/>
  <c r="AK304" i="1" s="1"/>
  <c r="AP304" i="1" s="1"/>
  <c r="AH312" i="1"/>
  <c r="AK312" i="1" s="1"/>
  <c r="AP312" i="1" s="1"/>
  <c r="AH323" i="1"/>
  <c r="AK323" i="1"/>
  <c r="AP323" i="1" s="1"/>
  <c r="AH331" i="1"/>
  <c r="AK331" i="1" s="1"/>
  <c r="AP331" i="1" s="1"/>
  <c r="AH347" i="1"/>
  <c r="AK347" i="1" s="1"/>
  <c r="AP347" i="1" s="1"/>
  <c r="AK366" i="1"/>
  <c r="AH366" i="1"/>
  <c r="AH54" i="2"/>
  <c r="AK54" i="2"/>
  <c r="AH62" i="2"/>
  <c r="AK62" i="2" s="1"/>
  <c r="AH73" i="2"/>
  <c r="AK73" i="2" s="1"/>
  <c r="AH230" i="2"/>
  <c r="AK230" i="2" s="1"/>
  <c r="AH262" i="2"/>
  <c r="AK262" i="2"/>
  <c r="AV5" i="1"/>
  <c r="AX5" i="1" s="1"/>
  <c r="AV9" i="1"/>
  <c r="AX9" i="1" s="1"/>
  <c r="AV13" i="1"/>
  <c r="AX13" i="1" s="1"/>
  <c r="AV21" i="1"/>
  <c r="AX21" i="1" s="1"/>
  <c r="AV25" i="1"/>
  <c r="AX25" i="1" s="1"/>
  <c r="AV27" i="1"/>
  <c r="AX27" i="1" s="1"/>
  <c r="AV31" i="1"/>
  <c r="AX31" i="1" s="1"/>
  <c r="AV33" i="1"/>
  <c r="AX33" i="1" s="1"/>
  <c r="AV37" i="1"/>
  <c r="AX37" i="1" s="1"/>
  <c r="AV41" i="1"/>
  <c r="AX41" i="1" s="1"/>
  <c r="AV43" i="1"/>
  <c r="AX43" i="1" s="1"/>
  <c r="AH102" i="1"/>
  <c r="AK102" i="1" s="1"/>
  <c r="AH142" i="1"/>
  <c r="AH166" i="1"/>
  <c r="AK171" i="1"/>
  <c r="AP171" i="1" s="1"/>
  <c r="AH171" i="1"/>
  <c r="AH181" i="1"/>
  <c r="AK181" i="1" s="1"/>
  <c r="AH197" i="1"/>
  <c r="AK197" i="1" s="1"/>
  <c r="AP197" i="1" s="1"/>
  <c r="AK205" i="1"/>
  <c r="AP205" i="1" s="1"/>
  <c r="AH215" i="1"/>
  <c r="AK215" i="1" s="1"/>
  <c r="AP215" i="1" s="1"/>
  <c r="AP224" i="1"/>
  <c r="AO224" i="1"/>
  <c r="AR224" i="1" s="1"/>
  <c r="AH233" i="1"/>
  <c r="AK233" i="1" s="1"/>
  <c r="AP233" i="1" s="1"/>
  <c r="AK262" i="1"/>
  <c r="AP262" i="1" s="1"/>
  <c r="AH262" i="1"/>
  <c r="AH266" i="1"/>
  <c r="AK266" i="1"/>
  <c r="AP266" i="1" s="1"/>
  <c r="AK311" i="1"/>
  <c r="AP311" i="1" s="1"/>
  <c r="AH342" i="1"/>
  <c r="AK342" i="1" s="1"/>
  <c r="AP342" i="1" s="1"/>
  <c r="AK369" i="1"/>
  <c r="AH369" i="1"/>
  <c r="AH375" i="1"/>
  <c r="AK375" i="1"/>
  <c r="AH376" i="1"/>
  <c r="AK376" i="1" s="1"/>
  <c r="AH114" i="2"/>
  <c r="AK114" i="2" s="1"/>
  <c r="AK261" i="2"/>
  <c r="AH261" i="2"/>
  <c r="AH122" i="1"/>
  <c r="AK147" i="1"/>
  <c r="AP147" i="1" s="1"/>
  <c r="AK163" i="1"/>
  <c r="AK175" i="1"/>
  <c r="AH175" i="1"/>
  <c r="AH278" i="1"/>
  <c r="AK278" i="1" s="1"/>
  <c r="AP278" i="1" s="1"/>
  <c r="AH282" i="1"/>
  <c r="AK282" i="1" s="1"/>
  <c r="AP282" i="1" s="1"/>
  <c r="AH293" i="1"/>
  <c r="AK293" i="1"/>
  <c r="AP293" i="1" s="1"/>
  <c r="AH301" i="1"/>
  <c r="AK301" i="1" s="1"/>
  <c r="AP301" i="1" s="1"/>
  <c r="AH328" i="1"/>
  <c r="AK328" i="1"/>
  <c r="AP328" i="1" s="1"/>
  <c r="AK336" i="1"/>
  <c r="AP336" i="1" s="1"/>
  <c r="AH336" i="1"/>
  <c r="AH351" i="1"/>
  <c r="AK351" i="1" s="1"/>
  <c r="AP351" i="1" s="1"/>
  <c r="AH364" i="1"/>
  <c r="AK364" i="1" s="1"/>
  <c r="AH45" i="2"/>
  <c r="AK45" i="2" s="1"/>
  <c r="AK57" i="2"/>
  <c r="AH57" i="2"/>
  <c r="AH65" i="2"/>
  <c r="AK65" i="2" s="1"/>
  <c r="AH70" i="2"/>
  <c r="AK70" i="2" s="1"/>
  <c r="AH135" i="2"/>
  <c r="AK135" i="2"/>
  <c r="AK299" i="2"/>
  <c r="AH299" i="2"/>
  <c r="AV7" i="1"/>
  <c r="AX7" i="1" s="1"/>
  <c r="AV11" i="1"/>
  <c r="AX11" i="1" s="1"/>
  <c r="AV15" i="1"/>
  <c r="AX15" i="1" s="1"/>
  <c r="AV17" i="1"/>
  <c r="AX17" i="1" s="1"/>
  <c r="AV19" i="1"/>
  <c r="AX19" i="1" s="1"/>
  <c r="AV23" i="1"/>
  <c r="AX23" i="1" s="1"/>
  <c r="AV29" i="1"/>
  <c r="AX29" i="1" s="1"/>
  <c r="AV35" i="1"/>
  <c r="AX35" i="1" s="1"/>
  <c r="AV39" i="1"/>
  <c r="AX39" i="1" s="1"/>
  <c r="AH130" i="1"/>
  <c r="AK130" i="1" s="1"/>
  <c r="AP130" i="1" s="1"/>
  <c r="AH154" i="1"/>
  <c r="AK154" i="1" s="1"/>
  <c r="AP154" i="1" s="1"/>
  <c r="AK158" i="1"/>
  <c r="AP158" i="1" s="1"/>
  <c r="AH159" i="1"/>
  <c r="AK159" i="1" s="1"/>
  <c r="AK170" i="1"/>
  <c r="AK178" i="1"/>
  <c r="AP178" i="1" s="1"/>
  <c r="AH178" i="1"/>
  <c r="AK184" i="1"/>
  <c r="AP184" i="1" s="1"/>
  <c r="AK188" i="1"/>
  <c r="AP188" i="1" s="1"/>
  <c r="AK191" i="1"/>
  <c r="AP191" i="1" s="1"/>
  <c r="AH191" i="1"/>
  <c r="AH205" i="1"/>
  <c r="AK214" i="1"/>
  <c r="AK263" i="1"/>
  <c r="AP263" i="1" s="1"/>
  <c r="AH263" i="1"/>
  <c r="AK270" i="1"/>
  <c r="AP270" i="1" s="1"/>
  <c r="AH277" i="1"/>
  <c r="AK277" i="1" s="1"/>
  <c r="AP277" i="1" s="1"/>
  <c r="AH285" i="1"/>
  <c r="AK285" i="1"/>
  <c r="AP285" i="1" s="1"/>
  <c r="AK292" i="1"/>
  <c r="AP292" i="1" s="1"/>
  <c r="AH292" i="1"/>
  <c r="AH371" i="1"/>
  <c r="AK371" i="1"/>
  <c r="AH372" i="1"/>
  <c r="AK372" i="1" s="1"/>
  <c r="AH377" i="1"/>
  <c r="AK377" i="1" s="1"/>
  <c r="AH50" i="2"/>
  <c r="AK50" i="2" s="1"/>
  <c r="AH125" i="2"/>
  <c r="AK125" i="2" s="1"/>
  <c r="AK229" i="2"/>
  <c r="AH229" i="2"/>
  <c r="AH134" i="1"/>
  <c r="AH138" i="1"/>
  <c r="AK142" i="1"/>
  <c r="AP142" i="1" s="1"/>
  <c r="AG143" i="1"/>
  <c r="AH150" i="1"/>
  <c r="AK150" i="1" s="1"/>
  <c r="AP150" i="1" s="1"/>
  <c r="AG155" i="1"/>
  <c r="AK166" i="1"/>
  <c r="AP166" i="1" s="1"/>
  <c r="AG167" i="1"/>
  <c r="AH177" i="1"/>
  <c r="AK177" i="1" s="1"/>
  <c r="AH183" i="1"/>
  <c r="AK192" i="1"/>
  <c r="AK231" i="1"/>
  <c r="AP231" i="1" s="1"/>
  <c r="AP249" i="1"/>
  <c r="AO249" i="1"/>
  <c r="AR249" i="1" s="1"/>
  <c r="AH261" i="1"/>
  <c r="AK261" i="1"/>
  <c r="AP261" i="1" s="1"/>
  <c r="AH268" i="1"/>
  <c r="AK268" i="1" s="1"/>
  <c r="AP268" i="1" s="1"/>
  <c r="AH269" i="1"/>
  <c r="AK269" i="1"/>
  <c r="AP269" i="1" s="1"/>
  <c r="AH273" i="1"/>
  <c r="AK273" i="1" s="1"/>
  <c r="AP273" i="1" s="1"/>
  <c r="AK276" i="1"/>
  <c r="AP276" i="1" s="1"/>
  <c r="AH276" i="1"/>
  <c r="AK289" i="1"/>
  <c r="AP289" i="1" s="1"/>
  <c r="AG291" i="1"/>
  <c r="AK299" i="1"/>
  <c r="AP299" i="1" s="1"/>
  <c r="AH299" i="1"/>
  <c r="AH316" i="1"/>
  <c r="AK316" i="1" s="1"/>
  <c r="AP316" i="1" s="1"/>
  <c r="AK317" i="1"/>
  <c r="AP317" i="1" s="1"/>
  <c r="AH317" i="1"/>
  <c r="AH332" i="1"/>
  <c r="AK344" i="1"/>
  <c r="AP344" i="1" s="1"/>
  <c r="AH344" i="1"/>
  <c r="AH352" i="1"/>
  <c r="AK352" i="1" s="1"/>
  <c r="AP352" i="1" s="1"/>
  <c r="AK353" i="1"/>
  <c r="AP353" i="1" s="1"/>
  <c r="AH355" i="1"/>
  <c r="AK355" i="1" s="1"/>
  <c r="AP355" i="1" s="1"/>
  <c r="AH357" i="1"/>
  <c r="AK357" i="1" s="1"/>
  <c r="AP357" i="1" s="1"/>
  <c r="AH46" i="2"/>
  <c r="AK46" i="2" s="1"/>
  <c r="AK53" i="2"/>
  <c r="AH53" i="2"/>
  <c r="AH58" i="2"/>
  <c r="AK58" i="2" s="1"/>
  <c r="AK61" i="2"/>
  <c r="AH61" i="2"/>
  <c r="AH66" i="2"/>
  <c r="AK66" i="2" s="1"/>
  <c r="AK69" i="2"/>
  <c r="AH69" i="2"/>
  <c r="AH74" i="2"/>
  <c r="AK74" i="2" s="1"/>
  <c r="AG110" i="1"/>
  <c r="AG114" i="1"/>
  <c r="AG118" i="1"/>
  <c r="AK134" i="1"/>
  <c r="AP134" i="1" s="1"/>
  <c r="AG135" i="1"/>
  <c r="AK138" i="1"/>
  <c r="AG139" i="1"/>
  <c r="AH146" i="1"/>
  <c r="AK146" i="1" s="1"/>
  <c r="AG151" i="1"/>
  <c r="AH162" i="1"/>
  <c r="AK162" i="1" s="1"/>
  <c r="AP162" i="1" s="1"/>
  <c r="AH174" i="1"/>
  <c r="AK174" i="1" s="1"/>
  <c r="AP179" i="1"/>
  <c r="AK183" i="1"/>
  <c r="AP183" i="1" s="1"/>
  <c r="AK193" i="1"/>
  <c r="AH198" i="1"/>
  <c r="AK198" i="1" s="1"/>
  <c r="AH212" i="1"/>
  <c r="AK212" i="1"/>
  <c r="AH216" i="1"/>
  <c r="AK216" i="1" s="1"/>
  <c r="AP216" i="1" s="1"/>
  <c r="AO248" i="1"/>
  <c r="AR248" i="1" s="1"/>
  <c r="AH257" i="1"/>
  <c r="AK257" i="1" s="1"/>
  <c r="AP257" i="1" s="1"/>
  <c r="AK260" i="1"/>
  <c r="AP260" i="1" s="1"/>
  <c r="AH260" i="1"/>
  <c r="AG275" i="1"/>
  <c r="AK283" i="1"/>
  <c r="AP283" i="1" s="1"/>
  <c r="AH283" i="1"/>
  <c r="AG294" i="1"/>
  <c r="AK295" i="1"/>
  <c r="AP295" i="1" s="1"/>
  <c r="AH295" i="1"/>
  <c r="AH298" i="1"/>
  <c r="AK298" i="1" s="1"/>
  <c r="AP298" i="1" s="1"/>
  <c r="AK308" i="1"/>
  <c r="AP308" i="1" s="1"/>
  <c r="AH308" i="1"/>
  <c r="AH309" i="1"/>
  <c r="AK309" i="1" s="1"/>
  <c r="AP309" i="1" s="1"/>
  <c r="AK313" i="1"/>
  <c r="AP313" i="1" s="1"/>
  <c r="AH313" i="1"/>
  <c r="AH319" i="1"/>
  <c r="AK319" i="1" s="1"/>
  <c r="AP319" i="1" s="1"/>
  <c r="AG329" i="1"/>
  <c r="AK332" i="1"/>
  <c r="AP332" i="1" s="1"/>
  <c r="AG339" i="1"/>
  <c r="AH341" i="1"/>
  <c r="AK341" i="1" s="1"/>
  <c r="AP341" i="1" s="1"/>
  <c r="AK346" i="1"/>
  <c r="AP346" i="1" s="1"/>
  <c r="AH349" i="1"/>
  <c r="AK349" i="1" s="1"/>
  <c r="AP349" i="1" s="1"/>
  <c r="AG361" i="1"/>
  <c r="AP12" i="2"/>
  <c r="AR12" i="2"/>
  <c r="AH150" i="2"/>
  <c r="AK150" i="2"/>
  <c r="AK158" i="2"/>
  <c r="AH158" i="2"/>
  <c r="AH169" i="2"/>
  <c r="AK169" i="2" s="1"/>
  <c r="AK174" i="2"/>
  <c r="AH174" i="2"/>
  <c r="AH182" i="2"/>
  <c r="AK182" i="2" s="1"/>
  <c r="AH300" i="2"/>
  <c r="AK300" i="2" s="1"/>
  <c r="AH231" i="1"/>
  <c r="AH272" i="1"/>
  <c r="AH288" i="1"/>
  <c r="AK288" i="1" s="1"/>
  <c r="AP288" i="1" s="1"/>
  <c r="AK302" i="1"/>
  <c r="AP302" i="1" s="1"/>
  <c r="AH302" i="1"/>
  <c r="AH314" i="1"/>
  <c r="AK314" i="1" s="1"/>
  <c r="AP314" i="1" s="1"/>
  <c r="AK321" i="1"/>
  <c r="AP321" i="1" s="1"/>
  <c r="AH321" i="1"/>
  <c r="AH322" i="1"/>
  <c r="AK322" i="1" s="1"/>
  <c r="AP322" i="1" s="1"/>
  <c r="AH334" i="1"/>
  <c r="AK334" i="1" s="1"/>
  <c r="AP334" i="1" s="1"/>
  <c r="AH346" i="1"/>
  <c r="AH348" i="1"/>
  <c r="AK348" i="1" s="1"/>
  <c r="AP348" i="1" s="1"/>
  <c r="AH358" i="1"/>
  <c r="AK358" i="1" s="1"/>
  <c r="AH367" i="1"/>
  <c r="AK367" i="1" s="1"/>
  <c r="AH368" i="1"/>
  <c r="AK48" i="2"/>
  <c r="AH48" i="2"/>
  <c r="AH56" i="2"/>
  <c r="AK56" i="2" s="1"/>
  <c r="AK64" i="2"/>
  <c r="AH64" i="2"/>
  <c r="AH72" i="2"/>
  <c r="AK72" i="2" s="1"/>
  <c r="AK80" i="2"/>
  <c r="AH80" i="2"/>
  <c r="AH86" i="2"/>
  <c r="AK86" i="2" s="1"/>
  <c r="AP90" i="2"/>
  <c r="AR90" i="2"/>
  <c r="AH122" i="2"/>
  <c r="AK122" i="2"/>
  <c r="AH126" i="2"/>
  <c r="AK126" i="2" s="1"/>
  <c r="AP128" i="2"/>
  <c r="AR128" i="2"/>
  <c r="AK184" i="2"/>
  <c r="AH184" i="2"/>
  <c r="AH214" i="2"/>
  <c r="AK214" i="2"/>
  <c r="AH222" i="2"/>
  <c r="AK222" i="2" s="1"/>
  <c r="AH246" i="2"/>
  <c r="AK246" i="2"/>
  <c r="AH254" i="2"/>
  <c r="AK254" i="2" s="1"/>
  <c r="AH279" i="2"/>
  <c r="AK279" i="2" s="1"/>
  <c r="AK287" i="2"/>
  <c r="AH287" i="2"/>
  <c r="AG185" i="1"/>
  <c r="AG189" i="1"/>
  <c r="AK194" i="1"/>
  <c r="AP194" i="1" s="1"/>
  <c r="AP199" i="1"/>
  <c r="AO200" i="1"/>
  <c r="AR200" i="1" s="1"/>
  <c r="AH315" i="1"/>
  <c r="AH359" i="1"/>
  <c r="AK359" i="1" s="1"/>
  <c r="AH360" i="1"/>
  <c r="AK363" i="1"/>
  <c r="AK368" i="1"/>
  <c r="AH373" i="1"/>
  <c r="AK373" i="1" s="1"/>
  <c r="AR16" i="2"/>
  <c r="AR20" i="2"/>
  <c r="AR24" i="2"/>
  <c r="AR28" i="2"/>
  <c r="AR32" i="2"/>
  <c r="AR36" i="2"/>
  <c r="AR40" i="2"/>
  <c r="AG123" i="2"/>
  <c r="AP142" i="2"/>
  <c r="AR142" i="2"/>
  <c r="AR205" i="2"/>
  <c r="AP205" i="2"/>
  <c r="AH213" i="2"/>
  <c r="AK213" i="2" s="1"/>
  <c r="AH245" i="2"/>
  <c r="AK245" i="2" s="1"/>
  <c r="AH269" i="2"/>
  <c r="AK269" i="2"/>
  <c r="AG234" i="1"/>
  <c r="AG236" i="1"/>
  <c r="AG264" i="1"/>
  <c r="AG280" i="1"/>
  <c r="AG296" i="1"/>
  <c r="AG305" i="1"/>
  <c r="AG306" i="1"/>
  <c r="AK315" i="1"/>
  <c r="AP315" i="1" s="1"/>
  <c r="AG318" i="1"/>
  <c r="AG337" i="1"/>
  <c r="AG338" i="1"/>
  <c r="AG354" i="1"/>
  <c r="AH356" i="1"/>
  <c r="AK356" i="1" s="1"/>
  <c r="AP356" i="1" s="1"/>
  <c r="AK360" i="1"/>
  <c r="AG365" i="1"/>
  <c r="AG374" i="1"/>
  <c r="AK4" i="2"/>
  <c r="AH5" i="2"/>
  <c r="AK5" i="2"/>
  <c r="AK8" i="2"/>
  <c r="AH9" i="2"/>
  <c r="AK9" i="2" s="1"/>
  <c r="AH13" i="2"/>
  <c r="AK13" i="2" s="1"/>
  <c r="AH17" i="2"/>
  <c r="AK17" i="2" s="1"/>
  <c r="AH21" i="2"/>
  <c r="AK21" i="2" s="1"/>
  <c r="AH25" i="2"/>
  <c r="AK25" i="2" s="1"/>
  <c r="AH29" i="2"/>
  <c r="AK29" i="2" s="1"/>
  <c r="AH33" i="2"/>
  <c r="AK33" i="2" s="1"/>
  <c r="AH37" i="2"/>
  <c r="AK37" i="2" s="1"/>
  <c r="AH41" i="2"/>
  <c r="AK41" i="2" s="1"/>
  <c r="AG44" i="2"/>
  <c r="AG52" i="2"/>
  <c r="AG60" i="2"/>
  <c r="AG68" i="2"/>
  <c r="AG76" i="2"/>
  <c r="AH87" i="2"/>
  <c r="AK87" i="2" s="1"/>
  <c r="AH96" i="2"/>
  <c r="AK96" i="2"/>
  <c r="AR104" i="2"/>
  <c r="AK178" i="2"/>
  <c r="AH178" i="2"/>
  <c r="AR189" i="2"/>
  <c r="AP189" i="2"/>
  <c r="AH195" i="2"/>
  <c r="AK195" i="2" s="1"/>
  <c r="AK231" i="2"/>
  <c r="AH231" i="2"/>
  <c r="AK232" i="2"/>
  <c r="AH232" i="2"/>
  <c r="AK263" i="2"/>
  <c r="AH263" i="2"/>
  <c r="AK264" i="2"/>
  <c r="AH264" i="2"/>
  <c r="AH268" i="2"/>
  <c r="AK268" i="2" s="1"/>
  <c r="AK276" i="2"/>
  <c r="AH276" i="2"/>
  <c r="AK291" i="2"/>
  <c r="AH291" i="2"/>
  <c r="AK315" i="2"/>
  <c r="AH315" i="2"/>
  <c r="AK323" i="2"/>
  <c r="AH323" i="2"/>
  <c r="AK327" i="2"/>
  <c r="AH327" i="2"/>
  <c r="AR328" i="2"/>
  <c r="AP328" i="2"/>
  <c r="AK77" i="2"/>
  <c r="AH77" i="2"/>
  <c r="AH78" i="2"/>
  <c r="AK78" i="2" s="1"/>
  <c r="AG81" i="2"/>
  <c r="AR82" i="2"/>
  <c r="AP82" i="2"/>
  <c r="AR84" i="2"/>
  <c r="AH88" i="2"/>
  <c r="AK88" i="2" s="1"/>
  <c r="AH100" i="2"/>
  <c r="AK100" i="2" s="1"/>
  <c r="AP103" i="2"/>
  <c r="AR103" i="2"/>
  <c r="AK107" i="2"/>
  <c r="AH107" i="2"/>
  <c r="AP108" i="2"/>
  <c r="AR108" i="2"/>
  <c r="AH115" i="2"/>
  <c r="AK115" i="2" s="1"/>
  <c r="AK116" i="2"/>
  <c r="AH116" i="2"/>
  <c r="AH117" i="2"/>
  <c r="AK117" i="2" s="1"/>
  <c r="AP118" i="2"/>
  <c r="AR118" i="2"/>
  <c r="AH124" i="2"/>
  <c r="AK124" i="2" s="1"/>
  <c r="AP138" i="2"/>
  <c r="AR138" i="2"/>
  <c r="AP146" i="2"/>
  <c r="AR146" i="2"/>
  <c r="AK151" i="2"/>
  <c r="AH151" i="2"/>
  <c r="AH152" i="2"/>
  <c r="AK152" i="2" s="1"/>
  <c r="AH159" i="2"/>
  <c r="AK159" i="2" s="1"/>
  <c r="AK160" i="2"/>
  <c r="AH160" i="2"/>
  <c r="AH161" i="2"/>
  <c r="AK161" i="2" s="1"/>
  <c r="AK162" i="2"/>
  <c r="AH162" i="2"/>
  <c r="AK164" i="2"/>
  <c r="AH164" i="2"/>
  <c r="AK166" i="2"/>
  <c r="AH166" i="2"/>
  <c r="AH167" i="2"/>
  <c r="AK167" i="2" s="1"/>
  <c r="AK168" i="2"/>
  <c r="AH168" i="2"/>
  <c r="AK200" i="2"/>
  <c r="AH200" i="2"/>
  <c r="AK363" i="2"/>
  <c r="AH363" i="2"/>
  <c r="AK379" i="2"/>
  <c r="AH379" i="2"/>
  <c r="AH2" i="2"/>
  <c r="AK2" i="2" s="1"/>
  <c r="AH6" i="2"/>
  <c r="AK6" i="2" s="1"/>
  <c r="AH10" i="2"/>
  <c r="AK10" i="2" s="1"/>
  <c r="AH14" i="2"/>
  <c r="AH18" i="2"/>
  <c r="AK18" i="2" s="1"/>
  <c r="AH22" i="2"/>
  <c r="AK22" i="2" s="1"/>
  <c r="AH26" i="2"/>
  <c r="AK26" i="2" s="1"/>
  <c r="AH30" i="2"/>
  <c r="AH34" i="2"/>
  <c r="AK34" i="2" s="1"/>
  <c r="AH38" i="2"/>
  <c r="AK38" i="2" s="1"/>
  <c r="AH42" i="2"/>
  <c r="AK42" i="2" s="1"/>
  <c r="AH83" i="2"/>
  <c r="AK83" i="2" s="1"/>
  <c r="AK94" i="2"/>
  <c r="AH94" i="2"/>
  <c r="AK97" i="2"/>
  <c r="AH97" i="2"/>
  <c r="AK99" i="2"/>
  <c r="AH99" i="2"/>
  <c r="AK119" i="2"/>
  <c r="AH119" i="2"/>
  <c r="AK121" i="2"/>
  <c r="AH121" i="2"/>
  <c r="AK129" i="2"/>
  <c r="AH129" i="2"/>
  <c r="AK131" i="2"/>
  <c r="AH131" i="2"/>
  <c r="AP153" i="2"/>
  <c r="AR153" i="2"/>
  <c r="AH163" i="2"/>
  <c r="AK163" i="2" s="1"/>
  <c r="AH176" i="2"/>
  <c r="AK176" i="2" s="1"/>
  <c r="AH177" i="2"/>
  <c r="AK177" i="2"/>
  <c r="AH186" i="2"/>
  <c r="AK186" i="2" s="1"/>
  <c r="AH202" i="2"/>
  <c r="AK202" i="2" s="1"/>
  <c r="AH221" i="2"/>
  <c r="AK221" i="2" s="1"/>
  <c r="AH228" i="2"/>
  <c r="AK228" i="2" s="1"/>
  <c r="AH233" i="2"/>
  <c r="AK233" i="2"/>
  <c r="AH234" i="2"/>
  <c r="AK234" i="2"/>
  <c r="AH253" i="2"/>
  <c r="AK253" i="2" s="1"/>
  <c r="AH260" i="2"/>
  <c r="AK260" i="2" s="1"/>
  <c r="AH265" i="2"/>
  <c r="AK265" i="2"/>
  <c r="AH266" i="2"/>
  <c r="AK266" i="2"/>
  <c r="AH277" i="2"/>
  <c r="AK277" i="2"/>
  <c r="AH283" i="2"/>
  <c r="AK283" i="2" s="1"/>
  <c r="AH294" i="2"/>
  <c r="AK294" i="2" s="1"/>
  <c r="AH331" i="2"/>
  <c r="AK331" i="2" s="1"/>
  <c r="AH339" i="2"/>
  <c r="AK339" i="2" s="1"/>
  <c r="AH343" i="2"/>
  <c r="AK343" i="2" s="1"/>
  <c r="AH347" i="2"/>
  <c r="AK347" i="2" s="1"/>
  <c r="AH351" i="2"/>
  <c r="AK351" i="2" s="1"/>
  <c r="AH355" i="2"/>
  <c r="AK355" i="2" s="1"/>
  <c r="AH359" i="2"/>
  <c r="AK359" i="2" s="1"/>
  <c r="AH366" i="2"/>
  <c r="AK366" i="2"/>
  <c r="AH380" i="2"/>
  <c r="AK380" i="2" s="1"/>
  <c r="AH381" i="2"/>
  <c r="AK381" i="2"/>
  <c r="AH385" i="2"/>
  <c r="AK385" i="2" s="1"/>
  <c r="AG310" i="1"/>
  <c r="AG326" i="1"/>
  <c r="AG362" i="1"/>
  <c r="AG370" i="1"/>
  <c r="AH3" i="2"/>
  <c r="AK3" i="2" s="1"/>
  <c r="AH7" i="2"/>
  <c r="AK7" i="2" s="1"/>
  <c r="AH11" i="2"/>
  <c r="AK11" i="2" s="1"/>
  <c r="AK14" i="2"/>
  <c r="AH15" i="2"/>
  <c r="AK15" i="2" s="1"/>
  <c r="AH19" i="2"/>
  <c r="AK19" i="2" s="1"/>
  <c r="AH23" i="2"/>
  <c r="AK23" i="2" s="1"/>
  <c r="AH27" i="2"/>
  <c r="AK27" i="2" s="1"/>
  <c r="AK30" i="2"/>
  <c r="AH31" i="2"/>
  <c r="AK31" i="2" s="1"/>
  <c r="AH35" i="2"/>
  <c r="AK35" i="2" s="1"/>
  <c r="AH39" i="2"/>
  <c r="AK39" i="2" s="1"/>
  <c r="AH43" i="2"/>
  <c r="AK43" i="2" s="1"/>
  <c r="AH47" i="2"/>
  <c r="AK47" i="2" s="1"/>
  <c r="AH51" i="2"/>
  <c r="AK51" i="2" s="1"/>
  <c r="AH55" i="2"/>
  <c r="AK55" i="2" s="1"/>
  <c r="AH59" i="2"/>
  <c r="AK59" i="2" s="1"/>
  <c r="AH63" i="2"/>
  <c r="AK63" i="2" s="1"/>
  <c r="AH67" i="2"/>
  <c r="AK67" i="2" s="1"/>
  <c r="AH71" i="2"/>
  <c r="AK71" i="2" s="1"/>
  <c r="AH75" i="2"/>
  <c r="AK75" i="2" s="1"/>
  <c r="AH79" i="2"/>
  <c r="AK79" i="2" s="1"/>
  <c r="AR89" i="2"/>
  <c r="AP89" i="2"/>
  <c r="AP92" i="2"/>
  <c r="AR92" i="2"/>
  <c r="AK93" i="2"/>
  <c r="AH93" i="2"/>
  <c r="AH95" i="2"/>
  <c r="AK95" i="2" s="1"/>
  <c r="AH98" i="2"/>
  <c r="AK98" i="2" s="1"/>
  <c r="AR102" i="2"/>
  <c r="AR106" i="2"/>
  <c r="AP110" i="2"/>
  <c r="AR110" i="2"/>
  <c r="AG112" i="2"/>
  <c r="AK113" i="2"/>
  <c r="AH120" i="2"/>
  <c r="AK120" i="2" s="1"/>
  <c r="AH130" i="2"/>
  <c r="AK130" i="2" s="1"/>
  <c r="AR134" i="2"/>
  <c r="AH136" i="2"/>
  <c r="AK136" i="2" s="1"/>
  <c r="AP140" i="2"/>
  <c r="AR140" i="2"/>
  <c r="AP144" i="2"/>
  <c r="AR144" i="2"/>
  <c r="AP148" i="2"/>
  <c r="AR148" i="2"/>
  <c r="AH154" i="2"/>
  <c r="AK154" i="2" s="1"/>
  <c r="AG156" i="2"/>
  <c r="AK157" i="2"/>
  <c r="AK170" i="2"/>
  <c r="AH170" i="2"/>
  <c r="AG172" i="2"/>
  <c r="AK173" i="2"/>
  <c r="AH187" i="2"/>
  <c r="AK187" i="2" s="1"/>
  <c r="AK192" i="2"/>
  <c r="AH192" i="2"/>
  <c r="AK197" i="2"/>
  <c r="AH203" i="2"/>
  <c r="AK203" i="2"/>
  <c r="AH208" i="2"/>
  <c r="AK208" i="2" s="1"/>
  <c r="AH215" i="2"/>
  <c r="AK215" i="2" s="1"/>
  <c r="AG216" i="2"/>
  <c r="AH238" i="2"/>
  <c r="AK238" i="2" s="1"/>
  <c r="AK247" i="2"/>
  <c r="AH247" i="2"/>
  <c r="AG248" i="2"/>
  <c r="AH271" i="2"/>
  <c r="AK271" i="2" s="1"/>
  <c r="AH308" i="2"/>
  <c r="AK308" i="2"/>
  <c r="AH312" i="2"/>
  <c r="AK312" i="2"/>
  <c r="AH350" i="2"/>
  <c r="AK350" i="2"/>
  <c r="AH364" i="2"/>
  <c r="AK364" i="2" s="1"/>
  <c r="AH365" i="2"/>
  <c r="AK365" i="2"/>
  <c r="AH397" i="2"/>
  <c r="AK397" i="2" s="1"/>
  <c r="AH111" i="2"/>
  <c r="AK111" i="2" s="1"/>
  <c r="AP127" i="2"/>
  <c r="AR127" i="2"/>
  <c r="AR132" i="2"/>
  <c r="AH155" i="2"/>
  <c r="AK155" i="2" s="1"/>
  <c r="AH165" i="2"/>
  <c r="AK165" i="2" s="1"/>
  <c r="AH171" i="2"/>
  <c r="AK171" i="2" s="1"/>
  <c r="AK180" i="2"/>
  <c r="AH180" i="2"/>
  <c r="AH181" i="2"/>
  <c r="AK181" i="2" s="1"/>
  <c r="AG194" i="2"/>
  <c r="AH212" i="2"/>
  <c r="AK212" i="2" s="1"/>
  <c r="AH217" i="2"/>
  <c r="AK217" i="2"/>
  <c r="AH218" i="2"/>
  <c r="AK218" i="2"/>
  <c r="AH237" i="2"/>
  <c r="AK237" i="2" s="1"/>
  <c r="AH244" i="2"/>
  <c r="AK244" i="2" s="1"/>
  <c r="AH249" i="2"/>
  <c r="AK249" i="2"/>
  <c r="AH250" i="2"/>
  <c r="AK250" i="2"/>
  <c r="AH329" i="2"/>
  <c r="AK329" i="2" s="1"/>
  <c r="AH185" i="2"/>
  <c r="AH190" i="2"/>
  <c r="AK190" i="2" s="1"/>
  <c r="AH193" i="2"/>
  <c r="AK193" i="2" s="1"/>
  <c r="AK198" i="2"/>
  <c r="AH198" i="2"/>
  <c r="AH201" i="2"/>
  <c r="AK201" i="2" s="1"/>
  <c r="AH206" i="2"/>
  <c r="AK206" i="2" s="1"/>
  <c r="AH209" i="2"/>
  <c r="AK223" i="2"/>
  <c r="AH223" i="2"/>
  <c r="AK224" i="2"/>
  <c r="AH224" i="2"/>
  <c r="AK239" i="2"/>
  <c r="AH239" i="2"/>
  <c r="AK240" i="2"/>
  <c r="AH240" i="2"/>
  <c r="AK255" i="2"/>
  <c r="AH255" i="2"/>
  <c r="AK256" i="2"/>
  <c r="AH256" i="2"/>
  <c r="AK267" i="2"/>
  <c r="AH267" i="2"/>
  <c r="AK275" i="2"/>
  <c r="AH275" i="2"/>
  <c r="AH293" i="2"/>
  <c r="AK293" i="2" s="1"/>
  <c r="AR296" i="2"/>
  <c r="AP296" i="2"/>
  <c r="AK306" i="2"/>
  <c r="AH306" i="2"/>
  <c r="AK348" i="2"/>
  <c r="AH348" i="2"/>
  <c r="AH349" i="2"/>
  <c r="AK349" i="2" s="1"/>
  <c r="AH383" i="2"/>
  <c r="AK383" i="2" s="1"/>
  <c r="AG85" i="2"/>
  <c r="AH175" i="2"/>
  <c r="AK175" i="2" s="1"/>
  <c r="AH179" i="2"/>
  <c r="AK179" i="2" s="1"/>
  <c r="AH183" i="2"/>
  <c r="AK183" i="2" s="1"/>
  <c r="AK185" i="2"/>
  <c r="AG188" i="2"/>
  <c r="AH191" i="2"/>
  <c r="AK191" i="2" s="1"/>
  <c r="AG196" i="2"/>
  <c r="AH199" i="2"/>
  <c r="AK199" i="2" s="1"/>
  <c r="AG204" i="2"/>
  <c r="AH207" i="2"/>
  <c r="AK207" i="2" s="1"/>
  <c r="AK209" i="2"/>
  <c r="AH210" i="2"/>
  <c r="AK210" i="2" s="1"/>
  <c r="AH220" i="2"/>
  <c r="AK220" i="2" s="1"/>
  <c r="AH225" i="2"/>
  <c r="AK225" i="2"/>
  <c r="AH226" i="2"/>
  <c r="AK226" i="2" s="1"/>
  <c r="AK236" i="2"/>
  <c r="AH236" i="2"/>
  <c r="AH241" i="2"/>
  <c r="AK241" i="2" s="1"/>
  <c r="AH242" i="2"/>
  <c r="AK242" i="2" s="1"/>
  <c r="AH252" i="2"/>
  <c r="AK252" i="2" s="1"/>
  <c r="AH257" i="2"/>
  <c r="AK257" i="2"/>
  <c r="AH258" i="2"/>
  <c r="AK258" i="2" s="1"/>
  <c r="AH281" i="2"/>
  <c r="AK281" i="2" s="1"/>
  <c r="AH284" i="2"/>
  <c r="AK284" i="2" s="1"/>
  <c r="AH285" i="2"/>
  <c r="AK285" i="2" s="1"/>
  <c r="AK292" i="2"/>
  <c r="AH292" i="2"/>
  <c r="AH304" i="2"/>
  <c r="AK304" i="2" s="1"/>
  <c r="AK314" i="2"/>
  <c r="AH314" i="2"/>
  <c r="AK330" i="2"/>
  <c r="AH330" i="2"/>
  <c r="AK367" i="2"/>
  <c r="AH367" i="2"/>
  <c r="AK371" i="2"/>
  <c r="AH371" i="2"/>
  <c r="AK375" i="2"/>
  <c r="AH375" i="2"/>
  <c r="AH382" i="2"/>
  <c r="AK382" i="2" s="1"/>
  <c r="AH387" i="2"/>
  <c r="AK387" i="2" s="1"/>
  <c r="AH391" i="2"/>
  <c r="AK391" i="2" s="1"/>
  <c r="AH395" i="2"/>
  <c r="AK395" i="2" s="1"/>
  <c r="AK278" i="2"/>
  <c r="AH278" i="2"/>
  <c r="AH280" i="2"/>
  <c r="AK280" i="2" s="1"/>
  <c r="AH295" i="2"/>
  <c r="AK295" i="2" s="1"/>
  <c r="AH297" i="2"/>
  <c r="AK307" i="2"/>
  <c r="AH307" i="2"/>
  <c r="AK344" i="2"/>
  <c r="AH344" i="2"/>
  <c r="AH345" i="2"/>
  <c r="AK345" i="2" s="1"/>
  <c r="AH346" i="2"/>
  <c r="AK346" i="2" s="1"/>
  <c r="AK360" i="2"/>
  <c r="AH360" i="2"/>
  <c r="AH361" i="2"/>
  <c r="AK361" i="2" s="1"/>
  <c r="AH362" i="2"/>
  <c r="AK362" i="2" s="1"/>
  <c r="AK376" i="2"/>
  <c r="AH376" i="2"/>
  <c r="AH377" i="2"/>
  <c r="AK377" i="2" s="1"/>
  <c r="AH378" i="2"/>
  <c r="AK378" i="2" s="1"/>
  <c r="AK389" i="2"/>
  <c r="AH389" i="2"/>
  <c r="AH399" i="2"/>
  <c r="AK399" i="2" s="1"/>
  <c r="AG211" i="2"/>
  <c r="AG219" i="2"/>
  <c r="AG227" i="2"/>
  <c r="AG235" i="2"/>
  <c r="AG243" i="2"/>
  <c r="AG251" i="2"/>
  <c r="AG259" i="2"/>
  <c r="AH273" i="2"/>
  <c r="AK273" i="2" s="1"/>
  <c r="AH289" i="2"/>
  <c r="AK289" i="2" s="1"/>
  <c r="AK297" i="2"/>
  <c r="AK302" i="2"/>
  <c r="AH302" i="2"/>
  <c r="AK310" i="2"/>
  <c r="AH310" i="2"/>
  <c r="AK319" i="2"/>
  <c r="AH319" i="2"/>
  <c r="AK320" i="2"/>
  <c r="AH321" i="2"/>
  <c r="AK321" i="2"/>
  <c r="AH322" i="2"/>
  <c r="AK322" i="2" s="1"/>
  <c r="AH335" i="2"/>
  <c r="AK335" i="2" s="1"/>
  <c r="AK336" i="2"/>
  <c r="AH337" i="2"/>
  <c r="AK337" i="2" s="1"/>
  <c r="AK338" i="2"/>
  <c r="AH338" i="2"/>
  <c r="AK340" i="2"/>
  <c r="AH340" i="2"/>
  <c r="AH341" i="2"/>
  <c r="AK341" i="2" s="1"/>
  <c r="AH342" i="2"/>
  <c r="AK342" i="2" s="1"/>
  <c r="AK356" i="2"/>
  <c r="AH356" i="2"/>
  <c r="AH357" i="2"/>
  <c r="AK357" i="2" s="1"/>
  <c r="AH358" i="2"/>
  <c r="AK358" i="2" s="1"/>
  <c r="AK372" i="2"/>
  <c r="AH372" i="2"/>
  <c r="AH373" i="2"/>
  <c r="AK373" i="2" s="1"/>
  <c r="AH374" i="2"/>
  <c r="AK374" i="2" s="1"/>
  <c r="AH388" i="2"/>
  <c r="AK388" i="2" s="1"/>
  <c r="AK393" i="2"/>
  <c r="AH393" i="2"/>
  <c r="AG270" i="2"/>
  <c r="AG272" i="2"/>
  <c r="AG286" i="2"/>
  <c r="AG288" i="2"/>
  <c r="AK303" i="2"/>
  <c r="AH303" i="2"/>
  <c r="AK311" i="2"/>
  <c r="AH311" i="2"/>
  <c r="AK352" i="2"/>
  <c r="AH352" i="2"/>
  <c r="AH353" i="2"/>
  <c r="AK353" i="2" s="1"/>
  <c r="AH354" i="2"/>
  <c r="AK354" i="2" s="1"/>
  <c r="AK368" i="2"/>
  <c r="AH368" i="2"/>
  <c r="AH369" i="2"/>
  <c r="AK369" i="2" s="1"/>
  <c r="AH370" i="2"/>
  <c r="AK370" i="2" s="1"/>
  <c r="AH384" i="2"/>
  <c r="AK384" i="2" s="1"/>
  <c r="AG274" i="2"/>
  <c r="AG282" i="2"/>
  <c r="AG290" i="2"/>
  <c r="AG298" i="2"/>
  <c r="AH316" i="2"/>
  <c r="AK316" i="2" s="1"/>
  <c r="AH324" i="2"/>
  <c r="AK324" i="2" s="1"/>
  <c r="AH332" i="2"/>
  <c r="AK332" i="2" s="1"/>
  <c r="AH394" i="2"/>
  <c r="AK394" i="2" s="1"/>
  <c r="AH396" i="2"/>
  <c r="AK396" i="2" s="1"/>
  <c r="AH301" i="2"/>
  <c r="AK301" i="2" s="1"/>
  <c r="AH305" i="2"/>
  <c r="AK305" i="2" s="1"/>
  <c r="AH309" i="2"/>
  <c r="AK309" i="2" s="1"/>
  <c r="AH313" i="2"/>
  <c r="AK313" i="2" s="1"/>
  <c r="AH317" i="2"/>
  <c r="AK317" i="2" s="1"/>
  <c r="AG318" i="2"/>
  <c r="AH325" i="2"/>
  <c r="AK325" i="2"/>
  <c r="AG326" i="2"/>
  <c r="AH333" i="2"/>
  <c r="AK333" i="2" s="1"/>
  <c r="AG334" i="2"/>
  <c r="AH390" i="2"/>
  <c r="AK390" i="2" s="1"/>
  <c r="AH392" i="2"/>
  <c r="AK392" i="2" s="1"/>
  <c r="AH403" i="2"/>
  <c r="AH411" i="2"/>
  <c r="AH419" i="2"/>
  <c r="AH427" i="2"/>
  <c r="AH437" i="2"/>
  <c r="AH453" i="2"/>
  <c r="AH406" i="2"/>
  <c r="AH414" i="2"/>
  <c r="AH422" i="2"/>
  <c r="AH430" i="2"/>
  <c r="J8" i="3"/>
  <c r="K8" i="3" s="1"/>
  <c r="L8" i="3" s="1"/>
  <c r="M8" i="3" s="1"/>
  <c r="J16" i="3"/>
  <c r="K16" i="3" s="1"/>
  <c r="L16" i="3" s="1"/>
  <c r="M16" i="3" s="1"/>
  <c r="K14" i="4"/>
  <c r="L14" i="4" s="1"/>
  <c r="M14" i="4" s="1"/>
  <c r="N14" i="4" s="1"/>
  <c r="AH407" i="2"/>
  <c r="AH415" i="2"/>
  <c r="AH423" i="2"/>
  <c r="AH431" i="2"/>
  <c r="AH445" i="2"/>
  <c r="J10" i="3"/>
  <c r="K10" i="3" s="1"/>
  <c r="L10" i="3" s="1"/>
  <c r="M10" i="3" s="1"/>
  <c r="J18" i="3"/>
  <c r="K18" i="3" s="1"/>
  <c r="L18" i="3" s="1"/>
  <c r="M18" i="3" s="1"/>
  <c r="K8" i="4"/>
  <c r="L8" i="4" s="1"/>
  <c r="M8" i="4" s="1"/>
  <c r="N8" i="4" s="1"/>
  <c r="K16" i="4"/>
  <c r="L16" i="4" s="1"/>
  <c r="M16" i="4" s="1"/>
  <c r="N16" i="4" s="1"/>
  <c r="AP322" i="2" l="1"/>
  <c r="AR322" i="2"/>
  <c r="AR304" i="2"/>
  <c r="AP304" i="2"/>
  <c r="AP329" i="2"/>
  <c r="AR329" i="2"/>
  <c r="AP331" i="2"/>
  <c r="AR331" i="2"/>
  <c r="AP42" i="2"/>
  <c r="AR42" i="2"/>
  <c r="AO8" i="1"/>
  <c r="AR8" i="1" s="1"/>
  <c r="AP8" i="1"/>
  <c r="AP45" i="1"/>
  <c r="AO45" i="1"/>
  <c r="AR45" i="1" s="1"/>
  <c r="AO68" i="1"/>
  <c r="AR68" i="1" s="1"/>
  <c r="AP68" i="1"/>
  <c r="AP164" i="1"/>
  <c r="AO164" i="1"/>
  <c r="AR164" i="1" s="1"/>
  <c r="AO124" i="1"/>
  <c r="AR124" i="1" s="1"/>
  <c r="AP124" i="1"/>
  <c r="AP94" i="1"/>
  <c r="AO94" i="1"/>
  <c r="AR94" i="1" s="1"/>
  <c r="AO20" i="1"/>
  <c r="AR20" i="1" s="1"/>
  <c r="AP20" i="1"/>
  <c r="AP317" i="2"/>
  <c r="AR317" i="2"/>
  <c r="AP220" i="2"/>
  <c r="AR220" i="2"/>
  <c r="AP206" i="2"/>
  <c r="AR206" i="2"/>
  <c r="AR193" i="2"/>
  <c r="AP193" i="2"/>
  <c r="AP244" i="2"/>
  <c r="AR244" i="2"/>
  <c r="AP181" i="2"/>
  <c r="AR181" i="2"/>
  <c r="AP271" i="2"/>
  <c r="AR271" i="2"/>
  <c r="AP238" i="2"/>
  <c r="AR238" i="2"/>
  <c r="AP154" i="2"/>
  <c r="AR154" i="2"/>
  <c r="AP294" i="2"/>
  <c r="AR294" i="2"/>
  <c r="AP260" i="2"/>
  <c r="AR260" i="2"/>
  <c r="AP202" i="2"/>
  <c r="AR202" i="2"/>
  <c r="AP176" i="2"/>
  <c r="AR176" i="2"/>
  <c r="AP38" i="2"/>
  <c r="AR38" i="2"/>
  <c r="AP22" i="2"/>
  <c r="AR22" i="2"/>
  <c r="AP6" i="2"/>
  <c r="AR6" i="2"/>
  <c r="AP159" i="2"/>
  <c r="AR159" i="2"/>
  <c r="AP124" i="2"/>
  <c r="AR124" i="2"/>
  <c r="AP29" i="2"/>
  <c r="AR29" i="2"/>
  <c r="AP13" i="2"/>
  <c r="AR13" i="2"/>
  <c r="AR245" i="2"/>
  <c r="AP245" i="2"/>
  <c r="AP254" i="2"/>
  <c r="AR254" i="2"/>
  <c r="AP182" i="2"/>
  <c r="AR182" i="2"/>
  <c r="AR74" i="2"/>
  <c r="AP74" i="2"/>
  <c r="AP125" i="2"/>
  <c r="AR125" i="2"/>
  <c r="AR70" i="2"/>
  <c r="AP70" i="2"/>
  <c r="AP45" i="2"/>
  <c r="AR45" i="2"/>
  <c r="AP230" i="2"/>
  <c r="AR230" i="2"/>
  <c r="AP7" i="1"/>
  <c r="AO7" i="1"/>
  <c r="AR7" i="1" s="1"/>
  <c r="AO112" i="1"/>
  <c r="AR112" i="1" s="1"/>
  <c r="AP112" i="1"/>
  <c r="AP19" i="1"/>
  <c r="AO19" i="1"/>
  <c r="AR19" i="1" s="1"/>
  <c r="AP176" i="1"/>
  <c r="AO176" i="1"/>
  <c r="AR176" i="1" s="1"/>
  <c r="AO149" i="1"/>
  <c r="AR149" i="1" s="1"/>
  <c r="AP149" i="1"/>
  <c r="AP333" i="2"/>
  <c r="AR333" i="2"/>
  <c r="AP136" i="2"/>
  <c r="AR136" i="2"/>
  <c r="AR221" i="2"/>
  <c r="AP221" i="2"/>
  <c r="AP26" i="2"/>
  <c r="AR26" i="2"/>
  <c r="AP10" i="2"/>
  <c r="AR10" i="2"/>
  <c r="AP117" i="2"/>
  <c r="AR117" i="2"/>
  <c r="AR78" i="2"/>
  <c r="AP78" i="2"/>
  <c r="AR195" i="2"/>
  <c r="AP195" i="2"/>
  <c r="AR87" i="2"/>
  <c r="AP87" i="2"/>
  <c r="AP33" i="2"/>
  <c r="AR33" i="2"/>
  <c r="AP17" i="2"/>
  <c r="AR17" i="2"/>
  <c r="AP279" i="2"/>
  <c r="AR279" i="2"/>
  <c r="AP222" i="2"/>
  <c r="AR222" i="2"/>
  <c r="AP86" i="2"/>
  <c r="AR86" i="2"/>
  <c r="AR300" i="2"/>
  <c r="AP300" i="2"/>
  <c r="AP159" i="1"/>
  <c r="AO159" i="1"/>
  <c r="AR159" i="1" s="1"/>
  <c r="AP114" i="2"/>
  <c r="AR114" i="2"/>
  <c r="AO187" i="1"/>
  <c r="AR187" i="1" s="1"/>
  <c r="AP187" i="1"/>
  <c r="AP125" i="1"/>
  <c r="AO125" i="1"/>
  <c r="AR125" i="1" s="1"/>
  <c r="AP337" i="2"/>
  <c r="AR337" i="2"/>
  <c r="AP281" i="2"/>
  <c r="AR281" i="2"/>
  <c r="AP252" i="2"/>
  <c r="AR252" i="2"/>
  <c r="AP295" i="2"/>
  <c r="AR295" i="2"/>
  <c r="AR201" i="2"/>
  <c r="AP201" i="2"/>
  <c r="AP190" i="2"/>
  <c r="AR190" i="2"/>
  <c r="AR237" i="2"/>
  <c r="AP237" i="2"/>
  <c r="AR187" i="2"/>
  <c r="AP187" i="2"/>
  <c r="AP283" i="2"/>
  <c r="AR283" i="2"/>
  <c r="AR253" i="2"/>
  <c r="AP253" i="2"/>
  <c r="AP186" i="2"/>
  <c r="AR186" i="2"/>
  <c r="AR163" i="2"/>
  <c r="AP163" i="2"/>
  <c r="AP34" i="2"/>
  <c r="AR34" i="2"/>
  <c r="AP18" i="2"/>
  <c r="AR18" i="2"/>
  <c r="AP2" i="2"/>
  <c r="AR2" i="2"/>
  <c r="AP161" i="2"/>
  <c r="AR161" i="2"/>
  <c r="AP152" i="2"/>
  <c r="AR152" i="2"/>
  <c r="AP100" i="2"/>
  <c r="AR100" i="2"/>
  <c r="AP41" i="2"/>
  <c r="AR41" i="2"/>
  <c r="AP25" i="2"/>
  <c r="AR25" i="2"/>
  <c r="AP9" i="2"/>
  <c r="AR9" i="2"/>
  <c r="AR213" i="2"/>
  <c r="AP213" i="2"/>
  <c r="AP56" i="2"/>
  <c r="AR56" i="2"/>
  <c r="AR46" i="2"/>
  <c r="AP46" i="2"/>
  <c r="AP177" i="1"/>
  <c r="AO177" i="1"/>
  <c r="AR177" i="1" s="1"/>
  <c r="AR50" i="2"/>
  <c r="AP50" i="2"/>
  <c r="AP65" i="2"/>
  <c r="AR65" i="2"/>
  <c r="AP181" i="1"/>
  <c r="AO181" i="1"/>
  <c r="AR181" i="1" s="1"/>
  <c r="AP73" i="2"/>
  <c r="AR73" i="2"/>
  <c r="AP172" i="1"/>
  <c r="AO172" i="1"/>
  <c r="AR172" i="1" s="1"/>
  <c r="AP115" i="1"/>
  <c r="AO115" i="1"/>
  <c r="AR115" i="1" s="1"/>
  <c r="AP85" i="1"/>
  <c r="AO85" i="1"/>
  <c r="AR85" i="1" s="1"/>
  <c r="AO52" i="1"/>
  <c r="AR52" i="1" s="1"/>
  <c r="AP52" i="1"/>
  <c r="AP43" i="1"/>
  <c r="AO43" i="1"/>
  <c r="AR43" i="1" s="1"/>
  <c r="AO56" i="1"/>
  <c r="AR56" i="1" s="1"/>
  <c r="AP56" i="1"/>
  <c r="AP67" i="1"/>
  <c r="AO67" i="1"/>
  <c r="AR67" i="1" s="1"/>
  <c r="AO12" i="1"/>
  <c r="AR12" i="1" s="1"/>
  <c r="AP12" i="1"/>
  <c r="AP190" i="1"/>
  <c r="AO190" i="1"/>
  <c r="AR190" i="1" s="1"/>
  <c r="AR284" i="2"/>
  <c r="AP284" i="2"/>
  <c r="AP208" i="2"/>
  <c r="AR208" i="2"/>
  <c r="AP169" i="2"/>
  <c r="AR169" i="2"/>
  <c r="AR66" i="2"/>
  <c r="AP66" i="2"/>
  <c r="AP211" i="1"/>
  <c r="AO211" i="1"/>
  <c r="AR211" i="1" s="1"/>
  <c r="AP99" i="1"/>
  <c r="AO99" i="1"/>
  <c r="AR99" i="1" s="1"/>
  <c r="AP35" i="1"/>
  <c r="AO35" i="1"/>
  <c r="AR35" i="1" s="1"/>
  <c r="AO100" i="1"/>
  <c r="AR100" i="1" s="1"/>
  <c r="AP100" i="1"/>
  <c r="AP335" i="2"/>
  <c r="AR335" i="2"/>
  <c r="AR280" i="2"/>
  <c r="AP280" i="2"/>
  <c r="AP285" i="2"/>
  <c r="AR285" i="2"/>
  <c r="AR241" i="2"/>
  <c r="AP241" i="2"/>
  <c r="AP293" i="2"/>
  <c r="AR293" i="2"/>
  <c r="AP212" i="2"/>
  <c r="AR212" i="2"/>
  <c r="AP215" i="2"/>
  <c r="AR215" i="2"/>
  <c r="AP228" i="2"/>
  <c r="AR228" i="2"/>
  <c r="AP167" i="2"/>
  <c r="AR167" i="2"/>
  <c r="AP115" i="2"/>
  <c r="AR115" i="2"/>
  <c r="AP88" i="2"/>
  <c r="AR88" i="2"/>
  <c r="AR268" i="2"/>
  <c r="AP268" i="2"/>
  <c r="AP37" i="2"/>
  <c r="AR37" i="2"/>
  <c r="AP21" i="2"/>
  <c r="AR21" i="2"/>
  <c r="AP126" i="2"/>
  <c r="AR126" i="2"/>
  <c r="AP72" i="2"/>
  <c r="AR72" i="2"/>
  <c r="AR58" i="2"/>
  <c r="AP58" i="2"/>
  <c r="AP102" i="1"/>
  <c r="AO102" i="1"/>
  <c r="AR102" i="1" s="1"/>
  <c r="AR62" i="2"/>
  <c r="AP62" i="2"/>
  <c r="AO161" i="1"/>
  <c r="AR161" i="1" s="1"/>
  <c r="AP161" i="1"/>
  <c r="AP131" i="1"/>
  <c r="AO131" i="1"/>
  <c r="AR131" i="1" s="1"/>
  <c r="AP91" i="1"/>
  <c r="AO91" i="1"/>
  <c r="AR91" i="1" s="1"/>
  <c r="AP65" i="1"/>
  <c r="AO65" i="1"/>
  <c r="AR65" i="1" s="1"/>
  <c r="AO36" i="1"/>
  <c r="AR36" i="1" s="1"/>
  <c r="AP36" i="1"/>
  <c r="AP49" i="2"/>
  <c r="AR49" i="2"/>
  <c r="AO60" i="1"/>
  <c r="AR60" i="1" s="1"/>
  <c r="AP60" i="1"/>
  <c r="AP13" i="1"/>
  <c r="AO13" i="1"/>
  <c r="AR13" i="1" s="1"/>
  <c r="AP140" i="1"/>
  <c r="AO140" i="1"/>
  <c r="AR140" i="1" s="1"/>
  <c r="AP11" i="1"/>
  <c r="AO11" i="1"/>
  <c r="AR11" i="1" s="1"/>
  <c r="AO40" i="1"/>
  <c r="AR40" i="1" s="1"/>
  <c r="AP40" i="1"/>
  <c r="AR309" i="2"/>
  <c r="AP309" i="2"/>
  <c r="AP311" i="2"/>
  <c r="AR311" i="2"/>
  <c r="AR320" i="2"/>
  <c r="AP320" i="2"/>
  <c r="AH243" i="2"/>
  <c r="AK243" i="2"/>
  <c r="AP236" i="2"/>
  <c r="AR236" i="2"/>
  <c r="AH85" i="2"/>
  <c r="AK85" i="2"/>
  <c r="AP306" i="2"/>
  <c r="AR306" i="2"/>
  <c r="AP255" i="2"/>
  <c r="AR255" i="2"/>
  <c r="AP223" i="2"/>
  <c r="AR223" i="2"/>
  <c r="AP180" i="2"/>
  <c r="AR180" i="2"/>
  <c r="AP247" i="2"/>
  <c r="AR247" i="2"/>
  <c r="AP192" i="2"/>
  <c r="AR192" i="2"/>
  <c r="AH172" i="2"/>
  <c r="AK172" i="2" s="1"/>
  <c r="AP157" i="2"/>
  <c r="AR157" i="2"/>
  <c r="AH112" i="2"/>
  <c r="AK112" i="2" s="1"/>
  <c r="AP93" i="2"/>
  <c r="AR93" i="2"/>
  <c r="AR67" i="2"/>
  <c r="AP67" i="2"/>
  <c r="AR51" i="2"/>
  <c r="AP51" i="2"/>
  <c r="AR39" i="2"/>
  <c r="AP39" i="2"/>
  <c r="AR31" i="2"/>
  <c r="AP31" i="2"/>
  <c r="AR23" i="2"/>
  <c r="AP23" i="2"/>
  <c r="AR15" i="2"/>
  <c r="AP15" i="2"/>
  <c r="AR7" i="2"/>
  <c r="AP7" i="2"/>
  <c r="AH370" i="1"/>
  <c r="AK370" i="1" s="1"/>
  <c r="AR266" i="2"/>
  <c r="AP266" i="2"/>
  <c r="AR234" i="2"/>
  <c r="AP234" i="2"/>
  <c r="AP177" i="2"/>
  <c r="AR177" i="2"/>
  <c r="AP131" i="2"/>
  <c r="AR131" i="2"/>
  <c r="AP121" i="2"/>
  <c r="AR121" i="2"/>
  <c r="AP99" i="2"/>
  <c r="AR99" i="2"/>
  <c r="AP94" i="2"/>
  <c r="AR94" i="2"/>
  <c r="AP168" i="2"/>
  <c r="AR168" i="2"/>
  <c r="AP166" i="2"/>
  <c r="AR166" i="2"/>
  <c r="AP162" i="2"/>
  <c r="AR162" i="2"/>
  <c r="AP160" i="2"/>
  <c r="AR160" i="2"/>
  <c r="AP107" i="2"/>
  <c r="AR107" i="2"/>
  <c r="AP323" i="2"/>
  <c r="AR323" i="2"/>
  <c r="AP291" i="2"/>
  <c r="AR291" i="2"/>
  <c r="AP263" i="2"/>
  <c r="AR263" i="2"/>
  <c r="AP231" i="2"/>
  <c r="AR231" i="2"/>
  <c r="AP96" i="2"/>
  <c r="AR96" i="2"/>
  <c r="AH76" i="2"/>
  <c r="AK76" i="2" s="1"/>
  <c r="AH44" i="2"/>
  <c r="AK44" i="2" s="1"/>
  <c r="AP5" i="2"/>
  <c r="AR5" i="2"/>
  <c r="AH365" i="1"/>
  <c r="AK365" i="1" s="1"/>
  <c r="AH354" i="1"/>
  <c r="AK354" i="1"/>
  <c r="AP354" i="1" s="1"/>
  <c r="AH280" i="1"/>
  <c r="AK280" i="1"/>
  <c r="AP280" i="1" s="1"/>
  <c r="AP269" i="2"/>
  <c r="AR269" i="2"/>
  <c r="AP287" i="2"/>
  <c r="AR287" i="2"/>
  <c r="AP184" i="2"/>
  <c r="AR184" i="2"/>
  <c r="AP80" i="2"/>
  <c r="AR80" i="2"/>
  <c r="AP64" i="2"/>
  <c r="AR64" i="2"/>
  <c r="AP48" i="2"/>
  <c r="AR48" i="2"/>
  <c r="AP174" i="2"/>
  <c r="AR174" i="2"/>
  <c r="AP158" i="2"/>
  <c r="AR158" i="2"/>
  <c r="AP212" i="1"/>
  <c r="AO212" i="1"/>
  <c r="AR212" i="1" s="1"/>
  <c r="AH151" i="1"/>
  <c r="AK151" i="1" s="1"/>
  <c r="AP151" i="1" s="1"/>
  <c r="AH135" i="1"/>
  <c r="AK135" i="1" s="1"/>
  <c r="AH110" i="1"/>
  <c r="AK110" i="1"/>
  <c r="AP69" i="2"/>
  <c r="AR69" i="2"/>
  <c r="AP61" i="2"/>
  <c r="AR61" i="2"/>
  <c r="AP53" i="2"/>
  <c r="AR53" i="2"/>
  <c r="AH291" i="1"/>
  <c r="AK291" i="1" s="1"/>
  <c r="AP291" i="1" s="1"/>
  <c r="AH155" i="1"/>
  <c r="AK155" i="1" s="1"/>
  <c r="AP155" i="1" s="1"/>
  <c r="AR229" i="2"/>
  <c r="AP229" i="2"/>
  <c r="AO214" i="1"/>
  <c r="AR214" i="1" s="1"/>
  <c r="AP214" i="1"/>
  <c r="AP170" i="1"/>
  <c r="AO170" i="1"/>
  <c r="AR170" i="1" s="1"/>
  <c r="AP135" i="2"/>
  <c r="AR135" i="2"/>
  <c r="AP163" i="1"/>
  <c r="AO163" i="1"/>
  <c r="AR163" i="1" s="1"/>
  <c r="AR261" i="2"/>
  <c r="AP261" i="2"/>
  <c r="AP262" i="2"/>
  <c r="AR262" i="2"/>
  <c r="AR54" i="2"/>
  <c r="AP54" i="2"/>
  <c r="AP213" i="1"/>
  <c r="AO213" i="1"/>
  <c r="AR213" i="1" s="1"/>
  <c r="AO209" i="1"/>
  <c r="AR209" i="1" s="1"/>
  <c r="AP209" i="1"/>
  <c r="AP180" i="1"/>
  <c r="AO180" i="1"/>
  <c r="AR180" i="1" s="1"/>
  <c r="AO165" i="1"/>
  <c r="AR165" i="1" s="1"/>
  <c r="AP165" i="1"/>
  <c r="AP95" i="1"/>
  <c r="AO95" i="1"/>
  <c r="AR95" i="1" s="1"/>
  <c r="AP17" i="1"/>
  <c r="AO17" i="1"/>
  <c r="AR17" i="1" s="1"/>
  <c r="AO42" i="1"/>
  <c r="AR42" i="1" s="1"/>
  <c r="AP42" i="1"/>
  <c r="AO6" i="1"/>
  <c r="AR6" i="1" s="1"/>
  <c r="AP6" i="1"/>
  <c r="AO84" i="1"/>
  <c r="AR84" i="1" s="1"/>
  <c r="AP84" i="1"/>
  <c r="AO80" i="1"/>
  <c r="AR80" i="1" s="1"/>
  <c r="AP80" i="1"/>
  <c r="AP77" i="1"/>
  <c r="AO77" i="1"/>
  <c r="AR77" i="1" s="1"/>
  <c r="AO38" i="1"/>
  <c r="AR38" i="1" s="1"/>
  <c r="AP38" i="1"/>
  <c r="AO145" i="1"/>
  <c r="AR145" i="1" s="1"/>
  <c r="AP145" i="1"/>
  <c r="AP66" i="1"/>
  <c r="AO66" i="1"/>
  <c r="AR66" i="1" s="1"/>
  <c r="AO93" i="1"/>
  <c r="AR93" i="1" s="1"/>
  <c r="AP93" i="1"/>
  <c r="AP73" i="1"/>
  <c r="AO73" i="1"/>
  <c r="AR73" i="1" s="1"/>
  <c r="AO34" i="1"/>
  <c r="AR34" i="1" s="1"/>
  <c r="AP34" i="1"/>
  <c r="AO16" i="1"/>
  <c r="AR16" i="1" s="1"/>
  <c r="AP16" i="1"/>
  <c r="AH326" i="2"/>
  <c r="AK326" i="2" s="1"/>
  <c r="AR305" i="2"/>
  <c r="AP305" i="2"/>
  <c r="AH298" i="2"/>
  <c r="AK298" i="2"/>
  <c r="AH272" i="2"/>
  <c r="AK272" i="2"/>
  <c r="AR336" i="2"/>
  <c r="AP336" i="2"/>
  <c r="AP273" i="2"/>
  <c r="AR273" i="2"/>
  <c r="AH235" i="2"/>
  <c r="AK235" i="2"/>
  <c r="AR226" i="2"/>
  <c r="AP226" i="2"/>
  <c r="AH204" i="2"/>
  <c r="AK204" i="2" s="1"/>
  <c r="AR183" i="2"/>
  <c r="AP183" i="2"/>
  <c r="AR171" i="2"/>
  <c r="AP171" i="2"/>
  <c r="AH156" i="2"/>
  <c r="AK156" i="2" s="1"/>
  <c r="AR130" i="2"/>
  <c r="AP130" i="2"/>
  <c r="AR98" i="2"/>
  <c r="AP98" i="2"/>
  <c r="AR79" i="2"/>
  <c r="AP79" i="2"/>
  <c r="AR63" i="2"/>
  <c r="AP63" i="2"/>
  <c r="AR47" i="2"/>
  <c r="AP47" i="2"/>
  <c r="AP30" i="2"/>
  <c r="AR30" i="2"/>
  <c r="AP14" i="2"/>
  <c r="AR14" i="2"/>
  <c r="AH362" i="1"/>
  <c r="AK362" i="1" s="1"/>
  <c r="AR83" i="2"/>
  <c r="AP83" i="2"/>
  <c r="AH68" i="2"/>
  <c r="AK68" i="2" s="1"/>
  <c r="AH338" i="1"/>
  <c r="AK338" i="1"/>
  <c r="AP338" i="1" s="1"/>
  <c r="AH306" i="1"/>
  <c r="AK306" i="1"/>
  <c r="AP306" i="1" s="1"/>
  <c r="AH264" i="1"/>
  <c r="AK264" i="1"/>
  <c r="AP264" i="1" s="1"/>
  <c r="AH189" i="1"/>
  <c r="AK189" i="1"/>
  <c r="AP189" i="1" s="1"/>
  <c r="AP246" i="2"/>
  <c r="AR246" i="2"/>
  <c r="AP214" i="2"/>
  <c r="AR214" i="2"/>
  <c r="AP122" i="2"/>
  <c r="AR122" i="2"/>
  <c r="AP150" i="2"/>
  <c r="AR150" i="2"/>
  <c r="AH361" i="1"/>
  <c r="AK361" i="1" s="1"/>
  <c r="AH329" i="1"/>
  <c r="AK329" i="1" s="1"/>
  <c r="AP329" i="1" s="1"/>
  <c r="AH294" i="1"/>
  <c r="AK294" i="1" s="1"/>
  <c r="AP294" i="1" s="1"/>
  <c r="AH275" i="1"/>
  <c r="AK275" i="1" s="1"/>
  <c r="AP275" i="1" s="1"/>
  <c r="AO146" i="1"/>
  <c r="AR146" i="1" s="1"/>
  <c r="AP146" i="1"/>
  <c r="AO30" i="1"/>
  <c r="AR30" i="1" s="1"/>
  <c r="AP30" i="1"/>
  <c r="AO18" i="1"/>
  <c r="AR18" i="1" s="1"/>
  <c r="AP18" i="1"/>
  <c r="AO10" i="1"/>
  <c r="AR10" i="1" s="1"/>
  <c r="AP10" i="1"/>
  <c r="AO96" i="1"/>
  <c r="AR96" i="1" s="1"/>
  <c r="AP96" i="1"/>
  <c r="AO26" i="1"/>
  <c r="AR26" i="1" s="1"/>
  <c r="AP26" i="1"/>
  <c r="AO14" i="1"/>
  <c r="AR14" i="1" s="1"/>
  <c r="AP14" i="1"/>
  <c r="AO153" i="1"/>
  <c r="AR153" i="1" s="1"/>
  <c r="AP153" i="1"/>
  <c r="AH318" i="2"/>
  <c r="AK318" i="2" s="1"/>
  <c r="AR316" i="2"/>
  <c r="AP316" i="2"/>
  <c r="AP289" i="2"/>
  <c r="AR289" i="2"/>
  <c r="AR242" i="2"/>
  <c r="AP242" i="2"/>
  <c r="AR207" i="2"/>
  <c r="AP207" i="2"/>
  <c r="AR185" i="2"/>
  <c r="AP185" i="2"/>
  <c r="AP239" i="2"/>
  <c r="AR239" i="2"/>
  <c r="AR249" i="2"/>
  <c r="AP249" i="2"/>
  <c r="AR217" i="2"/>
  <c r="AP217" i="2"/>
  <c r="AR312" i="2"/>
  <c r="AP312" i="2"/>
  <c r="AR203" i="2"/>
  <c r="AP203" i="2"/>
  <c r="AH334" i="2"/>
  <c r="AK334" i="2" s="1"/>
  <c r="AR301" i="2"/>
  <c r="AP301" i="2"/>
  <c r="AH290" i="2"/>
  <c r="AK290" i="2"/>
  <c r="AH270" i="2"/>
  <c r="AK270" i="2" s="1"/>
  <c r="AH227" i="2"/>
  <c r="AK227" i="2"/>
  <c r="AH185" i="1"/>
  <c r="AK185" i="1"/>
  <c r="AO198" i="1"/>
  <c r="AR198" i="1" s="1"/>
  <c r="AP198" i="1"/>
  <c r="AO174" i="1"/>
  <c r="AR174" i="1" s="1"/>
  <c r="AP174" i="1"/>
  <c r="AH139" i="1"/>
  <c r="AK139" i="1" s="1"/>
  <c r="AP139" i="1" s="1"/>
  <c r="AH118" i="1"/>
  <c r="AK118" i="1"/>
  <c r="AP192" i="1"/>
  <c r="AO192" i="1"/>
  <c r="AR192" i="1" s="1"/>
  <c r="AH167" i="1"/>
  <c r="AK167" i="1" s="1"/>
  <c r="AP167" i="1" s="1"/>
  <c r="AH274" i="2"/>
  <c r="AK274" i="2"/>
  <c r="AH286" i="2"/>
  <c r="AK286" i="2" s="1"/>
  <c r="AP310" i="2"/>
  <c r="AR310" i="2"/>
  <c r="AH211" i="2"/>
  <c r="AK211" i="2"/>
  <c r="AP307" i="2"/>
  <c r="AR307" i="2"/>
  <c r="AP314" i="2"/>
  <c r="AR314" i="2"/>
  <c r="AR292" i="2"/>
  <c r="AP292" i="2"/>
  <c r="AR257" i="2"/>
  <c r="AP257" i="2"/>
  <c r="AH196" i="2"/>
  <c r="AK196" i="2" s="1"/>
  <c r="AP267" i="2"/>
  <c r="AR267" i="2"/>
  <c r="AH194" i="2"/>
  <c r="AK194" i="2" s="1"/>
  <c r="AP325" i="2"/>
  <c r="AR325" i="2"/>
  <c r="AR332" i="2"/>
  <c r="AP332" i="2"/>
  <c r="AP303" i="2"/>
  <c r="AR303" i="2"/>
  <c r="AP338" i="2"/>
  <c r="AR338" i="2"/>
  <c r="AP321" i="2"/>
  <c r="AR321" i="2"/>
  <c r="AP319" i="2"/>
  <c r="AR319" i="2"/>
  <c r="AP302" i="2"/>
  <c r="AR302" i="2"/>
  <c r="AH259" i="2"/>
  <c r="AK259" i="2"/>
  <c r="AP278" i="2"/>
  <c r="AR278" i="2"/>
  <c r="AP330" i="2"/>
  <c r="AR330" i="2"/>
  <c r="AR225" i="2"/>
  <c r="AP225" i="2"/>
  <c r="AR210" i="2"/>
  <c r="AP210" i="2"/>
  <c r="AR191" i="2"/>
  <c r="AP191" i="2"/>
  <c r="AR179" i="2"/>
  <c r="AP179" i="2"/>
  <c r="AP275" i="2"/>
  <c r="AR275" i="2"/>
  <c r="AP256" i="2"/>
  <c r="AR256" i="2"/>
  <c r="AP240" i="2"/>
  <c r="AR240" i="2"/>
  <c r="AP224" i="2"/>
  <c r="AR224" i="2"/>
  <c r="AP198" i="2"/>
  <c r="AR198" i="2"/>
  <c r="AR250" i="2"/>
  <c r="AP250" i="2"/>
  <c r="AR218" i="2"/>
  <c r="AP218" i="2"/>
  <c r="AR165" i="2"/>
  <c r="AP165" i="2"/>
  <c r="AR308" i="2"/>
  <c r="AP308" i="2"/>
  <c r="AH248" i="2"/>
  <c r="AK248" i="2" s="1"/>
  <c r="AR197" i="2"/>
  <c r="AP197" i="2"/>
  <c r="AP170" i="2"/>
  <c r="AR170" i="2"/>
  <c r="AR120" i="2"/>
  <c r="AP120" i="2"/>
  <c r="AR95" i="2"/>
  <c r="AP95" i="2"/>
  <c r="AR75" i="2"/>
  <c r="AP75" i="2"/>
  <c r="AR59" i="2"/>
  <c r="AP59" i="2"/>
  <c r="AR43" i="2"/>
  <c r="AP43" i="2"/>
  <c r="AR35" i="2"/>
  <c r="AP35" i="2"/>
  <c r="AR27" i="2"/>
  <c r="AP27" i="2"/>
  <c r="AR19" i="2"/>
  <c r="AP19" i="2"/>
  <c r="AR11" i="2"/>
  <c r="AP11" i="2"/>
  <c r="AR3" i="2"/>
  <c r="AP3" i="2"/>
  <c r="AH326" i="1"/>
  <c r="AK326" i="1"/>
  <c r="AP326" i="1" s="1"/>
  <c r="AP277" i="2"/>
  <c r="AR277" i="2"/>
  <c r="AR265" i="2"/>
  <c r="AP265" i="2"/>
  <c r="AR233" i="2"/>
  <c r="AP233" i="2"/>
  <c r="AP129" i="2"/>
  <c r="AR129" i="2"/>
  <c r="AP119" i="2"/>
  <c r="AR119" i="2"/>
  <c r="AP97" i="2"/>
  <c r="AR97" i="2"/>
  <c r="AP200" i="2"/>
  <c r="AR200" i="2"/>
  <c r="AP164" i="2"/>
  <c r="AR164" i="2"/>
  <c r="AP151" i="2"/>
  <c r="AR151" i="2"/>
  <c r="AP116" i="2"/>
  <c r="AR116" i="2"/>
  <c r="AH81" i="2"/>
  <c r="AK81" i="2" s="1"/>
  <c r="AR77" i="2"/>
  <c r="AP77" i="2"/>
  <c r="AP327" i="2"/>
  <c r="AR327" i="2"/>
  <c r="AP315" i="2"/>
  <c r="AR315" i="2"/>
  <c r="AR276" i="2"/>
  <c r="AP276" i="2"/>
  <c r="AP264" i="2"/>
  <c r="AR264" i="2"/>
  <c r="AP232" i="2"/>
  <c r="AR232" i="2"/>
  <c r="AP178" i="2"/>
  <c r="AR178" i="2"/>
  <c r="AH60" i="2"/>
  <c r="AK60" i="2" s="1"/>
  <c r="AP4" i="2"/>
  <c r="AR4" i="2"/>
  <c r="AH337" i="1"/>
  <c r="AK337" i="1" s="1"/>
  <c r="AP337" i="1" s="1"/>
  <c r="AH305" i="1"/>
  <c r="AK305" i="1" s="1"/>
  <c r="AP305" i="1" s="1"/>
  <c r="AH236" i="1"/>
  <c r="AK236" i="1"/>
  <c r="AP236" i="1" s="1"/>
  <c r="AH123" i="2"/>
  <c r="AK123" i="2" s="1"/>
  <c r="AR313" i="2"/>
  <c r="AP313" i="2"/>
  <c r="AR324" i="2"/>
  <c r="AP324" i="2"/>
  <c r="AH282" i="2"/>
  <c r="AK282" i="2"/>
  <c r="AH288" i="2"/>
  <c r="AK288" i="2"/>
  <c r="AR297" i="2"/>
  <c r="AP297" i="2"/>
  <c r="AH251" i="2"/>
  <c r="AK251" i="2"/>
  <c r="AH219" i="2"/>
  <c r="AK219" i="2"/>
  <c r="AR258" i="2"/>
  <c r="AP258" i="2"/>
  <c r="AR209" i="2"/>
  <c r="AP209" i="2"/>
  <c r="AR199" i="2"/>
  <c r="AP199" i="2"/>
  <c r="AH188" i="2"/>
  <c r="AK188" i="2" s="1"/>
  <c r="AR175" i="2"/>
  <c r="AP175" i="2"/>
  <c r="AR155" i="2"/>
  <c r="AP155" i="2"/>
  <c r="AR111" i="2"/>
  <c r="AP111" i="2"/>
  <c r="AH216" i="2"/>
  <c r="AK216" i="2" s="1"/>
  <c r="AP173" i="2"/>
  <c r="AR173" i="2"/>
  <c r="AP113" i="2"/>
  <c r="AR113" i="2"/>
  <c r="AR71" i="2"/>
  <c r="AP71" i="2"/>
  <c r="AR55" i="2"/>
  <c r="AP55" i="2"/>
  <c r="AH310" i="1"/>
  <c r="AK310" i="1"/>
  <c r="AP310" i="1" s="1"/>
  <c r="AH52" i="2"/>
  <c r="AK52" i="2" s="1"/>
  <c r="AP8" i="2"/>
  <c r="AR8" i="2"/>
  <c r="AH374" i="1"/>
  <c r="AK374" i="1" s="1"/>
  <c r="AH318" i="1"/>
  <c r="AK318" i="1" s="1"/>
  <c r="AP318" i="1" s="1"/>
  <c r="AH296" i="1"/>
  <c r="AK296" i="1"/>
  <c r="AP296" i="1" s="1"/>
  <c r="AH234" i="1"/>
  <c r="AK234" i="1"/>
  <c r="AP234" i="1" s="1"/>
  <c r="AH339" i="1"/>
  <c r="AK339" i="1" s="1"/>
  <c r="AP339" i="1" s="1"/>
  <c r="AP193" i="1"/>
  <c r="AO193" i="1"/>
  <c r="AR193" i="1" s="1"/>
  <c r="AP138" i="1"/>
  <c r="AO138" i="1"/>
  <c r="AR138" i="1" s="1"/>
  <c r="AH114" i="1"/>
  <c r="AK114" i="1"/>
  <c r="AP114" i="1" s="1"/>
  <c r="AH143" i="1"/>
  <c r="AK143" i="1" s="1"/>
  <c r="AP299" i="2"/>
  <c r="AR299" i="2"/>
  <c r="AP57" i="2"/>
  <c r="AR57" i="2"/>
  <c r="AP175" i="1"/>
  <c r="AO175" i="1"/>
  <c r="AR175" i="1" s="1"/>
  <c r="AP144" i="1"/>
  <c r="AO144" i="1"/>
  <c r="AR144" i="1" s="1"/>
  <c r="AO116" i="1"/>
  <c r="AR116" i="1" s="1"/>
  <c r="AP116" i="1"/>
  <c r="AP103" i="1"/>
  <c r="AO103" i="1"/>
  <c r="AR103" i="1" s="1"/>
  <c r="AP49" i="1"/>
  <c r="AO49" i="1"/>
  <c r="AR49" i="1" s="1"/>
  <c r="AP39" i="1"/>
  <c r="AO39" i="1"/>
  <c r="AR39" i="1" s="1"/>
  <c r="AP25" i="1"/>
  <c r="AO25" i="1"/>
  <c r="AR25" i="1" s="1"/>
  <c r="AP107" i="1"/>
  <c r="AO107" i="1"/>
  <c r="AR107" i="1" s="1"/>
  <c r="AP33" i="1"/>
  <c r="AO33" i="1"/>
  <c r="AR33" i="1" s="1"/>
  <c r="AP15" i="1"/>
  <c r="AO15" i="1"/>
  <c r="AR15" i="1" s="1"/>
  <c r="AP168" i="1"/>
  <c r="AO168" i="1"/>
  <c r="AR168" i="1" s="1"/>
  <c r="AP156" i="1"/>
  <c r="AO156" i="1"/>
  <c r="AR156" i="1" s="1"/>
  <c r="AP74" i="1"/>
  <c r="AO74" i="1"/>
  <c r="AR74" i="1" s="1"/>
  <c r="AP53" i="1"/>
  <c r="AO53" i="1"/>
  <c r="AR53" i="1" s="1"/>
  <c r="AP37" i="1"/>
  <c r="AO37" i="1"/>
  <c r="AR37" i="1" s="1"/>
  <c r="AP217" i="1"/>
  <c r="AO217" i="1"/>
  <c r="AR217" i="1" s="1"/>
  <c r="AP83" i="1"/>
  <c r="AO83" i="1"/>
  <c r="AR83" i="1" s="1"/>
  <c r="AP70" i="1"/>
  <c r="AO70" i="1"/>
  <c r="AR70" i="1" s="1"/>
  <c r="AP58" i="1"/>
  <c r="AO58" i="1"/>
  <c r="AR58" i="1" s="1"/>
  <c r="AP41" i="1"/>
  <c r="AO41" i="1"/>
  <c r="AR41" i="1" s="1"/>
  <c r="AP5" i="1"/>
  <c r="AO5" i="1"/>
  <c r="AR5" i="1" s="1"/>
  <c r="AP76" i="2" l="1"/>
  <c r="AR76" i="2"/>
  <c r="AR81" i="2"/>
  <c r="AP81" i="2"/>
  <c r="AP156" i="2"/>
  <c r="AR156" i="2"/>
  <c r="AP326" i="2"/>
  <c r="AR326" i="2"/>
  <c r="AP52" i="2"/>
  <c r="AR52" i="2"/>
  <c r="AP270" i="2"/>
  <c r="AR270" i="2"/>
  <c r="AP135" i="1"/>
  <c r="AO135" i="1"/>
  <c r="AR135" i="1" s="1"/>
  <c r="AP112" i="2"/>
  <c r="AR112" i="2"/>
  <c r="AP196" i="2"/>
  <c r="AR196" i="2"/>
  <c r="AP143" i="1"/>
  <c r="AO143" i="1"/>
  <c r="AR143" i="1" s="1"/>
  <c r="AP248" i="2"/>
  <c r="AR248" i="2"/>
  <c r="AP334" i="2"/>
  <c r="AR334" i="2"/>
  <c r="AP188" i="2"/>
  <c r="AR188" i="2"/>
  <c r="AP60" i="2"/>
  <c r="AR60" i="2"/>
  <c r="AP318" i="2"/>
  <c r="AR318" i="2"/>
  <c r="AP204" i="2"/>
  <c r="AR204" i="2"/>
  <c r="AP216" i="2"/>
  <c r="AR216" i="2"/>
  <c r="AP123" i="2"/>
  <c r="AR123" i="2"/>
  <c r="AP194" i="2"/>
  <c r="AR194" i="2"/>
  <c r="AP286" i="2"/>
  <c r="AR286" i="2"/>
  <c r="AP68" i="2"/>
  <c r="AR68" i="2"/>
  <c r="AP44" i="2"/>
  <c r="AR44" i="2"/>
  <c r="AP172" i="2"/>
  <c r="AR172" i="2"/>
  <c r="AP274" i="2"/>
  <c r="AR274" i="2"/>
  <c r="AR290" i="2"/>
  <c r="AP290" i="2"/>
  <c r="AR243" i="2"/>
  <c r="AP243" i="2"/>
  <c r="AR282" i="2"/>
  <c r="AP282" i="2"/>
  <c r="AP85" i="2"/>
  <c r="AR85" i="2"/>
  <c r="AR251" i="2"/>
  <c r="AP251" i="2"/>
  <c r="AR288" i="2"/>
  <c r="AP288" i="2"/>
  <c r="AR211" i="2"/>
  <c r="AP211" i="2"/>
  <c r="AP118" i="1"/>
  <c r="AO118" i="1"/>
  <c r="AR118" i="1" s="1"/>
  <c r="AO185" i="1"/>
  <c r="AR185" i="1" s="1"/>
  <c r="AP185" i="1"/>
  <c r="AR235" i="2"/>
  <c r="AP235" i="2"/>
  <c r="AR298" i="2"/>
  <c r="AP298" i="2"/>
  <c r="AO110" i="1"/>
  <c r="AR110" i="1" s="1"/>
  <c r="AP110" i="1"/>
  <c r="AR219" i="2"/>
  <c r="AP219" i="2"/>
  <c r="AR259" i="2"/>
  <c r="AP259" i="2"/>
  <c r="AR227" i="2"/>
  <c r="AP227" i="2"/>
  <c r="AR272" i="2"/>
  <c r="AP272" i="2"/>
</calcChain>
</file>

<file path=xl/sharedStrings.xml><?xml version="1.0" encoding="utf-8"?>
<sst xmlns="http://schemas.openxmlformats.org/spreadsheetml/2006/main" count="1242" uniqueCount="805">
  <si>
    <t>URL</t>
  </si>
  <si>
    <t>Company Name</t>
  </si>
  <si>
    <t>Year</t>
  </si>
  <si>
    <t>Pos/ Neg</t>
  </si>
  <si>
    <t>Total Borrowings</t>
  </si>
  <si>
    <t>Net Worth</t>
  </si>
  <si>
    <t>100*(Networth-Tot. :Borr.)/ Net Worth : &lt;16</t>
  </si>
  <si>
    <t>Total Assets</t>
  </si>
  <si>
    <t>Profit After Tax</t>
  </si>
  <si>
    <t>PAT % (10)</t>
  </si>
  <si>
    <t>Earnings Per Share</t>
  </si>
  <si>
    <t>ROE %</t>
  </si>
  <si>
    <t>EBDITA</t>
  </si>
  <si>
    <t>Ebdita Margin %</t>
  </si>
  <si>
    <t>Total Income</t>
  </si>
  <si>
    <t>Total Income/Profit After Ta : &gt;14.56</t>
  </si>
  <si>
    <t>P/E Before IPO</t>
  </si>
  <si>
    <t>P/E After IPO</t>
  </si>
  <si>
    <t>PE Effect</t>
  </si>
  <si>
    <t>Total Issue Size (20)</t>
  </si>
  <si>
    <t>OFS</t>
  </si>
  <si>
    <t>Anchor</t>
  </si>
  <si>
    <t>Dilip Devda Pricey/Dicey</t>
  </si>
  <si>
    <t>Subscrition QIB &lt;1.35</t>
  </si>
  <si>
    <t>NII &lt;1.35</t>
  </si>
  <si>
    <t>RII</t>
  </si>
  <si>
    <t>If QIB&gt;NII=1,0</t>
  </si>
  <si>
    <t>GMP</t>
  </si>
  <si>
    <t>Effect GMP</t>
  </si>
  <si>
    <t>YOY Profit (30)</t>
  </si>
  <si>
    <t>YOY Total Income &lt;10.56</t>
  </si>
  <si>
    <t>YOY Net Worth</t>
  </si>
  <si>
    <t>Pre Subscription &gt;5.6</t>
  </si>
  <si>
    <t>Last Day of Close&gt;8</t>
  </si>
  <si>
    <t>Vix</t>
  </si>
  <si>
    <t>Effect of Vix</t>
  </si>
  <si>
    <t>Total &gt;13.1</t>
  </si>
  <si>
    <t>Company Name 2</t>
  </si>
  <si>
    <t>ClosingDate (40)</t>
  </si>
  <si>
    <t>Appy_or_not</t>
  </si>
  <si>
    <t>Apply_priority</t>
  </si>
  <si>
    <t>Category Effect</t>
  </si>
  <si>
    <t>strategy_result</t>
  </si>
  <si>
    <t>Issue price</t>
  </si>
  <si>
    <t>Fin_low</t>
  </si>
  <si>
    <t>Fin_high</t>
  </si>
  <si>
    <t>Avg</t>
  </si>
  <si>
    <t>Listing_price</t>
  </si>
  <si>
    <t>difference</t>
  </si>
  <si>
    <t>fin_effect</t>
  </si>
  <si>
    <t>Expected Price on Listing day GMP</t>
  </si>
  <si>
    <t>1st day Max price on Listing price</t>
  </si>
  <si>
    <t>2nd day max price</t>
  </si>
  <si>
    <t>3rd max price</t>
  </si>
  <si>
    <t>All Time High</t>
  </si>
  <si>
    <t>LTP</t>
  </si>
  <si>
    <t xml:space="preserve">LTP GAIN </t>
  </si>
  <si>
    <t>LTP Gain on Listing Pric</t>
  </si>
  <si>
    <t>DSM Fresh Foods</t>
  </si>
  <si>
    <t>B.A.G. Convergence</t>
  </si>
  <si>
    <t>Zelio E-Mobility</t>
  </si>
  <si>
    <t xml:space="preserve">; </t>
  </si>
  <si>
    <t>Sheel Biotech</t>
  </si>
  <si>
    <t>Infinity Infoway</t>
  </si>
  <si>
    <t>Sodhani Capital</t>
  </si>
  <si>
    <t>Suba Hotels</t>
  </si>
  <si>
    <t>Manas Polymers and Energies Limited</t>
  </si>
  <si>
    <t>TechD Cybersecurity Limited</t>
  </si>
  <si>
    <t>Identical Brains Studios</t>
  </si>
  <si>
    <t>NACDAC Infrastructure</t>
  </si>
  <si>
    <t>Hamps Bio</t>
  </si>
  <si>
    <t>Yash Highvoltage</t>
  </si>
  <si>
    <t>Purple United Sales</t>
  </si>
  <si>
    <t>Toss The Coin</t>
  </si>
  <si>
    <t>Ape Ecotech</t>
  </si>
  <si>
    <t>Lakshya Powertech</t>
  </si>
  <si>
    <t>TechEra Engineering</t>
  </si>
  <si>
    <t>Trident Techlabs SME</t>
  </si>
  <si>
    <t>Shanti Spinte SME</t>
  </si>
  <si>
    <t>N/A</t>
  </si>
  <si>
    <t>Bright Outdoor Media</t>
  </si>
  <si>
    <t>Mittal Sections</t>
  </si>
  <si>
    <t>Chiraharit Limited</t>
  </si>
  <si>
    <t>Dhillon Freight Carrier</t>
  </si>
  <si>
    <t>Rukmani Devi Garg Agro Impe</t>
  </si>
  <si>
    <t>Gurunanak Agriculture</t>
  </si>
  <si>
    <t>Siddhi Cotspin</t>
  </si>
  <si>
    <t>Krupalu Metals</t>
  </si>
  <si>
    <t xml:space="preserve">                            </t>
  </si>
  <si>
    <t>Abril Paper Tech</t>
  </si>
  <si>
    <t>Globtier Infotech</t>
  </si>
  <si>
    <t>Lamosaic India</t>
  </si>
  <si>
    <t>BikeWo GreenTech</t>
  </si>
  <si>
    <t xml:space="preserve">  </t>
  </si>
  <si>
    <t>Kalana Ispat</t>
  </si>
  <si>
    <t>3C IT</t>
  </si>
  <si>
    <t>M.V.K. Agro Food</t>
  </si>
  <si>
    <t>Sona Machinery</t>
  </si>
  <si>
    <t>Italian Edibles</t>
  </si>
  <si>
    <t>Mandeep Auto Industries</t>
  </si>
  <si>
    <t>Falcon Technoprojects India</t>
  </si>
  <si>
    <t>Aatmaj Healthcare</t>
  </si>
  <si>
    <t>Micropro Software Solutions</t>
  </si>
  <si>
    <t>Vrundavan Plantation</t>
  </si>
  <si>
    <t>Game Changers Tefab</t>
  </si>
  <si>
    <t>Jayesh Logistics</t>
  </si>
  <si>
    <t>Safecure Services</t>
  </si>
  <si>
    <t>Shreeji Global FMCG</t>
  </si>
  <si>
    <t>Finbud Financial Services</t>
  </si>
  <si>
    <t>Curis Lifesciences</t>
  </si>
  <si>
    <t>Shining Tools</t>
  </si>
  <si>
    <t>Mahamaya Lifesciences</t>
  </si>
  <si>
    <t>Workmates Core2Cloud</t>
  </si>
  <si>
    <t>Gallard Steel</t>
  </si>
  <si>
    <t>SSMD Agrotech India</t>
  </si>
  <si>
    <t>Mother Nutri Foods</t>
  </si>
  <si>
    <t>K K Silk Mills</t>
  </si>
  <si>
    <t>Purple Wave Infocom</t>
  </si>
  <si>
    <t>Eato Technologies</t>
  </si>
  <si>
    <t>Logiciel Solutions</t>
  </si>
  <si>
    <t>Ravelcare</t>
  </si>
  <si>
    <t>Clear Secured Services</t>
  </si>
  <si>
    <t>Invicta Diagnostic</t>
  </si>
  <si>
    <t>Astron Multigrain</t>
  </si>
  <si>
    <t>Speb Adhesives</t>
  </si>
  <si>
    <t>Neochem Bio Solutions</t>
  </si>
  <si>
    <t>Helloji Holidays</t>
  </si>
  <si>
    <t>Shri Kanha Stainless</t>
  </si>
  <si>
    <t>Luxury Time</t>
  </si>
  <si>
    <t>Western Overseas Study Abroad</t>
  </si>
  <si>
    <t>Methodhub Software</t>
  </si>
  <si>
    <t>ScaleSauce</t>
  </si>
  <si>
    <t>Flywings Simulator Training</t>
  </si>
  <si>
    <t>K. V. Toys India</t>
  </si>
  <si>
    <t>Riddhi Display Equipments</t>
  </si>
  <si>
    <t>Prodocs Solutions</t>
  </si>
  <si>
    <t>Unisem Agritech</t>
  </si>
  <si>
    <t>HRS Aluglaze</t>
  </si>
  <si>
    <t>Pajson Agro India</t>
  </si>
  <si>
    <t>Ashwini Container Movers</t>
  </si>
  <si>
    <t>Exim Routes</t>
  </si>
  <si>
    <t>Stanbik Agro</t>
  </si>
  <si>
    <t>Neptune Logitek</t>
  </si>
  <si>
    <t>Global Ocean Logistics</t>
  </si>
  <si>
    <t>MARC Technocrats</t>
  </si>
  <si>
    <t>Shyam Dhani Industries</t>
  </si>
  <si>
    <t>Dachepalli Publishers</t>
  </si>
  <si>
    <t>EPW India</t>
  </si>
  <si>
    <t>Sundrex Oil</t>
  </si>
  <si>
    <t>Admach Systems</t>
  </si>
  <si>
    <t>B</t>
  </si>
  <si>
    <t>Nanta Tech</t>
  </si>
  <si>
    <t>Apollo Techno Industries</t>
  </si>
  <si>
    <t>Bai Kakaji Polymers</t>
  </si>
  <si>
    <t>Dhara Rail Projects</t>
  </si>
  <si>
    <t>E to E Transportation Infrastructure</t>
  </si>
  <si>
    <t>Modern Diagnostic</t>
  </si>
  <si>
    <t>https://www.chittorgarh.com/ipo/gabion-technologies-india-ipo/2277/</t>
  </si>
  <si>
    <t xml:space="preserve">Gabion Technologies </t>
  </si>
  <si>
    <t>2026</t>
  </si>
  <si>
    <t>https://www.chittorgarh.com/ipo/victory-electric-vehicles-ipo/2315/</t>
  </si>
  <si>
    <t>Victory Electric Veh</t>
  </si>
  <si>
    <t>https://www.chittorgarh.com/ipo/yajur-fibres-ipo/2128/</t>
  </si>
  <si>
    <t>Yajur Fibres Date, P</t>
  </si>
  <si>
    <t>https://www.chittorgarh.com/ipo/defrail-technologies-ipo/2693/</t>
  </si>
  <si>
    <t>Defrail Technologies</t>
  </si>
  <si>
    <t>https://www.chittorgarh.com/ipo/avana-electrosystems-ipo/2635/</t>
  </si>
  <si>
    <t>Avana Electrosystems</t>
  </si>
  <si>
    <t>https://www.chittorgarh.com/ipo/narmadesh-brass-industries-ipo/2580/</t>
  </si>
  <si>
    <t>Narmadesh Brass Indu</t>
  </si>
  <si>
    <t>https://www.chittorgarh.com/ipo/indo-smc-ipo/2694/</t>
  </si>
  <si>
    <t>INDO SMC Date, Price</t>
  </si>
  <si>
    <t>https://www.chittorgarh.com/ipo/gre-renew-enertech-ipo/2353/</t>
  </si>
  <si>
    <t>GRE Renew Enertech D</t>
  </si>
  <si>
    <t>https://www.chittorgarh.com/ipo/armour-security-india-ipo/2138/</t>
  </si>
  <si>
    <t>Armour Security Date</t>
  </si>
  <si>
    <t>https://www.chittorgarh.com/ipo/aritas-vinyl-ipo/2421/</t>
  </si>
  <si>
    <t>Aritas Vinyl Date, P</t>
  </si>
  <si>
    <t>https://www.chittorgarh.com/ipo/digilogic-systems-ipo/2617/</t>
  </si>
  <si>
    <t>Digilogic Systems Da</t>
  </si>
  <si>
    <t>https://www.chittorgarh.com/ipo/krm-ayurveda-ipo/2620/</t>
  </si>
  <si>
    <t>KRM Ayurveda Date, P</t>
  </si>
  <si>
    <t>https://www.chittorgarh.com/ipo/hannah-joseph-ipo/2251/</t>
  </si>
  <si>
    <t>Hannah Joseph Hospit</t>
  </si>
  <si>
    <t>https://www.chittorgarh.com/ipo/shayona-engineering-ipo/2173/</t>
  </si>
  <si>
    <t xml:space="preserve">Shayona Engineering </t>
  </si>
  <si>
    <t>https://www.chittorgarh.com/ipo/kasturi-metal-ipo/2281/</t>
  </si>
  <si>
    <t>Kasturi Metal Com1</t>
  </si>
  <si>
    <t>https://www.chittorgarh.com/ipo/kanishk-aluminium-india-ipo/2555/</t>
  </si>
  <si>
    <t>Kanishk Aluminium In</t>
  </si>
  <si>
    <t>https://www.chittorgarh.com/ipo/msafe-equipments-ipo/2600/</t>
  </si>
  <si>
    <t>Msafe Equipments Dat</t>
  </si>
  <si>
    <t>https://www.chittorgarh.com/ipo/accretion-nutraveda-ipo/2699/</t>
  </si>
  <si>
    <t xml:space="preserve">Accretion Nutraveda </t>
  </si>
  <si>
    <t>https://www.chittorgarh.com/ipo/c-k-k-retail-mart-ipo/2409/</t>
  </si>
  <si>
    <t>CKK Retail Mart Date</t>
  </si>
  <si>
    <t>https://www.chittorgarh.com/ipo/brandman-retail-ipo/2274/</t>
  </si>
  <si>
    <t>Brandman Retail Date</t>
  </si>
  <si>
    <t>https://www.chittorgarh.com/ipo/grover-jewells-ipo/2731/</t>
  </si>
  <si>
    <t>Grover Jewells Date,</t>
  </si>
  <si>
    <t>https://www.chittorgarh.com/ipo/pan-hr-solutions-ipo/2759/</t>
  </si>
  <si>
    <t>PAN HR Solutions Dat</t>
  </si>
  <si>
    <t>https://www.chittorgarh.com/ipo/biopol-chemicals-ipo/2721/</t>
  </si>
  <si>
    <t>Biopol Chemicals Dat</t>
  </si>
  <si>
    <t>https://www.chittorgarh.com/ipo/marushika-technology-ipo/2606/</t>
  </si>
  <si>
    <t>Marushika Technology</t>
  </si>
  <si>
    <t>https://www.chittorgarh.com/ipo/fractal-industries-ipo/2780/</t>
  </si>
  <si>
    <t>Fractal Industries D</t>
  </si>
  <si>
    <t>https://www.chittorgarh.com/ipo/yashhtej-industries-india-ipo/2700/</t>
  </si>
  <si>
    <t xml:space="preserve">Yashhtej Industries </t>
  </si>
  <si>
    <t>https://www.chittorgarh.com/ipo/manilam-industries-ipo/2727/</t>
  </si>
  <si>
    <t>Manilam Industries D</t>
  </si>
  <si>
    <t>https://www.chittorgarh.com/ipo/kiaasa-retail-ipo/2417/</t>
  </si>
  <si>
    <t xml:space="preserve">Kiaasa Retail Date, </t>
  </si>
  <si>
    <t>https://www.chittorgarh.com/ipo/mobilise-app-ipo/2584/</t>
  </si>
  <si>
    <t>Mobilise App Date, P</t>
  </si>
  <si>
    <t>https://www.chittorgarh.com/ipo/accord-transformer-switchgear-ipo/2763/</t>
  </si>
  <si>
    <t>Accord Transformer &amp;</t>
  </si>
  <si>
    <t>https://www.chittorgarh.com/ipo/yaap-digital-ipo/2582/</t>
  </si>
  <si>
    <t>Yaap Digital Date, P</t>
  </si>
  <si>
    <t>https://www.chittorgarh.com/ipo/striders-impex-ipo/2714/</t>
  </si>
  <si>
    <t>Striders Impex Date,</t>
  </si>
  <si>
    <t>https://www.chittorgarh.com/ipo/acetech-e-commerce-ipo/2616/</t>
  </si>
  <si>
    <t>Acetech E-Commerce D</t>
  </si>
  <si>
    <t>https://www.chittorgarh.com/ipo/elfin-agro-india-ipo/2696/</t>
  </si>
  <si>
    <t>Elfin Agro India Dat</t>
  </si>
  <si>
    <t>https://www.chittorgarh.com/ipo/srinibas-pradhan-ipo/2402/</t>
  </si>
  <si>
    <t>Srinibas Pradhan Con</t>
  </si>
  <si>
    <t>https://www.chittorgarh.com/ipo/apsis-aerocom-ipo/2752/</t>
  </si>
  <si>
    <t xml:space="preserve">Apsis Aerocom Date, </t>
  </si>
  <si>
    <t>https://www.chittorgarh.com/ipo/novus-loyalty-ipo/2747/</t>
  </si>
  <si>
    <t xml:space="preserve">Novus Loyalty Date, </t>
  </si>
  <si>
    <t>https://www.chittorgarh.com/ipo/speciality-medicines-ipo/2381/</t>
  </si>
  <si>
    <t>Speciality Medicines</t>
  </si>
  <si>
    <t>https://www.chittorgarh.com/ipo/tipco-engineering-ipo/2733/</t>
  </si>
  <si>
    <t>Tipco Engineering Da</t>
  </si>
  <si>
    <t>https://www.chittorgarh.com/ipo/highness-microelectronics-ipo/2768/</t>
  </si>
  <si>
    <t>Highness Microelectro</t>
  </si>
  <si>
    <t>https://www.chittorgarh.com/ipo/vivid-electromech-ipo/2728/</t>
  </si>
  <si>
    <t>Vivid Electromech  Pr</t>
  </si>
  <si>
    <t>https://www.chittorgarh.com/ipo/safety-controls-and-devices-ipo/2328/</t>
  </si>
  <si>
    <t>Safety Controls  Pric</t>
  </si>
  <si>
    <t>https://www.chittorgarh.com/ipo/mehul-telecom-ipo/2536/</t>
  </si>
  <si>
    <t>Mehul Telecom  Price,</t>
  </si>
  <si>
    <t>https://www.chittorgarh.com/ipo/emiac-technologies-ipo/2766/</t>
  </si>
  <si>
    <t>Emiac Technologies  P</t>
  </si>
  <si>
    <t>https://www.chittorgarh.com/ipo/adisoft-technologies-ipo/2788/</t>
  </si>
  <si>
    <t xml:space="preserve">Adisoft Technologies </t>
  </si>
  <si>
    <t>https://www.chittorgarh.com/ipo/amba-auto-sales-services-ipo/2644/</t>
  </si>
  <si>
    <t>Amba Auto Sales &amp;amp;</t>
  </si>
  <si>
    <t>https://www.chittorgarh.com/ipo/value-360-communications-ipo/2552/</t>
  </si>
  <si>
    <t>Value 360 Communicati</t>
  </si>
  <si>
    <t>https://www.chittorgarh.com/ipo/recode-studios-ipo/2825/</t>
  </si>
  <si>
    <t>Recode Studios  Price</t>
  </si>
  <si>
    <t>https://www.chittorgarh.com/ipo/simca-advertising-ipo/2512/</t>
  </si>
  <si>
    <t>Simca Advertising  Pr</t>
  </si>
  <si>
    <t>https://www.chittorgarh.com/ipo/goldline-pharmaceutical-ipo/2773/</t>
  </si>
  <si>
    <t>Goldline Pharmaceutic</t>
  </si>
  <si>
    <t>https://www.chittorgarh.com/ipo/rfbl-flexi-pack-ipo/2962/</t>
  </si>
  <si>
    <t>RFBL Flexi Pack  Pric</t>
  </si>
  <si>
    <t>https://www.chittorgarh.com/ipo/nfp-sampoorna-foods-ipo/2397/</t>
  </si>
  <si>
    <t xml:space="preserve">NFP Sampoorna Foods  </t>
  </si>
  <si>
    <t>https://www.chittorgarh.com/ipo/teamtech-formwork-solutions-ipo/2964/</t>
  </si>
  <si>
    <t>Teamtech Formwork Sol</t>
  </si>
  <si>
    <t>https://www.chittorgarh.com/ipo/vegorama-punjabi-angithi-ipo/2477/</t>
  </si>
  <si>
    <t>Vegorama Punjabi Angi</t>
  </si>
  <si>
    <t>https://www.chittorgarh.com/ipo/harikanta-overseas-ipo/2697/</t>
  </si>
  <si>
    <t>Harikanta Overseas  P</t>
  </si>
  <si>
    <t>https://www.chittorgarh.com/ipo/bio-medica-laboratories-ipo/2564/</t>
  </si>
  <si>
    <t>Bio Medica Laboratori</t>
  </si>
  <si>
    <t>https://www.chittorgarh.com/ipo/autofurnish-ipo/2738/</t>
  </si>
  <si>
    <t>Autofurnish  Price, G</t>
  </si>
  <si>
    <t>https://www.chittorgarh.com/ipo/q-line-biotec-ipo/2745/</t>
  </si>
  <si>
    <t>Q-Line Biotec  Price,</t>
  </si>
  <si>
    <t>https://www.chittorgarh.com/ipo/m-r-maniveni-ipo/2627/</t>
  </si>
  <si>
    <t xml:space="preserve">M R Maniveni  Price, </t>
  </si>
  <si>
    <t>https://www.chittorgarh.com/ipo/yaashvi-jewellers-ipo/2820/</t>
  </si>
  <si>
    <t>Yaashvi Jewellers  Pr</t>
  </si>
  <si>
    <t>https://www.chittorgarh.com/ipo/rajnandini-fashion-india-ipo/2729/</t>
  </si>
  <si>
    <t>Rajnandini Fashion In</t>
  </si>
  <si>
    <t>https://www.chittorgarh.com/ipo/smr-jewels-ipo/2597/</t>
  </si>
  <si>
    <t>SMR Jewels  Price, GM</t>
  </si>
  <si>
    <t>https://www.chittorgarh.com/ipo/aureate-tradde-ipo/2817/</t>
  </si>
  <si>
    <t>Aureate Tradde  Price</t>
  </si>
  <si>
    <t>https://www.chittorgarh.com/ipo/merritronix-ipo/2961/</t>
  </si>
  <si>
    <t>Merritronix  Price, G</t>
  </si>
  <si>
    <t>https://www.chittorgarh.com/ipo/uhm-vacation-ipo/2841/</t>
  </si>
  <si>
    <t xml:space="preserve">UHM Vacation  Price, </t>
  </si>
  <si>
    <t>https://www.chittorgarh.com/ipo/vahh-chemicals-ipo/2802/</t>
  </si>
  <si>
    <t>Vahh Chemicals  Price</t>
  </si>
  <si>
    <t>https://www.chittorgarh.com/ipo/genxai-analytics-ipo/2801/</t>
  </si>
  <si>
    <t>Genxai Analytics  Pri</t>
  </si>
  <si>
    <t>https://www.chittorgarh.com/ipo/utkal-speciality-ipo/2638/</t>
  </si>
  <si>
    <t>Utkal Speciality  Pri</t>
  </si>
  <si>
    <t>https://www.chittorgarh.com/ipo/susan-electricals-india-ipo/2872/</t>
  </si>
  <si>
    <t>Susan Electricals Ind</t>
  </si>
  <si>
    <t>https://www.chittorgarh.com/ipo/horizon-reclaim-india-ipo/2937/</t>
  </si>
  <si>
    <t>Horizon Reclaim (Indi</t>
  </si>
  <si>
    <t>https://www.chittorgarh.com/ipo/crazy-snacks-ipo/2133/</t>
  </si>
  <si>
    <t xml:space="preserve">Crazy Snacks  Price, </t>
  </si>
  <si>
    <t>https://www.chittorgarh.com/ipo/adon-agro-commodities-ipo/2467/</t>
  </si>
  <si>
    <t>Adon Agro Commodities</t>
  </si>
  <si>
    <t>https://www.chittorgarh.com/ipo/kratikal-tech-ipo/2844/</t>
  </si>
  <si>
    <t>Kratikal Tech  Price,</t>
  </si>
  <si>
    <t>https://www.chittorgarh.com/ipo/vinit-mobile-ipo/2831/</t>
  </si>
  <si>
    <t xml:space="preserve">Vinit Mobile  Price, </t>
  </si>
  <si>
    <t>https://www.chittorgarh.com/ipo/sampark-india-logistics-ipo/2711/</t>
  </si>
  <si>
    <t>Sampark India Logisti</t>
  </si>
  <si>
    <t>https://www.chittorgarh.com/ipo/seemax-resources-ipo/2707/</t>
  </si>
  <si>
    <t>Seemax Resources  Pri</t>
  </si>
  <si>
    <t>https://www.chittorgarh.com/ipo/atharva-polyplast-ipo/2653/</t>
  </si>
  <si>
    <t>Atharva Polyplast  Pr</t>
  </si>
  <si>
    <t>https://www.chittorgarh.com/ipo/teja-engineering-industries-ipo/2308/</t>
  </si>
  <si>
    <t>Teja Engineering Indu</t>
  </si>
  <si>
    <t>https://www.chittorgarh.com/ipo/ic-electricals-ipo/2754/</t>
  </si>
  <si>
    <t>IC Electricals  Price</t>
  </si>
  <si>
    <t>https://www.chittorgarh.com/ipo/devson-catalyst-ipo/2943/</t>
  </si>
  <si>
    <t>Devson Catalyst  Pric</t>
  </si>
  <si>
    <t>https://www.chittorgarh.com/ipo/happy-steels-ipo/2864/</t>
  </si>
  <si>
    <t xml:space="preserve">Happy Steels  Price, </t>
  </si>
  <si>
    <t>https://www.chittorgarh.com/ipo/millworks-technologies-ipo/2866/</t>
  </si>
  <si>
    <t>Millworks Technologie</t>
  </si>
  <si>
    <t>https://www.chittorgarh.com/ipo/sotefin-bharat-ipo/2836/</t>
  </si>
  <si>
    <t>Sotefin Bharat  Price</t>
  </si>
  <si>
    <t>https://www.chittorgarh.com/ipo/gulf-lloyds-ipo/2953/</t>
  </si>
  <si>
    <t>Gulf Lloyds  Price, G</t>
  </si>
  <si>
    <t>https://www.chittorgarh.com/ipo/metalic-technoforge-ipo/2993/</t>
  </si>
  <si>
    <t xml:space="preserve">Metalic Technoforge  </t>
  </si>
  <si>
    <t>https://www.chittorgarh.com/ipo/shree-balaji-mala-ipo/2706/</t>
  </si>
  <si>
    <t>Shree Balaji Mala  Pr</t>
  </si>
  <si>
    <t>https://www.chittorgarh.com/ipo/silverstorm-parks-resorts-ipo/2824/</t>
  </si>
  <si>
    <t>Silverstorm Parks &amp;am</t>
  </si>
  <si>
    <t>https://www.chittorgarh.com/ipo/propshop-events-exhibitions-ipo/2732/</t>
  </si>
  <si>
    <t>Propshop Events &amp;amp;</t>
  </si>
  <si>
    <t>https://www.chittorgarh.com/ipo/advance-technoforge-ipo/2307/</t>
  </si>
  <si>
    <t xml:space="preserve">Advance Technoforge  </t>
  </si>
  <si>
    <t>https://www.chittorgarh.com/ipo/poojaa-precision-engg-ipo/2954/</t>
  </si>
  <si>
    <t>Poojaa Precision Engg</t>
  </si>
  <si>
    <t>https://www.chittorgarh.com/ipo/hr-hygiene-products-ipo/2713/</t>
  </si>
  <si>
    <t>H.R. Hygiene Products</t>
  </si>
  <si>
    <t>https://www.chittorgarh.com/ipo/dhaval-packaging-ipo/2835/</t>
  </si>
  <si>
    <t>Dhaval Packaging  Pri</t>
  </si>
  <si>
    <t>https://www.chittorgarh.com/ipo/oneindig-technologies-ipo/2646/</t>
  </si>
  <si>
    <t>Oneindig Technologies</t>
  </si>
  <si>
    <t>https://www.chittorgarh.com/ipo/fusion-klassroom-edutech-ipo/2867/</t>
  </si>
  <si>
    <t>Fusion Klassroom Edut</t>
  </si>
  <si>
    <t>https://www.chittorgarh.com/ipo/anawil-wire-engieering-ipo/2618/</t>
  </si>
  <si>
    <t>Anawil Wire &amp;amp; Eng</t>
  </si>
  <si>
    <t>https://www.chittorgarh.com/ipo/aegeus-technologies-ipo/2837/</t>
  </si>
  <si>
    <t xml:space="preserve">Aegeus Technologies  </t>
  </si>
  <si>
    <t>https://www.chittorgarh.com/ipo/gv-electricals-ipo/2985/</t>
  </si>
  <si>
    <t>G.V. Electricals  Pri</t>
  </si>
  <si>
    <t>https://www.chittorgarh.com/ipo/lapl-automotive-ipo/2300/</t>
  </si>
  <si>
    <t>LAPL Automotive  Pric</t>
  </si>
  <si>
    <t>https://www.chittorgarh.com/ipo/optimystix-entertainment-ipo/2755/</t>
  </si>
  <si>
    <t>Optimystix Entertainm</t>
  </si>
  <si>
    <t>https://www.chittorgarh.com/ipo/sham-foam-ipo/2869/</t>
  </si>
  <si>
    <t>Sham Foam  Price, GMP</t>
  </si>
  <si>
    <t>https://www.chittorgarh.com/ipo/fascinate-textiles-ipo/2734/</t>
  </si>
  <si>
    <t>Fascinate Textiles  P</t>
  </si>
  <si>
    <t>https://www.chittorgarh.com/ipo/pramodini-medicare-ipo/3088/</t>
  </si>
  <si>
    <t>Pramodini Medicare  P</t>
  </si>
  <si>
    <t>https://www.chittorgarh.com/ipo/credent-connect-ipo/2991/</t>
  </si>
  <si>
    <t>Credent Connect  Pric</t>
  </si>
  <si>
    <t>https://www.chittorgarh.com/ipo/technocrats-plasma-systems-ipo/2840/</t>
  </si>
  <si>
    <t>Technocrats Plasma Sy</t>
  </si>
  <si>
    <t>https://www.chittorgarh.com/ipo/ens-enterprises-ipo/2792/</t>
  </si>
  <si>
    <t>ENS Enterprises  Pric</t>
  </si>
  <si>
    <t>https://www.chittorgarh.com/ipo/skytech-infinite-platform-ipo/2739/</t>
  </si>
  <si>
    <t>Skytech Infinite Plat</t>
  </si>
  <si>
    <t>https://www.chittorgarh.com/ipo/dhanwel-hybrid-seeds-ipo/2846/</t>
  </si>
  <si>
    <t xml:space="preserve">Dhanwel Hybrid Seeds </t>
  </si>
  <si>
    <t>https://www.chittorgarh.com/ipo/mopshop-distribution-ipo/2769/</t>
  </si>
  <si>
    <t xml:space="preserve">Mopshop Distribution </t>
  </si>
  <si>
    <t>https://www.chittorgarh.com/ipo/abh-healthcare-ipo/2517/</t>
  </si>
  <si>
    <t>ABH Healthcare  Price</t>
  </si>
  <si>
    <t>https://www.chittorgarh.com/ipo/sumax-engineering-ipo/2977/</t>
  </si>
  <si>
    <t>Sumax Engineering  Pr</t>
  </si>
  <si>
    <t>https://www.chittorgarh.com/ipo/madhur-knit-ipo/2783/</t>
  </si>
  <si>
    <t>Madhur Knit  Price, G</t>
  </si>
  <si>
    <t>https://www.chittorgarh.com/ipo/qt-foods-ipo/3145/</t>
  </si>
  <si>
    <t>Q&amp;amp;T Foods  Price,</t>
  </si>
  <si>
    <t>https://www.chittorgarh.com/ipo/kwick-forensic-solutions-ipo/2757/</t>
  </si>
  <si>
    <t>Kwick Forensic Soluti</t>
  </si>
  <si>
    <t>https://www.chittorgarh.com/ipo/complete-sports-and-management-ipo/3182/</t>
  </si>
  <si>
    <t>Complete Sports &amp;amp;</t>
  </si>
  <si>
    <t>https://www.chittorgarh.com/ipo/paluck-technologies-ipo/2702/</t>
  </si>
  <si>
    <t xml:space="preserve">Paluck Technologies  </t>
  </si>
  <si>
    <t>https://www.chittorgarh.com/ipo/ashutosh-fibre-ipo/2751/</t>
  </si>
  <si>
    <t>Ashutosh Fibre  Price</t>
  </si>
  <si>
    <t>https://www.chittorgarh.com/ipo/shanti-inorganics-ipo/2736/</t>
  </si>
  <si>
    <t>Shanti Inorganics  Pr</t>
  </si>
  <si>
    <t>https://www.chittorgarh.com/ipo/phychem-technologies-ipo/2730/</t>
  </si>
  <si>
    <t xml:space="preserve">Phychem Technologies </t>
  </si>
  <si>
    <t>https://www.chittorgarh.com/ipo/fly-hi-maritime-ipo/2845/</t>
  </si>
  <si>
    <t>Fly-Hi Maritime  Pric</t>
  </si>
  <si>
    <t>https://www.chittorgarh.com/ipo/farm-peace-ipo/2632/</t>
  </si>
  <si>
    <t>Farm Peace  Price, GM</t>
  </si>
  <si>
    <t>https://www.chittorgarh.com/ipo/qualiance-international-ipo/2979/</t>
  </si>
  <si>
    <t>Qualiance Internation</t>
  </si>
  <si>
    <t>https://www.chittorgarh.com/ipo/apana-logistics-ipo/2762/</t>
  </si>
  <si>
    <t>Apana Logistics  Pric</t>
  </si>
  <si>
    <t>https://www.chittorgarh.com/ipo/infrax-renewable-ipo/3163/</t>
  </si>
  <si>
    <t>Infrax Renewable  Pri</t>
  </si>
  <si>
    <t>https://www.chittorgarh.com/ipo/vinod-texworld-ipo/2718/</t>
  </si>
  <si>
    <t>Vinod Texworld  Price</t>
  </si>
  <si>
    <t>https://www.chittorgarh.com/ipo/amtech-esters-ipo/2207/</t>
  </si>
  <si>
    <t>Amtech Esters  Price,</t>
  </si>
  <si>
    <t>https://www.chittorgarh.com/ipo/maharaja-speedex-ipo/3089/</t>
  </si>
  <si>
    <t>Maharaja &amp;amp; Speede</t>
  </si>
  <si>
    <t>https://www.chittorgarh.com/ipo/om-galaxy-ipo/2987/</t>
  </si>
  <si>
    <t>Om Galaxy  Price, GMP</t>
  </si>
  <si>
    <t>https://www.chittorgarh.com/ipo/raksan-transformers-ipo/2767/</t>
  </si>
  <si>
    <t xml:space="preserve">Raksan Transformers  </t>
  </si>
  <si>
    <t>https://www.chittorgarh.com/ipo/panchatv-bharat-ipo/2373/</t>
  </si>
  <si>
    <t>Panchatv Bharat  Pric</t>
  </si>
  <si>
    <t>https://www.chittorgarh.com/ipo/injecto-polymers-ipo/2625/</t>
  </si>
  <si>
    <t>Injecto Polymers  Pri</t>
  </si>
  <si>
    <t>https://www.chittorgarh.com/ipo/century-business-media-ipo/2604/</t>
  </si>
  <si>
    <t>Century Business Medi</t>
  </si>
  <si>
    <t>https://www.chittorgarh.com/ipo/vama-wovenfab-ipo/2709/</t>
  </si>
  <si>
    <t>Vama Wovenfab  Price,</t>
  </si>
  <si>
    <t>https://www.chittorgarh.com/ipo/shakti-polytarp-ipo/2427/</t>
  </si>
  <si>
    <t>Shakti Polytarp  Pric</t>
  </si>
  <si>
    <t>https://www.chittorgarh.com/ipo/quanto-agroworld-ipo/2390/</t>
  </si>
  <si>
    <t>Quanto Agroworld  Pri</t>
  </si>
  <si>
    <t>https://www.chittorgarh.com/ipo/spectraa-technology-solutions-ipo/2950/</t>
  </si>
  <si>
    <t>SpectraA Technology S</t>
  </si>
  <si>
    <t>https://www.chittorgarh.com/ipo/kheria-autocomp-ipo/2760/</t>
  </si>
  <si>
    <t>Kheria Autocomp  Pric</t>
  </si>
  <si>
    <t>https://www.chittorgarh.com/ipo/axiom-gas-engineering-ipo/2193/</t>
  </si>
  <si>
    <t>Axiom Gas Engineering</t>
  </si>
  <si>
    <t>https://www.chittorgarh.com/ipo/robokidz-eduventures-ipo/3205/</t>
  </si>
  <si>
    <t xml:space="preserve">Robokidz Eduventures </t>
  </si>
  <si>
    <t>https://www.chittorgarh.com/ipo/skoffset-ipo/3150/</t>
  </si>
  <si>
    <t>S.K.Offset  Price, GM</t>
  </si>
  <si>
    <t>https://www.chittorgarh.com/ipo/fx-multitech-ipo/2849/</t>
  </si>
  <si>
    <t xml:space="preserve">FX Multitech  Price, </t>
  </si>
  <si>
    <t>https://www.chittorgarh.com/ipo/vivekanand-cotspin-ipo/2062/</t>
  </si>
  <si>
    <t>Vivekanand Cotspin  P</t>
  </si>
  <si>
    <t>https://www.chittorgarh.com/ipo/anand-seamless-ipo/3080/</t>
  </si>
  <si>
    <t>Anand Seamless  Price</t>
  </si>
  <si>
    <t>https://www.chittorgarh.com/ipo/himalaya-nutravedics-ipo/2970/</t>
  </si>
  <si>
    <t xml:space="preserve">Himalaya Nutravedics </t>
  </si>
  <si>
    <t>https://www.chittorgarh.com/ipo/unitec-fibres-ipo/3171/</t>
  </si>
  <si>
    <t>Unitec Fibres  Price,</t>
  </si>
  <si>
    <t>https://www.chittorgarh.com/ipo/liqvd-digital-ipo/2750/</t>
  </si>
  <si>
    <t>Liqvd Digital  Price,</t>
  </si>
  <si>
    <t>https://www.chittorgarh.com/ipo/pooja-logistics-ipo/2724/</t>
  </si>
  <si>
    <t>Pooja Logistics  Pric</t>
  </si>
  <si>
    <t>https://www.chittorgarh.com/ipo/core-integra-consulting-ipo/2605/</t>
  </si>
  <si>
    <t>Coreintegra Consultin</t>
  </si>
  <si>
    <t>https://www.chittorgarh.com/ipo/green-asia-impex-ipo/2963/</t>
  </si>
  <si>
    <t>Green Asia Impex  Pri</t>
  </si>
  <si>
    <t>https://www.chittorgarh.com/ipo/peshwa-wheat-ipo/2809/</t>
  </si>
  <si>
    <t xml:space="preserve">Peshwa Wheat  Price, </t>
  </si>
  <si>
    <t>https://www.chittorgarh.com/ipo/roopa-screen-ipo/2651/</t>
  </si>
  <si>
    <t xml:space="preserve">Roopa Screen  Price, </t>
  </si>
  <si>
    <t>https://www.chittorgarh.com/ipo/bench-mark-infotech-services-ipo/3212/</t>
  </si>
  <si>
    <t>Bench Mark Infotech S</t>
  </si>
  <si>
    <t>https://www.chittorgarh.com/ipo/shree-tnb-polymers-ipo/3095/</t>
  </si>
  <si>
    <t>Shree TNB Polymers  P</t>
  </si>
  <si>
    <t>https://www.chittorgarh.com/ipo/dudani-retail-ipo/2998/</t>
  </si>
  <si>
    <t>Dudani Retail  Price,</t>
  </si>
  <si>
    <t>https://www.chittorgarh.com/ipo/himalayan-solar-ipo/2716/</t>
  </si>
  <si>
    <t>Himalayan Solar  Pric</t>
  </si>
  <si>
    <t>https://www.chittorgarh.com/ipo/sai-urja-indo-ipo/2655/</t>
  </si>
  <si>
    <t>Sai Urja Indo  Price,</t>
  </si>
  <si>
    <t>https://www.chittorgarh.com/ipo/acme-universal-safezone-9-ipo/3206/</t>
  </si>
  <si>
    <t>Acme Universal Safezo</t>
  </si>
  <si>
    <t>https://www.chittorgarh.com/ipo/shivchem-agro-ipo/2695/</t>
  </si>
  <si>
    <t>Shivchem Agro  Price,</t>
  </si>
  <si>
    <t>https://www.chittorgarh.com/ipo/pind-hospitality-ipo/2197/</t>
  </si>
  <si>
    <t>Pind Hospitality  Pri</t>
  </si>
  <si>
    <t>https://www.chittorgarh.com/ipo/black-opal-consultants-ipo/2798/</t>
  </si>
  <si>
    <t>Black Opal Consultant</t>
  </si>
  <si>
    <t>https://www.chittorgarh.com/ipo/everestims-technologies-ipo/2063/</t>
  </si>
  <si>
    <t>EverestIMS Technologi</t>
  </si>
  <si>
    <t>https://www.chittorgarh.com/ipo/omara-ventures-india-ipo/3194/</t>
  </si>
  <si>
    <t xml:space="preserve">Omara Ventures India </t>
  </si>
  <si>
    <t>https://www.chittorgarh.com/ipo/vans-electroengineerings-ipo/3197/</t>
  </si>
  <si>
    <t>Vans Electroengineeri</t>
  </si>
  <si>
    <t>https://www.chittorgarh.com/ipo/papadmalji-agro-foods-ipo/2823/</t>
  </si>
  <si>
    <t>Papadmalji Agro Foods</t>
  </si>
  <si>
    <t>https://www.chittorgarh.com/ipo/sollfege-smart-electronics-ipo/3086/</t>
  </si>
  <si>
    <t>Sollfege Smart Electr</t>
  </si>
  <si>
    <t>https://www.chittorgarh.com/ipo/eventions-ipo/3006/</t>
  </si>
  <si>
    <t>Eventions  Price, GMP</t>
  </si>
  <si>
    <t>https://www.chittorgarh.com/ipo/sjp-ultrasonic-ipo/2703/</t>
  </si>
  <si>
    <t>SJP Ultrasonics  Pric</t>
  </si>
  <si>
    <t>https://www.chittorgarh.com/ipo/dove-soft-ipo/2424/</t>
  </si>
  <si>
    <t>Dove Soft  Price, GMP</t>
  </si>
  <si>
    <t>https://www.chittorgarh.com/ipo/tna-solutions-ipo/3216/</t>
  </si>
  <si>
    <t>TNA Solutions  Price,</t>
  </si>
  <si>
    <t>https://www.chittorgarh.com/ipo/acme-india-industries-ipo/2748/</t>
  </si>
  <si>
    <t>Acme India Industries</t>
  </si>
  <si>
    <t>https://www.chittorgarh.com/ipo/paramount-syntex-ipo/2743/</t>
  </si>
  <si>
    <t>Paramount Syntex  Pri</t>
  </si>
  <si>
    <t>100* (Networth -Tot. Borr.) / Net Worth &lt;0</t>
  </si>
  <si>
    <t>Profit After Ta</t>
  </si>
  <si>
    <t>bdita Margin %</t>
  </si>
  <si>
    <t>Total Income/Profit After Tax &gt;23</t>
  </si>
  <si>
    <t>P/E before  &gt;88</t>
  </si>
  <si>
    <t>P/E After</t>
  </si>
  <si>
    <t>Subscription QIB &lt;16</t>
  </si>
  <si>
    <t>NII &lt;11</t>
  </si>
  <si>
    <t>RII &lt;1.34</t>
  </si>
  <si>
    <t>YOY Profit (%)</t>
  </si>
  <si>
    <t>YOY Total Income (%) &lt;14</t>
  </si>
  <si>
    <t>YOY Net Worth (%) &lt;26</t>
  </si>
  <si>
    <t>Pre Subscription &gt;5</t>
  </si>
  <si>
    <t>Last Day of Close &gt;8</t>
  </si>
  <si>
    <t>Total &gt;23</t>
  </si>
  <si>
    <t>Rubicon Research</t>
  </si>
  <si>
    <t>LG Electronics</t>
  </si>
  <si>
    <t>Urban Co.</t>
  </si>
  <si>
    <t>Regaal Resources</t>
  </si>
  <si>
    <t>Highway Infrastructure</t>
  </si>
  <si>
    <t>Aditya Infotech</t>
  </si>
  <si>
    <t>GNG Electronics</t>
  </si>
  <si>
    <t>Sambhv Steel Tubes</t>
  </si>
  <si>
    <t>Lami Dental</t>
  </si>
  <si>
    <t>Unimech Aerospace</t>
  </si>
  <si>
    <t>Senores Pharmaceuticals</t>
  </si>
  <si>
    <t>Mamata Machinery</t>
  </si>
  <si>
    <t>Mobikwik</t>
  </si>
  <si>
    <t>Enviro Infra Engineers</t>
  </si>
  <si>
    <t>KRN Heat Echanger</t>
  </si>
  <si>
    <t>P N Gadgil Jewellers</t>
  </si>
  <si>
    <t>Premier Energies</t>
  </si>
  <si>
    <t>BLS E-Services</t>
  </si>
  <si>
    <t>JSW Cement</t>
  </si>
  <si>
    <t>Smartworks Coworking</t>
  </si>
  <si>
    <t>Carraro India</t>
  </si>
  <si>
    <t>ACME Solar Holdings</t>
  </si>
  <si>
    <t>Afcons Infrastructure</t>
  </si>
  <si>
    <t>Godavari Biorefineries</t>
  </si>
  <si>
    <t>JG Chemicals</t>
  </si>
  <si>
    <t>Gopal Snacks</t>
  </si>
  <si>
    <t>R K SWAMY</t>
  </si>
  <si>
    <t>Rec</t>
  </si>
  <si>
    <t>Capital Small Finance</t>
  </si>
  <si>
    <t>EPACK Durable</t>
  </si>
  <si>
    <t>Om Freight Forwarders</t>
  </si>
  <si>
    <t>Glottis</t>
  </si>
  <si>
    <t>Epack Prefab Technologies</t>
  </si>
  <si>
    <t>BMW Ventures</t>
  </si>
  <si>
    <t>Ganesh Consumer Products</t>
  </si>
  <si>
    <t>Lami India Finance</t>
  </si>
  <si>
    <t>Brigade Hotel Ventures</t>
  </si>
  <si>
    <t>Indiqube Spaces</t>
  </si>
  <si>
    <t>Arisinfra Solutions</t>
  </si>
  <si>
    <t>Entero Healthcare Solutions</t>
  </si>
  <si>
    <t>Deepak Builders Engineers</t>
  </si>
  <si>
    <t>Mangal Electrical Industries</t>
  </si>
  <si>
    <t>Canara Robeco Asset Management</t>
  </si>
  <si>
    <t>Canara HSBC Life Insurance</t>
  </si>
  <si>
    <t>Orkla India</t>
  </si>
  <si>
    <t>Lenskart Solutions</t>
  </si>
  <si>
    <t>Groww</t>
  </si>
  <si>
    <t xml:space="preserve"> </t>
  </si>
  <si>
    <t>Pine Labs</t>
  </si>
  <si>
    <t>Emmvee Photovoltaic</t>
  </si>
  <si>
    <t>PhysicsWallah</t>
  </si>
  <si>
    <t>Studds Accessories</t>
  </si>
  <si>
    <t>Tenneco Clean Air</t>
  </si>
  <si>
    <t>Fujiyama Power Systems</t>
  </si>
  <si>
    <t>Capillary Technologies</t>
  </si>
  <si>
    <t>Ecelsoft Technologies</t>
  </si>
  <si>
    <t>Sudeep Pharma</t>
  </si>
  <si>
    <t>Aequs</t>
  </si>
  <si>
    <t>Meesho</t>
  </si>
  <si>
    <t>https://www.chittorgarh.com/ipo/ksh-international-ipo/2454/</t>
  </si>
  <si>
    <t>Vidya Wires</t>
  </si>
  <si>
    <t>https://www.chittorgarh.com/ipo/gujarat-kidney-and-super-speciality-ipo/2289/</t>
  </si>
  <si>
    <t>Wakefit Innovations</t>
  </si>
  <si>
    <t>ICICI Prudential AMC</t>
  </si>
  <si>
    <t>KSH International</t>
  </si>
  <si>
    <t>Gujarat Kidney</t>
  </si>
  <si>
    <t>https://www.chittorgarh.com/ipo/bharat-coking-coal-ipo/2462/</t>
  </si>
  <si>
    <t>Bharat Coking Coal D</t>
  </si>
  <si>
    <t>https://www.chittorgarh.com/ipo/amagi-media-labs-ipo/2549/</t>
  </si>
  <si>
    <t>Amagi Media Labs Dat</t>
  </si>
  <si>
    <t>https://www.chittorgarh.com/ipo/shadowfax-technologies-ipo/2526/</t>
  </si>
  <si>
    <t>Shadowfax Technologi</t>
  </si>
  <si>
    <t>https://www.chittorgarh.com/ipo/fractal-analytics-ipo/2569/</t>
  </si>
  <si>
    <t>Fractal Analytics Da</t>
  </si>
  <si>
    <t>https://www.chittorgarh.com/ipo/aye-finance-ipo/2026/</t>
  </si>
  <si>
    <t>Aye Finance Date, Pr</t>
  </si>
  <si>
    <t>https://www.chittorgarh.com/ipo/gaudium-ivf-ipo/2019/</t>
  </si>
  <si>
    <t>Gaudium IVF Date, Pr</t>
  </si>
  <si>
    <t>https://www.chittorgarh.com/ipo/shree-ram-twistex-ipo/2502/</t>
  </si>
  <si>
    <t>Shree Ram Twistex Da</t>
  </si>
  <si>
    <t>https://www.chittorgarh.com/ipo/clean-max-enviro-energy-solutions-ipo/2573/</t>
  </si>
  <si>
    <t>Clean Max Enviro Ene</t>
  </si>
  <si>
    <t>https://www.chittorgarh.com/ipo/pngs-reva-ipo/2475/</t>
  </si>
  <si>
    <t>PNGS Reva Diamond Je</t>
  </si>
  <si>
    <t>https://www.chittorgarh.com/ipo/omnitech-engineering-ipo/2479/</t>
  </si>
  <si>
    <t>Omnitech Engineering</t>
  </si>
  <si>
    <t>https://www.chittorgarh.com/ipo/sedemac-mechatronics-ipo/2794/</t>
  </si>
  <si>
    <t>SEDEMAC Mechatronics</t>
  </si>
  <si>
    <t>s</t>
  </si>
  <si>
    <t xml:space="preserve">Rajputana Stainless </t>
  </si>
  <si>
    <t>https://www.chittorgarh.com/ipo/innovision-limited-ipo/2039/</t>
  </si>
  <si>
    <t>Innovision Date, Pri</t>
  </si>
  <si>
    <t>https://www.chittorgarh.com/ipo/gsp-crop-ipo/2031/</t>
  </si>
  <si>
    <t>GSP Crop Science Dat</t>
  </si>
  <si>
    <t>https://www.chittorgarh.com/ipo/central-mine-planning-design-institute-ipo/2456/</t>
  </si>
  <si>
    <t>Central Mine Plannin</t>
  </si>
  <si>
    <t>https://www.chittorgarh.com/ipo/sai-parenterals-ipo/2681/</t>
  </si>
  <si>
    <t>Sai Parenteral&amp;#x27;</t>
  </si>
  <si>
    <t>https://www.chittorgarh.com/ipo/amir-chand-jagdish-kumar-ipo/2501/</t>
  </si>
  <si>
    <t>Amir Chand Jagdish K</t>
  </si>
  <si>
    <t>https://www.chittorgarh.com/ipo/powerica-ipo/2570/</t>
  </si>
  <si>
    <t>Powerica Date, Price</t>
  </si>
  <si>
    <t>https://www.chittorgarh.com/ipo/om-power-transmission-ipo/2676/</t>
  </si>
  <si>
    <t>Om Power Transmission</t>
  </si>
  <si>
    <t>https://www.chittorgarh.com/ipo/onemi-technology-ipo/2576/</t>
  </si>
  <si>
    <t>OnEMI Technology  Pri</t>
  </si>
  <si>
    <t>https://www.chittorgarh.com/ipo/hexagon-nutrition-ipo/2658/</t>
  </si>
  <si>
    <t>Hexagon Nutrition  Pr</t>
  </si>
  <si>
    <t>https://www.chittorgarh.com/ipo/cmr-green-technologies-ipo/2586/</t>
  </si>
  <si>
    <t>CMR Green Technologie</t>
  </si>
  <si>
    <t>https://www.chittorgarh.com/ipo/advit-jewels-ipo/2686/</t>
  </si>
  <si>
    <t xml:space="preserve">Advit Jewels  Price, </t>
  </si>
  <si>
    <t>https://www.chittorgarh.com/ipo/aastha-spintex-ipo/2678/</t>
  </si>
  <si>
    <t>Aastha Spintex  Price</t>
  </si>
  <si>
    <t>https://www.chittorgarh.com/ipo/knack-packaging-ipo/2592/</t>
  </si>
  <si>
    <t>Knack Packaging  Pric</t>
  </si>
  <si>
    <t>https://www.chittorgarh.com/ipo/kusumgar-ipo/2670/</t>
  </si>
  <si>
    <t>Kusumgar  Price, GMP,</t>
  </si>
  <si>
    <t>https://www.chittorgarh.com/ipo/laser-power-infra-ipo/2654/</t>
  </si>
  <si>
    <t>Laser Power &amp;amp; Inf</t>
  </si>
  <si>
    <t>https://www.chittorgarh.com/ipo/sbi-funds-management-ipo/2949/</t>
  </si>
  <si>
    <t xml:space="preserve">SBI Funds Management </t>
  </si>
  <si>
    <t>https://www.chittorgarh.com/ipo/alpine-texworld-ipo/2675/</t>
  </si>
  <si>
    <t>Alpine Texworld  Pric</t>
  </si>
  <si>
    <t>https://www.chittorgarh.com/ipo/caliber-mining-ipo/1999/</t>
  </si>
  <si>
    <t>Caliber Mining  Price</t>
  </si>
  <si>
    <t>https://www.chittorgarh.com/ipo/xtranet-technologies-ipo/2688/</t>
  </si>
  <si>
    <t xml:space="preserve">Xtranet Technologies </t>
  </si>
  <si>
    <t>https://www.chittorgarh.com/ipo/indo-mim-ipo/2682/</t>
  </si>
  <si>
    <t>Indo-MIM  Price, GMP,</t>
  </si>
  <si>
    <t>https://www.chittorgarh.com/ipo/lohia-corp-ipo/2574/</t>
  </si>
  <si>
    <t>Lohia Corp  Price, GM</t>
  </si>
  <si>
    <t>https://www.chittorgarh.com/ipo/manipal-health-enterprises-ipo/2956/</t>
  </si>
  <si>
    <t>Manipal Health Enterp</t>
  </si>
  <si>
    <t>https://www.chittorgarh.com/ipo/mv-electrosystems-ipo/2800/</t>
  </si>
  <si>
    <t>MV Electrosystems  Pr</t>
  </si>
  <si>
    <t>https://www.chittorgarh.com/ipo/juniper-green-energy-ipo/2492/</t>
  </si>
  <si>
    <t xml:space="preserve">Juniper Green Energy </t>
  </si>
  <si>
    <t>https://www.chittorgarh.com/ipo/ardee-industries-ipo/2860/</t>
  </si>
  <si>
    <t>Ardee Industries  Pri</t>
  </si>
  <si>
    <t>https://www.chittorgarh.com/ipo/technocraft-ventures-ipo/2565/</t>
  </si>
  <si>
    <t xml:space="preserve">Technocraft Ventures </t>
  </si>
  <si>
    <t>https://www.chittorgarh.com/ipo/dhoot-transmission-ipo/2859/</t>
  </si>
  <si>
    <t>Dhoot Transmission  P</t>
  </si>
  <si>
    <t>https://www.chittorgarh.com/ipo/molbio-diagnostics-ipo/2579/</t>
  </si>
  <si>
    <t>Molbio Diagnostics  P</t>
  </si>
  <si>
    <t>https://www.chittorgarh.com/ipo/milky-mist-dairy-food-ipo/2541/</t>
  </si>
  <si>
    <t>Milky Mist Dairy Food</t>
  </si>
  <si>
    <t>https://www.chittorgarh.com/ipo/shiprocket-ipo/2450/</t>
  </si>
  <si>
    <t>Shiprocket  Price, GM</t>
  </si>
  <si>
    <t>https://www.chittorgarh.com/ipo/behari-lal-engineering-ipo/2659/</t>
  </si>
  <si>
    <t>Behari Lal Engineerin</t>
  </si>
  <si>
    <t>https://www.chittorgarh.com/ipo/leap-india-ipo/2583/</t>
  </si>
  <si>
    <t>LEAP India  Price, GM</t>
  </si>
  <si>
    <t>https://www.chittorgarh.com/ipo/horizon-industrial-parks-ipo/2826/</t>
  </si>
  <si>
    <t>Horizon Industrial Pa</t>
  </si>
  <si>
    <t>https://www.chittorgarh.com/ipo/lalithaa-jewellery-mart-ipo/2469/</t>
  </si>
  <si>
    <t>Lalithaa Jewellery Ma</t>
  </si>
  <si>
    <t>https://www.chittorgarh.com/ipo/shankesh-jewellers-ipo/2663/</t>
  </si>
  <si>
    <t>Shankesh Jewellers  P</t>
  </si>
  <si>
    <t>https://www.chittorgarh.com/ipo/annu-projects-ipo/2500/</t>
  </si>
  <si>
    <t>Annu Projects  Price,</t>
  </si>
  <si>
    <t>https://www.chittorgarh.com/ipo/lumino-industries-ipo/2013/</t>
  </si>
  <si>
    <t>Lumino Industries  Pr</t>
  </si>
  <si>
    <t>https://www.chittorgarh.com/ipo/priority-jewels-ipo/2435/</t>
  </si>
  <si>
    <t>Priority Jewels  Pric</t>
  </si>
  <si>
    <t>https://www.chittorgarh.com/ipo/esds-software-ipo/1198/</t>
  </si>
  <si>
    <t>ESDS Software Solutio</t>
  </si>
  <si>
    <t>https://www.chittorgarh.com/ipo/purple-style-labs-ipo/2622/</t>
  </si>
  <si>
    <t>Purple Style Labs  Pr</t>
  </si>
  <si>
    <t>https://www.chittorgarh.com/ipo/deepa-jewellers-ipo/2827/</t>
  </si>
  <si>
    <t>Deepa Jewellers  Pric</t>
  </si>
  <si>
    <t>https://www.chittorgarh.com/ipo/rays-of-belief-ipo/2787/</t>
  </si>
  <si>
    <t>Rays of Belief  Price</t>
  </si>
  <si>
    <t>https://www.chittorgarh.com/ipo/pranav-constructions-ipo/2127/</t>
  </si>
  <si>
    <t xml:space="preserve">Pranav Constructions </t>
  </si>
  <si>
    <t>https://www.chittorgarh.com/ipo/kanohar-electricals-ipo/2856/</t>
  </si>
  <si>
    <t xml:space="preserve">Kanohar Electricals  </t>
  </si>
  <si>
    <t>https://www.chittorgarh.com/ipo/prasol-chemicals-ipo/2775/</t>
  </si>
  <si>
    <t>Prasol Chemicals  Pri</t>
  </si>
  <si>
    <t>https://www.chittorgarh.com/ipo/glass-wall-systems-ipo/2594/</t>
  </si>
  <si>
    <t>Glass Wall Systems  P</t>
  </si>
  <si>
    <t>https://www.chittorgarh.com/ipo/asset-reconstruction-ipo/2558/</t>
  </si>
  <si>
    <t xml:space="preserve">Asset Reconstruction </t>
  </si>
  <si>
    <t>https://www.chittorgarh.com/ipo/manipal-payment-and-identity-solutions-ipo/2524/</t>
  </si>
  <si>
    <t>Manipal Payment &amp;amp;</t>
  </si>
  <si>
    <t>https://www.chittorgarh.com/ipo/steamhouse-india-ipo/2514/</t>
  </si>
  <si>
    <t>Steamhouse India  Pri</t>
  </si>
  <si>
    <t>https://www.chittorgarh.com/ipo/lcc-projects-ipo/2086/</t>
  </si>
  <si>
    <t xml:space="preserve">LCC Projects  Price, </t>
  </si>
  <si>
    <t>https://www.chittorgarh.com/ipo/karamtara-engineering-ipo/2020/</t>
  </si>
  <si>
    <t>Karamtara Engineering</t>
  </si>
  <si>
    <t>https://www.chittorgarh.com/ipo/veegaland-developers-ipo/2834/</t>
  </si>
  <si>
    <t xml:space="preserve">Veegaland Developers </t>
  </si>
  <si>
    <t>https://www.chittorgarh.com/ipo/manika-plastech-ipo/2483/</t>
  </si>
  <si>
    <t>Manika Plastech  Pric</t>
  </si>
  <si>
    <t>https://www.chittorgarh.com/ipo/ss-retail-ipo/2822/</t>
  </si>
  <si>
    <t>SS Retail  Price, GMP</t>
  </si>
  <si>
    <t>https://www.chittorgarh.com/ipo/jindal-supreme-ipo/2803/</t>
  </si>
  <si>
    <t>Jindal Supreme  Price</t>
  </si>
  <si>
    <t>https://www.chittorgarh.com/ipo/hero-motors-ipo/2225/</t>
  </si>
  <si>
    <t>Hero Motors  Price, G</t>
  </si>
  <si>
    <t>https://www.chittorgarh.com/ipo/nse-ipo/3151/</t>
  </si>
  <si>
    <t>NSE  Price, GMP, Revi</t>
  </si>
  <si>
    <t>https://www.chittorgarh.com/ipo/sonaselection-india-ipo/2805/</t>
  </si>
  <si>
    <t xml:space="preserve">Sonaselection India  </t>
  </si>
  <si>
    <t>https://www.chittorgarh.com/ipo/varmora-granito-ipo/2563/</t>
  </si>
  <si>
    <t>Varmora Granito  Pric</t>
  </si>
  <si>
    <t>https://www.chittorgarh.com/ipo/adroit-industries-ipo/3007/</t>
  </si>
  <si>
    <t>Adroit Industries  Pr</t>
  </si>
  <si>
    <t>https://www.chittorgarh.com/ipo/swastika-infra-ipo/2287/</t>
  </si>
  <si>
    <t>Swastika Infra  Price</t>
  </si>
  <si>
    <t>https://www.chittorgarh.com/ipo/armee-infotech-ipo/2140/</t>
  </si>
  <si>
    <t>ArMee Infotech  Price</t>
  </si>
  <si>
    <t>https://www.chittorgarh.com/ipo/moneyview-ipo/2936/</t>
  </si>
  <si>
    <t>Moneyview  Price, GMP</t>
  </si>
  <si>
    <t>https://www.chittorgarh.com/ipo/a-one-steels-ipo/2000/</t>
  </si>
  <si>
    <t xml:space="preserve">A-One Steels  Price, </t>
  </si>
  <si>
    <t>https://www.chittorgarh.com/ipo/acevector-ipo/2543/</t>
  </si>
  <si>
    <t>Acevector  Price, GMP</t>
  </si>
  <si>
    <t>https://www.chittorgarh.com/ipo/orient-cables-ipo/2532/</t>
  </si>
  <si>
    <t>Orient Cables  Price,</t>
  </si>
  <si>
    <t>https://www.chittorgarh.com/ipo/german-green-steel-and-power-ipo/2497/</t>
  </si>
  <si>
    <t>German Green Steel  P</t>
  </si>
  <si>
    <t>https://www.chittorgarh.com/ipo/runwal-enterprises-ipo/2298/</t>
  </si>
  <si>
    <t>Runwal Enterprises  P</t>
  </si>
  <si>
    <t>https://www.chittorgarh.com/ipo/srit-india-ipo/2858/</t>
  </si>
  <si>
    <t>SRIT India  Price, GM</t>
  </si>
  <si>
    <t>https://www.chittorgarh.com/ipo/shah-investors-home-ipo/2657/</t>
  </si>
  <si>
    <t xml:space="preserve">Shah Investor&amp;#x27;s </t>
  </si>
  <si>
    <t>https://www.chittorgarh.com/ipo/snapdeal-ipo/2543/</t>
  </si>
  <si>
    <t>Snapdeal  Price, GMP,</t>
  </si>
  <si>
    <t>https://www.chittorgarh.com/ipo/nityas-gems-jewellery-ipo/2974/</t>
  </si>
  <si>
    <t>Nityas Gems &amp;amp; Jew</t>
  </si>
  <si>
    <t>https://www.chittorgarh.com/ipo/vishal-nirmiti-ipo/2665/</t>
  </si>
  <si>
    <t>Vishal Nirmiti  Price</t>
  </si>
  <si>
    <t>May</t>
  </si>
  <si>
    <t>Principal</t>
  </si>
  <si>
    <t>Profit</t>
  </si>
  <si>
    <t>Pos</t>
  </si>
  <si>
    <t>Neg</t>
  </si>
  <si>
    <t>Loss</t>
  </si>
  <si>
    <t>Net</t>
  </si>
  <si>
    <t>% ROI in 6 monhs</t>
  </si>
  <si>
    <t>yearly ROI</t>
  </si>
  <si>
    <t>Really low</t>
  </si>
  <si>
    <t>NoFin-12</t>
  </si>
  <si>
    <t>NoFin-13.5</t>
  </si>
  <si>
    <t>Remarks</t>
  </si>
  <si>
    <t>Best case</t>
  </si>
  <si>
    <t>Fin-12</t>
  </si>
  <si>
    <t>RII &lt; 140</t>
  </si>
  <si>
    <t>profit - 45</t>
  </si>
  <si>
    <t>Fin-13.93</t>
  </si>
  <si>
    <t>6 month data</t>
  </si>
  <si>
    <t>Loss - 10</t>
  </si>
  <si>
    <t>NoFin-10.2</t>
  </si>
  <si>
    <t>Fin-9</t>
  </si>
  <si>
    <t>Average case</t>
  </si>
  <si>
    <t>Profit - 30</t>
  </si>
  <si>
    <t>Loss - 12</t>
  </si>
  <si>
    <t>Worst case</t>
  </si>
  <si>
    <t>Profit - 10</t>
  </si>
  <si>
    <t>Loss - 15</t>
  </si>
  <si>
    <t>July</t>
  </si>
  <si>
    <t>45 10</t>
  </si>
  <si>
    <t>NoFin - 13.5 RII &gt; 2.93 at 3 pm</t>
  </si>
  <si>
    <t>30 12</t>
  </si>
  <si>
    <t>10 15</t>
  </si>
  <si>
    <t>Really Low</t>
  </si>
  <si>
    <t>NoFin-17.9</t>
  </si>
  <si>
    <t>Fin-16.6</t>
  </si>
  <si>
    <t>profit - 42</t>
  </si>
  <si>
    <t>Fin-21.55</t>
  </si>
  <si>
    <t>Fin-23.75</t>
  </si>
  <si>
    <t>NoFin-21.5</t>
  </si>
  <si>
    <t>NoFin-23.75</t>
  </si>
  <si>
    <t>profit - 21</t>
  </si>
  <si>
    <t>profit - 15</t>
  </si>
  <si>
    <t>Loss - 20</t>
  </si>
  <si>
    <t>SME</t>
  </si>
  <si>
    <t>MB</t>
  </si>
  <si>
    <t>Total IPO</t>
  </si>
  <si>
    <t>SMWS</t>
  </si>
  <si>
    <t>GoodMB</t>
  </si>
  <si>
    <t>Capital Allocation Non availability loss</t>
  </si>
  <si>
    <t>Best</t>
  </si>
  <si>
    <t>Average</t>
  </si>
  <si>
    <t>Worst</t>
  </si>
  <si>
    <t>IPO subscription till 3 pm is less as compared to 4 pm</t>
  </si>
  <si>
    <t>but as kotak bank allow till 3 pm only, in all uplcojing ipos subcription figure will be 20 % less than previous ipos</t>
  </si>
  <si>
    <t>as 3 pm update will be done at 2.50 pm instead of 4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</si>
</sst>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>
    <font>
      <sz val="10"/>
      <color rgb="FF000000"/>
      <name val="Arial"/>
      <charset val="1"/>
    </font>
    <font>
      <sz val="10"/>
      <color theme="1"/>
      <name val="Arial"/>
      <charset val="1"/>
    </font>
    <font>
      <i/>
      <sz val="10"/>
      <color theme="1"/>
      <name val="Arial"/>
      <family val="2"/>
      <charset val="1"/>
    </font>
    <font>
      <sz val="10"/>
      <color theme="1"/>
      <name val="Arial"/>
      <family val="2"/>
      <charset val="1"/>
    </font>
    <font>
      <sz val="10"/>
      <color rgb="FF1B1C1D"/>
      <name val="Arial"/>
      <charset val="1"/>
    </font>
    <font>
      <sz val="10"/>
      <color rgb="FFFF0000"/>
      <name val="Arial"/>
      <charset val="1"/>
    </font>
    <font>
      <b/>
      <sz val="10"/>
      <color rgb="FF000000"/>
      <name val="Arial"/>
      <charset val="1"/>
    </font>
    <font>
      <b/>
      <sz val="10"/>
      <color theme="1"/>
      <name val="&quot;Google Sans Text&quot;"/>
      <charset val="1"/>
    </font>
    <font>
      <b/>
      <sz val="10"/>
      <color theme="1"/>
      <name val="Arial"/>
      <family val="2"/>
      <charset val="1"/>
    </font>
    <font>
      <b/>
      <sz val="10"/>
      <color rgb="FF000000"/>
      <name val="Arial"/>
      <family val="2"/>
      <charset val="1"/>
    </font>
    <font>
      <i/>
      <sz val="10"/>
      <color rgb="FF000000"/>
      <name val="Arial"/>
      <family val="2"/>
      <charset val="1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i/>
      <sz val="10"/>
      <color theme="1"/>
      <name val="Arial"/>
      <family val="2"/>
    </font>
    <font>
      <i/>
      <sz val="10"/>
      <color theme="1"/>
      <name val="Arial"/>
      <family val="2"/>
    </font>
    <font>
      <i/>
      <sz val="10"/>
      <color rgb="FF000000"/>
      <name val="Arial"/>
      <family val="2"/>
    </font>
    <font>
      <sz val="10"/>
      <color rgb="FFFF0000"/>
      <name val="Arial"/>
      <family val="2"/>
    </font>
    <font>
      <i/>
      <sz val="10"/>
      <color rgb="FFFF000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5" tint="0.59987182226020086"/>
        <bgColor rgb="FFD5A6BD"/>
      </patternFill>
    </fill>
    <fill>
      <patternFill patternType="solid">
        <fgColor rgb="FF93C47D"/>
        <bgColor rgb="FF7AD693"/>
      </patternFill>
    </fill>
    <fill>
      <patternFill patternType="solid">
        <fgColor rgb="FFE06666"/>
        <bgColor rgb="FFF28E86"/>
      </patternFill>
    </fill>
    <fill>
      <patternFill patternType="solid">
        <fgColor theme="7" tint="0.79989013336588644"/>
        <bgColor rgb="FFB7E1CD"/>
      </patternFill>
    </fill>
    <fill>
      <patternFill patternType="solid">
        <fgColor theme="5" tint="0.39988402966399123"/>
        <bgColor rgb="FFEA9999"/>
      </patternFill>
    </fill>
    <fill>
      <patternFill patternType="solid">
        <fgColor rgb="FF00FF00"/>
        <bgColor rgb="FF00FFFF"/>
      </patternFill>
    </fill>
    <fill>
      <patternFill patternType="solid">
        <fgColor rgb="FFD5A6BD"/>
        <bgColor rgb="FFEA9999"/>
      </patternFill>
    </fill>
    <fill>
      <patternFill patternType="solid">
        <fgColor rgb="FFFFE599"/>
        <bgColor rgb="FFFFE2CC"/>
      </patternFill>
    </fill>
    <fill>
      <patternFill patternType="solid">
        <fgColor rgb="FFB6D7A8"/>
        <bgColor rgb="FFA6E4B7"/>
      </patternFill>
    </fill>
    <fill>
      <patternFill patternType="solid">
        <fgColor rgb="FF9FC5E8"/>
        <bgColor rgb="FFB3CEFB"/>
      </patternFill>
    </fill>
    <fill>
      <patternFill patternType="solid">
        <fgColor rgb="FFEAD1DC"/>
        <bgColor rgb="FFFFE2CC"/>
      </patternFill>
    </fill>
    <fill>
      <patternFill patternType="solid">
        <fgColor rgb="FFEA9999"/>
        <bgColor rgb="FFF28E86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4">
    <xf numFmtId="0" fontId="0" fillId="0" borderId="0" xfId="0"/>
    <xf numFmtId="1" fontId="0" fillId="0" borderId="0" xfId="0" applyNumberFormat="1"/>
    <xf numFmtId="2" fontId="0" fillId="0" borderId="0" xfId="0" applyNumberFormat="1"/>
    <xf numFmtId="0" fontId="1" fillId="3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2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1" fontId="1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0" fillId="3" borderId="0" xfId="0" applyFill="1" applyAlignment="1">
      <alignment horizontal="left"/>
    </xf>
    <xf numFmtId="0" fontId="4" fillId="3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4" fillId="4" borderId="0" xfId="0" applyFont="1" applyFill="1" applyAlignment="1">
      <alignment horizontal="left"/>
    </xf>
    <xf numFmtId="0" fontId="1" fillId="4" borderId="0" xfId="0" applyFont="1" applyFill="1" applyAlignment="1">
      <alignment horizontal="left"/>
    </xf>
    <xf numFmtId="0" fontId="0" fillId="4" borderId="0" xfId="0" applyFill="1" applyAlignment="1">
      <alignment horizontal="left"/>
    </xf>
    <xf numFmtId="1" fontId="1" fillId="5" borderId="0" xfId="0" applyNumberFormat="1" applyFont="1" applyFill="1" applyAlignment="1">
      <alignment horizontal="left"/>
    </xf>
    <xf numFmtId="0" fontId="1" fillId="5" borderId="0" xfId="0" applyFont="1" applyFill="1" applyAlignment="1">
      <alignment horizontal="left"/>
    </xf>
    <xf numFmtId="2" fontId="1" fillId="5" borderId="0" xfId="0" applyNumberFormat="1" applyFont="1" applyFill="1" applyAlignment="1">
      <alignment horizontal="left"/>
    </xf>
    <xf numFmtId="0" fontId="5" fillId="0" borderId="0" xfId="0" applyFont="1" applyAlignment="1">
      <alignment horizontal="left"/>
    </xf>
    <xf numFmtId="2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1" fontId="1" fillId="6" borderId="0" xfId="0" applyNumberFormat="1" applyFont="1" applyFill="1" applyAlignment="1">
      <alignment horizontal="left"/>
    </xf>
    <xf numFmtId="0" fontId="1" fillId="6" borderId="0" xfId="0" applyFont="1" applyFill="1" applyAlignment="1">
      <alignment horizontal="left"/>
    </xf>
    <xf numFmtId="2" fontId="1" fillId="6" borderId="0" xfId="0" applyNumberFormat="1" applyFont="1" applyFill="1" applyAlignment="1">
      <alignment horizontal="left"/>
    </xf>
    <xf numFmtId="2" fontId="2" fillId="0" borderId="0" xfId="0" applyNumberFormat="1" applyFont="1" applyAlignment="1">
      <alignment horizontal="left"/>
    </xf>
    <xf numFmtId="2" fontId="2" fillId="6" borderId="0" xfId="0" applyNumberFormat="1" applyFont="1" applyFill="1" applyAlignment="1">
      <alignment horizontal="left"/>
    </xf>
    <xf numFmtId="0" fontId="0" fillId="7" borderId="0" xfId="0" applyFill="1" applyAlignment="1">
      <alignment horizontal="left"/>
    </xf>
    <xf numFmtId="0" fontId="1" fillId="0" borderId="0" xfId="0" applyFont="1"/>
    <xf numFmtId="2" fontId="1" fillId="0" borderId="0" xfId="0" applyNumberFormat="1" applyFont="1"/>
    <xf numFmtId="1" fontId="1" fillId="0" borderId="0" xfId="0" applyNumberFormat="1" applyFont="1" applyAlignment="1">
      <alignment horizontal="center"/>
    </xf>
    <xf numFmtId="1" fontId="1" fillId="8" borderId="0" xfId="0" applyNumberFormat="1" applyFont="1" applyFill="1" applyAlignment="1">
      <alignment horizontal="center"/>
    </xf>
    <xf numFmtId="1" fontId="1" fillId="5" borderId="0" xfId="0" applyNumberFormat="1" applyFont="1" applyFill="1" applyAlignment="1">
      <alignment horizontal="center"/>
    </xf>
    <xf numFmtId="0" fontId="1" fillId="5" borderId="0" xfId="0" applyFont="1" applyFill="1"/>
    <xf numFmtId="1" fontId="1" fillId="9" borderId="0" xfId="0" applyNumberFormat="1" applyFont="1" applyFill="1" applyAlignment="1">
      <alignment horizontal="center"/>
    </xf>
    <xf numFmtId="0" fontId="0" fillId="7" borderId="0" xfId="0" applyFill="1"/>
    <xf numFmtId="1" fontId="1" fillId="10" borderId="0" xfId="0" applyNumberFormat="1" applyFont="1" applyFill="1" applyAlignment="1">
      <alignment horizontal="center"/>
    </xf>
    <xf numFmtId="1" fontId="1" fillId="11" borderId="0" xfId="0" applyNumberFormat="1" applyFont="1" applyFill="1" applyAlignment="1">
      <alignment horizontal="center"/>
    </xf>
    <xf numFmtId="1" fontId="1" fillId="0" borderId="0" xfId="0" applyNumberFormat="1" applyFont="1"/>
    <xf numFmtId="0" fontId="6" fillId="0" borderId="0" xfId="0" applyFont="1"/>
    <xf numFmtId="1" fontId="6" fillId="0" borderId="0" xfId="0" applyNumberFormat="1" applyFont="1"/>
    <xf numFmtId="1" fontId="1" fillId="12" borderId="0" xfId="0" applyNumberFormat="1" applyFont="1" applyFill="1" applyAlignment="1">
      <alignment horizontal="center"/>
    </xf>
    <xf numFmtId="2" fontId="6" fillId="0" borderId="0" xfId="0" applyNumberFormat="1" applyFont="1"/>
    <xf numFmtId="0" fontId="7" fillId="0" borderId="0" xfId="0" applyFont="1"/>
    <xf numFmtId="2" fontId="7" fillId="0" borderId="0" xfId="0" applyNumberFormat="1" applyFont="1"/>
    <xf numFmtId="1" fontId="7" fillId="0" borderId="0" xfId="0" applyNumberFormat="1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0" fillId="5" borderId="0" xfId="0" applyFill="1"/>
    <xf numFmtId="0" fontId="10" fillId="5" borderId="0" xfId="0" applyFont="1" applyFill="1"/>
    <xf numFmtId="0" fontId="12" fillId="0" borderId="0" xfId="0" applyFont="1"/>
    <xf numFmtId="2" fontId="12" fillId="0" borderId="0" xfId="0" applyNumberFormat="1" applyFont="1" applyAlignment="1">
      <alignment horizontal="left"/>
    </xf>
    <xf numFmtId="0" fontId="13" fillId="0" borderId="0" xfId="0" applyFont="1"/>
    <xf numFmtId="0" fontId="0" fillId="0" borderId="0" xfId="0" applyAlignment="1">
      <alignment wrapText="1"/>
    </xf>
    <xf numFmtId="0" fontId="13" fillId="0" borderId="0" xfId="0" applyFont="1" applyAlignment="1">
      <alignment wrapText="1"/>
    </xf>
    <xf numFmtId="164" fontId="0" fillId="0" borderId="2" xfId="0" applyNumberFormat="1" applyBorder="1"/>
    <xf numFmtId="164" fontId="0" fillId="0" borderId="8" xfId="0" applyNumberFormat="1" applyBorder="1"/>
    <xf numFmtId="164" fontId="0" fillId="0" borderId="5" xfId="0" applyNumberFormat="1" applyBorder="1"/>
    <xf numFmtId="0" fontId="13" fillId="0" borderId="1" xfId="0" applyFont="1" applyBorder="1"/>
    <xf numFmtId="0" fontId="0" fillId="0" borderId="4" xfId="0" applyBorder="1"/>
    <xf numFmtId="164" fontId="0" fillId="0" borderId="0" xfId="0" applyNumberFormat="1"/>
    <xf numFmtId="1" fontId="11" fillId="0" borderId="0" xfId="0" applyNumberFormat="1" applyFont="1" applyAlignment="1">
      <alignment horizontal="left"/>
    </xf>
    <xf numFmtId="0" fontId="14" fillId="0" borderId="0" xfId="0" applyFont="1"/>
    <xf numFmtId="0" fontId="13" fillId="0" borderId="3" xfId="0" applyFont="1" applyBorder="1"/>
    <xf numFmtId="0" fontId="13" fillId="0" borderId="4" xfId="0" applyFont="1" applyBorder="1"/>
    <xf numFmtId="164" fontId="0" fillId="0" borderId="4" xfId="0" applyNumberFormat="1" applyBorder="1"/>
    <xf numFmtId="0" fontId="13" fillId="0" borderId="6" xfId="0" applyFont="1" applyBorder="1"/>
    <xf numFmtId="0" fontId="13" fillId="0" borderId="7" xfId="0" applyFont="1" applyBorder="1"/>
    <xf numFmtId="0" fontId="0" fillId="0" borderId="7" xfId="0" applyBorder="1"/>
    <xf numFmtId="164" fontId="0" fillId="0" borderId="7" xfId="0" applyNumberFormat="1" applyBorder="1"/>
    <xf numFmtId="0" fontId="13" fillId="14" borderId="3" xfId="0" applyFont="1" applyFill="1" applyBorder="1"/>
    <xf numFmtId="0" fontId="13" fillId="14" borderId="4" xfId="0" applyFont="1" applyFill="1" applyBorder="1"/>
    <xf numFmtId="0" fontId="0" fillId="14" borderId="4" xfId="0" applyFill="1" applyBorder="1"/>
    <xf numFmtId="164" fontId="0" fillId="14" borderId="4" xfId="0" applyNumberFormat="1" applyFill="1" applyBorder="1"/>
    <xf numFmtId="164" fontId="0" fillId="14" borderId="5" xfId="0" applyNumberFormat="1" applyFill="1" applyBorder="1"/>
    <xf numFmtId="0" fontId="0" fillId="14" borderId="0" xfId="0" applyFill="1"/>
    <xf numFmtId="0" fontId="13" fillId="14" borderId="1" xfId="0" applyFont="1" applyFill="1" applyBorder="1"/>
    <xf numFmtId="0" fontId="13" fillId="14" borderId="0" xfId="0" applyFont="1" applyFill="1"/>
    <xf numFmtId="164" fontId="0" fillId="14" borderId="0" xfId="0" applyNumberFormat="1" applyFill="1"/>
    <xf numFmtId="164" fontId="0" fillId="14" borderId="2" xfId="0" applyNumberFormat="1" applyFill="1" applyBorder="1"/>
    <xf numFmtId="0" fontId="0" fillId="15" borderId="0" xfId="0" applyFill="1"/>
    <xf numFmtId="0" fontId="13" fillId="15" borderId="1" xfId="0" applyFont="1" applyFill="1" applyBorder="1"/>
    <xf numFmtId="0" fontId="13" fillId="15" borderId="0" xfId="0" applyFont="1" applyFill="1"/>
    <xf numFmtId="0" fontId="0" fillId="15" borderId="4" xfId="0" applyFill="1" applyBorder="1"/>
    <xf numFmtId="164" fontId="0" fillId="15" borderId="0" xfId="0" applyNumberFormat="1" applyFill="1"/>
    <xf numFmtId="164" fontId="0" fillId="15" borderId="2" xfId="0" applyNumberFormat="1" applyFill="1" applyBorder="1"/>
    <xf numFmtId="0" fontId="13" fillId="15" borderId="6" xfId="0" applyFont="1" applyFill="1" applyBorder="1"/>
    <xf numFmtId="0" fontId="13" fillId="15" borderId="7" xfId="0" applyFont="1" applyFill="1" applyBorder="1"/>
    <xf numFmtId="0" fontId="0" fillId="15" borderId="7" xfId="0" applyFill="1" applyBorder="1"/>
    <xf numFmtId="164" fontId="0" fillId="15" borderId="7" xfId="0" applyNumberFormat="1" applyFill="1" applyBorder="1"/>
    <xf numFmtId="164" fontId="0" fillId="15" borderId="8" xfId="0" applyNumberFormat="1" applyFill="1" applyBorder="1"/>
    <xf numFmtId="0" fontId="13" fillId="16" borderId="1" xfId="0" applyFont="1" applyFill="1" applyBorder="1"/>
    <xf numFmtId="0" fontId="0" fillId="16" borderId="0" xfId="0" applyFill="1"/>
    <xf numFmtId="0" fontId="0" fillId="16" borderId="4" xfId="0" applyFill="1" applyBorder="1"/>
    <xf numFmtId="164" fontId="0" fillId="16" borderId="0" xfId="0" applyNumberFormat="1" applyFill="1"/>
    <xf numFmtId="164" fontId="0" fillId="16" borderId="2" xfId="0" applyNumberFormat="1" applyFill="1" applyBorder="1"/>
    <xf numFmtId="0" fontId="0" fillId="17" borderId="0" xfId="0" applyFill="1"/>
    <xf numFmtId="2" fontId="11" fillId="0" borderId="0" xfId="0" applyNumberFormat="1" applyFont="1"/>
    <xf numFmtId="0" fontId="11" fillId="0" borderId="0" xfId="0" applyFont="1"/>
    <xf numFmtId="1" fontId="11" fillId="0" borderId="0" xfId="0" applyNumberFormat="1" applyFont="1"/>
    <xf numFmtId="1" fontId="12" fillId="0" borderId="0" xfId="0" applyNumberFormat="1" applyFont="1"/>
    <xf numFmtId="164" fontId="12" fillId="0" borderId="0" xfId="0" applyNumberFormat="1" applyFont="1"/>
    <xf numFmtId="164" fontId="12" fillId="0" borderId="1" xfId="0" applyNumberFormat="1" applyFont="1" applyBorder="1"/>
    <xf numFmtId="164" fontId="12" fillId="0" borderId="2" xfId="0" applyNumberFormat="1" applyFont="1" applyBorder="1"/>
    <xf numFmtId="2" fontId="12" fillId="0" borderId="0" xfId="0" applyNumberFormat="1" applyFont="1"/>
    <xf numFmtId="0" fontId="12" fillId="0" borderId="1" xfId="0" applyFont="1" applyBorder="1"/>
    <xf numFmtId="1" fontId="16" fillId="0" borderId="0" xfId="0" applyNumberFormat="1" applyFont="1"/>
    <xf numFmtId="0" fontId="17" fillId="0" borderId="0" xfId="0" applyFont="1"/>
    <xf numFmtId="0" fontId="13" fillId="18" borderId="0" xfId="0" applyFont="1" applyFill="1"/>
    <xf numFmtId="2" fontId="11" fillId="0" borderId="0" xfId="0" applyNumberFormat="1" applyFont="1" applyAlignment="1">
      <alignment wrapText="1"/>
    </xf>
    <xf numFmtId="2" fontId="11" fillId="2" borderId="0" xfId="0" applyNumberFormat="1" applyFont="1" applyFill="1" applyAlignment="1">
      <alignment wrapText="1"/>
    </xf>
    <xf numFmtId="2" fontId="15" fillId="0" borderId="0" xfId="0" applyNumberFormat="1" applyFont="1" applyAlignment="1">
      <alignment wrapText="1"/>
    </xf>
    <xf numFmtId="2" fontId="15" fillId="0" borderId="1" xfId="0" applyNumberFormat="1" applyFont="1" applyBorder="1" applyAlignment="1">
      <alignment wrapText="1"/>
    </xf>
    <xf numFmtId="2" fontId="15" fillId="2" borderId="2" xfId="0" applyNumberFormat="1" applyFont="1" applyFill="1" applyBorder="1" applyAlignment="1">
      <alignment wrapText="1"/>
    </xf>
    <xf numFmtId="2" fontId="15" fillId="2" borderId="0" xfId="0" applyNumberFormat="1" applyFont="1" applyFill="1" applyAlignment="1">
      <alignment wrapText="1"/>
    </xf>
    <xf numFmtId="0" fontId="11" fillId="0" borderId="0" xfId="0" applyFont="1" applyAlignment="1">
      <alignment wrapText="1"/>
    </xf>
    <xf numFmtId="0" fontId="11" fillId="2" borderId="0" xfId="0" applyFont="1" applyFill="1" applyAlignment="1">
      <alignment wrapText="1"/>
    </xf>
    <xf numFmtId="2" fontId="11" fillId="10" borderId="0" xfId="0" applyNumberFormat="1" applyFont="1" applyFill="1"/>
    <xf numFmtId="2" fontId="15" fillId="10" borderId="0" xfId="0" applyNumberFormat="1" applyFont="1" applyFill="1"/>
    <xf numFmtId="2" fontId="11" fillId="13" borderId="0" xfId="0" applyNumberFormat="1" applyFont="1" applyFill="1"/>
    <xf numFmtId="2" fontId="15" fillId="13" borderId="0" xfId="0" applyNumberFormat="1" applyFont="1" applyFill="1"/>
    <xf numFmtId="0" fontId="11" fillId="0" borderId="0" xfId="0" applyFont="1" applyAlignment="1">
      <alignment horizontal="left" wrapText="1"/>
    </xf>
    <xf numFmtId="0" fontId="11" fillId="2" borderId="0" xfId="0" applyFont="1" applyFill="1" applyAlignment="1">
      <alignment horizontal="left" wrapText="1"/>
    </xf>
    <xf numFmtId="2" fontId="14" fillId="2" borderId="0" xfId="0" applyNumberFormat="1" applyFont="1" applyFill="1" applyAlignment="1">
      <alignment horizontal="left" wrapText="1"/>
    </xf>
    <xf numFmtId="2" fontId="15" fillId="0" borderId="0" xfId="0" applyNumberFormat="1" applyFont="1" applyAlignment="1">
      <alignment horizontal="left" wrapText="1"/>
    </xf>
    <xf numFmtId="2" fontId="15" fillId="2" borderId="0" xfId="0" applyNumberFormat="1" applyFont="1" applyFill="1" applyAlignment="1">
      <alignment horizontal="left" wrapText="1"/>
    </xf>
    <xf numFmtId="1" fontId="11" fillId="14" borderId="0" xfId="0" applyNumberFormat="1" applyFont="1" applyFill="1" applyAlignment="1">
      <alignment horizontal="left" wrapText="1"/>
    </xf>
    <xf numFmtId="1" fontId="11" fillId="14" borderId="0" xfId="0" applyNumberFormat="1" applyFont="1" applyFill="1" applyAlignment="1">
      <alignment wrapText="1"/>
    </xf>
    <xf numFmtId="0" fontId="0" fillId="19" borderId="0" xfId="0" applyFill="1"/>
    <xf numFmtId="0" fontId="0" fillId="20" borderId="0" xfId="0" applyFill="1"/>
    <xf numFmtId="0" fontId="18" fillId="0" borderId="0" xfId="0" applyFont="1"/>
    <xf numFmtId="1" fontId="19" fillId="0" borderId="0" xfId="0" applyNumberFormat="1" applyFont="1"/>
    <xf numFmtId="1" fontId="18" fillId="0" borderId="0" xfId="0" applyNumberFormat="1" applyFont="1"/>
    <xf numFmtId="164" fontId="18" fillId="0" borderId="0" xfId="0" applyNumberFormat="1" applyFont="1"/>
  </cellXfs>
  <cellStyles count="1">
    <cellStyle name="Normal" xfId="0" builtinId="0"/>
  </cellStyles>
  <dxfs count="50"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88402966399123"/>
        </patternFill>
      </fill>
    </dxf>
    <dxf>
      <fill>
        <patternFill>
          <bgColor rgb="FFFFFF00"/>
        </patternFill>
      </fill>
    </dxf>
    <dxf>
      <fill>
        <patternFill>
          <bgColor theme="7" tint="0.39988402966399123"/>
        </patternFill>
      </fill>
    </dxf>
    <dxf>
      <fill>
        <patternFill>
          <bgColor theme="7" tint="0.39988402966399123"/>
        </patternFill>
      </fill>
    </dxf>
    <dxf>
      <fill>
        <patternFill>
          <bgColor rgb="FFFFFF00"/>
        </patternFill>
      </fill>
    </dxf>
    <dxf>
      <fill>
        <patternFill>
          <bgColor theme="9" tint="0.39988402966399123"/>
        </patternFill>
      </fill>
    </dxf>
    <dxf>
      <fill>
        <patternFill>
          <bgColor theme="9" tint="0.39988402966399123"/>
        </patternFill>
      </fill>
    </dxf>
    <dxf>
      <fill>
        <patternFill>
          <bgColor theme="5" tint="0.39988402966399123"/>
        </patternFill>
      </fill>
    </dxf>
    <dxf>
      <fill>
        <patternFill>
          <bgColor theme="7" tint="0.39988402966399123"/>
        </patternFill>
      </fill>
    </dxf>
    <dxf>
      <fill>
        <patternFill>
          <bgColor theme="7" tint="0.39988402966399123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6B26B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88402966399123"/>
        </patternFill>
      </fill>
    </dxf>
    <dxf>
      <fill>
        <patternFill>
          <bgColor rgb="FFFFFF00"/>
        </patternFill>
      </fill>
    </dxf>
    <dxf>
      <fill>
        <patternFill>
          <bgColor theme="9" tint="0.39988402966399123"/>
        </patternFill>
      </fill>
    </dxf>
    <dxf>
      <fill>
        <patternFill>
          <bgColor theme="9" tint="0.39988402966399123"/>
        </patternFill>
      </fill>
    </dxf>
    <dxf>
      <fill>
        <patternFill>
          <bgColor rgb="FFFFFF00"/>
        </patternFill>
      </fill>
    </dxf>
    <dxf>
      <fill>
        <patternFill>
          <bgColor theme="4" tint="0.39988402966399123"/>
        </patternFill>
      </fill>
    </dxf>
    <dxf>
      <fill>
        <patternFill>
          <bgColor theme="8" tint="0.39988402966399123"/>
        </patternFill>
      </fill>
    </dxf>
    <dxf>
      <fill>
        <patternFill>
          <bgColor theme="4" tint="0.59987182226020086"/>
        </patternFill>
      </fill>
    </dxf>
    <dxf>
      <fill>
        <patternFill>
          <bgColor theme="5" tint="0.39988402966399123"/>
        </patternFill>
      </fill>
    </dxf>
    <dxf>
      <fill>
        <patternFill>
          <bgColor theme="9" tint="0.39988402966399123"/>
        </patternFill>
      </fill>
    </dxf>
    <dxf>
      <fill>
        <patternFill>
          <bgColor theme="8" tint="0.79989013336588644"/>
        </patternFill>
      </fill>
    </dxf>
    <dxf>
      <fill>
        <patternFill>
          <bgColor theme="4" tint="0.59987182226020086"/>
        </patternFill>
      </fill>
    </dxf>
    <dxf>
      <fill>
        <patternFill>
          <bgColor theme="5" tint="0.39988402966399123"/>
        </patternFill>
      </fill>
    </dxf>
    <dxf>
      <fill>
        <patternFill>
          <bgColor theme="7" tint="0.59987182226020086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FF000000"/>
      <rgbColor rgb="FFEAD1DC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6D7A8"/>
      <rgbColor rgb="FF808080"/>
      <rgbColor rgb="FF8EB6F8"/>
      <rgbColor rgb="FF993366"/>
      <rgbColor rgb="FFFFE2CC"/>
      <rgbColor rgb="FFB7E1CD"/>
      <rgbColor rgb="FF660066"/>
      <rgbColor rgb="FFF28E86"/>
      <rgbColor rgb="FF0066CC"/>
      <rgbColor rgb="FFB3CEF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A6E4B7"/>
      <rgbColor rgb="FFD3F1DB"/>
      <rgbColor rgb="FFF7B4AE"/>
      <rgbColor rgb="FF9FC5E8"/>
      <rgbColor rgb="FFEA9999"/>
      <rgbColor rgb="FFD5A6BD"/>
      <rgbColor rgb="FFFFE599"/>
      <rgbColor rgb="FF3366FF"/>
      <rgbColor rgb="FF7AD693"/>
      <rgbColor rgb="FF90D7DD"/>
      <rgbColor rgb="FFF6B26B"/>
      <rgbColor rgb="FFFFA767"/>
      <rgbColor rgb="FFE06666"/>
      <rgbColor rgb="FF666699"/>
      <rgbColor rgb="FF93C47D"/>
      <rgbColor rgb="FF003366"/>
      <rgbColor rgb="FF339966"/>
      <rgbColor rgb="FF003300"/>
      <rgbColor rgb="FF333300"/>
      <rgbColor rgb="FF993300"/>
      <rgbColor rgb="FF993366"/>
      <rgbColor rgb="FF333399"/>
      <rgbColor rgb="FF1B1C1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G388"/>
  <sheetViews>
    <sheetView zoomScale="80" zoomScaleNormal="80" workbookViewId="0">
      <pane ySplit="1" topLeftCell="A205" activePane="bottomLeft" state="frozen"/>
      <selection activeCell="J1" sqref="J1"/>
      <selection pane="bottomLeft" activeCell="AO2" sqref="AO2:AO381"/>
    </sheetView>
  </sheetViews>
  <sheetFormatPr defaultColWidth="8.6640625" defaultRowHeight="12.75" customHeight="1"/>
  <cols>
    <col min="1" max="1" width="4.33203125" customWidth="1"/>
    <col min="2" max="2" width="13.5546875" customWidth="1"/>
    <col min="3" max="3" width="5.6640625" customWidth="1"/>
    <col min="4" max="4" width="5.33203125" customWidth="1"/>
    <col min="5" max="5" width="5.5546875" customWidth="1"/>
    <col min="6" max="6" width="6.33203125" customWidth="1"/>
    <col min="7" max="7" width="8.33203125" customWidth="1"/>
    <col min="8" max="8" width="5.88671875" customWidth="1"/>
    <col min="9" max="9" width="5.109375" customWidth="1"/>
    <col min="10" max="10" width="5.6640625" customWidth="1"/>
    <col min="11" max="11" width="6.6640625" customWidth="1"/>
    <col min="12" max="12" width="5.6640625" customWidth="1"/>
    <col min="13" max="13" width="5.33203125" customWidth="1"/>
    <col min="14" max="14" width="6.109375" customWidth="1"/>
    <col min="15" max="15" width="7" customWidth="1"/>
    <col min="16" max="16" width="7.6640625" customWidth="1"/>
    <col min="17" max="17" width="6.6640625" customWidth="1"/>
    <col min="18" max="18" width="6" customWidth="1"/>
    <col min="19" max="19" width="6.6640625" style="1" customWidth="1"/>
    <col min="20" max="20" width="5.33203125" customWidth="1"/>
    <col min="21" max="21" width="4.6640625" customWidth="1"/>
    <col min="22" max="22" width="4.33203125" customWidth="1"/>
    <col min="23" max="34" width="7.33203125" customWidth="1"/>
    <col min="35" max="35" width="5.5546875" customWidth="1"/>
    <col min="36" max="36" width="5.88671875" customWidth="1"/>
    <col min="37" max="38" width="7.33203125" customWidth="1"/>
    <col min="39" max="39" width="20.5546875" customWidth="1"/>
    <col min="40" max="42" width="7.33203125" customWidth="1"/>
    <col min="43" max="43" width="7.33203125" style="2" customWidth="1"/>
    <col min="44" max="44" width="7.33203125" style="1" customWidth="1"/>
    <col min="45" max="52" width="7.33203125" style="2" customWidth="1"/>
    <col min="53" max="59" width="7.33203125" customWidth="1"/>
  </cols>
  <sheetData>
    <row r="1" spans="1:61" ht="92.25" customHeight="1">
      <c r="A1" s="62" t="s">
        <v>0</v>
      </c>
      <c r="B1" s="121" t="s">
        <v>1</v>
      </c>
      <c r="C1" s="121" t="s">
        <v>2</v>
      </c>
      <c r="D1" s="121" t="s">
        <v>3</v>
      </c>
      <c r="E1" s="121" t="s">
        <v>4</v>
      </c>
      <c r="F1" s="121" t="s">
        <v>5</v>
      </c>
      <c r="G1" s="122" t="s">
        <v>6</v>
      </c>
      <c r="H1" s="121" t="s">
        <v>7</v>
      </c>
      <c r="I1" s="121" t="s">
        <v>8</v>
      </c>
      <c r="J1" s="121" t="s">
        <v>9</v>
      </c>
      <c r="K1" s="121" t="s">
        <v>10</v>
      </c>
      <c r="L1" s="121" t="s">
        <v>11</v>
      </c>
      <c r="M1" s="121" t="s">
        <v>12</v>
      </c>
      <c r="N1" s="121" t="s">
        <v>13</v>
      </c>
      <c r="O1" s="121" t="s">
        <v>14</v>
      </c>
      <c r="P1" s="122" t="s">
        <v>15</v>
      </c>
      <c r="Q1" s="121" t="s">
        <v>16</v>
      </c>
      <c r="R1" s="121" t="s">
        <v>17</v>
      </c>
      <c r="S1" s="121" t="s">
        <v>18</v>
      </c>
      <c r="T1" s="121" t="s">
        <v>19</v>
      </c>
      <c r="U1" s="121" t="s">
        <v>20</v>
      </c>
      <c r="V1" s="121" t="s">
        <v>21</v>
      </c>
      <c r="W1" s="121" t="s">
        <v>22</v>
      </c>
      <c r="X1" s="121" t="s">
        <v>23</v>
      </c>
      <c r="Y1" s="121" t="s">
        <v>24</v>
      </c>
      <c r="Z1" s="121" t="s">
        <v>25</v>
      </c>
      <c r="AA1" s="123" t="s">
        <v>26</v>
      </c>
      <c r="AB1" s="121" t="s">
        <v>27</v>
      </c>
      <c r="AC1" s="122" t="s">
        <v>28</v>
      </c>
      <c r="AD1" s="121" t="s">
        <v>29</v>
      </c>
      <c r="AE1" s="121" t="s">
        <v>30</v>
      </c>
      <c r="AF1" s="121" t="s">
        <v>31</v>
      </c>
      <c r="AG1" s="122" t="s">
        <v>32</v>
      </c>
      <c r="AH1" s="122" t="s">
        <v>33</v>
      </c>
      <c r="AI1" s="124" t="s">
        <v>34</v>
      </c>
      <c r="AJ1" s="125" t="s">
        <v>35</v>
      </c>
      <c r="AK1" s="122" t="s">
        <v>36</v>
      </c>
      <c r="AL1" s="121" t="s">
        <v>3</v>
      </c>
      <c r="AM1" s="122" t="s">
        <v>37</v>
      </c>
      <c r="AN1" s="121" t="s">
        <v>38</v>
      </c>
      <c r="AO1" s="121" t="s">
        <v>39</v>
      </c>
      <c r="AP1" s="122" t="s">
        <v>40</v>
      </c>
      <c r="AQ1" s="121" t="s">
        <v>41</v>
      </c>
      <c r="AR1" s="126" t="s">
        <v>42</v>
      </c>
      <c r="AS1" s="121" t="s">
        <v>43</v>
      </c>
      <c r="AT1" s="121" t="s">
        <v>44</v>
      </c>
      <c r="AU1" s="121" t="s">
        <v>45</v>
      </c>
      <c r="AV1" s="121" t="s">
        <v>46</v>
      </c>
      <c r="AW1" s="121" t="s">
        <v>47</v>
      </c>
      <c r="AX1" s="121"/>
      <c r="AY1" s="121" t="s">
        <v>48</v>
      </c>
      <c r="AZ1" s="121" t="s">
        <v>49</v>
      </c>
      <c r="BA1" s="121" t="s">
        <v>50</v>
      </c>
      <c r="BB1" s="121" t="s">
        <v>51</v>
      </c>
      <c r="BC1" s="121" t="s">
        <v>52</v>
      </c>
      <c r="BD1" s="121" t="s">
        <v>53</v>
      </c>
      <c r="BE1" s="121" t="s">
        <v>54</v>
      </c>
      <c r="BF1" s="121" t="s">
        <v>55</v>
      </c>
      <c r="BG1" s="121" t="s">
        <v>56</v>
      </c>
      <c r="BH1" s="121" t="s">
        <v>57</v>
      </c>
      <c r="BI1" s="62"/>
    </row>
    <row r="2" spans="1:61" ht="12.75" customHeight="1">
      <c r="B2" s="3" t="s">
        <v>58</v>
      </c>
      <c r="C2" s="4">
        <v>2025</v>
      </c>
      <c r="D2" s="4">
        <v>1</v>
      </c>
      <c r="E2" s="5">
        <v>31.7</v>
      </c>
      <c r="F2" s="5">
        <v>49.09</v>
      </c>
      <c r="G2" s="5">
        <f t="shared" ref="G2:G33" si="0">100*(F2-E2)/F2</f>
        <v>35.42473008759422</v>
      </c>
      <c r="H2" s="5">
        <v>84.04</v>
      </c>
      <c r="I2" s="5">
        <v>9.0500000000000007</v>
      </c>
      <c r="J2" s="5">
        <v>5.0999999999999996</v>
      </c>
      <c r="K2" s="5">
        <v>5.53</v>
      </c>
      <c r="L2" s="5">
        <v>20.7</v>
      </c>
      <c r="M2" s="5">
        <v>17.05</v>
      </c>
      <c r="N2" s="5">
        <v>13.04</v>
      </c>
      <c r="O2" s="5">
        <v>131.47</v>
      </c>
      <c r="P2" s="5">
        <f t="shared" ref="P2:P33" si="1">O2/I2</f>
        <v>14.527071823204418</v>
      </c>
      <c r="Q2" s="5">
        <v>18.079999999999998</v>
      </c>
      <c r="R2" s="5">
        <v>24.8</v>
      </c>
      <c r="S2" s="6">
        <v>5</v>
      </c>
      <c r="T2" s="7"/>
      <c r="U2" s="7"/>
      <c r="V2" s="7">
        <v>1</v>
      </c>
      <c r="W2" s="5"/>
      <c r="X2" s="5">
        <v>1.53</v>
      </c>
      <c r="Y2" s="5">
        <v>2.06</v>
      </c>
      <c r="Z2" s="5">
        <v>0.96</v>
      </c>
      <c r="AA2" s="5">
        <f t="shared" ref="AA2:AA33" si="2">IF(X2&lt;50,IF(Y2&gt;(2.3*X2),0,1),1)-IF(Z2&gt;Y2,1.7,0)</f>
        <v>1</v>
      </c>
      <c r="AB2" s="5">
        <v>0</v>
      </c>
      <c r="AC2" s="5">
        <f t="shared" ref="AC2:AC33" si="3">IF(AB2&gt;4,1,0)+IF(AB2&gt;10,0.7,0)</f>
        <v>0</v>
      </c>
      <c r="AD2" s="5">
        <v>93.79</v>
      </c>
      <c r="AE2" s="5">
        <v>44.98</v>
      </c>
      <c r="AF2" s="5">
        <v>29.05</v>
      </c>
      <c r="AG2" s="6">
        <f t="shared" ref="AG2:AG33" si="4">IF(G2&lt;52,0,0.7)+IF(G2&lt;34,0,0.7)+IF(G2&lt;1,0,0.7)+IF(P2&gt;14.56,0,1)+IF(R2&lt;9,0.5,0)+IF(R2&lt;33.8,0.5,0)+IF(R2&lt;50,0.5,0)+IF(R2&lt;80,0.5,0)+IF(S2=5,0,S2)+IF(V2&gt;0,1,-1)+IF(AE2&lt;10.56,0,1)-IF(AE2&lt;3,1,0)-IF(AE2&lt;1,1,0)</f>
        <v>5.9</v>
      </c>
      <c r="AH2" s="5">
        <f t="shared" ref="AH2:AH33" si="5">AG2+IF(X2&lt;1.35,0,1)+IF(Y2&lt;1.35,0,1)+IF(Y2&lt;0.7,-1,0)+AC2+AA2</f>
        <v>8.9</v>
      </c>
      <c r="AI2" s="5">
        <v>11</v>
      </c>
      <c r="AJ2" s="5">
        <f t="shared" ref="AJ2:AJ65" si="6">IF(AI2&gt;12.7,IF(AI2&gt;15.8,0.93,0.98),1)</f>
        <v>1</v>
      </c>
      <c r="AK2" s="5">
        <f t="shared" ref="AK2:AK65" si="7">(1.5*AG2+AH2)*AJ2*AQ2</f>
        <v>17.75</v>
      </c>
      <c r="AL2" s="4">
        <f t="shared" ref="AL2:AL65" si="8">D2</f>
        <v>1</v>
      </c>
      <c r="AM2" s="8" t="str">
        <f t="shared" ref="AM2:AM65" si="9">B2</f>
        <v>DSM Fresh Foods</v>
      </c>
      <c r="AN2" s="7"/>
      <c r="AO2" s="61">
        <f t="shared" ref="AO2:AO65" si="10">IF(Z2&lt;4.5,0,IF(AK2&gt;14.9,IF(Z2&lt;140,1,0),0))</f>
        <v>0</v>
      </c>
      <c r="AP2" s="7">
        <f t="shared" ref="AP2:AP65" si="11">IF(AK2&gt;13.93,IF(Z2&lt;300,IF(Z2&lt;35,IF(Z2&lt;6,3,2),1),0),0)</f>
        <v>3</v>
      </c>
      <c r="AQ2" s="5">
        <v>1</v>
      </c>
      <c r="AR2" s="7">
        <f t="shared" ref="AR2:AR65" si="12">IF(AO2=1,IF(AO2=AL2,1,0),5)</f>
        <v>5</v>
      </c>
      <c r="AS2" s="4">
        <v>100</v>
      </c>
      <c r="AT2" s="5">
        <v>105</v>
      </c>
      <c r="AU2" s="5">
        <f t="shared" ref="AU2:AU43" si="13">AS2</f>
        <v>100</v>
      </c>
      <c r="AV2" s="5">
        <f t="shared" ref="AV2:AV65" si="14">(AT2+AU2)/2</f>
        <v>102.5</v>
      </c>
      <c r="AW2" s="4">
        <v>120</v>
      </c>
      <c r="AX2" s="4">
        <f t="shared" ref="AX2:AX65" si="15">IF(AW2&gt;AV2,1,0)</f>
        <v>1</v>
      </c>
      <c r="AY2" s="4">
        <f t="shared" ref="AY2:AY65" si="16">(100*(AU2-AS2)/AS2)</f>
        <v>0</v>
      </c>
      <c r="AZ2" s="4">
        <f t="shared" ref="AZ2:AZ33" si="17">IF(AY2&lt;-50,-4,IF(AY2&lt;-20,-2,IF(AY2&lt;0,-1.5,IF(AY2=0,0,IF(AY2&lt;10,1.5,IF(AY2&lt;20,2,IF(AY2&gt;19,2.5,2.5)))))))</f>
        <v>0</v>
      </c>
      <c r="BA2" s="7"/>
      <c r="BB2" s="5">
        <v>125</v>
      </c>
      <c r="BC2" s="5">
        <v>132</v>
      </c>
      <c r="BD2" s="5">
        <v>138</v>
      </c>
      <c r="BE2" s="5">
        <v>208</v>
      </c>
      <c r="BF2" s="5">
        <v>186</v>
      </c>
      <c r="BG2" s="5">
        <v>86</v>
      </c>
      <c r="BH2" s="5">
        <v>55</v>
      </c>
    </row>
    <row r="3" spans="1:61" ht="12.75" customHeight="1">
      <c r="B3" s="9" t="s">
        <v>59</v>
      </c>
      <c r="C3" s="4">
        <v>2025</v>
      </c>
      <c r="D3" s="4">
        <v>1</v>
      </c>
      <c r="E3" s="5">
        <v>0</v>
      </c>
      <c r="F3" s="5">
        <v>22.2</v>
      </c>
      <c r="G3" s="5">
        <f t="shared" si="0"/>
        <v>100</v>
      </c>
      <c r="H3" s="5">
        <v>43.84</v>
      </c>
      <c r="I3" s="5">
        <v>9.1</v>
      </c>
      <c r="J3" s="5"/>
      <c r="K3" s="5">
        <v>5.42</v>
      </c>
      <c r="L3" s="5"/>
      <c r="M3" s="5">
        <v>14</v>
      </c>
      <c r="N3" s="5"/>
      <c r="O3" s="5">
        <v>35.630000000000003</v>
      </c>
      <c r="P3" s="5">
        <f t="shared" si="1"/>
        <v>3.9153846153846157</v>
      </c>
      <c r="Q3" s="5">
        <v>16.05</v>
      </c>
      <c r="R3" s="5">
        <v>16.05</v>
      </c>
      <c r="S3" s="6">
        <v>0</v>
      </c>
      <c r="T3" s="7"/>
      <c r="U3" s="7"/>
      <c r="V3" s="7">
        <v>1</v>
      </c>
      <c r="W3" s="5"/>
      <c r="X3" s="5">
        <v>1.38</v>
      </c>
      <c r="Y3" s="5">
        <v>2.63</v>
      </c>
      <c r="Z3" s="5">
        <v>0.83</v>
      </c>
      <c r="AA3" s="5">
        <f t="shared" si="2"/>
        <v>1</v>
      </c>
      <c r="AB3" s="5">
        <v>0</v>
      </c>
      <c r="AC3" s="5">
        <f t="shared" si="3"/>
        <v>0</v>
      </c>
      <c r="AD3" s="5">
        <v>13.32</v>
      </c>
      <c r="AE3" s="5">
        <v>17.510000000000002</v>
      </c>
      <c r="AF3" s="5">
        <v>212.24</v>
      </c>
      <c r="AG3" s="6">
        <f t="shared" si="4"/>
        <v>6.6</v>
      </c>
      <c r="AH3" s="5">
        <f t="shared" si="5"/>
        <v>9.6</v>
      </c>
      <c r="AI3" s="5">
        <v>11</v>
      </c>
      <c r="AJ3" s="5">
        <f t="shared" si="6"/>
        <v>1</v>
      </c>
      <c r="AK3" s="5">
        <f t="shared" si="7"/>
        <v>19.5</v>
      </c>
      <c r="AL3" s="4">
        <f t="shared" si="8"/>
        <v>1</v>
      </c>
      <c r="AM3" s="8" t="str">
        <f t="shared" si="9"/>
        <v>B.A.G. Convergence</v>
      </c>
      <c r="AN3" s="7"/>
      <c r="AO3" s="61">
        <f t="shared" si="10"/>
        <v>0</v>
      </c>
      <c r="AP3" s="7">
        <f t="shared" si="11"/>
        <v>3</v>
      </c>
      <c r="AQ3" s="5">
        <v>1</v>
      </c>
      <c r="AR3" s="7">
        <f t="shared" si="12"/>
        <v>5</v>
      </c>
      <c r="AS3" s="4">
        <v>87</v>
      </c>
      <c r="AT3" s="5"/>
      <c r="AU3" s="5">
        <f t="shared" si="13"/>
        <v>87</v>
      </c>
      <c r="AV3" s="5">
        <f t="shared" si="14"/>
        <v>43.5</v>
      </c>
      <c r="AW3" s="4">
        <v>101</v>
      </c>
      <c r="AX3" s="4">
        <f t="shared" si="15"/>
        <v>1</v>
      </c>
      <c r="AY3" s="4">
        <f t="shared" si="16"/>
        <v>0</v>
      </c>
      <c r="AZ3" s="4">
        <f t="shared" si="17"/>
        <v>0</v>
      </c>
      <c r="BA3" s="7"/>
      <c r="BB3" s="5"/>
      <c r="BC3" s="5"/>
      <c r="BD3" s="5"/>
      <c r="BE3" s="5"/>
      <c r="BF3" s="5">
        <v>127</v>
      </c>
      <c r="BG3" s="5">
        <v>45.977011494252899</v>
      </c>
      <c r="BH3" s="5">
        <v>25.742574257425701</v>
      </c>
    </row>
    <row r="4" spans="1:61" ht="12.75" customHeight="1">
      <c r="B4" s="9" t="s">
        <v>60</v>
      </c>
      <c r="C4" s="4">
        <v>2025</v>
      </c>
      <c r="D4" s="4">
        <v>1</v>
      </c>
      <c r="E4" s="5">
        <v>30.68</v>
      </c>
      <c r="F4" s="5">
        <v>26.67</v>
      </c>
      <c r="G4" s="5">
        <f t="shared" si="0"/>
        <v>-15.035620547431561</v>
      </c>
      <c r="H4" s="4">
        <v>45.02</v>
      </c>
      <c r="I4" s="5">
        <v>16</v>
      </c>
      <c r="J4" s="5"/>
      <c r="K4" s="5">
        <v>4.12</v>
      </c>
      <c r="L4" s="5"/>
      <c r="M4" s="5">
        <v>21.02</v>
      </c>
      <c r="N4" s="5"/>
      <c r="O4" s="5">
        <v>172.19</v>
      </c>
      <c r="P4" s="5">
        <f t="shared" si="1"/>
        <v>10.761875</v>
      </c>
      <c r="Q4" s="5">
        <v>32.770000000000003</v>
      </c>
      <c r="R4" s="5">
        <v>17.97</v>
      </c>
      <c r="S4" s="6">
        <v>0</v>
      </c>
      <c r="T4" s="7"/>
      <c r="U4" s="7"/>
      <c r="V4" s="7">
        <v>1</v>
      </c>
      <c r="W4" s="5"/>
      <c r="X4" s="5">
        <v>1.61</v>
      </c>
      <c r="Y4" s="5">
        <v>1.56</v>
      </c>
      <c r="Z4" s="5">
        <v>1.32</v>
      </c>
      <c r="AA4" s="5">
        <f t="shared" si="2"/>
        <v>1</v>
      </c>
      <c r="AB4" s="5">
        <v>0</v>
      </c>
      <c r="AC4" s="5">
        <f t="shared" si="3"/>
        <v>0</v>
      </c>
      <c r="AD4" s="5">
        <v>154</v>
      </c>
      <c r="AE4" s="5">
        <v>83</v>
      </c>
      <c r="AF4" s="5">
        <v>150</v>
      </c>
      <c r="AG4" s="6">
        <f t="shared" si="4"/>
        <v>4.5</v>
      </c>
      <c r="AH4" s="5">
        <f t="shared" si="5"/>
        <v>7.5</v>
      </c>
      <c r="AI4" s="5">
        <v>11</v>
      </c>
      <c r="AJ4" s="5">
        <f t="shared" si="6"/>
        <v>1</v>
      </c>
      <c r="AK4" s="5">
        <f t="shared" si="7"/>
        <v>14.25</v>
      </c>
      <c r="AL4" s="4">
        <f t="shared" si="8"/>
        <v>1</v>
      </c>
      <c r="AM4" s="8" t="str">
        <f t="shared" si="9"/>
        <v>Zelio E-Mobility</v>
      </c>
      <c r="AN4" s="7"/>
      <c r="AO4" s="61">
        <f t="shared" si="10"/>
        <v>0</v>
      </c>
      <c r="AP4" s="7">
        <f t="shared" si="11"/>
        <v>3</v>
      </c>
      <c r="AQ4" s="5">
        <v>1</v>
      </c>
      <c r="AR4" s="7">
        <f t="shared" si="12"/>
        <v>5</v>
      </c>
      <c r="AS4" s="4">
        <v>136</v>
      </c>
      <c r="AT4" s="51" t="s">
        <v>61</v>
      </c>
      <c r="AU4" s="5">
        <f t="shared" si="13"/>
        <v>136</v>
      </c>
      <c r="AV4" s="5" t="e">
        <f t="shared" si="14"/>
        <v>#VALUE!</v>
      </c>
      <c r="AW4" s="4">
        <v>154</v>
      </c>
      <c r="AX4" s="4" t="e">
        <f t="shared" si="15"/>
        <v>#VALUE!</v>
      </c>
      <c r="AY4" s="4">
        <f t="shared" si="16"/>
        <v>0</v>
      </c>
      <c r="AZ4" s="4">
        <f t="shared" si="17"/>
        <v>0</v>
      </c>
      <c r="BA4" s="7"/>
      <c r="BB4" s="5"/>
      <c r="BC4" s="5"/>
      <c r="BD4" s="5"/>
      <c r="BE4" s="5"/>
      <c r="BF4" s="5">
        <v>343</v>
      </c>
      <c r="BG4" s="5">
        <v>152.20588235294099</v>
      </c>
      <c r="BH4" s="5">
        <v>122.727272727273</v>
      </c>
    </row>
    <row r="5" spans="1:61" ht="12.75" customHeight="1">
      <c r="B5" s="9" t="s">
        <v>62</v>
      </c>
      <c r="C5" s="4">
        <v>2025</v>
      </c>
      <c r="D5" s="4">
        <v>1</v>
      </c>
      <c r="E5" s="5">
        <v>17.36</v>
      </c>
      <c r="F5" s="5">
        <v>83.85</v>
      </c>
      <c r="G5" s="5">
        <f t="shared" si="0"/>
        <v>79.296362552176504</v>
      </c>
      <c r="H5" s="4">
        <v>113</v>
      </c>
      <c r="I5" s="5">
        <v>10.64</v>
      </c>
      <c r="J5" s="5"/>
      <c r="K5" s="5">
        <v>7.21</v>
      </c>
      <c r="L5" s="5"/>
      <c r="M5" s="5">
        <v>14.97</v>
      </c>
      <c r="N5" s="5"/>
      <c r="O5" s="5">
        <v>102.27</v>
      </c>
      <c r="P5" s="5">
        <f t="shared" si="1"/>
        <v>9.6118421052631575</v>
      </c>
      <c r="Q5" s="5">
        <v>8.74</v>
      </c>
      <c r="R5" s="5">
        <v>8.74</v>
      </c>
      <c r="S5" s="6">
        <v>0</v>
      </c>
      <c r="T5" s="7"/>
      <c r="U5" s="7"/>
      <c r="V5" s="7">
        <v>1</v>
      </c>
      <c r="W5" s="5"/>
      <c r="X5" s="5">
        <v>19.73</v>
      </c>
      <c r="Y5" s="5">
        <v>25.92</v>
      </c>
      <c r="Z5" s="5">
        <v>9.56</v>
      </c>
      <c r="AA5" s="5">
        <f t="shared" si="2"/>
        <v>1</v>
      </c>
      <c r="AB5" s="5">
        <v>25</v>
      </c>
      <c r="AC5" s="5">
        <f t="shared" si="3"/>
        <v>1.7</v>
      </c>
      <c r="AD5" s="5">
        <v>2</v>
      </c>
      <c r="AE5" s="5">
        <v>11</v>
      </c>
      <c r="AF5" s="5">
        <v>15</v>
      </c>
      <c r="AG5" s="6">
        <f t="shared" si="4"/>
        <v>7.1</v>
      </c>
      <c r="AH5" s="5">
        <f t="shared" si="5"/>
        <v>11.799999999999999</v>
      </c>
      <c r="AI5" s="5">
        <v>11</v>
      </c>
      <c r="AJ5" s="5">
        <f t="shared" si="6"/>
        <v>1</v>
      </c>
      <c r="AK5" s="5">
        <f t="shared" si="7"/>
        <v>22.449999999999996</v>
      </c>
      <c r="AL5" s="4">
        <f t="shared" si="8"/>
        <v>1</v>
      </c>
      <c r="AM5" s="8" t="str">
        <f t="shared" si="9"/>
        <v>Sheel Biotech</v>
      </c>
      <c r="AN5" s="7"/>
      <c r="AO5" s="61">
        <f t="shared" si="10"/>
        <v>1</v>
      </c>
      <c r="AP5" s="7">
        <f t="shared" si="11"/>
        <v>2</v>
      </c>
      <c r="AQ5" s="5">
        <v>1</v>
      </c>
      <c r="AR5" s="7">
        <f t="shared" si="12"/>
        <v>1</v>
      </c>
      <c r="AS5" s="4">
        <v>63</v>
      </c>
      <c r="AT5" s="5"/>
      <c r="AU5" s="5">
        <f t="shared" si="13"/>
        <v>63</v>
      </c>
      <c r="AV5" s="5">
        <f t="shared" si="14"/>
        <v>31.5</v>
      </c>
      <c r="AW5" s="4">
        <v>91</v>
      </c>
      <c r="AX5" s="4">
        <f t="shared" si="15"/>
        <v>1</v>
      </c>
      <c r="AY5" s="4">
        <f t="shared" si="16"/>
        <v>0</v>
      </c>
      <c r="AZ5" s="4">
        <f t="shared" si="17"/>
        <v>0</v>
      </c>
      <c r="BA5" s="7"/>
      <c r="BB5" s="5"/>
      <c r="BC5" s="5"/>
      <c r="BD5" s="5"/>
      <c r="BE5" s="5"/>
      <c r="BF5" s="5">
        <v>80</v>
      </c>
      <c r="BG5" s="5">
        <v>26.984126984126998</v>
      </c>
      <c r="BH5" s="5">
        <v>-12.0879120879121</v>
      </c>
    </row>
    <row r="6" spans="1:61" ht="12.75" customHeight="1">
      <c r="B6" s="3" t="s">
        <v>63</v>
      </c>
      <c r="C6" s="4">
        <v>2025</v>
      </c>
      <c r="D6" s="4">
        <v>1</v>
      </c>
      <c r="E6" s="5">
        <v>0.23</v>
      </c>
      <c r="F6" s="5">
        <v>12.68</v>
      </c>
      <c r="G6" s="5">
        <f t="shared" si="0"/>
        <v>98.186119873817034</v>
      </c>
      <c r="H6" s="5">
        <v>14.92</v>
      </c>
      <c r="I6" s="5">
        <v>4.1900000000000004</v>
      </c>
      <c r="J6" s="5"/>
      <c r="K6" s="5">
        <v>11.22</v>
      </c>
      <c r="L6" s="5"/>
      <c r="M6" s="5">
        <v>6.16</v>
      </c>
      <c r="N6" s="5"/>
      <c r="O6" s="5">
        <v>13.19</v>
      </c>
      <c r="P6" s="5">
        <f t="shared" si="1"/>
        <v>3.1479713603818613</v>
      </c>
      <c r="Q6" s="5">
        <v>13.81</v>
      </c>
      <c r="R6" s="5">
        <v>19.64</v>
      </c>
      <c r="S6" s="6">
        <v>0</v>
      </c>
      <c r="T6" s="7"/>
      <c r="U6" s="7"/>
      <c r="V6" s="7">
        <v>1</v>
      </c>
      <c r="W6" s="5"/>
      <c r="X6" s="5">
        <v>157.13999999999999</v>
      </c>
      <c r="Y6" s="5">
        <v>548.99</v>
      </c>
      <c r="Z6" s="5">
        <v>303.35000000000002</v>
      </c>
      <c r="AA6" s="5">
        <f t="shared" si="2"/>
        <v>1</v>
      </c>
      <c r="AB6" s="5">
        <v>38</v>
      </c>
      <c r="AC6" s="5">
        <f t="shared" si="3"/>
        <v>1.7</v>
      </c>
      <c r="AD6" s="5">
        <v>20.75</v>
      </c>
      <c r="AE6" s="5">
        <v>29.7</v>
      </c>
      <c r="AF6" s="5">
        <v>152.09</v>
      </c>
      <c r="AG6" s="6">
        <f t="shared" si="4"/>
        <v>6.6</v>
      </c>
      <c r="AH6" s="5">
        <f t="shared" si="5"/>
        <v>11.299999999999999</v>
      </c>
      <c r="AI6" s="5">
        <v>11</v>
      </c>
      <c r="AJ6" s="5">
        <f t="shared" si="6"/>
        <v>1</v>
      </c>
      <c r="AK6" s="5">
        <f t="shared" si="7"/>
        <v>21.199999999999996</v>
      </c>
      <c r="AL6" s="4">
        <f t="shared" si="8"/>
        <v>1</v>
      </c>
      <c r="AM6" s="8" t="str">
        <f t="shared" si="9"/>
        <v>Infinity Infoway</v>
      </c>
      <c r="AN6" s="7"/>
      <c r="AO6" s="61">
        <f t="shared" si="10"/>
        <v>0</v>
      </c>
      <c r="AP6" s="7">
        <f t="shared" si="11"/>
        <v>0</v>
      </c>
      <c r="AQ6" s="5">
        <v>1</v>
      </c>
      <c r="AR6" s="7">
        <f t="shared" si="12"/>
        <v>5</v>
      </c>
      <c r="AS6" s="4">
        <v>155</v>
      </c>
      <c r="AT6" s="5"/>
      <c r="AU6" s="5">
        <f t="shared" si="13"/>
        <v>155</v>
      </c>
      <c r="AV6" s="5">
        <f t="shared" si="14"/>
        <v>77.5</v>
      </c>
      <c r="AW6" s="4">
        <v>294</v>
      </c>
      <c r="AX6" s="4">
        <f t="shared" si="15"/>
        <v>1</v>
      </c>
      <c r="AY6" s="4">
        <f t="shared" si="16"/>
        <v>0</v>
      </c>
      <c r="AZ6" s="4">
        <f t="shared" si="17"/>
        <v>0</v>
      </c>
      <c r="BA6" s="7"/>
      <c r="BB6" s="5">
        <v>368</v>
      </c>
      <c r="BC6" s="5">
        <v>405</v>
      </c>
      <c r="BD6" s="5">
        <v>413</v>
      </c>
      <c r="BE6" s="5"/>
      <c r="BF6" s="5">
        <v>372</v>
      </c>
      <c r="BG6" s="5">
        <v>140</v>
      </c>
      <c r="BH6" s="5">
        <v>26.530612244897998</v>
      </c>
    </row>
    <row r="7" spans="1:61" ht="12.75" customHeight="1">
      <c r="B7" s="3" t="s">
        <v>64</v>
      </c>
      <c r="C7" s="4">
        <v>2025</v>
      </c>
      <c r="D7" s="4">
        <v>1</v>
      </c>
      <c r="E7" s="5">
        <v>0.05</v>
      </c>
      <c r="F7" s="5">
        <v>7.42</v>
      </c>
      <c r="G7" s="5">
        <f t="shared" si="0"/>
        <v>99.326145552560646</v>
      </c>
      <c r="H7" s="5">
        <v>7.6</v>
      </c>
      <c r="I7" s="5">
        <v>2.1800000000000002</v>
      </c>
      <c r="J7" s="5"/>
      <c r="K7" s="5">
        <v>3.49</v>
      </c>
      <c r="L7" s="5"/>
      <c r="M7" s="5">
        <v>3.05</v>
      </c>
      <c r="N7" s="5"/>
      <c r="O7" s="5">
        <v>4.13</v>
      </c>
      <c r="P7" s="5">
        <f t="shared" si="1"/>
        <v>1.8944954128440366</v>
      </c>
      <c r="Q7" s="5">
        <v>18.55</v>
      </c>
      <c r="R7" s="5">
        <v>18.55</v>
      </c>
      <c r="S7" s="6">
        <v>0</v>
      </c>
      <c r="T7" s="7"/>
      <c r="U7" s="7"/>
      <c r="V7" s="7">
        <v>0</v>
      </c>
      <c r="W7" s="5"/>
      <c r="X7" s="5">
        <v>5.99</v>
      </c>
      <c r="Y7" s="5">
        <v>5.99</v>
      </c>
      <c r="Z7" s="5">
        <v>4.8499999999999996</v>
      </c>
      <c r="AA7" s="5">
        <f t="shared" si="2"/>
        <v>1</v>
      </c>
      <c r="AB7" s="5">
        <v>0</v>
      </c>
      <c r="AC7" s="5">
        <f t="shared" si="3"/>
        <v>0</v>
      </c>
      <c r="AD7" s="5">
        <v>-1.36</v>
      </c>
      <c r="AE7" s="5">
        <v>10.130000000000001</v>
      </c>
      <c r="AF7" s="5">
        <v>41.87</v>
      </c>
      <c r="AG7" s="6">
        <f t="shared" si="4"/>
        <v>3.5999999999999996</v>
      </c>
      <c r="AH7" s="5">
        <f t="shared" si="5"/>
        <v>6.6</v>
      </c>
      <c r="AI7" s="5">
        <v>11</v>
      </c>
      <c r="AJ7" s="5">
        <f t="shared" si="6"/>
        <v>1</v>
      </c>
      <c r="AK7" s="5">
        <f t="shared" si="7"/>
        <v>12</v>
      </c>
      <c r="AL7" s="4">
        <f t="shared" si="8"/>
        <v>1</v>
      </c>
      <c r="AM7" s="8" t="str">
        <f t="shared" si="9"/>
        <v>Sodhani Capital</v>
      </c>
      <c r="AN7" s="7"/>
      <c r="AO7" s="61">
        <f t="shared" si="10"/>
        <v>0</v>
      </c>
      <c r="AP7" s="7">
        <f t="shared" si="11"/>
        <v>0</v>
      </c>
      <c r="AQ7" s="5">
        <v>1</v>
      </c>
      <c r="AR7" s="7">
        <f t="shared" si="12"/>
        <v>5</v>
      </c>
      <c r="AS7" s="4">
        <v>51</v>
      </c>
      <c r="AT7" s="5"/>
      <c r="AU7" s="5">
        <f t="shared" si="13"/>
        <v>51</v>
      </c>
      <c r="AV7" s="5">
        <f t="shared" si="14"/>
        <v>25.5</v>
      </c>
      <c r="AW7" s="4">
        <v>80</v>
      </c>
      <c r="AX7" s="4">
        <f t="shared" si="15"/>
        <v>1</v>
      </c>
      <c r="AY7" s="4">
        <f t="shared" si="16"/>
        <v>0</v>
      </c>
      <c r="AZ7" s="4">
        <f t="shared" si="17"/>
        <v>0</v>
      </c>
      <c r="BA7" s="7"/>
      <c r="BB7" s="5"/>
      <c r="BC7" s="5"/>
      <c r="BD7" s="5"/>
      <c r="BE7" s="5"/>
      <c r="BF7" s="5">
        <v>121</v>
      </c>
      <c r="BG7" s="5">
        <v>137.254901960784</v>
      </c>
      <c r="BH7" s="5">
        <v>51.25</v>
      </c>
    </row>
    <row r="8" spans="1:61" ht="12.75" customHeight="1">
      <c r="B8" s="10" t="s">
        <v>65</v>
      </c>
      <c r="C8" s="4">
        <v>2025</v>
      </c>
      <c r="D8" s="4">
        <v>1</v>
      </c>
      <c r="E8" s="5">
        <v>50.23</v>
      </c>
      <c r="F8" s="5">
        <v>47.61</v>
      </c>
      <c r="G8" s="5">
        <f t="shared" si="0"/>
        <v>-5.5030455786599406</v>
      </c>
      <c r="H8" s="5">
        <v>123.04</v>
      </c>
      <c r="I8" s="5">
        <v>15.15</v>
      </c>
      <c r="J8" s="5"/>
      <c r="K8" s="5">
        <v>8.69</v>
      </c>
      <c r="L8" s="5"/>
      <c r="M8" s="5">
        <v>23.27</v>
      </c>
      <c r="N8" s="5"/>
      <c r="O8" s="5">
        <v>79.239999999999995</v>
      </c>
      <c r="P8" s="5">
        <f t="shared" si="1"/>
        <v>5.23036303630363</v>
      </c>
      <c r="Q8" s="5">
        <v>17.760000000000002</v>
      </c>
      <c r="R8" s="5">
        <v>17.760000000000002</v>
      </c>
      <c r="S8" s="6">
        <v>0</v>
      </c>
      <c r="T8" s="7"/>
      <c r="U8" s="7"/>
      <c r="V8" s="7">
        <v>1</v>
      </c>
      <c r="W8" s="5"/>
      <c r="X8" s="5">
        <v>20.98</v>
      </c>
      <c r="Y8" s="5">
        <v>22.41</v>
      </c>
      <c r="Z8" s="5">
        <v>9.07</v>
      </c>
      <c r="AA8" s="5">
        <f t="shared" si="2"/>
        <v>1</v>
      </c>
      <c r="AB8" s="5">
        <v>9</v>
      </c>
      <c r="AC8" s="5">
        <f t="shared" si="3"/>
        <v>1</v>
      </c>
      <c r="AD8" s="5">
        <v>69.08</v>
      </c>
      <c r="AE8" s="5">
        <v>51.55</v>
      </c>
      <c r="AF8" s="5">
        <v>47.25</v>
      </c>
      <c r="AG8" s="6">
        <f t="shared" si="4"/>
        <v>4.5</v>
      </c>
      <c r="AH8" s="5">
        <f t="shared" si="5"/>
        <v>8.5</v>
      </c>
      <c r="AI8" s="5">
        <v>11</v>
      </c>
      <c r="AJ8" s="5">
        <f t="shared" si="6"/>
        <v>1</v>
      </c>
      <c r="AK8" s="5">
        <f t="shared" si="7"/>
        <v>15.25</v>
      </c>
      <c r="AL8" s="4">
        <f t="shared" si="8"/>
        <v>1</v>
      </c>
      <c r="AM8" s="8" t="str">
        <f t="shared" si="9"/>
        <v>Suba Hotels</v>
      </c>
      <c r="AN8" s="7"/>
      <c r="AO8" s="61">
        <f t="shared" si="10"/>
        <v>1</v>
      </c>
      <c r="AP8" s="7">
        <f t="shared" si="11"/>
        <v>2</v>
      </c>
      <c r="AQ8" s="5">
        <v>1</v>
      </c>
      <c r="AR8" s="7">
        <f t="shared" si="12"/>
        <v>1</v>
      </c>
      <c r="AS8" s="4">
        <v>111</v>
      </c>
      <c r="AT8" s="5"/>
      <c r="AU8" s="5">
        <f t="shared" si="13"/>
        <v>111</v>
      </c>
      <c r="AV8" s="5">
        <f t="shared" si="14"/>
        <v>55.5</v>
      </c>
      <c r="AW8" s="4">
        <v>154</v>
      </c>
      <c r="AX8" s="4">
        <f t="shared" si="15"/>
        <v>1</v>
      </c>
      <c r="AY8" s="4">
        <f t="shared" si="16"/>
        <v>0</v>
      </c>
      <c r="AZ8" s="4">
        <f t="shared" si="17"/>
        <v>0</v>
      </c>
      <c r="BA8" s="7"/>
      <c r="BB8" s="5">
        <v>175</v>
      </c>
      <c r="BC8" s="5">
        <v>177.29</v>
      </c>
      <c r="BD8" s="5">
        <v>181.76</v>
      </c>
      <c r="BE8" s="5"/>
      <c r="BF8" s="5">
        <v>170</v>
      </c>
      <c r="BG8" s="5">
        <v>53.153153153153198</v>
      </c>
      <c r="BH8" s="5">
        <v>10.3896103896104</v>
      </c>
    </row>
    <row r="9" spans="1:61" ht="12.75" customHeight="1">
      <c r="B9" s="10" t="s">
        <v>66</v>
      </c>
      <c r="C9" s="4">
        <v>2025</v>
      </c>
      <c r="D9" s="4">
        <v>1</v>
      </c>
      <c r="E9" s="5">
        <v>10.71</v>
      </c>
      <c r="F9" s="5">
        <v>10.23</v>
      </c>
      <c r="G9" s="5">
        <f t="shared" si="0"/>
        <v>-4.692082111436954</v>
      </c>
      <c r="H9" s="5">
        <v>29.85</v>
      </c>
      <c r="I9" s="5">
        <v>4.29</v>
      </c>
      <c r="J9" s="5"/>
      <c r="K9" s="5">
        <v>8.81</v>
      </c>
      <c r="L9" s="5"/>
      <c r="M9" s="5">
        <v>5.76</v>
      </c>
      <c r="N9" s="5"/>
      <c r="O9" s="5">
        <v>33.06</v>
      </c>
      <c r="P9" s="5">
        <f t="shared" si="1"/>
        <v>7.7062937062937067</v>
      </c>
      <c r="Q9" s="5">
        <v>9.19</v>
      </c>
      <c r="R9" s="5">
        <v>9.19</v>
      </c>
      <c r="S9" s="6">
        <v>0</v>
      </c>
      <c r="T9" s="7"/>
      <c r="U9" s="7"/>
      <c r="V9" s="7">
        <v>0</v>
      </c>
      <c r="W9" s="5"/>
      <c r="X9" s="5">
        <v>6.66</v>
      </c>
      <c r="Y9" s="5">
        <v>1.78</v>
      </c>
      <c r="Z9" s="5">
        <v>0.19</v>
      </c>
      <c r="AA9" s="5">
        <f t="shared" si="2"/>
        <v>1</v>
      </c>
      <c r="AB9" s="5">
        <v>0</v>
      </c>
      <c r="AC9" s="5">
        <f t="shared" si="3"/>
        <v>0</v>
      </c>
      <c r="AD9" s="5">
        <v>120</v>
      </c>
      <c r="AE9" s="5">
        <v>70</v>
      </c>
      <c r="AF9" s="5">
        <v>72.22</v>
      </c>
      <c r="AG9" s="6">
        <f t="shared" si="4"/>
        <v>2.5</v>
      </c>
      <c r="AH9" s="5">
        <f t="shared" si="5"/>
        <v>5.5</v>
      </c>
      <c r="AI9" s="5">
        <v>11</v>
      </c>
      <c r="AJ9" s="5">
        <f t="shared" si="6"/>
        <v>1</v>
      </c>
      <c r="AK9" s="5">
        <f t="shared" si="7"/>
        <v>9.25</v>
      </c>
      <c r="AL9" s="4">
        <f t="shared" si="8"/>
        <v>1</v>
      </c>
      <c r="AM9" s="8" t="str">
        <f t="shared" si="9"/>
        <v>Manas Polymers and Energies Limited</v>
      </c>
      <c r="AN9" s="7"/>
      <c r="AO9" s="61">
        <f t="shared" si="10"/>
        <v>0</v>
      </c>
      <c r="AP9" s="7">
        <f t="shared" si="11"/>
        <v>0</v>
      </c>
      <c r="AQ9" s="5">
        <v>1</v>
      </c>
      <c r="AR9" s="7">
        <f t="shared" si="12"/>
        <v>5</v>
      </c>
      <c r="AS9" s="4">
        <v>81</v>
      </c>
      <c r="AT9" s="5"/>
      <c r="AU9" s="5">
        <f t="shared" si="13"/>
        <v>81</v>
      </c>
      <c r="AV9" s="5">
        <f t="shared" si="14"/>
        <v>40.5</v>
      </c>
      <c r="AW9" s="4">
        <v>154</v>
      </c>
      <c r="AX9" s="4">
        <f t="shared" si="15"/>
        <v>1</v>
      </c>
      <c r="AY9" s="4">
        <f t="shared" si="16"/>
        <v>0</v>
      </c>
      <c r="AZ9" s="4">
        <f t="shared" si="17"/>
        <v>0</v>
      </c>
      <c r="BA9" s="7"/>
      <c r="BB9" s="5"/>
      <c r="BC9" s="5"/>
      <c r="BD9" s="5"/>
      <c r="BE9" s="5"/>
      <c r="BF9" s="5">
        <v>113</v>
      </c>
      <c r="BG9" s="5">
        <v>39.506172839506199</v>
      </c>
      <c r="BH9" s="5">
        <v>-26.6233766233766</v>
      </c>
    </row>
    <row r="10" spans="1:61" ht="12.75" customHeight="1">
      <c r="B10" s="3" t="s">
        <v>67</v>
      </c>
      <c r="C10" s="4">
        <v>2025</v>
      </c>
      <c r="D10" s="4">
        <v>1</v>
      </c>
      <c r="E10" s="5">
        <v>0.22</v>
      </c>
      <c r="F10" s="5">
        <v>22.14</v>
      </c>
      <c r="G10" s="5">
        <f t="shared" si="0"/>
        <v>99.006323396567296</v>
      </c>
      <c r="H10" s="5">
        <v>29.08</v>
      </c>
      <c r="I10" s="5">
        <v>8.4</v>
      </c>
      <c r="J10" s="5"/>
      <c r="K10" s="5">
        <v>11.23</v>
      </c>
      <c r="L10" s="5"/>
      <c r="M10" s="5">
        <v>12.33</v>
      </c>
      <c r="N10" s="5"/>
      <c r="O10" s="5">
        <v>29.79</v>
      </c>
      <c r="P10" s="5">
        <f t="shared" si="1"/>
        <v>3.5464285714285713</v>
      </c>
      <c r="Q10" s="5">
        <v>32.81</v>
      </c>
      <c r="R10" s="5">
        <v>16.850000000000001</v>
      </c>
      <c r="S10" s="6">
        <v>0</v>
      </c>
      <c r="T10" s="7"/>
      <c r="U10" s="7"/>
      <c r="V10" s="7">
        <v>1</v>
      </c>
      <c r="W10" s="5"/>
      <c r="X10" s="5">
        <v>284.17</v>
      </c>
      <c r="Y10" s="5">
        <v>1279.03</v>
      </c>
      <c r="Z10" s="5">
        <v>726.06</v>
      </c>
      <c r="AA10" s="5">
        <f t="shared" si="2"/>
        <v>1</v>
      </c>
      <c r="AB10" s="5">
        <v>108</v>
      </c>
      <c r="AC10" s="5">
        <f t="shared" si="3"/>
        <v>1.7</v>
      </c>
      <c r="AD10" s="5">
        <v>159.26</v>
      </c>
      <c r="AE10" s="5">
        <v>97.68</v>
      </c>
      <c r="AF10" s="5">
        <v>361.25</v>
      </c>
      <c r="AG10" s="6">
        <f t="shared" si="4"/>
        <v>6.6</v>
      </c>
      <c r="AH10" s="5">
        <f t="shared" si="5"/>
        <v>11.299999999999999</v>
      </c>
      <c r="AI10" s="5">
        <v>11</v>
      </c>
      <c r="AJ10" s="5">
        <f t="shared" si="6"/>
        <v>1</v>
      </c>
      <c r="AK10" s="5">
        <f t="shared" si="7"/>
        <v>21.199999999999996</v>
      </c>
      <c r="AL10" s="4">
        <f t="shared" si="8"/>
        <v>1</v>
      </c>
      <c r="AM10" s="8" t="str">
        <f t="shared" si="9"/>
        <v>TechD Cybersecurity Limited</v>
      </c>
      <c r="AN10" s="7"/>
      <c r="AO10" s="61">
        <f t="shared" si="10"/>
        <v>0</v>
      </c>
      <c r="AP10" s="7">
        <f t="shared" si="11"/>
        <v>0</v>
      </c>
      <c r="AQ10" s="5">
        <v>1</v>
      </c>
      <c r="AR10" s="7">
        <f t="shared" si="12"/>
        <v>5</v>
      </c>
      <c r="AS10" s="4">
        <v>193</v>
      </c>
      <c r="AT10" s="5"/>
      <c r="AU10" s="5">
        <f t="shared" si="13"/>
        <v>193</v>
      </c>
      <c r="AV10" s="5">
        <f t="shared" si="14"/>
        <v>96.5</v>
      </c>
      <c r="AW10" s="4">
        <v>366</v>
      </c>
      <c r="AX10" s="4">
        <f t="shared" si="15"/>
        <v>1</v>
      </c>
      <c r="AY10" s="4">
        <f t="shared" si="16"/>
        <v>0</v>
      </c>
      <c r="AZ10" s="4">
        <f t="shared" si="17"/>
        <v>0</v>
      </c>
      <c r="BA10" s="7"/>
      <c r="BB10" s="5"/>
      <c r="BC10" s="5"/>
      <c r="BD10" s="5"/>
      <c r="BE10" s="5"/>
      <c r="BF10" s="5">
        <v>765</v>
      </c>
      <c r="BG10" s="5">
        <v>296.37305699481902</v>
      </c>
      <c r="BH10" s="5">
        <v>109.016393442623</v>
      </c>
    </row>
    <row r="11" spans="1:61" ht="12.75" customHeight="1">
      <c r="B11" s="10" t="s">
        <v>68</v>
      </c>
      <c r="C11" s="4">
        <v>2024</v>
      </c>
      <c r="D11" s="4">
        <v>1</v>
      </c>
      <c r="E11" s="5">
        <v>0.19</v>
      </c>
      <c r="F11" s="5">
        <v>12.04</v>
      </c>
      <c r="G11" s="5">
        <f t="shared" si="0"/>
        <v>98.421926910299007</v>
      </c>
      <c r="H11" s="5">
        <v>17.02</v>
      </c>
      <c r="I11" s="5">
        <v>5.35</v>
      </c>
      <c r="J11" s="5"/>
      <c r="K11" s="5">
        <v>5.18</v>
      </c>
      <c r="L11" s="5"/>
      <c r="M11" s="5">
        <v>7.62</v>
      </c>
      <c r="N11" s="5"/>
      <c r="O11" s="5">
        <v>20.260000000000002</v>
      </c>
      <c r="P11" s="5">
        <f t="shared" si="1"/>
        <v>3.7869158878504678</v>
      </c>
      <c r="Q11" s="5">
        <v>10.44</v>
      </c>
      <c r="R11" s="5">
        <v>10.44</v>
      </c>
      <c r="S11" s="6">
        <v>0</v>
      </c>
      <c r="T11" s="7"/>
      <c r="U11" s="7"/>
      <c r="V11" s="7">
        <v>1</v>
      </c>
      <c r="W11" s="5"/>
      <c r="X11" s="5">
        <v>187.36</v>
      </c>
      <c r="Y11" s="5">
        <v>1020.2</v>
      </c>
      <c r="Z11" s="5">
        <v>544.28</v>
      </c>
      <c r="AA11" s="5">
        <f t="shared" si="2"/>
        <v>1</v>
      </c>
      <c r="AB11" s="5">
        <v>75</v>
      </c>
      <c r="AC11" s="5">
        <f t="shared" si="3"/>
        <v>1.7</v>
      </c>
      <c r="AD11" s="5">
        <v>231.5</v>
      </c>
      <c r="AE11" s="5">
        <v>151.94999999999999</v>
      </c>
      <c r="AF11" s="5">
        <v>317.18</v>
      </c>
      <c r="AG11" s="6">
        <f t="shared" si="4"/>
        <v>6.6</v>
      </c>
      <c r="AH11" s="5">
        <f t="shared" si="5"/>
        <v>11.299999999999999</v>
      </c>
      <c r="AI11" s="5">
        <v>11</v>
      </c>
      <c r="AJ11" s="5">
        <f t="shared" si="6"/>
        <v>1</v>
      </c>
      <c r="AK11" s="5">
        <f t="shared" si="7"/>
        <v>21.199999999999996</v>
      </c>
      <c r="AL11" s="4">
        <f t="shared" si="8"/>
        <v>1</v>
      </c>
      <c r="AM11" s="8" t="str">
        <f t="shared" si="9"/>
        <v>Identical Brains Studios</v>
      </c>
      <c r="AN11" s="7"/>
      <c r="AO11" s="61">
        <f t="shared" si="10"/>
        <v>0</v>
      </c>
      <c r="AP11" s="7">
        <f t="shared" si="11"/>
        <v>0</v>
      </c>
      <c r="AQ11" s="5">
        <v>1</v>
      </c>
      <c r="AR11" s="7">
        <f t="shared" si="12"/>
        <v>5</v>
      </c>
      <c r="AS11" s="4">
        <v>54</v>
      </c>
      <c r="AT11" s="5"/>
      <c r="AU11" s="5">
        <f t="shared" si="13"/>
        <v>54</v>
      </c>
      <c r="AV11" s="5">
        <f t="shared" si="14"/>
        <v>27</v>
      </c>
      <c r="AW11" s="4">
        <v>95</v>
      </c>
      <c r="AX11" s="4">
        <f t="shared" si="15"/>
        <v>1</v>
      </c>
      <c r="AY11" s="4">
        <f t="shared" si="16"/>
        <v>0</v>
      </c>
      <c r="AZ11" s="4">
        <f t="shared" si="17"/>
        <v>0</v>
      </c>
      <c r="BA11" s="7"/>
      <c r="BB11" s="5"/>
      <c r="BC11" s="5"/>
      <c r="BD11" s="5"/>
      <c r="BE11" s="5"/>
      <c r="BF11" s="5">
        <v>39</v>
      </c>
      <c r="BG11" s="5">
        <v>-27.7777777777778</v>
      </c>
      <c r="BH11" s="5">
        <v>-58.947368421052602</v>
      </c>
    </row>
    <row r="12" spans="1:61" ht="12.75" customHeight="1">
      <c r="B12" s="9" t="s">
        <v>69</v>
      </c>
      <c r="C12" s="4">
        <v>2024</v>
      </c>
      <c r="D12" s="4">
        <v>1</v>
      </c>
      <c r="E12" s="5">
        <v>6.43</v>
      </c>
      <c r="F12" s="5">
        <v>12.01</v>
      </c>
      <c r="G12" s="5">
        <f t="shared" si="0"/>
        <v>46.461282264779349</v>
      </c>
      <c r="H12" s="4">
        <v>24.6</v>
      </c>
      <c r="I12" s="5">
        <v>3.17</v>
      </c>
      <c r="J12" s="5"/>
      <c r="K12" s="5">
        <v>4.1399999999999997</v>
      </c>
      <c r="L12" s="5"/>
      <c r="M12" s="5">
        <v>3.42</v>
      </c>
      <c r="N12" s="5"/>
      <c r="O12" s="5">
        <v>36.33</v>
      </c>
      <c r="P12" s="5">
        <f t="shared" si="1"/>
        <v>11.460567823343847</v>
      </c>
      <c r="Q12" s="5">
        <v>8.4499999999999993</v>
      </c>
      <c r="R12" s="5">
        <v>8.4499999999999993</v>
      </c>
      <c r="S12" s="6">
        <v>0</v>
      </c>
      <c r="T12" s="7"/>
      <c r="U12" s="7"/>
      <c r="V12" s="7">
        <v>1</v>
      </c>
      <c r="W12" s="5"/>
      <c r="X12" s="5">
        <v>236.39</v>
      </c>
      <c r="Y12" s="5">
        <v>4084.36</v>
      </c>
      <c r="Z12" s="5">
        <v>2503.6799999999998</v>
      </c>
      <c r="AA12" s="5">
        <f t="shared" si="2"/>
        <v>1</v>
      </c>
      <c r="AB12" s="5">
        <v>90</v>
      </c>
      <c r="AC12" s="5">
        <f t="shared" si="3"/>
        <v>1.7</v>
      </c>
      <c r="AD12" s="5">
        <v>466</v>
      </c>
      <c r="AE12" s="5">
        <v>209</v>
      </c>
      <c r="AF12" s="5">
        <v>73</v>
      </c>
      <c r="AG12" s="6">
        <f t="shared" si="4"/>
        <v>6.4</v>
      </c>
      <c r="AH12" s="5">
        <f t="shared" si="5"/>
        <v>11.1</v>
      </c>
      <c r="AI12" s="5">
        <v>11</v>
      </c>
      <c r="AJ12" s="5">
        <f t="shared" si="6"/>
        <v>1</v>
      </c>
      <c r="AK12" s="5">
        <f t="shared" si="7"/>
        <v>20.700000000000003</v>
      </c>
      <c r="AL12" s="4">
        <f t="shared" si="8"/>
        <v>1</v>
      </c>
      <c r="AM12" s="8" t="str">
        <f t="shared" si="9"/>
        <v>NACDAC Infrastructure</v>
      </c>
      <c r="AN12" s="7"/>
      <c r="AO12" s="61">
        <f t="shared" si="10"/>
        <v>0</v>
      </c>
      <c r="AP12" s="7">
        <f t="shared" si="11"/>
        <v>0</v>
      </c>
      <c r="AQ12" s="5">
        <v>1</v>
      </c>
      <c r="AR12" s="7">
        <f t="shared" si="12"/>
        <v>5</v>
      </c>
      <c r="AS12" s="11">
        <v>35</v>
      </c>
      <c r="AT12" s="5"/>
      <c r="AU12" s="5">
        <f t="shared" si="13"/>
        <v>35</v>
      </c>
      <c r="AV12" s="5">
        <f t="shared" si="14"/>
        <v>17.5</v>
      </c>
      <c r="AW12" s="11">
        <v>67</v>
      </c>
      <c r="AX12" s="4">
        <f t="shared" si="15"/>
        <v>1</v>
      </c>
      <c r="AY12" s="4">
        <f t="shared" si="16"/>
        <v>0</v>
      </c>
      <c r="AZ12" s="4">
        <f t="shared" si="17"/>
        <v>0</v>
      </c>
      <c r="BA12" s="7"/>
      <c r="BB12" s="5"/>
      <c r="BC12" s="5"/>
      <c r="BD12" s="5"/>
      <c r="BE12" s="5"/>
      <c r="BF12" s="5">
        <v>36</v>
      </c>
      <c r="BG12" s="5">
        <v>2.8571428571428599</v>
      </c>
      <c r="BH12" s="5">
        <v>-46.268656716417901</v>
      </c>
    </row>
    <row r="13" spans="1:61" ht="12.75" customHeight="1">
      <c r="B13" s="9" t="s">
        <v>70</v>
      </c>
      <c r="C13" s="4">
        <v>2024</v>
      </c>
      <c r="D13" s="4">
        <v>1</v>
      </c>
      <c r="E13" s="5">
        <v>1.05</v>
      </c>
      <c r="F13" s="5">
        <v>3.37</v>
      </c>
      <c r="G13" s="5">
        <f t="shared" si="0"/>
        <v>68.842729970326417</v>
      </c>
      <c r="H13" s="4">
        <v>5.15</v>
      </c>
      <c r="I13" s="5">
        <v>0.5</v>
      </c>
      <c r="J13" s="5"/>
      <c r="K13" s="5">
        <v>1.76</v>
      </c>
      <c r="L13" s="5"/>
      <c r="M13" s="5">
        <v>1.18</v>
      </c>
      <c r="N13" s="5"/>
      <c r="O13" s="5">
        <v>6.47</v>
      </c>
      <c r="P13" s="5">
        <f t="shared" si="1"/>
        <v>12.94</v>
      </c>
      <c r="Q13" s="5">
        <v>29</v>
      </c>
      <c r="R13" s="5">
        <v>29</v>
      </c>
      <c r="S13" s="6">
        <v>0</v>
      </c>
      <c r="T13" s="7"/>
      <c r="U13" s="7"/>
      <c r="V13" s="7">
        <v>0</v>
      </c>
      <c r="W13" s="5"/>
      <c r="X13" s="5">
        <v>0</v>
      </c>
      <c r="Y13" s="5">
        <v>758</v>
      </c>
      <c r="Z13" s="5">
        <v>1342</v>
      </c>
      <c r="AA13" s="5">
        <f t="shared" si="2"/>
        <v>-1.7</v>
      </c>
      <c r="AB13" s="5">
        <v>117</v>
      </c>
      <c r="AC13" s="5">
        <f t="shared" si="3"/>
        <v>1.7</v>
      </c>
      <c r="AD13" s="5">
        <v>39</v>
      </c>
      <c r="AE13" s="5">
        <v>16</v>
      </c>
      <c r="AF13" s="5">
        <v>148</v>
      </c>
      <c r="AG13" s="6">
        <f t="shared" si="4"/>
        <v>4.5999999999999996</v>
      </c>
      <c r="AH13" s="5">
        <f t="shared" si="5"/>
        <v>5.6</v>
      </c>
      <c r="AI13" s="5">
        <v>11</v>
      </c>
      <c r="AJ13" s="5">
        <f t="shared" si="6"/>
        <v>1</v>
      </c>
      <c r="AK13" s="5">
        <f t="shared" si="7"/>
        <v>12.5</v>
      </c>
      <c r="AL13" s="4">
        <f t="shared" si="8"/>
        <v>1</v>
      </c>
      <c r="AM13" s="8" t="str">
        <f t="shared" si="9"/>
        <v>Hamps Bio</v>
      </c>
      <c r="AN13" s="7"/>
      <c r="AO13" s="61">
        <f t="shared" si="10"/>
        <v>0</v>
      </c>
      <c r="AP13" s="7">
        <f t="shared" si="11"/>
        <v>0</v>
      </c>
      <c r="AQ13" s="5">
        <v>1</v>
      </c>
      <c r="AR13" s="7">
        <f t="shared" si="12"/>
        <v>5</v>
      </c>
      <c r="AS13" s="4">
        <v>51</v>
      </c>
      <c r="AT13" s="5"/>
      <c r="AU13" s="5">
        <f t="shared" si="13"/>
        <v>51</v>
      </c>
      <c r="AV13" s="5">
        <f t="shared" si="14"/>
        <v>25.5</v>
      </c>
      <c r="AW13" s="4">
        <v>97</v>
      </c>
      <c r="AX13" s="4">
        <f t="shared" si="15"/>
        <v>1</v>
      </c>
      <c r="AY13" s="4">
        <f t="shared" si="16"/>
        <v>0</v>
      </c>
      <c r="AZ13" s="4">
        <f t="shared" si="17"/>
        <v>0</v>
      </c>
      <c r="BA13" s="7"/>
      <c r="BB13" s="5">
        <v>50.82</v>
      </c>
      <c r="BC13" s="5">
        <v>53.44</v>
      </c>
      <c r="BD13" s="5">
        <v>50.71</v>
      </c>
      <c r="BE13" s="5">
        <v>50.9</v>
      </c>
      <c r="BF13" s="5">
        <v>26</v>
      </c>
      <c r="BG13" s="5">
        <v>-49.019607843137301</v>
      </c>
      <c r="BH13" s="5">
        <v>-73.195876288659804</v>
      </c>
    </row>
    <row r="14" spans="1:61" ht="12.75" customHeight="1">
      <c r="B14" s="9" t="s">
        <v>71</v>
      </c>
      <c r="C14" s="4">
        <v>2024</v>
      </c>
      <c r="D14" s="4">
        <v>1</v>
      </c>
      <c r="E14" s="5">
        <v>7.08</v>
      </c>
      <c r="F14" s="5">
        <v>42.13</v>
      </c>
      <c r="G14" s="5">
        <f t="shared" si="0"/>
        <v>83.19487301210539</v>
      </c>
      <c r="H14" s="4">
        <v>70.39</v>
      </c>
      <c r="I14" s="5">
        <v>12.06</v>
      </c>
      <c r="J14" s="5"/>
      <c r="K14" s="5">
        <v>5.45</v>
      </c>
      <c r="L14" s="5"/>
      <c r="M14" s="5">
        <v>20.149999999999999</v>
      </c>
      <c r="N14" s="5"/>
      <c r="O14" s="5">
        <v>108.48</v>
      </c>
      <c r="P14" s="5">
        <f t="shared" si="1"/>
        <v>8.9950248756218905</v>
      </c>
      <c r="Q14" s="5">
        <v>26.79</v>
      </c>
      <c r="R14" s="5">
        <v>26.79</v>
      </c>
      <c r="S14" s="6">
        <v>0</v>
      </c>
      <c r="T14" s="7"/>
      <c r="U14" s="7"/>
      <c r="V14" s="7">
        <v>1</v>
      </c>
      <c r="W14" s="5"/>
      <c r="X14" s="5">
        <v>123.7</v>
      </c>
      <c r="Y14" s="5">
        <v>330.03</v>
      </c>
      <c r="Z14" s="5">
        <v>151.52000000000001</v>
      </c>
      <c r="AA14" s="5">
        <f t="shared" si="2"/>
        <v>1</v>
      </c>
      <c r="AB14" s="5">
        <v>104</v>
      </c>
      <c r="AC14" s="5">
        <f t="shared" si="3"/>
        <v>1.7</v>
      </c>
      <c r="AD14" s="5">
        <v>5.61</v>
      </c>
      <c r="AE14" s="5">
        <v>20.07</v>
      </c>
      <c r="AF14" s="5">
        <v>31.37</v>
      </c>
      <c r="AG14" s="6">
        <f t="shared" si="4"/>
        <v>6.6</v>
      </c>
      <c r="AH14" s="5">
        <f t="shared" si="5"/>
        <v>11.299999999999999</v>
      </c>
      <c r="AI14" s="5">
        <v>11</v>
      </c>
      <c r="AJ14" s="5">
        <f t="shared" si="6"/>
        <v>1</v>
      </c>
      <c r="AK14" s="5">
        <f t="shared" si="7"/>
        <v>21.199999999999996</v>
      </c>
      <c r="AL14" s="4">
        <f t="shared" si="8"/>
        <v>1</v>
      </c>
      <c r="AM14" s="8" t="str">
        <f t="shared" si="9"/>
        <v>Yash Highvoltage</v>
      </c>
      <c r="AN14" s="7"/>
      <c r="AO14" s="61">
        <f t="shared" si="10"/>
        <v>0</v>
      </c>
      <c r="AP14" s="7">
        <f t="shared" si="11"/>
        <v>1</v>
      </c>
      <c r="AQ14" s="5">
        <v>1</v>
      </c>
      <c r="AR14" s="7">
        <f t="shared" si="12"/>
        <v>5</v>
      </c>
      <c r="AS14" s="4">
        <v>146</v>
      </c>
      <c r="AT14" s="5"/>
      <c r="AU14" s="5">
        <f t="shared" si="13"/>
        <v>146</v>
      </c>
      <c r="AV14" s="5">
        <f t="shared" si="14"/>
        <v>73</v>
      </c>
      <c r="AW14" s="4">
        <v>277</v>
      </c>
      <c r="AX14" s="4">
        <f t="shared" si="15"/>
        <v>1</v>
      </c>
      <c r="AY14" s="4">
        <f t="shared" si="16"/>
        <v>0</v>
      </c>
      <c r="AZ14" s="4">
        <f t="shared" si="17"/>
        <v>0</v>
      </c>
      <c r="BA14" s="7"/>
      <c r="BB14" s="5"/>
      <c r="BC14" s="5"/>
      <c r="BD14" s="5"/>
      <c r="BE14" s="5"/>
      <c r="BF14" s="5">
        <v>509</v>
      </c>
      <c r="BG14" s="5">
        <v>248.63013698630101</v>
      </c>
      <c r="BH14" s="5">
        <v>83.754512635379101</v>
      </c>
    </row>
    <row r="15" spans="1:61" ht="12.75" customHeight="1">
      <c r="B15" s="9" t="s">
        <v>72</v>
      </c>
      <c r="C15" s="4">
        <v>2024</v>
      </c>
      <c r="D15" s="4">
        <v>1</v>
      </c>
      <c r="E15" s="5">
        <v>25.62</v>
      </c>
      <c r="F15" s="5">
        <v>17.329999999999998</v>
      </c>
      <c r="G15" s="5">
        <f t="shared" si="0"/>
        <v>-47.83612233121756</v>
      </c>
      <c r="H15" s="4">
        <v>49.13</v>
      </c>
      <c r="I15" s="5">
        <v>4.8099999999999996</v>
      </c>
      <c r="J15" s="5"/>
      <c r="K15" s="5">
        <v>6.87</v>
      </c>
      <c r="L15" s="5"/>
      <c r="M15" s="5">
        <v>9.8699999999999992</v>
      </c>
      <c r="N15" s="5"/>
      <c r="O15" s="5">
        <v>42.77</v>
      </c>
      <c r="P15" s="5">
        <f t="shared" si="1"/>
        <v>8.891891891891893</v>
      </c>
      <c r="Q15" s="5">
        <v>18.39</v>
      </c>
      <c r="R15" s="5">
        <v>18.39</v>
      </c>
      <c r="S15" s="6">
        <v>0</v>
      </c>
      <c r="T15" s="7"/>
      <c r="U15" s="7"/>
      <c r="V15" s="7">
        <v>1</v>
      </c>
      <c r="W15" s="5"/>
      <c r="X15" s="5">
        <v>86.3</v>
      </c>
      <c r="Y15" s="5">
        <v>269.7</v>
      </c>
      <c r="Z15" s="5">
        <v>155.29</v>
      </c>
      <c r="AA15" s="5">
        <f t="shared" si="2"/>
        <v>1</v>
      </c>
      <c r="AB15" s="5">
        <v>63</v>
      </c>
      <c r="AC15" s="5">
        <f t="shared" si="3"/>
        <v>1.7</v>
      </c>
      <c r="AD15" s="5">
        <v>223</v>
      </c>
      <c r="AE15" s="5">
        <v>66</v>
      </c>
      <c r="AF15" s="5">
        <v>67</v>
      </c>
      <c r="AG15" s="6">
        <f t="shared" si="4"/>
        <v>4.5</v>
      </c>
      <c r="AH15" s="5">
        <f t="shared" si="5"/>
        <v>9.1999999999999993</v>
      </c>
      <c r="AI15" s="5">
        <v>11</v>
      </c>
      <c r="AJ15" s="5">
        <f t="shared" si="6"/>
        <v>1</v>
      </c>
      <c r="AK15" s="5">
        <f t="shared" si="7"/>
        <v>15.95</v>
      </c>
      <c r="AL15" s="4">
        <f t="shared" si="8"/>
        <v>1</v>
      </c>
      <c r="AM15" s="8" t="str">
        <f t="shared" si="9"/>
        <v>Purple United Sales</v>
      </c>
      <c r="AN15" s="7"/>
      <c r="AO15" s="61">
        <f t="shared" si="10"/>
        <v>0</v>
      </c>
      <c r="AP15" s="7">
        <f t="shared" si="11"/>
        <v>1</v>
      </c>
      <c r="AQ15" s="5">
        <v>1</v>
      </c>
      <c r="AR15" s="7">
        <f t="shared" si="12"/>
        <v>5</v>
      </c>
      <c r="AS15" s="4">
        <v>126</v>
      </c>
      <c r="AT15" s="5"/>
      <c r="AU15" s="5">
        <f t="shared" si="13"/>
        <v>126</v>
      </c>
      <c r="AV15" s="5">
        <f t="shared" si="14"/>
        <v>63</v>
      </c>
      <c r="AW15" s="4">
        <v>199</v>
      </c>
      <c r="AX15" s="4">
        <f t="shared" si="15"/>
        <v>1</v>
      </c>
      <c r="AY15" s="4">
        <f t="shared" si="16"/>
        <v>0</v>
      </c>
      <c r="AZ15" s="4">
        <f t="shared" si="17"/>
        <v>0</v>
      </c>
      <c r="BA15" s="7"/>
      <c r="BB15" s="5">
        <v>208</v>
      </c>
      <c r="BC15" s="5">
        <v>220</v>
      </c>
      <c r="BD15" s="5">
        <v>230</v>
      </c>
      <c r="BE15" s="5">
        <v>588</v>
      </c>
      <c r="BF15" s="5">
        <v>576</v>
      </c>
      <c r="BG15" s="5">
        <v>357.142857142857</v>
      </c>
      <c r="BH15" s="5">
        <v>189.44723618090501</v>
      </c>
    </row>
    <row r="16" spans="1:61" ht="12.75" customHeight="1">
      <c r="B16" s="9" t="s">
        <v>73</v>
      </c>
      <c r="C16" s="4">
        <v>2024</v>
      </c>
      <c r="D16" s="4">
        <v>1</v>
      </c>
      <c r="E16" s="5">
        <v>0</v>
      </c>
      <c r="F16" s="5">
        <v>4.99</v>
      </c>
      <c r="G16" s="5">
        <f t="shared" si="0"/>
        <v>100</v>
      </c>
      <c r="H16" s="4">
        <v>5.15</v>
      </c>
      <c r="I16" s="5">
        <v>1.1000000000000001</v>
      </c>
      <c r="J16" s="5"/>
      <c r="K16" s="5">
        <v>7.93</v>
      </c>
      <c r="L16" s="5"/>
      <c r="M16" s="5">
        <v>1.48</v>
      </c>
      <c r="N16" s="5"/>
      <c r="O16" s="5">
        <v>4.96</v>
      </c>
      <c r="P16" s="5">
        <f t="shared" si="1"/>
        <v>4.5090909090909088</v>
      </c>
      <c r="Q16" s="5">
        <v>22.95</v>
      </c>
      <c r="R16" s="5">
        <v>22.95</v>
      </c>
      <c r="S16" s="6">
        <v>0</v>
      </c>
      <c r="T16" s="7"/>
      <c r="U16" s="7"/>
      <c r="V16" s="7">
        <v>1</v>
      </c>
      <c r="W16" s="5"/>
      <c r="X16" s="5">
        <v>147.69</v>
      </c>
      <c r="Y16" s="5">
        <v>964.18</v>
      </c>
      <c r="Z16" s="5">
        <v>1550.76</v>
      </c>
      <c r="AA16" s="5">
        <f t="shared" si="2"/>
        <v>-0.7</v>
      </c>
      <c r="AB16" s="5">
        <v>117</v>
      </c>
      <c r="AC16" s="5">
        <f t="shared" si="3"/>
        <v>1.7</v>
      </c>
      <c r="AD16" s="5">
        <v>-38.200000000000003</v>
      </c>
      <c r="AE16" s="5">
        <v>2.69</v>
      </c>
      <c r="AF16" s="5">
        <v>11.88</v>
      </c>
      <c r="AG16" s="6">
        <f t="shared" si="4"/>
        <v>4.5999999999999996</v>
      </c>
      <c r="AH16" s="5">
        <f t="shared" si="5"/>
        <v>7.5999999999999988</v>
      </c>
      <c r="AI16" s="5">
        <v>11</v>
      </c>
      <c r="AJ16" s="5">
        <f t="shared" si="6"/>
        <v>1</v>
      </c>
      <c r="AK16" s="5">
        <f t="shared" si="7"/>
        <v>14.499999999999998</v>
      </c>
      <c r="AL16" s="4">
        <f t="shared" si="8"/>
        <v>1</v>
      </c>
      <c r="AM16" s="8" t="str">
        <f t="shared" si="9"/>
        <v>Toss The Coin</v>
      </c>
      <c r="AN16" s="7"/>
      <c r="AO16" s="61">
        <f t="shared" si="10"/>
        <v>0</v>
      </c>
      <c r="AP16" s="7">
        <f t="shared" si="11"/>
        <v>0</v>
      </c>
      <c r="AQ16" s="5">
        <v>1</v>
      </c>
      <c r="AR16" s="7">
        <f t="shared" si="12"/>
        <v>5</v>
      </c>
      <c r="AS16" s="4">
        <v>182</v>
      </c>
      <c r="AT16" s="5"/>
      <c r="AU16" s="5">
        <f t="shared" si="13"/>
        <v>182</v>
      </c>
      <c r="AV16" s="5">
        <f t="shared" si="14"/>
        <v>91</v>
      </c>
      <c r="AW16" s="4">
        <v>346</v>
      </c>
      <c r="AX16" s="4">
        <f t="shared" si="15"/>
        <v>1</v>
      </c>
      <c r="AY16" s="4">
        <f t="shared" si="16"/>
        <v>0</v>
      </c>
      <c r="AZ16" s="4">
        <f t="shared" si="17"/>
        <v>0</v>
      </c>
      <c r="BA16" s="7"/>
      <c r="BB16" s="5"/>
      <c r="BC16" s="5"/>
      <c r="BD16" s="5"/>
      <c r="BE16" s="5"/>
      <c r="BF16" s="5">
        <v>308</v>
      </c>
      <c r="BG16" s="5">
        <v>69.230769230769198</v>
      </c>
      <c r="BH16" s="5">
        <v>-10.9826589595376</v>
      </c>
    </row>
    <row r="17" spans="2:110" ht="12.75" customHeight="1">
      <c r="B17" s="9" t="s">
        <v>74</v>
      </c>
      <c r="C17" s="4">
        <v>2024</v>
      </c>
      <c r="D17" s="4">
        <v>1</v>
      </c>
      <c r="E17" s="5">
        <v>0.42</v>
      </c>
      <c r="F17" s="5">
        <v>14.74</v>
      </c>
      <c r="G17" s="5">
        <f t="shared" si="0"/>
        <v>97.150610583446408</v>
      </c>
      <c r="H17" s="4">
        <v>25.56</v>
      </c>
      <c r="I17" s="5">
        <v>6.63</v>
      </c>
      <c r="J17" s="5"/>
      <c r="K17" s="5">
        <v>7.25</v>
      </c>
      <c r="L17" s="5"/>
      <c r="M17" s="5">
        <v>9.0399999999999991</v>
      </c>
      <c r="N17" s="5"/>
      <c r="O17" s="5">
        <v>53.08</v>
      </c>
      <c r="P17" s="5">
        <f t="shared" si="1"/>
        <v>8.0060331825037707</v>
      </c>
      <c r="Q17" s="5">
        <v>10.07</v>
      </c>
      <c r="R17" s="5">
        <v>10.07</v>
      </c>
      <c r="S17" s="6">
        <v>0</v>
      </c>
      <c r="T17" s="7"/>
      <c r="U17" s="7"/>
      <c r="V17" s="7">
        <v>1</v>
      </c>
      <c r="W17" s="5"/>
      <c r="X17" s="5">
        <v>136.69</v>
      </c>
      <c r="Y17" s="5">
        <v>1179.6199999999999</v>
      </c>
      <c r="Z17" s="5">
        <v>329.65</v>
      </c>
      <c r="AA17" s="5">
        <f t="shared" si="2"/>
        <v>1</v>
      </c>
      <c r="AB17" s="5">
        <v>61</v>
      </c>
      <c r="AC17" s="5">
        <f t="shared" si="3"/>
        <v>1.7</v>
      </c>
      <c r="AD17" s="5">
        <v>88</v>
      </c>
      <c r="AE17" s="5">
        <v>53</v>
      </c>
      <c r="AF17" s="5">
        <v>104</v>
      </c>
      <c r="AG17" s="6">
        <f t="shared" si="4"/>
        <v>6.6</v>
      </c>
      <c r="AH17" s="5">
        <f t="shared" si="5"/>
        <v>11.299999999999999</v>
      </c>
      <c r="AI17" s="5">
        <v>11</v>
      </c>
      <c r="AJ17" s="5">
        <f t="shared" si="6"/>
        <v>1</v>
      </c>
      <c r="AK17" s="5">
        <f t="shared" si="7"/>
        <v>21.199999999999996</v>
      </c>
      <c r="AL17" s="4">
        <f t="shared" si="8"/>
        <v>1</v>
      </c>
      <c r="AM17" s="8" t="str">
        <f t="shared" si="9"/>
        <v>Ape Ecotech</v>
      </c>
      <c r="AN17" s="7"/>
      <c r="AO17" s="61">
        <f t="shared" si="10"/>
        <v>0</v>
      </c>
      <c r="AP17" s="7">
        <f t="shared" si="11"/>
        <v>0</v>
      </c>
      <c r="AQ17" s="5">
        <v>1</v>
      </c>
      <c r="AR17" s="7">
        <f t="shared" si="12"/>
        <v>5</v>
      </c>
      <c r="AS17" s="4">
        <v>73</v>
      </c>
      <c r="AT17" s="5"/>
      <c r="AU17" s="5">
        <f t="shared" si="13"/>
        <v>73</v>
      </c>
      <c r="AV17" s="5">
        <f t="shared" si="14"/>
        <v>36.5</v>
      </c>
      <c r="AW17" s="4">
        <v>139</v>
      </c>
      <c r="AX17" s="4">
        <f t="shared" si="15"/>
        <v>1</v>
      </c>
      <c r="AY17" s="4">
        <f t="shared" si="16"/>
        <v>0</v>
      </c>
      <c r="AZ17" s="4">
        <f t="shared" si="17"/>
        <v>0</v>
      </c>
      <c r="BA17" s="7"/>
      <c r="BB17" s="5"/>
      <c r="BC17" s="5"/>
      <c r="BD17" s="5"/>
      <c r="BE17" s="5"/>
      <c r="BF17" s="5">
        <v>124</v>
      </c>
      <c r="BG17" s="5">
        <v>69.863013698630098</v>
      </c>
      <c r="BH17" s="5">
        <v>-10.791366906474799</v>
      </c>
    </row>
    <row r="18" spans="2:110" ht="12.75" customHeight="1">
      <c r="B18" s="9" t="s">
        <v>75</v>
      </c>
      <c r="C18" s="4">
        <v>2024</v>
      </c>
      <c r="D18" s="4">
        <v>1</v>
      </c>
      <c r="E18" s="5">
        <v>29</v>
      </c>
      <c r="F18" s="5">
        <v>31.73</v>
      </c>
      <c r="G18" s="5">
        <f t="shared" si="0"/>
        <v>8.6038449416955576</v>
      </c>
      <c r="H18" s="4">
        <v>82.46</v>
      </c>
      <c r="I18" s="5">
        <v>14.95</v>
      </c>
      <c r="J18" s="5"/>
      <c r="K18" s="5">
        <v>21.75</v>
      </c>
      <c r="L18" s="5"/>
      <c r="M18" s="5">
        <v>23.27</v>
      </c>
      <c r="N18" s="5"/>
      <c r="O18" s="5">
        <v>148.13</v>
      </c>
      <c r="P18" s="5">
        <f t="shared" si="1"/>
        <v>9.9083612040133779</v>
      </c>
      <c r="Q18" s="5">
        <v>8.2799999999999994</v>
      </c>
      <c r="R18" s="5">
        <v>8.2799999999999994</v>
      </c>
      <c r="S18" s="6">
        <v>0</v>
      </c>
      <c r="T18" s="7"/>
      <c r="U18" s="7"/>
      <c r="V18" s="7">
        <v>1</v>
      </c>
      <c r="W18" s="5"/>
      <c r="X18" s="5">
        <v>212.18</v>
      </c>
      <c r="Y18" s="5">
        <v>1117.75</v>
      </c>
      <c r="Z18" s="5">
        <v>590.26</v>
      </c>
      <c r="AA18" s="5">
        <f t="shared" si="2"/>
        <v>1</v>
      </c>
      <c r="AB18" s="5">
        <v>94</v>
      </c>
      <c r="AC18" s="5">
        <f t="shared" si="3"/>
        <v>1.7</v>
      </c>
      <c r="AD18" s="5">
        <v>452</v>
      </c>
      <c r="AE18" s="5">
        <v>181</v>
      </c>
      <c r="AF18" s="5">
        <v>381</v>
      </c>
      <c r="AG18" s="6">
        <f t="shared" si="4"/>
        <v>5.7</v>
      </c>
      <c r="AH18" s="5">
        <f t="shared" si="5"/>
        <v>10.4</v>
      </c>
      <c r="AI18" s="5">
        <v>11</v>
      </c>
      <c r="AJ18" s="5">
        <f t="shared" si="6"/>
        <v>1</v>
      </c>
      <c r="AK18" s="5">
        <f t="shared" si="7"/>
        <v>18.950000000000003</v>
      </c>
      <c r="AL18" s="4">
        <f t="shared" si="8"/>
        <v>1</v>
      </c>
      <c r="AM18" s="8" t="str">
        <f t="shared" si="9"/>
        <v>Lakshya Powertech</v>
      </c>
      <c r="AN18" s="7"/>
      <c r="AO18" s="61">
        <f t="shared" si="10"/>
        <v>0</v>
      </c>
      <c r="AP18" s="7">
        <f t="shared" si="11"/>
        <v>0</v>
      </c>
      <c r="AQ18" s="5">
        <v>1</v>
      </c>
      <c r="AR18" s="7">
        <f t="shared" si="12"/>
        <v>5</v>
      </c>
      <c r="AS18" s="4">
        <v>180</v>
      </c>
      <c r="AT18" s="5"/>
      <c r="AU18" s="5">
        <f t="shared" si="13"/>
        <v>180</v>
      </c>
      <c r="AV18" s="5">
        <f t="shared" si="14"/>
        <v>90</v>
      </c>
      <c r="AW18" s="4">
        <v>342</v>
      </c>
      <c r="AX18" s="4">
        <f t="shared" si="15"/>
        <v>1</v>
      </c>
      <c r="AY18" s="4">
        <f t="shared" si="16"/>
        <v>0</v>
      </c>
      <c r="AZ18" s="4">
        <f t="shared" si="17"/>
        <v>0</v>
      </c>
      <c r="BA18" s="7"/>
      <c r="BB18" s="5">
        <v>358</v>
      </c>
      <c r="BC18" s="5">
        <v>340</v>
      </c>
      <c r="BD18" s="5">
        <v>322</v>
      </c>
      <c r="BE18" s="5"/>
      <c r="BF18" s="5">
        <v>129</v>
      </c>
      <c r="BG18" s="5">
        <v>-28.3333333333333</v>
      </c>
      <c r="BH18" s="5">
        <v>-62.280701754386001</v>
      </c>
    </row>
    <row r="19" spans="2:110" ht="12.75" customHeight="1">
      <c r="B19" s="9" t="s">
        <v>76</v>
      </c>
      <c r="C19" s="4">
        <v>2024</v>
      </c>
      <c r="D19" s="4">
        <v>1</v>
      </c>
      <c r="E19" s="5">
        <v>6.89</v>
      </c>
      <c r="F19" s="5">
        <v>16.04</v>
      </c>
      <c r="G19" s="5">
        <f t="shared" si="0"/>
        <v>57.044887780548628</v>
      </c>
      <c r="H19" s="4">
        <v>37.28</v>
      </c>
      <c r="I19" s="5">
        <v>4.82</v>
      </c>
      <c r="J19" s="5"/>
      <c r="K19" s="5">
        <v>4.1399999999999997</v>
      </c>
      <c r="L19" s="5"/>
      <c r="M19" s="5">
        <v>9.09</v>
      </c>
      <c r="N19" s="5"/>
      <c r="O19" s="5">
        <v>39.08</v>
      </c>
      <c r="P19" s="5">
        <f t="shared" si="1"/>
        <v>8.1078838174273855</v>
      </c>
      <c r="Q19" s="5">
        <v>19.8</v>
      </c>
      <c r="R19" s="5">
        <v>19.8</v>
      </c>
      <c r="S19" s="6">
        <v>0</v>
      </c>
      <c r="T19" s="7"/>
      <c r="U19" s="7"/>
      <c r="V19" s="7">
        <v>1</v>
      </c>
      <c r="W19" s="5"/>
      <c r="X19" s="5">
        <v>31.22</v>
      </c>
      <c r="Y19" s="5">
        <v>128.88</v>
      </c>
      <c r="Z19" s="5">
        <v>66.52</v>
      </c>
      <c r="AA19" s="5">
        <f t="shared" si="2"/>
        <v>0</v>
      </c>
      <c r="AB19" s="5">
        <v>21.9</v>
      </c>
      <c r="AC19" s="5">
        <f t="shared" si="3"/>
        <v>1.7</v>
      </c>
      <c r="AD19" s="5">
        <v>269</v>
      </c>
      <c r="AE19" s="5">
        <v>47</v>
      </c>
      <c r="AF19" s="5">
        <v>1760</v>
      </c>
      <c r="AG19" s="6">
        <f t="shared" si="4"/>
        <v>6.6</v>
      </c>
      <c r="AH19" s="5">
        <f t="shared" si="5"/>
        <v>10.299999999999999</v>
      </c>
      <c r="AI19" s="5">
        <v>11</v>
      </c>
      <c r="AJ19" s="5">
        <f t="shared" si="6"/>
        <v>1</v>
      </c>
      <c r="AK19" s="5">
        <f t="shared" si="7"/>
        <v>20.199999999999996</v>
      </c>
      <c r="AL19" s="4">
        <f t="shared" si="8"/>
        <v>1</v>
      </c>
      <c r="AM19" s="8" t="str">
        <f t="shared" si="9"/>
        <v>TechEra Engineering</v>
      </c>
      <c r="AN19" s="7"/>
      <c r="AO19" s="61">
        <f t="shared" si="10"/>
        <v>1</v>
      </c>
      <c r="AP19" s="7">
        <f t="shared" si="11"/>
        <v>1</v>
      </c>
      <c r="AQ19" s="5">
        <v>1</v>
      </c>
      <c r="AR19" s="7">
        <f t="shared" si="12"/>
        <v>1</v>
      </c>
      <c r="AS19" s="4">
        <v>82</v>
      </c>
      <c r="AT19" s="5"/>
      <c r="AU19" s="5">
        <f t="shared" si="13"/>
        <v>82</v>
      </c>
      <c r="AV19" s="5">
        <f t="shared" si="14"/>
        <v>41</v>
      </c>
      <c r="AW19" s="4">
        <v>125</v>
      </c>
      <c r="AX19" s="4">
        <f t="shared" si="15"/>
        <v>1</v>
      </c>
      <c r="AY19" s="4">
        <f t="shared" si="16"/>
        <v>0</v>
      </c>
      <c r="AZ19" s="4">
        <f t="shared" si="17"/>
        <v>0</v>
      </c>
      <c r="BA19" s="7"/>
      <c r="BB19" s="5"/>
      <c r="BC19" s="5"/>
      <c r="BD19" s="5"/>
      <c r="BE19" s="5"/>
      <c r="BF19" s="5">
        <v>295</v>
      </c>
      <c r="BG19" s="5">
        <v>259.756097560976</v>
      </c>
      <c r="BH19" s="5">
        <v>136</v>
      </c>
    </row>
    <row r="20" spans="2:110" ht="12.75" customHeight="1">
      <c r="B20" s="10" t="s">
        <v>77</v>
      </c>
      <c r="C20" s="4">
        <v>2023</v>
      </c>
      <c r="D20" s="4">
        <v>1</v>
      </c>
      <c r="E20" s="4">
        <v>22.99</v>
      </c>
      <c r="F20" s="4">
        <v>16.54</v>
      </c>
      <c r="G20" s="5">
        <f t="shared" si="0"/>
        <v>-38.996372430471581</v>
      </c>
      <c r="H20" s="4">
        <v>49.81</v>
      </c>
      <c r="I20" s="4">
        <v>5.55</v>
      </c>
      <c r="J20" s="4"/>
      <c r="K20" s="4">
        <v>4.72</v>
      </c>
      <c r="L20" s="4"/>
      <c r="M20" s="4">
        <v>10.07</v>
      </c>
      <c r="N20" s="4"/>
      <c r="O20" s="4">
        <v>67.349999999999994</v>
      </c>
      <c r="P20" s="5">
        <f t="shared" si="1"/>
        <v>12.135135135135135</v>
      </c>
      <c r="Q20" s="4">
        <v>13.62</v>
      </c>
      <c r="R20" s="5">
        <v>13.62</v>
      </c>
      <c r="S20" s="6">
        <v>0</v>
      </c>
      <c r="T20" s="7"/>
      <c r="U20" s="7"/>
      <c r="V20" s="7">
        <v>1</v>
      </c>
      <c r="W20" s="4"/>
      <c r="X20" s="4">
        <v>117.91</v>
      </c>
      <c r="Y20" s="4">
        <v>854.37</v>
      </c>
      <c r="Z20" s="4">
        <v>1059.43</v>
      </c>
      <c r="AA20" s="5">
        <f t="shared" si="2"/>
        <v>-0.7</v>
      </c>
      <c r="AB20" s="5">
        <v>114.5</v>
      </c>
      <c r="AC20" s="5">
        <f t="shared" si="3"/>
        <v>1.7</v>
      </c>
      <c r="AD20" s="4">
        <v>767</v>
      </c>
      <c r="AE20" s="4">
        <v>126</v>
      </c>
      <c r="AF20" s="4">
        <v>19.5</v>
      </c>
      <c r="AG20" s="6">
        <f t="shared" si="4"/>
        <v>4.5</v>
      </c>
      <c r="AH20" s="5">
        <f t="shared" si="5"/>
        <v>7.4999999999999991</v>
      </c>
      <c r="AI20" s="5">
        <v>11</v>
      </c>
      <c r="AJ20" s="5">
        <f t="shared" si="6"/>
        <v>1</v>
      </c>
      <c r="AK20" s="5">
        <f t="shared" si="7"/>
        <v>14.25</v>
      </c>
      <c r="AL20" s="4">
        <f t="shared" si="8"/>
        <v>1</v>
      </c>
      <c r="AM20" s="8" t="str">
        <f t="shared" si="9"/>
        <v>Trident Techlabs SME</v>
      </c>
      <c r="AN20" s="7"/>
      <c r="AO20" s="61">
        <f t="shared" si="10"/>
        <v>0</v>
      </c>
      <c r="AP20" s="7">
        <f t="shared" si="11"/>
        <v>0</v>
      </c>
      <c r="AQ20" s="5">
        <v>1</v>
      </c>
      <c r="AR20" s="7">
        <f t="shared" si="12"/>
        <v>5</v>
      </c>
      <c r="AS20" s="4">
        <v>1</v>
      </c>
      <c r="AT20" s="5"/>
      <c r="AU20" s="5">
        <f t="shared" si="13"/>
        <v>1</v>
      </c>
      <c r="AV20" s="5">
        <f t="shared" si="14"/>
        <v>0.5</v>
      </c>
      <c r="AW20" s="4">
        <v>1</v>
      </c>
      <c r="AX20" s="4">
        <f t="shared" si="15"/>
        <v>1</v>
      </c>
      <c r="AY20" s="4">
        <f t="shared" si="16"/>
        <v>0</v>
      </c>
      <c r="AZ20" s="4">
        <f t="shared" si="17"/>
        <v>0</v>
      </c>
      <c r="BA20" s="7"/>
      <c r="BB20" s="5"/>
      <c r="BC20" s="5"/>
      <c r="BD20" s="5"/>
      <c r="BE20" s="5"/>
      <c r="BF20" s="5"/>
      <c r="BG20" s="5"/>
      <c r="BH20" s="5"/>
    </row>
    <row r="21" spans="2:110" ht="12.75" customHeight="1">
      <c r="B21" s="10" t="s">
        <v>78</v>
      </c>
      <c r="C21" s="4">
        <v>2023</v>
      </c>
      <c r="D21" s="4">
        <v>1</v>
      </c>
      <c r="E21" s="4">
        <v>41.78</v>
      </c>
      <c r="F21" s="4">
        <v>56.04</v>
      </c>
      <c r="G21" s="5">
        <f t="shared" si="0"/>
        <v>25.446109921484648</v>
      </c>
      <c r="H21" s="4">
        <v>177.06</v>
      </c>
      <c r="I21" s="4">
        <v>10.130000000000001</v>
      </c>
      <c r="J21" s="4"/>
      <c r="K21" s="4">
        <v>7.13</v>
      </c>
      <c r="L21" s="4"/>
      <c r="M21" s="4" t="s">
        <v>79</v>
      </c>
      <c r="N21" s="4"/>
      <c r="O21" s="4">
        <v>370.71</v>
      </c>
      <c r="P21" s="5">
        <f t="shared" si="1"/>
        <v>36.595261599210261</v>
      </c>
      <c r="Q21" s="4">
        <v>9.82</v>
      </c>
      <c r="R21" s="5">
        <v>9.82</v>
      </c>
      <c r="S21" s="6">
        <v>0</v>
      </c>
      <c r="T21" s="7"/>
      <c r="U21" s="7"/>
      <c r="V21" s="7">
        <v>1</v>
      </c>
      <c r="W21" s="4"/>
      <c r="X21" s="4">
        <v>4.2699999999999996</v>
      </c>
      <c r="Y21" s="4">
        <v>2.86</v>
      </c>
      <c r="Z21" s="4">
        <v>2.81</v>
      </c>
      <c r="AA21" s="5">
        <f t="shared" si="2"/>
        <v>1</v>
      </c>
      <c r="AB21" s="5">
        <v>21</v>
      </c>
      <c r="AC21" s="5">
        <f t="shared" si="3"/>
        <v>1.7</v>
      </c>
      <c r="AD21" s="4">
        <v>108</v>
      </c>
      <c r="AE21" s="4">
        <v>46</v>
      </c>
      <c r="AF21" s="4">
        <v>21</v>
      </c>
      <c r="AG21" s="6">
        <f t="shared" si="4"/>
        <v>4.2</v>
      </c>
      <c r="AH21" s="5">
        <f t="shared" si="5"/>
        <v>8.9</v>
      </c>
      <c r="AI21" s="5">
        <v>11</v>
      </c>
      <c r="AJ21" s="5">
        <f t="shared" si="6"/>
        <v>1</v>
      </c>
      <c r="AK21" s="5">
        <f t="shared" si="7"/>
        <v>15.200000000000001</v>
      </c>
      <c r="AL21" s="4">
        <f t="shared" si="8"/>
        <v>1</v>
      </c>
      <c r="AM21" s="8" t="str">
        <f t="shared" si="9"/>
        <v>Shanti Spinte SME</v>
      </c>
      <c r="AN21" s="7"/>
      <c r="AO21" s="61">
        <f t="shared" si="10"/>
        <v>0</v>
      </c>
      <c r="AP21" s="7">
        <f t="shared" si="11"/>
        <v>3</v>
      </c>
      <c r="AQ21" s="5">
        <v>1</v>
      </c>
      <c r="AR21" s="7">
        <f t="shared" si="12"/>
        <v>5</v>
      </c>
      <c r="AS21" s="4">
        <v>1</v>
      </c>
      <c r="AT21" s="5"/>
      <c r="AU21" s="5">
        <f t="shared" si="13"/>
        <v>1</v>
      </c>
      <c r="AV21" s="5">
        <f t="shared" si="14"/>
        <v>0.5</v>
      </c>
      <c r="AW21" s="4">
        <v>1</v>
      </c>
      <c r="AX21" s="4">
        <f t="shared" si="15"/>
        <v>1</v>
      </c>
      <c r="AY21" s="4">
        <f t="shared" si="16"/>
        <v>0</v>
      </c>
      <c r="AZ21" s="4">
        <f t="shared" si="17"/>
        <v>0</v>
      </c>
      <c r="BA21" s="7"/>
      <c r="BB21" s="5"/>
      <c r="BC21" s="5"/>
      <c r="BD21" s="5"/>
      <c r="BE21" s="5"/>
      <c r="BF21" s="5"/>
      <c r="BG21" s="5"/>
      <c r="BH21" s="5"/>
    </row>
    <row r="22" spans="2:110" ht="12.75" customHeight="1">
      <c r="B22" s="3" t="s">
        <v>80</v>
      </c>
      <c r="C22" s="4">
        <v>2023</v>
      </c>
      <c r="D22" s="4">
        <v>1</v>
      </c>
      <c r="E22" s="4">
        <v>40.83</v>
      </c>
      <c r="F22" s="4">
        <v>36.79</v>
      </c>
      <c r="G22" s="5">
        <f t="shared" si="0"/>
        <v>-10.981244903506385</v>
      </c>
      <c r="H22" s="4">
        <v>92.74</v>
      </c>
      <c r="I22" s="4">
        <v>2.59</v>
      </c>
      <c r="J22" s="4"/>
      <c r="K22" s="4">
        <v>2.56</v>
      </c>
      <c r="L22" s="4"/>
      <c r="M22" s="4">
        <v>6.95</v>
      </c>
      <c r="N22" s="4"/>
      <c r="O22" s="4">
        <v>50.9</v>
      </c>
      <c r="P22" s="5">
        <f t="shared" si="1"/>
        <v>19.652509652509654</v>
      </c>
      <c r="Q22" s="4">
        <v>57.03</v>
      </c>
      <c r="R22" s="5">
        <v>57.03</v>
      </c>
      <c r="S22" s="6">
        <v>0</v>
      </c>
      <c r="T22" s="7"/>
      <c r="U22" s="7"/>
      <c r="V22" s="7">
        <v>0</v>
      </c>
      <c r="W22" s="4"/>
      <c r="X22" s="4">
        <v>0</v>
      </c>
      <c r="Y22" s="4">
        <v>1.39</v>
      </c>
      <c r="Z22" s="4">
        <v>1.1499999999999999</v>
      </c>
      <c r="AA22" s="5">
        <f t="shared" si="2"/>
        <v>0</v>
      </c>
      <c r="AB22" s="5">
        <v>-3</v>
      </c>
      <c r="AC22" s="5">
        <f t="shared" si="3"/>
        <v>0</v>
      </c>
      <c r="AD22" s="4">
        <v>140</v>
      </c>
      <c r="AE22" s="4">
        <v>104</v>
      </c>
      <c r="AF22" s="4">
        <v>7</v>
      </c>
      <c r="AG22" s="6">
        <f t="shared" si="4"/>
        <v>0.5</v>
      </c>
      <c r="AH22" s="5">
        <f t="shared" si="5"/>
        <v>1.5</v>
      </c>
      <c r="AI22" s="5">
        <v>11</v>
      </c>
      <c r="AJ22" s="5">
        <f t="shared" si="6"/>
        <v>1</v>
      </c>
      <c r="AK22" s="5">
        <f t="shared" si="7"/>
        <v>2.25</v>
      </c>
      <c r="AL22" s="4">
        <f t="shared" si="8"/>
        <v>1</v>
      </c>
      <c r="AM22" s="8" t="str">
        <f t="shared" si="9"/>
        <v>Bright Outdoor Media</v>
      </c>
      <c r="AN22" s="7"/>
      <c r="AO22" s="61">
        <f t="shared" si="10"/>
        <v>0</v>
      </c>
      <c r="AP22" s="7">
        <f t="shared" si="11"/>
        <v>0</v>
      </c>
      <c r="AQ22" s="5">
        <v>1</v>
      </c>
      <c r="AR22" s="7">
        <f t="shared" si="12"/>
        <v>5</v>
      </c>
      <c r="AS22" s="4">
        <v>1</v>
      </c>
      <c r="AT22" s="5"/>
      <c r="AU22" s="5">
        <f t="shared" si="13"/>
        <v>1</v>
      </c>
      <c r="AV22" s="5">
        <f t="shared" si="14"/>
        <v>0.5</v>
      </c>
      <c r="AW22" s="4">
        <v>1</v>
      </c>
      <c r="AX22" s="4">
        <f t="shared" si="15"/>
        <v>1</v>
      </c>
      <c r="AY22" s="4">
        <f t="shared" si="16"/>
        <v>0</v>
      </c>
      <c r="AZ22" s="4">
        <f t="shared" si="17"/>
        <v>0</v>
      </c>
      <c r="BA22" s="7"/>
      <c r="BB22" s="5"/>
      <c r="BC22" s="5"/>
      <c r="BD22" s="5"/>
      <c r="BE22" s="5"/>
      <c r="BF22" s="5"/>
      <c r="BG22" s="5"/>
      <c r="BH22" s="5"/>
    </row>
    <row r="23" spans="2:110" ht="12.75" customHeight="1">
      <c r="B23" s="12" t="s">
        <v>81</v>
      </c>
      <c r="C23" s="4">
        <v>2025</v>
      </c>
      <c r="D23" s="4">
        <v>0</v>
      </c>
      <c r="E23" s="5">
        <v>12.99</v>
      </c>
      <c r="F23" s="5">
        <v>9.14</v>
      </c>
      <c r="G23" s="5">
        <f t="shared" si="0"/>
        <v>-42.122538293216621</v>
      </c>
      <c r="H23" s="5">
        <v>45.42</v>
      </c>
      <c r="I23" s="5">
        <v>3.61</v>
      </c>
      <c r="J23" s="5"/>
      <c r="K23" s="5">
        <v>2.41</v>
      </c>
      <c r="L23" s="5"/>
      <c r="M23" s="5">
        <v>7.79</v>
      </c>
      <c r="N23" s="5"/>
      <c r="O23" s="5">
        <v>136.86000000000001</v>
      </c>
      <c r="P23" s="5">
        <f t="shared" si="1"/>
        <v>37.91135734072023</v>
      </c>
      <c r="Q23" s="5">
        <v>59.42</v>
      </c>
      <c r="R23" s="5">
        <v>18.79</v>
      </c>
      <c r="S23" s="6">
        <v>0</v>
      </c>
      <c r="T23" s="7"/>
      <c r="U23" s="7"/>
      <c r="V23" s="7">
        <v>0</v>
      </c>
      <c r="W23" s="5"/>
      <c r="X23" s="5">
        <v>1.1299999999999999</v>
      </c>
      <c r="Y23" s="5">
        <v>0.55000000000000004</v>
      </c>
      <c r="Z23" s="5">
        <v>4.08</v>
      </c>
      <c r="AA23" s="5">
        <f t="shared" si="2"/>
        <v>-0.7</v>
      </c>
      <c r="AB23" s="5">
        <v>0</v>
      </c>
      <c r="AC23" s="5">
        <f t="shared" si="3"/>
        <v>0</v>
      </c>
      <c r="AD23" s="5">
        <v>91</v>
      </c>
      <c r="AE23" s="5">
        <v>-15</v>
      </c>
      <c r="AF23" s="5">
        <v>35.81</v>
      </c>
      <c r="AG23" s="6">
        <f t="shared" si="4"/>
        <v>-1.5</v>
      </c>
      <c r="AH23" s="5">
        <f t="shared" si="5"/>
        <v>-3.2</v>
      </c>
      <c r="AI23" s="5">
        <v>11</v>
      </c>
      <c r="AJ23" s="5">
        <f t="shared" si="6"/>
        <v>1</v>
      </c>
      <c r="AK23" s="5">
        <f t="shared" si="7"/>
        <v>-5.45</v>
      </c>
      <c r="AL23" s="4">
        <f t="shared" si="8"/>
        <v>0</v>
      </c>
      <c r="AM23" s="8" t="str">
        <f t="shared" si="9"/>
        <v>Mittal Sections</v>
      </c>
      <c r="AN23" s="7"/>
      <c r="AO23" s="61">
        <f t="shared" si="10"/>
        <v>0</v>
      </c>
      <c r="AP23" s="7">
        <f t="shared" si="11"/>
        <v>0</v>
      </c>
      <c r="AQ23" s="5">
        <v>1</v>
      </c>
      <c r="AR23" s="7">
        <f t="shared" si="12"/>
        <v>5</v>
      </c>
      <c r="AS23" s="4">
        <v>143</v>
      </c>
      <c r="AT23" s="5"/>
      <c r="AU23" s="5">
        <f t="shared" si="13"/>
        <v>143</v>
      </c>
      <c r="AV23" s="5">
        <f t="shared" si="14"/>
        <v>71.5</v>
      </c>
      <c r="AW23" s="4">
        <v>114</v>
      </c>
      <c r="AX23" s="4">
        <f t="shared" si="15"/>
        <v>1</v>
      </c>
      <c r="AY23" s="4">
        <f t="shared" si="16"/>
        <v>0</v>
      </c>
      <c r="AZ23" s="4">
        <f t="shared" si="17"/>
        <v>0</v>
      </c>
      <c r="BA23" s="7"/>
      <c r="BB23" s="5"/>
      <c r="BC23" s="5"/>
      <c r="BD23" s="5"/>
      <c r="BE23" s="5"/>
      <c r="BF23" s="5">
        <v>52</v>
      </c>
      <c r="BG23" s="5">
        <v>-63.636363636363598</v>
      </c>
      <c r="BH23" s="5">
        <v>-54.385964912280699</v>
      </c>
    </row>
    <row r="24" spans="2:110" ht="12.75" customHeight="1">
      <c r="B24" s="12" t="s">
        <v>82</v>
      </c>
      <c r="C24" s="4">
        <v>2025</v>
      </c>
      <c r="D24" s="4">
        <v>0</v>
      </c>
      <c r="E24" s="5">
        <v>20.22</v>
      </c>
      <c r="F24" s="5">
        <v>9.57</v>
      </c>
      <c r="G24" s="5">
        <f t="shared" si="0"/>
        <v>-111.28526645768022</v>
      </c>
      <c r="H24" s="5">
        <v>40.58</v>
      </c>
      <c r="I24" s="5">
        <v>6.02</v>
      </c>
      <c r="J24" s="5"/>
      <c r="K24" s="5">
        <v>1.51</v>
      </c>
      <c r="L24" s="5"/>
      <c r="M24" s="5">
        <v>9.76</v>
      </c>
      <c r="N24" s="5"/>
      <c r="O24" s="5">
        <v>59.8</v>
      </c>
      <c r="P24" s="5">
        <f t="shared" si="1"/>
        <v>9.9335548172757484</v>
      </c>
      <c r="Q24" s="5">
        <v>13.95</v>
      </c>
      <c r="R24" s="5">
        <v>19.11</v>
      </c>
      <c r="S24" s="6">
        <v>0</v>
      </c>
      <c r="T24" s="7"/>
      <c r="U24" s="7"/>
      <c r="V24" s="7">
        <v>0</v>
      </c>
      <c r="W24" s="5"/>
      <c r="X24" s="5">
        <v>0</v>
      </c>
      <c r="Y24" s="5">
        <v>0.73</v>
      </c>
      <c r="Z24" s="5">
        <v>3.03</v>
      </c>
      <c r="AA24" s="5">
        <f t="shared" si="2"/>
        <v>-1.7</v>
      </c>
      <c r="AB24" s="5">
        <v>0</v>
      </c>
      <c r="AC24" s="5">
        <f t="shared" si="3"/>
        <v>0</v>
      </c>
      <c r="AD24" s="5">
        <v>903.33</v>
      </c>
      <c r="AE24" s="5">
        <v>95.63</v>
      </c>
      <c r="AF24" s="5">
        <v>189.12</v>
      </c>
      <c r="AG24" s="6">
        <f t="shared" si="4"/>
        <v>2.5</v>
      </c>
      <c r="AH24" s="5">
        <f t="shared" si="5"/>
        <v>0.8</v>
      </c>
      <c r="AI24" s="5">
        <v>11</v>
      </c>
      <c r="AJ24" s="5">
        <f t="shared" si="6"/>
        <v>1</v>
      </c>
      <c r="AK24" s="5">
        <f t="shared" si="7"/>
        <v>4.55</v>
      </c>
      <c r="AL24" s="4">
        <f t="shared" si="8"/>
        <v>0</v>
      </c>
      <c r="AM24" s="8" t="str">
        <f t="shared" si="9"/>
        <v>Chiraharit Limited</v>
      </c>
      <c r="AN24" s="7"/>
      <c r="AO24" s="61">
        <f t="shared" si="10"/>
        <v>0</v>
      </c>
      <c r="AP24" s="7">
        <f t="shared" si="11"/>
        <v>0</v>
      </c>
      <c r="AQ24" s="5">
        <v>1</v>
      </c>
      <c r="AR24" s="7">
        <f t="shared" si="12"/>
        <v>5</v>
      </c>
      <c r="AS24" s="4">
        <v>21</v>
      </c>
      <c r="AT24" s="5"/>
      <c r="AU24" s="5">
        <f t="shared" si="13"/>
        <v>21</v>
      </c>
      <c r="AV24" s="5">
        <f t="shared" si="14"/>
        <v>10.5</v>
      </c>
      <c r="AW24" s="4">
        <v>17</v>
      </c>
      <c r="AX24" s="4">
        <f t="shared" si="15"/>
        <v>1</v>
      </c>
      <c r="AY24" s="4">
        <f t="shared" si="16"/>
        <v>0</v>
      </c>
      <c r="AZ24" s="4">
        <f t="shared" si="17"/>
        <v>0</v>
      </c>
      <c r="BA24" s="7"/>
      <c r="BB24" s="5"/>
      <c r="BC24" s="5"/>
      <c r="BD24" s="5"/>
      <c r="BE24" s="5"/>
      <c r="BF24" s="5">
        <v>13</v>
      </c>
      <c r="BG24" s="5">
        <v>-38.095238095238102</v>
      </c>
      <c r="BH24" s="5">
        <v>-23.529411764705898</v>
      </c>
    </row>
    <row r="25" spans="2:110" ht="12.75" customHeight="1">
      <c r="B25" s="13" t="s">
        <v>83</v>
      </c>
      <c r="C25" s="4">
        <v>2025</v>
      </c>
      <c r="D25" s="4">
        <v>0</v>
      </c>
      <c r="E25" s="5">
        <v>3.34</v>
      </c>
      <c r="F25" s="5">
        <v>5.23</v>
      </c>
      <c r="G25" s="5">
        <f t="shared" si="0"/>
        <v>36.137667304015302</v>
      </c>
      <c r="H25" s="5">
        <v>9.7100000000000009</v>
      </c>
      <c r="I25" s="5">
        <v>1.73</v>
      </c>
      <c r="J25" s="5"/>
      <c r="K25" s="5">
        <v>6.86</v>
      </c>
      <c r="L25" s="5"/>
      <c r="M25" s="5">
        <v>3.67</v>
      </c>
      <c r="N25" s="5"/>
      <c r="O25" s="5">
        <v>25.22</v>
      </c>
      <c r="P25" s="5">
        <f t="shared" si="1"/>
        <v>14.578034682080924</v>
      </c>
      <c r="Q25" s="5">
        <v>10.49</v>
      </c>
      <c r="R25" s="5">
        <v>16.32</v>
      </c>
      <c r="S25" s="6">
        <v>0</v>
      </c>
      <c r="T25" s="7"/>
      <c r="U25" s="7"/>
      <c r="V25" s="7">
        <v>0</v>
      </c>
      <c r="W25" s="5"/>
      <c r="X25" s="5">
        <v>0</v>
      </c>
      <c r="Y25" s="5">
        <v>0.96</v>
      </c>
      <c r="Z25" s="5">
        <v>4.87</v>
      </c>
      <c r="AA25" s="5">
        <f t="shared" si="2"/>
        <v>-1.7</v>
      </c>
      <c r="AB25" s="5">
        <v>0</v>
      </c>
      <c r="AC25" s="5">
        <f t="shared" si="3"/>
        <v>0</v>
      </c>
      <c r="AD25" s="5">
        <v>58.72</v>
      </c>
      <c r="AE25" s="5">
        <v>1.98</v>
      </c>
      <c r="AF25" s="5">
        <v>49.45</v>
      </c>
      <c r="AG25" s="6">
        <f t="shared" si="4"/>
        <v>0.89999999999999991</v>
      </c>
      <c r="AH25" s="5">
        <f t="shared" si="5"/>
        <v>-0.8</v>
      </c>
      <c r="AI25" s="5">
        <v>11</v>
      </c>
      <c r="AJ25" s="5">
        <f t="shared" si="6"/>
        <v>1</v>
      </c>
      <c r="AK25" s="5">
        <f t="shared" si="7"/>
        <v>0.54999999999999982</v>
      </c>
      <c r="AL25" s="4">
        <f t="shared" si="8"/>
        <v>0</v>
      </c>
      <c r="AM25" s="8" t="str">
        <f t="shared" si="9"/>
        <v>Dhillon Freight Carrier</v>
      </c>
      <c r="AN25" s="7"/>
      <c r="AO25" s="61">
        <f t="shared" si="10"/>
        <v>0</v>
      </c>
      <c r="AP25" s="7">
        <f t="shared" si="11"/>
        <v>0</v>
      </c>
      <c r="AQ25" s="5">
        <v>1</v>
      </c>
      <c r="AR25" s="7">
        <f t="shared" si="12"/>
        <v>5</v>
      </c>
      <c r="AS25" s="4">
        <v>72</v>
      </c>
      <c r="AT25" s="5"/>
      <c r="AU25" s="5">
        <f t="shared" si="13"/>
        <v>72</v>
      </c>
      <c r="AV25" s="5">
        <f t="shared" si="14"/>
        <v>36</v>
      </c>
      <c r="AW25" s="4">
        <v>58</v>
      </c>
      <c r="AX25" s="4">
        <f t="shared" si="15"/>
        <v>1</v>
      </c>
      <c r="AY25" s="4">
        <f t="shared" si="16"/>
        <v>0</v>
      </c>
      <c r="AZ25" s="4">
        <f t="shared" si="17"/>
        <v>0</v>
      </c>
      <c r="BA25" s="7"/>
      <c r="BB25" s="5"/>
      <c r="BC25" s="5"/>
      <c r="BD25" s="5"/>
      <c r="BE25" s="5"/>
      <c r="BF25" s="5">
        <v>42</v>
      </c>
      <c r="BG25" s="5">
        <v>-41.6666666666667</v>
      </c>
      <c r="BH25" s="5">
        <v>-27.586206896551701</v>
      </c>
    </row>
    <row r="26" spans="2:110" ht="12.75" customHeight="1">
      <c r="B26" s="13" t="s">
        <v>84</v>
      </c>
      <c r="C26" s="4">
        <v>2025</v>
      </c>
      <c r="D26" s="4">
        <v>0</v>
      </c>
      <c r="E26" s="5">
        <v>49.21</v>
      </c>
      <c r="F26" s="5">
        <v>32.43</v>
      </c>
      <c r="G26" s="5">
        <f t="shared" si="0"/>
        <v>-51.742213999383289</v>
      </c>
      <c r="H26" s="5">
        <v>110.81</v>
      </c>
      <c r="I26" s="5">
        <v>7.57</v>
      </c>
      <c r="J26" s="5"/>
      <c r="K26" s="5">
        <v>11.65</v>
      </c>
      <c r="L26" s="5"/>
      <c r="M26" s="5">
        <v>12.64</v>
      </c>
      <c r="N26" s="5"/>
      <c r="O26" s="5">
        <v>327.32</v>
      </c>
      <c r="P26" s="5">
        <f t="shared" si="1"/>
        <v>43.239101717305147</v>
      </c>
      <c r="Q26" s="5">
        <v>8.5</v>
      </c>
      <c r="R26" s="5">
        <v>8.5</v>
      </c>
      <c r="S26" s="6">
        <v>0</v>
      </c>
      <c r="T26" s="7"/>
      <c r="U26" s="7"/>
      <c r="V26" s="7">
        <v>0</v>
      </c>
      <c r="W26" s="5"/>
      <c r="X26" s="5">
        <v>8.24</v>
      </c>
      <c r="Y26" s="5">
        <v>77.12</v>
      </c>
      <c r="Z26" s="5">
        <v>39.729999999999997</v>
      </c>
      <c r="AA26" s="5">
        <f t="shared" si="2"/>
        <v>0</v>
      </c>
      <c r="AB26" s="5">
        <v>36</v>
      </c>
      <c r="AC26" s="5">
        <f t="shared" si="3"/>
        <v>1.7</v>
      </c>
      <c r="AD26" s="5">
        <v>50.8</v>
      </c>
      <c r="AE26" s="5">
        <v>33.590000000000003</v>
      </c>
      <c r="AF26" s="5">
        <v>30.45</v>
      </c>
      <c r="AG26" s="6">
        <f t="shared" si="4"/>
        <v>2</v>
      </c>
      <c r="AH26" s="5">
        <f t="shared" si="5"/>
        <v>5.7</v>
      </c>
      <c r="AI26" s="5">
        <v>11</v>
      </c>
      <c r="AJ26" s="5">
        <f t="shared" si="6"/>
        <v>1</v>
      </c>
      <c r="AK26" s="5">
        <f t="shared" si="7"/>
        <v>8.6999999999999993</v>
      </c>
      <c r="AL26" s="4">
        <f t="shared" si="8"/>
        <v>0</v>
      </c>
      <c r="AM26" s="8" t="str">
        <f t="shared" si="9"/>
        <v>Rukmani Devi Garg Agro Impe</v>
      </c>
      <c r="AN26" s="7"/>
      <c r="AO26" s="61">
        <f t="shared" si="10"/>
        <v>0</v>
      </c>
      <c r="AP26" s="7">
        <f t="shared" si="11"/>
        <v>0</v>
      </c>
      <c r="AQ26" s="5">
        <v>1</v>
      </c>
      <c r="AR26" s="7">
        <f t="shared" si="12"/>
        <v>5</v>
      </c>
      <c r="AS26" s="4">
        <v>99</v>
      </c>
      <c r="AT26" s="5"/>
      <c r="AU26" s="5">
        <f t="shared" si="13"/>
        <v>99</v>
      </c>
      <c r="AV26" s="5">
        <f t="shared" si="14"/>
        <v>49.5</v>
      </c>
      <c r="AW26" s="4">
        <v>79</v>
      </c>
      <c r="AX26" s="4">
        <f t="shared" si="15"/>
        <v>1</v>
      </c>
      <c r="AY26" s="4">
        <f t="shared" si="16"/>
        <v>0</v>
      </c>
      <c r="AZ26" s="4">
        <f t="shared" si="17"/>
        <v>0</v>
      </c>
      <c r="BA26" s="7"/>
      <c r="BB26" s="5">
        <v>73</v>
      </c>
      <c r="BC26" s="5">
        <v>73</v>
      </c>
      <c r="BD26" s="5">
        <v>72</v>
      </c>
      <c r="BE26" s="5"/>
      <c r="BF26" s="5">
        <v>59</v>
      </c>
      <c r="BG26" s="5">
        <v>-40.404040404040401</v>
      </c>
      <c r="BH26" s="5">
        <v>-25.3164556962025</v>
      </c>
    </row>
    <row r="27" spans="2:110" ht="12.75" customHeight="1">
      <c r="B27" s="14" t="s">
        <v>85</v>
      </c>
      <c r="C27" s="4">
        <v>2025</v>
      </c>
      <c r="D27" s="4">
        <v>0</v>
      </c>
      <c r="E27" s="5">
        <v>3.67</v>
      </c>
      <c r="F27" s="5">
        <v>12.27</v>
      </c>
      <c r="G27" s="5">
        <f t="shared" si="0"/>
        <v>70.089649551752245</v>
      </c>
      <c r="H27" s="5">
        <v>20.149999999999999</v>
      </c>
      <c r="I27" s="5">
        <v>6.05</v>
      </c>
      <c r="J27" s="5"/>
      <c r="K27" s="5">
        <v>7.42</v>
      </c>
      <c r="L27" s="5"/>
      <c r="M27" s="5">
        <v>9.93</v>
      </c>
      <c r="N27" s="5"/>
      <c r="O27" s="5">
        <v>43.85</v>
      </c>
      <c r="P27" s="5">
        <f t="shared" si="1"/>
        <v>7.2479338842975212</v>
      </c>
      <c r="Q27" s="5">
        <v>14.86</v>
      </c>
      <c r="R27" s="5">
        <v>14.86</v>
      </c>
      <c r="S27" s="6">
        <v>0</v>
      </c>
      <c r="T27" s="7"/>
      <c r="U27" s="7"/>
      <c r="V27" s="7">
        <v>0</v>
      </c>
      <c r="W27" s="5"/>
      <c r="X27" s="5">
        <v>0</v>
      </c>
      <c r="Y27" s="5">
        <v>0.33</v>
      </c>
      <c r="Z27" s="5">
        <v>3.15</v>
      </c>
      <c r="AA27" s="5">
        <f t="shared" si="2"/>
        <v>-1.7</v>
      </c>
      <c r="AB27" s="5">
        <v>0</v>
      </c>
      <c r="AC27" s="5">
        <f t="shared" si="3"/>
        <v>0</v>
      </c>
      <c r="AD27" s="5">
        <v>147</v>
      </c>
      <c r="AE27" s="5">
        <v>-0.36</v>
      </c>
      <c r="AF27" s="5">
        <v>98</v>
      </c>
      <c r="AG27" s="6">
        <f t="shared" si="4"/>
        <v>1.5999999999999996</v>
      </c>
      <c r="AH27" s="5">
        <f t="shared" si="5"/>
        <v>-1.1000000000000003</v>
      </c>
      <c r="AI27" s="5">
        <v>11</v>
      </c>
      <c r="AJ27" s="5">
        <f t="shared" si="6"/>
        <v>1</v>
      </c>
      <c r="AK27" s="5">
        <f t="shared" si="7"/>
        <v>1.2999999999999992</v>
      </c>
      <c r="AL27" s="4">
        <f t="shared" si="8"/>
        <v>0</v>
      </c>
      <c r="AM27" s="8" t="str">
        <f t="shared" si="9"/>
        <v>Gurunanak Agriculture</v>
      </c>
      <c r="AN27" s="7"/>
      <c r="AO27" s="61">
        <f t="shared" si="10"/>
        <v>0</v>
      </c>
      <c r="AP27" s="7">
        <f t="shared" si="11"/>
        <v>0</v>
      </c>
      <c r="AQ27" s="5">
        <v>1</v>
      </c>
      <c r="AR27" s="7">
        <f t="shared" si="12"/>
        <v>5</v>
      </c>
      <c r="AS27" s="4">
        <v>75</v>
      </c>
      <c r="AT27" s="5"/>
      <c r="AU27" s="5">
        <f t="shared" si="13"/>
        <v>75</v>
      </c>
      <c r="AV27" s="5">
        <f t="shared" si="14"/>
        <v>37.5</v>
      </c>
      <c r="AW27" s="4">
        <v>60</v>
      </c>
      <c r="AX27" s="4">
        <f t="shared" si="15"/>
        <v>1</v>
      </c>
      <c r="AY27" s="4">
        <f t="shared" si="16"/>
        <v>0</v>
      </c>
      <c r="AZ27" s="4">
        <f t="shared" si="17"/>
        <v>0</v>
      </c>
      <c r="BA27" s="7"/>
      <c r="BB27" s="5"/>
      <c r="BC27" s="5"/>
      <c r="BD27" s="5"/>
      <c r="BE27" s="5"/>
      <c r="BF27" s="5">
        <v>34</v>
      </c>
      <c r="BG27" s="5">
        <v>-54.6666666666667</v>
      </c>
      <c r="BH27" s="5">
        <v>-43.3333333333333</v>
      </c>
    </row>
    <row r="28" spans="2:110" ht="12.75" customHeight="1">
      <c r="B28" s="14" t="s">
        <v>86</v>
      </c>
      <c r="C28" s="4">
        <v>2025</v>
      </c>
      <c r="D28" s="4">
        <v>0</v>
      </c>
      <c r="E28" s="5">
        <v>67.11</v>
      </c>
      <c r="F28" s="5">
        <v>79.44</v>
      </c>
      <c r="G28" s="5">
        <f t="shared" si="0"/>
        <v>15.521148036253773</v>
      </c>
      <c r="H28" s="5">
        <v>182.83</v>
      </c>
      <c r="I28" s="5">
        <v>13.08</v>
      </c>
      <c r="J28" s="5"/>
      <c r="K28" s="5">
        <v>6.62</v>
      </c>
      <c r="L28" s="5"/>
      <c r="M28" s="5">
        <v>32.869999999999997</v>
      </c>
      <c r="N28" s="5"/>
      <c r="O28" s="5">
        <v>724.66</v>
      </c>
      <c r="P28" s="5">
        <f t="shared" si="1"/>
        <v>55.40214067278287</v>
      </c>
      <c r="Q28" s="5">
        <v>16.3</v>
      </c>
      <c r="R28" s="5">
        <v>16.3</v>
      </c>
      <c r="S28" s="6">
        <v>0</v>
      </c>
      <c r="T28" s="7"/>
      <c r="U28" s="7"/>
      <c r="V28" s="7">
        <v>0</v>
      </c>
      <c r="W28" s="5"/>
      <c r="X28" s="5">
        <v>17.53</v>
      </c>
      <c r="Y28" s="5">
        <v>5.94</v>
      </c>
      <c r="Z28" s="5">
        <v>1.5</v>
      </c>
      <c r="AA28" s="5">
        <f t="shared" si="2"/>
        <v>1</v>
      </c>
      <c r="AB28" s="5">
        <v>0</v>
      </c>
      <c r="AC28" s="5">
        <f t="shared" si="3"/>
        <v>0</v>
      </c>
      <c r="AD28" s="5">
        <v>7.39</v>
      </c>
      <c r="AE28" s="5">
        <v>25</v>
      </c>
      <c r="AF28" s="5">
        <v>19.7</v>
      </c>
      <c r="AG28" s="6">
        <f t="shared" si="4"/>
        <v>2.2000000000000002</v>
      </c>
      <c r="AH28" s="5">
        <f t="shared" si="5"/>
        <v>5.2</v>
      </c>
      <c r="AI28" s="5">
        <v>11</v>
      </c>
      <c r="AJ28" s="5">
        <f t="shared" si="6"/>
        <v>1</v>
      </c>
      <c r="AK28" s="5">
        <f t="shared" si="7"/>
        <v>8.5</v>
      </c>
      <c r="AL28" s="4">
        <f t="shared" si="8"/>
        <v>0</v>
      </c>
      <c r="AM28" s="8" t="str">
        <f t="shared" si="9"/>
        <v>Siddhi Cotspin</v>
      </c>
      <c r="AN28" s="7"/>
      <c r="AO28" s="61">
        <f t="shared" si="10"/>
        <v>0</v>
      </c>
      <c r="AP28" s="7">
        <f t="shared" si="11"/>
        <v>0</v>
      </c>
      <c r="AQ28" s="5">
        <v>1</v>
      </c>
      <c r="AR28" s="7">
        <f t="shared" si="12"/>
        <v>5</v>
      </c>
      <c r="AS28" s="4">
        <v>108</v>
      </c>
      <c r="AT28" s="5"/>
      <c r="AU28" s="5">
        <f t="shared" si="13"/>
        <v>108</v>
      </c>
      <c r="AV28" s="5">
        <f t="shared" si="14"/>
        <v>54</v>
      </c>
      <c r="AW28" s="4">
        <v>86</v>
      </c>
      <c r="AX28" s="4">
        <f t="shared" si="15"/>
        <v>1</v>
      </c>
      <c r="AY28" s="4">
        <f t="shared" si="16"/>
        <v>0</v>
      </c>
      <c r="AZ28" s="4">
        <f t="shared" si="17"/>
        <v>0</v>
      </c>
      <c r="BA28" s="7"/>
      <c r="BB28" s="5"/>
      <c r="BC28" s="5"/>
      <c r="BD28" s="5"/>
      <c r="BE28" s="5"/>
      <c r="BF28" s="5">
        <v>34</v>
      </c>
      <c r="BG28" s="5">
        <v>-68.518518518518505</v>
      </c>
      <c r="BH28" s="5">
        <v>-60.465116279069797</v>
      </c>
    </row>
    <row r="29" spans="2:110" ht="12.75" customHeight="1">
      <c r="B29" s="14" t="s">
        <v>87</v>
      </c>
      <c r="C29" s="4">
        <v>2025</v>
      </c>
      <c r="D29" s="4">
        <v>0</v>
      </c>
      <c r="E29" s="5">
        <v>8.3699999999999992</v>
      </c>
      <c r="F29" s="5">
        <v>6.12</v>
      </c>
      <c r="G29" s="5">
        <f t="shared" si="0"/>
        <v>-36.764705882352928</v>
      </c>
      <c r="H29" s="4">
        <v>20.03</v>
      </c>
      <c r="I29" s="5">
        <v>2.15</v>
      </c>
      <c r="J29" s="5"/>
      <c r="K29" s="5">
        <v>5.38</v>
      </c>
      <c r="L29" s="5"/>
      <c r="M29" s="5">
        <v>3.7</v>
      </c>
      <c r="N29" s="5"/>
      <c r="O29" s="5">
        <v>48.5</v>
      </c>
      <c r="P29" s="5">
        <f t="shared" si="1"/>
        <v>22.558139534883722</v>
      </c>
      <c r="Q29" s="5">
        <v>13.39</v>
      </c>
      <c r="R29" s="5">
        <v>13.39</v>
      </c>
      <c r="S29" s="6">
        <v>0</v>
      </c>
      <c r="T29" s="7"/>
      <c r="U29" s="7"/>
      <c r="V29" s="7">
        <v>0</v>
      </c>
      <c r="W29" s="5"/>
      <c r="X29" s="5">
        <v>0</v>
      </c>
      <c r="Y29" s="5">
        <v>6.45</v>
      </c>
      <c r="Z29" s="5">
        <v>1.85</v>
      </c>
      <c r="AA29" s="5">
        <f t="shared" si="2"/>
        <v>0</v>
      </c>
      <c r="AB29" s="5">
        <v>0</v>
      </c>
      <c r="AC29" s="5">
        <f t="shared" si="3"/>
        <v>0</v>
      </c>
      <c r="AD29" s="5">
        <v>39</v>
      </c>
      <c r="AE29" s="5">
        <v>31</v>
      </c>
      <c r="AF29" s="5">
        <v>51</v>
      </c>
      <c r="AG29" s="6">
        <f t="shared" si="4"/>
        <v>1.5</v>
      </c>
      <c r="AH29" s="5">
        <f t="shared" si="5"/>
        <v>2.5</v>
      </c>
      <c r="AI29" s="5">
        <v>11</v>
      </c>
      <c r="AJ29" s="5">
        <f t="shared" si="6"/>
        <v>1</v>
      </c>
      <c r="AK29" s="5">
        <f t="shared" si="7"/>
        <v>4.75</v>
      </c>
      <c r="AL29" s="4">
        <f t="shared" si="8"/>
        <v>0</v>
      </c>
      <c r="AM29" s="8" t="str">
        <f t="shared" si="9"/>
        <v>Krupalu Metals</v>
      </c>
      <c r="AN29" s="7"/>
      <c r="AO29" s="61">
        <f t="shared" si="10"/>
        <v>0</v>
      </c>
      <c r="AP29" s="7">
        <f t="shared" si="11"/>
        <v>0</v>
      </c>
      <c r="AQ29" s="5">
        <v>1</v>
      </c>
      <c r="AR29" s="7">
        <f t="shared" si="12"/>
        <v>5</v>
      </c>
      <c r="AS29" s="4">
        <v>72</v>
      </c>
      <c r="AT29" s="5"/>
      <c r="AU29" s="5">
        <f t="shared" si="13"/>
        <v>72</v>
      </c>
      <c r="AV29" s="5">
        <f t="shared" si="14"/>
        <v>36</v>
      </c>
      <c r="AW29" s="4">
        <v>58</v>
      </c>
      <c r="AX29" s="4">
        <f t="shared" si="15"/>
        <v>1</v>
      </c>
      <c r="AY29" s="4">
        <f t="shared" si="16"/>
        <v>0</v>
      </c>
      <c r="AZ29" s="4">
        <f t="shared" si="17"/>
        <v>0</v>
      </c>
      <c r="BA29" s="7"/>
      <c r="BB29" s="5"/>
      <c r="BC29" s="5"/>
      <c r="BD29" s="5"/>
      <c r="BE29" s="5"/>
      <c r="BF29" s="5">
        <v>52</v>
      </c>
      <c r="BG29" s="5">
        <v>-27.7777777777778</v>
      </c>
      <c r="BH29" s="5">
        <v>-10.3448275862069</v>
      </c>
      <c r="DF29" t="s">
        <v>88</v>
      </c>
    </row>
    <row r="30" spans="2:110" ht="12.75" customHeight="1">
      <c r="B30" s="14" t="s">
        <v>89</v>
      </c>
      <c r="C30" s="4">
        <v>2025</v>
      </c>
      <c r="D30" s="4">
        <v>0</v>
      </c>
      <c r="E30" s="5">
        <v>1.07</v>
      </c>
      <c r="F30" s="5">
        <v>10.52</v>
      </c>
      <c r="G30" s="5">
        <f t="shared" si="0"/>
        <v>89.828897338403038</v>
      </c>
      <c r="H30" s="4">
        <v>12.97</v>
      </c>
      <c r="I30" s="5">
        <v>1.41</v>
      </c>
      <c r="J30" s="5"/>
      <c r="K30" s="5">
        <v>1.77</v>
      </c>
      <c r="L30" s="5"/>
      <c r="M30" s="5">
        <v>2.0099999999999998</v>
      </c>
      <c r="N30" s="5"/>
      <c r="O30" s="5">
        <v>60.91</v>
      </c>
      <c r="P30" s="5">
        <f t="shared" si="1"/>
        <v>43.198581560283685</v>
      </c>
      <c r="Q30" s="5">
        <v>24.96</v>
      </c>
      <c r="R30" s="5">
        <v>24.96</v>
      </c>
      <c r="S30" s="6">
        <v>0</v>
      </c>
      <c r="T30" s="7"/>
      <c r="U30" s="7"/>
      <c r="V30" s="7">
        <v>0</v>
      </c>
      <c r="W30" s="5"/>
      <c r="X30" s="5">
        <v>0</v>
      </c>
      <c r="Y30" s="5">
        <v>5.17</v>
      </c>
      <c r="Z30" s="5">
        <v>16.79</v>
      </c>
      <c r="AA30" s="5">
        <f t="shared" si="2"/>
        <v>-1.7</v>
      </c>
      <c r="AB30" s="5">
        <v>5</v>
      </c>
      <c r="AC30" s="5">
        <f t="shared" si="3"/>
        <v>1</v>
      </c>
      <c r="AD30" s="5">
        <v>55</v>
      </c>
      <c r="AE30" s="5">
        <v>142</v>
      </c>
      <c r="AF30" s="5">
        <v>87</v>
      </c>
      <c r="AG30" s="6">
        <f t="shared" si="4"/>
        <v>3.5999999999999996</v>
      </c>
      <c r="AH30" s="5">
        <f t="shared" si="5"/>
        <v>3.8999999999999995</v>
      </c>
      <c r="AI30" s="5">
        <v>11</v>
      </c>
      <c r="AJ30" s="5">
        <f t="shared" si="6"/>
        <v>1</v>
      </c>
      <c r="AK30" s="5">
        <f t="shared" si="7"/>
        <v>9.2999999999999989</v>
      </c>
      <c r="AL30" s="4">
        <f t="shared" si="8"/>
        <v>0</v>
      </c>
      <c r="AM30" s="8" t="str">
        <f t="shared" si="9"/>
        <v>Abril Paper Tech</v>
      </c>
      <c r="AN30" s="7"/>
      <c r="AO30" s="61">
        <f t="shared" si="10"/>
        <v>0</v>
      </c>
      <c r="AP30" s="7">
        <f t="shared" si="11"/>
        <v>0</v>
      </c>
      <c r="AQ30" s="5">
        <v>1</v>
      </c>
      <c r="AR30" s="7">
        <f t="shared" si="12"/>
        <v>5</v>
      </c>
      <c r="AS30" s="4">
        <v>61</v>
      </c>
      <c r="AT30" s="5"/>
      <c r="AU30" s="5">
        <f t="shared" si="13"/>
        <v>61</v>
      </c>
      <c r="AV30" s="5">
        <f t="shared" si="14"/>
        <v>30.5</v>
      </c>
      <c r="AW30" s="4">
        <v>49</v>
      </c>
      <c r="AX30" s="4">
        <f t="shared" si="15"/>
        <v>1</v>
      </c>
      <c r="AY30" s="4">
        <f t="shared" si="16"/>
        <v>0</v>
      </c>
      <c r="AZ30" s="4">
        <f t="shared" si="17"/>
        <v>0</v>
      </c>
      <c r="BA30" s="7"/>
      <c r="BB30" s="5"/>
      <c r="BC30" s="5"/>
      <c r="BD30" s="5"/>
      <c r="BE30" s="5"/>
      <c r="BF30" s="5">
        <v>42</v>
      </c>
      <c r="BG30" s="5">
        <v>-31.1475409836066</v>
      </c>
      <c r="BH30" s="5">
        <v>-14.285714285714301</v>
      </c>
    </row>
    <row r="31" spans="2:110" ht="12.75" customHeight="1">
      <c r="B31" s="14" t="s">
        <v>90</v>
      </c>
      <c r="C31" s="4">
        <v>2025</v>
      </c>
      <c r="D31" s="4">
        <v>0</v>
      </c>
      <c r="E31" s="5">
        <v>12.21</v>
      </c>
      <c r="F31" s="5">
        <v>20.32</v>
      </c>
      <c r="G31" s="5">
        <f t="shared" si="0"/>
        <v>39.911417322834644</v>
      </c>
      <c r="H31" s="4"/>
      <c r="I31" s="5">
        <v>5.5</v>
      </c>
      <c r="J31" s="5"/>
      <c r="K31" s="5">
        <v>4.8600000000000003</v>
      </c>
      <c r="L31" s="5"/>
      <c r="M31" s="5">
        <v>11.77</v>
      </c>
      <c r="N31" s="5"/>
      <c r="O31" s="5">
        <v>94.81</v>
      </c>
      <c r="P31" s="5">
        <f t="shared" si="1"/>
        <v>17.238181818181818</v>
      </c>
      <c r="Q31" s="5">
        <v>14.82</v>
      </c>
      <c r="R31" s="5">
        <v>14.82</v>
      </c>
      <c r="S31" s="6">
        <v>0</v>
      </c>
      <c r="T31" s="7"/>
      <c r="U31" s="7"/>
      <c r="V31" s="7">
        <v>0</v>
      </c>
      <c r="W31" s="5"/>
      <c r="X31" s="5">
        <v>0.63</v>
      </c>
      <c r="Y31" s="5">
        <v>2.04</v>
      </c>
      <c r="Z31" s="5">
        <v>1.34</v>
      </c>
      <c r="AA31" s="5">
        <f t="shared" si="2"/>
        <v>0</v>
      </c>
      <c r="AB31" s="5">
        <v>0</v>
      </c>
      <c r="AC31" s="5">
        <f t="shared" si="3"/>
        <v>0</v>
      </c>
      <c r="AD31" s="5">
        <v>47</v>
      </c>
      <c r="AE31" s="5">
        <v>7</v>
      </c>
      <c r="AF31" s="5">
        <v>42</v>
      </c>
      <c r="AG31" s="6">
        <f t="shared" si="4"/>
        <v>1.9</v>
      </c>
      <c r="AH31" s="5">
        <f t="shared" si="5"/>
        <v>2.9</v>
      </c>
      <c r="AI31" s="5">
        <v>11</v>
      </c>
      <c r="AJ31" s="5">
        <f t="shared" si="6"/>
        <v>1</v>
      </c>
      <c r="AK31" s="5">
        <f t="shared" si="7"/>
        <v>5.75</v>
      </c>
      <c r="AL31" s="4">
        <f t="shared" si="8"/>
        <v>0</v>
      </c>
      <c r="AM31" s="8" t="str">
        <f t="shared" si="9"/>
        <v>Globtier Infotech</v>
      </c>
      <c r="AN31" s="7"/>
      <c r="AO31" s="61">
        <f t="shared" si="10"/>
        <v>0</v>
      </c>
      <c r="AP31" s="7">
        <f t="shared" si="11"/>
        <v>0</v>
      </c>
      <c r="AQ31" s="5">
        <v>1</v>
      </c>
      <c r="AR31" s="7">
        <f t="shared" si="12"/>
        <v>5</v>
      </c>
      <c r="AS31" s="4">
        <v>72</v>
      </c>
      <c r="AT31" s="5"/>
      <c r="AU31" s="5">
        <f t="shared" si="13"/>
        <v>72</v>
      </c>
      <c r="AV31" s="5">
        <f t="shared" si="14"/>
        <v>36</v>
      </c>
      <c r="AW31" s="4">
        <v>58</v>
      </c>
      <c r="AX31" s="4">
        <f t="shared" si="15"/>
        <v>1</v>
      </c>
      <c r="AY31" s="4">
        <f t="shared" si="16"/>
        <v>0</v>
      </c>
      <c r="AZ31" s="4">
        <f t="shared" si="17"/>
        <v>0</v>
      </c>
      <c r="BA31" s="7"/>
      <c r="BB31" s="5"/>
      <c r="BC31" s="5"/>
      <c r="BD31" s="5"/>
      <c r="BE31" s="5"/>
      <c r="BF31" s="5">
        <v>30</v>
      </c>
      <c r="BG31" s="5">
        <v>-58.3333333333333</v>
      </c>
      <c r="BH31" s="5">
        <v>-48.275862068965502</v>
      </c>
    </row>
    <row r="32" spans="2:110" ht="12.75" customHeight="1">
      <c r="B32" s="14" t="s">
        <v>91</v>
      </c>
      <c r="C32" s="4">
        <v>2024</v>
      </c>
      <c r="D32" s="4">
        <v>0</v>
      </c>
      <c r="E32" s="5">
        <v>17.25</v>
      </c>
      <c r="F32" s="5">
        <v>15.26</v>
      </c>
      <c r="G32" s="5">
        <f t="shared" si="0"/>
        <v>-13.040629095674969</v>
      </c>
      <c r="H32" s="5">
        <v>51.27</v>
      </c>
      <c r="I32" s="5">
        <v>8.23</v>
      </c>
      <c r="J32" s="5"/>
      <c r="K32" s="5">
        <v>11.31</v>
      </c>
      <c r="L32" s="5"/>
      <c r="M32" s="5">
        <v>14.17</v>
      </c>
      <c r="N32" s="5"/>
      <c r="O32" s="5">
        <v>55.65</v>
      </c>
      <c r="P32" s="5">
        <f t="shared" si="1"/>
        <v>6.7618469015795863</v>
      </c>
      <c r="Q32" s="5">
        <v>17.68</v>
      </c>
      <c r="R32" s="5">
        <v>17.68</v>
      </c>
      <c r="S32" s="6">
        <v>0</v>
      </c>
      <c r="T32" s="7"/>
      <c r="U32" s="7"/>
      <c r="V32" s="7">
        <v>0</v>
      </c>
      <c r="W32" s="5"/>
      <c r="X32" s="5">
        <v>0</v>
      </c>
      <c r="Y32" s="5">
        <v>0.88</v>
      </c>
      <c r="Z32" s="5">
        <v>2.66</v>
      </c>
      <c r="AA32" s="5">
        <f t="shared" si="2"/>
        <v>-1.7</v>
      </c>
      <c r="AB32" s="5">
        <v>0</v>
      </c>
      <c r="AC32" s="5">
        <f t="shared" si="3"/>
        <v>0</v>
      </c>
      <c r="AD32" s="5">
        <v>102</v>
      </c>
      <c r="AE32" s="5">
        <v>76</v>
      </c>
      <c r="AF32" s="5">
        <v>34</v>
      </c>
      <c r="AG32" s="6">
        <f t="shared" si="4"/>
        <v>2.5</v>
      </c>
      <c r="AH32" s="5">
        <f t="shared" si="5"/>
        <v>0.8</v>
      </c>
      <c r="AI32" s="5">
        <v>11</v>
      </c>
      <c r="AJ32" s="5">
        <f t="shared" si="6"/>
        <v>1</v>
      </c>
      <c r="AK32" s="5">
        <f t="shared" si="7"/>
        <v>4.55</v>
      </c>
      <c r="AL32" s="4">
        <f t="shared" si="8"/>
        <v>0</v>
      </c>
      <c r="AM32" s="8" t="str">
        <f t="shared" si="9"/>
        <v>Lamosaic India</v>
      </c>
      <c r="AN32" s="7"/>
      <c r="AO32" s="61">
        <f t="shared" si="10"/>
        <v>0</v>
      </c>
      <c r="AP32" s="7">
        <f t="shared" si="11"/>
        <v>0</v>
      </c>
      <c r="AQ32" s="5">
        <v>1</v>
      </c>
      <c r="AR32" s="7">
        <f t="shared" si="12"/>
        <v>5</v>
      </c>
      <c r="AS32" s="4">
        <v>200</v>
      </c>
      <c r="AT32" s="5"/>
      <c r="AU32" s="5">
        <f t="shared" si="13"/>
        <v>200</v>
      </c>
      <c r="AV32" s="5">
        <f t="shared" si="14"/>
        <v>100</v>
      </c>
      <c r="AW32" s="4">
        <v>164</v>
      </c>
      <c r="AX32" s="4">
        <f t="shared" si="15"/>
        <v>1</v>
      </c>
      <c r="AY32" s="4">
        <f t="shared" si="16"/>
        <v>0</v>
      </c>
      <c r="AZ32" s="4">
        <f t="shared" si="17"/>
        <v>0</v>
      </c>
      <c r="BA32" s="7"/>
      <c r="BB32" s="5"/>
      <c r="BC32" s="5"/>
      <c r="BD32" s="5"/>
      <c r="BE32" s="5"/>
      <c r="BF32" s="5">
        <v>40</v>
      </c>
      <c r="BG32" s="5">
        <v>-80</v>
      </c>
      <c r="BH32" s="5">
        <v>-75.609756097561004</v>
      </c>
    </row>
    <row r="33" spans="2:111" ht="12.75" customHeight="1">
      <c r="B33" s="13" t="s">
        <v>92</v>
      </c>
      <c r="C33" s="4">
        <v>2024</v>
      </c>
      <c r="D33" s="4">
        <v>0</v>
      </c>
      <c r="E33" s="5">
        <v>14.19</v>
      </c>
      <c r="F33" s="5">
        <v>16.77</v>
      </c>
      <c r="G33" s="5">
        <f t="shared" si="0"/>
        <v>15.384615384615385</v>
      </c>
      <c r="H33" s="5">
        <v>31.51</v>
      </c>
      <c r="I33" s="5">
        <v>1.67</v>
      </c>
      <c r="J33" s="5"/>
      <c r="K33" s="5">
        <v>2.5</v>
      </c>
      <c r="L33" s="5"/>
      <c r="M33" s="5">
        <v>2.82</v>
      </c>
      <c r="N33" s="5"/>
      <c r="O33" s="5">
        <v>25.14</v>
      </c>
      <c r="P33" s="5">
        <f t="shared" si="1"/>
        <v>15.053892215568863</v>
      </c>
      <c r="Q33" s="5">
        <v>34</v>
      </c>
      <c r="R33" s="5">
        <v>34</v>
      </c>
      <c r="S33" s="6">
        <v>0</v>
      </c>
      <c r="T33" s="7"/>
      <c r="U33" s="7"/>
      <c r="V33" s="7">
        <v>0</v>
      </c>
      <c r="W33" s="5"/>
      <c r="X33" s="5">
        <v>43</v>
      </c>
      <c r="Y33" s="5">
        <v>22.5</v>
      </c>
      <c r="Z33" s="5">
        <v>61</v>
      </c>
      <c r="AA33" s="5">
        <f t="shared" si="2"/>
        <v>-0.7</v>
      </c>
      <c r="AB33" s="5">
        <v>11</v>
      </c>
      <c r="AC33" s="5">
        <f t="shared" si="3"/>
        <v>1.7</v>
      </c>
      <c r="AD33" s="5">
        <v>1606.2</v>
      </c>
      <c r="AE33" s="5">
        <v>22</v>
      </c>
      <c r="AF33" s="5">
        <v>132.1</v>
      </c>
      <c r="AG33" s="6">
        <f t="shared" si="4"/>
        <v>1.7</v>
      </c>
      <c r="AH33" s="5">
        <f t="shared" si="5"/>
        <v>4.7</v>
      </c>
      <c r="AI33" s="5">
        <v>11</v>
      </c>
      <c r="AJ33" s="5">
        <f t="shared" si="6"/>
        <v>1</v>
      </c>
      <c r="AK33" s="5">
        <f t="shared" si="7"/>
        <v>7.25</v>
      </c>
      <c r="AL33" s="4">
        <f t="shared" si="8"/>
        <v>0</v>
      </c>
      <c r="AM33" s="8" t="str">
        <f t="shared" si="9"/>
        <v>BikeWo GreenTech</v>
      </c>
      <c r="AN33" s="7"/>
      <c r="AO33" s="61">
        <f t="shared" si="10"/>
        <v>0</v>
      </c>
      <c r="AP33" s="7">
        <f t="shared" si="11"/>
        <v>0</v>
      </c>
      <c r="AQ33" s="5">
        <v>1</v>
      </c>
      <c r="AR33" s="7">
        <f t="shared" si="12"/>
        <v>5</v>
      </c>
      <c r="AS33" s="4">
        <v>62</v>
      </c>
      <c r="AT33" s="5"/>
      <c r="AU33" s="5">
        <f t="shared" si="13"/>
        <v>62</v>
      </c>
      <c r="AV33" s="5">
        <f t="shared" si="14"/>
        <v>31</v>
      </c>
      <c r="AW33" s="4">
        <v>45</v>
      </c>
      <c r="AX33" s="4">
        <f t="shared" si="15"/>
        <v>1</v>
      </c>
      <c r="AY33" s="4">
        <f t="shared" si="16"/>
        <v>0</v>
      </c>
      <c r="AZ33" s="4">
        <f t="shared" si="17"/>
        <v>0</v>
      </c>
      <c r="BA33" s="7"/>
      <c r="BB33" s="5"/>
      <c r="BC33" s="5"/>
      <c r="BD33" s="5"/>
      <c r="BE33" s="5"/>
      <c r="BF33" s="5">
        <v>16</v>
      </c>
      <c r="BG33" s="5">
        <v>-74.193548387096797</v>
      </c>
      <c r="BH33" s="5">
        <v>-64.4444444444444</v>
      </c>
      <c r="DG33" t="s">
        <v>93</v>
      </c>
    </row>
    <row r="34" spans="2:111" ht="12.75" customHeight="1">
      <c r="B34" s="14" t="s">
        <v>94</v>
      </c>
      <c r="C34" s="4">
        <v>2024</v>
      </c>
      <c r="D34" s="4">
        <v>0</v>
      </c>
      <c r="E34" s="5">
        <v>4.6100000000000003</v>
      </c>
      <c r="F34" s="5">
        <v>10.82</v>
      </c>
      <c r="G34" s="5">
        <f t="shared" ref="G34:G65" si="18">100*(F34-E34)/F34</f>
        <v>57.393715341959336</v>
      </c>
      <c r="H34" s="4">
        <v>18.86</v>
      </c>
      <c r="I34" s="5">
        <v>2.37</v>
      </c>
      <c r="J34" s="5"/>
      <c r="K34" s="5">
        <v>2.92</v>
      </c>
      <c r="L34" s="5"/>
      <c r="M34" s="5" t="s">
        <v>79</v>
      </c>
      <c r="N34" s="5"/>
      <c r="O34" s="5">
        <v>73.95</v>
      </c>
      <c r="P34" s="5">
        <f t="shared" ref="P34:P65" si="19">O34/I34</f>
        <v>31.202531645569621</v>
      </c>
      <c r="Q34" s="5">
        <v>22.6</v>
      </c>
      <c r="R34" s="5">
        <v>22.6</v>
      </c>
      <c r="S34" s="6">
        <v>0</v>
      </c>
      <c r="T34" s="7"/>
      <c r="U34" s="7"/>
      <c r="V34" s="7">
        <v>0</v>
      </c>
      <c r="W34" s="5"/>
      <c r="X34" s="5">
        <v>0</v>
      </c>
      <c r="Y34" s="5">
        <v>40.69</v>
      </c>
      <c r="Z34" s="5">
        <v>74.540000000000006</v>
      </c>
      <c r="AA34" s="5">
        <f t="shared" ref="AA34:AA65" si="20">IF(X34&lt;50,IF(Y34&gt;(2.3*X34),0,1),1)-IF(Z34&gt;Y34,1.7,0)</f>
        <v>-1.7</v>
      </c>
      <c r="AB34" s="5">
        <v>0</v>
      </c>
      <c r="AC34" s="5">
        <f t="shared" ref="AC34:AC65" si="21">IF(AB34&gt;4,1,0)+IF(AB34&gt;10,0.7,0)</f>
        <v>0</v>
      </c>
      <c r="AD34" s="5">
        <v>373</v>
      </c>
      <c r="AE34" s="5">
        <v>-11</v>
      </c>
      <c r="AF34" s="5" t="s">
        <v>79</v>
      </c>
      <c r="AG34" s="6">
        <f t="shared" ref="AG34:AG65" si="22">IF(G34&lt;52,0,0.7)+IF(G34&lt;34,0,0.7)+IF(G34&lt;1,0,0.7)+IF(P34&gt;14.56,0,1)+IF(R34&lt;9,0.5,0)+IF(R34&lt;33.8,0.5,0)+IF(R34&lt;50,0.5,0)+IF(R34&lt;80,0.5,0)+IF(S34=5,0,S34)+IF(V34&gt;0,1,-1)+IF(AE34&lt;10.56,0,1)-IF(AE34&lt;3,1,0)-IF(AE34&lt;1,1,0)</f>
        <v>0.59999999999999964</v>
      </c>
      <c r="AH34" s="5">
        <f t="shared" ref="AH34:AH65" si="23">AG34+IF(X34&lt;1.35,0,1)+IF(Y34&lt;1.35,0,1)+IF(Y34&lt;0.7,-1,0)+AC34+AA34</f>
        <v>-0.10000000000000031</v>
      </c>
      <c r="AI34" s="5">
        <v>11</v>
      </c>
      <c r="AJ34" s="5">
        <f t="shared" si="6"/>
        <v>1</v>
      </c>
      <c r="AK34" s="5">
        <f t="shared" si="7"/>
        <v>0.79999999999999916</v>
      </c>
      <c r="AL34" s="4">
        <f t="shared" si="8"/>
        <v>0</v>
      </c>
      <c r="AM34" s="8" t="str">
        <f t="shared" si="9"/>
        <v>Kalana Ispat</v>
      </c>
      <c r="AN34" s="7"/>
      <c r="AO34" s="61">
        <f t="shared" si="10"/>
        <v>0</v>
      </c>
      <c r="AP34" s="7">
        <f t="shared" si="11"/>
        <v>0</v>
      </c>
      <c r="AQ34" s="5">
        <v>1</v>
      </c>
      <c r="AR34" s="7">
        <f t="shared" si="12"/>
        <v>5</v>
      </c>
      <c r="AS34" s="4">
        <v>66</v>
      </c>
      <c r="AT34" s="5"/>
      <c r="AU34" s="5">
        <f t="shared" si="13"/>
        <v>66</v>
      </c>
      <c r="AV34" s="5">
        <f t="shared" si="14"/>
        <v>33</v>
      </c>
      <c r="AW34" s="4">
        <v>45</v>
      </c>
      <c r="AX34" s="4">
        <f t="shared" si="15"/>
        <v>1</v>
      </c>
      <c r="AY34" s="4">
        <f t="shared" si="16"/>
        <v>0</v>
      </c>
      <c r="AZ34" s="4">
        <f t="shared" ref="AZ34:AZ65" si="24">IF(AY34&lt;-50,-4,IF(AY34&lt;-20,-2,IF(AY34&lt;0,-1.5,IF(AY34=0,0,IF(AY34&lt;10,1.5,IF(AY34&lt;20,2,IF(AY34&gt;19,2.5,2.5)))))))</f>
        <v>0</v>
      </c>
      <c r="BA34" s="7"/>
      <c r="BB34" s="5"/>
      <c r="BC34" s="5"/>
      <c r="BD34" s="5"/>
      <c r="BE34" s="5"/>
      <c r="BF34" s="5">
        <v>30</v>
      </c>
      <c r="BG34" s="5">
        <v>-54.545454545454596</v>
      </c>
      <c r="BH34" s="5">
        <v>-33.3333333333333</v>
      </c>
    </row>
    <row r="35" spans="2:111" ht="12.75" customHeight="1">
      <c r="B35" s="14" t="s">
        <v>95</v>
      </c>
      <c r="C35" s="4">
        <v>2024</v>
      </c>
      <c r="D35" s="4">
        <v>0</v>
      </c>
      <c r="E35" s="5">
        <v>0</v>
      </c>
      <c r="F35" s="5">
        <v>4.5999999999999996</v>
      </c>
      <c r="G35" s="5">
        <f t="shared" si="18"/>
        <v>100</v>
      </c>
      <c r="H35" s="4">
        <v>12.5</v>
      </c>
      <c r="I35" s="5">
        <v>0.67</v>
      </c>
      <c r="J35" s="5"/>
      <c r="K35" s="5">
        <v>0.47</v>
      </c>
      <c r="L35" s="5"/>
      <c r="M35" s="5">
        <v>3.39</v>
      </c>
      <c r="N35" s="5"/>
      <c r="O35" s="5">
        <v>30.91</v>
      </c>
      <c r="P35" s="5">
        <f t="shared" si="19"/>
        <v>46.134328358208954</v>
      </c>
      <c r="Q35" s="5">
        <v>5.86</v>
      </c>
      <c r="R35" s="5">
        <v>46.47</v>
      </c>
      <c r="S35" s="6">
        <v>0</v>
      </c>
      <c r="T35" s="7"/>
      <c r="U35" s="7"/>
      <c r="V35" s="7">
        <v>0</v>
      </c>
      <c r="W35" s="5"/>
      <c r="X35" s="5">
        <v>0</v>
      </c>
      <c r="Y35" s="5">
        <v>10.63</v>
      </c>
      <c r="Z35" s="5">
        <v>29.79</v>
      </c>
      <c r="AA35" s="5">
        <f t="shared" si="20"/>
        <v>-1.7</v>
      </c>
      <c r="AB35" s="5">
        <v>0</v>
      </c>
      <c r="AC35" s="5">
        <f t="shared" si="21"/>
        <v>0</v>
      </c>
      <c r="AD35" s="5">
        <v>3</v>
      </c>
      <c r="AE35" s="5">
        <v>-6</v>
      </c>
      <c r="AF35" s="5" t="s">
        <v>79</v>
      </c>
      <c r="AG35" s="6">
        <f t="shared" si="22"/>
        <v>9.9999999999999645E-2</v>
      </c>
      <c r="AH35" s="5">
        <f t="shared" si="23"/>
        <v>-0.60000000000000031</v>
      </c>
      <c r="AI35" s="5">
        <v>11</v>
      </c>
      <c r="AJ35" s="5">
        <f t="shared" si="6"/>
        <v>1</v>
      </c>
      <c r="AK35" s="5">
        <f t="shared" si="7"/>
        <v>-0.45000000000000084</v>
      </c>
      <c r="AL35" s="4">
        <f t="shared" si="8"/>
        <v>0</v>
      </c>
      <c r="AM35" s="8" t="str">
        <f t="shared" si="9"/>
        <v>3C IT</v>
      </c>
      <c r="AN35" s="7"/>
      <c r="AO35" s="61">
        <f t="shared" si="10"/>
        <v>0</v>
      </c>
      <c r="AP35" s="7">
        <f t="shared" si="11"/>
        <v>0</v>
      </c>
      <c r="AQ35" s="5">
        <v>1</v>
      </c>
      <c r="AR35" s="7">
        <f t="shared" si="12"/>
        <v>5</v>
      </c>
      <c r="AS35" s="4">
        <v>52</v>
      </c>
      <c r="AT35" s="5"/>
      <c r="AU35" s="5">
        <f t="shared" si="13"/>
        <v>52</v>
      </c>
      <c r="AV35" s="5">
        <f t="shared" si="14"/>
        <v>26</v>
      </c>
      <c r="AW35" s="4">
        <v>43</v>
      </c>
      <c r="AX35" s="4">
        <f t="shared" si="15"/>
        <v>1</v>
      </c>
      <c r="AY35" s="4">
        <f t="shared" si="16"/>
        <v>0</v>
      </c>
      <c r="AZ35" s="4">
        <f t="shared" si="24"/>
        <v>0</v>
      </c>
      <c r="BA35" s="7"/>
      <c r="BB35" s="5"/>
      <c r="BC35" s="5"/>
      <c r="BD35" s="5"/>
      <c r="BE35" s="5"/>
      <c r="BF35" s="5">
        <v>18</v>
      </c>
      <c r="BG35" s="5">
        <v>-65.384615384615401</v>
      </c>
      <c r="BH35" s="5">
        <v>-58.139534883720899</v>
      </c>
    </row>
    <row r="36" spans="2:111" ht="12.75" customHeight="1">
      <c r="B36" s="14" t="s">
        <v>96</v>
      </c>
      <c r="C36" s="4">
        <v>2024</v>
      </c>
      <c r="D36" s="4">
        <v>0</v>
      </c>
      <c r="E36" s="5">
        <v>91.56</v>
      </c>
      <c r="F36" s="5">
        <v>13.38</v>
      </c>
      <c r="G36" s="5">
        <f t="shared" si="18"/>
        <v>-584.30493273542606</v>
      </c>
      <c r="H36" s="4">
        <v>154.19999999999999</v>
      </c>
      <c r="I36" s="5">
        <v>3.77</v>
      </c>
      <c r="J36" s="5"/>
      <c r="K36" s="5">
        <v>3.77</v>
      </c>
      <c r="L36" s="5"/>
      <c r="M36" s="5">
        <v>16.61</v>
      </c>
      <c r="N36" s="5"/>
      <c r="O36" s="5">
        <v>93.94</v>
      </c>
      <c r="P36" s="5">
        <f t="shared" si="19"/>
        <v>24.917771883289124</v>
      </c>
      <c r="Q36" s="5">
        <v>31.8</v>
      </c>
      <c r="R36" s="5">
        <v>31.8</v>
      </c>
      <c r="S36" s="6">
        <v>0</v>
      </c>
      <c r="T36" s="7"/>
      <c r="U36" s="7"/>
      <c r="V36" s="7">
        <v>0</v>
      </c>
      <c r="W36" s="5"/>
      <c r="X36" s="5" t="s">
        <v>79</v>
      </c>
      <c r="Y36" s="5">
        <v>3.9</v>
      </c>
      <c r="Z36" s="5">
        <v>13.01</v>
      </c>
      <c r="AA36" s="5">
        <f t="shared" si="20"/>
        <v>-0.7</v>
      </c>
      <c r="AB36" s="5">
        <v>0</v>
      </c>
      <c r="AC36" s="5">
        <f t="shared" si="21"/>
        <v>0</v>
      </c>
      <c r="AD36" s="5">
        <v>18</v>
      </c>
      <c r="AE36" s="5">
        <v>-29</v>
      </c>
      <c r="AF36" s="5" t="s">
        <v>79</v>
      </c>
      <c r="AG36" s="6">
        <f t="shared" si="22"/>
        <v>-1.5</v>
      </c>
      <c r="AH36" s="5">
        <f t="shared" si="23"/>
        <v>-0.19999999999999996</v>
      </c>
      <c r="AI36" s="5">
        <v>11</v>
      </c>
      <c r="AJ36" s="5">
        <f t="shared" si="6"/>
        <v>1</v>
      </c>
      <c r="AK36" s="5">
        <f t="shared" si="7"/>
        <v>-2.4500000000000002</v>
      </c>
      <c r="AL36" s="4">
        <f t="shared" si="8"/>
        <v>0</v>
      </c>
      <c r="AM36" s="8" t="str">
        <f t="shared" si="9"/>
        <v>M.V.K. Agro Food</v>
      </c>
      <c r="AN36" s="7"/>
      <c r="AO36" s="61">
        <f t="shared" si="10"/>
        <v>0</v>
      </c>
      <c r="AP36" s="7">
        <f t="shared" si="11"/>
        <v>0</v>
      </c>
      <c r="AQ36" s="5">
        <v>1</v>
      </c>
      <c r="AR36" s="7">
        <f t="shared" si="12"/>
        <v>5</v>
      </c>
      <c r="AS36" s="4">
        <v>120</v>
      </c>
      <c r="AT36" s="5"/>
      <c r="AU36" s="5">
        <f t="shared" si="13"/>
        <v>120</v>
      </c>
      <c r="AV36" s="5">
        <f t="shared" si="14"/>
        <v>60</v>
      </c>
      <c r="AW36" s="4">
        <v>79</v>
      </c>
      <c r="AX36" s="4">
        <f t="shared" si="15"/>
        <v>1</v>
      </c>
      <c r="AY36" s="4">
        <f t="shared" si="16"/>
        <v>0</v>
      </c>
      <c r="AZ36" s="4">
        <f t="shared" si="24"/>
        <v>0</v>
      </c>
      <c r="BA36" s="7"/>
      <c r="BB36" s="5"/>
      <c r="BC36" s="5"/>
      <c r="BD36" s="5"/>
      <c r="BE36" s="5"/>
      <c r="BF36" s="5">
        <v>525</v>
      </c>
      <c r="BG36" s="5">
        <v>337.5</v>
      </c>
      <c r="BH36" s="5">
        <v>564.55696202531703</v>
      </c>
    </row>
    <row r="37" spans="2:111" ht="12.75" customHeight="1">
      <c r="B37" s="14" t="s">
        <v>97</v>
      </c>
      <c r="C37" s="4">
        <v>2024</v>
      </c>
      <c r="D37" s="8">
        <v>0</v>
      </c>
      <c r="E37" s="5">
        <v>2.5299999999999998</v>
      </c>
      <c r="F37" s="5">
        <v>11.32</v>
      </c>
      <c r="G37" s="5">
        <f t="shared" si="18"/>
        <v>77.650176678445234</v>
      </c>
      <c r="H37" s="4">
        <v>28.58</v>
      </c>
      <c r="I37" s="5">
        <v>7.68</v>
      </c>
      <c r="J37" s="5"/>
      <c r="K37" s="5">
        <v>7.61</v>
      </c>
      <c r="L37" s="5"/>
      <c r="M37" s="5">
        <v>11.96</v>
      </c>
      <c r="N37" s="5"/>
      <c r="O37" s="5">
        <v>80.97</v>
      </c>
      <c r="P37" s="5">
        <f t="shared" si="19"/>
        <v>10.54296875</v>
      </c>
      <c r="Q37" s="5">
        <v>18.79</v>
      </c>
      <c r="R37" s="5">
        <v>18.79</v>
      </c>
      <c r="S37" s="6">
        <v>0</v>
      </c>
      <c r="T37" s="7"/>
      <c r="U37" s="7"/>
      <c r="V37" s="7">
        <v>1</v>
      </c>
      <c r="W37" s="5"/>
      <c r="X37" s="5">
        <v>129.72</v>
      </c>
      <c r="Y37" s="5">
        <v>554.41999999999996</v>
      </c>
      <c r="Z37" s="5">
        <v>235.06</v>
      </c>
      <c r="AA37" s="5">
        <f t="shared" si="20"/>
        <v>1</v>
      </c>
      <c r="AB37" s="5">
        <v>21</v>
      </c>
      <c r="AC37" s="5">
        <f t="shared" si="21"/>
        <v>1.7</v>
      </c>
      <c r="AD37" s="5">
        <v>135</v>
      </c>
      <c r="AE37" s="5">
        <v>82</v>
      </c>
      <c r="AF37" s="5">
        <v>211</v>
      </c>
      <c r="AG37" s="6">
        <f t="shared" si="22"/>
        <v>6.6</v>
      </c>
      <c r="AH37" s="5">
        <f t="shared" si="23"/>
        <v>11.299999999999999</v>
      </c>
      <c r="AI37" s="5">
        <v>11</v>
      </c>
      <c r="AJ37" s="5">
        <f t="shared" si="6"/>
        <v>1</v>
      </c>
      <c r="AK37" s="5">
        <f t="shared" si="7"/>
        <v>21.199999999999996</v>
      </c>
      <c r="AL37" s="4">
        <f t="shared" si="8"/>
        <v>0</v>
      </c>
      <c r="AM37" s="8" t="str">
        <f t="shared" si="9"/>
        <v>Sona Machinery</v>
      </c>
      <c r="AN37" s="7"/>
      <c r="AO37" s="61">
        <f t="shared" si="10"/>
        <v>0</v>
      </c>
      <c r="AP37" s="7">
        <f t="shared" si="11"/>
        <v>1</v>
      </c>
      <c r="AQ37" s="5">
        <v>1</v>
      </c>
      <c r="AR37" s="7">
        <f t="shared" si="12"/>
        <v>5</v>
      </c>
      <c r="AS37" s="4">
        <v>143</v>
      </c>
      <c r="AT37" s="5"/>
      <c r="AU37" s="5">
        <f t="shared" si="13"/>
        <v>143</v>
      </c>
      <c r="AV37" s="5">
        <f t="shared" si="14"/>
        <v>71.5</v>
      </c>
      <c r="AW37" s="4">
        <v>125</v>
      </c>
      <c r="AX37" s="4">
        <f t="shared" si="15"/>
        <v>1</v>
      </c>
      <c r="AY37" s="4">
        <f t="shared" si="16"/>
        <v>0</v>
      </c>
      <c r="AZ37" s="4">
        <f t="shared" si="24"/>
        <v>0</v>
      </c>
      <c r="BA37" s="7"/>
      <c r="BB37" s="5">
        <v>126.3</v>
      </c>
      <c r="BC37" s="5">
        <v>143</v>
      </c>
      <c r="BD37" s="5">
        <v>142</v>
      </c>
      <c r="BE37" s="5"/>
      <c r="BF37" s="5">
        <v>73</v>
      </c>
      <c r="BG37" s="5">
        <v>-48.951048951049003</v>
      </c>
      <c r="BH37" s="5">
        <v>-41.6</v>
      </c>
    </row>
    <row r="38" spans="2:111" ht="12.75" customHeight="1">
      <c r="B38" s="14" t="s">
        <v>98</v>
      </c>
      <c r="C38" s="4">
        <v>2024</v>
      </c>
      <c r="D38" s="4">
        <v>0</v>
      </c>
      <c r="E38" s="5">
        <v>20.57</v>
      </c>
      <c r="F38" s="5">
        <v>40.840000000000003</v>
      </c>
      <c r="G38" s="5">
        <f t="shared" si="18"/>
        <v>49.632713026444662</v>
      </c>
      <c r="H38" s="4">
        <v>70.400000000000006</v>
      </c>
      <c r="I38" s="5">
        <v>5.04</v>
      </c>
      <c r="J38" s="5"/>
      <c r="K38" s="5">
        <v>4.6399999999999997</v>
      </c>
      <c r="L38" s="5"/>
      <c r="M38" s="5">
        <v>7.07</v>
      </c>
      <c r="N38" s="5"/>
      <c r="O38" s="5">
        <v>73.25</v>
      </c>
      <c r="P38" s="5">
        <f t="shared" si="19"/>
        <v>14.533730158730158</v>
      </c>
      <c r="Q38" s="5">
        <v>19.97</v>
      </c>
      <c r="R38" s="5">
        <v>19.97</v>
      </c>
      <c r="S38" s="6">
        <v>0</v>
      </c>
      <c r="T38" s="7"/>
      <c r="U38" s="7"/>
      <c r="V38" s="7">
        <v>0</v>
      </c>
      <c r="W38" s="5"/>
      <c r="X38" s="5">
        <v>0</v>
      </c>
      <c r="Y38" s="5">
        <v>177.37</v>
      </c>
      <c r="Z38" s="5">
        <v>120.62</v>
      </c>
      <c r="AA38" s="5">
        <f t="shared" si="20"/>
        <v>0</v>
      </c>
      <c r="AB38" s="5">
        <v>17</v>
      </c>
      <c r="AC38" s="5">
        <f t="shared" si="21"/>
        <v>1.7</v>
      </c>
      <c r="AD38" s="5">
        <v>229</v>
      </c>
      <c r="AE38" s="5">
        <v>-16</v>
      </c>
      <c r="AF38" s="5">
        <v>279</v>
      </c>
      <c r="AG38" s="6">
        <f t="shared" si="22"/>
        <v>0.89999999999999991</v>
      </c>
      <c r="AH38" s="5">
        <f t="shared" si="23"/>
        <v>3.5999999999999996</v>
      </c>
      <c r="AI38" s="5">
        <v>11</v>
      </c>
      <c r="AJ38" s="5">
        <f t="shared" si="6"/>
        <v>1</v>
      </c>
      <c r="AK38" s="5">
        <f t="shared" si="7"/>
        <v>4.9499999999999993</v>
      </c>
      <c r="AL38" s="4">
        <f t="shared" si="8"/>
        <v>0</v>
      </c>
      <c r="AM38" s="8" t="str">
        <f t="shared" si="9"/>
        <v>Italian Edibles</v>
      </c>
      <c r="AN38" s="7"/>
      <c r="AO38" s="61">
        <f t="shared" si="10"/>
        <v>0</v>
      </c>
      <c r="AP38" s="7">
        <f t="shared" si="11"/>
        <v>0</v>
      </c>
      <c r="AQ38" s="5">
        <v>1</v>
      </c>
      <c r="AR38" s="7">
        <f t="shared" si="12"/>
        <v>5</v>
      </c>
      <c r="AS38" s="4">
        <v>68</v>
      </c>
      <c r="AT38" s="5"/>
      <c r="AU38" s="5">
        <f t="shared" si="13"/>
        <v>68</v>
      </c>
      <c r="AV38" s="5">
        <f t="shared" si="14"/>
        <v>34</v>
      </c>
      <c r="AW38" s="4">
        <v>55</v>
      </c>
      <c r="AX38" s="4">
        <f t="shared" si="15"/>
        <v>1</v>
      </c>
      <c r="AY38" s="4">
        <f t="shared" si="16"/>
        <v>0</v>
      </c>
      <c r="AZ38" s="4">
        <f t="shared" si="24"/>
        <v>0</v>
      </c>
      <c r="BA38" s="7"/>
      <c r="BB38" s="5"/>
      <c r="BC38" s="5"/>
      <c r="BD38" s="5"/>
      <c r="BE38" s="5"/>
      <c r="BF38" s="5">
        <v>34</v>
      </c>
      <c r="BG38" s="5">
        <v>-50</v>
      </c>
      <c r="BH38" s="5">
        <v>-38.181818181818201</v>
      </c>
    </row>
    <row r="39" spans="2:111" ht="12.75" customHeight="1">
      <c r="B39" s="14" t="s">
        <v>99</v>
      </c>
      <c r="C39" s="4">
        <v>2024</v>
      </c>
      <c r="D39" s="4">
        <v>0</v>
      </c>
      <c r="E39" s="5">
        <v>10.29</v>
      </c>
      <c r="F39" s="5">
        <v>11.32</v>
      </c>
      <c r="G39" s="5">
        <f t="shared" si="18"/>
        <v>9.0989399293286315</v>
      </c>
      <c r="H39" s="4">
        <v>39.75</v>
      </c>
      <c r="I39" s="5">
        <v>2.77</v>
      </c>
      <c r="J39" s="5"/>
      <c r="K39" s="5">
        <v>2.68</v>
      </c>
      <c r="L39" s="5"/>
      <c r="M39" s="5">
        <v>4.7300000000000004</v>
      </c>
      <c r="N39" s="5"/>
      <c r="O39" s="5">
        <v>29.79</v>
      </c>
      <c r="P39" s="5">
        <f t="shared" si="19"/>
        <v>10.754512635379061</v>
      </c>
      <c r="Q39" s="5">
        <v>25</v>
      </c>
      <c r="R39" s="5">
        <v>25</v>
      </c>
      <c r="S39" s="6">
        <v>0</v>
      </c>
      <c r="T39" s="7"/>
      <c r="U39" s="7"/>
      <c r="V39" s="7">
        <v>0</v>
      </c>
      <c r="W39" s="5"/>
      <c r="X39" s="5">
        <v>0</v>
      </c>
      <c r="Y39" s="5">
        <v>61.54</v>
      </c>
      <c r="Z39" s="5">
        <v>90.57</v>
      </c>
      <c r="AA39" s="5">
        <f t="shared" si="20"/>
        <v>-1.7</v>
      </c>
      <c r="AB39" s="5">
        <v>6</v>
      </c>
      <c r="AC39" s="5">
        <f t="shared" si="21"/>
        <v>1</v>
      </c>
      <c r="AD39" s="5">
        <v>86</v>
      </c>
      <c r="AE39" s="5">
        <v>31</v>
      </c>
      <c r="AF39" s="5">
        <v>81</v>
      </c>
      <c r="AG39" s="6">
        <f t="shared" si="22"/>
        <v>3.2</v>
      </c>
      <c r="AH39" s="5">
        <f t="shared" si="23"/>
        <v>3.5</v>
      </c>
      <c r="AI39" s="5">
        <v>11</v>
      </c>
      <c r="AJ39" s="5">
        <f t="shared" si="6"/>
        <v>1</v>
      </c>
      <c r="AK39" s="5">
        <f t="shared" si="7"/>
        <v>8.3000000000000007</v>
      </c>
      <c r="AL39" s="4">
        <f t="shared" si="8"/>
        <v>0</v>
      </c>
      <c r="AM39" s="8" t="str">
        <f t="shared" si="9"/>
        <v>Mandeep Auto Industries</v>
      </c>
      <c r="AN39" s="7"/>
      <c r="AO39" s="61">
        <f t="shared" si="10"/>
        <v>0</v>
      </c>
      <c r="AP39" s="7">
        <f t="shared" si="11"/>
        <v>0</v>
      </c>
      <c r="AQ39" s="5">
        <v>1</v>
      </c>
      <c r="AR39" s="7">
        <f t="shared" si="12"/>
        <v>5</v>
      </c>
      <c r="AS39" s="4">
        <v>67</v>
      </c>
      <c r="AT39" s="5"/>
      <c r="AU39" s="5">
        <f t="shared" si="13"/>
        <v>67</v>
      </c>
      <c r="AV39" s="5">
        <f t="shared" si="14"/>
        <v>33.5</v>
      </c>
      <c r="AW39" s="4">
        <v>62</v>
      </c>
      <c r="AX39" s="4">
        <f t="shared" si="15"/>
        <v>1</v>
      </c>
      <c r="AY39" s="4">
        <f t="shared" si="16"/>
        <v>0</v>
      </c>
      <c r="AZ39" s="4">
        <f t="shared" si="24"/>
        <v>0</v>
      </c>
      <c r="BA39" s="7"/>
      <c r="BB39" s="5"/>
      <c r="BC39" s="5"/>
      <c r="BD39" s="5"/>
      <c r="BE39" s="5"/>
      <c r="BF39" s="5">
        <v>26</v>
      </c>
      <c r="BG39" s="5">
        <v>-61.194029850746297</v>
      </c>
      <c r="BH39" s="5">
        <v>-58.064516129032299</v>
      </c>
    </row>
    <row r="40" spans="2:111" ht="12.75" customHeight="1">
      <c r="B40" s="14" t="s">
        <v>100</v>
      </c>
      <c r="C40" s="4">
        <v>2024</v>
      </c>
      <c r="D40" s="4">
        <v>0</v>
      </c>
      <c r="E40" s="5">
        <v>7.7</v>
      </c>
      <c r="F40" s="5">
        <v>9.01</v>
      </c>
      <c r="G40" s="5">
        <f t="shared" si="18"/>
        <v>14.539400665926745</v>
      </c>
      <c r="H40" s="4">
        <v>21.05</v>
      </c>
      <c r="I40" s="5">
        <v>0.87</v>
      </c>
      <c r="J40" s="5"/>
      <c r="K40" s="5">
        <v>1.94</v>
      </c>
      <c r="L40" s="5"/>
      <c r="M40" s="5">
        <v>2</v>
      </c>
      <c r="N40" s="5"/>
      <c r="O40" s="5">
        <v>11.44</v>
      </c>
      <c r="P40" s="5">
        <f t="shared" si="19"/>
        <v>13.149425287356321</v>
      </c>
      <c r="Q40" s="5">
        <v>47.21</v>
      </c>
      <c r="R40" s="5">
        <v>47.21</v>
      </c>
      <c r="S40" s="6">
        <v>0</v>
      </c>
      <c r="T40" s="7"/>
      <c r="U40" s="7"/>
      <c r="V40" s="7">
        <v>0</v>
      </c>
      <c r="W40" s="5"/>
      <c r="X40" s="5">
        <v>0</v>
      </c>
      <c r="Y40" s="5">
        <v>45.02</v>
      </c>
      <c r="Z40" s="5">
        <v>82.72</v>
      </c>
      <c r="AA40" s="5">
        <f t="shared" si="20"/>
        <v>-1.7</v>
      </c>
      <c r="AB40" s="5">
        <v>0</v>
      </c>
      <c r="AC40" s="5">
        <f t="shared" si="21"/>
        <v>0</v>
      </c>
      <c r="AD40" s="5">
        <v>-16</v>
      </c>
      <c r="AE40" s="5">
        <v>-31</v>
      </c>
      <c r="AF40" s="5">
        <v>170</v>
      </c>
      <c r="AG40" s="6">
        <f t="shared" si="22"/>
        <v>-0.29999999999999982</v>
      </c>
      <c r="AH40" s="5">
        <f t="shared" si="23"/>
        <v>-0.99999999999999978</v>
      </c>
      <c r="AI40" s="5">
        <v>11</v>
      </c>
      <c r="AJ40" s="5">
        <f t="shared" si="6"/>
        <v>1</v>
      </c>
      <c r="AK40" s="5">
        <f t="shared" si="7"/>
        <v>-1.4499999999999995</v>
      </c>
      <c r="AL40" s="4">
        <f t="shared" si="8"/>
        <v>0</v>
      </c>
      <c r="AM40" s="8" t="str">
        <f t="shared" si="9"/>
        <v>Falcon Technoprojects India</v>
      </c>
      <c r="AN40" s="7"/>
      <c r="AO40" s="61">
        <f t="shared" si="10"/>
        <v>0</v>
      </c>
      <c r="AP40" s="7">
        <f t="shared" si="11"/>
        <v>0</v>
      </c>
      <c r="AQ40" s="5">
        <v>1</v>
      </c>
      <c r="AR40" s="7">
        <f t="shared" si="12"/>
        <v>5</v>
      </c>
      <c r="AS40" s="4">
        <v>92</v>
      </c>
      <c r="AT40" s="5"/>
      <c r="AU40" s="5">
        <f t="shared" si="13"/>
        <v>92</v>
      </c>
      <c r="AV40" s="5">
        <f t="shared" si="14"/>
        <v>46</v>
      </c>
      <c r="AW40" s="4">
        <v>84</v>
      </c>
      <c r="AX40" s="4">
        <f t="shared" si="15"/>
        <v>1</v>
      </c>
      <c r="AY40" s="4">
        <f t="shared" si="16"/>
        <v>0</v>
      </c>
      <c r="AZ40" s="4">
        <f t="shared" si="24"/>
        <v>0</v>
      </c>
      <c r="BA40" s="7"/>
      <c r="BB40" s="5"/>
      <c r="BC40" s="5"/>
      <c r="BD40" s="5"/>
      <c r="BE40" s="5"/>
      <c r="BF40" s="5">
        <v>18</v>
      </c>
      <c r="BG40" s="5">
        <v>-80.434782608695699</v>
      </c>
      <c r="BH40" s="5">
        <v>-78.571428571428598</v>
      </c>
    </row>
    <row r="41" spans="2:111" ht="12.75" customHeight="1">
      <c r="B41" s="14" t="s">
        <v>101</v>
      </c>
      <c r="C41" s="4">
        <v>2023</v>
      </c>
      <c r="D41" s="4">
        <v>0</v>
      </c>
      <c r="E41" s="4">
        <v>8.94</v>
      </c>
      <c r="F41" s="4">
        <v>11.02</v>
      </c>
      <c r="G41" s="5">
        <f t="shared" si="18"/>
        <v>18.874773139745916</v>
      </c>
      <c r="H41" s="4">
        <v>23.23</v>
      </c>
      <c r="I41" s="4">
        <v>6.85</v>
      </c>
      <c r="J41" s="4"/>
      <c r="K41" s="4">
        <v>9.11</v>
      </c>
      <c r="L41" s="4"/>
      <c r="M41" s="4">
        <v>7.52</v>
      </c>
      <c r="N41" s="4"/>
      <c r="O41" s="4">
        <v>21.81</v>
      </c>
      <c r="P41" s="5">
        <f t="shared" si="19"/>
        <v>3.1839416058394159</v>
      </c>
      <c r="Q41" s="4">
        <v>17.600000000000001</v>
      </c>
      <c r="R41" s="5">
        <v>17.600000000000001</v>
      </c>
      <c r="S41" s="6">
        <v>0</v>
      </c>
      <c r="T41" s="7"/>
      <c r="U41" s="7"/>
      <c r="V41" s="7">
        <v>0</v>
      </c>
      <c r="W41" s="4"/>
      <c r="X41" s="4">
        <v>0</v>
      </c>
      <c r="Y41" s="4">
        <v>36.78</v>
      </c>
      <c r="Z41" s="4">
        <v>30.27</v>
      </c>
      <c r="AA41" s="5">
        <f t="shared" si="20"/>
        <v>0</v>
      </c>
      <c r="AB41" s="5">
        <v>5</v>
      </c>
      <c r="AC41" s="5">
        <f t="shared" si="21"/>
        <v>1</v>
      </c>
      <c r="AD41" s="4">
        <v>66</v>
      </c>
      <c r="AE41" s="4">
        <v>26</v>
      </c>
      <c r="AF41" s="4">
        <v>213</v>
      </c>
      <c r="AG41" s="6">
        <f t="shared" si="22"/>
        <v>3.2</v>
      </c>
      <c r="AH41" s="5">
        <f t="shared" si="23"/>
        <v>5.2</v>
      </c>
      <c r="AI41" s="5">
        <v>11</v>
      </c>
      <c r="AJ41" s="5">
        <f t="shared" si="6"/>
        <v>1</v>
      </c>
      <c r="AK41" s="5">
        <f t="shared" si="7"/>
        <v>10</v>
      </c>
      <c r="AL41" s="4">
        <f t="shared" si="8"/>
        <v>0</v>
      </c>
      <c r="AM41" s="8" t="str">
        <f t="shared" si="9"/>
        <v>Aatmaj Healthcare</v>
      </c>
      <c r="AN41" s="7"/>
      <c r="AO41" s="61">
        <f t="shared" si="10"/>
        <v>0</v>
      </c>
      <c r="AP41" s="7">
        <f t="shared" si="11"/>
        <v>0</v>
      </c>
      <c r="AQ41" s="5">
        <v>1</v>
      </c>
      <c r="AR41" s="7">
        <f t="shared" si="12"/>
        <v>5</v>
      </c>
      <c r="AS41" s="4">
        <v>1</v>
      </c>
      <c r="AT41" s="5"/>
      <c r="AU41" s="5">
        <f t="shared" si="13"/>
        <v>1</v>
      </c>
      <c r="AV41" s="5">
        <f t="shared" si="14"/>
        <v>0.5</v>
      </c>
      <c r="AW41" s="4">
        <v>1</v>
      </c>
      <c r="AX41" s="4">
        <f t="shared" si="15"/>
        <v>1</v>
      </c>
      <c r="AY41" s="4">
        <f t="shared" si="16"/>
        <v>0</v>
      </c>
      <c r="AZ41" s="4">
        <f t="shared" si="24"/>
        <v>0</v>
      </c>
      <c r="BA41" s="7"/>
      <c r="BB41" s="5"/>
      <c r="BC41" s="5"/>
      <c r="BD41" s="5"/>
      <c r="BE41" s="5"/>
      <c r="BF41" s="5"/>
      <c r="BG41" s="5"/>
      <c r="BH41" s="5"/>
    </row>
    <row r="42" spans="2:111" ht="12.75" customHeight="1">
      <c r="B42" s="14" t="s">
        <v>102</v>
      </c>
      <c r="C42" s="4">
        <v>2023</v>
      </c>
      <c r="D42" s="4">
        <v>0</v>
      </c>
      <c r="E42" s="4">
        <v>3.98</v>
      </c>
      <c r="F42" s="4">
        <v>16.48</v>
      </c>
      <c r="G42" s="5">
        <f t="shared" si="18"/>
        <v>75.849514563106794</v>
      </c>
      <c r="H42" s="4">
        <v>25.6</v>
      </c>
      <c r="I42" s="4">
        <v>5.92</v>
      </c>
      <c r="J42" s="4"/>
      <c r="K42" s="4">
        <v>5.78</v>
      </c>
      <c r="L42" s="4"/>
      <c r="M42" s="4">
        <v>8.92</v>
      </c>
      <c r="N42" s="4"/>
      <c r="O42" s="4">
        <v>22.06</v>
      </c>
      <c r="P42" s="5">
        <f t="shared" si="19"/>
        <v>3.7263513513513513</v>
      </c>
      <c r="Q42" s="4">
        <v>14.01</v>
      </c>
      <c r="R42" s="5">
        <v>14.01</v>
      </c>
      <c r="S42" s="6">
        <v>0</v>
      </c>
      <c r="T42" s="7"/>
      <c r="U42" s="7"/>
      <c r="V42" s="7">
        <v>0</v>
      </c>
      <c r="W42" s="4"/>
      <c r="X42" s="4">
        <v>0</v>
      </c>
      <c r="Y42" s="4">
        <v>22.6</v>
      </c>
      <c r="Z42" s="4">
        <v>49.08</v>
      </c>
      <c r="AA42" s="5">
        <f t="shared" si="20"/>
        <v>-1.7</v>
      </c>
      <c r="AB42" s="5">
        <v>5</v>
      </c>
      <c r="AC42" s="5">
        <f t="shared" si="21"/>
        <v>1</v>
      </c>
      <c r="AD42" s="4">
        <v>121.8</v>
      </c>
      <c r="AE42" s="4">
        <v>26.5</v>
      </c>
      <c r="AF42" s="4">
        <v>56.35</v>
      </c>
      <c r="AG42" s="6">
        <f t="shared" si="22"/>
        <v>4.5999999999999996</v>
      </c>
      <c r="AH42" s="5">
        <f t="shared" si="23"/>
        <v>4.8999999999999995</v>
      </c>
      <c r="AI42" s="5">
        <v>11</v>
      </c>
      <c r="AJ42" s="5">
        <f t="shared" si="6"/>
        <v>1</v>
      </c>
      <c r="AK42" s="5">
        <f t="shared" si="7"/>
        <v>11.799999999999999</v>
      </c>
      <c r="AL42" s="4">
        <f t="shared" si="8"/>
        <v>0</v>
      </c>
      <c r="AM42" s="8" t="str">
        <f t="shared" si="9"/>
        <v>Micropro Software Solutions</v>
      </c>
      <c r="AN42" s="7"/>
      <c r="AO42" s="61">
        <f t="shared" si="10"/>
        <v>0</v>
      </c>
      <c r="AP42" s="7">
        <f t="shared" si="11"/>
        <v>0</v>
      </c>
      <c r="AQ42" s="5">
        <v>1</v>
      </c>
      <c r="AR42" s="7">
        <f t="shared" si="12"/>
        <v>5</v>
      </c>
      <c r="AS42" s="4">
        <v>1</v>
      </c>
      <c r="AT42" s="5"/>
      <c r="AU42" s="5">
        <f t="shared" si="13"/>
        <v>1</v>
      </c>
      <c r="AV42" s="5">
        <f t="shared" si="14"/>
        <v>0.5</v>
      </c>
      <c r="AW42" s="4">
        <v>1</v>
      </c>
      <c r="AX42" s="4">
        <f t="shared" si="15"/>
        <v>1</v>
      </c>
      <c r="AY42" s="4">
        <f t="shared" si="16"/>
        <v>0</v>
      </c>
      <c r="AZ42" s="4">
        <f t="shared" si="24"/>
        <v>0</v>
      </c>
      <c r="BA42" s="7"/>
      <c r="BB42" s="5"/>
      <c r="BC42" s="5"/>
      <c r="BD42" s="5"/>
      <c r="BE42" s="5"/>
      <c r="BF42" s="5"/>
      <c r="BG42" s="5"/>
      <c r="BH42" s="5"/>
    </row>
    <row r="43" spans="2:111" ht="12.75" customHeight="1">
      <c r="B43" s="14" t="s">
        <v>103</v>
      </c>
      <c r="C43" s="4">
        <v>2023</v>
      </c>
      <c r="D43" s="4">
        <v>0</v>
      </c>
      <c r="E43" s="4">
        <v>1.96</v>
      </c>
      <c r="F43" s="4">
        <v>4.1399999999999997</v>
      </c>
      <c r="G43" s="5">
        <f t="shared" si="18"/>
        <v>52.65700483091787</v>
      </c>
      <c r="H43" s="4">
        <v>23.22</v>
      </c>
      <c r="I43" s="4">
        <v>0.17</v>
      </c>
      <c r="J43" s="4"/>
      <c r="K43" s="4">
        <v>0.52</v>
      </c>
      <c r="L43" s="4"/>
      <c r="M43" s="4">
        <v>0.28999999999999998</v>
      </c>
      <c r="N43" s="4"/>
      <c r="O43" s="4">
        <v>1.81</v>
      </c>
      <c r="P43" s="5">
        <f t="shared" si="19"/>
        <v>10.647058823529411</v>
      </c>
      <c r="Q43" s="4">
        <v>34.619999999999997</v>
      </c>
      <c r="R43" s="5">
        <v>34.619999999999997</v>
      </c>
      <c r="S43" s="6">
        <v>0</v>
      </c>
      <c r="T43" s="7"/>
      <c r="U43" s="7"/>
      <c r="V43" s="7">
        <v>0</v>
      </c>
      <c r="W43" s="4"/>
      <c r="X43" s="4">
        <v>0</v>
      </c>
      <c r="Y43" s="4">
        <v>12</v>
      </c>
      <c r="Z43" s="4">
        <v>26</v>
      </c>
      <c r="AA43" s="5">
        <f t="shared" si="20"/>
        <v>-1.7</v>
      </c>
      <c r="AB43" s="5">
        <v>0</v>
      </c>
      <c r="AC43" s="5">
        <f t="shared" si="21"/>
        <v>0</v>
      </c>
      <c r="AD43" s="4">
        <v>-50.29</v>
      </c>
      <c r="AE43" s="4">
        <v>-85.23</v>
      </c>
      <c r="AF43" s="4">
        <v>285.14</v>
      </c>
      <c r="AG43" s="6">
        <f t="shared" si="22"/>
        <v>1.0999999999999996</v>
      </c>
      <c r="AH43" s="5">
        <f t="shared" si="23"/>
        <v>0.39999999999999969</v>
      </c>
      <c r="AI43" s="5">
        <v>11</v>
      </c>
      <c r="AJ43" s="5">
        <f t="shared" si="6"/>
        <v>1</v>
      </c>
      <c r="AK43" s="5">
        <f t="shared" si="7"/>
        <v>2.0499999999999989</v>
      </c>
      <c r="AL43" s="4">
        <f t="shared" si="8"/>
        <v>0</v>
      </c>
      <c r="AM43" s="8" t="str">
        <f t="shared" si="9"/>
        <v>Vrundavan Plantation</v>
      </c>
      <c r="AN43" s="7"/>
      <c r="AO43" s="61">
        <f t="shared" si="10"/>
        <v>0</v>
      </c>
      <c r="AP43" s="7">
        <f t="shared" si="11"/>
        <v>0</v>
      </c>
      <c r="AQ43" s="5">
        <v>1</v>
      </c>
      <c r="AR43" s="7">
        <f t="shared" si="12"/>
        <v>5</v>
      </c>
      <c r="AS43" s="4">
        <v>1</v>
      </c>
      <c r="AT43" s="5"/>
      <c r="AU43" s="5">
        <f t="shared" si="13"/>
        <v>1</v>
      </c>
      <c r="AV43" s="5">
        <f t="shared" si="14"/>
        <v>0.5</v>
      </c>
      <c r="AW43" s="4">
        <v>1</v>
      </c>
      <c r="AX43" s="4">
        <f t="shared" si="15"/>
        <v>1</v>
      </c>
      <c r="AY43" s="4">
        <f t="shared" si="16"/>
        <v>0</v>
      </c>
      <c r="AZ43" s="4">
        <f t="shared" si="24"/>
        <v>0</v>
      </c>
      <c r="BA43" s="7"/>
      <c r="BB43" s="5"/>
      <c r="BC43" s="5"/>
      <c r="BD43" s="5"/>
      <c r="BE43" s="5"/>
      <c r="BF43" s="5"/>
      <c r="BG43" s="5"/>
      <c r="BH43" s="5"/>
    </row>
    <row r="44" spans="2:111" ht="27.75" customHeight="1">
      <c r="B44" s="11" t="s">
        <v>104</v>
      </c>
      <c r="C44" s="4">
        <v>2025</v>
      </c>
      <c r="D44" s="11">
        <v>1</v>
      </c>
      <c r="E44" s="5">
        <v>9.74</v>
      </c>
      <c r="F44" s="5">
        <v>21.01</v>
      </c>
      <c r="G44" s="5">
        <f t="shared" si="18"/>
        <v>53.641123274631134</v>
      </c>
      <c r="H44" s="5">
        <v>30.84</v>
      </c>
      <c r="I44" s="5">
        <v>12.07</v>
      </c>
      <c r="J44" s="5"/>
      <c r="K44" s="5">
        <v>9.6300000000000008</v>
      </c>
      <c r="L44" s="5"/>
      <c r="M44" s="5">
        <v>18.59</v>
      </c>
      <c r="N44" s="5"/>
      <c r="O44" s="5">
        <v>115.59</v>
      </c>
      <c r="P44" s="5">
        <f t="shared" si="19"/>
        <v>9.5766362883181451</v>
      </c>
      <c r="Q44" s="5">
        <v>10.59</v>
      </c>
      <c r="R44" s="5"/>
      <c r="S44" s="6">
        <v>1</v>
      </c>
      <c r="T44" s="7"/>
      <c r="U44" s="7"/>
      <c r="V44" s="7">
        <v>1</v>
      </c>
      <c r="W44" s="5"/>
      <c r="X44" s="5">
        <v>1.01</v>
      </c>
      <c r="Y44" s="5">
        <v>1.48</v>
      </c>
      <c r="Z44" s="5">
        <v>1.18</v>
      </c>
      <c r="AA44" s="5">
        <f t="shared" si="20"/>
        <v>1</v>
      </c>
      <c r="AB44" s="5">
        <v>0</v>
      </c>
      <c r="AC44" s="5">
        <f t="shared" si="21"/>
        <v>0</v>
      </c>
      <c r="AD44" s="5">
        <v>183</v>
      </c>
      <c r="AE44" s="5">
        <v>18</v>
      </c>
      <c r="AF44" s="5">
        <v>135</v>
      </c>
      <c r="AG44" s="6">
        <f t="shared" si="22"/>
        <v>8.1</v>
      </c>
      <c r="AH44" s="5">
        <f t="shared" si="23"/>
        <v>10.1</v>
      </c>
      <c r="AI44" s="5">
        <v>11</v>
      </c>
      <c r="AJ44" s="5">
        <f t="shared" si="6"/>
        <v>1</v>
      </c>
      <c r="AK44" s="5">
        <f t="shared" si="7"/>
        <v>22.25</v>
      </c>
      <c r="AL44" s="4">
        <f t="shared" si="8"/>
        <v>1</v>
      </c>
      <c r="AM44" s="8" t="str">
        <f t="shared" si="9"/>
        <v>Game Changers Tefab</v>
      </c>
      <c r="AN44" s="15"/>
      <c r="AO44" s="61">
        <f t="shared" si="10"/>
        <v>0</v>
      </c>
      <c r="AP44" s="7">
        <f t="shared" si="11"/>
        <v>3</v>
      </c>
      <c r="AQ44" s="5">
        <v>1</v>
      </c>
      <c r="AR44" s="7">
        <f t="shared" si="12"/>
        <v>5</v>
      </c>
      <c r="AS44" s="16">
        <v>102</v>
      </c>
      <c r="AT44" s="5">
        <v>149</v>
      </c>
      <c r="AU44" s="5">
        <v>200</v>
      </c>
      <c r="AV44" s="5">
        <f t="shared" si="14"/>
        <v>174.5</v>
      </c>
      <c r="AW44" s="16">
        <v>104.15</v>
      </c>
      <c r="AX44" s="4">
        <f t="shared" si="15"/>
        <v>0</v>
      </c>
      <c r="AY44" s="4">
        <f t="shared" si="16"/>
        <v>96.078431372549019</v>
      </c>
      <c r="AZ44" s="4">
        <f t="shared" si="24"/>
        <v>2.5</v>
      </c>
      <c r="BA44" s="15"/>
      <c r="BB44" s="17">
        <v>109.32</v>
      </c>
      <c r="BC44" s="17">
        <v>114.89</v>
      </c>
      <c r="BD44" s="17">
        <v>112</v>
      </c>
      <c r="BE44" s="17">
        <v>162</v>
      </c>
      <c r="BF44" s="5"/>
      <c r="BG44" s="5" t="e">
        <f>#DIV/0!</f>
        <v>#DIV/0!</v>
      </c>
      <c r="BH44" s="5" t="e">
        <f>#DIV/0!</f>
        <v>#DIV/0!</v>
      </c>
    </row>
    <row r="45" spans="2:111" ht="11.25" customHeight="1">
      <c r="B45" s="18" t="s">
        <v>105</v>
      </c>
      <c r="C45" s="4">
        <v>2025</v>
      </c>
      <c r="D45" s="4">
        <v>0</v>
      </c>
      <c r="E45" s="5">
        <v>27.99</v>
      </c>
      <c r="F45" s="5">
        <v>17.329999999999998</v>
      </c>
      <c r="G45" s="5">
        <f t="shared" si="18"/>
        <v>-61.511829197922687</v>
      </c>
      <c r="H45" s="5">
        <v>58.88</v>
      </c>
      <c r="I45" s="5">
        <v>7.2</v>
      </c>
      <c r="J45" s="5"/>
      <c r="K45" s="5">
        <v>11.34</v>
      </c>
      <c r="L45" s="5"/>
      <c r="M45" s="5">
        <v>16.93</v>
      </c>
      <c r="N45" s="5"/>
      <c r="O45" s="5">
        <v>112.03</v>
      </c>
      <c r="P45" s="5">
        <f t="shared" si="19"/>
        <v>15.559722222222222</v>
      </c>
      <c r="Q45" s="5">
        <v>10.75</v>
      </c>
      <c r="R45" s="5"/>
      <c r="S45" s="6">
        <v>0</v>
      </c>
      <c r="T45" s="7"/>
      <c r="U45" s="7"/>
      <c r="V45" s="7">
        <v>1</v>
      </c>
      <c r="W45" s="5"/>
      <c r="X45" s="5">
        <v>40.86</v>
      </c>
      <c r="Y45" s="5">
        <v>138</v>
      </c>
      <c r="Z45" s="5">
        <v>52</v>
      </c>
      <c r="AA45" s="5">
        <f t="shared" si="20"/>
        <v>0</v>
      </c>
      <c r="AB45" s="5">
        <v>7</v>
      </c>
      <c r="AC45" s="5">
        <f t="shared" si="21"/>
        <v>1</v>
      </c>
      <c r="AD45" s="5">
        <v>127.85</v>
      </c>
      <c r="AE45" s="5">
        <v>26.89</v>
      </c>
      <c r="AF45" s="5">
        <v>116.08</v>
      </c>
      <c r="AG45" s="6">
        <f t="shared" si="22"/>
        <v>4</v>
      </c>
      <c r="AH45" s="5">
        <f t="shared" si="23"/>
        <v>7</v>
      </c>
      <c r="AI45" s="5">
        <v>11</v>
      </c>
      <c r="AJ45" s="5">
        <f t="shared" si="6"/>
        <v>1</v>
      </c>
      <c r="AK45" s="5">
        <f t="shared" si="7"/>
        <v>13</v>
      </c>
      <c r="AL45" s="4">
        <f t="shared" si="8"/>
        <v>0</v>
      </c>
      <c r="AM45" s="8" t="str">
        <f t="shared" si="9"/>
        <v>Jayesh Logistics</v>
      </c>
      <c r="AN45" s="7"/>
      <c r="AO45" s="61">
        <f t="shared" si="10"/>
        <v>0</v>
      </c>
      <c r="AP45" s="7">
        <f t="shared" si="11"/>
        <v>0</v>
      </c>
      <c r="AQ45" s="5">
        <v>1</v>
      </c>
      <c r="AR45" s="7">
        <f t="shared" si="12"/>
        <v>5</v>
      </c>
      <c r="AS45" s="4">
        <v>122</v>
      </c>
      <c r="AT45" s="5">
        <v>112</v>
      </c>
      <c r="AU45" s="5">
        <v>149</v>
      </c>
      <c r="AV45" s="5">
        <f t="shared" si="14"/>
        <v>130.5</v>
      </c>
      <c r="AW45" s="4">
        <v>120</v>
      </c>
      <c r="AX45" s="4">
        <f t="shared" si="15"/>
        <v>0</v>
      </c>
      <c r="AY45" s="4">
        <f t="shared" si="16"/>
        <v>22.131147540983605</v>
      </c>
      <c r="AZ45" s="4">
        <f t="shared" si="24"/>
        <v>2.5</v>
      </c>
      <c r="BA45" s="7"/>
      <c r="BB45" s="5">
        <v>117</v>
      </c>
      <c r="BC45" s="5">
        <v>117</v>
      </c>
      <c r="BD45" s="5"/>
      <c r="BE45" s="5"/>
      <c r="BF45" s="5"/>
      <c r="BG45" s="5" t="e">
        <f>#DIV/0!</f>
        <v>#DIV/0!</v>
      </c>
      <c r="BH45" s="5" t="e">
        <f>#DIV/0!</f>
        <v>#DIV/0!</v>
      </c>
    </row>
    <row r="46" spans="2:111" ht="12.75" customHeight="1">
      <c r="B46" s="11" t="s">
        <v>106</v>
      </c>
      <c r="C46" s="4">
        <v>2025</v>
      </c>
      <c r="D46" s="4">
        <v>0</v>
      </c>
      <c r="E46" s="5">
        <v>20.55</v>
      </c>
      <c r="F46" s="5">
        <v>20.93</v>
      </c>
      <c r="G46" s="5">
        <f t="shared" si="18"/>
        <v>1.8155757286192022</v>
      </c>
      <c r="H46" s="4">
        <v>53.07</v>
      </c>
      <c r="I46" s="5">
        <v>6.16</v>
      </c>
      <c r="J46" s="5"/>
      <c r="K46" s="5">
        <v>8.75</v>
      </c>
      <c r="L46" s="5"/>
      <c r="M46" s="5">
        <v>12.43</v>
      </c>
      <c r="N46" s="5"/>
      <c r="O46" s="5">
        <v>73.27</v>
      </c>
      <c r="P46" s="5">
        <f t="shared" si="19"/>
        <v>11.894480519480519</v>
      </c>
      <c r="Q46" s="5">
        <v>11.66</v>
      </c>
      <c r="R46" s="5"/>
      <c r="S46" s="6">
        <v>0</v>
      </c>
      <c r="T46" s="7"/>
      <c r="U46" s="7"/>
      <c r="V46" s="7">
        <v>0</v>
      </c>
      <c r="W46" s="5"/>
      <c r="X46" s="5">
        <v>0.32</v>
      </c>
      <c r="Y46" s="5">
        <v>0.32</v>
      </c>
      <c r="Z46" s="5">
        <v>3.31</v>
      </c>
      <c r="AA46" s="5">
        <f t="shared" si="20"/>
        <v>-0.7</v>
      </c>
      <c r="AB46" s="5">
        <v>0</v>
      </c>
      <c r="AC46" s="5">
        <f t="shared" si="21"/>
        <v>0</v>
      </c>
      <c r="AD46" s="5">
        <v>8</v>
      </c>
      <c r="AE46" s="5">
        <v>16</v>
      </c>
      <c r="AF46" s="5">
        <v>39.53</v>
      </c>
      <c r="AG46" s="6">
        <f t="shared" si="22"/>
        <v>3.7</v>
      </c>
      <c r="AH46" s="5">
        <f t="shared" si="23"/>
        <v>2</v>
      </c>
      <c r="AI46" s="5">
        <v>11</v>
      </c>
      <c r="AJ46" s="5">
        <f t="shared" si="6"/>
        <v>1</v>
      </c>
      <c r="AK46" s="5">
        <f t="shared" si="7"/>
        <v>7.5500000000000007</v>
      </c>
      <c r="AL46" s="4">
        <f t="shared" si="8"/>
        <v>0</v>
      </c>
      <c r="AM46" s="8" t="str">
        <f t="shared" si="9"/>
        <v>Safecure Services</v>
      </c>
      <c r="AN46" s="7"/>
      <c r="AO46" s="61">
        <f t="shared" si="10"/>
        <v>0</v>
      </c>
      <c r="AP46" s="7">
        <f t="shared" si="11"/>
        <v>0</v>
      </c>
      <c r="AQ46" s="5">
        <v>1</v>
      </c>
      <c r="AR46" s="7">
        <f t="shared" si="12"/>
        <v>5</v>
      </c>
      <c r="AS46" s="4">
        <v>102</v>
      </c>
      <c r="AT46" s="5">
        <v>105</v>
      </c>
      <c r="AU46" s="5">
        <v>140</v>
      </c>
      <c r="AV46" s="5">
        <f t="shared" si="14"/>
        <v>122.5</v>
      </c>
      <c r="AW46" s="4">
        <v>81</v>
      </c>
      <c r="AX46" s="4">
        <f t="shared" si="15"/>
        <v>0</v>
      </c>
      <c r="AY46" s="4">
        <f t="shared" si="16"/>
        <v>37.254901960784316</v>
      </c>
      <c r="AZ46" s="4">
        <f t="shared" si="24"/>
        <v>2.5</v>
      </c>
      <c r="BA46" s="7"/>
      <c r="BB46" s="5">
        <v>77</v>
      </c>
      <c r="BC46" s="5"/>
      <c r="BD46" s="5"/>
      <c r="BE46" s="5"/>
      <c r="BF46" s="5"/>
      <c r="BG46" s="5" t="e">
        <f>#DIV/0!</f>
        <v>#DIV/0!</v>
      </c>
      <c r="BH46" s="5" t="e">
        <f>#DIV/0!</f>
        <v>#DIV/0!</v>
      </c>
    </row>
    <row r="47" spans="2:111" ht="12.75" customHeight="1">
      <c r="B47" s="11" t="s">
        <v>107</v>
      </c>
      <c r="C47" s="4">
        <v>2025</v>
      </c>
      <c r="D47" s="4">
        <v>0</v>
      </c>
      <c r="E47" s="5">
        <v>30.45</v>
      </c>
      <c r="F47" s="5">
        <v>29.56</v>
      </c>
      <c r="G47" s="5">
        <f t="shared" si="18"/>
        <v>-3.0108254397834933</v>
      </c>
      <c r="H47" s="4">
        <v>117.06</v>
      </c>
      <c r="I47" s="5">
        <v>12.15</v>
      </c>
      <c r="J47" s="5"/>
      <c r="K47" s="5">
        <v>7.61</v>
      </c>
      <c r="L47" s="5"/>
      <c r="M47" s="5">
        <v>20.37</v>
      </c>
      <c r="N47" s="5"/>
      <c r="O47" s="5">
        <v>650.85</v>
      </c>
      <c r="P47" s="5">
        <f t="shared" si="19"/>
        <v>53.567901234567898</v>
      </c>
      <c r="Q47" s="5">
        <v>16.420000000000002</v>
      </c>
      <c r="R47" s="5"/>
      <c r="S47" s="6">
        <v>0</v>
      </c>
      <c r="T47" s="7"/>
      <c r="U47" s="7"/>
      <c r="V47" s="7">
        <v>1</v>
      </c>
      <c r="W47" s="5"/>
      <c r="X47" s="5">
        <v>1.64</v>
      </c>
      <c r="Y47" s="5">
        <v>1</v>
      </c>
      <c r="Z47" s="5">
        <v>1</v>
      </c>
      <c r="AA47" s="5">
        <f t="shared" si="20"/>
        <v>1</v>
      </c>
      <c r="AB47" s="5">
        <v>0</v>
      </c>
      <c r="AC47" s="5">
        <f t="shared" si="21"/>
        <v>0</v>
      </c>
      <c r="AD47" s="5">
        <v>122</v>
      </c>
      <c r="AE47" s="5">
        <v>10.55</v>
      </c>
      <c r="AF47" s="5">
        <v>71.66</v>
      </c>
      <c r="AG47" s="6">
        <f t="shared" si="22"/>
        <v>3</v>
      </c>
      <c r="AH47" s="5">
        <f t="shared" si="23"/>
        <v>5</v>
      </c>
      <c r="AI47" s="5">
        <v>11</v>
      </c>
      <c r="AJ47" s="5">
        <f t="shared" si="6"/>
        <v>1</v>
      </c>
      <c r="AK47" s="5">
        <f t="shared" si="7"/>
        <v>9.5</v>
      </c>
      <c r="AL47" s="4">
        <f t="shared" si="8"/>
        <v>0</v>
      </c>
      <c r="AM47" s="8" t="str">
        <f t="shared" si="9"/>
        <v>Shreeji Global FMCG</v>
      </c>
      <c r="AN47" s="7"/>
      <c r="AO47" s="61">
        <f t="shared" si="10"/>
        <v>0</v>
      </c>
      <c r="AP47" s="7">
        <f t="shared" si="11"/>
        <v>0</v>
      </c>
      <c r="AQ47" s="5">
        <v>1</v>
      </c>
      <c r="AR47" s="7">
        <f t="shared" si="12"/>
        <v>5</v>
      </c>
      <c r="AS47" s="4">
        <v>125</v>
      </c>
      <c r="AT47" s="5">
        <v>175</v>
      </c>
      <c r="AU47" s="5">
        <v>233</v>
      </c>
      <c r="AV47" s="5">
        <f t="shared" si="14"/>
        <v>204</v>
      </c>
      <c r="AW47" s="4">
        <v>101</v>
      </c>
      <c r="AX47" s="4">
        <f t="shared" si="15"/>
        <v>0</v>
      </c>
      <c r="AY47" s="4">
        <f t="shared" si="16"/>
        <v>86.4</v>
      </c>
      <c r="AZ47" s="4">
        <f t="shared" si="24"/>
        <v>2.5</v>
      </c>
      <c r="BA47" s="7"/>
      <c r="BB47" s="5">
        <v>100</v>
      </c>
      <c r="BC47" s="5"/>
      <c r="BD47" s="5"/>
      <c r="BE47" s="5"/>
      <c r="BF47" s="5"/>
      <c r="BG47" s="5" t="e">
        <f>#DIV/0!</f>
        <v>#DIV/0!</v>
      </c>
      <c r="BH47" s="5" t="e">
        <f>#DIV/0!</f>
        <v>#DIV/0!</v>
      </c>
    </row>
    <row r="48" spans="2:111" ht="15" customHeight="1">
      <c r="B48" s="18" t="s">
        <v>108</v>
      </c>
      <c r="C48" s="11">
        <v>2025</v>
      </c>
      <c r="D48" s="11">
        <v>1</v>
      </c>
      <c r="E48" s="11">
        <v>18.5</v>
      </c>
      <c r="F48" s="11">
        <v>35.979999999999997</v>
      </c>
      <c r="G48" s="5">
        <f t="shared" si="18"/>
        <v>48.582545858810448</v>
      </c>
      <c r="H48" s="11">
        <v>68.930000000000007</v>
      </c>
      <c r="I48" s="11">
        <v>8.49</v>
      </c>
      <c r="J48" s="11"/>
      <c r="K48" s="11">
        <v>6.07</v>
      </c>
      <c r="L48" s="11"/>
      <c r="M48" s="11">
        <v>14.87</v>
      </c>
      <c r="N48" s="11"/>
      <c r="O48" s="11">
        <v>223.28</v>
      </c>
      <c r="P48" s="5">
        <f t="shared" si="19"/>
        <v>26.299175500588927</v>
      </c>
      <c r="Q48" s="11">
        <v>27.08</v>
      </c>
      <c r="R48" s="19"/>
      <c r="S48" s="6">
        <v>0</v>
      </c>
      <c r="T48" s="20"/>
      <c r="U48" s="20"/>
      <c r="V48" s="20">
        <v>1</v>
      </c>
      <c r="W48" s="11"/>
      <c r="X48" s="11">
        <v>4.3</v>
      </c>
      <c r="Y48" s="11">
        <v>8.3000000000000007</v>
      </c>
      <c r="Z48" s="11">
        <v>2.8</v>
      </c>
      <c r="AA48" s="5">
        <f t="shared" si="20"/>
        <v>1</v>
      </c>
      <c r="AB48" s="11">
        <v>8</v>
      </c>
      <c r="AC48" s="5">
        <f t="shared" si="21"/>
        <v>1</v>
      </c>
      <c r="AD48" s="11">
        <v>43.16</v>
      </c>
      <c r="AE48" s="11">
        <v>17.350000000000001</v>
      </c>
      <c r="AF48" s="11">
        <v>198.18</v>
      </c>
      <c r="AG48" s="6">
        <f t="shared" si="22"/>
        <v>5.4</v>
      </c>
      <c r="AH48" s="5">
        <f t="shared" si="23"/>
        <v>9.4</v>
      </c>
      <c r="AI48" s="5">
        <v>11</v>
      </c>
      <c r="AJ48" s="5">
        <f t="shared" si="6"/>
        <v>1</v>
      </c>
      <c r="AK48" s="5">
        <f t="shared" si="7"/>
        <v>17.5</v>
      </c>
      <c r="AL48" s="4">
        <f t="shared" si="8"/>
        <v>1</v>
      </c>
      <c r="AM48" s="8" t="str">
        <f t="shared" si="9"/>
        <v>Finbud Financial Services</v>
      </c>
      <c r="AN48" s="7"/>
      <c r="AO48" s="61">
        <f t="shared" si="10"/>
        <v>0</v>
      </c>
      <c r="AP48" s="7">
        <f t="shared" si="11"/>
        <v>3</v>
      </c>
      <c r="AQ48" s="5">
        <v>1</v>
      </c>
      <c r="AR48" s="7">
        <f t="shared" si="12"/>
        <v>5</v>
      </c>
      <c r="AS48" s="4">
        <v>142</v>
      </c>
      <c r="AT48" s="5">
        <v>115</v>
      </c>
      <c r="AU48" s="5">
        <v>147</v>
      </c>
      <c r="AV48" s="5">
        <f t="shared" si="14"/>
        <v>131</v>
      </c>
      <c r="AW48" s="4">
        <v>157</v>
      </c>
      <c r="AX48" s="4">
        <f t="shared" si="15"/>
        <v>1</v>
      </c>
      <c r="AY48" s="4">
        <f t="shared" si="16"/>
        <v>3.5211267605633805</v>
      </c>
      <c r="AZ48" s="4">
        <f t="shared" si="24"/>
        <v>1.5</v>
      </c>
      <c r="BA48" s="7"/>
      <c r="BB48" s="5">
        <v>164</v>
      </c>
      <c r="BC48" s="5">
        <v>156</v>
      </c>
      <c r="BD48" s="5">
        <v>156</v>
      </c>
      <c r="BE48" s="5">
        <v>164.8</v>
      </c>
      <c r="BF48" s="5"/>
      <c r="BG48" s="5" t="e">
        <f>#DIV/0!</f>
        <v>#DIV/0!</v>
      </c>
      <c r="BH48" s="5" t="e">
        <f>#DIV/0!</f>
        <v>#DIV/0!</v>
      </c>
    </row>
    <row r="49" spans="2:60" ht="12" customHeight="1">
      <c r="B49" s="11" t="s">
        <v>109</v>
      </c>
      <c r="C49" s="11">
        <v>2025</v>
      </c>
      <c r="D49" s="11">
        <v>1</v>
      </c>
      <c r="E49" s="11">
        <v>15.6</v>
      </c>
      <c r="F49" s="11">
        <v>16.22</v>
      </c>
      <c r="G49" s="5">
        <f t="shared" si="18"/>
        <v>3.8224414303329177</v>
      </c>
      <c r="H49" s="11">
        <v>42.53</v>
      </c>
      <c r="I49" s="11">
        <v>6.1</v>
      </c>
      <c r="J49" s="11"/>
      <c r="K49" s="11">
        <v>10.29</v>
      </c>
      <c r="L49" s="11"/>
      <c r="M49" s="11">
        <v>10.029999999999999</v>
      </c>
      <c r="N49" s="11"/>
      <c r="O49" s="11">
        <v>49.13</v>
      </c>
      <c r="P49" s="5">
        <f t="shared" si="19"/>
        <v>8.0540983606557379</v>
      </c>
      <c r="Q49" s="11">
        <v>12.01</v>
      </c>
      <c r="R49" s="19"/>
      <c r="S49" s="6">
        <v>0</v>
      </c>
      <c r="T49" s="20"/>
      <c r="U49" s="20"/>
      <c r="V49" s="20">
        <v>1</v>
      </c>
      <c r="W49" s="11"/>
      <c r="X49" s="11">
        <v>96</v>
      </c>
      <c r="Y49" s="11">
        <v>115</v>
      </c>
      <c r="Z49" s="11">
        <v>44</v>
      </c>
      <c r="AA49" s="5">
        <f t="shared" si="20"/>
        <v>1</v>
      </c>
      <c r="AB49" s="11">
        <v>7</v>
      </c>
      <c r="AC49" s="5">
        <f t="shared" si="21"/>
        <v>1</v>
      </c>
      <c r="AD49" s="11">
        <v>14.02</v>
      </c>
      <c r="AE49" s="11">
        <v>38.130000000000003</v>
      </c>
      <c r="AF49" s="11">
        <v>186.05</v>
      </c>
      <c r="AG49" s="6">
        <f t="shared" si="22"/>
        <v>5.7</v>
      </c>
      <c r="AH49" s="5">
        <f t="shared" si="23"/>
        <v>9.6999999999999993</v>
      </c>
      <c r="AI49" s="5">
        <v>11</v>
      </c>
      <c r="AJ49" s="5">
        <f t="shared" si="6"/>
        <v>1</v>
      </c>
      <c r="AK49" s="5">
        <f t="shared" si="7"/>
        <v>18.25</v>
      </c>
      <c r="AL49" s="4">
        <f t="shared" si="8"/>
        <v>1</v>
      </c>
      <c r="AM49" s="8" t="str">
        <f t="shared" si="9"/>
        <v>Curis Lifesciences</v>
      </c>
      <c r="AN49" s="7"/>
      <c r="AO49" s="61">
        <f t="shared" si="10"/>
        <v>1</v>
      </c>
      <c r="AP49" s="7">
        <f t="shared" si="11"/>
        <v>1</v>
      </c>
      <c r="AQ49" s="5">
        <v>1</v>
      </c>
      <c r="AR49" s="7">
        <f t="shared" si="12"/>
        <v>1</v>
      </c>
      <c r="AS49" s="4">
        <v>128</v>
      </c>
      <c r="AT49" s="5">
        <v>128</v>
      </c>
      <c r="AU49" s="5">
        <v>192</v>
      </c>
      <c r="AV49" s="5">
        <f t="shared" si="14"/>
        <v>160</v>
      </c>
      <c r="AW49" s="4">
        <v>146</v>
      </c>
      <c r="AX49" s="4">
        <f t="shared" si="15"/>
        <v>0</v>
      </c>
      <c r="AY49" s="4">
        <f t="shared" si="16"/>
        <v>50</v>
      </c>
      <c r="AZ49" s="4">
        <f t="shared" si="24"/>
        <v>2.5</v>
      </c>
      <c r="BA49" s="7"/>
      <c r="BB49" s="5">
        <v>151</v>
      </c>
      <c r="BC49" s="5"/>
      <c r="BD49" s="5"/>
      <c r="BE49" s="5"/>
      <c r="BF49" s="5"/>
      <c r="BG49" s="5" t="e">
        <f>#DIV/0!</f>
        <v>#DIV/0!</v>
      </c>
      <c r="BH49" s="5" t="e">
        <f>#DIV/0!</f>
        <v>#DIV/0!</v>
      </c>
    </row>
    <row r="50" spans="2:60" ht="12.75" customHeight="1">
      <c r="B50" s="11" t="s">
        <v>110</v>
      </c>
      <c r="C50" s="11">
        <v>2025</v>
      </c>
      <c r="D50" s="4">
        <v>0</v>
      </c>
      <c r="E50" s="11">
        <v>8.18</v>
      </c>
      <c r="F50" s="11">
        <v>8.01</v>
      </c>
      <c r="G50" s="5">
        <f t="shared" si="18"/>
        <v>-2.1223470661672899</v>
      </c>
      <c r="H50" s="11">
        <v>19.64</v>
      </c>
      <c r="I50" s="11">
        <v>2.93</v>
      </c>
      <c r="J50" s="11"/>
      <c r="K50" s="11">
        <v>7.05</v>
      </c>
      <c r="L50" s="11"/>
      <c r="M50" s="11">
        <v>6.23</v>
      </c>
      <c r="N50" s="11"/>
      <c r="O50" s="11">
        <v>14.77</v>
      </c>
      <c r="P50" s="5">
        <f t="shared" si="19"/>
        <v>5.0409556313993171</v>
      </c>
      <c r="Q50" s="11">
        <v>16.18</v>
      </c>
      <c r="R50" s="19"/>
      <c r="S50" s="6">
        <v>0</v>
      </c>
      <c r="T50" s="20"/>
      <c r="U50" s="20"/>
      <c r="V50" s="20">
        <v>0</v>
      </c>
      <c r="W50" s="11"/>
      <c r="X50" s="11">
        <v>0</v>
      </c>
      <c r="Y50" s="11">
        <v>0.43</v>
      </c>
      <c r="Z50" s="11">
        <v>1.87</v>
      </c>
      <c r="AA50" s="5">
        <f t="shared" si="20"/>
        <v>-1.7</v>
      </c>
      <c r="AB50" s="11">
        <v>0</v>
      </c>
      <c r="AC50" s="5">
        <f t="shared" si="21"/>
        <v>0</v>
      </c>
      <c r="AD50" s="11">
        <v>86</v>
      </c>
      <c r="AE50" s="11">
        <v>39</v>
      </c>
      <c r="AF50" s="11">
        <v>123</v>
      </c>
      <c r="AG50" s="6">
        <f t="shared" si="22"/>
        <v>3</v>
      </c>
      <c r="AH50" s="5">
        <f t="shared" si="23"/>
        <v>0.30000000000000004</v>
      </c>
      <c r="AI50" s="5">
        <v>11</v>
      </c>
      <c r="AJ50" s="5">
        <f t="shared" si="6"/>
        <v>1</v>
      </c>
      <c r="AK50" s="5">
        <f t="shared" si="7"/>
        <v>4.8</v>
      </c>
      <c r="AL50" s="4">
        <f t="shared" si="8"/>
        <v>0</v>
      </c>
      <c r="AM50" s="8" t="str">
        <f t="shared" si="9"/>
        <v>Shining Tools</v>
      </c>
      <c r="AN50" s="7"/>
      <c r="AO50" s="61">
        <f t="shared" si="10"/>
        <v>0</v>
      </c>
      <c r="AP50" s="7">
        <f t="shared" si="11"/>
        <v>0</v>
      </c>
      <c r="AQ50" s="5">
        <v>1</v>
      </c>
      <c r="AR50" s="7">
        <f t="shared" si="12"/>
        <v>5</v>
      </c>
      <c r="AS50" s="4">
        <v>114</v>
      </c>
      <c r="AT50" s="5">
        <v>94</v>
      </c>
      <c r="AU50" s="5">
        <v>140</v>
      </c>
      <c r="AV50" s="5">
        <f t="shared" si="14"/>
        <v>117</v>
      </c>
      <c r="AW50" s="4">
        <v>104</v>
      </c>
      <c r="AX50" s="4">
        <f t="shared" si="15"/>
        <v>0</v>
      </c>
      <c r="AY50" s="4">
        <f t="shared" si="16"/>
        <v>22.807017543859651</v>
      </c>
      <c r="AZ50" s="4">
        <f t="shared" si="24"/>
        <v>2.5</v>
      </c>
      <c r="BA50" s="7"/>
      <c r="BB50" s="5">
        <v>98</v>
      </c>
      <c r="BC50" s="5"/>
      <c r="BD50" s="5"/>
      <c r="BE50" s="5"/>
      <c r="BF50" s="5"/>
      <c r="BG50" s="5" t="e">
        <f>#DIV/0!</f>
        <v>#DIV/0!</v>
      </c>
      <c r="BH50" s="5" t="e">
        <f>#DIV/0!</f>
        <v>#DIV/0!</v>
      </c>
    </row>
    <row r="51" spans="2:60" ht="24" customHeight="1">
      <c r="B51" s="11" t="s">
        <v>111</v>
      </c>
      <c r="C51" s="11">
        <v>2025</v>
      </c>
      <c r="D51" s="11">
        <v>1</v>
      </c>
      <c r="E51" s="11">
        <v>58.11</v>
      </c>
      <c r="F51" s="11">
        <v>49.42</v>
      </c>
      <c r="G51" s="5">
        <f t="shared" si="18"/>
        <v>-17.58397409955483</v>
      </c>
      <c r="H51" s="11">
        <v>188.35</v>
      </c>
      <c r="I51" s="11">
        <v>12.94</v>
      </c>
      <c r="J51" s="11"/>
      <c r="K51" s="11">
        <v>7.01</v>
      </c>
      <c r="L51" s="11"/>
      <c r="M51" s="11">
        <v>24.64</v>
      </c>
      <c r="N51" s="11"/>
      <c r="O51" s="11">
        <v>267.17</v>
      </c>
      <c r="P51" s="5">
        <f t="shared" si="19"/>
        <v>20.646831530139107</v>
      </c>
      <c r="Q51" s="11">
        <v>20.62</v>
      </c>
      <c r="R51" s="19"/>
      <c r="S51" s="6">
        <v>-1</v>
      </c>
      <c r="T51" s="20"/>
      <c r="U51" s="20"/>
      <c r="V51" s="20">
        <v>1</v>
      </c>
      <c r="W51" s="11">
        <v>1</v>
      </c>
      <c r="X51" s="11">
        <v>0.65</v>
      </c>
      <c r="Y51" s="11">
        <v>0.27</v>
      </c>
      <c r="Z51" s="11">
        <v>0.21</v>
      </c>
      <c r="AA51" s="5">
        <f t="shared" si="20"/>
        <v>1</v>
      </c>
      <c r="AB51" s="11">
        <v>0</v>
      </c>
      <c r="AC51" s="5">
        <f t="shared" si="21"/>
        <v>0</v>
      </c>
      <c r="AD51" s="11">
        <v>148</v>
      </c>
      <c r="AE51" s="11">
        <v>64</v>
      </c>
      <c r="AF51" s="11">
        <v>100</v>
      </c>
      <c r="AG51" s="6">
        <f t="shared" si="22"/>
        <v>3</v>
      </c>
      <c r="AH51" s="5">
        <f t="shared" si="23"/>
        <v>3</v>
      </c>
      <c r="AI51" s="5">
        <v>11</v>
      </c>
      <c r="AJ51" s="5">
        <f t="shared" si="6"/>
        <v>1</v>
      </c>
      <c r="AK51" s="5">
        <f t="shared" si="7"/>
        <v>7.5</v>
      </c>
      <c r="AL51" s="4">
        <f t="shared" si="8"/>
        <v>1</v>
      </c>
      <c r="AM51" s="8" t="str">
        <f t="shared" si="9"/>
        <v>Mahamaya Lifesciences</v>
      </c>
      <c r="AN51" s="7"/>
      <c r="AO51" s="61">
        <f t="shared" si="10"/>
        <v>0</v>
      </c>
      <c r="AP51" s="7">
        <f t="shared" si="11"/>
        <v>0</v>
      </c>
      <c r="AQ51" s="5">
        <v>1</v>
      </c>
      <c r="AR51" s="7">
        <f t="shared" si="12"/>
        <v>5</v>
      </c>
      <c r="AS51" s="4">
        <v>114</v>
      </c>
      <c r="AT51" s="5">
        <v>105</v>
      </c>
      <c r="AU51" s="5">
        <v>154</v>
      </c>
      <c r="AV51" s="5">
        <f t="shared" si="14"/>
        <v>129.5</v>
      </c>
      <c r="AW51" s="4">
        <v>116</v>
      </c>
      <c r="AX51" s="4">
        <f t="shared" si="15"/>
        <v>0</v>
      </c>
      <c r="AY51" s="4">
        <f t="shared" si="16"/>
        <v>35.087719298245617</v>
      </c>
      <c r="AZ51" s="4">
        <f t="shared" si="24"/>
        <v>2.5</v>
      </c>
      <c r="BA51" s="7"/>
      <c r="BB51" s="5">
        <v>116</v>
      </c>
      <c r="BC51" s="5">
        <v>121</v>
      </c>
      <c r="BD51" s="5"/>
      <c r="BE51" s="5"/>
      <c r="BF51" s="5"/>
      <c r="BG51" s="5" t="e">
        <f>#DIV/0!</f>
        <v>#DIV/0!</v>
      </c>
      <c r="BH51" s="5" t="e">
        <f>#DIV/0!</f>
        <v>#DIV/0!</v>
      </c>
    </row>
    <row r="52" spans="2:60" ht="12" customHeight="1">
      <c r="B52" s="18" t="s">
        <v>112</v>
      </c>
      <c r="C52" s="11">
        <v>2025</v>
      </c>
      <c r="D52" s="11">
        <v>1</v>
      </c>
      <c r="E52" s="11">
        <v>0</v>
      </c>
      <c r="F52" s="11">
        <v>20.65</v>
      </c>
      <c r="G52" s="5">
        <f t="shared" si="18"/>
        <v>100</v>
      </c>
      <c r="H52" s="11" t="s">
        <v>79</v>
      </c>
      <c r="I52" s="11">
        <v>13.93</v>
      </c>
      <c r="J52" s="11"/>
      <c r="K52" s="11">
        <v>13.91</v>
      </c>
      <c r="L52" s="11"/>
      <c r="M52" s="11" t="s">
        <v>79</v>
      </c>
      <c r="N52" s="11"/>
      <c r="O52" s="11">
        <v>108.39</v>
      </c>
      <c r="P52" s="5">
        <f t="shared" si="19"/>
        <v>7.7810480976310128</v>
      </c>
      <c r="Q52" s="11">
        <v>14.6</v>
      </c>
      <c r="R52" s="19"/>
      <c r="S52" s="6">
        <v>0</v>
      </c>
      <c r="T52" s="20"/>
      <c r="U52" s="20"/>
      <c r="V52" s="20">
        <v>1</v>
      </c>
      <c r="W52" s="11"/>
      <c r="X52" s="11">
        <v>140</v>
      </c>
      <c r="Y52" s="11">
        <v>37</v>
      </c>
      <c r="Z52" s="11">
        <v>110</v>
      </c>
      <c r="AA52" s="5">
        <f t="shared" si="20"/>
        <v>-0.7</v>
      </c>
      <c r="AB52" s="11">
        <v>43</v>
      </c>
      <c r="AC52" s="5">
        <f t="shared" si="21"/>
        <v>1.7</v>
      </c>
      <c r="AD52" s="11">
        <v>160</v>
      </c>
      <c r="AE52" s="11">
        <v>102</v>
      </c>
      <c r="AF52" s="11">
        <v>126</v>
      </c>
      <c r="AG52" s="6">
        <f t="shared" si="22"/>
        <v>7.1</v>
      </c>
      <c r="AH52" s="5">
        <f t="shared" si="23"/>
        <v>10.1</v>
      </c>
      <c r="AI52" s="5">
        <v>11</v>
      </c>
      <c r="AJ52" s="5">
        <f t="shared" si="6"/>
        <v>1</v>
      </c>
      <c r="AK52" s="5">
        <f t="shared" si="7"/>
        <v>20.75</v>
      </c>
      <c r="AL52" s="4">
        <f t="shared" si="8"/>
        <v>1</v>
      </c>
      <c r="AM52" s="8" t="str">
        <f t="shared" si="9"/>
        <v>Workmates Core2Cloud</v>
      </c>
      <c r="AN52" s="7"/>
      <c r="AO52" s="61">
        <f t="shared" si="10"/>
        <v>1</v>
      </c>
      <c r="AP52" s="7">
        <f t="shared" si="11"/>
        <v>1</v>
      </c>
      <c r="AQ52" s="5">
        <v>1</v>
      </c>
      <c r="AR52" s="7">
        <f t="shared" si="12"/>
        <v>1</v>
      </c>
      <c r="AS52" s="4">
        <v>204</v>
      </c>
      <c r="AT52" s="5">
        <v>201</v>
      </c>
      <c r="AU52" s="5">
        <v>335</v>
      </c>
      <c r="AV52" s="5">
        <f t="shared" si="14"/>
        <v>268</v>
      </c>
      <c r="AW52" s="4">
        <v>387</v>
      </c>
      <c r="AX52" s="4">
        <f t="shared" si="15"/>
        <v>1</v>
      </c>
      <c r="AY52" s="4">
        <f t="shared" si="16"/>
        <v>64.215686274509807</v>
      </c>
      <c r="AZ52" s="4">
        <f t="shared" si="24"/>
        <v>2.5</v>
      </c>
      <c r="BA52" s="7"/>
      <c r="BB52" s="5"/>
      <c r="BC52" s="5"/>
      <c r="BD52" s="5"/>
      <c r="BE52" s="5"/>
      <c r="BF52" s="5"/>
      <c r="BG52" s="5" t="e">
        <f>#DIV/0!</f>
        <v>#DIV/0!</v>
      </c>
      <c r="BH52" s="5" t="e">
        <f>#DIV/0!</f>
        <v>#DIV/0!</v>
      </c>
    </row>
    <row r="53" spans="2:60" ht="24" customHeight="1">
      <c r="B53" s="4" t="s">
        <v>113</v>
      </c>
      <c r="C53" s="4">
        <v>2025</v>
      </c>
      <c r="D53" s="11">
        <v>1</v>
      </c>
      <c r="E53" s="4">
        <v>20.38</v>
      </c>
      <c r="F53" s="4">
        <v>17.079999999999998</v>
      </c>
      <c r="G53" s="5">
        <f t="shared" si="18"/>
        <v>-19.320843091334901</v>
      </c>
      <c r="H53" s="4">
        <v>48.77</v>
      </c>
      <c r="I53" s="4">
        <v>6.07</v>
      </c>
      <c r="J53" s="4"/>
      <c r="K53" s="4">
        <v>8.67</v>
      </c>
      <c r="L53" s="4"/>
      <c r="M53" s="4">
        <v>12.47</v>
      </c>
      <c r="N53" s="4"/>
      <c r="O53" s="4">
        <v>53.52</v>
      </c>
      <c r="P53" s="5">
        <f t="shared" si="19"/>
        <v>8.8171334431630974</v>
      </c>
      <c r="Q53" s="4">
        <v>17.309999999999999</v>
      </c>
      <c r="R53" s="5"/>
      <c r="S53" s="6">
        <v>0</v>
      </c>
      <c r="T53" s="7"/>
      <c r="U53" s="7"/>
      <c r="V53" s="7">
        <v>1</v>
      </c>
      <c r="W53" s="4"/>
      <c r="X53" s="4">
        <v>228</v>
      </c>
      <c r="Y53" s="4">
        <v>584</v>
      </c>
      <c r="Z53" s="4">
        <v>305</v>
      </c>
      <c r="AA53" s="5">
        <f t="shared" si="20"/>
        <v>1</v>
      </c>
      <c r="AB53" s="4">
        <v>47</v>
      </c>
      <c r="AC53" s="5">
        <f t="shared" si="21"/>
        <v>1.7</v>
      </c>
      <c r="AD53" s="4">
        <v>90</v>
      </c>
      <c r="AE53" s="4">
        <v>92</v>
      </c>
      <c r="AF53" s="4">
        <v>55</v>
      </c>
      <c r="AG53" s="6">
        <f t="shared" si="22"/>
        <v>5</v>
      </c>
      <c r="AH53" s="5">
        <f t="shared" si="23"/>
        <v>9.6999999999999993</v>
      </c>
      <c r="AI53" s="5">
        <v>11</v>
      </c>
      <c r="AJ53" s="5">
        <f t="shared" si="6"/>
        <v>1</v>
      </c>
      <c r="AK53" s="5">
        <f t="shared" si="7"/>
        <v>17.2</v>
      </c>
      <c r="AL53" s="4">
        <f t="shared" si="8"/>
        <v>1</v>
      </c>
      <c r="AM53" s="8" t="str">
        <f t="shared" si="9"/>
        <v>Gallard Steel</v>
      </c>
      <c r="AN53" s="7">
        <v>24</v>
      </c>
      <c r="AO53" s="61">
        <f t="shared" si="10"/>
        <v>0</v>
      </c>
      <c r="AP53" s="7">
        <f t="shared" si="11"/>
        <v>0</v>
      </c>
      <c r="AQ53" s="5">
        <v>1</v>
      </c>
      <c r="AR53" s="7">
        <f t="shared" si="12"/>
        <v>5</v>
      </c>
      <c r="AS53" s="4">
        <v>150</v>
      </c>
      <c r="AT53" s="5">
        <v>180</v>
      </c>
      <c r="AU53" s="5">
        <v>216</v>
      </c>
      <c r="AV53" s="5">
        <f t="shared" si="14"/>
        <v>198</v>
      </c>
      <c r="AW53" s="4">
        <v>223</v>
      </c>
      <c r="AX53" s="4">
        <f t="shared" si="15"/>
        <v>1</v>
      </c>
      <c r="AY53" s="4">
        <f t="shared" si="16"/>
        <v>44</v>
      </c>
      <c r="AZ53" s="4">
        <f t="shared" si="24"/>
        <v>2.5</v>
      </c>
      <c r="BA53" s="7"/>
      <c r="BB53" s="5"/>
      <c r="BC53" s="5"/>
      <c r="BD53" s="5"/>
      <c r="BE53" s="5"/>
      <c r="BF53" s="5"/>
      <c r="BG53" s="5" t="e">
        <f>#DIV/0!</f>
        <v>#DIV/0!</v>
      </c>
      <c r="BH53" s="5" t="e">
        <f>#DIV/0!</f>
        <v>#DIV/0!</v>
      </c>
    </row>
    <row r="54" spans="2:60" ht="12.75" customHeight="1">
      <c r="B54" s="4" t="s">
        <v>114</v>
      </c>
      <c r="C54" s="4">
        <v>2025</v>
      </c>
      <c r="D54" s="4">
        <v>0</v>
      </c>
      <c r="E54" s="4">
        <v>6.07</v>
      </c>
      <c r="F54" s="4">
        <v>6.92</v>
      </c>
      <c r="G54" s="5">
        <f t="shared" si="18"/>
        <v>12.283236994219649</v>
      </c>
      <c r="H54" s="11">
        <v>18.16</v>
      </c>
      <c r="I54" s="11">
        <v>5.38</v>
      </c>
      <c r="J54" s="11"/>
      <c r="K54" s="11">
        <v>9.74</v>
      </c>
      <c r="L54" s="11"/>
      <c r="M54" s="11">
        <v>8.4700000000000006</v>
      </c>
      <c r="N54" s="11"/>
      <c r="O54" s="11">
        <v>99.18</v>
      </c>
      <c r="P54" s="5">
        <f t="shared" si="19"/>
        <v>18.434944237918216</v>
      </c>
      <c r="Q54" s="11">
        <v>12.32</v>
      </c>
      <c r="R54" s="19"/>
      <c r="S54" s="6">
        <v>0</v>
      </c>
      <c r="T54" s="7"/>
      <c r="U54" s="7"/>
      <c r="V54" s="7">
        <v>0</v>
      </c>
      <c r="W54" s="4"/>
      <c r="X54" s="4">
        <v>2</v>
      </c>
      <c r="Y54" s="4">
        <v>2</v>
      </c>
      <c r="Z54" s="4">
        <v>2</v>
      </c>
      <c r="AA54" s="5">
        <f t="shared" si="20"/>
        <v>1</v>
      </c>
      <c r="AB54" s="11">
        <v>0</v>
      </c>
      <c r="AC54" s="5">
        <f t="shared" si="21"/>
        <v>0</v>
      </c>
      <c r="AD54" s="11">
        <v>389</v>
      </c>
      <c r="AE54" s="11">
        <v>35</v>
      </c>
      <c r="AF54" s="11">
        <v>420</v>
      </c>
      <c r="AG54" s="6">
        <f t="shared" si="22"/>
        <v>2.7</v>
      </c>
      <c r="AH54" s="5">
        <f t="shared" si="23"/>
        <v>5.7</v>
      </c>
      <c r="AI54" s="5">
        <v>11</v>
      </c>
      <c r="AJ54" s="5">
        <f t="shared" si="6"/>
        <v>1</v>
      </c>
      <c r="AK54" s="5">
        <f t="shared" si="7"/>
        <v>9.75</v>
      </c>
      <c r="AL54" s="4">
        <f t="shared" si="8"/>
        <v>0</v>
      </c>
      <c r="AM54" s="8" t="str">
        <f t="shared" si="9"/>
        <v>SSMD Agrotech India</v>
      </c>
      <c r="AN54" s="7">
        <v>27</v>
      </c>
      <c r="AO54" s="61">
        <f t="shared" si="10"/>
        <v>0</v>
      </c>
      <c r="AP54" s="7">
        <f t="shared" si="11"/>
        <v>0</v>
      </c>
      <c r="AQ54" s="5">
        <v>1</v>
      </c>
      <c r="AR54" s="7">
        <f t="shared" si="12"/>
        <v>5</v>
      </c>
      <c r="AS54" s="4">
        <v>121</v>
      </c>
      <c r="AT54" s="5">
        <v>132</v>
      </c>
      <c r="AU54" s="5">
        <v>194</v>
      </c>
      <c r="AV54" s="5">
        <f t="shared" si="14"/>
        <v>163</v>
      </c>
      <c r="AW54" s="4">
        <v>73</v>
      </c>
      <c r="AX54" s="4">
        <f t="shared" si="15"/>
        <v>0</v>
      </c>
      <c r="AY54" s="4">
        <f t="shared" si="16"/>
        <v>60.330578512396691</v>
      </c>
      <c r="AZ54" s="4">
        <f t="shared" si="24"/>
        <v>2.5</v>
      </c>
      <c r="BA54" s="7"/>
      <c r="BB54" s="5"/>
      <c r="BC54" s="5"/>
      <c r="BD54" s="5"/>
      <c r="BE54" s="5"/>
      <c r="BF54" s="5"/>
      <c r="BG54" s="5"/>
      <c r="BH54" s="5"/>
    </row>
    <row r="55" spans="2:60" ht="12.75" customHeight="1">
      <c r="B55" s="11" t="s">
        <v>115</v>
      </c>
      <c r="C55" s="11">
        <v>2025</v>
      </c>
      <c r="D55" s="11">
        <v>1</v>
      </c>
      <c r="E55" s="11">
        <v>59.61</v>
      </c>
      <c r="F55" s="11">
        <v>24.89</v>
      </c>
      <c r="G55" s="5">
        <f t="shared" si="18"/>
        <v>-139.49377259943753</v>
      </c>
      <c r="H55" s="11">
        <v>70.86</v>
      </c>
      <c r="I55" s="11">
        <v>6.47</v>
      </c>
      <c r="J55" s="11"/>
      <c r="K55" s="11">
        <v>6.58</v>
      </c>
      <c r="L55" s="11"/>
      <c r="M55" s="11">
        <v>10.220000000000001</v>
      </c>
      <c r="N55" s="11"/>
      <c r="O55" s="11">
        <v>90.48</v>
      </c>
      <c r="P55" s="5">
        <f t="shared" si="19"/>
        <v>13.984544049459043</v>
      </c>
      <c r="Q55" s="11">
        <v>17.77</v>
      </c>
      <c r="R55" s="19"/>
      <c r="S55" s="6">
        <v>1</v>
      </c>
      <c r="T55" s="7"/>
      <c r="U55" s="7"/>
      <c r="V55" s="7">
        <v>1</v>
      </c>
      <c r="W55" s="4"/>
      <c r="X55" s="4">
        <v>1.3</v>
      </c>
      <c r="Y55" s="4">
        <v>2.9</v>
      </c>
      <c r="Z55" s="4">
        <v>1.9</v>
      </c>
      <c r="AA55" s="5">
        <f t="shared" si="20"/>
        <v>1</v>
      </c>
      <c r="AB55" s="11">
        <v>0</v>
      </c>
      <c r="AC55" s="5">
        <f t="shared" si="21"/>
        <v>0</v>
      </c>
      <c r="AD55" s="11">
        <v>35</v>
      </c>
      <c r="AE55" s="11">
        <v>12</v>
      </c>
      <c r="AF55" s="11">
        <v>138</v>
      </c>
      <c r="AG55" s="6">
        <f t="shared" si="22"/>
        <v>6</v>
      </c>
      <c r="AH55" s="5">
        <f t="shared" si="23"/>
        <v>8</v>
      </c>
      <c r="AI55" s="5">
        <v>11</v>
      </c>
      <c r="AJ55" s="5">
        <f t="shared" si="6"/>
        <v>1</v>
      </c>
      <c r="AK55" s="5">
        <f t="shared" si="7"/>
        <v>17</v>
      </c>
      <c r="AL55" s="4">
        <f t="shared" si="8"/>
        <v>1</v>
      </c>
      <c r="AM55" s="8" t="str">
        <f t="shared" si="9"/>
        <v>Mother Nutri Foods</v>
      </c>
      <c r="AN55" s="7">
        <v>28</v>
      </c>
      <c r="AO55" s="61">
        <f t="shared" si="10"/>
        <v>0</v>
      </c>
      <c r="AP55" s="7">
        <f t="shared" si="11"/>
        <v>3</v>
      </c>
      <c r="AQ55" s="5">
        <v>1</v>
      </c>
      <c r="AR55" s="7">
        <f t="shared" si="12"/>
        <v>5</v>
      </c>
      <c r="AS55" s="4">
        <v>117</v>
      </c>
      <c r="AT55" s="5">
        <v>127</v>
      </c>
      <c r="AU55" s="5">
        <v>152</v>
      </c>
      <c r="AV55" s="5">
        <f t="shared" si="14"/>
        <v>139.5</v>
      </c>
      <c r="AW55" s="4">
        <v>118.5</v>
      </c>
      <c r="AX55" s="4">
        <f t="shared" si="15"/>
        <v>0</v>
      </c>
      <c r="AY55" s="4">
        <f t="shared" si="16"/>
        <v>29.914529914529915</v>
      </c>
      <c r="AZ55" s="4">
        <f t="shared" si="24"/>
        <v>2.5</v>
      </c>
      <c r="BA55" s="7"/>
      <c r="BB55" s="5"/>
      <c r="BC55" s="5"/>
      <c r="BD55" s="5"/>
      <c r="BE55" s="5"/>
      <c r="BF55" s="5"/>
      <c r="BG55" s="5"/>
      <c r="BH55" s="5"/>
    </row>
    <row r="56" spans="2:60" ht="12.75" customHeight="1">
      <c r="B56" s="11" t="s">
        <v>116</v>
      </c>
      <c r="C56" s="11">
        <v>2025</v>
      </c>
      <c r="D56" s="4">
        <v>0</v>
      </c>
      <c r="E56" s="11">
        <v>59.31</v>
      </c>
      <c r="F56" s="11">
        <v>39.72</v>
      </c>
      <c r="G56" s="5">
        <f t="shared" si="18"/>
        <v>-49.320241691842917</v>
      </c>
      <c r="H56" s="11">
        <v>143.25</v>
      </c>
      <c r="I56" s="11">
        <v>4.68</v>
      </c>
      <c r="J56" s="11"/>
      <c r="K56" s="11">
        <v>3.13</v>
      </c>
      <c r="L56" s="11"/>
      <c r="M56" s="11">
        <v>13.99</v>
      </c>
      <c r="N56" s="11"/>
      <c r="O56" s="11">
        <v>220.78</v>
      </c>
      <c r="P56" s="5">
        <f t="shared" si="19"/>
        <v>47.175213675213676</v>
      </c>
      <c r="Q56" s="11">
        <v>15.87</v>
      </c>
      <c r="R56" s="19"/>
      <c r="S56" s="6">
        <v>0</v>
      </c>
      <c r="T56" s="7"/>
      <c r="U56" s="7"/>
      <c r="V56" s="7">
        <v>0</v>
      </c>
      <c r="W56" s="4"/>
      <c r="X56" s="4">
        <v>1.33</v>
      </c>
      <c r="Y56" s="4">
        <v>0.77</v>
      </c>
      <c r="Z56" s="4">
        <v>5.55</v>
      </c>
      <c r="AA56" s="5">
        <f t="shared" si="20"/>
        <v>-0.7</v>
      </c>
      <c r="AB56" s="11">
        <v>0</v>
      </c>
      <c r="AC56" s="5">
        <f t="shared" si="21"/>
        <v>0</v>
      </c>
      <c r="AD56" s="11">
        <v>107</v>
      </c>
      <c r="AE56" s="11">
        <v>15.88</v>
      </c>
      <c r="AF56" s="11">
        <v>13.35</v>
      </c>
      <c r="AG56" s="6">
        <f t="shared" si="22"/>
        <v>2</v>
      </c>
      <c r="AH56" s="5">
        <f t="shared" si="23"/>
        <v>1.3</v>
      </c>
      <c r="AI56" s="5">
        <v>11</v>
      </c>
      <c r="AJ56" s="5">
        <f t="shared" si="6"/>
        <v>1</v>
      </c>
      <c r="AK56" s="5">
        <f t="shared" si="7"/>
        <v>4.3</v>
      </c>
      <c r="AL56" s="4">
        <f t="shared" si="8"/>
        <v>0</v>
      </c>
      <c r="AM56" s="8" t="str">
        <f t="shared" si="9"/>
        <v>K K Silk Mills</v>
      </c>
      <c r="AN56" s="7">
        <v>28</v>
      </c>
      <c r="AO56" s="61">
        <f t="shared" si="10"/>
        <v>0</v>
      </c>
      <c r="AP56" s="7">
        <f t="shared" si="11"/>
        <v>0</v>
      </c>
      <c r="AQ56" s="5">
        <v>1</v>
      </c>
      <c r="AR56" s="7">
        <f t="shared" si="12"/>
        <v>5</v>
      </c>
      <c r="AS56" s="4">
        <v>38</v>
      </c>
      <c r="AT56" s="5">
        <v>21</v>
      </c>
      <c r="AU56" s="5">
        <v>27</v>
      </c>
      <c r="AV56" s="5">
        <f t="shared" si="14"/>
        <v>24</v>
      </c>
      <c r="AW56" s="4">
        <v>32</v>
      </c>
      <c r="AX56" s="4">
        <f t="shared" si="15"/>
        <v>1</v>
      </c>
      <c r="AY56" s="4">
        <f t="shared" si="16"/>
        <v>-28.94736842105263</v>
      </c>
      <c r="AZ56" s="4">
        <f t="shared" si="24"/>
        <v>-2</v>
      </c>
      <c r="BA56" s="7"/>
      <c r="BB56" s="5">
        <v>30</v>
      </c>
      <c r="BC56" s="5"/>
      <c r="BD56" s="5"/>
      <c r="BE56" s="5"/>
      <c r="BF56" s="5"/>
      <c r="BG56" s="5"/>
      <c r="BH56" s="5"/>
    </row>
    <row r="57" spans="2:60" ht="12.75" customHeight="1">
      <c r="B57" s="11" t="s">
        <v>117</v>
      </c>
      <c r="C57" s="11">
        <v>2025</v>
      </c>
      <c r="D57" s="11">
        <v>1</v>
      </c>
      <c r="E57" s="11">
        <v>14.66</v>
      </c>
      <c r="F57" s="11">
        <v>14.75</v>
      </c>
      <c r="G57" s="5">
        <f t="shared" si="18"/>
        <v>0.61016949152542277</v>
      </c>
      <c r="H57" s="11">
        <v>75.8</v>
      </c>
      <c r="I57" s="11">
        <v>6.57</v>
      </c>
      <c r="J57" s="11"/>
      <c r="K57" s="11">
        <v>9.73</v>
      </c>
      <c r="L57" s="11"/>
      <c r="M57" s="11">
        <v>10.130000000000001</v>
      </c>
      <c r="N57" s="11"/>
      <c r="O57" s="11">
        <v>89.42</v>
      </c>
      <c r="P57" s="5">
        <f t="shared" si="19"/>
        <v>13.610350076103501</v>
      </c>
      <c r="Q57" s="11">
        <v>9.33</v>
      </c>
      <c r="R57" s="19"/>
      <c r="S57" s="6">
        <v>0</v>
      </c>
      <c r="T57" s="7"/>
      <c r="U57" s="7"/>
      <c r="V57" s="7">
        <v>1</v>
      </c>
      <c r="W57" s="4"/>
      <c r="X57" s="4">
        <v>10</v>
      </c>
      <c r="Y57" s="4">
        <v>6</v>
      </c>
      <c r="Z57" s="4">
        <v>3.8</v>
      </c>
      <c r="AA57" s="5">
        <f t="shared" si="20"/>
        <v>1</v>
      </c>
      <c r="AB57" s="11">
        <v>0</v>
      </c>
      <c r="AC57" s="5">
        <f t="shared" si="21"/>
        <v>0</v>
      </c>
      <c r="AD57" s="11">
        <v>725</v>
      </c>
      <c r="AE57" s="11">
        <v>28</v>
      </c>
      <c r="AF57" s="11">
        <v>80</v>
      </c>
      <c r="AG57" s="6">
        <f t="shared" si="22"/>
        <v>5</v>
      </c>
      <c r="AH57" s="5">
        <f t="shared" si="23"/>
        <v>8</v>
      </c>
      <c r="AI57" s="5">
        <v>11</v>
      </c>
      <c r="AJ57" s="5">
        <f t="shared" si="6"/>
        <v>1</v>
      </c>
      <c r="AK57" s="5">
        <f t="shared" si="7"/>
        <v>15.5</v>
      </c>
      <c r="AL57" s="4">
        <f t="shared" si="8"/>
        <v>1</v>
      </c>
      <c r="AM57" s="8" t="str">
        <f t="shared" si="9"/>
        <v>Purple Wave Infocom</v>
      </c>
      <c r="AN57" s="21">
        <v>2</v>
      </c>
      <c r="AO57" s="61">
        <f t="shared" si="10"/>
        <v>0</v>
      </c>
      <c r="AP57" s="7">
        <f t="shared" si="11"/>
        <v>3</v>
      </c>
      <c r="AQ57" s="5">
        <v>1</v>
      </c>
      <c r="AR57" s="7">
        <f t="shared" si="12"/>
        <v>5</v>
      </c>
      <c r="AS57" s="22">
        <v>126</v>
      </c>
      <c r="AT57" s="5">
        <v>123</v>
      </c>
      <c r="AU57" s="5">
        <v>263</v>
      </c>
      <c r="AV57" s="5">
        <f t="shared" si="14"/>
        <v>193</v>
      </c>
      <c r="AW57" s="22">
        <v>132</v>
      </c>
      <c r="AX57" s="4">
        <f t="shared" si="15"/>
        <v>0</v>
      </c>
      <c r="AY57" s="4">
        <f t="shared" si="16"/>
        <v>108.73015873015873</v>
      </c>
      <c r="AZ57" s="4">
        <f t="shared" si="24"/>
        <v>2.5</v>
      </c>
      <c r="BA57" s="21"/>
      <c r="BB57" s="23"/>
      <c r="BC57" s="23"/>
      <c r="BD57" s="23"/>
      <c r="BE57" s="23"/>
      <c r="BF57" s="5"/>
      <c r="BG57" s="5"/>
      <c r="BH57" s="5"/>
    </row>
    <row r="58" spans="2:60" ht="12" customHeight="1">
      <c r="B58" s="11" t="s">
        <v>118</v>
      </c>
      <c r="C58" s="11">
        <v>2025</v>
      </c>
      <c r="D58" s="11">
        <v>1</v>
      </c>
      <c r="E58" s="11">
        <v>31.63</v>
      </c>
      <c r="F58" s="11">
        <v>42.29</v>
      </c>
      <c r="G58" s="5">
        <f t="shared" si="18"/>
        <v>25.206904705604163</v>
      </c>
      <c r="H58" s="11">
        <v>95.16</v>
      </c>
      <c r="I58" s="11">
        <v>9.75</v>
      </c>
      <c r="J58" s="11"/>
      <c r="K58" s="11" t="s">
        <v>79</v>
      </c>
      <c r="L58" s="11"/>
      <c r="M58" s="11">
        <v>15.95</v>
      </c>
      <c r="N58" s="11"/>
      <c r="O58" s="11">
        <v>126.16</v>
      </c>
      <c r="P58" s="5">
        <f t="shared" si="19"/>
        <v>12.939487179487179</v>
      </c>
      <c r="Q58" s="11">
        <v>11.19</v>
      </c>
      <c r="R58" s="19"/>
      <c r="S58" s="6">
        <v>0</v>
      </c>
      <c r="T58" s="7"/>
      <c r="U58" s="7"/>
      <c r="V58" s="7">
        <v>1</v>
      </c>
      <c r="W58" s="4"/>
      <c r="X58" s="4">
        <v>300</v>
      </c>
      <c r="Y58" s="4">
        <v>1400</v>
      </c>
      <c r="Z58" s="4">
        <v>1000</v>
      </c>
      <c r="AA58" s="5">
        <f t="shared" si="20"/>
        <v>1</v>
      </c>
      <c r="AB58" s="11">
        <v>107</v>
      </c>
      <c r="AC58" s="5">
        <f t="shared" si="21"/>
        <v>1.7</v>
      </c>
      <c r="AD58" s="11">
        <v>83.6</v>
      </c>
      <c r="AE58" s="11">
        <v>9.8000000000000007</v>
      </c>
      <c r="AF58" s="11">
        <v>56.7</v>
      </c>
      <c r="AG58" s="6">
        <f t="shared" si="22"/>
        <v>4.7</v>
      </c>
      <c r="AH58" s="5">
        <f t="shared" si="23"/>
        <v>9.4</v>
      </c>
      <c r="AI58" s="5">
        <v>11</v>
      </c>
      <c r="AJ58" s="5">
        <f t="shared" si="6"/>
        <v>1</v>
      </c>
      <c r="AK58" s="5">
        <f t="shared" si="7"/>
        <v>16.450000000000003</v>
      </c>
      <c r="AL58" s="4">
        <f t="shared" si="8"/>
        <v>1</v>
      </c>
      <c r="AM58" s="8" t="str">
        <f t="shared" si="9"/>
        <v>Eato Technologies</v>
      </c>
      <c r="AN58" s="7">
        <v>2</v>
      </c>
      <c r="AO58" s="61">
        <f t="shared" si="10"/>
        <v>0</v>
      </c>
      <c r="AP58" s="7">
        <f t="shared" si="11"/>
        <v>0</v>
      </c>
      <c r="AQ58" s="5">
        <v>1</v>
      </c>
      <c r="AR58" s="7">
        <f t="shared" si="12"/>
        <v>5</v>
      </c>
      <c r="AS58" s="4">
        <v>140</v>
      </c>
      <c r="AT58" s="5">
        <v>216</v>
      </c>
      <c r="AU58" s="5">
        <v>288</v>
      </c>
      <c r="AV58" s="5">
        <f t="shared" si="14"/>
        <v>252</v>
      </c>
      <c r="AW58" s="4">
        <v>266</v>
      </c>
      <c r="AX58" s="4">
        <f t="shared" si="15"/>
        <v>1</v>
      </c>
      <c r="AY58" s="4">
        <f t="shared" si="16"/>
        <v>105.71428571428571</v>
      </c>
      <c r="AZ58" s="4">
        <f t="shared" si="24"/>
        <v>2.5</v>
      </c>
      <c r="BA58" s="7"/>
      <c r="BB58" s="5"/>
      <c r="BC58" s="5"/>
      <c r="BD58" s="5"/>
      <c r="BE58" s="5"/>
      <c r="BF58" s="5"/>
      <c r="BG58" s="5"/>
      <c r="BH58" s="5"/>
    </row>
    <row r="59" spans="2:60" ht="12.75" customHeight="1">
      <c r="B59" s="11" t="s">
        <v>119</v>
      </c>
      <c r="C59" s="11">
        <v>2025</v>
      </c>
      <c r="D59" s="4">
        <v>0</v>
      </c>
      <c r="E59" s="11">
        <v>0.02</v>
      </c>
      <c r="F59" s="11">
        <v>23.72</v>
      </c>
      <c r="G59" s="5">
        <f t="shared" si="18"/>
        <v>99.915682967959526</v>
      </c>
      <c r="H59" s="11">
        <v>30.49</v>
      </c>
      <c r="I59" s="11">
        <v>5.47</v>
      </c>
      <c r="J59" s="11"/>
      <c r="K59" s="11">
        <v>9.48</v>
      </c>
      <c r="L59" s="11"/>
      <c r="M59" s="11">
        <v>8.14</v>
      </c>
      <c r="N59" s="11"/>
      <c r="O59" s="11">
        <v>21.2</v>
      </c>
      <c r="P59" s="5">
        <f t="shared" si="19"/>
        <v>3.8756855575868374</v>
      </c>
      <c r="Q59" s="11">
        <v>20.350000000000001</v>
      </c>
      <c r="R59" s="19"/>
      <c r="S59" s="6">
        <v>0</v>
      </c>
      <c r="T59" s="7"/>
      <c r="U59" s="7"/>
      <c r="V59" s="7">
        <v>0</v>
      </c>
      <c r="W59" s="4"/>
      <c r="X59" s="4">
        <v>1.32</v>
      </c>
      <c r="Y59" s="4">
        <v>0.7</v>
      </c>
      <c r="Z59" s="4">
        <v>3.43</v>
      </c>
      <c r="AA59" s="5">
        <f t="shared" si="20"/>
        <v>-0.7</v>
      </c>
      <c r="AB59" s="11">
        <v>0</v>
      </c>
      <c r="AC59" s="5">
        <f t="shared" si="21"/>
        <v>0</v>
      </c>
      <c r="AD59" s="11">
        <v>53.65</v>
      </c>
      <c r="AE59" s="11">
        <v>65.239999999999995</v>
      </c>
      <c r="AF59" s="11">
        <v>145.55000000000001</v>
      </c>
      <c r="AG59" s="6">
        <f t="shared" si="22"/>
        <v>5.0999999999999996</v>
      </c>
      <c r="AH59" s="5">
        <f t="shared" si="23"/>
        <v>4.3999999999999995</v>
      </c>
      <c r="AI59" s="5">
        <v>11</v>
      </c>
      <c r="AJ59" s="5">
        <f t="shared" si="6"/>
        <v>1</v>
      </c>
      <c r="AK59" s="5">
        <f t="shared" si="7"/>
        <v>12.049999999999999</v>
      </c>
      <c r="AL59" s="4">
        <f t="shared" si="8"/>
        <v>0</v>
      </c>
      <c r="AM59" s="8" t="str">
        <f t="shared" si="9"/>
        <v>Logiciel Solutions</v>
      </c>
      <c r="AN59" s="7">
        <v>2</v>
      </c>
      <c r="AO59" s="61">
        <f t="shared" si="10"/>
        <v>0</v>
      </c>
      <c r="AP59" s="7">
        <f t="shared" si="11"/>
        <v>0</v>
      </c>
      <c r="AQ59" s="5">
        <v>1</v>
      </c>
      <c r="AR59" s="7">
        <f t="shared" si="12"/>
        <v>5</v>
      </c>
      <c r="AS59" s="4">
        <v>193</v>
      </c>
      <c r="AT59" s="5">
        <v>238</v>
      </c>
      <c r="AU59" s="5">
        <v>266</v>
      </c>
      <c r="AV59" s="5">
        <f t="shared" si="14"/>
        <v>252</v>
      </c>
      <c r="AW59" s="4">
        <v>154</v>
      </c>
      <c r="AX59" s="4">
        <f t="shared" si="15"/>
        <v>0</v>
      </c>
      <c r="AY59" s="4">
        <f t="shared" si="16"/>
        <v>37.823834196891191</v>
      </c>
      <c r="AZ59" s="4">
        <f t="shared" si="24"/>
        <v>2.5</v>
      </c>
      <c r="BA59" s="7"/>
      <c r="BB59" s="5">
        <v>146</v>
      </c>
      <c r="BC59" s="5"/>
      <c r="BD59" s="5"/>
      <c r="BE59" s="5"/>
      <c r="BF59" s="5"/>
      <c r="BG59" s="5"/>
      <c r="BH59" s="5"/>
    </row>
    <row r="60" spans="2:60" ht="14.25" customHeight="1">
      <c r="B60" s="4" t="s">
        <v>120</v>
      </c>
      <c r="C60" s="4">
        <v>2025</v>
      </c>
      <c r="D60" s="11">
        <v>1</v>
      </c>
      <c r="E60" s="4">
        <v>0</v>
      </c>
      <c r="F60" s="4">
        <v>5.34</v>
      </c>
      <c r="G60" s="5">
        <f t="shared" si="18"/>
        <v>100</v>
      </c>
      <c r="H60" s="4">
        <v>12.9</v>
      </c>
      <c r="I60" s="4">
        <v>5.25</v>
      </c>
      <c r="J60" s="4"/>
      <c r="K60" s="4">
        <v>10.48</v>
      </c>
      <c r="L60" s="4"/>
      <c r="M60" s="4">
        <v>6.86</v>
      </c>
      <c r="N60" s="4"/>
      <c r="O60" s="4">
        <v>24.98</v>
      </c>
      <c r="P60" s="5">
        <f t="shared" si="19"/>
        <v>4.7580952380952386</v>
      </c>
      <c r="Q60" s="4">
        <v>12.9</v>
      </c>
      <c r="R60" s="5">
        <v>10.59</v>
      </c>
      <c r="S60" s="6">
        <v>-0.5</v>
      </c>
      <c r="T60" s="7"/>
      <c r="U60" s="7"/>
      <c r="V60" s="7">
        <v>1</v>
      </c>
      <c r="W60" s="4"/>
      <c r="X60" s="4">
        <v>6.8</v>
      </c>
      <c r="Y60" s="4">
        <v>115</v>
      </c>
      <c r="Z60" s="4">
        <v>78</v>
      </c>
      <c r="AA60" s="5">
        <f t="shared" si="20"/>
        <v>0</v>
      </c>
      <c r="AB60" s="11">
        <v>61</v>
      </c>
      <c r="AC60" s="5">
        <f t="shared" si="21"/>
        <v>1.7</v>
      </c>
      <c r="AD60" s="4">
        <v>4.45</v>
      </c>
      <c r="AE60" s="4">
        <v>13.09</v>
      </c>
      <c r="AF60" s="4">
        <v>4.91</v>
      </c>
      <c r="AG60" s="6">
        <f t="shared" si="22"/>
        <v>6.1</v>
      </c>
      <c r="AH60" s="5">
        <f t="shared" si="23"/>
        <v>9.7999999999999989</v>
      </c>
      <c r="AI60" s="5">
        <v>11</v>
      </c>
      <c r="AJ60" s="5">
        <f t="shared" si="6"/>
        <v>1</v>
      </c>
      <c r="AK60" s="5">
        <f t="shared" si="7"/>
        <v>18.949999999999996</v>
      </c>
      <c r="AL60" s="4">
        <f t="shared" si="8"/>
        <v>1</v>
      </c>
      <c r="AM60" s="8" t="str">
        <f t="shared" si="9"/>
        <v>Ravelcare</v>
      </c>
      <c r="AN60" s="7">
        <v>3</v>
      </c>
      <c r="AO60" s="61">
        <f t="shared" si="10"/>
        <v>1</v>
      </c>
      <c r="AP60" s="7">
        <f t="shared" si="11"/>
        <v>1</v>
      </c>
      <c r="AQ60" s="5">
        <v>1</v>
      </c>
      <c r="AR60" s="7">
        <f t="shared" si="12"/>
        <v>1</v>
      </c>
      <c r="AS60" s="4">
        <v>130</v>
      </c>
      <c r="AT60" s="5">
        <v>157</v>
      </c>
      <c r="AU60" s="5">
        <v>160</v>
      </c>
      <c r="AV60" s="5">
        <f t="shared" si="14"/>
        <v>158.5</v>
      </c>
      <c r="AW60" s="4">
        <v>201</v>
      </c>
      <c r="AX60" s="4">
        <f t="shared" si="15"/>
        <v>1</v>
      </c>
      <c r="AY60" s="4">
        <f t="shared" si="16"/>
        <v>23.076923076923077</v>
      </c>
      <c r="AZ60" s="4">
        <f t="shared" si="24"/>
        <v>2.5</v>
      </c>
      <c r="BA60" s="7"/>
      <c r="BB60" s="5">
        <v>190</v>
      </c>
      <c r="BC60" s="5"/>
      <c r="BD60" s="5"/>
      <c r="BE60" s="5"/>
      <c r="BF60" s="5"/>
      <c r="BG60" s="5"/>
      <c r="BH60" s="5"/>
    </row>
    <row r="61" spans="2:60" ht="21.75" customHeight="1">
      <c r="B61" s="4" t="s">
        <v>121</v>
      </c>
      <c r="C61" s="4">
        <v>2025</v>
      </c>
      <c r="D61" s="4">
        <v>0</v>
      </c>
      <c r="E61" s="4">
        <v>85.59</v>
      </c>
      <c r="F61" s="4">
        <v>89.7</v>
      </c>
      <c r="G61" s="5">
        <f t="shared" si="18"/>
        <v>4.5819397993311028</v>
      </c>
      <c r="H61" s="4">
        <v>164.37</v>
      </c>
      <c r="I61" s="4">
        <v>11.74</v>
      </c>
      <c r="J61" s="4"/>
      <c r="K61" s="4">
        <v>7.34</v>
      </c>
      <c r="L61" s="4"/>
      <c r="M61" s="4">
        <v>23.42</v>
      </c>
      <c r="N61" s="4"/>
      <c r="O61" s="4">
        <v>281.89999999999998</v>
      </c>
      <c r="P61" s="5">
        <f t="shared" si="19"/>
        <v>24.011925042589436</v>
      </c>
      <c r="Q61" s="4" t="s">
        <v>79</v>
      </c>
      <c r="R61" s="5">
        <v>10.75</v>
      </c>
      <c r="S61" s="6">
        <v>0</v>
      </c>
      <c r="T61" s="7"/>
      <c r="U61" s="7"/>
      <c r="V61" s="7">
        <v>1</v>
      </c>
      <c r="W61" s="4"/>
      <c r="X61" s="4">
        <v>3.5</v>
      </c>
      <c r="Y61" s="4">
        <v>2</v>
      </c>
      <c r="Z61" s="4">
        <v>0.93</v>
      </c>
      <c r="AA61" s="5">
        <f t="shared" si="20"/>
        <v>1</v>
      </c>
      <c r="AB61" s="11">
        <v>6</v>
      </c>
      <c r="AC61" s="5">
        <f t="shared" si="21"/>
        <v>1</v>
      </c>
      <c r="AD61" s="4">
        <v>68.400000000000006</v>
      </c>
      <c r="AE61" s="4">
        <v>13</v>
      </c>
      <c r="AF61" s="4">
        <v>15</v>
      </c>
      <c r="AG61" s="6">
        <f t="shared" si="22"/>
        <v>4.2</v>
      </c>
      <c r="AH61" s="5">
        <f t="shared" si="23"/>
        <v>8.1999999999999993</v>
      </c>
      <c r="AI61" s="5">
        <v>11</v>
      </c>
      <c r="AJ61" s="5">
        <f t="shared" si="6"/>
        <v>1</v>
      </c>
      <c r="AK61" s="5">
        <f t="shared" si="7"/>
        <v>14.5</v>
      </c>
      <c r="AL61" s="4">
        <f t="shared" si="8"/>
        <v>0</v>
      </c>
      <c r="AM61" s="8" t="str">
        <f t="shared" si="9"/>
        <v>Clear Secured Services</v>
      </c>
      <c r="AN61" s="7">
        <v>3</v>
      </c>
      <c r="AO61" s="61">
        <f t="shared" si="10"/>
        <v>0</v>
      </c>
      <c r="AP61" s="7">
        <f t="shared" si="11"/>
        <v>3</v>
      </c>
      <c r="AQ61" s="5">
        <v>1</v>
      </c>
      <c r="AR61" s="7">
        <f t="shared" si="12"/>
        <v>5</v>
      </c>
      <c r="AS61" s="4">
        <v>132</v>
      </c>
      <c r="AT61" s="5">
        <v>138</v>
      </c>
      <c r="AU61" s="5">
        <v>208</v>
      </c>
      <c r="AV61" s="5">
        <f t="shared" si="14"/>
        <v>173</v>
      </c>
      <c r="AW61" s="4">
        <v>119</v>
      </c>
      <c r="AX61" s="4">
        <f t="shared" si="15"/>
        <v>0</v>
      </c>
      <c r="AY61" s="4">
        <f t="shared" si="16"/>
        <v>57.575757575757578</v>
      </c>
      <c r="AZ61" s="4">
        <f t="shared" si="24"/>
        <v>2.5</v>
      </c>
      <c r="BA61" s="7"/>
      <c r="BB61" s="5"/>
      <c r="BC61" s="5"/>
      <c r="BD61" s="5"/>
      <c r="BE61" s="5"/>
      <c r="BF61" s="5"/>
      <c r="BG61" s="5"/>
      <c r="BH61" s="5"/>
    </row>
    <row r="62" spans="2:60" ht="12.75" customHeight="1">
      <c r="B62" s="4" t="s">
        <v>122</v>
      </c>
      <c r="C62" s="4">
        <v>2025</v>
      </c>
      <c r="D62" s="11">
        <v>1</v>
      </c>
      <c r="E62" s="11">
        <v>3.54</v>
      </c>
      <c r="F62" s="11">
        <v>13.6</v>
      </c>
      <c r="G62" s="5">
        <f t="shared" si="18"/>
        <v>73.970588235294116</v>
      </c>
      <c r="H62" s="11">
        <v>21.22</v>
      </c>
      <c r="I62" s="11">
        <v>4.93</v>
      </c>
      <c r="J62" s="11"/>
      <c r="K62" s="11">
        <v>5.86</v>
      </c>
      <c r="L62" s="11"/>
      <c r="M62" s="11">
        <v>9.23</v>
      </c>
      <c r="N62" s="11"/>
      <c r="O62" s="11">
        <v>30.18</v>
      </c>
      <c r="P62" s="5">
        <f t="shared" si="19"/>
        <v>6.1217038539553759</v>
      </c>
      <c r="Q62" s="4">
        <v>14.16</v>
      </c>
      <c r="R62" s="5">
        <v>11.66</v>
      </c>
      <c r="S62" s="6">
        <v>1</v>
      </c>
      <c r="T62" s="7"/>
      <c r="U62" s="7"/>
      <c r="V62" s="7">
        <v>1</v>
      </c>
      <c r="W62" s="4"/>
      <c r="X62" s="4">
        <v>1.55</v>
      </c>
      <c r="Y62" s="4">
        <v>2.88</v>
      </c>
      <c r="Z62" s="4">
        <v>1.66</v>
      </c>
      <c r="AA62" s="5">
        <f t="shared" si="20"/>
        <v>1</v>
      </c>
      <c r="AB62" s="11">
        <v>4</v>
      </c>
      <c r="AC62" s="5">
        <f t="shared" si="21"/>
        <v>0</v>
      </c>
      <c r="AD62" s="4">
        <v>29.33</v>
      </c>
      <c r="AE62" s="4">
        <v>89.69</v>
      </c>
      <c r="AF62" s="4">
        <v>57</v>
      </c>
      <c r="AG62" s="6">
        <f t="shared" si="22"/>
        <v>7.6</v>
      </c>
      <c r="AH62" s="5">
        <f t="shared" si="23"/>
        <v>10.6</v>
      </c>
      <c r="AI62" s="5">
        <v>11</v>
      </c>
      <c r="AJ62" s="5">
        <f t="shared" si="6"/>
        <v>1</v>
      </c>
      <c r="AK62" s="5">
        <f t="shared" si="7"/>
        <v>22</v>
      </c>
      <c r="AL62" s="4">
        <f t="shared" si="8"/>
        <v>1</v>
      </c>
      <c r="AM62" s="8" t="str">
        <f t="shared" si="9"/>
        <v>Invicta Diagnostic</v>
      </c>
      <c r="AN62" s="21">
        <v>3</v>
      </c>
      <c r="AO62" s="61">
        <f t="shared" si="10"/>
        <v>0</v>
      </c>
      <c r="AP62" s="7">
        <f t="shared" si="11"/>
        <v>3</v>
      </c>
      <c r="AQ62" s="5">
        <v>1</v>
      </c>
      <c r="AR62" s="7">
        <f t="shared" si="12"/>
        <v>5</v>
      </c>
      <c r="AS62" s="22">
        <v>85</v>
      </c>
      <c r="AT62" s="5">
        <v>97</v>
      </c>
      <c r="AU62" s="5">
        <v>130</v>
      </c>
      <c r="AV62" s="5">
        <f t="shared" si="14"/>
        <v>113.5</v>
      </c>
      <c r="AW62" s="22">
        <v>99</v>
      </c>
      <c r="AX62" s="4">
        <f t="shared" si="15"/>
        <v>0</v>
      </c>
      <c r="AY62" s="4">
        <f t="shared" si="16"/>
        <v>52.941176470588232</v>
      </c>
      <c r="AZ62" s="4">
        <f t="shared" si="24"/>
        <v>2.5</v>
      </c>
      <c r="BA62" s="21"/>
      <c r="BB62" s="23">
        <v>100</v>
      </c>
      <c r="BC62" s="23">
        <v>91</v>
      </c>
      <c r="BD62" s="23">
        <v>87</v>
      </c>
      <c r="BE62" s="23"/>
      <c r="BF62" s="5"/>
      <c r="BG62" s="5"/>
      <c r="BH62" s="5"/>
    </row>
    <row r="63" spans="2:60" ht="12.75" customHeight="1">
      <c r="B63" s="4" t="s">
        <v>123</v>
      </c>
      <c r="C63" s="11">
        <v>2025</v>
      </c>
      <c r="D63" s="4">
        <v>0</v>
      </c>
      <c r="E63" s="11">
        <v>6.75</v>
      </c>
      <c r="F63" s="11">
        <v>3.92</v>
      </c>
      <c r="G63" s="5">
        <f t="shared" si="18"/>
        <v>-72.193877551020407</v>
      </c>
      <c r="H63" s="11">
        <v>14.83</v>
      </c>
      <c r="I63" s="11">
        <v>1.39</v>
      </c>
      <c r="J63" s="11"/>
      <c r="K63" s="11">
        <v>5.23</v>
      </c>
      <c r="L63" s="11"/>
      <c r="M63" s="11">
        <v>2.62</v>
      </c>
      <c r="N63" s="11"/>
      <c r="O63" s="11">
        <v>19.489999999999998</v>
      </c>
      <c r="P63" s="5">
        <f t="shared" si="19"/>
        <v>14.021582733812949</v>
      </c>
      <c r="Q63" s="4">
        <v>9.94</v>
      </c>
      <c r="R63" s="5">
        <v>16.420000000000002</v>
      </c>
      <c r="S63" s="6">
        <v>0</v>
      </c>
      <c r="T63" s="7"/>
      <c r="U63" s="7"/>
      <c r="V63" s="7">
        <v>0</v>
      </c>
      <c r="W63" s="4"/>
      <c r="X63" s="4">
        <v>0.3</v>
      </c>
      <c r="Y63" s="4">
        <v>0.3</v>
      </c>
      <c r="Z63" s="4">
        <v>1.45</v>
      </c>
      <c r="AA63" s="5">
        <f t="shared" si="20"/>
        <v>-0.7</v>
      </c>
      <c r="AB63" s="11">
        <v>0</v>
      </c>
      <c r="AC63" s="5">
        <f t="shared" si="21"/>
        <v>0</v>
      </c>
      <c r="AD63" s="4">
        <v>1290</v>
      </c>
      <c r="AE63" s="4">
        <v>58</v>
      </c>
      <c r="AF63" s="4">
        <v>55</v>
      </c>
      <c r="AG63" s="6">
        <f t="shared" si="22"/>
        <v>2.5</v>
      </c>
      <c r="AH63" s="5">
        <f t="shared" si="23"/>
        <v>0.8</v>
      </c>
      <c r="AI63" s="5">
        <v>11</v>
      </c>
      <c r="AJ63" s="5">
        <f t="shared" si="6"/>
        <v>1</v>
      </c>
      <c r="AK63" s="5">
        <f t="shared" si="7"/>
        <v>4.55</v>
      </c>
      <c r="AL63" s="4">
        <f t="shared" si="8"/>
        <v>0</v>
      </c>
      <c r="AM63" s="8" t="str">
        <f t="shared" si="9"/>
        <v>Astron Multigrain</v>
      </c>
      <c r="AN63" s="7">
        <v>3</v>
      </c>
      <c r="AO63" s="61">
        <f t="shared" si="10"/>
        <v>0</v>
      </c>
      <c r="AP63" s="7">
        <f t="shared" si="11"/>
        <v>0</v>
      </c>
      <c r="AQ63" s="5">
        <v>1</v>
      </c>
      <c r="AR63" s="7">
        <f t="shared" si="12"/>
        <v>5</v>
      </c>
      <c r="AS63" s="4">
        <v>63</v>
      </c>
      <c r="AT63" s="5">
        <v>75</v>
      </c>
      <c r="AU63" s="5">
        <v>93</v>
      </c>
      <c r="AV63" s="5">
        <f t="shared" si="14"/>
        <v>84</v>
      </c>
      <c r="AW63" s="4">
        <v>50.4</v>
      </c>
      <c r="AX63" s="4">
        <f t="shared" si="15"/>
        <v>0</v>
      </c>
      <c r="AY63" s="4">
        <f t="shared" si="16"/>
        <v>47.61904761904762</v>
      </c>
      <c r="AZ63" s="4">
        <f t="shared" si="24"/>
        <v>2.5</v>
      </c>
      <c r="BA63" s="7"/>
      <c r="BB63" s="5"/>
      <c r="BC63" s="5"/>
      <c r="BD63" s="5"/>
      <c r="BE63" s="5"/>
      <c r="BF63" s="5"/>
      <c r="BG63" s="5"/>
      <c r="BH63" s="5"/>
    </row>
    <row r="64" spans="2:60" ht="12.75" customHeight="1">
      <c r="B64" s="11" t="s">
        <v>124</v>
      </c>
      <c r="C64" s="11">
        <v>2025</v>
      </c>
      <c r="D64" s="11">
        <v>1</v>
      </c>
      <c r="E64" s="11">
        <v>0</v>
      </c>
      <c r="F64" s="11">
        <v>25.36</v>
      </c>
      <c r="G64" s="5">
        <f t="shared" si="18"/>
        <v>100</v>
      </c>
      <c r="H64" s="11">
        <v>27.3</v>
      </c>
      <c r="I64" s="11">
        <v>4.8899999999999997</v>
      </c>
      <c r="J64" s="11"/>
      <c r="K64" s="11">
        <v>2.5499999999999998</v>
      </c>
      <c r="L64" s="11"/>
      <c r="M64" s="11">
        <v>6.5</v>
      </c>
      <c r="N64" s="11"/>
      <c r="O64" s="11">
        <v>42.62</v>
      </c>
      <c r="P64" s="5">
        <f t="shared" si="19"/>
        <v>8.7157464212678946</v>
      </c>
      <c r="Q64" s="4">
        <v>17.22</v>
      </c>
      <c r="R64" s="5">
        <v>15.04</v>
      </c>
      <c r="S64" s="6">
        <v>-1</v>
      </c>
      <c r="T64" s="7"/>
      <c r="U64" s="7"/>
      <c r="V64" s="7">
        <v>1</v>
      </c>
      <c r="W64" s="4"/>
      <c r="X64" s="4">
        <v>1.8</v>
      </c>
      <c r="Y64" s="4">
        <v>1.9</v>
      </c>
      <c r="Z64" s="4">
        <v>0.8</v>
      </c>
      <c r="AA64" s="5">
        <f t="shared" si="20"/>
        <v>1</v>
      </c>
      <c r="AB64" s="11">
        <v>0</v>
      </c>
      <c r="AC64" s="5">
        <f t="shared" si="21"/>
        <v>0</v>
      </c>
      <c r="AD64" s="4">
        <v>22.49</v>
      </c>
      <c r="AE64" s="4">
        <v>19.45</v>
      </c>
      <c r="AF64" s="4">
        <v>20.07</v>
      </c>
      <c r="AG64" s="6">
        <f t="shared" si="22"/>
        <v>5.6</v>
      </c>
      <c r="AH64" s="5">
        <f t="shared" si="23"/>
        <v>8.6</v>
      </c>
      <c r="AI64" s="5">
        <v>11</v>
      </c>
      <c r="AJ64" s="5">
        <f t="shared" si="6"/>
        <v>1</v>
      </c>
      <c r="AK64" s="5">
        <f t="shared" si="7"/>
        <v>17</v>
      </c>
      <c r="AL64" s="4">
        <f t="shared" si="8"/>
        <v>1</v>
      </c>
      <c r="AM64" s="8" t="str">
        <f t="shared" si="9"/>
        <v>Speb Adhesives</v>
      </c>
      <c r="AN64" s="21">
        <v>3</v>
      </c>
      <c r="AO64" s="61">
        <f t="shared" si="10"/>
        <v>0</v>
      </c>
      <c r="AP64" s="7">
        <f t="shared" si="11"/>
        <v>3</v>
      </c>
      <c r="AQ64" s="5">
        <v>1</v>
      </c>
      <c r="AR64" s="7">
        <f t="shared" si="12"/>
        <v>5</v>
      </c>
      <c r="AS64" s="22">
        <v>56</v>
      </c>
      <c r="AT64" s="5">
        <v>0</v>
      </c>
      <c r="AU64" s="5">
        <v>0</v>
      </c>
      <c r="AV64" s="5">
        <f t="shared" si="14"/>
        <v>0</v>
      </c>
      <c r="AW64" s="22">
        <v>60</v>
      </c>
      <c r="AX64" s="4">
        <f t="shared" si="15"/>
        <v>1</v>
      </c>
      <c r="AY64" s="4">
        <f t="shared" si="16"/>
        <v>-100</v>
      </c>
      <c r="AZ64" s="4">
        <f t="shared" si="24"/>
        <v>-4</v>
      </c>
      <c r="BA64" s="21">
        <v>56</v>
      </c>
      <c r="BB64" s="23">
        <v>60</v>
      </c>
      <c r="BC64" s="23">
        <v>56</v>
      </c>
      <c r="BD64" s="23">
        <v>56</v>
      </c>
      <c r="BE64" s="23">
        <v>60</v>
      </c>
      <c r="BF64" s="5"/>
      <c r="BG64" s="5"/>
      <c r="BH64" s="5"/>
    </row>
    <row r="65" spans="2:60" ht="14.25" customHeight="1">
      <c r="B65" s="11" t="s">
        <v>125</v>
      </c>
      <c r="C65" s="11">
        <v>2025</v>
      </c>
      <c r="D65" s="11">
        <v>1</v>
      </c>
      <c r="E65" s="11">
        <v>35.619999999999997</v>
      </c>
      <c r="F65" s="11">
        <v>19.75</v>
      </c>
      <c r="G65" s="5">
        <f t="shared" si="18"/>
        <v>-80.35443037974683</v>
      </c>
      <c r="H65" s="11">
        <v>78.89</v>
      </c>
      <c r="I65" s="11">
        <v>7.75</v>
      </c>
      <c r="J65" s="11"/>
      <c r="K65" s="11">
        <v>6.64</v>
      </c>
      <c r="L65" s="11"/>
      <c r="M65" s="11">
        <v>13.11</v>
      </c>
      <c r="N65" s="11"/>
      <c r="O65" s="11">
        <v>84.17</v>
      </c>
      <c r="P65" s="5">
        <f t="shared" si="19"/>
        <v>10.860645161290323</v>
      </c>
      <c r="Q65" s="4">
        <v>6.47</v>
      </c>
      <c r="R65" s="5">
        <v>27.08</v>
      </c>
      <c r="S65" s="6">
        <v>0</v>
      </c>
      <c r="T65" s="7"/>
      <c r="U65" s="7"/>
      <c r="V65" s="7">
        <v>1</v>
      </c>
      <c r="W65" s="4"/>
      <c r="X65" s="4">
        <v>16.8</v>
      </c>
      <c r="Y65" s="4">
        <v>18</v>
      </c>
      <c r="Z65" s="4">
        <v>8</v>
      </c>
      <c r="AA65" s="5">
        <f t="shared" si="20"/>
        <v>1</v>
      </c>
      <c r="AB65" s="11">
        <v>9</v>
      </c>
      <c r="AC65" s="5">
        <f t="shared" si="21"/>
        <v>1</v>
      </c>
      <c r="AD65" s="4">
        <v>50</v>
      </c>
      <c r="AE65" s="4">
        <v>17.98</v>
      </c>
      <c r="AF65" s="4">
        <v>33.33</v>
      </c>
      <c r="AG65" s="6">
        <f t="shared" si="22"/>
        <v>4.5</v>
      </c>
      <c r="AH65" s="5">
        <f t="shared" si="23"/>
        <v>8.5</v>
      </c>
      <c r="AI65" s="5">
        <v>11</v>
      </c>
      <c r="AJ65" s="5">
        <f t="shared" si="6"/>
        <v>1</v>
      </c>
      <c r="AK65" s="5">
        <f t="shared" si="7"/>
        <v>15.25</v>
      </c>
      <c r="AL65" s="4">
        <f t="shared" si="8"/>
        <v>1</v>
      </c>
      <c r="AM65" s="8" t="str">
        <f t="shared" si="9"/>
        <v>Neochem Bio Solutions</v>
      </c>
      <c r="AN65" s="7">
        <v>4</v>
      </c>
      <c r="AO65" s="61">
        <f t="shared" si="10"/>
        <v>1</v>
      </c>
      <c r="AP65" s="7">
        <f t="shared" si="11"/>
        <v>2</v>
      </c>
      <c r="AQ65" s="5">
        <v>1</v>
      </c>
      <c r="AR65" s="7">
        <f t="shared" si="12"/>
        <v>1</v>
      </c>
      <c r="AS65" s="4">
        <v>98</v>
      </c>
      <c r="AT65" s="5">
        <v>97</v>
      </c>
      <c r="AU65" s="5">
        <v>116</v>
      </c>
      <c r="AV65" s="5">
        <f t="shared" si="14"/>
        <v>106.5</v>
      </c>
      <c r="AW65" s="4">
        <v>108</v>
      </c>
      <c r="AX65" s="4">
        <f t="shared" si="15"/>
        <v>1</v>
      </c>
      <c r="AY65" s="4">
        <f t="shared" si="16"/>
        <v>18.367346938775512</v>
      </c>
      <c r="AZ65" s="4">
        <f t="shared" si="24"/>
        <v>2</v>
      </c>
      <c r="BA65" s="7"/>
      <c r="BB65" s="5">
        <v>112</v>
      </c>
      <c r="BC65" s="5">
        <v>110.8</v>
      </c>
      <c r="BD65" s="5">
        <v>109</v>
      </c>
      <c r="BE65" s="5">
        <v>113.4</v>
      </c>
      <c r="BF65" s="5"/>
      <c r="BG65" s="5"/>
      <c r="BH65" s="5"/>
    </row>
    <row r="66" spans="2:60" ht="18.75" customHeight="1">
      <c r="B66" s="4" t="s">
        <v>126</v>
      </c>
      <c r="C66" s="11">
        <v>2025</v>
      </c>
      <c r="D66" s="11">
        <v>1</v>
      </c>
      <c r="E66" s="4">
        <v>0.04</v>
      </c>
      <c r="F66" s="4">
        <v>6.26</v>
      </c>
      <c r="G66" s="5">
        <f t="shared" ref="G66:G97" si="25">100*(F66-E66)/F66</f>
        <v>99.361022364217263</v>
      </c>
      <c r="H66" s="4">
        <v>8.24</v>
      </c>
      <c r="I66" s="4">
        <v>2.1</v>
      </c>
      <c r="J66" s="4"/>
      <c r="K66" s="4">
        <v>8.6</v>
      </c>
      <c r="L66" s="4"/>
      <c r="M66" s="4">
        <v>2.83</v>
      </c>
      <c r="N66" s="4"/>
      <c r="O66" s="4">
        <v>28.12</v>
      </c>
      <c r="P66" s="5">
        <f t="shared" ref="P66:P97" si="26">O66/I66</f>
        <v>13.390476190476191</v>
      </c>
      <c r="Q66" s="4">
        <v>22.31</v>
      </c>
      <c r="R66" s="5">
        <v>12.01</v>
      </c>
      <c r="S66" s="6">
        <v>0</v>
      </c>
      <c r="T66" s="7"/>
      <c r="U66" s="7"/>
      <c r="V66" s="7">
        <v>1</v>
      </c>
      <c r="W66" s="4"/>
      <c r="X66" s="4">
        <v>23</v>
      </c>
      <c r="Y66" s="4">
        <v>32</v>
      </c>
      <c r="Z66" s="4">
        <v>17</v>
      </c>
      <c r="AA66" s="5">
        <f t="shared" ref="AA66:AA97" si="27">IF(X66&lt;50,IF(Y66&gt;(2.3*X66),0,1),1)-IF(Z66&gt;Y66,1.7,0)</f>
        <v>1</v>
      </c>
      <c r="AB66" s="11">
        <v>9</v>
      </c>
      <c r="AC66" s="5">
        <f t="shared" ref="AC66:AC97" si="28">IF(AB66&gt;4,1,0)+IF(AB66&gt;10,0.7,0)</f>
        <v>1</v>
      </c>
      <c r="AD66" s="11">
        <v>16.16</v>
      </c>
      <c r="AE66" s="4">
        <v>8.26</v>
      </c>
      <c r="AF66" s="4">
        <v>212.82</v>
      </c>
      <c r="AG66" s="6">
        <f t="shared" ref="AG66:AG97" si="29">IF(G66&lt;52,0,0.7)+IF(G66&lt;34,0,0.7)+IF(G66&lt;1,0,0.7)+IF(P66&gt;14.56,0,1)+IF(R66&lt;9,0.5,0)+IF(R66&lt;33.8,0.5,0)+IF(R66&lt;50,0.5,0)+IF(R66&lt;80,0.5,0)+IF(S66=5,0,S66)+IF(V66&gt;0,1,-1)+IF(AE66&lt;10.56,0,1)-IF(AE66&lt;3,1,0)-IF(AE66&lt;1,1,0)</f>
        <v>5.6</v>
      </c>
      <c r="AH66" s="5">
        <f t="shared" ref="AH66:AH97" si="30">AG66+IF(X66&lt;1.35,0,1)+IF(Y66&lt;1.35,0,1)+IF(Y66&lt;0.7,-1,0)+AC66+AA66</f>
        <v>9.6</v>
      </c>
      <c r="AI66" s="5">
        <v>11</v>
      </c>
      <c r="AJ66" s="5">
        <f t="shared" ref="AJ66:AJ129" si="31">IF(AI66&gt;12.7,IF(AI66&gt;15.8,0.93,0.98),1)</f>
        <v>1</v>
      </c>
      <c r="AK66" s="5">
        <f t="shared" ref="AK66:AK129" si="32">(1.5*AG66+AH66)*AJ66*AQ66</f>
        <v>18</v>
      </c>
      <c r="AL66" s="4">
        <f t="shared" ref="AL66:AL129" si="33">D66</f>
        <v>1</v>
      </c>
      <c r="AM66" s="8" t="str">
        <f t="shared" ref="AM66:AM129" si="34">B66</f>
        <v>Helloji Holidays</v>
      </c>
      <c r="AN66" s="7">
        <v>4</v>
      </c>
      <c r="AO66" s="61">
        <f t="shared" ref="AO66:AO129" si="35">IF(Z66&lt;4.5,0,IF(AK66&gt;14.9,IF(Z66&lt;140,1,0),0))</f>
        <v>1</v>
      </c>
      <c r="AP66" s="7">
        <f t="shared" ref="AP66:AP129" si="36">IF(AK66&gt;13.93,IF(Z66&lt;300,IF(Z66&lt;35,IF(Z66&lt;6,3,2),1),0),0)</f>
        <v>2</v>
      </c>
      <c r="AQ66" s="5">
        <v>1</v>
      </c>
      <c r="AR66" s="7">
        <f t="shared" ref="AR66:AR129" si="37">IF(AO66=1,IF(AO66=AL66,1,0),5)</f>
        <v>1</v>
      </c>
      <c r="AS66" s="4">
        <v>118</v>
      </c>
      <c r="AT66" s="5">
        <v>103</v>
      </c>
      <c r="AU66" s="5">
        <v>134</v>
      </c>
      <c r="AV66" s="5">
        <f t="shared" ref="AV66:AV129" si="38">(AT66+AU66)/2</f>
        <v>118.5</v>
      </c>
      <c r="AW66" s="4">
        <v>118</v>
      </c>
      <c r="AX66" s="4">
        <f t="shared" ref="AX66:AX129" si="39">IF(AW66&gt;AV66,1,0)</f>
        <v>0</v>
      </c>
      <c r="AY66" s="4">
        <f t="shared" ref="AY66:AY129" si="40">(100*(AU66-AS66)/AS66)</f>
        <v>13.559322033898304</v>
      </c>
      <c r="AZ66" s="4">
        <f t="shared" ref="AZ66:AZ97" si="41">IF(AY66&lt;-50,-4,IF(AY66&lt;-20,-2,IF(AY66&lt;0,-1.5,IF(AY66=0,0,IF(AY66&lt;10,1.5,IF(AY66&lt;20,2,IF(AY66&gt;19,2.5,2.5)))))))</f>
        <v>2</v>
      </c>
      <c r="BA66" s="7"/>
      <c r="BB66" s="5">
        <v>124</v>
      </c>
      <c r="BC66" s="5">
        <v>130</v>
      </c>
      <c r="BD66" s="5">
        <v>136</v>
      </c>
      <c r="BE66" s="5"/>
      <c r="BF66" s="5"/>
      <c r="BG66" s="5"/>
      <c r="BH66" s="5"/>
    </row>
    <row r="67" spans="2:60" ht="12.75" customHeight="1">
      <c r="B67" s="11" t="s">
        <v>127</v>
      </c>
      <c r="C67" s="11">
        <v>2025</v>
      </c>
      <c r="D67" s="4">
        <v>0</v>
      </c>
      <c r="E67" s="11">
        <v>50.98</v>
      </c>
      <c r="F67" s="11">
        <v>12.16</v>
      </c>
      <c r="G67" s="5">
        <f t="shared" si="25"/>
        <v>-319.2434210526315</v>
      </c>
      <c r="H67" s="11">
        <v>106.13</v>
      </c>
      <c r="I67" s="11">
        <v>5.79</v>
      </c>
      <c r="J67" s="11"/>
      <c r="K67" s="11">
        <v>5.55</v>
      </c>
      <c r="L67" s="11"/>
      <c r="M67" s="11">
        <v>9.2100000000000009</v>
      </c>
      <c r="N67" s="11"/>
      <c r="O67" s="11">
        <v>145.79</v>
      </c>
      <c r="P67" s="5">
        <f t="shared" si="26"/>
        <v>25.179620034542314</v>
      </c>
      <c r="Q67" s="11">
        <v>16.22</v>
      </c>
      <c r="R67" s="19">
        <v>16.18</v>
      </c>
      <c r="S67" s="6">
        <v>0</v>
      </c>
      <c r="T67" s="7"/>
      <c r="U67" s="7"/>
      <c r="V67" s="7">
        <v>0</v>
      </c>
      <c r="W67" s="4"/>
      <c r="X67" s="4">
        <v>0.6</v>
      </c>
      <c r="Y67" s="4">
        <v>0.6</v>
      </c>
      <c r="Z67" s="4">
        <v>4.91</v>
      </c>
      <c r="AA67" s="5">
        <f t="shared" si="27"/>
        <v>-0.7</v>
      </c>
      <c r="AB67" s="11">
        <v>0</v>
      </c>
      <c r="AC67" s="5">
        <f t="shared" si="28"/>
        <v>0</v>
      </c>
      <c r="AD67" s="11">
        <v>122</v>
      </c>
      <c r="AE67" s="4">
        <v>12</v>
      </c>
      <c r="AF67" s="4">
        <v>91</v>
      </c>
      <c r="AG67" s="6">
        <f t="shared" si="29"/>
        <v>1.5</v>
      </c>
      <c r="AH67" s="5">
        <f t="shared" si="30"/>
        <v>-0.19999999999999996</v>
      </c>
      <c r="AI67" s="5">
        <v>11</v>
      </c>
      <c r="AJ67" s="5">
        <f t="shared" si="31"/>
        <v>1</v>
      </c>
      <c r="AK67" s="5">
        <f t="shared" si="32"/>
        <v>2.0499999999999998</v>
      </c>
      <c r="AL67" s="4">
        <f t="shared" si="33"/>
        <v>0</v>
      </c>
      <c r="AM67" s="8" t="str">
        <f t="shared" si="34"/>
        <v>Shri Kanha Stainless</v>
      </c>
      <c r="AN67" s="7">
        <v>5</v>
      </c>
      <c r="AO67" s="61">
        <f t="shared" si="35"/>
        <v>0</v>
      </c>
      <c r="AP67" s="7">
        <f t="shared" si="36"/>
        <v>0</v>
      </c>
      <c r="AQ67" s="5">
        <v>1</v>
      </c>
      <c r="AR67" s="7">
        <f t="shared" si="37"/>
        <v>5</v>
      </c>
      <c r="AS67" s="4">
        <v>90</v>
      </c>
      <c r="AT67" s="5">
        <v>100</v>
      </c>
      <c r="AU67" s="5">
        <v>110</v>
      </c>
      <c r="AV67" s="5">
        <f t="shared" si="38"/>
        <v>105</v>
      </c>
      <c r="AW67" s="4">
        <v>88</v>
      </c>
      <c r="AX67" s="4">
        <f t="shared" si="39"/>
        <v>0</v>
      </c>
      <c r="AY67" s="4">
        <f t="shared" si="40"/>
        <v>22.222222222222221</v>
      </c>
      <c r="AZ67" s="4">
        <f t="shared" si="41"/>
        <v>2.5</v>
      </c>
      <c r="BA67" s="7"/>
      <c r="BB67" s="5"/>
      <c r="BC67" s="5"/>
      <c r="BD67" s="5"/>
      <c r="BE67" s="5"/>
      <c r="BF67" s="5"/>
      <c r="BG67" s="5"/>
      <c r="BH67" s="5"/>
    </row>
    <row r="68" spans="2:60" ht="12" customHeight="1">
      <c r="B68" s="4" t="s">
        <v>128</v>
      </c>
      <c r="C68" s="11">
        <v>2025</v>
      </c>
      <c r="D68" s="11">
        <v>1</v>
      </c>
      <c r="E68" s="11">
        <v>1.49</v>
      </c>
      <c r="F68" s="11">
        <v>18.63</v>
      </c>
      <c r="G68" s="5">
        <f t="shared" si="25"/>
        <v>92.002147074610846</v>
      </c>
      <c r="H68" s="4">
        <v>29.83</v>
      </c>
      <c r="I68" s="4">
        <v>4.1900000000000004</v>
      </c>
      <c r="J68" s="4"/>
      <c r="K68" s="4">
        <v>6.52</v>
      </c>
      <c r="L68" s="4"/>
      <c r="M68" s="4">
        <v>6.16</v>
      </c>
      <c r="N68" s="4"/>
      <c r="O68" s="4">
        <v>60.78</v>
      </c>
      <c r="P68" s="5">
        <f t="shared" si="26"/>
        <v>14.505966587112171</v>
      </c>
      <c r="Q68" s="4">
        <v>12.58</v>
      </c>
      <c r="R68" s="5">
        <v>20.62</v>
      </c>
      <c r="S68" s="6">
        <v>0</v>
      </c>
      <c r="T68" s="7"/>
      <c r="U68" s="7"/>
      <c r="V68" s="7">
        <v>1</v>
      </c>
      <c r="W68" s="4"/>
      <c r="X68" s="4">
        <v>0.62</v>
      </c>
      <c r="Y68" s="4">
        <v>172</v>
      </c>
      <c r="Z68" s="4">
        <v>248</v>
      </c>
      <c r="AA68" s="5">
        <f t="shared" si="27"/>
        <v>-1.7</v>
      </c>
      <c r="AB68" s="11">
        <v>109.6</v>
      </c>
      <c r="AC68" s="5">
        <f t="shared" si="28"/>
        <v>1.7</v>
      </c>
      <c r="AD68" s="4">
        <v>121</v>
      </c>
      <c r="AE68" s="4">
        <v>20</v>
      </c>
      <c r="AF68" s="4">
        <v>42</v>
      </c>
      <c r="AG68" s="6">
        <f t="shared" si="29"/>
        <v>6.6</v>
      </c>
      <c r="AH68" s="5">
        <f t="shared" si="30"/>
        <v>7.5999999999999988</v>
      </c>
      <c r="AI68" s="5">
        <v>11</v>
      </c>
      <c r="AJ68" s="5">
        <f t="shared" si="31"/>
        <v>1</v>
      </c>
      <c r="AK68" s="5">
        <f t="shared" si="32"/>
        <v>17.499999999999996</v>
      </c>
      <c r="AL68" s="4">
        <f t="shared" si="33"/>
        <v>1</v>
      </c>
      <c r="AM68" s="8" t="str">
        <f t="shared" si="34"/>
        <v>Luxury Time</v>
      </c>
      <c r="AN68" s="7">
        <v>8</v>
      </c>
      <c r="AO68" s="61">
        <f t="shared" si="35"/>
        <v>0</v>
      </c>
      <c r="AP68" s="7">
        <f t="shared" si="36"/>
        <v>1</v>
      </c>
      <c r="AQ68" s="5">
        <v>1</v>
      </c>
      <c r="AR68" s="7">
        <f t="shared" si="37"/>
        <v>5</v>
      </c>
      <c r="AS68" s="4">
        <v>82</v>
      </c>
      <c r="AT68" s="5">
        <v>100</v>
      </c>
      <c r="AU68" s="5">
        <v>150</v>
      </c>
      <c r="AV68" s="5">
        <f t="shared" si="38"/>
        <v>125</v>
      </c>
      <c r="AW68" s="4">
        <v>155</v>
      </c>
      <c r="AX68" s="4">
        <f t="shared" si="39"/>
        <v>1</v>
      </c>
      <c r="AY68" s="4">
        <f t="shared" si="40"/>
        <v>82.926829268292678</v>
      </c>
      <c r="AZ68" s="4">
        <f t="shared" si="41"/>
        <v>2.5</v>
      </c>
      <c r="BA68" s="7"/>
      <c r="BB68" s="5">
        <v>163</v>
      </c>
      <c r="BC68" s="24">
        <v>155</v>
      </c>
      <c r="BD68" s="24">
        <v>147</v>
      </c>
      <c r="BE68" s="5">
        <v>163</v>
      </c>
      <c r="BF68" s="5"/>
      <c r="BG68" s="5"/>
      <c r="BH68" s="5"/>
    </row>
    <row r="69" spans="2:60" ht="12.75" customHeight="1">
      <c r="B69" s="4" t="s">
        <v>129</v>
      </c>
      <c r="C69" s="11">
        <v>2025</v>
      </c>
      <c r="D69" s="4">
        <v>0</v>
      </c>
      <c r="E69" s="4">
        <v>4.09</v>
      </c>
      <c r="F69" s="4">
        <v>6.53</v>
      </c>
      <c r="G69" s="5">
        <f t="shared" si="25"/>
        <v>37.366003062787136</v>
      </c>
      <c r="H69" s="4">
        <v>12.69</v>
      </c>
      <c r="I69" s="4">
        <v>2.21</v>
      </c>
      <c r="J69" s="4"/>
      <c r="K69" s="4">
        <v>5.25</v>
      </c>
      <c r="L69" s="4"/>
      <c r="M69" s="4">
        <v>3.7</v>
      </c>
      <c r="N69" s="4"/>
      <c r="O69" s="4">
        <v>22.73</v>
      </c>
      <c r="P69" s="5">
        <f t="shared" si="26"/>
        <v>10.285067873303168</v>
      </c>
      <c r="Q69" s="4">
        <v>10.67</v>
      </c>
      <c r="R69" s="5">
        <v>14.6</v>
      </c>
      <c r="S69" s="6">
        <v>0</v>
      </c>
      <c r="T69" s="7"/>
      <c r="U69" s="7"/>
      <c r="V69" s="7">
        <v>0</v>
      </c>
      <c r="W69" s="4"/>
      <c r="X69" s="4">
        <v>0.34</v>
      </c>
      <c r="Y69" s="4">
        <v>0.34</v>
      </c>
      <c r="Z69" s="4">
        <v>1.86</v>
      </c>
      <c r="AA69" s="5">
        <f t="shared" si="27"/>
        <v>-0.7</v>
      </c>
      <c r="AB69" s="11">
        <v>0</v>
      </c>
      <c r="AC69" s="5">
        <f t="shared" si="28"/>
        <v>0</v>
      </c>
      <c r="AD69" s="4">
        <v>86</v>
      </c>
      <c r="AE69" s="4">
        <v>12</v>
      </c>
      <c r="AF69" s="4">
        <v>46</v>
      </c>
      <c r="AG69" s="6">
        <f t="shared" si="29"/>
        <v>3.9</v>
      </c>
      <c r="AH69" s="5">
        <f t="shared" si="30"/>
        <v>2.2000000000000002</v>
      </c>
      <c r="AI69" s="5">
        <v>11</v>
      </c>
      <c r="AJ69" s="5">
        <f t="shared" si="31"/>
        <v>1</v>
      </c>
      <c r="AK69" s="5">
        <f t="shared" si="32"/>
        <v>8.0500000000000007</v>
      </c>
      <c r="AL69" s="4">
        <f t="shared" si="33"/>
        <v>0</v>
      </c>
      <c r="AM69" s="8" t="str">
        <f t="shared" si="34"/>
        <v>Western Overseas Study Abroad</v>
      </c>
      <c r="AN69" s="4">
        <v>8</v>
      </c>
      <c r="AO69" s="61">
        <f t="shared" si="35"/>
        <v>0</v>
      </c>
      <c r="AP69" s="7">
        <f t="shared" si="36"/>
        <v>0</v>
      </c>
      <c r="AQ69" s="5">
        <v>1</v>
      </c>
      <c r="AR69" s="7">
        <f t="shared" si="37"/>
        <v>5</v>
      </c>
      <c r="AS69" s="4">
        <v>56</v>
      </c>
      <c r="AT69" s="5">
        <v>0</v>
      </c>
      <c r="AU69" s="5">
        <v>0</v>
      </c>
      <c r="AV69" s="5">
        <f t="shared" si="38"/>
        <v>0</v>
      </c>
      <c r="AW69" s="4">
        <v>55</v>
      </c>
      <c r="AX69" s="4">
        <f t="shared" si="39"/>
        <v>1</v>
      </c>
      <c r="AY69" s="4">
        <f t="shared" si="40"/>
        <v>-100</v>
      </c>
      <c r="AZ69" s="4">
        <f t="shared" si="41"/>
        <v>-4</v>
      </c>
      <c r="BA69" s="7"/>
      <c r="BB69" s="5"/>
      <c r="BC69" s="5"/>
      <c r="BD69" s="5"/>
      <c r="BE69" s="5"/>
      <c r="BF69" s="5"/>
      <c r="BG69" s="5"/>
      <c r="BH69" s="5"/>
    </row>
    <row r="70" spans="2:60" ht="17.25" customHeight="1">
      <c r="B70" s="11" t="s">
        <v>130</v>
      </c>
      <c r="C70" s="11">
        <v>2025</v>
      </c>
      <c r="D70" s="4">
        <v>0</v>
      </c>
      <c r="E70" s="11">
        <v>32.159999999999997</v>
      </c>
      <c r="F70" s="11">
        <v>42.72</v>
      </c>
      <c r="G70" s="5">
        <f t="shared" si="25"/>
        <v>24.719101123595511</v>
      </c>
      <c r="H70" s="4">
        <v>93.55</v>
      </c>
      <c r="I70" s="4">
        <v>11.5</v>
      </c>
      <c r="J70" s="4"/>
      <c r="K70" s="4">
        <v>8.86</v>
      </c>
      <c r="L70" s="4"/>
      <c r="M70" s="4">
        <v>17.149999999999999</v>
      </c>
      <c r="N70" s="4"/>
      <c r="O70" s="4">
        <v>136.01</v>
      </c>
      <c r="P70" s="5">
        <f t="shared" si="26"/>
        <v>11.826956521739129</v>
      </c>
      <c r="Q70" s="4">
        <v>24.7</v>
      </c>
      <c r="R70" s="5">
        <v>17.309999999999999</v>
      </c>
      <c r="S70" s="6">
        <v>0</v>
      </c>
      <c r="T70" s="7"/>
      <c r="U70" s="7"/>
      <c r="V70" s="7">
        <v>1</v>
      </c>
      <c r="W70" s="4"/>
      <c r="X70" s="4">
        <v>11</v>
      </c>
      <c r="Y70" s="4">
        <v>14</v>
      </c>
      <c r="Z70" s="4">
        <v>5.39</v>
      </c>
      <c r="AA70" s="5">
        <f t="shared" si="27"/>
        <v>1</v>
      </c>
      <c r="AB70" s="11">
        <v>10</v>
      </c>
      <c r="AC70" s="5">
        <f t="shared" si="28"/>
        <v>1</v>
      </c>
      <c r="AD70" s="4">
        <v>113</v>
      </c>
      <c r="AE70" s="4">
        <v>136</v>
      </c>
      <c r="AF70" s="4">
        <v>35</v>
      </c>
      <c r="AG70" s="6">
        <f t="shared" si="29"/>
        <v>5.2</v>
      </c>
      <c r="AH70" s="5">
        <f t="shared" si="30"/>
        <v>9.1999999999999993</v>
      </c>
      <c r="AI70" s="5">
        <v>11</v>
      </c>
      <c r="AJ70" s="5">
        <f t="shared" si="31"/>
        <v>1</v>
      </c>
      <c r="AK70" s="5">
        <f t="shared" si="32"/>
        <v>16.149999999999999</v>
      </c>
      <c r="AL70" s="4">
        <f t="shared" si="33"/>
        <v>0</v>
      </c>
      <c r="AM70" s="8" t="str">
        <f t="shared" si="34"/>
        <v>Methodhub Software</v>
      </c>
      <c r="AN70" s="7">
        <v>9</v>
      </c>
      <c r="AO70" s="61">
        <f t="shared" si="35"/>
        <v>1</v>
      </c>
      <c r="AP70" s="7">
        <f t="shared" si="36"/>
        <v>3</v>
      </c>
      <c r="AQ70" s="5">
        <v>0.95</v>
      </c>
      <c r="AR70" s="7">
        <f t="shared" si="37"/>
        <v>0</v>
      </c>
      <c r="AS70" s="4">
        <v>194</v>
      </c>
      <c r="AT70" s="5">
        <v>220</v>
      </c>
      <c r="AU70" s="5">
        <v>275</v>
      </c>
      <c r="AV70" s="5">
        <f t="shared" si="38"/>
        <v>247.5</v>
      </c>
      <c r="AW70" s="4">
        <v>163</v>
      </c>
      <c r="AX70" s="4">
        <f t="shared" si="39"/>
        <v>0</v>
      </c>
      <c r="AY70" s="4">
        <f t="shared" si="40"/>
        <v>41.75257731958763</v>
      </c>
      <c r="AZ70" s="4">
        <f t="shared" si="41"/>
        <v>2.5</v>
      </c>
      <c r="BA70" s="7"/>
      <c r="BB70" s="5">
        <v>163</v>
      </c>
      <c r="BC70" s="5">
        <v>156</v>
      </c>
      <c r="BD70" s="5">
        <v>153</v>
      </c>
      <c r="BE70" s="5"/>
      <c r="BF70" s="5"/>
      <c r="BG70" s="5"/>
      <c r="BH70" s="5"/>
    </row>
    <row r="71" spans="2:60" ht="12.75" customHeight="1">
      <c r="B71" s="11" t="s">
        <v>131</v>
      </c>
      <c r="C71" s="11">
        <v>2025</v>
      </c>
      <c r="D71" s="11">
        <v>1</v>
      </c>
      <c r="E71" s="11">
        <v>0</v>
      </c>
      <c r="F71" s="11">
        <v>32.58</v>
      </c>
      <c r="G71" s="5">
        <f t="shared" si="25"/>
        <v>100</v>
      </c>
      <c r="H71" s="11">
        <v>53.45</v>
      </c>
      <c r="I71" s="11">
        <v>10.79</v>
      </c>
      <c r="J71" s="11"/>
      <c r="K71" s="11">
        <v>10.34</v>
      </c>
      <c r="L71" s="11"/>
      <c r="M71" s="11">
        <v>16.86</v>
      </c>
      <c r="N71" s="11"/>
      <c r="O71" s="11">
        <v>55.01</v>
      </c>
      <c r="P71" s="5">
        <f t="shared" si="26"/>
        <v>5.0982391102873033</v>
      </c>
      <c r="Q71" s="11">
        <v>10.33</v>
      </c>
      <c r="R71" s="19">
        <v>12.32</v>
      </c>
      <c r="S71" s="6">
        <v>-0.9</v>
      </c>
      <c r="T71" s="7"/>
      <c r="U71" s="7"/>
      <c r="V71" s="7">
        <v>1</v>
      </c>
      <c r="W71" s="4"/>
      <c r="X71" s="4">
        <v>1.05</v>
      </c>
      <c r="Y71" s="4">
        <v>3.49</v>
      </c>
      <c r="Z71" s="4">
        <v>1.48</v>
      </c>
      <c r="AA71" s="5">
        <f t="shared" si="27"/>
        <v>0</v>
      </c>
      <c r="AB71" s="11">
        <v>2.5</v>
      </c>
      <c r="AC71" s="5">
        <f t="shared" si="28"/>
        <v>0</v>
      </c>
      <c r="AD71" s="4">
        <v>57</v>
      </c>
      <c r="AE71" s="4">
        <v>37</v>
      </c>
      <c r="AF71" s="4">
        <v>214</v>
      </c>
      <c r="AG71" s="6">
        <f t="shared" si="29"/>
        <v>5.6999999999999993</v>
      </c>
      <c r="AH71" s="5">
        <f t="shared" si="30"/>
        <v>6.6999999999999993</v>
      </c>
      <c r="AI71" s="5">
        <v>11</v>
      </c>
      <c r="AJ71" s="5">
        <f t="shared" si="31"/>
        <v>1</v>
      </c>
      <c r="AK71" s="5">
        <f t="shared" si="32"/>
        <v>15.249999999999998</v>
      </c>
      <c r="AL71" s="4">
        <f t="shared" si="33"/>
        <v>1</v>
      </c>
      <c r="AM71" s="8" t="str">
        <f t="shared" si="34"/>
        <v>ScaleSauce</v>
      </c>
      <c r="AN71" s="21">
        <v>9</v>
      </c>
      <c r="AO71" s="61">
        <f t="shared" si="35"/>
        <v>0</v>
      </c>
      <c r="AP71" s="7">
        <f t="shared" si="36"/>
        <v>3</v>
      </c>
      <c r="AQ71" s="5">
        <v>1</v>
      </c>
      <c r="AR71" s="7">
        <f t="shared" si="37"/>
        <v>5</v>
      </c>
      <c r="AS71" s="22">
        <v>107</v>
      </c>
      <c r="AT71" s="5">
        <v>0</v>
      </c>
      <c r="AU71" s="5">
        <v>0</v>
      </c>
      <c r="AV71" s="5">
        <f t="shared" si="38"/>
        <v>0</v>
      </c>
      <c r="AW71" s="22">
        <v>203</v>
      </c>
      <c r="AX71" s="4">
        <f t="shared" si="39"/>
        <v>1</v>
      </c>
      <c r="AY71" s="4">
        <f t="shared" si="40"/>
        <v>-100</v>
      </c>
      <c r="AZ71" s="4">
        <f t="shared" si="41"/>
        <v>-4</v>
      </c>
      <c r="BA71" s="21">
        <v>187</v>
      </c>
      <c r="BB71" s="25">
        <v>192</v>
      </c>
      <c r="BC71" s="25">
        <v>183</v>
      </c>
      <c r="BD71" s="23">
        <v>175</v>
      </c>
      <c r="BE71" s="23">
        <v>295</v>
      </c>
      <c r="BF71" s="5"/>
      <c r="BG71" s="5"/>
      <c r="BH71" s="5"/>
    </row>
    <row r="72" spans="2:60" ht="12.75" customHeight="1">
      <c r="B72" s="26" t="s">
        <v>132</v>
      </c>
      <c r="C72" s="11">
        <v>2025</v>
      </c>
      <c r="D72" s="11">
        <v>1</v>
      </c>
      <c r="E72" s="11">
        <v>18.09</v>
      </c>
      <c r="F72" s="11">
        <v>39</v>
      </c>
      <c r="G72" s="5">
        <f t="shared" si="25"/>
        <v>53.615384615384613</v>
      </c>
      <c r="H72" s="11">
        <v>64.650000000000006</v>
      </c>
      <c r="I72" s="11">
        <v>4.16</v>
      </c>
      <c r="J72" s="11"/>
      <c r="K72" s="11">
        <v>14.24</v>
      </c>
      <c r="L72" s="11"/>
      <c r="M72" s="11">
        <v>13.51</v>
      </c>
      <c r="N72" s="11"/>
      <c r="O72" s="11">
        <v>23.64</v>
      </c>
      <c r="P72" s="5">
        <f t="shared" si="26"/>
        <v>5.6826923076923075</v>
      </c>
      <c r="Q72" s="11">
        <v>13.51</v>
      </c>
      <c r="R72" s="19">
        <v>17.77</v>
      </c>
      <c r="S72" s="6">
        <v>-0.9</v>
      </c>
      <c r="T72" s="7"/>
      <c r="U72" s="7"/>
      <c r="V72" s="7">
        <v>1</v>
      </c>
      <c r="W72" s="4"/>
      <c r="X72" s="4">
        <v>1.5</v>
      </c>
      <c r="Y72" s="4">
        <v>3.2</v>
      </c>
      <c r="Z72" s="4">
        <v>0.97</v>
      </c>
      <c r="AA72" s="5">
        <f t="shared" si="27"/>
        <v>1</v>
      </c>
      <c r="AB72" s="11">
        <v>0</v>
      </c>
      <c r="AC72" s="5">
        <f t="shared" si="28"/>
        <v>0</v>
      </c>
      <c r="AD72" s="11">
        <v>3</v>
      </c>
      <c r="AE72" s="4">
        <v>5</v>
      </c>
      <c r="AF72" s="4">
        <v>70</v>
      </c>
      <c r="AG72" s="6">
        <f t="shared" si="29"/>
        <v>4.6999999999999993</v>
      </c>
      <c r="AH72" s="5">
        <f t="shared" si="30"/>
        <v>7.6999999999999993</v>
      </c>
      <c r="AI72" s="5">
        <v>11</v>
      </c>
      <c r="AJ72" s="5">
        <f t="shared" si="31"/>
        <v>1</v>
      </c>
      <c r="AK72" s="5">
        <f t="shared" si="32"/>
        <v>14.749999999999998</v>
      </c>
      <c r="AL72" s="4">
        <f t="shared" si="33"/>
        <v>1</v>
      </c>
      <c r="AM72" s="8" t="str">
        <f t="shared" si="34"/>
        <v>Flywings Simulator Training</v>
      </c>
      <c r="AN72" s="15">
        <v>9</v>
      </c>
      <c r="AO72" s="61">
        <f t="shared" si="35"/>
        <v>0</v>
      </c>
      <c r="AP72" s="7">
        <f t="shared" si="36"/>
        <v>3</v>
      </c>
      <c r="AQ72" s="5">
        <v>1</v>
      </c>
      <c r="AR72" s="7">
        <f t="shared" si="37"/>
        <v>5</v>
      </c>
      <c r="AS72" s="16">
        <v>191</v>
      </c>
      <c r="AT72" s="5">
        <v>191</v>
      </c>
      <c r="AU72" s="5">
        <v>191</v>
      </c>
      <c r="AV72" s="5">
        <f t="shared" si="38"/>
        <v>191</v>
      </c>
      <c r="AW72" s="16">
        <v>205</v>
      </c>
      <c r="AX72" s="4">
        <f t="shared" si="39"/>
        <v>1</v>
      </c>
      <c r="AY72" s="4">
        <f t="shared" si="40"/>
        <v>0</v>
      </c>
      <c r="AZ72" s="4">
        <f t="shared" si="41"/>
        <v>0</v>
      </c>
      <c r="BA72" s="15"/>
      <c r="BB72" s="17">
        <v>215</v>
      </c>
      <c r="BC72" s="17">
        <v>225</v>
      </c>
      <c r="BD72" s="17">
        <v>237</v>
      </c>
      <c r="BE72" s="17"/>
      <c r="BF72" s="5"/>
      <c r="BG72" s="5"/>
      <c r="BH72" s="5"/>
    </row>
    <row r="73" spans="2:60" ht="15" customHeight="1">
      <c r="B73" s="11" t="s">
        <v>133</v>
      </c>
      <c r="C73" s="11">
        <v>2025</v>
      </c>
      <c r="D73" s="11">
        <v>1</v>
      </c>
      <c r="E73" s="27">
        <v>44.03</v>
      </c>
      <c r="F73" s="27">
        <v>9.09</v>
      </c>
      <c r="G73" s="5">
        <f t="shared" si="25"/>
        <v>-384.37843784378441</v>
      </c>
      <c r="H73" s="27">
        <v>48.53</v>
      </c>
      <c r="I73" s="27">
        <v>4.59</v>
      </c>
      <c r="J73" s="27"/>
      <c r="K73" s="27">
        <v>9.98</v>
      </c>
      <c r="L73" s="27"/>
      <c r="M73" s="27">
        <v>6.37</v>
      </c>
      <c r="N73" s="27"/>
      <c r="O73" s="27">
        <v>85.6</v>
      </c>
      <c r="P73" s="5">
        <f t="shared" si="26"/>
        <v>18.649237472766885</v>
      </c>
      <c r="Q73" s="27">
        <v>24</v>
      </c>
      <c r="R73" s="28">
        <v>15.87</v>
      </c>
      <c r="S73" s="6">
        <v>0</v>
      </c>
      <c r="T73" s="7"/>
      <c r="U73" s="7"/>
      <c r="V73" s="7">
        <v>1</v>
      </c>
      <c r="W73" s="4"/>
      <c r="X73" s="4">
        <v>193</v>
      </c>
      <c r="Y73" s="4">
        <v>505</v>
      </c>
      <c r="Z73" s="4">
        <v>376</v>
      </c>
      <c r="AA73" s="5">
        <f t="shared" si="27"/>
        <v>1</v>
      </c>
      <c r="AB73" s="11">
        <v>50</v>
      </c>
      <c r="AC73" s="5">
        <f t="shared" si="28"/>
        <v>1.7</v>
      </c>
      <c r="AD73">
        <v>191</v>
      </c>
      <c r="AE73">
        <v>50</v>
      </c>
      <c r="AF73">
        <v>17</v>
      </c>
      <c r="AG73" s="6">
        <f t="shared" si="29"/>
        <v>3.5</v>
      </c>
      <c r="AH73" s="5">
        <f t="shared" si="30"/>
        <v>8.1999999999999993</v>
      </c>
      <c r="AI73" s="5">
        <v>11</v>
      </c>
      <c r="AJ73" s="5">
        <f t="shared" si="31"/>
        <v>1</v>
      </c>
      <c r="AK73" s="5">
        <f t="shared" si="32"/>
        <v>13.45</v>
      </c>
      <c r="AL73" s="4">
        <f t="shared" si="33"/>
        <v>1</v>
      </c>
      <c r="AM73" s="8" t="str">
        <f t="shared" si="34"/>
        <v>K. V. Toys India</v>
      </c>
      <c r="AN73" s="7">
        <v>10</v>
      </c>
      <c r="AO73" s="61">
        <f t="shared" si="35"/>
        <v>0</v>
      </c>
      <c r="AP73" s="7">
        <f t="shared" si="36"/>
        <v>0</v>
      </c>
      <c r="AQ73" s="5">
        <v>1</v>
      </c>
      <c r="AR73" s="7">
        <f t="shared" si="37"/>
        <v>5</v>
      </c>
      <c r="AS73" s="4">
        <v>239</v>
      </c>
      <c r="AT73" s="5">
        <v>239</v>
      </c>
      <c r="AU73" s="5">
        <v>239</v>
      </c>
      <c r="AV73" s="5">
        <f t="shared" si="38"/>
        <v>239</v>
      </c>
      <c r="AW73" s="4">
        <v>320</v>
      </c>
      <c r="AX73" s="4">
        <f t="shared" si="39"/>
        <v>1</v>
      </c>
      <c r="AY73" s="4">
        <f t="shared" si="40"/>
        <v>0</v>
      </c>
      <c r="AZ73" s="4">
        <f t="shared" si="41"/>
        <v>0</v>
      </c>
      <c r="BA73" s="7">
        <v>368</v>
      </c>
      <c r="BB73" s="5">
        <v>336</v>
      </c>
      <c r="BC73" s="5">
        <v>327</v>
      </c>
      <c r="BD73" s="5">
        <v>311</v>
      </c>
      <c r="BE73" s="5">
        <v>364</v>
      </c>
      <c r="BF73" s="5"/>
      <c r="BG73" s="5"/>
      <c r="BH73" s="5"/>
    </row>
    <row r="74" spans="2:60" ht="12.75" customHeight="1">
      <c r="B74" s="4" t="s">
        <v>134</v>
      </c>
      <c r="C74" s="11">
        <v>2025</v>
      </c>
      <c r="D74" s="4">
        <v>0</v>
      </c>
      <c r="E74" s="4">
        <v>10.79</v>
      </c>
      <c r="F74" s="4">
        <v>10.36</v>
      </c>
      <c r="G74" s="5">
        <f t="shared" si="25"/>
        <v>-4.1505791505791478</v>
      </c>
      <c r="H74" s="27">
        <v>32.340000000000003</v>
      </c>
      <c r="I74" s="27">
        <v>4.1399999999999997</v>
      </c>
      <c r="J74" s="27"/>
      <c r="K74" s="27">
        <v>3.24</v>
      </c>
      <c r="L74" s="27"/>
      <c r="M74" s="27">
        <v>6.93</v>
      </c>
      <c r="N74" s="27"/>
      <c r="O74" s="27">
        <v>25.09</v>
      </c>
      <c r="P74" s="5">
        <f t="shared" si="26"/>
        <v>6.0603864734299524</v>
      </c>
      <c r="Q74" s="27">
        <v>14.91</v>
      </c>
      <c r="R74" s="28">
        <v>9.33</v>
      </c>
      <c r="S74" s="6">
        <v>0</v>
      </c>
      <c r="T74" s="7"/>
      <c r="U74" s="7"/>
      <c r="V74" s="7">
        <v>0</v>
      </c>
      <c r="W74" s="4"/>
      <c r="X74" s="4">
        <v>1</v>
      </c>
      <c r="Y74" s="4">
        <v>1.5</v>
      </c>
      <c r="Z74" s="4">
        <v>6.5</v>
      </c>
      <c r="AA74" s="5">
        <f t="shared" si="27"/>
        <v>-0.7</v>
      </c>
      <c r="AB74" s="11">
        <v>0</v>
      </c>
      <c r="AC74" s="5">
        <f t="shared" si="28"/>
        <v>0</v>
      </c>
      <c r="AD74" s="27">
        <v>100</v>
      </c>
      <c r="AE74" s="27">
        <v>25</v>
      </c>
      <c r="AF74" s="27">
        <v>190</v>
      </c>
      <c r="AG74" s="6">
        <f t="shared" si="29"/>
        <v>2.5</v>
      </c>
      <c r="AH74" s="5">
        <f t="shared" si="30"/>
        <v>2.8</v>
      </c>
      <c r="AI74" s="5">
        <v>11</v>
      </c>
      <c r="AJ74" s="5">
        <f t="shared" si="31"/>
        <v>1</v>
      </c>
      <c r="AK74" s="5">
        <f t="shared" si="32"/>
        <v>6.55</v>
      </c>
      <c r="AL74" s="4">
        <f t="shared" si="33"/>
        <v>0</v>
      </c>
      <c r="AM74" s="8" t="str">
        <f t="shared" si="34"/>
        <v>Riddhi Display Equipments</v>
      </c>
      <c r="AN74" s="7">
        <v>10</v>
      </c>
      <c r="AO74" s="61">
        <f t="shared" si="35"/>
        <v>0</v>
      </c>
      <c r="AP74" s="7">
        <f t="shared" si="36"/>
        <v>0</v>
      </c>
      <c r="AQ74" s="5">
        <v>1</v>
      </c>
      <c r="AR74" s="7">
        <f t="shared" si="37"/>
        <v>5</v>
      </c>
      <c r="AS74" s="4">
        <v>100</v>
      </c>
      <c r="AT74" s="5">
        <v>104</v>
      </c>
      <c r="AU74" s="5">
        <v>174</v>
      </c>
      <c r="AV74" s="5">
        <f t="shared" si="38"/>
        <v>139</v>
      </c>
      <c r="AW74" s="4">
        <v>80</v>
      </c>
      <c r="AX74" s="4">
        <f t="shared" si="39"/>
        <v>0</v>
      </c>
      <c r="AY74" s="4">
        <f t="shared" si="40"/>
        <v>74</v>
      </c>
      <c r="AZ74" s="4">
        <f t="shared" si="41"/>
        <v>2.5</v>
      </c>
      <c r="BA74" s="7"/>
      <c r="BB74" s="5">
        <v>76</v>
      </c>
      <c r="BC74" s="5"/>
      <c r="BD74" s="5"/>
      <c r="BE74" s="5"/>
      <c r="BF74" s="5"/>
      <c r="BG74" s="5"/>
      <c r="BH74" s="5"/>
    </row>
    <row r="75" spans="2:60" ht="12.75" customHeight="1">
      <c r="B75" t="s">
        <v>135</v>
      </c>
      <c r="C75" s="11">
        <v>2025</v>
      </c>
      <c r="D75" s="11">
        <v>1</v>
      </c>
      <c r="E75">
        <v>7.99</v>
      </c>
      <c r="F75">
        <v>19.190000000000001</v>
      </c>
      <c r="G75" s="5">
        <f t="shared" si="25"/>
        <v>58.363731109953093</v>
      </c>
      <c r="H75">
        <v>35.08</v>
      </c>
      <c r="I75">
        <v>5.1100000000000003</v>
      </c>
      <c r="K75">
        <v>7.25</v>
      </c>
      <c r="M75">
        <v>8.18</v>
      </c>
      <c r="O75">
        <v>42.78</v>
      </c>
      <c r="P75" s="5">
        <f t="shared" si="26"/>
        <v>8.3718199608610568</v>
      </c>
      <c r="Q75">
        <v>12.85</v>
      </c>
      <c r="R75" s="2">
        <v>11.19</v>
      </c>
      <c r="S75" s="6">
        <v>0</v>
      </c>
      <c r="T75" s="7"/>
      <c r="U75" s="7"/>
      <c r="V75" s="7">
        <v>1</v>
      </c>
      <c r="W75" s="4"/>
      <c r="X75" s="4">
        <v>0.6</v>
      </c>
      <c r="Y75" s="4">
        <v>3.46</v>
      </c>
      <c r="Z75" s="4">
        <v>1.7</v>
      </c>
      <c r="AA75" s="5">
        <f t="shared" si="27"/>
        <v>0</v>
      </c>
      <c r="AB75" s="11">
        <v>0</v>
      </c>
      <c r="AC75" s="5">
        <f t="shared" si="28"/>
        <v>0</v>
      </c>
      <c r="AD75" s="27">
        <v>70</v>
      </c>
      <c r="AE75" s="27">
        <v>-20</v>
      </c>
      <c r="AF75" s="27">
        <v>190</v>
      </c>
      <c r="AG75" s="6">
        <f t="shared" si="29"/>
        <v>3.5999999999999996</v>
      </c>
      <c r="AH75" s="5">
        <f t="shared" si="30"/>
        <v>4.5999999999999996</v>
      </c>
      <c r="AI75" s="5">
        <v>11</v>
      </c>
      <c r="AJ75" s="5">
        <f t="shared" si="31"/>
        <v>1</v>
      </c>
      <c r="AK75" s="5">
        <f t="shared" si="32"/>
        <v>10</v>
      </c>
      <c r="AL75" s="4">
        <f t="shared" si="33"/>
        <v>1</v>
      </c>
      <c r="AM75" s="8" t="str">
        <f t="shared" si="34"/>
        <v>Prodocs Solutions</v>
      </c>
      <c r="AN75" s="7">
        <v>10</v>
      </c>
      <c r="AO75" s="61">
        <f t="shared" si="35"/>
        <v>0</v>
      </c>
      <c r="AP75" s="7">
        <f t="shared" si="36"/>
        <v>0</v>
      </c>
      <c r="AQ75" s="5">
        <v>1</v>
      </c>
      <c r="AR75" s="7">
        <f t="shared" si="37"/>
        <v>5</v>
      </c>
      <c r="AS75" s="27">
        <v>138</v>
      </c>
      <c r="AT75" s="5">
        <v>145</v>
      </c>
      <c r="AU75" s="5">
        <v>174</v>
      </c>
      <c r="AV75" s="5">
        <f t="shared" si="38"/>
        <v>159.5</v>
      </c>
      <c r="AW75" s="27">
        <v>144</v>
      </c>
      <c r="AX75" s="4">
        <f t="shared" si="39"/>
        <v>0</v>
      </c>
      <c r="AY75" s="4">
        <f t="shared" si="40"/>
        <v>26.086956521739129</v>
      </c>
      <c r="AZ75" s="4">
        <f t="shared" si="41"/>
        <v>2.5</v>
      </c>
      <c r="BA75" s="7"/>
      <c r="BB75" s="5">
        <v>151</v>
      </c>
      <c r="BC75" s="5">
        <v>158</v>
      </c>
      <c r="BD75" s="5">
        <v>168</v>
      </c>
      <c r="BE75" s="5"/>
      <c r="BF75" s="5"/>
      <c r="BG75" s="5"/>
      <c r="BH75" s="5"/>
    </row>
    <row r="76" spans="2:60" ht="12.75" customHeight="1">
      <c r="B76" t="s">
        <v>136</v>
      </c>
      <c r="C76" s="11">
        <v>2025</v>
      </c>
      <c r="D76" s="11">
        <v>0</v>
      </c>
      <c r="E76">
        <v>11.9</v>
      </c>
      <c r="F76">
        <v>9.6</v>
      </c>
      <c r="G76" s="5">
        <f t="shared" si="25"/>
        <v>-23.958333333333339</v>
      </c>
      <c r="H76" t="s">
        <v>79</v>
      </c>
      <c r="I76">
        <v>4.2699999999999996</v>
      </c>
      <c r="K76" t="s">
        <v>79</v>
      </c>
      <c r="M76">
        <v>7.1</v>
      </c>
      <c r="O76">
        <v>69.08</v>
      </c>
      <c r="P76" s="5">
        <f t="shared" si="26"/>
        <v>16.177985948477755</v>
      </c>
      <c r="Q76">
        <v>14.62</v>
      </c>
      <c r="R76" s="2">
        <v>20.350000000000001</v>
      </c>
      <c r="S76" s="6">
        <v>0</v>
      </c>
      <c r="T76" s="7"/>
      <c r="U76" s="7"/>
      <c r="V76" s="7">
        <v>1</v>
      </c>
      <c r="W76" s="4"/>
      <c r="X76" s="4">
        <v>1.7</v>
      </c>
      <c r="Y76" s="4">
        <v>1.7</v>
      </c>
      <c r="Z76" s="4">
        <v>2.2799999999999998</v>
      </c>
      <c r="AA76" s="5">
        <f t="shared" si="27"/>
        <v>-0.7</v>
      </c>
      <c r="AB76" s="11">
        <v>0</v>
      </c>
      <c r="AC76" s="5">
        <f t="shared" si="28"/>
        <v>0</v>
      </c>
      <c r="AD76" s="27">
        <v>98</v>
      </c>
      <c r="AE76" s="27">
        <v>13</v>
      </c>
      <c r="AF76" s="27">
        <v>45.89</v>
      </c>
      <c r="AG76" s="6">
        <f t="shared" si="29"/>
        <v>3.5</v>
      </c>
      <c r="AH76" s="5">
        <f t="shared" si="30"/>
        <v>4.8</v>
      </c>
      <c r="AI76" s="5">
        <v>11</v>
      </c>
      <c r="AJ76" s="5">
        <f t="shared" si="31"/>
        <v>1</v>
      </c>
      <c r="AK76" s="5">
        <f t="shared" si="32"/>
        <v>10.050000000000001</v>
      </c>
      <c r="AL76" s="4">
        <f t="shared" si="33"/>
        <v>0</v>
      </c>
      <c r="AM76" s="8" t="str">
        <f t="shared" si="34"/>
        <v>Unisem Agritech</v>
      </c>
      <c r="AN76" s="29">
        <v>12</v>
      </c>
      <c r="AO76" s="61">
        <f t="shared" si="35"/>
        <v>0</v>
      </c>
      <c r="AP76" s="7">
        <f t="shared" si="36"/>
        <v>0</v>
      </c>
      <c r="AQ76" s="5">
        <v>1</v>
      </c>
      <c r="AR76" s="7">
        <f t="shared" si="37"/>
        <v>5</v>
      </c>
      <c r="AS76" s="27">
        <v>65</v>
      </c>
      <c r="AT76" s="5">
        <v>56</v>
      </c>
      <c r="AU76" s="5">
        <v>75</v>
      </c>
      <c r="AV76" s="5">
        <f t="shared" si="38"/>
        <v>65.5</v>
      </c>
      <c r="AW76" s="27">
        <v>65</v>
      </c>
      <c r="AX76" s="4">
        <f t="shared" si="39"/>
        <v>0</v>
      </c>
      <c r="AY76" s="4">
        <f t="shared" si="40"/>
        <v>15.384615384615385</v>
      </c>
      <c r="AZ76" s="4">
        <f t="shared" si="41"/>
        <v>2</v>
      </c>
      <c r="BA76" s="7"/>
      <c r="BB76" s="5">
        <v>61</v>
      </c>
      <c r="BC76" s="5"/>
      <c r="BD76" s="5"/>
      <c r="BE76" s="5"/>
      <c r="BF76" s="5"/>
      <c r="BG76" s="5"/>
      <c r="BH76" s="5"/>
    </row>
    <row r="77" spans="2:60" ht="17.25" customHeight="1">
      <c r="B77" t="s">
        <v>137</v>
      </c>
      <c r="C77" s="11">
        <v>2025</v>
      </c>
      <c r="D77" s="11">
        <v>1</v>
      </c>
      <c r="E77">
        <v>38.659999999999997</v>
      </c>
      <c r="F77">
        <v>20.11</v>
      </c>
      <c r="G77" s="5">
        <f t="shared" si="25"/>
        <v>-92.242665340626544</v>
      </c>
      <c r="H77" s="27">
        <v>80.599999999999994</v>
      </c>
      <c r="I77" s="27">
        <v>5.15</v>
      </c>
      <c r="J77" s="27"/>
      <c r="K77" s="27">
        <v>3.68</v>
      </c>
      <c r="L77" s="27"/>
      <c r="M77" s="27">
        <v>10.7</v>
      </c>
      <c r="O77">
        <v>42.14</v>
      </c>
      <c r="P77" s="5">
        <f t="shared" si="26"/>
        <v>8.1825242718446596</v>
      </c>
      <c r="Q77" s="27">
        <v>26.07</v>
      </c>
      <c r="R77" s="28" t="s">
        <v>79</v>
      </c>
      <c r="S77" s="6">
        <v>0</v>
      </c>
      <c r="T77" s="7"/>
      <c r="U77" s="7"/>
      <c r="V77" s="7">
        <v>1</v>
      </c>
      <c r="W77" s="4"/>
      <c r="X77" s="4">
        <v>2.6</v>
      </c>
      <c r="Y77" s="4">
        <v>17.8</v>
      </c>
      <c r="Z77" s="4">
        <v>16.45</v>
      </c>
      <c r="AA77" s="5">
        <f t="shared" si="27"/>
        <v>0</v>
      </c>
      <c r="AB77" s="11">
        <v>20</v>
      </c>
      <c r="AC77" s="5">
        <f t="shared" si="28"/>
        <v>1.7</v>
      </c>
      <c r="AD77" s="27">
        <v>188</v>
      </c>
      <c r="AE77" s="27">
        <v>56</v>
      </c>
      <c r="AF77" s="27">
        <v>101.71</v>
      </c>
      <c r="AG77" s="6">
        <f t="shared" si="29"/>
        <v>3</v>
      </c>
      <c r="AH77" s="5">
        <f t="shared" si="30"/>
        <v>6.7</v>
      </c>
      <c r="AI77" s="5">
        <v>11</v>
      </c>
      <c r="AJ77" s="5">
        <f t="shared" si="31"/>
        <v>1</v>
      </c>
      <c r="AK77" s="5">
        <f t="shared" si="32"/>
        <v>11.2</v>
      </c>
      <c r="AL77" s="4">
        <f t="shared" si="33"/>
        <v>1</v>
      </c>
      <c r="AM77" s="8" t="str">
        <f t="shared" si="34"/>
        <v>HRS Aluglaze</v>
      </c>
      <c r="AN77" s="30">
        <v>15</v>
      </c>
      <c r="AO77" s="61">
        <f t="shared" si="35"/>
        <v>0</v>
      </c>
      <c r="AP77" s="7">
        <f t="shared" si="36"/>
        <v>0</v>
      </c>
      <c r="AQ77" s="5">
        <v>1</v>
      </c>
      <c r="AR77" s="7">
        <f t="shared" si="37"/>
        <v>5</v>
      </c>
      <c r="AS77" s="27">
        <v>96</v>
      </c>
      <c r="AT77" s="5">
        <v>94</v>
      </c>
      <c r="AU77" s="5">
        <v>127</v>
      </c>
      <c r="AV77" s="5">
        <f t="shared" si="38"/>
        <v>110.5</v>
      </c>
      <c r="AW77" s="27">
        <v>126</v>
      </c>
      <c r="AX77" s="4">
        <f t="shared" si="39"/>
        <v>1</v>
      </c>
      <c r="AY77" s="4">
        <f t="shared" si="40"/>
        <v>32.291666666666664</v>
      </c>
      <c r="AZ77" s="4">
        <f t="shared" si="41"/>
        <v>2.5</v>
      </c>
      <c r="BA77" s="7"/>
      <c r="BB77" s="5">
        <v>132</v>
      </c>
      <c r="BC77" s="5">
        <v>139</v>
      </c>
      <c r="BD77" s="5">
        <v>146</v>
      </c>
      <c r="BE77" s="5">
        <v>174</v>
      </c>
      <c r="BF77" s="5"/>
      <c r="BG77" s="5"/>
      <c r="BH77" s="5"/>
    </row>
    <row r="78" spans="2:60" ht="15" customHeight="1">
      <c r="B78" t="s">
        <v>138</v>
      </c>
      <c r="C78" s="11">
        <v>2025</v>
      </c>
      <c r="D78" s="11">
        <v>1</v>
      </c>
      <c r="E78">
        <v>14.57</v>
      </c>
      <c r="F78">
        <v>44.21</v>
      </c>
      <c r="G78" s="5">
        <f t="shared" si="25"/>
        <v>67.043655281610498</v>
      </c>
      <c r="H78" s="27">
        <v>65.73</v>
      </c>
      <c r="I78" s="27">
        <v>20.420000000000002</v>
      </c>
      <c r="J78" s="27"/>
      <c r="K78" s="27">
        <v>11.67</v>
      </c>
      <c r="L78" s="27"/>
      <c r="M78" s="27">
        <v>30.27</v>
      </c>
      <c r="N78" s="27"/>
      <c r="O78" s="27">
        <v>187.28</v>
      </c>
      <c r="P78" s="5">
        <f t="shared" si="26"/>
        <v>9.1714005876591571</v>
      </c>
      <c r="Q78" s="27">
        <v>10.11</v>
      </c>
      <c r="R78" s="28">
        <v>14.16</v>
      </c>
      <c r="S78" s="6">
        <v>0.9</v>
      </c>
      <c r="T78" s="7"/>
      <c r="U78" s="7"/>
      <c r="V78" s="7">
        <v>1</v>
      </c>
      <c r="W78" s="4"/>
      <c r="X78" s="4">
        <v>2</v>
      </c>
      <c r="Y78" s="4">
        <v>2</v>
      </c>
      <c r="Z78" s="4">
        <v>1</v>
      </c>
      <c r="AA78" s="5">
        <f t="shared" si="27"/>
        <v>1</v>
      </c>
      <c r="AB78" s="11">
        <v>4.26</v>
      </c>
      <c r="AC78" s="5">
        <f t="shared" si="28"/>
        <v>1</v>
      </c>
      <c r="AD78" s="27">
        <v>509</v>
      </c>
      <c r="AE78" s="27">
        <v>95</v>
      </c>
      <c r="AF78" s="27">
        <v>86</v>
      </c>
      <c r="AG78" s="6">
        <f t="shared" si="29"/>
        <v>7.5</v>
      </c>
      <c r="AH78" s="5">
        <f t="shared" si="30"/>
        <v>11.5</v>
      </c>
      <c r="AI78" s="5">
        <v>11</v>
      </c>
      <c r="AJ78" s="5">
        <f t="shared" si="31"/>
        <v>1</v>
      </c>
      <c r="AK78" s="5">
        <f t="shared" si="32"/>
        <v>22.75</v>
      </c>
      <c r="AL78" s="4">
        <f t="shared" si="33"/>
        <v>1</v>
      </c>
      <c r="AM78" s="8" t="str">
        <f t="shared" si="34"/>
        <v>Pajson Agro India</v>
      </c>
      <c r="AN78" s="31">
        <v>15</v>
      </c>
      <c r="AO78" s="61">
        <f t="shared" si="35"/>
        <v>0</v>
      </c>
      <c r="AP78" s="7">
        <f t="shared" si="36"/>
        <v>3</v>
      </c>
      <c r="AQ78" s="5">
        <v>1</v>
      </c>
      <c r="AR78" s="7">
        <f t="shared" si="37"/>
        <v>5</v>
      </c>
      <c r="AS78" s="32">
        <v>118</v>
      </c>
      <c r="AT78" s="5">
        <v>215</v>
      </c>
      <c r="AU78" s="5">
        <v>262</v>
      </c>
      <c r="AV78" s="5">
        <f t="shared" si="38"/>
        <v>238.5</v>
      </c>
      <c r="AW78" s="32">
        <v>124</v>
      </c>
      <c r="AX78" s="4">
        <f t="shared" si="39"/>
        <v>0</v>
      </c>
      <c r="AY78" s="4">
        <f t="shared" si="40"/>
        <v>122.03389830508475</v>
      </c>
      <c r="AZ78" s="4">
        <f t="shared" si="41"/>
        <v>2.5</v>
      </c>
      <c r="BA78" s="15">
        <v>124</v>
      </c>
      <c r="BB78" s="17">
        <v>130</v>
      </c>
      <c r="BC78" s="17">
        <v>136</v>
      </c>
      <c r="BD78" s="17">
        <v>143.4</v>
      </c>
      <c r="BE78" s="5"/>
      <c r="BF78" s="5"/>
      <c r="BG78" s="5"/>
      <c r="BH78" s="5"/>
    </row>
    <row r="79" spans="2:60" ht="12.75" customHeight="1">
      <c r="B79" t="s">
        <v>139</v>
      </c>
      <c r="C79" s="11">
        <v>2025</v>
      </c>
      <c r="D79" s="11">
        <v>1</v>
      </c>
      <c r="E79">
        <v>62.57</v>
      </c>
      <c r="F79">
        <v>20.420000000000002</v>
      </c>
      <c r="G79" s="5">
        <f t="shared" si="25"/>
        <v>-206.41527913809989</v>
      </c>
      <c r="H79">
        <v>101.46</v>
      </c>
      <c r="I79">
        <v>11.45</v>
      </c>
      <c r="K79">
        <v>11.45</v>
      </c>
      <c r="M79">
        <v>24.89</v>
      </c>
      <c r="O79">
        <v>96.06</v>
      </c>
      <c r="P79" s="5">
        <f t="shared" si="26"/>
        <v>8.3895196506550231</v>
      </c>
      <c r="Q79">
        <v>12.4</v>
      </c>
      <c r="R79" s="2">
        <v>9.94</v>
      </c>
      <c r="S79" s="6">
        <v>0</v>
      </c>
      <c r="T79" s="7"/>
      <c r="U79" s="7"/>
      <c r="V79" s="7">
        <v>1</v>
      </c>
      <c r="W79" s="4"/>
      <c r="X79" s="4">
        <v>1.31</v>
      </c>
      <c r="Y79" s="4">
        <v>3.27</v>
      </c>
      <c r="Z79" s="4">
        <v>1.08</v>
      </c>
      <c r="AA79" s="5">
        <f t="shared" si="27"/>
        <v>0</v>
      </c>
      <c r="AB79" s="11">
        <v>2.11</v>
      </c>
      <c r="AC79" s="5">
        <f t="shared" si="28"/>
        <v>0</v>
      </c>
      <c r="AD79" s="27">
        <v>731</v>
      </c>
      <c r="AE79" s="27">
        <v>21</v>
      </c>
      <c r="AF79" s="27">
        <v>117.45</v>
      </c>
      <c r="AG79" s="6">
        <f t="shared" si="29"/>
        <v>4.5</v>
      </c>
      <c r="AH79" s="5">
        <f t="shared" si="30"/>
        <v>5.5</v>
      </c>
      <c r="AI79" s="5">
        <v>11</v>
      </c>
      <c r="AJ79" s="5">
        <f t="shared" si="31"/>
        <v>1</v>
      </c>
      <c r="AK79" s="5">
        <f t="shared" si="32"/>
        <v>12.25</v>
      </c>
      <c r="AL79" s="4">
        <f t="shared" si="33"/>
        <v>1</v>
      </c>
      <c r="AM79" s="8" t="str">
        <f t="shared" si="34"/>
        <v>Ashwini Container Movers</v>
      </c>
      <c r="AN79" s="33">
        <v>16</v>
      </c>
      <c r="AO79" s="61">
        <f t="shared" si="35"/>
        <v>0</v>
      </c>
      <c r="AP79" s="7">
        <f t="shared" si="36"/>
        <v>0</v>
      </c>
      <c r="AQ79" s="5">
        <v>1</v>
      </c>
      <c r="AR79" s="7">
        <f t="shared" si="37"/>
        <v>5</v>
      </c>
      <c r="AS79" s="27">
        <v>142</v>
      </c>
      <c r="AT79" s="5">
        <v>172</v>
      </c>
      <c r="AU79" s="5">
        <v>200</v>
      </c>
      <c r="AV79" s="5">
        <f t="shared" si="38"/>
        <v>186</v>
      </c>
      <c r="AW79" s="27">
        <v>147</v>
      </c>
      <c r="AX79" s="4">
        <f t="shared" si="39"/>
        <v>0</v>
      </c>
      <c r="AY79" s="4">
        <f t="shared" si="40"/>
        <v>40.845070422535208</v>
      </c>
      <c r="AZ79" s="4">
        <f t="shared" si="41"/>
        <v>2.5</v>
      </c>
      <c r="BA79" s="7"/>
      <c r="BB79" s="5">
        <v>140</v>
      </c>
      <c r="BC79" s="5"/>
      <c r="BD79" s="5"/>
      <c r="BE79" s="5"/>
      <c r="BF79" s="5"/>
      <c r="BG79" s="5"/>
      <c r="BH79" s="5"/>
    </row>
    <row r="80" spans="2:60" ht="12.75" customHeight="1">
      <c r="B80" t="s">
        <v>140</v>
      </c>
      <c r="C80" s="11">
        <v>2025</v>
      </c>
      <c r="D80" s="11">
        <v>1</v>
      </c>
      <c r="E80">
        <v>2.75</v>
      </c>
      <c r="F80">
        <v>15.6</v>
      </c>
      <c r="G80" s="5">
        <f t="shared" si="25"/>
        <v>82.371794871794876</v>
      </c>
      <c r="H80">
        <v>47.62</v>
      </c>
      <c r="I80">
        <v>7.56</v>
      </c>
      <c r="K80">
        <v>5.49</v>
      </c>
      <c r="M80">
        <v>9.9499999999999993</v>
      </c>
      <c r="O80">
        <v>120.99</v>
      </c>
      <c r="P80" s="5">
        <f t="shared" si="26"/>
        <v>16.003968253968253</v>
      </c>
      <c r="Q80">
        <v>16.04</v>
      </c>
      <c r="R80" s="2">
        <v>17.22</v>
      </c>
      <c r="S80" s="6">
        <v>-1</v>
      </c>
      <c r="T80" s="7"/>
      <c r="U80" s="7"/>
      <c r="V80" s="7">
        <v>1</v>
      </c>
      <c r="W80" s="4"/>
      <c r="X80" s="4">
        <v>9.2899999999999991</v>
      </c>
      <c r="Y80" s="4">
        <v>17.55</v>
      </c>
      <c r="Z80" s="4">
        <v>6.69</v>
      </c>
      <c r="AA80" s="5">
        <f t="shared" si="27"/>
        <v>1</v>
      </c>
      <c r="AB80" s="11">
        <v>4</v>
      </c>
      <c r="AC80" s="5">
        <f t="shared" si="28"/>
        <v>0</v>
      </c>
      <c r="AD80" s="27">
        <v>72.17</v>
      </c>
      <c r="AE80" s="27">
        <v>73.34</v>
      </c>
      <c r="AF80" s="27">
        <v>40.57</v>
      </c>
      <c r="AG80" s="6">
        <f t="shared" si="29"/>
        <v>4.5999999999999996</v>
      </c>
      <c r="AH80" s="5">
        <f t="shared" si="30"/>
        <v>7.6</v>
      </c>
      <c r="AI80" s="5">
        <v>11</v>
      </c>
      <c r="AJ80" s="5">
        <f t="shared" si="31"/>
        <v>1</v>
      </c>
      <c r="AK80" s="5">
        <f t="shared" si="32"/>
        <v>14.5</v>
      </c>
      <c r="AL80" s="4">
        <f t="shared" si="33"/>
        <v>1</v>
      </c>
      <c r="AM80" s="8" t="str">
        <f t="shared" si="34"/>
        <v>Exim Routes</v>
      </c>
      <c r="AN80" s="31">
        <v>16</v>
      </c>
      <c r="AO80" s="61">
        <f t="shared" si="35"/>
        <v>0</v>
      </c>
      <c r="AP80" s="7">
        <f t="shared" si="36"/>
        <v>2</v>
      </c>
      <c r="AQ80" s="5">
        <v>1</v>
      </c>
      <c r="AR80" s="7">
        <f t="shared" si="37"/>
        <v>5</v>
      </c>
      <c r="AS80" s="32">
        <v>88</v>
      </c>
      <c r="AT80" s="5">
        <v>95</v>
      </c>
      <c r="AU80" s="5">
        <v>105</v>
      </c>
      <c r="AV80" s="5">
        <f t="shared" si="38"/>
        <v>100</v>
      </c>
      <c r="AW80" s="32">
        <v>110</v>
      </c>
      <c r="AX80" s="4">
        <f t="shared" si="39"/>
        <v>1</v>
      </c>
      <c r="AY80" s="4">
        <f t="shared" si="40"/>
        <v>19.318181818181817</v>
      </c>
      <c r="AZ80" s="4">
        <f t="shared" si="41"/>
        <v>2</v>
      </c>
      <c r="BA80" s="15">
        <v>120</v>
      </c>
      <c r="BB80" s="17">
        <v>115.7</v>
      </c>
      <c r="BC80" s="17">
        <v>120</v>
      </c>
      <c r="BD80" s="17">
        <v>125.51</v>
      </c>
      <c r="BE80" s="17"/>
      <c r="BF80" s="5"/>
      <c r="BG80" s="5"/>
      <c r="BH80" s="5"/>
    </row>
    <row r="81" spans="1:60" ht="12.75" customHeight="1">
      <c r="B81" s="34" t="s">
        <v>141</v>
      </c>
      <c r="C81" s="11">
        <v>2025</v>
      </c>
      <c r="D81" s="11">
        <v>1</v>
      </c>
      <c r="E81">
        <v>0.09</v>
      </c>
      <c r="F81">
        <v>16.739999999999998</v>
      </c>
      <c r="G81" s="5">
        <f t="shared" si="25"/>
        <v>99.462365591397841</v>
      </c>
      <c r="H81">
        <v>19.05</v>
      </c>
      <c r="I81">
        <v>3.74</v>
      </c>
      <c r="K81">
        <v>5.09</v>
      </c>
      <c r="M81">
        <v>4.58</v>
      </c>
      <c r="O81">
        <v>52.49</v>
      </c>
      <c r="P81" s="5">
        <f t="shared" si="26"/>
        <v>14.03475935828877</v>
      </c>
      <c r="Q81">
        <v>5.9</v>
      </c>
      <c r="R81" s="2">
        <v>6.47</v>
      </c>
      <c r="S81" s="6">
        <v>-1</v>
      </c>
      <c r="T81" s="7"/>
      <c r="U81" s="7"/>
      <c r="V81" s="7">
        <v>0</v>
      </c>
      <c r="W81" s="4"/>
      <c r="X81" s="4">
        <v>1.21</v>
      </c>
      <c r="Y81" s="4">
        <v>1.41</v>
      </c>
      <c r="Z81" s="4">
        <v>1.23</v>
      </c>
      <c r="AA81" s="5">
        <f t="shared" si="27"/>
        <v>1</v>
      </c>
      <c r="AB81" s="11">
        <v>0</v>
      </c>
      <c r="AC81" s="5">
        <f t="shared" si="28"/>
        <v>0</v>
      </c>
      <c r="AD81" s="27">
        <v>102</v>
      </c>
      <c r="AE81" s="27">
        <v>98</v>
      </c>
      <c r="AF81" s="27">
        <v>481.25</v>
      </c>
      <c r="AG81" s="6">
        <f t="shared" si="29"/>
        <v>4.0999999999999996</v>
      </c>
      <c r="AH81" s="5">
        <f t="shared" si="30"/>
        <v>6.1</v>
      </c>
      <c r="AI81" s="5">
        <v>11</v>
      </c>
      <c r="AJ81" s="5">
        <f t="shared" si="31"/>
        <v>1</v>
      </c>
      <c r="AK81" s="5">
        <f t="shared" si="32"/>
        <v>12.25</v>
      </c>
      <c r="AL81" s="4">
        <f t="shared" si="33"/>
        <v>1</v>
      </c>
      <c r="AM81" s="8" t="str">
        <f t="shared" si="34"/>
        <v>Stanbik Agro</v>
      </c>
      <c r="AN81" s="31">
        <v>16</v>
      </c>
      <c r="AO81" s="61">
        <f t="shared" si="35"/>
        <v>0</v>
      </c>
      <c r="AP81" s="7">
        <f t="shared" si="36"/>
        <v>0</v>
      </c>
      <c r="AQ81" s="5">
        <v>1</v>
      </c>
      <c r="AR81" s="7">
        <f t="shared" si="37"/>
        <v>5</v>
      </c>
      <c r="AS81" s="32">
        <v>30</v>
      </c>
      <c r="AT81" s="5">
        <v>40</v>
      </c>
      <c r="AU81" s="5">
        <v>60</v>
      </c>
      <c r="AV81" s="5">
        <f t="shared" si="38"/>
        <v>50</v>
      </c>
      <c r="AW81" s="32">
        <v>31.75</v>
      </c>
      <c r="AX81" s="4">
        <f t="shared" si="39"/>
        <v>0</v>
      </c>
      <c r="AY81" s="4">
        <f t="shared" si="40"/>
        <v>100</v>
      </c>
      <c r="AZ81" s="4">
        <f t="shared" si="41"/>
        <v>2.5</v>
      </c>
      <c r="BA81" s="15">
        <v>30</v>
      </c>
      <c r="BB81" s="17">
        <v>33.33</v>
      </c>
      <c r="BC81" s="17">
        <v>34</v>
      </c>
      <c r="BD81" s="17">
        <v>33.5</v>
      </c>
      <c r="BE81" s="17">
        <v>35</v>
      </c>
      <c r="BF81" s="5"/>
      <c r="BG81" s="5"/>
      <c r="BH81" s="5"/>
    </row>
    <row r="82" spans="1:60" ht="12.75" customHeight="1">
      <c r="B82" t="s">
        <v>142</v>
      </c>
      <c r="C82" s="11">
        <v>2025</v>
      </c>
      <c r="D82" s="4">
        <v>0</v>
      </c>
      <c r="E82">
        <v>57.99</v>
      </c>
      <c r="F82">
        <v>19.95</v>
      </c>
      <c r="G82" s="5">
        <f t="shared" si="25"/>
        <v>-190.67669172932335</v>
      </c>
      <c r="H82">
        <v>119</v>
      </c>
      <c r="I82">
        <v>9.16</v>
      </c>
      <c r="K82">
        <v>9.16</v>
      </c>
      <c r="M82">
        <v>21.38</v>
      </c>
      <c r="O82">
        <v>257.25</v>
      </c>
      <c r="P82" s="5">
        <f t="shared" si="26"/>
        <v>28.084061135371179</v>
      </c>
      <c r="Q82">
        <v>17.899999999999999</v>
      </c>
      <c r="R82" s="2">
        <v>22.31</v>
      </c>
      <c r="S82" s="6">
        <v>0</v>
      </c>
      <c r="T82" s="7"/>
      <c r="U82" s="7"/>
      <c r="V82" s="7">
        <v>0</v>
      </c>
      <c r="W82" s="4"/>
      <c r="X82" s="4">
        <v>0.32</v>
      </c>
      <c r="Y82" s="4">
        <v>0.32</v>
      </c>
      <c r="Z82" s="4">
        <v>2.83</v>
      </c>
      <c r="AA82" s="5">
        <f t="shared" si="27"/>
        <v>-0.7</v>
      </c>
      <c r="AB82" s="11">
        <v>0</v>
      </c>
      <c r="AC82" s="5">
        <f t="shared" si="28"/>
        <v>0</v>
      </c>
      <c r="AD82" s="27">
        <v>32.700000000000003</v>
      </c>
      <c r="AE82" s="27">
        <v>47</v>
      </c>
      <c r="AF82" s="27">
        <v>85</v>
      </c>
      <c r="AG82" s="6">
        <f t="shared" si="29"/>
        <v>1.5</v>
      </c>
      <c r="AH82" s="5">
        <f t="shared" si="30"/>
        <v>-0.19999999999999996</v>
      </c>
      <c r="AI82" s="5">
        <v>11</v>
      </c>
      <c r="AJ82" s="5">
        <f t="shared" si="31"/>
        <v>1</v>
      </c>
      <c r="AK82" s="5">
        <f t="shared" si="32"/>
        <v>2.0499999999999998</v>
      </c>
      <c r="AL82" s="4">
        <f t="shared" si="33"/>
        <v>0</v>
      </c>
      <c r="AM82" s="8" t="str">
        <f t="shared" si="34"/>
        <v>Neptune Logitek</v>
      </c>
      <c r="AN82" s="35">
        <v>17</v>
      </c>
      <c r="AO82" s="61">
        <f t="shared" si="35"/>
        <v>0</v>
      </c>
      <c r="AP82" s="7">
        <f t="shared" si="36"/>
        <v>0</v>
      </c>
      <c r="AQ82" s="5">
        <v>1</v>
      </c>
      <c r="AR82" s="7">
        <f t="shared" si="37"/>
        <v>5</v>
      </c>
      <c r="AS82" s="27">
        <v>126</v>
      </c>
      <c r="AT82" s="5">
        <v>70</v>
      </c>
      <c r="AU82" s="5">
        <v>84</v>
      </c>
      <c r="AV82" s="5">
        <f t="shared" si="38"/>
        <v>77</v>
      </c>
      <c r="AW82" s="27">
        <v>101</v>
      </c>
      <c r="AX82" s="4">
        <f t="shared" si="39"/>
        <v>1</v>
      </c>
      <c r="AY82" s="4">
        <f t="shared" si="40"/>
        <v>-33.333333333333336</v>
      </c>
      <c r="AZ82" s="4">
        <f t="shared" si="41"/>
        <v>-2</v>
      </c>
      <c r="BA82" s="7"/>
      <c r="BB82" s="5"/>
      <c r="BC82" s="5"/>
      <c r="BD82" s="5"/>
      <c r="BE82" s="5"/>
      <c r="BF82" s="5"/>
      <c r="BG82" s="5"/>
      <c r="BH82" s="5"/>
    </row>
    <row r="83" spans="1:60" ht="12.75" customHeight="1">
      <c r="B83" t="s">
        <v>143</v>
      </c>
      <c r="C83" s="11">
        <v>2025</v>
      </c>
      <c r="D83" s="11">
        <v>1</v>
      </c>
      <c r="E83">
        <v>1.1499999999999999</v>
      </c>
      <c r="F83">
        <v>17.39</v>
      </c>
      <c r="G83" s="5">
        <f t="shared" si="25"/>
        <v>93.387004025301906</v>
      </c>
      <c r="H83">
        <v>35.22</v>
      </c>
      <c r="I83">
        <v>6.82</v>
      </c>
      <c r="K83">
        <v>3.42</v>
      </c>
      <c r="M83">
        <v>9.4</v>
      </c>
      <c r="O83">
        <v>191.6</v>
      </c>
      <c r="P83" s="5">
        <f t="shared" si="26"/>
        <v>28.093841642228735</v>
      </c>
      <c r="Q83">
        <v>16.53</v>
      </c>
      <c r="R83" s="2">
        <v>16.22</v>
      </c>
      <c r="S83" s="6">
        <v>0</v>
      </c>
      <c r="T83" s="7"/>
      <c r="U83" s="7"/>
      <c r="V83" s="7">
        <v>1</v>
      </c>
      <c r="W83" s="4"/>
      <c r="X83" s="4">
        <v>4.7699999999999996</v>
      </c>
      <c r="Y83" s="4">
        <v>29.47</v>
      </c>
      <c r="Z83" s="4">
        <v>11.9</v>
      </c>
      <c r="AA83" s="5">
        <f t="shared" si="27"/>
        <v>0</v>
      </c>
      <c r="AB83" s="11">
        <v>0</v>
      </c>
      <c r="AC83" s="5">
        <f t="shared" si="28"/>
        <v>0</v>
      </c>
      <c r="AD83" s="27">
        <v>159</v>
      </c>
      <c r="AE83" s="27">
        <v>85</v>
      </c>
      <c r="AF83" s="27">
        <v>103</v>
      </c>
      <c r="AG83" s="6">
        <f t="shared" si="29"/>
        <v>5.6</v>
      </c>
      <c r="AH83" s="5">
        <f t="shared" si="30"/>
        <v>7.6</v>
      </c>
      <c r="AI83" s="5">
        <v>11</v>
      </c>
      <c r="AJ83" s="5">
        <f t="shared" si="31"/>
        <v>1</v>
      </c>
      <c r="AK83" s="5">
        <f t="shared" si="32"/>
        <v>15.999999999999998</v>
      </c>
      <c r="AL83" s="4">
        <f t="shared" si="33"/>
        <v>1</v>
      </c>
      <c r="AM83" s="8" t="str">
        <f t="shared" si="34"/>
        <v>Global Ocean Logistics</v>
      </c>
      <c r="AN83" s="36">
        <v>19</v>
      </c>
      <c r="AO83" s="61">
        <f t="shared" si="35"/>
        <v>1</v>
      </c>
      <c r="AP83" s="7">
        <f t="shared" si="36"/>
        <v>2</v>
      </c>
      <c r="AQ83" s="5">
        <v>1</v>
      </c>
      <c r="AR83" s="7">
        <f t="shared" si="37"/>
        <v>1</v>
      </c>
      <c r="AS83" s="27">
        <v>78</v>
      </c>
      <c r="AT83" s="5">
        <v>50</v>
      </c>
      <c r="AU83" s="5">
        <v>70</v>
      </c>
      <c r="AV83" s="5">
        <f t="shared" si="38"/>
        <v>60</v>
      </c>
      <c r="AW83" s="27">
        <v>79.2</v>
      </c>
      <c r="AX83" s="4">
        <f t="shared" si="39"/>
        <v>1</v>
      </c>
      <c r="AY83" s="4">
        <f t="shared" si="40"/>
        <v>-10.256410256410257</v>
      </c>
      <c r="AZ83" s="4">
        <f t="shared" si="41"/>
        <v>-1.5</v>
      </c>
      <c r="BA83" s="7"/>
      <c r="BB83" s="5"/>
      <c r="BC83" s="5"/>
      <c r="BD83" s="5"/>
      <c r="BE83" s="5"/>
      <c r="BF83" s="5"/>
      <c r="BG83" s="5"/>
      <c r="BH83" s="5"/>
    </row>
    <row r="84" spans="1:60" ht="12.75" customHeight="1">
      <c r="B84" t="s">
        <v>144</v>
      </c>
      <c r="C84" s="11">
        <v>2025</v>
      </c>
      <c r="D84" s="4">
        <v>0</v>
      </c>
      <c r="E84">
        <v>0.94</v>
      </c>
      <c r="F84">
        <v>27.85</v>
      </c>
      <c r="G84" s="5">
        <f t="shared" si="25"/>
        <v>96.624775583482943</v>
      </c>
      <c r="H84">
        <v>35.14</v>
      </c>
      <c r="I84">
        <v>7.48</v>
      </c>
      <c r="K84">
        <v>5.48</v>
      </c>
      <c r="M84">
        <v>10.36</v>
      </c>
      <c r="O84">
        <v>48.56</v>
      </c>
      <c r="P84" s="5">
        <f t="shared" si="26"/>
        <v>6.4919786096256686</v>
      </c>
      <c r="Q84">
        <v>16.97</v>
      </c>
      <c r="R84" s="2">
        <v>12.58</v>
      </c>
      <c r="S84" s="6">
        <v>0</v>
      </c>
      <c r="T84" s="7"/>
      <c r="U84" s="7"/>
      <c r="V84" s="7">
        <v>0</v>
      </c>
      <c r="W84" s="4"/>
      <c r="X84" s="4">
        <v>9.5</v>
      </c>
      <c r="Y84" s="4">
        <v>8.99</v>
      </c>
      <c r="Z84" s="4">
        <v>10.75</v>
      </c>
      <c r="AA84" s="5">
        <f t="shared" si="27"/>
        <v>-0.7</v>
      </c>
      <c r="AB84" s="11">
        <v>2.15</v>
      </c>
      <c r="AC84" s="5">
        <f t="shared" si="28"/>
        <v>0</v>
      </c>
      <c r="AD84" s="27">
        <v>117</v>
      </c>
      <c r="AE84" s="27">
        <v>80</v>
      </c>
      <c r="AF84" s="27">
        <v>37</v>
      </c>
      <c r="AG84" s="6">
        <f t="shared" si="29"/>
        <v>4.5999999999999996</v>
      </c>
      <c r="AH84" s="5">
        <f t="shared" si="30"/>
        <v>5.8999999999999995</v>
      </c>
      <c r="AI84" s="5">
        <v>11</v>
      </c>
      <c r="AJ84" s="5">
        <f t="shared" si="31"/>
        <v>1</v>
      </c>
      <c r="AK84" s="5">
        <f t="shared" si="32"/>
        <v>12.799999999999999</v>
      </c>
      <c r="AL84" s="4">
        <f t="shared" si="33"/>
        <v>0</v>
      </c>
      <c r="AM84" s="8" t="str">
        <f t="shared" si="34"/>
        <v>MARC Technocrats</v>
      </c>
      <c r="AN84" s="36">
        <v>19</v>
      </c>
      <c r="AO84" s="61">
        <f t="shared" si="35"/>
        <v>0</v>
      </c>
      <c r="AP84" s="7">
        <f t="shared" si="36"/>
        <v>0</v>
      </c>
      <c r="AQ84" s="5">
        <v>1</v>
      </c>
      <c r="AR84" s="7">
        <f t="shared" si="37"/>
        <v>5</v>
      </c>
      <c r="AS84" s="27">
        <v>93</v>
      </c>
      <c r="AT84" s="5">
        <v>73</v>
      </c>
      <c r="AU84" s="5">
        <v>86</v>
      </c>
      <c r="AV84" s="5">
        <f t="shared" si="38"/>
        <v>79.5</v>
      </c>
      <c r="AW84" s="27">
        <v>74</v>
      </c>
      <c r="AX84" s="4">
        <f t="shared" si="39"/>
        <v>0</v>
      </c>
      <c r="AY84" s="4">
        <f t="shared" si="40"/>
        <v>-7.5268817204301079</v>
      </c>
      <c r="AZ84" s="4">
        <f t="shared" si="41"/>
        <v>-1.5</v>
      </c>
      <c r="BA84" s="7"/>
      <c r="BB84">
        <v>70</v>
      </c>
      <c r="BC84" s="5">
        <v>67</v>
      </c>
      <c r="BD84" s="5">
        <v>63</v>
      </c>
      <c r="BE84" s="5"/>
      <c r="BF84" s="5"/>
      <c r="BG84" s="5"/>
      <c r="BH84" s="5"/>
    </row>
    <row r="85" spans="1:60" ht="19.5" customHeight="1">
      <c r="B85" t="s">
        <v>145</v>
      </c>
      <c r="C85" s="11">
        <v>2025</v>
      </c>
      <c r="D85" s="11">
        <v>1</v>
      </c>
      <c r="E85">
        <v>47.24</v>
      </c>
      <c r="F85">
        <v>23.61</v>
      </c>
      <c r="G85" s="5">
        <f t="shared" si="25"/>
        <v>-100.08470986869972</v>
      </c>
      <c r="H85">
        <v>82.47</v>
      </c>
      <c r="I85">
        <v>8.0399999999999991</v>
      </c>
      <c r="K85">
        <v>5.31</v>
      </c>
      <c r="M85">
        <v>14.52</v>
      </c>
      <c r="O85">
        <v>124.75</v>
      </c>
      <c r="P85" s="5">
        <f t="shared" si="26"/>
        <v>15.516169154228857</v>
      </c>
      <c r="Q85">
        <v>13.19</v>
      </c>
      <c r="R85" s="2">
        <v>24.7</v>
      </c>
      <c r="S85" s="6">
        <v>0</v>
      </c>
      <c r="T85" s="7"/>
      <c r="U85" s="7"/>
      <c r="V85" s="7">
        <v>1</v>
      </c>
      <c r="W85" s="4"/>
      <c r="X85" s="4">
        <v>242</v>
      </c>
      <c r="Y85" s="4">
        <v>1570</v>
      </c>
      <c r="Z85" s="4">
        <v>1068</v>
      </c>
      <c r="AA85" s="5">
        <f t="shared" si="27"/>
        <v>1</v>
      </c>
      <c r="AB85" s="11">
        <v>100</v>
      </c>
      <c r="AC85" s="5">
        <f t="shared" si="28"/>
        <v>1.7</v>
      </c>
      <c r="AD85" s="27">
        <v>28</v>
      </c>
      <c r="AE85" s="27">
        <v>16</v>
      </c>
      <c r="AF85" s="27">
        <v>51.67</v>
      </c>
      <c r="AG85" s="6">
        <f t="shared" si="29"/>
        <v>3.5</v>
      </c>
      <c r="AH85" s="5">
        <f t="shared" si="30"/>
        <v>8.1999999999999993</v>
      </c>
      <c r="AI85" s="5">
        <v>11</v>
      </c>
      <c r="AJ85" s="5">
        <f t="shared" si="31"/>
        <v>1</v>
      </c>
      <c r="AK85" s="5">
        <f t="shared" si="32"/>
        <v>13.45</v>
      </c>
      <c r="AL85" s="4">
        <f t="shared" si="33"/>
        <v>1</v>
      </c>
      <c r="AM85" s="8" t="str">
        <f t="shared" si="34"/>
        <v>Shyam Dhani Industries</v>
      </c>
      <c r="AN85" s="35">
        <v>24</v>
      </c>
      <c r="AO85" s="61">
        <f t="shared" si="35"/>
        <v>0</v>
      </c>
      <c r="AP85" s="7">
        <f t="shared" si="36"/>
        <v>0</v>
      </c>
      <c r="AQ85" s="5">
        <v>1</v>
      </c>
      <c r="AR85" s="7">
        <f t="shared" si="37"/>
        <v>5</v>
      </c>
      <c r="AS85" s="27">
        <v>70</v>
      </c>
      <c r="AT85" s="5">
        <v>44</v>
      </c>
      <c r="AU85" s="5">
        <v>57</v>
      </c>
      <c r="AV85" s="5">
        <f t="shared" si="38"/>
        <v>50.5</v>
      </c>
      <c r="AW85" s="27">
        <v>133</v>
      </c>
      <c r="AX85" s="4">
        <f t="shared" si="39"/>
        <v>1</v>
      </c>
      <c r="AY85" s="4">
        <f t="shared" si="40"/>
        <v>-18.571428571428573</v>
      </c>
      <c r="AZ85" s="4">
        <f t="shared" si="41"/>
        <v>-1.5</v>
      </c>
      <c r="BA85" s="7">
        <v>138</v>
      </c>
      <c r="BB85" s="5">
        <v>139.65</v>
      </c>
      <c r="BC85" s="5">
        <v>132.6</v>
      </c>
      <c r="BD85" s="5">
        <v>130</v>
      </c>
      <c r="BE85" s="5">
        <v>139</v>
      </c>
      <c r="BF85" s="5"/>
      <c r="BG85" s="5"/>
      <c r="BH85" s="5"/>
    </row>
    <row r="86" spans="1:60" ht="12.75" customHeight="1">
      <c r="B86" s="27" t="s">
        <v>146</v>
      </c>
      <c r="C86" s="11">
        <v>2025</v>
      </c>
      <c r="D86" s="11">
        <v>0</v>
      </c>
      <c r="E86" s="27">
        <v>44.11</v>
      </c>
      <c r="F86" s="27">
        <v>27.32</v>
      </c>
      <c r="G86" s="5">
        <f t="shared" si="25"/>
        <v>-61.456808199121525</v>
      </c>
      <c r="H86" s="27">
        <v>104.34</v>
      </c>
      <c r="I86" s="27">
        <v>7.56</v>
      </c>
      <c r="J86" s="27"/>
      <c r="K86" s="27">
        <v>6.86</v>
      </c>
      <c r="L86" s="27"/>
      <c r="M86" s="27">
        <v>12.83</v>
      </c>
      <c r="N86" s="27"/>
      <c r="O86" s="27">
        <v>64.25</v>
      </c>
      <c r="P86" s="5">
        <f t="shared" si="26"/>
        <v>8.4986772486772484</v>
      </c>
      <c r="Q86" s="27">
        <v>14.86</v>
      </c>
      <c r="R86" s="28">
        <v>10.33</v>
      </c>
      <c r="S86" s="6">
        <v>0</v>
      </c>
      <c r="T86" s="7"/>
      <c r="U86" s="7"/>
      <c r="V86" s="7">
        <v>1</v>
      </c>
      <c r="W86" s="4"/>
      <c r="X86" s="4">
        <v>1.3</v>
      </c>
      <c r="Y86" s="4">
        <v>2.6</v>
      </c>
      <c r="Z86" s="4">
        <v>1.6</v>
      </c>
      <c r="AA86" s="5">
        <f t="shared" si="27"/>
        <v>1</v>
      </c>
      <c r="AB86" s="11">
        <v>3.92</v>
      </c>
      <c r="AC86" s="5">
        <f t="shared" si="28"/>
        <v>0</v>
      </c>
      <c r="AD86" s="27">
        <v>128</v>
      </c>
      <c r="AE86" s="27">
        <v>26</v>
      </c>
      <c r="AF86" s="27">
        <v>31</v>
      </c>
      <c r="AG86" s="6">
        <f t="shared" si="29"/>
        <v>4.5</v>
      </c>
      <c r="AH86" s="5">
        <f t="shared" si="30"/>
        <v>6.5</v>
      </c>
      <c r="AI86" s="5">
        <v>11</v>
      </c>
      <c r="AJ86" s="5">
        <f t="shared" si="31"/>
        <v>1</v>
      </c>
      <c r="AK86" s="5">
        <f t="shared" si="32"/>
        <v>13.25</v>
      </c>
      <c r="AL86" s="4">
        <f t="shared" si="33"/>
        <v>0</v>
      </c>
      <c r="AM86" s="8" t="str">
        <f t="shared" si="34"/>
        <v>Dachepalli Publishers</v>
      </c>
      <c r="AN86" s="35">
        <v>24</v>
      </c>
      <c r="AO86" s="61">
        <f t="shared" si="35"/>
        <v>0</v>
      </c>
      <c r="AP86" s="7">
        <f t="shared" si="36"/>
        <v>0</v>
      </c>
      <c r="AQ86" s="5">
        <v>1</v>
      </c>
      <c r="AR86" s="7">
        <f t="shared" si="37"/>
        <v>5</v>
      </c>
      <c r="AS86" s="27">
        <v>102</v>
      </c>
      <c r="AT86" s="5">
        <v>142</v>
      </c>
      <c r="AU86" s="5">
        <v>152</v>
      </c>
      <c r="AV86" s="5">
        <f t="shared" si="38"/>
        <v>147</v>
      </c>
      <c r="AW86" s="27">
        <v>82</v>
      </c>
      <c r="AX86" s="4">
        <f t="shared" si="39"/>
        <v>0</v>
      </c>
      <c r="AY86" s="4">
        <f t="shared" si="40"/>
        <v>49.019607843137258</v>
      </c>
      <c r="AZ86" s="4">
        <f t="shared" si="41"/>
        <v>2.5</v>
      </c>
      <c r="BA86" s="7"/>
      <c r="BB86" s="5">
        <v>81</v>
      </c>
      <c r="BC86" s="5"/>
      <c r="BD86" s="5"/>
      <c r="BE86" s="5"/>
      <c r="BF86" s="5"/>
      <c r="BG86" s="5"/>
      <c r="BH86" s="5"/>
    </row>
    <row r="87" spans="1:60" ht="12.75" customHeight="1">
      <c r="B87" t="s">
        <v>147</v>
      </c>
      <c r="C87" s="11">
        <v>2025</v>
      </c>
      <c r="D87" s="11">
        <v>1</v>
      </c>
      <c r="E87">
        <v>12.25</v>
      </c>
      <c r="F87">
        <v>5.28</v>
      </c>
      <c r="G87" s="5">
        <f t="shared" si="25"/>
        <v>-132.00757575757575</v>
      </c>
      <c r="H87" s="27">
        <v>26.55</v>
      </c>
      <c r="I87" s="27">
        <v>4.33</v>
      </c>
      <c r="J87" s="27"/>
      <c r="K87" s="27">
        <v>5.28</v>
      </c>
      <c r="L87" s="27"/>
      <c r="M87" s="27">
        <v>6.21</v>
      </c>
      <c r="N87" s="27"/>
      <c r="O87" s="27">
        <v>53.34</v>
      </c>
      <c r="P87" s="5">
        <f t="shared" si="26"/>
        <v>12.318706697459584</v>
      </c>
      <c r="Q87" s="27">
        <v>18.36</v>
      </c>
      <c r="R87" s="28">
        <v>13.51</v>
      </c>
      <c r="S87" s="6">
        <v>1</v>
      </c>
      <c r="T87" s="7"/>
      <c r="U87" s="7"/>
      <c r="V87" s="7">
        <v>1</v>
      </c>
      <c r="W87" s="4"/>
      <c r="X87" s="4">
        <v>1.2</v>
      </c>
      <c r="Y87" s="4">
        <v>1.5</v>
      </c>
      <c r="Z87" s="4">
        <v>1.31</v>
      </c>
      <c r="AA87" s="5">
        <f t="shared" si="27"/>
        <v>1</v>
      </c>
      <c r="AB87" s="27">
        <v>0</v>
      </c>
      <c r="AC87" s="5">
        <f t="shared" si="28"/>
        <v>0</v>
      </c>
      <c r="AD87" s="27">
        <v>485</v>
      </c>
      <c r="AE87" s="27">
        <v>188</v>
      </c>
      <c r="AF87" s="27">
        <v>456</v>
      </c>
      <c r="AG87" s="6">
        <f t="shared" si="29"/>
        <v>5.5</v>
      </c>
      <c r="AH87" s="5">
        <f t="shared" si="30"/>
        <v>7.5</v>
      </c>
      <c r="AI87" s="5">
        <v>11</v>
      </c>
      <c r="AJ87" s="5">
        <f t="shared" si="31"/>
        <v>1</v>
      </c>
      <c r="AK87" s="5">
        <f t="shared" si="32"/>
        <v>15.75</v>
      </c>
      <c r="AL87" s="4">
        <f t="shared" si="33"/>
        <v>1</v>
      </c>
      <c r="AM87" s="8" t="str">
        <f t="shared" si="34"/>
        <v>EPW India</v>
      </c>
      <c r="AN87" s="31">
        <v>24</v>
      </c>
      <c r="AO87" s="61">
        <f t="shared" si="35"/>
        <v>0</v>
      </c>
      <c r="AP87" s="7">
        <f t="shared" si="36"/>
        <v>3</v>
      </c>
      <c r="AQ87" s="5">
        <v>1</v>
      </c>
      <c r="AR87" s="7">
        <f t="shared" si="37"/>
        <v>5</v>
      </c>
      <c r="AS87" s="32">
        <v>97</v>
      </c>
      <c r="AT87" s="5">
        <v>105</v>
      </c>
      <c r="AU87" s="5">
        <v>154</v>
      </c>
      <c r="AV87" s="5">
        <f t="shared" si="38"/>
        <v>129.5</v>
      </c>
      <c r="AW87" s="32">
        <v>111</v>
      </c>
      <c r="AX87" s="4">
        <f t="shared" si="39"/>
        <v>0</v>
      </c>
      <c r="AY87" s="4">
        <f t="shared" si="40"/>
        <v>58.762886597938142</v>
      </c>
      <c r="AZ87" s="4">
        <f t="shared" si="41"/>
        <v>2.5</v>
      </c>
      <c r="BA87" s="15">
        <v>99.5</v>
      </c>
      <c r="BB87" s="17">
        <v>116</v>
      </c>
      <c r="BC87" s="17">
        <v>122</v>
      </c>
      <c r="BD87" s="17">
        <v>117</v>
      </c>
      <c r="BE87" s="17">
        <v>130</v>
      </c>
      <c r="BF87" s="5"/>
      <c r="BG87" s="5"/>
      <c r="BH87" s="5"/>
    </row>
    <row r="88" spans="1:60" ht="12.75" customHeight="1">
      <c r="B88" s="27" t="s">
        <v>148</v>
      </c>
      <c r="C88" s="11">
        <v>2025</v>
      </c>
      <c r="D88" s="11">
        <v>0</v>
      </c>
      <c r="E88" s="27">
        <v>17.38</v>
      </c>
      <c r="F88" s="27">
        <v>15.28</v>
      </c>
      <c r="G88" s="5">
        <f t="shared" si="25"/>
        <v>-13.743455497382199</v>
      </c>
      <c r="H88" s="27">
        <v>38.43</v>
      </c>
      <c r="I88" s="27">
        <v>5.44</v>
      </c>
      <c r="J88" s="27"/>
      <c r="K88" s="27">
        <v>8.0399999999999991</v>
      </c>
      <c r="L88" s="27"/>
      <c r="M88" s="27">
        <v>9.19</v>
      </c>
      <c r="N88" s="27"/>
      <c r="O88" s="27">
        <v>69.12</v>
      </c>
      <c r="P88" s="5">
        <f t="shared" si="26"/>
        <v>12.705882352941176</v>
      </c>
      <c r="Q88">
        <v>10.69</v>
      </c>
      <c r="R88" s="28">
        <v>24</v>
      </c>
      <c r="S88" s="6">
        <v>0</v>
      </c>
      <c r="T88" s="37"/>
      <c r="U88" s="37"/>
      <c r="V88" s="37">
        <v>0</v>
      </c>
      <c r="W88" s="27"/>
      <c r="X88" s="27">
        <v>1</v>
      </c>
      <c r="Y88" s="27">
        <v>1</v>
      </c>
      <c r="Z88" s="27">
        <v>1.85</v>
      </c>
      <c r="AA88" s="5">
        <f t="shared" si="27"/>
        <v>-0.7</v>
      </c>
      <c r="AB88" s="27">
        <v>0</v>
      </c>
      <c r="AC88" s="5">
        <f t="shared" si="28"/>
        <v>0</v>
      </c>
      <c r="AD88">
        <v>112</v>
      </c>
      <c r="AE88">
        <v>41</v>
      </c>
      <c r="AF88">
        <v>286</v>
      </c>
      <c r="AG88" s="6">
        <f t="shared" si="29"/>
        <v>2.5</v>
      </c>
      <c r="AH88" s="5">
        <f t="shared" si="30"/>
        <v>1.8</v>
      </c>
      <c r="AI88" s="5">
        <v>11</v>
      </c>
      <c r="AJ88" s="5">
        <f t="shared" si="31"/>
        <v>1</v>
      </c>
      <c r="AK88" s="5">
        <f t="shared" si="32"/>
        <v>5.55</v>
      </c>
      <c r="AL88" s="4">
        <f t="shared" si="33"/>
        <v>0</v>
      </c>
      <c r="AM88" s="8" t="str">
        <f t="shared" si="34"/>
        <v>Sundrex Oil</v>
      </c>
      <c r="AN88" s="35">
        <v>24</v>
      </c>
      <c r="AO88" s="61">
        <f t="shared" si="35"/>
        <v>0</v>
      </c>
      <c r="AP88" s="7">
        <f t="shared" si="36"/>
        <v>0</v>
      </c>
      <c r="AQ88" s="5">
        <v>1</v>
      </c>
      <c r="AR88" s="7">
        <f t="shared" si="37"/>
        <v>5</v>
      </c>
      <c r="AS88" s="27">
        <v>86</v>
      </c>
      <c r="AT88" s="5">
        <v>57</v>
      </c>
      <c r="AU88" s="5">
        <v>69</v>
      </c>
      <c r="AV88" s="5">
        <f t="shared" si="38"/>
        <v>63</v>
      </c>
      <c r="AW88" s="27">
        <v>69</v>
      </c>
      <c r="AX88" s="4">
        <f t="shared" si="39"/>
        <v>1</v>
      </c>
      <c r="AY88" s="4">
        <f t="shared" si="40"/>
        <v>-19.767441860465116</v>
      </c>
      <c r="AZ88" s="4">
        <f t="shared" si="41"/>
        <v>-1.5</v>
      </c>
      <c r="BA88" s="7"/>
      <c r="BB88" s="5"/>
      <c r="BC88" s="5"/>
      <c r="BD88" s="5"/>
      <c r="BE88" s="5"/>
      <c r="BF88" s="5"/>
      <c r="BG88" s="5"/>
      <c r="BH88" s="5"/>
    </row>
    <row r="89" spans="1:60" ht="12.75" customHeight="1">
      <c r="B89" s="38" t="s">
        <v>149</v>
      </c>
      <c r="C89" s="11">
        <v>2025</v>
      </c>
      <c r="D89" s="11">
        <v>0</v>
      </c>
      <c r="E89" s="38">
        <v>10.66</v>
      </c>
      <c r="F89" s="38">
        <v>22.03</v>
      </c>
      <c r="G89" s="5">
        <f t="shared" si="25"/>
        <v>51.611438946890601</v>
      </c>
      <c r="H89" s="38">
        <v>55.9</v>
      </c>
      <c r="I89" s="38">
        <v>6.1</v>
      </c>
      <c r="J89" s="27"/>
      <c r="K89" s="38">
        <v>12.22</v>
      </c>
      <c r="L89" s="27"/>
      <c r="M89" s="38">
        <v>10.31</v>
      </c>
      <c r="N89" s="27"/>
      <c r="O89" s="38">
        <v>53.52</v>
      </c>
      <c r="P89" s="5">
        <f t="shared" si="26"/>
        <v>8.7737704918032797</v>
      </c>
      <c r="Q89">
        <v>19.559999999999999</v>
      </c>
      <c r="R89" s="2">
        <v>13.41</v>
      </c>
      <c r="S89" s="6">
        <v>-1</v>
      </c>
      <c r="T89" s="39"/>
      <c r="U89" s="39"/>
      <c r="V89" s="39">
        <v>1.44</v>
      </c>
      <c r="W89" s="38">
        <v>1</v>
      </c>
      <c r="X89" s="38">
        <v>1.44</v>
      </c>
      <c r="Y89" s="38">
        <v>6.57</v>
      </c>
      <c r="Z89" s="38">
        <v>2.8</v>
      </c>
      <c r="AA89" s="5">
        <f t="shared" si="27"/>
        <v>0</v>
      </c>
      <c r="AB89" s="38">
        <v>2.09</v>
      </c>
      <c r="AC89" s="5">
        <f t="shared" si="28"/>
        <v>0</v>
      </c>
      <c r="AD89" s="27">
        <v>82</v>
      </c>
      <c r="AE89" s="27">
        <v>170</v>
      </c>
      <c r="AF89" s="27">
        <v>284</v>
      </c>
      <c r="AG89" s="6">
        <f t="shared" si="29"/>
        <v>4.9000000000000004</v>
      </c>
      <c r="AH89" s="5">
        <f t="shared" si="30"/>
        <v>6.9</v>
      </c>
      <c r="AI89" s="5">
        <v>11</v>
      </c>
      <c r="AJ89" s="5">
        <f t="shared" si="31"/>
        <v>1</v>
      </c>
      <c r="AK89" s="5">
        <f t="shared" si="32"/>
        <v>14.25</v>
      </c>
      <c r="AL89" s="4">
        <f t="shared" si="33"/>
        <v>0</v>
      </c>
      <c r="AM89" s="8" t="str">
        <f t="shared" si="34"/>
        <v>Admach Systems</v>
      </c>
      <c r="AN89" s="40">
        <v>26</v>
      </c>
      <c r="AO89" s="61">
        <f t="shared" si="35"/>
        <v>0</v>
      </c>
      <c r="AP89" s="7">
        <f t="shared" si="36"/>
        <v>3</v>
      </c>
      <c r="AQ89" s="5">
        <v>1</v>
      </c>
      <c r="AR89" s="7">
        <f t="shared" si="37"/>
        <v>5</v>
      </c>
      <c r="AS89" s="27">
        <v>239</v>
      </c>
      <c r="AT89" s="5">
        <v>256</v>
      </c>
      <c r="AU89" s="5">
        <v>267</v>
      </c>
      <c r="AV89" s="5">
        <f t="shared" si="38"/>
        <v>261.5</v>
      </c>
      <c r="AW89" s="27">
        <v>191</v>
      </c>
      <c r="AX89" s="4">
        <f t="shared" si="39"/>
        <v>0</v>
      </c>
      <c r="AY89" s="4">
        <f t="shared" si="40"/>
        <v>11.715481171548117</v>
      </c>
      <c r="AZ89" s="4">
        <f t="shared" si="41"/>
        <v>2</v>
      </c>
      <c r="BA89" s="7">
        <v>250</v>
      </c>
      <c r="BB89" s="5" t="s">
        <v>150</v>
      </c>
      <c r="BC89" s="5">
        <v>211</v>
      </c>
      <c r="BD89" s="5">
        <v>221</v>
      </c>
      <c r="BE89" s="5">
        <v>242</v>
      </c>
      <c r="BF89" s="5"/>
      <c r="BG89" s="5"/>
      <c r="BH89" s="5"/>
    </row>
    <row r="90" spans="1:60" ht="12.75" customHeight="1">
      <c r="B90" s="38" t="s">
        <v>151</v>
      </c>
      <c r="C90" s="11">
        <v>2025</v>
      </c>
      <c r="D90" s="11">
        <v>1</v>
      </c>
      <c r="E90" s="38">
        <v>0.5</v>
      </c>
      <c r="F90" s="38">
        <v>14.14</v>
      </c>
      <c r="G90" s="5">
        <f t="shared" si="25"/>
        <v>96.463932107496461</v>
      </c>
      <c r="H90" s="38">
        <v>31.23</v>
      </c>
      <c r="I90" s="38">
        <v>4.76</v>
      </c>
      <c r="J90" s="38"/>
      <c r="K90" s="38">
        <v>12.91</v>
      </c>
      <c r="L90" s="38"/>
      <c r="M90" s="38">
        <v>6.48</v>
      </c>
      <c r="N90" s="38"/>
      <c r="O90" s="38">
        <v>51.24</v>
      </c>
      <c r="P90" s="5">
        <f t="shared" si="26"/>
        <v>10.764705882352942</v>
      </c>
      <c r="Q90" s="38">
        <v>17.03</v>
      </c>
      <c r="R90" s="41">
        <v>12.85</v>
      </c>
      <c r="S90" s="6">
        <v>-1</v>
      </c>
      <c r="T90" s="39"/>
      <c r="U90" s="39"/>
      <c r="V90" s="39">
        <v>1</v>
      </c>
      <c r="W90" s="38">
        <v>0</v>
      </c>
      <c r="X90" s="38">
        <v>12</v>
      </c>
      <c r="Y90" s="38">
        <v>4.8</v>
      </c>
      <c r="Z90" s="38">
        <v>1.71</v>
      </c>
      <c r="AA90" s="5">
        <f t="shared" si="27"/>
        <v>1</v>
      </c>
      <c r="AB90" s="38">
        <v>0</v>
      </c>
      <c r="AC90" s="5">
        <f t="shared" si="28"/>
        <v>0</v>
      </c>
      <c r="AD90" s="27">
        <v>84</v>
      </c>
      <c r="AE90" s="27">
        <v>93</v>
      </c>
      <c r="AF90" s="27">
        <v>133</v>
      </c>
      <c r="AG90" s="6">
        <f t="shared" si="29"/>
        <v>5.6</v>
      </c>
      <c r="AH90" s="5">
        <f t="shared" si="30"/>
        <v>8.6</v>
      </c>
      <c r="AI90" s="5">
        <v>11</v>
      </c>
      <c r="AJ90" s="5">
        <f t="shared" si="31"/>
        <v>1</v>
      </c>
      <c r="AK90" s="5">
        <f t="shared" si="32"/>
        <v>17</v>
      </c>
      <c r="AL90" s="4">
        <f t="shared" si="33"/>
        <v>1</v>
      </c>
      <c r="AM90" s="8" t="str">
        <f t="shared" si="34"/>
        <v>Nanta Tech</v>
      </c>
      <c r="AN90" s="31">
        <v>26</v>
      </c>
      <c r="AO90" s="61">
        <f t="shared" si="35"/>
        <v>0</v>
      </c>
      <c r="AP90" s="7">
        <f t="shared" si="36"/>
        <v>3</v>
      </c>
      <c r="AQ90" s="5">
        <v>1</v>
      </c>
      <c r="AR90" s="7">
        <f t="shared" si="37"/>
        <v>5</v>
      </c>
      <c r="AS90" s="32">
        <v>220</v>
      </c>
      <c r="AT90" s="5">
        <v>112</v>
      </c>
      <c r="AU90" s="5">
        <v>182</v>
      </c>
      <c r="AV90" s="5">
        <f t="shared" si="38"/>
        <v>147</v>
      </c>
      <c r="AW90" s="32">
        <v>234</v>
      </c>
      <c r="AX90" s="4">
        <f t="shared" si="39"/>
        <v>1</v>
      </c>
      <c r="AY90" s="4">
        <f t="shared" si="40"/>
        <v>-17.272727272727273</v>
      </c>
      <c r="AZ90" s="4">
        <f t="shared" si="41"/>
        <v>-1.5</v>
      </c>
      <c r="BA90" s="15">
        <v>240</v>
      </c>
      <c r="BB90" s="17">
        <v>245</v>
      </c>
      <c r="BC90" s="17">
        <v>258</v>
      </c>
      <c r="BD90" s="17">
        <v>265</v>
      </c>
      <c r="BE90" s="17"/>
      <c r="BF90" s="5"/>
      <c r="BG90" s="5"/>
      <c r="BH90" s="5"/>
    </row>
    <row r="91" spans="1:60" ht="12.75" customHeight="1">
      <c r="B91" t="s">
        <v>152</v>
      </c>
      <c r="C91" s="11">
        <v>2025</v>
      </c>
      <c r="D91" s="11">
        <v>1</v>
      </c>
      <c r="E91">
        <v>31.75</v>
      </c>
      <c r="F91">
        <v>25.32</v>
      </c>
      <c r="G91" s="5">
        <f t="shared" si="25"/>
        <v>-25.394944707740915</v>
      </c>
      <c r="H91">
        <v>76.25</v>
      </c>
      <c r="I91">
        <v>13.79</v>
      </c>
      <c r="K91">
        <v>13.79</v>
      </c>
      <c r="M91">
        <v>18.149999999999999</v>
      </c>
      <c r="O91">
        <v>99.66</v>
      </c>
      <c r="P91" s="5">
        <f t="shared" si="26"/>
        <v>7.226976069615664</v>
      </c>
      <c r="Q91">
        <v>9.43</v>
      </c>
      <c r="R91" s="2">
        <v>14.62</v>
      </c>
      <c r="S91" s="6">
        <v>0</v>
      </c>
      <c r="T91" s="1"/>
      <c r="U91" s="1"/>
      <c r="V91" s="1">
        <v>1</v>
      </c>
      <c r="W91">
        <v>1</v>
      </c>
      <c r="X91">
        <v>18.3</v>
      </c>
      <c r="Y91">
        <v>77</v>
      </c>
      <c r="Z91">
        <v>33.4</v>
      </c>
      <c r="AA91" s="5">
        <f t="shared" si="27"/>
        <v>0</v>
      </c>
      <c r="AB91">
        <v>4.62</v>
      </c>
      <c r="AC91" s="5">
        <f t="shared" si="28"/>
        <v>1</v>
      </c>
      <c r="AD91" s="27">
        <v>327</v>
      </c>
      <c r="AE91" s="27">
        <v>44</v>
      </c>
      <c r="AF91" s="27">
        <v>118</v>
      </c>
      <c r="AG91" s="6">
        <f t="shared" si="29"/>
        <v>4.5</v>
      </c>
      <c r="AH91" s="5">
        <f t="shared" si="30"/>
        <v>7.5</v>
      </c>
      <c r="AI91" s="5">
        <v>11</v>
      </c>
      <c r="AJ91" s="5">
        <f t="shared" si="31"/>
        <v>1</v>
      </c>
      <c r="AK91" s="5">
        <f t="shared" si="32"/>
        <v>14.25</v>
      </c>
      <c r="AL91" s="4">
        <f t="shared" si="33"/>
        <v>1</v>
      </c>
      <c r="AM91" s="8" t="str">
        <f t="shared" si="34"/>
        <v>Apollo Techno Industries</v>
      </c>
      <c r="AN91" s="40">
        <v>26</v>
      </c>
      <c r="AO91" s="61">
        <f t="shared" si="35"/>
        <v>0</v>
      </c>
      <c r="AP91" s="7">
        <f t="shared" si="36"/>
        <v>2</v>
      </c>
      <c r="AQ91" s="5">
        <v>1</v>
      </c>
      <c r="AR91" s="7">
        <f t="shared" si="37"/>
        <v>5</v>
      </c>
      <c r="AS91" s="27">
        <v>130</v>
      </c>
      <c r="AT91" s="5">
        <v>88</v>
      </c>
      <c r="AU91" s="5">
        <v>102</v>
      </c>
      <c r="AV91" s="5">
        <f t="shared" si="38"/>
        <v>95</v>
      </c>
      <c r="AW91" s="27">
        <v>145</v>
      </c>
      <c r="AX91" s="4">
        <f t="shared" si="39"/>
        <v>1</v>
      </c>
      <c r="AY91" s="4">
        <f t="shared" si="40"/>
        <v>-21.53846153846154</v>
      </c>
      <c r="AZ91" s="4">
        <f t="shared" si="41"/>
        <v>-2</v>
      </c>
      <c r="BA91" s="7"/>
      <c r="BB91" s="5">
        <v>151</v>
      </c>
      <c r="BC91" s="5"/>
      <c r="BD91" s="5"/>
      <c r="BE91" s="5"/>
      <c r="BF91" s="5"/>
      <c r="BG91" s="5"/>
      <c r="BH91" s="5"/>
    </row>
    <row r="92" spans="1:60" ht="12.75" customHeight="1">
      <c r="B92" s="42" t="s">
        <v>153</v>
      </c>
      <c r="C92" s="11">
        <v>2025</v>
      </c>
      <c r="D92" s="11">
        <v>1</v>
      </c>
      <c r="E92" s="42">
        <v>109</v>
      </c>
      <c r="F92" s="42">
        <v>53.7</v>
      </c>
      <c r="G92" s="5">
        <f t="shared" si="25"/>
        <v>-102.97951582867783</v>
      </c>
      <c r="H92" s="42">
        <v>203</v>
      </c>
      <c r="I92" s="42">
        <v>18.3</v>
      </c>
      <c r="J92" s="42"/>
      <c r="K92" s="42">
        <v>11.66</v>
      </c>
      <c r="M92" s="27">
        <v>33.51</v>
      </c>
      <c r="N92" s="42"/>
      <c r="O92" s="42">
        <v>332.12</v>
      </c>
      <c r="P92" s="5">
        <f t="shared" si="26"/>
        <v>18.148633879781421</v>
      </c>
      <c r="Q92" s="42">
        <v>16</v>
      </c>
      <c r="R92" s="43"/>
      <c r="S92" s="6">
        <v>0</v>
      </c>
      <c r="T92" s="44"/>
      <c r="U92" s="44"/>
      <c r="V92" s="44">
        <v>1</v>
      </c>
      <c r="W92" s="42">
        <v>1</v>
      </c>
      <c r="X92" s="42">
        <v>7.9</v>
      </c>
      <c r="Y92" s="42">
        <v>5.4</v>
      </c>
      <c r="Z92" s="42">
        <v>2.39</v>
      </c>
      <c r="AA92" s="5">
        <f t="shared" si="27"/>
        <v>1</v>
      </c>
      <c r="AB92" s="42">
        <v>4.84</v>
      </c>
      <c r="AC92" s="5">
        <f t="shared" si="28"/>
        <v>1</v>
      </c>
      <c r="AD92" s="27">
        <v>100</v>
      </c>
      <c r="AE92" s="27">
        <v>12.16</v>
      </c>
      <c r="AF92" s="27">
        <v>55</v>
      </c>
      <c r="AG92" s="6">
        <f t="shared" si="29"/>
        <v>4</v>
      </c>
      <c r="AH92" s="5">
        <f t="shared" si="30"/>
        <v>8</v>
      </c>
      <c r="AI92" s="5">
        <v>11</v>
      </c>
      <c r="AJ92" s="5">
        <f t="shared" si="31"/>
        <v>1</v>
      </c>
      <c r="AK92" s="5">
        <f t="shared" si="32"/>
        <v>14</v>
      </c>
      <c r="AL92" s="4">
        <f t="shared" si="33"/>
        <v>1</v>
      </c>
      <c r="AM92" s="8" t="str">
        <f t="shared" si="34"/>
        <v>Bai Kakaji Polymers</v>
      </c>
      <c r="AN92" s="40">
        <v>26</v>
      </c>
      <c r="AO92" s="61">
        <f t="shared" si="35"/>
        <v>0</v>
      </c>
      <c r="AP92" s="7">
        <f t="shared" si="36"/>
        <v>3</v>
      </c>
      <c r="AQ92" s="5">
        <v>1</v>
      </c>
      <c r="AR92" s="7">
        <f t="shared" si="37"/>
        <v>5</v>
      </c>
      <c r="AS92" s="27">
        <v>186</v>
      </c>
      <c r="AT92" s="5">
        <v>167</v>
      </c>
      <c r="AU92" s="5">
        <v>215</v>
      </c>
      <c r="AV92" s="5">
        <f t="shared" si="38"/>
        <v>191</v>
      </c>
      <c r="AW92" s="27">
        <v>190</v>
      </c>
      <c r="AX92" s="4">
        <f t="shared" si="39"/>
        <v>0</v>
      </c>
      <c r="AY92" s="4">
        <f t="shared" si="40"/>
        <v>15.591397849462366</v>
      </c>
      <c r="AZ92" s="4">
        <f t="shared" si="41"/>
        <v>2</v>
      </c>
      <c r="BA92" s="7"/>
      <c r="BB92" s="5">
        <v>188</v>
      </c>
      <c r="BC92" s="5"/>
      <c r="BD92" s="5"/>
      <c r="BE92" s="5"/>
      <c r="BF92" s="5"/>
      <c r="BG92" s="5"/>
      <c r="BH92" s="5"/>
    </row>
    <row r="93" spans="1:60" ht="11.25" customHeight="1">
      <c r="B93" t="s">
        <v>154</v>
      </c>
      <c r="C93" s="11">
        <v>2025</v>
      </c>
      <c r="D93" s="11">
        <v>1</v>
      </c>
      <c r="E93">
        <v>21.29</v>
      </c>
      <c r="F93">
        <v>12.9</v>
      </c>
      <c r="G93" s="5">
        <f t="shared" si="25"/>
        <v>-65.038759689922472</v>
      </c>
      <c r="H93">
        <v>46.24</v>
      </c>
      <c r="I93">
        <v>6.53</v>
      </c>
      <c r="K93">
        <v>5.88</v>
      </c>
      <c r="M93">
        <v>5.28</v>
      </c>
      <c r="O93">
        <v>48</v>
      </c>
      <c r="P93" s="5">
        <f t="shared" si="26"/>
        <v>7.3506891271056656</v>
      </c>
      <c r="Q93" s="42">
        <v>21.43</v>
      </c>
      <c r="R93" s="43">
        <v>26.07</v>
      </c>
      <c r="S93" s="6">
        <v>-0.5</v>
      </c>
      <c r="T93" s="44"/>
      <c r="U93" s="44"/>
      <c r="V93" s="44">
        <v>1</v>
      </c>
      <c r="W93" s="42">
        <v>1</v>
      </c>
      <c r="X93" s="42">
        <v>49.5</v>
      </c>
      <c r="Y93" s="42">
        <v>158</v>
      </c>
      <c r="Z93">
        <v>71.5</v>
      </c>
      <c r="AA93" s="5">
        <f t="shared" si="27"/>
        <v>0</v>
      </c>
      <c r="AB93">
        <v>11</v>
      </c>
      <c r="AC93" s="5">
        <f t="shared" si="28"/>
        <v>1.7</v>
      </c>
      <c r="AD93" s="27">
        <v>110</v>
      </c>
      <c r="AE93" s="27">
        <v>35</v>
      </c>
      <c r="AF93" s="27">
        <v>90</v>
      </c>
      <c r="AG93" s="6">
        <f t="shared" si="29"/>
        <v>4</v>
      </c>
      <c r="AH93" s="5">
        <f t="shared" si="30"/>
        <v>7.7</v>
      </c>
      <c r="AI93" s="5">
        <v>11</v>
      </c>
      <c r="AJ93" s="5">
        <f t="shared" si="31"/>
        <v>1</v>
      </c>
      <c r="AK93" s="5">
        <f t="shared" si="32"/>
        <v>13.7</v>
      </c>
      <c r="AL93" s="4">
        <f t="shared" si="33"/>
        <v>1</v>
      </c>
      <c r="AM93" s="8" t="str">
        <f t="shared" si="34"/>
        <v>Dhara Rail Projects</v>
      </c>
      <c r="AN93" s="40">
        <v>26</v>
      </c>
      <c r="AO93" s="61">
        <f t="shared" si="35"/>
        <v>0</v>
      </c>
      <c r="AP93" s="7">
        <f t="shared" si="36"/>
        <v>0</v>
      </c>
      <c r="AQ93" s="5">
        <v>1</v>
      </c>
      <c r="AR93" s="7">
        <f t="shared" si="37"/>
        <v>5</v>
      </c>
      <c r="AS93" s="27">
        <v>126</v>
      </c>
      <c r="AT93" s="5">
        <v>168</v>
      </c>
      <c r="AU93" s="5">
        <v>187</v>
      </c>
      <c r="AV93" s="5">
        <f t="shared" si="38"/>
        <v>177.5</v>
      </c>
      <c r="AW93" s="27">
        <v>150</v>
      </c>
      <c r="AX93" s="4">
        <f t="shared" si="39"/>
        <v>0</v>
      </c>
      <c r="AY93" s="4">
        <f t="shared" si="40"/>
        <v>48.412698412698411</v>
      </c>
      <c r="AZ93" s="4">
        <f t="shared" si="41"/>
        <v>2.5</v>
      </c>
      <c r="BA93" s="7"/>
      <c r="BB93" s="5">
        <v>157</v>
      </c>
      <c r="BC93" s="5"/>
      <c r="BD93" s="5"/>
      <c r="BE93" s="5"/>
      <c r="BF93" s="5"/>
      <c r="BG93" s="5"/>
      <c r="BH93" s="5"/>
    </row>
    <row r="94" spans="1:60" ht="17.25" customHeight="1">
      <c r="B94" s="38" t="s">
        <v>155</v>
      </c>
      <c r="C94" s="11">
        <v>2025</v>
      </c>
      <c r="D94" s="11">
        <v>1</v>
      </c>
      <c r="E94" s="38">
        <v>66.180000000000007</v>
      </c>
      <c r="F94" s="38">
        <v>116.05</v>
      </c>
      <c r="G94" s="5">
        <f t="shared" si="25"/>
        <v>42.972856527358893</v>
      </c>
      <c r="H94" s="38">
        <v>295.44</v>
      </c>
      <c r="I94" s="38">
        <v>14.37</v>
      </c>
      <c r="J94" s="38"/>
      <c r="K94" s="38">
        <v>11.58</v>
      </c>
      <c r="L94" s="38"/>
      <c r="M94" s="38">
        <v>26.57</v>
      </c>
      <c r="N94" s="38"/>
      <c r="O94" s="38">
        <v>250.81</v>
      </c>
      <c r="P94" s="5">
        <f t="shared" si="26"/>
        <v>17.453723034098818</v>
      </c>
      <c r="Q94" s="38">
        <v>27.64</v>
      </c>
      <c r="R94" s="41">
        <v>10.11</v>
      </c>
      <c r="S94" s="6">
        <v>0</v>
      </c>
      <c r="T94" s="39"/>
      <c r="U94" s="39"/>
      <c r="V94" s="39">
        <v>1</v>
      </c>
      <c r="W94" s="38">
        <v>154.9</v>
      </c>
      <c r="X94" s="38">
        <v>759.6</v>
      </c>
      <c r="Y94" s="38">
        <v>470</v>
      </c>
      <c r="Z94" s="38">
        <v>100</v>
      </c>
      <c r="AA94" s="5">
        <f t="shared" si="27"/>
        <v>1</v>
      </c>
      <c r="AB94" s="38">
        <v>95</v>
      </c>
      <c r="AC94" s="5">
        <f t="shared" si="28"/>
        <v>1.7</v>
      </c>
      <c r="AD94" s="27">
        <v>48</v>
      </c>
      <c r="AE94" s="27">
        <v>47.37</v>
      </c>
      <c r="AF94" s="27">
        <v>73.53</v>
      </c>
      <c r="AG94" s="6">
        <f t="shared" si="29"/>
        <v>4.9000000000000004</v>
      </c>
      <c r="AH94" s="5">
        <f t="shared" si="30"/>
        <v>9.6</v>
      </c>
      <c r="AI94" s="5">
        <v>11</v>
      </c>
      <c r="AJ94" s="5">
        <f t="shared" si="31"/>
        <v>1</v>
      </c>
      <c r="AK94" s="5">
        <f t="shared" si="32"/>
        <v>16.95</v>
      </c>
      <c r="AL94" s="4">
        <f t="shared" si="33"/>
        <v>1</v>
      </c>
      <c r="AM94" s="8" t="str">
        <f t="shared" si="34"/>
        <v>E to E Transportation Infrastructure</v>
      </c>
      <c r="AN94" s="29">
        <v>30</v>
      </c>
      <c r="AO94" s="61">
        <f t="shared" si="35"/>
        <v>1</v>
      </c>
      <c r="AP94" s="7">
        <f t="shared" si="36"/>
        <v>1</v>
      </c>
      <c r="AQ94" s="5">
        <v>1</v>
      </c>
      <c r="AR94" s="7">
        <f t="shared" si="37"/>
        <v>1</v>
      </c>
      <c r="AS94" s="27">
        <v>174</v>
      </c>
      <c r="AT94" s="5">
        <v>200</v>
      </c>
      <c r="AU94" s="5">
        <v>216</v>
      </c>
      <c r="AV94" s="5">
        <f t="shared" si="38"/>
        <v>208</v>
      </c>
      <c r="AW94" s="27">
        <v>331</v>
      </c>
      <c r="AX94" s="4">
        <f t="shared" si="39"/>
        <v>1</v>
      </c>
      <c r="AY94" s="4">
        <f t="shared" si="40"/>
        <v>24.137931034482758</v>
      </c>
      <c r="AZ94" s="4">
        <f t="shared" si="41"/>
        <v>2.5</v>
      </c>
      <c r="BA94" s="7">
        <v>336</v>
      </c>
      <c r="BB94" s="5">
        <v>340</v>
      </c>
      <c r="BC94" s="5">
        <v>311</v>
      </c>
      <c r="BD94" s="5">
        <v>296</v>
      </c>
      <c r="BE94" s="5"/>
      <c r="BF94" s="5"/>
      <c r="BG94" s="5"/>
      <c r="BH94" s="5"/>
    </row>
    <row r="95" spans="1:60" ht="11.25" customHeight="1">
      <c r="B95" t="s">
        <v>156</v>
      </c>
      <c r="C95" s="11">
        <v>2025</v>
      </c>
      <c r="D95">
        <v>1</v>
      </c>
      <c r="E95">
        <v>22.09</v>
      </c>
      <c r="F95">
        <v>20.73</v>
      </c>
      <c r="G95" s="5">
        <f t="shared" si="25"/>
        <v>-6.5605402797877446</v>
      </c>
      <c r="H95">
        <v>64.56</v>
      </c>
      <c r="I95">
        <v>8.9700000000000006</v>
      </c>
      <c r="K95">
        <v>8.15</v>
      </c>
      <c r="M95">
        <v>17.96</v>
      </c>
      <c r="O95">
        <v>78.900000000000006</v>
      </c>
      <c r="P95" s="5">
        <f t="shared" si="26"/>
        <v>8.7959866220735794</v>
      </c>
      <c r="Q95" s="42">
        <v>11.04</v>
      </c>
      <c r="R95" s="2">
        <v>12.4</v>
      </c>
      <c r="S95" s="6">
        <v>0</v>
      </c>
      <c r="T95" s="1"/>
      <c r="U95" s="1"/>
      <c r="V95" s="1">
        <v>1</v>
      </c>
      <c r="X95">
        <v>9</v>
      </c>
      <c r="Y95">
        <v>154</v>
      </c>
      <c r="Z95">
        <v>77</v>
      </c>
      <c r="AA95" s="5">
        <f t="shared" si="27"/>
        <v>0</v>
      </c>
      <c r="AB95">
        <v>15</v>
      </c>
      <c r="AC95" s="5">
        <f t="shared" si="28"/>
        <v>1.7</v>
      </c>
      <c r="AD95" s="27">
        <v>60</v>
      </c>
      <c r="AE95" s="27">
        <v>14</v>
      </c>
      <c r="AF95" s="27">
        <v>90</v>
      </c>
      <c r="AG95" s="6">
        <f t="shared" si="29"/>
        <v>4.5</v>
      </c>
      <c r="AH95" s="5">
        <f t="shared" si="30"/>
        <v>8.1999999999999993</v>
      </c>
      <c r="AI95" s="5">
        <v>11</v>
      </c>
      <c r="AJ95" s="5">
        <f t="shared" si="31"/>
        <v>1</v>
      </c>
      <c r="AK95" s="5">
        <f t="shared" si="32"/>
        <v>14.95</v>
      </c>
      <c r="AL95" s="4">
        <f t="shared" si="33"/>
        <v>1</v>
      </c>
      <c r="AM95" s="8" t="str">
        <f t="shared" si="34"/>
        <v>Modern Diagnostic</v>
      </c>
      <c r="AN95" s="45">
        <v>2</v>
      </c>
      <c r="AO95" s="61">
        <f t="shared" si="35"/>
        <v>1</v>
      </c>
      <c r="AP95" s="7">
        <f t="shared" si="36"/>
        <v>1</v>
      </c>
      <c r="AQ95" s="5">
        <v>1</v>
      </c>
      <c r="AR95" s="7">
        <f t="shared" si="37"/>
        <v>1</v>
      </c>
      <c r="AS95" s="27">
        <v>90</v>
      </c>
      <c r="AT95" s="5">
        <v>119</v>
      </c>
      <c r="AU95" s="5">
        <v>159</v>
      </c>
      <c r="AV95" s="5">
        <f t="shared" si="38"/>
        <v>139</v>
      </c>
      <c r="AW95" s="27">
        <v>99.5</v>
      </c>
      <c r="AX95" s="4">
        <f t="shared" si="39"/>
        <v>0</v>
      </c>
      <c r="AY95" s="4">
        <f t="shared" si="40"/>
        <v>76.666666666666671</v>
      </c>
      <c r="AZ95" s="4">
        <f t="shared" si="41"/>
        <v>2.5</v>
      </c>
      <c r="BA95" s="7">
        <v>104</v>
      </c>
      <c r="BB95" s="27">
        <v>98</v>
      </c>
      <c r="BC95" s="27">
        <v>94</v>
      </c>
      <c r="BD95" s="27">
        <v>95</v>
      </c>
      <c r="BE95" s="27">
        <v>98</v>
      </c>
      <c r="BF95" s="27"/>
      <c r="BG95" s="27"/>
      <c r="BH95" s="27"/>
    </row>
    <row r="96" spans="1:60" ht="17.25" customHeight="1">
      <c r="A96" t="s">
        <v>157</v>
      </c>
      <c r="B96" t="s">
        <v>158</v>
      </c>
      <c r="C96" t="s">
        <v>159</v>
      </c>
      <c r="D96" s="11">
        <v>1</v>
      </c>
      <c r="E96">
        <v>46.71</v>
      </c>
      <c r="F96">
        <v>22.03</v>
      </c>
      <c r="G96" s="5">
        <f t="shared" si="25"/>
        <v>-112.02905129369042</v>
      </c>
      <c r="H96">
        <v>87.52</v>
      </c>
      <c r="I96">
        <v>6.63</v>
      </c>
      <c r="J96">
        <v>6.6</v>
      </c>
      <c r="K96">
        <v>6.65</v>
      </c>
      <c r="L96">
        <v>0</v>
      </c>
      <c r="M96">
        <v>15.06</v>
      </c>
      <c r="N96">
        <v>14.89</v>
      </c>
      <c r="O96">
        <v>101.17</v>
      </c>
      <c r="P96" s="5">
        <f t="shared" si="26"/>
        <v>15.259426847662143</v>
      </c>
      <c r="Q96">
        <v>12.18</v>
      </c>
      <c r="R96" s="2">
        <v>17.04</v>
      </c>
      <c r="S96" s="6">
        <v>-1</v>
      </c>
      <c r="T96">
        <v>29.16</v>
      </c>
      <c r="U96">
        <v>0</v>
      </c>
      <c r="V96">
        <v>1</v>
      </c>
      <c r="W96">
        <v>1</v>
      </c>
      <c r="X96">
        <v>271.13</v>
      </c>
      <c r="Y96">
        <v>1467.78</v>
      </c>
      <c r="Z96">
        <v>867.23</v>
      </c>
      <c r="AA96" s="5">
        <f t="shared" si="27"/>
        <v>1</v>
      </c>
      <c r="AB96">
        <v>38</v>
      </c>
      <c r="AC96" s="5">
        <f t="shared" si="28"/>
        <v>1.7</v>
      </c>
      <c r="AD96">
        <v>13.92</v>
      </c>
      <c r="AE96">
        <v>-3.62</v>
      </c>
      <c r="AF96">
        <v>42.96</v>
      </c>
      <c r="AG96" s="6">
        <f t="shared" si="29"/>
        <v>-0.5</v>
      </c>
      <c r="AH96" s="5">
        <f t="shared" si="30"/>
        <v>4.2</v>
      </c>
      <c r="AI96" s="5">
        <v>11</v>
      </c>
      <c r="AJ96" s="5">
        <f t="shared" si="31"/>
        <v>1</v>
      </c>
      <c r="AK96" s="5">
        <f t="shared" si="32"/>
        <v>3.45</v>
      </c>
      <c r="AL96" s="4">
        <f t="shared" si="33"/>
        <v>1</v>
      </c>
      <c r="AM96" s="8" t="str">
        <f t="shared" si="34"/>
        <v xml:space="preserve">Gabion Technologies </v>
      </c>
      <c r="AN96" s="46">
        <v>8</v>
      </c>
      <c r="AO96" s="61">
        <f t="shared" si="35"/>
        <v>0</v>
      </c>
      <c r="AP96" s="7">
        <f t="shared" si="36"/>
        <v>0</v>
      </c>
      <c r="AQ96" s="5">
        <v>1</v>
      </c>
      <c r="AR96" s="7">
        <f t="shared" si="37"/>
        <v>5</v>
      </c>
      <c r="AS96" s="50">
        <v>81</v>
      </c>
      <c r="AT96" s="5">
        <v>66</v>
      </c>
      <c r="AU96" s="5">
        <v>76</v>
      </c>
      <c r="AV96" s="5">
        <f t="shared" si="38"/>
        <v>71</v>
      </c>
      <c r="AW96" s="50">
        <v>89</v>
      </c>
      <c r="AX96" s="4">
        <f t="shared" si="39"/>
        <v>1</v>
      </c>
      <c r="AY96" s="4">
        <f t="shared" si="40"/>
        <v>-6.1728395061728394</v>
      </c>
      <c r="AZ96" s="4">
        <f t="shared" si="41"/>
        <v>-1.5</v>
      </c>
      <c r="BA96" s="7"/>
      <c r="BB96" s="51">
        <v>93</v>
      </c>
    </row>
    <row r="97" spans="1:56" ht="12.75" customHeight="1">
      <c r="A97" t="s">
        <v>160</v>
      </c>
      <c r="B97" t="s">
        <v>161</v>
      </c>
      <c r="C97" t="s">
        <v>159</v>
      </c>
      <c r="D97" s="11">
        <v>0</v>
      </c>
      <c r="E97">
        <v>9.2899999999999991</v>
      </c>
      <c r="F97">
        <v>14.87</v>
      </c>
      <c r="G97" s="5">
        <f t="shared" si="25"/>
        <v>37.525218560860793</v>
      </c>
      <c r="H97">
        <v>31.29</v>
      </c>
      <c r="I97">
        <v>5.17</v>
      </c>
      <c r="J97">
        <v>10.17</v>
      </c>
      <c r="K97">
        <v>3.3</v>
      </c>
      <c r="L97">
        <v>42.1</v>
      </c>
      <c r="M97">
        <v>7.79</v>
      </c>
      <c r="N97">
        <v>15.32</v>
      </c>
      <c r="O97">
        <v>51.06</v>
      </c>
      <c r="P97" s="5">
        <f t="shared" si="26"/>
        <v>9.876208897485494</v>
      </c>
      <c r="Q97">
        <v>12.41</v>
      </c>
      <c r="R97" s="2">
        <v>5.9</v>
      </c>
      <c r="S97" s="6">
        <v>-1</v>
      </c>
      <c r="T97">
        <v>34.56</v>
      </c>
      <c r="U97">
        <v>0</v>
      </c>
      <c r="V97">
        <v>0</v>
      </c>
      <c r="W97">
        <v>0</v>
      </c>
      <c r="X97">
        <v>0.91</v>
      </c>
      <c r="Y97">
        <v>0.91</v>
      </c>
      <c r="Z97">
        <v>0.99</v>
      </c>
      <c r="AA97" s="5">
        <f t="shared" si="27"/>
        <v>-0.7</v>
      </c>
      <c r="AB97">
        <v>0</v>
      </c>
      <c r="AC97" s="5">
        <f t="shared" si="28"/>
        <v>0</v>
      </c>
      <c r="AD97">
        <v>5.73</v>
      </c>
      <c r="AE97">
        <v>4.72</v>
      </c>
      <c r="AF97">
        <v>53.3</v>
      </c>
      <c r="AG97" s="6">
        <f t="shared" si="29"/>
        <v>2.4000000000000004</v>
      </c>
      <c r="AH97" s="5">
        <f t="shared" si="30"/>
        <v>1.7000000000000004</v>
      </c>
      <c r="AI97" s="5">
        <v>11</v>
      </c>
      <c r="AJ97" s="5">
        <f t="shared" si="31"/>
        <v>1</v>
      </c>
      <c r="AK97" s="5">
        <f t="shared" si="32"/>
        <v>5.3000000000000007</v>
      </c>
      <c r="AL97" s="4">
        <f t="shared" si="33"/>
        <v>0</v>
      </c>
      <c r="AM97" s="8" t="str">
        <f t="shared" si="34"/>
        <v>Victory Electric Veh</v>
      </c>
      <c r="AN97" s="46">
        <v>9</v>
      </c>
      <c r="AO97" s="61">
        <f t="shared" si="35"/>
        <v>0</v>
      </c>
      <c r="AP97" s="7">
        <f t="shared" si="36"/>
        <v>0</v>
      </c>
      <c r="AQ97" s="5">
        <v>1</v>
      </c>
      <c r="AR97" s="7">
        <f t="shared" si="37"/>
        <v>5</v>
      </c>
      <c r="AS97" s="50">
        <v>41</v>
      </c>
      <c r="AT97" s="5">
        <v>19</v>
      </c>
      <c r="AU97" s="5">
        <v>22</v>
      </c>
      <c r="AV97" s="5">
        <f t="shared" si="38"/>
        <v>20.5</v>
      </c>
      <c r="AW97" s="50">
        <v>34</v>
      </c>
      <c r="AX97" s="4">
        <f t="shared" si="39"/>
        <v>1</v>
      </c>
      <c r="AY97" s="4">
        <f t="shared" si="40"/>
        <v>-46.341463414634148</v>
      </c>
      <c r="AZ97" s="4">
        <f t="shared" si="41"/>
        <v>-2</v>
      </c>
      <c r="BA97" s="7"/>
      <c r="BB97" s="51">
        <v>32</v>
      </c>
    </row>
    <row r="98" spans="1:56" ht="12.75" customHeight="1">
      <c r="A98" t="s">
        <v>162</v>
      </c>
      <c r="B98" t="s">
        <v>163</v>
      </c>
      <c r="C98" t="s">
        <v>159</v>
      </c>
      <c r="D98" s="11">
        <v>0</v>
      </c>
      <c r="E98">
        <v>66.180000000000007</v>
      </c>
      <c r="F98">
        <v>42.32</v>
      </c>
      <c r="G98" s="5">
        <f t="shared" ref="G98:G129" si="42">100*(F98-E98)/F98</f>
        <v>-56.379962192816649</v>
      </c>
      <c r="H98">
        <v>140.72999999999999</v>
      </c>
      <c r="I98">
        <v>11.68</v>
      </c>
      <c r="J98">
        <v>8.2899999999999991</v>
      </c>
      <c r="K98">
        <v>7.41</v>
      </c>
      <c r="L98">
        <v>26.92</v>
      </c>
      <c r="M98">
        <v>18.850000000000001</v>
      </c>
      <c r="N98">
        <v>13.39</v>
      </c>
      <c r="O98">
        <v>141.99</v>
      </c>
      <c r="P98" s="5">
        <f t="shared" ref="P98:P129" si="43">O98/I98</f>
        <v>12.156678082191782</v>
      </c>
      <c r="Q98">
        <v>23.49</v>
      </c>
      <c r="R98" s="2">
        <v>17.899999999999999</v>
      </c>
      <c r="S98" s="6">
        <v>-1</v>
      </c>
      <c r="T98">
        <v>120.41</v>
      </c>
      <c r="U98">
        <v>0</v>
      </c>
      <c r="V98">
        <v>0</v>
      </c>
      <c r="W98">
        <v>1</v>
      </c>
      <c r="X98">
        <v>1.03</v>
      </c>
      <c r="Y98">
        <v>0.91</v>
      </c>
      <c r="Z98">
        <v>1.51</v>
      </c>
      <c r="AA98" s="5">
        <f t="shared" ref="AA98:AA129" si="44">IF(X98&lt;50,IF(Y98&gt;(2.3*X98),0,1),1)-IF(Z98&gt;Y98,1.7,0)</f>
        <v>-0.7</v>
      </c>
      <c r="AB98">
        <v>0</v>
      </c>
      <c r="AC98" s="5">
        <f t="shared" ref="AC98:AC129" si="45">IF(AB98&gt;4,1,0)+IF(AB98&gt;10,0.7,0)</f>
        <v>0</v>
      </c>
      <c r="AD98">
        <v>173.54</v>
      </c>
      <c r="AE98">
        <v>67.34</v>
      </c>
      <c r="AF98">
        <v>37.99</v>
      </c>
      <c r="AG98" s="6">
        <f t="shared" ref="AG98:AG129" si="46">IF(G98&lt;52,0,0.7)+IF(G98&lt;34,0,0.7)+IF(G98&lt;1,0,0.7)+IF(P98&gt;14.56,0,1)+IF(R98&lt;9,0.5,0)+IF(R98&lt;33.8,0.5,0)+IF(R98&lt;50,0.5,0)+IF(R98&lt;80,0.5,0)+IF(S98=5,0,S98)+IF(V98&gt;0,1,-1)+IF(AE98&lt;10.56,0,1)-IF(AE98&lt;3,1,0)-IF(AE98&lt;1,1,0)</f>
        <v>1.5</v>
      </c>
      <c r="AH98" s="5">
        <f t="shared" ref="AH98:AH129" si="47">AG98+IF(X98&lt;1.35,0,1)+IF(Y98&lt;1.35,0,1)+IF(Y98&lt;0.7,-1,0)+AC98+AA98</f>
        <v>0.8</v>
      </c>
      <c r="AI98" s="5">
        <v>11</v>
      </c>
      <c r="AJ98" s="5">
        <f t="shared" si="31"/>
        <v>1</v>
      </c>
      <c r="AK98" s="5">
        <f t="shared" si="32"/>
        <v>3.05</v>
      </c>
      <c r="AL98" s="4">
        <f t="shared" si="33"/>
        <v>0</v>
      </c>
      <c r="AM98" s="8" t="str">
        <f t="shared" si="34"/>
        <v>Yajur Fibres Date, P</v>
      </c>
      <c r="AN98" s="46">
        <v>9</v>
      </c>
      <c r="AO98" s="61">
        <f t="shared" si="35"/>
        <v>0</v>
      </c>
      <c r="AP98" s="7">
        <f t="shared" si="36"/>
        <v>0</v>
      </c>
      <c r="AQ98" s="5">
        <v>1</v>
      </c>
      <c r="AR98" s="7">
        <f t="shared" si="37"/>
        <v>5</v>
      </c>
      <c r="AS98" s="50">
        <v>174</v>
      </c>
      <c r="AT98" s="5">
        <v>56</v>
      </c>
      <c r="AU98" s="5">
        <v>71</v>
      </c>
      <c r="AV98" s="5">
        <f t="shared" si="38"/>
        <v>63.5</v>
      </c>
      <c r="AW98" s="50">
        <v>139</v>
      </c>
      <c r="AX98" s="4">
        <f t="shared" si="39"/>
        <v>1</v>
      </c>
      <c r="AY98" s="4">
        <f t="shared" si="40"/>
        <v>-59.195402298850574</v>
      </c>
      <c r="AZ98" s="4">
        <f t="shared" ref="AZ98:AZ129" si="48">IF(AY98&lt;-50,-4,IF(AY98&lt;-20,-2,IF(AY98&lt;0,-1.5,IF(AY98=0,0,IF(AY98&lt;10,1.5,IF(AY98&lt;20,2,IF(AY98&gt;19,2.5,2.5)))))))</f>
        <v>-4</v>
      </c>
      <c r="BA98" s="7"/>
      <c r="BB98">
        <v>132</v>
      </c>
    </row>
    <row r="99" spans="1:56" ht="11.25" customHeight="1">
      <c r="A99" t="s">
        <v>164</v>
      </c>
      <c r="B99" t="s">
        <v>165</v>
      </c>
      <c r="C99">
        <v>2026</v>
      </c>
      <c r="D99" s="11">
        <v>1</v>
      </c>
      <c r="E99">
        <v>11.56</v>
      </c>
      <c r="F99">
        <v>9.1199999999999992</v>
      </c>
      <c r="G99" s="5">
        <f t="shared" si="42"/>
        <v>-26.754385964912295</v>
      </c>
      <c r="H99">
        <v>33.909999999999997</v>
      </c>
      <c r="I99">
        <v>3.42</v>
      </c>
      <c r="J99">
        <v>3.85</v>
      </c>
      <c r="K99">
        <v>6.62</v>
      </c>
      <c r="L99">
        <v>11.44</v>
      </c>
      <c r="M99">
        <v>5.78</v>
      </c>
      <c r="N99">
        <v>8.8000000000000007</v>
      </c>
      <c r="O99">
        <v>62.22</v>
      </c>
      <c r="P99" s="5">
        <f t="shared" si="43"/>
        <v>18.192982456140349</v>
      </c>
      <c r="Q99">
        <v>11.18</v>
      </c>
      <c r="R99" s="2">
        <v>16.53</v>
      </c>
      <c r="S99" s="6">
        <v>-1</v>
      </c>
      <c r="T99">
        <v>13.77</v>
      </c>
      <c r="U99">
        <v>0</v>
      </c>
      <c r="V99">
        <v>1</v>
      </c>
      <c r="W99">
        <v>1</v>
      </c>
      <c r="X99">
        <v>89.57</v>
      </c>
      <c r="Y99">
        <v>159.49</v>
      </c>
      <c r="Z99">
        <v>93.78</v>
      </c>
      <c r="AA99" s="5">
        <f t="shared" si="44"/>
        <v>1</v>
      </c>
      <c r="AB99">
        <v>10.81</v>
      </c>
      <c r="AC99" s="5">
        <f t="shared" si="45"/>
        <v>1.7</v>
      </c>
      <c r="AD99">
        <v>3009.09</v>
      </c>
      <c r="AE99">
        <v>8541.67</v>
      </c>
      <c r="AF99">
        <v>5600</v>
      </c>
      <c r="AG99" s="6">
        <f t="shared" si="46"/>
        <v>2.5</v>
      </c>
      <c r="AH99" s="5">
        <f t="shared" si="47"/>
        <v>7.2</v>
      </c>
      <c r="AI99" s="5">
        <v>11</v>
      </c>
      <c r="AJ99" s="5">
        <f t="shared" si="31"/>
        <v>1</v>
      </c>
      <c r="AK99" s="5">
        <f t="shared" si="32"/>
        <v>10.95</v>
      </c>
      <c r="AL99" s="4">
        <f t="shared" si="33"/>
        <v>1</v>
      </c>
      <c r="AM99" s="8" t="str">
        <f t="shared" si="34"/>
        <v>Defrail Technologies</v>
      </c>
      <c r="AN99" s="46">
        <v>13</v>
      </c>
      <c r="AO99" s="61">
        <f t="shared" si="35"/>
        <v>0</v>
      </c>
      <c r="AP99" s="7">
        <f t="shared" si="36"/>
        <v>0</v>
      </c>
      <c r="AQ99" s="5">
        <v>1</v>
      </c>
      <c r="AR99" s="7">
        <f t="shared" si="37"/>
        <v>5</v>
      </c>
      <c r="AS99" s="50">
        <v>74</v>
      </c>
      <c r="AT99" s="5">
        <v>75</v>
      </c>
      <c r="AU99" s="5">
        <v>110</v>
      </c>
      <c r="AV99" s="5">
        <f t="shared" si="38"/>
        <v>92.5</v>
      </c>
      <c r="AW99" s="50">
        <v>95</v>
      </c>
      <c r="AX99" s="4">
        <f t="shared" si="39"/>
        <v>1</v>
      </c>
      <c r="AY99" s="4">
        <f t="shared" si="40"/>
        <v>48.648648648648646</v>
      </c>
      <c r="AZ99" s="4">
        <f t="shared" si="48"/>
        <v>2.5</v>
      </c>
      <c r="BA99" s="7"/>
      <c r="BB99">
        <v>90</v>
      </c>
    </row>
    <row r="100" spans="1:56" ht="15" customHeight="1">
      <c r="A100" t="s">
        <v>166</v>
      </c>
      <c r="B100" t="s">
        <v>167</v>
      </c>
      <c r="C100" t="s">
        <v>159</v>
      </c>
      <c r="D100" s="11">
        <v>1</v>
      </c>
      <c r="E100">
        <v>5.69</v>
      </c>
      <c r="F100">
        <v>21.8</v>
      </c>
      <c r="G100" s="5">
        <f t="shared" si="42"/>
        <v>73.89908256880733</v>
      </c>
      <c r="H100">
        <v>49.42</v>
      </c>
      <c r="I100">
        <v>8.31</v>
      </c>
      <c r="J100">
        <v>15.69</v>
      </c>
      <c r="K100">
        <v>4.76</v>
      </c>
      <c r="L100">
        <v>22.79</v>
      </c>
      <c r="M100">
        <v>12.52</v>
      </c>
      <c r="N100">
        <v>21.33</v>
      </c>
      <c r="O100">
        <v>62.93</v>
      </c>
      <c r="P100" s="5">
        <f t="shared" si="43"/>
        <v>7.57280385078219</v>
      </c>
      <c r="Q100">
        <v>12.4</v>
      </c>
      <c r="R100" s="2">
        <v>16.97</v>
      </c>
      <c r="S100" s="6">
        <v>1</v>
      </c>
      <c r="T100">
        <v>35.22</v>
      </c>
      <c r="U100">
        <v>0</v>
      </c>
      <c r="V100">
        <v>1</v>
      </c>
      <c r="W100">
        <v>1</v>
      </c>
      <c r="X100">
        <v>54.97</v>
      </c>
      <c r="Y100">
        <v>219.02</v>
      </c>
      <c r="Z100">
        <v>137.52000000000001</v>
      </c>
      <c r="AA100" s="5">
        <f t="shared" si="44"/>
        <v>1</v>
      </c>
      <c r="AB100">
        <v>18.64</v>
      </c>
      <c r="AC100" s="5">
        <f t="shared" si="45"/>
        <v>1.7</v>
      </c>
      <c r="AD100">
        <v>106.72</v>
      </c>
      <c r="AE100">
        <v>18.16</v>
      </c>
      <c r="AF100">
        <v>61.6</v>
      </c>
      <c r="AG100" s="6">
        <f t="shared" si="46"/>
        <v>7.6</v>
      </c>
      <c r="AH100" s="5">
        <f t="shared" si="47"/>
        <v>12.299999999999999</v>
      </c>
      <c r="AI100" s="5">
        <v>11</v>
      </c>
      <c r="AJ100" s="5">
        <f t="shared" si="31"/>
        <v>1</v>
      </c>
      <c r="AK100" s="5">
        <f t="shared" si="32"/>
        <v>23.699999999999996</v>
      </c>
      <c r="AL100" s="4">
        <f t="shared" si="33"/>
        <v>1</v>
      </c>
      <c r="AM100" s="8" t="str">
        <f t="shared" si="34"/>
        <v>Avana Electrosystems</v>
      </c>
      <c r="AN100" s="46">
        <v>14</v>
      </c>
      <c r="AO100" s="61">
        <f t="shared" si="35"/>
        <v>1</v>
      </c>
      <c r="AP100" s="7">
        <f t="shared" si="36"/>
        <v>1</v>
      </c>
      <c r="AQ100" s="5">
        <v>1</v>
      </c>
      <c r="AR100" s="7">
        <f t="shared" si="37"/>
        <v>1</v>
      </c>
      <c r="AS100" s="50">
        <v>59</v>
      </c>
      <c r="AT100" s="5">
        <v>66</v>
      </c>
      <c r="AU100" s="5">
        <v>92</v>
      </c>
      <c r="AV100" s="5">
        <f t="shared" si="38"/>
        <v>79</v>
      </c>
      <c r="AW100" s="50">
        <v>77.5</v>
      </c>
      <c r="AX100" s="4">
        <f t="shared" si="39"/>
        <v>0</v>
      </c>
      <c r="AY100" s="4">
        <f t="shared" si="40"/>
        <v>55.932203389830505</v>
      </c>
      <c r="AZ100" s="4">
        <f t="shared" si="48"/>
        <v>2.5</v>
      </c>
      <c r="BA100" s="7"/>
    </row>
    <row r="101" spans="1:56" ht="12.75" customHeight="1">
      <c r="A101" t="s">
        <v>168</v>
      </c>
      <c r="B101" t="s">
        <v>169</v>
      </c>
      <c r="C101" t="s">
        <v>159</v>
      </c>
      <c r="D101" s="11">
        <v>0</v>
      </c>
      <c r="E101">
        <v>24.73</v>
      </c>
      <c r="F101">
        <v>11.45</v>
      </c>
      <c r="G101" s="5">
        <f t="shared" si="42"/>
        <v>-115.98253275109171</v>
      </c>
      <c r="H101">
        <v>59.66</v>
      </c>
      <c r="I101">
        <v>5.72</v>
      </c>
      <c r="J101">
        <v>11.74</v>
      </c>
      <c r="K101">
        <v>26.23</v>
      </c>
      <c r="L101">
        <v>17.86</v>
      </c>
      <c r="M101">
        <v>9.34</v>
      </c>
      <c r="N101">
        <v>18.260000000000002</v>
      </c>
      <c r="O101">
        <v>88.05</v>
      </c>
      <c r="P101" s="5">
        <f t="shared" si="43"/>
        <v>15.393356643356643</v>
      </c>
      <c r="Q101">
        <v>19.63</v>
      </c>
      <c r="R101" s="2">
        <v>28</v>
      </c>
      <c r="S101" s="6">
        <v>-1</v>
      </c>
      <c r="T101">
        <v>44.87</v>
      </c>
      <c r="U101">
        <v>0</v>
      </c>
      <c r="V101">
        <v>0</v>
      </c>
      <c r="W101">
        <v>0</v>
      </c>
      <c r="X101">
        <v>1.92</v>
      </c>
      <c r="Y101">
        <v>1.92</v>
      </c>
      <c r="Z101">
        <v>0.44</v>
      </c>
      <c r="AA101" s="5">
        <f t="shared" si="44"/>
        <v>1</v>
      </c>
      <c r="AB101">
        <v>0</v>
      </c>
      <c r="AC101" s="5">
        <f t="shared" si="45"/>
        <v>0</v>
      </c>
      <c r="AD101">
        <v>-19.440000000000001</v>
      </c>
      <c r="AE101">
        <v>11.37</v>
      </c>
      <c r="AF101">
        <v>99.83</v>
      </c>
      <c r="AG101" s="6">
        <f t="shared" si="46"/>
        <v>0.5</v>
      </c>
      <c r="AH101" s="5">
        <f t="shared" si="47"/>
        <v>3.5</v>
      </c>
      <c r="AI101" s="5">
        <v>11</v>
      </c>
      <c r="AJ101" s="5">
        <f t="shared" si="31"/>
        <v>1</v>
      </c>
      <c r="AK101" s="5">
        <f t="shared" si="32"/>
        <v>4.25</v>
      </c>
      <c r="AL101" s="4">
        <f t="shared" si="33"/>
        <v>0</v>
      </c>
      <c r="AM101" s="8" t="str">
        <f t="shared" si="34"/>
        <v>Narmadesh Brass Indu</v>
      </c>
      <c r="AN101" s="46">
        <v>16</v>
      </c>
      <c r="AO101" s="61">
        <f t="shared" si="35"/>
        <v>0</v>
      </c>
      <c r="AP101" s="7">
        <f t="shared" si="36"/>
        <v>0</v>
      </c>
      <c r="AQ101" s="5">
        <v>1</v>
      </c>
      <c r="AR101" s="7">
        <f t="shared" si="37"/>
        <v>5</v>
      </c>
      <c r="AS101" s="50">
        <v>515</v>
      </c>
      <c r="AT101" s="5">
        <v>388</v>
      </c>
      <c r="AU101" s="5">
        <v>440</v>
      </c>
      <c r="AV101" s="5">
        <f t="shared" si="38"/>
        <v>414</v>
      </c>
      <c r="AW101" s="50">
        <v>495</v>
      </c>
      <c r="AX101" s="4">
        <f t="shared" si="39"/>
        <v>1</v>
      </c>
      <c r="AY101" s="4">
        <f t="shared" si="40"/>
        <v>-14.563106796116505</v>
      </c>
      <c r="AZ101" s="4">
        <f t="shared" si="48"/>
        <v>-1.5</v>
      </c>
      <c r="BA101" s="7"/>
    </row>
    <row r="102" spans="1:56" ht="14.25" customHeight="1">
      <c r="A102" t="s">
        <v>170</v>
      </c>
      <c r="B102" t="s">
        <v>171</v>
      </c>
      <c r="C102" t="s">
        <v>159</v>
      </c>
      <c r="D102" s="11">
        <v>1</v>
      </c>
      <c r="E102">
        <v>35.76</v>
      </c>
      <c r="F102">
        <v>35.69</v>
      </c>
      <c r="G102" s="5">
        <f t="shared" si="42"/>
        <v>-0.19613337069207143</v>
      </c>
      <c r="H102">
        <v>99.94</v>
      </c>
      <c r="I102">
        <v>15.44</v>
      </c>
      <c r="J102">
        <v>10.18</v>
      </c>
      <c r="K102">
        <v>9.25</v>
      </c>
      <c r="L102">
        <v>27.66</v>
      </c>
      <c r="M102">
        <v>22.83</v>
      </c>
      <c r="N102">
        <v>15.27</v>
      </c>
      <c r="O102">
        <v>138.78</v>
      </c>
      <c r="P102" s="5">
        <f t="shared" si="43"/>
        <v>8.9883419689119179</v>
      </c>
      <c r="Q102">
        <v>16.100000000000001</v>
      </c>
      <c r="R102" s="2">
        <v>13.19</v>
      </c>
      <c r="S102" s="6">
        <v>-1</v>
      </c>
      <c r="T102">
        <v>91.95</v>
      </c>
      <c r="U102">
        <v>0</v>
      </c>
      <c r="V102">
        <v>1</v>
      </c>
      <c r="W102">
        <v>1</v>
      </c>
      <c r="X102">
        <v>94.94</v>
      </c>
      <c r="Y102">
        <v>164.59</v>
      </c>
      <c r="Z102">
        <v>96.13</v>
      </c>
      <c r="AA102" s="5">
        <f t="shared" si="44"/>
        <v>1</v>
      </c>
      <c r="AB102">
        <v>21</v>
      </c>
      <c r="AC102" s="5">
        <f t="shared" si="45"/>
        <v>1.7</v>
      </c>
      <c r="AD102">
        <v>414.67</v>
      </c>
      <c r="AE102">
        <v>394.58</v>
      </c>
      <c r="AF102">
        <v>516.41</v>
      </c>
      <c r="AG102" s="6">
        <f t="shared" si="46"/>
        <v>3.5</v>
      </c>
      <c r="AH102" s="5">
        <f t="shared" si="47"/>
        <v>8.1999999999999993</v>
      </c>
      <c r="AI102" s="5">
        <v>11</v>
      </c>
      <c r="AJ102" s="5">
        <f t="shared" si="31"/>
        <v>1</v>
      </c>
      <c r="AK102" s="5">
        <f t="shared" si="32"/>
        <v>13.45</v>
      </c>
      <c r="AL102" s="4">
        <f t="shared" si="33"/>
        <v>1</v>
      </c>
      <c r="AM102" s="8" t="str">
        <f t="shared" si="34"/>
        <v>INDO SMC Date, Price</v>
      </c>
      <c r="AN102" s="46">
        <v>16</v>
      </c>
      <c r="AO102" s="61">
        <f t="shared" si="35"/>
        <v>0</v>
      </c>
      <c r="AP102" s="7">
        <f t="shared" si="36"/>
        <v>0</v>
      </c>
      <c r="AQ102" s="5">
        <v>1</v>
      </c>
      <c r="AR102" s="7">
        <f t="shared" si="37"/>
        <v>5</v>
      </c>
      <c r="AS102">
        <v>149</v>
      </c>
      <c r="AT102" s="5">
        <v>150</v>
      </c>
      <c r="AU102" s="5">
        <v>180</v>
      </c>
      <c r="AV102" s="5">
        <f t="shared" si="38"/>
        <v>165</v>
      </c>
      <c r="AW102">
        <v>149</v>
      </c>
      <c r="AX102" s="4">
        <f t="shared" si="39"/>
        <v>0</v>
      </c>
      <c r="AY102" s="4">
        <f t="shared" si="40"/>
        <v>20.80536912751678</v>
      </c>
      <c r="AZ102" s="4">
        <f t="shared" si="48"/>
        <v>2.5</v>
      </c>
      <c r="BA102" s="7"/>
      <c r="BB102">
        <v>155</v>
      </c>
      <c r="BC102">
        <v>151</v>
      </c>
      <c r="BD102">
        <v>147</v>
      </c>
    </row>
    <row r="103" spans="1:56" ht="12.75" customHeight="1">
      <c r="A103" t="s">
        <v>172</v>
      </c>
      <c r="B103" t="s">
        <v>173</v>
      </c>
      <c r="C103" t="s">
        <v>159</v>
      </c>
      <c r="D103" s="11">
        <v>0</v>
      </c>
      <c r="E103">
        <v>1.59</v>
      </c>
      <c r="F103">
        <v>31.23</v>
      </c>
      <c r="G103" s="5">
        <f t="shared" si="42"/>
        <v>94.908741594620551</v>
      </c>
      <c r="H103">
        <v>45.46</v>
      </c>
      <c r="I103">
        <v>7.03</v>
      </c>
      <c r="J103">
        <v>9.1300000000000008</v>
      </c>
      <c r="K103">
        <v>6.68</v>
      </c>
      <c r="L103">
        <v>12.04</v>
      </c>
      <c r="M103">
        <v>9.48</v>
      </c>
      <c r="N103">
        <v>13.06</v>
      </c>
      <c r="O103">
        <v>84.37</v>
      </c>
      <c r="P103" s="5">
        <f t="shared" si="43"/>
        <v>12.001422475106686</v>
      </c>
      <c r="Q103">
        <v>15.72</v>
      </c>
      <c r="R103" s="2">
        <v>14.86</v>
      </c>
      <c r="S103" s="6">
        <v>-1</v>
      </c>
      <c r="T103">
        <v>39.56</v>
      </c>
      <c r="U103">
        <v>0</v>
      </c>
      <c r="V103">
        <v>1</v>
      </c>
      <c r="W103">
        <v>1</v>
      </c>
      <c r="X103">
        <v>14.69</v>
      </c>
      <c r="Y103">
        <v>24.67</v>
      </c>
      <c r="Z103">
        <v>14.1</v>
      </c>
      <c r="AA103" s="5">
        <f t="shared" si="44"/>
        <v>1</v>
      </c>
      <c r="AB103">
        <v>0</v>
      </c>
      <c r="AC103" s="5">
        <f t="shared" si="45"/>
        <v>0</v>
      </c>
      <c r="AD103">
        <v>-29.06</v>
      </c>
      <c r="AE103">
        <v>-8.44</v>
      </c>
      <c r="AF103">
        <v>48.5</v>
      </c>
      <c r="AG103" s="6">
        <f t="shared" si="46"/>
        <v>2.5999999999999996</v>
      </c>
      <c r="AH103" s="5">
        <f t="shared" si="47"/>
        <v>5.6</v>
      </c>
      <c r="AI103" s="5">
        <v>11</v>
      </c>
      <c r="AJ103" s="5">
        <f t="shared" si="31"/>
        <v>1</v>
      </c>
      <c r="AK103" s="5">
        <f t="shared" si="32"/>
        <v>9.5</v>
      </c>
      <c r="AL103" s="4">
        <f t="shared" si="33"/>
        <v>0</v>
      </c>
      <c r="AM103" s="8" t="str">
        <f t="shared" si="34"/>
        <v>GRE Renew Enertech D</v>
      </c>
      <c r="AN103" s="46">
        <v>16</v>
      </c>
      <c r="AO103" s="61">
        <f t="shared" si="35"/>
        <v>0</v>
      </c>
      <c r="AP103" s="7">
        <f t="shared" si="36"/>
        <v>0</v>
      </c>
      <c r="AQ103" s="5">
        <v>1</v>
      </c>
      <c r="AR103" s="7">
        <f t="shared" si="37"/>
        <v>5</v>
      </c>
      <c r="AS103" s="50">
        <v>105</v>
      </c>
      <c r="AT103" s="5">
        <v>67</v>
      </c>
      <c r="AU103" s="5">
        <v>84</v>
      </c>
      <c r="AV103" s="5">
        <f t="shared" si="38"/>
        <v>75.5</v>
      </c>
      <c r="AW103" s="50">
        <v>96</v>
      </c>
      <c r="AX103" s="4">
        <f t="shared" si="39"/>
        <v>1</v>
      </c>
      <c r="AY103" s="4">
        <f t="shared" si="40"/>
        <v>-20</v>
      </c>
      <c r="AZ103" s="4">
        <f t="shared" si="48"/>
        <v>-1.5</v>
      </c>
      <c r="BA103" s="7"/>
    </row>
    <row r="104" spans="1:56" ht="12.75" customHeight="1">
      <c r="A104" t="s">
        <v>174</v>
      </c>
      <c r="B104" t="s">
        <v>175</v>
      </c>
      <c r="C104" t="s">
        <v>159</v>
      </c>
      <c r="D104" s="11">
        <v>0</v>
      </c>
      <c r="E104">
        <v>4.6900000000000004</v>
      </c>
      <c r="F104">
        <v>18.43</v>
      </c>
      <c r="G104" s="5">
        <f t="shared" si="42"/>
        <v>74.552360282148655</v>
      </c>
      <c r="H104">
        <v>27.37</v>
      </c>
      <c r="I104">
        <v>3.97</v>
      </c>
      <c r="J104">
        <v>14.76</v>
      </c>
      <c r="K104">
        <v>3.25</v>
      </c>
      <c r="L104">
        <v>13.61</v>
      </c>
      <c r="M104">
        <v>4.97</v>
      </c>
      <c r="N104">
        <v>21.84</v>
      </c>
      <c r="O104">
        <v>36.56</v>
      </c>
      <c r="P104" s="5">
        <f t="shared" si="43"/>
        <v>9.2090680100755673</v>
      </c>
      <c r="Q104">
        <v>17.53</v>
      </c>
      <c r="R104" s="2">
        <v>18.36</v>
      </c>
      <c r="S104" s="6">
        <v>1</v>
      </c>
      <c r="T104">
        <v>26.51</v>
      </c>
      <c r="U104">
        <v>0</v>
      </c>
      <c r="V104">
        <v>0</v>
      </c>
      <c r="W104">
        <v>0</v>
      </c>
      <c r="X104">
        <v>1</v>
      </c>
      <c r="Y104">
        <v>1.08</v>
      </c>
      <c r="Z104">
        <v>2.58</v>
      </c>
      <c r="AA104" s="5">
        <f t="shared" si="44"/>
        <v>-0.7</v>
      </c>
      <c r="AB104">
        <v>0</v>
      </c>
      <c r="AC104" s="5">
        <f t="shared" si="45"/>
        <v>0</v>
      </c>
      <c r="AD104">
        <v>51.53</v>
      </c>
      <c r="AE104">
        <v>10.45</v>
      </c>
      <c r="AF104">
        <v>27.46</v>
      </c>
      <c r="AG104" s="6">
        <f t="shared" si="46"/>
        <v>4.5999999999999996</v>
      </c>
      <c r="AH104" s="5">
        <f t="shared" si="47"/>
        <v>3.8999999999999995</v>
      </c>
      <c r="AI104" s="5">
        <v>11</v>
      </c>
      <c r="AJ104" s="5">
        <f t="shared" si="31"/>
        <v>1</v>
      </c>
      <c r="AK104" s="5">
        <f t="shared" si="32"/>
        <v>10.799999999999999</v>
      </c>
      <c r="AL104" s="4">
        <f t="shared" si="33"/>
        <v>0</v>
      </c>
      <c r="AM104" s="8" t="str">
        <f t="shared" si="34"/>
        <v>Armour Security Date</v>
      </c>
      <c r="AN104" s="46">
        <v>19</v>
      </c>
      <c r="AO104" s="61">
        <f t="shared" si="35"/>
        <v>0</v>
      </c>
      <c r="AP104" s="7">
        <f t="shared" si="36"/>
        <v>0</v>
      </c>
      <c r="AQ104" s="5">
        <v>1</v>
      </c>
      <c r="AR104" s="7">
        <f t="shared" si="37"/>
        <v>5</v>
      </c>
      <c r="AS104" s="50">
        <v>57</v>
      </c>
      <c r="AT104" s="5">
        <v>34</v>
      </c>
      <c r="AU104" s="5">
        <v>41</v>
      </c>
      <c r="AV104" s="5">
        <f t="shared" si="38"/>
        <v>37.5</v>
      </c>
      <c r="AW104" s="50">
        <v>45.6</v>
      </c>
      <c r="AX104" s="4">
        <f t="shared" si="39"/>
        <v>1</v>
      </c>
      <c r="AY104" s="4">
        <f t="shared" si="40"/>
        <v>-28.07017543859649</v>
      </c>
      <c r="AZ104" s="4">
        <f t="shared" si="48"/>
        <v>-2</v>
      </c>
      <c r="BA104" s="7"/>
    </row>
    <row r="105" spans="1:56" ht="12.75" customHeight="1">
      <c r="A105" t="s">
        <v>176</v>
      </c>
      <c r="B105" t="s">
        <v>177</v>
      </c>
      <c r="C105" t="s">
        <v>159</v>
      </c>
      <c r="D105" s="11">
        <v>0</v>
      </c>
      <c r="E105">
        <v>36.82</v>
      </c>
      <c r="F105">
        <v>20.27</v>
      </c>
      <c r="G105" s="5">
        <f t="shared" si="42"/>
        <v>-81.647755303404054</v>
      </c>
      <c r="H105">
        <v>95.26</v>
      </c>
      <c r="I105">
        <v>4.13</v>
      </c>
      <c r="J105">
        <v>5.97</v>
      </c>
      <c r="K105">
        <v>3.26</v>
      </c>
      <c r="L105">
        <v>11.16</v>
      </c>
      <c r="M105">
        <v>8.6300000000000008</v>
      </c>
      <c r="N105">
        <v>11.2</v>
      </c>
      <c r="O105">
        <v>98.02</v>
      </c>
      <c r="P105" s="5">
        <f t="shared" si="43"/>
        <v>23.73365617433414</v>
      </c>
      <c r="Q105">
        <v>14.43</v>
      </c>
      <c r="R105" s="2">
        <v>10.69</v>
      </c>
      <c r="S105" s="6">
        <v>1</v>
      </c>
      <c r="T105">
        <v>37.520000000000003</v>
      </c>
      <c r="U105">
        <v>4.63</v>
      </c>
      <c r="V105">
        <v>0</v>
      </c>
      <c r="W105">
        <v>0</v>
      </c>
      <c r="X105">
        <v>1</v>
      </c>
      <c r="Y105">
        <v>1.24</v>
      </c>
      <c r="Z105">
        <v>2.88</v>
      </c>
      <c r="AA105" s="5">
        <f t="shared" si="44"/>
        <v>-0.7</v>
      </c>
      <c r="AB105">
        <v>0</v>
      </c>
      <c r="AC105" s="5">
        <f t="shared" si="45"/>
        <v>0</v>
      </c>
      <c r="AD105">
        <v>147.31</v>
      </c>
      <c r="AE105">
        <v>41.55</v>
      </c>
      <c r="AF105">
        <v>238.4</v>
      </c>
      <c r="AG105" s="6">
        <f t="shared" si="46"/>
        <v>2.5</v>
      </c>
      <c r="AH105" s="5">
        <f t="shared" si="47"/>
        <v>1.8</v>
      </c>
      <c r="AI105" s="5">
        <v>11</v>
      </c>
      <c r="AJ105" s="5">
        <f t="shared" si="31"/>
        <v>1</v>
      </c>
      <c r="AK105" s="5">
        <f t="shared" si="32"/>
        <v>5.55</v>
      </c>
      <c r="AL105" s="4">
        <f t="shared" si="33"/>
        <v>0</v>
      </c>
      <c r="AM105" s="8" t="str">
        <f t="shared" si="34"/>
        <v>Aritas Vinyl Date, P</v>
      </c>
      <c r="AN105" s="46">
        <v>20</v>
      </c>
      <c r="AO105" s="61">
        <f t="shared" si="35"/>
        <v>0</v>
      </c>
      <c r="AP105" s="7">
        <f t="shared" si="36"/>
        <v>0</v>
      </c>
      <c r="AQ105" s="5">
        <v>1</v>
      </c>
      <c r="AR105" s="7">
        <f t="shared" si="37"/>
        <v>5</v>
      </c>
      <c r="AS105">
        <v>47</v>
      </c>
      <c r="AT105" s="5">
        <v>30</v>
      </c>
      <c r="AU105" s="5">
        <v>38</v>
      </c>
      <c r="AV105" s="5">
        <f t="shared" si="38"/>
        <v>34</v>
      </c>
      <c r="AW105">
        <v>44.65</v>
      </c>
      <c r="AX105" s="4">
        <f t="shared" si="39"/>
        <v>1</v>
      </c>
      <c r="AY105" s="4">
        <f t="shared" si="40"/>
        <v>-19.148936170212767</v>
      </c>
      <c r="AZ105" s="4">
        <f t="shared" si="48"/>
        <v>-1.5</v>
      </c>
      <c r="BA105" s="7"/>
      <c r="BB105">
        <v>44.65</v>
      </c>
      <c r="BC105">
        <v>41.65</v>
      </c>
    </row>
    <row r="106" spans="1:56" ht="12.75" customHeight="1">
      <c r="A106" t="s">
        <v>178</v>
      </c>
      <c r="B106" t="s">
        <v>179</v>
      </c>
      <c r="C106" t="s">
        <v>159</v>
      </c>
      <c r="D106" s="11">
        <v>0</v>
      </c>
      <c r="E106">
        <v>13.34</v>
      </c>
      <c r="F106">
        <v>33.46</v>
      </c>
      <c r="G106" s="5">
        <f t="shared" si="42"/>
        <v>60.131500298864317</v>
      </c>
      <c r="H106">
        <v>72.569999999999993</v>
      </c>
      <c r="I106">
        <v>8.11</v>
      </c>
      <c r="J106">
        <v>8.8699999999999992</v>
      </c>
      <c r="K106">
        <v>3.65</v>
      </c>
      <c r="L106">
        <v>4.71</v>
      </c>
      <c r="M106">
        <v>13.4</v>
      </c>
      <c r="N106">
        <v>18.39</v>
      </c>
      <c r="O106">
        <v>72.19</v>
      </c>
      <c r="P106" s="5">
        <f t="shared" si="43"/>
        <v>8.9013563501849564</v>
      </c>
      <c r="Q106">
        <v>28.52</v>
      </c>
      <c r="R106" s="2">
        <v>93</v>
      </c>
      <c r="S106" s="6">
        <v>-1</v>
      </c>
      <c r="T106">
        <v>81.010000000000005</v>
      </c>
      <c r="U106">
        <v>11.33</v>
      </c>
      <c r="V106">
        <v>1</v>
      </c>
      <c r="W106">
        <v>1</v>
      </c>
      <c r="X106">
        <v>1.6</v>
      </c>
      <c r="Y106">
        <v>0.42</v>
      </c>
      <c r="Z106">
        <v>1.08</v>
      </c>
      <c r="AA106" s="5">
        <f t="shared" si="44"/>
        <v>-0.7</v>
      </c>
      <c r="AB106">
        <v>0</v>
      </c>
      <c r="AC106" s="5">
        <f t="shared" si="45"/>
        <v>0</v>
      </c>
      <c r="AD106">
        <v>237.92</v>
      </c>
      <c r="AE106">
        <v>39.61</v>
      </c>
      <c r="AF106">
        <v>148.22</v>
      </c>
      <c r="AG106" s="6">
        <f t="shared" si="46"/>
        <v>4.0999999999999996</v>
      </c>
      <c r="AH106" s="5">
        <f t="shared" si="47"/>
        <v>3.3999999999999995</v>
      </c>
      <c r="AI106" s="5">
        <v>13</v>
      </c>
      <c r="AJ106" s="5">
        <f t="shared" si="31"/>
        <v>0.98</v>
      </c>
      <c r="AK106" s="5">
        <f t="shared" si="32"/>
        <v>9.3589999999999982</v>
      </c>
      <c r="AL106" s="4">
        <f t="shared" si="33"/>
        <v>0</v>
      </c>
      <c r="AM106" s="8" t="str">
        <f t="shared" si="34"/>
        <v>Digilogic Systems Da</v>
      </c>
      <c r="AN106" s="46">
        <v>22</v>
      </c>
      <c r="AO106" s="61">
        <f t="shared" si="35"/>
        <v>0</v>
      </c>
      <c r="AP106" s="7">
        <f t="shared" si="36"/>
        <v>0</v>
      </c>
      <c r="AQ106" s="5">
        <v>1</v>
      </c>
      <c r="AR106" s="7">
        <f t="shared" si="37"/>
        <v>5</v>
      </c>
      <c r="AS106">
        <v>104</v>
      </c>
      <c r="AT106" s="5">
        <v>38</v>
      </c>
      <c r="AU106" s="5">
        <v>45</v>
      </c>
      <c r="AV106" s="5">
        <f t="shared" si="38"/>
        <v>41.5</v>
      </c>
      <c r="AW106">
        <v>83</v>
      </c>
      <c r="AX106" s="4">
        <f t="shared" si="39"/>
        <v>1</v>
      </c>
      <c r="AY106" s="4">
        <f t="shared" si="40"/>
        <v>-56.730769230769234</v>
      </c>
      <c r="AZ106" s="4">
        <f t="shared" si="48"/>
        <v>-4</v>
      </c>
      <c r="BA106" s="7"/>
    </row>
    <row r="107" spans="1:56" ht="17.25" customHeight="1">
      <c r="A107" t="s">
        <v>180</v>
      </c>
      <c r="B107" t="s">
        <v>181</v>
      </c>
      <c r="C107" t="s">
        <v>159</v>
      </c>
      <c r="D107" s="11">
        <v>1</v>
      </c>
      <c r="E107">
        <v>31.2</v>
      </c>
      <c r="F107">
        <v>23.88</v>
      </c>
      <c r="G107" s="5">
        <f t="shared" si="42"/>
        <v>-30.653266331658294</v>
      </c>
      <c r="H107">
        <v>66.790000000000006</v>
      </c>
      <c r="I107">
        <v>12.1</v>
      </c>
      <c r="J107">
        <v>16.829999999999998</v>
      </c>
      <c r="K107">
        <v>7.79</v>
      </c>
      <c r="L107">
        <v>21.84</v>
      </c>
      <c r="M107">
        <v>19.11</v>
      </c>
      <c r="N107">
        <v>26.54</v>
      </c>
      <c r="O107">
        <v>76.95</v>
      </c>
      <c r="P107" s="5">
        <f t="shared" si="43"/>
        <v>6.3595041322314056</v>
      </c>
      <c r="Q107">
        <v>17.32</v>
      </c>
      <c r="R107" s="2">
        <v>17.03</v>
      </c>
      <c r="S107" s="6">
        <v>-1</v>
      </c>
      <c r="T107">
        <v>77.489999999999995</v>
      </c>
      <c r="U107">
        <v>0</v>
      </c>
      <c r="V107">
        <v>1</v>
      </c>
      <c r="W107">
        <v>0</v>
      </c>
      <c r="X107">
        <v>38.380000000000003</v>
      </c>
      <c r="Y107">
        <v>103.52</v>
      </c>
      <c r="Z107">
        <v>37.65</v>
      </c>
      <c r="AA107" s="5">
        <f t="shared" si="44"/>
        <v>0</v>
      </c>
      <c r="AB107">
        <v>11.85</v>
      </c>
      <c r="AC107" s="5">
        <f t="shared" si="45"/>
        <v>1.7</v>
      </c>
      <c r="AD107">
        <v>254.84</v>
      </c>
      <c r="AE107">
        <v>13.88</v>
      </c>
      <c r="AF107">
        <v>102.72</v>
      </c>
      <c r="AG107" s="6">
        <f t="shared" si="46"/>
        <v>3.5</v>
      </c>
      <c r="AH107" s="5">
        <f t="shared" si="47"/>
        <v>7.2</v>
      </c>
      <c r="AI107" s="5">
        <v>13</v>
      </c>
      <c r="AJ107" s="5">
        <f t="shared" si="31"/>
        <v>0.98</v>
      </c>
      <c r="AK107" s="5">
        <f t="shared" si="32"/>
        <v>12.200999999999999</v>
      </c>
      <c r="AL107" s="4">
        <f t="shared" si="33"/>
        <v>1</v>
      </c>
      <c r="AM107" s="8" t="str">
        <f t="shared" si="34"/>
        <v>KRM Ayurveda Date, P</v>
      </c>
      <c r="AN107" s="46">
        <v>23</v>
      </c>
      <c r="AO107" s="61">
        <f t="shared" si="35"/>
        <v>0</v>
      </c>
      <c r="AP107" s="7">
        <f t="shared" si="36"/>
        <v>0</v>
      </c>
      <c r="AQ107" s="5">
        <v>1</v>
      </c>
      <c r="AR107" s="7">
        <f t="shared" si="37"/>
        <v>5</v>
      </c>
      <c r="AS107">
        <v>135</v>
      </c>
      <c r="AT107" s="5">
        <v>113</v>
      </c>
      <c r="AU107" s="5">
        <v>143</v>
      </c>
      <c r="AV107" s="5">
        <f t="shared" si="38"/>
        <v>128</v>
      </c>
      <c r="AW107">
        <v>172.1</v>
      </c>
      <c r="AX107" s="4">
        <f t="shared" si="39"/>
        <v>1</v>
      </c>
      <c r="AY107" s="4">
        <f t="shared" si="40"/>
        <v>5.9259259259259256</v>
      </c>
      <c r="AZ107" s="4">
        <f t="shared" si="48"/>
        <v>1.5</v>
      </c>
      <c r="BA107" s="7"/>
      <c r="BB107">
        <v>180</v>
      </c>
      <c r="BC107">
        <v>189</v>
      </c>
    </row>
    <row r="108" spans="1:56" ht="12.75" customHeight="1">
      <c r="A108" t="s">
        <v>182</v>
      </c>
      <c r="B108" t="s">
        <v>183</v>
      </c>
      <c r="C108" t="s">
        <v>159</v>
      </c>
      <c r="D108" s="11">
        <v>0</v>
      </c>
      <c r="E108">
        <v>33.58</v>
      </c>
      <c r="F108">
        <v>48.93</v>
      </c>
      <c r="G108" s="5">
        <f t="shared" si="42"/>
        <v>31.371346821990603</v>
      </c>
      <c r="H108">
        <v>99.29</v>
      </c>
      <c r="I108">
        <v>7.21</v>
      </c>
      <c r="J108">
        <v>12.03</v>
      </c>
      <c r="K108">
        <v>4.32</v>
      </c>
      <c r="L108">
        <v>9.39</v>
      </c>
      <c r="M108">
        <v>20.52</v>
      </c>
      <c r="N108">
        <v>27.38</v>
      </c>
      <c r="O108">
        <v>77.900000000000006</v>
      </c>
      <c r="P108" s="5">
        <f t="shared" si="43"/>
        <v>10.804438280166437</v>
      </c>
      <c r="Q108">
        <v>16.21</v>
      </c>
      <c r="R108" s="2">
        <v>15.52</v>
      </c>
      <c r="S108" s="6">
        <v>1</v>
      </c>
      <c r="T108">
        <v>42</v>
      </c>
      <c r="U108">
        <v>0</v>
      </c>
      <c r="V108">
        <v>1</v>
      </c>
      <c r="W108">
        <v>1</v>
      </c>
      <c r="X108">
        <v>0.88</v>
      </c>
      <c r="Y108">
        <v>1.69</v>
      </c>
      <c r="Z108">
        <v>1.24</v>
      </c>
      <c r="AA108" s="5">
        <f t="shared" si="44"/>
        <v>1</v>
      </c>
      <c r="AB108">
        <v>2.85</v>
      </c>
      <c r="AC108" s="5">
        <f t="shared" si="45"/>
        <v>0</v>
      </c>
      <c r="AD108">
        <v>77.150000000000006</v>
      </c>
      <c r="AE108">
        <v>22.43</v>
      </c>
      <c r="AF108">
        <v>11.38</v>
      </c>
      <c r="AG108" s="6">
        <f t="shared" si="46"/>
        <v>6.2</v>
      </c>
      <c r="AH108" s="5">
        <f t="shared" si="47"/>
        <v>8.1999999999999993</v>
      </c>
      <c r="AI108" s="5">
        <v>13</v>
      </c>
      <c r="AJ108" s="5">
        <f t="shared" si="31"/>
        <v>0.98</v>
      </c>
      <c r="AK108" s="5">
        <f t="shared" si="32"/>
        <v>17.149999999999999</v>
      </c>
      <c r="AL108" s="4">
        <f t="shared" si="33"/>
        <v>0</v>
      </c>
      <c r="AM108" s="8" t="str">
        <f t="shared" si="34"/>
        <v>Hannah Joseph Hospit</v>
      </c>
      <c r="AN108" s="46">
        <v>27</v>
      </c>
      <c r="AO108" s="61">
        <f t="shared" si="35"/>
        <v>0</v>
      </c>
      <c r="AP108" s="7">
        <f t="shared" si="36"/>
        <v>3</v>
      </c>
      <c r="AQ108" s="5">
        <v>1</v>
      </c>
      <c r="AR108" s="7">
        <f t="shared" si="37"/>
        <v>5</v>
      </c>
      <c r="AS108">
        <v>70</v>
      </c>
      <c r="AT108" s="5">
        <v>85</v>
      </c>
      <c r="AU108" s="5">
        <v>99</v>
      </c>
      <c r="AV108" s="5">
        <f t="shared" si="38"/>
        <v>92</v>
      </c>
      <c r="AW108">
        <v>65</v>
      </c>
      <c r="AX108" s="4">
        <f t="shared" si="39"/>
        <v>0</v>
      </c>
      <c r="AY108" s="4">
        <f t="shared" si="40"/>
        <v>41.428571428571431</v>
      </c>
      <c r="AZ108" s="4">
        <f t="shared" si="48"/>
        <v>2.5</v>
      </c>
      <c r="BA108" s="7"/>
      <c r="BB108">
        <v>68</v>
      </c>
    </row>
    <row r="109" spans="1:56" ht="12.75" customHeight="1">
      <c r="A109" t="s">
        <v>184</v>
      </c>
      <c r="B109" t="s">
        <v>185</v>
      </c>
      <c r="C109" t="s">
        <v>159</v>
      </c>
      <c r="D109" s="11">
        <v>1</v>
      </c>
      <c r="E109">
        <v>13.92</v>
      </c>
      <c r="F109">
        <v>9.91</v>
      </c>
      <c r="G109" s="5">
        <f t="shared" si="42"/>
        <v>-40.464177598385469</v>
      </c>
      <c r="H109">
        <v>29.6</v>
      </c>
      <c r="I109">
        <v>2.42</v>
      </c>
      <c r="J109">
        <v>12.8</v>
      </c>
      <c r="K109">
        <v>8.4600000000000009</v>
      </c>
      <c r="L109">
        <v>0</v>
      </c>
      <c r="M109">
        <v>5</v>
      </c>
      <c r="N109">
        <v>21.33</v>
      </c>
      <c r="O109">
        <v>23.18</v>
      </c>
      <c r="P109" s="5">
        <f t="shared" si="43"/>
        <v>9.5785123966942152</v>
      </c>
      <c r="Q109">
        <v>17.03</v>
      </c>
      <c r="R109" s="2">
        <v>15.25</v>
      </c>
      <c r="S109" s="6">
        <v>1</v>
      </c>
      <c r="T109">
        <v>14.86</v>
      </c>
      <c r="U109">
        <v>0</v>
      </c>
      <c r="V109">
        <v>0</v>
      </c>
      <c r="W109">
        <v>1</v>
      </c>
      <c r="X109">
        <v>3.33</v>
      </c>
      <c r="Y109">
        <v>9.15</v>
      </c>
      <c r="Z109">
        <v>3.54</v>
      </c>
      <c r="AA109" s="5">
        <f t="shared" si="44"/>
        <v>0</v>
      </c>
      <c r="AB109">
        <v>0</v>
      </c>
      <c r="AC109" s="5">
        <f t="shared" si="45"/>
        <v>0</v>
      </c>
      <c r="AD109">
        <v>41.52</v>
      </c>
      <c r="AE109">
        <v>51.7</v>
      </c>
      <c r="AF109">
        <v>148.37</v>
      </c>
      <c r="AG109" s="6">
        <f t="shared" si="46"/>
        <v>3.5</v>
      </c>
      <c r="AH109" s="5">
        <f t="shared" si="47"/>
        <v>5.5</v>
      </c>
      <c r="AI109" s="5">
        <v>13</v>
      </c>
      <c r="AJ109" s="5">
        <f t="shared" si="31"/>
        <v>0.98</v>
      </c>
      <c r="AK109" s="5">
        <f t="shared" si="32"/>
        <v>10.535</v>
      </c>
      <c r="AL109" s="4">
        <f t="shared" si="33"/>
        <v>1</v>
      </c>
      <c r="AM109" s="8" t="str">
        <f t="shared" si="34"/>
        <v xml:space="preserve">Shayona Engineering </v>
      </c>
      <c r="AN109" s="46">
        <v>27</v>
      </c>
      <c r="AO109" s="61">
        <f t="shared" si="35"/>
        <v>0</v>
      </c>
      <c r="AP109" s="7">
        <f t="shared" si="36"/>
        <v>0</v>
      </c>
      <c r="AQ109" s="5">
        <v>1</v>
      </c>
      <c r="AR109" s="7">
        <f t="shared" si="37"/>
        <v>5</v>
      </c>
      <c r="AS109">
        <v>144</v>
      </c>
      <c r="AT109" s="5">
        <v>104</v>
      </c>
      <c r="AU109" s="5">
        <v>123</v>
      </c>
      <c r="AV109" s="5">
        <f t="shared" si="38"/>
        <v>113.5</v>
      </c>
      <c r="AW109">
        <v>144</v>
      </c>
      <c r="AX109" s="4">
        <f t="shared" si="39"/>
        <v>1</v>
      </c>
      <c r="AY109" s="4">
        <f t="shared" si="40"/>
        <v>-14.583333333333334</v>
      </c>
      <c r="AZ109" s="4">
        <f t="shared" si="48"/>
        <v>-1.5</v>
      </c>
      <c r="BA109" s="7"/>
      <c r="BB109">
        <v>151</v>
      </c>
    </row>
    <row r="110" spans="1:56" ht="12.75" customHeight="1">
      <c r="A110" t="s">
        <v>186</v>
      </c>
      <c r="B110" t="s">
        <v>187</v>
      </c>
      <c r="C110" t="s">
        <v>159</v>
      </c>
      <c r="D110" s="11">
        <v>1</v>
      </c>
      <c r="E110">
        <v>13.15</v>
      </c>
      <c r="F110">
        <v>17.760000000000002</v>
      </c>
      <c r="G110" s="5">
        <f t="shared" si="42"/>
        <v>25.957207207207212</v>
      </c>
      <c r="H110">
        <v>35.57</v>
      </c>
      <c r="I110">
        <v>2.0699999999999998</v>
      </c>
      <c r="J110">
        <v>7.71</v>
      </c>
      <c r="K110">
        <v>2.71</v>
      </c>
      <c r="L110">
        <v>13.01</v>
      </c>
      <c r="M110">
        <v>5.69</v>
      </c>
      <c r="N110">
        <v>9.99</v>
      </c>
      <c r="O110">
        <v>57.22</v>
      </c>
      <c r="P110" s="5">
        <f t="shared" si="43"/>
        <v>27.642512077294686</v>
      </c>
      <c r="Q110">
        <v>23.59</v>
      </c>
      <c r="R110" s="2">
        <v>13.47</v>
      </c>
      <c r="S110" s="6">
        <v>-0.5</v>
      </c>
      <c r="T110">
        <v>17.61</v>
      </c>
      <c r="U110">
        <v>0</v>
      </c>
      <c r="V110">
        <v>1</v>
      </c>
      <c r="W110">
        <v>1</v>
      </c>
      <c r="X110">
        <v>20</v>
      </c>
      <c r="Y110">
        <v>20</v>
      </c>
      <c r="Z110">
        <v>10</v>
      </c>
      <c r="AA110" s="5">
        <f t="shared" si="44"/>
        <v>1</v>
      </c>
      <c r="AB110">
        <v>0</v>
      </c>
      <c r="AC110" s="5">
        <f t="shared" si="45"/>
        <v>0</v>
      </c>
      <c r="AD110">
        <v>-11.91</v>
      </c>
      <c r="AE110">
        <v>13.98</v>
      </c>
      <c r="AF110">
        <v>44.51</v>
      </c>
      <c r="AG110" s="6">
        <f t="shared" si="46"/>
        <v>3.7</v>
      </c>
      <c r="AH110" s="5">
        <f t="shared" si="47"/>
        <v>6.7</v>
      </c>
      <c r="AI110" s="5">
        <v>13</v>
      </c>
      <c r="AJ110" s="5">
        <f t="shared" si="31"/>
        <v>0.98</v>
      </c>
      <c r="AK110" s="5">
        <f t="shared" si="32"/>
        <v>12.004999999999999</v>
      </c>
      <c r="AL110" s="4">
        <f t="shared" si="33"/>
        <v>1</v>
      </c>
      <c r="AM110" s="8" t="str">
        <f t="shared" si="34"/>
        <v>Kasturi Metal Com1</v>
      </c>
      <c r="AN110" s="46">
        <v>29</v>
      </c>
      <c r="AO110" s="61">
        <f t="shared" si="35"/>
        <v>0</v>
      </c>
      <c r="AP110" s="7">
        <f t="shared" si="36"/>
        <v>0</v>
      </c>
      <c r="AQ110" s="5">
        <v>1</v>
      </c>
      <c r="AR110" s="7">
        <f t="shared" si="37"/>
        <v>5</v>
      </c>
      <c r="AS110">
        <v>64</v>
      </c>
      <c r="AT110" s="5">
        <v>42</v>
      </c>
      <c r="AU110" s="5">
        <v>52</v>
      </c>
      <c r="AV110" s="5">
        <f t="shared" si="38"/>
        <v>47</v>
      </c>
      <c r="AW110">
        <v>64</v>
      </c>
      <c r="AX110" s="4">
        <f t="shared" si="39"/>
        <v>1</v>
      </c>
      <c r="AY110" s="4">
        <f t="shared" si="40"/>
        <v>-18.75</v>
      </c>
      <c r="AZ110" s="4">
        <f t="shared" si="48"/>
        <v>-1.5</v>
      </c>
      <c r="BA110" s="7"/>
      <c r="BB110">
        <v>64</v>
      </c>
      <c r="BC110">
        <v>61</v>
      </c>
    </row>
    <row r="111" spans="1:56" ht="14.25" customHeight="1">
      <c r="A111" t="s">
        <v>188</v>
      </c>
      <c r="B111" t="s">
        <v>189</v>
      </c>
      <c r="C111" t="s">
        <v>159</v>
      </c>
      <c r="D111" s="11">
        <v>0</v>
      </c>
      <c r="E111">
        <v>22.74</v>
      </c>
      <c r="F111">
        <v>16.57</v>
      </c>
      <c r="G111" s="5">
        <f t="shared" si="42"/>
        <v>-37.235968617984298</v>
      </c>
      <c r="H111">
        <v>50.5</v>
      </c>
      <c r="I111">
        <v>3.04</v>
      </c>
      <c r="J111">
        <v>17.62</v>
      </c>
      <c r="K111">
        <v>3.22</v>
      </c>
      <c r="L111">
        <v>29.21</v>
      </c>
      <c r="M111">
        <v>6.63</v>
      </c>
      <c r="N111">
        <v>33.549999999999997</v>
      </c>
      <c r="O111">
        <v>60.13</v>
      </c>
      <c r="P111" s="5">
        <f t="shared" si="43"/>
        <v>19.779605263157894</v>
      </c>
      <c r="Q111">
        <v>22.66</v>
      </c>
      <c r="R111" s="2">
        <v>19.03</v>
      </c>
      <c r="S111" s="6">
        <v>1</v>
      </c>
      <c r="T111">
        <v>29.2</v>
      </c>
      <c r="U111">
        <v>0</v>
      </c>
      <c r="V111">
        <v>0</v>
      </c>
      <c r="W111">
        <v>0</v>
      </c>
      <c r="X111">
        <v>0</v>
      </c>
      <c r="Y111">
        <v>0.14000000000000001</v>
      </c>
      <c r="Z111">
        <v>1.65</v>
      </c>
      <c r="AA111" s="5">
        <f t="shared" si="44"/>
        <v>-1.7</v>
      </c>
      <c r="AB111">
        <v>9.59</v>
      </c>
      <c r="AC111" s="5">
        <f t="shared" si="45"/>
        <v>1</v>
      </c>
      <c r="AD111">
        <v>100</v>
      </c>
      <c r="AE111">
        <v>0.99</v>
      </c>
      <c r="AF111">
        <v>22.47</v>
      </c>
      <c r="AG111" s="6">
        <f t="shared" si="46"/>
        <v>-0.5</v>
      </c>
      <c r="AH111" s="5">
        <f t="shared" si="47"/>
        <v>-2.2000000000000002</v>
      </c>
      <c r="AI111" s="5">
        <v>13</v>
      </c>
      <c r="AJ111" s="5">
        <f t="shared" si="31"/>
        <v>0.98</v>
      </c>
      <c r="AK111" s="5">
        <f t="shared" si="32"/>
        <v>-2.891</v>
      </c>
      <c r="AL111" s="4">
        <f t="shared" si="33"/>
        <v>0</v>
      </c>
      <c r="AM111" s="8" t="str">
        <f t="shared" si="34"/>
        <v>Kanishk Aluminium In</v>
      </c>
      <c r="AN111" s="46">
        <v>30</v>
      </c>
      <c r="AO111" s="61">
        <f t="shared" si="35"/>
        <v>0</v>
      </c>
      <c r="AP111" s="7">
        <f t="shared" si="36"/>
        <v>0</v>
      </c>
      <c r="AQ111" s="5">
        <v>1</v>
      </c>
      <c r="AR111" s="7">
        <f t="shared" si="37"/>
        <v>5</v>
      </c>
      <c r="AS111">
        <v>73</v>
      </c>
      <c r="AT111" s="5">
        <v>46</v>
      </c>
      <c r="AU111" s="5">
        <v>54</v>
      </c>
      <c r="AV111" s="5">
        <f t="shared" si="38"/>
        <v>50</v>
      </c>
      <c r="AW111">
        <v>58</v>
      </c>
      <c r="AX111" s="4">
        <f t="shared" si="39"/>
        <v>1</v>
      </c>
      <c r="AY111" s="4">
        <f t="shared" si="40"/>
        <v>-26.027397260273972</v>
      </c>
      <c r="AZ111" s="4">
        <f t="shared" si="48"/>
        <v>-2</v>
      </c>
      <c r="BA111" s="7"/>
      <c r="BB111">
        <v>55</v>
      </c>
    </row>
    <row r="112" spans="1:56" ht="12" customHeight="1">
      <c r="A112" t="s">
        <v>190</v>
      </c>
      <c r="B112" t="s">
        <v>191</v>
      </c>
      <c r="C112" t="s">
        <v>159</v>
      </c>
      <c r="D112" s="11">
        <v>1</v>
      </c>
      <c r="E112">
        <v>32.56</v>
      </c>
      <c r="F112">
        <v>25.65</v>
      </c>
      <c r="G112" s="5">
        <f t="shared" si="42"/>
        <v>-26.939571150097482</v>
      </c>
      <c r="H112">
        <v>73.59</v>
      </c>
      <c r="I112">
        <v>13.01</v>
      </c>
      <c r="J112">
        <v>21.42</v>
      </c>
      <c r="K112">
        <v>8.1300000000000008</v>
      </c>
      <c r="L112">
        <v>33.979999999999997</v>
      </c>
      <c r="M112">
        <v>26.08</v>
      </c>
      <c r="N112">
        <v>39.200000000000003</v>
      </c>
      <c r="O112">
        <v>71.62</v>
      </c>
      <c r="P112" s="5">
        <f t="shared" si="43"/>
        <v>5.5049961568024601</v>
      </c>
      <c r="Q112">
        <v>15.12</v>
      </c>
      <c r="R112" s="2">
        <v>11.95</v>
      </c>
      <c r="S112" s="6">
        <v>0</v>
      </c>
      <c r="T112">
        <v>66.42</v>
      </c>
      <c r="U112">
        <v>12.3</v>
      </c>
      <c r="V112">
        <v>1</v>
      </c>
      <c r="W112">
        <v>1</v>
      </c>
      <c r="X112">
        <v>57.08</v>
      </c>
      <c r="Y112">
        <v>192.51</v>
      </c>
      <c r="Z112">
        <v>80.510000000000005</v>
      </c>
      <c r="AA112" s="5">
        <f t="shared" si="44"/>
        <v>1</v>
      </c>
      <c r="AB112">
        <v>20.329999999999998</v>
      </c>
      <c r="AC112" s="5">
        <f t="shared" si="45"/>
        <v>1.7</v>
      </c>
      <c r="AD112">
        <v>98.63</v>
      </c>
      <c r="AE112">
        <v>48.16</v>
      </c>
      <c r="AF112">
        <v>102.93</v>
      </c>
      <c r="AG112" s="6">
        <f t="shared" si="46"/>
        <v>4.5</v>
      </c>
      <c r="AH112" s="5">
        <f t="shared" si="47"/>
        <v>9.1999999999999993</v>
      </c>
      <c r="AI112" s="5">
        <v>13</v>
      </c>
      <c r="AJ112" s="5">
        <f t="shared" si="31"/>
        <v>0.98</v>
      </c>
      <c r="AK112" s="5">
        <f t="shared" si="32"/>
        <v>15.630999999999998</v>
      </c>
      <c r="AL112" s="4">
        <f t="shared" si="33"/>
        <v>1</v>
      </c>
      <c r="AM112" s="8" t="str">
        <f t="shared" si="34"/>
        <v>Msafe Equipments Dat</v>
      </c>
      <c r="AN112" s="46">
        <v>30</v>
      </c>
      <c r="AO112" s="61">
        <f t="shared" si="35"/>
        <v>1</v>
      </c>
      <c r="AP112" s="7">
        <f t="shared" si="36"/>
        <v>1</v>
      </c>
      <c r="AQ112" s="5">
        <v>1</v>
      </c>
      <c r="AR112" s="7">
        <f t="shared" si="37"/>
        <v>1</v>
      </c>
      <c r="AS112">
        <v>123</v>
      </c>
      <c r="AT112" s="5">
        <v>144</v>
      </c>
      <c r="AU112" s="5">
        <v>165</v>
      </c>
      <c r="AV112" s="5">
        <f t="shared" si="38"/>
        <v>154.5</v>
      </c>
      <c r="AW112">
        <v>144</v>
      </c>
      <c r="AX112" s="4">
        <f t="shared" si="39"/>
        <v>0</v>
      </c>
      <c r="AY112" s="4">
        <f t="shared" si="40"/>
        <v>34.146341463414636</v>
      </c>
      <c r="AZ112" s="4">
        <f t="shared" si="48"/>
        <v>2.5</v>
      </c>
      <c r="BA112" s="7"/>
      <c r="BB112">
        <v>150</v>
      </c>
      <c r="BC112">
        <v>163</v>
      </c>
    </row>
    <row r="113" spans="1:56" ht="12.75" customHeight="1">
      <c r="A113" t="s">
        <v>192</v>
      </c>
      <c r="B113" t="s">
        <v>193</v>
      </c>
      <c r="C113" t="s">
        <v>159</v>
      </c>
      <c r="D113" s="11">
        <v>1</v>
      </c>
      <c r="E113">
        <v>3.86</v>
      </c>
      <c r="F113">
        <v>5.35</v>
      </c>
      <c r="G113" s="5">
        <f t="shared" si="42"/>
        <v>27.850467289719624</v>
      </c>
      <c r="H113">
        <v>10.86</v>
      </c>
      <c r="I113">
        <v>2.61</v>
      </c>
      <c r="J113">
        <v>16.59</v>
      </c>
      <c r="K113">
        <v>4.91</v>
      </c>
      <c r="L113">
        <v>68.540000000000006</v>
      </c>
      <c r="M113">
        <v>3.65</v>
      </c>
      <c r="N113">
        <v>23.36</v>
      </c>
      <c r="O113">
        <v>16.059999999999999</v>
      </c>
      <c r="P113" s="5">
        <f t="shared" si="43"/>
        <v>6.1532567049808424</v>
      </c>
      <c r="Q113">
        <v>26.27</v>
      </c>
      <c r="R113" s="2">
        <v>20.02</v>
      </c>
      <c r="S113" s="6">
        <v>1</v>
      </c>
      <c r="T113">
        <v>24.77</v>
      </c>
      <c r="U113">
        <v>0</v>
      </c>
      <c r="V113">
        <v>1</v>
      </c>
      <c r="W113">
        <v>0</v>
      </c>
      <c r="X113">
        <v>0.99</v>
      </c>
      <c r="Y113">
        <v>1.89</v>
      </c>
      <c r="Z113">
        <v>1.7</v>
      </c>
      <c r="AA113" s="5">
        <f t="shared" si="44"/>
        <v>1</v>
      </c>
      <c r="AB113">
        <v>0</v>
      </c>
      <c r="AC113" s="5">
        <f t="shared" si="45"/>
        <v>0</v>
      </c>
      <c r="AD113">
        <v>218.29</v>
      </c>
      <c r="AE113">
        <v>208.85</v>
      </c>
      <c r="AF113">
        <v>395.37</v>
      </c>
      <c r="AG113" s="6">
        <f t="shared" si="46"/>
        <v>6.2</v>
      </c>
      <c r="AH113" s="5">
        <f t="shared" si="47"/>
        <v>8.1999999999999993</v>
      </c>
      <c r="AI113" s="5">
        <v>13</v>
      </c>
      <c r="AJ113" s="5">
        <f t="shared" si="31"/>
        <v>0.98</v>
      </c>
      <c r="AK113" s="5">
        <f t="shared" si="32"/>
        <v>17.149999999999999</v>
      </c>
      <c r="AL113" s="4">
        <f t="shared" si="33"/>
        <v>1</v>
      </c>
      <c r="AM113" s="8" t="str">
        <f t="shared" si="34"/>
        <v xml:space="preserve">Accretion Nutraveda </v>
      </c>
      <c r="AN113" s="46">
        <v>30</v>
      </c>
      <c r="AO113" s="61">
        <f t="shared" si="35"/>
        <v>0</v>
      </c>
      <c r="AP113" s="7">
        <f t="shared" si="36"/>
        <v>3</v>
      </c>
      <c r="AQ113" s="5">
        <v>1</v>
      </c>
      <c r="AR113" s="7">
        <f t="shared" si="37"/>
        <v>5</v>
      </c>
      <c r="AS113">
        <v>129</v>
      </c>
      <c r="AT113" s="5">
        <v>90</v>
      </c>
      <c r="AU113" s="5">
        <v>104</v>
      </c>
      <c r="AV113" s="5">
        <f t="shared" si="38"/>
        <v>97</v>
      </c>
      <c r="AW113" s="5">
        <v>191</v>
      </c>
      <c r="AX113" s="4">
        <f t="shared" si="39"/>
        <v>1</v>
      </c>
      <c r="AY113" s="4">
        <f t="shared" si="40"/>
        <v>-19.379844961240309</v>
      </c>
      <c r="AZ113" s="4">
        <f t="shared" si="48"/>
        <v>-1.5</v>
      </c>
      <c r="BA113" s="7"/>
      <c r="BB113" s="5">
        <v>191</v>
      </c>
      <c r="BC113" s="5">
        <v>206</v>
      </c>
    </row>
    <row r="114" spans="1:56" ht="12.75" customHeight="1">
      <c r="A114" t="s">
        <v>194</v>
      </c>
      <c r="B114" t="s">
        <v>195</v>
      </c>
      <c r="C114" t="s">
        <v>159</v>
      </c>
      <c r="D114" s="11">
        <v>1</v>
      </c>
      <c r="E114">
        <v>0</v>
      </c>
      <c r="F114">
        <v>42.53</v>
      </c>
      <c r="G114" s="5">
        <f t="shared" si="42"/>
        <v>100</v>
      </c>
      <c r="H114">
        <v>68.09</v>
      </c>
      <c r="I114">
        <v>16.36</v>
      </c>
      <c r="J114">
        <v>5.39</v>
      </c>
      <c r="K114">
        <v>10.94</v>
      </c>
      <c r="L114">
        <v>18.34</v>
      </c>
      <c r="M114">
        <v>22.6</v>
      </c>
      <c r="N114">
        <v>7.38</v>
      </c>
      <c r="O114">
        <v>301.85000000000002</v>
      </c>
      <c r="P114" s="5">
        <f t="shared" si="43"/>
        <v>18.450488997555013</v>
      </c>
      <c r="Q114">
        <v>14.9</v>
      </c>
      <c r="R114" s="2">
        <v>18.38</v>
      </c>
      <c r="S114" s="6">
        <v>-1</v>
      </c>
      <c r="T114">
        <v>88.02</v>
      </c>
      <c r="U114">
        <v>16.170000000000002</v>
      </c>
      <c r="V114">
        <v>0</v>
      </c>
      <c r="W114">
        <v>1</v>
      </c>
      <c r="X114">
        <v>0</v>
      </c>
      <c r="Y114">
        <v>0</v>
      </c>
      <c r="Z114">
        <v>0</v>
      </c>
      <c r="AA114" s="5">
        <f t="shared" si="44"/>
        <v>1</v>
      </c>
      <c r="AB114">
        <v>0</v>
      </c>
      <c r="AC114" s="5">
        <f t="shared" si="45"/>
        <v>0</v>
      </c>
      <c r="AD114">
        <v>29.12</v>
      </c>
      <c r="AE114">
        <v>29.36</v>
      </c>
      <c r="AF114">
        <v>62.51</v>
      </c>
      <c r="AG114" s="6">
        <f t="shared" si="46"/>
        <v>2.5999999999999996</v>
      </c>
      <c r="AH114" s="5">
        <f t="shared" si="47"/>
        <v>2.5999999999999996</v>
      </c>
      <c r="AI114" s="5">
        <v>16.45</v>
      </c>
      <c r="AJ114" s="5">
        <f t="shared" si="31"/>
        <v>0.93</v>
      </c>
      <c r="AK114" s="5">
        <f t="shared" si="32"/>
        <v>6.0449999999999999</v>
      </c>
      <c r="AL114" s="4">
        <f t="shared" si="33"/>
        <v>1</v>
      </c>
      <c r="AM114" s="8" t="str">
        <f t="shared" si="34"/>
        <v>CKK Retail Mart Date</v>
      </c>
      <c r="AN114" s="47">
        <v>3</v>
      </c>
      <c r="AO114" s="61">
        <f t="shared" si="35"/>
        <v>0</v>
      </c>
      <c r="AP114" s="7">
        <f t="shared" si="36"/>
        <v>0</v>
      </c>
      <c r="AQ114" s="5">
        <v>1</v>
      </c>
      <c r="AR114" s="7">
        <f t="shared" si="37"/>
        <v>5</v>
      </c>
      <c r="AS114">
        <v>163</v>
      </c>
      <c r="AT114" s="5">
        <v>88</v>
      </c>
      <c r="AU114" s="5">
        <v>107</v>
      </c>
      <c r="AV114" s="5">
        <f t="shared" si="38"/>
        <v>97.5</v>
      </c>
      <c r="AW114" s="48">
        <v>163</v>
      </c>
      <c r="AX114" s="4">
        <f t="shared" si="39"/>
        <v>1</v>
      </c>
      <c r="AY114" s="4">
        <f t="shared" si="40"/>
        <v>-34.355828220858896</v>
      </c>
      <c r="AZ114" s="4">
        <f t="shared" si="48"/>
        <v>-2</v>
      </c>
      <c r="BA114" s="15"/>
      <c r="BB114" s="48">
        <v>171</v>
      </c>
      <c r="BC114" s="48"/>
      <c r="BD114" s="48"/>
    </row>
    <row r="115" spans="1:56" ht="17.25" customHeight="1">
      <c r="A115" t="s">
        <v>196</v>
      </c>
      <c r="B115" t="s">
        <v>197</v>
      </c>
      <c r="C115" t="s">
        <v>159</v>
      </c>
      <c r="D115" s="11">
        <v>1</v>
      </c>
      <c r="E115">
        <v>11.87</v>
      </c>
      <c r="F115">
        <v>29.79</v>
      </c>
      <c r="G115" s="5">
        <f t="shared" si="42"/>
        <v>60.154414232964093</v>
      </c>
      <c r="H115">
        <v>84.73</v>
      </c>
      <c r="I115">
        <v>20.95</v>
      </c>
      <c r="J115">
        <v>20.64</v>
      </c>
      <c r="K115">
        <v>15.45</v>
      </c>
      <c r="L115">
        <v>43.69</v>
      </c>
      <c r="M115">
        <v>31.15</v>
      </c>
      <c r="N115">
        <v>28.35</v>
      </c>
      <c r="O115">
        <v>136.30000000000001</v>
      </c>
      <c r="P115" s="5">
        <f t="shared" si="43"/>
        <v>6.505966587112173</v>
      </c>
      <c r="Q115">
        <v>11.39</v>
      </c>
      <c r="R115" s="2">
        <v>12.38</v>
      </c>
      <c r="S115" s="6">
        <v>1</v>
      </c>
      <c r="T115">
        <v>86.09</v>
      </c>
      <c r="U115">
        <v>0</v>
      </c>
      <c r="V115">
        <v>1</v>
      </c>
      <c r="W115">
        <v>1</v>
      </c>
      <c r="X115">
        <v>85.24</v>
      </c>
      <c r="Y115">
        <v>202.98</v>
      </c>
      <c r="Z115">
        <v>93.11</v>
      </c>
      <c r="AA115" s="5">
        <f t="shared" si="44"/>
        <v>1</v>
      </c>
      <c r="AB115">
        <v>15.91</v>
      </c>
      <c r="AC115" s="5">
        <f t="shared" si="45"/>
        <v>1.7</v>
      </c>
      <c r="AD115">
        <v>153.33000000000001</v>
      </c>
      <c r="AE115">
        <v>10.37</v>
      </c>
      <c r="AF115">
        <v>236.99</v>
      </c>
      <c r="AG115" s="6">
        <f t="shared" si="46"/>
        <v>6.6</v>
      </c>
      <c r="AH115" s="5">
        <f t="shared" si="47"/>
        <v>11.299999999999999</v>
      </c>
      <c r="AI115" s="5">
        <v>12</v>
      </c>
      <c r="AJ115" s="5">
        <f t="shared" si="31"/>
        <v>1</v>
      </c>
      <c r="AK115" s="5">
        <f t="shared" si="32"/>
        <v>21.199999999999996</v>
      </c>
      <c r="AL115" s="4">
        <f t="shared" si="33"/>
        <v>1</v>
      </c>
      <c r="AM115" s="8" t="str">
        <f t="shared" si="34"/>
        <v>Brandman Retail Date</v>
      </c>
      <c r="AN115" s="47">
        <v>6</v>
      </c>
      <c r="AO115" s="61">
        <f t="shared" si="35"/>
        <v>1</v>
      </c>
      <c r="AP115" s="7">
        <f t="shared" si="36"/>
        <v>1</v>
      </c>
      <c r="AQ115" s="5">
        <v>1</v>
      </c>
      <c r="AR115" s="7">
        <f t="shared" si="37"/>
        <v>1</v>
      </c>
      <c r="AS115">
        <v>176</v>
      </c>
      <c r="AT115" s="2">
        <v>128</v>
      </c>
      <c r="AU115" s="5">
        <v>150</v>
      </c>
      <c r="AV115" s="5">
        <f t="shared" si="38"/>
        <v>139</v>
      </c>
      <c r="AW115" s="5">
        <v>178.5</v>
      </c>
      <c r="AX115" s="4">
        <f t="shared" si="39"/>
        <v>1</v>
      </c>
      <c r="AY115" s="4">
        <f t="shared" si="40"/>
        <v>-14.772727272727273</v>
      </c>
      <c r="AZ115" s="4">
        <f t="shared" si="48"/>
        <v>-1.5</v>
      </c>
      <c r="BA115" s="7"/>
      <c r="BB115">
        <v>192.5</v>
      </c>
    </row>
    <row r="116" spans="1:56" ht="12.75" customHeight="1">
      <c r="A116" t="s">
        <v>198</v>
      </c>
      <c r="B116" t="s">
        <v>199</v>
      </c>
      <c r="C116" t="s">
        <v>159</v>
      </c>
      <c r="D116" s="11">
        <v>1</v>
      </c>
      <c r="E116">
        <v>9.34</v>
      </c>
      <c r="F116">
        <v>16.690000000000001</v>
      </c>
      <c r="G116" s="5">
        <f t="shared" si="42"/>
        <v>44.038346315158783</v>
      </c>
      <c r="H116">
        <v>29.85</v>
      </c>
      <c r="I116">
        <v>7.62</v>
      </c>
      <c r="J116">
        <v>2.21</v>
      </c>
      <c r="K116">
        <v>7.15</v>
      </c>
      <c r="L116">
        <v>0</v>
      </c>
      <c r="M116">
        <v>11.26</v>
      </c>
      <c r="N116">
        <v>3.09</v>
      </c>
      <c r="O116">
        <v>460.95</v>
      </c>
      <c r="P116" s="5">
        <f t="shared" si="43"/>
        <v>60.492125984251963</v>
      </c>
      <c r="Q116">
        <v>12.31</v>
      </c>
      <c r="R116" s="2">
        <v>7.12</v>
      </c>
      <c r="S116" s="6">
        <v>1</v>
      </c>
      <c r="T116">
        <v>33.83</v>
      </c>
      <c r="U116">
        <v>0</v>
      </c>
      <c r="V116">
        <v>1</v>
      </c>
      <c r="W116">
        <v>1</v>
      </c>
      <c r="X116">
        <v>11.32</v>
      </c>
      <c r="Y116">
        <v>37.57</v>
      </c>
      <c r="Z116">
        <v>15</v>
      </c>
      <c r="AA116" s="5">
        <f t="shared" si="44"/>
        <v>0</v>
      </c>
      <c r="AB116">
        <v>3.4</v>
      </c>
      <c r="AC116" s="5">
        <f t="shared" si="45"/>
        <v>0</v>
      </c>
      <c r="AD116">
        <v>174.1</v>
      </c>
      <c r="AE116">
        <v>78.66</v>
      </c>
      <c r="AF116">
        <v>84.01</v>
      </c>
      <c r="AG116" s="6">
        <f t="shared" si="46"/>
        <v>6.4</v>
      </c>
      <c r="AH116" s="5">
        <f t="shared" si="47"/>
        <v>8.4</v>
      </c>
      <c r="AI116" s="5">
        <v>12</v>
      </c>
      <c r="AJ116" s="5">
        <f t="shared" si="31"/>
        <v>1</v>
      </c>
      <c r="AK116" s="5">
        <f t="shared" si="32"/>
        <v>18</v>
      </c>
      <c r="AL116" s="4">
        <f t="shared" si="33"/>
        <v>1</v>
      </c>
      <c r="AM116" s="8" t="str">
        <f t="shared" si="34"/>
        <v>Grover Jewells Date,</v>
      </c>
      <c r="AN116" s="49">
        <v>6</v>
      </c>
      <c r="AO116" s="61">
        <f t="shared" si="35"/>
        <v>1</v>
      </c>
      <c r="AP116" s="7">
        <f t="shared" si="36"/>
        <v>2</v>
      </c>
      <c r="AQ116" s="5">
        <v>1</v>
      </c>
      <c r="AR116" s="7">
        <f t="shared" si="37"/>
        <v>1</v>
      </c>
      <c r="AS116">
        <v>88</v>
      </c>
      <c r="AT116" s="5">
        <v>111</v>
      </c>
      <c r="AU116" s="5">
        <v>148</v>
      </c>
      <c r="AV116" s="5">
        <f t="shared" si="38"/>
        <v>129.5</v>
      </c>
      <c r="AW116" s="48">
        <v>96</v>
      </c>
      <c r="AX116" s="4">
        <f t="shared" si="39"/>
        <v>0</v>
      </c>
      <c r="AY116" s="4">
        <f t="shared" si="40"/>
        <v>68.181818181818187</v>
      </c>
      <c r="AZ116" s="4">
        <f t="shared" si="48"/>
        <v>2.5</v>
      </c>
      <c r="BA116" s="15">
        <v>100</v>
      </c>
      <c r="BB116" s="48">
        <v>105</v>
      </c>
      <c r="BC116" s="48">
        <v>111</v>
      </c>
      <c r="BD116" s="48">
        <v>117</v>
      </c>
    </row>
    <row r="117" spans="1:56" ht="12.75" customHeight="1">
      <c r="A117" t="s">
        <v>200</v>
      </c>
      <c r="B117" t="s">
        <v>201</v>
      </c>
      <c r="C117" t="s">
        <v>159</v>
      </c>
      <c r="D117" s="11">
        <v>0</v>
      </c>
      <c r="E117">
        <v>0</v>
      </c>
      <c r="F117">
        <v>18.260000000000002</v>
      </c>
      <c r="G117" s="5">
        <f t="shared" si="42"/>
        <v>100</v>
      </c>
      <c r="H117">
        <v>36.06</v>
      </c>
      <c r="I117">
        <v>5.0199999999999996</v>
      </c>
      <c r="J117">
        <v>3.33</v>
      </c>
      <c r="K117">
        <v>9.27</v>
      </c>
      <c r="L117">
        <v>24.64</v>
      </c>
      <c r="M117">
        <v>6.86</v>
      </c>
      <c r="N117">
        <v>4.12</v>
      </c>
      <c r="O117">
        <v>283.69</v>
      </c>
      <c r="P117" s="5">
        <f t="shared" si="43"/>
        <v>56.511952191235061</v>
      </c>
      <c r="Q117">
        <v>8.41</v>
      </c>
      <c r="R117" s="2">
        <v>7.31</v>
      </c>
      <c r="S117" s="6">
        <v>1</v>
      </c>
      <c r="T117">
        <v>17.04</v>
      </c>
      <c r="U117">
        <v>3</v>
      </c>
      <c r="V117">
        <v>1</v>
      </c>
      <c r="W117">
        <v>1</v>
      </c>
      <c r="X117">
        <v>3.52</v>
      </c>
      <c r="Y117">
        <v>6</v>
      </c>
      <c r="Z117">
        <v>3.9</v>
      </c>
      <c r="AA117" s="5">
        <f t="shared" si="44"/>
        <v>1</v>
      </c>
      <c r="AB117">
        <v>0</v>
      </c>
      <c r="AC117" s="5">
        <f t="shared" si="45"/>
        <v>0</v>
      </c>
      <c r="AD117">
        <v>19.52</v>
      </c>
      <c r="AE117">
        <v>0.63</v>
      </c>
      <c r="AF117">
        <v>30.06</v>
      </c>
      <c r="AG117" s="6">
        <f t="shared" si="46"/>
        <v>4.0999999999999996</v>
      </c>
      <c r="AH117" s="5">
        <f t="shared" si="47"/>
        <v>7.1</v>
      </c>
      <c r="AI117" s="5">
        <v>12</v>
      </c>
      <c r="AJ117" s="5">
        <f t="shared" si="31"/>
        <v>1</v>
      </c>
      <c r="AK117" s="5">
        <f t="shared" si="32"/>
        <v>13.25</v>
      </c>
      <c r="AL117" s="4">
        <f t="shared" si="33"/>
        <v>0</v>
      </c>
      <c r="AM117" s="8" t="str">
        <f t="shared" si="34"/>
        <v>PAN HR Solutions Dat</v>
      </c>
      <c r="AN117" s="47">
        <v>10</v>
      </c>
      <c r="AO117" s="61">
        <f t="shared" si="35"/>
        <v>0</v>
      </c>
      <c r="AP117" s="7">
        <f t="shared" si="36"/>
        <v>0</v>
      </c>
      <c r="AQ117" s="5">
        <v>1</v>
      </c>
      <c r="AR117" s="7">
        <f t="shared" si="37"/>
        <v>5</v>
      </c>
      <c r="AS117">
        <v>78</v>
      </c>
      <c r="AT117" s="5">
        <v>96</v>
      </c>
      <c r="AU117" s="5">
        <v>117</v>
      </c>
      <c r="AV117" s="5">
        <f t="shared" si="38"/>
        <v>106.5</v>
      </c>
      <c r="AW117">
        <v>78.349999999999994</v>
      </c>
      <c r="AX117" s="4">
        <f t="shared" si="39"/>
        <v>0</v>
      </c>
      <c r="AY117" s="4">
        <f t="shared" si="40"/>
        <v>50</v>
      </c>
      <c r="AZ117" s="4">
        <f t="shared" si="48"/>
        <v>2.5</v>
      </c>
      <c r="BA117" s="7"/>
      <c r="BB117">
        <v>78</v>
      </c>
      <c r="BC117">
        <v>71</v>
      </c>
      <c r="BD117">
        <v>65</v>
      </c>
    </row>
    <row r="118" spans="1:56" ht="12.75" customHeight="1">
      <c r="A118" t="s">
        <v>202</v>
      </c>
      <c r="B118" t="s">
        <v>203</v>
      </c>
      <c r="C118" t="s">
        <v>159</v>
      </c>
      <c r="D118" s="11">
        <v>1</v>
      </c>
      <c r="E118">
        <v>7.69</v>
      </c>
      <c r="F118">
        <v>13.53</v>
      </c>
      <c r="G118" s="5">
        <f t="shared" si="42"/>
        <v>43.163340724316328</v>
      </c>
      <c r="H118">
        <v>31.48</v>
      </c>
      <c r="I118">
        <v>4.33</v>
      </c>
      <c r="J118">
        <v>12.29</v>
      </c>
      <c r="K118">
        <v>5.47</v>
      </c>
      <c r="L118">
        <v>36.32</v>
      </c>
      <c r="M118">
        <v>6.53</v>
      </c>
      <c r="N118">
        <v>18.41</v>
      </c>
      <c r="O118">
        <v>49.15</v>
      </c>
      <c r="P118" s="5">
        <f t="shared" si="43"/>
        <v>11.351039260969976</v>
      </c>
      <c r="Q118">
        <v>19.73</v>
      </c>
      <c r="R118" s="2">
        <v>14.58</v>
      </c>
      <c r="S118" s="6">
        <v>-1</v>
      </c>
      <c r="T118">
        <v>31.26</v>
      </c>
      <c r="U118">
        <v>0</v>
      </c>
      <c r="V118">
        <v>0</v>
      </c>
      <c r="W118">
        <v>1</v>
      </c>
      <c r="X118">
        <v>17.39</v>
      </c>
      <c r="Y118">
        <v>23.67</v>
      </c>
      <c r="Z118">
        <v>18</v>
      </c>
      <c r="AA118" s="5">
        <f t="shared" si="44"/>
        <v>1</v>
      </c>
      <c r="AB118">
        <v>2.78</v>
      </c>
      <c r="AC118" s="5">
        <f t="shared" si="45"/>
        <v>0</v>
      </c>
      <c r="AD118">
        <v>46.28</v>
      </c>
      <c r="AE118">
        <v>181.99</v>
      </c>
      <c r="AF118">
        <v>47.07</v>
      </c>
      <c r="AG118" s="6">
        <f t="shared" si="46"/>
        <v>2.9</v>
      </c>
      <c r="AH118" s="5">
        <f t="shared" si="47"/>
        <v>5.9</v>
      </c>
      <c r="AI118" s="5">
        <v>12</v>
      </c>
      <c r="AJ118" s="5">
        <f t="shared" si="31"/>
        <v>1</v>
      </c>
      <c r="AK118" s="5">
        <f t="shared" si="32"/>
        <v>10.25</v>
      </c>
      <c r="AL118" s="4">
        <f t="shared" si="33"/>
        <v>1</v>
      </c>
      <c r="AM118" s="8" t="str">
        <f t="shared" si="34"/>
        <v>Biopol Chemicals Dat</v>
      </c>
      <c r="AN118" s="47">
        <v>10</v>
      </c>
      <c r="AO118" s="61">
        <f t="shared" si="35"/>
        <v>0</v>
      </c>
      <c r="AP118" s="7">
        <f t="shared" si="36"/>
        <v>0</v>
      </c>
      <c r="AQ118" s="5">
        <v>1</v>
      </c>
      <c r="AR118" s="7">
        <f t="shared" si="37"/>
        <v>5</v>
      </c>
      <c r="AS118">
        <v>108</v>
      </c>
      <c r="AT118" s="5">
        <v>74</v>
      </c>
      <c r="AU118" s="5">
        <v>90</v>
      </c>
      <c r="AV118" s="5">
        <f t="shared" si="38"/>
        <v>82</v>
      </c>
      <c r="AW118">
        <v>111</v>
      </c>
      <c r="AX118" s="4">
        <f t="shared" si="39"/>
        <v>1</v>
      </c>
      <c r="AY118" s="4">
        <f t="shared" si="40"/>
        <v>-16.666666666666668</v>
      </c>
      <c r="AZ118" s="4">
        <f t="shared" si="48"/>
        <v>-1.5</v>
      </c>
      <c r="BA118" s="7"/>
    </row>
    <row r="119" spans="1:56" ht="12.75" customHeight="1">
      <c r="A119" t="s">
        <v>204</v>
      </c>
      <c r="B119" t="s">
        <v>205</v>
      </c>
      <c r="C119" t="s">
        <v>159</v>
      </c>
      <c r="D119" s="11">
        <v>1</v>
      </c>
      <c r="E119">
        <v>21.37</v>
      </c>
      <c r="F119">
        <v>15.37</v>
      </c>
      <c r="G119" s="5">
        <f t="shared" si="42"/>
        <v>-39.037085230969438</v>
      </c>
      <c r="H119">
        <v>53.94</v>
      </c>
      <c r="I119">
        <v>6.29</v>
      </c>
      <c r="J119">
        <v>6.45</v>
      </c>
      <c r="K119">
        <v>10.09</v>
      </c>
      <c r="L119">
        <v>18.52</v>
      </c>
      <c r="M119">
        <v>10.47</v>
      </c>
      <c r="N119">
        <v>11.59</v>
      </c>
      <c r="O119">
        <v>85.63</v>
      </c>
      <c r="P119" s="5">
        <f t="shared" si="43"/>
        <v>13.613672496025437</v>
      </c>
      <c r="Q119">
        <v>11.6</v>
      </c>
      <c r="R119" s="2">
        <v>15.91</v>
      </c>
      <c r="S119" s="6">
        <v>-1</v>
      </c>
      <c r="T119">
        <v>26.97</v>
      </c>
      <c r="U119">
        <v>0</v>
      </c>
      <c r="V119">
        <v>1</v>
      </c>
      <c r="W119">
        <v>1</v>
      </c>
      <c r="X119">
        <v>0</v>
      </c>
      <c r="Y119">
        <v>4.7</v>
      </c>
      <c r="Z119">
        <v>3.01</v>
      </c>
      <c r="AA119" s="5">
        <f t="shared" si="44"/>
        <v>0</v>
      </c>
      <c r="AB119">
        <v>0</v>
      </c>
      <c r="AC119" s="5">
        <f t="shared" si="45"/>
        <v>0</v>
      </c>
      <c r="AD119">
        <v>100.32</v>
      </c>
      <c r="AE119">
        <v>40.770000000000003</v>
      </c>
      <c r="AF119">
        <v>81.89</v>
      </c>
      <c r="AG119" s="6">
        <f t="shared" si="46"/>
        <v>3.5</v>
      </c>
      <c r="AH119" s="5">
        <f t="shared" si="47"/>
        <v>4.5</v>
      </c>
      <c r="AI119" s="5">
        <v>13</v>
      </c>
      <c r="AJ119" s="5">
        <f t="shared" si="31"/>
        <v>0.98</v>
      </c>
      <c r="AK119" s="5">
        <f t="shared" si="32"/>
        <v>9.5549999999999997</v>
      </c>
      <c r="AL119" s="4">
        <f t="shared" si="33"/>
        <v>1</v>
      </c>
      <c r="AM119" s="8" t="str">
        <f t="shared" si="34"/>
        <v>Marushika Technology</v>
      </c>
      <c r="AN119" s="47">
        <v>16</v>
      </c>
      <c r="AO119" s="61">
        <f t="shared" si="35"/>
        <v>0</v>
      </c>
      <c r="AP119" s="7">
        <f t="shared" si="36"/>
        <v>0</v>
      </c>
      <c r="AQ119" s="5">
        <v>1</v>
      </c>
      <c r="AR119" s="7">
        <f t="shared" si="37"/>
        <v>5</v>
      </c>
      <c r="AS119">
        <v>117</v>
      </c>
      <c r="AT119" s="5">
        <v>132</v>
      </c>
      <c r="AU119" s="5">
        <v>162</v>
      </c>
      <c r="AV119" s="5">
        <f t="shared" si="38"/>
        <v>147</v>
      </c>
      <c r="AW119" s="5">
        <v>120</v>
      </c>
      <c r="AX119" s="4">
        <f t="shared" si="39"/>
        <v>0</v>
      </c>
      <c r="AY119" s="4">
        <f t="shared" si="40"/>
        <v>38.46153846153846</v>
      </c>
      <c r="AZ119" s="4">
        <f t="shared" si="48"/>
        <v>2.5</v>
      </c>
      <c r="BA119" s="7"/>
    </row>
    <row r="120" spans="1:56" ht="12.75" customHeight="1">
      <c r="A120" t="s">
        <v>206</v>
      </c>
      <c r="B120" t="s">
        <v>207</v>
      </c>
      <c r="C120" t="s">
        <v>159</v>
      </c>
      <c r="D120" s="11">
        <v>1</v>
      </c>
      <c r="E120">
        <v>27.61</v>
      </c>
      <c r="F120">
        <v>15.7</v>
      </c>
      <c r="G120" s="5">
        <f t="shared" si="42"/>
        <v>-75.859872611464965</v>
      </c>
      <c r="H120">
        <v>51.42</v>
      </c>
      <c r="I120">
        <v>7.54</v>
      </c>
      <c r="J120">
        <v>14.34</v>
      </c>
      <c r="K120">
        <v>13.51</v>
      </c>
      <c r="L120">
        <v>34.520000000000003</v>
      </c>
      <c r="M120">
        <v>11.15</v>
      </c>
      <c r="N120">
        <v>19.63</v>
      </c>
      <c r="O120">
        <v>85.51</v>
      </c>
      <c r="P120" s="5">
        <f t="shared" si="43"/>
        <v>11.340848806366049</v>
      </c>
      <c r="Q120">
        <v>15.99</v>
      </c>
      <c r="R120" s="2">
        <v>12.5</v>
      </c>
      <c r="S120" s="6">
        <v>0.9</v>
      </c>
      <c r="T120">
        <v>49</v>
      </c>
      <c r="U120">
        <v>0</v>
      </c>
      <c r="V120">
        <v>1</v>
      </c>
      <c r="W120">
        <v>1</v>
      </c>
      <c r="X120">
        <v>5.95</v>
      </c>
      <c r="Y120">
        <v>7.91</v>
      </c>
      <c r="Z120">
        <v>4.09</v>
      </c>
      <c r="AA120" s="5">
        <f t="shared" si="44"/>
        <v>1</v>
      </c>
      <c r="AB120">
        <v>0</v>
      </c>
      <c r="AC120" s="5">
        <f t="shared" si="45"/>
        <v>0</v>
      </c>
      <c r="AD120">
        <v>232.16</v>
      </c>
      <c r="AE120">
        <v>70.989999999999995</v>
      </c>
      <c r="AF120">
        <v>92.4</v>
      </c>
      <c r="AG120" s="6">
        <f t="shared" si="46"/>
        <v>5.4</v>
      </c>
      <c r="AH120" s="5">
        <f t="shared" si="47"/>
        <v>8.4</v>
      </c>
      <c r="AI120" s="5">
        <v>13</v>
      </c>
      <c r="AJ120" s="5">
        <f t="shared" si="31"/>
        <v>0.98</v>
      </c>
      <c r="AK120" s="5">
        <f t="shared" si="32"/>
        <v>16.169999999999998</v>
      </c>
      <c r="AL120" s="4">
        <f t="shared" si="33"/>
        <v>1</v>
      </c>
      <c r="AM120" s="8" t="str">
        <f t="shared" si="34"/>
        <v>Fractal Industries D</v>
      </c>
      <c r="AN120" s="47">
        <v>18</v>
      </c>
      <c r="AO120" s="61">
        <f t="shared" si="35"/>
        <v>0</v>
      </c>
      <c r="AP120" s="7">
        <f t="shared" si="36"/>
        <v>3</v>
      </c>
      <c r="AQ120" s="5">
        <v>1</v>
      </c>
      <c r="AR120" s="7">
        <f t="shared" si="37"/>
        <v>5</v>
      </c>
      <c r="AS120">
        <v>224</v>
      </c>
      <c r="AT120" s="5">
        <v>260</v>
      </c>
      <c r="AU120" s="5">
        <v>380</v>
      </c>
      <c r="AV120" s="5">
        <f t="shared" si="38"/>
        <v>320</v>
      </c>
      <c r="AW120">
        <v>229</v>
      </c>
      <c r="AX120" s="4">
        <f t="shared" si="39"/>
        <v>0</v>
      </c>
      <c r="AY120" s="4">
        <f t="shared" si="40"/>
        <v>69.642857142857139</v>
      </c>
      <c r="AZ120" s="4">
        <f t="shared" si="48"/>
        <v>2.5</v>
      </c>
      <c r="BA120" s="7"/>
    </row>
    <row r="121" spans="1:56" ht="12.75" customHeight="1">
      <c r="A121" t="s">
        <v>208</v>
      </c>
      <c r="B121" t="s">
        <v>209</v>
      </c>
      <c r="C121" t="s">
        <v>159</v>
      </c>
      <c r="D121" s="11">
        <v>0</v>
      </c>
      <c r="E121">
        <v>43.85</v>
      </c>
      <c r="F121">
        <v>19.62</v>
      </c>
      <c r="G121" s="5">
        <f t="shared" si="42"/>
        <v>-123.49643221202854</v>
      </c>
      <c r="H121">
        <v>75.2</v>
      </c>
      <c r="I121">
        <v>11.57</v>
      </c>
      <c r="J121">
        <v>3.79</v>
      </c>
      <c r="K121">
        <v>7.71</v>
      </c>
      <c r="L121">
        <v>31.19</v>
      </c>
      <c r="M121">
        <v>21.02</v>
      </c>
      <c r="N121">
        <v>6.51</v>
      </c>
      <c r="O121">
        <v>324.95999999999998</v>
      </c>
      <c r="P121" s="5">
        <f t="shared" si="43"/>
        <v>28.086430423509071</v>
      </c>
      <c r="Q121">
        <v>14.26</v>
      </c>
      <c r="R121" s="2">
        <v>17.510000000000002</v>
      </c>
      <c r="S121" s="6">
        <v>-1</v>
      </c>
      <c r="T121">
        <v>88.88</v>
      </c>
      <c r="U121">
        <v>0</v>
      </c>
      <c r="V121">
        <v>0</v>
      </c>
      <c r="W121">
        <v>1</v>
      </c>
      <c r="X121">
        <v>0</v>
      </c>
      <c r="Y121">
        <v>0</v>
      </c>
      <c r="Z121">
        <v>0</v>
      </c>
      <c r="AA121" s="5">
        <f t="shared" si="44"/>
        <v>1</v>
      </c>
      <c r="AB121">
        <v>0</v>
      </c>
      <c r="AC121" s="5">
        <f t="shared" si="45"/>
        <v>0</v>
      </c>
      <c r="AD121">
        <v>923.89</v>
      </c>
      <c r="AE121">
        <v>448.46</v>
      </c>
      <c r="AF121">
        <v>143.72999999999999</v>
      </c>
      <c r="AG121" s="6">
        <f t="shared" si="46"/>
        <v>0.5</v>
      </c>
      <c r="AH121" s="5">
        <f t="shared" si="47"/>
        <v>0.5</v>
      </c>
      <c r="AI121" s="5">
        <v>14</v>
      </c>
      <c r="AJ121" s="5">
        <f t="shared" si="31"/>
        <v>0.98</v>
      </c>
      <c r="AK121" s="5">
        <f t="shared" si="32"/>
        <v>1.2250000000000001</v>
      </c>
      <c r="AL121" s="4">
        <f t="shared" si="33"/>
        <v>0</v>
      </c>
      <c r="AM121" s="8" t="str">
        <f t="shared" si="34"/>
        <v xml:space="preserve">Yashhtej Industries </v>
      </c>
      <c r="AN121" s="47">
        <v>20</v>
      </c>
      <c r="AO121" s="61">
        <f t="shared" si="35"/>
        <v>0</v>
      </c>
      <c r="AP121" s="7">
        <f t="shared" si="36"/>
        <v>0</v>
      </c>
      <c r="AQ121" s="5">
        <v>1</v>
      </c>
      <c r="AR121" s="7">
        <f t="shared" si="37"/>
        <v>5</v>
      </c>
      <c r="AS121">
        <v>110</v>
      </c>
      <c r="AT121" s="5">
        <v>57</v>
      </c>
      <c r="AU121" s="5">
        <v>69</v>
      </c>
      <c r="AV121" s="5">
        <f t="shared" si="38"/>
        <v>63</v>
      </c>
      <c r="AW121" s="5">
        <v>88</v>
      </c>
      <c r="AX121" s="4">
        <f t="shared" si="39"/>
        <v>1</v>
      </c>
      <c r="AY121" s="4">
        <f t="shared" si="40"/>
        <v>-37.272727272727273</v>
      </c>
      <c r="AZ121" s="4">
        <f t="shared" si="48"/>
        <v>-2</v>
      </c>
      <c r="BA121" s="7"/>
    </row>
    <row r="122" spans="1:56" ht="12.75" customHeight="1">
      <c r="A122" t="s">
        <v>210</v>
      </c>
      <c r="B122" t="s">
        <v>211</v>
      </c>
      <c r="C122" t="s">
        <v>159</v>
      </c>
      <c r="D122" s="11">
        <v>0</v>
      </c>
      <c r="E122">
        <v>62.44</v>
      </c>
      <c r="F122">
        <v>33.869999999999997</v>
      </c>
      <c r="G122" s="5">
        <f t="shared" si="42"/>
        <v>-84.351933864777095</v>
      </c>
      <c r="H122">
        <v>158.97999999999999</v>
      </c>
      <c r="I122">
        <v>7.38</v>
      </c>
      <c r="J122">
        <v>5.33</v>
      </c>
      <c r="K122">
        <v>4.3</v>
      </c>
      <c r="L122">
        <v>8.35</v>
      </c>
      <c r="M122">
        <v>17.75</v>
      </c>
      <c r="N122">
        <v>14.39</v>
      </c>
      <c r="O122">
        <v>142.16</v>
      </c>
      <c r="P122" s="5">
        <f t="shared" si="43"/>
        <v>19.262872628726289</v>
      </c>
      <c r="Q122">
        <v>16.04</v>
      </c>
      <c r="R122" s="2">
        <v>23.85</v>
      </c>
      <c r="S122" s="6">
        <v>-1</v>
      </c>
      <c r="T122">
        <v>39.950000000000003</v>
      </c>
      <c r="U122">
        <v>7.53</v>
      </c>
      <c r="V122">
        <v>1</v>
      </c>
      <c r="W122">
        <v>1</v>
      </c>
      <c r="X122">
        <v>0.12</v>
      </c>
      <c r="Y122">
        <v>3.37</v>
      </c>
      <c r="Z122">
        <v>2.02</v>
      </c>
      <c r="AA122" s="5">
        <f t="shared" si="44"/>
        <v>0</v>
      </c>
      <c r="AB122">
        <v>0</v>
      </c>
      <c r="AC122" s="5">
        <f t="shared" si="45"/>
        <v>0</v>
      </c>
      <c r="AD122">
        <v>138.06</v>
      </c>
      <c r="AE122">
        <v>2.98</v>
      </c>
      <c r="AF122">
        <v>28.39</v>
      </c>
      <c r="AG122" s="6">
        <f t="shared" si="46"/>
        <v>0.5</v>
      </c>
      <c r="AH122" s="5">
        <f t="shared" si="47"/>
        <v>1.5</v>
      </c>
      <c r="AI122" s="5">
        <v>14</v>
      </c>
      <c r="AJ122" s="5">
        <f t="shared" si="31"/>
        <v>0.98</v>
      </c>
      <c r="AK122" s="5">
        <f t="shared" si="32"/>
        <v>2.2050000000000001</v>
      </c>
      <c r="AL122" s="4">
        <f t="shared" si="33"/>
        <v>0</v>
      </c>
      <c r="AM122" s="8" t="str">
        <f t="shared" si="34"/>
        <v>Manilam Industries D</v>
      </c>
      <c r="AN122" s="47">
        <v>24</v>
      </c>
      <c r="AO122" s="61">
        <f t="shared" si="35"/>
        <v>0</v>
      </c>
      <c r="AP122" s="7">
        <f t="shared" si="36"/>
        <v>0</v>
      </c>
      <c r="AQ122" s="5">
        <v>1</v>
      </c>
      <c r="AR122" s="7">
        <f t="shared" si="37"/>
        <v>5</v>
      </c>
      <c r="AS122">
        <v>69</v>
      </c>
      <c r="AT122" s="5">
        <v>43</v>
      </c>
      <c r="AU122" s="5">
        <v>52</v>
      </c>
      <c r="AV122" s="5">
        <f t="shared" si="38"/>
        <v>47.5</v>
      </c>
      <c r="AW122">
        <v>55</v>
      </c>
      <c r="AX122" s="4">
        <f t="shared" si="39"/>
        <v>1</v>
      </c>
      <c r="AY122" s="4">
        <f t="shared" si="40"/>
        <v>-24.637681159420289</v>
      </c>
      <c r="AZ122" s="4">
        <f t="shared" si="48"/>
        <v>-2</v>
      </c>
      <c r="BA122" s="7"/>
      <c r="BB122">
        <v>55</v>
      </c>
    </row>
    <row r="123" spans="1:56" ht="15" customHeight="1">
      <c r="A123" t="s">
        <v>212</v>
      </c>
      <c r="B123" t="s">
        <v>213</v>
      </c>
      <c r="C123" t="s">
        <v>159</v>
      </c>
      <c r="D123" s="11">
        <v>0</v>
      </c>
      <c r="E123">
        <v>28.67</v>
      </c>
      <c r="F123">
        <v>40.67</v>
      </c>
      <c r="G123" s="5">
        <f t="shared" si="42"/>
        <v>29.505778214900417</v>
      </c>
      <c r="H123">
        <v>144.30000000000001</v>
      </c>
      <c r="I123">
        <v>8.3800000000000008</v>
      </c>
      <c r="J123">
        <v>11.46</v>
      </c>
      <c r="K123">
        <v>6.58</v>
      </c>
      <c r="L123">
        <v>20.2</v>
      </c>
      <c r="M123">
        <v>15.49</v>
      </c>
      <c r="N123">
        <v>21.17</v>
      </c>
      <c r="O123">
        <v>120.7</v>
      </c>
      <c r="P123" s="5">
        <f t="shared" si="43"/>
        <v>14.403341288782816</v>
      </c>
      <c r="Q123">
        <v>19.309999999999999</v>
      </c>
      <c r="R123" s="2">
        <v>17.440000000000001</v>
      </c>
      <c r="S123" s="6">
        <v>-0.9</v>
      </c>
      <c r="T123">
        <v>69.72</v>
      </c>
      <c r="U123">
        <v>0</v>
      </c>
      <c r="V123">
        <v>0</v>
      </c>
      <c r="W123">
        <v>1</v>
      </c>
      <c r="X123">
        <v>15</v>
      </c>
      <c r="Y123">
        <v>1.48</v>
      </c>
      <c r="Z123">
        <v>2.39</v>
      </c>
      <c r="AA123" s="5">
        <f t="shared" si="44"/>
        <v>-0.7</v>
      </c>
      <c r="AB123">
        <v>6</v>
      </c>
      <c r="AC123" s="5">
        <f t="shared" si="45"/>
        <v>1</v>
      </c>
      <c r="AD123">
        <v>45.99</v>
      </c>
      <c r="AE123">
        <v>41.68</v>
      </c>
      <c r="AF123">
        <v>219.98</v>
      </c>
      <c r="AG123" s="6">
        <f t="shared" si="46"/>
        <v>2.3000000000000003</v>
      </c>
      <c r="AH123" s="5">
        <f t="shared" si="47"/>
        <v>4.6000000000000005</v>
      </c>
      <c r="AI123" s="5">
        <v>13</v>
      </c>
      <c r="AJ123" s="5">
        <f t="shared" si="31"/>
        <v>0.98</v>
      </c>
      <c r="AK123" s="5">
        <f t="shared" si="32"/>
        <v>7.8890000000000002</v>
      </c>
      <c r="AL123" s="4">
        <f t="shared" si="33"/>
        <v>0</v>
      </c>
      <c r="AM123" s="8" t="str">
        <f t="shared" si="34"/>
        <v xml:space="preserve">Kiaasa Retail Date, </v>
      </c>
      <c r="AN123" s="47">
        <v>25</v>
      </c>
      <c r="AO123" s="61">
        <f t="shared" si="35"/>
        <v>0</v>
      </c>
      <c r="AP123" s="7">
        <f t="shared" si="36"/>
        <v>0</v>
      </c>
      <c r="AQ123" s="5">
        <v>1</v>
      </c>
      <c r="AR123" s="7">
        <f t="shared" si="37"/>
        <v>5</v>
      </c>
      <c r="AS123">
        <v>127</v>
      </c>
      <c r="AT123" s="5">
        <v>58</v>
      </c>
      <c r="AU123" s="5">
        <v>73</v>
      </c>
      <c r="AV123" s="5">
        <f t="shared" si="38"/>
        <v>65.5</v>
      </c>
      <c r="AW123">
        <v>123</v>
      </c>
      <c r="AX123" s="4">
        <f t="shared" si="39"/>
        <v>1</v>
      </c>
      <c r="AY123" s="4">
        <f t="shared" si="40"/>
        <v>-42.519685039370081</v>
      </c>
      <c r="AZ123" s="4">
        <f t="shared" si="48"/>
        <v>-2</v>
      </c>
      <c r="BA123" s="7"/>
      <c r="BB123">
        <v>116</v>
      </c>
    </row>
    <row r="124" spans="1:56" ht="15" customHeight="1">
      <c r="A124" t="s">
        <v>214</v>
      </c>
      <c r="B124" t="s">
        <v>215</v>
      </c>
      <c r="C124" t="s">
        <v>159</v>
      </c>
      <c r="D124" s="11">
        <v>0</v>
      </c>
      <c r="E124">
        <v>0.11</v>
      </c>
      <c r="F124">
        <v>8.26</v>
      </c>
      <c r="G124" s="5">
        <f t="shared" si="42"/>
        <v>98.668280871670703</v>
      </c>
      <c r="H124">
        <v>11.92</v>
      </c>
      <c r="I124">
        <v>4.71</v>
      </c>
      <c r="J124">
        <v>30.32</v>
      </c>
      <c r="K124">
        <v>6.73</v>
      </c>
      <c r="L124">
        <v>0</v>
      </c>
      <c r="M124">
        <v>6.92</v>
      </c>
      <c r="N124">
        <v>48.34</v>
      </c>
      <c r="O124">
        <v>16.239999999999998</v>
      </c>
      <c r="P124" s="5">
        <f t="shared" si="43"/>
        <v>3.4479830148619954</v>
      </c>
      <c r="Q124">
        <v>11.88</v>
      </c>
      <c r="R124" s="2">
        <v>14.22</v>
      </c>
      <c r="S124" s="6">
        <v>1</v>
      </c>
      <c r="T124">
        <v>20.100000000000001</v>
      </c>
      <c r="U124">
        <v>0</v>
      </c>
      <c r="V124">
        <v>1</v>
      </c>
      <c r="W124">
        <v>1</v>
      </c>
      <c r="X124">
        <v>49</v>
      </c>
      <c r="Y124">
        <v>175</v>
      </c>
      <c r="Z124">
        <v>94.3</v>
      </c>
      <c r="AA124" s="5">
        <f t="shared" si="44"/>
        <v>0</v>
      </c>
      <c r="AB124">
        <v>8.75</v>
      </c>
      <c r="AC124" s="5">
        <f t="shared" si="45"/>
        <v>1</v>
      </c>
      <c r="AD124">
        <v>51.94</v>
      </c>
      <c r="AE124">
        <v>33.880000000000003</v>
      </c>
      <c r="AF124">
        <v>130.72999999999999</v>
      </c>
      <c r="AG124" s="6">
        <f t="shared" si="46"/>
        <v>7.6</v>
      </c>
      <c r="AH124" s="5">
        <f t="shared" si="47"/>
        <v>10.6</v>
      </c>
      <c r="AI124" s="5">
        <v>13</v>
      </c>
      <c r="AJ124" s="5">
        <f t="shared" si="31"/>
        <v>0.98</v>
      </c>
      <c r="AK124" s="5">
        <f t="shared" si="32"/>
        <v>20.481999999999999</v>
      </c>
      <c r="AL124" s="4">
        <f t="shared" si="33"/>
        <v>0</v>
      </c>
      <c r="AM124" s="8" t="str">
        <f t="shared" si="34"/>
        <v>Mobilise App Date, P</v>
      </c>
      <c r="AN124" s="47">
        <v>25</v>
      </c>
      <c r="AO124" s="61">
        <f t="shared" si="35"/>
        <v>1</v>
      </c>
      <c r="AP124" s="7">
        <f t="shared" si="36"/>
        <v>1</v>
      </c>
      <c r="AQ124" s="5">
        <v>0.95</v>
      </c>
      <c r="AR124" s="7">
        <f t="shared" si="37"/>
        <v>0</v>
      </c>
      <c r="AS124">
        <v>80</v>
      </c>
      <c r="AT124" s="5">
        <v>45</v>
      </c>
      <c r="AU124" s="5">
        <v>68</v>
      </c>
      <c r="AV124" s="5">
        <f t="shared" si="38"/>
        <v>56.5</v>
      </c>
      <c r="AW124" s="5">
        <v>64</v>
      </c>
      <c r="AX124" s="4">
        <f t="shared" si="39"/>
        <v>1</v>
      </c>
      <c r="AY124" s="4">
        <f t="shared" si="40"/>
        <v>-15</v>
      </c>
      <c r="AZ124" s="4">
        <f t="shared" si="48"/>
        <v>-1.5</v>
      </c>
      <c r="BB124" s="7">
        <v>67</v>
      </c>
    </row>
    <row r="125" spans="1:56" ht="15" customHeight="1">
      <c r="A125" t="s">
        <v>216</v>
      </c>
      <c r="B125" t="s">
        <v>217</v>
      </c>
      <c r="C125" t="s">
        <v>159</v>
      </c>
      <c r="D125" s="11">
        <v>1</v>
      </c>
      <c r="E125">
        <v>11.81</v>
      </c>
      <c r="F125">
        <v>21.54</v>
      </c>
      <c r="G125" s="5">
        <f t="shared" si="42"/>
        <v>45.171773444753946</v>
      </c>
      <c r="H125">
        <v>59.89</v>
      </c>
      <c r="I125">
        <v>6.05</v>
      </c>
      <c r="J125">
        <v>6.44</v>
      </c>
      <c r="K125">
        <v>4.03</v>
      </c>
      <c r="L125">
        <v>12.67</v>
      </c>
      <c r="M125">
        <v>9.1</v>
      </c>
      <c r="N125">
        <v>10.19</v>
      </c>
      <c r="O125">
        <v>79.2</v>
      </c>
      <c r="P125" s="5">
        <f t="shared" si="43"/>
        <v>13.090909090909092</v>
      </c>
      <c r="Q125">
        <v>11.41</v>
      </c>
      <c r="R125" s="2">
        <v>15.63</v>
      </c>
      <c r="S125" s="6">
        <v>-1</v>
      </c>
      <c r="T125">
        <v>25.59</v>
      </c>
      <c r="U125">
        <v>0</v>
      </c>
      <c r="V125">
        <v>1</v>
      </c>
      <c r="W125">
        <v>1</v>
      </c>
      <c r="X125">
        <v>153</v>
      </c>
      <c r="Y125">
        <v>600</v>
      </c>
      <c r="Z125">
        <v>351</v>
      </c>
      <c r="AA125" s="5">
        <f t="shared" si="44"/>
        <v>1</v>
      </c>
      <c r="AB125">
        <v>26.09</v>
      </c>
      <c r="AC125" s="5">
        <f t="shared" si="45"/>
        <v>1.7</v>
      </c>
      <c r="AD125">
        <v>275.77999999999997</v>
      </c>
      <c r="AE125">
        <v>62.96</v>
      </c>
      <c r="AF125">
        <v>256.62</v>
      </c>
      <c r="AG125" s="6">
        <f t="shared" si="46"/>
        <v>4.9000000000000004</v>
      </c>
      <c r="AH125" s="5">
        <f t="shared" si="47"/>
        <v>9.6</v>
      </c>
      <c r="AI125" s="5">
        <v>13</v>
      </c>
      <c r="AJ125" s="5">
        <f t="shared" si="31"/>
        <v>0.98</v>
      </c>
      <c r="AK125" s="5">
        <f t="shared" si="32"/>
        <v>16.611000000000001</v>
      </c>
      <c r="AL125" s="4">
        <f t="shared" si="33"/>
        <v>1</v>
      </c>
      <c r="AM125" s="8" t="str">
        <f t="shared" si="34"/>
        <v>Accord Transformer &amp;</v>
      </c>
      <c r="AN125" s="47">
        <v>25</v>
      </c>
      <c r="AO125" s="61">
        <f t="shared" si="35"/>
        <v>0</v>
      </c>
      <c r="AP125" s="7">
        <f t="shared" si="36"/>
        <v>0</v>
      </c>
      <c r="AQ125" s="5">
        <v>1</v>
      </c>
      <c r="AR125" s="7">
        <f t="shared" si="37"/>
        <v>5</v>
      </c>
      <c r="AS125">
        <v>46</v>
      </c>
      <c r="AT125" s="5">
        <v>52</v>
      </c>
      <c r="AU125" s="5">
        <v>65</v>
      </c>
      <c r="AV125" s="5">
        <f t="shared" si="38"/>
        <v>58.5</v>
      </c>
      <c r="AW125">
        <v>50</v>
      </c>
      <c r="AX125" s="4">
        <f t="shared" si="39"/>
        <v>0</v>
      </c>
      <c r="AY125" s="4">
        <f t="shared" si="40"/>
        <v>41.304347826086953</v>
      </c>
      <c r="AZ125" s="4">
        <f t="shared" si="48"/>
        <v>2.5</v>
      </c>
      <c r="BB125" s="7">
        <v>52</v>
      </c>
    </row>
    <row r="126" spans="1:56" ht="12.75" customHeight="1">
      <c r="A126" t="s">
        <v>218</v>
      </c>
      <c r="B126" t="s">
        <v>219</v>
      </c>
      <c r="C126" t="s">
        <v>159</v>
      </c>
      <c r="D126" s="11">
        <v>0</v>
      </c>
      <c r="E126">
        <v>22.8</v>
      </c>
      <c r="F126">
        <v>22.25</v>
      </c>
      <c r="G126" s="5">
        <f t="shared" si="42"/>
        <v>-2.4719101123595539</v>
      </c>
      <c r="H126">
        <v>115.1</v>
      </c>
      <c r="I126">
        <v>11.93</v>
      </c>
      <c r="J126">
        <v>10.210000000000001</v>
      </c>
      <c r="K126">
        <v>7.74</v>
      </c>
      <c r="L126">
        <v>34.43</v>
      </c>
      <c r="M126">
        <v>15.65</v>
      </c>
      <c r="N126">
        <v>13.86</v>
      </c>
      <c r="O126">
        <v>154.4</v>
      </c>
      <c r="P126" s="5">
        <f t="shared" si="43"/>
        <v>12.942162615255659</v>
      </c>
      <c r="Q126">
        <v>18.72</v>
      </c>
      <c r="R126" s="2">
        <v>24.73</v>
      </c>
      <c r="S126" s="6">
        <v>-0.9</v>
      </c>
      <c r="T126">
        <v>80.11</v>
      </c>
      <c r="U126">
        <v>0</v>
      </c>
      <c r="V126">
        <v>1</v>
      </c>
      <c r="W126">
        <v>1</v>
      </c>
      <c r="X126">
        <v>7.68</v>
      </c>
      <c r="Y126">
        <v>4.66</v>
      </c>
      <c r="Z126">
        <v>1</v>
      </c>
      <c r="AA126" s="5">
        <f t="shared" si="44"/>
        <v>1</v>
      </c>
      <c r="AB126">
        <v>1</v>
      </c>
      <c r="AC126" s="5">
        <f t="shared" si="45"/>
        <v>0</v>
      </c>
      <c r="AD126">
        <v>375.3</v>
      </c>
      <c r="AE126">
        <v>36.56</v>
      </c>
      <c r="AF126">
        <v>123.62</v>
      </c>
      <c r="AG126" s="6">
        <f t="shared" si="46"/>
        <v>3.6</v>
      </c>
      <c r="AH126" s="5">
        <f t="shared" si="47"/>
        <v>6.6</v>
      </c>
      <c r="AI126" s="5">
        <v>13</v>
      </c>
      <c r="AJ126" s="5">
        <f t="shared" si="31"/>
        <v>0.98</v>
      </c>
      <c r="AK126" s="5">
        <f t="shared" si="32"/>
        <v>11.76</v>
      </c>
      <c r="AL126" s="4">
        <f t="shared" si="33"/>
        <v>0</v>
      </c>
      <c r="AM126" s="8" t="str">
        <f t="shared" si="34"/>
        <v>Yaap Digital Date, P</v>
      </c>
      <c r="AN126" s="47">
        <v>27</v>
      </c>
      <c r="AO126" s="61">
        <f t="shared" si="35"/>
        <v>0</v>
      </c>
      <c r="AP126" s="7">
        <f t="shared" si="36"/>
        <v>0</v>
      </c>
      <c r="AQ126" s="5">
        <v>1</v>
      </c>
      <c r="AR126" s="7">
        <f t="shared" si="37"/>
        <v>5</v>
      </c>
      <c r="AS126">
        <v>145</v>
      </c>
      <c r="AT126" s="5">
        <v>59</v>
      </c>
      <c r="AU126" s="5">
        <v>70</v>
      </c>
      <c r="AV126" s="5">
        <f t="shared" si="38"/>
        <v>64.5</v>
      </c>
      <c r="AW126">
        <v>127</v>
      </c>
      <c r="AX126" s="4">
        <f t="shared" si="39"/>
        <v>1</v>
      </c>
      <c r="AY126" s="4">
        <f t="shared" si="40"/>
        <v>-51.724137931034484</v>
      </c>
      <c r="AZ126" s="4">
        <f t="shared" si="48"/>
        <v>-4</v>
      </c>
      <c r="BA126" s="7"/>
      <c r="BB126">
        <v>133.37</v>
      </c>
    </row>
    <row r="127" spans="1:56" ht="12.75" customHeight="1">
      <c r="A127" t="s">
        <v>220</v>
      </c>
      <c r="B127" t="s">
        <v>221</v>
      </c>
      <c r="C127" t="s">
        <v>159</v>
      </c>
      <c r="D127" s="11">
        <v>0</v>
      </c>
      <c r="E127">
        <v>20.55</v>
      </c>
      <c r="F127">
        <v>14.88</v>
      </c>
      <c r="G127" s="5">
        <f t="shared" si="42"/>
        <v>-38.104838709677416</v>
      </c>
      <c r="H127">
        <v>48.7</v>
      </c>
      <c r="I127">
        <v>8.41</v>
      </c>
      <c r="J127">
        <v>8.09</v>
      </c>
      <c r="K127">
        <v>5.97</v>
      </c>
      <c r="L127">
        <v>0</v>
      </c>
      <c r="M127">
        <v>9.32</v>
      </c>
      <c r="N127">
        <v>13.09</v>
      </c>
      <c r="O127">
        <v>61.95</v>
      </c>
      <c r="P127" s="5">
        <f t="shared" si="43"/>
        <v>7.3662306777645661</v>
      </c>
      <c r="Q127">
        <v>12.06</v>
      </c>
      <c r="R127" s="2">
        <v>25.07</v>
      </c>
      <c r="S127" s="6">
        <v>-1</v>
      </c>
      <c r="T127">
        <v>36.29</v>
      </c>
      <c r="U127">
        <v>3.67</v>
      </c>
      <c r="V127">
        <v>0</v>
      </c>
      <c r="W127">
        <v>0</v>
      </c>
      <c r="X127">
        <v>2</v>
      </c>
      <c r="Y127">
        <v>1.7</v>
      </c>
      <c r="Z127">
        <v>0.8</v>
      </c>
      <c r="AA127" s="5">
        <f t="shared" si="44"/>
        <v>1</v>
      </c>
      <c r="AB127">
        <v>0</v>
      </c>
      <c r="AC127" s="5">
        <f t="shared" si="45"/>
        <v>0</v>
      </c>
      <c r="AD127">
        <v>91.57</v>
      </c>
      <c r="AE127">
        <v>48.31</v>
      </c>
      <c r="AF127">
        <v>129.97999999999999</v>
      </c>
      <c r="AG127" s="6">
        <f t="shared" si="46"/>
        <v>1.5</v>
      </c>
      <c r="AH127" s="5">
        <f t="shared" si="47"/>
        <v>4.5</v>
      </c>
      <c r="AI127" s="5">
        <v>18</v>
      </c>
      <c r="AJ127" s="5">
        <f t="shared" si="31"/>
        <v>0.93</v>
      </c>
      <c r="AK127" s="5">
        <f t="shared" si="32"/>
        <v>6.2775000000000007</v>
      </c>
      <c r="AL127" s="4">
        <f t="shared" si="33"/>
        <v>0</v>
      </c>
      <c r="AM127" s="8" t="str">
        <f t="shared" si="34"/>
        <v>Striders Impex Date,</v>
      </c>
      <c r="AN127" s="46">
        <v>2</v>
      </c>
      <c r="AO127" s="61">
        <f t="shared" si="35"/>
        <v>0</v>
      </c>
      <c r="AP127" s="7">
        <f t="shared" si="36"/>
        <v>0</v>
      </c>
      <c r="AQ127" s="5">
        <v>1</v>
      </c>
      <c r="AR127" s="7">
        <f t="shared" si="37"/>
        <v>5</v>
      </c>
      <c r="AS127">
        <v>72</v>
      </c>
      <c r="AT127" s="5">
        <v>48</v>
      </c>
      <c r="AU127" s="5">
        <v>52</v>
      </c>
      <c r="AV127" s="5">
        <f t="shared" si="38"/>
        <v>50</v>
      </c>
      <c r="AW127">
        <v>70</v>
      </c>
      <c r="AX127" s="4">
        <f t="shared" si="39"/>
        <v>1</v>
      </c>
      <c r="AY127" s="4">
        <f t="shared" si="40"/>
        <v>-27.777777777777779</v>
      </c>
      <c r="AZ127" s="4">
        <f t="shared" si="48"/>
        <v>-2</v>
      </c>
      <c r="BA127" s="7"/>
    </row>
    <row r="128" spans="1:56" ht="12.75" customHeight="1">
      <c r="A128" t="s">
        <v>222</v>
      </c>
      <c r="B128" t="s">
        <v>223</v>
      </c>
      <c r="C128" t="s">
        <v>159</v>
      </c>
      <c r="D128" s="11">
        <v>1</v>
      </c>
      <c r="E128">
        <v>0.49</v>
      </c>
      <c r="F128">
        <v>12.77</v>
      </c>
      <c r="G128" s="5">
        <f t="shared" si="42"/>
        <v>96.162881754111197</v>
      </c>
      <c r="H128">
        <v>19.440000000000001</v>
      </c>
      <c r="I128">
        <v>6.88</v>
      </c>
      <c r="J128">
        <v>14.19</v>
      </c>
      <c r="K128">
        <v>5.73</v>
      </c>
      <c r="L128">
        <v>32.880000000000003</v>
      </c>
      <c r="M128">
        <v>9.34</v>
      </c>
      <c r="N128">
        <v>19.25</v>
      </c>
      <c r="O128">
        <v>70.41</v>
      </c>
      <c r="P128" s="5">
        <f t="shared" si="43"/>
        <v>10.234011627906977</v>
      </c>
      <c r="Q128">
        <v>19.559999999999999</v>
      </c>
      <c r="R128" s="2">
        <v>16</v>
      </c>
      <c r="S128" s="6">
        <v>1</v>
      </c>
      <c r="T128">
        <v>48.95</v>
      </c>
      <c r="U128">
        <v>0</v>
      </c>
      <c r="V128">
        <v>0</v>
      </c>
      <c r="W128">
        <v>1</v>
      </c>
      <c r="X128">
        <v>1</v>
      </c>
      <c r="Y128">
        <v>1.57</v>
      </c>
      <c r="Z128">
        <v>1.1599999999999999</v>
      </c>
      <c r="AA128" s="5">
        <f t="shared" si="44"/>
        <v>1</v>
      </c>
      <c r="AB128">
        <v>0</v>
      </c>
      <c r="AC128" s="5">
        <f t="shared" si="45"/>
        <v>0</v>
      </c>
      <c r="AD128">
        <v>71.14</v>
      </c>
      <c r="AE128">
        <v>16.8</v>
      </c>
      <c r="AF128">
        <v>116.81</v>
      </c>
      <c r="AG128" s="6">
        <f t="shared" si="46"/>
        <v>5.6</v>
      </c>
      <c r="AH128" s="5">
        <f t="shared" si="47"/>
        <v>7.6</v>
      </c>
      <c r="AI128" s="5">
        <v>18</v>
      </c>
      <c r="AJ128" s="5">
        <f t="shared" si="31"/>
        <v>0.93</v>
      </c>
      <c r="AK128" s="5">
        <f t="shared" si="32"/>
        <v>14.879999999999999</v>
      </c>
      <c r="AL128" s="4">
        <f t="shared" si="33"/>
        <v>1</v>
      </c>
      <c r="AM128" s="8" t="str">
        <f t="shared" si="34"/>
        <v>Acetech E-Commerce D</v>
      </c>
      <c r="AN128" s="46">
        <v>4</v>
      </c>
      <c r="AO128" s="61">
        <f t="shared" si="35"/>
        <v>0</v>
      </c>
      <c r="AP128" s="7">
        <f t="shared" si="36"/>
        <v>3</v>
      </c>
      <c r="AQ128" s="5">
        <v>1</v>
      </c>
      <c r="AR128" s="7">
        <f t="shared" si="37"/>
        <v>5</v>
      </c>
      <c r="AS128">
        <v>112</v>
      </c>
      <c r="AT128" s="5">
        <v>84</v>
      </c>
      <c r="AU128" s="5">
        <v>98</v>
      </c>
      <c r="AV128" s="5">
        <f t="shared" si="38"/>
        <v>91</v>
      </c>
      <c r="AW128">
        <v>112</v>
      </c>
      <c r="AX128" s="4">
        <f t="shared" si="39"/>
        <v>1</v>
      </c>
      <c r="AY128" s="4">
        <f t="shared" si="40"/>
        <v>-12.5</v>
      </c>
      <c r="AZ128" s="4">
        <f t="shared" si="48"/>
        <v>-1.5</v>
      </c>
      <c r="BA128" s="7"/>
      <c r="BB128">
        <v>117</v>
      </c>
    </row>
    <row r="129" spans="1:55" ht="12.75" customHeight="1">
      <c r="A129" t="s">
        <v>224</v>
      </c>
      <c r="B129" t="s">
        <v>225</v>
      </c>
      <c r="C129" t="s">
        <v>159</v>
      </c>
      <c r="D129" s="11">
        <v>1</v>
      </c>
      <c r="E129">
        <v>12.19</v>
      </c>
      <c r="F129">
        <v>13.78</v>
      </c>
      <c r="G129" s="5">
        <f t="shared" si="42"/>
        <v>11.538461538461538</v>
      </c>
      <c r="H129">
        <v>33.44</v>
      </c>
      <c r="I129">
        <v>5.08</v>
      </c>
      <c r="J129">
        <v>3.39</v>
      </c>
      <c r="K129">
        <v>3.6</v>
      </c>
      <c r="L129">
        <v>22.42</v>
      </c>
      <c r="M129">
        <v>7.54</v>
      </c>
      <c r="N129">
        <v>5.69</v>
      </c>
      <c r="O129">
        <v>146.44</v>
      </c>
      <c r="P129" s="5">
        <f t="shared" si="43"/>
        <v>28.826771653543307</v>
      </c>
      <c r="Q129">
        <v>13.05</v>
      </c>
      <c r="R129" s="2">
        <v>17.2</v>
      </c>
      <c r="S129" s="6">
        <v>-1</v>
      </c>
      <c r="T129">
        <v>25.03</v>
      </c>
      <c r="U129">
        <v>0</v>
      </c>
      <c r="V129">
        <v>0</v>
      </c>
      <c r="W129">
        <v>1</v>
      </c>
      <c r="X129">
        <v>2.12</v>
      </c>
      <c r="Y129">
        <v>2.12</v>
      </c>
      <c r="Z129">
        <v>0.59</v>
      </c>
      <c r="AA129" s="5">
        <f t="shared" si="44"/>
        <v>1</v>
      </c>
      <c r="AB129">
        <v>0</v>
      </c>
      <c r="AC129" s="5">
        <f t="shared" si="45"/>
        <v>0</v>
      </c>
      <c r="AD129">
        <v>38.04</v>
      </c>
      <c r="AE129">
        <v>17.420000000000002</v>
      </c>
      <c r="AF129">
        <v>58.39</v>
      </c>
      <c r="AG129" s="6">
        <f t="shared" si="46"/>
        <v>1.2000000000000002</v>
      </c>
      <c r="AH129" s="5">
        <f t="shared" si="47"/>
        <v>4.2</v>
      </c>
      <c r="AI129" s="5">
        <v>18</v>
      </c>
      <c r="AJ129" s="5">
        <f t="shared" si="31"/>
        <v>0.93</v>
      </c>
      <c r="AK129" s="5">
        <f t="shared" si="32"/>
        <v>5.58</v>
      </c>
      <c r="AL129" s="4">
        <f t="shared" si="33"/>
        <v>1</v>
      </c>
      <c r="AM129" s="8" t="str">
        <f t="shared" si="34"/>
        <v>Elfin Agro India Dat</v>
      </c>
      <c r="AN129" s="46">
        <v>9</v>
      </c>
      <c r="AO129" s="61">
        <f t="shared" si="35"/>
        <v>0</v>
      </c>
      <c r="AP129" s="7">
        <f t="shared" si="36"/>
        <v>0</v>
      </c>
      <c r="AQ129" s="5">
        <v>1</v>
      </c>
      <c r="AR129" s="7">
        <f t="shared" si="37"/>
        <v>5</v>
      </c>
      <c r="AS129">
        <v>47</v>
      </c>
      <c r="AT129" s="5">
        <v>33</v>
      </c>
      <c r="AU129" s="5">
        <v>41</v>
      </c>
      <c r="AV129" s="5">
        <f t="shared" si="38"/>
        <v>37</v>
      </c>
      <c r="AW129">
        <v>47.3</v>
      </c>
      <c r="AX129" s="4">
        <f t="shared" si="39"/>
        <v>1</v>
      </c>
      <c r="AY129" s="4">
        <f t="shared" si="40"/>
        <v>-12.76595744680851</v>
      </c>
      <c r="AZ129" s="4">
        <f t="shared" si="48"/>
        <v>-1.5</v>
      </c>
      <c r="BA129" s="7"/>
    </row>
    <row r="130" spans="1:55" ht="15" customHeight="1">
      <c r="A130" t="s">
        <v>226</v>
      </c>
      <c r="B130" t="s">
        <v>227</v>
      </c>
      <c r="C130" t="s">
        <v>159</v>
      </c>
      <c r="D130" s="11">
        <v>1</v>
      </c>
      <c r="E130">
        <v>17.25</v>
      </c>
      <c r="F130">
        <v>15.91</v>
      </c>
      <c r="G130" s="5">
        <f t="shared" ref="G130:G161" si="49">100*(F130-E130)/F130</f>
        <v>-8.4223758642363293</v>
      </c>
      <c r="H130">
        <v>55.76</v>
      </c>
      <c r="I130">
        <v>6.59</v>
      </c>
      <c r="J130">
        <v>9.01</v>
      </c>
      <c r="K130">
        <v>10.71</v>
      </c>
      <c r="L130">
        <v>21.67</v>
      </c>
      <c r="M130">
        <v>13.01</v>
      </c>
      <c r="N130">
        <v>16.760000000000002</v>
      </c>
      <c r="O130">
        <v>89.73</v>
      </c>
      <c r="P130" s="5">
        <f t="shared" ref="P130:P161" si="50">O130/I130</f>
        <v>13.616084977238241</v>
      </c>
      <c r="Q130">
        <v>9.15</v>
      </c>
      <c r="R130" s="2">
        <v>9.3699999999999992</v>
      </c>
      <c r="S130" s="6">
        <v>0.9</v>
      </c>
      <c r="T130">
        <v>20.32</v>
      </c>
      <c r="U130">
        <v>3.53</v>
      </c>
      <c r="V130">
        <v>0</v>
      </c>
      <c r="W130">
        <v>1</v>
      </c>
      <c r="X130">
        <v>1.1299999999999999</v>
      </c>
      <c r="Y130">
        <v>1.57</v>
      </c>
      <c r="Z130">
        <v>0.69</v>
      </c>
      <c r="AA130" s="5">
        <f t="shared" ref="AA130:AA161" si="51">IF(X130&lt;50,IF(Y130&gt;(2.3*X130),0,1),1)-IF(Z130&gt;Y130,1.7,0)</f>
        <v>1</v>
      </c>
      <c r="AB130">
        <v>0</v>
      </c>
      <c r="AC130" s="5">
        <f t="shared" ref="AC130:AC161" si="52">IF(AB130&gt;4,1,0)+IF(AB130&gt;10,0.7,0)</f>
        <v>0</v>
      </c>
      <c r="AD130">
        <v>85.63</v>
      </c>
      <c r="AE130">
        <v>154.41</v>
      </c>
      <c r="AF130">
        <v>106.09</v>
      </c>
      <c r="AG130" s="6">
        <f t="shared" ref="AG130:AG161" si="53">IF(G130&lt;52,0,0.7)+IF(G130&lt;34,0,0.7)+IF(G130&lt;1,0,0.7)+IF(P130&gt;14.56,0,1)+IF(R130&lt;9,0.5,0)+IF(R130&lt;33.8,0.5,0)+IF(R130&lt;50,0.5,0)+IF(R130&lt;80,0.5,0)+IF(S130=5,0,S130)+IF(V130&gt;0,1,-1)+IF(AE130&lt;10.56,0,1)-IF(AE130&lt;3,1,0)-IF(AE130&lt;1,1,0)</f>
        <v>3.4</v>
      </c>
      <c r="AH130" s="5">
        <f t="shared" ref="AH130:AH161" si="54">AG130+IF(X130&lt;1.35,0,1)+IF(Y130&lt;1.35,0,1)+IF(Y130&lt;0.7,-1,0)+AC130+AA130</f>
        <v>5.4</v>
      </c>
      <c r="AI130" s="5">
        <v>18</v>
      </c>
      <c r="AJ130" s="5">
        <f t="shared" ref="AJ130:AJ193" si="55">IF(AI130&gt;12.7,IF(AI130&gt;15.8,0.93,0.98),1)</f>
        <v>0.93</v>
      </c>
      <c r="AK130" s="5">
        <f t="shared" ref="AK130:AK193" si="56">(1.5*AG130+AH130)*AJ130*AQ130</f>
        <v>9.7650000000000006</v>
      </c>
      <c r="AL130" s="4">
        <f t="shared" ref="AL130:AL193" si="57">D130</f>
        <v>1</v>
      </c>
      <c r="AM130" s="8" t="str">
        <f t="shared" ref="AM130:AM193" si="58">B130</f>
        <v>Srinibas Pradhan Con</v>
      </c>
      <c r="AN130" s="46">
        <v>10</v>
      </c>
      <c r="AO130" s="61">
        <f t="shared" ref="AO130:AO193" si="59">IF(Z130&lt;4.5,0,IF(AK130&gt;14.9,IF(Z130&lt;140,1,0),0))</f>
        <v>0</v>
      </c>
      <c r="AP130" s="7">
        <f t="shared" ref="AP130:AP193" si="60">IF(AK130&gt;13.93,IF(Z130&lt;300,IF(Z130&lt;35,IF(Z130&lt;6,3,2),1),0),0)</f>
        <v>0</v>
      </c>
      <c r="AQ130" s="5">
        <v>1</v>
      </c>
      <c r="AR130" s="7">
        <f t="shared" ref="AR130:AR193" si="61">IF(AO130=1,IF(AO130=AL130,1,0),5)</f>
        <v>5</v>
      </c>
      <c r="AS130">
        <v>98</v>
      </c>
      <c r="AT130" s="5">
        <v>62</v>
      </c>
      <c r="AU130" s="5">
        <v>78</v>
      </c>
      <c r="AV130" s="5">
        <f t="shared" ref="AV130:AV193" si="62">(AT130+AU130)/2</f>
        <v>70</v>
      </c>
      <c r="AW130">
        <v>100</v>
      </c>
      <c r="AX130" s="4">
        <f t="shared" ref="AX130:AX193" si="63">IF(AW130&gt;AV130,1,0)</f>
        <v>1</v>
      </c>
      <c r="AY130" s="4">
        <f t="shared" ref="AY130:AY193" si="64">(100*(AU130-AS130)/AS130)</f>
        <v>-20.408163265306122</v>
      </c>
      <c r="AZ130" s="4">
        <f t="shared" ref="AZ130:AZ161" si="65">IF(AY130&lt;-50,-4,IF(AY130&lt;-20,-2,IF(AY130&lt;0,-1.5,IF(AY130=0,0,IF(AY130&lt;10,1.5,IF(AY130&lt;20,2,IF(AY130&gt;19,2.5,2.5)))))))</f>
        <v>-2</v>
      </c>
      <c r="BA130" s="7"/>
    </row>
    <row r="131" spans="1:55" ht="15" customHeight="1">
      <c r="A131" t="s">
        <v>228</v>
      </c>
      <c r="B131" t="s">
        <v>229</v>
      </c>
      <c r="C131" t="s">
        <v>159</v>
      </c>
      <c r="D131" s="11">
        <v>1</v>
      </c>
      <c r="E131">
        <v>2.84</v>
      </c>
      <c r="F131">
        <v>10.57</v>
      </c>
      <c r="G131" s="5">
        <f t="shared" si="49"/>
        <v>73.131504257332068</v>
      </c>
      <c r="H131">
        <v>18.46</v>
      </c>
      <c r="I131">
        <v>6.64</v>
      </c>
      <c r="J131">
        <v>22.88</v>
      </c>
      <c r="K131">
        <v>7.54</v>
      </c>
      <c r="L131">
        <v>25.75</v>
      </c>
      <c r="M131">
        <v>10.199999999999999</v>
      </c>
      <c r="N131">
        <v>34.99</v>
      </c>
      <c r="O131">
        <v>20.57</v>
      </c>
      <c r="P131" s="5">
        <f t="shared" si="50"/>
        <v>3.0978915662650603</v>
      </c>
      <c r="Q131">
        <v>14.58</v>
      </c>
      <c r="R131" s="2">
        <v>19.97</v>
      </c>
      <c r="S131" s="6">
        <v>-0.5</v>
      </c>
      <c r="T131">
        <v>35.770000000000003</v>
      </c>
      <c r="U131">
        <v>0</v>
      </c>
      <c r="V131">
        <v>1</v>
      </c>
      <c r="W131">
        <v>1</v>
      </c>
      <c r="X131">
        <v>99.96</v>
      </c>
      <c r="Y131">
        <v>236.61</v>
      </c>
      <c r="Z131">
        <v>100</v>
      </c>
      <c r="AA131" s="5">
        <f t="shared" si="51"/>
        <v>1</v>
      </c>
      <c r="AB131">
        <v>16</v>
      </c>
      <c r="AC131" s="5">
        <f t="shared" si="52"/>
        <v>1.7</v>
      </c>
      <c r="AD131">
        <v>160.38999999999999</v>
      </c>
      <c r="AE131">
        <v>21.86</v>
      </c>
      <c r="AF131">
        <v>168.96</v>
      </c>
      <c r="AG131" s="6">
        <f t="shared" si="53"/>
        <v>6.1</v>
      </c>
      <c r="AH131" s="5">
        <f t="shared" si="54"/>
        <v>10.799999999999999</v>
      </c>
      <c r="AI131" s="5">
        <v>18</v>
      </c>
      <c r="AJ131" s="5">
        <f t="shared" si="55"/>
        <v>0.93</v>
      </c>
      <c r="AK131" s="5">
        <f t="shared" si="56"/>
        <v>18.553499999999996</v>
      </c>
      <c r="AL131" s="4">
        <f t="shared" si="57"/>
        <v>1</v>
      </c>
      <c r="AM131" s="8" t="str">
        <f t="shared" si="58"/>
        <v xml:space="preserve">Apsis Aerocom Date, </v>
      </c>
      <c r="AN131" s="46">
        <v>13</v>
      </c>
      <c r="AO131" s="61">
        <f t="shared" si="59"/>
        <v>1</v>
      </c>
      <c r="AP131" s="7">
        <f t="shared" si="60"/>
        <v>1</v>
      </c>
      <c r="AQ131" s="5">
        <v>1</v>
      </c>
      <c r="AR131" s="7">
        <f t="shared" si="61"/>
        <v>1</v>
      </c>
      <c r="AS131">
        <v>110</v>
      </c>
      <c r="AT131" s="5">
        <v>137</v>
      </c>
      <c r="AU131" s="5">
        <v>165</v>
      </c>
      <c r="AV131" s="5">
        <f t="shared" si="62"/>
        <v>151</v>
      </c>
      <c r="AW131">
        <v>153</v>
      </c>
      <c r="AX131" s="4">
        <f t="shared" si="63"/>
        <v>1</v>
      </c>
      <c r="AY131" s="4">
        <f t="shared" si="64"/>
        <v>50</v>
      </c>
      <c r="AZ131" s="4">
        <f t="shared" si="65"/>
        <v>2.5</v>
      </c>
      <c r="BA131" s="7"/>
      <c r="BB131">
        <v>160</v>
      </c>
    </row>
    <row r="132" spans="1:55" ht="12.75" customHeight="1">
      <c r="A132" t="s">
        <v>230</v>
      </c>
      <c r="B132" t="s">
        <v>231</v>
      </c>
      <c r="C132" t="s">
        <v>159</v>
      </c>
      <c r="D132" s="11">
        <v>1</v>
      </c>
      <c r="E132">
        <v>0</v>
      </c>
      <c r="F132">
        <v>13.09</v>
      </c>
      <c r="G132" s="5">
        <f t="shared" si="49"/>
        <v>100</v>
      </c>
      <c r="H132">
        <v>14.81</v>
      </c>
      <c r="I132">
        <v>3.58</v>
      </c>
      <c r="J132">
        <v>8.1300000000000008</v>
      </c>
      <c r="K132">
        <v>2.93</v>
      </c>
      <c r="L132">
        <v>36.299999999999997</v>
      </c>
      <c r="M132">
        <v>5.69</v>
      </c>
      <c r="N132">
        <v>10.91</v>
      </c>
      <c r="O132">
        <v>104.63</v>
      </c>
      <c r="P132" s="5">
        <f t="shared" si="50"/>
        <v>29.226256983240223</v>
      </c>
      <c r="Q132">
        <v>49.89</v>
      </c>
      <c r="R132" s="2">
        <v>19.559999999999999</v>
      </c>
      <c r="S132" s="6">
        <v>0.9</v>
      </c>
      <c r="T132">
        <v>60.15</v>
      </c>
      <c r="U132">
        <v>11.97</v>
      </c>
      <c r="V132">
        <v>1</v>
      </c>
      <c r="W132">
        <v>1</v>
      </c>
      <c r="X132">
        <v>0</v>
      </c>
      <c r="Y132">
        <v>0</v>
      </c>
      <c r="Z132">
        <v>1.8182</v>
      </c>
      <c r="AA132" s="5">
        <f t="shared" si="51"/>
        <v>-0.7</v>
      </c>
      <c r="AB132">
        <v>0.23499999999999999</v>
      </c>
      <c r="AC132" s="5">
        <f t="shared" si="52"/>
        <v>0</v>
      </c>
      <c r="AD132">
        <v>20.95</v>
      </c>
      <c r="AE132">
        <v>42.14</v>
      </c>
      <c r="AF132">
        <v>37.79</v>
      </c>
      <c r="AG132" s="6">
        <f t="shared" si="53"/>
        <v>6.5</v>
      </c>
      <c r="AH132" s="5">
        <f t="shared" si="54"/>
        <v>4.8</v>
      </c>
      <c r="AI132" s="5">
        <v>17.204999999999998</v>
      </c>
      <c r="AJ132" s="5">
        <f t="shared" si="55"/>
        <v>0.93</v>
      </c>
      <c r="AK132" s="5">
        <f t="shared" si="56"/>
        <v>13.531500000000001</v>
      </c>
      <c r="AL132" s="4">
        <f t="shared" si="57"/>
        <v>1</v>
      </c>
      <c r="AM132" s="8" t="str">
        <f t="shared" si="58"/>
        <v xml:space="preserve">Novus Loyalty Date, </v>
      </c>
      <c r="AN132" s="46">
        <v>20</v>
      </c>
      <c r="AO132" s="61">
        <f t="shared" si="59"/>
        <v>0</v>
      </c>
      <c r="AP132" s="7">
        <f t="shared" si="60"/>
        <v>0</v>
      </c>
      <c r="AQ132" s="5">
        <v>1</v>
      </c>
      <c r="AR132" s="7">
        <f t="shared" si="61"/>
        <v>5</v>
      </c>
      <c r="AS132">
        <v>146</v>
      </c>
      <c r="AT132" s="5">
        <v>90</v>
      </c>
      <c r="AU132" s="5">
        <v>105</v>
      </c>
      <c r="AV132" s="5">
        <f t="shared" si="62"/>
        <v>97.5</v>
      </c>
      <c r="AW132">
        <v>146</v>
      </c>
      <c r="AX132" s="4">
        <f t="shared" si="63"/>
        <v>1</v>
      </c>
      <c r="AY132" s="4">
        <f t="shared" si="64"/>
        <v>-28.082191780821919</v>
      </c>
      <c r="AZ132" s="4">
        <f t="shared" si="65"/>
        <v>-2</v>
      </c>
      <c r="BA132" s="7"/>
      <c r="BB132">
        <v>147</v>
      </c>
      <c r="BC132">
        <v>149.5</v>
      </c>
    </row>
    <row r="133" spans="1:55" ht="12.75" customHeight="1">
      <c r="A133" t="s">
        <v>232</v>
      </c>
      <c r="B133" t="s">
        <v>233</v>
      </c>
      <c r="C133" t="s">
        <v>159</v>
      </c>
      <c r="D133" s="11">
        <v>1</v>
      </c>
      <c r="E133">
        <v>5.05</v>
      </c>
      <c r="F133">
        <v>30.42</v>
      </c>
      <c r="G133" s="5">
        <f t="shared" si="49"/>
        <v>83.399079552925699</v>
      </c>
      <c r="H133">
        <v>39.979999999999997</v>
      </c>
      <c r="I133">
        <v>8.61</v>
      </c>
      <c r="J133">
        <v>16.489999999999998</v>
      </c>
      <c r="K133">
        <v>13.38</v>
      </c>
      <c r="L133">
        <v>18.11</v>
      </c>
      <c r="M133">
        <v>9.09</v>
      </c>
      <c r="N133">
        <v>17.73</v>
      </c>
      <c r="O133">
        <v>58.54</v>
      </c>
      <c r="P133" s="5">
        <f t="shared" si="50"/>
        <v>6.7990708478513362</v>
      </c>
      <c r="Q133">
        <v>9.27</v>
      </c>
      <c r="R133" s="2">
        <v>10.49</v>
      </c>
      <c r="S133" s="6">
        <v>-0.9</v>
      </c>
      <c r="T133">
        <v>29.14</v>
      </c>
      <c r="U133">
        <v>0</v>
      </c>
      <c r="V133">
        <v>0</v>
      </c>
      <c r="W133">
        <v>1</v>
      </c>
      <c r="X133">
        <v>0</v>
      </c>
      <c r="Y133">
        <v>0</v>
      </c>
      <c r="Z133">
        <v>0.84589999999999999</v>
      </c>
      <c r="AA133" s="5">
        <f t="shared" si="51"/>
        <v>-0.7</v>
      </c>
      <c r="AB133">
        <v>0.23499999999999999</v>
      </c>
      <c r="AC133" s="5">
        <f t="shared" si="52"/>
        <v>0</v>
      </c>
      <c r="AD133">
        <v>193.86</v>
      </c>
      <c r="AE133">
        <v>111.64</v>
      </c>
      <c r="AF133">
        <v>101.99</v>
      </c>
      <c r="AG133" s="6">
        <f t="shared" si="53"/>
        <v>3.6999999999999997</v>
      </c>
      <c r="AH133" s="5">
        <f t="shared" si="54"/>
        <v>1.9999999999999998</v>
      </c>
      <c r="AI133" s="5">
        <v>17.204999999999998</v>
      </c>
      <c r="AJ133" s="5">
        <f t="shared" si="55"/>
        <v>0.93</v>
      </c>
      <c r="AK133" s="5">
        <f t="shared" si="56"/>
        <v>7.0215000000000005</v>
      </c>
      <c r="AL133" s="4">
        <f t="shared" si="57"/>
        <v>1</v>
      </c>
      <c r="AM133" s="8" t="str">
        <f t="shared" si="58"/>
        <v>Speciality Medicines</v>
      </c>
      <c r="AN133" s="46">
        <v>20</v>
      </c>
      <c r="AO133" s="61">
        <f t="shared" si="59"/>
        <v>0</v>
      </c>
      <c r="AP133" s="7">
        <f t="shared" si="60"/>
        <v>0</v>
      </c>
      <c r="AQ133" s="5">
        <v>1</v>
      </c>
      <c r="AR133" s="7">
        <f t="shared" si="61"/>
        <v>5</v>
      </c>
      <c r="AS133" s="5">
        <v>124</v>
      </c>
      <c r="AT133" s="5">
        <v>94</v>
      </c>
      <c r="AU133" s="5">
        <v>118</v>
      </c>
      <c r="AV133" s="5">
        <f t="shared" si="62"/>
        <v>106</v>
      </c>
      <c r="AW133" s="5">
        <v>124</v>
      </c>
      <c r="AX133" s="4">
        <f t="shared" si="63"/>
        <v>1</v>
      </c>
      <c r="AY133" s="4">
        <f t="shared" si="64"/>
        <v>-4.838709677419355</v>
      </c>
      <c r="AZ133" s="4">
        <f t="shared" si="65"/>
        <v>-1.5</v>
      </c>
      <c r="BA133" s="7"/>
      <c r="BB133" s="5">
        <v>126</v>
      </c>
    </row>
    <row r="134" spans="1:55" ht="12.75" customHeight="1">
      <c r="A134" t="s">
        <v>234</v>
      </c>
      <c r="B134" t="s">
        <v>235</v>
      </c>
      <c r="C134" t="s">
        <v>159</v>
      </c>
      <c r="D134" s="11">
        <v>1</v>
      </c>
      <c r="E134">
        <v>37.229999999999997</v>
      </c>
      <c r="F134">
        <v>33.229999999999997</v>
      </c>
      <c r="G134" s="5">
        <f t="shared" si="49"/>
        <v>-12.037315678603672</v>
      </c>
      <c r="H134">
        <v>100.96</v>
      </c>
      <c r="I134">
        <v>15.61</v>
      </c>
      <c r="J134">
        <v>15.35</v>
      </c>
      <c r="K134">
        <v>10.19</v>
      </c>
      <c r="L134">
        <v>33.119999999999997</v>
      </c>
      <c r="M134">
        <v>23.85</v>
      </c>
      <c r="N134">
        <v>24.32</v>
      </c>
      <c r="O134">
        <v>133.37</v>
      </c>
      <c r="P134" s="5">
        <f t="shared" si="50"/>
        <v>8.5438821268417691</v>
      </c>
      <c r="Q134">
        <v>8.73</v>
      </c>
      <c r="R134" s="2">
        <v>10.51</v>
      </c>
      <c r="S134" s="6">
        <v>-0.5</v>
      </c>
      <c r="T134">
        <v>60.55</v>
      </c>
      <c r="U134">
        <v>12.06</v>
      </c>
      <c r="V134">
        <v>1</v>
      </c>
      <c r="W134">
        <v>1</v>
      </c>
      <c r="X134">
        <v>3.2</v>
      </c>
      <c r="Y134">
        <v>2.12</v>
      </c>
      <c r="Z134">
        <v>0.66</v>
      </c>
      <c r="AA134" s="5">
        <f t="shared" si="51"/>
        <v>1</v>
      </c>
      <c r="AB134">
        <v>0</v>
      </c>
      <c r="AC134" s="5">
        <f t="shared" si="52"/>
        <v>0</v>
      </c>
      <c r="AD134">
        <v>84.73</v>
      </c>
      <c r="AE134">
        <v>31.58</v>
      </c>
      <c r="AF134">
        <v>165.63</v>
      </c>
      <c r="AG134" s="6">
        <f t="shared" si="53"/>
        <v>4</v>
      </c>
      <c r="AH134" s="5">
        <f t="shared" si="54"/>
        <v>7</v>
      </c>
      <c r="AI134" s="5">
        <v>24</v>
      </c>
      <c r="AJ134" s="5">
        <f t="shared" si="55"/>
        <v>0.93</v>
      </c>
      <c r="AK134" s="5">
        <f t="shared" si="56"/>
        <v>12.09</v>
      </c>
      <c r="AL134" s="4">
        <f t="shared" si="57"/>
        <v>1</v>
      </c>
      <c r="AM134" s="8" t="str">
        <f t="shared" si="58"/>
        <v>Tipco Engineering Da</v>
      </c>
      <c r="AN134" s="46">
        <v>25</v>
      </c>
      <c r="AO134" s="61">
        <f t="shared" si="59"/>
        <v>0</v>
      </c>
      <c r="AP134" s="7">
        <f t="shared" si="60"/>
        <v>0</v>
      </c>
      <c r="AQ134" s="5">
        <v>1</v>
      </c>
      <c r="AR134" s="7">
        <f t="shared" si="61"/>
        <v>5</v>
      </c>
      <c r="AS134" s="5">
        <v>89</v>
      </c>
      <c r="AT134" s="5">
        <v>102</v>
      </c>
      <c r="AU134" s="5">
        <v>119</v>
      </c>
      <c r="AV134" s="5">
        <f t="shared" si="62"/>
        <v>110.5</v>
      </c>
      <c r="AW134" s="5">
        <v>89.25</v>
      </c>
      <c r="AX134" s="4">
        <f t="shared" si="63"/>
        <v>0</v>
      </c>
      <c r="AY134" s="4">
        <f t="shared" si="64"/>
        <v>33.707865168539328</v>
      </c>
      <c r="AZ134" s="4">
        <f t="shared" si="65"/>
        <v>2.5</v>
      </c>
      <c r="BA134" s="7"/>
    </row>
    <row r="135" spans="1:55" ht="12.75" customHeight="1">
      <c r="A135" t="s">
        <v>236</v>
      </c>
      <c r="B135" t="s">
        <v>237</v>
      </c>
      <c r="C135" t="s">
        <v>159</v>
      </c>
      <c r="D135" s="11">
        <v>1</v>
      </c>
      <c r="E135">
        <v>4.93</v>
      </c>
      <c r="F135">
        <v>6.62</v>
      </c>
      <c r="G135" s="5">
        <f t="shared" si="49"/>
        <v>25.528700906344415</v>
      </c>
      <c r="H135">
        <v>14.31</v>
      </c>
      <c r="I135">
        <v>2.52</v>
      </c>
      <c r="J135">
        <v>0</v>
      </c>
      <c r="K135">
        <v>7.19</v>
      </c>
      <c r="L135">
        <v>40.97</v>
      </c>
      <c r="M135">
        <v>4.5199999999999996</v>
      </c>
      <c r="N135">
        <v>39.26</v>
      </c>
      <c r="O135">
        <v>14.17</v>
      </c>
      <c r="P135" s="5">
        <f t="shared" si="50"/>
        <v>5.6230158730158726</v>
      </c>
      <c r="Q135">
        <v>16.7</v>
      </c>
      <c r="R135" s="2">
        <v>13.63</v>
      </c>
      <c r="S135" s="6">
        <v>-0.5</v>
      </c>
      <c r="T135">
        <v>21.67</v>
      </c>
      <c r="U135">
        <v>1.83</v>
      </c>
      <c r="V135">
        <v>1</v>
      </c>
      <c r="W135">
        <v>1</v>
      </c>
      <c r="X135">
        <v>81.947400000000002</v>
      </c>
      <c r="Y135">
        <v>362.1157</v>
      </c>
      <c r="Z135">
        <v>185.10759999999999</v>
      </c>
      <c r="AA135" s="5">
        <f t="shared" si="51"/>
        <v>1</v>
      </c>
      <c r="AB135">
        <v>0.23499999999999999</v>
      </c>
      <c r="AC135" s="5">
        <f t="shared" si="52"/>
        <v>0</v>
      </c>
      <c r="AD135">
        <v>5.44</v>
      </c>
      <c r="AE135">
        <v>28.94</v>
      </c>
      <c r="AF135">
        <v>61.46</v>
      </c>
      <c r="AG135" s="6">
        <f t="shared" si="53"/>
        <v>4.7</v>
      </c>
      <c r="AH135" s="5">
        <f t="shared" si="54"/>
        <v>7.7</v>
      </c>
      <c r="AI135" s="5">
        <v>17.204999999999998</v>
      </c>
      <c r="AJ135" s="5">
        <f t="shared" si="55"/>
        <v>0.93</v>
      </c>
      <c r="AK135" s="5">
        <f t="shared" si="56"/>
        <v>13.717500000000001</v>
      </c>
      <c r="AL135" s="4">
        <f t="shared" si="57"/>
        <v>1</v>
      </c>
      <c r="AM135" s="8" t="str">
        <f t="shared" si="58"/>
        <v>Highness Microelectro</v>
      </c>
      <c r="AN135">
        <v>27</v>
      </c>
      <c r="AO135" s="61">
        <f t="shared" si="59"/>
        <v>0</v>
      </c>
      <c r="AP135" s="7">
        <f t="shared" si="60"/>
        <v>0</v>
      </c>
      <c r="AQ135" s="5">
        <v>1</v>
      </c>
      <c r="AR135" s="7">
        <f t="shared" si="61"/>
        <v>5</v>
      </c>
      <c r="AS135" s="5">
        <v>120</v>
      </c>
      <c r="AT135" s="5">
        <v>88</v>
      </c>
      <c r="AU135" s="5">
        <v>123</v>
      </c>
      <c r="AV135" s="5">
        <f t="shared" si="62"/>
        <v>105.5</v>
      </c>
      <c r="AW135">
        <v>125</v>
      </c>
      <c r="AX135" s="4">
        <f t="shared" si="63"/>
        <v>1</v>
      </c>
      <c r="AY135" s="4">
        <f t="shared" si="64"/>
        <v>2.5</v>
      </c>
      <c r="AZ135" s="4">
        <f t="shared" si="65"/>
        <v>1.5</v>
      </c>
      <c r="BA135" s="7"/>
      <c r="BB135">
        <v>129</v>
      </c>
    </row>
    <row r="136" spans="1:55" ht="12.75" customHeight="1">
      <c r="A136" t="s">
        <v>238</v>
      </c>
      <c r="B136" t="s">
        <v>239</v>
      </c>
      <c r="C136" t="s">
        <v>159</v>
      </c>
      <c r="D136" s="11">
        <v>1</v>
      </c>
      <c r="E136">
        <v>4.2300000000000004</v>
      </c>
      <c r="F136">
        <v>27.45</v>
      </c>
      <c r="G136" s="5">
        <f t="shared" si="49"/>
        <v>84.590163934426229</v>
      </c>
      <c r="H136">
        <v>115.3</v>
      </c>
      <c r="I136">
        <v>20.239999999999998</v>
      </c>
      <c r="J136">
        <v>13.38</v>
      </c>
      <c r="K136">
        <v>28.9</v>
      </c>
      <c r="L136">
        <v>29.29</v>
      </c>
      <c r="M136">
        <v>28.39</v>
      </c>
      <c r="N136">
        <v>19.13</v>
      </c>
      <c r="O136">
        <v>155.77000000000001</v>
      </c>
      <c r="P136" s="5">
        <f t="shared" si="50"/>
        <v>7.6961462450592899</v>
      </c>
      <c r="Q136">
        <v>19.2</v>
      </c>
      <c r="R136" s="2">
        <v>24.37</v>
      </c>
      <c r="S136" s="6">
        <v>-0.5</v>
      </c>
      <c r="T136">
        <v>130.54</v>
      </c>
      <c r="U136">
        <v>25.98</v>
      </c>
      <c r="V136">
        <v>1</v>
      </c>
      <c r="W136">
        <v>1</v>
      </c>
      <c r="X136">
        <v>1.9452</v>
      </c>
      <c r="Y136">
        <v>1.4964</v>
      </c>
      <c r="Z136">
        <v>0.3644</v>
      </c>
      <c r="AA136" s="5">
        <f t="shared" si="51"/>
        <v>1</v>
      </c>
      <c r="AB136">
        <v>0.23499999999999999</v>
      </c>
      <c r="AC136" s="5">
        <f t="shared" si="52"/>
        <v>0</v>
      </c>
      <c r="AD136">
        <v>372.9</v>
      </c>
      <c r="AE136">
        <v>73.95</v>
      </c>
      <c r="AF136">
        <v>293.27</v>
      </c>
      <c r="AG136" s="6">
        <f t="shared" si="53"/>
        <v>6.1</v>
      </c>
      <c r="AH136" s="5">
        <f t="shared" si="54"/>
        <v>9.1</v>
      </c>
      <c r="AI136" s="5">
        <v>17.204999999999998</v>
      </c>
      <c r="AJ136" s="5">
        <f t="shared" si="55"/>
        <v>0.93</v>
      </c>
      <c r="AK136" s="5">
        <f t="shared" si="56"/>
        <v>16.9725</v>
      </c>
      <c r="AL136" s="4">
        <f t="shared" si="57"/>
        <v>1</v>
      </c>
      <c r="AM136" s="8" t="str">
        <f t="shared" si="58"/>
        <v>Vivid Electromech  Pr</v>
      </c>
      <c r="AN136">
        <v>30</v>
      </c>
      <c r="AO136" s="61">
        <f t="shared" si="59"/>
        <v>0</v>
      </c>
      <c r="AP136" s="7">
        <f t="shared" si="60"/>
        <v>3</v>
      </c>
      <c r="AQ136" s="5">
        <v>1</v>
      </c>
      <c r="AR136" s="7">
        <f t="shared" si="61"/>
        <v>5</v>
      </c>
      <c r="AS136" s="5">
        <v>555</v>
      </c>
      <c r="AT136" s="5">
        <v>410</v>
      </c>
      <c r="AU136" s="5">
        <v>546</v>
      </c>
      <c r="AV136" s="5">
        <f t="shared" si="62"/>
        <v>478</v>
      </c>
      <c r="AW136" s="5">
        <v>565</v>
      </c>
      <c r="AX136" s="4">
        <f t="shared" si="63"/>
        <v>1</v>
      </c>
      <c r="AY136" s="4">
        <f t="shared" si="64"/>
        <v>-1.6216216216216217</v>
      </c>
      <c r="AZ136" s="4">
        <f t="shared" si="65"/>
        <v>-1.5</v>
      </c>
      <c r="BA136" s="7"/>
    </row>
    <row r="137" spans="1:55" ht="12.75" customHeight="1">
      <c r="A137" t="s">
        <v>240</v>
      </c>
      <c r="B137" t="s">
        <v>241</v>
      </c>
      <c r="C137" t="s">
        <v>159</v>
      </c>
      <c r="D137" s="11">
        <v>1</v>
      </c>
      <c r="E137">
        <v>33.840000000000003</v>
      </c>
      <c r="F137">
        <v>42.17</v>
      </c>
      <c r="G137" s="5">
        <f t="shared" si="49"/>
        <v>19.753379179511494</v>
      </c>
      <c r="H137">
        <v>120.28</v>
      </c>
      <c r="I137">
        <v>8.99</v>
      </c>
      <c r="J137">
        <v>12.64</v>
      </c>
      <c r="K137">
        <v>6.5</v>
      </c>
      <c r="L137">
        <v>21.17</v>
      </c>
      <c r="M137">
        <v>17.27</v>
      </c>
      <c r="N137">
        <v>24.04</v>
      </c>
      <c r="O137">
        <v>103.5</v>
      </c>
      <c r="P137" s="5">
        <f t="shared" si="50"/>
        <v>11.512791991101222</v>
      </c>
      <c r="Q137">
        <v>12.3</v>
      </c>
      <c r="R137" s="2">
        <v>15.51</v>
      </c>
      <c r="S137" s="6">
        <v>-0.5</v>
      </c>
      <c r="T137">
        <v>48</v>
      </c>
      <c r="U137">
        <v>0</v>
      </c>
      <c r="V137">
        <v>1</v>
      </c>
      <c r="W137">
        <v>1</v>
      </c>
      <c r="X137">
        <v>1.3132999999999999</v>
      </c>
      <c r="Y137">
        <v>2.4519000000000002</v>
      </c>
      <c r="Z137">
        <v>0.76249999999999996</v>
      </c>
      <c r="AA137" s="5">
        <f t="shared" si="51"/>
        <v>1</v>
      </c>
      <c r="AB137">
        <v>0.23499999999999999</v>
      </c>
      <c r="AC137" s="5">
        <f t="shared" si="52"/>
        <v>0</v>
      </c>
      <c r="AD137">
        <v>124.19</v>
      </c>
      <c r="AE137">
        <v>126.48</v>
      </c>
      <c r="AF137">
        <v>141.25</v>
      </c>
      <c r="AG137" s="6">
        <f t="shared" si="53"/>
        <v>4.7</v>
      </c>
      <c r="AH137" s="5">
        <f t="shared" si="54"/>
        <v>6.7</v>
      </c>
      <c r="AI137" s="5">
        <v>17.204999999999998</v>
      </c>
      <c r="AJ137" s="5">
        <f t="shared" si="55"/>
        <v>0.93</v>
      </c>
      <c r="AK137" s="5">
        <f t="shared" si="56"/>
        <v>12.787500000000001</v>
      </c>
      <c r="AL137" s="4">
        <f t="shared" si="57"/>
        <v>1</v>
      </c>
      <c r="AM137" s="8" t="str">
        <f t="shared" si="58"/>
        <v>Safety Controls  Pric</v>
      </c>
      <c r="AN137">
        <v>8</v>
      </c>
      <c r="AO137" s="61">
        <f t="shared" si="59"/>
        <v>0</v>
      </c>
      <c r="AP137" s="7">
        <f t="shared" si="60"/>
        <v>0</v>
      </c>
      <c r="AQ137" s="5">
        <v>1</v>
      </c>
      <c r="AR137" s="7">
        <f t="shared" si="61"/>
        <v>5</v>
      </c>
      <c r="AS137" s="5">
        <v>80</v>
      </c>
      <c r="AT137" s="5">
        <v>36</v>
      </c>
      <c r="AU137" s="5">
        <v>52</v>
      </c>
      <c r="AV137" s="5">
        <f t="shared" si="62"/>
        <v>44</v>
      </c>
      <c r="AW137" s="5">
        <v>83</v>
      </c>
      <c r="AX137" s="4">
        <f t="shared" si="63"/>
        <v>1</v>
      </c>
      <c r="AY137" s="4">
        <f t="shared" si="64"/>
        <v>-35</v>
      </c>
      <c r="AZ137" s="4">
        <f t="shared" si="65"/>
        <v>-2</v>
      </c>
      <c r="BA137" s="7">
        <v>83</v>
      </c>
    </row>
    <row r="138" spans="1:55" ht="12.75" customHeight="1">
      <c r="A138" t="s">
        <v>242</v>
      </c>
      <c r="B138" t="s">
        <v>243</v>
      </c>
      <c r="C138" t="s">
        <v>159</v>
      </c>
      <c r="D138" s="11">
        <v>1</v>
      </c>
      <c r="E138">
        <v>7.0000000000000007E-2</v>
      </c>
      <c r="F138">
        <v>17.100000000000001</v>
      </c>
      <c r="G138" s="5">
        <f t="shared" si="49"/>
        <v>99.59064327485379</v>
      </c>
      <c r="H138">
        <v>0.1</v>
      </c>
      <c r="I138">
        <v>5.74</v>
      </c>
      <c r="J138">
        <v>4.6500000000000004</v>
      </c>
      <c r="K138">
        <v>7.53</v>
      </c>
      <c r="L138">
        <v>34.270000000000003</v>
      </c>
      <c r="M138">
        <v>8.02</v>
      </c>
      <c r="N138">
        <v>6.39</v>
      </c>
      <c r="O138">
        <v>136</v>
      </c>
      <c r="P138" s="5">
        <f t="shared" si="50"/>
        <v>23.693379790940767</v>
      </c>
      <c r="Q138">
        <v>13.02</v>
      </c>
      <c r="R138" s="2">
        <v>10.86</v>
      </c>
      <c r="S138" s="6">
        <v>1</v>
      </c>
      <c r="T138">
        <v>27.73</v>
      </c>
      <c r="U138">
        <v>0</v>
      </c>
      <c r="V138">
        <v>1</v>
      </c>
      <c r="W138">
        <v>1</v>
      </c>
      <c r="X138">
        <v>33</v>
      </c>
      <c r="Y138">
        <v>70</v>
      </c>
      <c r="Z138">
        <v>37.409999999999997</v>
      </c>
      <c r="AA138" s="5">
        <f t="shared" si="51"/>
        <v>1</v>
      </c>
      <c r="AB138">
        <v>0</v>
      </c>
      <c r="AC138" s="5">
        <f t="shared" si="52"/>
        <v>0</v>
      </c>
      <c r="AD138">
        <v>-57500</v>
      </c>
      <c r="AE138">
        <v>14</v>
      </c>
      <c r="AF138">
        <v>18900</v>
      </c>
      <c r="AG138" s="6">
        <f t="shared" si="53"/>
        <v>6.6</v>
      </c>
      <c r="AH138" s="5">
        <f t="shared" si="54"/>
        <v>9.6</v>
      </c>
      <c r="AI138" s="5">
        <v>17.204999999999998</v>
      </c>
      <c r="AJ138" s="5">
        <f t="shared" si="55"/>
        <v>0.93</v>
      </c>
      <c r="AK138" s="5">
        <f t="shared" si="56"/>
        <v>18.135000000000002</v>
      </c>
      <c r="AL138" s="4">
        <f t="shared" si="57"/>
        <v>1</v>
      </c>
      <c r="AM138" s="8" t="str">
        <f t="shared" si="58"/>
        <v>Mehul Telecom  Price,</v>
      </c>
      <c r="AN138">
        <v>21</v>
      </c>
      <c r="AO138" s="61">
        <f t="shared" si="59"/>
        <v>1</v>
      </c>
      <c r="AP138" s="7">
        <f t="shared" si="60"/>
        <v>1</v>
      </c>
      <c r="AQ138" s="5">
        <v>1</v>
      </c>
      <c r="AR138" s="7">
        <f t="shared" si="61"/>
        <v>1</v>
      </c>
      <c r="AS138" s="5">
        <v>98</v>
      </c>
      <c r="AT138" s="5">
        <v>95</v>
      </c>
      <c r="AU138" s="5">
        <v>113</v>
      </c>
      <c r="AV138" s="5">
        <f t="shared" si="62"/>
        <v>104</v>
      </c>
      <c r="AW138" s="5">
        <v>108</v>
      </c>
      <c r="AX138" s="4">
        <f t="shared" si="63"/>
        <v>1</v>
      </c>
      <c r="AY138" s="4">
        <f t="shared" si="64"/>
        <v>15.306122448979592</v>
      </c>
      <c r="AZ138" s="4">
        <f t="shared" si="65"/>
        <v>2</v>
      </c>
      <c r="BA138" s="7"/>
    </row>
    <row r="139" spans="1:55" ht="12.75" customHeight="1">
      <c r="A139" t="s">
        <v>244</v>
      </c>
      <c r="B139" t="s">
        <v>245</v>
      </c>
      <c r="C139" t="s">
        <v>159</v>
      </c>
      <c r="D139" s="11">
        <v>1</v>
      </c>
      <c r="E139">
        <v>0.01</v>
      </c>
      <c r="F139">
        <v>9.0299999999999994</v>
      </c>
      <c r="G139" s="5">
        <f t="shared" si="49"/>
        <v>99.889258028792923</v>
      </c>
      <c r="H139">
        <v>16.940000000000001</v>
      </c>
      <c r="I139">
        <v>4.22</v>
      </c>
      <c r="J139">
        <v>32.200000000000003</v>
      </c>
      <c r="K139">
        <v>4.6900000000000004</v>
      </c>
      <c r="L139">
        <v>40.26</v>
      </c>
      <c r="M139">
        <v>5.92</v>
      </c>
      <c r="N139">
        <v>43.81</v>
      </c>
      <c r="O139">
        <v>20.059999999999999</v>
      </c>
      <c r="P139" s="5">
        <f t="shared" si="50"/>
        <v>4.7535545023696679</v>
      </c>
      <c r="Q139">
        <v>20.91</v>
      </c>
      <c r="R139" s="2">
        <v>13.19</v>
      </c>
      <c r="S139" s="6">
        <v>-0.5</v>
      </c>
      <c r="T139">
        <v>31.75</v>
      </c>
      <c r="U139">
        <v>0</v>
      </c>
      <c r="V139">
        <v>1</v>
      </c>
      <c r="W139">
        <v>0</v>
      </c>
      <c r="X139">
        <v>1.0230999999999999</v>
      </c>
      <c r="Y139">
        <v>70</v>
      </c>
      <c r="Z139">
        <v>3.7385000000000002</v>
      </c>
      <c r="AA139" s="5">
        <f t="shared" si="51"/>
        <v>0</v>
      </c>
      <c r="AB139">
        <v>0</v>
      </c>
      <c r="AC139" s="5">
        <f t="shared" si="52"/>
        <v>0</v>
      </c>
      <c r="AD139">
        <v>402.38</v>
      </c>
      <c r="AE139">
        <v>272.86</v>
      </c>
      <c r="AF139">
        <v>589.30999999999995</v>
      </c>
      <c r="AG139" s="6">
        <f t="shared" si="53"/>
        <v>6.1</v>
      </c>
      <c r="AH139" s="5">
        <f t="shared" si="54"/>
        <v>7.1</v>
      </c>
      <c r="AI139" s="5">
        <v>18.59</v>
      </c>
      <c r="AJ139" s="5">
        <f t="shared" si="55"/>
        <v>0.93</v>
      </c>
      <c r="AK139" s="5">
        <f t="shared" si="56"/>
        <v>15.112500000000001</v>
      </c>
      <c r="AL139" s="4">
        <f t="shared" si="57"/>
        <v>1</v>
      </c>
      <c r="AM139" s="8" t="str">
        <f t="shared" si="58"/>
        <v>Emiac Technologies  P</v>
      </c>
      <c r="AN139">
        <v>8</v>
      </c>
      <c r="AO139" s="61">
        <f t="shared" si="59"/>
        <v>0</v>
      </c>
      <c r="AP139" s="7">
        <f t="shared" si="60"/>
        <v>3</v>
      </c>
      <c r="AQ139" s="5">
        <v>1</v>
      </c>
      <c r="AR139" s="7">
        <f t="shared" si="61"/>
        <v>5</v>
      </c>
      <c r="AS139" s="5">
        <v>98</v>
      </c>
      <c r="AT139" s="5">
        <v>74</v>
      </c>
      <c r="AU139" s="5">
        <v>104</v>
      </c>
      <c r="AV139" s="5">
        <f t="shared" si="62"/>
        <v>89</v>
      </c>
      <c r="AW139" s="5">
        <v>107.8</v>
      </c>
      <c r="AX139" s="4">
        <f t="shared" si="63"/>
        <v>1</v>
      </c>
      <c r="AY139" s="4">
        <f t="shared" si="64"/>
        <v>6.1224489795918364</v>
      </c>
      <c r="AZ139" s="4">
        <f t="shared" si="65"/>
        <v>1.5</v>
      </c>
      <c r="BA139" s="7"/>
    </row>
    <row r="140" spans="1:55" ht="12.75" customHeight="1">
      <c r="A140" t="s">
        <v>246</v>
      </c>
      <c r="B140" t="s">
        <v>247</v>
      </c>
      <c r="C140" t="s">
        <v>159</v>
      </c>
      <c r="D140" s="11">
        <v>1</v>
      </c>
      <c r="E140">
        <v>28.42</v>
      </c>
      <c r="F140">
        <v>49.25</v>
      </c>
      <c r="G140" s="5">
        <f t="shared" si="49"/>
        <v>42.294416243654823</v>
      </c>
      <c r="H140">
        <v>111.01</v>
      </c>
      <c r="I140">
        <v>16.11</v>
      </c>
      <c r="J140">
        <v>6.89</v>
      </c>
      <c r="K140">
        <v>13.41</v>
      </c>
      <c r="L140">
        <v>7.39</v>
      </c>
      <c r="M140">
        <v>21.66</v>
      </c>
      <c r="N140">
        <v>10.76</v>
      </c>
      <c r="O140">
        <v>133.02000000000001</v>
      </c>
      <c r="P140" s="5">
        <f t="shared" si="50"/>
        <v>8.2569832402234642</v>
      </c>
      <c r="Q140">
        <v>12.82</v>
      </c>
      <c r="R140" s="2">
        <v>43.8</v>
      </c>
      <c r="S140" s="6">
        <v>-0.5</v>
      </c>
      <c r="T140">
        <v>74.099999999999994</v>
      </c>
      <c r="U140">
        <v>0</v>
      </c>
      <c r="V140">
        <v>1</v>
      </c>
      <c r="W140">
        <v>1</v>
      </c>
      <c r="X140">
        <v>45</v>
      </c>
      <c r="Y140">
        <v>70</v>
      </c>
      <c r="Z140">
        <v>41</v>
      </c>
      <c r="AA140" s="5">
        <f t="shared" si="51"/>
        <v>1</v>
      </c>
      <c r="AB140">
        <v>12.21</v>
      </c>
      <c r="AC140" s="5">
        <f t="shared" si="52"/>
        <v>1.7</v>
      </c>
      <c r="AD140">
        <v>36.99</v>
      </c>
      <c r="AE140">
        <v>27.73</v>
      </c>
      <c r="AF140">
        <v>48.61</v>
      </c>
      <c r="AG140" s="6">
        <f t="shared" si="53"/>
        <v>4.9000000000000004</v>
      </c>
      <c r="AH140" s="5">
        <f t="shared" si="54"/>
        <v>9.6</v>
      </c>
      <c r="AI140" s="5">
        <v>18.46</v>
      </c>
      <c r="AJ140" s="5">
        <f t="shared" si="55"/>
        <v>0.93</v>
      </c>
      <c r="AK140" s="5">
        <f t="shared" si="56"/>
        <v>14.975325</v>
      </c>
      <c r="AL140" s="4">
        <f t="shared" si="57"/>
        <v>1</v>
      </c>
      <c r="AM140" s="8" t="str">
        <f t="shared" si="58"/>
        <v xml:space="preserve">Adisoft Technologies </v>
      </c>
      <c r="AN140">
        <v>26</v>
      </c>
      <c r="AO140" s="61">
        <f t="shared" si="59"/>
        <v>1</v>
      </c>
      <c r="AP140" s="7">
        <f t="shared" si="60"/>
        <v>1</v>
      </c>
      <c r="AQ140" s="5">
        <v>0.95</v>
      </c>
      <c r="AR140" s="7">
        <f t="shared" si="61"/>
        <v>1</v>
      </c>
      <c r="AS140" s="5">
        <v>172</v>
      </c>
      <c r="AT140" s="5">
        <v>79</v>
      </c>
      <c r="AU140" s="5">
        <v>119</v>
      </c>
      <c r="AV140" s="5">
        <f t="shared" si="62"/>
        <v>99</v>
      </c>
      <c r="AW140" s="5">
        <v>205</v>
      </c>
      <c r="AX140" s="4">
        <f t="shared" si="63"/>
        <v>1</v>
      </c>
      <c r="AY140" s="4">
        <f t="shared" si="64"/>
        <v>-30.813953488372093</v>
      </c>
      <c r="AZ140" s="4">
        <f t="shared" si="65"/>
        <v>-2</v>
      </c>
      <c r="BA140" s="7"/>
    </row>
    <row r="141" spans="1:55" ht="12.75" customHeight="1">
      <c r="A141" t="s">
        <v>248</v>
      </c>
      <c r="B141" t="s">
        <v>249</v>
      </c>
      <c r="C141" t="s">
        <v>159</v>
      </c>
      <c r="D141" s="11">
        <v>0</v>
      </c>
      <c r="E141">
        <v>55.22</v>
      </c>
      <c r="F141">
        <v>15.14</v>
      </c>
      <c r="G141" s="5">
        <f t="shared" si="49"/>
        <v>-264.72919418758255</v>
      </c>
      <c r="H141">
        <v>91.12</v>
      </c>
      <c r="I141">
        <v>7.78</v>
      </c>
      <c r="J141">
        <v>5.94</v>
      </c>
      <c r="K141">
        <v>5.76</v>
      </c>
      <c r="L141">
        <v>57.61</v>
      </c>
      <c r="M141">
        <v>17.48</v>
      </c>
      <c r="N141">
        <v>10.97</v>
      </c>
      <c r="O141">
        <v>242.46</v>
      </c>
      <c r="P141" s="5">
        <f t="shared" si="50"/>
        <v>31.164524421593832</v>
      </c>
      <c r="Q141">
        <v>23.44</v>
      </c>
      <c r="R141" s="2">
        <v>15.32</v>
      </c>
      <c r="S141" s="6">
        <v>-0.5</v>
      </c>
      <c r="T141">
        <v>65.12</v>
      </c>
      <c r="U141">
        <v>0</v>
      </c>
      <c r="V141">
        <v>0</v>
      </c>
      <c r="W141">
        <v>1</v>
      </c>
      <c r="X141">
        <v>1.7522</v>
      </c>
      <c r="Y141">
        <v>70</v>
      </c>
      <c r="Z141">
        <v>0.70199999999999996</v>
      </c>
      <c r="AA141" s="5">
        <f t="shared" si="51"/>
        <v>0</v>
      </c>
      <c r="AB141">
        <v>0</v>
      </c>
      <c r="AC141" s="5">
        <f t="shared" si="52"/>
        <v>0</v>
      </c>
      <c r="AD141">
        <v>169.2</v>
      </c>
      <c r="AE141">
        <v>14.73</v>
      </c>
      <c r="AF141">
        <v>105.43</v>
      </c>
      <c r="AG141" s="6">
        <f t="shared" si="53"/>
        <v>1</v>
      </c>
      <c r="AH141" s="5">
        <f t="shared" si="54"/>
        <v>3</v>
      </c>
      <c r="AI141" s="5">
        <v>17.907499999999999</v>
      </c>
      <c r="AJ141" s="5">
        <f t="shared" si="55"/>
        <v>0.93</v>
      </c>
      <c r="AK141" s="5">
        <f t="shared" si="56"/>
        <v>4.1850000000000005</v>
      </c>
      <c r="AL141" s="4">
        <f t="shared" si="57"/>
        <v>0</v>
      </c>
      <c r="AM141" s="8" t="str">
        <f t="shared" si="58"/>
        <v>Amba Auto Sales &amp;amp;</v>
      </c>
      <c r="AN141">
        <v>29</v>
      </c>
      <c r="AO141" s="61">
        <f t="shared" si="59"/>
        <v>0</v>
      </c>
      <c r="AP141" s="7">
        <f t="shared" si="60"/>
        <v>0</v>
      </c>
      <c r="AQ141" s="5">
        <v>1</v>
      </c>
      <c r="AR141" s="7">
        <f t="shared" si="61"/>
        <v>5</v>
      </c>
      <c r="AS141" s="5">
        <v>135</v>
      </c>
      <c r="AT141" s="5">
        <v>114</v>
      </c>
      <c r="AU141" s="5">
        <v>149</v>
      </c>
      <c r="AV141" s="5">
        <f t="shared" si="62"/>
        <v>131.5</v>
      </c>
      <c r="AW141" s="5">
        <v>134.5</v>
      </c>
      <c r="AX141" s="4">
        <f t="shared" si="63"/>
        <v>1</v>
      </c>
      <c r="AY141" s="4">
        <f t="shared" si="64"/>
        <v>10.37037037037037</v>
      </c>
      <c r="AZ141" s="4">
        <f t="shared" si="65"/>
        <v>2</v>
      </c>
      <c r="BA141" s="7"/>
    </row>
    <row r="142" spans="1:55" ht="12.75" customHeight="1">
      <c r="A142" t="s">
        <v>250</v>
      </c>
      <c r="B142" t="s">
        <v>251</v>
      </c>
      <c r="C142" t="s">
        <v>159</v>
      </c>
      <c r="D142" s="11">
        <v>0</v>
      </c>
      <c r="E142">
        <v>10.68</v>
      </c>
      <c r="F142">
        <v>25.17</v>
      </c>
      <c r="G142" s="5">
        <f t="shared" si="49"/>
        <v>57.56853396901073</v>
      </c>
      <c r="H142">
        <v>52.96</v>
      </c>
      <c r="I142">
        <v>5.79</v>
      </c>
      <c r="J142">
        <v>13.83</v>
      </c>
      <c r="K142">
        <v>4.72</v>
      </c>
      <c r="L142">
        <v>21.25</v>
      </c>
      <c r="M142">
        <v>11.82</v>
      </c>
      <c r="N142">
        <v>26.41</v>
      </c>
      <c r="O142">
        <v>54.74</v>
      </c>
      <c r="P142" s="5">
        <f t="shared" si="50"/>
        <v>9.4542314335060453</v>
      </c>
      <c r="Q142">
        <v>20.74</v>
      </c>
      <c r="R142" s="2">
        <v>17.25</v>
      </c>
      <c r="S142" s="6">
        <v>1</v>
      </c>
      <c r="T142">
        <v>41.69</v>
      </c>
      <c r="U142">
        <v>4.1599999999999966</v>
      </c>
      <c r="V142">
        <v>0</v>
      </c>
      <c r="W142">
        <v>1</v>
      </c>
      <c r="X142">
        <v>17</v>
      </c>
      <c r="Y142">
        <v>70</v>
      </c>
      <c r="Z142">
        <v>0.77</v>
      </c>
      <c r="AA142" s="5">
        <f t="shared" si="51"/>
        <v>0</v>
      </c>
      <c r="AB142">
        <v>0</v>
      </c>
      <c r="AC142" s="5">
        <f t="shared" si="52"/>
        <v>0</v>
      </c>
      <c r="AD142">
        <v>40.53</v>
      </c>
      <c r="AE142">
        <v>7.76</v>
      </c>
      <c r="AF142">
        <v>121.57</v>
      </c>
      <c r="AG142" s="6">
        <f t="shared" si="53"/>
        <v>4.5999999999999996</v>
      </c>
      <c r="AH142" s="5">
        <f t="shared" si="54"/>
        <v>6.6</v>
      </c>
      <c r="AI142" s="5">
        <v>16.677499999999998</v>
      </c>
      <c r="AJ142" s="5">
        <f t="shared" si="55"/>
        <v>0.93</v>
      </c>
      <c r="AK142" s="5">
        <f t="shared" si="56"/>
        <v>12.555000000000001</v>
      </c>
      <c r="AL142" s="4">
        <f t="shared" si="57"/>
        <v>0</v>
      </c>
      <c r="AM142" s="8" t="str">
        <f t="shared" si="58"/>
        <v>Value 360 Communicati</v>
      </c>
      <c r="AN142">
        <v>4</v>
      </c>
      <c r="AO142" s="61">
        <f t="shared" si="59"/>
        <v>0</v>
      </c>
      <c r="AP142" s="7">
        <f t="shared" si="60"/>
        <v>0</v>
      </c>
      <c r="AQ142" s="5">
        <v>1</v>
      </c>
      <c r="AR142" s="7">
        <f t="shared" si="61"/>
        <v>5</v>
      </c>
      <c r="AS142" s="5">
        <v>98</v>
      </c>
      <c r="AT142" s="5">
        <v>98</v>
      </c>
      <c r="AU142" s="5">
        <v>98</v>
      </c>
      <c r="AV142" s="5">
        <f t="shared" si="62"/>
        <v>98</v>
      </c>
      <c r="AW142" s="5">
        <v>78</v>
      </c>
      <c r="AX142" s="4">
        <f t="shared" si="63"/>
        <v>0</v>
      </c>
      <c r="AY142" s="4">
        <f t="shared" si="64"/>
        <v>0</v>
      </c>
      <c r="AZ142" s="4">
        <f t="shared" si="65"/>
        <v>0</v>
      </c>
      <c r="BA142" s="7"/>
      <c r="BB142" s="51">
        <v>71</v>
      </c>
    </row>
    <row r="143" spans="1:55" ht="12.75" customHeight="1">
      <c r="A143" t="s">
        <v>252</v>
      </c>
      <c r="B143" t="s">
        <v>253</v>
      </c>
      <c r="C143" t="s">
        <v>159</v>
      </c>
      <c r="D143" s="11">
        <v>1</v>
      </c>
      <c r="E143">
        <v>7.56</v>
      </c>
      <c r="F143">
        <v>8.77</v>
      </c>
      <c r="G143" s="5">
        <f t="shared" si="49"/>
        <v>13.797035347776511</v>
      </c>
      <c r="H143">
        <v>23.18</v>
      </c>
      <c r="I143">
        <v>3.3</v>
      </c>
      <c r="J143">
        <v>15.79</v>
      </c>
      <c r="K143">
        <v>4.0599999999999996</v>
      </c>
      <c r="L143">
        <v>68.11</v>
      </c>
      <c r="M143">
        <v>6.13</v>
      </c>
      <c r="N143">
        <v>23.24</v>
      </c>
      <c r="O143">
        <v>47.94</v>
      </c>
      <c r="P143" s="5">
        <f t="shared" si="50"/>
        <v>14.527272727272727</v>
      </c>
      <c r="Q143">
        <v>38.94</v>
      </c>
      <c r="R143" s="2">
        <v>13.92</v>
      </c>
      <c r="S143" s="6">
        <v>1</v>
      </c>
      <c r="T143">
        <v>44.59</v>
      </c>
      <c r="U143">
        <v>5.0400000000000063</v>
      </c>
      <c r="V143">
        <v>1</v>
      </c>
      <c r="W143">
        <v>1</v>
      </c>
      <c r="X143">
        <v>3.52</v>
      </c>
      <c r="Y143">
        <v>70</v>
      </c>
      <c r="Z143">
        <v>15.43</v>
      </c>
      <c r="AA143" s="5">
        <f t="shared" si="51"/>
        <v>0</v>
      </c>
      <c r="AB143">
        <v>27.85</v>
      </c>
      <c r="AC143" s="5">
        <f t="shared" si="52"/>
        <v>1.7</v>
      </c>
      <c r="AD143">
        <v>1122.22</v>
      </c>
      <c r="AE143">
        <v>29.81</v>
      </c>
      <c r="AF143">
        <v>60.33</v>
      </c>
      <c r="AG143" s="6">
        <f t="shared" si="53"/>
        <v>6.2</v>
      </c>
      <c r="AH143" s="5">
        <f t="shared" si="54"/>
        <v>9.8999999999999986</v>
      </c>
      <c r="AI143" s="5">
        <v>16.677499999999998</v>
      </c>
      <c r="AJ143" s="5">
        <f t="shared" si="55"/>
        <v>0.93</v>
      </c>
      <c r="AK143" s="5">
        <f t="shared" si="56"/>
        <v>16.963200000000001</v>
      </c>
      <c r="AL143" s="4">
        <f t="shared" si="57"/>
        <v>1</v>
      </c>
      <c r="AM143" s="8" t="str">
        <f t="shared" si="58"/>
        <v>Recode Studios  Price</v>
      </c>
      <c r="AN143">
        <v>11</v>
      </c>
      <c r="AO143" s="61">
        <f t="shared" si="59"/>
        <v>1</v>
      </c>
      <c r="AP143" s="7">
        <f t="shared" si="60"/>
        <v>2</v>
      </c>
      <c r="AQ143" s="5">
        <v>0.95</v>
      </c>
      <c r="AR143" s="7">
        <f t="shared" si="61"/>
        <v>1</v>
      </c>
      <c r="AS143" s="5">
        <v>158</v>
      </c>
      <c r="AT143" s="5">
        <v>153</v>
      </c>
      <c r="AU143" s="5">
        <v>170</v>
      </c>
      <c r="AV143" s="5">
        <f t="shared" si="62"/>
        <v>161.5</v>
      </c>
      <c r="AW143" s="5">
        <v>213</v>
      </c>
      <c r="AX143" s="4">
        <f t="shared" si="63"/>
        <v>1</v>
      </c>
      <c r="AY143" s="4">
        <f t="shared" si="64"/>
        <v>7.5949367088607591</v>
      </c>
      <c r="AZ143" s="4">
        <f t="shared" si="65"/>
        <v>1.5</v>
      </c>
      <c r="BA143" s="7"/>
    </row>
    <row r="144" spans="1:55" ht="12.75" customHeight="1">
      <c r="A144" t="s">
        <v>254</v>
      </c>
      <c r="B144" t="s">
        <v>255</v>
      </c>
      <c r="C144" t="s">
        <v>159</v>
      </c>
      <c r="D144" s="11">
        <v>0</v>
      </c>
      <c r="E144">
        <v>0.28000000000000003</v>
      </c>
      <c r="F144">
        <v>17.37</v>
      </c>
      <c r="G144" s="5">
        <f t="shared" si="49"/>
        <v>98.388025331030505</v>
      </c>
      <c r="H144">
        <v>36.67</v>
      </c>
      <c r="I144">
        <v>9.98</v>
      </c>
      <c r="J144">
        <v>13.73</v>
      </c>
      <c r="K144">
        <v>11.34</v>
      </c>
      <c r="L144">
        <v>38.08</v>
      </c>
      <c r="M144">
        <v>13.49</v>
      </c>
      <c r="N144">
        <v>18.48</v>
      </c>
      <c r="O144">
        <v>75.09</v>
      </c>
      <c r="P144" s="5">
        <f t="shared" si="50"/>
        <v>7.5240480961923843</v>
      </c>
      <c r="Q144">
        <v>16.14</v>
      </c>
      <c r="R144" s="2">
        <v>15.39</v>
      </c>
      <c r="S144" s="6">
        <v>-0.5</v>
      </c>
      <c r="T144">
        <v>58.04</v>
      </c>
      <c r="U144">
        <v>0</v>
      </c>
      <c r="V144">
        <v>0</v>
      </c>
      <c r="W144">
        <v>1</v>
      </c>
      <c r="X144">
        <v>70</v>
      </c>
      <c r="Y144">
        <v>70</v>
      </c>
      <c r="Z144">
        <v>70</v>
      </c>
      <c r="AA144" s="5">
        <f t="shared" si="51"/>
        <v>1</v>
      </c>
      <c r="AB144">
        <v>12.57</v>
      </c>
      <c r="AC144" s="5">
        <f t="shared" si="52"/>
        <v>1.7</v>
      </c>
      <c r="AD144">
        <v>72.66</v>
      </c>
      <c r="AE144">
        <v>52.28</v>
      </c>
      <c r="AF144">
        <v>135.05000000000001</v>
      </c>
      <c r="AG144" s="6">
        <f t="shared" si="53"/>
        <v>4.0999999999999996</v>
      </c>
      <c r="AH144" s="5">
        <f t="shared" si="54"/>
        <v>8.8000000000000007</v>
      </c>
      <c r="AI144" s="5">
        <v>16.677499999999998</v>
      </c>
      <c r="AJ144" s="5">
        <f t="shared" si="55"/>
        <v>0.93</v>
      </c>
      <c r="AK144" s="5">
        <f t="shared" si="56"/>
        <v>13.208324999999999</v>
      </c>
      <c r="AL144" s="4">
        <f t="shared" si="57"/>
        <v>0</v>
      </c>
      <c r="AM144" s="8" t="str">
        <f t="shared" si="58"/>
        <v>Simca Advertising  Pr</v>
      </c>
      <c r="AN144">
        <v>12</v>
      </c>
      <c r="AO144" s="61">
        <f t="shared" si="59"/>
        <v>0</v>
      </c>
      <c r="AP144" s="7">
        <f t="shared" si="60"/>
        <v>0</v>
      </c>
      <c r="AQ144" s="5">
        <v>0.95</v>
      </c>
      <c r="AR144" s="7">
        <f t="shared" si="61"/>
        <v>5</v>
      </c>
      <c r="AS144" s="5">
        <v>183</v>
      </c>
      <c r="AT144" s="5">
        <v>119</v>
      </c>
      <c r="AU144" s="5">
        <v>143</v>
      </c>
      <c r="AV144" s="5">
        <f t="shared" si="62"/>
        <v>131</v>
      </c>
      <c r="AW144" s="5">
        <v>156</v>
      </c>
      <c r="AX144" s="4">
        <f t="shared" si="63"/>
        <v>1</v>
      </c>
      <c r="AY144" s="4">
        <f t="shared" si="64"/>
        <v>-21.857923497267759</v>
      </c>
      <c r="AZ144" s="4">
        <f t="shared" si="65"/>
        <v>-2</v>
      </c>
      <c r="BA144" s="7"/>
    </row>
    <row r="145" spans="1:53" ht="12.75" customHeight="1">
      <c r="A145" t="s">
        <v>256</v>
      </c>
      <c r="B145" t="s">
        <v>257</v>
      </c>
      <c r="C145" t="s">
        <v>159</v>
      </c>
      <c r="D145" s="11">
        <v>1</v>
      </c>
      <c r="E145">
        <v>11.03</v>
      </c>
      <c r="F145">
        <v>10.35</v>
      </c>
      <c r="G145" s="5">
        <f t="shared" si="49"/>
        <v>-6.5700483091787412</v>
      </c>
      <c r="H145">
        <v>26.28</v>
      </c>
      <c r="I145">
        <v>2.83</v>
      </c>
      <c r="J145">
        <v>10.38</v>
      </c>
      <c r="K145">
        <v>4.1100000000000003</v>
      </c>
      <c r="L145">
        <v>21.02</v>
      </c>
      <c r="M145">
        <v>5.83</v>
      </c>
      <c r="N145">
        <v>19.41</v>
      </c>
      <c r="O145">
        <v>28.06</v>
      </c>
      <c r="P145" s="5">
        <f t="shared" si="50"/>
        <v>9.915194346289752</v>
      </c>
      <c r="Q145">
        <v>10.47</v>
      </c>
      <c r="R145" s="2">
        <v>13.93</v>
      </c>
      <c r="S145" s="6">
        <v>-1</v>
      </c>
      <c r="T145">
        <v>11.61</v>
      </c>
      <c r="U145">
        <v>0</v>
      </c>
      <c r="V145">
        <v>1</v>
      </c>
      <c r="W145">
        <v>1</v>
      </c>
      <c r="X145">
        <v>180.22</v>
      </c>
      <c r="Y145">
        <v>1662.04</v>
      </c>
      <c r="Z145">
        <v>881.15</v>
      </c>
      <c r="AA145" s="5">
        <f t="shared" si="51"/>
        <v>1</v>
      </c>
      <c r="AB145">
        <v>34.880000000000003</v>
      </c>
      <c r="AC145" s="5">
        <f t="shared" si="52"/>
        <v>1.7</v>
      </c>
      <c r="AD145">
        <v>56.35</v>
      </c>
      <c r="AE145">
        <v>19.05</v>
      </c>
      <c r="AF145">
        <v>31.68</v>
      </c>
      <c r="AG145" s="6">
        <f t="shared" si="53"/>
        <v>3.5</v>
      </c>
      <c r="AH145" s="5">
        <f t="shared" si="54"/>
        <v>8.1999999999999993</v>
      </c>
      <c r="AI145" s="5">
        <v>17.797499999999999</v>
      </c>
      <c r="AJ145" s="5">
        <f t="shared" si="55"/>
        <v>0.93</v>
      </c>
      <c r="AK145" s="5">
        <f t="shared" si="56"/>
        <v>12.5085</v>
      </c>
      <c r="AL145" s="4">
        <f t="shared" si="57"/>
        <v>1</v>
      </c>
      <c r="AM145" s="8" t="str">
        <f t="shared" si="58"/>
        <v>Goldline Pharmaceutic</v>
      </c>
      <c r="AN145">
        <v>14</v>
      </c>
      <c r="AO145" s="61">
        <f t="shared" si="59"/>
        <v>0</v>
      </c>
      <c r="AP145" s="7">
        <f t="shared" si="60"/>
        <v>0</v>
      </c>
      <c r="AQ145" s="5">
        <v>1</v>
      </c>
      <c r="AR145" s="7">
        <f t="shared" si="61"/>
        <v>5</v>
      </c>
      <c r="AS145" s="5">
        <v>43</v>
      </c>
      <c r="AT145" s="5">
        <v>46</v>
      </c>
      <c r="AU145" s="5">
        <v>53</v>
      </c>
      <c r="AV145" s="5">
        <f t="shared" si="62"/>
        <v>49.5</v>
      </c>
      <c r="AW145" s="5">
        <v>59.75</v>
      </c>
      <c r="AX145" s="4">
        <f t="shared" si="63"/>
        <v>1</v>
      </c>
      <c r="AY145" s="4">
        <f t="shared" si="64"/>
        <v>23.255813953488371</v>
      </c>
      <c r="AZ145" s="4">
        <f t="shared" si="65"/>
        <v>2.5</v>
      </c>
      <c r="BA145" s="7"/>
    </row>
    <row r="146" spans="1:53" ht="12.75" customHeight="1">
      <c r="A146" t="s">
        <v>258</v>
      </c>
      <c r="B146" t="s">
        <v>259</v>
      </c>
      <c r="C146" t="s">
        <v>159</v>
      </c>
      <c r="D146" s="11">
        <v>1</v>
      </c>
      <c r="E146">
        <v>18.88</v>
      </c>
      <c r="F146">
        <v>18</v>
      </c>
      <c r="G146" s="5">
        <f t="shared" si="49"/>
        <v>-4.8888888888888831</v>
      </c>
      <c r="H146">
        <v>46.94</v>
      </c>
      <c r="I146">
        <v>8.33</v>
      </c>
      <c r="J146">
        <v>5.51</v>
      </c>
      <c r="K146">
        <v>5.13</v>
      </c>
      <c r="L146">
        <v>19.260000000000002</v>
      </c>
      <c r="M146">
        <v>12.57</v>
      </c>
      <c r="N146">
        <v>8.5500000000000007</v>
      </c>
      <c r="O146">
        <v>135.46</v>
      </c>
      <c r="P146" s="5">
        <f t="shared" si="50"/>
        <v>16.26170468187275</v>
      </c>
      <c r="Q146">
        <v>9.75</v>
      </c>
      <c r="R146" s="2">
        <v>15.19</v>
      </c>
      <c r="S146" s="6">
        <v>-1</v>
      </c>
      <c r="T146">
        <v>35.33</v>
      </c>
      <c r="U146">
        <v>0</v>
      </c>
      <c r="V146">
        <v>0</v>
      </c>
      <c r="W146">
        <v>1</v>
      </c>
      <c r="X146">
        <v>124.39</v>
      </c>
      <c r="Y146">
        <v>24.12</v>
      </c>
      <c r="Z146">
        <v>11.36</v>
      </c>
      <c r="AA146" s="5">
        <f t="shared" si="51"/>
        <v>1</v>
      </c>
      <c r="AB146">
        <v>4</v>
      </c>
      <c r="AC146" s="5">
        <f t="shared" si="52"/>
        <v>0</v>
      </c>
      <c r="AD146">
        <v>43.87</v>
      </c>
      <c r="AE146">
        <v>69.41</v>
      </c>
      <c r="AF146">
        <v>85.95</v>
      </c>
      <c r="AG146" s="6">
        <f t="shared" si="53"/>
        <v>0.5</v>
      </c>
      <c r="AH146" s="5">
        <f t="shared" si="54"/>
        <v>3.5</v>
      </c>
      <c r="AI146" s="5">
        <v>17.815000000000001</v>
      </c>
      <c r="AJ146" s="5">
        <f t="shared" si="55"/>
        <v>0.93</v>
      </c>
      <c r="AK146" s="5">
        <f t="shared" si="56"/>
        <v>3.9525000000000001</v>
      </c>
      <c r="AL146" s="4">
        <f t="shared" si="57"/>
        <v>1</v>
      </c>
      <c r="AM146" s="8" t="str">
        <f t="shared" si="58"/>
        <v>RFBL Flexi Pack  Pric</v>
      </c>
      <c r="AN146">
        <v>14</v>
      </c>
      <c r="AO146" s="61">
        <f t="shared" si="59"/>
        <v>0</v>
      </c>
      <c r="AP146" s="7">
        <f t="shared" si="60"/>
        <v>0</v>
      </c>
      <c r="AQ146" s="5">
        <v>1</v>
      </c>
      <c r="AR146" s="7">
        <f t="shared" si="61"/>
        <v>5</v>
      </c>
      <c r="AS146" s="5">
        <v>50</v>
      </c>
      <c r="AT146" s="5">
        <v>23</v>
      </c>
      <c r="AU146" s="5">
        <v>30</v>
      </c>
      <c r="AV146" s="5">
        <f t="shared" si="62"/>
        <v>26.5</v>
      </c>
      <c r="AW146" s="5">
        <v>52.5</v>
      </c>
      <c r="AX146" s="4">
        <f t="shared" si="63"/>
        <v>1</v>
      </c>
      <c r="AY146" s="4">
        <f t="shared" si="64"/>
        <v>-40</v>
      </c>
      <c r="AZ146" s="4">
        <f t="shared" si="65"/>
        <v>-2</v>
      </c>
      <c r="BA146" s="7"/>
    </row>
    <row r="147" spans="1:53" ht="12.75" customHeight="1">
      <c r="A147" t="s">
        <v>260</v>
      </c>
      <c r="B147" t="s">
        <v>261</v>
      </c>
      <c r="C147" t="s">
        <v>159</v>
      </c>
      <c r="D147" s="11">
        <v>0</v>
      </c>
      <c r="E147">
        <v>11.36</v>
      </c>
      <c r="F147">
        <v>9.02</v>
      </c>
      <c r="G147" s="5">
        <f t="shared" si="49"/>
        <v>-25.942350332594238</v>
      </c>
      <c r="H147">
        <v>27.03</v>
      </c>
      <c r="I147">
        <v>2.67</v>
      </c>
      <c r="J147">
        <v>9.4600000000000009</v>
      </c>
      <c r="K147">
        <v>3.27</v>
      </c>
      <c r="L147">
        <v>28.21</v>
      </c>
      <c r="M147">
        <v>4.6900000000000004</v>
      </c>
      <c r="N147">
        <v>18.010000000000002</v>
      </c>
      <c r="O147">
        <v>35.76</v>
      </c>
      <c r="P147" s="5">
        <f t="shared" si="50"/>
        <v>13.393258426966291</v>
      </c>
      <c r="Q147">
        <v>16.809999999999999</v>
      </c>
      <c r="R147" s="2">
        <v>13.28</v>
      </c>
      <c r="S147" s="6">
        <v>-1</v>
      </c>
      <c r="T147">
        <v>24.53</v>
      </c>
      <c r="U147">
        <v>0</v>
      </c>
      <c r="V147">
        <v>0</v>
      </c>
      <c r="W147">
        <v>1</v>
      </c>
      <c r="X147">
        <v>1</v>
      </c>
      <c r="Y147">
        <v>0.8</v>
      </c>
      <c r="Z147">
        <v>2.8</v>
      </c>
      <c r="AA147" s="5">
        <f t="shared" si="51"/>
        <v>-0.7</v>
      </c>
      <c r="AB147">
        <v>0</v>
      </c>
      <c r="AC147" s="5">
        <f t="shared" si="52"/>
        <v>0</v>
      </c>
      <c r="AD147">
        <v>1680</v>
      </c>
      <c r="AE147">
        <v>496</v>
      </c>
      <c r="AF147">
        <v>42.27</v>
      </c>
      <c r="AG147" s="6">
        <f t="shared" si="53"/>
        <v>1.5</v>
      </c>
      <c r="AH147" s="5">
        <f t="shared" si="54"/>
        <v>0.8</v>
      </c>
      <c r="AI147" s="5">
        <v>17.7925</v>
      </c>
      <c r="AJ147" s="5">
        <f t="shared" si="55"/>
        <v>0.93</v>
      </c>
      <c r="AK147" s="5">
        <f t="shared" si="56"/>
        <v>2.8365</v>
      </c>
      <c r="AL147" s="4">
        <f t="shared" si="57"/>
        <v>0</v>
      </c>
      <c r="AM147" s="8" t="str">
        <f t="shared" si="58"/>
        <v xml:space="preserve">NFP Sampoorna Foods  </v>
      </c>
      <c r="AN147">
        <v>20</v>
      </c>
      <c r="AO147" s="61">
        <f t="shared" si="59"/>
        <v>0</v>
      </c>
      <c r="AP147" s="7">
        <f t="shared" si="60"/>
        <v>0</v>
      </c>
      <c r="AQ147" s="5">
        <v>1</v>
      </c>
      <c r="AR147" s="7">
        <f t="shared" si="61"/>
        <v>5</v>
      </c>
      <c r="AS147" s="5">
        <v>55</v>
      </c>
      <c r="AT147" s="5">
        <v>55</v>
      </c>
      <c r="AU147" s="5">
        <v>55</v>
      </c>
      <c r="AV147" s="5">
        <f t="shared" si="62"/>
        <v>55</v>
      </c>
      <c r="AW147" s="5">
        <v>54.5</v>
      </c>
      <c r="AX147" s="4">
        <f t="shared" si="63"/>
        <v>0</v>
      </c>
      <c r="AY147" s="4">
        <f t="shared" si="64"/>
        <v>0</v>
      </c>
      <c r="AZ147" s="4">
        <f t="shared" si="65"/>
        <v>0</v>
      </c>
      <c r="BA147" s="7"/>
    </row>
    <row r="148" spans="1:53" ht="12.75" customHeight="1">
      <c r="A148" t="s">
        <v>262</v>
      </c>
      <c r="B148" t="s">
        <v>263</v>
      </c>
      <c r="C148" t="s">
        <v>159</v>
      </c>
      <c r="D148" s="11">
        <v>1</v>
      </c>
      <c r="E148">
        <v>11.1</v>
      </c>
      <c r="F148">
        <v>21.63</v>
      </c>
      <c r="G148" s="5">
        <f t="shared" si="49"/>
        <v>48.682385575589464</v>
      </c>
      <c r="H148">
        <v>40</v>
      </c>
      <c r="I148">
        <v>7.84</v>
      </c>
      <c r="J148">
        <v>21.6</v>
      </c>
      <c r="K148">
        <v>5.26</v>
      </c>
      <c r="L148">
        <v>42.26</v>
      </c>
      <c r="M148">
        <v>9.24</v>
      </c>
      <c r="N148">
        <v>32.61</v>
      </c>
      <c r="O148">
        <v>32.979999999999997</v>
      </c>
      <c r="P148" s="5">
        <f t="shared" si="50"/>
        <v>4.2066326530612246</v>
      </c>
      <c r="Q148">
        <v>11.97</v>
      </c>
      <c r="R148" s="2">
        <v>16.29</v>
      </c>
      <c r="S148" s="6">
        <v>-0.5</v>
      </c>
      <c r="T148">
        <v>50.15</v>
      </c>
      <c r="U148">
        <v>0</v>
      </c>
      <c r="V148">
        <v>1</v>
      </c>
      <c r="W148">
        <v>1</v>
      </c>
      <c r="X148">
        <v>0.66</v>
      </c>
      <c r="Y148">
        <v>0.59</v>
      </c>
      <c r="Z148">
        <v>0.72</v>
      </c>
      <c r="AA148" s="5">
        <f t="shared" si="51"/>
        <v>-0.7</v>
      </c>
      <c r="AB148">
        <v>0</v>
      </c>
      <c r="AC148" s="5">
        <f t="shared" si="52"/>
        <v>0</v>
      </c>
      <c r="AD148">
        <v>1.95</v>
      </c>
      <c r="AE148">
        <v>8.81</v>
      </c>
      <c r="AF148">
        <v>56.85</v>
      </c>
      <c r="AG148" s="6">
        <f t="shared" si="53"/>
        <v>4.4000000000000004</v>
      </c>
      <c r="AH148" s="5">
        <f t="shared" si="54"/>
        <v>2.7</v>
      </c>
      <c r="AI148" s="5">
        <v>17.782499999999999</v>
      </c>
      <c r="AJ148" s="5">
        <f t="shared" si="55"/>
        <v>0.93</v>
      </c>
      <c r="AK148" s="5">
        <f t="shared" si="56"/>
        <v>8.2165499999999998</v>
      </c>
      <c r="AL148" s="4">
        <f t="shared" si="57"/>
        <v>1</v>
      </c>
      <c r="AM148" s="8" t="str">
        <f t="shared" si="58"/>
        <v>Teamtech Formwork Sol</v>
      </c>
      <c r="AN148">
        <v>19</v>
      </c>
      <c r="AO148" s="61">
        <f t="shared" si="59"/>
        <v>0</v>
      </c>
      <c r="AP148" s="7">
        <f t="shared" si="60"/>
        <v>0</v>
      </c>
      <c r="AQ148" s="5">
        <v>0.95</v>
      </c>
      <c r="AR148" s="7">
        <f t="shared" si="61"/>
        <v>5</v>
      </c>
      <c r="AS148" s="5">
        <v>63</v>
      </c>
      <c r="AT148" s="5">
        <v>63</v>
      </c>
      <c r="AU148" s="5">
        <v>63</v>
      </c>
      <c r="AV148" s="5">
        <f t="shared" si="62"/>
        <v>63</v>
      </c>
      <c r="AW148" s="5">
        <v>75</v>
      </c>
      <c r="AX148" s="4">
        <f t="shared" si="63"/>
        <v>1</v>
      </c>
      <c r="AY148" s="4">
        <f t="shared" si="64"/>
        <v>0</v>
      </c>
      <c r="AZ148" s="4">
        <f t="shared" si="65"/>
        <v>0</v>
      </c>
      <c r="BA148" s="7"/>
    </row>
    <row r="149" spans="1:53" ht="12.75" customHeight="1">
      <c r="A149" t="s">
        <v>264</v>
      </c>
      <c r="B149" t="s">
        <v>265</v>
      </c>
      <c r="C149" t="s">
        <v>159</v>
      </c>
      <c r="D149" s="11">
        <v>1</v>
      </c>
      <c r="E149">
        <v>5.05</v>
      </c>
      <c r="F149">
        <v>14.34</v>
      </c>
      <c r="G149" s="5">
        <f t="shared" si="49"/>
        <v>64.783821478382137</v>
      </c>
      <c r="H149">
        <v>24.77</v>
      </c>
      <c r="I149">
        <v>8.2200000000000006</v>
      </c>
      <c r="J149">
        <v>8.6</v>
      </c>
      <c r="K149">
        <v>6.51</v>
      </c>
      <c r="L149">
        <v>47.93</v>
      </c>
      <c r="M149">
        <v>10.86</v>
      </c>
      <c r="N149">
        <v>11.81</v>
      </c>
      <c r="O149">
        <v>102.06</v>
      </c>
      <c r="P149" s="5">
        <f t="shared" si="50"/>
        <v>12.416058394160583</v>
      </c>
      <c r="Q149">
        <v>11.82</v>
      </c>
      <c r="R149" s="2">
        <v>10.61</v>
      </c>
      <c r="S149" s="6">
        <v>-0.5</v>
      </c>
      <c r="T149">
        <v>38.380000000000003</v>
      </c>
      <c r="U149">
        <v>7.6800000000000033</v>
      </c>
      <c r="V149">
        <v>1</v>
      </c>
      <c r="W149">
        <v>1</v>
      </c>
      <c r="X149">
        <v>27</v>
      </c>
      <c r="Y149">
        <v>63</v>
      </c>
      <c r="Z149">
        <v>27</v>
      </c>
      <c r="AA149" s="5">
        <f t="shared" si="51"/>
        <v>0</v>
      </c>
      <c r="AB149">
        <v>6.49</v>
      </c>
      <c r="AC149" s="5">
        <f t="shared" si="52"/>
        <v>1</v>
      </c>
      <c r="AD149">
        <v>77.16</v>
      </c>
      <c r="AE149">
        <v>53.77</v>
      </c>
      <c r="AF149">
        <v>134.31</v>
      </c>
      <c r="AG149" s="6">
        <f t="shared" si="53"/>
        <v>6.1</v>
      </c>
      <c r="AH149" s="5">
        <f t="shared" si="54"/>
        <v>9.1</v>
      </c>
      <c r="AI149" s="5">
        <v>17.782499999999999</v>
      </c>
      <c r="AJ149" s="5">
        <f t="shared" si="55"/>
        <v>0.93</v>
      </c>
      <c r="AK149" s="5">
        <f t="shared" si="56"/>
        <v>16.9725</v>
      </c>
      <c r="AL149" s="4">
        <f t="shared" si="57"/>
        <v>1</v>
      </c>
      <c r="AM149" s="8" t="str">
        <f t="shared" si="58"/>
        <v>Vegorama Punjabi Angi</v>
      </c>
      <c r="AN149">
        <v>22</v>
      </c>
      <c r="AO149" s="61">
        <f t="shared" si="59"/>
        <v>1</v>
      </c>
      <c r="AP149" s="7">
        <f t="shared" si="60"/>
        <v>2</v>
      </c>
      <c r="AQ149" s="5">
        <v>1</v>
      </c>
      <c r="AR149" s="7">
        <f t="shared" si="61"/>
        <v>1</v>
      </c>
      <c r="AS149" s="5">
        <v>77</v>
      </c>
      <c r="AT149" s="5">
        <v>87</v>
      </c>
      <c r="AU149" s="5">
        <v>108</v>
      </c>
      <c r="AV149" s="5">
        <f t="shared" si="62"/>
        <v>97.5</v>
      </c>
      <c r="AW149" s="5">
        <v>118</v>
      </c>
      <c r="AX149" s="4">
        <f t="shared" si="63"/>
        <v>1</v>
      </c>
      <c r="AY149" s="4">
        <f t="shared" si="64"/>
        <v>40.259740259740262</v>
      </c>
      <c r="AZ149" s="4">
        <f t="shared" si="65"/>
        <v>2.5</v>
      </c>
      <c r="BA149" s="7"/>
    </row>
    <row r="150" spans="1:53" ht="12.75" customHeight="1">
      <c r="A150" t="s">
        <v>266</v>
      </c>
      <c r="B150" t="s">
        <v>267</v>
      </c>
      <c r="C150" t="s">
        <v>159</v>
      </c>
      <c r="D150" s="11">
        <v>0</v>
      </c>
      <c r="E150">
        <v>3.26</v>
      </c>
      <c r="F150">
        <v>13.79</v>
      </c>
      <c r="G150" s="5">
        <f t="shared" si="49"/>
        <v>76.359680928208846</v>
      </c>
      <c r="H150">
        <v>23.12</v>
      </c>
      <c r="I150">
        <v>4.47</v>
      </c>
      <c r="J150">
        <v>19.5</v>
      </c>
      <c r="K150">
        <v>6.21</v>
      </c>
      <c r="L150">
        <v>31.15</v>
      </c>
      <c r="M150">
        <v>6.72</v>
      </c>
      <c r="N150">
        <v>27.97</v>
      </c>
      <c r="O150">
        <v>35.5</v>
      </c>
      <c r="P150" s="5">
        <f t="shared" si="50"/>
        <v>7.941834451901566</v>
      </c>
      <c r="Q150">
        <v>15.46</v>
      </c>
      <c r="R150" s="2">
        <v>12.42</v>
      </c>
      <c r="S150" s="6">
        <v>-1</v>
      </c>
      <c r="T150">
        <v>25.63</v>
      </c>
      <c r="U150">
        <v>0</v>
      </c>
      <c r="V150">
        <v>0</v>
      </c>
      <c r="W150">
        <v>0</v>
      </c>
      <c r="X150">
        <v>21</v>
      </c>
      <c r="Y150">
        <v>0.7</v>
      </c>
      <c r="Z150">
        <v>0.66</v>
      </c>
      <c r="AA150" s="5">
        <f t="shared" si="51"/>
        <v>1</v>
      </c>
      <c r="AB150">
        <v>0</v>
      </c>
      <c r="AC150" s="5">
        <f t="shared" si="52"/>
        <v>0</v>
      </c>
      <c r="AD150">
        <v>0</v>
      </c>
      <c r="AE150">
        <v>0</v>
      </c>
      <c r="AF150">
        <v>0</v>
      </c>
      <c r="AG150" s="6">
        <f t="shared" si="53"/>
        <v>0.59999999999999964</v>
      </c>
      <c r="AH150" s="5">
        <f t="shared" si="54"/>
        <v>2.5999999999999996</v>
      </c>
      <c r="AI150" s="5">
        <v>17.762499999999999</v>
      </c>
      <c r="AJ150" s="5">
        <f t="shared" si="55"/>
        <v>0.93</v>
      </c>
      <c r="AK150" s="5">
        <f t="shared" si="56"/>
        <v>3.2549999999999994</v>
      </c>
      <c r="AL150" s="4">
        <f t="shared" si="57"/>
        <v>0</v>
      </c>
      <c r="AM150" s="8" t="str">
        <f t="shared" si="58"/>
        <v>Harikanta Overseas  P</v>
      </c>
      <c r="AN150">
        <v>22</v>
      </c>
      <c r="AO150" s="61">
        <f t="shared" si="59"/>
        <v>0</v>
      </c>
      <c r="AP150" s="7">
        <f t="shared" si="60"/>
        <v>0</v>
      </c>
      <c r="AQ150" s="5">
        <v>1</v>
      </c>
      <c r="AR150" s="7">
        <f t="shared" si="61"/>
        <v>5</v>
      </c>
      <c r="AS150" s="5">
        <v>91</v>
      </c>
      <c r="AT150" s="5">
        <v>91</v>
      </c>
      <c r="AU150" s="5">
        <v>91</v>
      </c>
      <c r="AV150" s="5">
        <f t="shared" si="62"/>
        <v>91</v>
      </c>
      <c r="AW150" s="5">
        <v>79.75</v>
      </c>
      <c r="AX150" s="4">
        <f t="shared" si="63"/>
        <v>0</v>
      </c>
      <c r="AY150" s="4">
        <f t="shared" si="64"/>
        <v>0</v>
      </c>
      <c r="AZ150" s="4">
        <f t="shared" si="65"/>
        <v>0</v>
      </c>
      <c r="BA150" s="7"/>
    </row>
    <row r="151" spans="1:53" ht="12.75" customHeight="1">
      <c r="A151" t="s">
        <v>268</v>
      </c>
      <c r="B151" t="s">
        <v>269</v>
      </c>
      <c r="C151" t="s">
        <v>159</v>
      </c>
      <c r="D151">
        <v>0</v>
      </c>
      <c r="E151">
        <v>15.01</v>
      </c>
      <c r="F151">
        <v>14.73</v>
      </c>
      <c r="G151" s="5">
        <f t="shared" si="49"/>
        <v>-1.9008825526137092</v>
      </c>
      <c r="H151">
        <v>39.119999999999997</v>
      </c>
      <c r="I151">
        <v>9.7899999999999991</v>
      </c>
      <c r="J151">
        <v>30.35</v>
      </c>
      <c r="K151">
        <v>10.67</v>
      </c>
      <c r="L151">
        <v>54.41</v>
      </c>
      <c r="M151">
        <v>15.21</v>
      </c>
      <c r="N151">
        <v>47.11</v>
      </c>
      <c r="O151">
        <v>38.33</v>
      </c>
      <c r="P151" s="5">
        <f t="shared" si="50"/>
        <v>3.9152196118488254</v>
      </c>
      <c r="Q151">
        <v>13.03</v>
      </c>
      <c r="R151" s="2">
        <v>13.45</v>
      </c>
      <c r="S151" s="6">
        <v>-1</v>
      </c>
      <c r="T151">
        <v>52.43</v>
      </c>
      <c r="U151">
        <v>5.240000000000002</v>
      </c>
      <c r="V151">
        <v>0</v>
      </c>
      <c r="W151">
        <v>1</v>
      </c>
      <c r="X151">
        <v>15.9</v>
      </c>
      <c r="Y151">
        <v>1.3</v>
      </c>
      <c r="Z151">
        <v>2.92</v>
      </c>
      <c r="AA151" s="5">
        <f t="shared" si="51"/>
        <v>-0.7</v>
      </c>
      <c r="AB151">
        <v>0</v>
      </c>
      <c r="AC151" s="5">
        <f t="shared" si="52"/>
        <v>0</v>
      </c>
      <c r="AD151">
        <v>291.60000000000002</v>
      </c>
      <c r="AE151">
        <v>149.87</v>
      </c>
      <c r="AF151">
        <v>198.18</v>
      </c>
      <c r="AG151" s="6">
        <f t="shared" si="53"/>
        <v>1.5</v>
      </c>
      <c r="AH151" s="5">
        <f t="shared" si="54"/>
        <v>1.8</v>
      </c>
      <c r="AI151" s="5">
        <v>17.765000000000001</v>
      </c>
      <c r="AJ151" s="5">
        <f t="shared" si="55"/>
        <v>0.93</v>
      </c>
      <c r="AK151" s="5">
        <f t="shared" si="56"/>
        <v>3.7665000000000002</v>
      </c>
      <c r="AL151" s="4">
        <f t="shared" si="57"/>
        <v>0</v>
      </c>
      <c r="AM151" s="8" t="str">
        <f t="shared" si="58"/>
        <v>Bio Medica Laboratori</v>
      </c>
      <c r="AN151">
        <v>25</v>
      </c>
      <c r="AO151" s="61">
        <f t="shared" si="59"/>
        <v>0</v>
      </c>
      <c r="AP151" s="7">
        <f t="shared" si="60"/>
        <v>0</v>
      </c>
      <c r="AQ151" s="5">
        <v>1</v>
      </c>
      <c r="AR151" s="7">
        <f t="shared" si="61"/>
        <v>5</v>
      </c>
      <c r="AS151" s="5">
        <v>139</v>
      </c>
      <c r="AT151" s="5">
        <v>113</v>
      </c>
      <c r="AU151" s="5">
        <v>123</v>
      </c>
      <c r="AV151" s="5">
        <f t="shared" si="62"/>
        <v>118</v>
      </c>
      <c r="AW151" s="5">
        <v>111</v>
      </c>
      <c r="AX151" s="4">
        <f t="shared" si="63"/>
        <v>0</v>
      </c>
      <c r="AY151" s="4">
        <f t="shared" si="64"/>
        <v>-11.510791366906474</v>
      </c>
      <c r="AZ151" s="4">
        <f t="shared" si="65"/>
        <v>-1.5</v>
      </c>
      <c r="BA151" s="7"/>
    </row>
    <row r="152" spans="1:53" ht="12.75" customHeight="1">
      <c r="A152" t="s">
        <v>270</v>
      </c>
      <c r="B152" t="s">
        <v>271</v>
      </c>
      <c r="C152" t="s">
        <v>159</v>
      </c>
      <c r="D152" s="11">
        <v>1</v>
      </c>
      <c r="E152">
        <v>0</v>
      </c>
      <c r="F152">
        <v>14.71</v>
      </c>
      <c r="G152" s="5">
        <f t="shared" si="49"/>
        <v>100</v>
      </c>
      <c r="H152">
        <v>23.28</v>
      </c>
      <c r="I152">
        <v>3.5</v>
      </c>
      <c r="J152">
        <v>9.99</v>
      </c>
      <c r="K152">
        <v>3.52</v>
      </c>
      <c r="L152">
        <v>16.09</v>
      </c>
      <c r="M152">
        <v>5.1100000000000003</v>
      </c>
      <c r="N152">
        <v>16.93</v>
      </c>
      <c r="O152">
        <v>33.880000000000003</v>
      </c>
      <c r="P152" s="5">
        <f t="shared" si="50"/>
        <v>9.6800000000000015</v>
      </c>
      <c r="Q152">
        <v>11.64</v>
      </c>
      <c r="R152" s="2">
        <v>14.7</v>
      </c>
      <c r="S152" s="6">
        <v>-0.5</v>
      </c>
      <c r="T152">
        <v>14.6</v>
      </c>
      <c r="U152">
        <v>0</v>
      </c>
      <c r="V152">
        <v>0</v>
      </c>
      <c r="W152">
        <v>1</v>
      </c>
      <c r="X152">
        <v>1.17</v>
      </c>
      <c r="Y152">
        <v>1.17</v>
      </c>
      <c r="Z152">
        <v>1.17</v>
      </c>
      <c r="AA152" s="5">
        <f t="shared" si="51"/>
        <v>1</v>
      </c>
      <c r="AB152">
        <v>0</v>
      </c>
      <c r="AC152" s="5">
        <f t="shared" si="52"/>
        <v>0</v>
      </c>
      <c r="AD152">
        <v>114.72</v>
      </c>
      <c r="AE152">
        <v>112.81</v>
      </c>
      <c r="AF152">
        <v>62.18</v>
      </c>
      <c r="AG152" s="6">
        <f t="shared" si="53"/>
        <v>4.0999999999999996</v>
      </c>
      <c r="AH152" s="5">
        <f t="shared" si="54"/>
        <v>5.0999999999999996</v>
      </c>
      <c r="AI152" s="5">
        <v>17.745000000000001</v>
      </c>
      <c r="AJ152" s="5">
        <f t="shared" si="55"/>
        <v>0.93</v>
      </c>
      <c r="AK152" s="5">
        <f t="shared" si="56"/>
        <v>10.4625</v>
      </c>
      <c r="AL152" s="4">
        <f t="shared" si="57"/>
        <v>1</v>
      </c>
      <c r="AM152" s="8" t="str">
        <f t="shared" si="58"/>
        <v>Autofurnish  Price, G</v>
      </c>
      <c r="AN152">
        <v>25</v>
      </c>
      <c r="AO152" s="61">
        <f t="shared" si="59"/>
        <v>0</v>
      </c>
      <c r="AP152" s="7">
        <f t="shared" si="60"/>
        <v>0</v>
      </c>
      <c r="AQ152" s="5">
        <v>1</v>
      </c>
      <c r="AR152" s="7">
        <f t="shared" si="61"/>
        <v>5</v>
      </c>
      <c r="AS152" s="5">
        <v>41</v>
      </c>
      <c r="AT152" s="5">
        <v>25</v>
      </c>
      <c r="AU152" s="5">
        <v>28</v>
      </c>
      <c r="AV152" s="5">
        <f t="shared" si="62"/>
        <v>26.5</v>
      </c>
      <c r="AW152" s="5">
        <v>43</v>
      </c>
      <c r="AX152" s="4">
        <f t="shared" si="63"/>
        <v>1</v>
      </c>
      <c r="AY152" s="4">
        <f t="shared" si="64"/>
        <v>-31.707317073170731</v>
      </c>
      <c r="AZ152" s="4">
        <f t="shared" si="65"/>
        <v>-2</v>
      </c>
      <c r="BA152" s="7"/>
    </row>
    <row r="153" spans="1:53" ht="12.75" customHeight="1">
      <c r="A153" t="s">
        <v>272</v>
      </c>
      <c r="B153" t="s">
        <v>273</v>
      </c>
      <c r="C153" t="s">
        <v>159</v>
      </c>
      <c r="D153" s="11">
        <v>1</v>
      </c>
      <c r="E153">
        <v>164.95</v>
      </c>
      <c r="F153">
        <v>189.95</v>
      </c>
      <c r="G153" s="5">
        <f t="shared" si="49"/>
        <v>13.161358252171626</v>
      </c>
      <c r="H153">
        <v>455.49</v>
      </c>
      <c r="I153">
        <v>28.13</v>
      </c>
      <c r="J153">
        <v>16.649999999999999</v>
      </c>
      <c r="K153">
        <v>0</v>
      </c>
      <c r="L153">
        <v>16.88</v>
      </c>
      <c r="M153">
        <v>71.319999999999993</v>
      </c>
      <c r="N153">
        <v>27.64</v>
      </c>
      <c r="O153">
        <v>322.58</v>
      </c>
      <c r="P153" s="5">
        <f t="shared" si="50"/>
        <v>11.467472449342338</v>
      </c>
      <c r="Q153">
        <v>0</v>
      </c>
      <c r="R153" s="2">
        <v>0</v>
      </c>
      <c r="S153" s="6">
        <v>-0.5</v>
      </c>
      <c r="T153">
        <v>214.48</v>
      </c>
      <c r="U153">
        <v>0</v>
      </c>
      <c r="V153">
        <v>1</v>
      </c>
      <c r="W153">
        <v>1</v>
      </c>
      <c r="X153">
        <v>124</v>
      </c>
      <c r="Y153">
        <v>145</v>
      </c>
      <c r="Z153">
        <v>71.44</v>
      </c>
      <c r="AA153" s="5">
        <f t="shared" si="51"/>
        <v>1</v>
      </c>
      <c r="AB153">
        <v>41.11</v>
      </c>
      <c r="AC153" s="5">
        <f t="shared" si="52"/>
        <v>1.7</v>
      </c>
      <c r="AD153">
        <v>-18.32</v>
      </c>
      <c r="AE153">
        <v>56.25</v>
      </c>
      <c r="AF153">
        <v>17.39</v>
      </c>
      <c r="AG153" s="6">
        <f t="shared" si="53"/>
        <v>5.2</v>
      </c>
      <c r="AH153" s="5">
        <f t="shared" si="54"/>
        <v>9.9</v>
      </c>
      <c r="AI153" s="5">
        <v>17.752500000000001</v>
      </c>
      <c r="AJ153" s="5">
        <f t="shared" si="55"/>
        <v>0.93</v>
      </c>
      <c r="AK153" s="5">
        <f t="shared" si="56"/>
        <v>15.637950000000002</v>
      </c>
      <c r="AL153" s="4">
        <f t="shared" si="57"/>
        <v>1</v>
      </c>
      <c r="AM153" s="8" t="str">
        <f t="shared" si="58"/>
        <v>Q-Line Biotec  Price,</v>
      </c>
      <c r="AN153">
        <v>25</v>
      </c>
      <c r="AO153" s="61">
        <f t="shared" si="59"/>
        <v>1</v>
      </c>
      <c r="AP153" s="7">
        <f t="shared" si="60"/>
        <v>1</v>
      </c>
      <c r="AQ153" s="5">
        <v>0.95</v>
      </c>
      <c r="AR153" s="7">
        <f t="shared" si="61"/>
        <v>1</v>
      </c>
      <c r="AS153" s="5">
        <v>343</v>
      </c>
      <c r="AT153" s="5">
        <v>262</v>
      </c>
      <c r="AU153" s="5">
        <v>310</v>
      </c>
      <c r="AV153" s="5">
        <f t="shared" si="62"/>
        <v>286</v>
      </c>
      <c r="AW153" s="5">
        <v>452</v>
      </c>
      <c r="AX153" s="4">
        <f t="shared" si="63"/>
        <v>1</v>
      </c>
      <c r="AY153" s="4">
        <f t="shared" si="64"/>
        <v>-9.6209912536443145</v>
      </c>
      <c r="AZ153" s="4">
        <f t="shared" si="65"/>
        <v>-1.5</v>
      </c>
      <c r="BA153" s="7"/>
    </row>
    <row r="154" spans="1:53" ht="12.75" customHeight="1">
      <c r="A154" t="s">
        <v>274</v>
      </c>
      <c r="B154" t="s">
        <v>275</v>
      </c>
      <c r="C154" t="s">
        <v>159</v>
      </c>
      <c r="D154" s="11">
        <v>0</v>
      </c>
      <c r="E154">
        <v>20.46</v>
      </c>
      <c r="F154">
        <v>18.59</v>
      </c>
      <c r="G154" s="5">
        <f t="shared" si="49"/>
        <v>-10.059171597633142</v>
      </c>
      <c r="H154">
        <v>41.12</v>
      </c>
      <c r="I154">
        <v>4.13</v>
      </c>
      <c r="J154">
        <v>2.87</v>
      </c>
      <c r="K154">
        <v>2.87</v>
      </c>
      <c r="L154">
        <v>16.48</v>
      </c>
      <c r="M154">
        <v>7.82</v>
      </c>
      <c r="N154">
        <v>5.74</v>
      </c>
      <c r="O154">
        <v>203.52</v>
      </c>
      <c r="P154" s="5">
        <f t="shared" si="50"/>
        <v>49.278450363196129</v>
      </c>
      <c r="Q154">
        <v>18.11</v>
      </c>
      <c r="R154" s="2">
        <v>22.87</v>
      </c>
      <c r="S154" s="6">
        <v>-0.5</v>
      </c>
      <c r="T154">
        <v>27.04</v>
      </c>
      <c r="U154">
        <v>0</v>
      </c>
      <c r="V154">
        <v>1</v>
      </c>
      <c r="W154">
        <v>0</v>
      </c>
      <c r="X154">
        <v>1</v>
      </c>
      <c r="Y154">
        <v>1.88</v>
      </c>
      <c r="Z154">
        <v>2.09</v>
      </c>
      <c r="AA154" s="5">
        <f t="shared" si="51"/>
        <v>-0.7</v>
      </c>
      <c r="AB154">
        <v>0</v>
      </c>
      <c r="AC154" s="5">
        <f t="shared" si="52"/>
        <v>0</v>
      </c>
      <c r="AD154">
        <v>89.45</v>
      </c>
      <c r="AE154">
        <v>31.3</v>
      </c>
      <c r="AF154">
        <v>50.4</v>
      </c>
      <c r="AG154" s="6">
        <f t="shared" si="53"/>
        <v>3</v>
      </c>
      <c r="AH154" s="5">
        <f t="shared" si="54"/>
        <v>3.3</v>
      </c>
      <c r="AI154" s="5">
        <v>17.752500000000001</v>
      </c>
      <c r="AJ154" s="5">
        <f t="shared" si="55"/>
        <v>0.93</v>
      </c>
      <c r="AK154" s="5">
        <f t="shared" si="56"/>
        <v>7.2540000000000004</v>
      </c>
      <c r="AL154" s="4">
        <f t="shared" si="57"/>
        <v>0</v>
      </c>
      <c r="AM154" s="8" t="str">
        <f t="shared" si="58"/>
        <v xml:space="preserve">M R Maniveni  Price, </v>
      </c>
      <c r="AN154">
        <v>26</v>
      </c>
      <c r="AO154" s="61">
        <f t="shared" si="59"/>
        <v>0</v>
      </c>
      <c r="AP154" s="7">
        <f t="shared" si="60"/>
        <v>0</v>
      </c>
      <c r="AQ154" s="5">
        <v>1</v>
      </c>
      <c r="AR154" s="7">
        <f t="shared" si="61"/>
        <v>5</v>
      </c>
      <c r="AS154" s="5">
        <v>52</v>
      </c>
      <c r="AT154" s="5">
        <v>52</v>
      </c>
      <c r="AU154" s="5">
        <v>52</v>
      </c>
      <c r="AV154" s="5">
        <f t="shared" si="62"/>
        <v>52</v>
      </c>
      <c r="AW154" s="5">
        <v>42.55</v>
      </c>
      <c r="AX154" s="4">
        <f t="shared" si="63"/>
        <v>0</v>
      </c>
      <c r="AY154" s="4">
        <f t="shared" si="64"/>
        <v>0</v>
      </c>
      <c r="AZ154" s="4">
        <f t="shared" si="65"/>
        <v>0</v>
      </c>
      <c r="BA154" s="7"/>
    </row>
    <row r="155" spans="1:53" ht="12.75" customHeight="1">
      <c r="A155" t="s">
        <v>276</v>
      </c>
      <c r="B155" t="s">
        <v>277</v>
      </c>
      <c r="C155" t="s">
        <v>159</v>
      </c>
      <c r="D155" s="11">
        <v>1</v>
      </c>
      <c r="E155">
        <v>43.11</v>
      </c>
      <c r="F155">
        <v>24.15</v>
      </c>
      <c r="G155" s="5">
        <f t="shared" si="49"/>
        <v>-78.509316770186345</v>
      </c>
      <c r="H155">
        <v>70.94</v>
      </c>
      <c r="I155">
        <v>11.28</v>
      </c>
      <c r="J155">
        <v>4.08</v>
      </c>
      <c r="K155">
        <v>14.82</v>
      </c>
      <c r="L155">
        <v>54.07</v>
      </c>
      <c r="M155">
        <v>18.329999999999998</v>
      </c>
      <c r="N155">
        <v>6.67</v>
      </c>
      <c r="O155">
        <v>297.76</v>
      </c>
      <c r="P155" s="5">
        <f t="shared" si="50"/>
        <v>26.397163120567377</v>
      </c>
      <c r="Q155">
        <v>5.6</v>
      </c>
      <c r="R155" s="2">
        <v>8</v>
      </c>
      <c r="S155" s="6">
        <v>-1</v>
      </c>
      <c r="T155">
        <v>43.88</v>
      </c>
      <c r="U155">
        <v>0</v>
      </c>
      <c r="V155">
        <v>0</v>
      </c>
      <c r="W155">
        <v>1</v>
      </c>
      <c r="X155">
        <v>3.4</v>
      </c>
      <c r="Y155">
        <v>3.4</v>
      </c>
      <c r="Z155">
        <v>1.76</v>
      </c>
      <c r="AA155" s="5">
        <f t="shared" si="51"/>
        <v>1</v>
      </c>
      <c r="AB155">
        <v>0</v>
      </c>
      <c r="AC155" s="5">
        <f t="shared" si="52"/>
        <v>0</v>
      </c>
      <c r="AD155">
        <v>475.51</v>
      </c>
      <c r="AE155">
        <v>48.19</v>
      </c>
      <c r="AF155">
        <v>176</v>
      </c>
      <c r="AG155" s="6">
        <f t="shared" si="53"/>
        <v>1</v>
      </c>
      <c r="AH155" s="5">
        <f t="shared" si="54"/>
        <v>4</v>
      </c>
      <c r="AI155" s="5">
        <v>17.725000000000001</v>
      </c>
      <c r="AJ155" s="5">
        <f t="shared" si="55"/>
        <v>0.93</v>
      </c>
      <c r="AK155" s="5">
        <f t="shared" si="56"/>
        <v>5.1150000000000002</v>
      </c>
      <c r="AL155" s="4">
        <f t="shared" si="57"/>
        <v>1</v>
      </c>
      <c r="AM155" s="8" t="str">
        <f t="shared" si="58"/>
        <v>Yaashvi Jewellers  Pr</v>
      </c>
      <c r="AN155">
        <v>27</v>
      </c>
      <c r="AO155" s="61">
        <f t="shared" si="59"/>
        <v>0</v>
      </c>
      <c r="AP155" s="7">
        <f t="shared" si="60"/>
        <v>0</v>
      </c>
      <c r="AQ155" s="5">
        <v>1</v>
      </c>
      <c r="AR155" s="7">
        <f t="shared" si="61"/>
        <v>5</v>
      </c>
      <c r="AS155" s="5">
        <v>83</v>
      </c>
      <c r="AT155" s="5">
        <v>83</v>
      </c>
      <c r="AU155" s="5">
        <v>83</v>
      </c>
      <c r="AV155" s="5">
        <f t="shared" si="62"/>
        <v>83</v>
      </c>
      <c r="AW155" s="5">
        <v>1</v>
      </c>
      <c r="AX155" s="4">
        <f t="shared" si="63"/>
        <v>0</v>
      </c>
      <c r="AY155" s="4">
        <f t="shared" si="64"/>
        <v>0</v>
      </c>
      <c r="AZ155" s="4">
        <f t="shared" si="65"/>
        <v>0</v>
      </c>
      <c r="BA155" s="7"/>
    </row>
    <row r="156" spans="1:53" ht="12.75" customHeight="1">
      <c r="A156" t="s">
        <v>278</v>
      </c>
      <c r="B156" t="s">
        <v>279</v>
      </c>
      <c r="C156" t="s">
        <v>159</v>
      </c>
      <c r="D156" s="11">
        <v>0</v>
      </c>
      <c r="E156">
        <v>8.84</v>
      </c>
      <c r="F156">
        <v>9.2899999999999991</v>
      </c>
      <c r="G156" s="5">
        <f t="shared" si="49"/>
        <v>4.8439181916038683</v>
      </c>
      <c r="H156">
        <v>25.35</v>
      </c>
      <c r="I156">
        <v>5.05</v>
      </c>
      <c r="J156">
        <v>16.45</v>
      </c>
      <c r="K156">
        <v>6.75</v>
      </c>
      <c r="L156">
        <v>74.59</v>
      </c>
      <c r="M156">
        <v>7.48</v>
      </c>
      <c r="N156">
        <v>24.38</v>
      </c>
      <c r="O156">
        <v>31.27</v>
      </c>
      <c r="P156" s="5">
        <f t="shared" si="50"/>
        <v>6.1920792079207922</v>
      </c>
      <c r="Q156">
        <v>9.33</v>
      </c>
      <c r="R156" s="2">
        <v>12.94</v>
      </c>
      <c r="S156" s="6">
        <v>-0.5</v>
      </c>
      <c r="T156">
        <v>18.21</v>
      </c>
      <c r="U156">
        <v>0</v>
      </c>
      <c r="V156">
        <v>0</v>
      </c>
      <c r="W156">
        <v>1</v>
      </c>
      <c r="X156">
        <v>54</v>
      </c>
      <c r="Y156">
        <v>269</v>
      </c>
      <c r="Z156">
        <v>109</v>
      </c>
      <c r="AA156" s="5">
        <f t="shared" si="51"/>
        <v>1</v>
      </c>
      <c r="AB156">
        <v>15.87</v>
      </c>
      <c r="AC156" s="5">
        <f t="shared" si="52"/>
        <v>1.7</v>
      </c>
      <c r="AD156">
        <v>120.52</v>
      </c>
      <c r="AE156">
        <v>32.5</v>
      </c>
      <c r="AF156">
        <v>119.1</v>
      </c>
      <c r="AG156" s="6">
        <f t="shared" si="53"/>
        <v>2.7</v>
      </c>
      <c r="AH156" s="5">
        <f t="shared" si="54"/>
        <v>7.4</v>
      </c>
      <c r="AI156" s="5">
        <v>15.887499999999999</v>
      </c>
      <c r="AJ156" s="5">
        <f t="shared" si="55"/>
        <v>0.93</v>
      </c>
      <c r="AK156" s="5">
        <f t="shared" si="56"/>
        <v>10.116075000000002</v>
      </c>
      <c r="AL156" s="4">
        <f t="shared" si="57"/>
        <v>0</v>
      </c>
      <c r="AM156" s="8" t="str">
        <f t="shared" si="58"/>
        <v>Rajnandini Fashion In</v>
      </c>
      <c r="AN156">
        <v>29</v>
      </c>
      <c r="AO156" s="61">
        <f t="shared" si="59"/>
        <v>0</v>
      </c>
      <c r="AP156" s="7">
        <f t="shared" si="60"/>
        <v>0</v>
      </c>
      <c r="AQ156" s="5">
        <v>0.95</v>
      </c>
      <c r="AR156" s="7">
        <f t="shared" si="61"/>
        <v>5</v>
      </c>
      <c r="AS156" s="5">
        <v>63</v>
      </c>
      <c r="AT156" s="5">
        <v>66</v>
      </c>
      <c r="AU156" s="5">
        <v>80</v>
      </c>
      <c r="AV156" s="5">
        <f t="shared" si="62"/>
        <v>73</v>
      </c>
      <c r="AW156" s="5">
        <v>63</v>
      </c>
      <c r="AX156" s="4">
        <f t="shared" si="63"/>
        <v>0</v>
      </c>
      <c r="AY156" s="4">
        <f t="shared" si="64"/>
        <v>26.984126984126984</v>
      </c>
      <c r="AZ156" s="4">
        <f t="shared" si="65"/>
        <v>2.5</v>
      </c>
      <c r="BA156" s="7"/>
    </row>
    <row r="157" spans="1:53" ht="12.75" customHeight="1">
      <c r="A157" t="s">
        <v>280</v>
      </c>
      <c r="B157" t="s">
        <v>281</v>
      </c>
      <c r="C157" t="s">
        <v>159</v>
      </c>
      <c r="D157" s="11">
        <v>0</v>
      </c>
      <c r="E157">
        <v>8.57</v>
      </c>
      <c r="F157">
        <v>24.14</v>
      </c>
      <c r="G157" s="5">
        <f t="shared" si="49"/>
        <v>64.498757249378627</v>
      </c>
      <c r="H157">
        <v>43.35</v>
      </c>
      <c r="I157">
        <v>10.41</v>
      </c>
      <c r="J157">
        <v>6.01</v>
      </c>
      <c r="K157">
        <v>7.11</v>
      </c>
      <c r="L157">
        <v>55.52</v>
      </c>
      <c r="M157">
        <v>15.17</v>
      </c>
      <c r="N157">
        <v>8.65</v>
      </c>
      <c r="O157">
        <v>263.25</v>
      </c>
      <c r="P157" s="5">
        <f t="shared" si="50"/>
        <v>25.288184438040346</v>
      </c>
      <c r="Q157">
        <v>19</v>
      </c>
      <c r="R157" s="2">
        <v>10.18</v>
      </c>
      <c r="S157" s="6">
        <v>1</v>
      </c>
      <c r="T157">
        <v>67.23</v>
      </c>
      <c r="U157">
        <v>13.23</v>
      </c>
      <c r="V157">
        <v>1</v>
      </c>
      <c r="W157">
        <v>1</v>
      </c>
      <c r="X157">
        <v>2.35</v>
      </c>
      <c r="Y157">
        <v>0.03</v>
      </c>
      <c r="Z157">
        <v>0.21</v>
      </c>
      <c r="AA157" s="5">
        <f t="shared" si="51"/>
        <v>-0.7</v>
      </c>
      <c r="AB157">
        <v>0</v>
      </c>
      <c r="AC157" s="5">
        <f t="shared" si="52"/>
        <v>0</v>
      </c>
      <c r="AD157">
        <v>170.39</v>
      </c>
      <c r="AE157">
        <v>111.41</v>
      </c>
      <c r="AF157">
        <v>394.67</v>
      </c>
      <c r="AG157" s="6">
        <f t="shared" si="53"/>
        <v>6.6</v>
      </c>
      <c r="AH157" s="5">
        <f t="shared" si="54"/>
        <v>5.8999999999999995</v>
      </c>
      <c r="AI157" s="5">
        <v>15.904999999999999</v>
      </c>
      <c r="AJ157" s="5">
        <f t="shared" si="55"/>
        <v>0.93</v>
      </c>
      <c r="AK157" s="5">
        <f t="shared" si="56"/>
        <v>14.693999999999997</v>
      </c>
      <c r="AL157" s="4">
        <f t="shared" si="57"/>
        <v>0</v>
      </c>
      <c r="AM157" s="8" t="str">
        <f t="shared" si="58"/>
        <v>SMR Jewels  Price, GM</v>
      </c>
      <c r="AN157">
        <v>3</v>
      </c>
      <c r="AO157" s="61">
        <f t="shared" si="59"/>
        <v>0</v>
      </c>
      <c r="AP157" s="7">
        <f t="shared" si="60"/>
        <v>3</v>
      </c>
      <c r="AQ157" s="5">
        <v>1</v>
      </c>
      <c r="AR157" s="7">
        <f t="shared" si="61"/>
        <v>5</v>
      </c>
      <c r="AS157" s="5">
        <v>128</v>
      </c>
      <c r="AT157" s="5">
        <v>119</v>
      </c>
      <c r="AU157" s="5">
        <v>146</v>
      </c>
      <c r="AV157" s="5">
        <f t="shared" si="62"/>
        <v>132.5</v>
      </c>
      <c r="AW157" s="5">
        <v>1</v>
      </c>
      <c r="AX157" s="4">
        <f t="shared" si="63"/>
        <v>0</v>
      </c>
      <c r="AY157" s="4">
        <f t="shared" si="64"/>
        <v>14.0625</v>
      </c>
      <c r="AZ157" s="4">
        <f t="shared" si="65"/>
        <v>2</v>
      </c>
      <c r="BA157" s="7"/>
    </row>
    <row r="158" spans="1:53" ht="12.75" customHeight="1">
      <c r="A158" t="s">
        <v>282</v>
      </c>
      <c r="B158" t="s">
        <v>283</v>
      </c>
      <c r="C158" t="s">
        <v>159</v>
      </c>
      <c r="D158" s="11">
        <v>1</v>
      </c>
      <c r="E158">
        <v>32.17</v>
      </c>
      <c r="F158">
        <v>12.95</v>
      </c>
      <c r="G158" s="5">
        <f t="shared" si="49"/>
        <v>-148.41698841698843</v>
      </c>
      <c r="H158">
        <v>83.11</v>
      </c>
      <c r="I158">
        <v>2.57</v>
      </c>
      <c r="J158">
        <v>4.28</v>
      </c>
      <c r="K158">
        <v>2.83</v>
      </c>
      <c r="L158">
        <v>28.87</v>
      </c>
      <c r="M158">
        <v>5.07</v>
      </c>
      <c r="N158">
        <v>7.2</v>
      </c>
      <c r="O158">
        <v>176.62</v>
      </c>
      <c r="P158" s="5">
        <f t="shared" si="50"/>
        <v>68.723735408560316</v>
      </c>
      <c r="Q158">
        <v>24.71</v>
      </c>
      <c r="R158" s="2">
        <v>15.64</v>
      </c>
      <c r="S158" s="6">
        <v>0</v>
      </c>
      <c r="T158">
        <v>27.29</v>
      </c>
      <c r="U158">
        <v>0</v>
      </c>
      <c r="V158">
        <v>0</v>
      </c>
      <c r="W158">
        <v>0</v>
      </c>
      <c r="X158">
        <v>0</v>
      </c>
      <c r="Y158">
        <v>0.3</v>
      </c>
      <c r="Z158">
        <v>1.77</v>
      </c>
      <c r="AA158" s="5">
        <f t="shared" si="51"/>
        <v>-1.7</v>
      </c>
      <c r="AB158">
        <v>10</v>
      </c>
      <c r="AC158" s="5">
        <f t="shared" si="52"/>
        <v>1</v>
      </c>
      <c r="AD158">
        <v>77.239999999999995</v>
      </c>
      <c r="AE158">
        <v>2.57</v>
      </c>
      <c r="AF158">
        <v>22.29</v>
      </c>
      <c r="AG158" s="6">
        <f t="shared" si="53"/>
        <v>-0.5</v>
      </c>
      <c r="AH158" s="5">
        <f t="shared" si="54"/>
        <v>-2.2000000000000002</v>
      </c>
      <c r="AI158" s="5">
        <v>15.605</v>
      </c>
      <c r="AJ158" s="5">
        <f t="shared" si="55"/>
        <v>0.98</v>
      </c>
      <c r="AK158" s="5">
        <f t="shared" si="56"/>
        <v>-2.891</v>
      </c>
      <c r="AL158" s="4">
        <f t="shared" si="57"/>
        <v>1</v>
      </c>
      <c r="AM158" s="8" t="str">
        <f t="shared" si="58"/>
        <v>Aureate Tradde  Price</v>
      </c>
      <c r="AN158">
        <v>2</v>
      </c>
      <c r="AO158" s="61">
        <f t="shared" si="59"/>
        <v>0</v>
      </c>
      <c r="AP158" s="7">
        <f t="shared" si="60"/>
        <v>0</v>
      </c>
      <c r="AQ158" s="5">
        <v>1</v>
      </c>
      <c r="AR158" s="7">
        <f t="shared" si="61"/>
        <v>5</v>
      </c>
      <c r="AS158" s="5">
        <v>70</v>
      </c>
      <c r="AT158" s="5">
        <v>53</v>
      </c>
      <c r="AU158" s="5">
        <v>67</v>
      </c>
      <c r="AV158" s="5">
        <f t="shared" si="62"/>
        <v>60</v>
      </c>
      <c r="AW158" s="5">
        <v>1</v>
      </c>
      <c r="AX158" s="4">
        <f t="shared" si="63"/>
        <v>0</v>
      </c>
      <c r="AY158" s="4">
        <f t="shared" si="64"/>
        <v>-4.2857142857142856</v>
      </c>
      <c r="AZ158" s="4">
        <f t="shared" si="65"/>
        <v>-1.5</v>
      </c>
      <c r="BA158" s="7"/>
    </row>
    <row r="159" spans="1:53" ht="12.75" customHeight="1">
      <c r="A159" t="s">
        <v>284</v>
      </c>
      <c r="B159" t="s">
        <v>285</v>
      </c>
      <c r="C159" t="s">
        <v>159</v>
      </c>
      <c r="D159" s="11">
        <v>1</v>
      </c>
      <c r="E159">
        <v>18.57</v>
      </c>
      <c r="F159">
        <v>16.23</v>
      </c>
      <c r="G159" s="5">
        <f t="shared" si="49"/>
        <v>-14.417744916820702</v>
      </c>
      <c r="H159">
        <v>74.180000000000007</v>
      </c>
      <c r="I159">
        <v>8.66</v>
      </c>
      <c r="J159">
        <v>10.33</v>
      </c>
      <c r="K159">
        <v>12.6</v>
      </c>
      <c r="L159">
        <v>46.03</v>
      </c>
      <c r="M159">
        <v>15.18</v>
      </c>
      <c r="N159">
        <v>17.420000000000002</v>
      </c>
      <c r="O159">
        <v>114.04</v>
      </c>
      <c r="P159" s="5">
        <f t="shared" si="50"/>
        <v>13.168591224018476</v>
      </c>
      <c r="Q159">
        <v>11.83</v>
      </c>
      <c r="R159" s="2">
        <v>16.18</v>
      </c>
      <c r="S159" s="6">
        <v>0</v>
      </c>
      <c r="T159">
        <v>70.03</v>
      </c>
      <c r="U159">
        <v>0</v>
      </c>
      <c r="V159">
        <v>1</v>
      </c>
      <c r="W159">
        <v>1</v>
      </c>
      <c r="X159">
        <v>0</v>
      </c>
      <c r="Y159">
        <v>65</v>
      </c>
      <c r="Z159">
        <v>38</v>
      </c>
      <c r="AA159" s="5">
        <f t="shared" si="51"/>
        <v>0</v>
      </c>
      <c r="AB159">
        <v>60.4</v>
      </c>
      <c r="AC159" s="5">
        <f t="shared" si="52"/>
        <v>1.7</v>
      </c>
      <c r="AD159">
        <v>183.93</v>
      </c>
      <c r="AE159">
        <v>32.590000000000003</v>
      </c>
      <c r="AF159">
        <v>114.12</v>
      </c>
      <c r="AG159" s="6">
        <f t="shared" si="53"/>
        <v>4.5</v>
      </c>
      <c r="AH159" s="5">
        <f t="shared" si="54"/>
        <v>7.2</v>
      </c>
      <c r="AI159" s="5">
        <v>15.5975</v>
      </c>
      <c r="AJ159" s="5">
        <f t="shared" si="55"/>
        <v>0.98</v>
      </c>
      <c r="AK159" s="5">
        <f t="shared" si="56"/>
        <v>13.670999999999999</v>
      </c>
      <c r="AL159" s="4">
        <f t="shared" si="57"/>
        <v>1</v>
      </c>
      <c r="AM159" s="8" t="str">
        <f t="shared" si="58"/>
        <v>Merritronix  Price, G</v>
      </c>
      <c r="AN159">
        <v>3</v>
      </c>
      <c r="AO159" s="61">
        <f t="shared" si="59"/>
        <v>0</v>
      </c>
      <c r="AP159" s="7">
        <f t="shared" si="60"/>
        <v>0</v>
      </c>
      <c r="AQ159" s="5">
        <v>1</v>
      </c>
      <c r="AR159" s="7">
        <f t="shared" si="61"/>
        <v>5</v>
      </c>
      <c r="AS159" s="5">
        <v>149</v>
      </c>
      <c r="AT159" s="5">
        <v>230</v>
      </c>
      <c r="AU159" s="5">
        <v>368</v>
      </c>
      <c r="AV159" s="5">
        <f t="shared" si="62"/>
        <v>299</v>
      </c>
      <c r="AW159" s="5">
        <v>1</v>
      </c>
      <c r="AX159" s="4">
        <f t="shared" si="63"/>
        <v>0</v>
      </c>
      <c r="AY159" s="4">
        <f t="shared" si="64"/>
        <v>146.97986577181209</v>
      </c>
      <c r="AZ159" s="4">
        <f t="shared" si="65"/>
        <v>2.5</v>
      </c>
      <c r="BA159" s="7"/>
    </row>
    <row r="160" spans="1:53" ht="12.75" customHeight="1">
      <c r="A160" t="s">
        <v>286</v>
      </c>
      <c r="B160" t="s">
        <v>287</v>
      </c>
      <c r="C160" t="s">
        <v>159</v>
      </c>
      <c r="D160" s="11">
        <v>0</v>
      </c>
      <c r="E160">
        <v>0.48</v>
      </c>
      <c r="F160">
        <v>20.96</v>
      </c>
      <c r="G160" s="5">
        <f t="shared" si="49"/>
        <v>97.70992366412213</v>
      </c>
      <c r="H160">
        <v>39.06</v>
      </c>
      <c r="I160">
        <v>7.18</v>
      </c>
      <c r="J160">
        <v>17.8</v>
      </c>
      <c r="K160">
        <v>14.67</v>
      </c>
      <c r="L160">
        <v>31.56</v>
      </c>
      <c r="M160">
        <v>8.26</v>
      </c>
      <c r="N160">
        <v>20.32</v>
      </c>
      <c r="O160">
        <v>40.200000000000003</v>
      </c>
      <c r="P160" s="5">
        <f t="shared" si="50"/>
        <v>5.598885793871867</v>
      </c>
      <c r="Q160">
        <v>11.32</v>
      </c>
      <c r="R160" s="2">
        <v>15.36</v>
      </c>
      <c r="S160" s="6">
        <v>0</v>
      </c>
      <c r="T160">
        <v>36.020000000000003</v>
      </c>
      <c r="U160">
        <v>6.980000000000004</v>
      </c>
      <c r="V160">
        <v>0</v>
      </c>
      <c r="W160">
        <v>0</v>
      </c>
      <c r="X160">
        <v>1</v>
      </c>
      <c r="Y160">
        <v>0.36</v>
      </c>
      <c r="Z160">
        <v>0.93</v>
      </c>
      <c r="AA160" s="5">
        <f t="shared" si="51"/>
        <v>-0.7</v>
      </c>
      <c r="AB160">
        <v>20.48</v>
      </c>
      <c r="AC160" s="5">
        <f t="shared" si="52"/>
        <v>1.7</v>
      </c>
      <c r="AD160">
        <v>36.24</v>
      </c>
      <c r="AE160">
        <v>31.12</v>
      </c>
      <c r="AF160">
        <v>52.77</v>
      </c>
      <c r="AG160" s="6">
        <f t="shared" si="53"/>
        <v>4.5999999999999996</v>
      </c>
      <c r="AH160" s="5">
        <f t="shared" si="54"/>
        <v>4.5999999999999996</v>
      </c>
      <c r="AI160" s="5">
        <v>16.93</v>
      </c>
      <c r="AJ160" s="5">
        <f t="shared" si="55"/>
        <v>0.93</v>
      </c>
      <c r="AK160" s="5">
        <f t="shared" si="56"/>
        <v>10.695</v>
      </c>
      <c r="AL160" s="4">
        <f t="shared" si="57"/>
        <v>0</v>
      </c>
      <c r="AM160" s="8" t="str">
        <f t="shared" si="58"/>
        <v xml:space="preserve">UHM Vacation  Price, </v>
      </c>
      <c r="AN160">
        <v>8</v>
      </c>
      <c r="AO160" s="61">
        <f t="shared" si="59"/>
        <v>0</v>
      </c>
      <c r="AP160" s="7">
        <f t="shared" si="60"/>
        <v>0</v>
      </c>
      <c r="AQ160" s="5">
        <v>1</v>
      </c>
      <c r="AR160" s="7">
        <f t="shared" si="61"/>
        <v>5</v>
      </c>
      <c r="AS160" s="5">
        <v>166</v>
      </c>
      <c r="AT160" s="5">
        <v>132</v>
      </c>
      <c r="AU160" s="5">
        <v>158</v>
      </c>
      <c r="AV160" s="5">
        <f t="shared" si="62"/>
        <v>145</v>
      </c>
      <c r="AW160" s="5">
        <v>1</v>
      </c>
      <c r="AX160" s="4">
        <f t="shared" si="63"/>
        <v>0</v>
      </c>
      <c r="AY160" s="4">
        <f t="shared" si="64"/>
        <v>-4.8192771084337354</v>
      </c>
      <c r="AZ160" s="4">
        <f t="shared" si="65"/>
        <v>-1.5</v>
      </c>
      <c r="BA160" s="7"/>
    </row>
    <row r="161" spans="1:53" ht="12.75" customHeight="1">
      <c r="A161" t="s">
        <v>288</v>
      </c>
      <c r="B161" t="s">
        <v>289</v>
      </c>
      <c r="C161" t="s">
        <v>159</v>
      </c>
      <c r="D161" s="11">
        <v>1</v>
      </c>
      <c r="E161">
        <v>11.25</v>
      </c>
      <c r="F161">
        <v>6.87</v>
      </c>
      <c r="G161" s="5">
        <f t="shared" si="49"/>
        <v>-63.755458515283841</v>
      </c>
      <c r="H161">
        <v>39.28</v>
      </c>
      <c r="I161">
        <v>2.58</v>
      </c>
      <c r="J161">
        <v>11.79</v>
      </c>
      <c r="K161">
        <v>8.39</v>
      </c>
      <c r="L161">
        <v>34.11</v>
      </c>
      <c r="M161">
        <v>4.68</v>
      </c>
      <c r="N161">
        <v>19.059999999999999</v>
      </c>
      <c r="O161">
        <v>23.75</v>
      </c>
      <c r="P161" s="5">
        <f t="shared" si="50"/>
        <v>9.2054263565891468</v>
      </c>
      <c r="Q161">
        <v>7.15</v>
      </c>
      <c r="R161" s="2">
        <v>9.7899999999999991</v>
      </c>
      <c r="S161" s="6">
        <v>0</v>
      </c>
      <c r="T161">
        <v>13.45</v>
      </c>
      <c r="U161">
        <v>0</v>
      </c>
      <c r="V161">
        <v>0</v>
      </c>
      <c r="W161">
        <v>1</v>
      </c>
      <c r="X161">
        <v>0</v>
      </c>
      <c r="Y161">
        <v>4.28</v>
      </c>
      <c r="Z161">
        <v>8.68</v>
      </c>
      <c r="AA161" s="5">
        <f t="shared" si="51"/>
        <v>-1.7</v>
      </c>
      <c r="AB161">
        <v>20</v>
      </c>
      <c r="AC161" s="5">
        <f t="shared" si="52"/>
        <v>1.7</v>
      </c>
      <c r="AD161">
        <v>0</v>
      </c>
      <c r="AE161">
        <v>0</v>
      </c>
      <c r="AF161">
        <v>0</v>
      </c>
      <c r="AG161" s="6">
        <f t="shared" si="53"/>
        <v>-0.5</v>
      </c>
      <c r="AH161" s="5">
        <f t="shared" si="54"/>
        <v>0.50000000000000022</v>
      </c>
      <c r="AI161" s="5">
        <v>16.932500000000001</v>
      </c>
      <c r="AJ161" s="5">
        <f t="shared" si="55"/>
        <v>0.93</v>
      </c>
      <c r="AK161" s="5">
        <f t="shared" si="56"/>
        <v>-0.23249999999999982</v>
      </c>
      <c r="AL161" s="4">
        <f t="shared" si="57"/>
        <v>1</v>
      </c>
      <c r="AM161" s="8" t="str">
        <f t="shared" si="58"/>
        <v>Vahh Chemicals  Price</v>
      </c>
      <c r="AN161">
        <v>8</v>
      </c>
      <c r="AO161" s="61">
        <f t="shared" si="59"/>
        <v>0</v>
      </c>
      <c r="AP161" s="7">
        <f t="shared" si="60"/>
        <v>0</v>
      </c>
      <c r="AQ161" s="5">
        <v>1</v>
      </c>
      <c r="AR161" s="7">
        <f t="shared" si="61"/>
        <v>5</v>
      </c>
      <c r="AS161" s="5">
        <v>60</v>
      </c>
      <c r="AT161" s="5">
        <v>58</v>
      </c>
      <c r="AU161" s="5">
        <v>64</v>
      </c>
      <c r="AV161" s="5">
        <f t="shared" si="62"/>
        <v>61</v>
      </c>
      <c r="AW161" s="5">
        <v>1</v>
      </c>
      <c r="AX161" s="4">
        <f t="shared" si="63"/>
        <v>0</v>
      </c>
      <c r="AY161" s="4">
        <f t="shared" si="64"/>
        <v>6.666666666666667</v>
      </c>
      <c r="AZ161" s="4">
        <f t="shared" si="65"/>
        <v>1.5</v>
      </c>
      <c r="BA161" s="7"/>
    </row>
    <row r="162" spans="1:53" ht="12.75" customHeight="1">
      <c r="A162" t="s">
        <v>290</v>
      </c>
      <c r="B162" t="s">
        <v>291</v>
      </c>
      <c r="C162" t="s">
        <v>159</v>
      </c>
      <c r="D162" s="11">
        <v>0</v>
      </c>
      <c r="E162">
        <v>7.27</v>
      </c>
      <c r="F162">
        <v>11.03</v>
      </c>
      <c r="G162" s="5">
        <f t="shared" ref="G162:G193" si="66">100*(F162-E162)/F162</f>
        <v>34.088848594741613</v>
      </c>
      <c r="H162">
        <v>23.61</v>
      </c>
      <c r="I162">
        <v>6.55</v>
      </c>
      <c r="J162">
        <v>16.579999999999998</v>
      </c>
      <c r="K162">
        <v>4.96</v>
      </c>
      <c r="L162">
        <v>0</v>
      </c>
      <c r="M162">
        <v>10.029999999999999</v>
      </c>
      <c r="N162">
        <v>29.52</v>
      </c>
      <c r="O162">
        <v>28.88</v>
      </c>
      <c r="P162" s="5">
        <f t="shared" ref="P162:P193" si="67">O162/I162</f>
        <v>4.4091603053435113</v>
      </c>
      <c r="Q162">
        <v>23.41</v>
      </c>
      <c r="R162" s="2">
        <v>11.73</v>
      </c>
      <c r="S162" s="6">
        <v>0</v>
      </c>
      <c r="T162">
        <v>54.84</v>
      </c>
      <c r="U162">
        <v>0</v>
      </c>
      <c r="V162">
        <v>1</v>
      </c>
      <c r="W162">
        <v>1</v>
      </c>
      <c r="X162">
        <v>0.5</v>
      </c>
      <c r="Y162">
        <v>1.24</v>
      </c>
      <c r="Z162">
        <v>0.42</v>
      </c>
      <c r="AA162" s="5">
        <f t="shared" ref="AA162:AA193" si="68">IF(X162&lt;50,IF(Y162&gt;(2.3*X162),0,1),1)-IF(Z162&gt;Y162,1.7,0)</f>
        <v>0</v>
      </c>
      <c r="AB162">
        <v>2.59</v>
      </c>
      <c r="AC162" s="5">
        <f t="shared" ref="AC162:AC193" si="69">IF(AB162&gt;4,1,0)+IF(AB162&gt;10,0.7,0)</f>
        <v>0</v>
      </c>
      <c r="AD162">
        <v>147.16999999999999</v>
      </c>
      <c r="AE162">
        <v>19.29</v>
      </c>
      <c r="AF162">
        <v>148.97999999999999</v>
      </c>
      <c r="AG162" s="6">
        <f t="shared" ref="AG162:AG195" si="70">IF(G162&lt;52,0,0.7)+IF(G162&lt;34,0,0.7)+IF(G162&lt;1,0,0.7)+IF(P162&gt;14.56,0,1)+IF(R162&lt;9,0.5,0)+IF(R162&lt;33.8,0.5,0)+IF(R162&lt;50,0.5,0)+IF(R162&lt;80,0.5,0)+IF(S162=5,0,S162)+IF(V162&gt;0,1,-1)+IF(AE162&lt;10.56,0,1)-IF(AE162&lt;3,1,0)-IF(AE162&lt;1,1,0)</f>
        <v>5.9</v>
      </c>
      <c r="AH162" s="5">
        <f t="shared" ref="AH162:AH193" si="71">AG162+IF(X162&lt;1.35,0,1)+IF(Y162&lt;1.35,0,1)+IF(Y162&lt;0.7,-1,0)+AC162+AA162</f>
        <v>5.9</v>
      </c>
      <c r="AI162" s="5">
        <v>16.922499999999999</v>
      </c>
      <c r="AJ162" s="5">
        <f t="shared" si="55"/>
        <v>0.93</v>
      </c>
      <c r="AK162" s="5">
        <f t="shared" si="56"/>
        <v>13.031625000000002</v>
      </c>
      <c r="AL162" s="4">
        <f t="shared" si="57"/>
        <v>0</v>
      </c>
      <c r="AM162" s="8" t="str">
        <f t="shared" si="58"/>
        <v>Genxai Analytics  Pri</v>
      </c>
      <c r="AN162">
        <v>9</v>
      </c>
      <c r="AO162" s="61">
        <f t="shared" si="59"/>
        <v>0</v>
      </c>
      <c r="AP162" s="7">
        <f t="shared" si="60"/>
        <v>0</v>
      </c>
      <c r="AQ162" s="5">
        <v>0.95</v>
      </c>
      <c r="AR162" s="7">
        <f t="shared" si="61"/>
        <v>5</v>
      </c>
      <c r="AS162" s="5">
        <v>1</v>
      </c>
      <c r="AT162" s="5">
        <v>1</v>
      </c>
      <c r="AU162" s="5">
        <v>1</v>
      </c>
      <c r="AV162" s="5">
        <f t="shared" si="62"/>
        <v>1</v>
      </c>
      <c r="AW162" s="5">
        <v>1</v>
      </c>
      <c r="AX162" s="4">
        <f t="shared" si="63"/>
        <v>0</v>
      </c>
      <c r="AY162" s="4">
        <f t="shared" si="64"/>
        <v>0</v>
      </c>
      <c r="AZ162" s="4">
        <f t="shared" ref="AZ162:AZ193" si="72">IF(AY162&lt;-50,-4,IF(AY162&lt;-20,-2,IF(AY162&lt;0,-1.5,IF(AY162=0,0,IF(AY162&lt;10,1.5,IF(AY162&lt;20,2,IF(AY162&gt;19,2.5,2.5)))))))</f>
        <v>0</v>
      </c>
      <c r="BA162" s="7"/>
    </row>
    <row r="163" spans="1:53" ht="12.75" customHeight="1">
      <c r="A163" t="s">
        <v>292</v>
      </c>
      <c r="B163" t="s">
        <v>293</v>
      </c>
      <c r="C163" t="s">
        <v>159</v>
      </c>
      <c r="D163" s="11">
        <v>0</v>
      </c>
      <c r="E163">
        <v>17.37</v>
      </c>
      <c r="F163">
        <v>21.64</v>
      </c>
      <c r="G163" s="5">
        <f t="shared" si="66"/>
        <v>19.73197781885397</v>
      </c>
      <c r="H163">
        <v>44.04</v>
      </c>
      <c r="I163">
        <v>6.68</v>
      </c>
      <c r="J163">
        <v>13.79</v>
      </c>
      <c r="K163">
        <v>4.67</v>
      </c>
      <c r="L163">
        <v>22.5</v>
      </c>
      <c r="M163">
        <v>9.2200000000000006</v>
      </c>
      <c r="N163">
        <v>19.510000000000002</v>
      </c>
      <c r="O163">
        <v>50.28</v>
      </c>
      <c r="P163" s="5">
        <f t="shared" si="67"/>
        <v>7.5269461077844317</v>
      </c>
      <c r="Q163">
        <v>14.12</v>
      </c>
      <c r="R163" s="2">
        <v>17.63</v>
      </c>
      <c r="S163" s="6">
        <v>0</v>
      </c>
      <c r="T163">
        <v>34.54</v>
      </c>
      <c r="U163">
        <v>0</v>
      </c>
      <c r="V163">
        <v>0</v>
      </c>
      <c r="W163">
        <v>1</v>
      </c>
      <c r="X163">
        <v>20</v>
      </c>
      <c r="Y163">
        <v>20</v>
      </c>
      <c r="Z163">
        <v>10</v>
      </c>
      <c r="AA163" s="5">
        <f t="shared" si="68"/>
        <v>1</v>
      </c>
      <c r="AB163">
        <v>0</v>
      </c>
      <c r="AC163" s="5">
        <f t="shared" si="69"/>
        <v>0</v>
      </c>
      <c r="AD163">
        <v>106.17</v>
      </c>
      <c r="AE163">
        <v>13.88</v>
      </c>
      <c r="AF163">
        <v>117.49</v>
      </c>
      <c r="AG163" s="6">
        <f t="shared" si="70"/>
        <v>3.2</v>
      </c>
      <c r="AH163" s="5">
        <f t="shared" si="71"/>
        <v>6.2</v>
      </c>
      <c r="AI163" s="5">
        <v>15.7875</v>
      </c>
      <c r="AJ163" s="5">
        <f t="shared" si="55"/>
        <v>0.98</v>
      </c>
      <c r="AK163" s="5">
        <f t="shared" si="56"/>
        <v>10.78</v>
      </c>
      <c r="AL163" s="4">
        <f t="shared" si="57"/>
        <v>0</v>
      </c>
      <c r="AM163" s="8" t="str">
        <f t="shared" si="58"/>
        <v>Utkal Speciality  Pri</v>
      </c>
      <c r="AN163">
        <v>12</v>
      </c>
      <c r="AO163" s="61">
        <f t="shared" si="59"/>
        <v>0</v>
      </c>
      <c r="AP163" s="7">
        <f t="shared" si="60"/>
        <v>0</v>
      </c>
      <c r="AQ163" s="5">
        <v>1</v>
      </c>
      <c r="AR163" s="7">
        <f t="shared" si="61"/>
        <v>5</v>
      </c>
      <c r="AS163" s="5">
        <v>1</v>
      </c>
      <c r="AT163" s="5">
        <v>1</v>
      </c>
      <c r="AU163" s="5">
        <v>1</v>
      </c>
      <c r="AV163" s="5">
        <f t="shared" si="62"/>
        <v>1</v>
      </c>
      <c r="AW163" s="5">
        <v>1</v>
      </c>
      <c r="AX163" s="4">
        <f t="shared" si="63"/>
        <v>0</v>
      </c>
      <c r="AY163" s="4">
        <f t="shared" si="64"/>
        <v>0</v>
      </c>
      <c r="AZ163" s="4">
        <f t="shared" si="72"/>
        <v>0</v>
      </c>
      <c r="BA163" s="7"/>
    </row>
    <row r="164" spans="1:53" ht="12.75" customHeight="1">
      <c r="A164" t="s">
        <v>294</v>
      </c>
      <c r="B164" t="s">
        <v>295</v>
      </c>
      <c r="C164" t="s">
        <v>159</v>
      </c>
      <c r="D164" s="11">
        <v>1</v>
      </c>
      <c r="E164">
        <v>45.27</v>
      </c>
      <c r="F164">
        <v>17.98</v>
      </c>
      <c r="G164" s="5">
        <f t="shared" si="66"/>
        <v>-151.77975528364851</v>
      </c>
      <c r="H164">
        <v>73.680000000000007</v>
      </c>
      <c r="I164">
        <v>5.65</v>
      </c>
      <c r="J164">
        <v>5.16</v>
      </c>
      <c r="K164">
        <v>3.63</v>
      </c>
      <c r="L164">
        <v>34.36</v>
      </c>
      <c r="M164">
        <v>12</v>
      </c>
      <c r="N164">
        <v>10.36</v>
      </c>
      <c r="O164">
        <v>136.05000000000001</v>
      </c>
      <c r="P164" s="5">
        <f t="shared" si="67"/>
        <v>24.079646017699115</v>
      </c>
      <c r="Q164">
        <v>0</v>
      </c>
      <c r="R164" s="2">
        <v>0</v>
      </c>
      <c r="S164" s="6">
        <v>0</v>
      </c>
      <c r="T164">
        <v>70.38</v>
      </c>
      <c r="U164">
        <v>10.16</v>
      </c>
      <c r="V164">
        <v>0</v>
      </c>
      <c r="W164">
        <v>1</v>
      </c>
      <c r="X164">
        <v>20</v>
      </c>
      <c r="Y164">
        <v>20</v>
      </c>
      <c r="Z164">
        <v>10</v>
      </c>
      <c r="AA164" s="5">
        <f t="shared" si="68"/>
        <v>1</v>
      </c>
      <c r="AB164">
        <v>10</v>
      </c>
      <c r="AC164" s="5">
        <f t="shared" si="69"/>
        <v>1</v>
      </c>
      <c r="AD164">
        <v>643.41999999999996</v>
      </c>
      <c r="AE164">
        <v>31.34</v>
      </c>
      <c r="AF164">
        <v>189.53</v>
      </c>
      <c r="AG164" s="6">
        <f t="shared" si="70"/>
        <v>2</v>
      </c>
      <c r="AH164" s="5">
        <f t="shared" si="71"/>
        <v>6</v>
      </c>
      <c r="AI164" s="5">
        <v>16.355</v>
      </c>
      <c r="AJ164" s="5">
        <f t="shared" si="55"/>
        <v>0.93</v>
      </c>
      <c r="AK164" s="5">
        <f t="shared" si="56"/>
        <v>8.370000000000001</v>
      </c>
      <c r="AL164" s="4">
        <f t="shared" si="57"/>
        <v>1</v>
      </c>
      <c r="AM164" s="8" t="str">
        <f t="shared" si="58"/>
        <v>Susan Electricals Ind</v>
      </c>
      <c r="AN164">
        <v>15</v>
      </c>
      <c r="AO164" s="61">
        <f t="shared" si="59"/>
        <v>0</v>
      </c>
      <c r="AP164" s="7">
        <f t="shared" si="60"/>
        <v>0</v>
      </c>
      <c r="AQ164" s="5">
        <v>1</v>
      </c>
      <c r="AR164" s="7">
        <f t="shared" si="61"/>
        <v>5</v>
      </c>
      <c r="AS164" s="5">
        <v>1</v>
      </c>
      <c r="AT164" s="5">
        <v>1</v>
      </c>
      <c r="AU164" s="5">
        <v>1</v>
      </c>
      <c r="AV164" s="5">
        <f t="shared" si="62"/>
        <v>1</v>
      </c>
      <c r="AW164" s="5">
        <v>1</v>
      </c>
      <c r="AX164" s="4">
        <f t="shared" si="63"/>
        <v>0</v>
      </c>
      <c r="AY164" s="4">
        <f t="shared" si="64"/>
        <v>0</v>
      </c>
      <c r="AZ164" s="4">
        <f t="shared" si="72"/>
        <v>0</v>
      </c>
      <c r="BA164" s="7"/>
    </row>
    <row r="165" spans="1:53" ht="12.75" customHeight="1">
      <c r="A165" t="s">
        <v>296</v>
      </c>
      <c r="B165" t="s">
        <v>297</v>
      </c>
      <c r="C165" t="s">
        <v>159</v>
      </c>
      <c r="D165" s="11">
        <v>1</v>
      </c>
      <c r="E165">
        <v>10.029999999999999</v>
      </c>
      <c r="F165">
        <v>14.33</v>
      </c>
      <c r="G165" s="5">
        <f t="shared" si="66"/>
        <v>30.006978367062111</v>
      </c>
      <c r="H165">
        <v>26.08</v>
      </c>
      <c r="I165">
        <v>7.07</v>
      </c>
      <c r="J165">
        <v>21.25</v>
      </c>
      <c r="K165">
        <v>7.37</v>
      </c>
      <c r="L165">
        <v>53.63</v>
      </c>
      <c r="M165">
        <v>10.46</v>
      </c>
      <c r="N165">
        <v>32.64</v>
      </c>
      <c r="O165">
        <v>36.39</v>
      </c>
      <c r="P165" s="5">
        <f t="shared" si="67"/>
        <v>5.1471004243281469</v>
      </c>
      <c r="Q165">
        <v>13.97</v>
      </c>
      <c r="R165" s="2">
        <v>19.14</v>
      </c>
      <c r="S165" s="6">
        <v>0</v>
      </c>
      <c r="T165">
        <v>54.27</v>
      </c>
      <c r="U165">
        <v>0</v>
      </c>
      <c r="V165">
        <v>1</v>
      </c>
      <c r="W165">
        <v>1</v>
      </c>
      <c r="X165">
        <v>20</v>
      </c>
      <c r="Y165">
        <v>20</v>
      </c>
      <c r="Z165">
        <v>10</v>
      </c>
      <c r="AA165" s="5">
        <f t="shared" si="68"/>
        <v>1</v>
      </c>
      <c r="AB165">
        <v>4.8499999999999996</v>
      </c>
      <c r="AC165" s="5">
        <f t="shared" si="69"/>
        <v>1</v>
      </c>
      <c r="AD165">
        <v>895.77</v>
      </c>
      <c r="AE165">
        <v>78.03</v>
      </c>
      <c r="AF165">
        <v>97.38</v>
      </c>
      <c r="AG165" s="6">
        <f t="shared" si="70"/>
        <v>5.2</v>
      </c>
      <c r="AH165" s="5">
        <f t="shared" si="71"/>
        <v>9.1999999999999993</v>
      </c>
      <c r="AI165" s="5">
        <v>17.047499999999999</v>
      </c>
      <c r="AJ165" s="5">
        <f t="shared" si="55"/>
        <v>0.93</v>
      </c>
      <c r="AK165" s="5">
        <f t="shared" si="56"/>
        <v>15.81</v>
      </c>
      <c r="AL165" s="4">
        <f t="shared" si="57"/>
        <v>1</v>
      </c>
      <c r="AM165" s="8" t="str">
        <f t="shared" si="58"/>
        <v>Horizon Reclaim (Indi</v>
      </c>
      <c r="AN165">
        <v>16</v>
      </c>
      <c r="AO165" s="61">
        <f t="shared" si="59"/>
        <v>1</v>
      </c>
      <c r="AP165" s="7">
        <f t="shared" si="60"/>
        <v>2</v>
      </c>
      <c r="AQ165" s="5">
        <v>1</v>
      </c>
      <c r="AR165" s="7">
        <f t="shared" si="61"/>
        <v>1</v>
      </c>
      <c r="AS165" s="5">
        <v>1</v>
      </c>
      <c r="AT165" s="5">
        <v>1</v>
      </c>
      <c r="AU165" s="5">
        <v>1</v>
      </c>
      <c r="AV165" s="5">
        <f t="shared" si="62"/>
        <v>1</v>
      </c>
      <c r="AW165" s="5">
        <v>1</v>
      </c>
      <c r="AX165" s="4">
        <f t="shared" si="63"/>
        <v>0</v>
      </c>
      <c r="AY165" s="4">
        <f t="shared" si="64"/>
        <v>0</v>
      </c>
      <c r="AZ165" s="4">
        <f t="shared" si="72"/>
        <v>0</v>
      </c>
      <c r="BA165" s="7"/>
    </row>
    <row r="166" spans="1:53" ht="12.75" customHeight="1">
      <c r="A166" t="s">
        <v>298</v>
      </c>
      <c r="B166" t="s">
        <v>299</v>
      </c>
      <c r="C166" t="s">
        <v>159</v>
      </c>
      <c r="D166" s="11">
        <v>1</v>
      </c>
      <c r="E166">
        <v>63.26</v>
      </c>
      <c r="F166">
        <v>36.82</v>
      </c>
      <c r="G166" s="5">
        <f t="shared" si="66"/>
        <v>-71.808799565453555</v>
      </c>
      <c r="H166">
        <v>109.82</v>
      </c>
      <c r="I166">
        <v>6.33</v>
      </c>
      <c r="J166">
        <v>0</v>
      </c>
      <c r="K166">
        <v>3.53</v>
      </c>
      <c r="L166">
        <v>15</v>
      </c>
      <c r="M166">
        <v>0</v>
      </c>
      <c r="N166">
        <v>0</v>
      </c>
      <c r="O166">
        <v>111.63</v>
      </c>
      <c r="P166" s="5">
        <f t="shared" si="67"/>
        <v>17.635071090047393</v>
      </c>
      <c r="Q166">
        <v>11.9</v>
      </c>
      <c r="R166" s="2">
        <v>12.57</v>
      </c>
      <c r="S166" s="6">
        <v>0</v>
      </c>
      <c r="T166">
        <v>0</v>
      </c>
      <c r="U166">
        <v>0</v>
      </c>
      <c r="V166">
        <v>0</v>
      </c>
      <c r="W166">
        <v>1</v>
      </c>
      <c r="X166">
        <v>4.75</v>
      </c>
      <c r="Y166">
        <v>1.08</v>
      </c>
      <c r="Z166">
        <v>1.26</v>
      </c>
      <c r="AA166" s="5">
        <f t="shared" si="68"/>
        <v>-0.7</v>
      </c>
      <c r="AB166">
        <v>0</v>
      </c>
      <c r="AC166" s="5">
        <f t="shared" si="69"/>
        <v>0</v>
      </c>
      <c r="AD166">
        <v>18.98</v>
      </c>
      <c r="AE166">
        <v>-13.52</v>
      </c>
      <c r="AF166">
        <v>17.82</v>
      </c>
      <c r="AG166" s="6">
        <f t="shared" si="70"/>
        <v>-1.5</v>
      </c>
      <c r="AH166" s="5">
        <f t="shared" si="71"/>
        <v>-1.2</v>
      </c>
      <c r="AI166" s="5">
        <v>13.27</v>
      </c>
      <c r="AJ166" s="5">
        <f t="shared" si="55"/>
        <v>0.98</v>
      </c>
      <c r="AK166" s="5">
        <f t="shared" si="56"/>
        <v>-3.3810000000000002</v>
      </c>
      <c r="AL166" s="4">
        <f t="shared" si="57"/>
        <v>1</v>
      </c>
      <c r="AM166" s="8" t="str">
        <f t="shared" si="58"/>
        <v xml:space="preserve">Crazy Snacks  Price, </v>
      </c>
      <c r="AN166">
        <v>30</v>
      </c>
      <c r="AO166" s="61">
        <f t="shared" si="59"/>
        <v>0</v>
      </c>
      <c r="AP166" s="7">
        <f t="shared" si="60"/>
        <v>0</v>
      </c>
      <c r="AQ166" s="5">
        <v>1</v>
      </c>
      <c r="AR166" s="7">
        <f t="shared" si="61"/>
        <v>5</v>
      </c>
      <c r="AS166" s="5">
        <v>1</v>
      </c>
      <c r="AT166" s="5">
        <v>1</v>
      </c>
      <c r="AU166" s="5">
        <v>1</v>
      </c>
      <c r="AV166" s="5">
        <f t="shared" si="62"/>
        <v>1</v>
      </c>
      <c r="AW166" s="5">
        <v>1</v>
      </c>
      <c r="AX166" s="4">
        <f t="shared" si="63"/>
        <v>0</v>
      </c>
      <c r="AY166" s="4">
        <f t="shared" si="64"/>
        <v>0</v>
      </c>
      <c r="AZ166" s="4">
        <f t="shared" si="72"/>
        <v>0</v>
      </c>
      <c r="BA166" s="7"/>
    </row>
    <row r="167" spans="1:53" ht="12.75" customHeight="1">
      <c r="A167" t="s">
        <v>300</v>
      </c>
      <c r="B167" t="s">
        <v>301</v>
      </c>
      <c r="C167" t="s">
        <v>159</v>
      </c>
      <c r="D167" s="11">
        <v>1</v>
      </c>
      <c r="E167">
        <v>4.74</v>
      </c>
      <c r="F167">
        <v>12.17</v>
      </c>
      <c r="G167" s="5">
        <f t="shared" si="66"/>
        <v>61.051766639276913</v>
      </c>
      <c r="H167">
        <v>39.11</v>
      </c>
      <c r="I167">
        <v>7.22</v>
      </c>
      <c r="J167">
        <v>7.5</v>
      </c>
      <c r="K167">
        <v>4.32</v>
      </c>
      <c r="L167">
        <v>88.16</v>
      </c>
      <c r="M167">
        <v>10.45</v>
      </c>
      <c r="N167">
        <v>10.89</v>
      </c>
      <c r="O167">
        <v>103.04</v>
      </c>
      <c r="P167" s="5">
        <f t="shared" si="67"/>
        <v>14.271468144044322</v>
      </c>
      <c r="Q167">
        <v>16.22</v>
      </c>
      <c r="R167" s="2">
        <v>6.42</v>
      </c>
      <c r="S167" s="6">
        <v>0</v>
      </c>
      <c r="T167">
        <v>44.03</v>
      </c>
      <c r="U167">
        <v>0</v>
      </c>
      <c r="V167">
        <v>0</v>
      </c>
      <c r="W167">
        <v>1</v>
      </c>
      <c r="X167">
        <v>22.47</v>
      </c>
      <c r="Y167">
        <v>1.41</v>
      </c>
      <c r="Z167">
        <v>0.84</v>
      </c>
      <c r="AA167" s="5">
        <f t="shared" si="68"/>
        <v>1</v>
      </c>
      <c r="AB167">
        <v>0</v>
      </c>
      <c r="AC167" s="5">
        <f t="shared" si="69"/>
        <v>0</v>
      </c>
      <c r="AD167">
        <v>303.35000000000002</v>
      </c>
      <c r="AE167">
        <v>41.31</v>
      </c>
      <c r="AF167">
        <v>145.86000000000001</v>
      </c>
      <c r="AG167" s="6">
        <f t="shared" si="70"/>
        <v>5.0999999999999996</v>
      </c>
      <c r="AH167" s="5">
        <f t="shared" si="71"/>
        <v>8.1</v>
      </c>
      <c r="AI167" s="5">
        <v>13.27</v>
      </c>
      <c r="AJ167" s="5">
        <f t="shared" si="55"/>
        <v>0.98</v>
      </c>
      <c r="AK167" s="5">
        <f t="shared" si="56"/>
        <v>15.435</v>
      </c>
      <c r="AL167" s="4">
        <f t="shared" si="57"/>
        <v>1</v>
      </c>
      <c r="AM167" s="8" t="str">
        <f t="shared" si="58"/>
        <v>Adon Agro Commodities</v>
      </c>
      <c r="AN167">
        <v>1</v>
      </c>
      <c r="AO167" s="61">
        <f t="shared" si="59"/>
        <v>0</v>
      </c>
      <c r="AP167" s="7">
        <f t="shared" si="60"/>
        <v>3</v>
      </c>
      <c r="AQ167" s="5">
        <v>1</v>
      </c>
      <c r="AR167" s="7">
        <f t="shared" si="61"/>
        <v>5</v>
      </c>
      <c r="AS167" s="5">
        <v>1</v>
      </c>
      <c r="AT167" s="5">
        <v>1</v>
      </c>
      <c r="AU167" s="5">
        <v>1</v>
      </c>
      <c r="AV167" s="5">
        <f t="shared" si="62"/>
        <v>1</v>
      </c>
      <c r="AW167" s="5">
        <v>1</v>
      </c>
      <c r="AX167" s="4">
        <f t="shared" si="63"/>
        <v>0</v>
      </c>
      <c r="AY167" s="4">
        <f t="shared" si="64"/>
        <v>0</v>
      </c>
      <c r="AZ167" s="4">
        <f t="shared" si="72"/>
        <v>0</v>
      </c>
      <c r="BA167" s="7"/>
    </row>
    <row r="168" spans="1:53" ht="12.75" customHeight="1">
      <c r="A168" t="s">
        <v>302</v>
      </c>
      <c r="B168" t="s">
        <v>303</v>
      </c>
      <c r="C168" t="s">
        <v>159</v>
      </c>
      <c r="D168" s="11">
        <v>1</v>
      </c>
      <c r="E168">
        <v>0.01</v>
      </c>
      <c r="F168">
        <v>11.13</v>
      </c>
      <c r="G168" s="5">
        <f t="shared" si="66"/>
        <v>99.910152740341417</v>
      </c>
      <c r="H168">
        <v>15.58</v>
      </c>
      <c r="I168">
        <v>3.81</v>
      </c>
      <c r="J168">
        <v>16.73</v>
      </c>
      <c r="K168">
        <v>7.53</v>
      </c>
      <c r="L168">
        <v>34.950000000000003</v>
      </c>
      <c r="M168">
        <v>5.51</v>
      </c>
      <c r="N168">
        <v>24.73</v>
      </c>
      <c r="O168">
        <v>21.15</v>
      </c>
      <c r="P168" s="5">
        <f t="shared" si="67"/>
        <v>5.5511811023622046</v>
      </c>
      <c r="Q168">
        <v>17.940000000000001</v>
      </c>
      <c r="R168" s="2">
        <v>24.4</v>
      </c>
      <c r="S168" s="6">
        <v>0</v>
      </c>
      <c r="T168">
        <v>39.69</v>
      </c>
      <c r="U168">
        <v>0</v>
      </c>
      <c r="V168">
        <v>1</v>
      </c>
      <c r="W168">
        <v>1</v>
      </c>
      <c r="X168">
        <v>145.82</v>
      </c>
      <c r="Y168">
        <v>324.64</v>
      </c>
      <c r="Z168">
        <v>218.48</v>
      </c>
      <c r="AA168" s="5">
        <f t="shared" si="68"/>
        <v>1</v>
      </c>
      <c r="AB168">
        <v>0</v>
      </c>
      <c r="AC168" s="5">
        <f t="shared" si="69"/>
        <v>0</v>
      </c>
      <c r="AD168">
        <v>19.059999999999999</v>
      </c>
      <c r="AE168">
        <v>59.26</v>
      </c>
      <c r="AF168">
        <v>69.66</v>
      </c>
      <c r="AG168" s="6">
        <f t="shared" si="70"/>
        <v>6.6</v>
      </c>
      <c r="AH168" s="5">
        <f t="shared" si="71"/>
        <v>9.6</v>
      </c>
      <c r="AI168" s="5">
        <v>13.27</v>
      </c>
      <c r="AJ168" s="5">
        <f t="shared" si="55"/>
        <v>0.98</v>
      </c>
      <c r="AK168" s="5">
        <f t="shared" si="56"/>
        <v>18.154499999999999</v>
      </c>
      <c r="AL168" s="4">
        <f t="shared" si="57"/>
        <v>1</v>
      </c>
      <c r="AM168" s="8" t="str">
        <f t="shared" si="58"/>
        <v>Kratikal Tech  Price,</v>
      </c>
      <c r="AN168" s="96">
        <v>2</v>
      </c>
      <c r="AO168" s="61">
        <f t="shared" si="59"/>
        <v>0</v>
      </c>
      <c r="AP168" s="7">
        <f t="shared" si="60"/>
        <v>1</v>
      </c>
      <c r="AQ168" s="5">
        <v>0.95</v>
      </c>
      <c r="AR168" s="7">
        <f t="shared" si="61"/>
        <v>5</v>
      </c>
      <c r="AS168" s="5">
        <v>1</v>
      </c>
      <c r="AT168" s="5">
        <v>1</v>
      </c>
      <c r="AU168" s="5">
        <v>1</v>
      </c>
      <c r="AV168" s="5">
        <f t="shared" si="62"/>
        <v>1</v>
      </c>
      <c r="AW168" s="5">
        <v>1</v>
      </c>
      <c r="AX168" s="4">
        <f t="shared" si="63"/>
        <v>0</v>
      </c>
      <c r="AY168" s="4">
        <f t="shared" si="64"/>
        <v>0</v>
      </c>
      <c r="AZ168" s="4">
        <f t="shared" si="72"/>
        <v>0</v>
      </c>
      <c r="BA168" s="7"/>
    </row>
    <row r="169" spans="1:53" ht="12.75" customHeight="1">
      <c r="A169" t="s">
        <v>304</v>
      </c>
      <c r="B169" t="s">
        <v>305</v>
      </c>
      <c r="C169" t="s">
        <v>159</v>
      </c>
      <c r="D169">
        <v>0</v>
      </c>
      <c r="E169">
        <v>3.04</v>
      </c>
      <c r="F169">
        <v>4.5999999999999996</v>
      </c>
      <c r="G169" s="5">
        <f t="shared" si="66"/>
        <v>33.913043478260867</v>
      </c>
      <c r="H169">
        <v>13.34</v>
      </c>
      <c r="I169">
        <v>3.9</v>
      </c>
      <c r="J169">
        <v>9.1199999999999992</v>
      </c>
      <c r="K169">
        <v>9.73</v>
      </c>
      <c r="L169">
        <v>52.61</v>
      </c>
      <c r="M169">
        <v>5.72</v>
      </c>
      <c r="N169">
        <v>13.6</v>
      </c>
      <c r="O169">
        <v>60.63</v>
      </c>
      <c r="P169" s="5">
        <f t="shared" si="67"/>
        <v>15.546153846153848</v>
      </c>
      <c r="Q169">
        <v>16.239999999999998</v>
      </c>
      <c r="R169" s="2">
        <v>14.31</v>
      </c>
      <c r="S169" s="6">
        <v>0</v>
      </c>
      <c r="T169">
        <v>34.130000000000003</v>
      </c>
      <c r="U169">
        <v>0</v>
      </c>
      <c r="V169">
        <v>0</v>
      </c>
      <c r="W169">
        <v>0</v>
      </c>
      <c r="X169">
        <v>1</v>
      </c>
      <c r="Y169">
        <v>0.8</v>
      </c>
      <c r="Z169">
        <v>2.1800000000000002</v>
      </c>
      <c r="AA169" s="5">
        <f t="shared" si="68"/>
        <v>-0.7</v>
      </c>
      <c r="AC169" s="5">
        <f t="shared" si="69"/>
        <v>0</v>
      </c>
      <c r="AD169">
        <v>441.67</v>
      </c>
      <c r="AE169">
        <v>112.07</v>
      </c>
      <c r="AF169">
        <v>557.14</v>
      </c>
      <c r="AG169" s="6">
        <f t="shared" si="70"/>
        <v>2.2000000000000002</v>
      </c>
      <c r="AH169" s="5">
        <f t="shared" si="71"/>
        <v>1.5000000000000002</v>
      </c>
      <c r="AI169" s="5">
        <v>13.27</v>
      </c>
      <c r="AJ169" s="5">
        <f t="shared" si="55"/>
        <v>0.98</v>
      </c>
      <c r="AK169" s="5">
        <f t="shared" si="56"/>
        <v>4.7040000000000006</v>
      </c>
      <c r="AL169" s="4">
        <f t="shared" si="57"/>
        <v>0</v>
      </c>
      <c r="AM169" s="8" t="str">
        <f t="shared" si="58"/>
        <v xml:space="preserve">Vinit Mobile  Price, </v>
      </c>
      <c r="AN169" s="96">
        <v>2</v>
      </c>
      <c r="AO169" s="61">
        <f t="shared" si="59"/>
        <v>0</v>
      </c>
      <c r="AP169" s="7">
        <f t="shared" si="60"/>
        <v>0</v>
      </c>
      <c r="AQ169" s="5">
        <v>1</v>
      </c>
      <c r="AR169" s="7">
        <f t="shared" si="61"/>
        <v>5</v>
      </c>
      <c r="AS169" s="5">
        <v>1</v>
      </c>
      <c r="AT169" s="5">
        <v>1</v>
      </c>
      <c r="AU169" s="5">
        <v>1</v>
      </c>
      <c r="AV169" s="5">
        <f t="shared" si="62"/>
        <v>1</v>
      </c>
      <c r="AW169" s="5">
        <v>1</v>
      </c>
      <c r="AX169" s="4">
        <f t="shared" si="63"/>
        <v>0</v>
      </c>
      <c r="AY169" s="4">
        <f t="shared" si="64"/>
        <v>0</v>
      </c>
      <c r="AZ169" s="4">
        <f t="shared" si="72"/>
        <v>0</v>
      </c>
      <c r="BA169" s="7"/>
    </row>
    <row r="170" spans="1:53" ht="12.75" customHeight="1">
      <c r="A170" t="s">
        <v>306</v>
      </c>
      <c r="B170" t="s">
        <v>307</v>
      </c>
      <c r="C170" t="s">
        <v>159</v>
      </c>
      <c r="D170" s="11">
        <v>1</v>
      </c>
      <c r="E170">
        <v>33.549999999999997</v>
      </c>
      <c r="F170">
        <v>37.61</v>
      </c>
      <c r="G170" s="5">
        <f t="shared" si="66"/>
        <v>10.795001329433667</v>
      </c>
      <c r="H170">
        <v>110.45</v>
      </c>
      <c r="I170">
        <v>8.76</v>
      </c>
      <c r="J170">
        <v>4.1399999999999997</v>
      </c>
      <c r="K170">
        <v>9.7100000000000009</v>
      </c>
      <c r="L170">
        <v>14.39</v>
      </c>
      <c r="M170">
        <v>16.16</v>
      </c>
      <c r="N170">
        <v>8.48</v>
      </c>
      <c r="O170">
        <v>201.62</v>
      </c>
      <c r="P170" s="5">
        <f t="shared" si="67"/>
        <v>23.015981735159819</v>
      </c>
      <c r="Q170">
        <v>8.65</v>
      </c>
      <c r="R170" s="2">
        <v>12.22</v>
      </c>
      <c r="S170" s="6">
        <v>0</v>
      </c>
      <c r="T170">
        <v>27.22</v>
      </c>
      <c r="U170">
        <v>0</v>
      </c>
      <c r="V170">
        <v>1</v>
      </c>
      <c r="W170">
        <v>1</v>
      </c>
      <c r="X170">
        <v>1.55</v>
      </c>
      <c r="Y170">
        <v>10.11</v>
      </c>
      <c r="Z170">
        <v>4.6500000000000004</v>
      </c>
      <c r="AA170" s="5">
        <f t="shared" si="68"/>
        <v>0</v>
      </c>
      <c r="AB170">
        <v>0</v>
      </c>
      <c r="AC170" s="5">
        <f t="shared" si="69"/>
        <v>0</v>
      </c>
      <c r="AD170">
        <v>37.520000000000003</v>
      </c>
      <c r="AE170">
        <v>10.4</v>
      </c>
      <c r="AF170">
        <v>30.36</v>
      </c>
      <c r="AG170" s="6">
        <f t="shared" si="70"/>
        <v>3.2</v>
      </c>
      <c r="AH170" s="5">
        <f t="shared" si="71"/>
        <v>5.2</v>
      </c>
      <c r="AI170" s="5">
        <v>13.27</v>
      </c>
      <c r="AJ170" s="5">
        <f t="shared" si="55"/>
        <v>0.98</v>
      </c>
      <c r="AK170" s="5">
        <f t="shared" si="56"/>
        <v>9.8000000000000007</v>
      </c>
      <c r="AL170" s="4">
        <f t="shared" si="57"/>
        <v>1</v>
      </c>
      <c r="AM170" s="8" t="str">
        <f t="shared" si="58"/>
        <v>Sampark India Logisti</v>
      </c>
      <c r="AN170" s="96">
        <v>2</v>
      </c>
      <c r="AO170" s="61">
        <f t="shared" si="59"/>
        <v>0</v>
      </c>
      <c r="AP170" s="7">
        <f t="shared" si="60"/>
        <v>0</v>
      </c>
      <c r="AQ170" s="5">
        <v>1</v>
      </c>
      <c r="AR170" s="7">
        <f t="shared" si="61"/>
        <v>5</v>
      </c>
      <c r="AS170" s="5">
        <v>1</v>
      </c>
      <c r="AT170" s="5">
        <v>1</v>
      </c>
      <c r="AU170" s="5">
        <v>1</v>
      </c>
      <c r="AV170" s="5">
        <f t="shared" si="62"/>
        <v>1</v>
      </c>
      <c r="AW170" s="5">
        <v>1</v>
      </c>
      <c r="AX170" s="4">
        <f t="shared" si="63"/>
        <v>0</v>
      </c>
      <c r="AY170" s="4">
        <f t="shared" si="64"/>
        <v>0</v>
      </c>
      <c r="AZ170" s="4">
        <f t="shared" si="72"/>
        <v>0</v>
      </c>
      <c r="BA170" s="7"/>
    </row>
    <row r="171" spans="1:53" ht="12.75" customHeight="1">
      <c r="A171" t="s">
        <v>308</v>
      </c>
      <c r="B171" t="s">
        <v>309</v>
      </c>
      <c r="C171" t="s">
        <v>159</v>
      </c>
      <c r="D171">
        <v>0</v>
      </c>
      <c r="E171">
        <v>9.68</v>
      </c>
      <c r="F171">
        <v>5.72</v>
      </c>
      <c r="G171" s="5">
        <f t="shared" si="66"/>
        <v>-69.230769230769241</v>
      </c>
      <c r="H171">
        <v>18.46</v>
      </c>
      <c r="I171">
        <v>2.2400000000000002</v>
      </c>
      <c r="J171">
        <v>19.52</v>
      </c>
      <c r="K171">
        <v>7.46</v>
      </c>
      <c r="L171">
        <v>32.799999999999997</v>
      </c>
      <c r="M171">
        <v>4.8499999999999996</v>
      </c>
      <c r="N171">
        <v>30.55</v>
      </c>
      <c r="O171">
        <v>14.46</v>
      </c>
      <c r="P171" s="5">
        <f t="shared" si="67"/>
        <v>6.4553571428571423</v>
      </c>
      <c r="Q171">
        <v>18.91</v>
      </c>
      <c r="R171" s="2">
        <v>20.74</v>
      </c>
      <c r="S171" s="6">
        <v>0</v>
      </c>
      <c r="T171">
        <v>19.739999999999998</v>
      </c>
      <c r="U171">
        <v>0</v>
      </c>
      <c r="V171">
        <v>0</v>
      </c>
      <c r="W171">
        <v>1</v>
      </c>
      <c r="X171">
        <v>17.190000000000001</v>
      </c>
      <c r="Y171">
        <v>4.08</v>
      </c>
      <c r="Z171">
        <v>1.52</v>
      </c>
      <c r="AA171" s="5">
        <f t="shared" si="68"/>
        <v>1</v>
      </c>
      <c r="AB171">
        <v>0</v>
      </c>
      <c r="AC171" s="5">
        <f t="shared" si="69"/>
        <v>0</v>
      </c>
      <c r="AD171">
        <v>56.64</v>
      </c>
      <c r="AE171">
        <v>26.73</v>
      </c>
      <c r="AF171">
        <v>64.37</v>
      </c>
      <c r="AG171" s="6">
        <f t="shared" si="70"/>
        <v>2.5</v>
      </c>
      <c r="AH171" s="5">
        <f t="shared" si="71"/>
        <v>5.5</v>
      </c>
      <c r="AI171" s="5">
        <v>13.27</v>
      </c>
      <c r="AJ171" s="5">
        <f t="shared" si="55"/>
        <v>0.98</v>
      </c>
      <c r="AK171" s="5">
        <f t="shared" si="56"/>
        <v>9.0649999999999995</v>
      </c>
      <c r="AL171" s="4">
        <f t="shared" si="57"/>
        <v>0</v>
      </c>
      <c r="AM171" s="8" t="str">
        <f t="shared" si="58"/>
        <v>Seemax Resources  Pri</v>
      </c>
      <c r="AN171" s="96">
        <v>2</v>
      </c>
      <c r="AO171" s="61">
        <f t="shared" si="59"/>
        <v>0</v>
      </c>
      <c r="AP171" s="7">
        <f t="shared" si="60"/>
        <v>0</v>
      </c>
      <c r="AQ171" s="5">
        <v>1</v>
      </c>
      <c r="AR171" s="7">
        <f t="shared" si="61"/>
        <v>5</v>
      </c>
      <c r="AS171" s="5">
        <v>1</v>
      </c>
      <c r="AT171" s="5">
        <v>1</v>
      </c>
      <c r="AU171" s="5">
        <v>1</v>
      </c>
      <c r="AV171" s="5">
        <f t="shared" si="62"/>
        <v>1</v>
      </c>
      <c r="AW171" s="5">
        <v>1</v>
      </c>
      <c r="AX171" s="4">
        <f t="shared" si="63"/>
        <v>0</v>
      </c>
      <c r="AY171" s="4">
        <f t="shared" si="64"/>
        <v>0</v>
      </c>
      <c r="AZ171" s="4">
        <f t="shared" si="72"/>
        <v>0</v>
      </c>
      <c r="BA171" s="7"/>
    </row>
    <row r="172" spans="1:53" ht="12.75" customHeight="1">
      <c r="A172" t="s">
        <v>310</v>
      </c>
      <c r="B172" t="s">
        <v>311</v>
      </c>
      <c r="C172" t="s">
        <v>159</v>
      </c>
      <c r="D172" s="11">
        <v>1</v>
      </c>
      <c r="E172">
        <v>7.91</v>
      </c>
      <c r="F172">
        <v>13.01</v>
      </c>
      <c r="G172" s="5">
        <f t="shared" si="66"/>
        <v>39.200614911606451</v>
      </c>
      <c r="H172">
        <v>30.88</v>
      </c>
      <c r="I172">
        <v>5.29</v>
      </c>
      <c r="J172">
        <v>11.14</v>
      </c>
      <c r="K172">
        <v>4.28</v>
      </c>
      <c r="L172">
        <v>30.74</v>
      </c>
      <c r="M172">
        <v>9.19</v>
      </c>
      <c r="N172">
        <v>19.71</v>
      </c>
      <c r="O172">
        <v>49.06</v>
      </c>
      <c r="P172" s="5">
        <f t="shared" si="67"/>
        <v>9.2741020793950852</v>
      </c>
      <c r="Q172">
        <v>14.02</v>
      </c>
      <c r="R172" s="2">
        <v>17.829999999999998</v>
      </c>
      <c r="S172" s="6">
        <v>0</v>
      </c>
      <c r="T172">
        <v>27</v>
      </c>
      <c r="U172">
        <v>0</v>
      </c>
      <c r="V172">
        <v>1</v>
      </c>
      <c r="W172">
        <v>1</v>
      </c>
      <c r="X172">
        <v>3.58</v>
      </c>
      <c r="Y172">
        <v>18.91</v>
      </c>
      <c r="Z172">
        <v>11.32</v>
      </c>
      <c r="AA172" s="5">
        <f t="shared" si="68"/>
        <v>0</v>
      </c>
      <c r="AB172">
        <v>0</v>
      </c>
      <c r="AC172" s="5">
        <f t="shared" si="69"/>
        <v>0</v>
      </c>
      <c r="AD172">
        <v>164.5</v>
      </c>
      <c r="AE172">
        <v>13.85</v>
      </c>
      <c r="AF172">
        <v>68.52</v>
      </c>
      <c r="AG172" s="6">
        <f t="shared" si="70"/>
        <v>5.9</v>
      </c>
      <c r="AH172" s="5">
        <f t="shared" si="71"/>
        <v>7.9</v>
      </c>
      <c r="AI172" s="5">
        <v>13.27</v>
      </c>
      <c r="AJ172" s="5">
        <f t="shared" si="55"/>
        <v>0.98</v>
      </c>
      <c r="AK172" s="5">
        <f t="shared" si="56"/>
        <v>16.414999999999999</v>
      </c>
      <c r="AL172" s="4">
        <f t="shared" si="57"/>
        <v>1</v>
      </c>
      <c r="AM172" s="8" t="str">
        <f t="shared" si="58"/>
        <v>Atharva Polyplast  Pr</v>
      </c>
      <c r="AN172" s="96">
        <v>2</v>
      </c>
      <c r="AO172" s="61">
        <f t="shared" si="59"/>
        <v>1</v>
      </c>
      <c r="AP172" s="7">
        <f t="shared" si="60"/>
        <v>2</v>
      </c>
      <c r="AQ172" s="5">
        <v>1</v>
      </c>
      <c r="AR172" s="7">
        <f t="shared" si="61"/>
        <v>1</v>
      </c>
      <c r="AS172" s="5">
        <v>1</v>
      </c>
      <c r="AT172" s="5">
        <v>1</v>
      </c>
      <c r="AU172" s="5">
        <v>1</v>
      </c>
      <c r="AV172" s="5">
        <f t="shared" si="62"/>
        <v>1</v>
      </c>
      <c r="AW172" s="5">
        <v>1</v>
      </c>
      <c r="AX172" s="4">
        <f t="shared" si="63"/>
        <v>0</v>
      </c>
      <c r="AY172" s="4">
        <f t="shared" si="64"/>
        <v>0</v>
      </c>
      <c r="AZ172" s="4">
        <f t="shared" si="72"/>
        <v>0</v>
      </c>
      <c r="BA172" s="7"/>
    </row>
    <row r="173" spans="1:53" ht="12.75" customHeight="1">
      <c r="A173" t="s">
        <v>312</v>
      </c>
      <c r="B173" t="s">
        <v>313</v>
      </c>
      <c r="C173" t="s">
        <v>159</v>
      </c>
      <c r="D173">
        <v>1</v>
      </c>
      <c r="E173">
        <v>12.85</v>
      </c>
      <c r="F173">
        <v>12.61</v>
      </c>
      <c r="G173" s="5">
        <f t="shared" si="66"/>
        <v>-1.9032513877874719</v>
      </c>
      <c r="H173">
        <v>33.090000000000003</v>
      </c>
      <c r="I173">
        <v>4.0199999999999996</v>
      </c>
      <c r="J173">
        <v>7.37</v>
      </c>
      <c r="K173">
        <v>8.51</v>
      </c>
      <c r="L173">
        <v>32.94</v>
      </c>
      <c r="M173">
        <v>6.86</v>
      </c>
      <c r="N173">
        <v>13.02</v>
      </c>
      <c r="O173">
        <v>55.23</v>
      </c>
      <c r="P173" s="5">
        <f t="shared" si="67"/>
        <v>13.738805970149254</v>
      </c>
      <c r="Q173">
        <v>25.85</v>
      </c>
      <c r="R173" s="2">
        <v>26.44</v>
      </c>
      <c r="S173" s="6">
        <v>0</v>
      </c>
      <c r="T173">
        <v>37.36</v>
      </c>
      <c r="U173">
        <v>0</v>
      </c>
      <c r="V173">
        <v>0</v>
      </c>
      <c r="W173">
        <v>1</v>
      </c>
      <c r="X173">
        <v>0</v>
      </c>
      <c r="Y173">
        <v>1.81</v>
      </c>
      <c r="Z173">
        <v>0.32</v>
      </c>
      <c r="AA173" s="5">
        <f t="shared" si="68"/>
        <v>0</v>
      </c>
      <c r="AB173">
        <v>0</v>
      </c>
      <c r="AC173" s="5">
        <f t="shared" si="69"/>
        <v>0</v>
      </c>
      <c r="AD173">
        <v>86.11</v>
      </c>
      <c r="AE173">
        <v>74.67</v>
      </c>
      <c r="AF173">
        <v>89.62</v>
      </c>
      <c r="AG173" s="6">
        <f t="shared" si="70"/>
        <v>2.5</v>
      </c>
      <c r="AH173" s="5">
        <f t="shared" si="71"/>
        <v>3.5</v>
      </c>
      <c r="AI173" s="5">
        <v>13.27</v>
      </c>
      <c r="AJ173" s="5">
        <f t="shared" si="55"/>
        <v>0.98</v>
      </c>
      <c r="AK173" s="5">
        <f t="shared" si="56"/>
        <v>7.1049999999999995</v>
      </c>
      <c r="AL173" s="4">
        <f t="shared" si="57"/>
        <v>1</v>
      </c>
      <c r="AM173" s="8" t="str">
        <f t="shared" si="58"/>
        <v>Teja Engineering Indu</v>
      </c>
      <c r="AN173">
        <v>2</v>
      </c>
      <c r="AO173" s="61">
        <f t="shared" si="59"/>
        <v>0</v>
      </c>
      <c r="AP173" s="7">
        <f t="shared" si="60"/>
        <v>0</v>
      </c>
      <c r="AQ173" s="5">
        <v>1</v>
      </c>
      <c r="AR173" s="7">
        <f t="shared" si="61"/>
        <v>5</v>
      </c>
      <c r="AS173" s="5">
        <v>1</v>
      </c>
      <c r="AT173" s="5">
        <v>1</v>
      </c>
      <c r="AU173" s="5">
        <v>1</v>
      </c>
      <c r="AV173" s="5">
        <f t="shared" si="62"/>
        <v>1</v>
      </c>
      <c r="AW173" s="5">
        <v>1</v>
      </c>
      <c r="AX173" s="4">
        <f t="shared" si="63"/>
        <v>0</v>
      </c>
      <c r="AY173" s="4">
        <f t="shared" si="64"/>
        <v>0</v>
      </c>
      <c r="AZ173" s="4">
        <f t="shared" si="72"/>
        <v>0</v>
      </c>
      <c r="BA173" s="7"/>
    </row>
    <row r="174" spans="1:53" ht="12.75" customHeight="1">
      <c r="A174" t="s">
        <v>314</v>
      </c>
      <c r="B174" t="s">
        <v>315</v>
      </c>
      <c r="C174" t="s">
        <v>159</v>
      </c>
      <c r="D174" s="11">
        <v>1</v>
      </c>
      <c r="E174">
        <v>55.79</v>
      </c>
      <c r="F174">
        <v>51.71</v>
      </c>
      <c r="G174" s="5">
        <f t="shared" si="66"/>
        <v>-7.8901566428156995</v>
      </c>
      <c r="H174">
        <v>160.04</v>
      </c>
      <c r="I174">
        <v>9.41</v>
      </c>
      <c r="J174">
        <v>9.84</v>
      </c>
      <c r="K174">
        <v>10.5</v>
      </c>
      <c r="L174">
        <v>23.88</v>
      </c>
      <c r="M174">
        <v>18.34</v>
      </c>
      <c r="N174">
        <v>17.829999999999998</v>
      </c>
      <c r="O174">
        <v>122.39</v>
      </c>
      <c r="P174" s="5">
        <f t="shared" si="67"/>
        <v>13.006376195536664</v>
      </c>
      <c r="Q174">
        <v>9.42</v>
      </c>
      <c r="R174" s="2">
        <v>12.82</v>
      </c>
      <c r="S174" s="6">
        <v>0</v>
      </c>
      <c r="T174">
        <v>47.91</v>
      </c>
      <c r="U174">
        <v>0</v>
      </c>
      <c r="V174">
        <v>1</v>
      </c>
      <c r="W174">
        <v>1</v>
      </c>
      <c r="X174">
        <v>241.75</v>
      </c>
      <c r="Y174">
        <v>764.38</v>
      </c>
      <c r="Z174">
        <v>372.51</v>
      </c>
      <c r="AA174" s="5">
        <f t="shared" si="68"/>
        <v>1</v>
      </c>
      <c r="AB174">
        <v>0</v>
      </c>
      <c r="AC174" s="5">
        <f t="shared" si="69"/>
        <v>0</v>
      </c>
      <c r="AD174">
        <v>103.68</v>
      </c>
      <c r="AE174">
        <v>22.7</v>
      </c>
      <c r="AF174">
        <v>55.66</v>
      </c>
      <c r="AG174" s="6">
        <f t="shared" si="70"/>
        <v>4.5</v>
      </c>
      <c r="AH174" s="5">
        <f t="shared" si="71"/>
        <v>7.5</v>
      </c>
      <c r="AI174" s="5">
        <v>13.27</v>
      </c>
      <c r="AJ174" s="5">
        <f t="shared" si="55"/>
        <v>0.98</v>
      </c>
      <c r="AK174" s="5">
        <f t="shared" si="56"/>
        <v>13.965</v>
      </c>
      <c r="AL174" s="4">
        <f t="shared" si="57"/>
        <v>1</v>
      </c>
      <c r="AM174" s="8" t="str">
        <f t="shared" si="58"/>
        <v>IC Electricals  Price</v>
      </c>
      <c r="AN174">
        <v>7</v>
      </c>
      <c r="AO174" s="61">
        <f t="shared" si="59"/>
        <v>0</v>
      </c>
      <c r="AP174" s="7">
        <f t="shared" si="60"/>
        <v>0</v>
      </c>
      <c r="AQ174" s="5">
        <v>1</v>
      </c>
      <c r="AR174" s="7">
        <f t="shared" si="61"/>
        <v>5</v>
      </c>
      <c r="AS174" s="5">
        <v>1</v>
      </c>
      <c r="AT174" s="5">
        <v>1</v>
      </c>
      <c r="AU174" s="5">
        <v>1</v>
      </c>
      <c r="AV174" s="5">
        <f t="shared" si="62"/>
        <v>1</v>
      </c>
      <c r="AW174" s="5">
        <v>1</v>
      </c>
      <c r="AX174" s="4">
        <f t="shared" si="63"/>
        <v>0</v>
      </c>
      <c r="AY174" s="4">
        <f t="shared" si="64"/>
        <v>0</v>
      </c>
      <c r="AZ174" s="4">
        <f t="shared" si="72"/>
        <v>0</v>
      </c>
      <c r="BA174" s="7"/>
    </row>
    <row r="175" spans="1:53" ht="12.75" customHeight="1">
      <c r="A175" t="s">
        <v>316</v>
      </c>
      <c r="B175" t="s">
        <v>317</v>
      </c>
      <c r="C175" t="s">
        <v>159</v>
      </c>
      <c r="D175">
        <v>1</v>
      </c>
      <c r="E175">
        <v>2.78</v>
      </c>
      <c r="F175">
        <v>20.98</v>
      </c>
      <c r="G175" s="5">
        <f t="shared" si="66"/>
        <v>86.749285033365112</v>
      </c>
      <c r="H175">
        <v>27.38</v>
      </c>
      <c r="I175">
        <v>7.67</v>
      </c>
      <c r="J175">
        <v>0</v>
      </c>
      <c r="K175">
        <v>12.22</v>
      </c>
      <c r="L175">
        <v>45.97</v>
      </c>
      <c r="M175">
        <v>10.93</v>
      </c>
      <c r="N175">
        <v>29.49</v>
      </c>
      <c r="O175">
        <v>53.54</v>
      </c>
      <c r="P175" s="5">
        <f t="shared" si="67"/>
        <v>6.9804432855280316</v>
      </c>
      <c r="Q175">
        <v>9.66</v>
      </c>
      <c r="R175" s="2">
        <v>12.81</v>
      </c>
      <c r="S175" s="6">
        <v>0</v>
      </c>
      <c r="T175">
        <v>42.34</v>
      </c>
      <c r="U175">
        <v>2.9500000000000028</v>
      </c>
      <c r="V175">
        <v>1</v>
      </c>
      <c r="W175">
        <v>1</v>
      </c>
      <c r="X175">
        <v>168.56</v>
      </c>
      <c r="Y175">
        <v>211.19</v>
      </c>
      <c r="Z175">
        <v>244.08</v>
      </c>
      <c r="AA175" s="5">
        <f t="shared" si="68"/>
        <v>-0.7</v>
      </c>
      <c r="AB175">
        <v>43.22</v>
      </c>
      <c r="AC175" s="5">
        <f t="shared" si="69"/>
        <v>1.7</v>
      </c>
      <c r="AD175">
        <v>87.99</v>
      </c>
      <c r="AE175">
        <v>22.38</v>
      </c>
      <c r="AF175">
        <v>57.04</v>
      </c>
      <c r="AG175" s="6">
        <f t="shared" si="70"/>
        <v>6.6</v>
      </c>
      <c r="AH175" s="5">
        <f t="shared" si="71"/>
        <v>9.6</v>
      </c>
      <c r="AI175" s="5">
        <v>13.27</v>
      </c>
      <c r="AJ175" s="5">
        <f t="shared" si="55"/>
        <v>0.98</v>
      </c>
      <c r="AK175" s="5">
        <f t="shared" si="56"/>
        <v>19.11</v>
      </c>
      <c r="AL175" s="4">
        <f t="shared" si="57"/>
        <v>1</v>
      </c>
      <c r="AM175" s="8" t="str">
        <f t="shared" si="58"/>
        <v>Devson Catalyst  Pric</v>
      </c>
      <c r="AN175" s="96">
        <v>13</v>
      </c>
      <c r="AO175" s="61">
        <f t="shared" si="59"/>
        <v>0</v>
      </c>
      <c r="AP175" s="7">
        <f t="shared" si="60"/>
        <v>1</v>
      </c>
      <c r="AQ175" s="5">
        <v>1</v>
      </c>
      <c r="AR175" s="7">
        <f t="shared" si="61"/>
        <v>5</v>
      </c>
      <c r="AS175" s="5">
        <v>1</v>
      </c>
      <c r="AT175" s="5">
        <v>1</v>
      </c>
      <c r="AU175" s="5">
        <v>1</v>
      </c>
      <c r="AV175" s="5">
        <f t="shared" si="62"/>
        <v>1</v>
      </c>
      <c r="AW175" s="5">
        <v>1</v>
      </c>
      <c r="AX175" s="4">
        <f t="shared" si="63"/>
        <v>0</v>
      </c>
      <c r="AY175" s="4">
        <f t="shared" si="64"/>
        <v>0</v>
      </c>
      <c r="AZ175" s="4">
        <f t="shared" si="72"/>
        <v>0</v>
      </c>
      <c r="BA175" s="7"/>
    </row>
    <row r="176" spans="1:53" ht="12.75" customHeight="1">
      <c r="A176" t="s">
        <v>318</v>
      </c>
      <c r="B176" t="s">
        <v>319</v>
      </c>
      <c r="C176" t="s">
        <v>159</v>
      </c>
      <c r="D176">
        <v>1</v>
      </c>
      <c r="E176">
        <v>34.21</v>
      </c>
      <c r="F176">
        <v>32.880000000000003</v>
      </c>
      <c r="G176" s="5">
        <f t="shared" si="66"/>
        <v>-4.0450121654501165</v>
      </c>
      <c r="H176">
        <v>78.62</v>
      </c>
      <c r="I176">
        <v>2.34</v>
      </c>
      <c r="J176">
        <v>7.5</v>
      </c>
      <c r="K176">
        <v>6.77</v>
      </c>
      <c r="L176">
        <v>19.489999999999998</v>
      </c>
      <c r="M176">
        <v>8.49</v>
      </c>
      <c r="N176">
        <v>16.14</v>
      </c>
      <c r="O176">
        <v>82.52</v>
      </c>
      <c r="P176" s="5">
        <f t="shared" si="67"/>
        <v>35.264957264957268</v>
      </c>
      <c r="Q176">
        <v>9.76</v>
      </c>
      <c r="R176" s="2">
        <v>13.28</v>
      </c>
      <c r="S176" s="6">
        <v>0</v>
      </c>
      <c r="T176">
        <v>25</v>
      </c>
      <c r="U176">
        <v>0</v>
      </c>
      <c r="V176">
        <v>1</v>
      </c>
      <c r="W176">
        <v>1</v>
      </c>
      <c r="X176">
        <v>59.01</v>
      </c>
      <c r="Y176">
        <v>83.26</v>
      </c>
      <c r="Z176">
        <v>73.25</v>
      </c>
      <c r="AA176" s="5">
        <f t="shared" si="68"/>
        <v>1</v>
      </c>
      <c r="AB176">
        <v>18.18</v>
      </c>
      <c r="AC176" s="5">
        <f t="shared" si="69"/>
        <v>1.7</v>
      </c>
      <c r="AD176">
        <v>-50.11</v>
      </c>
      <c r="AE176">
        <v>0.34</v>
      </c>
      <c r="AF176">
        <v>7.66</v>
      </c>
      <c r="AG176" s="6">
        <f t="shared" si="70"/>
        <v>0.5</v>
      </c>
      <c r="AH176" s="5">
        <f t="shared" si="71"/>
        <v>5.2</v>
      </c>
      <c r="AI176" s="5">
        <v>13.27</v>
      </c>
      <c r="AJ176" s="5">
        <f t="shared" si="55"/>
        <v>0.98</v>
      </c>
      <c r="AK176" s="5">
        <f t="shared" si="56"/>
        <v>5.5394500000000004</v>
      </c>
      <c r="AL176" s="4">
        <f t="shared" si="57"/>
        <v>1</v>
      </c>
      <c r="AM176" s="8" t="str">
        <f t="shared" si="58"/>
        <v xml:space="preserve">Happy Steels  Price, </v>
      </c>
      <c r="AN176" s="96">
        <v>13</v>
      </c>
      <c r="AO176" s="61">
        <f t="shared" si="59"/>
        <v>0</v>
      </c>
      <c r="AP176" s="7">
        <f t="shared" si="60"/>
        <v>0</v>
      </c>
      <c r="AQ176" s="5">
        <v>0.95</v>
      </c>
      <c r="AR176" s="7">
        <f t="shared" si="61"/>
        <v>5</v>
      </c>
      <c r="AS176" s="5">
        <v>1</v>
      </c>
      <c r="AT176" s="5">
        <v>1</v>
      </c>
      <c r="AU176" s="5">
        <v>1</v>
      </c>
      <c r="AV176" s="5">
        <f t="shared" si="62"/>
        <v>1</v>
      </c>
      <c r="AW176" s="5">
        <v>1</v>
      </c>
      <c r="AX176" s="4">
        <f t="shared" si="63"/>
        <v>0</v>
      </c>
      <c r="AY176" s="4">
        <f t="shared" si="64"/>
        <v>0</v>
      </c>
      <c r="AZ176" s="4">
        <f t="shared" si="72"/>
        <v>0</v>
      </c>
      <c r="BA176" s="7"/>
    </row>
    <row r="177" spans="1:53" ht="12.75" customHeight="1">
      <c r="A177" t="s">
        <v>320</v>
      </c>
      <c r="B177" t="s">
        <v>321</v>
      </c>
      <c r="C177" t="s">
        <v>159</v>
      </c>
      <c r="D177">
        <v>1</v>
      </c>
      <c r="E177">
        <v>9.6300000000000008</v>
      </c>
      <c r="F177">
        <v>23.31</v>
      </c>
      <c r="G177" s="5">
        <f t="shared" si="66"/>
        <v>58.687258687258684</v>
      </c>
      <c r="H177">
        <v>39.82</v>
      </c>
      <c r="I177">
        <v>5.25</v>
      </c>
      <c r="J177">
        <v>24.91</v>
      </c>
      <c r="K177">
        <v>29.02</v>
      </c>
      <c r="L177">
        <v>69.94</v>
      </c>
      <c r="M177">
        <v>7.89</v>
      </c>
      <c r="N177">
        <v>36.71</v>
      </c>
      <c r="O177">
        <v>22.42</v>
      </c>
      <c r="P177" s="5">
        <f t="shared" si="67"/>
        <v>4.2704761904761908</v>
      </c>
      <c r="Q177">
        <v>11.4</v>
      </c>
      <c r="R177" s="2">
        <v>15.73</v>
      </c>
      <c r="S177" s="6">
        <v>0</v>
      </c>
      <c r="T177">
        <v>160.34</v>
      </c>
      <c r="U177">
        <v>0</v>
      </c>
      <c r="V177">
        <v>1</v>
      </c>
      <c r="W177">
        <v>1</v>
      </c>
      <c r="X177">
        <v>0.22</v>
      </c>
      <c r="Y177">
        <v>68.319999999999993</v>
      </c>
      <c r="Z177">
        <v>71.73</v>
      </c>
      <c r="AA177" s="5">
        <f t="shared" si="68"/>
        <v>-1.7</v>
      </c>
      <c r="AB177">
        <v>90.63</v>
      </c>
      <c r="AC177" s="5">
        <f t="shared" si="69"/>
        <v>1.7</v>
      </c>
      <c r="AD177">
        <v>169.23</v>
      </c>
      <c r="AE177">
        <v>138.51</v>
      </c>
      <c r="AF177">
        <v>900.43</v>
      </c>
      <c r="AG177" s="6">
        <f t="shared" si="70"/>
        <v>6.6</v>
      </c>
      <c r="AH177" s="5">
        <f t="shared" si="71"/>
        <v>7.5999999999999988</v>
      </c>
      <c r="AI177" s="5">
        <v>13.27</v>
      </c>
      <c r="AJ177" s="5">
        <f t="shared" si="55"/>
        <v>0.98</v>
      </c>
      <c r="AK177" s="5">
        <f t="shared" si="56"/>
        <v>16.292499999999993</v>
      </c>
      <c r="AL177" s="4">
        <f t="shared" si="57"/>
        <v>1</v>
      </c>
      <c r="AM177" s="8" t="str">
        <f t="shared" si="58"/>
        <v>Millworks Technologie</v>
      </c>
      <c r="AN177">
        <v>16</v>
      </c>
      <c r="AO177" s="61">
        <f t="shared" si="59"/>
        <v>1</v>
      </c>
      <c r="AP177" s="7">
        <f t="shared" si="60"/>
        <v>1</v>
      </c>
      <c r="AQ177" s="5">
        <v>0.95</v>
      </c>
      <c r="AR177" s="7">
        <f t="shared" si="61"/>
        <v>1</v>
      </c>
      <c r="AS177" s="5">
        <v>1</v>
      </c>
      <c r="AT177" s="5">
        <v>1</v>
      </c>
      <c r="AU177" s="5">
        <v>1</v>
      </c>
      <c r="AV177" s="5">
        <f t="shared" si="62"/>
        <v>1</v>
      </c>
      <c r="AW177" s="5">
        <v>1</v>
      </c>
      <c r="AX177" s="4">
        <f t="shared" si="63"/>
        <v>0</v>
      </c>
      <c r="AY177" s="4">
        <f t="shared" si="64"/>
        <v>0</v>
      </c>
      <c r="AZ177" s="4">
        <f t="shared" si="72"/>
        <v>0</v>
      </c>
      <c r="BA177" s="7"/>
    </row>
    <row r="178" spans="1:53" ht="12.75" customHeight="1">
      <c r="A178" t="s">
        <v>322</v>
      </c>
      <c r="B178" t="s">
        <v>323</v>
      </c>
      <c r="C178" t="s">
        <v>159</v>
      </c>
      <c r="D178">
        <v>1</v>
      </c>
      <c r="E178">
        <v>12.16</v>
      </c>
      <c r="F178">
        <v>50.63</v>
      </c>
      <c r="G178" s="5">
        <f t="shared" si="66"/>
        <v>75.982619000592535</v>
      </c>
      <c r="H178">
        <v>98.68</v>
      </c>
      <c r="I178">
        <v>11.31</v>
      </c>
      <c r="J178">
        <v>14.88</v>
      </c>
      <c r="K178">
        <v>13</v>
      </c>
      <c r="L178">
        <v>26.98</v>
      </c>
      <c r="M178">
        <v>18.46</v>
      </c>
      <c r="N178">
        <v>25.55</v>
      </c>
      <c r="O178">
        <v>94.15</v>
      </c>
      <c r="P178" s="5">
        <f t="shared" si="67"/>
        <v>8.3244916003536691</v>
      </c>
      <c r="Q178">
        <v>14.38</v>
      </c>
      <c r="R178" s="2">
        <v>19.55</v>
      </c>
      <c r="S178" s="6">
        <v>0</v>
      </c>
      <c r="T178">
        <v>89.76</v>
      </c>
      <c r="U178">
        <v>0</v>
      </c>
      <c r="V178">
        <v>1</v>
      </c>
      <c r="W178">
        <v>1</v>
      </c>
      <c r="X178">
        <v>1.67</v>
      </c>
      <c r="Y178">
        <v>4.6900000000000004</v>
      </c>
      <c r="Z178">
        <v>2.93</v>
      </c>
      <c r="AA178" s="5">
        <f t="shared" si="68"/>
        <v>0</v>
      </c>
      <c r="AB178">
        <v>6.95</v>
      </c>
      <c r="AC178" s="5">
        <f t="shared" si="69"/>
        <v>1</v>
      </c>
      <c r="AD178">
        <v>80.959999999999994</v>
      </c>
      <c r="AE178">
        <v>65.55</v>
      </c>
      <c r="AF178">
        <v>130.97999999999999</v>
      </c>
      <c r="AG178" s="6">
        <f t="shared" si="70"/>
        <v>6.6</v>
      </c>
      <c r="AH178" s="5">
        <f t="shared" si="71"/>
        <v>9.6</v>
      </c>
      <c r="AI178" s="5">
        <v>12.98</v>
      </c>
      <c r="AJ178" s="5">
        <f t="shared" si="55"/>
        <v>0.98</v>
      </c>
      <c r="AK178" s="5">
        <f t="shared" si="56"/>
        <v>19.11</v>
      </c>
      <c r="AL178" s="4">
        <f t="shared" si="57"/>
        <v>1</v>
      </c>
      <c r="AM178" s="8" t="str">
        <f t="shared" si="58"/>
        <v>Sotefin Bharat  Price</v>
      </c>
      <c r="AN178">
        <v>20</v>
      </c>
      <c r="AO178" s="61">
        <f t="shared" si="59"/>
        <v>0</v>
      </c>
      <c r="AP178" s="7">
        <f t="shared" si="60"/>
        <v>3</v>
      </c>
      <c r="AQ178" s="5">
        <v>1</v>
      </c>
      <c r="AR178" s="7">
        <f t="shared" si="61"/>
        <v>5</v>
      </c>
      <c r="AS178" s="5">
        <v>1</v>
      </c>
      <c r="AT178" s="5">
        <v>1</v>
      </c>
      <c r="AU178" s="5">
        <v>1</v>
      </c>
      <c r="AV178" s="5">
        <f t="shared" si="62"/>
        <v>1</v>
      </c>
      <c r="AW178" s="5">
        <v>1</v>
      </c>
      <c r="AX178" s="4">
        <f t="shared" si="63"/>
        <v>0</v>
      </c>
      <c r="AY178" s="4">
        <f t="shared" si="64"/>
        <v>0</v>
      </c>
      <c r="AZ178" s="4">
        <f t="shared" si="72"/>
        <v>0</v>
      </c>
      <c r="BA178" s="7"/>
    </row>
    <row r="179" spans="1:53" ht="12.75" customHeight="1">
      <c r="A179" t="s">
        <v>324</v>
      </c>
      <c r="B179" t="s">
        <v>325</v>
      </c>
      <c r="C179" t="s">
        <v>159</v>
      </c>
      <c r="D179">
        <v>0</v>
      </c>
      <c r="E179">
        <v>0</v>
      </c>
      <c r="F179">
        <v>0</v>
      </c>
      <c r="G179" s="5" t="e">
        <f t="shared" si="66"/>
        <v>#DIV/0!</v>
      </c>
      <c r="H179">
        <v>0</v>
      </c>
      <c r="I179">
        <v>0</v>
      </c>
      <c r="J179">
        <v>0</v>
      </c>
      <c r="K179">
        <v>8.76</v>
      </c>
      <c r="L179">
        <v>37.49</v>
      </c>
      <c r="M179">
        <v>0</v>
      </c>
      <c r="N179">
        <v>21.97</v>
      </c>
      <c r="O179">
        <v>0</v>
      </c>
      <c r="P179" s="5" t="e">
        <f t="shared" si="67"/>
        <v>#DIV/0!</v>
      </c>
      <c r="Q179">
        <v>11.41</v>
      </c>
      <c r="R179" s="2">
        <v>15.64</v>
      </c>
      <c r="S179" s="6">
        <v>-0.5</v>
      </c>
      <c r="T179">
        <v>18.190000000000001</v>
      </c>
      <c r="U179">
        <v>0</v>
      </c>
      <c r="V179">
        <v>0</v>
      </c>
      <c r="W179">
        <v>1</v>
      </c>
      <c r="X179">
        <v>0</v>
      </c>
      <c r="Y179">
        <v>2.86</v>
      </c>
      <c r="Z179">
        <v>18.829999999999998</v>
      </c>
      <c r="AA179" s="5">
        <f t="shared" si="68"/>
        <v>-1.7</v>
      </c>
      <c r="AB179">
        <v>0</v>
      </c>
      <c r="AC179" s="5">
        <f t="shared" si="69"/>
        <v>0</v>
      </c>
      <c r="AD179">
        <v>0</v>
      </c>
      <c r="AE179">
        <v>0</v>
      </c>
      <c r="AF179">
        <v>0</v>
      </c>
      <c r="AG179" s="6" t="e">
        <f t="shared" si="70"/>
        <v>#DIV/0!</v>
      </c>
      <c r="AH179" s="5" t="e">
        <f t="shared" si="71"/>
        <v>#DIV/0!</v>
      </c>
      <c r="AI179" s="5">
        <v>12.66</v>
      </c>
      <c r="AJ179" s="5">
        <f t="shared" si="55"/>
        <v>1</v>
      </c>
      <c r="AK179" s="5" t="e">
        <f t="shared" si="56"/>
        <v>#DIV/0!</v>
      </c>
      <c r="AL179" s="4">
        <f t="shared" si="57"/>
        <v>0</v>
      </c>
      <c r="AM179" s="8" t="str">
        <f t="shared" si="58"/>
        <v>Gulf Lloyds  Price, G</v>
      </c>
      <c r="AN179">
        <v>22</v>
      </c>
      <c r="AO179" s="61" t="e">
        <f t="shared" si="59"/>
        <v>#DIV/0!</v>
      </c>
      <c r="AP179" s="7" t="e">
        <f t="shared" si="60"/>
        <v>#DIV/0!</v>
      </c>
      <c r="AQ179" s="5">
        <v>1</v>
      </c>
      <c r="AR179" s="7" t="e">
        <f t="shared" si="61"/>
        <v>#DIV/0!</v>
      </c>
      <c r="AS179" s="5">
        <v>1</v>
      </c>
      <c r="AT179" s="5">
        <v>1</v>
      </c>
      <c r="AU179" s="5">
        <v>1</v>
      </c>
      <c r="AV179" s="5">
        <f t="shared" si="62"/>
        <v>1</v>
      </c>
      <c r="AW179" s="5">
        <v>1</v>
      </c>
      <c r="AX179" s="4">
        <f t="shared" si="63"/>
        <v>0</v>
      </c>
      <c r="AY179" s="4">
        <f t="shared" si="64"/>
        <v>0</v>
      </c>
      <c r="AZ179" s="4">
        <f t="shared" ref="AZ179:AZ210" si="73">IF(AY179&lt;-50,-4,IF(AY179&lt;-20,-2,IF(AY179&lt;0,-1,IF(AY179=0,0,IF(AY179&lt;10,1.5,IF(AY179&lt;20,2,IF(AY179&gt;19,2.5,2.5)))))))</f>
        <v>0</v>
      </c>
      <c r="BA179" s="7"/>
    </row>
    <row r="180" spans="1:53" ht="12.75" customHeight="1">
      <c r="A180" t="s">
        <v>326</v>
      </c>
      <c r="B180" t="s">
        <v>327</v>
      </c>
      <c r="C180" t="s">
        <v>159</v>
      </c>
      <c r="D180">
        <v>1</v>
      </c>
      <c r="E180">
        <v>27.97</v>
      </c>
      <c r="F180">
        <v>17.399999999999999</v>
      </c>
      <c r="G180" s="5">
        <f t="shared" si="66"/>
        <v>-60.747126436781613</v>
      </c>
      <c r="H180">
        <v>65.099999999999994</v>
      </c>
      <c r="I180">
        <v>9.0299999999999994</v>
      </c>
      <c r="J180">
        <v>12.14</v>
      </c>
      <c r="K180">
        <v>7.07</v>
      </c>
      <c r="L180">
        <v>71.87</v>
      </c>
      <c r="M180">
        <v>16.079999999999998</v>
      </c>
      <c r="N180">
        <v>21.62</v>
      </c>
      <c r="O180">
        <v>75.64</v>
      </c>
      <c r="P180" s="5">
        <f t="shared" si="67"/>
        <v>8.3765227021040989</v>
      </c>
      <c r="Q180">
        <v>10.9</v>
      </c>
      <c r="R180" s="2">
        <v>14.94</v>
      </c>
      <c r="S180" s="6">
        <v>-1</v>
      </c>
      <c r="T180">
        <v>49.96</v>
      </c>
      <c r="U180">
        <v>0</v>
      </c>
      <c r="V180">
        <v>1</v>
      </c>
      <c r="W180">
        <v>1</v>
      </c>
      <c r="X180">
        <v>4.58</v>
      </c>
      <c r="Y180">
        <v>9.6</v>
      </c>
      <c r="Z180">
        <v>7</v>
      </c>
      <c r="AA180" s="5">
        <f t="shared" si="68"/>
        <v>1</v>
      </c>
      <c r="AB180">
        <v>10.52</v>
      </c>
      <c r="AC180" s="5">
        <f t="shared" si="69"/>
        <v>1.7</v>
      </c>
      <c r="AD180">
        <v>111.97</v>
      </c>
      <c r="AE180">
        <v>46.87</v>
      </c>
      <c r="AF180">
        <v>125.39</v>
      </c>
      <c r="AG180" s="6">
        <f t="shared" si="70"/>
        <v>3.5</v>
      </c>
      <c r="AH180" s="5">
        <f t="shared" si="71"/>
        <v>8.1999999999999993</v>
      </c>
      <c r="AI180" s="5">
        <v>12.66</v>
      </c>
      <c r="AJ180" s="5">
        <f t="shared" si="55"/>
        <v>1</v>
      </c>
      <c r="AK180" s="5">
        <f t="shared" si="56"/>
        <v>12.777499999999998</v>
      </c>
      <c r="AL180" s="4">
        <f t="shared" si="57"/>
        <v>1</v>
      </c>
      <c r="AM180" s="8" t="str">
        <f t="shared" si="58"/>
        <v xml:space="preserve">Metalic Technoforge  </v>
      </c>
      <c r="AN180">
        <v>23</v>
      </c>
      <c r="AO180" s="61">
        <f t="shared" si="59"/>
        <v>0</v>
      </c>
      <c r="AP180" s="7">
        <f t="shared" si="60"/>
        <v>0</v>
      </c>
      <c r="AQ180" s="5">
        <v>0.95</v>
      </c>
      <c r="AR180" s="7">
        <f t="shared" si="61"/>
        <v>5</v>
      </c>
      <c r="AS180" s="5">
        <v>1</v>
      </c>
      <c r="AT180" s="5">
        <v>1</v>
      </c>
      <c r="AU180" s="5">
        <v>1</v>
      </c>
      <c r="AV180" s="5">
        <f t="shared" si="62"/>
        <v>1</v>
      </c>
      <c r="AW180" s="5">
        <v>1</v>
      </c>
      <c r="AX180" s="4">
        <f t="shared" si="63"/>
        <v>0</v>
      </c>
      <c r="AY180" s="4">
        <f t="shared" si="64"/>
        <v>0</v>
      </c>
      <c r="AZ180" s="4">
        <f t="shared" si="73"/>
        <v>0</v>
      </c>
      <c r="BA180" s="7"/>
    </row>
    <row r="181" spans="1:53" ht="12.75" customHeight="1">
      <c r="A181" t="s">
        <v>328</v>
      </c>
      <c r="B181" t="s">
        <v>329</v>
      </c>
      <c r="C181" t="s">
        <v>159</v>
      </c>
      <c r="D181">
        <v>1</v>
      </c>
      <c r="E181">
        <v>48.75</v>
      </c>
      <c r="F181">
        <v>21.65</v>
      </c>
      <c r="G181" s="5">
        <f t="shared" si="66"/>
        <v>-125.17321016166282</v>
      </c>
      <c r="H181">
        <v>138.88</v>
      </c>
      <c r="I181">
        <v>4.95</v>
      </c>
      <c r="J181">
        <v>0</v>
      </c>
      <c r="K181">
        <v>8.1300000000000008</v>
      </c>
      <c r="L181">
        <v>0</v>
      </c>
      <c r="M181">
        <v>13.2</v>
      </c>
      <c r="N181">
        <v>0</v>
      </c>
      <c r="O181">
        <v>193.44</v>
      </c>
      <c r="P181" s="5">
        <f t="shared" si="67"/>
        <v>39.078787878787878</v>
      </c>
      <c r="Q181">
        <v>8.6199999999999992</v>
      </c>
      <c r="R181" s="2">
        <v>11.84</v>
      </c>
      <c r="S181" s="6">
        <v>-0.5</v>
      </c>
      <c r="T181">
        <v>18.899999999999999</v>
      </c>
      <c r="U181">
        <v>0</v>
      </c>
      <c r="V181">
        <v>1</v>
      </c>
      <c r="W181">
        <v>1</v>
      </c>
      <c r="X181">
        <v>113.55</v>
      </c>
      <c r="Y181">
        <v>193.75</v>
      </c>
      <c r="Z181">
        <v>228.24</v>
      </c>
      <c r="AA181" s="5">
        <f t="shared" si="68"/>
        <v>-0.7</v>
      </c>
      <c r="AB181">
        <v>0</v>
      </c>
      <c r="AC181" s="5">
        <f t="shared" si="69"/>
        <v>0</v>
      </c>
      <c r="AD181">
        <v>101.22</v>
      </c>
      <c r="AE181">
        <v>-1.25</v>
      </c>
      <c r="AF181">
        <v>29.64</v>
      </c>
      <c r="AG181" s="6">
        <f t="shared" si="70"/>
        <v>0</v>
      </c>
      <c r="AH181" s="5">
        <f t="shared" si="71"/>
        <v>1.3</v>
      </c>
      <c r="AI181" s="5">
        <v>12.66</v>
      </c>
      <c r="AJ181" s="5">
        <f t="shared" si="55"/>
        <v>1</v>
      </c>
      <c r="AK181" s="5">
        <f t="shared" si="56"/>
        <v>1.3</v>
      </c>
      <c r="AL181" s="4">
        <f t="shared" si="57"/>
        <v>1</v>
      </c>
      <c r="AM181" s="8" t="str">
        <f t="shared" si="58"/>
        <v>Shree Balaji Mala  Pr</v>
      </c>
      <c r="AN181">
        <v>24</v>
      </c>
      <c r="AO181" s="61">
        <f t="shared" si="59"/>
        <v>0</v>
      </c>
      <c r="AP181" s="7">
        <f t="shared" si="60"/>
        <v>0</v>
      </c>
      <c r="AQ181" s="5">
        <v>1</v>
      </c>
      <c r="AR181" s="7">
        <f t="shared" si="61"/>
        <v>5</v>
      </c>
      <c r="AS181" s="5">
        <v>1</v>
      </c>
      <c r="AT181" s="5">
        <v>1</v>
      </c>
      <c r="AU181" s="5">
        <v>1</v>
      </c>
      <c r="AV181" s="5">
        <f t="shared" si="62"/>
        <v>1</v>
      </c>
      <c r="AW181" s="5">
        <v>1</v>
      </c>
      <c r="AX181" s="4">
        <f t="shared" si="63"/>
        <v>0</v>
      </c>
      <c r="AY181" s="4">
        <f t="shared" si="64"/>
        <v>0</v>
      </c>
      <c r="AZ181" s="4">
        <f t="shared" si="73"/>
        <v>0</v>
      </c>
      <c r="BA181" s="7"/>
    </row>
    <row r="182" spans="1:53" ht="12.75" customHeight="1">
      <c r="A182" t="s">
        <v>330</v>
      </c>
      <c r="B182" t="s">
        <v>331</v>
      </c>
      <c r="C182" t="s">
        <v>159</v>
      </c>
      <c r="D182">
        <v>0</v>
      </c>
      <c r="E182">
        <v>29.95</v>
      </c>
      <c r="F182">
        <v>50.47</v>
      </c>
      <c r="G182" s="5">
        <f t="shared" si="66"/>
        <v>40.657816524668121</v>
      </c>
      <c r="H182">
        <v>151.6</v>
      </c>
      <c r="I182">
        <v>9.7100000000000009</v>
      </c>
      <c r="J182">
        <v>42.59</v>
      </c>
      <c r="K182">
        <v>11.59</v>
      </c>
      <c r="L182">
        <v>30.98</v>
      </c>
      <c r="M182">
        <v>16.559999999999999</v>
      </c>
      <c r="N182">
        <v>67.37</v>
      </c>
      <c r="O182">
        <v>31.64</v>
      </c>
      <c r="P182" s="5">
        <f t="shared" si="67"/>
        <v>3.258496395468589</v>
      </c>
      <c r="Q182">
        <v>11.47</v>
      </c>
      <c r="R182" s="2">
        <v>15.79</v>
      </c>
      <c r="S182" s="6">
        <v>0</v>
      </c>
      <c r="T182">
        <v>82.43</v>
      </c>
      <c r="U182">
        <v>0</v>
      </c>
      <c r="V182">
        <v>1</v>
      </c>
      <c r="W182">
        <v>1</v>
      </c>
      <c r="X182">
        <v>0.99</v>
      </c>
      <c r="Y182">
        <v>1.55</v>
      </c>
      <c r="Z182">
        <v>0.68</v>
      </c>
      <c r="AA182" s="5">
        <f t="shared" si="68"/>
        <v>1</v>
      </c>
      <c r="AB182">
        <v>0</v>
      </c>
      <c r="AC182" s="5">
        <f t="shared" si="69"/>
        <v>0</v>
      </c>
      <c r="AD182">
        <v>901.03</v>
      </c>
      <c r="AE182">
        <v>65.569999999999993</v>
      </c>
      <c r="AF182">
        <v>116.98</v>
      </c>
      <c r="AG182" s="6">
        <f t="shared" si="70"/>
        <v>5.9</v>
      </c>
      <c r="AH182" s="5">
        <f t="shared" si="71"/>
        <v>7.9</v>
      </c>
      <c r="AI182" s="5">
        <v>12.67</v>
      </c>
      <c r="AJ182" s="5">
        <f t="shared" si="55"/>
        <v>1</v>
      </c>
      <c r="AK182" s="5">
        <f t="shared" si="56"/>
        <v>16.75</v>
      </c>
      <c r="AL182" s="4">
        <f t="shared" si="57"/>
        <v>0</v>
      </c>
      <c r="AM182" s="8" t="str">
        <f t="shared" si="58"/>
        <v>Silverstorm Parks &amp;am</v>
      </c>
      <c r="AN182">
        <v>28</v>
      </c>
      <c r="AO182" s="61">
        <f t="shared" si="59"/>
        <v>0</v>
      </c>
      <c r="AP182" s="7">
        <f t="shared" si="60"/>
        <v>3</v>
      </c>
      <c r="AQ182" s="5">
        <v>1</v>
      </c>
      <c r="AR182" s="7">
        <f t="shared" si="61"/>
        <v>5</v>
      </c>
      <c r="AS182" s="5">
        <v>1</v>
      </c>
      <c r="AT182" s="5">
        <v>1</v>
      </c>
      <c r="AU182" s="5">
        <v>1</v>
      </c>
      <c r="AV182" s="5">
        <f t="shared" si="62"/>
        <v>1</v>
      </c>
      <c r="AW182" s="5">
        <v>1</v>
      </c>
      <c r="AX182" s="4">
        <f t="shared" si="63"/>
        <v>0</v>
      </c>
      <c r="AY182" s="4">
        <f t="shared" si="64"/>
        <v>0</v>
      </c>
      <c r="AZ182" s="4">
        <f t="shared" si="73"/>
        <v>0</v>
      </c>
      <c r="BA182" s="7"/>
    </row>
    <row r="183" spans="1:53" ht="12.75" customHeight="1">
      <c r="A183" t="s">
        <v>332</v>
      </c>
      <c r="B183" t="s">
        <v>333</v>
      </c>
      <c r="C183" t="s">
        <v>159</v>
      </c>
      <c r="D183">
        <v>0</v>
      </c>
      <c r="E183">
        <v>0.63</v>
      </c>
      <c r="F183">
        <v>11.32</v>
      </c>
      <c r="G183" s="5">
        <f t="shared" si="66"/>
        <v>94.434628975265014</v>
      </c>
      <c r="H183">
        <v>18.46</v>
      </c>
      <c r="I183">
        <v>6.32</v>
      </c>
      <c r="J183">
        <v>10.81</v>
      </c>
      <c r="K183">
        <v>5.6</v>
      </c>
      <c r="L183">
        <v>44.42</v>
      </c>
      <c r="M183">
        <v>8.5500000000000007</v>
      </c>
      <c r="N183">
        <v>14.93</v>
      </c>
      <c r="O183">
        <v>51.59</v>
      </c>
      <c r="P183" s="5">
        <f t="shared" si="67"/>
        <v>8.162974683544304</v>
      </c>
      <c r="Q183">
        <v>12.32</v>
      </c>
      <c r="R183" s="2">
        <v>14.32</v>
      </c>
      <c r="S183" s="6">
        <v>-0.5</v>
      </c>
      <c r="T183">
        <v>28.57</v>
      </c>
      <c r="U183">
        <v>5.52</v>
      </c>
      <c r="V183">
        <v>0</v>
      </c>
      <c r="W183">
        <v>1</v>
      </c>
      <c r="X183">
        <v>1.22</v>
      </c>
      <c r="Y183">
        <v>0.74</v>
      </c>
      <c r="Z183">
        <v>1.4</v>
      </c>
      <c r="AA183" s="5">
        <f t="shared" si="68"/>
        <v>-0.7</v>
      </c>
      <c r="AB183">
        <v>0</v>
      </c>
      <c r="AC183" s="5">
        <f t="shared" si="69"/>
        <v>0</v>
      </c>
      <c r="AD183">
        <v>188.58</v>
      </c>
      <c r="AE183">
        <v>68.760000000000005</v>
      </c>
      <c r="AF183">
        <v>171.46</v>
      </c>
      <c r="AG183" s="6">
        <f t="shared" si="70"/>
        <v>4.0999999999999996</v>
      </c>
      <c r="AH183" s="5">
        <f t="shared" si="71"/>
        <v>3.3999999999999995</v>
      </c>
      <c r="AI183" s="5">
        <v>12.0075</v>
      </c>
      <c r="AJ183" s="5">
        <f t="shared" si="55"/>
        <v>1</v>
      </c>
      <c r="AK183" s="5">
        <f t="shared" si="56"/>
        <v>9.5499999999999989</v>
      </c>
      <c r="AL183" s="4">
        <f t="shared" si="57"/>
        <v>0</v>
      </c>
      <c r="AM183" s="8" t="str">
        <f t="shared" si="58"/>
        <v>Propshop Events &amp;amp;</v>
      </c>
      <c r="AN183">
        <v>29</v>
      </c>
      <c r="AO183" s="61">
        <f t="shared" si="59"/>
        <v>0</v>
      </c>
      <c r="AP183" s="7">
        <f t="shared" si="60"/>
        <v>0</v>
      </c>
      <c r="AQ183" s="5">
        <v>1</v>
      </c>
      <c r="AR183" s="7">
        <f t="shared" si="61"/>
        <v>5</v>
      </c>
      <c r="AS183" s="5">
        <v>1</v>
      </c>
      <c r="AT183" s="5">
        <v>1</v>
      </c>
      <c r="AU183" s="5">
        <v>1</v>
      </c>
      <c r="AV183" s="5">
        <f t="shared" si="62"/>
        <v>1</v>
      </c>
      <c r="AW183" s="5">
        <v>1</v>
      </c>
      <c r="AX183" s="4">
        <f t="shared" si="63"/>
        <v>0</v>
      </c>
      <c r="AY183" s="4">
        <f t="shared" si="64"/>
        <v>0</v>
      </c>
      <c r="AZ183" s="4">
        <f t="shared" si="73"/>
        <v>0</v>
      </c>
      <c r="BA183" s="7"/>
    </row>
    <row r="184" spans="1:53" ht="12.75" customHeight="1">
      <c r="A184" t="s">
        <v>334</v>
      </c>
      <c r="B184" t="s">
        <v>335</v>
      </c>
      <c r="C184" t="s">
        <v>159</v>
      </c>
      <c r="D184">
        <v>0</v>
      </c>
      <c r="E184">
        <v>17.510000000000002</v>
      </c>
      <c r="F184">
        <v>9.56</v>
      </c>
      <c r="G184" s="5">
        <f t="shared" si="66"/>
        <v>-83.158995815899587</v>
      </c>
      <c r="H184">
        <v>39.51</v>
      </c>
      <c r="I184">
        <v>2.7</v>
      </c>
      <c r="J184">
        <v>8.11</v>
      </c>
      <c r="K184">
        <v>6.24</v>
      </c>
      <c r="L184">
        <v>30.33</v>
      </c>
      <c r="M184">
        <v>5.52</v>
      </c>
      <c r="N184">
        <v>16.690000000000001</v>
      </c>
      <c r="O184">
        <v>51.16</v>
      </c>
      <c r="P184" s="5">
        <f t="shared" si="67"/>
        <v>18.948148148148146</v>
      </c>
      <c r="Q184">
        <v>15.22</v>
      </c>
      <c r="R184" s="2">
        <v>21.16</v>
      </c>
      <c r="S184" s="6">
        <v>-1</v>
      </c>
      <c r="T184">
        <v>24.03</v>
      </c>
      <c r="U184">
        <v>0</v>
      </c>
      <c r="V184">
        <v>0</v>
      </c>
      <c r="W184">
        <v>0</v>
      </c>
      <c r="X184">
        <v>0</v>
      </c>
      <c r="Y184">
        <v>0.36</v>
      </c>
      <c r="Z184">
        <v>2.33</v>
      </c>
      <c r="AA184" s="5">
        <f t="shared" si="68"/>
        <v>-1.7</v>
      </c>
      <c r="AB184">
        <v>1.05</v>
      </c>
      <c r="AC184" s="5">
        <f t="shared" si="69"/>
        <v>0</v>
      </c>
      <c r="AD184">
        <v>58.82</v>
      </c>
      <c r="AE184">
        <v>6.05</v>
      </c>
      <c r="AF184">
        <v>37.950000000000003</v>
      </c>
      <c r="AG184" s="6">
        <f t="shared" si="70"/>
        <v>-0.5</v>
      </c>
      <c r="AH184" s="5">
        <f t="shared" si="71"/>
        <v>-3.2</v>
      </c>
      <c r="AI184" s="5">
        <v>12.0075</v>
      </c>
      <c r="AJ184" s="5">
        <f t="shared" si="55"/>
        <v>1</v>
      </c>
      <c r="AK184" s="5">
        <f t="shared" si="56"/>
        <v>-3.7524999999999999</v>
      </c>
      <c r="AL184" s="4">
        <f t="shared" si="57"/>
        <v>0</v>
      </c>
      <c r="AM184" s="8" t="str">
        <f t="shared" si="58"/>
        <v xml:space="preserve">Advance Technoforge  </v>
      </c>
      <c r="AN184">
        <v>29</v>
      </c>
      <c r="AO184" s="61">
        <f t="shared" si="59"/>
        <v>0</v>
      </c>
      <c r="AP184" s="7">
        <f t="shared" si="60"/>
        <v>0</v>
      </c>
      <c r="AQ184" s="5">
        <v>0.95</v>
      </c>
      <c r="AR184" s="7">
        <f t="shared" si="61"/>
        <v>5</v>
      </c>
      <c r="AS184" s="5">
        <v>1</v>
      </c>
      <c r="AT184" s="5">
        <v>1</v>
      </c>
      <c r="AU184" s="5">
        <v>1</v>
      </c>
      <c r="AV184" s="5">
        <f t="shared" si="62"/>
        <v>1</v>
      </c>
      <c r="AW184" s="5">
        <v>1</v>
      </c>
      <c r="AX184" s="4">
        <f t="shared" si="63"/>
        <v>0</v>
      </c>
      <c r="AY184" s="4">
        <f t="shared" si="64"/>
        <v>0</v>
      </c>
      <c r="AZ184" s="4">
        <f t="shared" si="73"/>
        <v>0</v>
      </c>
      <c r="BA184" s="7"/>
    </row>
    <row r="185" spans="1:53" ht="12.75" customHeight="1">
      <c r="A185" t="s">
        <v>336</v>
      </c>
      <c r="B185" t="s">
        <v>337</v>
      </c>
      <c r="C185" t="s">
        <v>159</v>
      </c>
      <c r="D185">
        <v>1</v>
      </c>
      <c r="E185">
        <v>19.54</v>
      </c>
      <c r="F185">
        <v>86.2</v>
      </c>
      <c r="G185" s="5">
        <f t="shared" si="66"/>
        <v>77.331786542923425</v>
      </c>
      <c r="H185">
        <v>135.91999999999999</v>
      </c>
      <c r="I185">
        <v>23.93</v>
      </c>
      <c r="J185">
        <v>10.52</v>
      </c>
      <c r="K185">
        <v>21.12</v>
      </c>
      <c r="L185">
        <v>28.18</v>
      </c>
      <c r="M185">
        <v>39.89</v>
      </c>
      <c r="N185">
        <v>17.62</v>
      </c>
      <c r="O185">
        <v>222.8</v>
      </c>
      <c r="P185" s="5">
        <f t="shared" si="67"/>
        <v>9.3104889260342674</v>
      </c>
      <c r="Q185">
        <v>14.25</v>
      </c>
      <c r="R185" s="2">
        <v>19.43</v>
      </c>
      <c r="S185" s="6">
        <v>-1</v>
      </c>
      <c r="T185">
        <v>159.83000000000001</v>
      </c>
      <c r="U185">
        <v>0</v>
      </c>
      <c r="V185">
        <v>1</v>
      </c>
      <c r="W185">
        <v>1</v>
      </c>
      <c r="X185">
        <v>10.95</v>
      </c>
      <c r="Y185">
        <v>148.16999999999999</v>
      </c>
      <c r="Z185">
        <v>137.26</v>
      </c>
      <c r="AA185" s="5">
        <f t="shared" si="68"/>
        <v>0</v>
      </c>
      <c r="AB185">
        <v>39.869999999999997</v>
      </c>
      <c r="AC185" s="5">
        <f t="shared" si="69"/>
        <v>1.7</v>
      </c>
      <c r="AD185">
        <v>48.63</v>
      </c>
      <c r="AE185">
        <v>27.61</v>
      </c>
      <c r="AF185">
        <v>32.96</v>
      </c>
      <c r="AG185" s="6">
        <f t="shared" si="70"/>
        <v>5.6</v>
      </c>
      <c r="AH185" s="5">
        <f t="shared" si="71"/>
        <v>9.2999999999999989</v>
      </c>
      <c r="AI185" s="5">
        <v>12.115</v>
      </c>
      <c r="AJ185" s="5">
        <f t="shared" si="55"/>
        <v>1</v>
      </c>
      <c r="AK185" s="5">
        <f t="shared" si="56"/>
        <v>17.699999999999996</v>
      </c>
      <c r="AL185" s="4">
        <f t="shared" si="57"/>
        <v>1</v>
      </c>
      <c r="AM185" s="8" t="str">
        <f t="shared" si="58"/>
        <v>Poojaa Precision Engg</v>
      </c>
      <c r="AN185">
        <v>30</v>
      </c>
      <c r="AO185" s="61">
        <f t="shared" si="59"/>
        <v>1</v>
      </c>
      <c r="AP185" s="7">
        <f t="shared" si="60"/>
        <v>1</v>
      </c>
      <c r="AQ185" s="5">
        <v>1</v>
      </c>
      <c r="AR185" s="7">
        <f t="shared" si="61"/>
        <v>1</v>
      </c>
      <c r="AS185" s="5">
        <v>1</v>
      </c>
      <c r="AT185" s="5">
        <v>1</v>
      </c>
      <c r="AU185" s="5">
        <v>1</v>
      </c>
      <c r="AV185" s="5">
        <f t="shared" si="62"/>
        <v>1</v>
      </c>
      <c r="AW185" s="5">
        <v>1</v>
      </c>
      <c r="AX185" s="4">
        <f t="shared" si="63"/>
        <v>0</v>
      </c>
      <c r="AY185" s="4">
        <f t="shared" si="64"/>
        <v>0</v>
      </c>
      <c r="AZ185" s="4">
        <f t="shared" si="73"/>
        <v>0</v>
      </c>
      <c r="BA185" s="7"/>
    </row>
    <row r="186" spans="1:53" ht="12.75" customHeight="1">
      <c r="A186" t="s">
        <v>338</v>
      </c>
      <c r="B186" t="s">
        <v>339</v>
      </c>
      <c r="C186" t="s">
        <v>159</v>
      </c>
      <c r="D186">
        <v>1</v>
      </c>
      <c r="E186">
        <v>21.19</v>
      </c>
      <c r="F186">
        <v>31.44</v>
      </c>
      <c r="G186" s="5">
        <f t="shared" si="66"/>
        <v>32.601781170483456</v>
      </c>
      <c r="H186">
        <v>90.56</v>
      </c>
      <c r="I186">
        <v>9.08</v>
      </c>
      <c r="J186">
        <v>8.73</v>
      </c>
      <c r="K186">
        <v>6.41</v>
      </c>
      <c r="L186">
        <v>30.9</v>
      </c>
      <c r="M186">
        <v>14.77</v>
      </c>
      <c r="N186">
        <v>13.07</v>
      </c>
      <c r="O186">
        <v>115.15</v>
      </c>
      <c r="P186" s="5">
        <f t="shared" si="67"/>
        <v>12.68171806167401</v>
      </c>
      <c r="Q186">
        <v>13.73</v>
      </c>
      <c r="R186" s="2">
        <v>17.53</v>
      </c>
      <c r="S186" s="6">
        <v>-0.5</v>
      </c>
      <c r="T186">
        <v>53.95</v>
      </c>
      <c r="U186">
        <v>10.78</v>
      </c>
      <c r="V186">
        <v>1</v>
      </c>
      <c r="W186">
        <v>1</v>
      </c>
      <c r="X186">
        <v>1.7</v>
      </c>
      <c r="Y186">
        <v>2.35</v>
      </c>
      <c r="Z186">
        <v>1.99</v>
      </c>
      <c r="AA186" s="5">
        <f t="shared" si="68"/>
        <v>1</v>
      </c>
      <c r="AB186">
        <v>2.27</v>
      </c>
      <c r="AC186" s="5">
        <f t="shared" si="69"/>
        <v>0</v>
      </c>
      <c r="AD186">
        <v>94.85</v>
      </c>
      <c r="AE186">
        <v>34.950000000000003</v>
      </c>
      <c r="AF186">
        <v>432.88</v>
      </c>
      <c r="AG186" s="6">
        <f t="shared" si="70"/>
        <v>4.7</v>
      </c>
      <c r="AH186" s="5">
        <f t="shared" si="71"/>
        <v>7.7</v>
      </c>
      <c r="AI186" s="5">
        <v>12.14</v>
      </c>
      <c r="AJ186" s="5">
        <f t="shared" si="55"/>
        <v>1</v>
      </c>
      <c r="AK186" s="5">
        <f t="shared" si="56"/>
        <v>14.75</v>
      </c>
      <c r="AL186" s="4">
        <f t="shared" si="57"/>
        <v>1</v>
      </c>
      <c r="AM186" s="8" t="str">
        <f t="shared" si="58"/>
        <v>H.R. Hygiene Products</v>
      </c>
      <c r="AN186" s="128">
        <v>31</v>
      </c>
      <c r="AO186" s="61">
        <f t="shared" si="59"/>
        <v>0</v>
      </c>
      <c r="AP186" s="7">
        <f t="shared" si="60"/>
        <v>3</v>
      </c>
      <c r="AQ186" s="5">
        <v>1</v>
      </c>
      <c r="AR186" s="7">
        <f t="shared" si="61"/>
        <v>5</v>
      </c>
      <c r="AS186" s="5">
        <v>1</v>
      </c>
      <c r="AT186" s="5">
        <v>1</v>
      </c>
      <c r="AU186" s="5">
        <v>1</v>
      </c>
      <c r="AV186" s="5">
        <f t="shared" si="62"/>
        <v>1</v>
      </c>
      <c r="AW186" s="5">
        <v>1</v>
      </c>
      <c r="AX186" s="4">
        <f t="shared" si="63"/>
        <v>0</v>
      </c>
      <c r="AY186" s="4">
        <f t="shared" si="64"/>
        <v>0</v>
      </c>
      <c r="AZ186" s="4">
        <f t="shared" si="73"/>
        <v>0</v>
      </c>
      <c r="BA186" s="7"/>
    </row>
    <row r="187" spans="1:53" ht="12.75" customHeight="1">
      <c r="A187" t="s">
        <v>340</v>
      </c>
      <c r="B187" t="s">
        <v>341</v>
      </c>
      <c r="C187" t="s">
        <v>159</v>
      </c>
      <c r="D187">
        <v>1</v>
      </c>
      <c r="E187">
        <v>16.55</v>
      </c>
      <c r="F187">
        <v>20.16</v>
      </c>
      <c r="G187" s="5">
        <f t="shared" si="66"/>
        <v>17.906746031746028</v>
      </c>
      <c r="H187">
        <v>47.89</v>
      </c>
      <c r="I187">
        <v>6.04</v>
      </c>
      <c r="J187">
        <v>11.32</v>
      </c>
      <c r="K187">
        <v>8.0500000000000007</v>
      </c>
      <c r="L187">
        <v>24.03</v>
      </c>
      <c r="M187">
        <v>10.220000000000001</v>
      </c>
      <c r="N187">
        <v>19.77</v>
      </c>
      <c r="O187">
        <v>52.43</v>
      </c>
      <c r="P187" s="5">
        <f t="shared" si="67"/>
        <v>8.6804635761589406</v>
      </c>
      <c r="Q187">
        <v>12.05</v>
      </c>
      <c r="R187" s="2">
        <v>16.579999999999998</v>
      </c>
      <c r="S187" s="6">
        <v>-0.5</v>
      </c>
      <c r="T187">
        <v>36.36</v>
      </c>
      <c r="U187">
        <v>0</v>
      </c>
      <c r="V187">
        <v>1</v>
      </c>
      <c r="W187">
        <v>1</v>
      </c>
      <c r="X187">
        <v>1.06</v>
      </c>
      <c r="Y187">
        <v>9.4</v>
      </c>
      <c r="Z187">
        <v>6.79</v>
      </c>
      <c r="AA187" s="5">
        <f t="shared" si="68"/>
        <v>0</v>
      </c>
      <c r="AB187">
        <v>0</v>
      </c>
      <c r="AC187" s="5">
        <f t="shared" si="69"/>
        <v>0</v>
      </c>
      <c r="AD187">
        <v>289.68</v>
      </c>
      <c r="AE187">
        <v>9.0500000000000007</v>
      </c>
      <c r="AF187">
        <v>391.71</v>
      </c>
      <c r="AG187" s="6">
        <f t="shared" si="70"/>
        <v>3.7</v>
      </c>
      <c r="AH187" s="5">
        <f t="shared" si="71"/>
        <v>4.7</v>
      </c>
      <c r="AI187" s="5">
        <v>11.9825</v>
      </c>
      <c r="AJ187" s="5">
        <f t="shared" si="55"/>
        <v>1</v>
      </c>
      <c r="AK187" s="5">
        <f t="shared" si="56"/>
        <v>10.25</v>
      </c>
      <c r="AL187" s="4">
        <f t="shared" si="57"/>
        <v>1</v>
      </c>
      <c r="AM187" s="8" t="str">
        <f t="shared" si="58"/>
        <v>Dhaval Packaging  Pri</v>
      </c>
      <c r="AN187">
        <v>3</v>
      </c>
      <c r="AO187" s="61">
        <f t="shared" si="59"/>
        <v>0</v>
      </c>
      <c r="AP187" s="7">
        <f t="shared" si="60"/>
        <v>0</v>
      </c>
      <c r="AQ187" s="5">
        <v>1</v>
      </c>
      <c r="AR187" s="7">
        <f t="shared" si="61"/>
        <v>5</v>
      </c>
      <c r="AS187" s="5">
        <v>1</v>
      </c>
      <c r="AT187" s="5">
        <v>1</v>
      </c>
      <c r="AU187" s="5">
        <v>1</v>
      </c>
      <c r="AV187" s="5">
        <f t="shared" si="62"/>
        <v>1</v>
      </c>
      <c r="AW187" s="5">
        <v>1</v>
      </c>
      <c r="AX187" s="4">
        <f t="shared" si="63"/>
        <v>0</v>
      </c>
      <c r="AY187" s="4">
        <f t="shared" si="64"/>
        <v>0</v>
      </c>
      <c r="AZ187" s="4">
        <f t="shared" si="73"/>
        <v>0</v>
      </c>
      <c r="BA187" s="7"/>
    </row>
    <row r="188" spans="1:53" ht="12.75" customHeight="1">
      <c r="A188" t="s">
        <v>342</v>
      </c>
      <c r="B188" t="s">
        <v>343</v>
      </c>
      <c r="C188" t="s">
        <v>159</v>
      </c>
      <c r="D188">
        <v>1</v>
      </c>
      <c r="E188">
        <v>6.96</v>
      </c>
      <c r="F188">
        <v>14.68</v>
      </c>
      <c r="G188" s="5">
        <f t="shared" si="66"/>
        <v>52.588555858310627</v>
      </c>
      <c r="H188">
        <v>35.53</v>
      </c>
      <c r="I188">
        <v>4.17</v>
      </c>
      <c r="J188">
        <v>0</v>
      </c>
      <c r="K188">
        <v>5.18</v>
      </c>
      <c r="L188">
        <v>34.89</v>
      </c>
      <c r="M188">
        <v>6.87</v>
      </c>
      <c r="N188">
        <v>18.309999999999999</v>
      </c>
      <c r="O188">
        <v>46.14</v>
      </c>
      <c r="P188" s="5">
        <f t="shared" si="67"/>
        <v>11.064748201438849</v>
      </c>
      <c r="Q188">
        <v>18.53</v>
      </c>
      <c r="R188" s="2">
        <v>14.18</v>
      </c>
      <c r="S188" s="6">
        <v>-0.5</v>
      </c>
      <c r="T188">
        <v>27.65</v>
      </c>
      <c r="U188">
        <v>0</v>
      </c>
      <c r="V188">
        <v>1</v>
      </c>
      <c r="W188">
        <v>1</v>
      </c>
      <c r="X188">
        <v>1.04</v>
      </c>
      <c r="Y188">
        <v>0.66</v>
      </c>
      <c r="Z188">
        <v>1.06</v>
      </c>
      <c r="AA188" s="5">
        <f t="shared" si="68"/>
        <v>-0.7</v>
      </c>
      <c r="AB188">
        <v>0</v>
      </c>
      <c r="AC188" s="5">
        <f t="shared" si="69"/>
        <v>0</v>
      </c>
      <c r="AD188">
        <v>0</v>
      </c>
      <c r="AE188">
        <v>0</v>
      </c>
      <c r="AF188">
        <v>0</v>
      </c>
      <c r="AG188" s="6">
        <f t="shared" si="70"/>
        <v>3.0999999999999996</v>
      </c>
      <c r="AH188" s="5">
        <f t="shared" si="71"/>
        <v>1.3999999999999997</v>
      </c>
      <c r="AI188" s="5">
        <v>11.9825</v>
      </c>
      <c r="AJ188" s="5">
        <f t="shared" si="55"/>
        <v>1</v>
      </c>
      <c r="AK188" s="5">
        <f t="shared" si="56"/>
        <v>5.7474999999999987</v>
      </c>
      <c r="AL188" s="4">
        <f t="shared" si="57"/>
        <v>1</v>
      </c>
      <c r="AM188" s="8" t="str">
        <f t="shared" si="58"/>
        <v>Oneindig Technologies</v>
      </c>
      <c r="AN188">
        <v>3</v>
      </c>
      <c r="AO188" s="61">
        <f t="shared" si="59"/>
        <v>0</v>
      </c>
      <c r="AP188" s="7">
        <f t="shared" si="60"/>
        <v>0</v>
      </c>
      <c r="AQ188" s="5">
        <v>0.95</v>
      </c>
      <c r="AR188" s="7">
        <f t="shared" si="61"/>
        <v>5</v>
      </c>
      <c r="AS188" s="5">
        <v>1</v>
      </c>
      <c r="AT188" s="5">
        <v>1</v>
      </c>
      <c r="AU188" s="5">
        <v>1</v>
      </c>
      <c r="AV188" s="5">
        <f t="shared" si="62"/>
        <v>1</v>
      </c>
      <c r="AW188" s="5">
        <v>1</v>
      </c>
      <c r="AX188" s="4">
        <f t="shared" si="63"/>
        <v>0</v>
      </c>
      <c r="AY188" s="4">
        <f t="shared" si="64"/>
        <v>0</v>
      </c>
      <c r="AZ188" s="4">
        <f t="shared" si="73"/>
        <v>0</v>
      </c>
      <c r="BA188" s="7"/>
    </row>
    <row r="189" spans="1:53" ht="12.75" customHeight="1">
      <c r="A189" t="s">
        <v>344</v>
      </c>
      <c r="B189" t="s">
        <v>345</v>
      </c>
      <c r="C189" t="s">
        <v>159</v>
      </c>
      <c r="D189">
        <v>1</v>
      </c>
      <c r="E189">
        <v>1.01</v>
      </c>
      <c r="F189">
        <v>10.029999999999999</v>
      </c>
      <c r="G189" s="5">
        <f t="shared" si="66"/>
        <v>89.930209371884359</v>
      </c>
      <c r="H189">
        <v>12.06</v>
      </c>
      <c r="I189">
        <v>2.9</v>
      </c>
      <c r="J189">
        <v>32.99</v>
      </c>
      <c r="K189">
        <v>10.37</v>
      </c>
      <c r="L189">
        <v>53.45</v>
      </c>
      <c r="M189">
        <v>4.0599999999999996</v>
      </c>
      <c r="N189">
        <v>56.38</v>
      </c>
      <c r="O189">
        <v>10.11</v>
      </c>
      <c r="P189" s="5">
        <f t="shared" si="67"/>
        <v>3.4862068965517241</v>
      </c>
      <c r="Q189">
        <v>15.33</v>
      </c>
      <c r="R189" s="2">
        <v>19.489999999999998</v>
      </c>
      <c r="S189" s="6">
        <v>-0.5</v>
      </c>
      <c r="T189">
        <v>39.04</v>
      </c>
      <c r="U189">
        <v>7.41</v>
      </c>
      <c r="V189">
        <v>1</v>
      </c>
      <c r="W189">
        <v>1</v>
      </c>
      <c r="X189">
        <v>1</v>
      </c>
      <c r="Y189">
        <v>1.1100000000000001</v>
      </c>
      <c r="Z189">
        <v>1.66</v>
      </c>
      <c r="AA189" s="5">
        <f t="shared" si="68"/>
        <v>-0.7</v>
      </c>
      <c r="AB189">
        <v>0</v>
      </c>
      <c r="AC189" s="5">
        <f t="shared" si="69"/>
        <v>0</v>
      </c>
      <c r="AD189">
        <v>752.94</v>
      </c>
      <c r="AE189">
        <v>118.83</v>
      </c>
      <c r="AF189">
        <v>155.87</v>
      </c>
      <c r="AG189" s="6">
        <f t="shared" si="70"/>
        <v>6.1</v>
      </c>
      <c r="AH189" s="5">
        <f t="shared" si="71"/>
        <v>5.3999999999999995</v>
      </c>
      <c r="AI189" s="5">
        <v>12.282500000000001</v>
      </c>
      <c r="AJ189" s="5">
        <f t="shared" si="55"/>
        <v>1</v>
      </c>
      <c r="AK189" s="5">
        <f t="shared" si="56"/>
        <v>13.822499999999996</v>
      </c>
      <c r="AL189" s="4">
        <f t="shared" si="57"/>
        <v>1</v>
      </c>
      <c r="AM189" s="8" t="str">
        <f t="shared" si="58"/>
        <v>Fusion Klassroom Edut</v>
      </c>
      <c r="AN189">
        <v>4</v>
      </c>
      <c r="AO189" s="61">
        <f t="shared" si="59"/>
        <v>0</v>
      </c>
      <c r="AP189" s="7">
        <f t="shared" si="60"/>
        <v>0</v>
      </c>
      <c r="AQ189" s="5">
        <v>0.95</v>
      </c>
      <c r="AR189" s="7">
        <f t="shared" si="61"/>
        <v>5</v>
      </c>
      <c r="AS189" s="5">
        <v>1</v>
      </c>
      <c r="AT189" s="5">
        <v>1</v>
      </c>
      <c r="AU189" s="5">
        <v>1</v>
      </c>
      <c r="AV189" s="5">
        <f t="shared" si="62"/>
        <v>1</v>
      </c>
      <c r="AW189" s="5">
        <v>1</v>
      </c>
      <c r="AX189" s="4">
        <f t="shared" si="63"/>
        <v>0</v>
      </c>
      <c r="AY189" s="4">
        <f t="shared" si="64"/>
        <v>0</v>
      </c>
      <c r="AZ189" s="4">
        <f t="shared" si="73"/>
        <v>0</v>
      </c>
      <c r="BA189" s="7"/>
    </row>
    <row r="190" spans="1:53" ht="12.75" customHeight="1">
      <c r="A190" t="s">
        <v>346</v>
      </c>
      <c r="B190" t="s">
        <v>347</v>
      </c>
      <c r="C190" t="s">
        <v>159</v>
      </c>
      <c r="D190">
        <v>1</v>
      </c>
      <c r="E190">
        <v>55.11</v>
      </c>
      <c r="F190">
        <v>40.08</v>
      </c>
      <c r="G190" s="5">
        <f t="shared" si="66"/>
        <v>-37.5</v>
      </c>
      <c r="H190">
        <v>114.42</v>
      </c>
      <c r="I190">
        <v>12.31</v>
      </c>
      <c r="J190">
        <v>25.57</v>
      </c>
      <c r="K190">
        <v>18.579999999999998</v>
      </c>
      <c r="L190">
        <v>56.53</v>
      </c>
      <c r="M190">
        <v>29.98</v>
      </c>
      <c r="N190">
        <v>42.64</v>
      </c>
      <c r="O190">
        <v>79.400000000000006</v>
      </c>
      <c r="P190" s="5">
        <f t="shared" si="67"/>
        <v>6.4500406173842411</v>
      </c>
      <c r="Q190">
        <v>14.53</v>
      </c>
      <c r="R190" s="2">
        <v>18.43</v>
      </c>
      <c r="S190" s="6">
        <v>-0.5</v>
      </c>
      <c r="T190">
        <v>177.81</v>
      </c>
      <c r="U190">
        <v>35.119999999999997</v>
      </c>
      <c r="V190">
        <v>1</v>
      </c>
      <c r="W190">
        <v>1</v>
      </c>
      <c r="X190">
        <v>7.09</v>
      </c>
      <c r="Y190">
        <v>4.25</v>
      </c>
      <c r="Z190">
        <v>6.6</v>
      </c>
      <c r="AA190" s="5">
        <f t="shared" si="68"/>
        <v>-0.7</v>
      </c>
      <c r="AB190">
        <v>29.63</v>
      </c>
      <c r="AC190" s="5">
        <f t="shared" si="69"/>
        <v>1.7</v>
      </c>
      <c r="AD190">
        <v>180.41</v>
      </c>
      <c r="AE190">
        <v>46.82</v>
      </c>
      <c r="AF190">
        <v>44.33</v>
      </c>
      <c r="AG190" s="6">
        <f t="shared" si="70"/>
        <v>4</v>
      </c>
      <c r="AH190" s="5">
        <f t="shared" si="71"/>
        <v>7</v>
      </c>
      <c r="AI190" s="5">
        <v>12.2775</v>
      </c>
      <c r="AJ190" s="5">
        <f t="shared" si="55"/>
        <v>1</v>
      </c>
      <c r="AK190" s="5">
        <f t="shared" si="56"/>
        <v>13</v>
      </c>
      <c r="AL190" s="4">
        <f t="shared" si="57"/>
        <v>1</v>
      </c>
      <c r="AM190" s="8" t="str">
        <f t="shared" si="58"/>
        <v>Anawil Wire &amp;amp; Eng</v>
      </c>
      <c r="AN190">
        <v>5</v>
      </c>
      <c r="AO190" s="61">
        <f t="shared" si="59"/>
        <v>0</v>
      </c>
      <c r="AP190" s="7">
        <f t="shared" si="60"/>
        <v>0</v>
      </c>
      <c r="AQ190" s="5">
        <v>1</v>
      </c>
      <c r="AR190" s="7">
        <f t="shared" si="61"/>
        <v>5</v>
      </c>
      <c r="AS190" s="5">
        <v>1</v>
      </c>
      <c r="AT190" s="5">
        <v>1</v>
      </c>
      <c r="AU190" s="5">
        <v>1</v>
      </c>
      <c r="AV190" s="5">
        <f t="shared" si="62"/>
        <v>1</v>
      </c>
      <c r="AW190" s="5">
        <v>1</v>
      </c>
      <c r="AX190" s="4">
        <f t="shared" si="63"/>
        <v>0</v>
      </c>
      <c r="AY190" s="4">
        <f t="shared" si="64"/>
        <v>0</v>
      </c>
      <c r="AZ190" s="4">
        <f t="shared" si="73"/>
        <v>0</v>
      </c>
      <c r="BA190" s="7"/>
    </row>
    <row r="191" spans="1:53" ht="12.75" customHeight="1">
      <c r="A191" t="s">
        <v>348</v>
      </c>
      <c r="B191" t="s">
        <v>349</v>
      </c>
      <c r="C191" t="s">
        <v>159</v>
      </c>
      <c r="D191">
        <v>1</v>
      </c>
      <c r="E191">
        <v>4.0999999999999996</v>
      </c>
      <c r="F191">
        <v>11.42</v>
      </c>
      <c r="G191" s="5">
        <f t="shared" si="66"/>
        <v>64.09807355516638</v>
      </c>
      <c r="H191">
        <v>22.09</v>
      </c>
      <c r="I191">
        <v>1.39</v>
      </c>
      <c r="J191">
        <v>9.81</v>
      </c>
      <c r="K191">
        <v>6.57</v>
      </c>
      <c r="L191">
        <v>29.93</v>
      </c>
      <c r="M191">
        <v>3.13</v>
      </c>
      <c r="N191">
        <v>15.82</v>
      </c>
      <c r="O191">
        <v>21.9</v>
      </c>
      <c r="P191" s="5">
        <f t="shared" si="67"/>
        <v>15.755395683453237</v>
      </c>
      <c r="Q191">
        <v>15.98</v>
      </c>
      <c r="R191" s="2">
        <v>21.88</v>
      </c>
      <c r="S191" s="6">
        <v>-0.5</v>
      </c>
      <c r="T191">
        <v>23.71</v>
      </c>
      <c r="U191">
        <v>0</v>
      </c>
      <c r="V191">
        <v>1</v>
      </c>
      <c r="W191">
        <v>1</v>
      </c>
      <c r="X191">
        <v>0.74</v>
      </c>
      <c r="Y191">
        <v>4.5</v>
      </c>
      <c r="Z191">
        <v>4.21</v>
      </c>
      <c r="AA191" s="5">
        <f t="shared" si="68"/>
        <v>0</v>
      </c>
      <c r="AB191">
        <v>11.43</v>
      </c>
      <c r="AC191" s="5">
        <f t="shared" si="69"/>
        <v>1.7</v>
      </c>
      <c r="AD191">
        <v>49.46</v>
      </c>
      <c r="AE191">
        <v>43.32</v>
      </c>
      <c r="AF191">
        <v>95.88</v>
      </c>
      <c r="AG191" s="6">
        <f t="shared" si="70"/>
        <v>5.0999999999999996</v>
      </c>
      <c r="AH191" s="5">
        <f t="shared" si="71"/>
        <v>7.8</v>
      </c>
      <c r="AI191" s="5">
        <v>12.157500000000001</v>
      </c>
      <c r="AJ191" s="5">
        <f t="shared" si="55"/>
        <v>1</v>
      </c>
      <c r="AK191" s="5">
        <f t="shared" si="56"/>
        <v>14.677499999999998</v>
      </c>
      <c r="AL191" s="4">
        <f t="shared" si="57"/>
        <v>1</v>
      </c>
      <c r="AM191" s="8" t="str">
        <f t="shared" si="58"/>
        <v xml:space="preserve">Aegeus Technologies  </v>
      </c>
      <c r="AN191">
        <v>6</v>
      </c>
      <c r="AO191" s="61">
        <f t="shared" si="59"/>
        <v>0</v>
      </c>
      <c r="AP191" s="7">
        <f t="shared" si="60"/>
        <v>3</v>
      </c>
      <c r="AQ191" s="5">
        <v>0.95</v>
      </c>
      <c r="AR191" s="7">
        <f t="shared" si="61"/>
        <v>5</v>
      </c>
      <c r="AS191" s="5">
        <v>1</v>
      </c>
      <c r="AT191" s="5">
        <v>1</v>
      </c>
      <c r="AU191" s="5">
        <v>1</v>
      </c>
      <c r="AV191" s="5">
        <f t="shared" si="62"/>
        <v>1</v>
      </c>
      <c r="AW191" s="5">
        <v>1</v>
      </c>
      <c r="AX191" s="4">
        <f t="shared" si="63"/>
        <v>0</v>
      </c>
      <c r="AY191" s="4">
        <f t="shared" si="64"/>
        <v>0</v>
      </c>
      <c r="AZ191" s="4">
        <f t="shared" si="73"/>
        <v>0</v>
      </c>
      <c r="BA191" s="7"/>
    </row>
    <row r="192" spans="1:53" ht="12.75" customHeight="1">
      <c r="A192" t="s">
        <v>350</v>
      </c>
      <c r="B192" t="s">
        <v>351</v>
      </c>
      <c r="C192" t="s">
        <v>159</v>
      </c>
      <c r="D192">
        <v>1</v>
      </c>
      <c r="E192">
        <v>7.84</v>
      </c>
      <c r="F192">
        <v>23.2</v>
      </c>
      <c r="G192" s="5">
        <f t="shared" si="66"/>
        <v>66.206896551724142</v>
      </c>
      <c r="H192">
        <v>51.43</v>
      </c>
      <c r="I192">
        <v>4.66</v>
      </c>
      <c r="J192">
        <v>6.69</v>
      </c>
      <c r="K192">
        <v>12.64</v>
      </c>
      <c r="L192">
        <v>36.81</v>
      </c>
      <c r="M192">
        <v>8.0399999999999991</v>
      </c>
      <c r="N192">
        <v>10.9</v>
      </c>
      <c r="O192">
        <v>131.36000000000001</v>
      </c>
      <c r="P192" s="5">
        <f t="shared" si="67"/>
        <v>28.188841201716741</v>
      </c>
      <c r="Q192">
        <v>10.28</v>
      </c>
      <c r="R192" s="2">
        <v>14.01</v>
      </c>
      <c r="S192" s="6">
        <v>-0.5</v>
      </c>
      <c r="T192">
        <v>42.25</v>
      </c>
      <c r="U192">
        <v>3.25</v>
      </c>
      <c r="V192">
        <v>1</v>
      </c>
      <c r="W192">
        <v>1</v>
      </c>
      <c r="X192">
        <v>71.64</v>
      </c>
      <c r="Y192">
        <v>258.88</v>
      </c>
      <c r="Z192">
        <v>148.84</v>
      </c>
      <c r="AA192" s="5">
        <f t="shared" si="68"/>
        <v>1</v>
      </c>
      <c r="AB192">
        <v>0</v>
      </c>
      <c r="AC192" s="5">
        <f t="shared" si="69"/>
        <v>0</v>
      </c>
      <c r="AD192">
        <v>66.430000000000007</v>
      </c>
      <c r="AE192">
        <v>17.25</v>
      </c>
      <c r="AF192">
        <v>36.07</v>
      </c>
      <c r="AG192" s="6">
        <f t="shared" si="70"/>
        <v>5.0999999999999996</v>
      </c>
      <c r="AH192" s="5">
        <f t="shared" si="71"/>
        <v>8.1</v>
      </c>
      <c r="AI192" s="5">
        <v>12.157500000000001</v>
      </c>
      <c r="AJ192" s="5">
        <f t="shared" si="55"/>
        <v>1</v>
      </c>
      <c r="AK192" s="5">
        <f t="shared" si="56"/>
        <v>15.75</v>
      </c>
      <c r="AL192" s="4">
        <f t="shared" si="57"/>
        <v>1</v>
      </c>
      <c r="AM192" s="8" t="str">
        <f t="shared" si="58"/>
        <v>G.V. Electricals  Pri</v>
      </c>
      <c r="AN192">
        <v>7</v>
      </c>
      <c r="AO192" s="61">
        <f t="shared" si="59"/>
        <v>0</v>
      </c>
      <c r="AP192" s="7">
        <f t="shared" si="60"/>
        <v>1</v>
      </c>
      <c r="AQ192" s="5">
        <v>1</v>
      </c>
      <c r="AR192" s="7">
        <f t="shared" si="61"/>
        <v>5</v>
      </c>
      <c r="AS192" s="5">
        <v>1</v>
      </c>
      <c r="AT192" s="5">
        <v>1</v>
      </c>
      <c r="AU192" s="5">
        <v>1</v>
      </c>
      <c r="AV192" s="5">
        <f t="shared" si="62"/>
        <v>1</v>
      </c>
      <c r="AW192" s="5">
        <v>1</v>
      </c>
      <c r="AX192" s="4">
        <f t="shared" si="63"/>
        <v>0</v>
      </c>
      <c r="AY192" s="4">
        <f t="shared" si="64"/>
        <v>0</v>
      </c>
      <c r="AZ192" s="4">
        <f t="shared" si="73"/>
        <v>0</v>
      </c>
      <c r="BA192" s="7"/>
    </row>
    <row r="193" spans="1:53" ht="12.75" customHeight="1">
      <c r="A193" t="s">
        <v>352</v>
      </c>
      <c r="B193" t="s">
        <v>353</v>
      </c>
      <c r="C193" t="s">
        <v>159</v>
      </c>
      <c r="D193">
        <v>1</v>
      </c>
      <c r="E193">
        <v>15.79</v>
      </c>
      <c r="F193">
        <v>16.63</v>
      </c>
      <c r="G193" s="5">
        <v>5.05</v>
      </c>
      <c r="H193">
        <v>44.34</v>
      </c>
      <c r="I193">
        <v>5.03</v>
      </c>
      <c r="J193">
        <v>9.25</v>
      </c>
      <c r="K193">
        <v>9.49</v>
      </c>
      <c r="L193">
        <v>41.2</v>
      </c>
      <c r="M193">
        <v>9.94</v>
      </c>
      <c r="N193">
        <v>16.75</v>
      </c>
      <c r="O193">
        <v>67.069999999999993</v>
      </c>
      <c r="P193" s="5">
        <v>13.33</v>
      </c>
      <c r="Q193">
        <v>9.91</v>
      </c>
      <c r="R193" s="2">
        <v>13.66</v>
      </c>
      <c r="S193" s="6">
        <v>-0.5</v>
      </c>
      <c r="T193">
        <v>32.4</v>
      </c>
      <c r="U193">
        <v>0</v>
      </c>
      <c r="V193">
        <v>1</v>
      </c>
      <c r="W193">
        <v>1</v>
      </c>
      <c r="X193">
        <v>200.23</v>
      </c>
      <c r="Y193">
        <v>433.26</v>
      </c>
      <c r="Z193">
        <v>387.78</v>
      </c>
      <c r="AA193" s="5">
        <v>1</v>
      </c>
      <c r="AB193">
        <v>50</v>
      </c>
      <c r="AC193" s="5">
        <v>1</v>
      </c>
      <c r="AD193">
        <v>131.80000000000001</v>
      </c>
      <c r="AE193">
        <v>9.9</v>
      </c>
      <c r="AF193">
        <v>43.49</v>
      </c>
      <c r="AG193" s="6">
        <f t="shared" si="70"/>
        <v>3.7</v>
      </c>
      <c r="AH193" s="5">
        <f t="shared" si="71"/>
        <v>7.7</v>
      </c>
      <c r="AI193" s="5">
        <v>11.69</v>
      </c>
      <c r="AJ193" s="5">
        <f t="shared" si="55"/>
        <v>1</v>
      </c>
      <c r="AK193" s="5">
        <f t="shared" si="56"/>
        <v>13.25</v>
      </c>
      <c r="AL193" s="4">
        <f t="shared" si="57"/>
        <v>1</v>
      </c>
      <c r="AM193" s="8" t="str">
        <f t="shared" si="58"/>
        <v>LAPL Automotive  Pric</v>
      </c>
      <c r="AN193">
        <v>10</v>
      </c>
      <c r="AO193" s="61">
        <f t="shared" si="59"/>
        <v>0</v>
      </c>
      <c r="AP193" s="7">
        <f t="shared" si="60"/>
        <v>0</v>
      </c>
      <c r="AQ193" s="5">
        <v>1</v>
      </c>
      <c r="AR193" s="7">
        <f t="shared" si="61"/>
        <v>5</v>
      </c>
      <c r="AS193" s="5">
        <v>1</v>
      </c>
      <c r="AT193" s="5">
        <v>1</v>
      </c>
      <c r="AU193" s="5">
        <v>1</v>
      </c>
      <c r="AV193" s="5">
        <f t="shared" si="62"/>
        <v>1</v>
      </c>
      <c r="AW193" s="5">
        <v>1</v>
      </c>
      <c r="AX193" s="4">
        <f t="shared" si="63"/>
        <v>0</v>
      </c>
      <c r="AY193" s="4">
        <f t="shared" si="64"/>
        <v>0</v>
      </c>
      <c r="AZ193" s="4">
        <f t="shared" si="73"/>
        <v>0</v>
      </c>
      <c r="BA193" s="7"/>
    </row>
    <row r="194" spans="1:53" ht="12.75" customHeight="1">
      <c r="A194" t="s">
        <v>354</v>
      </c>
      <c r="B194" t="s">
        <v>355</v>
      </c>
      <c r="C194" t="s">
        <v>159</v>
      </c>
      <c r="D194">
        <v>1</v>
      </c>
      <c r="E194">
        <v>0</v>
      </c>
      <c r="F194">
        <v>97.19</v>
      </c>
      <c r="G194" s="5">
        <v>100</v>
      </c>
      <c r="H194">
        <v>138.93</v>
      </c>
      <c r="I194">
        <v>17.239999999999998</v>
      </c>
      <c r="J194">
        <v>17.809999999999999</v>
      </c>
      <c r="K194">
        <v>13.16</v>
      </c>
      <c r="L194">
        <v>18.23</v>
      </c>
      <c r="M194">
        <v>23.93</v>
      </c>
      <c r="N194">
        <v>23.04</v>
      </c>
      <c r="O194">
        <v>125.07</v>
      </c>
      <c r="P194" s="5">
        <v>7.25</v>
      </c>
      <c r="Q194">
        <v>13.3</v>
      </c>
      <c r="R194" s="2">
        <v>16.940000000000001</v>
      </c>
      <c r="S194" s="6">
        <v>-0.5</v>
      </c>
      <c r="T194">
        <v>108.5</v>
      </c>
      <c r="U194">
        <v>21</v>
      </c>
      <c r="V194">
        <v>1</v>
      </c>
      <c r="W194">
        <v>1</v>
      </c>
      <c r="X194">
        <v>1.84</v>
      </c>
      <c r="Y194">
        <v>1.85</v>
      </c>
      <c r="Z194">
        <v>2.2599999999999998</v>
      </c>
      <c r="AA194" s="5">
        <v>1</v>
      </c>
      <c r="AB194">
        <v>0</v>
      </c>
      <c r="AC194" s="5">
        <v>0</v>
      </c>
      <c r="AD194">
        <v>157.69999999999999</v>
      </c>
      <c r="AE194">
        <v>127.44</v>
      </c>
      <c r="AF194">
        <v>62.91</v>
      </c>
      <c r="AG194" s="6">
        <f t="shared" si="70"/>
        <v>6.1</v>
      </c>
      <c r="AH194" s="5">
        <f t="shared" ref="AH194:AH225" si="74">AG194+IF(X194&lt;1.35,0,1)+IF(Y194&lt;1.35,0,1)+IF(Y194&lt;0.7,-1,0)+AC194+AA194</f>
        <v>9.1</v>
      </c>
      <c r="AI194" s="5">
        <v>11.487500000000001</v>
      </c>
      <c r="AJ194" s="5">
        <f t="shared" ref="AJ194:AJ257" si="75">IF(AI194&gt;12.7,IF(AI194&gt;15.8,0.93,0.98),1)</f>
        <v>1</v>
      </c>
      <c r="AK194" s="5">
        <f t="shared" ref="AK194:AK257" si="76">(1.5*AG194+AH194)*AJ194*AQ194</f>
        <v>17.337499999999999</v>
      </c>
      <c r="AL194" s="4">
        <f t="shared" ref="AL194:AL257" si="77">D194</f>
        <v>1</v>
      </c>
      <c r="AM194" s="8" t="str">
        <f t="shared" ref="AM194:AM257" si="78">B194</f>
        <v>Optimystix Entertainm</v>
      </c>
      <c r="AN194">
        <v>11</v>
      </c>
      <c r="AO194" s="61">
        <f t="shared" ref="AO194:AO257" si="79">IF(Z194&lt;4.5,0,IF(AK194&gt;14.9,IF(Z194&lt;140,1,0),0))</f>
        <v>0</v>
      </c>
      <c r="AP194" s="7">
        <f t="shared" ref="AP194:AP244" si="80">IF(AK194&gt;13.93,IF(Z194&lt;300,IF(Z194&lt;35,IF(Z194&lt;6,3,2),1),0),0)</f>
        <v>3</v>
      </c>
      <c r="AQ194" s="5">
        <v>0.95</v>
      </c>
      <c r="AR194" s="7">
        <f t="shared" ref="AR194:AR257" si="81">IF(AO194=1,IF(AO194=AL194,1,0),5)</f>
        <v>5</v>
      </c>
      <c r="AS194" s="5">
        <v>1</v>
      </c>
      <c r="AT194" s="5">
        <v>1</v>
      </c>
      <c r="AU194" s="5">
        <v>1</v>
      </c>
      <c r="AV194" s="5">
        <f t="shared" ref="AV194:AV257" si="82">(AT194+AU194)/2</f>
        <v>1</v>
      </c>
      <c r="AW194" s="5">
        <v>1</v>
      </c>
      <c r="AX194" s="4">
        <f t="shared" ref="AX194:AX257" si="83">IF(AW194&gt;AV194,1,0)</f>
        <v>0</v>
      </c>
      <c r="AY194" s="4">
        <f t="shared" ref="AY194:AY231" si="84">(100*(AU194-AS194)/AS194)</f>
        <v>0</v>
      </c>
      <c r="AZ194" s="4">
        <f t="shared" si="73"/>
        <v>0</v>
      </c>
      <c r="BA194" s="7"/>
    </row>
    <row r="195" spans="1:53" ht="12.75" customHeight="1">
      <c r="A195" t="s">
        <v>356</v>
      </c>
      <c r="B195" t="s">
        <v>357</v>
      </c>
      <c r="C195" t="s">
        <v>159</v>
      </c>
      <c r="D195">
        <v>0</v>
      </c>
      <c r="E195">
        <v>9.2200000000000006</v>
      </c>
      <c r="F195">
        <v>12.46</v>
      </c>
      <c r="G195" s="5">
        <f>100*(F195-E195)/F195</f>
        <v>26.003210272873194</v>
      </c>
      <c r="H195">
        <v>36.58</v>
      </c>
      <c r="I195">
        <v>3.58</v>
      </c>
      <c r="J195">
        <v>9.3699999999999992</v>
      </c>
      <c r="K195">
        <v>10.33</v>
      </c>
      <c r="L195">
        <v>51.53</v>
      </c>
      <c r="M195">
        <v>4.6900000000000004</v>
      </c>
      <c r="N195">
        <v>11.91</v>
      </c>
      <c r="O195">
        <v>81.62</v>
      </c>
      <c r="P195" s="5">
        <f>O195/I195</f>
        <v>22.798882681564248</v>
      </c>
      <c r="Q195">
        <v>12.58</v>
      </c>
      <c r="R195" s="2">
        <v>17.260000000000002</v>
      </c>
      <c r="S195" s="6">
        <v>-1</v>
      </c>
      <c r="T195">
        <v>40.479999999999997</v>
      </c>
      <c r="U195">
        <v>0</v>
      </c>
      <c r="V195">
        <v>0</v>
      </c>
      <c r="W195">
        <v>1</v>
      </c>
      <c r="X195">
        <v>0</v>
      </c>
      <c r="Y195">
        <v>2.17</v>
      </c>
      <c r="Z195">
        <v>2.62</v>
      </c>
      <c r="AA195" s="5">
        <f>IF(X195&lt;50,IF(Y195&gt;(2.3*X195),0,1),1)-IF(Z195&gt;Y195,1.7,0)</f>
        <v>-1.7</v>
      </c>
      <c r="AB195">
        <v>3.08</v>
      </c>
      <c r="AC195" s="5">
        <f>IF(AB195&gt;4,1,0)+IF(AB195&gt;10,0.7,0)</f>
        <v>0</v>
      </c>
      <c r="AD195">
        <v>20.54</v>
      </c>
      <c r="AE195">
        <v>10.46</v>
      </c>
      <c r="AF195">
        <v>40.32</v>
      </c>
      <c r="AG195" s="6">
        <f t="shared" si="70"/>
        <v>0.20000000000000018</v>
      </c>
      <c r="AH195" s="5">
        <f t="shared" si="74"/>
        <v>-0.49999999999999978</v>
      </c>
      <c r="AI195" s="5">
        <v>11.352499999999999</v>
      </c>
      <c r="AJ195" s="5">
        <f t="shared" si="75"/>
        <v>1</v>
      </c>
      <c r="AK195" s="5">
        <f t="shared" si="76"/>
        <v>-0.19999999999999951</v>
      </c>
      <c r="AL195" s="4">
        <f t="shared" si="77"/>
        <v>0</v>
      </c>
      <c r="AM195" s="8" t="str">
        <f t="shared" si="78"/>
        <v>Sham Foam  Price, GMP</v>
      </c>
      <c r="AN195">
        <v>13</v>
      </c>
      <c r="AO195" s="61">
        <f t="shared" si="79"/>
        <v>0</v>
      </c>
      <c r="AP195" s="7">
        <f t="shared" si="80"/>
        <v>0</v>
      </c>
      <c r="AQ195" s="5">
        <v>1</v>
      </c>
      <c r="AR195" s="7">
        <f t="shared" si="81"/>
        <v>5</v>
      </c>
      <c r="AS195" s="5">
        <v>1</v>
      </c>
      <c r="AT195" s="5">
        <v>1</v>
      </c>
      <c r="AU195" s="5">
        <v>1</v>
      </c>
      <c r="AV195" s="5">
        <f t="shared" si="82"/>
        <v>1</v>
      </c>
      <c r="AW195" s="5">
        <v>1</v>
      </c>
      <c r="AX195" s="4">
        <f t="shared" si="83"/>
        <v>0</v>
      </c>
      <c r="AY195" s="4">
        <f t="shared" si="84"/>
        <v>0</v>
      </c>
      <c r="AZ195" s="4">
        <f t="shared" si="73"/>
        <v>0</v>
      </c>
      <c r="BA195" s="7"/>
    </row>
    <row r="196" spans="1:53" ht="12.75" customHeight="1">
      <c r="A196" t="s">
        <v>358</v>
      </c>
      <c r="B196" t="s">
        <v>359</v>
      </c>
      <c r="C196" t="s">
        <v>159</v>
      </c>
      <c r="D196">
        <v>0</v>
      </c>
      <c r="E196">
        <v>18.21</v>
      </c>
      <c r="F196">
        <v>10.45</v>
      </c>
      <c r="G196" s="5">
        <v>-74.260000000000005</v>
      </c>
      <c r="H196">
        <v>42.26</v>
      </c>
      <c r="I196">
        <v>5.81</v>
      </c>
      <c r="J196">
        <v>12.89</v>
      </c>
      <c r="K196">
        <v>14.62</v>
      </c>
      <c r="L196">
        <v>72.08</v>
      </c>
      <c r="M196">
        <v>10.01</v>
      </c>
      <c r="N196">
        <v>20.5</v>
      </c>
      <c r="O196">
        <v>60.28</v>
      </c>
      <c r="P196" s="5">
        <v>10.38</v>
      </c>
      <c r="Q196">
        <v>10.33</v>
      </c>
      <c r="R196" s="2">
        <v>13.79</v>
      </c>
      <c r="S196" s="6">
        <v>-0.5</v>
      </c>
      <c r="T196">
        <v>64.83</v>
      </c>
      <c r="U196">
        <v>12.62</v>
      </c>
      <c r="V196">
        <v>1</v>
      </c>
      <c r="W196">
        <v>1</v>
      </c>
      <c r="X196">
        <v>22.74</v>
      </c>
      <c r="Y196">
        <v>1.06</v>
      </c>
      <c r="Z196">
        <v>1.37</v>
      </c>
      <c r="AA196" s="5">
        <v>1</v>
      </c>
      <c r="AB196">
        <v>0</v>
      </c>
      <c r="AC196" s="5">
        <v>0</v>
      </c>
      <c r="AD196">
        <v>1110.42</v>
      </c>
      <c r="AE196">
        <v>108.58</v>
      </c>
      <c r="AF196">
        <v>134.83000000000001</v>
      </c>
      <c r="AG196" s="6">
        <v>4</v>
      </c>
      <c r="AH196" s="5">
        <v>6</v>
      </c>
      <c r="AI196" s="5">
        <v>11.1325</v>
      </c>
      <c r="AJ196" s="5">
        <f t="shared" si="75"/>
        <v>1</v>
      </c>
      <c r="AK196" s="5">
        <f t="shared" si="76"/>
        <v>12</v>
      </c>
      <c r="AL196" s="4">
        <f t="shared" si="77"/>
        <v>0</v>
      </c>
      <c r="AM196" s="8" t="str">
        <f t="shared" si="78"/>
        <v>Fascinate Textiles  P</v>
      </c>
      <c r="AN196">
        <v>19</v>
      </c>
      <c r="AO196" s="61">
        <f t="shared" si="79"/>
        <v>0</v>
      </c>
      <c r="AP196" s="7">
        <f t="shared" si="80"/>
        <v>0</v>
      </c>
      <c r="AQ196" s="5">
        <v>1</v>
      </c>
      <c r="AR196" s="7">
        <f t="shared" si="81"/>
        <v>5</v>
      </c>
      <c r="AS196" s="5">
        <v>1</v>
      </c>
      <c r="AT196" s="5">
        <v>1</v>
      </c>
      <c r="AU196" s="5">
        <v>1</v>
      </c>
      <c r="AV196" s="5">
        <f t="shared" si="82"/>
        <v>1</v>
      </c>
      <c r="AW196" s="5">
        <v>1</v>
      </c>
      <c r="AX196" s="4">
        <f t="shared" si="83"/>
        <v>0</v>
      </c>
      <c r="AY196" s="4">
        <f t="shared" si="84"/>
        <v>0</v>
      </c>
      <c r="AZ196" s="4">
        <f t="shared" si="73"/>
        <v>0</v>
      </c>
      <c r="BA196" s="7"/>
    </row>
    <row r="197" spans="1:53" ht="12.75" customHeight="1">
      <c r="A197" t="s">
        <v>360</v>
      </c>
      <c r="B197" t="s">
        <v>361</v>
      </c>
      <c r="C197" t="s">
        <v>159</v>
      </c>
      <c r="D197">
        <v>1</v>
      </c>
      <c r="E197">
        <v>10.81</v>
      </c>
      <c r="F197">
        <v>35.770000000000003</v>
      </c>
      <c r="G197" s="5">
        <f>100*(F197-E197)/F197</f>
        <v>69.779144534526139</v>
      </c>
      <c r="H197">
        <v>56.45</v>
      </c>
      <c r="I197">
        <v>11.14</v>
      </c>
      <c r="J197">
        <v>27.9</v>
      </c>
      <c r="K197">
        <v>10.41</v>
      </c>
      <c r="L197">
        <v>39.08</v>
      </c>
      <c r="M197">
        <v>20.97</v>
      </c>
      <c r="N197">
        <v>49.61</v>
      </c>
      <c r="O197">
        <v>38.549999999999997</v>
      </c>
      <c r="P197" s="5">
        <f>O197/I197</f>
        <v>3.4605026929982041</v>
      </c>
      <c r="Q197">
        <v>11.34</v>
      </c>
      <c r="R197" s="2">
        <v>14.97</v>
      </c>
      <c r="S197" s="6">
        <v>1</v>
      </c>
      <c r="T197">
        <v>69.040000000000006</v>
      </c>
      <c r="U197">
        <v>5.9000000000000057</v>
      </c>
      <c r="V197">
        <v>1</v>
      </c>
      <c r="W197">
        <v>1</v>
      </c>
      <c r="X197">
        <v>3.66</v>
      </c>
      <c r="Y197">
        <v>4.96</v>
      </c>
      <c r="Z197">
        <v>3.49</v>
      </c>
      <c r="AA197" s="5">
        <f>IF(X197&lt;50,IF(Y197&gt;(2.3*X197),0,1),1)-IF(Z197&gt;Y197,1.7,0)</f>
        <v>1</v>
      </c>
      <c r="AB197">
        <v>0</v>
      </c>
      <c r="AC197" s="5">
        <f>IF(AB197&gt;4,1,0)+IF(AB197&gt;10,0.7,0)</f>
        <v>0</v>
      </c>
      <c r="AD197">
        <v>56.02</v>
      </c>
      <c r="AE197">
        <v>7.71</v>
      </c>
      <c r="AF197">
        <v>44.53</v>
      </c>
      <c r="AG197" s="6">
        <f>IF(G197&lt;52,0,0.7)+IF(G197&lt;34,0,0.7)+IF(G197&lt;1,0,0.7)+IF(P197&gt;14.56,0,1)+IF(R197&lt;9,0.5,0)+IF(R197&lt;33.8,0.5,0)+IF(R197&lt;50,0.5,0)+IF(R197&lt;80,0.5,0)+IF(S197=5,0,S197)+IF(V197&gt;0,1,-1)+IF(AE197&lt;10.56,0,1)-IF(AE197&lt;3,1,0)-IF(AE197&lt;1,1,0)</f>
        <v>6.6</v>
      </c>
      <c r="AH197" s="5">
        <f>AG197+IF(X197&lt;1.35,0,1)+IF(Y197&lt;1.35,0,1)+IF(Y197&lt;0.7,-1,0)+AC197+AA197</f>
        <v>9.6</v>
      </c>
      <c r="AI197" s="5">
        <v>11.35</v>
      </c>
      <c r="AJ197" s="5">
        <f t="shared" si="75"/>
        <v>1</v>
      </c>
      <c r="AK197" s="5">
        <f t="shared" si="76"/>
        <v>19.5</v>
      </c>
      <c r="AL197" s="4">
        <f t="shared" si="77"/>
        <v>1</v>
      </c>
      <c r="AM197" s="8" t="str">
        <f t="shared" si="78"/>
        <v>Pramodini Medicare  P</v>
      </c>
      <c r="AN197">
        <v>14</v>
      </c>
      <c r="AO197" s="61">
        <f t="shared" si="79"/>
        <v>0</v>
      </c>
      <c r="AP197" s="7">
        <f t="shared" si="80"/>
        <v>3</v>
      </c>
      <c r="AQ197" s="5">
        <v>1</v>
      </c>
      <c r="AR197" s="7">
        <f t="shared" si="81"/>
        <v>5</v>
      </c>
      <c r="AS197" s="5">
        <v>1</v>
      </c>
      <c r="AT197" s="5">
        <v>1</v>
      </c>
      <c r="AU197" s="5">
        <v>1</v>
      </c>
      <c r="AV197" s="5">
        <f t="shared" si="82"/>
        <v>1</v>
      </c>
      <c r="AW197" s="5">
        <v>1</v>
      </c>
      <c r="AX197" s="4">
        <f t="shared" si="83"/>
        <v>0</v>
      </c>
      <c r="AY197" s="4">
        <f t="shared" si="84"/>
        <v>0</v>
      </c>
      <c r="AZ197" s="4">
        <f t="shared" si="73"/>
        <v>0</v>
      </c>
      <c r="BA197" s="7"/>
    </row>
    <row r="198" spans="1:53" ht="12.75" customHeight="1">
      <c r="A198" t="s">
        <v>362</v>
      </c>
      <c r="B198" t="s">
        <v>363</v>
      </c>
      <c r="C198" t="s">
        <v>159</v>
      </c>
      <c r="D198">
        <v>1</v>
      </c>
      <c r="E198">
        <v>7.42</v>
      </c>
      <c r="F198">
        <v>15.9</v>
      </c>
      <c r="G198" s="5">
        <f>100*(F198-E198)/F198</f>
        <v>53.333333333333329</v>
      </c>
      <c r="H198">
        <v>29.5</v>
      </c>
      <c r="I198">
        <v>2.25</v>
      </c>
      <c r="J198">
        <v>8.61</v>
      </c>
      <c r="K198">
        <v>13.92</v>
      </c>
      <c r="L198">
        <v>61.81</v>
      </c>
      <c r="M198">
        <v>4.99</v>
      </c>
      <c r="N198">
        <v>13.29</v>
      </c>
      <c r="O198">
        <v>78.23</v>
      </c>
      <c r="P198" s="5">
        <f>O198/I198</f>
        <v>34.768888888888888</v>
      </c>
      <c r="Q198">
        <v>13.58</v>
      </c>
      <c r="R198" s="2">
        <v>18.68</v>
      </c>
      <c r="S198" s="6">
        <v>-0.5</v>
      </c>
      <c r="T198">
        <v>0</v>
      </c>
      <c r="U198">
        <v>0</v>
      </c>
      <c r="V198">
        <v>1</v>
      </c>
      <c r="W198">
        <v>1</v>
      </c>
      <c r="X198">
        <v>95.42</v>
      </c>
      <c r="Y198">
        <v>199.48</v>
      </c>
      <c r="Z198">
        <v>120.16</v>
      </c>
      <c r="AA198" s="5">
        <f>IF(X198&lt;50,IF(Y198&gt;(2.3*X198),0,1),1)-IF(Z198&gt;Y198,1.7,0)</f>
        <v>1</v>
      </c>
      <c r="AB198">
        <v>29.1</v>
      </c>
      <c r="AC198" s="5">
        <f>IF(AB198&gt;4,1,0)+IF(AB198&gt;10,0.7,0)</f>
        <v>1.7</v>
      </c>
      <c r="AD198">
        <v>-15.41</v>
      </c>
      <c r="AE198">
        <v>2.91</v>
      </c>
      <c r="AF198">
        <v>16.399999999999999</v>
      </c>
      <c r="AG198" s="6">
        <f>IF(G198&lt;52,0,0.7)+IF(G198&lt;34,0,0.7)+IF(G198&lt;1,0,0.7)+IF(P198&gt;14.56,0,1)+IF(R198&lt;9,0.5,0)+IF(R198&lt;33.8,0.5,0)+IF(R198&lt;50,0.5,0)+IF(R198&lt;80,0.5,0)+IF(S198=5,0,S198)+IF(V198&gt;0,1,-1)+IF(AE198&lt;10.56,0,1)-IF(AE198&lt;3,1,0)-IF(AE198&lt;1,1,0)</f>
        <v>3.0999999999999996</v>
      </c>
      <c r="AH198" s="5">
        <f>AG198+IF(X198&lt;1.35,0,1)+IF(Y198&lt;1.35,0,1)+IF(Y198&lt;0.7,-1,0)+AC198+AA198</f>
        <v>7.8</v>
      </c>
      <c r="AI198" s="5">
        <v>11.335000000000001</v>
      </c>
      <c r="AJ198" s="5">
        <f t="shared" si="75"/>
        <v>1</v>
      </c>
      <c r="AK198" s="5">
        <f t="shared" si="76"/>
        <v>12.45</v>
      </c>
      <c r="AL198" s="4">
        <f t="shared" si="77"/>
        <v>1</v>
      </c>
      <c r="AM198" s="8" t="str">
        <f t="shared" si="78"/>
        <v>Credent Connect  Pric</v>
      </c>
      <c r="AN198">
        <v>13</v>
      </c>
      <c r="AO198" s="61">
        <f t="shared" si="79"/>
        <v>0</v>
      </c>
      <c r="AP198" s="7">
        <f t="shared" si="80"/>
        <v>0</v>
      </c>
      <c r="AQ198" s="5">
        <v>1</v>
      </c>
      <c r="AR198" s="7">
        <f t="shared" si="81"/>
        <v>5</v>
      </c>
      <c r="AS198" s="5">
        <v>1</v>
      </c>
      <c r="AT198" s="5">
        <v>1</v>
      </c>
      <c r="AU198" s="5">
        <v>1</v>
      </c>
      <c r="AV198" s="5">
        <f t="shared" si="82"/>
        <v>1</v>
      </c>
      <c r="AW198" s="5">
        <v>1</v>
      </c>
      <c r="AX198" s="4">
        <f t="shared" si="83"/>
        <v>0</v>
      </c>
      <c r="AY198" s="4">
        <f t="shared" si="84"/>
        <v>0</v>
      </c>
      <c r="AZ198" s="4">
        <f t="shared" si="73"/>
        <v>0</v>
      </c>
      <c r="BA198" s="7"/>
    </row>
    <row r="199" spans="1:53" ht="12.75" customHeight="1">
      <c r="A199" t="s">
        <v>364</v>
      </c>
      <c r="B199" t="s">
        <v>365</v>
      </c>
      <c r="C199" t="s">
        <v>159</v>
      </c>
      <c r="D199">
        <v>1</v>
      </c>
      <c r="E199">
        <v>10.24</v>
      </c>
      <c r="F199">
        <v>14.24</v>
      </c>
      <c r="G199" s="5">
        <v>28.09</v>
      </c>
      <c r="H199">
        <v>36.72</v>
      </c>
      <c r="I199">
        <v>8.11</v>
      </c>
      <c r="J199">
        <v>11.37</v>
      </c>
      <c r="K199">
        <v>11.6</v>
      </c>
      <c r="L199">
        <v>56.1</v>
      </c>
      <c r="M199">
        <v>8.59</v>
      </c>
      <c r="N199">
        <v>20.02</v>
      </c>
      <c r="O199">
        <v>49.44</v>
      </c>
      <c r="P199" s="5">
        <v>6.1</v>
      </c>
      <c r="Q199">
        <v>11.38</v>
      </c>
      <c r="R199" s="2">
        <v>15.47</v>
      </c>
      <c r="S199" s="6">
        <v>-1</v>
      </c>
      <c r="T199">
        <v>60.98</v>
      </c>
      <c r="U199">
        <v>0</v>
      </c>
      <c r="V199">
        <v>1</v>
      </c>
      <c r="W199">
        <v>1</v>
      </c>
      <c r="X199">
        <v>169.54</v>
      </c>
      <c r="Y199">
        <v>311.97000000000003</v>
      </c>
      <c r="Z199">
        <v>176.05</v>
      </c>
      <c r="AA199" s="5">
        <v>1</v>
      </c>
      <c r="AB199">
        <v>44.7</v>
      </c>
      <c r="AC199" s="5">
        <v>1</v>
      </c>
      <c r="AD199">
        <v>266.97000000000003</v>
      </c>
      <c r="AE199">
        <v>678.58</v>
      </c>
      <c r="AF199">
        <v>280.75</v>
      </c>
      <c r="AG199" s="6">
        <v>4.7</v>
      </c>
      <c r="AH199" s="5">
        <v>8.6999999999999993</v>
      </c>
      <c r="AI199" s="5">
        <v>10.664999999999999</v>
      </c>
      <c r="AJ199" s="5">
        <f t="shared" si="75"/>
        <v>1</v>
      </c>
      <c r="AK199" s="5">
        <f t="shared" si="76"/>
        <v>14.962499999999999</v>
      </c>
      <c r="AL199" s="4">
        <f t="shared" si="77"/>
        <v>1</v>
      </c>
      <c r="AM199" s="8" t="str">
        <f t="shared" si="78"/>
        <v>Technocrats Plasma Sy</v>
      </c>
      <c r="AN199">
        <v>18</v>
      </c>
      <c r="AO199" s="61">
        <f t="shared" si="79"/>
        <v>0</v>
      </c>
      <c r="AP199" s="7">
        <f t="shared" si="80"/>
        <v>1</v>
      </c>
      <c r="AQ199" s="5">
        <v>0.95</v>
      </c>
      <c r="AR199" s="7">
        <f t="shared" si="81"/>
        <v>5</v>
      </c>
      <c r="AS199" s="5">
        <v>1</v>
      </c>
      <c r="AT199" s="5">
        <v>1</v>
      </c>
      <c r="AU199" s="5">
        <v>1</v>
      </c>
      <c r="AV199" s="5">
        <f t="shared" si="82"/>
        <v>1</v>
      </c>
      <c r="AW199" s="5">
        <v>1</v>
      </c>
      <c r="AX199" s="4">
        <f t="shared" si="83"/>
        <v>0</v>
      </c>
      <c r="AY199" s="4">
        <f t="shared" si="84"/>
        <v>0</v>
      </c>
      <c r="AZ199" s="4">
        <f t="shared" si="73"/>
        <v>0</v>
      </c>
      <c r="BA199" s="7"/>
    </row>
    <row r="200" spans="1:53" ht="12.75" customHeight="1">
      <c r="A200" t="s">
        <v>366</v>
      </c>
      <c r="B200" t="s">
        <v>367</v>
      </c>
      <c r="C200" t="s">
        <v>159</v>
      </c>
      <c r="D200">
        <v>1</v>
      </c>
      <c r="E200">
        <v>0</v>
      </c>
      <c r="F200">
        <v>10.039999999999999</v>
      </c>
      <c r="G200" s="5">
        <v>100</v>
      </c>
      <c r="H200">
        <v>20.239999999999998</v>
      </c>
      <c r="I200">
        <v>3.7</v>
      </c>
      <c r="J200">
        <v>16.350000000000001</v>
      </c>
      <c r="K200">
        <v>8.4</v>
      </c>
      <c r="L200">
        <v>98.97</v>
      </c>
      <c r="M200">
        <v>5.48</v>
      </c>
      <c r="N200">
        <v>22.78</v>
      </c>
      <c r="O200">
        <v>28.62</v>
      </c>
      <c r="P200" s="5">
        <v>7.74</v>
      </c>
      <c r="Q200">
        <v>10.95</v>
      </c>
      <c r="R200" s="2">
        <v>14.89</v>
      </c>
      <c r="S200" s="6">
        <v>-1</v>
      </c>
      <c r="T200">
        <v>33.14</v>
      </c>
      <c r="U200">
        <v>0</v>
      </c>
      <c r="V200">
        <v>1</v>
      </c>
      <c r="W200">
        <v>1</v>
      </c>
      <c r="X200">
        <v>9.44</v>
      </c>
      <c r="Y200">
        <v>22.89</v>
      </c>
      <c r="Z200">
        <v>11.02</v>
      </c>
      <c r="AA200" s="5">
        <v>0</v>
      </c>
      <c r="AB200">
        <v>36.17</v>
      </c>
      <c r="AC200" s="5">
        <v>1</v>
      </c>
      <c r="AD200">
        <v>311.11</v>
      </c>
      <c r="AE200">
        <v>182.81</v>
      </c>
      <c r="AF200">
        <v>428.42</v>
      </c>
      <c r="AG200" s="6">
        <v>6.1</v>
      </c>
      <c r="AH200" s="5">
        <v>9.1</v>
      </c>
      <c r="AI200" s="5">
        <v>10.664999999999999</v>
      </c>
      <c r="AJ200" s="5">
        <f t="shared" si="75"/>
        <v>1</v>
      </c>
      <c r="AK200" s="5">
        <f t="shared" si="76"/>
        <v>17.337499999999999</v>
      </c>
      <c r="AL200" s="4">
        <f t="shared" si="77"/>
        <v>1</v>
      </c>
      <c r="AM200" s="8" t="str">
        <f t="shared" si="78"/>
        <v>ENS Enterprises  Pric</v>
      </c>
      <c r="AN200">
        <v>18</v>
      </c>
      <c r="AO200" s="61">
        <f t="shared" si="79"/>
        <v>1</v>
      </c>
      <c r="AP200" s="7">
        <f t="shared" si="80"/>
        <v>2</v>
      </c>
      <c r="AQ200" s="5">
        <v>0.95</v>
      </c>
      <c r="AR200" s="7">
        <f t="shared" si="81"/>
        <v>1</v>
      </c>
      <c r="AS200" s="5">
        <v>1</v>
      </c>
      <c r="AT200" s="5">
        <v>1</v>
      </c>
      <c r="AU200" s="5">
        <v>1</v>
      </c>
      <c r="AV200" s="5">
        <f t="shared" si="82"/>
        <v>1</v>
      </c>
      <c r="AW200" s="5">
        <v>1</v>
      </c>
      <c r="AX200" s="4">
        <f t="shared" si="83"/>
        <v>0</v>
      </c>
      <c r="AY200" s="4">
        <f t="shared" si="84"/>
        <v>0</v>
      </c>
      <c r="AZ200" s="4">
        <f t="shared" si="73"/>
        <v>0</v>
      </c>
      <c r="BA200" s="7"/>
    </row>
    <row r="201" spans="1:53" ht="12.75" customHeight="1">
      <c r="A201" t="s">
        <v>368</v>
      </c>
      <c r="B201" t="s">
        <v>369</v>
      </c>
      <c r="C201" t="s">
        <v>159</v>
      </c>
      <c r="D201">
        <v>0</v>
      </c>
      <c r="E201">
        <v>5.39</v>
      </c>
      <c r="F201">
        <v>14.81</v>
      </c>
      <c r="G201" s="5">
        <v>63.61</v>
      </c>
      <c r="H201">
        <v>30.05</v>
      </c>
      <c r="I201">
        <v>3.71</v>
      </c>
      <c r="J201">
        <v>8.14</v>
      </c>
      <c r="K201">
        <v>6.12</v>
      </c>
      <c r="L201">
        <v>0</v>
      </c>
      <c r="M201">
        <v>6.13</v>
      </c>
      <c r="N201">
        <v>12.87</v>
      </c>
      <c r="O201">
        <v>45.21</v>
      </c>
      <c r="P201" s="5">
        <v>12.19</v>
      </c>
      <c r="Q201">
        <v>0</v>
      </c>
      <c r="R201" s="2">
        <v>0</v>
      </c>
      <c r="S201" s="6">
        <v>-0.5</v>
      </c>
      <c r="T201">
        <v>22.68</v>
      </c>
      <c r="U201">
        <v>0</v>
      </c>
      <c r="V201">
        <v>1</v>
      </c>
      <c r="W201">
        <v>1</v>
      </c>
      <c r="X201">
        <v>1.06</v>
      </c>
      <c r="Y201">
        <v>0.72</v>
      </c>
      <c r="Z201">
        <v>3.36</v>
      </c>
      <c r="AA201" s="5">
        <v>1</v>
      </c>
      <c r="AB201">
        <v>1.3</v>
      </c>
      <c r="AC201" s="5">
        <v>0</v>
      </c>
      <c r="AD201">
        <v>174.81</v>
      </c>
      <c r="AE201">
        <v>2.4</v>
      </c>
      <c r="AF201">
        <v>33.42</v>
      </c>
      <c r="AG201" s="6">
        <v>5.0999999999999996</v>
      </c>
      <c r="AH201" s="5">
        <v>6.1</v>
      </c>
      <c r="AI201" s="5">
        <v>10.664999999999999</v>
      </c>
      <c r="AJ201" s="5">
        <f t="shared" si="75"/>
        <v>1</v>
      </c>
      <c r="AK201" s="5">
        <f t="shared" si="76"/>
        <v>13.0625</v>
      </c>
      <c r="AL201" s="4">
        <f t="shared" si="77"/>
        <v>0</v>
      </c>
      <c r="AM201" s="8" t="str">
        <f t="shared" si="78"/>
        <v>Skytech Infinite Plat</v>
      </c>
      <c r="AN201">
        <v>18</v>
      </c>
      <c r="AO201" s="61">
        <f t="shared" si="79"/>
        <v>0</v>
      </c>
      <c r="AP201" s="7">
        <f t="shared" si="80"/>
        <v>0</v>
      </c>
      <c r="AQ201" s="5">
        <v>0.95</v>
      </c>
      <c r="AR201" s="7">
        <f t="shared" si="81"/>
        <v>5</v>
      </c>
      <c r="AS201" s="5">
        <v>1</v>
      </c>
      <c r="AT201" s="5">
        <v>1</v>
      </c>
      <c r="AU201" s="5">
        <v>1</v>
      </c>
      <c r="AV201" s="5">
        <f t="shared" si="82"/>
        <v>1</v>
      </c>
      <c r="AW201" s="5">
        <v>1</v>
      </c>
      <c r="AX201" s="4">
        <f t="shared" si="83"/>
        <v>0</v>
      </c>
      <c r="AY201" s="4">
        <f t="shared" si="84"/>
        <v>0</v>
      </c>
      <c r="AZ201" s="4">
        <f t="shared" si="73"/>
        <v>0</v>
      </c>
      <c r="BA201" s="7"/>
    </row>
    <row r="202" spans="1:53" ht="12.75" customHeight="1">
      <c r="A202" t="s">
        <v>370</v>
      </c>
      <c r="B202" t="s">
        <v>371</v>
      </c>
      <c r="C202" t="s">
        <v>159</v>
      </c>
      <c r="D202">
        <v>1</v>
      </c>
      <c r="E202">
        <v>5.97</v>
      </c>
      <c r="F202">
        <v>13.27</v>
      </c>
      <c r="G202" s="5">
        <v>55.01</v>
      </c>
      <c r="H202">
        <v>21.07</v>
      </c>
      <c r="I202">
        <v>2.16</v>
      </c>
      <c r="J202">
        <v>8.1999999999999993</v>
      </c>
      <c r="K202">
        <v>9.5500000000000007</v>
      </c>
      <c r="L202">
        <v>37.15</v>
      </c>
      <c r="M202">
        <v>3.66</v>
      </c>
      <c r="N202">
        <v>12.38</v>
      </c>
      <c r="O202">
        <v>44.13</v>
      </c>
      <c r="P202" s="5">
        <v>20.43</v>
      </c>
      <c r="Q202">
        <v>10.37</v>
      </c>
      <c r="R202" s="2">
        <v>14.74</v>
      </c>
      <c r="S202" s="6">
        <v>-1</v>
      </c>
      <c r="T202">
        <v>26.73</v>
      </c>
      <c r="U202">
        <v>0</v>
      </c>
      <c r="V202">
        <v>0</v>
      </c>
      <c r="W202">
        <v>1</v>
      </c>
      <c r="X202">
        <v>0</v>
      </c>
      <c r="Y202">
        <v>0.13</v>
      </c>
      <c r="Z202">
        <v>1.91</v>
      </c>
      <c r="AA202" s="5">
        <v>0</v>
      </c>
      <c r="AB202">
        <v>1.01</v>
      </c>
      <c r="AC202" s="5">
        <v>0</v>
      </c>
      <c r="AD202">
        <v>13.09</v>
      </c>
      <c r="AE202">
        <v>24.34</v>
      </c>
      <c r="AF202">
        <v>263.56</v>
      </c>
      <c r="AG202" s="6">
        <v>4.0999999999999996</v>
      </c>
      <c r="AH202" s="5">
        <v>4.0999999999999996</v>
      </c>
      <c r="AI202" s="5">
        <v>11.1325</v>
      </c>
      <c r="AJ202" s="5">
        <f t="shared" si="75"/>
        <v>1</v>
      </c>
      <c r="AK202" s="5">
        <f t="shared" si="76"/>
        <v>10.25</v>
      </c>
      <c r="AL202" s="4">
        <f t="shared" si="77"/>
        <v>1</v>
      </c>
      <c r="AM202" s="8" t="str">
        <f t="shared" si="78"/>
        <v xml:space="preserve">Dhanwel Hybrid Seeds </v>
      </c>
      <c r="AN202">
        <v>21</v>
      </c>
      <c r="AO202" s="61">
        <f t="shared" si="79"/>
        <v>0</v>
      </c>
      <c r="AP202" s="7">
        <f t="shared" si="80"/>
        <v>0</v>
      </c>
      <c r="AQ202" s="5">
        <v>1</v>
      </c>
      <c r="AR202" s="7">
        <f t="shared" si="81"/>
        <v>5</v>
      </c>
      <c r="AS202" s="5">
        <v>1</v>
      </c>
      <c r="AT202" s="5">
        <v>1</v>
      </c>
      <c r="AU202" s="5">
        <v>1</v>
      </c>
      <c r="AV202" s="5">
        <f t="shared" si="82"/>
        <v>1</v>
      </c>
      <c r="AW202" s="5">
        <v>1</v>
      </c>
      <c r="AX202" s="4">
        <f t="shared" si="83"/>
        <v>0</v>
      </c>
      <c r="AY202" s="4">
        <f t="shared" si="84"/>
        <v>0</v>
      </c>
      <c r="AZ202" s="4">
        <f t="shared" si="73"/>
        <v>0</v>
      </c>
      <c r="BA202" s="7"/>
    </row>
    <row r="203" spans="1:53" ht="12.75" customHeight="1">
      <c r="A203" t="s">
        <v>372</v>
      </c>
      <c r="B203" t="s">
        <v>373</v>
      </c>
      <c r="C203" t="s">
        <v>159</v>
      </c>
      <c r="D203">
        <v>0</v>
      </c>
      <c r="E203">
        <v>5.14</v>
      </c>
      <c r="F203">
        <v>6.74</v>
      </c>
      <c r="G203" s="5">
        <v>23.74</v>
      </c>
      <c r="H203">
        <v>23.81</v>
      </c>
      <c r="I203">
        <v>3.48</v>
      </c>
      <c r="J203">
        <v>11.61</v>
      </c>
      <c r="K203">
        <v>6.21</v>
      </c>
      <c r="L203">
        <v>43.43</v>
      </c>
      <c r="M203">
        <v>1.39</v>
      </c>
      <c r="N203">
        <v>17.84</v>
      </c>
      <c r="O203">
        <v>42</v>
      </c>
      <c r="P203" s="5">
        <v>12.07</v>
      </c>
      <c r="Q203">
        <v>22.22</v>
      </c>
      <c r="R203" s="2">
        <v>28.57</v>
      </c>
      <c r="S203" s="6">
        <v>-1</v>
      </c>
      <c r="T203">
        <v>27.26</v>
      </c>
      <c r="U203">
        <v>5.1800000000000033</v>
      </c>
      <c r="V203">
        <v>0</v>
      </c>
      <c r="W203">
        <v>1</v>
      </c>
      <c r="X203">
        <v>0</v>
      </c>
      <c r="Y203">
        <v>0.12</v>
      </c>
      <c r="Z203">
        <v>2.42</v>
      </c>
      <c r="AA203" s="5">
        <v>0</v>
      </c>
      <c r="AB203">
        <v>0.72</v>
      </c>
      <c r="AC203" s="5">
        <v>0</v>
      </c>
      <c r="AD203">
        <v>145.07</v>
      </c>
      <c r="AE203">
        <v>10.94</v>
      </c>
      <c r="AF203">
        <v>130.82</v>
      </c>
      <c r="AG203" s="6">
        <v>3.7</v>
      </c>
      <c r="AH203" s="5">
        <v>3.7</v>
      </c>
      <c r="AI203" s="5">
        <v>11.272500000000001</v>
      </c>
      <c r="AJ203" s="5">
        <f t="shared" si="75"/>
        <v>1</v>
      </c>
      <c r="AK203" s="5">
        <f t="shared" si="76"/>
        <v>9.25</v>
      </c>
      <c r="AL203" s="4">
        <f t="shared" si="77"/>
        <v>0</v>
      </c>
      <c r="AM203" s="8" t="str">
        <f t="shared" si="78"/>
        <v xml:space="preserve">Mopshop Distribution </v>
      </c>
      <c r="AN203">
        <v>21</v>
      </c>
      <c r="AO203" s="61">
        <f t="shared" si="79"/>
        <v>0</v>
      </c>
      <c r="AP203" s="7">
        <f t="shared" si="80"/>
        <v>0</v>
      </c>
      <c r="AQ203" s="5">
        <v>1</v>
      </c>
      <c r="AR203" s="7">
        <f t="shared" si="81"/>
        <v>5</v>
      </c>
      <c r="AS203" s="5">
        <v>1</v>
      </c>
      <c r="AT203" s="5">
        <v>1</v>
      </c>
      <c r="AU203" s="5">
        <v>1</v>
      </c>
      <c r="AV203" s="5">
        <f t="shared" si="82"/>
        <v>1</v>
      </c>
      <c r="AW203" s="5">
        <v>1</v>
      </c>
      <c r="AX203" s="4">
        <f t="shared" si="83"/>
        <v>0</v>
      </c>
      <c r="AY203" s="4">
        <f t="shared" si="84"/>
        <v>0</v>
      </c>
      <c r="AZ203" s="4">
        <f t="shared" si="73"/>
        <v>0</v>
      </c>
      <c r="BA203" s="7"/>
    </row>
    <row r="204" spans="1:53" ht="12.75" customHeight="1">
      <c r="A204" t="s">
        <v>374</v>
      </c>
      <c r="B204" t="s">
        <v>375</v>
      </c>
      <c r="C204" t="s">
        <v>159</v>
      </c>
      <c r="D204">
        <v>0</v>
      </c>
      <c r="E204">
        <v>0</v>
      </c>
      <c r="F204">
        <v>0</v>
      </c>
      <c r="G204" s="5">
        <v>0</v>
      </c>
      <c r="H204">
        <v>0</v>
      </c>
      <c r="I204">
        <v>0</v>
      </c>
      <c r="J204">
        <v>4</v>
      </c>
      <c r="K204">
        <v>0</v>
      </c>
      <c r="L204">
        <v>30.33</v>
      </c>
      <c r="M204">
        <v>0</v>
      </c>
      <c r="N204">
        <v>16.66</v>
      </c>
      <c r="O204">
        <v>0</v>
      </c>
      <c r="P204" s="5">
        <v>0</v>
      </c>
      <c r="Q204">
        <v>0</v>
      </c>
      <c r="R204" s="2">
        <v>0</v>
      </c>
      <c r="S204" s="6">
        <v>1</v>
      </c>
      <c r="T204">
        <v>34.979999999999997</v>
      </c>
      <c r="U204">
        <v>0</v>
      </c>
      <c r="V204">
        <v>0</v>
      </c>
      <c r="W204">
        <v>1</v>
      </c>
      <c r="X204">
        <v>3.45</v>
      </c>
      <c r="Y204">
        <v>0.3</v>
      </c>
      <c r="Z204">
        <v>0.49</v>
      </c>
      <c r="AA204" s="5">
        <v>1</v>
      </c>
      <c r="AB204">
        <v>0</v>
      </c>
      <c r="AC204" s="5">
        <v>0</v>
      </c>
      <c r="AD204">
        <v>-100</v>
      </c>
      <c r="AE204">
        <v>-100</v>
      </c>
      <c r="AF204">
        <v>-100</v>
      </c>
      <c r="AG204" s="6">
        <v>2</v>
      </c>
      <c r="AH204" s="5">
        <v>4</v>
      </c>
      <c r="AI204" s="5">
        <v>11.234999999999999</v>
      </c>
      <c r="AJ204" s="5">
        <f t="shared" si="75"/>
        <v>1</v>
      </c>
      <c r="AK204" s="5">
        <f t="shared" si="76"/>
        <v>7</v>
      </c>
      <c r="AL204" s="4">
        <f t="shared" si="77"/>
        <v>0</v>
      </c>
      <c r="AM204" s="8" t="str">
        <f t="shared" si="78"/>
        <v>ABH Healthcare  Price</v>
      </c>
      <c r="AN204">
        <v>26</v>
      </c>
      <c r="AO204" s="61">
        <f t="shared" si="79"/>
        <v>0</v>
      </c>
      <c r="AP204" s="7">
        <f t="shared" si="80"/>
        <v>0</v>
      </c>
      <c r="AQ204" s="5">
        <v>1</v>
      </c>
      <c r="AR204" s="7">
        <f t="shared" si="81"/>
        <v>5</v>
      </c>
      <c r="AS204" s="5">
        <v>1</v>
      </c>
      <c r="AT204" s="5">
        <v>1</v>
      </c>
      <c r="AU204" s="5">
        <v>1</v>
      </c>
      <c r="AV204" s="5">
        <f t="shared" si="82"/>
        <v>1</v>
      </c>
      <c r="AW204" s="5">
        <v>1</v>
      </c>
      <c r="AX204" s="4">
        <f t="shared" si="83"/>
        <v>0</v>
      </c>
      <c r="AY204" s="4">
        <f t="shared" si="84"/>
        <v>0</v>
      </c>
      <c r="AZ204" s="4">
        <f t="shared" si="73"/>
        <v>0</v>
      </c>
      <c r="BA204" s="7"/>
    </row>
    <row r="205" spans="1:53" ht="12.75" customHeight="1">
      <c r="A205" t="s">
        <v>376</v>
      </c>
      <c r="B205" t="s">
        <v>377</v>
      </c>
      <c r="C205" t="s">
        <v>159</v>
      </c>
      <c r="D205">
        <v>1</v>
      </c>
      <c r="E205">
        <v>7.75</v>
      </c>
      <c r="F205">
        <v>48.84</v>
      </c>
      <c r="G205" s="5">
        <f>100*(F205-E205)/F205</f>
        <v>84.13185913185913</v>
      </c>
      <c r="H205">
        <v>66.14</v>
      </c>
      <c r="I205">
        <v>9.98</v>
      </c>
      <c r="J205">
        <v>8.64</v>
      </c>
      <c r="K205">
        <v>8.66</v>
      </c>
      <c r="L205">
        <v>23.1</v>
      </c>
      <c r="M205">
        <v>15.03</v>
      </c>
      <c r="N205">
        <v>12.86</v>
      </c>
      <c r="O205">
        <v>147.18</v>
      </c>
      <c r="P205" s="5">
        <f>O205/I205</f>
        <v>14.747494989979961</v>
      </c>
      <c r="Q205">
        <v>11.66</v>
      </c>
      <c r="R205" s="2">
        <v>15.05</v>
      </c>
      <c r="S205" s="6">
        <v>-0.5</v>
      </c>
      <c r="T205">
        <v>53.4</v>
      </c>
      <c r="U205">
        <v>10.06</v>
      </c>
      <c r="V205">
        <v>1</v>
      </c>
      <c r="W205">
        <v>1</v>
      </c>
      <c r="X205">
        <v>0</v>
      </c>
      <c r="Y205">
        <v>0</v>
      </c>
      <c r="Z205">
        <v>0</v>
      </c>
      <c r="AA205" s="5">
        <f>IF(X205&lt;50,IF(Y205&gt;(2.3*X205),0,1),1)-IF(Z205&gt;Y205,1.7,0)</f>
        <v>1</v>
      </c>
      <c r="AB205">
        <v>36.840000000000003</v>
      </c>
      <c r="AC205" s="5">
        <f>IF(AB205&gt;4,1,0)+IF(AB205&gt;10,0.7,0)</f>
        <v>1.7</v>
      </c>
      <c r="AD205">
        <v>34.32</v>
      </c>
      <c r="AE205">
        <v>11.89</v>
      </c>
      <c r="AF205">
        <v>25.68</v>
      </c>
      <c r="AG205" s="6">
        <f>IF(G205&lt;52,0,0.7)+IF(G205&lt;34,0,0.7)+IF(G205&lt;1,0,0.7)+IF(P205&gt;14.56,0,1)+IF(R205&lt;9,0.5,0)+IF(R205&lt;33.8,0.5,0)+IF(R205&lt;50,0.5,0)+IF(R205&lt;80,0.5,0)+IF(S205=5,0,S205)+IF(V205&gt;0,1,-1)+IF(AE205&lt;10.56,0,1)-IF(AE205&lt;3,1,0)-IF(AE205&lt;1,1,0)</f>
        <v>5.0999999999999996</v>
      </c>
      <c r="AH205" s="5">
        <f>AG205+IF(X205&lt;1.35,0,1)+IF(Y205&lt;1.35,0,1)+IF(Y205&lt;0.7,-1,0)+AC205+AA205</f>
        <v>6.8</v>
      </c>
      <c r="AI205" s="5">
        <v>11.324999999999999</v>
      </c>
      <c r="AJ205" s="5">
        <f t="shared" si="75"/>
        <v>1</v>
      </c>
      <c r="AK205" s="5">
        <f t="shared" si="76"/>
        <v>14.45</v>
      </c>
      <c r="AL205" s="4">
        <f t="shared" si="77"/>
        <v>1</v>
      </c>
      <c r="AM205" s="8" t="str">
        <f t="shared" si="78"/>
        <v>Sumax Engineering  Pr</v>
      </c>
      <c r="AN205">
        <v>28</v>
      </c>
      <c r="AO205" s="61">
        <f t="shared" si="79"/>
        <v>0</v>
      </c>
      <c r="AP205" s="7">
        <f t="shared" si="80"/>
        <v>3</v>
      </c>
      <c r="AQ205" s="5">
        <v>1</v>
      </c>
      <c r="AR205" s="7">
        <f t="shared" si="81"/>
        <v>5</v>
      </c>
      <c r="AS205" s="5">
        <v>1</v>
      </c>
      <c r="AT205" s="5">
        <v>1</v>
      </c>
      <c r="AU205" s="5">
        <v>1</v>
      </c>
      <c r="AV205" s="5">
        <f t="shared" si="82"/>
        <v>1</v>
      </c>
      <c r="AW205" s="5">
        <v>1</v>
      </c>
      <c r="AX205" s="4">
        <f t="shared" si="83"/>
        <v>0</v>
      </c>
      <c r="AY205" s="4">
        <f t="shared" si="84"/>
        <v>0</v>
      </c>
      <c r="AZ205" s="4">
        <f t="shared" si="73"/>
        <v>0</v>
      </c>
      <c r="BA205" s="7"/>
    </row>
    <row r="206" spans="1:53" ht="12.75" customHeight="1">
      <c r="A206" t="s">
        <v>378</v>
      </c>
      <c r="B206" t="s">
        <v>379</v>
      </c>
      <c r="C206" t="s">
        <v>159</v>
      </c>
      <c r="D206">
        <v>1</v>
      </c>
      <c r="E206">
        <v>67.2</v>
      </c>
      <c r="F206">
        <v>29.49</v>
      </c>
      <c r="G206" s="5">
        <v>-127.87</v>
      </c>
      <c r="H206">
        <v>122.59</v>
      </c>
      <c r="I206">
        <v>11.03</v>
      </c>
      <c r="J206">
        <v>6.43</v>
      </c>
      <c r="K206">
        <v>8.23</v>
      </c>
      <c r="L206">
        <v>37.42</v>
      </c>
      <c r="M206">
        <v>23.28</v>
      </c>
      <c r="N206">
        <v>13.56</v>
      </c>
      <c r="O206">
        <v>171.76</v>
      </c>
      <c r="P206" s="5">
        <v>15.57</v>
      </c>
      <c r="Q206">
        <v>12.15</v>
      </c>
      <c r="R206" s="2">
        <v>13.35</v>
      </c>
      <c r="S206" s="6">
        <v>-0.5</v>
      </c>
      <c r="T206">
        <v>27</v>
      </c>
      <c r="U206">
        <v>0</v>
      </c>
      <c r="V206">
        <v>1</v>
      </c>
      <c r="W206">
        <v>1</v>
      </c>
      <c r="X206">
        <v>0.99</v>
      </c>
      <c r="Y206">
        <v>0.32</v>
      </c>
      <c r="Z206">
        <v>0.4</v>
      </c>
      <c r="AA206" s="5">
        <v>1</v>
      </c>
      <c r="AB206">
        <v>16</v>
      </c>
      <c r="AC206" s="5">
        <v>1</v>
      </c>
      <c r="AD206">
        <v>548.82000000000005</v>
      </c>
      <c r="AE206">
        <v>58.44</v>
      </c>
      <c r="AF206">
        <v>81.59</v>
      </c>
      <c r="AG206" s="6">
        <v>3</v>
      </c>
      <c r="AH206" s="5">
        <v>5</v>
      </c>
      <c r="AI206" s="5">
        <v>11.234999999999999</v>
      </c>
      <c r="AJ206" s="5">
        <f t="shared" si="75"/>
        <v>1</v>
      </c>
      <c r="AK206" s="5">
        <f t="shared" si="76"/>
        <v>9.5</v>
      </c>
      <c r="AL206" s="4">
        <f t="shared" si="77"/>
        <v>1</v>
      </c>
      <c r="AM206" s="8" t="str">
        <f t="shared" si="78"/>
        <v>Madhur Knit  Price, G</v>
      </c>
      <c r="AN206">
        <v>27</v>
      </c>
      <c r="AO206" s="61">
        <f t="shared" si="79"/>
        <v>0</v>
      </c>
      <c r="AP206" s="7">
        <f t="shared" si="80"/>
        <v>0</v>
      </c>
      <c r="AQ206" s="5">
        <v>1</v>
      </c>
      <c r="AR206" s="7">
        <f t="shared" si="81"/>
        <v>5</v>
      </c>
      <c r="AS206" s="5">
        <v>1</v>
      </c>
      <c r="AT206" s="5">
        <v>1</v>
      </c>
      <c r="AU206" s="5">
        <v>1</v>
      </c>
      <c r="AV206" s="5">
        <f t="shared" si="82"/>
        <v>1</v>
      </c>
      <c r="AW206" s="5">
        <v>1</v>
      </c>
      <c r="AX206" s="4">
        <f t="shared" si="83"/>
        <v>0</v>
      </c>
      <c r="AY206" s="4">
        <f t="shared" si="84"/>
        <v>0</v>
      </c>
      <c r="AZ206" s="4">
        <f t="shared" si="73"/>
        <v>0</v>
      </c>
      <c r="BA206" s="7"/>
    </row>
    <row r="207" spans="1:53" ht="12.75" customHeight="1">
      <c r="A207" t="s">
        <v>380</v>
      </c>
      <c r="B207" t="s">
        <v>381</v>
      </c>
      <c r="C207" t="s">
        <v>159</v>
      </c>
      <c r="D207">
        <v>1</v>
      </c>
      <c r="E207">
        <v>10.11</v>
      </c>
      <c r="F207">
        <v>7.04</v>
      </c>
      <c r="G207" s="5">
        <f>100*(F207-E207)/F207</f>
        <v>-43.60795454545454</v>
      </c>
      <c r="H207">
        <v>19.68</v>
      </c>
      <c r="I207">
        <v>2.74</v>
      </c>
      <c r="J207">
        <v>9.49</v>
      </c>
      <c r="K207">
        <v>10.84</v>
      </c>
      <c r="L207">
        <v>53.95</v>
      </c>
      <c r="M207">
        <v>4.82</v>
      </c>
      <c r="N207">
        <v>15.27</v>
      </c>
      <c r="O207">
        <v>46.83</v>
      </c>
      <c r="P207" s="5">
        <f>O207/I207</f>
        <v>17.091240875912408</v>
      </c>
      <c r="Q207">
        <v>10.61</v>
      </c>
      <c r="R207" s="2">
        <v>15.65</v>
      </c>
      <c r="S207" s="6">
        <v>-0.5</v>
      </c>
      <c r="T207">
        <v>26.23</v>
      </c>
      <c r="U207">
        <v>0</v>
      </c>
      <c r="V207">
        <v>0</v>
      </c>
      <c r="W207">
        <v>0</v>
      </c>
      <c r="X207">
        <v>0</v>
      </c>
      <c r="Y207">
        <v>0.2</v>
      </c>
      <c r="Z207">
        <v>2.64</v>
      </c>
      <c r="AA207" s="5">
        <f>IF(X207&lt;50,IF(Y207&gt;(2.3*X207),0,1),1)-IF(Z207&gt;Y207,1.7,0)</f>
        <v>-1.7</v>
      </c>
      <c r="AB207">
        <v>0.87</v>
      </c>
      <c r="AC207" s="5">
        <f>IF(AB207&gt;4,1,0)+IF(AB207&gt;10,0.7,0)</f>
        <v>0</v>
      </c>
      <c r="AD207">
        <v>39.799999999999997</v>
      </c>
      <c r="AE207">
        <v>16.43</v>
      </c>
      <c r="AF207">
        <v>188.52</v>
      </c>
      <c r="AG207" s="6">
        <f>IF(G207&lt;52,0,0.7)+IF(G207&lt;34,0,0.7)+IF(G207&lt;1,0,0.7)+IF(P207&gt;14.56,0,1)+IF(R207&lt;9,0.5,0)+IF(R207&lt;33.8,0.5,0)+IF(R207&lt;50,0.5,0)+IF(R207&lt;80,0.5,0)+IF(S207=5,0,S207)+IF(V207&gt;0,1,-1)+IF(AE207&lt;10.56,0,1)-IF(AE207&lt;3,1,0)-IF(AE207&lt;1,1,0)</f>
        <v>1</v>
      </c>
      <c r="AH207" s="5">
        <f>AG207+IF(X207&lt;1.35,0,1)+IF(Y207&lt;1.35,0,1)+IF(Y207&lt;0.7,-1,0)+AC207+AA207</f>
        <v>-1.7</v>
      </c>
      <c r="AI207" s="5">
        <v>11.3225</v>
      </c>
      <c r="AJ207" s="5">
        <f t="shared" si="75"/>
        <v>1</v>
      </c>
      <c r="AK207" s="5">
        <f t="shared" si="76"/>
        <v>-0.19999999999999996</v>
      </c>
      <c r="AL207" s="4">
        <f t="shared" si="77"/>
        <v>1</v>
      </c>
      <c r="AM207" s="8" t="str">
        <f t="shared" si="78"/>
        <v>Q&amp;amp;T Foods  Price,</v>
      </c>
      <c r="AN207">
        <v>14</v>
      </c>
      <c r="AO207" s="61">
        <f t="shared" si="79"/>
        <v>0</v>
      </c>
      <c r="AP207" s="7">
        <f t="shared" si="80"/>
        <v>0</v>
      </c>
      <c r="AQ207" s="5">
        <v>1</v>
      </c>
      <c r="AR207" s="7">
        <f t="shared" si="81"/>
        <v>5</v>
      </c>
      <c r="AS207" s="5">
        <v>1</v>
      </c>
      <c r="AT207" s="5">
        <v>1</v>
      </c>
      <c r="AU207" s="5">
        <v>1</v>
      </c>
      <c r="AV207" s="5">
        <f t="shared" si="82"/>
        <v>1</v>
      </c>
      <c r="AW207" s="5">
        <v>1</v>
      </c>
      <c r="AX207" s="4">
        <f t="shared" si="83"/>
        <v>0</v>
      </c>
      <c r="AY207" s="4">
        <f t="shared" si="84"/>
        <v>0</v>
      </c>
      <c r="AZ207" s="4">
        <f t="shared" si="73"/>
        <v>0</v>
      </c>
      <c r="BA207" s="7"/>
    </row>
    <row r="208" spans="1:53" ht="12.75" customHeight="1">
      <c r="A208" t="s">
        <v>378</v>
      </c>
      <c r="B208" t="s">
        <v>379</v>
      </c>
      <c r="C208" t="s">
        <v>159</v>
      </c>
      <c r="D208">
        <v>1</v>
      </c>
      <c r="E208">
        <v>67.2</v>
      </c>
      <c r="F208">
        <v>29.49</v>
      </c>
      <c r="G208" s="5">
        <v>-127.87</v>
      </c>
      <c r="H208">
        <v>122.59</v>
      </c>
      <c r="I208">
        <v>11.03</v>
      </c>
      <c r="J208">
        <v>6.34</v>
      </c>
      <c r="K208">
        <v>8.23</v>
      </c>
      <c r="L208">
        <v>28.33</v>
      </c>
      <c r="M208">
        <v>23.28</v>
      </c>
      <c r="N208">
        <v>13.19</v>
      </c>
      <c r="O208">
        <v>171.76</v>
      </c>
      <c r="P208" s="5">
        <v>15.57</v>
      </c>
      <c r="Q208">
        <v>12.15</v>
      </c>
      <c r="R208" s="2">
        <v>13.91</v>
      </c>
      <c r="S208" s="6">
        <v>-0.5</v>
      </c>
      <c r="T208">
        <v>53.27</v>
      </c>
      <c r="U208">
        <v>0</v>
      </c>
      <c r="V208">
        <v>1</v>
      </c>
      <c r="W208">
        <v>1</v>
      </c>
      <c r="X208">
        <v>0.99</v>
      </c>
      <c r="Y208">
        <v>0.32</v>
      </c>
      <c r="Z208">
        <v>0.4</v>
      </c>
      <c r="AA208" s="5">
        <v>1</v>
      </c>
      <c r="AB208">
        <v>16</v>
      </c>
      <c r="AC208" s="5">
        <v>1</v>
      </c>
      <c r="AD208">
        <v>548.82000000000005</v>
      </c>
      <c r="AE208">
        <v>58.44</v>
      </c>
      <c r="AF208">
        <v>81.59</v>
      </c>
      <c r="AG208" s="6">
        <v>3</v>
      </c>
      <c r="AH208" s="5">
        <v>5</v>
      </c>
      <c r="AI208" s="5">
        <v>11.234999999999999</v>
      </c>
      <c r="AJ208" s="5">
        <f t="shared" si="75"/>
        <v>1</v>
      </c>
      <c r="AK208" s="5">
        <f t="shared" si="76"/>
        <v>9.5</v>
      </c>
      <c r="AL208" s="4">
        <f t="shared" si="77"/>
        <v>1</v>
      </c>
      <c r="AM208" s="8" t="str">
        <f t="shared" si="78"/>
        <v>Madhur Knit  Price, G</v>
      </c>
      <c r="AN208">
        <v>27</v>
      </c>
      <c r="AO208" s="61">
        <f t="shared" si="79"/>
        <v>0</v>
      </c>
      <c r="AP208" s="7">
        <f t="shared" si="80"/>
        <v>0</v>
      </c>
      <c r="AQ208" s="5">
        <v>1</v>
      </c>
      <c r="AR208" s="7">
        <f t="shared" si="81"/>
        <v>5</v>
      </c>
      <c r="AS208" s="5">
        <v>1</v>
      </c>
      <c r="AT208" s="5">
        <v>1</v>
      </c>
      <c r="AU208" s="5">
        <v>1</v>
      </c>
      <c r="AV208" s="5">
        <f t="shared" si="82"/>
        <v>1</v>
      </c>
      <c r="AW208" s="5">
        <v>1</v>
      </c>
      <c r="AX208" s="4">
        <f t="shared" si="83"/>
        <v>0</v>
      </c>
      <c r="AY208" s="4">
        <f t="shared" si="84"/>
        <v>0</v>
      </c>
      <c r="AZ208" s="4">
        <f t="shared" si="73"/>
        <v>0</v>
      </c>
      <c r="BA208" s="7"/>
    </row>
    <row r="209" spans="1:53" ht="12.75" customHeight="1">
      <c r="A209" t="s">
        <v>382</v>
      </c>
      <c r="B209" t="s">
        <v>383</v>
      </c>
      <c r="C209" t="s">
        <v>159</v>
      </c>
      <c r="D209">
        <v>1</v>
      </c>
      <c r="E209">
        <v>3.26</v>
      </c>
      <c r="F209">
        <v>27.9</v>
      </c>
      <c r="G209" s="5">
        <f t="shared" ref="G209:G217" si="85">100*(F209-E209)/F209</f>
        <v>88.31541218637993</v>
      </c>
      <c r="H209">
        <v>46.79</v>
      </c>
      <c r="I209">
        <v>8.56</v>
      </c>
      <c r="J209">
        <v>12.78</v>
      </c>
      <c r="K209">
        <v>8</v>
      </c>
      <c r="L209">
        <v>38.979999999999997</v>
      </c>
      <c r="M209">
        <v>12.25</v>
      </c>
      <c r="N209">
        <v>18.03</v>
      </c>
      <c r="O209">
        <v>65.08</v>
      </c>
      <c r="P209" s="5">
        <f t="shared" ref="P209:P217" si="86">O209/I209</f>
        <v>7.602803738317756</v>
      </c>
      <c r="Q209">
        <v>11.25</v>
      </c>
      <c r="R209" s="2">
        <v>14.29</v>
      </c>
      <c r="S209" s="6">
        <v>-0.5</v>
      </c>
      <c r="T209">
        <v>50.77</v>
      </c>
      <c r="U209">
        <v>0</v>
      </c>
      <c r="V209">
        <v>1</v>
      </c>
      <c r="W209">
        <v>1</v>
      </c>
      <c r="X209">
        <v>224.32</v>
      </c>
      <c r="Y209">
        <v>318.52999999999997</v>
      </c>
      <c r="Z209">
        <v>313.18</v>
      </c>
      <c r="AA209" s="5">
        <f t="shared" ref="AA209:AA217" si="87">IF(X209&lt;50,IF(Y209&gt;(2.3*X209),0,1),1)-IF(Z209&gt;Y209,1.7,0)</f>
        <v>1</v>
      </c>
      <c r="AB209">
        <v>0</v>
      </c>
      <c r="AC209" s="5">
        <f t="shared" ref="AC209:AC217" si="88">IF(AB209&gt;4,1,0)+IF(AB209&gt;10,0.7,0)</f>
        <v>0</v>
      </c>
      <c r="AD209">
        <v>202.47</v>
      </c>
      <c r="AE209">
        <v>115.07</v>
      </c>
      <c r="AF209">
        <v>182.96</v>
      </c>
      <c r="AG209" s="6">
        <f t="shared" ref="AG209:AG217" si="89">IF(G209&lt;52,0,0.7)+IF(G209&lt;34,0,0.7)+IF(G209&lt;1,0,0.7)+IF(P209&gt;14.56,0,1)+IF(R209&lt;9,0.5,0)+IF(R209&lt;33.8,0.5,0)+IF(R209&lt;50,0.5,0)+IF(R209&lt;80,0.5,0)+IF(S209=5,0,S209)+IF(V209&gt;0,1,-1)+IF(AE209&lt;10.56,0,1)-IF(AE209&lt;3,1,0)-IF(AE209&lt;1,1,0)</f>
        <v>6.1</v>
      </c>
      <c r="AH209" s="5">
        <f t="shared" ref="AH209:AH217" si="90">AG209+IF(X209&lt;1.35,0,1)+IF(Y209&lt;1.35,0,1)+IF(Y209&lt;0.7,-1,0)+AC209+AA209</f>
        <v>9.1</v>
      </c>
      <c r="AI209" s="5">
        <v>12.3825</v>
      </c>
      <c r="AJ209" s="5">
        <f t="shared" si="75"/>
        <v>1</v>
      </c>
      <c r="AK209" s="5">
        <f t="shared" si="76"/>
        <v>17.337499999999999</v>
      </c>
      <c r="AL209" s="4">
        <f t="shared" si="77"/>
        <v>1</v>
      </c>
      <c r="AM209" s="8" t="str">
        <f t="shared" si="78"/>
        <v>Kwick Forensic Soluti</v>
      </c>
      <c r="AN209">
        <v>31</v>
      </c>
      <c r="AO209" s="61">
        <f t="shared" si="79"/>
        <v>0</v>
      </c>
      <c r="AP209" s="7">
        <f t="shared" si="80"/>
        <v>0</v>
      </c>
      <c r="AQ209" s="5">
        <v>0.95</v>
      </c>
      <c r="AR209" s="7">
        <f t="shared" si="81"/>
        <v>5</v>
      </c>
      <c r="AS209" s="5">
        <v>1</v>
      </c>
      <c r="AT209" s="5">
        <v>1</v>
      </c>
      <c r="AU209" s="5">
        <v>1</v>
      </c>
      <c r="AV209" s="5">
        <f t="shared" si="82"/>
        <v>1</v>
      </c>
      <c r="AW209" s="5">
        <v>1</v>
      </c>
      <c r="AX209" s="4">
        <f t="shared" si="83"/>
        <v>0</v>
      </c>
      <c r="AY209" s="4">
        <f t="shared" si="84"/>
        <v>0</v>
      </c>
      <c r="AZ209" s="4">
        <f t="shared" si="73"/>
        <v>0</v>
      </c>
      <c r="BA209" s="7"/>
    </row>
    <row r="210" spans="1:53" ht="12.75" customHeight="1">
      <c r="A210" t="s">
        <v>384</v>
      </c>
      <c r="B210" t="s">
        <v>385</v>
      </c>
      <c r="C210" t="s">
        <v>159</v>
      </c>
      <c r="D210">
        <v>1</v>
      </c>
      <c r="E210">
        <v>2.19</v>
      </c>
      <c r="F210">
        <v>0</v>
      </c>
      <c r="G210" s="5" t="e">
        <f t="shared" si="85"/>
        <v>#DIV/0!</v>
      </c>
      <c r="H210">
        <v>69.78</v>
      </c>
      <c r="I210">
        <v>11.41</v>
      </c>
      <c r="J210">
        <v>15.81</v>
      </c>
      <c r="K210">
        <v>12.11</v>
      </c>
      <c r="L210">
        <v>53.55</v>
      </c>
      <c r="M210">
        <v>0</v>
      </c>
      <c r="N210">
        <v>13.39</v>
      </c>
      <c r="O210">
        <v>111.42</v>
      </c>
      <c r="P210" s="5">
        <f t="shared" si="86"/>
        <v>9.7651183172655571</v>
      </c>
      <c r="Q210">
        <v>11.15</v>
      </c>
      <c r="R210" s="2">
        <v>15.27</v>
      </c>
      <c r="S210" s="6">
        <v>-0.5</v>
      </c>
      <c r="T210">
        <v>74.930000000000007</v>
      </c>
      <c r="U210">
        <v>0</v>
      </c>
      <c r="V210">
        <v>1</v>
      </c>
      <c r="W210">
        <v>1</v>
      </c>
      <c r="X210">
        <v>7.34</v>
      </c>
      <c r="Y210">
        <v>2.66</v>
      </c>
      <c r="Z210">
        <v>1.57</v>
      </c>
      <c r="AA210" s="5">
        <f t="shared" si="87"/>
        <v>1</v>
      </c>
      <c r="AB210">
        <v>0</v>
      </c>
      <c r="AC210" s="5">
        <f t="shared" si="88"/>
        <v>0</v>
      </c>
      <c r="AD210">
        <v>0</v>
      </c>
      <c r="AE210">
        <v>0</v>
      </c>
      <c r="AF210">
        <v>0</v>
      </c>
      <c r="AG210" s="6" t="e">
        <f t="shared" si="89"/>
        <v>#DIV/0!</v>
      </c>
      <c r="AH210" s="5" t="e">
        <f t="shared" si="90"/>
        <v>#DIV/0!</v>
      </c>
      <c r="AI210" s="5">
        <v>12.38</v>
      </c>
      <c r="AJ210" s="5">
        <f t="shared" si="75"/>
        <v>1</v>
      </c>
      <c r="AK210" s="5" t="e">
        <f t="shared" si="76"/>
        <v>#DIV/0!</v>
      </c>
      <c r="AL210" s="4">
        <f t="shared" si="77"/>
        <v>1</v>
      </c>
      <c r="AM210" s="8" t="str">
        <f t="shared" si="78"/>
        <v>Complete Sports &amp;amp;</v>
      </c>
      <c r="AN210">
        <v>1</v>
      </c>
      <c r="AO210" s="61">
        <f t="shared" si="79"/>
        <v>0</v>
      </c>
      <c r="AP210" s="7" t="e">
        <f t="shared" si="80"/>
        <v>#DIV/0!</v>
      </c>
      <c r="AQ210" s="5">
        <v>1</v>
      </c>
      <c r="AR210" s="7">
        <f t="shared" si="81"/>
        <v>5</v>
      </c>
      <c r="AS210" s="5">
        <v>1</v>
      </c>
      <c r="AT210" s="5">
        <v>1</v>
      </c>
      <c r="AU210" s="5">
        <v>1</v>
      </c>
      <c r="AV210" s="5">
        <f t="shared" si="82"/>
        <v>1</v>
      </c>
      <c r="AW210" s="5">
        <v>1</v>
      </c>
      <c r="AX210" s="4">
        <f t="shared" si="83"/>
        <v>0</v>
      </c>
      <c r="AY210" s="4">
        <f t="shared" si="84"/>
        <v>0</v>
      </c>
      <c r="AZ210" s="4">
        <f t="shared" si="73"/>
        <v>0</v>
      </c>
      <c r="BA210" s="7" t="e">
        <f>#REF!+(#REF!*AB210)/100</f>
        <v>#REF!</v>
      </c>
    </row>
    <row r="211" spans="1:53" ht="12.75" customHeight="1">
      <c r="A211" t="s">
        <v>386</v>
      </c>
      <c r="B211" t="s">
        <v>387</v>
      </c>
      <c r="C211" t="s">
        <v>159</v>
      </c>
      <c r="D211">
        <v>0</v>
      </c>
      <c r="E211">
        <v>17.489999999999998</v>
      </c>
      <c r="F211">
        <v>31.82</v>
      </c>
      <c r="G211" s="5">
        <f t="shared" si="85"/>
        <v>45.034569453174115</v>
      </c>
      <c r="H211">
        <v>66.98</v>
      </c>
      <c r="I211">
        <v>9.6300000000000008</v>
      </c>
      <c r="J211">
        <v>13.18</v>
      </c>
      <c r="K211">
        <v>6.91</v>
      </c>
      <c r="L211">
        <v>30.31</v>
      </c>
      <c r="M211">
        <v>18.989999999999998</v>
      </c>
      <c r="N211">
        <v>22.79</v>
      </c>
      <c r="O211">
        <v>102.9</v>
      </c>
      <c r="P211" s="5">
        <f t="shared" si="86"/>
        <v>10.685358255451714</v>
      </c>
      <c r="Q211">
        <v>6.95</v>
      </c>
      <c r="R211" s="2">
        <v>6.62</v>
      </c>
      <c r="S211" s="6">
        <v>-0.5</v>
      </c>
      <c r="T211">
        <v>33</v>
      </c>
      <c r="U211">
        <v>0</v>
      </c>
      <c r="V211">
        <v>1</v>
      </c>
      <c r="W211">
        <v>1</v>
      </c>
      <c r="X211">
        <v>83.89</v>
      </c>
      <c r="Y211">
        <v>286.74</v>
      </c>
      <c r="Z211">
        <v>372.67</v>
      </c>
      <c r="AA211" s="5">
        <f t="shared" si="87"/>
        <v>-0.7</v>
      </c>
      <c r="AB211">
        <v>0</v>
      </c>
      <c r="AC211" s="5">
        <f t="shared" si="88"/>
        <v>0</v>
      </c>
      <c r="AD211">
        <v>180.76</v>
      </c>
      <c r="AE211">
        <v>1.1399999999999999</v>
      </c>
      <c r="AF211">
        <v>72.19</v>
      </c>
      <c r="AG211" s="6">
        <f t="shared" si="89"/>
        <v>3.9000000000000004</v>
      </c>
      <c r="AH211" s="5">
        <f t="shared" si="90"/>
        <v>5.2</v>
      </c>
      <c r="AI211" s="5">
        <v>12.365</v>
      </c>
      <c r="AJ211" s="5">
        <f t="shared" si="75"/>
        <v>1</v>
      </c>
      <c r="AK211" s="5">
        <f t="shared" si="76"/>
        <v>10.4975</v>
      </c>
      <c r="AL211" s="4">
        <f t="shared" si="77"/>
        <v>0</v>
      </c>
      <c r="AM211" s="8" t="str">
        <f t="shared" si="78"/>
        <v xml:space="preserve">Paluck Technologies  </v>
      </c>
      <c r="AN211">
        <v>1</v>
      </c>
      <c r="AO211" s="61">
        <f t="shared" si="79"/>
        <v>0</v>
      </c>
      <c r="AP211" s="7">
        <f t="shared" si="80"/>
        <v>0</v>
      </c>
      <c r="AQ211" s="5">
        <v>0.95</v>
      </c>
      <c r="AR211" s="7">
        <f t="shared" si="81"/>
        <v>5</v>
      </c>
      <c r="AS211" s="5">
        <v>1</v>
      </c>
      <c r="AT211" s="5">
        <v>1</v>
      </c>
      <c r="AU211" s="5">
        <v>1</v>
      </c>
      <c r="AV211" s="5">
        <f t="shared" si="82"/>
        <v>1</v>
      </c>
      <c r="AW211" s="5">
        <v>1</v>
      </c>
      <c r="AX211" s="4">
        <f t="shared" si="83"/>
        <v>0</v>
      </c>
      <c r="AY211" s="4">
        <f t="shared" si="84"/>
        <v>0</v>
      </c>
      <c r="AZ211" s="4">
        <f t="shared" ref="AZ211:AZ242" si="91">IF(AY211&lt;-50,-4,IF(AY211&lt;-20,-2,IF(AY211&lt;0,-1,IF(AY211=0,0,IF(AY211&lt;10,1.5,IF(AY211&lt;20,2,IF(AY211&gt;19,2.5,2.5)))))))</f>
        <v>0</v>
      </c>
      <c r="BA211" s="7" t="e">
        <f>#REF!+(#REF!*AB211)/100</f>
        <v>#REF!</v>
      </c>
    </row>
    <row r="212" spans="1:53" ht="12.75" customHeight="1">
      <c r="A212" t="s">
        <v>388</v>
      </c>
      <c r="B212" t="s">
        <v>389</v>
      </c>
      <c r="C212" t="s">
        <v>159</v>
      </c>
      <c r="D212">
        <v>1</v>
      </c>
      <c r="E212">
        <v>57.44</v>
      </c>
      <c r="F212">
        <v>35.85</v>
      </c>
      <c r="G212" s="5">
        <f t="shared" si="85"/>
        <v>-60.22315202231519</v>
      </c>
      <c r="H212">
        <v>104.6</v>
      </c>
      <c r="I212">
        <v>8.51</v>
      </c>
      <c r="J212">
        <v>13.67</v>
      </c>
      <c r="K212">
        <v>10.19</v>
      </c>
      <c r="L212">
        <v>0</v>
      </c>
      <c r="M212">
        <v>17.84</v>
      </c>
      <c r="N212">
        <v>26.47</v>
      </c>
      <c r="O212">
        <v>114.97</v>
      </c>
      <c r="P212" s="5">
        <f t="shared" si="86"/>
        <v>13.509988249118685</v>
      </c>
      <c r="Q212">
        <v>9.0299999999999994</v>
      </c>
      <c r="R212" s="2">
        <v>12.55</v>
      </c>
      <c r="S212" s="6">
        <v>-1</v>
      </c>
      <c r="T212">
        <v>56.35</v>
      </c>
      <c r="U212">
        <v>0</v>
      </c>
      <c r="V212">
        <v>1</v>
      </c>
      <c r="W212">
        <v>1</v>
      </c>
      <c r="X212">
        <v>143.93</v>
      </c>
      <c r="Y212">
        <v>200.85</v>
      </c>
      <c r="Z212">
        <v>99.16</v>
      </c>
      <c r="AA212" s="5">
        <f t="shared" si="87"/>
        <v>1</v>
      </c>
      <c r="AB212">
        <v>0</v>
      </c>
      <c r="AC212" s="5">
        <f t="shared" si="88"/>
        <v>0</v>
      </c>
      <c r="AD212">
        <v>20.71</v>
      </c>
      <c r="AE212">
        <v>4.62</v>
      </c>
      <c r="AF212">
        <v>30.13</v>
      </c>
      <c r="AG212" s="6">
        <f t="shared" si="89"/>
        <v>2.5</v>
      </c>
      <c r="AH212" s="5">
        <f t="shared" si="90"/>
        <v>5.5</v>
      </c>
      <c r="AI212" s="5">
        <v>12.362500000000001</v>
      </c>
      <c r="AJ212" s="5">
        <f t="shared" si="75"/>
        <v>1</v>
      </c>
      <c r="AK212" s="5">
        <f t="shared" si="76"/>
        <v>9.25</v>
      </c>
      <c r="AL212" s="4">
        <f t="shared" si="77"/>
        <v>1</v>
      </c>
      <c r="AM212" s="8" t="str">
        <f t="shared" si="78"/>
        <v>Ashutosh Fibre  Price</v>
      </c>
      <c r="AN212">
        <v>2</v>
      </c>
      <c r="AO212" s="61">
        <f t="shared" si="79"/>
        <v>0</v>
      </c>
      <c r="AP212" s="7">
        <f t="shared" si="80"/>
        <v>0</v>
      </c>
      <c r="AQ212" s="5">
        <v>1</v>
      </c>
      <c r="AR212" s="7">
        <f t="shared" si="81"/>
        <v>5</v>
      </c>
      <c r="AS212" s="5">
        <v>1</v>
      </c>
      <c r="AT212" s="5">
        <v>1</v>
      </c>
      <c r="AU212" s="5">
        <v>1</v>
      </c>
      <c r="AV212" s="5">
        <f t="shared" si="82"/>
        <v>1</v>
      </c>
      <c r="AW212" s="5">
        <v>1</v>
      </c>
      <c r="AX212" s="4">
        <f t="shared" si="83"/>
        <v>0</v>
      </c>
      <c r="AY212" s="4">
        <f t="shared" si="84"/>
        <v>0</v>
      </c>
      <c r="AZ212" s="4">
        <f t="shared" si="91"/>
        <v>0</v>
      </c>
      <c r="BA212" s="7" t="e">
        <f>#REF!+(#REF!*AB212)/100</f>
        <v>#REF!</v>
      </c>
    </row>
    <row r="213" spans="1:53" ht="12.75" customHeight="1">
      <c r="A213" t="s">
        <v>390</v>
      </c>
      <c r="B213" t="s">
        <v>391</v>
      </c>
      <c r="C213" t="s">
        <v>159</v>
      </c>
      <c r="D213">
        <v>1</v>
      </c>
      <c r="E213">
        <v>25.38</v>
      </c>
      <c r="F213">
        <v>25.6</v>
      </c>
      <c r="G213" s="5">
        <f t="shared" si="85"/>
        <v>0.85937500000000944</v>
      </c>
      <c r="H213">
        <v>66.040000000000006</v>
      </c>
      <c r="I213">
        <v>7.99</v>
      </c>
      <c r="J213">
        <v>15.53</v>
      </c>
      <c r="K213">
        <v>8.84</v>
      </c>
      <c r="L213">
        <v>5.05</v>
      </c>
      <c r="M213">
        <v>12.06</v>
      </c>
      <c r="N213">
        <v>25.16</v>
      </c>
      <c r="O213">
        <v>58.46</v>
      </c>
      <c r="P213" s="5">
        <f t="shared" si="86"/>
        <v>7.3166458072590741</v>
      </c>
      <c r="Q213">
        <v>9.39</v>
      </c>
      <c r="R213" s="2">
        <v>9.5399999999999991</v>
      </c>
      <c r="S213" s="6">
        <v>-0.5</v>
      </c>
      <c r="T213">
        <v>47.24</v>
      </c>
      <c r="U213">
        <v>0</v>
      </c>
      <c r="V213">
        <v>1</v>
      </c>
      <c r="W213">
        <v>1</v>
      </c>
      <c r="X213">
        <v>130.97</v>
      </c>
      <c r="Y213">
        <v>195.53</v>
      </c>
      <c r="Z213">
        <v>125.72</v>
      </c>
      <c r="AA213" s="5">
        <f t="shared" si="87"/>
        <v>1</v>
      </c>
      <c r="AB213">
        <v>0</v>
      </c>
      <c r="AC213" s="5">
        <f t="shared" si="88"/>
        <v>0</v>
      </c>
      <c r="AD213">
        <v>56.05</v>
      </c>
      <c r="AE213">
        <v>29.74</v>
      </c>
      <c r="AF213">
        <v>45.45</v>
      </c>
      <c r="AG213" s="6">
        <f t="shared" si="89"/>
        <v>4</v>
      </c>
      <c r="AH213" s="5">
        <f t="shared" si="90"/>
        <v>7</v>
      </c>
      <c r="AI213" s="5">
        <v>12.3675</v>
      </c>
      <c r="AJ213" s="5">
        <f t="shared" si="75"/>
        <v>1</v>
      </c>
      <c r="AK213" s="5">
        <f t="shared" si="76"/>
        <v>13</v>
      </c>
      <c r="AL213" s="4">
        <f t="shared" si="77"/>
        <v>1</v>
      </c>
      <c r="AM213" s="8" t="str">
        <f t="shared" si="78"/>
        <v>Shanti Inorganics  Pr</v>
      </c>
      <c r="AN213">
        <v>2</v>
      </c>
      <c r="AO213" s="61">
        <f t="shared" si="79"/>
        <v>0</v>
      </c>
      <c r="AP213" s="7">
        <f t="shared" si="80"/>
        <v>0</v>
      </c>
      <c r="AQ213" s="5">
        <v>1</v>
      </c>
      <c r="AR213" s="7">
        <f t="shared" si="81"/>
        <v>5</v>
      </c>
      <c r="AS213" s="5">
        <v>1</v>
      </c>
      <c r="AT213" s="5">
        <v>1</v>
      </c>
      <c r="AU213" s="5">
        <v>1</v>
      </c>
      <c r="AV213" s="5">
        <f t="shared" si="82"/>
        <v>1</v>
      </c>
      <c r="AW213" s="5">
        <v>1</v>
      </c>
      <c r="AX213" s="4">
        <f t="shared" si="83"/>
        <v>0</v>
      </c>
      <c r="AY213" s="4">
        <f t="shared" si="84"/>
        <v>0</v>
      </c>
      <c r="AZ213" s="4">
        <f t="shared" si="91"/>
        <v>0</v>
      </c>
      <c r="BA213" s="7" t="e">
        <f>#REF!+(#REF!*AB213)/100</f>
        <v>#REF!</v>
      </c>
    </row>
    <row r="214" spans="1:53" ht="12.75" customHeight="1">
      <c r="A214" t="s">
        <v>392</v>
      </c>
      <c r="B214" t="s">
        <v>393</v>
      </c>
      <c r="C214" t="s">
        <v>159</v>
      </c>
      <c r="D214">
        <v>1</v>
      </c>
      <c r="E214">
        <v>4.59</v>
      </c>
      <c r="F214">
        <v>9.6999999999999993</v>
      </c>
      <c r="G214" s="5">
        <f t="shared" si="85"/>
        <v>52.680412371134018</v>
      </c>
      <c r="H214">
        <v>20.75</v>
      </c>
      <c r="I214">
        <v>2.84</v>
      </c>
      <c r="J214">
        <v>7.24</v>
      </c>
      <c r="K214">
        <v>5.42</v>
      </c>
      <c r="L214">
        <v>34.82</v>
      </c>
      <c r="M214">
        <v>4.37</v>
      </c>
      <c r="N214">
        <v>10.78</v>
      </c>
      <c r="O214">
        <v>51.11</v>
      </c>
      <c r="P214" s="5">
        <f t="shared" si="86"/>
        <v>17.996478873239436</v>
      </c>
      <c r="Q214">
        <v>9.9600000000000009</v>
      </c>
      <c r="R214" s="2">
        <v>13.53</v>
      </c>
      <c r="S214" s="6">
        <v>-0.5</v>
      </c>
      <c r="T214">
        <v>14.58</v>
      </c>
      <c r="U214">
        <v>0</v>
      </c>
      <c r="V214">
        <v>1</v>
      </c>
      <c r="W214">
        <v>1</v>
      </c>
      <c r="X214">
        <v>4.3099999999999996</v>
      </c>
      <c r="Y214">
        <v>42.41</v>
      </c>
      <c r="Z214">
        <v>20.76</v>
      </c>
      <c r="AA214" s="5">
        <f t="shared" si="87"/>
        <v>0</v>
      </c>
      <c r="AB214">
        <v>0</v>
      </c>
      <c r="AC214" s="5">
        <f t="shared" si="88"/>
        <v>0</v>
      </c>
      <c r="AD214">
        <v>68.05</v>
      </c>
      <c r="AE214">
        <v>7.4</v>
      </c>
      <c r="AF214">
        <v>41.4</v>
      </c>
      <c r="AG214" s="6">
        <f t="shared" si="89"/>
        <v>4.0999999999999996</v>
      </c>
      <c r="AH214" s="5">
        <f t="shared" si="90"/>
        <v>6.1</v>
      </c>
      <c r="AI214" s="5">
        <v>12.365</v>
      </c>
      <c r="AJ214" s="5">
        <f t="shared" si="75"/>
        <v>1</v>
      </c>
      <c r="AK214" s="5">
        <f t="shared" si="76"/>
        <v>11.637499999999999</v>
      </c>
      <c r="AL214" s="4">
        <f t="shared" si="77"/>
        <v>1</v>
      </c>
      <c r="AM214" s="8" t="str">
        <f t="shared" si="78"/>
        <v xml:space="preserve">Phychem Technologies </v>
      </c>
      <c r="AN214">
        <v>2</v>
      </c>
      <c r="AO214" s="61">
        <f t="shared" si="79"/>
        <v>0</v>
      </c>
      <c r="AP214" s="7">
        <f t="shared" si="80"/>
        <v>0</v>
      </c>
      <c r="AQ214" s="5">
        <v>0.95</v>
      </c>
      <c r="AR214" s="7">
        <f t="shared" si="81"/>
        <v>5</v>
      </c>
      <c r="AS214" s="5">
        <v>1</v>
      </c>
      <c r="AT214" s="5">
        <v>1</v>
      </c>
      <c r="AU214" s="5">
        <v>1</v>
      </c>
      <c r="AV214" s="5">
        <f t="shared" si="82"/>
        <v>1</v>
      </c>
      <c r="AW214" s="5">
        <v>1</v>
      </c>
      <c r="AX214" s="4">
        <f t="shared" si="83"/>
        <v>0</v>
      </c>
      <c r="AY214" s="4">
        <f t="shared" si="84"/>
        <v>0</v>
      </c>
      <c r="AZ214" s="4">
        <f t="shared" si="91"/>
        <v>0</v>
      </c>
      <c r="BA214" s="7" t="e">
        <f>#REF!+(#REF!*AB214)/100</f>
        <v>#REF!</v>
      </c>
    </row>
    <row r="215" spans="1:53" ht="12.75" customHeight="1">
      <c r="A215" t="s">
        <v>394</v>
      </c>
      <c r="B215" t="s">
        <v>395</v>
      </c>
      <c r="C215" t="s">
        <v>159</v>
      </c>
      <c r="D215">
        <v>0</v>
      </c>
      <c r="E215">
        <v>10.029999999999999</v>
      </c>
      <c r="F215">
        <v>9.5299999999999994</v>
      </c>
      <c r="G215" s="5">
        <f t="shared" si="85"/>
        <v>-5.2465897166841557</v>
      </c>
      <c r="H215">
        <v>23</v>
      </c>
      <c r="I215">
        <v>3.44</v>
      </c>
      <c r="J215">
        <v>13.58</v>
      </c>
      <c r="K215">
        <v>8.41</v>
      </c>
      <c r="L215">
        <v>61.29</v>
      </c>
      <c r="M215">
        <v>5.27</v>
      </c>
      <c r="N215">
        <v>20.14</v>
      </c>
      <c r="O215">
        <v>45.75</v>
      </c>
      <c r="P215" s="5">
        <f t="shared" si="86"/>
        <v>13.299418604651162</v>
      </c>
      <c r="Q215">
        <v>12.13</v>
      </c>
      <c r="R215" s="2">
        <v>17.170000000000002</v>
      </c>
      <c r="S215" s="6">
        <v>-0.5</v>
      </c>
      <c r="T215">
        <v>52.63</v>
      </c>
      <c r="U215">
        <v>0</v>
      </c>
      <c r="V215">
        <v>0</v>
      </c>
      <c r="W215">
        <v>1</v>
      </c>
      <c r="X215">
        <v>0</v>
      </c>
      <c r="Y215">
        <v>0.57999999999999996</v>
      </c>
      <c r="Z215">
        <v>3.66</v>
      </c>
      <c r="AA215" s="5">
        <f t="shared" si="87"/>
        <v>-1.7</v>
      </c>
      <c r="AB215">
        <v>0</v>
      </c>
      <c r="AC215" s="5">
        <f t="shared" si="88"/>
        <v>0</v>
      </c>
      <c r="AD215">
        <v>89.01</v>
      </c>
      <c r="AE215">
        <v>0.75</v>
      </c>
      <c r="AF215">
        <v>56.49</v>
      </c>
      <c r="AG215" s="6">
        <f t="shared" si="89"/>
        <v>-1</v>
      </c>
      <c r="AH215" s="5">
        <f t="shared" si="90"/>
        <v>-3.7</v>
      </c>
      <c r="AI215" s="5">
        <v>12.37</v>
      </c>
      <c r="AJ215" s="5">
        <f t="shared" si="75"/>
        <v>1</v>
      </c>
      <c r="AK215" s="5">
        <f t="shared" si="76"/>
        <v>-5.2</v>
      </c>
      <c r="AL215" s="4">
        <f t="shared" si="77"/>
        <v>0</v>
      </c>
      <c r="AM215" s="8" t="str">
        <f t="shared" si="78"/>
        <v>Fly-Hi Maritime  Pric</v>
      </c>
      <c r="AN215">
        <v>3</v>
      </c>
      <c r="AO215" s="61">
        <f t="shared" si="79"/>
        <v>0</v>
      </c>
      <c r="AP215" s="7">
        <f t="shared" si="80"/>
        <v>0</v>
      </c>
      <c r="AQ215" s="5">
        <v>1</v>
      </c>
      <c r="AR215" s="7">
        <f t="shared" si="81"/>
        <v>5</v>
      </c>
      <c r="AS215" s="5">
        <v>1</v>
      </c>
      <c r="AT215" s="5">
        <v>1</v>
      </c>
      <c r="AU215" s="5">
        <v>1</v>
      </c>
      <c r="AV215" s="5">
        <f t="shared" si="82"/>
        <v>1</v>
      </c>
      <c r="AW215" s="5">
        <v>1</v>
      </c>
      <c r="AX215" s="4">
        <f t="shared" si="83"/>
        <v>0</v>
      </c>
      <c r="AY215" s="4">
        <f t="shared" si="84"/>
        <v>0</v>
      </c>
      <c r="AZ215" s="4">
        <f t="shared" si="91"/>
        <v>0</v>
      </c>
      <c r="BA215" s="7" t="e">
        <f>#REF!+(#REF!*AB215)/100</f>
        <v>#REF!</v>
      </c>
    </row>
    <row r="216" spans="1:53" ht="12.75" customHeight="1">
      <c r="A216" t="s">
        <v>396</v>
      </c>
      <c r="B216" t="s">
        <v>397</v>
      </c>
      <c r="C216" t="s">
        <v>159</v>
      </c>
      <c r="D216">
        <v>1</v>
      </c>
      <c r="E216">
        <v>2.46</v>
      </c>
      <c r="F216">
        <v>35.950000000000003</v>
      </c>
      <c r="G216" s="5">
        <f t="shared" si="85"/>
        <v>93.157162726008337</v>
      </c>
      <c r="H216">
        <v>69.319999999999993</v>
      </c>
      <c r="I216">
        <v>6.66</v>
      </c>
      <c r="J216">
        <v>8.41</v>
      </c>
      <c r="K216">
        <v>4.97</v>
      </c>
      <c r="L216">
        <v>18.96</v>
      </c>
      <c r="M216">
        <v>9.26</v>
      </c>
      <c r="N216">
        <v>13.74</v>
      </c>
      <c r="O216">
        <v>79.98</v>
      </c>
      <c r="P216" s="5">
        <f t="shared" si="86"/>
        <v>12.009009009009009</v>
      </c>
      <c r="Q216">
        <v>11.87</v>
      </c>
      <c r="R216" s="2">
        <v>16.12</v>
      </c>
      <c r="S216" s="6">
        <v>-0.5</v>
      </c>
      <c r="T216">
        <v>32</v>
      </c>
      <c r="U216">
        <v>0</v>
      </c>
      <c r="V216">
        <v>0</v>
      </c>
      <c r="W216">
        <v>1</v>
      </c>
      <c r="X216">
        <v>0</v>
      </c>
      <c r="Y216">
        <v>1.73</v>
      </c>
      <c r="Z216">
        <v>0.59</v>
      </c>
      <c r="AA216" s="5">
        <f t="shared" si="87"/>
        <v>0</v>
      </c>
      <c r="AB216">
        <v>0</v>
      </c>
      <c r="AC216" s="5">
        <f t="shared" si="88"/>
        <v>0</v>
      </c>
      <c r="AD216">
        <v>8.1199999999999992</v>
      </c>
      <c r="AE216">
        <v>27.46</v>
      </c>
      <c r="AF216">
        <v>297.68</v>
      </c>
      <c r="AG216" s="6">
        <f t="shared" si="89"/>
        <v>4.0999999999999996</v>
      </c>
      <c r="AH216" s="5">
        <f t="shared" si="90"/>
        <v>5.0999999999999996</v>
      </c>
      <c r="AI216" s="5">
        <v>12.352499999999999</v>
      </c>
      <c r="AJ216" s="5">
        <f t="shared" si="75"/>
        <v>1</v>
      </c>
      <c r="AK216" s="5">
        <f t="shared" si="76"/>
        <v>11.25</v>
      </c>
      <c r="AL216" s="4">
        <f t="shared" si="77"/>
        <v>1</v>
      </c>
      <c r="AM216" s="8" t="str">
        <f t="shared" si="78"/>
        <v>Farm Peace  Price, GM</v>
      </c>
      <c r="AN216">
        <v>3</v>
      </c>
      <c r="AO216" s="61">
        <f t="shared" si="79"/>
        <v>0</v>
      </c>
      <c r="AP216" s="7">
        <f t="shared" si="80"/>
        <v>0</v>
      </c>
      <c r="AQ216" s="5">
        <v>1</v>
      </c>
      <c r="AR216" s="7">
        <f t="shared" si="81"/>
        <v>5</v>
      </c>
      <c r="AS216" s="5">
        <v>1</v>
      </c>
      <c r="AT216" s="5">
        <v>1</v>
      </c>
      <c r="AU216" s="5">
        <v>1</v>
      </c>
      <c r="AV216" s="5">
        <f t="shared" si="82"/>
        <v>1</v>
      </c>
      <c r="AW216" s="5">
        <v>1</v>
      </c>
      <c r="AX216" s="4">
        <f t="shared" si="83"/>
        <v>0</v>
      </c>
      <c r="AY216" s="4">
        <f t="shared" si="84"/>
        <v>0</v>
      </c>
      <c r="AZ216" s="4">
        <f t="shared" si="91"/>
        <v>0</v>
      </c>
      <c r="BA216" s="7" t="e">
        <f>#REF!+(#REF!*AB216)/100</f>
        <v>#REF!</v>
      </c>
    </row>
    <row r="217" spans="1:53" ht="12.75" customHeight="1">
      <c r="A217" t="s">
        <v>398</v>
      </c>
      <c r="B217" t="s">
        <v>399</v>
      </c>
      <c r="C217" t="s">
        <v>159</v>
      </c>
      <c r="D217">
        <v>1</v>
      </c>
      <c r="E217">
        <v>29.71</v>
      </c>
      <c r="F217">
        <v>13.82</v>
      </c>
      <c r="G217" s="5">
        <f t="shared" si="85"/>
        <v>-114.97829232995659</v>
      </c>
      <c r="H217">
        <v>57.53</v>
      </c>
      <c r="I217">
        <v>4.9000000000000004</v>
      </c>
      <c r="J217">
        <v>15.44</v>
      </c>
      <c r="K217">
        <v>11.99</v>
      </c>
      <c r="L217">
        <v>61.56</v>
      </c>
      <c r="M217">
        <v>7.97</v>
      </c>
      <c r="N217">
        <v>21.74</v>
      </c>
      <c r="O217">
        <v>55.06</v>
      </c>
      <c r="P217" s="5">
        <f t="shared" si="86"/>
        <v>11.236734693877551</v>
      </c>
      <c r="Q217">
        <v>10.59</v>
      </c>
      <c r="R217" s="2">
        <v>14.4</v>
      </c>
      <c r="S217" s="6">
        <v>-1</v>
      </c>
      <c r="T217">
        <v>45.11</v>
      </c>
      <c r="U217">
        <v>0</v>
      </c>
      <c r="V217">
        <v>1</v>
      </c>
      <c r="W217">
        <v>1</v>
      </c>
      <c r="X217">
        <v>299.60000000000002</v>
      </c>
      <c r="Y217">
        <v>699.59</v>
      </c>
      <c r="Z217">
        <v>447.13</v>
      </c>
      <c r="AA217" s="5">
        <f t="shared" si="87"/>
        <v>1</v>
      </c>
      <c r="AB217">
        <v>0</v>
      </c>
      <c r="AC217" s="5">
        <f t="shared" si="88"/>
        <v>0</v>
      </c>
      <c r="AD217">
        <v>72.540000000000006</v>
      </c>
      <c r="AE217">
        <v>44.36</v>
      </c>
      <c r="AF217">
        <v>54.93</v>
      </c>
      <c r="AG217" s="6">
        <f t="shared" si="89"/>
        <v>3.5</v>
      </c>
      <c r="AH217" s="5">
        <f t="shared" si="90"/>
        <v>6.5</v>
      </c>
      <c r="AI217" s="5">
        <v>12.3475</v>
      </c>
      <c r="AJ217" s="5">
        <f t="shared" si="75"/>
        <v>1</v>
      </c>
      <c r="AK217" s="5">
        <f t="shared" si="76"/>
        <v>11.75</v>
      </c>
      <c r="AL217" s="4">
        <f t="shared" si="77"/>
        <v>1</v>
      </c>
      <c r="AM217" s="8" t="str">
        <f t="shared" si="78"/>
        <v>Qualiance Internation</v>
      </c>
      <c r="AN217">
        <v>8</v>
      </c>
      <c r="AO217" s="61">
        <f t="shared" si="79"/>
        <v>0</v>
      </c>
      <c r="AP217" s="7">
        <f t="shared" si="80"/>
        <v>0</v>
      </c>
      <c r="AQ217" s="5">
        <v>1</v>
      </c>
      <c r="AR217" s="7">
        <f t="shared" si="81"/>
        <v>5</v>
      </c>
      <c r="AS217" s="5">
        <v>1</v>
      </c>
      <c r="AT217" s="5">
        <v>1</v>
      </c>
      <c r="AU217" s="5">
        <v>1</v>
      </c>
      <c r="AV217" s="5">
        <f t="shared" si="82"/>
        <v>1</v>
      </c>
      <c r="AW217" s="5">
        <v>1</v>
      </c>
      <c r="AX217" s="4">
        <f t="shared" si="83"/>
        <v>0</v>
      </c>
      <c r="AY217" s="4">
        <f t="shared" si="84"/>
        <v>0</v>
      </c>
      <c r="AZ217" s="4">
        <f t="shared" si="91"/>
        <v>0</v>
      </c>
      <c r="BA217" s="7" t="e">
        <f>#REF!+(#REF!*AB217)/100</f>
        <v>#REF!</v>
      </c>
    </row>
    <row r="218" spans="1:53" ht="12.75" customHeight="1">
      <c r="A218" t="s">
        <v>400</v>
      </c>
      <c r="B218" t="s">
        <v>401</v>
      </c>
      <c r="C218" t="s">
        <v>159</v>
      </c>
      <c r="D218">
        <v>1</v>
      </c>
      <c r="E218">
        <v>8</v>
      </c>
      <c r="F218">
        <v>14.41</v>
      </c>
      <c r="G218" s="5">
        <v>44.48</v>
      </c>
      <c r="H218">
        <v>28.95</v>
      </c>
      <c r="I218">
        <v>3.11</v>
      </c>
      <c r="J218">
        <v>19.010000000000002</v>
      </c>
      <c r="K218">
        <v>4.96</v>
      </c>
      <c r="L218">
        <v>33.82</v>
      </c>
      <c r="M218">
        <v>6.15</v>
      </c>
      <c r="N218">
        <v>36.69</v>
      </c>
      <c r="O218">
        <v>21.61</v>
      </c>
      <c r="P218" s="5">
        <v>6.95</v>
      </c>
      <c r="Q218">
        <v>12.1</v>
      </c>
      <c r="R218" s="2">
        <v>17.91</v>
      </c>
      <c r="S218" s="6">
        <v>-1</v>
      </c>
      <c r="T218">
        <v>34.14</v>
      </c>
      <c r="U218">
        <v>0</v>
      </c>
      <c r="V218">
        <v>0</v>
      </c>
      <c r="W218">
        <v>1</v>
      </c>
      <c r="X218">
        <v>0</v>
      </c>
      <c r="Y218">
        <v>0.28000000000000003</v>
      </c>
      <c r="Z218">
        <v>2.23</v>
      </c>
      <c r="AA218" s="5">
        <v>0</v>
      </c>
      <c r="AB218">
        <v>0</v>
      </c>
      <c r="AC218" s="5">
        <v>0</v>
      </c>
      <c r="AD218">
        <v>3.67</v>
      </c>
      <c r="AE218">
        <v>6.3</v>
      </c>
      <c r="AF218">
        <v>21.4</v>
      </c>
      <c r="AG218" s="6">
        <v>3.4</v>
      </c>
      <c r="AH218" s="5">
        <v>3.4</v>
      </c>
      <c r="AI218" s="5">
        <v>12.3025</v>
      </c>
      <c r="AJ218" s="5">
        <f t="shared" si="75"/>
        <v>1</v>
      </c>
      <c r="AK218" s="5">
        <f t="shared" si="76"/>
        <v>8.5</v>
      </c>
      <c r="AL218" s="4">
        <f t="shared" si="77"/>
        <v>1</v>
      </c>
      <c r="AM218" s="8" t="str">
        <f t="shared" si="78"/>
        <v>Apana Logistics  Pric</v>
      </c>
      <c r="AN218">
        <v>9</v>
      </c>
      <c r="AO218" s="61">
        <f t="shared" si="79"/>
        <v>0</v>
      </c>
      <c r="AP218" s="7">
        <f t="shared" si="80"/>
        <v>0</v>
      </c>
      <c r="AQ218" s="5">
        <v>1</v>
      </c>
      <c r="AR218" s="7">
        <f t="shared" si="81"/>
        <v>5</v>
      </c>
      <c r="AS218" s="5">
        <v>1</v>
      </c>
      <c r="AT218" s="5">
        <v>1</v>
      </c>
      <c r="AU218" s="5">
        <v>1</v>
      </c>
      <c r="AV218" s="5">
        <f t="shared" si="82"/>
        <v>1</v>
      </c>
      <c r="AW218" s="5">
        <v>1</v>
      </c>
      <c r="AX218" s="4">
        <f t="shared" si="83"/>
        <v>0</v>
      </c>
      <c r="AY218" s="4">
        <f t="shared" si="84"/>
        <v>0</v>
      </c>
      <c r="AZ218" s="4">
        <f t="shared" si="91"/>
        <v>0</v>
      </c>
      <c r="BA218" s="7" t="e">
        <f>#REF!+(#REF!*AB218)/100</f>
        <v>#REF!</v>
      </c>
    </row>
    <row r="219" spans="1:53" ht="12.75" customHeight="1">
      <c r="A219" t="s">
        <v>402</v>
      </c>
      <c r="B219" t="s">
        <v>403</v>
      </c>
      <c r="C219" t="s">
        <v>159</v>
      </c>
      <c r="D219">
        <v>1</v>
      </c>
      <c r="E219">
        <v>3.02</v>
      </c>
      <c r="F219">
        <v>1.89</v>
      </c>
      <c r="G219" s="5">
        <v>-59.79</v>
      </c>
      <c r="H219">
        <v>8.24</v>
      </c>
      <c r="I219">
        <v>2.85</v>
      </c>
      <c r="J219">
        <v>10.94</v>
      </c>
      <c r="K219">
        <v>9.2899999999999991</v>
      </c>
      <c r="L219">
        <v>115.54</v>
      </c>
      <c r="M219">
        <v>4.5</v>
      </c>
      <c r="N219">
        <v>15.62</v>
      </c>
      <c r="O219">
        <v>30.48</v>
      </c>
      <c r="P219" s="5">
        <v>10.69</v>
      </c>
      <c r="Q219">
        <v>11.19</v>
      </c>
      <c r="R219" s="2">
        <v>14.5</v>
      </c>
      <c r="S219" s="6">
        <v>-1</v>
      </c>
      <c r="T219">
        <v>40.880000000000003</v>
      </c>
      <c r="U219">
        <v>0</v>
      </c>
      <c r="V219">
        <v>0</v>
      </c>
      <c r="W219">
        <v>1</v>
      </c>
      <c r="X219">
        <v>0</v>
      </c>
      <c r="Y219">
        <v>0.79</v>
      </c>
      <c r="Z219">
        <v>1.39</v>
      </c>
      <c r="AA219" s="5">
        <v>0</v>
      </c>
      <c r="AB219">
        <v>0</v>
      </c>
      <c r="AC219" s="5">
        <v>0</v>
      </c>
      <c r="AD219">
        <v>196.88</v>
      </c>
      <c r="AE219">
        <v>215.53</v>
      </c>
      <c r="AF219">
        <v>35</v>
      </c>
      <c r="AG219" s="6">
        <v>3</v>
      </c>
      <c r="AH219" s="5">
        <v>3</v>
      </c>
      <c r="AI219" s="5">
        <v>12.3125</v>
      </c>
      <c r="AJ219" s="5">
        <f t="shared" si="75"/>
        <v>1</v>
      </c>
      <c r="AK219" s="5">
        <f t="shared" si="76"/>
        <v>7.5</v>
      </c>
      <c r="AL219" s="4">
        <f t="shared" si="77"/>
        <v>1</v>
      </c>
      <c r="AM219" s="8" t="str">
        <f t="shared" si="78"/>
        <v>Infrax Renewable  Pri</v>
      </c>
      <c r="AN219">
        <v>9</v>
      </c>
      <c r="AO219" s="61">
        <f t="shared" si="79"/>
        <v>0</v>
      </c>
      <c r="AP219" s="7">
        <f t="shared" si="80"/>
        <v>0</v>
      </c>
      <c r="AQ219" s="5">
        <v>1</v>
      </c>
      <c r="AR219" s="7">
        <f t="shared" si="81"/>
        <v>5</v>
      </c>
      <c r="AS219" s="5">
        <v>1</v>
      </c>
      <c r="AT219" s="5">
        <v>1</v>
      </c>
      <c r="AU219" s="5">
        <v>1</v>
      </c>
      <c r="AV219" s="5">
        <f t="shared" si="82"/>
        <v>1</v>
      </c>
      <c r="AW219" s="5">
        <v>1</v>
      </c>
      <c r="AX219" s="4">
        <f t="shared" si="83"/>
        <v>0</v>
      </c>
      <c r="AY219" s="4">
        <f t="shared" si="84"/>
        <v>0</v>
      </c>
      <c r="AZ219" s="4">
        <f t="shared" si="91"/>
        <v>0</v>
      </c>
      <c r="BA219" s="7" t="e">
        <f>#REF!+(#REF!*AB219)/100</f>
        <v>#REF!</v>
      </c>
    </row>
    <row r="220" spans="1:53" ht="12.75" customHeight="1">
      <c r="A220" t="s">
        <v>404</v>
      </c>
      <c r="B220" t="s">
        <v>405</v>
      </c>
      <c r="C220" t="s">
        <v>159</v>
      </c>
      <c r="D220">
        <v>1</v>
      </c>
      <c r="E220">
        <v>66.28</v>
      </c>
      <c r="F220">
        <v>32.4</v>
      </c>
      <c r="G220" s="5">
        <v>-104.57</v>
      </c>
      <c r="H220">
        <v>177.68</v>
      </c>
      <c r="I220">
        <v>9.23</v>
      </c>
      <c r="J220">
        <v>3.04</v>
      </c>
      <c r="K220">
        <v>8.9700000000000006</v>
      </c>
      <c r="L220">
        <v>24.31</v>
      </c>
      <c r="M220">
        <v>20.96</v>
      </c>
      <c r="N220">
        <v>6.66</v>
      </c>
      <c r="O220">
        <v>335.74</v>
      </c>
      <c r="P220" s="5">
        <v>36.369999999999997</v>
      </c>
      <c r="Q220">
        <v>10.48</v>
      </c>
      <c r="R220" s="2">
        <v>14.6</v>
      </c>
      <c r="S220" s="6">
        <v>-1</v>
      </c>
      <c r="T220">
        <v>42.83</v>
      </c>
      <c r="U220">
        <v>0</v>
      </c>
      <c r="V220">
        <v>0</v>
      </c>
      <c r="W220">
        <v>1</v>
      </c>
      <c r="X220">
        <v>0</v>
      </c>
      <c r="Y220">
        <v>0.26</v>
      </c>
      <c r="Z220">
        <v>2.59</v>
      </c>
      <c r="AA220" s="5">
        <v>0</v>
      </c>
      <c r="AB220">
        <v>1.06</v>
      </c>
      <c r="AC220" s="5">
        <v>0</v>
      </c>
      <c r="AD220">
        <v>68.12</v>
      </c>
      <c r="AE220">
        <v>23.59</v>
      </c>
      <c r="AF220">
        <v>39.9</v>
      </c>
      <c r="AG220" s="6">
        <v>2</v>
      </c>
      <c r="AH220" s="5">
        <v>2</v>
      </c>
      <c r="AI220" s="5">
        <v>12.3325</v>
      </c>
      <c r="AJ220" s="5">
        <f t="shared" si="75"/>
        <v>1</v>
      </c>
      <c r="AK220" s="5">
        <f t="shared" si="76"/>
        <v>5</v>
      </c>
      <c r="AL220" s="4">
        <f t="shared" si="77"/>
        <v>1</v>
      </c>
      <c r="AM220" s="8" t="str">
        <f t="shared" si="78"/>
        <v>Vinod Texworld  Price</v>
      </c>
      <c r="AN220">
        <v>9</v>
      </c>
      <c r="AO220" s="61">
        <f t="shared" si="79"/>
        <v>0</v>
      </c>
      <c r="AP220" s="7">
        <f t="shared" si="80"/>
        <v>0</v>
      </c>
      <c r="AQ220" s="5">
        <v>1</v>
      </c>
      <c r="AR220" s="7">
        <f t="shared" si="81"/>
        <v>5</v>
      </c>
      <c r="AS220" s="5">
        <v>1</v>
      </c>
      <c r="AT220" s="5">
        <v>1</v>
      </c>
      <c r="AU220" s="5">
        <v>1</v>
      </c>
      <c r="AV220" s="5">
        <f t="shared" si="82"/>
        <v>1</v>
      </c>
      <c r="AW220" s="5">
        <v>1</v>
      </c>
      <c r="AX220" s="4">
        <f t="shared" si="83"/>
        <v>0</v>
      </c>
      <c r="AY220" s="4">
        <f t="shared" si="84"/>
        <v>0</v>
      </c>
      <c r="AZ220" s="4">
        <f t="shared" si="91"/>
        <v>0</v>
      </c>
      <c r="BA220" s="7" t="e">
        <f>#REF!+(#REF!*AB220)/100</f>
        <v>#REF!</v>
      </c>
    </row>
    <row r="221" spans="1:53" ht="12.75" customHeight="1">
      <c r="A221" t="s">
        <v>406</v>
      </c>
      <c r="B221" t="s">
        <v>407</v>
      </c>
      <c r="C221" t="s">
        <v>159</v>
      </c>
      <c r="D221">
        <v>1</v>
      </c>
      <c r="E221">
        <v>3.99</v>
      </c>
      <c r="F221">
        <v>15.36</v>
      </c>
      <c r="G221" s="5">
        <v>74.02</v>
      </c>
      <c r="H221">
        <v>27.86</v>
      </c>
      <c r="I221">
        <v>3.72</v>
      </c>
      <c r="J221">
        <v>10.28</v>
      </c>
      <c r="K221">
        <v>6.55</v>
      </c>
      <c r="L221">
        <v>24.17</v>
      </c>
      <c r="M221">
        <v>6.5</v>
      </c>
      <c r="N221">
        <v>18.41</v>
      </c>
      <c r="O221">
        <v>36.97</v>
      </c>
      <c r="P221" s="5">
        <v>9.94</v>
      </c>
      <c r="Q221">
        <v>0</v>
      </c>
      <c r="R221" s="2">
        <v>0</v>
      </c>
      <c r="S221" s="6">
        <v>-0.5</v>
      </c>
      <c r="T221">
        <v>17.88</v>
      </c>
      <c r="U221">
        <v>0</v>
      </c>
      <c r="V221">
        <v>1</v>
      </c>
      <c r="W221">
        <v>1</v>
      </c>
      <c r="X221">
        <v>9.77</v>
      </c>
      <c r="Y221">
        <v>17.649999999999999</v>
      </c>
      <c r="Z221">
        <v>16.93</v>
      </c>
      <c r="AA221" s="5">
        <v>1</v>
      </c>
      <c r="AB221">
        <v>9.33</v>
      </c>
      <c r="AC221" s="5">
        <v>1</v>
      </c>
      <c r="AD221">
        <v>30.99</v>
      </c>
      <c r="AE221">
        <v>35.72</v>
      </c>
      <c r="AF221">
        <v>31.96</v>
      </c>
      <c r="AG221" s="6">
        <v>6.1</v>
      </c>
      <c r="AH221" s="5">
        <v>10.1</v>
      </c>
      <c r="AI221" s="5">
        <v>12.307499999999999</v>
      </c>
      <c r="AJ221" s="5">
        <f t="shared" si="75"/>
        <v>1</v>
      </c>
      <c r="AK221" s="5">
        <f t="shared" si="76"/>
        <v>18.287499999999998</v>
      </c>
      <c r="AL221" s="4">
        <f t="shared" si="77"/>
        <v>1</v>
      </c>
      <c r="AM221" s="8" t="str">
        <f t="shared" si="78"/>
        <v>Amtech Esters  Price,</v>
      </c>
      <c r="AN221">
        <v>9</v>
      </c>
      <c r="AO221" s="61">
        <f t="shared" si="79"/>
        <v>1</v>
      </c>
      <c r="AP221" s="7">
        <f t="shared" si="80"/>
        <v>2</v>
      </c>
      <c r="AQ221" s="5">
        <v>0.95</v>
      </c>
      <c r="AR221" s="7">
        <f t="shared" si="81"/>
        <v>1</v>
      </c>
      <c r="AS221" s="5">
        <v>1</v>
      </c>
      <c r="AT221" s="5">
        <v>1</v>
      </c>
      <c r="AU221" s="5">
        <v>1</v>
      </c>
      <c r="AV221" s="5">
        <f t="shared" si="82"/>
        <v>1</v>
      </c>
      <c r="AW221" s="5">
        <v>1</v>
      </c>
      <c r="AX221" s="4">
        <f t="shared" si="83"/>
        <v>0</v>
      </c>
      <c r="AY221" s="4">
        <f t="shared" si="84"/>
        <v>0</v>
      </c>
      <c r="AZ221" s="4">
        <f t="shared" si="91"/>
        <v>0</v>
      </c>
      <c r="BA221" s="7" t="e">
        <f>#REF!+(#REF!*AB221)/100</f>
        <v>#REF!</v>
      </c>
    </row>
    <row r="222" spans="1:53" ht="12.75" customHeight="1">
      <c r="A222" t="s">
        <v>408</v>
      </c>
      <c r="B222" t="s">
        <v>409</v>
      </c>
      <c r="C222" t="s">
        <v>159</v>
      </c>
      <c r="D222">
        <v>1</v>
      </c>
      <c r="E222">
        <v>18.04</v>
      </c>
      <c r="F222">
        <v>11.39</v>
      </c>
      <c r="G222" s="5">
        <v>-58.38</v>
      </c>
      <c r="H222">
        <v>47.67</v>
      </c>
      <c r="I222">
        <v>5.57</v>
      </c>
      <c r="J222">
        <v>12.51</v>
      </c>
      <c r="K222">
        <v>11.89</v>
      </c>
      <c r="L222">
        <v>0</v>
      </c>
      <c r="M222">
        <v>10.61</v>
      </c>
      <c r="N222">
        <v>18.36</v>
      </c>
      <c r="O222">
        <v>93.6</v>
      </c>
      <c r="P222" s="5">
        <v>16.8</v>
      </c>
      <c r="Q222">
        <v>15.64</v>
      </c>
      <c r="R222" s="2">
        <v>19.809999999999999</v>
      </c>
      <c r="S222">
        <v>-0.5</v>
      </c>
      <c r="T222">
        <v>80.13</v>
      </c>
      <c r="U222">
        <v>0</v>
      </c>
      <c r="V222">
        <v>1</v>
      </c>
      <c r="W222">
        <v>1</v>
      </c>
      <c r="X222">
        <v>17.57</v>
      </c>
      <c r="Y222">
        <v>19.2</v>
      </c>
      <c r="Z222">
        <v>12.1</v>
      </c>
      <c r="AA222" s="5">
        <v>1</v>
      </c>
      <c r="AB222">
        <v>10.75</v>
      </c>
      <c r="AC222" s="5">
        <v>1</v>
      </c>
      <c r="AD222">
        <v>415.74</v>
      </c>
      <c r="AE222">
        <v>52.42</v>
      </c>
      <c r="AF222">
        <v>129.18</v>
      </c>
      <c r="AG222" s="6">
        <v>3</v>
      </c>
      <c r="AH222" s="5">
        <v>7</v>
      </c>
      <c r="AI222" s="5">
        <v>13.397500000000001</v>
      </c>
      <c r="AJ222" s="5">
        <f t="shared" si="75"/>
        <v>0.98</v>
      </c>
      <c r="AK222" s="5">
        <f t="shared" si="76"/>
        <v>11.27</v>
      </c>
      <c r="AL222" s="4">
        <f t="shared" si="77"/>
        <v>1</v>
      </c>
      <c r="AM222" s="8" t="str">
        <f t="shared" si="78"/>
        <v>Maharaja &amp;amp; Speede</v>
      </c>
      <c r="AN222">
        <v>15</v>
      </c>
      <c r="AO222" s="61">
        <f t="shared" si="79"/>
        <v>0</v>
      </c>
      <c r="AP222" s="7">
        <f t="shared" si="80"/>
        <v>0</v>
      </c>
      <c r="AQ222" s="5">
        <v>1</v>
      </c>
      <c r="AR222" s="7">
        <f t="shared" si="81"/>
        <v>5</v>
      </c>
      <c r="AS222" s="5">
        <v>1</v>
      </c>
      <c r="AT222" s="5">
        <v>1</v>
      </c>
      <c r="AU222" s="5">
        <v>1</v>
      </c>
      <c r="AV222" s="5">
        <f t="shared" si="82"/>
        <v>1</v>
      </c>
      <c r="AW222" s="5">
        <v>1</v>
      </c>
      <c r="AX222" s="4">
        <f t="shared" si="83"/>
        <v>0</v>
      </c>
      <c r="AY222" s="4">
        <f t="shared" si="84"/>
        <v>0</v>
      </c>
      <c r="AZ222" s="4">
        <f t="shared" si="91"/>
        <v>0</v>
      </c>
      <c r="BA222" s="7" t="e">
        <f>#REF!+(#REF!*AB222)/100</f>
        <v>#REF!</v>
      </c>
    </row>
    <row r="223" spans="1:53" ht="12.75" customHeight="1">
      <c r="A223" t="s">
        <v>410</v>
      </c>
      <c r="B223" t="s">
        <v>411</v>
      </c>
      <c r="C223" t="s">
        <v>159</v>
      </c>
      <c r="D223">
        <v>1</v>
      </c>
      <c r="E223">
        <v>25.13</v>
      </c>
      <c r="F223">
        <v>66.010000000000005</v>
      </c>
      <c r="G223" s="5">
        <v>61.93</v>
      </c>
      <c r="H223">
        <v>142.81</v>
      </c>
      <c r="I223">
        <v>15.92</v>
      </c>
      <c r="J223">
        <v>13.42</v>
      </c>
      <c r="K223">
        <v>7.49</v>
      </c>
      <c r="L223">
        <v>22.13</v>
      </c>
      <c r="M223">
        <v>29.36</v>
      </c>
      <c r="N223">
        <v>26.33</v>
      </c>
      <c r="O223">
        <v>113.13</v>
      </c>
      <c r="P223" s="5">
        <v>7.11</v>
      </c>
      <c r="Q223">
        <v>12.02</v>
      </c>
      <c r="R223" s="2">
        <v>18.329999999999998</v>
      </c>
      <c r="S223">
        <v>-0.5</v>
      </c>
      <c r="T223">
        <v>105</v>
      </c>
      <c r="U223">
        <v>0</v>
      </c>
      <c r="V223">
        <v>1</v>
      </c>
      <c r="W223">
        <v>1</v>
      </c>
      <c r="X223">
        <v>3.51</v>
      </c>
      <c r="Y223">
        <v>0.71</v>
      </c>
      <c r="Z223">
        <v>0.43</v>
      </c>
      <c r="AA223" s="5">
        <v>1</v>
      </c>
      <c r="AB223">
        <v>0</v>
      </c>
      <c r="AC223" s="5">
        <v>0</v>
      </c>
      <c r="AD223">
        <v>32.229999999999997</v>
      </c>
      <c r="AE223">
        <v>7.62</v>
      </c>
      <c r="AF223">
        <v>32.31</v>
      </c>
      <c r="AG223" s="6">
        <v>5.0999999999999996</v>
      </c>
      <c r="AH223" s="5">
        <v>7.1</v>
      </c>
      <c r="AI223" s="5">
        <v>13.395</v>
      </c>
      <c r="AJ223" s="5">
        <f t="shared" si="75"/>
        <v>0.98</v>
      </c>
      <c r="AK223" s="5">
        <f t="shared" si="76"/>
        <v>14.455</v>
      </c>
      <c r="AL223" s="4">
        <f t="shared" si="77"/>
        <v>1</v>
      </c>
      <c r="AM223" s="8" t="str">
        <f t="shared" si="78"/>
        <v>Om Galaxy  Price, GMP</v>
      </c>
      <c r="AN223">
        <v>15</v>
      </c>
      <c r="AO223" s="61">
        <f t="shared" si="79"/>
        <v>0</v>
      </c>
      <c r="AP223" s="7">
        <f t="shared" si="80"/>
        <v>3</v>
      </c>
      <c r="AQ223" s="5">
        <v>1</v>
      </c>
      <c r="AR223" s="7">
        <f t="shared" si="81"/>
        <v>5</v>
      </c>
      <c r="AS223" s="5">
        <v>1</v>
      </c>
      <c r="AT223" s="5">
        <v>1</v>
      </c>
      <c r="AU223" s="5">
        <v>1</v>
      </c>
      <c r="AV223" s="5">
        <f t="shared" si="82"/>
        <v>1</v>
      </c>
      <c r="AW223" s="5">
        <v>1</v>
      </c>
      <c r="AX223" s="4">
        <f t="shared" si="83"/>
        <v>0</v>
      </c>
      <c r="AY223" s="4">
        <f t="shared" si="84"/>
        <v>0</v>
      </c>
      <c r="AZ223" s="4">
        <f t="shared" si="91"/>
        <v>0</v>
      </c>
      <c r="BA223" s="7" t="e">
        <f>#REF!+(#REF!*AB223)/100</f>
        <v>#REF!</v>
      </c>
    </row>
    <row r="224" spans="1:53" ht="12.75" customHeight="1">
      <c r="A224" t="s">
        <v>412</v>
      </c>
      <c r="B224" t="s">
        <v>413</v>
      </c>
      <c r="C224" t="s">
        <v>159</v>
      </c>
      <c r="D224">
        <v>1</v>
      </c>
      <c r="E224">
        <v>23.51</v>
      </c>
      <c r="F224">
        <v>44.07</v>
      </c>
      <c r="G224" s="5">
        <v>46.65</v>
      </c>
      <c r="H224">
        <v>117.9</v>
      </c>
      <c r="I224">
        <v>20.38</v>
      </c>
      <c r="J224">
        <v>9.25</v>
      </c>
      <c r="K224">
        <v>20.39</v>
      </c>
      <c r="L224">
        <v>55.32</v>
      </c>
      <c r="M224">
        <v>29.51</v>
      </c>
      <c r="N224">
        <v>12.87</v>
      </c>
      <c r="O224">
        <v>324.77999999999997</v>
      </c>
      <c r="P224" s="5">
        <v>15.94</v>
      </c>
      <c r="Q224">
        <v>13.39</v>
      </c>
      <c r="R224" s="2">
        <v>16.98</v>
      </c>
      <c r="S224">
        <v>-1</v>
      </c>
      <c r="T224">
        <v>150.5</v>
      </c>
      <c r="U224">
        <v>0</v>
      </c>
      <c r="V224">
        <v>1</v>
      </c>
      <c r="W224">
        <v>1</v>
      </c>
      <c r="X224">
        <v>28.54</v>
      </c>
      <c r="Y224">
        <v>29.78</v>
      </c>
      <c r="Z224">
        <v>15.03</v>
      </c>
      <c r="AA224" s="5">
        <v>1</v>
      </c>
      <c r="AB224">
        <v>18.32</v>
      </c>
      <c r="AC224" s="5">
        <v>1</v>
      </c>
      <c r="AD224">
        <v>168.51</v>
      </c>
      <c r="AE224">
        <v>99.84</v>
      </c>
      <c r="AF224">
        <v>85.95</v>
      </c>
      <c r="AG224" s="6">
        <v>4.4000000000000004</v>
      </c>
      <c r="AH224" s="5">
        <v>8.4</v>
      </c>
      <c r="AI224" s="5">
        <v>13.39</v>
      </c>
      <c r="AJ224" s="5">
        <f t="shared" si="75"/>
        <v>0.98</v>
      </c>
      <c r="AK224" s="5">
        <f t="shared" si="76"/>
        <v>14.7</v>
      </c>
      <c r="AL224" s="4">
        <f t="shared" si="77"/>
        <v>1</v>
      </c>
      <c r="AM224" s="8" t="str">
        <f t="shared" si="78"/>
        <v xml:space="preserve">Raksan Transformers  </v>
      </c>
      <c r="AN224">
        <v>15</v>
      </c>
      <c r="AO224" s="61">
        <f t="shared" si="79"/>
        <v>0</v>
      </c>
      <c r="AP224" s="7">
        <f t="shared" si="80"/>
        <v>2</v>
      </c>
      <c r="AQ224" s="5">
        <v>1</v>
      </c>
      <c r="AR224" s="7">
        <f t="shared" si="81"/>
        <v>5</v>
      </c>
      <c r="AS224" s="5">
        <v>1</v>
      </c>
      <c r="AT224" s="5">
        <v>1</v>
      </c>
      <c r="AU224" s="5">
        <v>1</v>
      </c>
      <c r="AV224" s="5">
        <f t="shared" si="82"/>
        <v>1</v>
      </c>
      <c r="AW224" s="5">
        <v>1</v>
      </c>
      <c r="AX224" s="4">
        <f t="shared" si="83"/>
        <v>0</v>
      </c>
      <c r="AY224" s="4">
        <f t="shared" si="84"/>
        <v>0</v>
      </c>
      <c r="AZ224" s="4">
        <f t="shared" si="91"/>
        <v>0</v>
      </c>
      <c r="BA224" s="7" t="e">
        <f>#REF!+(#REF!*AB224)/100</f>
        <v>#REF!</v>
      </c>
    </row>
    <row r="225" spans="1:53" ht="12.75" customHeight="1">
      <c r="A225" t="s">
        <v>414</v>
      </c>
      <c r="B225" t="s">
        <v>415</v>
      </c>
      <c r="C225" t="s">
        <v>159</v>
      </c>
      <c r="D225">
        <v>0</v>
      </c>
      <c r="E225">
        <v>7.74</v>
      </c>
      <c r="F225">
        <v>9.0500000000000007</v>
      </c>
      <c r="G225" s="5">
        <v>14.48</v>
      </c>
      <c r="H225">
        <v>27.16</v>
      </c>
      <c r="I225">
        <v>2.83</v>
      </c>
      <c r="J225">
        <v>7.09</v>
      </c>
      <c r="K225">
        <v>9.84</v>
      </c>
      <c r="L225">
        <v>89.99</v>
      </c>
      <c r="M225">
        <v>4.55</v>
      </c>
      <c r="N225">
        <v>11.32</v>
      </c>
      <c r="O225">
        <v>48.99</v>
      </c>
      <c r="P225" s="5">
        <v>17.309999999999999</v>
      </c>
      <c r="Q225">
        <v>14.23</v>
      </c>
      <c r="R225" s="2">
        <v>20.32</v>
      </c>
      <c r="S225">
        <v>-0.5</v>
      </c>
      <c r="T225">
        <v>24.58</v>
      </c>
      <c r="U225">
        <v>0</v>
      </c>
      <c r="V225">
        <v>0</v>
      </c>
      <c r="W225">
        <v>1</v>
      </c>
      <c r="X225">
        <v>0</v>
      </c>
      <c r="Y225">
        <v>0.23</v>
      </c>
      <c r="Z225">
        <v>1.58</v>
      </c>
      <c r="AA225" s="5">
        <v>0</v>
      </c>
      <c r="AB225">
        <v>15</v>
      </c>
      <c r="AC225" s="5">
        <v>1</v>
      </c>
      <c r="AD225">
        <v>40.1</v>
      </c>
      <c r="AE225">
        <v>24.62</v>
      </c>
      <c r="AF225">
        <v>166.96</v>
      </c>
      <c r="AG225" s="6">
        <v>2.7</v>
      </c>
      <c r="AH225" s="5">
        <v>3.7</v>
      </c>
      <c r="AI225" s="5">
        <v>13.407500000000001</v>
      </c>
      <c r="AJ225" s="5">
        <f t="shared" si="75"/>
        <v>0.98</v>
      </c>
      <c r="AK225" s="5">
        <f t="shared" si="76"/>
        <v>7.5950000000000006</v>
      </c>
      <c r="AL225" s="4">
        <f t="shared" si="77"/>
        <v>0</v>
      </c>
      <c r="AM225" s="8" t="str">
        <f t="shared" si="78"/>
        <v>Panchatv Bharat  Pric</v>
      </c>
      <c r="AN225">
        <v>15</v>
      </c>
      <c r="AO225" s="61">
        <f t="shared" si="79"/>
        <v>0</v>
      </c>
      <c r="AP225" s="7">
        <f t="shared" si="80"/>
        <v>0</v>
      </c>
      <c r="AQ225" s="5">
        <v>1</v>
      </c>
      <c r="AR225" s="7">
        <f t="shared" si="81"/>
        <v>5</v>
      </c>
      <c r="AS225" s="5">
        <v>1</v>
      </c>
      <c r="AT225" s="5">
        <v>1</v>
      </c>
      <c r="AU225" s="5">
        <v>1</v>
      </c>
      <c r="AV225" s="5">
        <f t="shared" si="82"/>
        <v>1</v>
      </c>
      <c r="AW225" s="5">
        <v>1</v>
      </c>
      <c r="AX225" s="4">
        <f t="shared" si="83"/>
        <v>0</v>
      </c>
      <c r="AY225" s="4">
        <f t="shared" si="84"/>
        <v>0</v>
      </c>
      <c r="AZ225" s="4">
        <f t="shared" si="91"/>
        <v>0</v>
      </c>
      <c r="BA225" s="7" t="e">
        <f>#REF!+(#REF!*AB225)/100</f>
        <v>#REF!</v>
      </c>
    </row>
    <row r="226" spans="1:53" ht="12.75" customHeight="1">
      <c r="A226" t="s">
        <v>416</v>
      </c>
      <c r="B226" t="s">
        <v>417</v>
      </c>
      <c r="C226" t="s">
        <v>159</v>
      </c>
      <c r="D226">
        <v>0</v>
      </c>
      <c r="E226">
        <v>101.11</v>
      </c>
      <c r="F226">
        <v>47.33</v>
      </c>
      <c r="G226" s="5">
        <v>-113.63</v>
      </c>
      <c r="H226">
        <v>170.57</v>
      </c>
      <c r="I226">
        <v>8.11</v>
      </c>
      <c r="J226">
        <v>4.26</v>
      </c>
      <c r="K226">
        <v>10.55</v>
      </c>
      <c r="L226">
        <v>28.94</v>
      </c>
      <c r="M226">
        <v>22.57</v>
      </c>
      <c r="N226">
        <v>10.130000000000001</v>
      </c>
      <c r="O226">
        <v>261.85000000000002</v>
      </c>
      <c r="P226" s="5">
        <v>32.29</v>
      </c>
      <c r="Q226">
        <v>9.48</v>
      </c>
      <c r="R226" s="2">
        <v>12.99</v>
      </c>
      <c r="S226">
        <v>-1</v>
      </c>
      <c r="T226">
        <v>56.12</v>
      </c>
      <c r="U226">
        <v>0</v>
      </c>
      <c r="V226">
        <v>1</v>
      </c>
      <c r="W226">
        <v>1</v>
      </c>
      <c r="X226">
        <v>1.02</v>
      </c>
      <c r="Y226">
        <v>0.18</v>
      </c>
      <c r="Z226">
        <v>0.64</v>
      </c>
      <c r="AA226" s="5">
        <v>1</v>
      </c>
      <c r="AB226">
        <v>0</v>
      </c>
      <c r="AC226" s="5">
        <v>0</v>
      </c>
      <c r="AD226">
        <v>82.66</v>
      </c>
      <c r="AE226">
        <v>138.47999999999999</v>
      </c>
      <c r="AF226">
        <v>123.04</v>
      </c>
      <c r="AG226" s="6">
        <v>3</v>
      </c>
      <c r="AH226" s="5">
        <v>4</v>
      </c>
      <c r="AI226">
        <v>13.4</v>
      </c>
      <c r="AJ226" s="5">
        <f t="shared" si="75"/>
        <v>0.98</v>
      </c>
      <c r="AK226" s="5">
        <f t="shared" si="76"/>
        <v>8.33</v>
      </c>
      <c r="AL226" s="4">
        <f t="shared" si="77"/>
        <v>0</v>
      </c>
      <c r="AM226" s="8" t="str">
        <f t="shared" si="78"/>
        <v>Injecto Polymers  Pri</v>
      </c>
      <c r="AN226">
        <v>16</v>
      </c>
      <c r="AO226" s="61">
        <f t="shared" si="79"/>
        <v>0</v>
      </c>
      <c r="AP226" s="7">
        <f t="shared" si="80"/>
        <v>0</v>
      </c>
      <c r="AQ226" s="5">
        <v>1</v>
      </c>
      <c r="AR226" s="7">
        <f t="shared" si="81"/>
        <v>5</v>
      </c>
      <c r="AS226" s="5">
        <v>1</v>
      </c>
      <c r="AT226" s="5">
        <v>1</v>
      </c>
      <c r="AU226" s="5">
        <v>1</v>
      </c>
      <c r="AV226" s="5">
        <f t="shared" si="82"/>
        <v>1</v>
      </c>
      <c r="AW226" s="5">
        <v>1</v>
      </c>
      <c r="AX226" s="4">
        <f t="shared" si="83"/>
        <v>0</v>
      </c>
      <c r="AY226" s="4">
        <f t="shared" si="84"/>
        <v>0</v>
      </c>
      <c r="AZ226" s="4">
        <f t="shared" si="91"/>
        <v>0</v>
      </c>
      <c r="BA226" s="7" t="e">
        <f>#REF!+(#REF!*AB226)/100</f>
        <v>#REF!</v>
      </c>
    </row>
    <row r="227" spans="1:53" ht="12.75" customHeight="1">
      <c r="A227" t="s">
        <v>418</v>
      </c>
      <c r="B227" t="s">
        <v>419</v>
      </c>
      <c r="C227" t="s">
        <v>159</v>
      </c>
      <c r="D227">
        <v>1</v>
      </c>
      <c r="E227">
        <v>5.5</v>
      </c>
      <c r="F227">
        <v>12.47</v>
      </c>
      <c r="G227" s="5">
        <v>55.89</v>
      </c>
      <c r="H227">
        <v>22.37</v>
      </c>
      <c r="I227">
        <v>4.7</v>
      </c>
      <c r="J227">
        <v>11.96</v>
      </c>
      <c r="K227">
        <v>8.61</v>
      </c>
      <c r="L227">
        <v>36.44</v>
      </c>
      <c r="M227">
        <v>7.18</v>
      </c>
      <c r="N227">
        <v>18.47</v>
      </c>
      <c r="O227">
        <v>36.909999999999997</v>
      </c>
      <c r="P227" s="5">
        <v>7.85</v>
      </c>
      <c r="Q227">
        <v>8.59</v>
      </c>
      <c r="R227" s="2">
        <v>11.67</v>
      </c>
      <c r="S227">
        <v>-1</v>
      </c>
      <c r="T227">
        <v>17.11</v>
      </c>
      <c r="U227">
        <v>0</v>
      </c>
      <c r="V227">
        <v>1</v>
      </c>
      <c r="W227">
        <v>1</v>
      </c>
      <c r="X227">
        <v>3.51</v>
      </c>
      <c r="Y227">
        <v>0.41</v>
      </c>
      <c r="Z227">
        <v>0.48</v>
      </c>
      <c r="AA227" s="5">
        <v>1</v>
      </c>
      <c r="AB227">
        <v>0</v>
      </c>
      <c r="AC227" s="5">
        <v>0</v>
      </c>
      <c r="AD227">
        <v>27.72</v>
      </c>
      <c r="AE227">
        <v>14.38</v>
      </c>
      <c r="AF227">
        <v>60.7</v>
      </c>
      <c r="AG227" s="6">
        <v>6.1</v>
      </c>
      <c r="AH227" s="5">
        <v>8.1</v>
      </c>
      <c r="AI227">
        <v>13.404999999999999</v>
      </c>
      <c r="AJ227" s="5">
        <f t="shared" si="75"/>
        <v>0.98</v>
      </c>
      <c r="AK227" s="5">
        <f t="shared" si="76"/>
        <v>16.059750000000001</v>
      </c>
      <c r="AL227" s="4">
        <f t="shared" si="77"/>
        <v>1</v>
      </c>
      <c r="AM227" s="8" t="str">
        <f t="shared" si="78"/>
        <v>Century Business Medi</v>
      </c>
      <c r="AN227">
        <v>16</v>
      </c>
      <c r="AO227" s="61">
        <f t="shared" si="79"/>
        <v>0</v>
      </c>
      <c r="AP227" s="7">
        <f t="shared" si="80"/>
        <v>3</v>
      </c>
      <c r="AQ227">
        <v>0.95</v>
      </c>
      <c r="AR227" s="7">
        <f t="shared" si="81"/>
        <v>5</v>
      </c>
      <c r="AS227" s="5">
        <v>1</v>
      </c>
      <c r="AT227" s="5">
        <v>1</v>
      </c>
      <c r="AU227" s="5">
        <v>1</v>
      </c>
      <c r="AV227" s="5">
        <f t="shared" si="82"/>
        <v>1</v>
      </c>
      <c r="AW227" s="5">
        <v>1</v>
      </c>
      <c r="AX227" s="4">
        <f t="shared" si="83"/>
        <v>0</v>
      </c>
      <c r="AY227" s="4">
        <f t="shared" si="84"/>
        <v>0</v>
      </c>
      <c r="AZ227" s="4">
        <f t="shared" si="91"/>
        <v>0</v>
      </c>
      <c r="BA227" s="7" t="e">
        <f>#REF!+(#REF!*AB227)/100</f>
        <v>#REF!</v>
      </c>
    </row>
    <row r="228" spans="1:53" ht="15" customHeight="1">
      <c r="A228" t="s">
        <v>420</v>
      </c>
      <c r="B228" t="s">
        <v>421</v>
      </c>
      <c r="C228" t="s">
        <v>159</v>
      </c>
      <c r="D228">
        <v>1</v>
      </c>
      <c r="E228">
        <v>16.940000000000001</v>
      </c>
      <c r="F228">
        <v>17.149999999999999</v>
      </c>
      <c r="G228" s="5">
        <v>1.22</v>
      </c>
      <c r="H228">
        <v>67.47</v>
      </c>
      <c r="I228">
        <v>6.84</v>
      </c>
      <c r="J228">
        <v>5.38</v>
      </c>
      <c r="K228">
        <v>30.9</v>
      </c>
      <c r="L228">
        <v>50.37</v>
      </c>
      <c r="M228">
        <v>10.37</v>
      </c>
      <c r="N228">
        <v>8.32</v>
      </c>
      <c r="O228">
        <v>77.760000000000005</v>
      </c>
      <c r="P228" s="5">
        <v>11.37</v>
      </c>
      <c r="Q228">
        <v>11.04</v>
      </c>
      <c r="R228" s="2">
        <v>15.33</v>
      </c>
      <c r="S228">
        <v>-0.5</v>
      </c>
      <c r="T228">
        <v>49.54</v>
      </c>
      <c r="U228">
        <v>0</v>
      </c>
      <c r="V228">
        <v>0</v>
      </c>
      <c r="W228">
        <v>1</v>
      </c>
      <c r="X228">
        <v>0</v>
      </c>
      <c r="Y228">
        <v>0.01</v>
      </c>
      <c r="Z228">
        <v>0.01</v>
      </c>
      <c r="AA228" s="5">
        <v>0</v>
      </c>
      <c r="AB228">
        <v>2.93</v>
      </c>
      <c r="AC228" s="5">
        <v>0</v>
      </c>
      <c r="AD228">
        <v>160.08000000000001</v>
      </c>
      <c r="AE228">
        <v>179.01</v>
      </c>
      <c r="AF228">
        <v>89.5</v>
      </c>
      <c r="AG228" s="6">
        <v>3.7</v>
      </c>
      <c r="AH228" s="5">
        <v>3.7</v>
      </c>
      <c r="AI228">
        <v>13.4025</v>
      </c>
      <c r="AJ228" s="5">
        <f t="shared" si="75"/>
        <v>0.98</v>
      </c>
      <c r="AK228" s="5">
        <f t="shared" si="76"/>
        <v>9.0649999999999995</v>
      </c>
      <c r="AL228" s="4">
        <f t="shared" si="77"/>
        <v>1</v>
      </c>
      <c r="AM228" s="8" t="str">
        <f t="shared" si="78"/>
        <v>Vama Wovenfab  Price,</v>
      </c>
      <c r="AN228">
        <v>17</v>
      </c>
      <c r="AO228" s="61">
        <f t="shared" si="79"/>
        <v>0</v>
      </c>
      <c r="AP228" s="7">
        <f t="shared" si="80"/>
        <v>0</v>
      </c>
      <c r="AQ228">
        <v>1</v>
      </c>
      <c r="AR228" s="7">
        <f t="shared" si="81"/>
        <v>5</v>
      </c>
      <c r="AS228" s="5">
        <v>1</v>
      </c>
      <c r="AT228" s="5">
        <v>1</v>
      </c>
      <c r="AU228" s="5">
        <v>1</v>
      </c>
      <c r="AV228" s="5">
        <f t="shared" si="82"/>
        <v>1</v>
      </c>
      <c r="AW228" s="5">
        <v>1</v>
      </c>
      <c r="AX228" s="5"/>
      <c r="AY228" s="4">
        <f t="shared" si="84"/>
        <v>0</v>
      </c>
      <c r="AZ228" s="4">
        <f t="shared" si="91"/>
        <v>0</v>
      </c>
      <c r="BA228" s="7" t="e">
        <f>#REF!+(#REF!*AB228)/100</f>
        <v>#REF!</v>
      </c>
    </row>
    <row r="229" spans="1:53" ht="15" customHeight="1">
      <c r="A229" t="s">
        <v>422</v>
      </c>
      <c r="B229" t="s">
        <v>423</v>
      </c>
      <c r="C229" t="s">
        <v>159</v>
      </c>
      <c r="D229">
        <v>0</v>
      </c>
      <c r="E229">
        <v>48</v>
      </c>
      <c r="F229">
        <v>17.8</v>
      </c>
      <c r="G229" s="5">
        <v>-169.66</v>
      </c>
      <c r="H229">
        <v>71.39</v>
      </c>
      <c r="I229">
        <v>4.97</v>
      </c>
      <c r="J229">
        <v>4.66</v>
      </c>
      <c r="K229">
        <v>8</v>
      </c>
      <c r="L229">
        <v>44.04</v>
      </c>
      <c r="M229">
        <v>10.69</v>
      </c>
      <c r="N229">
        <v>8.94</v>
      </c>
      <c r="O229">
        <v>166.5</v>
      </c>
      <c r="P229" s="5">
        <v>33.5</v>
      </c>
      <c r="Q229">
        <v>7.38</v>
      </c>
      <c r="R229" s="2">
        <v>10.050000000000001</v>
      </c>
      <c r="S229">
        <v>-1</v>
      </c>
      <c r="T229">
        <v>26.93</v>
      </c>
      <c r="U229">
        <v>0</v>
      </c>
      <c r="V229">
        <v>1</v>
      </c>
      <c r="W229">
        <v>1</v>
      </c>
      <c r="X229">
        <v>0</v>
      </c>
      <c r="Y229">
        <v>0.88</v>
      </c>
      <c r="Z229">
        <v>0.08</v>
      </c>
      <c r="AA229" s="5">
        <v>0</v>
      </c>
      <c r="AB229">
        <v>0</v>
      </c>
      <c r="AC229" s="5">
        <v>0</v>
      </c>
      <c r="AD229">
        <v>407.14</v>
      </c>
      <c r="AE229">
        <v>167.56</v>
      </c>
      <c r="AF229">
        <v>64.209999999999994</v>
      </c>
      <c r="AG229" s="6">
        <v>3</v>
      </c>
      <c r="AH229" s="5">
        <v>3</v>
      </c>
      <c r="AI229">
        <v>13.4025</v>
      </c>
      <c r="AJ229" s="5">
        <f t="shared" si="75"/>
        <v>0.98</v>
      </c>
      <c r="AK229" s="5">
        <f t="shared" si="76"/>
        <v>7.35</v>
      </c>
      <c r="AL229" s="4">
        <f t="shared" si="77"/>
        <v>0</v>
      </c>
      <c r="AM229" s="8" t="str">
        <f t="shared" si="78"/>
        <v>Shakti Polytarp  Pric</v>
      </c>
      <c r="AN229">
        <v>17</v>
      </c>
      <c r="AO229" s="61">
        <f t="shared" si="79"/>
        <v>0</v>
      </c>
      <c r="AP229" s="7">
        <f t="shared" si="80"/>
        <v>0</v>
      </c>
      <c r="AQ229">
        <v>1</v>
      </c>
      <c r="AR229" s="7">
        <f t="shared" si="81"/>
        <v>5</v>
      </c>
      <c r="AS229" s="5">
        <v>1</v>
      </c>
      <c r="AT229" s="5">
        <v>1</v>
      </c>
      <c r="AU229" s="5">
        <v>1</v>
      </c>
      <c r="AV229" s="5">
        <f t="shared" si="82"/>
        <v>1</v>
      </c>
      <c r="AW229" s="5">
        <v>1</v>
      </c>
      <c r="AX229" s="5"/>
      <c r="AY229" s="4">
        <f t="shared" si="84"/>
        <v>0</v>
      </c>
      <c r="AZ229" s="4">
        <f t="shared" si="91"/>
        <v>0</v>
      </c>
      <c r="BA229" s="7" t="e">
        <f>#REF!+(#REF!*AB229)/100</f>
        <v>#REF!</v>
      </c>
    </row>
    <row r="230" spans="1:53" ht="15" customHeight="1">
      <c r="A230" t="s">
        <v>424</v>
      </c>
      <c r="B230" t="s">
        <v>425</v>
      </c>
      <c r="C230" t="s">
        <v>159</v>
      </c>
      <c r="D230">
        <v>0</v>
      </c>
      <c r="E230">
        <v>5.3</v>
      </c>
      <c r="F230">
        <v>25.62</v>
      </c>
      <c r="G230" s="5">
        <v>79.31</v>
      </c>
      <c r="H230">
        <v>33.43</v>
      </c>
      <c r="I230">
        <v>6.63</v>
      </c>
      <c r="J230">
        <v>20.78</v>
      </c>
      <c r="K230">
        <v>6.52</v>
      </c>
      <c r="L230">
        <v>24.68</v>
      </c>
      <c r="M230">
        <v>9.2799999999999994</v>
      </c>
      <c r="N230">
        <v>29.54</v>
      </c>
      <c r="O230">
        <v>16.489999999999998</v>
      </c>
      <c r="P230" s="5">
        <v>2.4900000000000002</v>
      </c>
      <c r="Q230">
        <v>10.28</v>
      </c>
      <c r="R230" s="2">
        <v>13.99</v>
      </c>
      <c r="S230">
        <v>-0.5</v>
      </c>
      <c r="T230">
        <v>31.02</v>
      </c>
      <c r="U230">
        <v>0</v>
      </c>
      <c r="V230">
        <v>0</v>
      </c>
      <c r="W230">
        <v>1</v>
      </c>
      <c r="X230">
        <v>0</v>
      </c>
      <c r="Y230">
        <v>0</v>
      </c>
      <c r="Z230">
        <v>0.03</v>
      </c>
      <c r="AA230" s="5">
        <v>1</v>
      </c>
      <c r="AB230">
        <v>0</v>
      </c>
      <c r="AC230" s="5">
        <v>0</v>
      </c>
      <c r="AD230">
        <v>23.46</v>
      </c>
      <c r="AE230">
        <v>5.98</v>
      </c>
      <c r="AF230">
        <v>34.770000000000003</v>
      </c>
      <c r="AG230" s="6">
        <v>4.0999999999999996</v>
      </c>
      <c r="AH230" s="5">
        <v>5.0999999999999996</v>
      </c>
      <c r="AI230">
        <v>13.41</v>
      </c>
      <c r="AJ230" s="5">
        <f t="shared" si="75"/>
        <v>0.98</v>
      </c>
      <c r="AK230" s="5">
        <f t="shared" si="76"/>
        <v>11.025</v>
      </c>
      <c r="AL230" s="4">
        <f t="shared" si="77"/>
        <v>0</v>
      </c>
      <c r="AM230" s="8" t="str">
        <f t="shared" si="78"/>
        <v>Quanto Agroworld  Pri</v>
      </c>
      <c r="AN230">
        <v>17</v>
      </c>
      <c r="AO230" s="61">
        <f t="shared" si="79"/>
        <v>0</v>
      </c>
      <c r="AP230" s="7">
        <f t="shared" si="80"/>
        <v>0</v>
      </c>
      <c r="AQ230">
        <v>1</v>
      </c>
      <c r="AR230" s="7">
        <f t="shared" si="81"/>
        <v>5</v>
      </c>
      <c r="AS230" s="5">
        <v>1</v>
      </c>
      <c r="AT230" s="5">
        <v>1</v>
      </c>
      <c r="AU230" s="5">
        <v>1</v>
      </c>
      <c r="AV230" s="5">
        <f t="shared" si="82"/>
        <v>1</v>
      </c>
      <c r="AW230" s="5">
        <v>1</v>
      </c>
      <c r="AX230" s="5"/>
      <c r="AY230" s="4">
        <f t="shared" si="84"/>
        <v>0</v>
      </c>
      <c r="AZ230" s="4">
        <f t="shared" si="91"/>
        <v>0</v>
      </c>
      <c r="BA230" s="7" t="e">
        <f>#REF!+(#REF!*AB230)/100</f>
        <v>#REF!</v>
      </c>
    </row>
    <row r="231" spans="1:53" ht="15" customHeight="1">
      <c r="A231" t="s">
        <v>426</v>
      </c>
      <c r="B231" t="s">
        <v>427</v>
      </c>
      <c r="C231" t="s">
        <v>159</v>
      </c>
      <c r="D231">
        <v>1</v>
      </c>
      <c r="E231">
        <v>17.21</v>
      </c>
      <c r="F231">
        <v>13.12</v>
      </c>
      <c r="G231" s="5">
        <f>100*(F231-E231)/F231</f>
        <v>-31.173780487804894</v>
      </c>
      <c r="H231">
        <v>100</v>
      </c>
      <c r="I231">
        <v>4.91</v>
      </c>
      <c r="J231">
        <v>11.42</v>
      </c>
      <c r="K231">
        <v>11.45</v>
      </c>
      <c r="L231">
        <v>60.95</v>
      </c>
      <c r="M231">
        <v>10.130000000000001</v>
      </c>
      <c r="N231">
        <v>19.04</v>
      </c>
      <c r="O231">
        <v>75.53</v>
      </c>
      <c r="P231" s="5">
        <f>O231/I231</f>
        <v>15.382892057026476</v>
      </c>
      <c r="Q231">
        <v>10.31</v>
      </c>
      <c r="R231" s="2">
        <v>13.63</v>
      </c>
      <c r="S231">
        <v>-0.5</v>
      </c>
      <c r="T231">
        <v>42.52</v>
      </c>
      <c r="U231">
        <v>0</v>
      </c>
      <c r="V231">
        <v>1</v>
      </c>
      <c r="W231">
        <v>1</v>
      </c>
      <c r="X231">
        <v>0</v>
      </c>
      <c r="Y231">
        <v>0</v>
      </c>
      <c r="Z231">
        <v>0</v>
      </c>
      <c r="AA231" s="5">
        <f>IF(X231&lt;50,IF(Y231&gt;(2.3*X231),0,1),1)-IF(Z231&gt;Y231,1.7,0)</f>
        <v>1</v>
      </c>
      <c r="AB231">
        <v>22.88</v>
      </c>
      <c r="AC231" s="5">
        <f>IF(AB231&gt;4,1,0)+IF(AB231&gt;10,0.7,0)</f>
        <v>1.7</v>
      </c>
      <c r="AD231">
        <v>145.5</v>
      </c>
      <c r="AE231">
        <v>-15.78</v>
      </c>
      <c r="AF231">
        <v>60.39</v>
      </c>
      <c r="AG231" s="6">
        <f>IF(G231&lt;52,0,0.7)+IF(G231&lt;34,0,0.7)+IF(G231&lt;1,0,0.7)+IF(P231&gt;14.56,0,1)+IF(R231&lt;9,0.5,0)+IF(R231&lt;33.8,0.5,0)+IF(R231&lt;50,0.5,0)+IF(R231&lt;80,0.5,0)+IF(S231=5,0,S231)+IF(V231&gt;0,1,-1)+IF(AE231&lt;10.56,0,1)-IF(AE231&lt;3,1,0)-IF(AE231&lt;1,1,0)</f>
        <v>0</v>
      </c>
      <c r="AH231" s="5">
        <f>AG231+IF(X231&lt;1.35,0,1)+IF(Y231&lt;1.35,0,1)+IF(Y231&lt;0.7,-1,0)+AC231+AA231</f>
        <v>1.7</v>
      </c>
      <c r="AI231">
        <v>12.285</v>
      </c>
      <c r="AJ231" s="5">
        <f t="shared" si="75"/>
        <v>1</v>
      </c>
      <c r="AK231" s="5">
        <f t="shared" si="76"/>
        <v>1.615</v>
      </c>
      <c r="AL231" s="4">
        <f t="shared" si="77"/>
        <v>1</v>
      </c>
      <c r="AM231" s="8" t="str">
        <f t="shared" si="78"/>
        <v>SpectraA Technology S</v>
      </c>
      <c r="AN231">
        <v>21</v>
      </c>
      <c r="AO231" s="61">
        <f t="shared" si="79"/>
        <v>0</v>
      </c>
      <c r="AP231" s="7">
        <f t="shared" si="80"/>
        <v>0</v>
      </c>
      <c r="AQ231">
        <v>0.95</v>
      </c>
      <c r="AR231" s="7">
        <f t="shared" si="81"/>
        <v>5</v>
      </c>
      <c r="AS231" s="5">
        <v>1</v>
      </c>
      <c r="AT231" s="5">
        <v>1</v>
      </c>
      <c r="AU231" s="5">
        <v>1</v>
      </c>
      <c r="AV231" s="5">
        <f t="shared" si="82"/>
        <v>1</v>
      </c>
      <c r="AW231" s="5">
        <v>1</v>
      </c>
      <c r="AX231" s="5"/>
      <c r="AY231" s="4">
        <f t="shared" si="84"/>
        <v>0</v>
      </c>
      <c r="AZ231" s="4">
        <f t="shared" si="91"/>
        <v>0</v>
      </c>
      <c r="BA231" s="7" t="e">
        <f>#REF!+(#REF!*AB231)/100</f>
        <v>#REF!</v>
      </c>
    </row>
    <row r="232" spans="1:53" ht="14.25" customHeight="1">
      <c r="A232" t="s">
        <v>428</v>
      </c>
      <c r="B232" t="s">
        <v>429</v>
      </c>
      <c r="C232" t="s">
        <v>159</v>
      </c>
      <c r="D232">
        <v>1</v>
      </c>
      <c r="E232">
        <v>30.9</v>
      </c>
      <c r="F232">
        <v>28.24</v>
      </c>
      <c r="G232" s="5">
        <f>100*(F232-E232)/F232</f>
        <v>-9.4192634560906523</v>
      </c>
      <c r="H232">
        <v>81.790000000000006</v>
      </c>
      <c r="I232">
        <v>8.24</v>
      </c>
      <c r="J232">
        <v>9.52</v>
      </c>
      <c r="K232">
        <v>10.15</v>
      </c>
      <c r="L232">
        <v>33.72</v>
      </c>
      <c r="M232">
        <v>16.18</v>
      </c>
      <c r="N232">
        <v>19.079999999999998</v>
      </c>
      <c r="O232">
        <v>92.31</v>
      </c>
      <c r="P232" s="5">
        <f>O232/I232</f>
        <v>11.202669902912621</v>
      </c>
      <c r="Q232">
        <v>9.9499999999999993</v>
      </c>
      <c r="R232" s="2">
        <v>14.01</v>
      </c>
      <c r="S232">
        <v>-1</v>
      </c>
      <c r="T232">
        <v>46.44</v>
      </c>
      <c r="U232">
        <v>0</v>
      </c>
      <c r="V232">
        <v>1</v>
      </c>
      <c r="W232">
        <v>1</v>
      </c>
      <c r="X232">
        <v>0</v>
      </c>
      <c r="Y232">
        <v>0</v>
      </c>
      <c r="Z232">
        <v>0</v>
      </c>
      <c r="AA232" s="5">
        <f>IF(X232&lt;50,IF(Y232&gt;(2.3*X232),0,1),1)-IF(Z232&gt;Y232,1.7,0)</f>
        <v>1</v>
      </c>
      <c r="AB232">
        <v>0</v>
      </c>
      <c r="AC232" s="5">
        <f>IF(AB232&gt;4,1,0)+IF(AB232&gt;10,0.7,0)</f>
        <v>0</v>
      </c>
      <c r="AD232">
        <v>148.94</v>
      </c>
      <c r="AE232">
        <v>47.93</v>
      </c>
      <c r="AF232">
        <v>41.2</v>
      </c>
      <c r="AG232" s="6">
        <f>IF(G232&lt;52,0,0.7)+IF(G232&lt;34,0,0.7)+IF(G232&lt;1,0,0.7)+IF(P232&gt;14.56,0,1)+IF(R232&lt;9,0.5,0)+IF(R232&lt;33.8,0.5,0)+IF(R232&lt;50,0.5,0)+IF(R232&lt;80,0.5,0)+IF(S232=5,0,S232)+IF(V232&gt;0,1,-1)+IF(AE232&lt;10.56,0,1)-IF(AE232&lt;3,1,0)-IF(AE232&lt;1,1,0)</f>
        <v>3.5</v>
      </c>
      <c r="AH232" s="5">
        <f>AG232+IF(X232&lt;1.35,0,1)+IF(Y232&lt;1.35,0,1)+IF(Y232&lt;0.7,-1,0)+AC232+AA232</f>
        <v>3.5</v>
      </c>
      <c r="AI232">
        <v>12.285</v>
      </c>
      <c r="AJ232" s="5">
        <f t="shared" si="75"/>
        <v>1</v>
      </c>
      <c r="AK232" s="5">
        <f t="shared" si="76"/>
        <v>8.75</v>
      </c>
      <c r="AL232" s="4">
        <f t="shared" si="77"/>
        <v>1</v>
      </c>
      <c r="AM232" s="8" t="str">
        <f t="shared" si="78"/>
        <v>Kheria Autocomp  Pric</v>
      </c>
      <c r="AN232">
        <v>21</v>
      </c>
      <c r="AO232" s="61">
        <f t="shared" si="79"/>
        <v>0</v>
      </c>
      <c r="AP232" s="7">
        <f t="shared" si="80"/>
        <v>0</v>
      </c>
      <c r="AQ232">
        <v>1</v>
      </c>
      <c r="AR232" s="7">
        <f t="shared" si="81"/>
        <v>5</v>
      </c>
      <c r="AV232" s="5">
        <f t="shared" si="82"/>
        <v>0</v>
      </c>
      <c r="AZ232" s="4">
        <f t="shared" si="91"/>
        <v>0</v>
      </c>
      <c r="BA232" s="7" t="e">
        <f>#REF!+(#REF!*AB232)/100</f>
        <v>#REF!</v>
      </c>
    </row>
    <row r="233" spans="1:53" ht="14.25" customHeight="1">
      <c r="A233" t="s">
        <v>430</v>
      </c>
      <c r="B233" t="s">
        <v>431</v>
      </c>
      <c r="C233" t="s">
        <v>159</v>
      </c>
      <c r="D233">
        <v>1</v>
      </c>
      <c r="E233">
        <v>16.3</v>
      </c>
      <c r="F233">
        <v>23.83</v>
      </c>
      <c r="G233" s="5">
        <f>100*(F233-E233)/F233</f>
        <v>31.59882501049097</v>
      </c>
      <c r="H233">
        <v>60.83</v>
      </c>
      <c r="I233">
        <v>7.75</v>
      </c>
      <c r="J233">
        <v>9.3800000000000008</v>
      </c>
      <c r="K233">
        <v>3.64</v>
      </c>
      <c r="L233">
        <v>28.4</v>
      </c>
      <c r="M233">
        <v>13.29</v>
      </c>
      <c r="N233">
        <v>15.36</v>
      </c>
      <c r="O233">
        <v>89.85</v>
      </c>
      <c r="P233" s="5">
        <f>O233/I233</f>
        <v>11.593548387096773</v>
      </c>
      <c r="Q233">
        <v>14.56</v>
      </c>
      <c r="R233" s="2">
        <v>19.850000000000001</v>
      </c>
      <c r="S233">
        <v>-0.5</v>
      </c>
      <c r="T233">
        <v>49.81</v>
      </c>
      <c r="U233">
        <v>0</v>
      </c>
      <c r="V233">
        <v>1</v>
      </c>
      <c r="W233">
        <v>1</v>
      </c>
      <c r="X233">
        <v>0</v>
      </c>
      <c r="Y233">
        <v>0</v>
      </c>
      <c r="Z233">
        <v>0</v>
      </c>
      <c r="AA233" s="5">
        <f>IF(X233&lt;50,IF(Y233&gt;(2.3*X233),0,1),1)-IF(Z233&gt;Y233,1.7,0)</f>
        <v>1</v>
      </c>
      <c r="AB233">
        <v>0</v>
      </c>
      <c r="AC233" s="5">
        <f>IF(AB233&gt;4,1,0)+IF(AB233&gt;10,0.7,0)</f>
        <v>0</v>
      </c>
      <c r="AD233">
        <v>35.020000000000003</v>
      </c>
      <c r="AE233">
        <v>20.54</v>
      </c>
      <c r="AF233">
        <v>72.06</v>
      </c>
      <c r="AG233" s="6">
        <f>IF(G233&lt;52,0,0.7)+IF(G233&lt;34,0,0.7)+IF(G233&lt;1,0,0.7)+IF(P233&gt;14.56,0,1)+IF(R233&lt;9,0.5,0)+IF(R233&lt;33.8,0.5,0)+IF(R233&lt;50,0.5,0)+IF(R233&lt;80,0.5,0)+IF(S233=5,0,S233)+IF(V233&gt;0,1,-1)+IF(AE233&lt;10.56,0,1)-IF(AE233&lt;3,1,0)-IF(AE233&lt;1,1,0)</f>
        <v>4.7</v>
      </c>
      <c r="AH233" s="5">
        <f>AG233+IF(X233&lt;1.35,0,1)+IF(Y233&lt;1.35,0,1)+IF(Y233&lt;0.7,-1,0)+AC233+AA233</f>
        <v>4.7</v>
      </c>
      <c r="AI233">
        <v>12.285</v>
      </c>
      <c r="AJ233" s="5">
        <f t="shared" si="75"/>
        <v>1</v>
      </c>
      <c r="AK233" s="5">
        <f t="shared" si="76"/>
        <v>11.75</v>
      </c>
      <c r="AL233" s="4">
        <f t="shared" si="77"/>
        <v>1</v>
      </c>
      <c r="AM233" s="8" t="str">
        <f t="shared" si="78"/>
        <v>Axiom Gas Engineering</v>
      </c>
      <c r="AN233">
        <v>22</v>
      </c>
      <c r="AO233" s="61">
        <f t="shared" si="79"/>
        <v>0</v>
      </c>
      <c r="AP233" s="7">
        <f t="shared" si="80"/>
        <v>0</v>
      </c>
      <c r="AQ233">
        <v>1</v>
      </c>
      <c r="AR233" s="7">
        <f t="shared" si="81"/>
        <v>5</v>
      </c>
      <c r="AV233" s="5">
        <f t="shared" si="82"/>
        <v>0</v>
      </c>
      <c r="AZ233" s="4">
        <f t="shared" si="91"/>
        <v>0</v>
      </c>
    </row>
    <row r="234" spans="1:53" ht="17.25" customHeight="1">
      <c r="A234" t="s">
        <v>432</v>
      </c>
      <c r="B234" t="s">
        <v>433</v>
      </c>
      <c r="C234" t="s">
        <v>159</v>
      </c>
      <c r="D234">
        <v>1</v>
      </c>
      <c r="E234">
        <v>15.34</v>
      </c>
      <c r="F234">
        <v>10.61</v>
      </c>
      <c r="G234" s="5">
        <f>100*(F234-E234)/F234</f>
        <v>-44.580584354382665</v>
      </c>
      <c r="H234">
        <v>34.159999999999997</v>
      </c>
      <c r="I234">
        <v>4.9800000000000004</v>
      </c>
      <c r="J234">
        <v>10.79</v>
      </c>
      <c r="K234">
        <v>12.69</v>
      </c>
      <c r="L234">
        <v>56.46</v>
      </c>
      <c r="M234">
        <v>9</v>
      </c>
      <c r="N234">
        <v>17.77</v>
      </c>
      <c r="O234">
        <v>59.16</v>
      </c>
      <c r="P234" s="5">
        <f>O234/I234</f>
        <v>11.879518072289155</v>
      </c>
      <c r="Q234">
        <v>8.35</v>
      </c>
      <c r="R234" s="2">
        <v>11.45</v>
      </c>
      <c r="S234">
        <v>-0.5</v>
      </c>
      <c r="T234">
        <v>31.09</v>
      </c>
      <c r="U234">
        <v>0</v>
      </c>
      <c r="V234">
        <v>1</v>
      </c>
      <c r="W234">
        <v>1</v>
      </c>
      <c r="X234">
        <v>0</v>
      </c>
      <c r="Y234">
        <v>0</v>
      </c>
      <c r="Z234">
        <v>0</v>
      </c>
      <c r="AA234" s="5">
        <f>IF(X234&lt;50,IF(Y234&gt;(2.3*X234),0,1),1)-IF(Z234&gt;Y234,1.7,0)</f>
        <v>1</v>
      </c>
      <c r="AB234">
        <v>0</v>
      </c>
      <c r="AC234" s="5">
        <f>IF(AB234&gt;4,1,0)+IF(AB234&gt;10,0.7,0)</f>
        <v>0</v>
      </c>
      <c r="AD234">
        <v>105.79</v>
      </c>
      <c r="AE234">
        <v>54.42</v>
      </c>
      <c r="AF234">
        <v>142.24</v>
      </c>
      <c r="AG234" s="6">
        <f>IF(G234&lt;52,0,0.7)+IF(G234&lt;34,0,0.7)+IF(G234&lt;1,0,0.7)+IF(P234&gt;14.56,0,1)+IF(R234&lt;9,0.5,0)+IF(R234&lt;33.8,0.5,0)+IF(R234&lt;50,0.5,0)+IF(R234&lt;80,0.5,0)+IF(S234=5,0,S234)+IF(V234&gt;0,1,-1)+IF(AE234&lt;10.56,0,1)-IF(AE234&lt;3,1,0)-IF(AE234&lt;1,1,0)</f>
        <v>4</v>
      </c>
      <c r="AH234" s="5">
        <f>AG234+IF(X234&lt;1.35,0,1)+IF(Y234&lt;1.35,0,1)+IF(Y234&lt;0.7,-1,0)+AC234+AA234</f>
        <v>4</v>
      </c>
      <c r="AI234">
        <v>12.285</v>
      </c>
      <c r="AJ234" s="5">
        <f t="shared" si="75"/>
        <v>1</v>
      </c>
      <c r="AK234" s="5">
        <f t="shared" si="76"/>
        <v>10</v>
      </c>
      <c r="AL234" s="4">
        <f t="shared" si="77"/>
        <v>1</v>
      </c>
      <c r="AM234" s="8" t="str">
        <f t="shared" si="78"/>
        <v xml:space="preserve">Robokidz Eduventures </v>
      </c>
      <c r="AN234">
        <v>23</v>
      </c>
      <c r="AO234" s="61">
        <f t="shared" si="79"/>
        <v>0</v>
      </c>
      <c r="AP234" s="7">
        <f t="shared" si="80"/>
        <v>0</v>
      </c>
      <c r="AQ234">
        <v>1</v>
      </c>
      <c r="AR234" s="7">
        <f t="shared" si="81"/>
        <v>5</v>
      </c>
      <c r="AV234" s="5">
        <f t="shared" si="82"/>
        <v>0</v>
      </c>
      <c r="AZ234" s="4">
        <f t="shared" si="91"/>
        <v>0</v>
      </c>
    </row>
    <row r="235" spans="1:53" ht="15" customHeight="1">
      <c r="A235" t="s">
        <v>434</v>
      </c>
      <c r="B235" t="s">
        <v>435</v>
      </c>
      <c r="C235" t="s">
        <v>159</v>
      </c>
      <c r="E235">
        <v>32.35</v>
      </c>
      <c r="F235">
        <v>7.2</v>
      </c>
      <c r="G235" s="5">
        <v>-349.31</v>
      </c>
      <c r="H235">
        <v>55.77</v>
      </c>
      <c r="I235">
        <v>1.54</v>
      </c>
      <c r="J235">
        <v>11.22</v>
      </c>
      <c r="K235">
        <v>13.8</v>
      </c>
      <c r="L235">
        <v>37.82</v>
      </c>
      <c r="M235">
        <v>5.62</v>
      </c>
      <c r="N235">
        <v>21.27</v>
      </c>
      <c r="O235">
        <v>48.65</v>
      </c>
      <c r="P235" s="5">
        <v>31.59</v>
      </c>
      <c r="Q235">
        <v>9.06</v>
      </c>
      <c r="R235" s="2">
        <v>12.94</v>
      </c>
      <c r="S235">
        <v>-0.5</v>
      </c>
      <c r="T235">
        <v>29.06</v>
      </c>
      <c r="U235">
        <v>0</v>
      </c>
      <c r="V235">
        <v>1</v>
      </c>
      <c r="W235">
        <v>1</v>
      </c>
      <c r="X235">
        <v>0.5</v>
      </c>
      <c r="Y235">
        <v>0</v>
      </c>
      <c r="Z235">
        <v>0.01</v>
      </c>
      <c r="AA235" s="5">
        <v>1</v>
      </c>
      <c r="AB235">
        <v>0</v>
      </c>
      <c r="AC235" s="5">
        <v>0</v>
      </c>
      <c r="AD235">
        <v>113.89</v>
      </c>
      <c r="AE235">
        <v>108.71</v>
      </c>
      <c r="AF235">
        <v>57.21</v>
      </c>
      <c r="AG235" s="6">
        <v>3</v>
      </c>
      <c r="AH235" s="5">
        <v>4</v>
      </c>
      <c r="AI235">
        <v>10.295</v>
      </c>
      <c r="AJ235" s="5">
        <f t="shared" si="75"/>
        <v>1</v>
      </c>
      <c r="AK235" s="5">
        <f t="shared" si="76"/>
        <v>8.5</v>
      </c>
      <c r="AL235" s="4">
        <f t="shared" si="77"/>
        <v>0</v>
      </c>
      <c r="AM235" s="8" t="str">
        <f t="shared" si="78"/>
        <v>S.K.Offset  Price, GM</v>
      </c>
      <c r="AN235">
        <v>25</v>
      </c>
      <c r="AO235" s="61">
        <f t="shared" si="79"/>
        <v>0</v>
      </c>
      <c r="AP235" s="7">
        <f t="shared" si="80"/>
        <v>0</v>
      </c>
      <c r="AQ235">
        <v>1</v>
      </c>
      <c r="AR235" s="7">
        <f t="shared" si="81"/>
        <v>5</v>
      </c>
      <c r="AV235" s="5">
        <f t="shared" si="82"/>
        <v>0</v>
      </c>
      <c r="AZ235" s="4">
        <f t="shared" si="91"/>
        <v>0</v>
      </c>
    </row>
    <row r="236" spans="1:53" ht="21" customHeight="1">
      <c r="A236" t="s">
        <v>408</v>
      </c>
      <c r="B236" t="s">
        <v>409</v>
      </c>
      <c r="C236" t="s">
        <v>159</v>
      </c>
      <c r="D236">
        <v>1</v>
      </c>
      <c r="E236">
        <v>18.04</v>
      </c>
      <c r="F236">
        <v>11.39</v>
      </c>
      <c r="G236" s="5">
        <f>100*(F236-E236)/F236</f>
        <v>-58.38454784899033</v>
      </c>
      <c r="H236">
        <v>47.67</v>
      </c>
      <c r="I236">
        <v>5.57</v>
      </c>
      <c r="J236">
        <v>12.51</v>
      </c>
      <c r="K236">
        <v>11.89</v>
      </c>
      <c r="L236">
        <v>0</v>
      </c>
      <c r="M236">
        <v>10.61</v>
      </c>
      <c r="N236">
        <v>18.36</v>
      </c>
      <c r="O236">
        <v>93.6</v>
      </c>
      <c r="P236" s="5">
        <f>O236/I236</f>
        <v>16.804308797127465</v>
      </c>
      <c r="Q236">
        <v>15.64</v>
      </c>
      <c r="R236" s="2">
        <v>19.809999999999999</v>
      </c>
      <c r="S236">
        <v>-0.5</v>
      </c>
      <c r="T236">
        <v>80.13</v>
      </c>
      <c r="U236">
        <v>0</v>
      </c>
      <c r="V236">
        <v>1</v>
      </c>
      <c r="W236">
        <v>1</v>
      </c>
      <c r="X236">
        <v>0.1</v>
      </c>
      <c r="Y236">
        <v>0.85</v>
      </c>
      <c r="Z236">
        <v>0.56000000000000005</v>
      </c>
      <c r="AA236" s="5">
        <f>IF(X236&lt;50,IF(Y236&gt;(2.3*X236),0,1),1)-IF(Z236&gt;Y236,1.7,0)</f>
        <v>0</v>
      </c>
      <c r="AB236">
        <v>21.51</v>
      </c>
      <c r="AC236" s="5">
        <f>IF(AB236&gt;4,1,0)+IF(AB236&gt;10,0.7,0)</f>
        <v>1.7</v>
      </c>
      <c r="AD236">
        <v>415.74</v>
      </c>
      <c r="AE236">
        <v>52.42</v>
      </c>
      <c r="AF236">
        <v>129.18</v>
      </c>
      <c r="AG236" s="6">
        <f>IF(G236&lt;52,0,0.7)+IF(G236&lt;34,0,0.7)+IF(G236&lt;1,0,0.7)+IF(P236&gt;14.56,0,1)+IF(R236&lt;9,0.5,0)+IF(R236&lt;33.8,0.5,0)+IF(R236&lt;50,0.5,0)+IF(R236&lt;80,0.5,0)+IF(S236=5,0,S236)+IF(V236&gt;0,1,-1)+IF(AE236&lt;10.56,0,1)-IF(AE236&lt;3,1,0)-IF(AE236&lt;1,1,0)</f>
        <v>3</v>
      </c>
      <c r="AH236" s="5">
        <f>AG236+IF(X236&lt;1.35,0,1)+IF(Y236&lt;1.35,0,1)+IF(Y236&lt;0.7,-1,0)+AC236+AA236</f>
        <v>4.7</v>
      </c>
      <c r="AI236">
        <v>12.285</v>
      </c>
      <c r="AJ236" s="5">
        <f t="shared" si="75"/>
        <v>1</v>
      </c>
      <c r="AK236" s="5">
        <f t="shared" si="76"/>
        <v>9.1999999999999993</v>
      </c>
      <c r="AL236" s="4">
        <f t="shared" si="77"/>
        <v>1</v>
      </c>
      <c r="AM236" s="8" t="str">
        <f t="shared" si="78"/>
        <v>Maharaja &amp;amp; Speede</v>
      </c>
      <c r="AN236">
        <v>10</v>
      </c>
      <c r="AO236" s="61">
        <f t="shared" si="79"/>
        <v>0</v>
      </c>
      <c r="AP236" s="7">
        <f t="shared" si="80"/>
        <v>0</v>
      </c>
      <c r="AQ236">
        <v>1</v>
      </c>
      <c r="AR236" s="7">
        <f t="shared" si="81"/>
        <v>5</v>
      </c>
      <c r="AV236" s="5">
        <f t="shared" si="82"/>
        <v>0</v>
      </c>
      <c r="AZ236" s="4">
        <f t="shared" si="91"/>
        <v>0</v>
      </c>
    </row>
    <row r="237" spans="1:53" ht="12.75" customHeight="1">
      <c r="A237" t="s">
        <v>410</v>
      </c>
      <c r="B237" t="s">
        <v>411</v>
      </c>
      <c r="C237" t="s">
        <v>159</v>
      </c>
      <c r="D237">
        <v>1</v>
      </c>
      <c r="E237">
        <v>25.13</v>
      </c>
      <c r="F237">
        <v>66.010000000000005</v>
      </c>
      <c r="G237" s="5">
        <f>100*(F237-E237)/F237</f>
        <v>61.930010604453877</v>
      </c>
      <c r="H237">
        <v>142.81</v>
      </c>
      <c r="I237">
        <v>15.92</v>
      </c>
      <c r="J237">
        <v>13.42</v>
      </c>
      <c r="K237">
        <v>7.49</v>
      </c>
      <c r="L237">
        <v>22.13</v>
      </c>
      <c r="M237">
        <v>29.36</v>
      </c>
      <c r="N237">
        <v>26.33</v>
      </c>
      <c r="O237">
        <v>113.13</v>
      </c>
      <c r="P237" s="5">
        <f>O237/I237</f>
        <v>7.1061557788944718</v>
      </c>
      <c r="Q237">
        <v>12.02</v>
      </c>
      <c r="R237">
        <v>18.329999999999998</v>
      </c>
      <c r="S237">
        <v>-0.5</v>
      </c>
      <c r="T237">
        <v>105</v>
      </c>
      <c r="U237">
        <v>0</v>
      </c>
      <c r="V237">
        <v>1</v>
      </c>
      <c r="W237">
        <v>1</v>
      </c>
      <c r="X237">
        <v>3.11</v>
      </c>
      <c r="Y237">
        <v>0.4</v>
      </c>
      <c r="Z237">
        <v>0.1</v>
      </c>
      <c r="AA237" s="5">
        <f>IF(X237&lt;50,IF(Y237&gt;(2.3*X237),0,1),1)-IF(Z237&gt;Y237,1.7,0)</f>
        <v>1</v>
      </c>
      <c r="AB237">
        <v>0</v>
      </c>
      <c r="AC237" s="5">
        <f>IF(AB237&gt;4,1,0)+IF(AB237&gt;10,0.7,0)</f>
        <v>0</v>
      </c>
      <c r="AD237">
        <v>32.229999999999997</v>
      </c>
      <c r="AE237">
        <v>7.62</v>
      </c>
      <c r="AF237">
        <v>32.31</v>
      </c>
      <c r="AG237" s="6">
        <f>IF(G237&lt;52,0,0.7)+IF(G237&lt;34,0,0.7)+IF(G237&lt;1,0,0.7)+IF(P237&gt;14.56,0,1)+IF(R237&lt;9,0.5,0)+IF(R237&lt;33.8,0.5,0)+IF(R237&lt;50,0.5,0)+IF(R237&lt;80,0.5,0)+IF(S237=5,0,S237)+IF(V237&gt;0,1,-1)+IF(AE237&lt;10.56,0,1)-IF(AE237&lt;3,1,0)-IF(AE237&lt;1,1,0)</f>
        <v>5.0999999999999996</v>
      </c>
      <c r="AH237" s="5">
        <f>AG237+IF(X237&lt;1.35,0,1)+IF(Y237&lt;1.35,0,1)+IF(Y237&lt;0.7,-1,0)+AC237+AA237</f>
        <v>6.1</v>
      </c>
      <c r="AI237">
        <v>12.285</v>
      </c>
      <c r="AJ237" s="5">
        <f t="shared" si="75"/>
        <v>1</v>
      </c>
      <c r="AK237" s="5">
        <f t="shared" si="76"/>
        <v>13.75</v>
      </c>
      <c r="AL237" s="4">
        <f t="shared" si="77"/>
        <v>1</v>
      </c>
      <c r="AM237" s="8" t="str">
        <f t="shared" si="78"/>
        <v>Om Galaxy  Price, GMP</v>
      </c>
      <c r="AN237">
        <v>10</v>
      </c>
      <c r="AO237" s="61">
        <f t="shared" si="79"/>
        <v>0</v>
      </c>
      <c r="AP237" s="7">
        <f t="shared" si="80"/>
        <v>0</v>
      </c>
      <c r="AQ237">
        <v>1</v>
      </c>
      <c r="AR237" s="7">
        <f t="shared" si="81"/>
        <v>5</v>
      </c>
      <c r="AV237" s="5">
        <f t="shared" si="82"/>
        <v>0</v>
      </c>
      <c r="AZ237" s="4">
        <f t="shared" si="91"/>
        <v>0</v>
      </c>
    </row>
    <row r="238" spans="1:53" ht="12.75" customHeight="1">
      <c r="A238" t="s">
        <v>436</v>
      </c>
      <c r="B238" t="s">
        <v>437</v>
      </c>
      <c r="C238" t="s">
        <v>159</v>
      </c>
      <c r="D238">
        <v>1</v>
      </c>
      <c r="E238">
        <v>17.32</v>
      </c>
      <c r="F238">
        <v>26.35</v>
      </c>
      <c r="G238" s="5">
        <v>34.270000000000003</v>
      </c>
      <c r="H238">
        <v>61.12</v>
      </c>
      <c r="I238">
        <v>9.64</v>
      </c>
      <c r="J238">
        <v>9.6</v>
      </c>
      <c r="K238">
        <v>10.68</v>
      </c>
      <c r="L238">
        <v>37.630000000000003</v>
      </c>
      <c r="M238">
        <v>14.17</v>
      </c>
      <c r="N238">
        <v>15.35</v>
      </c>
      <c r="O238">
        <v>102.34</v>
      </c>
      <c r="P238" s="5">
        <v>10.62</v>
      </c>
      <c r="Q238">
        <v>10.86</v>
      </c>
      <c r="R238">
        <v>14.43</v>
      </c>
      <c r="S238">
        <v>-0.5</v>
      </c>
      <c r="T238">
        <v>45.24</v>
      </c>
      <c r="U238">
        <v>0</v>
      </c>
      <c r="V238">
        <v>1</v>
      </c>
      <c r="W238">
        <v>1</v>
      </c>
      <c r="X238">
        <v>0.19</v>
      </c>
      <c r="Y238">
        <v>3.68</v>
      </c>
      <c r="Z238">
        <v>1.17</v>
      </c>
      <c r="AA238" s="5">
        <v>0</v>
      </c>
      <c r="AB238">
        <v>0</v>
      </c>
      <c r="AC238" s="5">
        <v>0</v>
      </c>
      <c r="AD238">
        <v>130.62</v>
      </c>
      <c r="AE238">
        <v>48.88</v>
      </c>
      <c r="AF238">
        <v>57.69</v>
      </c>
      <c r="AG238" s="6">
        <v>5.4</v>
      </c>
      <c r="AH238" s="5">
        <v>6.4</v>
      </c>
      <c r="AI238">
        <v>10.297499999999999</v>
      </c>
      <c r="AJ238" s="5">
        <f t="shared" si="75"/>
        <v>1</v>
      </c>
      <c r="AK238" s="5">
        <f t="shared" si="76"/>
        <v>13.775</v>
      </c>
      <c r="AL238" s="4">
        <f t="shared" si="77"/>
        <v>1</v>
      </c>
      <c r="AM238" s="8" t="str">
        <f t="shared" si="78"/>
        <v xml:space="preserve">FX Multitech  Price, </v>
      </c>
      <c r="AN238">
        <v>21</v>
      </c>
      <c r="AO238" s="61">
        <f t="shared" si="79"/>
        <v>0</v>
      </c>
      <c r="AP238" s="7">
        <f t="shared" si="80"/>
        <v>0</v>
      </c>
      <c r="AQ238">
        <v>0.95</v>
      </c>
      <c r="AR238" s="7">
        <f t="shared" si="81"/>
        <v>5</v>
      </c>
      <c r="AV238" s="5">
        <f t="shared" si="82"/>
        <v>0</v>
      </c>
      <c r="AZ238" s="4">
        <f t="shared" si="91"/>
        <v>0</v>
      </c>
    </row>
    <row r="239" spans="1:53" ht="12.75" customHeight="1">
      <c r="A239" t="s">
        <v>438</v>
      </c>
      <c r="B239" t="s">
        <v>439</v>
      </c>
      <c r="C239" t="s">
        <v>159</v>
      </c>
      <c r="D239">
        <v>1</v>
      </c>
      <c r="E239">
        <v>54.76</v>
      </c>
      <c r="F239">
        <v>17.260000000000002</v>
      </c>
      <c r="G239" s="5">
        <v>-217.27</v>
      </c>
      <c r="H239">
        <v>87.53</v>
      </c>
      <c r="I239">
        <v>4.07</v>
      </c>
      <c r="J239">
        <v>0.9</v>
      </c>
      <c r="K239">
        <v>2.27</v>
      </c>
      <c r="L239">
        <v>15.96</v>
      </c>
      <c r="M239">
        <v>14.59</v>
      </c>
      <c r="N239">
        <v>3.7</v>
      </c>
      <c r="O239">
        <v>290.94</v>
      </c>
      <c r="P239" s="5">
        <v>71.48</v>
      </c>
      <c r="Q239">
        <v>16.3</v>
      </c>
      <c r="R239">
        <v>22.84</v>
      </c>
      <c r="S239">
        <v>-0.5</v>
      </c>
      <c r="T239">
        <v>22.2</v>
      </c>
      <c r="U239">
        <v>0</v>
      </c>
      <c r="V239">
        <v>1</v>
      </c>
      <c r="W239">
        <v>1</v>
      </c>
      <c r="X239">
        <v>1.26</v>
      </c>
      <c r="Y239">
        <v>1.82</v>
      </c>
      <c r="Z239">
        <v>1.1299999999999999</v>
      </c>
      <c r="AA239" s="5">
        <v>1</v>
      </c>
      <c r="AB239">
        <v>0</v>
      </c>
      <c r="AC239" s="5">
        <v>0</v>
      </c>
      <c r="AD239">
        <v>21.49</v>
      </c>
      <c r="AE239">
        <v>-18.739999999999998</v>
      </c>
      <c r="AF239">
        <v>-16.29</v>
      </c>
      <c r="AG239" s="6">
        <v>2</v>
      </c>
      <c r="AH239" s="5">
        <v>4</v>
      </c>
      <c r="AI239">
        <v>10.297499999999999</v>
      </c>
      <c r="AJ239" s="5">
        <f t="shared" si="75"/>
        <v>1</v>
      </c>
      <c r="AK239" s="5">
        <f t="shared" si="76"/>
        <v>7</v>
      </c>
      <c r="AL239" s="4">
        <f t="shared" si="77"/>
        <v>1</v>
      </c>
      <c r="AM239" s="8" t="str">
        <f t="shared" si="78"/>
        <v>Vivekanand Cotspin  P</v>
      </c>
      <c r="AN239">
        <v>21</v>
      </c>
      <c r="AO239" s="61">
        <f t="shared" si="79"/>
        <v>0</v>
      </c>
      <c r="AP239" s="7">
        <f t="shared" si="80"/>
        <v>0</v>
      </c>
      <c r="AQ239">
        <v>1</v>
      </c>
      <c r="AR239" s="7">
        <f t="shared" si="81"/>
        <v>5</v>
      </c>
      <c r="AV239" s="5">
        <f t="shared" si="82"/>
        <v>0</v>
      </c>
      <c r="AZ239" s="4">
        <f t="shared" si="91"/>
        <v>0</v>
      </c>
    </row>
    <row r="240" spans="1:53" ht="12.75" customHeight="1">
      <c r="A240" t="s">
        <v>440</v>
      </c>
      <c r="B240" t="s">
        <v>441</v>
      </c>
      <c r="C240" t="s">
        <v>159</v>
      </c>
      <c r="E240">
        <v>21.22</v>
      </c>
      <c r="F240">
        <v>14.05</v>
      </c>
      <c r="G240" s="5">
        <v>-51.03</v>
      </c>
      <c r="H240">
        <v>52.4</v>
      </c>
      <c r="I240">
        <v>2.65</v>
      </c>
      <c r="J240">
        <v>9.31</v>
      </c>
      <c r="K240">
        <v>6.5</v>
      </c>
      <c r="L240">
        <v>16.57</v>
      </c>
      <c r="M240">
        <v>5.9</v>
      </c>
      <c r="N240">
        <v>16.09</v>
      </c>
      <c r="O240">
        <v>33.64</v>
      </c>
      <c r="P240" s="5">
        <v>12.69</v>
      </c>
      <c r="Q240">
        <v>11.08</v>
      </c>
      <c r="R240">
        <v>15.72</v>
      </c>
      <c r="S240">
        <v>-1</v>
      </c>
      <c r="T240">
        <v>25.52</v>
      </c>
      <c r="U240">
        <v>0</v>
      </c>
      <c r="V240">
        <v>0</v>
      </c>
      <c r="W240">
        <v>1</v>
      </c>
      <c r="X240">
        <v>0</v>
      </c>
      <c r="Y240">
        <v>1.1299999999999999</v>
      </c>
      <c r="Z240">
        <v>0.12</v>
      </c>
      <c r="AA240" s="5">
        <v>0</v>
      </c>
      <c r="AB240">
        <v>0</v>
      </c>
      <c r="AC240" s="5">
        <v>0</v>
      </c>
      <c r="AD240">
        <v>-21.13</v>
      </c>
      <c r="AE240">
        <v>-9.08</v>
      </c>
      <c r="AF240">
        <v>23.25</v>
      </c>
      <c r="AG240" s="6">
        <v>2</v>
      </c>
      <c r="AH240" s="5">
        <v>2</v>
      </c>
      <c r="AI240">
        <v>10.297499999999999</v>
      </c>
      <c r="AJ240" s="5">
        <f t="shared" si="75"/>
        <v>1</v>
      </c>
      <c r="AK240" s="5">
        <f t="shared" si="76"/>
        <v>5</v>
      </c>
      <c r="AL240" s="4">
        <f t="shared" si="77"/>
        <v>0</v>
      </c>
      <c r="AM240" s="8" t="str">
        <f t="shared" si="78"/>
        <v>Anand Seamless  Price</v>
      </c>
      <c r="AN240">
        <v>24</v>
      </c>
      <c r="AO240" s="61">
        <f t="shared" si="79"/>
        <v>0</v>
      </c>
      <c r="AP240" s="7">
        <f t="shared" si="80"/>
        <v>0</v>
      </c>
      <c r="AQ240">
        <v>1</v>
      </c>
      <c r="AR240" s="7">
        <f t="shared" si="81"/>
        <v>5</v>
      </c>
      <c r="AV240" s="5">
        <f t="shared" si="82"/>
        <v>0</v>
      </c>
      <c r="AZ240" s="4">
        <f t="shared" si="91"/>
        <v>0</v>
      </c>
    </row>
    <row r="241" spans="1:52" ht="12.75" customHeight="1">
      <c r="A241" t="s">
        <v>442</v>
      </c>
      <c r="B241" t="s">
        <v>443</v>
      </c>
      <c r="C241" t="s">
        <v>159</v>
      </c>
      <c r="E241">
        <v>1.76</v>
      </c>
      <c r="F241">
        <v>6.75</v>
      </c>
      <c r="G241" s="5">
        <v>73.930000000000007</v>
      </c>
      <c r="H241">
        <v>10.82</v>
      </c>
      <c r="I241">
        <v>2.23</v>
      </c>
      <c r="J241">
        <v>17.16</v>
      </c>
      <c r="K241">
        <v>11.72</v>
      </c>
      <c r="L241">
        <v>63.87</v>
      </c>
      <c r="M241">
        <v>2.99</v>
      </c>
      <c r="N241">
        <v>18.82</v>
      </c>
      <c r="O241">
        <v>21</v>
      </c>
      <c r="P241" s="5">
        <v>9.42</v>
      </c>
      <c r="Q241">
        <v>9.0399999999999991</v>
      </c>
      <c r="R241">
        <v>12.63</v>
      </c>
      <c r="S241">
        <v>-0.5</v>
      </c>
      <c r="T241">
        <v>26.5</v>
      </c>
      <c r="U241">
        <v>0</v>
      </c>
      <c r="V241">
        <v>1</v>
      </c>
      <c r="W241">
        <v>1</v>
      </c>
      <c r="X241">
        <v>0</v>
      </c>
      <c r="Y241">
        <v>0.31</v>
      </c>
      <c r="Z241">
        <v>0.45</v>
      </c>
      <c r="AA241" s="5">
        <v>0</v>
      </c>
      <c r="AB241">
        <v>0</v>
      </c>
      <c r="AC241" s="5">
        <v>0</v>
      </c>
      <c r="AD241">
        <v>418.6</v>
      </c>
      <c r="AE241">
        <v>45.53</v>
      </c>
      <c r="AF241">
        <v>403.73</v>
      </c>
      <c r="AG241" s="6">
        <v>6.1</v>
      </c>
      <c r="AH241" s="5">
        <v>6.1</v>
      </c>
      <c r="AI241">
        <v>10.297499999999999</v>
      </c>
      <c r="AJ241" s="5">
        <f t="shared" si="75"/>
        <v>1</v>
      </c>
      <c r="AK241" s="5">
        <f t="shared" si="76"/>
        <v>15.249999999999998</v>
      </c>
      <c r="AL241" s="4">
        <f t="shared" si="77"/>
        <v>0</v>
      </c>
      <c r="AM241" s="8" t="str">
        <f t="shared" si="78"/>
        <v xml:space="preserve">Himalaya Nutravedics </v>
      </c>
      <c r="AN241">
        <v>24</v>
      </c>
      <c r="AO241" s="61">
        <f t="shared" si="79"/>
        <v>0</v>
      </c>
      <c r="AP241" s="7">
        <f t="shared" si="80"/>
        <v>3</v>
      </c>
      <c r="AQ241">
        <v>1</v>
      </c>
      <c r="AR241" s="7">
        <f t="shared" si="81"/>
        <v>5</v>
      </c>
      <c r="AV241" s="5">
        <f t="shared" si="82"/>
        <v>0</v>
      </c>
      <c r="AZ241" s="4">
        <f t="shared" si="91"/>
        <v>0</v>
      </c>
    </row>
    <row r="242" spans="1:52" ht="12.75" customHeight="1">
      <c r="A242" t="s">
        <v>444</v>
      </c>
      <c r="B242" t="s">
        <v>445</v>
      </c>
      <c r="C242" t="s">
        <v>159</v>
      </c>
      <c r="E242">
        <v>36.64</v>
      </c>
      <c r="F242">
        <v>57.4</v>
      </c>
      <c r="G242" s="5">
        <v>36.17</v>
      </c>
      <c r="H242">
        <v>122.96</v>
      </c>
      <c r="I242">
        <v>8.2200000000000006</v>
      </c>
      <c r="J242">
        <v>3.39</v>
      </c>
      <c r="K242">
        <v>7.23</v>
      </c>
      <c r="L242">
        <v>12.41</v>
      </c>
      <c r="M242">
        <v>17.45</v>
      </c>
      <c r="N242">
        <v>7.03</v>
      </c>
      <c r="O242">
        <v>227.13</v>
      </c>
      <c r="P242" s="5">
        <v>27.63</v>
      </c>
      <c r="Q242">
        <v>12.17</v>
      </c>
      <c r="R242">
        <v>16.7</v>
      </c>
      <c r="S242">
        <v>-0.5</v>
      </c>
      <c r="T242">
        <v>34.47</v>
      </c>
      <c r="U242">
        <v>0</v>
      </c>
      <c r="V242">
        <v>1</v>
      </c>
      <c r="W242">
        <v>1</v>
      </c>
      <c r="X242">
        <v>0</v>
      </c>
      <c r="Y242">
        <v>0.06</v>
      </c>
      <c r="Z242">
        <v>0.05</v>
      </c>
      <c r="AA242" s="5">
        <v>0</v>
      </c>
      <c r="AB242">
        <v>0</v>
      </c>
      <c r="AC242" s="5">
        <v>0</v>
      </c>
      <c r="AD242">
        <v>10.78</v>
      </c>
      <c r="AE242">
        <v>10.8</v>
      </c>
      <c r="AF242">
        <v>16.71</v>
      </c>
      <c r="AG242" s="6">
        <v>4.4000000000000004</v>
      </c>
      <c r="AH242" s="5">
        <v>4.4000000000000004</v>
      </c>
      <c r="AI242">
        <v>10.2775</v>
      </c>
      <c r="AJ242" s="5">
        <f t="shared" si="75"/>
        <v>1</v>
      </c>
      <c r="AK242" s="5">
        <f t="shared" si="76"/>
        <v>11</v>
      </c>
      <c r="AL242" s="4">
        <f t="shared" si="77"/>
        <v>0</v>
      </c>
      <c r="AM242" s="8" t="str">
        <f t="shared" si="78"/>
        <v>Unitec Fibres  Price,</v>
      </c>
      <c r="AN242">
        <v>25</v>
      </c>
      <c r="AO242" s="61">
        <f t="shared" si="79"/>
        <v>0</v>
      </c>
      <c r="AP242" s="7">
        <f t="shared" si="80"/>
        <v>0</v>
      </c>
      <c r="AQ242">
        <v>1</v>
      </c>
      <c r="AR242" s="7">
        <f t="shared" si="81"/>
        <v>5</v>
      </c>
      <c r="AV242" s="5">
        <f t="shared" si="82"/>
        <v>0</v>
      </c>
      <c r="AZ242" s="4">
        <f t="shared" si="91"/>
        <v>0</v>
      </c>
    </row>
    <row r="243" spans="1:52" ht="12.75" customHeight="1">
      <c r="A243" t="s">
        <v>446</v>
      </c>
      <c r="B243" t="s">
        <v>447</v>
      </c>
      <c r="C243" t="s">
        <v>159</v>
      </c>
      <c r="E243">
        <v>0</v>
      </c>
      <c r="F243">
        <v>0</v>
      </c>
      <c r="G243" s="5">
        <v>0</v>
      </c>
      <c r="H243">
        <v>0</v>
      </c>
      <c r="I243">
        <v>0</v>
      </c>
      <c r="J243">
        <v>13.32</v>
      </c>
      <c r="K243">
        <v>5.03</v>
      </c>
      <c r="L243">
        <v>25.36</v>
      </c>
      <c r="M243">
        <v>0</v>
      </c>
      <c r="N243">
        <v>18.690000000000001</v>
      </c>
      <c r="O243">
        <v>0</v>
      </c>
      <c r="P243" s="5">
        <v>0</v>
      </c>
      <c r="Q243">
        <v>10.74</v>
      </c>
      <c r="R243">
        <v>14.96</v>
      </c>
      <c r="S243">
        <v>-1</v>
      </c>
      <c r="T243">
        <v>39.01</v>
      </c>
      <c r="U243">
        <v>0</v>
      </c>
      <c r="V243">
        <v>0</v>
      </c>
      <c r="W243">
        <v>1</v>
      </c>
      <c r="X243">
        <v>1</v>
      </c>
      <c r="Y243">
        <v>1.31</v>
      </c>
      <c r="Z243">
        <v>0.02</v>
      </c>
      <c r="AA243" s="5">
        <v>1</v>
      </c>
      <c r="AB243">
        <v>0</v>
      </c>
      <c r="AC243" s="5">
        <v>0</v>
      </c>
      <c r="AD243">
        <v>0</v>
      </c>
      <c r="AE243">
        <v>0</v>
      </c>
      <c r="AF243">
        <v>0</v>
      </c>
      <c r="AG243" s="6">
        <v>2</v>
      </c>
      <c r="AH243" s="5">
        <v>3</v>
      </c>
      <c r="AI243">
        <v>10.2875</v>
      </c>
      <c r="AJ243" s="5">
        <f t="shared" si="75"/>
        <v>1</v>
      </c>
      <c r="AK243" s="5">
        <f t="shared" si="76"/>
        <v>5.6999999999999993</v>
      </c>
      <c r="AL243" s="4">
        <f t="shared" si="77"/>
        <v>0</v>
      </c>
      <c r="AM243" s="8" t="str">
        <f t="shared" si="78"/>
        <v>Liqvd Digital  Price,</v>
      </c>
      <c r="AN243">
        <v>25</v>
      </c>
      <c r="AO243" s="61">
        <f t="shared" si="79"/>
        <v>0</v>
      </c>
      <c r="AP243" s="7">
        <f t="shared" si="80"/>
        <v>0</v>
      </c>
      <c r="AQ243">
        <v>0.95</v>
      </c>
      <c r="AR243" s="7">
        <f t="shared" si="81"/>
        <v>5</v>
      </c>
      <c r="AV243" s="5">
        <f t="shared" si="82"/>
        <v>0</v>
      </c>
      <c r="AZ243" s="4">
        <f t="shared" ref="AZ243:AZ274" si="92">IF(AY243&lt;-50,-4,IF(AY243&lt;-20,-2,IF(AY243&lt;0,-1,IF(AY243=0,0,IF(AY243&lt;10,1.5,IF(AY243&lt;20,2,IF(AY243&gt;19,2.5,2.5)))))))</f>
        <v>0</v>
      </c>
    </row>
    <row r="244" spans="1:52" ht="12.75" customHeight="1">
      <c r="A244" t="s">
        <v>448</v>
      </c>
      <c r="B244" t="s">
        <v>449</v>
      </c>
      <c r="C244" t="s">
        <v>159</v>
      </c>
      <c r="E244">
        <v>29</v>
      </c>
      <c r="F244">
        <v>25.85</v>
      </c>
      <c r="G244" s="5">
        <v>-12.19</v>
      </c>
      <c r="H244">
        <v>70.06</v>
      </c>
      <c r="I244">
        <v>11.02</v>
      </c>
      <c r="J244">
        <v>7.41</v>
      </c>
      <c r="K244">
        <v>11.82</v>
      </c>
      <c r="L244">
        <v>0</v>
      </c>
      <c r="M244">
        <v>23.09</v>
      </c>
      <c r="N244">
        <v>15.52</v>
      </c>
      <c r="O244">
        <v>150.49</v>
      </c>
      <c r="P244" s="5">
        <v>13.66</v>
      </c>
      <c r="Q244">
        <v>9.73</v>
      </c>
      <c r="R244">
        <v>13.31</v>
      </c>
      <c r="S244">
        <v>-1</v>
      </c>
      <c r="T244">
        <v>44.23</v>
      </c>
      <c r="U244">
        <v>0</v>
      </c>
      <c r="V244">
        <v>1</v>
      </c>
      <c r="W244">
        <v>1</v>
      </c>
      <c r="X244">
        <v>0</v>
      </c>
      <c r="Y244">
        <v>0.19</v>
      </c>
      <c r="Z244">
        <v>0.38</v>
      </c>
      <c r="AA244" s="5">
        <v>0</v>
      </c>
      <c r="AB244">
        <v>0</v>
      </c>
      <c r="AC244" s="5">
        <v>0</v>
      </c>
      <c r="AD244">
        <v>92.32</v>
      </c>
      <c r="AE244">
        <v>20.260000000000002</v>
      </c>
      <c r="AF244">
        <v>74.31</v>
      </c>
      <c r="AG244" s="6">
        <v>4</v>
      </c>
      <c r="AH244" s="5">
        <v>4</v>
      </c>
      <c r="AI244">
        <v>10.297499999999999</v>
      </c>
      <c r="AJ244" s="5">
        <f t="shared" si="75"/>
        <v>1</v>
      </c>
      <c r="AK244" s="5">
        <f t="shared" si="76"/>
        <v>10</v>
      </c>
      <c r="AL244" s="4">
        <f t="shared" si="77"/>
        <v>0</v>
      </c>
      <c r="AM244" s="8" t="str">
        <f t="shared" si="78"/>
        <v>Pooja Logistics  Pric</v>
      </c>
      <c r="AN244">
        <v>25</v>
      </c>
      <c r="AO244" s="61">
        <f t="shared" si="79"/>
        <v>0</v>
      </c>
      <c r="AP244" s="7">
        <f t="shared" si="80"/>
        <v>0</v>
      </c>
      <c r="AQ244">
        <v>1</v>
      </c>
      <c r="AR244" s="7">
        <f t="shared" si="81"/>
        <v>5</v>
      </c>
      <c r="AV244" s="5">
        <f t="shared" si="82"/>
        <v>0</v>
      </c>
      <c r="AZ244" s="4">
        <f t="shared" si="92"/>
        <v>0</v>
      </c>
    </row>
    <row r="245" spans="1:52" ht="12.75" customHeight="1">
      <c r="A245" t="s">
        <v>450</v>
      </c>
      <c r="B245" t="s">
        <v>451</v>
      </c>
      <c r="C245" t="s">
        <v>159</v>
      </c>
      <c r="E245">
        <v>0</v>
      </c>
      <c r="F245">
        <v>22.89</v>
      </c>
      <c r="G245" s="5">
        <v>100</v>
      </c>
      <c r="H245">
        <v>56.8</v>
      </c>
      <c r="I245">
        <v>3.46</v>
      </c>
      <c r="J245">
        <v>0.87</v>
      </c>
      <c r="K245">
        <v>5.88</v>
      </c>
      <c r="L245">
        <v>17.940000000000001</v>
      </c>
      <c r="M245">
        <v>4.2</v>
      </c>
      <c r="N245">
        <v>1.17</v>
      </c>
      <c r="O245">
        <v>404.39</v>
      </c>
      <c r="P245" s="5">
        <v>116.88</v>
      </c>
      <c r="Q245">
        <v>13.27</v>
      </c>
      <c r="R245">
        <v>18.14</v>
      </c>
      <c r="S245">
        <v>-0.5</v>
      </c>
      <c r="T245">
        <v>21.99</v>
      </c>
      <c r="U245">
        <v>0</v>
      </c>
      <c r="V245">
        <v>0</v>
      </c>
      <c r="W245">
        <v>1</v>
      </c>
      <c r="X245">
        <v>1.05</v>
      </c>
      <c r="Y245">
        <v>0</v>
      </c>
      <c r="Z245">
        <v>0.02</v>
      </c>
      <c r="AA245" s="5">
        <v>1</v>
      </c>
      <c r="AB245">
        <v>0</v>
      </c>
      <c r="AC245" s="5">
        <v>0</v>
      </c>
      <c r="AD245">
        <v>-29.96</v>
      </c>
      <c r="AE245">
        <v>9.76</v>
      </c>
      <c r="AF245">
        <v>17.809999999999999</v>
      </c>
      <c r="AG245" s="6">
        <v>3.1</v>
      </c>
      <c r="AH245" s="5">
        <v>4.0999999999999996</v>
      </c>
      <c r="AI245">
        <v>10.297499999999999</v>
      </c>
      <c r="AJ245" s="5">
        <f t="shared" si="75"/>
        <v>1</v>
      </c>
      <c r="AK245" s="5">
        <f t="shared" si="76"/>
        <v>8.3125</v>
      </c>
      <c r="AL245" s="4">
        <f t="shared" si="77"/>
        <v>0</v>
      </c>
      <c r="AM245" s="8" t="str">
        <f t="shared" si="78"/>
        <v>Coreintegra Consultin</v>
      </c>
      <c r="AN245">
        <v>25</v>
      </c>
      <c r="AO245" s="61">
        <f t="shared" si="79"/>
        <v>0</v>
      </c>
      <c r="AP245" s="7">
        <f t="shared" ref="AP245:AP276" si="93">IF(AK245&gt;13.93,IF(Z245&lt;140,IF(Z245&lt;35,IF(Z245&lt;6,3,2),1),0),0)</f>
        <v>0</v>
      </c>
      <c r="AQ245">
        <v>0.95</v>
      </c>
      <c r="AR245" s="7">
        <f t="shared" si="81"/>
        <v>5</v>
      </c>
      <c r="AV245" s="5">
        <f t="shared" si="82"/>
        <v>0</v>
      </c>
      <c r="AZ245" s="4">
        <f t="shared" si="92"/>
        <v>0</v>
      </c>
    </row>
    <row r="246" spans="1:52" ht="12.75" customHeight="1">
      <c r="A246" t="s">
        <v>452</v>
      </c>
      <c r="B246" t="s">
        <v>453</v>
      </c>
      <c r="C246" t="s">
        <v>159</v>
      </c>
      <c r="E246">
        <v>74.92</v>
      </c>
      <c r="F246">
        <v>25.81</v>
      </c>
      <c r="G246" s="5">
        <f>100*(F246-E246)/F246</f>
        <v>-190.27508717551336</v>
      </c>
      <c r="H246">
        <v>177.95</v>
      </c>
      <c r="I246">
        <v>10.35</v>
      </c>
      <c r="J246">
        <v>3.07</v>
      </c>
      <c r="K246">
        <v>10.1</v>
      </c>
      <c r="L246">
        <v>50.16</v>
      </c>
      <c r="M246">
        <v>20.74</v>
      </c>
      <c r="N246">
        <v>6.14</v>
      </c>
      <c r="O246">
        <v>339.65</v>
      </c>
      <c r="P246" s="5">
        <f>O246/I246</f>
        <v>32.816425120772948</v>
      </c>
      <c r="Q246">
        <v>8.91</v>
      </c>
      <c r="R246">
        <v>12.31</v>
      </c>
      <c r="S246">
        <v>-1</v>
      </c>
      <c r="T246">
        <v>60.1</v>
      </c>
      <c r="U246">
        <v>0</v>
      </c>
      <c r="V246">
        <v>0</v>
      </c>
      <c r="W246">
        <v>1</v>
      </c>
      <c r="X246">
        <v>0</v>
      </c>
      <c r="Y246">
        <v>0</v>
      </c>
      <c r="Z246">
        <v>0</v>
      </c>
      <c r="AA246" s="5">
        <f>IF(X246&lt;50,IF(Y246&gt;(2.3*X246),0,1),1)-IF(Z246&gt;Y246,1.7,0)</f>
        <v>1</v>
      </c>
      <c r="AB246">
        <v>0</v>
      </c>
      <c r="AC246" s="5">
        <f>IF(AB246&gt;4,1,0)+IF(AB246&gt;10,0.7,0)</f>
        <v>0</v>
      </c>
      <c r="AD246">
        <v>55.41</v>
      </c>
      <c r="AE246">
        <v>6.76</v>
      </c>
      <c r="AF246">
        <v>66.95</v>
      </c>
      <c r="AG246" s="6">
        <f>IF(G246&lt;52,0,0.7)+IF(G246&lt;34,0,0.7)+IF(G246&lt;1,0,0.7)+IF(P246&gt;14.56,0,1)+IF(R246&lt;9,0.5,0)+IF(R246&lt;33.8,0.5,0)+IF(R246&lt;50,0.5,0)+IF(R246&lt;80,0.5,0)+IF(S246=5,0,S246)+IF(V246&gt;0,1,-1)+IF(AE246&lt;10.56,0,1)-IF(AE246&lt;3,1,0)-IF(AE246&lt;1,1,0)</f>
        <v>-0.5</v>
      </c>
      <c r="AH246" s="5">
        <f>AG246+IF(X246&lt;1.35,0,1)+IF(Y246&lt;1.35,0,1)+IF(Y246&lt;0.7,-1,0)+AC246+AA246</f>
        <v>-0.5</v>
      </c>
      <c r="AI246">
        <v>10.2775</v>
      </c>
      <c r="AJ246" s="5">
        <f t="shared" si="75"/>
        <v>1</v>
      </c>
      <c r="AK246" s="5">
        <f t="shared" si="76"/>
        <v>-1.25</v>
      </c>
      <c r="AL246" s="4">
        <f t="shared" si="77"/>
        <v>0</v>
      </c>
      <c r="AM246" s="8" t="str">
        <f t="shared" si="78"/>
        <v>Green Asia Impex  Pri</v>
      </c>
      <c r="AN246">
        <v>28</v>
      </c>
      <c r="AO246" s="61">
        <f t="shared" si="79"/>
        <v>0</v>
      </c>
      <c r="AP246" s="7">
        <f t="shared" si="93"/>
        <v>0</v>
      </c>
      <c r="AQ246">
        <v>1</v>
      </c>
      <c r="AR246" s="7">
        <f t="shared" si="81"/>
        <v>5</v>
      </c>
      <c r="AV246" s="5">
        <f t="shared" si="82"/>
        <v>0</v>
      </c>
      <c r="AZ246" s="4">
        <f t="shared" si="92"/>
        <v>0</v>
      </c>
    </row>
    <row r="247" spans="1:52" ht="12.75" customHeight="1">
      <c r="A247" t="s">
        <v>454</v>
      </c>
      <c r="B247" t="s">
        <v>455</v>
      </c>
      <c r="C247" t="s">
        <v>159</v>
      </c>
      <c r="E247">
        <v>22.6</v>
      </c>
      <c r="F247">
        <v>27.26</v>
      </c>
      <c r="G247" s="5">
        <v>17.09</v>
      </c>
      <c r="H247">
        <v>65.95</v>
      </c>
      <c r="I247">
        <v>11.84</v>
      </c>
      <c r="J247">
        <v>7.32</v>
      </c>
      <c r="K247">
        <v>11.51</v>
      </c>
      <c r="L247">
        <v>44.96</v>
      </c>
      <c r="M247">
        <v>18.05</v>
      </c>
      <c r="N247">
        <v>10.53</v>
      </c>
      <c r="O247">
        <v>171.55</v>
      </c>
      <c r="P247" s="5">
        <v>14.49</v>
      </c>
      <c r="Q247">
        <v>8.77</v>
      </c>
      <c r="R247">
        <v>12.15</v>
      </c>
      <c r="S247">
        <v>-0.5</v>
      </c>
      <c r="T247">
        <v>53.52</v>
      </c>
      <c r="U247">
        <v>0</v>
      </c>
      <c r="V247">
        <v>1</v>
      </c>
      <c r="W247">
        <v>1</v>
      </c>
      <c r="X247">
        <v>177.12</v>
      </c>
      <c r="Y247">
        <v>0.35</v>
      </c>
      <c r="Z247">
        <v>1.72</v>
      </c>
      <c r="AA247" s="5">
        <v>1</v>
      </c>
      <c r="AB247">
        <v>0</v>
      </c>
      <c r="AC247" s="5">
        <v>0</v>
      </c>
      <c r="AD247">
        <v>127.26</v>
      </c>
      <c r="AE247">
        <v>291.58</v>
      </c>
      <c r="AF247">
        <v>76.78</v>
      </c>
      <c r="AG247" s="6">
        <v>4.7</v>
      </c>
      <c r="AH247" s="5">
        <v>6.7</v>
      </c>
      <c r="AI247">
        <v>14.1075</v>
      </c>
      <c r="AJ247" s="5">
        <f t="shared" si="75"/>
        <v>0.98</v>
      </c>
      <c r="AK247" s="5">
        <f t="shared" si="76"/>
        <v>13.475</v>
      </c>
      <c r="AL247" s="4">
        <f t="shared" si="77"/>
        <v>0</v>
      </c>
      <c r="AM247" s="8" t="str">
        <f t="shared" si="78"/>
        <v xml:space="preserve">Peshwa Wheat  Price, </v>
      </c>
      <c r="AN247">
        <v>28</v>
      </c>
      <c r="AO247" s="61">
        <f t="shared" si="79"/>
        <v>0</v>
      </c>
      <c r="AP247" s="7">
        <f t="shared" si="93"/>
        <v>0</v>
      </c>
      <c r="AQ247">
        <v>1</v>
      </c>
      <c r="AR247" s="7">
        <f t="shared" si="81"/>
        <v>5</v>
      </c>
      <c r="AV247" s="5">
        <f t="shared" si="82"/>
        <v>0</v>
      </c>
      <c r="AZ247" s="4">
        <f t="shared" si="92"/>
        <v>0</v>
      </c>
    </row>
    <row r="248" spans="1:52" ht="12.75" customHeight="1">
      <c r="A248" t="s">
        <v>456</v>
      </c>
      <c r="B248" t="s">
        <v>457</v>
      </c>
      <c r="C248" t="s">
        <v>159</v>
      </c>
      <c r="E248">
        <v>7.03</v>
      </c>
      <c r="F248">
        <v>9.89</v>
      </c>
      <c r="G248" s="5">
        <v>28.92</v>
      </c>
      <c r="H248">
        <v>22.47</v>
      </c>
      <c r="I248">
        <v>4.6900000000000004</v>
      </c>
      <c r="J248">
        <v>12.78</v>
      </c>
      <c r="K248">
        <v>8.0399999999999991</v>
      </c>
      <c r="L248">
        <v>49.37</v>
      </c>
      <c r="M248">
        <v>8.1300000000000008</v>
      </c>
      <c r="N248">
        <v>19.72</v>
      </c>
      <c r="O248">
        <v>45.63</v>
      </c>
      <c r="P248" s="5">
        <v>9.73</v>
      </c>
      <c r="Q248">
        <v>7.96</v>
      </c>
      <c r="R248">
        <v>10.92</v>
      </c>
      <c r="S248">
        <v>-0.5</v>
      </c>
      <c r="T248">
        <v>19.2</v>
      </c>
      <c r="U248">
        <v>0</v>
      </c>
      <c r="V248">
        <v>1</v>
      </c>
      <c r="W248">
        <v>1</v>
      </c>
      <c r="X248">
        <v>44.81</v>
      </c>
      <c r="Y248">
        <v>421.94</v>
      </c>
      <c r="Z248">
        <v>529.82000000000005</v>
      </c>
      <c r="AA248" s="5">
        <v>0</v>
      </c>
      <c r="AB248">
        <v>59.38</v>
      </c>
      <c r="AC248" s="5">
        <v>1</v>
      </c>
      <c r="AD248">
        <v>212.67</v>
      </c>
      <c r="AE248">
        <v>27.28</v>
      </c>
      <c r="AF248">
        <v>89.83</v>
      </c>
      <c r="AG248" s="6">
        <v>4.7</v>
      </c>
      <c r="AH248" s="5">
        <v>7.7</v>
      </c>
      <c r="AI248">
        <v>14.115</v>
      </c>
      <c r="AJ248" s="5">
        <f t="shared" si="75"/>
        <v>0.98</v>
      </c>
      <c r="AK248" s="5">
        <f t="shared" si="76"/>
        <v>14.455</v>
      </c>
      <c r="AL248" s="4">
        <f t="shared" si="77"/>
        <v>0</v>
      </c>
      <c r="AM248" s="8" t="str">
        <f t="shared" si="78"/>
        <v xml:space="preserve">Roopa Screen  Price, </v>
      </c>
      <c r="AN248">
        <v>28</v>
      </c>
      <c r="AO248" s="61">
        <f t="shared" si="79"/>
        <v>0</v>
      </c>
      <c r="AP248" s="7">
        <f t="shared" si="93"/>
        <v>0</v>
      </c>
      <c r="AQ248">
        <v>1</v>
      </c>
      <c r="AR248" s="7">
        <f t="shared" si="81"/>
        <v>5</v>
      </c>
      <c r="AV248" s="5">
        <f t="shared" si="82"/>
        <v>0</v>
      </c>
      <c r="AZ248" s="4">
        <f t="shared" si="92"/>
        <v>0</v>
      </c>
    </row>
    <row r="249" spans="1:52" ht="12.75" customHeight="1">
      <c r="A249" t="s">
        <v>458</v>
      </c>
      <c r="B249" t="s">
        <v>459</v>
      </c>
      <c r="C249" t="s">
        <v>159</v>
      </c>
      <c r="E249">
        <v>0.78</v>
      </c>
      <c r="F249">
        <v>16.329999999999998</v>
      </c>
      <c r="G249" s="5">
        <v>95.22</v>
      </c>
      <c r="H249">
        <v>60.39</v>
      </c>
      <c r="I249">
        <v>5.83</v>
      </c>
      <c r="J249">
        <v>16.88</v>
      </c>
      <c r="K249">
        <v>9.4</v>
      </c>
      <c r="L249">
        <v>47.65</v>
      </c>
      <c r="M249">
        <v>8.2799999999999994</v>
      </c>
      <c r="N249">
        <v>21.97</v>
      </c>
      <c r="O249">
        <v>50.8</v>
      </c>
      <c r="P249" s="5">
        <v>8.7100000000000009</v>
      </c>
      <c r="Q249">
        <v>11.7</v>
      </c>
      <c r="R249">
        <v>15.36</v>
      </c>
      <c r="S249">
        <v>-1</v>
      </c>
      <c r="T249">
        <v>42.44</v>
      </c>
      <c r="U249">
        <v>0</v>
      </c>
      <c r="V249">
        <v>1</v>
      </c>
      <c r="W249">
        <v>1</v>
      </c>
      <c r="X249">
        <v>0</v>
      </c>
      <c r="Y249">
        <v>11.53</v>
      </c>
      <c r="Z249">
        <v>15.39</v>
      </c>
      <c r="AA249" s="5">
        <v>0</v>
      </c>
      <c r="AB249">
        <v>26.36</v>
      </c>
      <c r="AC249" s="5">
        <v>1</v>
      </c>
      <c r="AD249">
        <v>293.92</v>
      </c>
      <c r="AE249">
        <v>46.14</v>
      </c>
      <c r="AF249">
        <v>55.52</v>
      </c>
      <c r="AG249" s="6">
        <v>6.1</v>
      </c>
      <c r="AH249" s="5">
        <v>8.1</v>
      </c>
      <c r="AI249">
        <v>14.115</v>
      </c>
      <c r="AJ249" s="5">
        <f t="shared" si="75"/>
        <v>0.98</v>
      </c>
      <c r="AK249" s="5">
        <f t="shared" si="76"/>
        <v>16.059750000000001</v>
      </c>
      <c r="AL249" s="4">
        <f t="shared" si="77"/>
        <v>0</v>
      </c>
      <c r="AM249" s="8" t="str">
        <f t="shared" si="78"/>
        <v>Bench Mark Infotech S</v>
      </c>
      <c r="AN249">
        <v>29</v>
      </c>
      <c r="AO249" s="61">
        <f t="shared" si="79"/>
        <v>1</v>
      </c>
      <c r="AP249" s="7">
        <f t="shared" si="93"/>
        <v>2</v>
      </c>
      <c r="AQ249">
        <v>0.95</v>
      </c>
      <c r="AR249" s="7">
        <f t="shared" si="81"/>
        <v>0</v>
      </c>
      <c r="AV249" s="5">
        <f t="shared" si="82"/>
        <v>0</v>
      </c>
      <c r="AZ249" s="4">
        <f t="shared" si="92"/>
        <v>0</v>
      </c>
    </row>
    <row r="250" spans="1:52" ht="12.75" customHeight="1">
      <c r="A250" t="s">
        <v>460</v>
      </c>
      <c r="B250" t="s">
        <v>461</v>
      </c>
      <c r="C250" t="s">
        <v>159</v>
      </c>
      <c r="E250">
        <v>38.5</v>
      </c>
      <c r="F250">
        <v>48.55</v>
      </c>
      <c r="G250" s="5">
        <v>20.7</v>
      </c>
      <c r="H250">
        <v>127.38</v>
      </c>
      <c r="I250">
        <v>5.77</v>
      </c>
      <c r="J250">
        <v>3.6</v>
      </c>
      <c r="K250">
        <v>4.6500000000000004</v>
      </c>
      <c r="L250">
        <v>13.69</v>
      </c>
      <c r="M250">
        <v>15.47</v>
      </c>
      <c r="N250">
        <v>9.69</v>
      </c>
      <c r="O250">
        <v>175.7</v>
      </c>
      <c r="P250" s="5">
        <v>30.45</v>
      </c>
      <c r="Q250">
        <v>11.18</v>
      </c>
      <c r="R250">
        <v>15.57</v>
      </c>
      <c r="S250">
        <v>-1</v>
      </c>
      <c r="T250">
        <v>31.2</v>
      </c>
      <c r="U250">
        <v>0</v>
      </c>
      <c r="V250">
        <v>1</v>
      </c>
      <c r="W250">
        <v>1</v>
      </c>
      <c r="X250">
        <v>0.75</v>
      </c>
      <c r="Y250">
        <v>0.66</v>
      </c>
      <c r="Z250">
        <v>0.08</v>
      </c>
      <c r="AA250" s="5">
        <v>1</v>
      </c>
      <c r="AB250">
        <v>0</v>
      </c>
      <c r="AC250" s="5">
        <v>0</v>
      </c>
      <c r="AD250">
        <v>14.71</v>
      </c>
      <c r="AE250">
        <v>-15.52</v>
      </c>
      <c r="AF250">
        <v>41.92</v>
      </c>
      <c r="AG250" s="6">
        <v>2.7</v>
      </c>
      <c r="AH250" s="5">
        <v>3.7</v>
      </c>
      <c r="AI250">
        <v>14.115</v>
      </c>
      <c r="AJ250" s="5">
        <f t="shared" si="75"/>
        <v>0.98</v>
      </c>
      <c r="AK250" s="5">
        <f t="shared" si="76"/>
        <v>7.5950000000000006</v>
      </c>
      <c r="AL250" s="4">
        <f t="shared" si="77"/>
        <v>0</v>
      </c>
      <c r="AM250" s="8" t="str">
        <f t="shared" si="78"/>
        <v>Shree TNB Polymers  P</v>
      </c>
      <c r="AN250">
        <v>29</v>
      </c>
      <c r="AO250" s="61">
        <f t="shared" si="79"/>
        <v>0</v>
      </c>
      <c r="AP250" s="7">
        <f t="shared" si="93"/>
        <v>0</v>
      </c>
      <c r="AQ250">
        <v>1</v>
      </c>
      <c r="AR250" s="7">
        <f t="shared" si="81"/>
        <v>5</v>
      </c>
      <c r="AV250" s="5">
        <f t="shared" si="82"/>
        <v>0</v>
      </c>
      <c r="AZ250" s="4">
        <f t="shared" si="92"/>
        <v>0</v>
      </c>
    </row>
    <row r="251" spans="1:52" ht="12.75" customHeight="1">
      <c r="A251" t="s">
        <v>462</v>
      </c>
      <c r="B251" t="s">
        <v>463</v>
      </c>
      <c r="C251" t="s">
        <v>159</v>
      </c>
      <c r="E251">
        <v>4.03</v>
      </c>
      <c r="F251">
        <v>8.4</v>
      </c>
      <c r="G251" s="5">
        <v>52.02</v>
      </c>
      <c r="H251">
        <v>14.28</v>
      </c>
      <c r="I251">
        <v>1.78</v>
      </c>
      <c r="J251">
        <v>7.73</v>
      </c>
      <c r="K251">
        <v>2.82</v>
      </c>
      <c r="L251">
        <v>18.46</v>
      </c>
      <c r="M251">
        <v>2.86</v>
      </c>
      <c r="N251">
        <v>12.07</v>
      </c>
      <c r="O251">
        <v>25.29</v>
      </c>
      <c r="P251" s="5">
        <v>14.21</v>
      </c>
      <c r="Q251">
        <v>10.28</v>
      </c>
      <c r="R251">
        <v>15.85</v>
      </c>
      <c r="S251">
        <v>-1</v>
      </c>
      <c r="T251">
        <v>10.54</v>
      </c>
      <c r="U251">
        <v>0</v>
      </c>
      <c r="V251">
        <v>0</v>
      </c>
      <c r="W251">
        <v>1</v>
      </c>
      <c r="X251">
        <v>0</v>
      </c>
      <c r="Y251">
        <v>0.06</v>
      </c>
      <c r="Z251">
        <v>1.06</v>
      </c>
      <c r="AA251" s="5">
        <v>0</v>
      </c>
      <c r="AB251">
        <v>13.79</v>
      </c>
      <c r="AC251" s="5">
        <v>1</v>
      </c>
      <c r="AD251">
        <v>79.8</v>
      </c>
      <c r="AE251">
        <v>0.64</v>
      </c>
      <c r="AF251">
        <v>26.89</v>
      </c>
      <c r="AG251" s="6">
        <v>4.0999999999999996</v>
      </c>
      <c r="AH251" s="5">
        <v>5.0999999999999996</v>
      </c>
      <c r="AI251">
        <v>14.105</v>
      </c>
      <c r="AJ251" s="5">
        <f t="shared" si="75"/>
        <v>0.98</v>
      </c>
      <c r="AK251" s="5">
        <f t="shared" si="76"/>
        <v>10.473749999999999</v>
      </c>
      <c r="AL251" s="4">
        <f t="shared" si="77"/>
        <v>0</v>
      </c>
      <c r="AM251" s="8" t="str">
        <f t="shared" si="78"/>
        <v>Dudani Retail  Price,</v>
      </c>
      <c r="AN251">
        <v>29</v>
      </c>
      <c r="AO251" s="61">
        <f t="shared" si="79"/>
        <v>0</v>
      </c>
      <c r="AP251" s="7">
        <f t="shared" si="93"/>
        <v>0</v>
      </c>
      <c r="AQ251">
        <v>0.95</v>
      </c>
      <c r="AR251" s="7">
        <f t="shared" si="81"/>
        <v>5</v>
      </c>
      <c r="AV251" s="5">
        <f t="shared" si="82"/>
        <v>0</v>
      </c>
      <c r="AZ251" s="4">
        <f t="shared" si="92"/>
        <v>0</v>
      </c>
    </row>
    <row r="252" spans="1:52" ht="12.75" customHeight="1">
      <c r="A252" t="s">
        <v>464</v>
      </c>
      <c r="B252" t="s">
        <v>465</v>
      </c>
      <c r="C252" t="s">
        <v>159</v>
      </c>
      <c r="E252">
        <v>26.95</v>
      </c>
      <c r="F252">
        <v>26.46</v>
      </c>
      <c r="G252" s="5">
        <v>-1.85</v>
      </c>
      <c r="H252">
        <v>93.82</v>
      </c>
      <c r="I252">
        <v>16.43</v>
      </c>
      <c r="J252">
        <v>12.13</v>
      </c>
      <c r="K252">
        <v>12.74</v>
      </c>
      <c r="L252">
        <v>56</v>
      </c>
      <c r="M252">
        <v>23.58</v>
      </c>
      <c r="N252">
        <v>17.05</v>
      </c>
      <c r="O252">
        <v>143.13999999999999</v>
      </c>
      <c r="P252" s="5">
        <v>8.7100000000000009</v>
      </c>
      <c r="Q252">
        <v>8.08</v>
      </c>
      <c r="R252">
        <v>11.02</v>
      </c>
      <c r="S252">
        <v>-1</v>
      </c>
      <c r="T252">
        <v>68.03</v>
      </c>
      <c r="U252">
        <v>0</v>
      </c>
      <c r="V252">
        <v>1</v>
      </c>
      <c r="W252">
        <v>1</v>
      </c>
      <c r="X252">
        <v>1.58</v>
      </c>
      <c r="Y252">
        <v>0.42</v>
      </c>
      <c r="Z252">
        <v>0.92</v>
      </c>
      <c r="AA252" s="5">
        <v>1</v>
      </c>
      <c r="AB252">
        <v>0</v>
      </c>
      <c r="AC252" s="5">
        <v>0</v>
      </c>
      <c r="AD252">
        <v>231.92</v>
      </c>
      <c r="AE252">
        <v>3.24</v>
      </c>
      <c r="AF252">
        <v>156.15</v>
      </c>
      <c r="AG252" s="6">
        <v>3</v>
      </c>
      <c r="AH252" s="5">
        <v>5</v>
      </c>
      <c r="AI252">
        <v>14.105</v>
      </c>
      <c r="AJ252" s="5">
        <f t="shared" si="75"/>
        <v>0.98</v>
      </c>
      <c r="AK252" s="5">
        <f t="shared" si="76"/>
        <v>9.31</v>
      </c>
      <c r="AL252" s="4">
        <f t="shared" si="77"/>
        <v>0</v>
      </c>
      <c r="AM252" s="8" t="str">
        <f t="shared" si="78"/>
        <v>Himalayan Solar  Pric</v>
      </c>
      <c r="AN252">
        <v>29</v>
      </c>
      <c r="AO252" s="61">
        <f t="shared" si="79"/>
        <v>0</v>
      </c>
      <c r="AP252" s="7">
        <f t="shared" si="93"/>
        <v>0</v>
      </c>
      <c r="AQ252">
        <v>1</v>
      </c>
      <c r="AR252" s="7">
        <f t="shared" si="81"/>
        <v>5</v>
      </c>
      <c r="AV252" s="5">
        <f t="shared" si="82"/>
        <v>0</v>
      </c>
      <c r="AZ252" s="4">
        <f t="shared" si="92"/>
        <v>0</v>
      </c>
    </row>
    <row r="253" spans="1:52" ht="12.75" customHeight="1">
      <c r="A253" t="s">
        <v>466</v>
      </c>
      <c r="B253" t="s">
        <v>467</v>
      </c>
      <c r="C253" t="s">
        <v>159</v>
      </c>
      <c r="E253">
        <v>5.35</v>
      </c>
      <c r="F253">
        <v>7.76</v>
      </c>
      <c r="G253" s="5">
        <v>31.06</v>
      </c>
      <c r="H253">
        <v>21.11</v>
      </c>
      <c r="I253">
        <v>3.13</v>
      </c>
      <c r="J253">
        <v>4.9800000000000004</v>
      </c>
      <c r="K253">
        <v>5.39</v>
      </c>
      <c r="L253">
        <v>42.44</v>
      </c>
      <c r="M253">
        <v>5.14</v>
      </c>
      <c r="N253">
        <v>7.65</v>
      </c>
      <c r="O253">
        <v>65.819999999999993</v>
      </c>
      <c r="P253" s="5">
        <v>21.03</v>
      </c>
      <c r="Q253">
        <v>20.96</v>
      </c>
      <c r="R253">
        <v>27.56</v>
      </c>
      <c r="S253">
        <v>-0.5</v>
      </c>
      <c r="T253">
        <v>24.95</v>
      </c>
      <c r="U253">
        <v>0</v>
      </c>
      <c r="V253">
        <v>1</v>
      </c>
      <c r="W253">
        <v>1</v>
      </c>
      <c r="X253">
        <v>1</v>
      </c>
      <c r="Y253">
        <v>0.13</v>
      </c>
      <c r="Z253">
        <v>0.77</v>
      </c>
      <c r="AA253" s="5">
        <v>1</v>
      </c>
      <c r="AB253">
        <v>0</v>
      </c>
      <c r="AC253" s="5">
        <v>0</v>
      </c>
      <c r="AD253">
        <v>125.18</v>
      </c>
      <c r="AE253">
        <v>43.46</v>
      </c>
      <c r="AF253">
        <v>64.41</v>
      </c>
      <c r="AG253" s="6">
        <v>3.7</v>
      </c>
      <c r="AH253" s="5">
        <v>4.7</v>
      </c>
      <c r="AI253">
        <v>14.0975</v>
      </c>
      <c r="AJ253" s="5">
        <f t="shared" si="75"/>
        <v>0.98</v>
      </c>
      <c r="AK253" s="5">
        <f t="shared" si="76"/>
        <v>9.5427499999999998</v>
      </c>
      <c r="AL253" s="4">
        <f t="shared" si="77"/>
        <v>0</v>
      </c>
      <c r="AM253" s="8" t="str">
        <f t="shared" si="78"/>
        <v>Sai Urja Indo  Price,</v>
      </c>
      <c r="AN253">
        <v>29</v>
      </c>
      <c r="AO253" s="61">
        <f t="shared" si="79"/>
        <v>0</v>
      </c>
      <c r="AP253" s="7">
        <f t="shared" si="93"/>
        <v>0</v>
      </c>
      <c r="AQ253">
        <v>0.95</v>
      </c>
      <c r="AR253" s="7">
        <f t="shared" si="81"/>
        <v>5</v>
      </c>
      <c r="AV253" s="5">
        <f t="shared" si="82"/>
        <v>0</v>
      </c>
      <c r="AZ253" s="4">
        <f t="shared" si="92"/>
        <v>0</v>
      </c>
    </row>
    <row r="254" spans="1:52" ht="12.75" customHeight="1">
      <c r="A254" t="s">
        <v>468</v>
      </c>
      <c r="B254" t="s">
        <v>469</v>
      </c>
      <c r="C254" t="s">
        <v>159</v>
      </c>
      <c r="E254">
        <v>49.65</v>
      </c>
      <c r="F254">
        <v>46.91</v>
      </c>
      <c r="G254" s="5">
        <v>-5.84</v>
      </c>
      <c r="H254">
        <v>133.69999999999999</v>
      </c>
      <c r="I254">
        <v>0.8</v>
      </c>
      <c r="J254">
        <v>2.84</v>
      </c>
      <c r="K254">
        <v>4.17</v>
      </c>
      <c r="L254">
        <v>0</v>
      </c>
      <c r="M254">
        <v>9.85</v>
      </c>
      <c r="N254">
        <v>7.36</v>
      </c>
      <c r="O254">
        <v>191.31</v>
      </c>
      <c r="P254" s="5">
        <v>239.14</v>
      </c>
      <c r="Q254">
        <v>17.03</v>
      </c>
      <c r="R254">
        <v>23.13</v>
      </c>
      <c r="S254">
        <v>-1</v>
      </c>
      <c r="T254">
        <v>35.93</v>
      </c>
      <c r="U254">
        <v>0</v>
      </c>
      <c r="V254">
        <v>1</v>
      </c>
      <c r="W254">
        <v>1</v>
      </c>
      <c r="X254">
        <v>0</v>
      </c>
      <c r="Y254">
        <v>0.78</v>
      </c>
      <c r="Z254">
        <v>0.2</v>
      </c>
      <c r="AA254" s="5">
        <v>0</v>
      </c>
      <c r="AB254">
        <v>0</v>
      </c>
      <c r="AC254" s="5">
        <v>0</v>
      </c>
      <c r="AD254">
        <v>-89.42</v>
      </c>
      <c r="AE254">
        <v>5.31</v>
      </c>
      <c r="AF254">
        <v>11.8</v>
      </c>
      <c r="AG254" s="6">
        <v>2</v>
      </c>
      <c r="AH254" s="5">
        <v>2</v>
      </c>
      <c r="AI254">
        <v>14.105</v>
      </c>
      <c r="AJ254" s="5">
        <f t="shared" si="75"/>
        <v>0.98</v>
      </c>
      <c r="AK254" s="5">
        <f t="shared" si="76"/>
        <v>4.9000000000000004</v>
      </c>
      <c r="AL254" s="4">
        <f t="shared" si="77"/>
        <v>0</v>
      </c>
      <c r="AM254" s="8" t="str">
        <f t="shared" si="78"/>
        <v>Acme Universal Safezo</v>
      </c>
      <c r="AN254">
        <v>30</v>
      </c>
      <c r="AO254" s="61">
        <f t="shared" si="79"/>
        <v>0</v>
      </c>
      <c r="AP254" s="7">
        <f t="shared" si="93"/>
        <v>0</v>
      </c>
      <c r="AQ254">
        <v>1</v>
      </c>
      <c r="AR254" s="7">
        <f t="shared" si="81"/>
        <v>5</v>
      </c>
      <c r="AV254" s="5">
        <f t="shared" si="82"/>
        <v>0</v>
      </c>
      <c r="AZ254" s="4">
        <f t="shared" si="92"/>
        <v>0</v>
      </c>
    </row>
    <row r="255" spans="1:52" ht="12.75" customHeight="1">
      <c r="A255" t="s">
        <v>470</v>
      </c>
      <c r="B255" t="s">
        <v>471</v>
      </c>
      <c r="C255" t="s">
        <v>159</v>
      </c>
      <c r="E255">
        <v>8.26</v>
      </c>
      <c r="F255">
        <v>9.58</v>
      </c>
      <c r="G255" s="5">
        <v>13.78</v>
      </c>
      <c r="H255">
        <v>36.159999999999997</v>
      </c>
      <c r="I255">
        <v>2.5099999999999998</v>
      </c>
      <c r="J255">
        <v>9.15</v>
      </c>
      <c r="K255">
        <v>0</v>
      </c>
      <c r="L255">
        <v>45.33</v>
      </c>
      <c r="M255">
        <v>4.26</v>
      </c>
      <c r="N255">
        <v>15.5</v>
      </c>
      <c r="O255">
        <v>27.5</v>
      </c>
      <c r="P255" s="5">
        <v>10.96</v>
      </c>
      <c r="Q255">
        <v>0</v>
      </c>
      <c r="R255">
        <v>0</v>
      </c>
      <c r="S255">
        <v>-0.5</v>
      </c>
      <c r="T255">
        <v>14.01</v>
      </c>
      <c r="U255">
        <v>0</v>
      </c>
      <c r="V255">
        <v>0</v>
      </c>
      <c r="W255">
        <v>1</v>
      </c>
      <c r="X255">
        <v>0</v>
      </c>
      <c r="Y255">
        <v>0.52</v>
      </c>
      <c r="Z255">
        <v>0.26</v>
      </c>
      <c r="AA255" s="5">
        <v>0</v>
      </c>
      <c r="AB255">
        <v>20.97</v>
      </c>
      <c r="AC255" s="5">
        <v>1</v>
      </c>
      <c r="AD255">
        <v>94.57</v>
      </c>
      <c r="AE255">
        <v>151.13999999999999</v>
      </c>
      <c r="AF255">
        <v>538.66999999999996</v>
      </c>
      <c r="AG255" s="6">
        <v>3.7</v>
      </c>
      <c r="AH255" s="5">
        <v>4.7</v>
      </c>
      <c r="AI255">
        <v>14.095000000000001</v>
      </c>
      <c r="AJ255" s="5">
        <f t="shared" si="75"/>
        <v>0.98</v>
      </c>
      <c r="AK255" s="5">
        <f t="shared" si="76"/>
        <v>10.045</v>
      </c>
      <c r="AL255" s="4">
        <f t="shared" si="77"/>
        <v>0</v>
      </c>
      <c r="AM255" s="8" t="str">
        <f t="shared" si="78"/>
        <v>Shivchem Agro  Price,</v>
      </c>
      <c r="AN255">
        <v>30</v>
      </c>
      <c r="AO255" s="61">
        <f t="shared" si="79"/>
        <v>0</v>
      </c>
      <c r="AP255" s="7">
        <f t="shared" si="93"/>
        <v>0</v>
      </c>
      <c r="AQ255">
        <v>1</v>
      </c>
      <c r="AR255" s="7">
        <f t="shared" si="81"/>
        <v>5</v>
      </c>
      <c r="AV255" s="5">
        <f t="shared" si="82"/>
        <v>0</v>
      </c>
      <c r="AZ255" s="4">
        <f t="shared" si="92"/>
        <v>0</v>
      </c>
    </row>
    <row r="256" spans="1:52" ht="12.75" customHeight="1">
      <c r="A256" t="s">
        <v>472</v>
      </c>
      <c r="B256" t="s">
        <v>473</v>
      </c>
      <c r="C256" t="s">
        <v>159</v>
      </c>
      <c r="E256">
        <v>0</v>
      </c>
      <c r="F256">
        <v>12.25</v>
      </c>
      <c r="G256" s="5">
        <v>100</v>
      </c>
      <c r="H256">
        <v>28.33</v>
      </c>
      <c r="I256">
        <v>2.56</v>
      </c>
      <c r="J256">
        <v>9.3000000000000007</v>
      </c>
      <c r="K256">
        <v>5.41</v>
      </c>
      <c r="L256">
        <v>15.65</v>
      </c>
      <c r="M256">
        <v>3.69</v>
      </c>
      <c r="N256">
        <v>16.14</v>
      </c>
      <c r="O256">
        <v>23.17</v>
      </c>
      <c r="P256" s="5">
        <v>9.0500000000000007</v>
      </c>
      <c r="Q256">
        <v>18.3</v>
      </c>
      <c r="R256">
        <v>26.12</v>
      </c>
      <c r="S256">
        <v>-1</v>
      </c>
      <c r="T256">
        <v>17.82</v>
      </c>
      <c r="U256">
        <v>0</v>
      </c>
      <c r="V256">
        <v>0</v>
      </c>
      <c r="W256">
        <v>1</v>
      </c>
      <c r="X256">
        <v>1</v>
      </c>
      <c r="Y256">
        <v>0</v>
      </c>
      <c r="Z256">
        <v>0.02</v>
      </c>
      <c r="AA256" s="5">
        <v>1</v>
      </c>
      <c r="AB256">
        <v>0</v>
      </c>
      <c r="AC256" s="5">
        <v>0</v>
      </c>
      <c r="AD256">
        <v>15.84</v>
      </c>
      <c r="AE256">
        <v>11.02</v>
      </c>
      <c r="AF256">
        <v>26.42</v>
      </c>
      <c r="AG256" s="6">
        <v>5.0999999999999996</v>
      </c>
      <c r="AH256" s="5">
        <v>6.1</v>
      </c>
      <c r="AI256">
        <v>14.095000000000001</v>
      </c>
      <c r="AJ256" s="5">
        <f t="shared" si="75"/>
        <v>0.98</v>
      </c>
      <c r="AK256" s="5">
        <f t="shared" si="76"/>
        <v>13.475</v>
      </c>
      <c r="AL256" s="4">
        <f t="shared" si="77"/>
        <v>0</v>
      </c>
      <c r="AM256" s="8" t="str">
        <f t="shared" si="78"/>
        <v>Pind Hospitality  Pri</v>
      </c>
      <c r="AN256">
        <v>30</v>
      </c>
      <c r="AO256" s="61">
        <f t="shared" si="79"/>
        <v>0</v>
      </c>
      <c r="AP256" s="7">
        <f t="shared" si="93"/>
        <v>0</v>
      </c>
      <c r="AQ256">
        <v>1</v>
      </c>
      <c r="AR256" s="7">
        <f t="shared" si="81"/>
        <v>5</v>
      </c>
      <c r="AV256" s="5">
        <f t="shared" si="82"/>
        <v>0</v>
      </c>
      <c r="AZ256" s="4">
        <f t="shared" si="92"/>
        <v>0</v>
      </c>
    </row>
    <row r="257" spans="1:52" ht="12.75" customHeight="1">
      <c r="A257" t="s">
        <v>474</v>
      </c>
      <c r="B257" t="s">
        <v>475</v>
      </c>
      <c r="C257" t="s">
        <v>159</v>
      </c>
      <c r="E257">
        <v>2.0299999999999998</v>
      </c>
      <c r="F257">
        <v>204.11</v>
      </c>
      <c r="G257" s="5">
        <f t="shared" ref="G257:G288" si="94">100*(F257-E257)/F257</f>
        <v>99.005438244084061</v>
      </c>
      <c r="H257">
        <v>224.43</v>
      </c>
      <c r="I257">
        <v>114.81</v>
      </c>
      <c r="J257">
        <v>34.94</v>
      </c>
      <c r="K257">
        <v>0</v>
      </c>
      <c r="L257">
        <v>56.25</v>
      </c>
      <c r="M257">
        <v>154.69</v>
      </c>
      <c r="N257">
        <v>47.07</v>
      </c>
      <c r="O257">
        <v>330.43</v>
      </c>
      <c r="P257" s="5">
        <f t="shared" ref="P257:P288" si="95">O257/I257</f>
        <v>2.8780594024910724</v>
      </c>
      <c r="Q257">
        <v>0</v>
      </c>
      <c r="R257">
        <v>0</v>
      </c>
      <c r="S257">
        <v>-0.5</v>
      </c>
      <c r="T257">
        <v>55.08</v>
      </c>
      <c r="U257">
        <v>0</v>
      </c>
      <c r="V257">
        <v>0</v>
      </c>
      <c r="W257">
        <v>1</v>
      </c>
      <c r="X257">
        <v>0</v>
      </c>
      <c r="Y257">
        <v>0</v>
      </c>
      <c r="Z257">
        <v>0</v>
      </c>
      <c r="AA257" s="5">
        <f t="shared" ref="AA257:AA288" si="96">IF(X257&lt;50,IF(Y257&gt;(2.3*X257),0,1),1)-IF(Z257&gt;Y257,1.7,0)</f>
        <v>1</v>
      </c>
      <c r="AB257">
        <v>0</v>
      </c>
      <c r="AC257" s="5">
        <f t="shared" ref="AC257:AC288" si="97">IF(AB257&gt;4,1,0)+IF(AB257&gt;10,0.7,0)</f>
        <v>0</v>
      </c>
      <c r="AD257">
        <v>165.58</v>
      </c>
      <c r="AE257">
        <v>66</v>
      </c>
      <c r="AF257">
        <v>128.57</v>
      </c>
      <c r="AG257" s="6">
        <f t="shared" ref="AG257:AG288" si="98">IF(G257&lt;52,0,0.7)+IF(G257&lt;34,0,0.7)+IF(G257&lt;1,0,0.7)+IF(P257&gt;14.56,0,1)+IF(R257&lt;9,0.5,0)+IF(R257&lt;33.8,0.5,0)+IF(R257&lt;50,0.5,0)+IF(R257&lt;80,0.5,0)+IF(S257=5,0,S257)+IF(V257&gt;0,1,-1)+IF(AE257&lt;10.56,0,1)-IF(AE257&lt;3,1,0)-IF(AE257&lt;1,1,0)</f>
        <v>4.5999999999999996</v>
      </c>
      <c r="AH257" s="5">
        <f t="shared" ref="AH257:AH288" si="99">AG257+IF(X257&lt;1.35,0,1)+IF(Y257&lt;1.35,0,1)+IF(Y257&lt;0.7,-1,0)+AC257+AA257</f>
        <v>4.5999999999999996</v>
      </c>
      <c r="AI257">
        <v>10.2675</v>
      </c>
      <c r="AJ257" s="5">
        <f t="shared" si="75"/>
        <v>1</v>
      </c>
      <c r="AK257" s="5">
        <f t="shared" si="76"/>
        <v>11.5</v>
      </c>
      <c r="AL257" s="4">
        <f t="shared" si="77"/>
        <v>0</v>
      </c>
      <c r="AM257" s="8" t="str">
        <f t="shared" si="78"/>
        <v>Black Opal Consultant</v>
      </c>
      <c r="AN257">
        <v>1</v>
      </c>
      <c r="AO257" s="61">
        <f t="shared" si="79"/>
        <v>0</v>
      </c>
      <c r="AP257" s="7">
        <f t="shared" si="93"/>
        <v>0</v>
      </c>
      <c r="AQ257">
        <v>1</v>
      </c>
      <c r="AR257" s="7">
        <f t="shared" si="81"/>
        <v>5</v>
      </c>
      <c r="AV257" s="5">
        <f t="shared" si="82"/>
        <v>0</v>
      </c>
      <c r="AZ257" s="4">
        <f t="shared" si="92"/>
        <v>0</v>
      </c>
    </row>
    <row r="258" spans="1:52" ht="12.75" customHeight="1">
      <c r="A258" t="s">
        <v>476</v>
      </c>
      <c r="B258" t="s">
        <v>477</v>
      </c>
      <c r="C258" t="s">
        <v>159</v>
      </c>
      <c r="E258">
        <v>0</v>
      </c>
      <c r="F258">
        <v>47.41</v>
      </c>
      <c r="G258" s="5">
        <f t="shared" si="94"/>
        <v>100.00000000000001</v>
      </c>
      <c r="H258">
        <v>67.819999999999993</v>
      </c>
      <c r="I258">
        <v>14.08</v>
      </c>
      <c r="J258">
        <v>23.66</v>
      </c>
      <c r="K258">
        <v>7.71</v>
      </c>
      <c r="L258">
        <v>40.299999999999997</v>
      </c>
      <c r="M258">
        <v>22.64</v>
      </c>
      <c r="N258">
        <v>0</v>
      </c>
      <c r="O258">
        <v>57.78</v>
      </c>
      <c r="P258" s="5">
        <f t="shared" si="95"/>
        <v>4.1036931818181817</v>
      </c>
      <c r="Q258">
        <v>11.02</v>
      </c>
      <c r="R258">
        <v>14</v>
      </c>
      <c r="S258">
        <v>-0.5</v>
      </c>
      <c r="T258">
        <v>48.46</v>
      </c>
      <c r="U258">
        <v>0</v>
      </c>
      <c r="V258">
        <v>1</v>
      </c>
      <c r="W258">
        <v>1</v>
      </c>
      <c r="X258">
        <v>0</v>
      </c>
      <c r="Y258">
        <v>0</v>
      </c>
      <c r="Z258">
        <v>0</v>
      </c>
      <c r="AA258" s="5">
        <f t="shared" si="96"/>
        <v>1</v>
      </c>
      <c r="AB258">
        <v>0</v>
      </c>
      <c r="AC258" s="5">
        <f t="shared" si="97"/>
        <v>0</v>
      </c>
      <c r="AD258">
        <v>30.01</v>
      </c>
      <c r="AE258">
        <v>26.65</v>
      </c>
      <c r="AF258">
        <v>47.14</v>
      </c>
      <c r="AG258" s="6">
        <f t="shared" si="98"/>
        <v>6.1</v>
      </c>
      <c r="AH258" s="5">
        <f t="shared" si="99"/>
        <v>6.1</v>
      </c>
      <c r="AI258">
        <v>10.282500000000001</v>
      </c>
      <c r="AJ258" s="5">
        <f t="shared" ref="AJ258:AJ321" si="100">IF(AI258&gt;12.7,IF(AI258&gt;15.8,0.93,0.98),1)</f>
        <v>1</v>
      </c>
      <c r="AK258" s="5">
        <f t="shared" ref="AK258:AK321" si="101">(1.5*AG258+AH258)*AJ258*AQ258</f>
        <v>14.487499999999997</v>
      </c>
      <c r="AL258" s="4">
        <f t="shared" ref="AL258:AL321" si="102">D258</f>
        <v>0</v>
      </c>
      <c r="AM258" s="8" t="str">
        <f t="shared" ref="AM258:AM321" si="103">B258</f>
        <v>EverestIMS Technologi</v>
      </c>
      <c r="AN258">
        <v>5</v>
      </c>
      <c r="AO258" s="61">
        <f t="shared" ref="AO258:AO321" si="104">IF(Z258&lt;4.5,0,IF(AK258&gt;14.9,IF(Z258&lt;140,1,0),0))</f>
        <v>0</v>
      </c>
      <c r="AP258" s="7">
        <f t="shared" si="93"/>
        <v>3</v>
      </c>
      <c r="AQ258">
        <v>0.95</v>
      </c>
      <c r="AR258" s="7">
        <f t="shared" ref="AR258:AR321" si="105">IF(AO258=1,IF(AO258=AL258,1,0),5)</f>
        <v>5</v>
      </c>
      <c r="AV258" s="5">
        <f t="shared" ref="AV258:AV321" si="106">(AT258+AU258)/2</f>
        <v>0</v>
      </c>
      <c r="AZ258" s="4">
        <f t="shared" si="92"/>
        <v>0</v>
      </c>
    </row>
    <row r="259" spans="1:52" ht="12.75" customHeight="1">
      <c r="A259" t="s">
        <v>478</v>
      </c>
      <c r="B259" t="s">
        <v>479</v>
      </c>
      <c r="C259" t="s">
        <v>159</v>
      </c>
      <c r="E259">
        <v>13.95</v>
      </c>
      <c r="F259">
        <v>3.16</v>
      </c>
      <c r="G259" s="5">
        <f t="shared" si="94"/>
        <v>-341.45569620253161</v>
      </c>
      <c r="H259">
        <v>29.46</v>
      </c>
      <c r="I259">
        <v>2.73</v>
      </c>
      <c r="J259">
        <v>20.420000000000002</v>
      </c>
      <c r="K259">
        <v>31.11</v>
      </c>
      <c r="L259">
        <v>74.78</v>
      </c>
      <c r="M259">
        <v>4.87</v>
      </c>
      <c r="N259">
        <v>31.45</v>
      </c>
      <c r="O259">
        <v>23.52</v>
      </c>
      <c r="P259" s="5">
        <f t="shared" si="95"/>
        <v>8.615384615384615</v>
      </c>
      <c r="Q259">
        <v>10</v>
      </c>
      <c r="R259">
        <v>14.48</v>
      </c>
      <c r="S259">
        <v>-1</v>
      </c>
      <c r="T259">
        <v>41.99</v>
      </c>
      <c r="U259">
        <v>0</v>
      </c>
      <c r="V259">
        <v>0</v>
      </c>
      <c r="W259">
        <v>1</v>
      </c>
      <c r="X259">
        <v>0</v>
      </c>
      <c r="Y259">
        <v>0</v>
      </c>
      <c r="Z259">
        <v>0</v>
      </c>
      <c r="AA259" s="5">
        <f t="shared" si="96"/>
        <v>1</v>
      </c>
      <c r="AB259">
        <v>0</v>
      </c>
      <c r="AC259" s="5">
        <f t="shared" si="97"/>
        <v>0</v>
      </c>
      <c r="AD259">
        <v>780.65</v>
      </c>
      <c r="AE259">
        <v>1.42</v>
      </c>
      <c r="AF259">
        <v>634.88</v>
      </c>
      <c r="AG259" s="6">
        <f t="shared" si="98"/>
        <v>-0.5</v>
      </c>
      <c r="AH259" s="5">
        <f t="shared" si="99"/>
        <v>-0.5</v>
      </c>
      <c r="AI259">
        <v>10.285</v>
      </c>
      <c r="AJ259" s="5">
        <f t="shared" si="100"/>
        <v>1</v>
      </c>
      <c r="AK259" s="5">
        <f t="shared" si="101"/>
        <v>-1.25</v>
      </c>
      <c r="AL259" s="4">
        <f t="shared" si="102"/>
        <v>0</v>
      </c>
      <c r="AM259" s="8" t="str">
        <f t="shared" si="103"/>
        <v xml:space="preserve">Omara Ventures India </v>
      </c>
      <c r="AN259">
        <v>5</v>
      </c>
      <c r="AO259" s="61">
        <f t="shared" si="104"/>
        <v>0</v>
      </c>
      <c r="AP259" s="7">
        <f t="shared" si="93"/>
        <v>0</v>
      </c>
      <c r="AQ259">
        <v>1</v>
      </c>
      <c r="AR259" s="7">
        <f t="shared" si="105"/>
        <v>5</v>
      </c>
      <c r="AV259" s="5">
        <f t="shared" si="106"/>
        <v>0</v>
      </c>
      <c r="AZ259" s="4">
        <f t="shared" si="92"/>
        <v>0</v>
      </c>
    </row>
    <row r="260" spans="1:52" ht="12.75" customHeight="1">
      <c r="A260" t="s">
        <v>446</v>
      </c>
      <c r="B260" t="s">
        <v>447</v>
      </c>
      <c r="C260" t="s">
        <v>159</v>
      </c>
      <c r="E260">
        <v>0</v>
      </c>
      <c r="F260">
        <v>0</v>
      </c>
      <c r="G260" s="5" t="e">
        <f t="shared" si="94"/>
        <v>#DIV/0!</v>
      </c>
      <c r="H260">
        <v>0</v>
      </c>
      <c r="I260">
        <v>0</v>
      </c>
      <c r="J260">
        <v>13.32</v>
      </c>
      <c r="K260">
        <v>5.03</v>
      </c>
      <c r="L260">
        <v>25.36</v>
      </c>
      <c r="M260">
        <v>0</v>
      </c>
      <c r="N260">
        <v>18.690000000000001</v>
      </c>
      <c r="O260">
        <v>0</v>
      </c>
      <c r="P260" s="5" t="e">
        <f t="shared" si="95"/>
        <v>#DIV/0!</v>
      </c>
      <c r="Q260">
        <v>10.74</v>
      </c>
      <c r="R260">
        <v>14.96</v>
      </c>
      <c r="S260">
        <v>-1</v>
      </c>
      <c r="T260">
        <v>39.01</v>
      </c>
      <c r="U260">
        <v>0</v>
      </c>
      <c r="V260">
        <v>1</v>
      </c>
      <c r="W260">
        <v>1</v>
      </c>
      <c r="X260">
        <v>1</v>
      </c>
      <c r="Y260">
        <v>21.02</v>
      </c>
      <c r="Z260">
        <v>1.43</v>
      </c>
      <c r="AA260" s="5">
        <f t="shared" si="96"/>
        <v>0</v>
      </c>
      <c r="AB260">
        <v>17.690000000000001</v>
      </c>
      <c r="AC260" s="5">
        <f t="shared" si="97"/>
        <v>1.7</v>
      </c>
      <c r="AD260">
        <v>0</v>
      </c>
      <c r="AE260">
        <v>0</v>
      </c>
      <c r="AF260">
        <v>0</v>
      </c>
      <c r="AG260" s="6" t="e">
        <f t="shared" si="98"/>
        <v>#DIV/0!</v>
      </c>
      <c r="AH260" s="5" t="e">
        <f t="shared" si="99"/>
        <v>#DIV/0!</v>
      </c>
      <c r="AI260">
        <v>13.862500000000001</v>
      </c>
      <c r="AJ260" s="5">
        <f t="shared" si="100"/>
        <v>0.98</v>
      </c>
      <c r="AK260" s="5" t="e">
        <f t="shared" si="101"/>
        <v>#DIV/0!</v>
      </c>
      <c r="AL260" s="4">
        <f t="shared" si="102"/>
        <v>0</v>
      </c>
      <c r="AM260" s="8" t="str">
        <f t="shared" si="103"/>
        <v>Liqvd Digital  Price,</v>
      </c>
      <c r="AN260">
        <v>25</v>
      </c>
      <c r="AO260" s="61">
        <f t="shared" si="104"/>
        <v>0</v>
      </c>
      <c r="AP260" s="7" t="e">
        <f t="shared" si="93"/>
        <v>#DIV/0!</v>
      </c>
      <c r="AQ260">
        <v>0.95</v>
      </c>
      <c r="AR260" s="7">
        <f t="shared" si="105"/>
        <v>5</v>
      </c>
      <c r="AV260" s="5">
        <f t="shared" si="106"/>
        <v>0</v>
      </c>
      <c r="AZ260" s="4">
        <f t="shared" si="92"/>
        <v>0</v>
      </c>
    </row>
    <row r="261" spans="1:52" ht="12.75" customHeight="1">
      <c r="A261" t="s">
        <v>462</v>
      </c>
      <c r="B261" t="s">
        <v>463</v>
      </c>
      <c r="C261" t="s">
        <v>159</v>
      </c>
      <c r="E261">
        <v>4.03</v>
      </c>
      <c r="F261">
        <v>8.4</v>
      </c>
      <c r="G261" s="5">
        <f t="shared" si="94"/>
        <v>52.023809523809518</v>
      </c>
      <c r="H261">
        <v>14.28</v>
      </c>
      <c r="I261">
        <v>1.78</v>
      </c>
      <c r="J261">
        <v>7.73</v>
      </c>
      <c r="K261">
        <v>2.82</v>
      </c>
      <c r="L261">
        <v>18.46</v>
      </c>
      <c r="M261">
        <v>2.86</v>
      </c>
      <c r="N261">
        <v>12.07</v>
      </c>
      <c r="O261">
        <v>25.29</v>
      </c>
      <c r="P261" s="5">
        <f t="shared" si="95"/>
        <v>14.207865168539325</v>
      </c>
      <c r="Q261">
        <v>10.28</v>
      </c>
      <c r="R261">
        <v>15.85</v>
      </c>
      <c r="S261">
        <v>-1</v>
      </c>
      <c r="T261">
        <v>10.54</v>
      </c>
      <c r="U261">
        <v>0</v>
      </c>
      <c r="V261">
        <v>0</v>
      </c>
      <c r="W261">
        <v>1</v>
      </c>
      <c r="X261">
        <v>0</v>
      </c>
      <c r="Y261">
        <v>0.06</v>
      </c>
      <c r="Z261">
        <v>1.06</v>
      </c>
      <c r="AA261" s="5">
        <f t="shared" si="96"/>
        <v>-1.7</v>
      </c>
      <c r="AB261">
        <v>13.79</v>
      </c>
      <c r="AC261" s="5">
        <f t="shared" si="97"/>
        <v>1.7</v>
      </c>
      <c r="AD261">
        <v>79.8</v>
      </c>
      <c r="AE261">
        <v>0.64</v>
      </c>
      <c r="AF261">
        <v>26.89</v>
      </c>
      <c r="AG261" s="6">
        <f t="shared" si="98"/>
        <v>0.59999999999999964</v>
      </c>
      <c r="AH261" s="5">
        <f t="shared" si="99"/>
        <v>-0.40000000000000036</v>
      </c>
      <c r="AI261">
        <v>13.88</v>
      </c>
      <c r="AJ261" s="5">
        <f t="shared" si="100"/>
        <v>0.98</v>
      </c>
      <c r="AK261" s="5">
        <f t="shared" si="101"/>
        <v>0.46549999999999914</v>
      </c>
      <c r="AL261" s="4">
        <f t="shared" si="102"/>
        <v>0</v>
      </c>
      <c r="AM261" s="8" t="str">
        <f t="shared" si="103"/>
        <v>Dudani Retail  Price,</v>
      </c>
      <c r="AN261">
        <v>25</v>
      </c>
      <c r="AO261" s="61">
        <f t="shared" si="104"/>
        <v>0</v>
      </c>
      <c r="AP261" s="7">
        <f t="shared" si="93"/>
        <v>0</v>
      </c>
      <c r="AQ261">
        <v>0.95</v>
      </c>
      <c r="AR261" s="7">
        <f t="shared" si="105"/>
        <v>5</v>
      </c>
      <c r="AV261" s="5">
        <f t="shared" si="106"/>
        <v>0</v>
      </c>
      <c r="AZ261" s="4">
        <f t="shared" si="92"/>
        <v>0</v>
      </c>
    </row>
    <row r="262" spans="1:52" ht="12.75" customHeight="1">
      <c r="A262" t="s">
        <v>466</v>
      </c>
      <c r="B262" t="s">
        <v>467</v>
      </c>
      <c r="C262" t="s">
        <v>159</v>
      </c>
      <c r="E262">
        <v>5.35</v>
      </c>
      <c r="F262">
        <v>7.76</v>
      </c>
      <c r="G262" s="5">
        <f t="shared" si="94"/>
        <v>31.056701030927837</v>
      </c>
      <c r="H262">
        <v>21.11</v>
      </c>
      <c r="I262">
        <v>3.13</v>
      </c>
      <c r="J262">
        <v>4.9800000000000004</v>
      </c>
      <c r="K262">
        <v>5.39</v>
      </c>
      <c r="L262">
        <v>42.44</v>
      </c>
      <c r="M262">
        <v>5.14</v>
      </c>
      <c r="N262">
        <v>7.65</v>
      </c>
      <c r="O262">
        <v>65.819999999999993</v>
      </c>
      <c r="P262" s="5">
        <f t="shared" si="95"/>
        <v>21.028753993610223</v>
      </c>
      <c r="Q262">
        <v>20.96</v>
      </c>
      <c r="R262">
        <v>27.56</v>
      </c>
      <c r="S262">
        <v>-0.5</v>
      </c>
      <c r="T262">
        <v>24.95</v>
      </c>
      <c r="U262">
        <v>0</v>
      </c>
      <c r="V262">
        <v>1</v>
      </c>
      <c r="W262">
        <v>1</v>
      </c>
      <c r="X262">
        <v>1</v>
      </c>
      <c r="Y262">
        <v>0.13</v>
      </c>
      <c r="Z262">
        <v>0.77</v>
      </c>
      <c r="AA262" s="5">
        <f t="shared" si="96"/>
        <v>-0.7</v>
      </c>
      <c r="AB262">
        <v>0</v>
      </c>
      <c r="AC262" s="5">
        <f t="shared" si="97"/>
        <v>0</v>
      </c>
      <c r="AD262">
        <v>125.18</v>
      </c>
      <c r="AE262">
        <v>43.46</v>
      </c>
      <c r="AF262">
        <v>64.41</v>
      </c>
      <c r="AG262" s="6">
        <f t="shared" si="98"/>
        <v>3.7</v>
      </c>
      <c r="AH262" s="5">
        <f t="shared" si="99"/>
        <v>2</v>
      </c>
      <c r="AI262">
        <v>13.862500000000001</v>
      </c>
      <c r="AJ262" s="5">
        <f t="shared" si="100"/>
        <v>0.98</v>
      </c>
      <c r="AK262" s="5">
        <f t="shared" si="101"/>
        <v>7.0290500000000007</v>
      </c>
      <c r="AL262" s="4">
        <f t="shared" si="102"/>
        <v>0</v>
      </c>
      <c r="AM262" s="8" t="str">
        <f t="shared" si="103"/>
        <v>Sai Urja Indo  Price,</v>
      </c>
      <c r="AN262">
        <v>25</v>
      </c>
      <c r="AO262" s="61">
        <f t="shared" si="104"/>
        <v>0</v>
      </c>
      <c r="AP262" s="7">
        <f t="shared" si="93"/>
        <v>0</v>
      </c>
      <c r="AQ262">
        <v>0.95</v>
      </c>
      <c r="AR262" s="7">
        <f t="shared" si="105"/>
        <v>5</v>
      </c>
      <c r="AV262" s="5">
        <f t="shared" si="106"/>
        <v>0</v>
      </c>
      <c r="AZ262" s="4">
        <f t="shared" si="92"/>
        <v>0</v>
      </c>
    </row>
    <row r="263" spans="1:52" ht="12.75" customHeight="1">
      <c r="A263" t="s">
        <v>480</v>
      </c>
      <c r="B263" t="s">
        <v>481</v>
      </c>
      <c r="C263" t="s">
        <v>159</v>
      </c>
      <c r="E263">
        <v>1.2</v>
      </c>
      <c r="F263">
        <v>3.78</v>
      </c>
      <c r="G263" s="5">
        <f t="shared" si="94"/>
        <v>68.253968253968253</v>
      </c>
      <c r="H263">
        <v>5.34</v>
      </c>
      <c r="I263">
        <v>1.73</v>
      </c>
      <c r="J263">
        <v>23.61</v>
      </c>
      <c r="K263">
        <v>6.74</v>
      </c>
      <c r="L263">
        <v>83.27</v>
      </c>
      <c r="M263">
        <v>2.48</v>
      </c>
      <c r="N263">
        <v>31.63</v>
      </c>
      <c r="O263">
        <v>13.82</v>
      </c>
      <c r="P263" s="5">
        <f t="shared" si="95"/>
        <v>7.9884393063583818</v>
      </c>
      <c r="Q263">
        <v>17.510000000000002</v>
      </c>
      <c r="R263">
        <v>23.79</v>
      </c>
      <c r="S263">
        <v>-0.5</v>
      </c>
      <c r="T263">
        <v>33.979999999999997</v>
      </c>
      <c r="U263">
        <v>0</v>
      </c>
      <c r="V263">
        <v>1</v>
      </c>
      <c r="W263">
        <v>1</v>
      </c>
      <c r="X263">
        <v>0</v>
      </c>
      <c r="Y263">
        <v>0.4</v>
      </c>
      <c r="Z263">
        <v>1.47</v>
      </c>
      <c r="AA263" s="5">
        <f t="shared" si="96"/>
        <v>-1.7</v>
      </c>
      <c r="AB263">
        <v>38.14</v>
      </c>
      <c r="AC263" s="5">
        <f t="shared" si="97"/>
        <v>1.7</v>
      </c>
      <c r="AD263">
        <v>8550</v>
      </c>
      <c r="AE263">
        <v>400.72</v>
      </c>
      <c r="AF263">
        <v>260</v>
      </c>
      <c r="AG263" s="6">
        <f t="shared" si="98"/>
        <v>6.1</v>
      </c>
      <c r="AH263" s="5">
        <f t="shared" si="99"/>
        <v>5.0999999999999996</v>
      </c>
      <c r="AI263">
        <v>13.8925</v>
      </c>
      <c r="AJ263" s="5">
        <f t="shared" si="100"/>
        <v>0.98</v>
      </c>
      <c r="AK263" s="5">
        <f t="shared" si="101"/>
        <v>13.964999999999998</v>
      </c>
      <c r="AL263" s="4">
        <f t="shared" si="102"/>
        <v>0</v>
      </c>
      <c r="AM263" s="8" t="str">
        <f t="shared" si="103"/>
        <v>Vans Electroengineeri</v>
      </c>
      <c r="AN263">
        <v>1</v>
      </c>
      <c r="AO263" s="61">
        <f t="shared" si="104"/>
        <v>0</v>
      </c>
      <c r="AP263" s="7">
        <f t="shared" si="93"/>
        <v>3</v>
      </c>
      <c r="AQ263">
        <v>1</v>
      </c>
      <c r="AR263" s="7">
        <f t="shared" si="105"/>
        <v>5</v>
      </c>
      <c r="AV263" s="5">
        <f t="shared" si="106"/>
        <v>0</v>
      </c>
      <c r="AZ263" s="4">
        <f t="shared" si="92"/>
        <v>0</v>
      </c>
    </row>
    <row r="264" spans="1:52" ht="12.75" customHeight="1">
      <c r="A264" t="s">
        <v>482</v>
      </c>
      <c r="B264" t="s">
        <v>483</v>
      </c>
      <c r="C264" t="s">
        <v>159</v>
      </c>
      <c r="E264">
        <v>8.9700000000000006</v>
      </c>
      <c r="F264">
        <v>10.93</v>
      </c>
      <c r="G264" s="5">
        <f t="shared" si="94"/>
        <v>17.932296431838967</v>
      </c>
      <c r="H264">
        <v>25.05</v>
      </c>
      <c r="I264">
        <v>4.72</v>
      </c>
      <c r="J264">
        <v>15.54</v>
      </c>
      <c r="K264">
        <v>7.64</v>
      </c>
      <c r="L264">
        <v>38.51</v>
      </c>
      <c r="M264">
        <v>5.98</v>
      </c>
      <c r="N264">
        <v>25.16</v>
      </c>
      <c r="O264">
        <v>31.76</v>
      </c>
      <c r="P264" s="5">
        <f t="shared" si="95"/>
        <v>6.7288135593220346</v>
      </c>
      <c r="Q264">
        <v>9.42</v>
      </c>
      <c r="R264">
        <v>12.97</v>
      </c>
      <c r="S264">
        <v>-0.5</v>
      </c>
      <c r="T264">
        <v>20.18</v>
      </c>
      <c r="U264">
        <v>0</v>
      </c>
      <c r="V264">
        <v>0</v>
      </c>
      <c r="W264">
        <v>1</v>
      </c>
      <c r="X264">
        <v>0</v>
      </c>
      <c r="Y264">
        <v>0.01</v>
      </c>
      <c r="Z264">
        <v>0.13</v>
      </c>
      <c r="AA264" s="5">
        <f t="shared" si="96"/>
        <v>-1.7</v>
      </c>
      <c r="AB264">
        <v>0</v>
      </c>
      <c r="AC264" s="5">
        <f t="shared" si="97"/>
        <v>0</v>
      </c>
      <c r="AD264">
        <v>123.7</v>
      </c>
      <c r="AE264">
        <v>20.81</v>
      </c>
      <c r="AF264">
        <v>76.290000000000006</v>
      </c>
      <c r="AG264" s="6">
        <f t="shared" si="98"/>
        <v>2.7</v>
      </c>
      <c r="AH264" s="5">
        <f t="shared" si="99"/>
        <v>0</v>
      </c>
      <c r="AI264">
        <v>13.885</v>
      </c>
      <c r="AJ264" s="5">
        <f t="shared" si="100"/>
        <v>0.98</v>
      </c>
      <c r="AK264" s="5">
        <f t="shared" si="101"/>
        <v>3.9690000000000007</v>
      </c>
      <c r="AL264" s="4">
        <f t="shared" si="102"/>
        <v>0</v>
      </c>
      <c r="AM264" s="8" t="str">
        <f t="shared" si="103"/>
        <v>Papadmalji Agro Foods</v>
      </c>
      <c r="AN264">
        <v>1</v>
      </c>
      <c r="AO264" s="61">
        <f t="shared" si="104"/>
        <v>0</v>
      </c>
      <c r="AP264" s="7">
        <f t="shared" si="93"/>
        <v>0</v>
      </c>
      <c r="AQ264">
        <v>1</v>
      </c>
      <c r="AR264" s="7">
        <f t="shared" si="105"/>
        <v>5</v>
      </c>
      <c r="AV264" s="5">
        <f t="shared" si="106"/>
        <v>0</v>
      </c>
      <c r="AZ264" s="4">
        <f t="shared" si="92"/>
        <v>0</v>
      </c>
    </row>
    <row r="265" spans="1:52" ht="12.75" customHeight="1">
      <c r="A265" t="s">
        <v>484</v>
      </c>
      <c r="B265" t="s">
        <v>485</v>
      </c>
      <c r="C265" t="s">
        <v>159</v>
      </c>
      <c r="E265">
        <v>4.46</v>
      </c>
      <c r="F265">
        <v>9.43</v>
      </c>
      <c r="G265" s="5">
        <f t="shared" si="94"/>
        <v>52.704135737009544</v>
      </c>
      <c r="H265">
        <v>24.83</v>
      </c>
      <c r="I265">
        <v>2.13</v>
      </c>
      <c r="J265">
        <v>9.86</v>
      </c>
      <c r="K265">
        <v>3.63</v>
      </c>
      <c r="L265">
        <v>20.82</v>
      </c>
      <c r="M265">
        <v>3.24</v>
      </c>
      <c r="N265">
        <v>18.02</v>
      </c>
      <c r="O265">
        <v>21.28</v>
      </c>
      <c r="P265" s="5">
        <f t="shared" si="95"/>
        <v>9.990610328638498</v>
      </c>
      <c r="Q265">
        <v>15.15</v>
      </c>
      <c r="R265">
        <v>25.11</v>
      </c>
      <c r="S265">
        <v>-0.5</v>
      </c>
      <c r="T265">
        <v>21.78</v>
      </c>
      <c r="U265">
        <v>0</v>
      </c>
      <c r="V265">
        <v>0</v>
      </c>
      <c r="W265">
        <v>1</v>
      </c>
      <c r="X265">
        <v>0</v>
      </c>
      <c r="Y265">
        <v>0</v>
      </c>
      <c r="Z265">
        <v>0</v>
      </c>
      <c r="AA265" s="5">
        <f t="shared" si="96"/>
        <v>1</v>
      </c>
      <c r="AB265">
        <v>0</v>
      </c>
      <c r="AC265" s="5">
        <f t="shared" si="97"/>
        <v>0</v>
      </c>
      <c r="AD265">
        <v>21.02</v>
      </c>
      <c r="AE265">
        <v>7.26</v>
      </c>
      <c r="AF265">
        <v>151.47</v>
      </c>
      <c r="AG265" s="6">
        <f t="shared" si="98"/>
        <v>3.0999999999999996</v>
      </c>
      <c r="AH265" s="5">
        <f t="shared" si="99"/>
        <v>3.0999999999999996</v>
      </c>
      <c r="AI265">
        <v>13.8925</v>
      </c>
      <c r="AJ265" s="5">
        <f t="shared" si="100"/>
        <v>0.98</v>
      </c>
      <c r="AK265" s="5">
        <f t="shared" si="101"/>
        <v>7.5949999999999989</v>
      </c>
      <c r="AL265" s="4">
        <f t="shared" si="102"/>
        <v>0</v>
      </c>
      <c r="AM265" s="8" t="str">
        <f t="shared" si="103"/>
        <v>Sollfege Smart Electr</v>
      </c>
      <c r="AN265">
        <v>5</v>
      </c>
      <c r="AO265" s="61">
        <f t="shared" si="104"/>
        <v>0</v>
      </c>
      <c r="AP265" s="7">
        <f t="shared" si="93"/>
        <v>0</v>
      </c>
      <c r="AQ265">
        <v>1</v>
      </c>
      <c r="AR265" s="7">
        <f t="shared" si="105"/>
        <v>5</v>
      </c>
      <c r="AV265" s="5">
        <f t="shared" si="106"/>
        <v>0</v>
      </c>
      <c r="AZ265" s="4">
        <f t="shared" si="92"/>
        <v>0</v>
      </c>
    </row>
    <row r="266" spans="1:52" ht="12.75" customHeight="1">
      <c r="A266" t="s">
        <v>486</v>
      </c>
      <c r="B266" t="s">
        <v>487</v>
      </c>
      <c r="C266" t="s">
        <v>159</v>
      </c>
      <c r="E266">
        <v>3.57</v>
      </c>
      <c r="F266">
        <v>9.86</v>
      </c>
      <c r="G266" s="5">
        <f t="shared" si="94"/>
        <v>63.793103448275858</v>
      </c>
      <c r="H266">
        <v>23.77</v>
      </c>
      <c r="I266">
        <v>5.13</v>
      </c>
      <c r="J266">
        <v>7.67</v>
      </c>
      <c r="K266">
        <v>8.6199999999999992</v>
      </c>
      <c r="L266">
        <v>55.16</v>
      </c>
      <c r="M266">
        <v>7.09</v>
      </c>
      <c r="N266">
        <v>10.220000000000001</v>
      </c>
      <c r="O266">
        <v>88.02</v>
      </c>
      <c r="P266" s="5">
        <f t="shared" si="95"/>
        <v>17.157894736842106</v>
      </c>
      <c r="Q266">
        <v>13.69</v>
      </c>
      <c r="R266">
        <v>18.61</v>
      </c>
      <c r="S266">
        <v>-1</v>
      </c>
      <c r="T266">
        <v>38.119999999999997</v>
      </c>
      <c r="U266">
        <v>0</v>
      </c>
      <c r="V266">
        <v>0</v>
      </c>
      <c r="W266">
        <v>1</v>
      </c>
      <c r="X266">
        <v>0</v>
      </c>
      <c r="Y266">
        <v>0</v>
      </c>
      <c r="Z266">
        <v>0</v>
      </c>
      <c r="AA266" s="5">
        <f t="shared" si="96"/>
        <v>1</v>
      </c>
      <c r="AB266">
        <v>10</v>
      </c>
      <c r="AC266" s="5">
        <f t="shared" si="97"/>
        <v>1</v>
      </c>
      <c r="AD266">
        <v>55.93</v>
      </c>
      <c r="AE266">
        <v>0.84</v>
      </c>
      <c r="AF266">
        <v>108.46</v>
      </c>
      <c r="AG266" s="6">
        <f t="shared" si="98"/>
        <v>-0.40000000000000036</v>
      </c>
      <c r="AH266" s="5">
        <f t="shared" si="99"/>
        <v>0.59999999999999964</v>
      </c>
      <c r="AI266">
        <v>13.9175</v>
      </c>
      <c r="AJ266" s="5">
        <f t="shared" si="100"/>
        <v>0.98</v>
      </c>
      <c r="AK266" s="5">
        <f t="shared" si="101"/>
        <v>-8.7041485130612271E-16</v>
      </c>
      <c r="AL266" s="4">
        <f t="shared" si="102"/>
        <v>0</v>
      </c>
      <c r="AM266" s="8" t="str">
        <f t="shared" si="103"/>
        <v>Eventions  Price, GMP</v>
      </c>
      <c r="AN266">
        <v>5</v>
      </c>
      <c r="AO266" s="61">
        <f t="shared" si="104"/>
        <v>0</v>
      </c>
      <c r="AP266" s="7">
        <f t="shared" si="93"/>
        <v>0</v>
      </c>
      <c r="AQ266">
        <v>1</v>
      </c>
      <c r="AR266" s="7">
        <f t="shared" si="105"/>
        <v>5</v>
      </c>
      <c r="AV266" s="5">
        <f t="shared" si="106"/>
        <v>0</v>
      </c>
      <c r="AZ266" s="4">
        <f t="shared" si="92"/>
        <v>0</v>
      </c>
    </row>
    <row r="267" spans="1:52" ht="12.75" customHeight="1">
      <c r="A267" t="s">
        <v>488</v>
      </c>
      <c r="B267" t="s">
        <v>489</v>
      </c>
      <c r="C267" t="s">
        <v>159</v>
      </c>
      <c r="E267">
        <v>2.41</v>
      </c>
      <c r="F267">
        <v>14.85</v>
      </c>
      <c r="G267" s="5">
        <f t="shared" si="94"/>
        <v>83.771043771043779</v>
      </c>
      <c r="H267">
        <v>27.06</v>
      </c>
      <c r="I267">
        <v>4.17</v>
      </c>
      <c r="J267">
        <v>19.809999999999999</v>
      </c>
      <c r="K267">
        <v>5.55</v>
      </c>
      <c r="L267">
        <v>38.86</v>
      </c>
      <c r="M267">
        <v>6.93</v>
      </c>
      <c r="N267">
        <v>32.47</v>
      </c>
      <c r="O267">
        <v>21.15</v>
      </c>
      <c r="P267" s="5">
        <f t="shared" si="95"/>
        <v>5.071942446043165</v>
      </c>
      <c r="Q267">
        <v>12.07</v>
      </c>
      <c r="R267">
        <v>16.54</v>
      </c>
      <c r="S267">
        <v>-0.5</v>
      </c>
      <c r="T267">
        <v>23.45</v>
      </c>
      <c r="U267">
        <v>0</v>
      </c>
      <c r="V267">
        <v>0</v>
      </c>
      <c r="W267">
        <v>1</v>
      </c>
      <c r="X267">
        <v>0</v>
      </c>
      <c r="Y267">
        <v>0</v>
      </c>
      <c r="Z267">
        <v>0</v>
      </c>
      <c r="AA267" s="5">
        <f t="shared" si="96"/>
        <v>1</v>
      </c>
      <c r="AB267">
        <v>0</v>
      </c>
      <c r="AC267" s="5">
        <f t="shared" si="97"/>
        <v>0</v>
      </c>
      <c r="AD267">
        <v>22.65</v>
      </c>
      <c r="AE267">
        <v>38.96</v>
      </c>
      <c r="AF267">
        <v>120.65</v>
      </c>
      <c r="AG267" s="6">
        <f t="shared" si="98"/>
        <v>4.0999999999999996</v>
      </c>
      <c r="AH267" s="5">
        <f t="shared" si="99"/>
        <v>4.0999999999999996</v>
      </c>
      <c r="AI267">
        <v>13.9375</v>
      </c>
      <c r="AJ267" s="5">
        <f t="shared" si="100"/>
        <v>0.98</v>
      </c>
      <c r="AK267" s="5">
        <f t="shared" si="101"/>
        <v>10.045</v>
      </c>
      <c r="AL267" s="4">
        <f t="shared" si="102"/>
        <v>0</v>
      </c>
      <c r="AM267" s="8" t="str">
        <f t="shared" si="103"/>
        <v>SJP Ultrasonics  Pric</v>
      </c>
      <c r="AN267">
        <v>5</v>
      </c>
      <c r="AO267" s="61">
        <f t="shared" si="104"/>
        <v>0</v>
      </c>
      <c r="AP267" s="7">
        <f t="shared" si="93"/>
        <v>0</v>
      </c>
      <c r="AQ267">
        <v>1</v>
      </c>
      <c r="AR267" s="7">
        <f t="shared" si="105"/>
        <v>5</v>
      </c>
      <c r="AV267" s="5">
        <f t="shared" si="106"/>
        <v>0</v>
      </c>
      <c r="AZ267" s="4">
        <f t="shared" si="92"/>
        <v>0</v>
      </c>
    </row>
    <row r="268" spans="1:52" ht="12.75" customHeight="1">
      <c r="A268" t="s">
        <v>490</v>
      </c>
      <c r="B268" t="s">
        <v>491</v>
      </c>
      <c r="C268" t="s">
        <v>159</v>
      </c>
      <c r="E268">
        <v>2.4900000000000002</v>
      </c>
      <c r="F268">
        <v>58.28</v>
      </c>
      <c r="G268" s="5">
        <f t="shared" si="94"/>
        <v>95.72752230610844</v>
      </c>
      <c r="H268">
        <v>108.99</v>
      </c>
      <c r="I268">
        <v>16.54</v>
      </c>
      <c r="J268">
        <v>8.81</v>
      </c>
      <c r="K268">
        <v>12.28</v>
      </c>
      <c r="L268">
        <v>33.119999999999997</v>
      </c>
      <c r="M268">
        <v>24.13</v>
      </c>
      <c r="N268">
        <v>12.86</v>
      </c>
      <c r="O268">
        <v>188.26</v>
      </c>
      <c r="P268" s="5">
        <f t="shared" si="95"/>
        <v>11.382103990326481</v>
      </c>
      <c r="Q268">
        <v>9.0399999999999991</v>
      </c>
      <c r="R268">
        <v>11.56</v>
      </c>
      <c r="S268">
        <v>-0.5</v>
      </c>
      <c r="T268">
        <v>73.260000000000005</v>
      </c>
      <c r="U268">
        <v>0</v>
      </c>
      <c r="V268">
        <v>0</v>
      </c>
      <c r="W268">
        <v>1</v>
      </c>
      <c r="X268">
        <v>0</v>
      </c>
      <c r="Y268">
        <v>0</v>
      </c>
      <c r="Z268">
        <v>0</v>
      </c>
      <c r="AA268" s="5">
        <f t="shared" si="96"/>
        <v>1</v>
      </c>
      <c r="AB268">
        <v>0</v>
      </c>
      <c r="AC268" s="5">
        <f t="shared" si="97"/>
        <v>0</v>
      </c>
      <c r="AD268">
        <v>61.05</v>
      </c>
      <c r="AE268">
        <v>57.16</v>
      </c>
      <c r="AF268">
        <v>94.33</v>
      </c>
      <c r="AG268" s="6">
        <f t="shared" si="98"/>
        <v>4.0999999999999996</v>
      </c>
      <c r="AH268" s="5">
        <f t="shared" si="99"/>
        <v>4.0999999999999996</v>
      </c>
      <c r="AI268">
        <v>13.9475</v>
      </c>
      <c r="AJ268" s="5">
        <f t="shared" si="100"/>
        <v>0.98</v>
      </c>
      <c r="AK268" s="5">
        <f t="shared" si="101"/>
        <v>9.5427499999999998</v>
      </c>
      <c r="AL268" s="4">
        <f t="shared" si="102"/>
        <v>0</v>
      </c>
      <c r="AM268" s="8" t="str">
        <f t="shared" si="103"/>
        <v>Dove Soft  Price, GMP</v>
      </c>
      <c r="AN268">
        <v>5</v>
      </c>
      <c r="AO268" s="61">
        <f t="shared" si="104"/>
        <v>0</v>
      </c>
      <c r="AP268" s="7">
        <f t="shared" si="93"/>
        <v>0</v>
      </c>
      <c r="AQ268">
        <v>0.95</v>
      </c>
      <c r="AR268" s="7">
        <f t="shared" si="105"/>
        <v>5</v>
      </c>
      <c r="AV268" s="5">
        <f t="shared" si="106"/>
        <v>0</v>
      </c>
      <c r="AZ268" s="4">
        <f t="shared" si="92"/>
        <v>0</v>
      </c>
    </row>
    <row r="269" spans="1:52" ht="12.75" customHeight="1">
      <c r="A269" t="s">
        <v>492</v>
      </c>
      <c r="B269" t="s">
        <v>493</v>
      </c>
      <c r="C269" t="s">
        <v>159</v>
      </c>
      <c r="E269">
        <v>25.73</v>
      </c>
      <c r="F269">
        <v>22.86</v>
      </c>
      <c r="G269" s="5">
        <f t="shared" si="94"/>
        <v>-12.554680664916891</v>
      </c>
      <c r="H269">
        <v>57.47</v>
      </c>
      <c r="I269">
        <v>6.66</v>
      </c>
      <c r="J269">
        <v>9.16</v>
      </c>
      <c r="K269">
        <v>6.39</v>
      </c>
      <c r="L269">
        <v>32.6</v>
      </c>
      <c r="M269">
        <v>10.26</v>
      </c>
      <c r="N269">
        <v>12.12</v>
      </c>
      <c r="O269">
        <v>84.13</v>
      </c>
      <c r="P269" s="5">
        <f t="shared" si="95"/>
        <v>12.632132132132131</v>
      </c>
      <c r="Q269">
        <v>10.95</v>
      </c>
      <c r="R269">
        <v>14.89</v>
      </c>
      <c r="S269">
        <v>-1</v>
      </c>
      <c r="T269">
        <v>37.86</v>
      </c>
      <c r="U269">
        <v>0</v>
      </c>
      <c r="V269">
        <v>1</v>
      </c>
      <c r="W269">
        <v>1</v>
      </c>
      <c r="X269">
        <v>0</v>
      </c>
      <c r="Y269">
        <v>0</v>
      </c>
      <c r="Z269">
        <v>0</v>
      </c>
      <c r="AA269" s="5">
        <f t="shared" si="96"/>
        <v>1</v>
      </c>
      <c r="AB269">
        <v>10</v>
      </c>
      <c r="AC269" s="5">
        <f t="shared" si="97"/>
        <v>1</v>
      </c>
      <c r="AD269">
        <v>147.58000000000001</v>
      </c>
      <c r="AE269">
        <v>131.63999999999999</v>
      </c>
      <c r="AF269">
        <v>359.04</v>
      </c>
      <c r="AG269" s="6">
        <f t="shared" si="98"/>
        <v>3.5</v>
      </c>
      <c r="AH269" s="5">
        <f t="shared" si="99"/>
        <v>4.5</v>
      </c>
      <c r="AI269">
        <v>13.9575</v>
      </c>
      <c r="AJ269" s="5">
        <f t="shared" si="100"/>
        <v>0.98</v>
      </c>
      <c r="AK269" s="5">
        <f t="shared" si="101"/>
        <v>9.0772499999999994</v>
      </c>
      <c r="AL269" s="4">
        <f t="shared" si="102"/>
        <v>0</v>
      </c>
      <c r="AM269" s="8" t="str">
        <f t="shared" si="103"/>
        <v>TNA Solutions  Price,</v>
      </c>
      <c r="AN269">
        <v>6</v>
      </c>
      <c r="AO269" s="61">
        <f t="shared" si="104"/>
        <v>0</v>
      </c>
      <c r="AP269" s="7">
        <f t="shared" si="93"/>
        <v>0</v>
      </c>
      <c r="AQ269">
        <v>0.95</v>
      </c>
      <c r="AR269" s="7">
        <f t="shared" si="105"/>
        <v>5</v>
      </c>
      <c r="AV269" s="5">
        <f t="shared" si="106"/>
        <v>0</v>
      </c>
      <c r="AZ269" s="4">
        <f t="shared" si="92"/>
        <v>0</v>
      </c>
    </row>
    <row r="270" spans="1:52" ht="12.75" customHeight="1">
      <c r="A270" t="s">
        <v>494</v>
      </c>
      <c r="B270" t="s">
        <v>495</v>
      </c>
      <c r="C270" t="s">
        <v>159</v>
      </c>
      <c r="E270">
        <v>81.17</v>
      </c>
      <c r="F270">
        <v>55.37</v>
      </c>
      <c r="G270" s="5">
        <f t="shared" si="94"/>
        <v>-46.595629402203372</v>
      </c>
      <c r="H270">
        <v>272.45</v>
      </c>
      <c r="I270">
        <v>16.46</v>
      </c>
      <c r="J270">
        <v>9.24</v>
      </c>
      <c r="K270">
        <v>13.48</v>
      </c>
      <c r="L270">
        <v>30.65</v>
      </c>
      <c r="M270">
        <v>28.76</v>
      </c>
      <c r="N270">
        <v>15.1</v>
      </c>
      <c r="O270">
        <v>213.45</v>
      </c>
      <c r="P270" s="5">
        <f t="shared" si="95"/>
        <v>12.967800729040096</v>
      </c>
      <c r="Q270">
        <v>14.54</v>
      </c>
      <c r="R270">
        <v>18.88</v>
      </c>
      <c r="S270">
        <v>-0.5</v>
      </c>
      <c r="T270">
        <v>121.69</v>
      </c>
      <c r="U270">
        <v>0</v>
      </c>
      <c r="V270">
        <v>0</v>
      </c>
      <c r="W270">
        <v>1</v>
      </c>
      <c r="X270">
        <v>0</v>
      </c>
      <c r="Y270">
        <v>0.78</v>
      </c>
      <c r="Z270">
        <v>0.2</v>
      </c>
      <c r="AA270" s="5">
        <f t="shared" si="96"/>
        <v>0</v>
      </c>
      <c r="AB270">
        <v>15.31</v>
      </c>
      <c r="AC270" s="5">
        <f t="shared" si="97"/>
        <v>1.7</v>
      </c>
      <c r="AD270">
        <v>-14.32</v>
      </c>
      <c r="AE270">
        <v>-0.73</v>
      </c>
      <c r="AF270">
        <v>55.4</v>
      </c>
      <c r="AG270" s="6">
        <f t="shared" si="98"/>
        <v>-1</v>
      </c>
      <c r="AH270" s="5">
        <f t="shared" si="99"/>
        <v>0.7</v>
      </c>
      <c r="AI270">
        <v>14.0625</v>
      </c>
      <c r="AJ270" s="5">
        <f t="shared" si="100"/>
        <v>0.98</v>
      </c>
      <c r="AK270" s="5">
        <f t="shared" si="101"/>
        <v>-0.78400000000000003</v>
      </c>
      <c r="AL270" s="4">
        <f t="shared" si="102"/>
        <v>0</v>
      </c>
      <c r="AM270" s="8" t="str">
        <f t="shared" si="103"/>
        <v>Acme India Industries</v>
      </c>
      <c r="AN270">
        <v>6</v>
      </c>
      <c r="AO270" s="61">
        <f t="shared" si="104"/>
        <v>0</v>
      </c>
      <c r="AP270" s="7">
        <f t="shared" si="93"/>
        <v>0</v>
      </c>
      <c r="AQ270">
        <v>1</v>
      </c>
      <c r="AR270" s="7">
        <f t="shared" si="105"/>
        <v>5</v>
      </c>
      <c r="AV270" s="5">
        <f t="shared" si="106"/>
        <v>0</v>
      </c>
      <c r="AZ270" s="4">
        <f t="shared" si="92"/>
        <v>0</v>
      </c>
    </row>
    <row r="271" spans="1:52" ht="12.75" customHeight="1">
      <c r="A271" t="s">
        <v>496</v>
      </c>
      <c r="B271" t="s">
        <v>497</v>
      </c>
      <c r="C271" t="s">
        <v>159</v>
      </c>
      <c r="E271">
        <v>33.47</v>
      </c>
      <c r="F271">
        <v>28.8</v>
      </c>
      <c r="G271" s="5">
        <f t="shared" si="94"/>
        <v>-16.215277777777771</v>
      </c>
      <c r="H271">
        <v>76.09</v>
      </c>
      <c r="I271">
        <v>6.73</v>
      </c>
      <c r="J271">
        <v>11.36</v>
      </c>
      <c r="K271">
        <v>11.6</v>
      </c>
      <c r="L271">
        <v>32.5</v>
      </c>
      <c r="M271">
        <v>13.17</v>
      </c>
      <c r="N271">
        <v>19.329999999999998</v>
      </c>
      <c r="O271">
        <v>112.72</v>
      </c>
      <c r="P271" s="5">
        <f t="shared" si="95"/>
        <v>16.748885586924217</v>
      </c>
      <c r="Q271">
        <v>10.95</v>
      </c>
      <c r="R271">
        <v>16.84</v>
      </c>
      <c r="S271">
        <v>-1</v>
      </c>
      <c r="T271">
        <v>81.790000000000006</v>
      </c>
      <c r="U271">
        <v>0</v>
      </c>
      <c r="V271">
        <v>0</v>
      </c>
      <c r="W271">
        <v>1</v>
      </c>
      <c r="X271">
        <v>0</v>
      </c>
      <c r="Y271">
        <v>0</v>
      </c>
      <c r="Z271">
        <v>0</v>
      </c>
      <c r="AA271" s="5">
        <f t="shared" si="96"/>
        <v>1</v>
      </c>
      <c r="AB271">
        <v>0</v>
      </c>
      <c r="AC271" s="5">
        <f t="shared" si="97"/>
        <v>0</v>
      </c>
      <c r="AD271">
        <v>398.52</v>
      </c>
      <c r="AE271">
        <v>21.28</v>
      </c>
      <c r="AF271">
        <v>104.98</v>
      </c>
      <c r="AG271" s="6">
        <f t="shared" si="98"/>
        <v>0.5</v>
      </c>
      <c r="AH271" s="5">
        <f t="shared" si="99"/>
        <v>0.5</v>
      </c>
      <c r="AI271">
        <v>14.055</v>
      </c>
      <c r="AJ271" s="5">
        <f t="shared" si="100"/>
        <v>0.98</v>
      </c>
      <c r="AK271" s="5">
        <f t="shared" si="101"/>
        <v>1.2250000000000001</v>
      </c>
      <c r="AL271" s="4">
        <f t="shared" si="102"/>
        <v>0</v>
      </c>
      <c r="AM271" s="8" t="str">
        <f t="shared" si="103"/>
        <v>Paramount Syntex  Pri</v>
      </c>
      <c r="AN271">
        <v>6</v>
      </c>
      <c r="AO271" s="61">
        <f t="shared" si="104"/>
        <v>0</v>
      </c>
      <c r="AP271" s="7">
        <f t="shared" si="93"/>
        <v>0</v>
      </c>
      <c r="AQ271">
        <v>1</v>
      </c>
      <c r="AR271" s="7">
        <f t="shared" si="105"/>
        <v>5</v>
      </c>
      <c r="AV271" s="5">
        <f t="shared" si="106"/>
        <v>0</v>
      </c>
      <c r="AZ271" s="4">
        <f t="shared" si="92"/>
        <v>0</v>
      </c>
    </row>
    <row r="272" spans="1:52" ht="12.75" customHeight="1">
      <c r="G272" s="5" t="e">
        <f t="shared" si="94"/>
        <v>#DIV/0!</v>
      </c>
      <c r="P272" s="5" t="e">
        <f t="shared" si="95"/>
        <v>#DIV/0!</v>
      </c>
      <c r="Y272">
        <v>70</v>
      </c>
      <c r="AA272" s="5">
        <f t="shared" si="96"/>
        <v>0</v>
      </c>
      <c r="AC272" s="5">
        <f t="shared" si="97"/>
        <v>0</v>
      </c>
      <c r="AG272" s="6" t="e">
        <f t="shared" si="98"/>
        <v>#DIV/0!</v>
      </c>
      <c r="AH272" s="5" t="e">
        <f t="shared" si="99"/>
        <v>#DIV/0!</v>
      </c>
      <c r="AJ272" s="5">
        <f t="shared" si="100"/>
        <v>1</v>
      </c>
      <c r="AK272" s="5" t="e">
        <f t="shared" si="101"/>
        <v>#DIV/0!</v>
      </c>
      <c r="AL272" s="4">
        <f t="shared" si="102"/>
        <v>0</v>
      </c>
      <c r="AM272" s="8">
        <f t="shared" si="103"/>
        <v>0</v>
      </c>
      <c r="AO272" s="61">
        <f t="shared" si="104"/>
        <v>0</v>
      </c>
      <c r="AP272" s="7" t="e">
        <f t="shared" si="93"/>
        <v>#DIV/0!</v>
      </c>
      <c r="AR272" s="7">
        <f t="shared" si="105"/>
        <v>5</v>
      </c>
      <c r="AV272" s="5">
        <f t="shared" si="106"/>
        <v>0</v>
      </c>
      <c r="AZ272" s="4">
        <f t="shared" si="92"/>
        <v>0</v>
      </c>
    </row>
    <row r="273" spans="7:52" ht="12.75" customHeight="1">
      <c r="G273" s="5" t="e">
        <f t="shared" si="94"/>
        <v>#DIV/0!</v>
      </c>
      <c r="P273" s="5" t="e">
        <f t="shared" si="95"/>
        <v>#DIV/0!</v>
      </c>
      <c r="Y273">
        <v>70</v>
      </c>
      <c r="AA273" s="5">
        <f t="shared" si="96"/>
        <v>0</v>
      </c>
      <c r="AC273" s="5">
        <f t="shared" si="97"/>
        <v>0</v>
      </c>
      <c r="AG273" s="6" t="e">
        <f t="shared" si="98"/>
        <v>#DIV/0!</v>
      </c>
      <c r="AH273" s="5" t="e">
        <f t="shared" si="99"/>
        <v>#DIV/0!</v>
      </c>
      <c r="AJ273" s="5">
        <f t="shared" si="100"/>
        <v>1</v>
      </c>
      <c r="AK273" s="5" t="e">
        <f t="shared" si="101"/>
        <v>#DIV/0!</v>
      </c>
      <c r="AL273" s="4">
        <f t="shared" si="102"/>
        <v>0</v>
      </c>
      <c r="AM273" s="8">
        <f t="shared" si="103"/>
        <v>0</v>
      </c>
      <c r="AO273" s="61">
        <f t="shared" si="104"/>
        <v>0</v>
      </c>
      <c r="AP273" s="7" t="e">
        <f t="shared" si="93"/>
        <v>#DIV/0!</v>
      </c>
      <c r="AR273" s="7">
        <f t="shared" si="105"/>
        <v>5</v>
      </c>
      <c r="AV273" s="5">
        <f t="shared" si="106"/>
        <v>0</v>
      </c>
      <c r="AZ273" s="4">
        <f t="shared" si="92"/>
        <v>0</v>
      </c>
    </row>
    <row r="274" spans="7:52" ht="12.75" customHeight="1">
      <c r="G274" s="5" t="e">
        <f t="shared" si="94"/>
        <v>#DIV/0!</v>
      </c>
      <c r="P274" s="5" t="e">
        <f t="shared" si="95"/>
        <v>#DIV/0!</v>
      </c>
      <c r="Y274">
        <v>70</v>
      </c>
      <c r="AA274" s="5">
        <f t="shared" si="96"/>
        <v>0</v>
      </c>
      <c r="AC274" s="5">
        <f t="shared" si="97"/>
        <v>0</v>
      </c>
      <c r="AG274" s="6" t="e">
        <f t="shared" si="98"/>
        <v>#DIV/0!</v>
      </c>
      <c r="AH274" s="5" t="e">
        <f t="shared" si="99"/>
        <v>#DIV/0!</v>
      </c>
      <c r="AJ274" s="5">
        <f t="shared" si="100"/>
        <v>1</v>
      </c>
      <c r="AK274" s="5" t="e">
        <f t="shared" si="101"/>
        <v>#DIV/0!</v>
      </c>
      <c r="AL274" s="4">
        <f t="shared" si="102"/>
        <v>0</v>
      </c>
      <c r="AM274" s="8">
        <f t="shared" si="103"/>
        <v>0</v>
      </c>
      <c r="AO274" s="61">
        <f t="shared" si="104"/>
        <v>0</v>
      </c>
      <c r="AP274" s="7" t="e">
        <f t="shared" si="93"/>
        <v>#DIV/0!</v>
      </c>
      <c r="AR274" s="7">
        <f t="shared" si="105"/>
        <v>5</v>
      </c>
      <c r="AV274" s="5">
        <f t="shared" si="106"/>
        <v>0</v>
      </c>
      <c r="AZ274" s="4">
        <f t="shared" si="92"/>
        <v>0</v>
      </c>
    </row>
    <row r="275" spans="7:52" ht="12.75" customHeight="1">
      <c r="G275" s="5" t="e">
        <f t="shared" si="94"/>
        <v>#DIV/0!</v>
      </c>
      <c r="P275" s="5" t="e">
        <f t="shared" si="95"/>
        <v>#DIV/0!</v>
      </c>
      <c r="Y275">
        <v>70</v>
      </c>
      <c r="AA275" s="5">
        <f t="shared" si="96"/>
        <v>0</v>
      </c>
      <c r="AC275" s="5">
        <f t="shared" si="97"/>
        <v>0</v>
      </c>
      <c r="AG275" s="6" t="e">
        <f t="shared" si="98"/>
        <v>#DIV/0!</v>
      </c>
      <c r="AH275" s="5" t="e">
        <f t="shared" si="99"/>
        <v>#DIV/0!</v>
      </c>
      <c r="AJ275" s="5">
        <f t="shared" si="100"/>
        <v>1</v>
      </c>
      <c r="AK275" s="5" t="e">
        <f t="shared" si="101"/>
        <v>#DIV/0!</v>
      </c>
      <c r="AL275" s="4">
        <f t="shared" si="102"/>
        <v>0</v>
      </c>
      <c r="AM275" s="8">
        <f t="shared" si="103"/>
        <v>0</v>
      </c>
      <c r="AO275" s="61">
        <f t="shared" si="104"/>
        <v>0</v>
      </c>
      <c r="AP275" s="7" t="e">
        <f t="shared" si="93"/>
        <v>#DIV/0!</v>
      </c>
      <c r="AR275" s="7">
        <f t="shared" si="105"/>
        <v>5</v>
      </c>
      <c r="AV275" s="5">
        <f t="shared" si="106"/>
        <v>0</v>
      </c>
      <c r="AZ275" s="4">
        <f t="shared" ref="AZ275:AZ306" si="107">IF(AY275&lt;-50,-4,IF(AY275&lt;-20,-2,IF(AY275&lt;0,-1,IF(AY275=0,0,IF(AY275&lt;10,1.5,IF(AY275&lt;20,2,IF(AY275&gt;19,2.5,2.5)))))))</f>
        <v>0</v>
      </c>
    </row>
    <row r="276" spans="7:52" ht="12.75" customHeight="1">
      <c r="G276" s="5" t="e">
        <f t="shared" si="94"/>
        <v>#DIV/0!</v>
      </c>
      <c r="P276" s="5" t="e">
        <f t="shared" si="95"/>
        <v>#DIV/0!</v>
      </c>
      <c r="Y276">
        <v>70</v>
      </c>
      <c r="AA276" s="5">
        <f t="shared" si="96"/>
        <v>0</v>
      </c>
      <c r="AC276" s="5">
        <f t="shared" si="97"/>
        <v>0</v>
      </c>
      <c r="AG276" s="6" t="e">
        <f t="shared" si="98"/>
        <v>#DIV/0!</v>
      </c>
      <c r="AH276" s="5" t="e">
        <f t="shared" si="99"/>
        <v>#DIV/0!</v>
      </c>
      <c r="AJ276" s="5">
        <f t="shared" si="100"/>
        <v>1</v>
      </c>
      <c r="AK276" s="5" t="e">
        <f t="shared" si="101"/>
        <v>#DIV/0!</v>
      </c>
      <c r="AL276" s="4">
        <f t="shared" si="102"/>
        <v>0</v>
      </c>
      <c r="AM276" s="8">
        <f t="shared" si="103"/>
        <v>0</v>
      </c>
      <c r="AO276" s="61">
        <f t="shared" si="104"/>
        <v>0</v>
      </c>
      <c r="AP276" s="7" t="e">
        <f t="shared" si="93"/>
        <v>#DIV/0!</v>
      </c>
      <c r="AR276" s="7">
        <f t="shared" si="105"/>
        <v>5</v>
      </c>
      <c r="AV276" s="5">
        <f t="shared" si="106"/>
        <v>0</v>
      </c>
      <c r="AZ276" s="4">
        <f t="shared" si="107"/>
        <v>0</v>
      </c>
    </row>
    <row r="277" spans="7:52" ht="12.75" customHeight="1">
      <c r="G277" s="5" t="e">
        <f t="shared" si="94"/>
        <v>#DIV/0!</v>
      </c>
      <c r="P277" s="5" t="e">
        <f t="shared" si="95"/>
        <v>#DIV/0!</v>
      </c>
      <c r="Y277">
        <v>70</v>
      </c>
      <c r="AA277" s="5">
        <f t="shared" si="96"/>
        <v>0</v>
      </c>
      <c r="AC277" s="5">
        <f t="shared" si="97"/>
        <v>0</v>
      </c>
      <c r="AG277" s="6" t="e">
        <f t="shared" si="98"/>
        <v>#DIV/0!</v>
      </c>
      <c r="AH277" s="5" t="e">
        <f t="shared" si="99"/>
        <v>#DIV/0!</v>
      </c>
      <c r="AJ277" s="5">
        <f t="shared" si="100"/>
        <v>1</v>
      </c>
      <c r="AK277" s="5" t="e">
        <f t="shared" si="101"/>
        <v>#DIV/0!</v>
      </c>
      <c r="AL277" s="4">
        <f t="shared" si="102"/>
        <v>0</v>
      </c>
      <c r="AM277" s="8">
        <f t="shared" si="103"/>
        <v>0</v>
      </c>
      <c r="AO277" s="61">
        <f t="shared" si="104"/>
        <v>0</v>
      </c>
      <c r="AP277" s="7" t="e">
        <f t="shared" ref="AP277:AP308" si="108">IF(AK277&gt;13.93,IF(Z277&lt;140,IF(Z277&lt;35,IF(Z277&lt;6,3,2),1),0),0)</f>
        <v>#DIV/0!</v>
      </c>
      <c r="AR277" s="7">
        <f t="shared" si="105"/>
        <v>5</v>
      </c>
      <c r="AV277" s="5">
        <f t="shared" si="106"/>
        <v>0</v>
      </c>
      <c r="AZ277" s="4">
        <f t="shared" si="107"/>
        <v>0</v>
      </c>
    </row>
    <row r="278" spans="7:52" ht="12.75" customHeight="1">
      <c r="G278" s="5" t="e">
        <f t="shared" si="94"/>
        <v>#DIV/0!</v>
      </c>
      <c r="P278" s="5" t="e">
        <f t="shared" si="95"/>
        <v>#DIV/0!</v>
      </c>
      <c r="Y278">
        <v>70</v>
      </c>
      <c r="AA278" s="5">
        <f t="shared" si="96"/>
        <v>0</v>
      </c>
      <c r="AC278" s="5">
        <f t="shared" si="97"/>
        <v>0</v>
      </c>
      <c r="AG278" s="6" t="e">
        <f t="shared" si="98"/>
        <v>#DIV/0!</v>
      </c>
      <c r="AH278" s="5" t="e">
        <f t="shared" si="99"/>
        <v>#DIV/0!</v>
      </c>
      <c r="AJ278" s="5">
        <f t="shared" si="100"/>
        <v>1</v>
      </c>
      <c r="AK278" s="5" t="e">
        <f t="shared" si="101"/>
        <v>#DIV/0!</v>
      </c>
      <c r="AL278" s="4">
        <f t="shared" si="102"/>
        <v>0</v>
      </c>
      <c r="AM278" s="8">
        <f t="shared" si="103"/>
        <v>0</v>
      </c>
      <c r="AO278" s="61">
        <f t="shared" si="104"/>
        <v>0</v>
      </c>
      <c r="AP278" s="7" t="e">
        <f t="shared" si="108"/>
        <v>#DIV/0!</v>
      </c>
      <c r="AR278" s="7">
        <f t="shared" si="105"/>
        <v>5</v>
      </c>
      <c r="AV278" s="5">
        <f t="shared" si="106"/>
        <v>0</v>
      </c>
      <c r="AZ278" s="4">
        <f t="shared" si="107"/>
        <v>0</v>
      </c>
    </row>
    <row r="279" spans="7:52" ht="12.75" customHeight="1">
      <c r="G279" s="5" t="e">
        <f t="shared" si="94"/>
        <v>#DIV/0!</v>
      </c>
      <c r="P279" s="5" t="e">
        <f t="shared" si="95"/>
        <v>#DIV/0!</v>
      </c>
      <c r="Y279">
        <v>70</v>
      </c>
      <c r="AA279" s="5">
        <f t="shared" si="96"/>
        <v>0</v>
      </c>
      <c r="AC279" s="5">
        <f t="shared" si="97"/>
        <v>0</v>
      </c>
      <c r="AG279" s="6" t="e">
        <f t="shared" si="98"/>
        <v>#DIV/0!</v>
      </c>
      <c r="AH279" s="5" t="e">
        <f t="shared" si="99"/>
        <v>#DIV/0!</v>
      </c>
      <c r="AJ279" s="5">
        <f t="shared" si="100"/>
        <v>1</v>
      </c>
      <c r="AK279" s="5" t="e">
        <f t="shared" si="101"/>
        <v>#DIV/0!</v>
      </c>
      <c r="AL279" s="4">
        <f t="shared" si="102"/>
        <v>0</v>
      </c>
      <c r="AM279" s="8">
        <f t="shared" si="103"/>
        <v>0</v>
      </c>
      <c r="AO279" s="61">
        <f t="shared" si="104"/>
        <v>0</v>
      </c>
      <c r="AP279" s="7" t="e">
        <f t="shared" si="108"/>
        <v>#DIV/0!</v>
      </c>
      <c r="AR279" s="7">
        <f t="shared" si="105"/>
        <v>5</v>
      </c>
      <c r="AV279" s="5">
        <f t="shared" si="106"/>
        <v>0</v>
      </c>
      <c r="AZ279" s="4">
        <f t="shared" si="107"/>
        <v>0</v>
      </c>
    </row>
    <row r="280" spans="7:52" ht="12.75" customHeight="1">
      <c r="G280" s="5" t="e">
        <f t="shared" si="94"/>
        <v>#DIV/0!</v>
      </c>
      <c r="P280" s="5" t="e">
        <f t="shared" si="95"/>
        <v>#DIV/0!</v>
      </c>
      <c r="Y280">
        <v>70</v>
      </c>
      <c r="AA280" s="5">
        <f t="shared" si="96"/>
        <v>0</v>
      </c>
      <c r="AC280" s="5">
        <f t="shared" si="97"/>
        <v>0</v>
      </c>
      <c r="AG280" s="6" t="e">
        <f t="shared" si="98"/>
        <v>#DIV/0!</v>
      </c>
      <c r="AH280" s="5" t="e">
        <f t="shared" si="99"/>
        <v>#DIV/0!</v>
      </c>
      <c r="AJ280" s="5">
        <f t="shared" si="100"/>
        <v>1</v>
      </c>
      <c r="AK280" s="5" t="e">
        <f t="shared" si="101"/>
        <v>#DIV/0!</v>
      </c>
      <c r="AL280" s="4">
        <f t="shared" si="102"/>
        <v>0</v>
      </c>
      <c r="AM280" s="8">
        <f t="shared" si="103"/>
        <v>0</v>
      </c>
      <c r="AO280" s="61">
        <f t="shared" si="104"/>
        <v>0</v>
      </c>
      <c r="AP280" s="7" t="e">
        <f t="shared" si="108"/>
        <v>#DIV/0!</v>
      </c>
      <c r="AR280" s="7">
        <f t="shared" si="105"/>
        <v>5</v>
      </c>
      <c r="AV280" s="5">
        <f t="shared" si="106"/>
        <v>0</v>
      </c>
      <c r="AZ280" s="4">
        <f t="shared" si="107"/>
        <v>0</v>
      </c>
    </row>
    <row r="281" spans="7:52" ht="12.75" customHeight="1">
      <c r="G281" s="5" t="e">
        <f t="shared" si="94"/>
        <v>#DIV/0!</v>
      </c>
      <c r="P281" s="5" t="e">
        <f t="shared" si="95"/>
        <v>#DIV/0!</v>
      </c>
      <c r="Y281">
        <v>70</v>
      </c>
      <c r="AA281" s="5">
        <f t="shared" si="96"/>
        <v>0</v>
      </c>
      <c r="AC281" s="5">
        <f t="shared" si="97"/>
        <v>0</v>
      </c>
      <c r="AG281" s="6" t="e">
        <f t="shared" si="98"/>
        <v>#DIV/0!</v>
      </c>
      <c r="AH281" s="5" t="e">
        <f t="shared" si="99"/>
        <v>#DIV/0!</v>
      </c>
      <c r="AJ281" s="5">
        <f t="shared" si="100"/>
        <v>1</v>
      </c>
      <c r="AK281" s="5" t="e">
        <f t="shared" si="101"/>
        <v>#DIV/0!</v>
      </c>
      <c r="AL281" s="4">
        <f t="shared" si="102"/>
        <v>0</v>
      </c>
      <c r="AM281" s="8">
        <f t="shared" si="103"/>
        <v>0</v>
      </c>
      <c r="AO281" s="61">
        <f t="shared" si="104"/>
        <v>0</v>
      </c>
      <c r="AP281" s="7" t="e">
        <f t="shared" si="108"/>
        <v>#DIV/0!</v>
      </c>
      <c r="AR281" s="7">
        <f t="shared" si="105"/>
        <v>5</v>
      </c>
      <c r="AV281" s="5">
        <f t="shared" si="106"/>
        <v>0</v>
      </c>
      <c r="AZ281" s="4">
        <f t="shared" si="107"/>
        <v>0</v>
      </c>
    </row>
    <row r="282" spans="7:52" ht="12.75" customHeight="1">
      <c r="G282" s="5" t="e">
        <f t="shared" si="94"/>
        <v>#DIV/0!</v>
      </c>
      <c r="P282" s="5" t="e">
        <f t="shared" si="95"/>
        <v>#DIV/0!</v>
      </c>
      <c r="Y282">
        <v>70</v>
      </c>
      <c r="AA282" s="5">
        <f t="shared" si="96"/>
        <v>0</v>
      </c>
      <c r="AC282" s="5">
        <f t="shared" si="97"/>
        <v>0</v>
      </c>
      <c r="AG282" s="6" t="e">
        <f t="shared" si="98"/>
        <v>#DIV/0!</v>
      </c>
      <c r="AH282" s="5" t="e">
        <f t="shared" si="99"/>
        <v>#DIV/0!</v>
      </c>
      <c r="AJ282" s="5">
        <f t="shared" si="100"/>
        <v>1</v>
      </c>
      <c r="AK282" s="5" t="e">
        <f t="shared" si="101"/>
        <v>#DIV/0!</v>
      </c>
      <c r="AL282" s="4">
        <f t="shared" si="102"/>
        <v>0</v>
      </c>
      <c r="AM282" s="8">
        <f t="shared" si="103"/>
        <v>0</v>
      </c>
      <c r="AO282" s="61">
        <f t="shared" si="104"/>
        <v>0</v>
      </c>
      <c r="AP282" s="7" t="e">
        <f t="shared" si="108"/>
        <v>#DIV/0!</v>
      </c>
      <c r="AR282" s="7">
        <f t="shared" si="105"/>
        <v>5</v>
      </c>
      <c r="AV282" s="5">
        <f t="shared" si="106"/>
        <v>0</v>
      </c>
      <c r="AZ282" s="4">
        <f t="shared" si="107"/>
        <v>0</v>
      </c>
    </row>
    <row r="283" spans="7:52" ht="12.75" customHeight="1">
      <c r="G283" s="5" t="e">
        <f t="shared" si="94"/>
        <v>#DIV/0!</v>
      </c>
      <c r="P283" s="5" t="e">
        <f t="shared" si="95"/>
        <v>#DIV/0!</v>
      </c>
      <c r="Y283">
        <v>70</v>
      </c>
      <c r="AA283" s="5">
        <f t="shared" si="96"/>
        <v>0</v>
      </c>
      <c r="AC283" s="5">
        <f t="shared" si="97"/>
        <v>0</v>
      </c>
      <c r="AG283" s="6" t="e">
        <f t="shared" si="98"/>
        <v>#DIV/0!</v>
      </c>
      <c r="AH283" s="5" t="e">
        <f t="shared" si="99"/>
        <v>#DIV/0!</v>
      </c>
      <c r="AJ283" s="5">
        <f t="shared" si="100"/>
        <v>1</v>
      </c>
      <c r="AK283" s="5" t="e">
        <f t="shared" si="101"/>
        <v>#DIV/0!</v>
      </c>
      <c r="AL283" s="4">
        <f t="shared" si="102"/>
        <v>0</v>
      </c>
      <c r="AM283" s="8">
        <f t="shared" si="103"/>
        <v>0</v>
      </c>
      <c r="AO283" s="61">
        <f t="shared" si="104"/>
        <v>0</v>
      </c>
      <c r="AP283" s="7" t="e">
        <f t="shared" si="108"/>
        <v>#DIV/0!</v>
      </c>
      <c r="AR283" s="7">
        <f t="shared" si="105"/>
        <v>5</v>
      </c>
      <c r="AV283" s="5">
        <f t="shared" si="106"/>
        <v>0</v>
      </c>
      <c r="AZ283" s="4">
        <f t="shared" si="107"/>
        <v>0</v>
      </c>
    </row>
    <row r="284" spans="7:52" ht="12.75" customHeight="1">
      <c r="G284" s="5" t="e">
        <f t="shared" si="94"/>
        <v>#DIV/0!</v>
      </c>
      <c r="P284" s="5" t="e">
        <f t="shared" si="95"/>
        <v>#DIV/0!</v>
      </c>
      <c r="Y284">
        <v>70</v>
      </c>
      <c r="AA284" s="5">
        <f t="shared" si="96"/>
        <v>0</v>
      </c>
      <c r="AC284" s="5">
        <f t="shared" si="97"/>
        <v>0</v>
      </c>
      <c r="AG284" s="6" t="e">
        <f t="shared" si="98"/>
        <v>#DIV/0!</v>
      </c>
      <c r="AH284" s="5" t="e">
        <f t="shared" si="99"/>
        <v>#DIV/0!</v>
      </c>
      <c r="AJ284" s="5">
        <f t="shared" si="100"/>
        <v>1</v>
      </c>
      <c r="AK284" s="5" t="e">
        <f t="shared" si="101"/>
        <v>#DIV/0!</v>
      </c>
      <c r="AL284" s="4">
        <f t="shared" si="102"/>
        <v>0</v>
      </c>
      <c r="AM284" s="8">
        <f t="shared" si="103"/>
        <v>0</v>
      </c>
      <c r="AO284" s="61">
        <f t="shared" si="104"/>
        <v>0</v>
      </c>
      <c r="AP284" s="7" t="e">
        <f t="shared" si="108"/>
        <v>#DIV/0!</v>
      </c>
      <c r="AR284" s="7">
        <f t="shared" si="105"/>
        <v>5</v>
      </c>
      <c r="AV284" s="5">
        <f t="shared" si="106"/>
        <v>0</v>
      </c>
      <c r="AZ284" s="4">
        <f t="shared" si="107"/>
        <v>0</v>
      </c>
    </row>
    <row r="285" spans="7:52" ht="12.75" customHeight="1">
      <c r="G285" s="5" t="e">
        <f t="shared" si="94"/>
        <v>#DIV/0!</v>
      </c>
      <c r="P285" s="5" t="e">
        <f t="shared" si="95"/>
        <v>#DIV/0!</v>
      </c>
      <c r="Y285">
        <v>70</v>
      </c>
      <c r="AA285" s="5">
        <f t="shared" si="96"/>
        <v>0</v>
      </c>
      <c r="AC285" s="5">
        <f t="shared" si="97"/>
        <v>0</v>
      </c>
      <c r="AG285" s="6" t="e">
        <f t="shared" si="98"/>
        <v>#DIV/0!</v>
      </c>
      <c r="AH285" s="5" t="e">
        <f t="shared" si="99"/>
        <v>#DIV/0!</v>
      </c>
      <c r="AJ285" s="5">
        <f t="shared" si="100"/>
        <v>1</v>
      </c>
      <c r="AK285" s="5" t="e">
        <f t="shared" si="101"/>
        <v>#DIV/0!</v>
      </c>
      <c r="AL285" s="4">
        <f t="shared" si="102"/>
        <v>0</v>
      </c>
      <c r="AM285" s="8">
        <f t="shared" si="103"/>
        <v>0</v>
      </c>
      <c r="AO285" s="61">
        <f t="shared" si="104"/>
        <v>0</v>
      </c>
      <c r="AP285" s="7" t="e">
        <f t="shared" si="108"/>
        <v>#DIV/0!</v>
      </c>
      <c r="AR285" s="7">
        <f t="shared" si="105"/>
        <v>5</v>
      </c>
      <c r="AV285" s="5">
        <f t="shared" si="106"/>
        <v>0</v>
      </c>
      <c r="AZ285" s="4">
        <f t="shared" si="107"/>
        <v>0</v>
      </c>
    </row>
    <row r="286" spans="7:52" ht="12.75" customHeight="1">
      <c r="G286" s="5" t="e">
        <f t="shared" si="94"/>
        <v>#DIV/0!</v>
      </c>
      <c r="P286" s="5" t="e">
        <f t="shared" si="95"/>
        <v>#DIV/0!</v>
      </c>
      <c r="Y286">
        <v>70</v>
      </c>
      <c r="AA286" s="5">
        <f t="shared" si="96"/>
        <v>0</v>
      </c>
      <c r="AC286" s="5">
        <f t="shared" si="97"/>
        <v>0</v>
      </c>
      <c r="AG286" s="6" t="e">
        <f t="shared" si="98"/>
        <v>#DIV/0!</v>
      </c>
      <c r="AH286" s="5" t="e">
        <f t="shared" si="99"/>
        <v>#DIV/0!</v>
      </c>
      <c r="AJ286" s="5">
        <f t="shared" si="100"/>
        <v>1</v>
      </c>
      <c r="AK286" s="5" t="e">
        <f t="shared" si="101"/>
        <v>#DIV/0!</v>
      </c>
      <c r="AL286" s="4">
        <f t="shared" si="102"/>
        <v>0</v>
      </c>
      <c r="AM286" s="8">
        <f t="shared" si="103"/>
        <v>0</v>
      </c>
      <c r="AO286" s="61">
        <f t="shared" si="104"/>
        <v>0</v>
      </c>
      <c r="AP286" s="7" t="e">
        <f t="shared" si="108"/>
        <v>#DIV/0!</v>
      </c>
      <c r="AR286" s="7">
        <f t="shared" si="105"/>
        <v>5</v>
      </c>
      <c r="AV286" s="5">
        <f t="shared" si="106"/>
        <v>0</v>
      </c>
      <c r="AZ286" s="4">
        <f t="shared" si="107"/>
        <v>0</v>
      </c>
    </row>
    <row r="287" spans="7:52" ht="12.75" customHeight="1">
      <c r="G287" s="5" t="e">
        <f t="shared" si="94"/>
        <v>#DIV/0!</v>
      </c>
      <c r="P287" s="5" t="e">
        <f t="shared" si="95"/>
        <v>#DIV/0!</v>
      </c>
      <c r="Y287">
        <v>70</v>
      </c>
      <c r="AA287" s="5">
        <f t="shared" si="96"/>
        <v>0</v>
      </c>
      <c r="AC287" s="5">
        <f t="shared" si="97"/>
        <v>0</v>
      </c>
      <c r="AG287" s="6" t="e">
        <f t="shared" si="98"/>
        <v>#DIV/0!</v>
      </c>
      <c r="AH287" s="5" t="e">
        <f t="shared" si="99"/>
        <v>#DIV/0!</v>
      </c>
      <c r="AJ287" s="5">
        <f t="shared" si="100"/>
        <v>1</v>
      </c>
      <c r="AK287" s="5" t="e">
        <f t="shared" si="101"/>
        <v>#DIV/0!</v>
      </c>
      <c r="AL287" s="4">
        <f t="shared" si="102"/>
        <v>0</v>
      </c>
      <c r="AM287" s="8">
        <f t="shared" si="103"/>
        <v>0</v>
      </c>
      <c r="AO287" s="61">
        <f t="shared" si="104"/>
        <v>0</v>
      </c>
      <c r="AP287" s="7" t="e">
        <f t="shared" si="108"/>
        <v>#DIV/0!</v>
      </c>
      <c r="AR287" s="7">
        <f t="shared" si="105"/>
        <v>5</v>
      </c>
      <c r="AV287" s="5">
        <f t="shared" si="106"/>
        <v>0</v>
      </c>
      <c r="AZ287" s="4">
        <f t="shared" si="107"/>
        <v>0</v>
      </c>
    </row>
    <row r="288" spans="7:52" ht="12.75" customHeight="1">
      <c r="G288" s="5" t="e">
        <f t="shared" si="94"/>
        <v>#DIV/0!</v>
      </c>
      <c r="P288" s="5" t="e">
        <f t="shared" si="95"/>
        <v>#DIV/0!</v>
      </c>
      <c r="Y288">
        <v>70</v>
      </c>
      <c r="AA288" s="5">
        <f t="shared" si="96"/>
        <v>0</v>
      </c>
      <c r="AC288" s="5">
        <f t="shared" si="97"/>
        <v>0</v>
      </c>
      <c r="AG288" s="6" t="e">
        <f t="shared" si="98"/>
        <v>#DIV/0!</v>
      </c>
      <c r="AH288" s="5" t="e">
        <f t="shared" si="99"/>
        <v>#DIV/0!</v>
      </c>
      <c r="AJ288" s="5">
        <f t="shared" si="100"/>
        <v>1</v>
      </c>
      <c r="AK288" s="5" t="e">
        <f t="shared" si="101"/>
        <v>#DIV/0!</v>
      </c>
      <c r="AL288" s="4">
        <f t="shared" si="102"/>
        <v>0</v>
      </c>
      <c r="AM288" s="8">
        <f t="shared" si="103"/>
        <v>0</v>
      </c>
      <c r="AO288" s="61">
        <f t="shared" si="104"/>
        <v>0</v>
      </c>
      <c r="AP288" s="7" t="e">
        <f t="shared" si="108"/>
        <v>#DIV/0!</v>
      </c>
      <c r="AR288" s="7">
        <f t="shared" si="105"/>
        <v>5</v>
      </c>
      <c r="AV288" s="5">
        <f t="shared" si="106"/>
        <v>0</v>
      </c>
      <c r="AZ288" s="4">
        <f t="shared" si="107"/>
        <v>0</v>
      </c>
    </row>
    <row r="289" spans="7:52" ht="12.75" customHeight="1">
      <c r="G289" s="5" t="e">
        <f t="shared" ref="G289:G320" si="109">100*(F289-E289)/F289</f>
        <v>#DIV/0!</v>
      </c>
      <c r="P289" s="5" t="e">
        <f t="shared" ref="P289:P320" si="110">O289/I289</f>
        <v>#DIV/0!</v>
      </c>
      <c r="Y289">
        <v>70</v>
      </c>
      <c r="AA289" s="5">
        <f t="shared" ref="AA289:AA320" si="111">IF(X289&lt;50,IF(Y289&gt;(2.3*X289),0,1),1)-IF(Z289&gt;Y289,1.7,0)</f>
        <v>0</v>
      </c>
      <c r="AC289" s="5">
        <f t="shared" ref="AC289:AC320" si="112">IF(AB289&gt;4,1,0)+IF(AB289&gt;10,0.7,0)</f>
        <v>0</v>
      </c>
      <c r="AG289" s="6" t="e">
        <f t="shared" ref="AG289:AG320" si="113">IF(G289&lt;52,0,0.7)+IF(G289&lt;34,0,0.7)+IF(G289&lt;1,0,0.7)+IF(P289&gt;14.56,0,1)+IF(R289&lt;9,0.5,0)+IF(R289&lt;33.8,0.5,0)+IF(R289&lt;50,0.5,0)+IF(R289&lt;80,0.5,0)+IF(S289=5,0,S289)+IF(V289&gt;0,1,-1)+IF(AE289&lt;10.56,0,1)-IF(AE289&lt;3,1,0)-IF(AE289&lt;1,1,0)</f>
        <v>#DIV/0!</v>
      </c>
      <c r="AH289" s="5" t="e">
        <f t="shared" ref="AH289:AH320" si="114">AG289+IF(X289&lt;1.35,0,1)+IF(Y289&lt;1.35,0,1)+IF(Y289&lt;0.7,-1,0)+AC289+AA289</f>
        <v>#DIV/0!</v>
      </c>
      <c r="AJ289" s="5">
        <f t="shared" si="100"/>
        <v>1</v>
      </c>
      <c r="AK289" s="5" t="e">
        <f t="shared" si="101"/>
        <v>#DIV/0!</v>
      </c>
      <c r="AL289" s="4">
        <f t="shared" si="102"/>
        <v>0</v>
      </c>
      <c r="AM289" s="8">
        <f t="shared" si="103"/>
        <v>0</v>
      </c>
      <c r="AO289" s="61">
        <f t="shared" si="104"/>
        <v>0</v>
      </c>
      <c r="AP289" s="7" t="e">
        <f t="shared" si="108"/>
        <v>#DIV/0!</v>
      </c>
      <c r="AR289" s="7">
        <f t="shared" si="105"/>
        <v>5</v>
      </c>
      <c r="AV289" s="5">
        <f t="shared" si="106"/>
        <v>0</v>
      </c>
      <c r="AZ289" s="4">
        <f t="shared" si="107"/>
        <v>0</v>
      </c>
    </row>
    <row r="290" spans="7:52" ht="12.75" customHeight="1">
      <c r="G290" s="5" t="e">
        <f t="shared" si="109"/>
        <v>#DIV/0!</v>
      </c>
      <c r="P290" s="5" t="e">
        <f t="shared" si="110"/>
        <v>#DIV/0!</v>
      </c>
      <c r="Y290">
        <v>70</v>
      </c>
      <c r="AA290" s="5">
        <f t="shared" si="111"/>
        <v>0</v>
      </c>
      <c r="AC290" s="5">
        <f t="shared" si="112"/>
        <v>0</v>
      </c>
      <c r="AG290" s="6" t="e">
        <f t="shared" si="113"/>
        <v>#DIV/0!</v>
      </c>
      <c r="AH290" s="5" t="e">
        <f t="shared" si="114"/>
        <v>#DIV/0!</v>
      </c>
      <c r="AJ290" s="5">
        <f t="shared" si="100"/>
        <v>1</v>
      </c>
      <c r="AK290" s="5" t="e">
        <f t="shared" si="101"/>
        <v>#DIV/0!</v>
      </c>
      <c r="AL290" s="4">
        <f t="shared" si="102"/>
        <v>0</v>
      </c>
      <c r="AM290" s="8">
        <f t="shared" si="103"/>
        <v>0</v>
      </c>
      <c r="AO290" s="61">
        <f t="shared" si="104"/>
        <v>0</v>
      </c>
      <c r="AP290" s="7" t="e">
        <f t="shared" si="108"/>
        <v>#DIV/0!</v>
      </c>
      <c r="AR290" s="7">
        <f t="shared" si="105"/>
        <v>5</v>
      </c>
      <c r="AV290" s="5">
        <f t="shared" si="106"/>
        <v>0</v>
      </c>
      <c r="AZ290" s="4">
        <f t="shared" si="107"/>
        <v>0</v>
      </c>
    </row>
    <row r="291" spans="7:52" ht="12.75" customHeight="1">
      <c r="G291" s="5" t="e">
        <f t="shared" si="109"/>
        <v>#DIV/0!</v>
      </c>
      <c r="P291" s="5" t="e">
        <f t="shared" si="110"/>
        <v>#DIV/0!</v>
      </c>
      <c r="Y291">
        <v>70</v>
      </c>
      <c r="AA291" s="5">
        <f t="shared" si="111"/>
        <v>0</v>
      </c>
      <c r="AC291" s="5">
        <f t="shared" si="112"/>
        <v>0</v>
      </c>
      <c r="AG291" s="6" t="e">
        <f t="shared" si="113"/>
        <v>#DIV/0!</v>
      </c>
      <c r="AH291" s="5" t="e">
        <f t="shared" si="114"/>
        <v>#DIV/0!</v>
      </c>
      <c r="AJ291" s="5">
        <f t="shared" si="100"/>
        <v>1</v>
      </c>
      <c r="AK291" s="5" t="e">
        <f t="shared" si="101"/>
        <v>#DIV/0!</v>
      </c>
      <c r="AL291" s="4">
        <f t="shared" si="102"/>
        <v>0</v>
      </c>
      <c r="AM291" s="8">
        <f t="shared" si="103"/>
        <v>0</v>
      </c>
      <c r="AO291" s="61">
        <f t="shared" si="104"/>
        <v>0</v>
      </c>
      <c r="AP291" s="7" t="e">
        <f t="shared" si="108"/>
        <v>#DIV/0!</v>
      </c>
      <c r="AR291" s="7">
        <f t="shared" si="105"/>
        <v>5</v>
      </c>
      <c r="AV291" s="5">
        <f t="shared" si="106"/>
        <v>0</v>
      </c>
      <c r="AZ291" s="4">
        <f t="shared" si="107"/>
        <v>0</v>
      </c>
    </row>
    <row r="292" spans="7:52" ht="12.75" customHeight="1">
      <c r="G292" s="5" t="e">
        <f t="shared" si="109"/>
        <v>#DIV/0!</v>
      </c>
      <c r="P292" s="5" t="e">
        <f t="shared" si="110"/>
        <v>#DIV/0!</v>
      </c>
      <c r="Y292">
        <v>70</v>
      </c>
      <c r="AA292" s="5">
        <f t="shared" si="111"/>
        <v>0</v>
      </c>
      <c r="AC292" s="5">
        <f t="shared" si="112"/>
        <v>0</v>
      </c>
      <c r="AG292" s="6" t="e">
        <f t="shared" si="113"/>
        <v>#DIV/0!</v>
      </c>
      <c r="AH292" s="5" t="e">
        <f t="shared" si="114"/>
        <v>#DIV/0!</v>
      </c>
      <c r="AJ292" s="5">
        <f t="shared" si="100"/>
        <v>1</v>
      </c>
      <c r="AK292" s="5" t="e">
        <f t="shared" si="101"/>
        <v>#DIV/0!</v>
      </c>
      <c r="AL292" s="4">
        <f t="shared" si="102"/>
        <v>0</v>
      </c>
      <c r="AM292" s="8">
        <f t="shared" si="103"/>
        <v>0</v>
      </c>
      <c r="AO292" s="61">
        <f t="shared" si="104"/>
        <v>0</v>
      </c>
      <c r="AP292" s="7" t="e">
        <f t="shared" si="108"/>
        <v>#DIV/0!</v>
      </c>
      <c r="AR292" s="7">
        <f t="shared" si="105"/>
        <v>5</v>
      </c>
      <c r="AV292" s="5">
        <f t="shared" si="106"/>
        <v>0</v>
      </c>
      <c r="AZ292" s="4">
        <f t="shared" si="107"/>
        <v>0</v>
      </c>
    </row>
    <row r="293" spans="7:52" ht="12.75" customHeight="1">
      <c r="G293" s="5" t="e">
        <f t="shared" si="109"/>
        <v>#DIV/0!</v>
      </c>
      <c r="P293" s="5" t="e">
        <f t="shared" si="110"/>
        <v>#DIV/0!</v>
      </c>
      <c r="Y293">
        <v>70</v>
      </c>
      <c r="AA293" s="5">
        <f t="shared" si="111"/>
        <v>0</v>
      </c>
      <c r="AC293" s="5">
        <f t="shared" si="112"/>
        <v>0</v>
      </c>
      <c r="AG293" s="6" t="e">
        <f t="shared" si="113"/>
        <v>#DIV/0!</v>
      </c>
      <c r="AH293" s="5" t="e">
        <f t="shared" si="114"/>
        <v>#DIV/0!</v>
      </c>
      <c r="AJ293" s="5">
        <f t="shared" si="100"/>
        <v>1</v>
      </c>
      <c r="AK293" s="5" t="e">
        <f t="shared" si="101"/>
        <v>#DIV/0!</v>
      </c>
      <c r="AL293" s="4">
        <f t="shared" si="102"/>
        <v>0</v>
      </c>
      <c r="AM293" s="8">
        <f t="shared" si="103"/>
        <v>0</v>
      </c>
      <c r="AO293" s="61">
        <f t="shared" si="104"/>
        <v>0</v>
      </c>
      <c r="AP293" s="7" t="e">
        <f t="shared" si="108"/>
        <v>#DIV/0!</v>
      </c>
      <c r="AR293" s="7">
        <f t="shared" si="105"/>
        <v>5</v>
      </c>
      <c r="AV293" s="5">
        <f t="shared" si="106"/>
        <v>0</v>
      </c>
      <c r="AZ293" s="4">
        <f t="shared" si="107"/>
        <v>0</v>
      </c>
    </row>
    <row r="294" spans="7:52" ht="12.75" customHeight="1">
      <c r="G294" s="5" t="e">
        <f t="shared" si="109"/>
        <v>#DIV/0!</v>
      </c>
      <c r="P294" s="5" t="e">
        <f t="shared" si="110"/>
        <v>#DIV/0!</v>
      </c>
      <c r="Y294">
        <v>70</v>
      </c>
      <c r="AA294" s="5">
        <f t="shared" si="111"/>
        <v>0</v>
      </c>
      <c r="AC294" s="5">
        <f t="shared" si="112"/>
        <v>0</v>
      </c>
      <c r="AG294" s="6" t="e">
        <f t="shared" si="113"/>
        <v>#DIV/0!</v>
      </c>
      <c r="AH294" s="5" t="e">
        <f t="shared" si="114"/>
        <v>#DIV/0!</v>
      </c>
      <c r="AJ294" s="5">
        <f t="shared" si="100"/>
        <v>1</v>
      </c>
      <c r="AK294" s="5" t="e">
        <f t="shared" si="101"/>
        <v>#DIV/0!</v>
      </c>
      <c r="AL294" s="4">
        <f t="shared" si="102"/>
        <v>0</v>
      </c>
      <c r="AM294" s="8">
        <f t="shared" si="103"/>
        <v>0</v>
      </c>
      <c r="AO294" s="61">
        <f t="shared" si="104"/>
        <v>0</v>
      </c>
      <c r="AP294" s="7" t="e">
        <f t="shared" si="108"/>
        <v>#DIV/0!</v>
      </c>
      <c r="AR294" s="7">
        <f t="shared" si="105"/>
        <v>5</v>
      </c>
      <c r="AV294" s="5">
        <f t="shared" si="106"/>
        <v>0</v>
      </c>
      <c r="AZ294" s="4">
        <f t="shared" si="107"/>
        <v>0</v>
      </c>
    </row>
    <row r="295" spans="7:52" ht="12.75" customHeight="1">
      <c r="G295" s="5" t="e">
        <f t="shared" si="109"/>
        <v>#DIV/0!</v>
      </c>
      <c r="P295" s="5" t="e">
        <f t="shared" si="110"/>
        <v>#DIV/0!</v>
      </c>
      <c r="Y295">
        <v>70</v>
      </c>
      <c r="AA295" s="5">
        <f t="shared" si="111"/>
        <v>0</v>
      </c>
      <c r="AC295" s="5">
        <f t="shared" si="112"/>
        <v>0</v>
      </c>
      <c r="AG295" s="6" t="e">
        <f t="shared" si="113"/>
        <v>#DIV/0!</v>
      </c>
      <c r="AH295" s="5" t="e">
        <f t="shared" si="114"/>
        <v>#DIV/0!</v>
      </c>
      <c r="AJ295" s="5">
        <f t="shared" si="100"/>
        <v>1</v>
      </c>
      <c r="AK295" s="5" t="e">
        <f t="shared" si="101"/>
        <v>#DIV/0!</v>
      </c>
      <c r="AL295" s="4">
        <f t="shared" si="102"/>
        <v>0</v>
      </c>
      <c r="AM295" s="8">
        <f t="shared" si="103"/>
        <v>0</v>
      </c>
      <c r="AO295" s="61">
        <f t="shared" si="104"/>
        <v>0</v>
      </c>
      <c r="AP295" s="7" t="e">
        <f t="shared" si="108"/>
        <v>#DIV/0!</v>
      </c>
      <c r="AR295" s="7">
        <f t="shared" si="105"/>
        <v>5</v>
      </c>
      <c r="AV295" s="5">
        <f t="shared" si="106"/>
        <v>0</v>
      </c>
      <c r="AZ295" s="4">
        <f t="shared" si="107"/>
        <v>0</v>
      </c>
    </row>
    <row r="296" spans="7:52" ht="12.75" customHeight="1">
      <c r="G296" s="5" t="e">
        <f t="shared" si="109"/>
        <v>#DIV/0!</v>
      </c>
      <c r="P296" s="5" t="e">
        <f t="shared" si="110"/>
        <v>#DIV/0!</v>
      </c>
      <c r="Y296">
        <v>70</v>
      </c>
      <c r="AA296" s="5">
        <f t="shared" si="111"/>
        <v>0</v>
      </c>
      <c r="AC296" s="5">
        <f t="shared" si="112"/>
        <v>0</v>
      </c>
      <c r="AG296" s="6" t="e">
        <f t="shared" si="113"/>
        <v>#DIV/0!</v>
      </c>
      <c r="AH296" s="5" t="e">
        <f t="shared" si="114"/>
        <v>#DIV/0!</v>
      </c>
      <c r="AJ296" s="5">
        <f t="shared" si="100"/>
        <v>1</v>
      </c>
      <c r="AK296" s="5" t="e">
        <f t="shared" si="101"/>
        <v>#DIV/0!</v>
      </c>
      <c r="AL296" s="4">
        <f t="shared" si="102"/>
        <v>0</v>
      </c>
      <c r="AM296" s="8">
        <f t="shared" si="103"/>
        <v>0</v>
      </c>
      <c r="AO296" s="61">
        <f t="shared" si="104"/>
        <v>0</v>
      </c>
      <c r="AP296" s="7" t="e">
        <f t="shared" si="108"/>
        <v>#DIV/0!</v>
      </c>
      <c r="AR296" s="7">
        <f t="shared" si="105"/>
        <v>5</v>
      </c>
      <c r="AV296" s="5">
        <f t="shared" si="106"/>
        <v>0</v>
      </c>
      <c r="AZ296" s="4">
        <f t="shared" si="107"/>
        <v>0</v>
      </c>
    </row>
    <row r="297" spans="7:52" ht="12.75" customHeight="1">
      <c r="G297" s="5" t="e">
        <f t="shared" si="109"/>
        <v>#DIV/0!</v>
      </c>
      <c r="P297" s="5" t="e">
        <f t="shared" si="110"/>
        <v>#DIV/0!</v>
      </c>
      <c r="Y297">
        <v>70</v>
      </c>
      <c r="AA297" s="5">
        <f t="shared" si="111"/>
        <v>0</v>
      </c>
      <c r="AC297" s="5">
        <f t="shared" si="112"/>
        <v>0</v>
      </c>
      <c r="AG297" s="6" t="e">
        <f t="shared" si="113"/>
        <v>#DIV/0!</v>
      </c>
      <c r="AH297" s="5" t="e">
        <f t="shared" si="114"/>
        <v>#DIV/0!</v>
      </c>
      <c r="AJ297" s="5">
        <f t="shared" si="100"/>
        <v>1</v>
      </c>
      <c r="AK297" s="5" t="e">
        <f t="shared" si="101"/>
        <v>#DIV/0!</v>
      </c>
      <c r="AL297" s="4">
        <f t="shared" si="102"/>
        <v>0</v>
      </c>
      <c r="AM297" s="8">
        <f t="shared" si="103"/>
        <v>0</v>
      </c>
      <c r="AO297" s="61">
        <f t="shared" si="104"/>
        <v>0</v>
      </c>
      <c r="AP297" s="7" t="e">
        <f t="shared" si="108"/>
        <v>#DIV/0!</v>
      </c>
      <c r="AR297" s="7">
        <f t="shared" si="105"/>
        <v>5</v>
      </c>
      <c r="AV297" s="5">
        <f t="shared" si="106"/>
        <v>0</v>
      </c>
      <c r="AZ297" s="4">
        <f t="shared" si="107"/>
        <v>0</v>
      </c>
    </row>
    <row r="298" spans="7:52" ht="12.75" customHeight="1">
      <c r="G298" s="5" t="e">
        <f t="shared" si="109"/>
        <v>#DIV/0!</v>
      </c>
      <c r="P298" s="5" t="e">
        <f t="shared" si="110"/>
        <v>#DIV/0!</v>
      </c>
      <c r="Y298">
        <v>70</v>
      </c>
      <c r="AA298" s="5">
        <f t="shared" si="111"/>
        <v>0</v>
      </c>
      <c r="AC298" s="5">
        <f t="shared" si="112"/>
        <v>0</v>
      </c>
      <c r="AG298" s="6" t="e">
        <f t="shared" si="113"/>
        <v>#DIV/0!</v>
      </c>
      <c r="AH298" s="5" t="e">
        <f t="shared" si="114"/>
        <v>#DIV/0!</v>
      </c>
      <c r="AJ298" s="5">
        <f t="shared" si="100"/>
        <v>1</v>
      </c>
      <c r="AK298" s="5" t="e">
        <f t="shared" si="101"/>
        <v>#DIV/0!</v>
      </c>
      <c r="AL298" s="4">
        <f t="shared" si="102"/>
        <v>0</v>
      </c>
      <c r="AM298" s="8">
        <f t="shared" si="103"/>
        <v>0</v>
      </c>
      <c r="AO298" s="61">
        <f t="shared" si="104"/>
        <v>0</v>
      </c>
      <c r="AP298" s="7" t="e">
        <f t="shared" si="108"/>
        <v>#DIV/0!</v>
      </c>
      <c r="AR298" s="7">
        <f t="shared" si="105"/>
        <v>5</v>
      </c>
      <c r="AV298" s="5">
        <f t="shared" si="106"/>
        <v>0</v>
      </c>
      <c r="AZ298" s="4">
        <f t="shared" si="107"/>
        <v>0</v>
      </c>
    </row>
    <row r="299" spans="7:52" ht="12.75" customHeight="1">
      <c r="G299" s="5" t="e">
        <f t="shared" si="109"/>
        <v>#DIV/0!</v>
      </c>
      <c r="P299" s="5" t="e">
        <f t="shared" si="110"/>
        <v>#DIV/0!</v>
      </c>
      <c r="Y299">
        <v>70</v>
      </c>
      <c r="AA299" s="5">
        <f t="shared" si="111"/>
        <v>0</v>
      </c>
      <c r="AC299" s="5">
        <f t="shared" si="112"/>
        <v>0</v>
      </c>
      <c r="AG299" s="6" t="e">
        <f t="shared" si="113"/>
        <v>#DIV/0!</v>
      </c>
      <c r="AH299" s="5" t="e">
        <f t="shared" si="114"/>
        <v>#DIV/0!</v>
      </c>
      <c r="AJ299" s="5">
        <f t="shared" si="100"/>
        <v>1</v>
      </c>
      <c r="AK299" s="5" t="e">
        <f t="shared" si="101"/>
        <v>#DIV/0!</v>
      </c>
      <c r="AL299" s="4">
        <f t="shared" si="102"/>
        <v>0</v>
      </c>
      <c r="AM299" s="8">
        <f t="shared" si="103"/>
        <v>0</v>
      </c>
      <c r="AO299" s="61">
        <f t="shared" si="104"/>
        <v>0</v>
      </c>
      <c r="AP299" s="7" t="e">
        <f t="shared" si="108"/>
        <v>#DIV/0!</v>
      </c>
      <c r="AR299" s="7">
        <f t="shared" si="105"/>
        <v>5</v>
      </c>
      <c r="AV299" s="5">
        <f t="shared" si="106"/>
        <v>0</v>
      </c>
      <c r="AZ299" s="4">
        <f t="shared" si="107"/>
        <v>0</v>
      </c>
    </row>
    <row r="300" spans="7:52" ht="12.75" customHeight="1">
      <c r="G300" s="5" t="e">
        <f t="shared" si="109"/>
        <v>#DIV/0!</v>
      </c>
      <c r="P300" s="5" t="e">
        <f t="shared" si="110"/>
        <v>#DIV/0!</v>
      </c>
      <c r="Y300">
        <v>70</v>
      </c>
      <c r="AA300" s="5">
        <f t="shared" si="111"/>
        <v>0</v>
      </c>
      <c r="AC300" s="5">
        <f t="shared" si="112"/>
        <v>0</v>
      </c>
      <c r="AG300" s="6" t="e">
        <f t="shared" si="113"/>
        <v>#DIV/0!</v>
      </c>
      <c r="AH300" s="5" t="e">
        <f t="shared" si="114"/>
        <v>#DIV/0!</v>
      </c>
      <c r="AJ300" s="5">
        <f t="shared" si="100"/>
        <v>1</v>
      </c>
      <c r="AK300" s="5" t="e">
        <f t="shared" si="101"/>
        <v>#DIV/0!</v>
      </c>
      <c r="AL300" s="4">
        <f t="shared" si="102"/>
        <v>0</v>
      </c>
      <c r="AM300" s="8">
        <f t="shared" si="103"/>
        <v>0</v>
      </c>
      <c r="AO300" s="61">
        <f t="shared" si="104"/>
        <v>0</v>
      </c>
      <c r="AP300" s="7" t="e">
        <f t="shared" si="108"/>
        <v>#DIV/0!</v>
      </c>
      <c r="AR300" s="7">
        <f t="shared" si="105"/>
        <v>5</v>
      </c>
      <c r="AV300" s="5">
        <f t="shared" si="106"/>
        <v>0</v>
      </c>
      <c r="AZ300" s="4">
        <f t="shared" si="107"/>
        <v>0</v>
      </c>
    </row>
    <row r="301" spans="7:52" ht="12.75" customHeight="1">
      <c r="G301" s="5" t="e">
        <f t="shared" si="109"/>
        <v>#DIV/0!</v>
      </c>
      <c r="P301" s="5" t="e">
        <f t="shared" si="110"/>
        <v>#DIV/0!</v>
      </c>
      <c r="Y301">
        <v>70</v>
      </c>
      <c r="AA301" s="5">
        <f t="shared" si="111"/>
        <v>0</v>
      </c>
      <c r="AC301" s="5">
        <f t="shared" si="112"/>
        <v>0</v>
      </c>
      <c r="AG301" s="6" t="e">
        <f t="shared" si="113"/>
        <v>#DIV/0!</v>
      </c>
      <c r="AH301" s="5" t="e">
        <f t="shared" si="114"/>
        <v>#DIV/0!</v>
      </c>
      <c r="AJ301" s="5">
        <f t="shared" si="100"/>
        <v>1</v>
      </c>
      <c r="AK301" s="5" t="e">
        <f t="shared" si="101"/>
        <v>#DIV/0!</v>
      </c>
      <c r="AL301" s="4">
        <f t="shared" si="102"/>
        <v>0</v>
      </c>
      <c r="AM301" s="8">
        <f t="shared" si="103"/>
        <v>0</v>
      </c>
      <c r="AO301" s="61">
        <f t="shared" si="104"/>
        <v>0</v>
      </c>
      <c r="AP301" s="7" t="e">
        <f t="shared" si="108"/>
        <v>#DIV/0!</v>
      </c>
      <c r="AR301" s="7">
        <f t="shared" si="105"/>
        <v>5</v>
      </c>
      <c r="AV301" s="5">
        <f t="shared" si="106"/>
        <v>0</v>
      </c>
      <c r="AZ301" s="4">
        <f t="shared" si="107"/>
        <v>0</v>
      </c>
    </row>
    <row r="302" spans="7:52" ht="12.75" customHeight="1">
      <c r="G302" s="5" t="e">
        <f t="shared" si="109"/>
        <v>#DIV/0!</v>
      </c>
      <c r="P302" s="5" t="e">
        <f t="shared" si="110"/>
        <v>#DIV/0!</v>
      </c>
      <c r="Y302">
        <v>70</v>
      </c>
      <c r="AA302" s="5">
        <f t="shared" si="111"/>
        <v>0</v>
      </c>
      <c r="AC302" s="5">
        <f t="shared" si="112"/>
        <v>0</v>
      </c>
      <c r="AG302" s="6" t="e">
        <f t="shared" si="113"/>
        <v>#DIV/0!</v>
      </c>
      <c r="AH302" s="5" t="e">
        <f t="shared" si="114"/>
        <v>#DIV/0!</v>
      </c>
      <c r="AJ302" s="5">
        <f t="shared" si="100"/>
        <v>1</v>
      </c>
      <c r="AK302" s="5" t="e">
        <f t="shared" si="101"/>
        <v>#DIV/0!</v>
      </c>
      <c r="AL302" s="4">
        <f t="shared" si="102"/>
        <v>0</v>
      </c>
      <c r="AM302" s="8">
        <f t="shared" si="103"/>
        <v>0</v>
      </c>
      <c r="AO302" s="61">
        <f t="shared" si="104"/>
        <v>0</v>
      </c>
      <c r="AP302" s="7" t="e">
        <f t="shared" si="108"/>
        <v>#DIV/0!</v>
      </c>
      <c r="AR302" s="7">
        <f t="shared" si="105"/>
        <v>5</v>
      </c>
      <c r="AV302" s="5">
        <f t="shared" si="106"/>
        <v>0</v>
      </c>
      <c r="AZ302" s="4">
        <f t="shared" si="107"/>
        <v>0</v>
      </c>
    </row>
    <row r="303" spans="7:52" ht="12.75" customHeight="1">
      <c r="G303" s="5" t="e">
        <f t="shared" si="109"/>
        <v>#DIV/0!</v>
      </c>
      <c r="P303" s="5" t="e">
        <f t="shared" si="110"/>
        <v>#DIV/0!</v>
      </c>
      <c r="Y303">
        <v>70</v>
      </c>
      <c r="AA303" s="5">
        <f t="shared" si="111"/>
        <v>0</v>
      </c>
      <c r="AC303" s="5">
        <f t="shared" si="112"/>
        <v>0</v>
      </c>
      <c r="AG303" s="6" t="e">
        <f t="shared" si="113"/>
        <v>#DIV/0!</v>
      </c>
      <c r="AH303" s="5" t="e">
        <f t="shared" si="114"/>
        <v>#DIV/0!</v>
      </c>
      <c r="AJ303" s="5">
        <f t="shared" si="100"/>
        <v>1</v>
      </c>
      <c r="AK303" s="5" t="e">
        <f t="shared" si="101"/>
        <v>#DIV/0!</v>
      </c>
      <c r="AL303" s="4">
        <f t="shared" si="102"/>
        <v>0</v>
      </c>
      <c r="AM303" s="8">
        <f t="shared" si="103"/>
        <v>0</v>
      </c>
      <c r="AO303" s="61">
        <f t="shared" si="104"/>
        <v>0</v>
      </c>
      <c r="AP303" s="7" t="e">
        <f t="shared" si="108"/>
        <v>#DIV/0!</v>
      </c>
      <c r="AR303" s="7">
        <f t="shared" si="105"/>
        <v>5</v>
      </c>
      <c r="AV303" s="5">
        <f t="shared" si="106"/>
        <v>0</v>
      </c>
      <c r="AZ303" s="4">
        <f t="shared" si="107"/>
        <v>0</v>
      </c>
    </row>
    <row r="304" spans="7:52" ht="12.75" customHeight="1">
      <c r="G304" s="5" t="e">
        <f t="shared" si="109"/>
        <v>#DIV/0!</v>
      </c>
      <c r="P304" s="5" t="e">
        <f t="shared" si="110"/>
        <v>#DIV/0!</v>
      </c>
      <c r="Y304">
        <v>70</v>
      </c>
      <c r="AA304" s="5">
        <f t="shared" si="111"/>
        <v>0</v>
      </c>
      <c r="AC304" s="5">
        <f t="shared" si="112"/>
        <v>0</v>
      </c>
      <c r="AG304" s="6" t="e">
        <f t="shared" si="113"/>
        <v>#DIV/0!</v>
      </c>
      <c r="AH304" s="5" t="e">
        <f t="shared" si="114"/>
        <v>#DIV/0!</v>
      </c>
      <c r="AJ304" s="5">
        <f t="shared" si="100"/>
        <v>1</v>
      </c>
      <c r="AK304" s="5" t="e">
        <f t="shared" si="101"/>
        <v>#DIV/0!</v>
      </c>
      <c r="AL304" s="4">
        <f t="shared" si="102"/>
        <v>0</v>
      </c>
      <c r="AM304" s="8">
        <f t="shared" si="103"/>
        <v>0</v>
      </c>
      <c r="AO304" s="61">
        <f t="shared" si="104"/>
        <v>0</v>
      </c>
      <c r="AP304" s="7" t="e">
        <f t="shared" si="108"/>
        <v>#DIV/0!</v>
      </c>
      <c r="AR304" s="7">
        <f t="shared" si="105"/>
        <v>5</v>
      </c>
      <c r="AV304" s="5">
        <f t="shared" si="106"/>
        <v>0</v>
      </c>
      <c r="AZ304" s="4">
        <f t="shared" si="107"/>
        <v>0</v>
      </c>
    </row>
    <row r="305" spans="7:52" ht="12.75" customHeight="1">
      <c r="G305" s="5" t="e">
        <f t="shared" si="109"/>
        <v>#DIV/0!</v>
      </c>
      <c r="P305" s="5" t="e">
        <f t="shared" si="110"/>
        <v>#DIV/0!</v>
      </c>
      <c r="Y305">
        <v>70</v>
      </c>
      <c r="AA305" s="5">
        <f t="shared" si="111"/>
        <v>0</v>
      </c>
      <c r="AC305" s="5">
        <f t="shared" si="112"/>
        <v>0</v>
      </c>
      <c r="AG305" s="6" t="e">
        <f t="shared" si="113"/>
        <v>#DIV/0!</v>
      </c>
      <c r="AH305" s="5" t="e">
        <f t="shared" si="114"/>
        <v>#DIV/0!</v>
      </c>
      <c r="AJ305" s="5">
        <f t="shared" si="100"/>
        <v>1</v>
      </c>
      <c r="AK305" s="5" t="e">
        <f t="shared" si="101"/>
        <v>#DIV/0!</v>
      </c>
      <c r="AL305" s="4">
        <f t="shared" si="102"/>
        <v>0</v>
      </c>
      <c r="AM305" s="8">
        <f t="shared" si="103"/>
        <v>0</v>
      </c>
      <c r="AO305" s="61">
        <f t="shared" si="104"/>
        <v>0</v>
      </c>
      <c r="AP305" s="7" t="e">
        <f t="shared" si="108"/>
        <v>#DIV/0!</v>
      </c>
      <c r="AR305" s="7">
        <f t="shared" si="105"/>
        <v>5</v>
      </c>
      <c r="AV305" s="5">
        <f t="shared" si="106"/>
        <v>0</v>
      </c>
      <c r="AZ305" s="4">
        <f t="shared" si="107"/>
        <v>0</v>
      </c>
    </row>
    <row r="306" spans="7:52" ht="12.75" customHeight="1">
      <c r="G306" s="5" t="e">
        <f t="shared" si="109"/>
        <v>#DIV/0!</v>
      </c>
      <c r="P306" s="5" t="e">
        <f t="shared" si="110"/>
        <v>#DIV/0!</v>
      </c>
      <c r="Y306">
        <v>70</v>
      </c>
      <c r="AA306" s="5">
        <f t="shared" si="111"/>
        <v>0</v>
      </c>
      <c r="AC306" s="5">
        <f t="shared" si="112"/>
        <v>0</v>
      </c>
      <c r="AG306" s="6" t="e">
        <f t="shared" si="113"/>
        <v>#DIV/0!</v>
      </c>
      <c r="AH306" s="5" t="e">
        <f t="shared" si="114"/>
        <v>#DIV/0!</v>
      </c>
      <c r="AJ306" s="5">
        <f t="shared" si="100"/>
        <v>1</v>
      </c>
      <c r="AK306" s="5" t="e">
        <f t="shared" si="101"/>
        <v>#DIV/0!</v>
      </c>
      <c r="AL306" s="4">
        <f t="shared" si="102"/>
        <v>0</v>
      </c>
      <c r="AM306" s="8">
        <f t="shared" si="103"/>
        <v>0</v>
      </c>
      <c r="AO306" s="61">
        <f t="shared" si="104"/>
        <v>0</v>
      </c>
      <c r="AP306" s="7" t="e">
        <f t="shared" si="108"/>
        <v>#DIV/0!</v>
      </c>
      <c r="AR306" s="7">
        <f t="shared" si="105"/>
        <v>5</v>
      </c>
      <c r="AV306" s="5">
        <f t="shared" si="106"/>
        <v>0</v>
      </c>
      <c r="AZ306" s="4">
        <f t="shared" si="107"/>
        <v>0</v>
      </c>
    </row>
    <row r="307" spans="7:52" ht="12.75" customHeight="1">
      <c r="G307" s="5" t="e">
        <f t="shared" si="109"/>
        <v>#DIV/0!</v>
      </c>
      <c r="P307" s="5" t="e">
        <f t="shared" si="110"/>
        <v>#DIV/0!</v>
      </c>
      <c r="Y307">
        <v>70</v>
      </c>
      <c r="AA307" s="5">
        <f t="shared" si="111"/>
        <v>0</v>
      </c>
      <c r="AC307" s="5">
        <f t="shared" si="112"/>
        <v>0</v>
      </c>
      <c r="AG307" s="6" t="e">
        <f t="shared" si="113"/>
        <v>#DIV/0!</v>
      </c>
      <c r="AH307" s="5" t="e">
        <f t="shared" si="114"/>
        <v>#DIV/0!</v>
      </c>
      <c r="AJ307" s="5">
        <f t="shared" si="100"/>
        <v>1</v>
      </c>
      <c r="AK307" s="5" t="e">
        <f t="shared" si="101"/>
        <v>#DIV/0!</v>
      </c>
      <c r="AL307" s="4">
        <f t="shared" si="102"/>
        <v>0</v>
      </c>
      <c r="AM307" s="8">
        <f t="shared" si="103"/>
        <v>0</v>
      </c>
      <c r="AO307" s="61">
        <f t="shared" si="104"/>
        <v>0</v>
      </c>
      <c r="AP307" s="7" t="e">
        <f t="shared" si="108"/>
        <v>#DIV/0!</v>
      </c>
      <c r="AR307" s="7">
        <f t="shared" si="105"/>
        <v>5</v>
      </c>
      <c r="AV307" s="5">
        <f t="shared" si="106"/>
        <v>0</v>
      </c>
      <c r="AZ307" s="4">
        <f t="shared" ref="AZ307:AZ338" si="115">IF(AY307&lt;-50,-4,IF(AY307&lt;-20,-2,IF(AY307&lt;0,-1,IF(AY307=0,0,IF(AY307&lt;10,1.5,IF(AY307&lt;20,2,IF(AY307&gt;19,2.5,2.5)))))))</f>
        <v>0</v>
      </c>
    </row>
    <row r="308" spans="7:52" ht="12.75" customHeight="1">
      <c r="G308" s="5" t="e">
        <f t="shared" si="109"/>
        <v>#DIV/0!</v>
      </c>
      <c r="P308" s="5" t="e">
        <f t="shared" si="110"/>
        <v>#DIV/0!</v>
      </c>
      <c r="Y308">
        <v>70</v>
      </c>
      <c r="AA308" s="5">
        <f t="shared" si="111"/>
        <v>0</v>
      </c>
      <c r="AC308" s="5">
        <f t="shared" si="112"/>
        <v>0</v>
      </c>
      <c r="AG308" s="6" t="e">
        <f t="shared" si="113"/>
        <v>#DIV/0!</v>
      </c>
      <c r="AH308" s="5" t="e">
        <f t="shared" si="114"/>
        <v>#DIV/0!</v>
      </c>
      <c r="AJ308" s="5">
        <f t="shared" si="100"/>
        <v>1</v>
      </c>
      <c r="AK308" s="5" t="e">
        <f t="shared" si="101"/>
        <v>#DIV/0!</v>
      </c>
      <c r="AL308" s="4">
        <f t="shared" si="102"/>
        <v>0</v>
      </c>
      <c r="AM308" s="8">
        <f t="shared" si="103"/>
        <v>0</v>
      </c>
      <c r="AO308" s="61">
        <f t="shared" si="104"/>
        <v>0</v>
      </c>
      <c r="AP308" s="7" t="e">
        <f t="shared" si="108"/>
        <v>#DIV/0!</v>
      </c>
      <c r="AR308" s="7">
        <f t="shared" si="105"/>
        <v>5</v>
      </c>
      <c r="AV308" s="5">
        <f t="shared" si="106"/>
        <v>0</v>
      </c>
      <c r="AZ308" s="4">
        <f t="shared" si="115"/>
        <v>0</v>
      </c>
    </row>
    <row r="309" spans="7:52" ht="12.75" customHeight="1">
      <c r="G309" s="5" t="e">
        <f t="shared" si="109"/>
        <v>#DIV/0!</v>
      </c>
      <c r="P309" s="5" t="e">
        <f t="shared" si="110"/>
        <v>#DIV/0!</v>
      </c>
      <c r="Y309">
        <v>70</v>
      </c>
      <c r="AA309" s="5">
        <f t="shared" si="111"/>
        <v>0</v>
      </c>
      <c r="AC309" s="5">
        <f t="shared" si="112"/>
        <v>0</v>
      </c>
      <c r="AG309" s="6" t="e">
        <f t="shared" si="113"/>
        <v>#DIV/0!</v>
      </c>
      <c r="AH309" s="5" t="e">
        <f t="shared" si="114"/>
        <v>#DIV/0!</v>
      </c>
      <c r="AJ309" s="5">
        <f t="shared" si="100"/>
        <v>1</v>
      </c>
      <c r="AK309" s="5" t="e">
        <f t="shared" si="101"/>
        <v>#DIV/0!</v>
      </c>
      <c r="AL309" s="4">
        <f t="shared" si="102"/>
        <v>0</v>
      </c>
      <c r="AM309" s="8">
        <f t="shared" si="103"/>
        <v>0</v>
      </c>
      <c r="AO309" s="61">
        <f t="shared" si="104"/>
        <v>0</v>
      </c>
      <c r="AP309" s="7" t="e">
        <f t="shared" ref="AP309:AP340" si="116">IF(AK309&gt;13.93,IF(Z309&lt;140,IF(Z309&lt;35,IF(Z309&lt;6,3,2),1),0),0)</f>
        <v>#DIV/0!</v>
      </c>
      <c r="AR309" s="7">
        <f t="shared" si="105"/>
        <v>5</v>
      </c>
      <c r="AV309" s="5">
        <f t="shared" si="106"/>
        <v>0</v>
      </c>
      <c r="AZ309" s="4">
        <f t="shared" si="115"/>
        <v>0</v>
      </c>
    </row>
    <row r="310" spans="7:52" ht="12.75" customHeight="1">
      <c r="G310" s="5" t="e">
        <f t="shared" si="109"/>
        <v>#DIV/0!</v>
      </c>
      <c r="P310" s="5" t="e">
        <f t="shared" si="110"/>
        <v>#DIV/0!</v>
      </c>
      <c r="Y310">
        <v>70</v>
      </c>
      <c r="AA310" s="5">
        <f t="shared" si="111"/>
        <v>0</v>
      </c>
      <c r="AC310" s="5">
        <f t="shared" si="112"/>
        <v>0</v>
      </c>
      <c r="AG310" s="6" t="e">
        <f t="shared" si="113"/>
        <v>#DIV/0!</v>
      </c>
      <c r="AH310" s="5" t="e">
        <f t="shared" si="114"/>
        <v>#DIV/0!</v>
      </c>
      <c r="AJ310" s="5">
        <f t="shared" si="100"/>
        <v>1</v>
      </c>
      <c r="AK310" s="5" t="e">
        <f t="shared" si="101"/>
        <v>#DIV/0!</v>
      </c>
      <c r="AL310" s="4">
        <f t="shared" si="102"/>
        <v>0</v>
      </c>
      <c r="AM310" s="8">
        <f t="shared" si="103"/>
        <v>0</v>
      </c>
      <c r="AO310" s="61">
        <f t="shared" si="104"/>
        <v>0</v>
      </c>
      <c r="AP310" s="7" t="e">
        <f t="shared" si="116"/>
        <v>#DIV/0!</v>
      </c>
      <c r="AR310" s="7">
        <f t="shared" si="105"/>
        <v>5</v>
      </c>
      <c r="AV310" s="5">
        <f t="shared" si="106"/>
        <v>0</v>
      </c>
      <c r="AZ310" s="4">
        <f t="shared" si="115"/>
        <v>0</v>
      </c>
    </row>
    <row r="311" spans="7:52" ht="12.75" customHeight="1">
      <c r="G311" s="5" t="e">
        <f t="shared" si="109"/>
        <v>#DIV/0!</v>
      </c>
      <c r="P311" s="5" t="e">
        <f t="shared" si="110"/>
        <v>#DIV/0!</v>
      </c>
      <c r="Y311">
        <v>70</v>
      </c>
      <c r="AA311" s="5">
        <f t="shared" si="111"/>
        <v>0</v>
      </c>
      <c r="AC311" s="5">
        <f t="shared" si="112"/>
        <v>0</v>
      </c>
      <c r="AG311" s="6" t="e">
        <f t="shared" si="113"/>
        <v>#DIV/0!</v>
      </c>
      <c r="AH311" s="5" t="e">
        <f t="shared" si="114"/>
        <v>#DIV/0!</v>
      </c>
      <c r="AJ311" s="5">
        <f t="shared" si="100"/>
        <v>1</v>
      </c>
      <c r="AK311" s="5" t="e">
        <f t="shared" si="101"/>
        <v>#DIV/0!</v>
      </c>
      <c r="AL311" s="4">
        <f t="shared" si="102"/>
        <v>0</v>
      </c>
      <c r="AM311" s="8">
        <f t="shared" si="103"/>
        <v>0</v>
      </c>
      <c r="AO311" s="61">
        <f t="shared" si="104"/>
        <v>0</v>
      </c>
      <c r="AP311" s="7" t="e">
        <f t="shared" si="116"/>
        <v>#DIV/0!</v>
      </c>
      <c r="AR311" s="7">
        <f t="shared" si="105"/>
        <v>5</v>
      </c>
      <c r="AV311" s="5">
        <f t="shared" si="106"/>
        <v>0</v>
      </c>
      <c r="AZ311" s="4">
        <f t="shared" si="115"/>
        <v>0</v>
      </c>
    </row>
    <row r="312" spans="7:52" ht="12.75" customHeight="1">
      <c r="G312" s="5" t="e">
        <f t="shared" si="109"/>
        <v>#DIV/0!</v>
      </c>
      <c r="P312" s="5" t="e">
        <f t="shared" si="110"/>
        <v>#DIV/0!</v>
      </c>
      <c r="Y312">
        <v>70</v>
      </c>
      <c r="AA312" s="5">
        <f t="shared" si="111"/>
        <v>0</v>
      </c>
      <c r="AC312" s="5">
        <f t="shared" si="112"/>
        <v>0</v>
      </c>
      <c r="AG312" s="6" t="e">
        <f t="shared" si="113"/>
        <v>#DIV/0!</v>
      </c>
      <c r="AH312" s="5" t="e">
        <f t="shared" si="114"/>
        <v>#DIV/0!</v>
      </c>
      <c r="AJ312" s="5">
        <f t="shared" si="100"/>
        <v>1</v>
      </c>
      <c r="AK312" s="5" t="e">
        <f t="shared" si="101"/>
        <v>#DIV/0!</v>
      </c>
      <c r="AL312" s="4">
        <f t="shared" si="102"/>
        <v>0</v>
      </c>
      <c r="AM312" s="8">
        <f t="shared" si="103"/>
        <v>0</v>
      </c>
      <c r="AO312" s="61">
        <f t="shared" si="104"/>
        <v>0</v>
      </c>
      <c r="AP312" s="7" t="e">
        <f t="shared" si="116"/>
        <v>#DIV/0!</v>
      </c>
      <c r="AR312" s="7">
        <f t="shared" si="105"/>
        <v>5</v>
      </c>
      <c r="AV312" s="5">
        <f t="shared" si="106"/>
        <v>0</v>
      </c>
      <c r="AZ312" s="4">
        <f t="shared" si="115"/>
        <v>0</v>
      </c>
    </row>
    <row r="313" spans="7:52" ht="12.75" customHeight="1">
      <c r="G313" s="5" t="e">
        <f t="shared" si="109"/>
        <v>#DIV/0!</v>
      </c>
      <c r="P313" s="5" t="e">
        <f t="shared" si="110"/>
        <v>#DIV/0!</v>
      </c>
      <c r="Y313">
        <v>70</v>
      </c>
      <c r="AA313" s="5">
        <f t="shared" si="111"/>
        <v>0</v>
      </c>
      <c r="AC313" s="5">
        <f t="shared" si="112"/>
        <v>0</v>
      </c>
      <c r="AG313" s="6" t="e">
        <f t="shared" si="113"/>
        <v>#DIV/0!</v>
      </c>
      <c r="AH313" s="5" t="e">
        <f t="shared" si="114"/>
        <v>#DIV/0!</v>
      </c>
      <c r="AJ313" s="5">
        <f t="shared" si="100"/>
        <v>1</v>
      </c>
      <c r="AK313" s="5" t="e">
        <f t="shared" si="101"/>
        <v>#DIV/0!</v>
      </c>
      <c r="AL313" s="4">
        <f t="shared" si="102"/>
        <v>0</v>
      </c>
      <c r="AM313" s="8">
        <f t="shared" si="103"/>
        <v>0</v>
      </c>
      <c r="AO313" s="61">
        <f t="shared" si="104"/>
        <v>0</v>
      </c>
      <c r="AP313" s="7" t="e">
        <f t="shared" si="116"/>
        <v>#DIV/0!</v>
      </c>
      <c r="AR313" s="7">
        <f t="shared" si="105"/>
        <v>5</v>
      </c>
      <c r="AV313" s="5">
        <f t="shared" si="106"/>
        <v>0</v>
      </c>
      <c r="AZ313" s="4">
        <f t="shared" si="115"/>
        <v>0</v>
      </c>
    </row>
    <row r="314" spans="7:52" ht="12.75" customHeight="1">
      <c r="G314" s="5" t="e">
        <f t="shared" si="109"/>
        <v>#DIV/0!</v>
      </c>
      <c r="P314" s="5" t="e">
        <f t="shared" si="110"/>
        <v>#DIV/0!</v>
      </c>
      <c r="Y314">
        <v>70</v>
      </c>
      <c r="AA314" s="5">
        <f t="shared" si="111"/>
        <v>0</v>
      </c>
      <c r="AC314" s="5">
        <f t="shared" si="112"/>
        <v>0</v>
      </c>
      <c r="AG314" s="6" t="e">
        <f t="shared" si="113"/>
        <v>#DIV/0!</v>
      </c>
      <c r="AH314" s="5" t="e">
        <f t="shared" si="114"/>
        <v>#DIV/0!</v>
      </c>
      <c r="AJ314" s="5">
        <f t="shared" si="100"/>
        <v>1</v>
      </c>
      <c r="AK314" s="5" t="e">
        <f t="shared" si="101"/>
        <v>#DIV/0!</v>
      </c>
      <c r="AL314" s="4">
        <f t="shared" si="102"/>
        <v>0</v>
      </c>
      <c r="AM314" s="8">
        <f t="shared" si="103"/>
        <v>0</v>
      </c>
      <c r="AO314" s="61">
        <f t="shared" si="104"/>
        <v>0</v>
      </c>
      <c r="AP314" s="7" t="e">
        <f t="shared" si="116"/>
        <v>#DIV/0!</v>
      </c>
      <c r="AR314" s="7">
        <f t="shared" si="105"/>
        <v>5</v>
      </c>
      <c r="AV314" s="5">
        <f t="shared" si="106"/>
        <v>0</v>
      </c>
      <c r="AZ314" s="4">
        <f t="shared" si="115"/>
        <v>0</v>
      </c>
    </row>
    <row r="315" spans="7:52" ht="12.75" customHeight="1">
      <c r="G315" s="5" t="e">
        <f t="shared" si="109"/>
        <v>#DIV/0!</v>
      </c>
      <c r="P315" s="5" t="e">
        <f t="shared" si="110"/>
        <v>#DIV/0!</v>
      </c>
      <c r="Y315">
        <v>70</v>
      </c>
      <c r="AA315" s="5">
        <f t="shared" si="111"/>
        <v>0</v>
      </c>
      <c r="AC315" s="5">
        <f t="shared" si="112"/>
        <v>0</v>
      </c>
      <c r="AG315" s="6" t="e">
        <f t="shared" si="113"/>
        <v>#DIV/0!</v>
      </c>
      <c r="AH315" s="5" t="e">
        <f t="shared" si="114"/>
        <v>#DIV/0!</v>
      </c>
      <c r="AJ315" s="5">
        <f t="shared" si="100"/>
        <v>1</v>
      </c>
      <c r="AK315" s="5" t="e">
        <f t="shared" si="101"/>
        <v>#DIV/0!</v>
      </c>
      <c r="AL315" s="4">
        <f t="shared" si="102"/>
        <v>0</v>
      </c>
      <c r="AM315" s="8">
        <f t="shared" si="103"/>
        <v>0</v>
      </c>
      <c r="AO315" s="61">
        <f t="shared" si="104"/>
        <v>0</v>
      </c>
      <c r="AP315" s="7" t="e">
        <f t="shared" si="116"/>
        <v>#DIV/0!</v>
      </c>
      <c r="AR315" s="7">
        <f t="shared" si="105"/>
        <v>5</v>
      </c>
      <c r="AV315" s="5">
        <f t="shared" si="106"/>
        <v>0</v>
      </c>
      <c r="AZ315" s="4">
        <f t="shared" si="115"/>
        <v>0</v>
      </c>
    </row>
    <row r="316" spans="7:52" ht="12.75" customHeight="1">
      <c r="G316" s="5" t="e">
        <f t="shared" si="109"/>
        <v>#DIV/0!</v>
      </c>
      <c r="P316" s="5" t="e">
        <f t="shared" si="110"/>
        <v>#DIV/0!</v>
      </c>
      <c r="Y316">
        <v>70</v>
      </c>
      <c r="AA316" s="5">
        <f t="shared" si="111"/>
        <v>0</v>
      </c>
      <c r="AC316" s="5">
        <f t="shared" si="112"/>
        <v>0</v>
      </c>
      <c r="AG316" s="6" t="e">
        <f t="shared" si="113"/>
        <v>#DIV/0!</v>
      </c>
      <c r="AH316" s="5" t="e">
        <f t="shared" si="114"/>
        <v>#DIV/0!</v>
      </c>
      <c r="AJ316" s="5">
        <f t="shared" si="100"/>
        <v>1</v>
      </c>
      <c r="AK316" s="5" t="e">
        <f t="shared" si="101"/>
        <v>#DIV/0!</v>
      </c>
      <c r="AL316" s="4">
        <f t="shared" si="102"/>
        <v>0</v>
      </c>
      <c r="AM316" s="8">
        <f t="shared" si="103"/>
        <v>0</v>
      </c>
      <c r="AO316" s="61">
        <f t="shared" si="104"/>
        <v>0</v>
      </c>
      <c r="AP316" s="7" t="e">
        <f t="shared" si="116"/>
        <v>#DIV/0!</v>
      </c>
      <c r="AR316" s="7">
        <f t="shared" si="105"/>
        <v>5</v>
      </c>
      <c r="AV316" s="5">
        <f t="shared" si="106"/>
        <v>0</v>
      </c>
      <c r="AZ316" s="4">
        <f t="shared" si="115"/>
        <v>0</v>
      </c>
    </row>
    <row r="317" spans="7:52" ht="12.75" customHeight="1">
      <c r="G317" s="5" t="e">
        <f t="shared" si="109"/>
        <v>#DIV/0!</v>
      </c>
      <c r="P317" s="5" t="e">
        <f t="shared" si="110"/>
        <v>#DIV/0!</v>
      </c>
      <c r="Y317">
        <v>70</v>
      </c>
      <c r="AA317" s="5">
        <f t="shared" si="111"/>
        <v>0</v>
      </c>
      <c r="AC317" s="5">
        <f t="shared" si="112"/>
        <v>0</v>
      </c>
      <c r="AG317" s="6" t="e">
        <f t="shared" si="113"/>
        <v>#DIV/0!</v>
      </c>
      <c r="AH317" s="5" t="e">
        <f t="shared" si="114"/>
        <v>#DIV/0!</v>
      </c>
      <c r="AJ317" s="5">
        <f t="shared" si="100"/>
        <v>1</v>
      </c>
      <c r="AK317" s="5" t="e">
        <f t="shared" si="101"/>
        <v>#DIV/0!</v>
      </c>
      <c r="AL317" s="4">
        <f t="shared" si="102"/>
        <v>0</v>
      </c>
      <c r="AM317" s="8">
        <f t="shared" si="103"/>
        <v>0</v>
      </c>
      <c r="AO317" s="61">
        <f t="shared" si="104"/>
        <v>0</v>
      </c>
      <c r="AP317" s="7" t="e">
        <f t="shared" si="116"/>
        <v>#DIV/0!</v>
      </c>
      <c r="AR317" s="7">
        <f t="shared" si="105"/>
        <v>5</v>
      </c>
      <c r="AV317" s="5">
        <f t="shared" si="106"/>
        <v>0</v>
      </c>
      <c r="AZ317" s="4">
        <f t="shared" si="115"/>
        <v>0</v>
      </c>
    </row>
    <row r="318" spans="7:52" ht="12.75" customHeight="1">
      <c r="G318" s="5" t="e">
        <f t="shared" si="109"/>
        <v>#DIV/0!</v>
      </c>
      <c r="P318" s="5" t="e">
        <f t="shared" si="110"/>
        <v>#DIV/0!</v>
      </c>
      <c r="Y318">
        <v>70</v>
      </c>
      <c r="AA318" s="5">
        <f t="shared" si="111"/>
        <v>0</v>
      </c>
      <c r="AC318" s="5">
        <f t="shared" si="112"/>
        <v>0</v>
      </c>
      <c r="AG318" s="6" t="e">
        <f t="shared" si="113"/>
        <v>#DIV/0!</v>
      </c>
      <c r="AH318" s="5" t="e">
        <f t="shared" si="114"/>
        <v>#DIV/0!</v>
      </c>
      <c r="AJ318" s="5">
        <f t="shared" si="100"/>
        <v>1</v>
      </c>
      <c r="AK318" s="5" t="e">
        <f t="shared" si="101"/>
        <v>#DIV/0!</v>
      </c>
      <c r="AL318" s="4">
        <f t="shared" si="102"/>
        <v>0</v>
      </c>
      <c r="AM318" s="8">
        <f t="shared" si="103"/>
        <v>0</v>
      </c>
      <c r="AO318" s="61">
        <f t="shared" si="104"/>
        <v>0</v>
      </c>
      <c r="AP318" s="7" t="e">
        <f t="shared" si="116"/>
        <v>#DIV/0!</v>
      </c>
      <c r="AR318" s="7">
        <f t="shared" si="105"/>
        <v>5</v>
      </c>
      <c r="AV318" s="5">
        <f t="shared" si="106"/>
        <v>0</v>
      </c>
      <c r="AZ318" s="4">
        <f t="shared" si="115"/>
        <v>0</v>
      </c>
    </row>
    <row r="319" spans="7:52" ht="12.75" customHeight="1">
      <c r="G319" s="5" t="e">
        <f t="shared" si="109"/>
        <v>#DIV/0!</v>
      </c>
      <c r="P319" s="5" t="e">
        <f t="shared" si="110"/>
        <v>#DIV/0!</v>
      </c>
      <c r="Y319">
        <v>70</v>
      </c>
      <c r="AA319" s="5">
        <f t="shared" si="111"/>
        <v>0</v>
      </c>
      <c r="AC319" s="5">
        <f t="shared" si="112"/>
        <v>0</v>
      </c>
      <c r="AG319" s="6" t="e">
        <f t="shared" si="113"/>
        <v>#DIV/0!</v>
      </c>
      <c r="AH319" s="5" t="e">
        <f t="shared" si="114"/>
        <v>#DIV/0!</v>
      </c>
      <c r="AJ319" s="5">
        <f t="shared" si="100"/>
        <v>1</v>
      </c>
      <c r="AK319" s="5" t="e">
        <f t="shared" si="101"/>
        <v>#DIV/0!</v>
      </c>
      <c r="AL319" s="4">
        <f t="shared" si="102"/>
        <v>0</v>
      </c>
      <c r="AM319" s="8">
        <f t="shared" si="103"/>
        <v>0</v>
      </c>
      <c r="AO319" s="61">
        <f t="shared" si="104"/>
        <v>0</v>
      </c>
      <c r="AP319" s="7" t="e">
        <f t="shared" si="116"/>
        <v>#DIV/0!</v>
      </c>
      <c r="AR319" s="7">
        <f t="shared" si="105"/>
        <v>5</v>
      </c>
      <c r="AV319" s="5">
        <f t="shared" si="106"/>
        <v>0</v>
      </c>
      <c r="AZ319" s="4">
        <f t="shared" si="115"/>
        <v>0</v>
      </c>
    </row>
    <row r="320" spans="7:52" ht="12.75" customHeight="1">
      <c r="G320" s="5" t="e">
        <f t="shared" si="109"/>
        <v>#DIV/0!</v>
      </c>
      <c r="P320" s="5" t="e">
        <f t="shared" si="110"/>
        <v>#DIV/0!</v>
      </c>
      <c r="Y320">
        <v>70</v>
      </c>
      <c r="AA320" s="5">
        <f t="shared" si="111"/>
        <v>0</v>
      </c>
      <c r="AC320" s="5">
        <f t="shared" si="112"/>
        <v>0</v>
      </c>
      <c r="AG320" s="6" t="e">
        <f t="shared" si="113"/>
        <v>#DIV/0!</v>
      </c>
      <c r="AH320" s="5" t="e">
        <f t="shared" si="114"/>
        <v>#DIV/0!</v>
      </c>
      <c r="AJ320" s="5">
        <f t="shared" si="100"/>
        <v>1</v>
      </c>
      <c r="AK320" s="5" t="e">
        <f t="shared" si="101"/>
        <v>#DIV/0!</v>
      </c>
      <c r="AL320" s="4">
        <f t="shared" si="102"/>
        <v>0</v>
      </c>
      <c r="AM320" s="8">
        <f t="shared" si="103"/>
        <v>0</v>
      </c>
      <c r="AO320" s="61">
        <f t="shared" si="104"/>
        <v>0</v>
      </c>
      <c r="AP320" s="7" t="e">
        <f t="shared" si="116"/>
        <v>#DIV/0!</v>
      </c>
      <c r="AR320" s="7">
        <f t="shared" si="105"/>
        <v>5</v>
      </c>
      <c r="AV320" s="5">
        <f t="shared" si="106"/>
        <v>0</v>
      </c>
      <c r="AZ320" s="4">
        <f t="shared" si="115"/>
        <v>0</v>
      </c>
    </row>
    <row r="321" spans="7:52" ht="12.75" customHeight="1">
      <c r="G321" s="5" t="e">
        <f t="shared" ref="G321:G352" si="117">100*(F321-E321)/F321</f>
        <v>#DIV/0!</v>
      </c>
      <c r="P321" s="5" t="e">
        <f t="shared" ref="P321:P352" si="118">O321/I321</f>
        <v>#DIV/0!</v>
      </c>
      <c r="Y321">
        <v>70</v>
      </c>
      <c r="AA321" s="5">
        <f t="shared" ref="AA321:AA352" si="119">IF(X321&lt;50,IF(Y321&gt;(2.3*X321),0,1),1)-IF(Z321&gt;Y321,1.7,0)</f>
        <v>0</v>
      </c>
      <c r="AC321" s="5">
        <f t="shared" ref="AC321:AC352" si="120">IF(AB321&gt;4,1,0)+IF(AB321&gt;10,0.7,0)</f>
        <v>0</v>
      </c>
      <c r="AG321" s="6" t="e">
        <f t="shared" ref="AG321:AG352" si="121">IF(G321&lt;52,0,0.7)+IF(G321&lt;34,0,0.7)+IF(G321&lt;1,0,0.7)+IF(P321&gt;14.56,0,1)+IF(R321&lt;9,0.5,0)+IF(R321&lt;33.8,0.5,0)+IF(R321&lt;50,0.5,0)+IF(R321&lt;80,0.5,0)+IF(S321=5,0,S321)+IF(V321&gt;0,1,-1)+IF(AE321&lt;10.56,0,1)-IF(AE321&lt;3,1,0)-IF(AE321&lt;1,1,0)</f>
        <v>#DIV/0!</v>
      </c>
      <c r="AH321" s="5" t="e">
        <f t="shared" ref="AH321:AH352" si="122">AG321+IF(X321&lt;1.35,0,1)+IF(Y321&lt;1.35,0,1)+IF(Y321&lt;0.7,-1,0)+AC321+AA321</f>
        <v>#DIV/0!</v>
      </c>
      <c r="AJ321" s="5">
        <f t="shared" si="100"/>
        <v>1</v>
      </c>
      <c r="AK321" s="5" t="e">
        <f t="shared" si="101"/>
        <v>#DIV/0!</v>
      </c>
      <c r="AL321" s="4">
        <f t="shared" si="102"/>
        <v>0</v>
      </c>
      <c r="AM321" s="8">
        <f t="shared" si="103"/>
        <v>0</v>
      </c>
      <c r="AO321" s="61">
        <f t="shared" si="104"/>
        <v>0</v>
      </c>
      <c r="AP321" s="7" t="e">
        <f t="shared" si="116"/>
        <v>#DIV/0!</v>
      </c>
      <c r="AR321" s="7">
        <f t="shared" si="105"/>
        <v>5</v>
      </c>
      <c r="AV321" s="5">
        <f t="shared" si="106"/>
        <v>0</v>
      </c>
      <c r="AZ321" s="4">
        <f t="shared" si="115"/>
        <v>0</v>
      </c>
    </row>
    <row r="322" spans="7:52" ht="12.75" customHeight="1">
      <c r="G322" s="5" t="e">
        <f t="shared" si="117"/>
        <v>#DIV/0!</v>
      </c>
      <c r="P322" s="5" t="e">
        <f t="shared" si="118"/>
        <v>#DIV/0!</v>
      </c>
      <c r="Y322">
        <v>70</v>
      </c>
      <c r="AA322" s="5">
        <f t="shared" si="119"/>
        <v>0</v>
      </c>
      <c r="AC322" s="5">
        <f t="shared" si="120"/>
        <v>0</v>
      </c>
      <c r="AG322" s="6" t="e">
        <f t="shared" si="121"/>
        <v>#DIV/0!</v>
      </c>
      <c r="AH322" s="5" t="e">
        <f t="shared" si="122"/>
        <v>#DIV/0!</v>
      </c>
      <c r="AJ322" s="5">
        <f t="shared" ref="AJ322:AJ385" si="123">IF(AI322&gt;12.7,IF(AI322&gt;15.8,0.93,0.98),1)</f>
        <v>1</v>
      </c>
      <c r="AK322" s="5" t="e">
        <f t="shared" ref="AK322:AK385" si="124">(1.5*AG322+AH322)*AJ322*AQ322</f>
        <v>#DIV/0!</v>
      </c>
      <c r="AL322" s="4">
        <f t="shared" ref="AL322:AL377" si="125">D322</f>
        <v>0</v>
      </c>
      <c r="AM322" s="8">
        <f t="shared" ref="AM322:AM377" si="126">B322</f>
        <v>0</v>
      </c>
      <c r="AO322" s="61">
        <f t="shared" ref="AO322:AO381" si="127">IF(Z322&lt;4.5,0,IF(AK322&gt;14.9,IF(Z322&lt;140,1,0),0))</f>
        <v>0</v>
      </c>
      <c r="AP322" s="7" t="e">
        <f t="shared" si="116"/>
        <v>#DIV/0!</v>
      </c>
      <c r="AR322" s="7">
        <f t="shared" ref="AR322:AR355" si="128">IF(AO322=1,IF(AO322=AL322,1,0),5)</f>
        <v>5</v>
      </c>
      <c r="AV322" s="5">
        <f t="shared" ref="AV322:AV385" si="129">(AT322+AU322)/2</f>
        <v>0</v>
      </c>
      <c r="AZ322" s="4">
        <f t="shared" si="115"/>
        <v>0</v>
      </c>
    </row>
    <row r="323" spans="7:52" ht="12.75" customHeight="1">
      <c r="G323" s="5" t="e">
        <f t="shared" si="117"/>
        <v>#DIV/0!</v>
      </c>
      <c r="P323" s="5" t="e">
        <f t="shared" si="118"/>
        <v>#DIV/0!</v>
      </c>
      <c r="Y323">
        <v>70</v>
      </c>
      <c r="AA323" s="5">
        <f t="shared" si="119"/>
        <v>0</v>
      </c>
      <c r="AC323" s="5">
        <f t="shared" si="120"/>
        <v>0</v>
      </c>
      <c r="AG323" s="6" t="e">
        <f t="shared" si="121"/>
        <v>#DIV/0!</v>
      </c>
      <c r="AH323" s="5" t="e">
        <f t="shared" si="122"/>
        <v>#DIV/0!</v>
      </c>
      <c r="AJ323" s="5">
        <f t="shared" si="123"/>
        <v>1</v>
      </c>
      <c r="AK323" s="5" t="e">
        <f t="shared" si="124"/>
        <v>#DIV/0!</v>
      </c>
      <c r="AL323" s="4">
        <f t="shared" si="125"/>
        <v>0</v>
      </c>
      <c r="AM323" s="8">
        <f t="shared" si="126"/>
        <v>0</v>
      </c>
      <c r="AO323" s="61">
        <f t="shared" si="127"/>
        <v>0</v>
      </c>
      <c r="AP323" s="7" t="e">
        <f t="shared" si="116"/>
        <v>#DIV/0!</v>
      </c>
      <c r="AR323" s="7">
        <f t="shared" si="128"/>
        <v>5</v>
      </c>
      <c r="AV323" s="5">
        <f t="shared" si="129"/>
        <v>0</v>
      </c>
      <c r="AZ323" s="4">
        <f t="shared" si="115"/>
        <v>0</v>
      </c>
    </row>
    <row r="324" spans="7:52" ht="12.75" customHeight="1">
      <c r="G324" s="5" t="e">
        <f t="shared" si="117"/>
        <v>#DIV/0!</v>
      </c>
      <c r="P324" s="5" t="e">
        <f t="shared" si="118"/>
        <v>#DIV/0!</v>
      </c>
      <c r="Y324">
        <v>70</v>
      </c>
      <c r="AA324" s="5">
        <f t="shared" si="119"/>
        <v>0</v>
      </c>
      <c r="AC324" s="5">
        <f t="shared" si="120"/>
        <v>0</v>
      </c>
      <c r="AG324" s="6" t="e">
        <f t="shared" si="121"/>
        <v>#DIV/0!</v>
      </c>
      <c r="AH324" s="5" t="e">
        <f t="shared" si="122"/>
        <v>#DIV/0!</v>
      </c>
      <c r="AJ324" s="5">
        <f t="shared" si="123"/>
        <v>1</v>
      </c>
      <c r="AK324" s="5" t="e">
        <f t="shared" si="124"/>
        <v>#DIV/0!</v>
      </c>
      <c r="AL324" s="4">
        <f t="shared" si="125"/>
        <v>0</v>
      </c>
      <c r="AM324" s="8">
        <f t="shared" si="126"/>
        <v>0</v>
      </c>
      <c r="AO324" s="61">
        <f t="shared" si="127"/>
        <v>0</v>
      </c>
      <c r="AP324" s="7" t="e">
        <f t="shared" si="116"/>
        <v>#DIV/0!</v>
      </c>
      <c r="AR324" s="7">
        <f t="shared" si="128"/>
        <v>5</v>
      </c>
      <c r="AV324" s="5">
        <f t="shared" si="129"/>
        <v>0</v>
      </c>
      <c r="AZ324" s="4">
        <f t="shared" si="115"/>
        <v>0</v>
      </c>
    </row>
    <row r="325" spans="7:52" ht="12.75" customHeight="1">
      <c r="G325" s="5" t="e">
        <f t="shared" si="117"/>
        <v>#DIV/0!</v>
      </c>
      <c r="P325" s="5" t="e">
        <f t="shared" si="118"/>
        <v>#DIV/0!</v>
      </c>
      <c r="Y325">
        <v>70</v>
      </c>
      <c r="AA325" s="5">
        <f t="shared" si="119"/>
        <v>0</v>
      </c>
      <c r="AC325" s="5">
        <f t="shared" si="120"/>
        <v>0</v>
      </c>
      <c r="AG325" s="6" t="e">
        <f t="shared" si="121"/>
        <v>#DIV/0!</v>
      </c>
      <c r="AH325" s="5" t="e">
        <f t="shared" si="122"/>
        <v>#DIV/0!</v>
      </c>
      <c r="AJ325" s="5">
        <f t="shared" si="123"/>
        <v>1</v>
      </c>
      <c r="AK325" s="5" t="e">
        <f t="shared" si="124"/>
        <v>#DIV/0!</v>
      </c>
      <c r="AL325" s="4">
        <f t="shared" si="125"/>
        <v>0</v>
      </c>
      <c r="AM325" s="8">
        <f t="shared" si="126"/>
        <v>0</v>
      </c>
      <c r="AO325" s="61">
        <f t="shared" si="127"/>
        <v>0</v>
      </c>
      <c r="AP325" s="7" t="e">
        <f t="shared" si="116"/>
        <v>#DIV/0!</v>
      </c>
      <c r="AR325" s="7">
        <f t="shared" si="128"/>
        <v>5</v>
      </c>
      <c r="AV325" s="5">
        <f t="shared" si="129"/>
        <v>0</v>
      </c>
      <c r="AZ325" s="4">
        <f t="shared" si="115"/>
        <v>0</v>
      </c>
    </row>
    <row r="326" spans="7:52" ht="12.75" customHeight="1">
      <c r="G326" s="5" t="e">
        <f t="shared" si="117"/>
        <v>#DIV/0!</v>
      </c>
      <c r="P326" s="5" t="e">
        <f t="shared" si="118"/>
        <v>#DIV/0!</v>
      </c>
      <c r="Y326">
        <v>70</v>
      </c>
      <c r="AA326" s="5">
        <f t="shared" si="119"/>
        <v>0</v>
      </c>
      <c r="AC326" s="5">
        <f t="shared" si="120"/>
        <v>0</v>
      </c>
      <c r="AG326" s="6" t="e">
        <f t="shared" si="121"/>
        <v>#DIV/0!</v>
      </c>
      <c r="AH326" s="5" t="e">
        <f t="shared" si="122"/>
        <v>#DIV/0!</v>
      </c>
      <c r="AJ326" s="5">
        <f t="shared" si="123"/>
        <v>1</v>
      </c>
      <c r="AK326" s="5" t="e">
        <f t="shared" si="124"/>
        <v>#DIV/0!</v>
      </c>
      <c r="AL326" s="4">
        <f t="shared" si="125"/>
        <v>0</v>
      </c>
      <c r="AM326" s="8">
        <f t="shared" si="126"/>
        <v>0</v>
      </c>
      <c r="AO326" s="61">
        <f t="shared" si="127"/>
        <v>0</v>
      </c>
      <c r="AP326" s="7" t="e">
        <f t="shared" si="116"/>
        <v>#DIV/0!</v>
      </c>
      <c r="AR326" s="7">
        <f t="shared" si="128"/>
        <v>5</v>
      </c>
      <c r="AV326" s="5">
        <f t="shared" si="129"/>
        <v>0</v>
      </c>
      <c r="AZ326" s="4">
        <f t="shared" si="115"/>
        <v>0</v>
      </c>
    </row>
    <row r="327" spans="7:52" ht="12.75" customHeight="1">
      <c r="G327" s="5" t="e">
        <f t="shared" si="117"/>
        <v>#DIV/0!</v>
      </c>
      <c r="P327" s="5" t="e">
        <f t="shared" si="118"/>
        <v>#DIV/0!</v>
      </c>
      <c r="Y327">
        <v>70</v>
      </c>
      <c r="AA327" s="5">
        <f t="shared" si="119"/>
        <v>0</v>
      </c>
      <c r="AC327" s="5">
        <f t="shared" si="120"/>
        <v>0</v>
      </c>
      <c r="AG327" s="6" t="e">
        <f t="shared" si="121"/>
        <v>#DIV/0!</v>
      </c>
      <c r="AH327" s="5" t="e">
        <f t="shared" si="122"/>
        <v>#DIV/0!</v>
      </c>
      <c r="AJ327" s="5">
        <f t="shared" si="123"/>
        <v>1</v>
      </c>
      <c r="AK327" s="5" t="e">
        <f t="shared" si="124"/>
        <v>#DIV/0!</v>
      </c>
      <c r="AL327" s="4">
        <f t="shared" si="125"/>
        <v>0</v>
      </c>
      <c r="AM327" s="8">
        <f t="shared" si="126"/>
        <v>0</v>
      </c>
      <c r="AO327" s="61">
        <f t="shared" si="127"/>
        <v>0</v>
      </c>
      <c r="AP327" s="7" t="e">
        <f t="shared" si="116"/>
        <v>#DIV/0!</v>
      </c>
      <c r="AR327" s="7">
        <f t="shared" si="128"/>
        <v>5</v>
      </c>
      <c r="AV327" s="5">
        <f t="shared" si="129"/>
        <v>0</v>
      </c>
      <c r="AZ327" s="4">
        <f t="shared" si="115"/>
        <v>0</v>
      </c>
    </row>
    <row r="328" spans="7:52" ht="12.75" customHeight="1">
      <c r="G328" s="5" t="e">
        <f t="shared" si="117"/>
        <v>#DIV/0!</v>
      </c>
      <c r="P328" s="5" t="e">
        <f t="shared" si="118"/>
        <v>#DIV/0!</v>
      </c>
      <c r="Y328">
        <v>70</v>
      </c>
      <c r="AA328" s="5">
        <f t="shared" si="119"/>
        <v>0</v>
      </c>
      <c r="AC328" s="5">
        <f t="shared" si="120"/>
        <v>0</v>
      </c>
      <c r="AG328" s="6" t="e">
        <f t="shared" si="121"/>
        <v>#DIV/0!</v>
      </c>
      <c r="AH328" s="5" t="e">
        <f t="shared" si="122"/>
        <v>#DIV/0!</v>
      </c>
      <c r="AJ328" s="5">
        <f t="shared" si="123"/>
        <v>1</v>
      </c>
      <c r="AK328" s="5" t="e">
        <f t="shared" si="124"/>
        <v>#DIV/0!</v>
      </c>
      <c r="AL328" s="4">
        <f t="shared" si="125"/>
        <v>0</v>
      </c>
      <c r="AM328" s="8">
        <f t="shared" si="126"/>
        <v>0</v>
      </c>
      <c r="AO328" s="61">
        <f t="shared" si="127"/>
        <v>0</v>
      </c>
      <c r="AP328" s="7" t="e">
        <f t="shared" si="116"/>
        <v>#DIV/0!</v>
      </c>
      <c r="AR328" s="7">
        <f t="shared" si="128"/>
        <v>5</v>
      </c>
      <c r="AV328" s="5">
        <f t="shared" si="129"/>
        <v>0</v>
      </c>
      <c r="AZ328" s="4">
        <f t="shared" si="115"/>
        <v>0</v>
      </c>
    </row>
    <row r="329" spans="7:52" ht="12.75" customHeight="1">
      <c r="G329" s="5" t="e">
        <f t="shared" si="117"/>
        <v>#DIV/0!</v>
      </c>
      <c r="P329" s="5" t="e">
        <f t="shared" si="118"/>
        <v>#DIV/0!</v>
      </c>
      <c r="Y329">
        <v>70</v>
      </c>
      <c r="AA329" s="5">
        <f t="shared" si="119"/>
        <v>0</v>
      </c>
      <c r="AC329" s="5">
        <f t="shared" si="120"/>
        <v>0</v>
      </c>
      <c r="AG329" s="6" t="e">
        <f t="shared" si="121"/>
        <v>#DIV/0!</v>
      </c>
      <c r="AH329" s="5" t="e">
        <f t="shared" si="122"/>
        <v>#DIV/0!</v>
      </c>
      <c r="AJ329" s="5">
        <f t="shared" si="123"/>
        <v>1</v>
      </c>
      <c r="AK329" s="5" t="e">
        <f t="shared" si="124"/>
        <v>#DIV/0!</v>
      </c>
      <c r="AL329" s="4">
        <f t="shared" si="125"/>
        <v>0</v>
      </c>
      <c r="AM329" s="8">
        <f t="shared" si="126"/>
        <v>0</v>
      </c>
      <c r="AO329" s="61">
        <f t="shared" si="127"/>
        <v>0</v>
      </c>
      <c r="AP329" s="7" t="e">
        <f t="shared" si="116"/>
        <v>#DIV/0!</v>
      </c>
      <c r="AR329" s="7">
        <f t="shared" si="128"/>
        <v>5</v>
      </c>
      <c r="AV329" s="5">
        <f t="shared" si="129"/>
        <v>0</v>
      </c>
      <c r="AZ329" s="4">
        <f t="shared" si="115"/>
        <v>0</v>
      </c>
    </row>
    <row r="330" spans="7:52" ht="12.75" customHeight="1">
      <c r="G330" s="5" t="e">
        <f t="shared" si="117"/>
        <v>#DIV/0!</v>
      </c>
      <c r="P330" s="5" t="e">
        <f t="shared" si="118"/>
        <v>#DIV/0!</v>
      </c>
      <c r="Y330">
        <v>70</v>
      </c>
      <c r="AA330" s="5">
        <f t="shared" si="119"/>
        <v>0</v>
      </c>
      <c r="AC330" s="5">
        <f t="shared" si="120"/>
        <v>0</v>
      </c>
      <c r="AG330" s="6" t="e">
        <f t="shared" si="121"/>
        <v>#DIV/0!</v>
      </c>
      <c r="AH330" s="5" t="e">
        <f t="shared" si="122"/>
        <v>#DIV/0!</v>
      </c>
      <c r="AJ330" s="5">
        <f t="shared" si="123"/>
        <v>1</v>
      </c>
      <c r="AK330" s="5" t="e">
        <f t="shared" si="124"/>
        <v>#DIV/0!</v>
      </c>
      <c r="AL330" s="4">
        <f t="shared" si="125"/>
        <v>0</v>
      </c>
      <c r="AM330" s="8">
        <f t="shared" si="126"/>
        <v>0</v>
      </c>
      <c r="AO330" s="61">
        <f t="shared" si="127"/>
        <v>0</v>
      </c>
      <c r="AP330" s="7" t="e">
        <f t="shared" si="116"/>
        <v>#DIV/0!</v>
      </c>
      <c r="AR330" s="7">
        <f t="shared" si="128"/>
        <v>5</v>
      </c>
      <c r="AV330" s="5">
        <f t="shared" si="129"/>
        <v>0</v>
      </c>
      <c r="AZ330" s="4">
        <f t="shared" si="115"/>
        <v>0</v>
      </c>
    </row>
    <row r="331" spans="7:52" ht="12.75" customHeight="1">
      <c r="G331" s="5" t="e">
        <f t="shared" si="117"/>
        <v>#DIV/0!</v>
      </c>
      <c r="P331" s="5" t="e">
        <f t="shared" si="118"/>
        <v>#DIV/0!</v>
      </c>
      <c r="Y331">
        <v>70</v>
      </c>
      <c r="AA331" s="5">
        <f t="shared" si="119"/>
        <v>0</v>
      </c>
      <c r="AC331" s="5">
        <f t="shared" si="120"/>
        <v>0</v>
      </c>
      <c r="AG331" s="6" t="e">
        <f t="shared" si="121"/>
        <v>#DIV/0!</v>
      </c>
      <c r="AH331" s="5" t="e">
        <f t="shared" si="122"/>
        <v>#DIV/0!</v>
      </c>
      <c r="AJ331" s="5">
        <f t="shared" si="123"/>
        <v>1</v>
      </c>
      <c r="AK331" s="5" t="e">
        <f t="shared" si="124"/>
        <v>#DIV/0!</v>
      </c>
      <c r="AL331" s="4">
        <f t="shared" si="125"/>
        <v>0</v>
      </c>
      <c r="AM331" s="8">
        <f t="shared" si="126"/>
        <v>0</v>
      </c>
      <c r="AO331" s="61">
        <f t="shared" si="127"/>
        <v>0</v>
      </c>
      <c r="AP331" s="7" t="e">
        <f t="shared" si="116"/>
        <v>#DIV/0!</v>
      </c>
      <c r="AR331" s="7">
        <f t="shared" si="128"/>
        <v>5</v>
      </c>
      <c r="AV331" s="5">
        <f t="shared" si="129"/>
        <v>0</v>
      </c>
      <c r="AZ331" s="4">
        <f t="shared" si="115"/>
        <v>0</v>
      </c>
    </row>
    <row r="332" spans="7:52" ht="12.75" customHeight="1">
      <c r="G332" s="5" t="e">
        <f t="shared" si="117"/>
        <v>#DIV/0!</v>
      </c>
      <c r="P332" s="5" t="e">
        <f t="shared" si="118"/>
        <v>#DIV/0!</v>
      </c>
      <c r="Y332">
        <v>70</v>
      </c>
      <c r="AA332" s="5">
        <f t="shared" si="119"/>
        <v>0</v>
      </c>
      <c r="AC332" s="5">
        <f t="shared" si="120"/>
        <v>0</v>
      </c>
      <c r="AG332" s="6" t="e">
        <f t="shared" si="121"/>
        <v>#DIV/0!</v>
      </c>
      <c r="AH332" s="5" t="e">
        <f t="shared" si="122"/>
        <v>#DIV/0!</v>
      </c>
      <c r="AJ332" s="5">
        <f t="shared" si="123"/>
        <v>1</v>
      </c>
      <c r="AK332" s="5" t="e">
        <f t="shared" si="124"/>
        <v>#DIV/0!</v>
      </c>
      <c r="AL332" s="4">
        <f t="shared" si="125"/>
        <v>0</v>
      </c>
      <c r="AM332" s="8">
        <f t="shared" si="126"/>
        <v>0</v>
      </c>
      <c r="AO332" s="61">
        <f t="shared" si="127"/>
        <v>0</v>
      </c>
      <c r="AP332" s="7" t="e">
        <f t="shared" si="116"/>
        <v>#DIV/0!</v>
      </c>
      <c r="AR332" s="7">
        <f t="shared" si="128"/>
        <v>5</v>
      </c>
      <c r="AV332" s="5">
        <f t="shared" si="129"/>
        <v>0</v>
      </c>
      <c r="AZ332" s="4">
        <f t="shared" si="115"/>
        <v>0</v>
      </c>
    </row>
    <row r="333" spans="7:52" ht="12.75" customHeight="1">
      <c r="G333" s="5" t="e">
        <f t="shared" si="117"/>
        <v>#DIV/0!</v>
      </c>
      <c r="P333" s="5" t="e">
        <f t="shared" si="118"/>
        <v>#DIV/0!</v>
      </c>
      <c r="Y333">
        <v>70</v>
      </c>
      <c r="AA333" s="5">
        <f t="shared" si="119"/>
        <v>0</v>
      </c>
      <c r="AC333" s="5">
        <f t="shared" si="120"/>
        <v>0</v>
      </c>
      <c r="AG333" s="6" t="e">
        <f t="shared" si="121"/>
        <v>#DIV/0!</v>
      </c>
      <c r="AH333" s="5" t="e">
        <f t="shared" si="122"/>
        <v>#DIV/0!</v>
      </c>
      <c r="AJ333" s="5">
        <f t="shared" si="123"/>
        <v>1</v>
      </c>
      <c r="AK333" s="5" t="e">
        <f t="shared" si="124"/>
        <v>#DIV/0!</v>
      </c>
      <c r="AL333" s="4">
        <f t="shared" si="125"/>
        <v>0</v>
      </c>
      <c r="AM333" s="8">
        <f t="shared" si="126"/>
        <v>0</v>
      </c>
      <c r="AO333" s="61">
        <f t="shared" si="127"/>
        <v>0</v>
      </c>
      <c r="AP333" s="7" t="e">
        <f t="shared" si="116"/>
        <v>#DIV/0!</v>
      </c>
      <c r="AR333" s="7">
        <f t="shared" si="128"/>
        <v>5</v>
      </c>
      <c r="AV333" s="5">
        <f t="shared" si="129"/>
        <v>0</v>
      </c>
      <c r="AZ333" s="4">
        <f t="shared" si="115"/>
        <v>0</v>
      </c>
    </row>
    <row r="334" spans="7:52" ht="12.75" customHeight="1">
      <c r="G334" s="5" t="e">
        <f t="shared" si="117"/>
        <v>#DIV/0!</v>
      </c>
      <c r="P334" s="5" t="e">
        <f t="shared" si="118"/>
        <v>#DIV/0!</v>
      </c>
      <c r="Y334">
        <v>70</v>
      </c>
      <c r="AA334" s="5">
        <f t="shared" si="119"/>
        <v>0</v>
      </c>
      <c r="AC334" s="5">
        <f t="shared" si="120"/>
        <v>0</v>
      </c>
      <c r="AG334" s="6" t="e">
        <f t="shared" si="121"/>
        <v>#DIV/0!</v>
      </c>
      <c r="AH334" s="5" t="e">
        <f t="shared" si="122"/>
        <v>#DIV/0!</v>
      </c>
      <c r="AJ334" s="5">
        <f t="shared" si="123"/>
        <v>1</v>
      </c>
      <c r="AK334" s="5" t="e">
        <f t="shared" si="124"/>
        <v>#DIV/0!</v>
      </c>
      <c r="AL334" s="4">
        <f t="shared" si="125"/>
        <v>0</v>
      </c>
      <c r="AM334" s="8">
        <f t="shared" si="126"/>
        <v>0</v>
      </c>
      <c r="AO334" s="61">
        <f t="shared" si="127"/>
        <v>0</v>
      </c>
      <c r="AP334" s="7" t="e">
        <f t="shared" si="116"/>
        <v>#DIV/0!</v>
      </c>
      <c r="AR334" s="7">
        <f t="shared" si="128"/>
        <v>5</v>
      </c>
      <c r="AV334" s="5">
        <f t="shared" si="129"/>
        <v>0</v>
      </c>
      <c r="AZ334" s="4">
        <f t="shared" si="115"/>
        <v>0</v>
      </c>
    </row>
    <row r="335" spans="7:52" ht="12.75" customHeight="1">
      <c r="G335" s="5" t="e">
        <f t="shared" si="117"/>
        <v>#DIV/0!</v>
      </c>
      <c r="P335" s="5" t="e">
        <f t="shared" si="118"/>
        <v>#DIV/0!</v>
      </c>
      <c r="Y335">
        <v>70</v>
      </c>
      <c r="AA335" s="5">
        <f t="shared" si="119"/>
        <v>0</v>
      </c>
      <c r="AC335" s="5">
        <f t="shared" si="120"/>
        <v>0</v>
      </c>
      <c r="AG335" s="6" t="e">
        <f t="shared" si="121"/>
        <v>#DIV/0!</v>
      </c>
      <c r="AH335" s="5" t="e">
        <f t="shared" si="122"/>
        <v>#DIV/0!</v>
      </c>
      <c r="AJ335" s="5">
        <f t="shared" si="123"/>
        <v>1</v>
      </c>
      <c r="AK335" s="5" t="e">
        <f t="shared" si="124"/>
        <v>#DIV/0!</v>
      </c>
      <c r="AL335" s="4">
        <f t="shared" si="125"/>
        <v>0</v>
      </c>
      <c r="AM335" s="8">
        <f t="shared" si="126"/>
        <v>0</v>
      </c>
      <c r="AO335" s="61">
        <f t="shared" si="127"/>
        <v>0</v>
      </c>
      <c r="AP335" s="7" t="e">
        <f t="shared" si="116"/>
        <v>#DIV/0!</v>
      </c>
      <c r="AR335" s="7">
        <f t="shared" si="128"/>
        <v>5</v>
      </c>
      <c r="AV335" s="5">
        <f t="shared" si="129"/>
        <v>0</v>
      </c>
      <c r="AZ335" s="4">
        <f t="shared" si="115"/>
        <v>0</v>
      </c>
    </row>
    <row r="336" spans="7:52" ht="12.75" customHeight="1">
      <c r="G336" s="5" t="e">
        <f t="shared" si="117"/>
        <v>#DIV/0!</v>
      </c>
      <c r="P336" s="5" t="e">
        <f t="shared" si="118"/>
        <v>#DIV/0!</v>
      </c>
      <c r="Y336">
        <v>70</v>
      </c>
      <c r="AA336" s="5">
        <f t="shared" si="119"/>
        <v>0</v>
      </c>
      <c r="AC336" s="5">
        <f t="shared" si="120"/>
        <v>0</v>
      </c>
      <c r="AG336" s="6" t="e">
        <f t="shared" si="121"/>
        <v>#DIV/0!</v>
      </c>
      <c r="AH336" s="5" t="e">
        <f t="shared" si="122"/>
        <v>#DIV/0!</v>
      </c>
      <c r="AJ336" s="5">
        <f t="shared" si="123"/>
        <v>1</v>
      </c>
      <c r="AK336" s="5" t="e">
        <f t="shared" si="124"/>
        <v>#DIV/0!</v>
      </c>
      <c r="AL336" s="4">
        <f t="shared" si="125"/>
        <v>0</v>
      </c>
      <c r="AM336" s="8">
        <f t="shared" si="126"/>
        <v>0</v>
      </c>
      <c r="AO336" s="61">
        <f t="shared" si="127"/>
        <v>0</v>
      </c>
      <c r="AP336" s="7" t="e">
        <f t="shared" si="116"/>
        <v>#DIV/0!</v>
      </c>
      <c r="AR336" s="7">
        <f t="shared" si="128"/>
        <v>5</v>
      </c>
      <c r="AV336" s="5">
        <f t="shared" si="129"/>
        <v>0</v>
      </c>
      <c r="AZ336" s="4">
        <f t="shared" si="115"/>
        <v>0</v>
      </c>
    </row>
    <row r="337" spans="7:52" ht="12.75" customHeight="1">
      <c r="G337" s="5" t="e">
        <f t="shared" si="117"/>
        <v>#DIV/0!</v>
      </c>
      <c r="P337" s="5" t="e">
        <f t="shared" si="118"/>
        <v>#DIV/0!</v>
      </c>
      <c r="Y337">
        <v>70</v>
      </c>
      <c r="AA337" s="5">
        <f t="shared" si="119"/>
        <v>0</v>
      </c>
      <c r="AC337" s="5">
        <f t="shared" si="120"/>
        <v>0</v>
      </c>
      <c r="AG337" s="6" t="e">
        <f t="shared" si="121"/>
        <v>#DIV/0!</v>
      </c>
      <c r="AH337" s="5" t="e">
        <f t="shared" si="122"/>
        <v>#DIV/0!</v>
      </c>
      <c r="AJ337" s="5">
        <f t="shared" si="123"/>
        <v>1</v>
      </c>
      <c r="AK337" s="5" t="e">
        <f t="shared" si="124"/>
        <v>#DIV/0!</v>
      </c>
      <c r="AL337" s="4">
        <f t="shared" si="125"/>
        <v>0</v>
      </c>
      <c r="AM337" s="8">
        <f t="shared" si="126"/>
        <v>0</v>
      </c>
      <c r="AO337" s="61">
        <f t="shared" si="127"/>
        <v>0</v>
      </c>
      <c r="AP337" s="7" t="e">
        <f t="shared" si="116"/>
        <v>#DIV/0!</v>
      </c>
      <c r="AR337" s="7">
        <f t="shared" si="128"/>
        <v>5</v>
      </c>
      <c r="AV337" s="5">
        <f t="shared" si="129"/>
        <v>0</v>
      </c>
      <c r="AZ337" s="4">
        <f t="shared" si="115"/>
        <v>0</v>
      </c>
    </row>
    <row r="338" spans="7:52" ht="12.75" customHeight="1">
      <c r="G338" s="5" t="e">
        <f t="shared" si="117"/>
        <v>#DIV/0!</v>
      </c>
      <c r="P338" s="5" t="e">
        <f t="shared" si="118"/>
        <v>#DIV/0!</v>
      </c>
      <c r="Y338">
        <v>70</v>
      </c>
      <c r="AA338" s="5">
        <f t="shared" si="119"/>
        <v>0</v>
      </c>
      <c r="AC338" s="5">
        <f t="shared" si="120"/>
        <v>0</v>
      </c>
      <c r="AG338" s="6" t="e">
        <f t="shared" si="121"/>
        <v>#DIV/0!</v>
      </c>
      <c r="AH338" s="5" t="e">
        <f t="shared" si="122"/>
        <v>#DIV/0!</v>
      </c>
      <c r="AJ338" s="5">
        <f t="shared" si="123"/>
        <v>1</v>
      </c>
      <c r="AK338" s="5" t="e">
        <f t="shared" si="124"/>
        <v>#DIV/0!</v>
      </c>
      <c r="AL338" s="4">
        <f t="shared" si="125"/>
        <v>0</v>
      </c>
      <c r="AM338" s="8">
        <f t="shared" si="126"/>
        <v>0</v>
      </c>
      <c r="AO338" s="61">
        <f t="shared" si="127"/>
        <v>0</v>
      </c>
      <c r="AP338" s="7" t="e">
        <f t="shared" si="116"/>
        <v>#DIV/0!</v>
      </c>
      <c r="AR338" s="7">
        <f t="shared" si="128"/>
        <v>5</v>
      </c>
      <c r="AZ338" s="4">
        <f t="shared" si="115"/>
        <v>0</v>
      </c>
    </row>
    <row r="339" spans="7:52" ht="12.75" customHeight="1">
      <c r="G339" s="5" t="e">
        <f t="shared" si="117"/>
        <v>#DIV/0!</v>
      </c>
      <c r="P339" s="5" t="e">
        <f t="shared" si="118"/>
        <v>#DIV/0!</v>
      </c>
      <c r="Y339">
        <v>70</v>
      </c>
      <c r="AA339" s="5">
        <f t="shared" si="119"/>
        <v>0</v>
      </c>
      <c r="AC339" s="5">
        <f t="shared" si="120"/>
        <v>0</v>
      </c>
      <c r="AG339" s="6" t="e">
        <f t="shared" si="121"/>
        <v>#DIV/0!</v>
      </c>
      <c r="AH339" s="5" t="e">
        <f t="shared" si="122"/>
        <v>#DIV/0!</v>
      </c>
      <c r="AJ339" s="5">
        <f t="shared" si="123"/>
        <v>1</v>
      </c>
      <c r="AK339" s="5" t="e">
        <f t="shared" si="124"/>
        <v>#DIV/0!</v>
      </c>
      <c r="AL339" s="4">
        <f t="shared" si="125"/>
        <v>0</v>
      </c>
      <c r="AM339" s="8">
        <f t="shared" si="126"/>
        <v>0</v>
      </c>
      <c r="AO339" s="61">
        <f t="shared" si="127"/>
        <v>0</v>
      </c>
      <c r="AP339" s="7" t="e">
        <f t="shared" si="116"/>
        <v>#DIV/0!</v>
      </c>
      <c r="AR339" s="7">
        <f t="shared" si="128"/>
        <v>5</v>
      </c>
      <c r="AZ339" s="4">
        <f t="shared" ref="AZ339:AZ370" si="130">IF(AY339&lt;-50,-4,IF(AY339&lt;-20,-2,IF(AY339&lt;0,-1,IF(AY339=0,0,IF(AY339&lt;10,1.5,IF(AY339&lt;20,2,IF(AY339&gt;19,2.5,2.5)))))))</f>
        <v>0</v>
      </c>
    </row>
    <row r="340" spans="7:52" ht="12.75" customHeight="1">
      <c r="G340" s="5" t="e">
        <f t="shared" si="117"/>
        <v>#DIV/0!</v>
      </c>
      <c r="P340" s="5" t="e">
        <f t="shared" si="118"/>
        <v>#DIV/0!</v>
      </c>
      <c r="Y340">
        <v>70</v>
      </c>
      <c r="AA340" s="5">
        <f t="shared" si="119"/>
        <v>0</v>
      </c>
      <c r="AC340" s="5">
        <f t="shared" si="120"/>
        <v>0</v>
      </c>
      <c r="AG340" s="6" t="e">
        <f t="shared" si="121"/>
        <v>#DIV/0!</v>
      </c>
      <c r="AH340" s="5" t="e">
        <f t="shared" si="122"/>
        <v>#DIV/0!</v>
      </c>
      <c r="AJ340" s="5">
        <f t="shared" si="123"/>
        <v>1</v>
      </c>
      <c r="AK340" s="5" t="e">
        <f t="shared" si="124"/>
        <v>#DIV/0!</v>
      </c>
      <c r="AL340" s="4">
        <f t="shared" si="125"/>
        <v>0</v>
      </c>
      <c r="AM340" s="8">
        <f t="shared" si="126"/>
        <v>0</v>
      </c>
      <c r="AO340" s="61">
        <f t="shared" si="127"/>
        <v>0</v>
      </c>
      <c r="AP340" s="7" t="e">
        <f t="shared" si="116"/>
        <v>#DIV/0!</v>
      </c>
      <c r="AR340" s="7">
        <f t="shared" si="128"/>
        <v>5</v>
      </c>
      <c r="AZ340" s="4">
        <f t="shared" si="130"/>
        <v>0</v>
      </c>
    </row>
    <row r="341" spans="7:52" ht="12.75" customHeight="1">
      <c r="G341" s="5" t="e">
        <f t="shared" si="117"/>
        <v>#DIV/0!</v>
      </c>
      <c r="P341" s="5" t="e">
        <f t="shared" si="118"/>
        <v>#DIV/0!</v>
      </c>
      <c r="Y341">
        <v>70</v>
      </c>
      <c r="AA341" s="5">
        <f t="shared" si="119"/>
        <v>0</v>
      </c>
      <c r="AC341" s="5">
        <f t="shared" si="120"/>
        <v>0</v>
      </c>
      <c r="AG341" s="6" t="e">
        <f t="shared" si="121"/>
        <v>#DIV/0!</v>
      </c>
      <c r="AH341" s="5" t="e">
        <f t="shared" si="122"/>
        <v>#DIV/0!</v>
      </c>
      <c r="AJ341" s="5">
        <f t="shared" si="123"/>
        <v>1</v>
      </c>
      <c r="AK341" s="5" t="e">
        <f t="shared" si="124"/>
        <v>#DIV/0!</v>
      </c>
      <c r="AL341" s="4">
        <f t="shared" si="125"/>
        <v>0</v>
      </c>
      <c r="AM341" s="8">
        <f t="shared" si="126"/>
        <v>0</v>
      </c>
      <c r="AO341" s="61">
        <f t="shared" si="127"/>
        <v>0</v>
      </c>
      <c r="AP341" s="7" t="e">
        <f t="shared" ref="AP341:AP357" si="131">IF(AK341&gt;13.93,IF(Z341&lt;140,IF(Z341&lt;35,IF(Z341&lt;6,3,2),1),0),0)</f>
        <v>#DIV/0!</v>
      </c>
      <c r="AR341" s="7">
        <f t="shared" si="128"/>
        <v>5</v>
      </c>
      <c r="AZ341" s="4">
        <f t="shared" si="130"/>
        <v>0</v>
      </c>
    </row>
    <row r="342" spans="7:52" ht="12.75" customHeight="1">
      <c r="G342" s="5" t="e">
        <f t="shared" si="117"/>
        <v>#DIV/0!</v>
      </c>
      <c r="P342" s="5" t="e">
        <f t="shared" si="118"/>
        <v>#DIV/0!</v>
      </c>
      <c r="Y342">
        <v>70</v>
      </c>
      <c r="AA342" s="5">
        <f t="shared" si="119"/>
        <v>0</v>
      </c>
      <c r="AC342" s="5">
        <f t="shared" si="120"/>
        <v>0</v>
      </c>
      <c r="AG342" s="6" t="e">
        <f t="shared" si="121"/>
        <v>#DIV/0!</v>
      </c>
      <c r="AH342" s="5" t="e">
        <f t="shared" si="122"/>
        <v>#DIV/0!</v>
      </c>
      <c r="AJ342" s="5">
        <f t="shared" si="123"/>
        <v>1</v>
      </c>
      <c r="AK342" s="5" t="e">
        <f t="shared" si="124"/>
        <v>#DIV/0!</v>
      </c>
      <c r="AL342" s="4">
        <f t="shared" si="125"/>
        <v>0</v>
      </c>
      <c r="AM342" s="8">
        <f t="shared" si="126"/>
        <v>0</v>
      </c>
      <c r="AO342" s="61">
        <f t="shared" si="127"/>
        <v>0</v>
      </c>
      <c r="AP342" s="7" t="e">
        <f t="shared" si="131"/>
        <v>#DIV/0!</v>
      </c>
      <c r="AR342" s="7">
        <f t="shared" si="128"/>
        <v>5</v>
      </c>
      <c r="AZ342" s="4">
        <f t="shared" si="130"/>
        <v>0</v>
      </c>
    </row>
    <row r="343" spans="7:52" ht="12.75" customHeight="1">
      <c r="G343" s="5" t="e">
        <f t="shared" si="117"/>
        <v>#DIV/0!</v>
      </c>
      <c r="P343" s="5" t="e">
        <f t="shared" si="118"/>
        <v>#DIV/0!</v>
      </c>
      <c r="Y343">
        <v>70</v>
      </c>
      <c r="AA343" s="5">
        <f t="shared" si="119"/>
        <v>0</v>
      </c>
      <c r="AC343" s="5">
        <f t="shared" si="120"/>
        <v>0</v>
      </c>
      <c r="AG343" s="6" t="e">
        <f t="shared" si="121"/>
        <v>#DIV/0!</v>
      </c>
      <c r="AH343" s="5" t="e">
        <f t="shared" si="122"/>
        <v>#DIV/0!</v>
      </c>
      <c r="AJ343" s="5">
        <f t="shared" si="123"/>
        <v>1</v>
      </c>
      <c r="AK343" s="5" t="e">
        <f t="shared" si="124"/>
        <v>#DIV/0!</v>
      </c>
      <c r="AL343" s="4">
        <f t="shared" si="125"/>
        <v>0</v>
      </c>
      <c r="AM343" s="8">
        <f t="shared" si="126"/>
        <v>0</v>
      </c>
      <c r="AO343" s="61">
        <f t="shared" si="127"/>
        <v>0</v>
      </c>
      <c r="AP343" s="7" t="e">
        <f t="shared" si="131"/>
        <v>#DIV/0!</v>
      </c>
      <c r="AR343" s="7">
        <f t="shared" si="128"/>
        <v>5</v>
      </c>
      <c r="AZ343" s="4">
        <f t="shared" si="130"/>
        <v>0</v>
      </c>
    </row>
    <row r="344" spans="7:52" ht="12.75" customHeight="1">
      <c r="G344" s="5" t="e">
        <f t="shared" si="117"/>
        <v>#DIV/0!</v>
      </c>
      <c r="P344" s="5" t="e">
        <f t="shared" si="118"/>
        <v>#DIV/0!</v>
      </c>
      <c r="Y344">
        <v>70</v>
      </c>
      <c r="AA344" s="5">
        <f t="shared" si="119"/>
        <v>0</v>
      </c>
      <c r="AC344" s="5">
        <f t="shared" si="120"/>
        <v>0</v>
      </c>
      <c r="AG344" s="6" t="e">
        <f t="shared" si="121"/>
        <v>#DIV/0!</v>
      </c>
      <c r="AH344" s="5" t="e">
        <f t="shared" si="122"/>
        <v>#DIV/0!</v>
      </c>
      <c r="AJ344" s="5">
        <f t="shared" si="123"/>
        <v>1</v>
      </c>
      <c r="AK344" s="5" t="e">
        <f t="shared" si="124"/>
        <v>#DIV/0!</v>
      </c>
      <c r="AL344" s="4">
        <f t="shared" si="125"/>
        <v>0</v>
      </c>
      <c r="AM344" s="8">
        <f t="shared" si="126"/>
        <v>0</v>
      </c>
      <c r="AO344" s="61">
        <f t="shared" si="127"/>
        <v>0</v>
      </c>
      <c r="AP344" s="7" t="e">
        <f t="shared" si="131"/>
        <v>#DIV/0!</v>
      </c>
      <c r="AR344" s="7">
        <f t="shared" si="128"/>
        <v>5</v>
      </c>
      <c r="AZ344" s="4">
        <f t="shared" si="130"/>
        <v>0</v>
      </c>
    </row>
    <row r="345" spans="7:52" ht="12.75" customHeight="1">
      <c r="G345" s="5" t="e">
        <f t="shared" si="117"/>
        <v>#DIV/0!</v>
      </c>
      <c r="P345" s="5" t="e">
        <f t="shared" si="118"/>
        <v>#DIV/0!</v>
      </c>
      <c r="Y345">
        <v>70</v>
      </c>
      <c r="AA345" s="5">
        <f t="shared" si="119"/>
        <v>0</v>
      </c>
      <c r="AC345" s="5">
        <f t="shared" si="120"/>
        <v>0</v>
      </c>
      <c r="AG345" s="6" t="e">
        <f t="shared" si="121"/>
        <v>#DIV/0!</v>
      </c>
      <c r="AH345" s="5" t="e">
        <f t="shared" si="122"/>
        <v>#DIV/0!</v>
      </c>
      <c r="AJ345" s="5">
        <f t="shared" si="123"/>
        <v>1</v>
      </c>
      <c r="AK345" s="5" t="e">
        <f t="shared" si="124"/>
        <v>#DIV/0!</v>
      </c>
      <c r="AL345" s="4">
        <f t="shared" si="125"/>
        <v>0</v>
      </c>
      <c r="AM345" s="8">
        <f t="shared" si="126"/>
        <v>0</v>
      </c>
      <c r="AO345" s="61">
        <f t="shared" si="127"/>
        <v>0</v>
      </c>
      <c r="AP345" s="7" t="e">
        <f t="shared" si="131"/>
        <v>#DIV/0!</v>
      </c>
      <c r="AR345" s="7">
        <f t="shared" si="128"/>
        <v>5</v>
      </c>
      <c r="AZ345" s="4">
        <f t="shared" si="130"/>
        <v>0</v>
      </c>
    </row>
    <row r="346" spans="7:52" ht="12.75" customHeight="1">
      <c r="G346" s="5" t="e">
        <f t="shared" si="117"/>
        <v>#DIV/0!</v>
      </c>
      <c r="P346" s="5" t="e">
        <f t="shared" si="118"/>
        <v>#DIV/0!</v>
      </c>
      <c r="Y346">
        <v>70</v>
      </c>
      <c r="AA346" s="5">
        <f t="shared" si="119"/>
        <v>0</v>
      </c>
      <c r="AC346" s="5">
        <f t="shared" si="120"/>
        <v>0</v>
      </c>
      <c r="AG346" s="6" t="e">
        <f t="shared" si="121"/>
        <v>#DIV/0!</v>
      </c>
      <c r="AH346" s="5" t="e">
        <f t="shared" si="122"/>
        <v>#DIV/0!</v>
      </c>
      <c r="AJ346" s="5">
        <f t="shared" si="123"/>
        <v>1</v>
      </c>
      <c r="AK346" s="5" t="e">
        <f t="shared" si="124"/>
        <v>#DIV/0!</v>
      </c>
      <c r="AL346" s="4">
        <f t="shared" si="125"/>
        <v>0</v>
      </c>
      <c r="AM346" s="8">
        <f t="shared" si="126"/>
        <v>0</v>
      </c>
      <c r="AO346" s="61">
        <f t="shared" si="127"/>
        <v>0</v>
      </c>
      <c r="AP346" s="7" t="e">
        <f t="shared" si="131"/>
        <v>#DIV/0!</v>
      </c>
      <c r="AR346" s="7">
        <f t="shared" si="128"/>
        <v>5</v>
      </c>
      <c r="AZ346" s="4">
        <f t="shared" si="130"/>
        <v>0</v>
      </c>
    </row>
    <row r="347" spans="7:52" ht="12.75" customHeight="1">
      <c r="G347" s="5" t="e">
        <f t="shared" si="117"/>
        <v>#DIV/0!</v>
      </c>
      <c r="P347" s="5" t="e">
        <f t="shared" si="118"/>
        <v>#DIV/0!</v>
      </c>
      <c r="Y347">
        <v>70</v>
      </c>
      <c r="AA347" s="5">
        <f t="shared" si="119"/>
        <v>0</v>
      </c>
      <c r="AC347" s="5">
        <f t="shared" si="120"/>
        <v>0</v>
      </c>
      <c r="AG347" s="6" t="e">
        <f t="shared" si="121"/>
        <v>#DIV/0!</v>
      </c>
      <c r="AH347" s="5" t="e">
        <f t="shared" si="122"/>
        <v>#DIV/0!</v>
      </c>
      <c r="AJ347" s="5">
        <f t="shared" si="123"/>
        <v>1</v>
      </c>
      <c r="AK347" s="5" t="e">
        <f t="shared" si="124"/>
        <v>#DIV/0!</v>
      </c>
      <c r="AL347" s="4">
        <f t="shared" si="125"/>
        <v>0</v>
      </c>
      <c r="AM347" s="8">
        <f t="shared" si="126"/>
        <v>0</v>
      </c>
      <c r="AO347" s="61">
        <f t="shared" si="127"/>
        <v>0</v>
      </c>
      <c r="AP347" s="7" t="e">
        <f t="shared" si="131"/>
        <v>#DIV/0!</v>
      </c>
      <c r="AR347" s="7">
        <f t="shared" si="128"/>
        <v>5</v>
      </c>
      <c r="AZ347" s="4">
        <f t="shared" si="130"/>
        <v>0</v>
      </c>
    </row>
    <row r="348" spans="7:52" ht="12.75" customHeight="1">
      <c r="G348" s="5" t="e">
        <f t="shared" si="117"/>
        <v>#DIV/0!</v>
      </c>
      <c r="P348" s="5" t="e">
        <f t="shared" si="118"/>
        <v>#DIV/0!</v>
      </c>
      <c r="Y348">
        <v>70</v>
      </c>
      <c r="AA348" s="5">
        <f t="shared" si="119"/>
        <v>0</v>
      </c>
      <c r="AC348" s="5">
        <f t="shared" si="120"/>
        <v>0</v>
      </c>
      <c r="AG348" s="6" t="e">
        <f t="shared" si="121"/>
        <v>#DIV/0!</v>
      </c>
      <c r="AH348" s="5" t="e">
        <f t="shared" si="122"/>
        <v>#DIV/0!</v>
      </c>
      <c r="AJ348" s="5">
        <f t="shared" si="123"/>
        <v>1</v>
      </c>
      <c r="AK348" s="5" t="e">
        <f t="shared" si="124"/>
        <v>#DIV/0!</v>
      </c>
      <c r="AL348" s="4">
        <f t="shared" si="125"/>
        <v>0</v>
      </c>
      <c r="AM348" s="8">
        <f t="shared" si="126"/>
        <v>0</v>
      </c>
      <c r="AO348" s="61">
        <f t="shared" si="127"/>
        <v>0</v>
      </c>
      <c r="AP348" s="7" t="e">
        <f t="shared" si="131"/>
        <v>#DIV/0!</v>
      </c>
      <c r="AR348" s="7">
        <f t="shared" si="128"/>
        <v>5</v>
      </c>
      <c r="AZ348" s="4">
        <f t="shared" si="130"/>
        <v>0</v>
      </c>
    </row>
    <row r="349" spans="7:52" ht="12.75" customHeight="1">
      <c r="G349" s="5" t="e">
        <f t="shared" si="117"/>
        <v>#DIV/0!</v>
      </c>
      <c r="P349" s="5" t="e">
        <f t="shared" si="118"/>
        <v>#DIV/0!</v>
      </c>
      <c r="Y349">
        <v>70</v>
      </c>
      <c r="AA349" s="5">
        <f t="shared" si="119"/>
        <v>0</v>
      </c>
      <c r="AC349" s="5">
        <f t="shared" si="120"/>
        <v>0</v>
      </c>
      <c r="AG349" s="6" t="e">
        <f t="shared" si="121"/>
        <v>#DIV/0!</v>
      </c>
      <c r="AH349" s="5" t="e">
        <f t="shared" si="122"/>
        <v>#DIV/0!</v>
      </c>
      <c r="AJ349" s="5">
        <f t="shared" si="123"/>
        <v>1</v>
      </c>
      <c r="AK349" s="5" t="e">
        <f t="shared" si="124"/>
        <v>#DIV/0!</v>
      </c>
      <c r="AL349" s="4">
        <f t="shared" si="125"/>
        <v>0</v>
      </c>
      <c r="AM349" s="8">
        <f t="shared" si="126"/>
        <v>0</v>
      </c>
      <c r="AO349" s="61">
        <f t="shared" si="127"/>
        <v>0</v>
      </c>
      <c r="AP349" s="7" t="e">
        <f t="shared" si="131"/>
        <v>#DIV/0!</v>
      </c>
      <c r="AR349" s="7">
        <f t="shared" si="128"/>
        <v>5</v>
      </c>
      <c r="AZ349" s="4">
        <f t="shared" si="130"/>
        <v>0</v>
      </c>
    </row>
    <row r="350" spans="7:52" ht="12.75" customHeight="1">
      <c r="G350" s="5" t="e">
        <f t="shared" si="117"/>
        <v>#DIV/0!</v>
      </c>
      <c r="P350" s="5" t="e">
        <f t="shared" si="118"/>
        <v>#DIV/0!</v>
      </c>
      <c r="Y350">
        <v>70</v>
      </c>
      <c r="AA350" s="5">
        <f t="shared" si="119"/>
        <v>0</v>
      </c>
      <c r="AC350" s="5">
        <f t="shared" si="120"/>
        <v>0</v>
      </c>
      <c r="AG350" s="6" t="e">
        <f t="shared" si="121"/>
        <v>#DIV/0!</v>
      </c>
      <c r="AH350" s="5" t="e">
        <f t="shared" si="122"/>
        <v>#DIV/0!</v>
      </c>
      <c r="AJ350" s="5">
        <f t="shared" si="123"/>
        <v>1</v>
      </c>
      <c r="AK350" s="5" t="e">
        <f t="shared" si="124"/>
        <v>#DIV/0!</v>
      </c>
      <c r="AL350" s="4">
        <f t="shared" si="125"/>
        <v>0</v>
      </c>
      <c r="AM350" s="8">
        <f t="shared" si="126"/>
        <v>0</v>
      </c>
      <c r="AO350" s="61">
        <f t="shared" si="127"/>
        <v>0</v>
      </c>
      <c r="AP350" s="7" t="e">
        <f t="shared" si="131"/>
        <v>#DIV/0!</v>
      </c>
      <c r="AR350" s="7">
        <f t="shared" si="128"/>
        <v>5</v>
      </c>
      <c r="AZ350" s="4">
        <f t="shared" si="130"/>
        <v>0</v>
      </c>
    </row>
    <row r="351" spans="7:52" ht="12.75" customHeight="1">
      <c r="G351" s="5" t="e">
        <f t="shared" si="117"/>
        <v>#DIV/0!</v>
      </c>
      <c r="P351" s="5" t="e">
        <f t="shared" si="118"/>
        <v>#DIV/0!</v>
      </c>
      <c r="Y351">
        <v>70</v>
      </c>
      <c r="AA351" s="5">
        <f t="shared" si="119"/>
        <v>0</v>
      </c>
      <c r="AC351" s="5">
        <f t="shared" si="120"/>
        <v>0</v>
      </c>
      <c r="AG351" s="6" t="e">
        <f t="shared" si="121"/>
        <v>#DIV/0!</v>
      </c>
      <c r="AH351" s="5" t="e">
        <f t="shared" si="122"/>
        <v>#DIV/0!</v>
      </c>
      <c r="AJ351" s="5">
        <f t="shared" si="123"/>
        <v>1</v>
      </c>
      <c r="AK351" s="5" t="e">
        <f t="shared" si="124"/>
        <v>#DIV/0!</v>
      </c>
      <c r="AL351" s="4">
        <f t="shared" si="125"/>
        <v>0</v>
      </c>
      <c r="AM351" s="8">
        <f t="shared" si="126"/>
        <v>0</v>
      </c>
      <c r="AO351" s="61">
        <f t="shared" si="127"/>
        <v>0</v>
      </c>
      <c r="AP351" s="7" t="e">
        <f t="shared" si="131"/>
        <v>#DIV/0!</v>
      </c>
      <c r="AR351" s="7">
        <f t="shared" si="128"/>
        <v>5</v>
      </c>
      <c r="AZ351" s="4">
        <f t="shared" si="130"/>
        <v>0</v>
      </c>
    </row>
    <row r="352" spans="7:52" ht="12.75" customHeight="1">
      <c r="G352" s="5" t="e">
        <f t="shared" si="117"/>
        <v>#DIV/0!</v>
      </c>
      <c r="P352" s="5" t="e">
        <f t="shared" si="118"/>
        <v>#DIV/0!</v>
      </c>
      <c r="Y352">
        <v>70</v>
      </c>
      <c r="AA352" s="5">
        <f t="shared" si="119"/>
        <v>0</v>
      </c>
      <c r="AC352" s="5">
        <f t="shared" si="120"/>
        <v>0</v>
      </c>
      <c r="AG352" s="6" t="e">
        <f t="shared" si="121"/>
        <v>#DIV/0!</v>
      </c>
      <c r="AH352" s="5" t="e">
        <f t="shared" si="122"/>
        <v>#DIV/0!</v>
      </c>
      <c r="AJ352" s="5">
        <f t="shared" si="123"/>
        <v>1</v>
      </c>
      <c r="AK352" s="5" t="e">
        <f t="shared" si="124"/>
        <v>#DIV/0!</v>
      </c>
      <c r="AL352" s="4">
        <f t="shared" si="125"/>
        <v>0</v>
      </c>
      <c r="AM352" s="8">
        <f t="shared" si="126"/>
        <v>0</v>
      </c>
      <c r="AO352" s="61">
        <f t="shared" si="127"/>
        <v>0</v>
      </c>
      <c r="AP352" s="7" t="e">
        <f t="shared" si="131"/>
        <v>#DIV/0!</v>
      </c>
      <c r="AR352" s="7">
        <f t="shared" si="128"/>
        <v>5</v>
      </c>
      <c r="AZ352" s="4">
        <f t="shared" si="130"/>
        <v>0</v>
      </c>
    </row>
    <row r="353" spans="7:52" ht="12.75" customHeight="1">
      <c r="G353" s="5" t="e">
        <f t="shared" ref="G353:G384" si="132">100*(F353-E353)/F353</f>
        <v>#DIV/0!</v>
      </c>
      <c r="P353" s="5" t="e">
        <f t="shared" ref="P353:P384" si="133">O353/I353</f>
        <v>#DIV/0!</v>
      </c>
      <c r="Y353">
        <v>70</v>
      </c>
      <c r="AA353" s="5">
        <f t="shared" ref="AA353:AA384" si="134">IF(X353&lt;50,IF(Y353&gt;(2.3*X353),0,1),1)-IF(Z353&gt;Y353,1.7,0)</f>
        <v>0</v>
      </c>
      <c r="AC353" s="5">
        <f t="shared" ref="AC353:AC384" si="135">IF(AB353&gt;4,1,0)+IF(AB353&gt;10,0.7,0)</f>
        <v>0</v>
      </c>
      <c r="AG353" s="6" t="e">
        <f t="shared" ref="AG353:AG377" si="136">IF(G353&lt;52,0,0.7)+IF(G353&lt;34,0,0.7)+IF(G353&lt;1,0,0.7)+IF(P353&gt;14.56,0,1)+IF(R353&lt;9,0.5,0)+IF(R353&lt;33.8,0.5,0)+IF(R353&lt;50,0.5,0)+IF(R353&lt;80,0.5,0)+IF(S353=5,0,S353)+IF(V353&gt;0,1,-1)+IF(AE353&lt;10.56,0,1)-IF(AE353&lt;3,1,0)-IF(AE353&lt;1,1,0)</f>
        <v>#DIV/0!</v>
      </c>
      <c r="AH353" s="5" t="e">
        <f t="shared" ref="AH353:AH384" si="137">AG353+IF(X353&lt;1.35,0,1)+IF(Y353&lt;1.35,0,1)+IF(Y353&lt;0.7,-1,0)+AC353+AA353</f>
        <v>#DIV/0!</v>
      </c>
      <c r="AJ353" s="5">
        <f t="shared" si="123"/>
        <v>1</v>
      </c>
      <c r="AK353" s="5" t="e">
        <f t="shared" si="124"/>
        <v>#DIV/0!</v>
      </c>
      <c r="AL353" s="4">
        <f t="shared" si="125"/>
        <v>0</v>
      </c>
      <c r="AM353" s="8">
        <f t="shared" si="126"/>
        <v>0</v>
      </c>
      <c r="AO353" s="61">
        <f t="shared" si="127"/>
        <v>0</v>
      </c>
      <c r="AP353" s="7" t="e">
        <f t="shared" si="131"/>
        <v>#DIV/0!</v>
      </c>
      <c r="AR353" s="7">
        <f t="shared" si="128"/>
        <v>5</v>
      </c>
      <c r="AZ353" s="4">
        <f t="shared" si="130"/>
        <v>0</v>
      </c>
    </row>
    <row r="354" spans="7:52" ht="12.75" customHeight="1">
      <c r="G354" s="5" t="e">
        <f t="shared" si="132"/>
        <v>#DIV/0!</v>
      </c>
      <c r="P354" s="5" t="e">
        <f t="shared" si="133"/>
        <v>#DIV/0!</v>
      </c>
      <c r="Y354">
        <v>70</v>
      </c>
      <c r="AA354" s="5">
        <f t="shared" si="134"/>
        <v>0</v>
      </c>
      <c r="AC354" s="5">
        <f t="shared" si="135"/>
        <v>0</v>
      </c>
      <c r="AG354" s="6" t="e">
        <f t="shared" si="136"/>
        <v>#DIV/0!</v>
      </c>
      <c r="AH354" s="5" t="e">
        <f t="shared" si="137"/>
        <v>#DIV/0!</v>
      </c>
      <c r="AJ354" s="5">
        <f t="shared" si="123"/>
        <v>1</v>
      </c>
      <c r="AK354" s="5" t="e">
        <f t="shared" si="124"/>
        <v>#DIV/0!</v>
      </c>
      <c r="AL354" s="4">
        <f t="shared" si="125"/>
        <v>0</v>
      </c>
      <c r="AM354" s="8">
        <f t="shared" si="126"/>
        <v>0</v>
      </c>
      <c r="AO354" s="61">
        <f t="shared" si="127"/>
        <v>0</v>
      </c>
      <c r="AP354" s="7" t="e">
        <f t="shared" si="131"/>
        <v>#DIV/0!</v>
      </c>
      <c r="AR354" s="7">
        <f t="shared" si="128"/>
        <v>5</v>
      </c>
      <c r="AZ354" s="4">
        <f>IF(AY354&lt;-50,-4,IF(AY354&lt;-20,-2,IF(AY354&lt;0,-1,IF(AY354=0,0,IF(AY354&lt;10,1.5,IF(AY354&lt;20,2.5,IF(AY354&gt;19,3,3)))))))</f>
        <v>0</v>
      </c>
    </row>
    <row r="355" spans="7:52" ht="12.75" customHeight="1">
      <c r="G355" s="5" t="e">
        <f t="shared" si="132"/>
        <v>#DIV/0!</v>
      </c>
      <c r="P355" s="5" t="e">
        <f t="shared" si="133"/>
        <v>#DIV/0!</v>
      </c>
      <c r="Y355">
        <v>70</v>
      </c>
      <c r="AA355" s="5">
        <f t="shared" si="134"/>
        <v>0</v>
      </c>
      <c r="AC355" s="5">
        <f t="shared" si="135"/>
        <v>0</v>
      </c>
      <c r="AG355" s="6" t="e">
        <f t="shared" si="136"/>
        <v>#DIV/0!</v>
      </c>
      <c r="AH355" s="5" t="e">
        <f t="shared" si="137"/>
        <v>#DIV/0!</v>
      </c>
      <c r="AJ355" s="5">
        <f t="shared" si="123"/>
        <v>1</v>
      </c>
      <c r="AK355" s="5" t="e">
        <f t="shared" si="124"/>
        <v>#DIV/0!</v>
      </c>
      <c r="AL355" s="4">
        <f t="shared" si="125"/>
        <v>0</v>
      </c>
      <c r="AM355" s="8">
        <f t="shared" si="126"/>
        <v>0</v>
      </c>
      <c r="AO355" s="61">
        <f t="shared" si="127"/>
        <v>0</v>
      </c>
      <c r="AP355" s="7" t="e">
        <f t="shared" si="131"/>
        <v>#DIV/0!</v>
      </c>
      <c r="AR355" s="7">
        <f t="shared" si="128"/>
        <v>5</v>
      </c>
      <c r="AZ355" s="4">
        <f>IF(AY355&lt;-50,-4,IF(AY355&lt;-20,-2,IF(AY355&lt;0,-1,IF(AY355=0,0,IF(AY355&lt;10,1.5,IF(AY355&lt;20,2.5,IF(AY355&gt;19,3,3)))))))</f>
        <v>0</v>
      </c>
    </row>
    <row r="356" spans="7:52" ht="12.75" customHeight="1">
      <c r="G356" s="5" t="e">
        <f t="shared" si="132"/>
        <v>#DIV/0!</v>
      </c>
      <c r="P356" s="5" t="e">
        <f t="shared" si="133"/>
        <v>#DIV/0!</v>
      </c>
      <c r="Y356">
        <v>70</v>
      </c>
      <c r="AA356" s="5">
        <f t="shared" si="134"/>
        <v>0</v>
      </c>
      <c r="AC356" s="5">
        <f t="shared" si="135"/>
        <v>0</v>
      </c>
      <c r="AG356" s="6" t="e">
        <f t="shared" si="136"/>
        <v>#DIV/0!</v>
      </c>
      <c r="AH356" s="5" t="e">
        <f t="shared" si="137"/>
        <v>#DIV/0!</v>
      </c>
      <c r="AJ356" s="5">
        <f t="shared" si="123"/>
        <v>1</v>
      </c>
      <c r="AK356" s="5" t="e">
        <f t="shared" si="124"/>
        <v>#DIV/0!</v>
      </c>
      <c r="AL356" s="4">
        <f t="shared" si="125"/>
        <v>0</v>
      </c>
      <c r="AM356" s="8">
        <f t="shared" si="126"/>
        <v>0</v>
      </c>
      <c r="AO356" s="61">
        <f t="shared" si="127"/>
        <v>0</v>
      </c>
      <c r="AP356" s="7" t="e">
        <f t="shared" si="131"/>
        <v>#DIV/0!</v>
      </c>
      <c r="AR356" s="7">
        <f>IF(AL356=AO356,1,0)</f>
        <v>1</v>
      </c>
      <c r="AZ356" s="4">
        <f>IF(AY356&lt;-50,-4,IF(AY356&lt;-20,-2,IF(AY356&lt;0,-1,IF(AY356=0,0,IF(AY356&lt;10,1.5,IF(AY356&lt;20,2.5,IF(AY356&gt;19,3,3)))))))</f>
        <v>0</v>
      </c>
    </row>
    <row r="357" spans="7:52" ht="12.75" customHeight="1">
      <c r="G357" s="5" t="e">
        <f t="shared" si="132"/>
        <v>#DIV/0!</v>
      </c>
      <c r="P357" s="5" t="e">
        <f t="shared" si="133"/>
        <v>#DIV/0!</v>
      </c>
      <c r="Y357">
        <v>70</v>
      </c>
      <c r="AA357" s="5">
        <f t="shared" si="134"/>
        <v>0</v>
      </c>
      <c r="AC357" s="5">
        <f t="shared" si="135"/>
        <v>0</v>
      </c>
      <c r="AG357" s="6" t="e">
        <f t="shared" si="136"/>
        <v>#DIV/0!</v>
      </c>
      <c r="AH357" s="5" t="e">
        <f t="shared" si="137"/>
        <v>#DIV/0!</v>
      </c>
      <c r="AJ357" s="5">
        <f t="shared" si="123"/>
        <v>1</v>
      </c>
      <c r="AK357" s="5" t="e">
        <f t="shared" si="124"/>
        <v>#DIV/0!</v>
      </c>
      <c r="AL357" s="4">
        <f t="shared" si="125"/>
        <v>0</v>
      </c>
      <c r="AM357" s="8">
        <f t="shared" si="126"/>
        <v>0</v>
      </c>
      <c r="AO357" s="61">
        <f t="shared" si="127"/>
        <v>0</v>
      </c>
      <c r="AP357" s="7" t="e">
        <f t="shared" si="131"/>
        <v>#DIV/0!</v>
      </c>
      <c r="AR357" s="7">
        <f>IF(AL357=AO357,1,0)</f>
        <v>1</v>
      </c>
      <c r="AZ357" s="4">
        <f>IF(AY357&lt;-50,-4,IF(AY357&lt;-20,-2,IF(AY357&lt;0,-1,IF(AY357=0,0,IF(AY357&lt;10,1.5,IF(AY357&lt;20,2.5,IF(AY357&gt;19,3,3)))))))</f>
        <v>0</v>
      </c>
    </row>
    <row r="358" spans="7:52" ht="12.75" customHeight="1">
      <c r="G358" s="5" t="e">
        <f t="shared" si="132"/>
        <v>#DIV/0!</v>
      </c>
      <c r="P358" s="5" t="e">
        <f t="shared" si="133"/>
        <v>#DIV/0!</v>
      </c>
      <c r="Y358">
        <v>70</v>
      </c>
      <c r="AA358" s="5">
        <f t="shared" si="134"/>
        <v>0</v>
      </c>
      <c r="AC358" s="5">
        <f t="shared" si="135"/>
        <v>0</v>
      </c>
      <c r="AG358" s="6" t="e">
        <f t="shared" si="136"/>
        <v>#DIV/0!</v>
      </c>
      <c r="AH358" s="5" t="e">
        <f t="shared" si="137"/>
        <v>#DIV/0!</v>
      </c>
      <c r="AJ358" s="5">
        <f t="shared" si="123"/>
        <v>1</v>
      </c>
      <c r="AK358" s="5" t="e">
        <f t="shared" si="124"/>
        <v>#DIV/0!</v>
      </c>
      <c r="AL358" s="4">
        <f t="shared" si="125"/>
        <v>0</v>
      </c>
      <c r="AM358" s="8">
        <f t="shared" si="126"/>
        <v>0</v>
      </c>
      <c r="AO358" s="61">
        <f t="shared" si="127"/>
        <v>0</v>
      </c>
    </row>
    <row r="359" spans="7:52" ht="12.75" customHeight="1">
      <c r="G359" s="5" t="e">
        <f t="shared" si="132"/>
        <v>#DIV/0!</v>
      </c>
      <c r="P359" s="5" t="e">
        <f t="shared" si="133"/>
        <v>#DIV/0!</v>
      </c>
      <c r="Y359">
        <v>70</v>
      </c>
      <c r="AA359" s="5">
        <f t="shared" si="134"/>
        <v>0</v>
      </c>
      <c r="AC359" s="5">
        <f t="shared" si="135"/>
        <v>0</v>
      </c>
      <c r="AG359" s="6" t="e">
        <f t="shared" si="136"/>
        <v>#DIV/0!</v>
      </c>
      <c r="AH359" s="5" t="e">
        <f t="shared" si="137"/>
        <v>#DIV/0!</v>
      </c>
      <c r="AJ359" s="5">
        <f t="shared" si="123"/>
        <v>1</v>
      </c>
      <c r="AK359" s="5" t="e">
        <f t="shared" si="124"/>
        <v>#DIV/0!</v>
      </c>
      <c r="AL359" s="4">
        <f t="shared" si="125"/>
        <v>0</v>
      </c>
      <c r="AM359" s="8">
        <f t="shared" si="126"/>
        <v>0</v>
      </c>
      <c r="AO359" s="61">
        <f t="shared" si="127"/>
        <v>0</v>
      </c>
    </row>
    <row r="360" spans="7:52" ht="12.75" customHeight="1">
      <c r="G360" s="5" t="e">
        <f t="shared" si="132"/>
        <v>#DIV/0!</v>
      </c>
      <c r="P360" s="5" t="e">
        <f t="shared" si="133"/>
        <v>#DIV/0!</v>
      </c>
      <c r="Y360">
        <v>70</v>
      </c>
      <c r="AA360" s="5">
        <f t="shared" si="134"/>
        <v>0</v>
      </c>
      <c r="AC360" s="5">
        <f t="shared" si="135"/>
        <v>0</v>
      </c>
      <c r="AG360" s="6" t="e">
        <f t="shared" si="136"/>
        <v>#DIV/0!</v>
      </c>
      <c r="AH360" s="5" t="e">
        <f t="shared" si="137"/>
        <v>#DIV/0!</v>
      </c>
      <c r="AJ360" s="5">
        <f t="shared" si="123"/>
        <v>1</v>
      </c>
      <c r="AK360" s="5" t="e">
        <f t="shared" si="124"/>
        <v>#DIV/0!</v>
      </c>
      <c r="AL360" s="4">
        <f t="shared" si="125"/>
        <v>0</v>
      </c>
      <c r="AM360" s="8">
        <f t="shared" si="126"/>
        <v>0</v>
      </c>
      <c r="AO360" s="61">
        <f t="shared" si="127"/>
        <v>0</v>
      </c>
    </row>
    <row r="361" spans="7:52" ht="12.75" customHeight="1">
      <c r="G361" s="5" t="e">
        <f t="shared" si="132"/>
        <v>#DIV/0!</v>
      </c>
      <c r="P361" s="5" t="e">
        <f t="shared" si="133"/>
        <v>#DIV/0!</v>
      </c>
      <c r="Y361">
        <v>70</v>
      </c>
      <c r="AA361" s="5">
        <f t="shared" si="134"/>
        <v>0</v>
      </c>
      <c r="AC361" s="5">
        <f t="shared" si="135"/>
        <v>0</v>
      </c>
      <c r="AG361" s="6" t="e">
        <f t="shared" si="136"/>
        <v>#DIV/0!</v>
      </c>
      <c r="AH361" s="5" t="e">
        <f t="shared" si="137"/>
        <v>#DIV/0!</v>
      </c>
      <c r="AJ361" s="5">
        <f t="shared" si="123"/>
        <v>1</v>
      </c>
      <c r="AK361" s="5" t="e">
        <f t="shared" si="124"/>
        <v>#DIV/0!</v>
      </c>
      <c r="AL361" s="4">
        <f t="shared" si="125"/>
        <v>0</v>
      </c>
      <c r="AM361" s="8">
        <f t="shared" si="126"/>
        <v>0</v>
      </c>
      <c r="AO361" s="61">
        <f t="shared" si="127"/>
        <v>0</v>
      </c>
    </row>
    <row r="362" spans="7:52" ht="12.75" customHeight="1">
      <c r="G362" s="5" t="e">
        <f t="shared" si="132"/>
        <v>#DIV/0!</v>
      </c>
      <c r="P362" s="5" t="e">
        <f t="shared" si="133"/>
        <v>#DIV/0!</v>
      </c>
      <c r="Y362">
        <v>70</v>
      </c>
      <c r="AA362" s="5">
        <f t="shared" si="134"/>
        <v>0</v>
      </c>
      <c r="AC362" s="5">
        <f t="shared" si="135"/>
        <v>0</v>
      </c>
      <c r="AG362" s="6" t="e">
        <f t="shared" si="136"/>
        <v>#DIV/0!</v>
      </c>
      <c r="AH362" s="5" t="e">
        <f t="shared" si="137"/>
        <v>#DIV/0!</v>
      </c>
      <c r="AJ362" s="5">
        <f t="shared" si="123"/>
        <v>1</v>
      </c>
      <c r="AK362" s="5" t="e">
        <f t="shared" si="124"/>
        <v>#DIV/0!</v>
      </c>
      <c r="AL362" s="4">
        <f t="shared" si="125"/>
        <v>0</v>
      </c>
      <c r="AM362" s="8">
        <f t="shared" si="126"/>
        <v>0</v>
      </c>
      <c r="AO362" s="61">
        <f t="shared" si="127"/>
        <v>0</v>
      </c>
    </row>
    <row r="363" spans="7:52" ht="12.75" customHeight="1">
      <c r="G363" s="5" t="e">
        <f t="shared" si="132"/>
        <v>#DIV/0!</v>
      </c>
      <c r="P363" s="5" t="e">
        <f t="shared" si="133"/>
        <v>#DIV/0!</v>
      </c>
      <c r="Y363">
        <v>70</v>
      </c>
      <c r="AA363" s="5">
        <f t="shared" si="134"/>
        <v>0</v>
      </c>
      <c r="AC363" s="5">
        <f t="shared" si="135"/>
        <v>0</v>
      </c>
      <c r="AG363" s="6" t="e">
        <f t="shared" si="136"/>
        <v>#DIV/0!</v>
      </c>
      <c r="AH363" s="5" t="e">
        <f t="shared" si="137"/>
        <v>#DIV/0!</v>
      </c>
      <c r="AJ363" s="5">
        <f t="shared" si="123"/>
        <v>1</v>
      </c>
      <c r="AK363" s="5" t="e">
        <f t="shared" si="124"/>
        <v>#DIV/0!</v>
      </c>
      <c r="AL363" s="4">
        <f t="shared" si="125"/>
        <v>0</v>
      </c>
      <c r="AM363" s="8">
        <f t="shared" si="126"/>
        <v>0</v>
      </c>
      <c r="AO363" s="61">
        <f t="shared" si="127"/>
        <v>0</v>
      </c>
    </row>
    <row r="364" spans="7:52" ht="12.75" customHeight="1">
      <c r="G364" s="5" t="e">
        <f t="shared" si="132"/>
        <v>#DIV/0!</v>
      </c>
      <c r="P364" s="5" t="e">
        <f t="shared" si="133"/>
        <v>#DIV/0!</v>
      </c>
      <c r="AA364" s="5">
        <f t="shared" si="134"/>
        <v>1</v>
      </c>
      <c r="AC364" s="5">
        <f t="shared" si="135"/>
        <v>0</v>
      </c>
      <c r="AG364" s="6" t="e">
        <f t="shared" si="136"/>
        <v>#DIV/0!</v>
      </c>
      <c r="AH364" s="5" t="e">
        <f t="shared" si="137"/>
        <v>#DIV/0!</v>
      </c>
      <c r="AJ364" s="5">
        <f t="shared" si="123"/>
        <v>1</v>
      </c>
      <c r="AK364" s="5" t="e">
        <f t="shared" si="124"/>
        <v>#DIV/0!</v>
      </c>
      <c r="AL364" s="4">
        <f t="shared" si="125"/>
        <v>0</v>
      </c>
      <c r="AM364" s="8">
        <f t="shared" si="126"/>
        <v>0</v>
      </c>
      <c r="AO364" s="61">
        <f t="shared" si="127"/>
        <v>0</v>
      </c>
    </row>
    <row r="365" spans="7:52" ht="12.75" customHeight="1">
      <c r="G365" s="5" t="e">
        <f t="shared" si="132"/>
        <v>#DIV/0!</v>
      </c>
      <c r="P365" s="5" t="e">
        <f t="shared" si="133"/>
        <v>#DIV/0!</v>
      </c>
      <c r="AA365" s="5">
        <f t="shared" si="134"/>
        <v>1</v>
      </c>
      <c r="AC365" s="5">
        <f t="shared" si="135"/>
        <v>0</v>
      </c>
      <c r="AG365" s="6" t="e">
        <f t="shared" si="136"/>
        <v>#DIV/0!</v>
      </c>
      <c r="AH365" s="5" t="e">
        <f t="shared" si="137"/>
        <v>#DIV/0!</v>
      </c>
      <c r="AJ365" s="5">
        <f t="shared" si="123"/>
        <v>1</v>
      </c>
      <c r="AK365" s="5" t="e">
        <f t="shared" si="124"/>
        <v>#DIV/0!</v>
      </c>
      <c r="AL365" s="4">
        <f t="shared" si="125"/>
        <v>0</v>
      </c>
      <c r="AM365" s="8">
        <f t="shared" si="126"/>
        <v>0</v>
      </c>
      <c r="AO365" s="61">
        <f t="shared" si="127"/>
        <v>0</v>
      </c>
    </row>
    <row r="366" spans="7:52" ht="12.75" customHeight="1">
      <c r="G366" s="5" t="e">
        <f t="shared" si="132"/>
        <v>#DIV/0!</v>
      </c>
      <c r="P366" s="5" t="e">
        <f t="shared" si="133"/>
        <v>#DIV/0!</v>
      </c>
      <c r="AA366" s="5">
        <f t="shared" si="134"/>
        <v>1</v>
      </c>
      <c r="AC366" s="5">
        <f t="shared" si="135"/>
        <v>0</v>
      </c>
      <c r="AG366" s="6" t="e">
        <f t="shared" si="136"/>
        <v>#DIV/0!</v>
      </c>
      <c r="AH366" s="5" t="e">
        <f t="shared" si="137"/>
        <v>#DIV/0!</v>
      </c>
      <c r="AJ366" s="5">
        <f t="shared" si="123"/>
        <v>1</v>
      </c>
      <c r="AK366" s="5" t="e">
        <f t="shared" si="124"/>
        <v>#DIV/0!</v>
      </c>
      <c r="AL366" s="4">
        <f t="shared" si="125"/>
        <v>0</v>
      </c>
      <c r="AM366" s="8">
        <f t="shared" si="126"/>
        <v>0</v>
      </c>
      <c r="AO366" s="61">
        <f t="shared" si="127"/>
        <v>0</v>
      </c>
    </row>
    <row r="367" spans="7:52" ht="12.75" customHeight="1">
      <c r="G367" s="5" t="e">
        <f t="shared" si="132"/>
        <v>#DIV/0!</v>
      </c>
      <c r="P367" s="5" t="e">
        <f t="shared" si="133"/>
        <v>#DIV/0!</v>
      </c>
      <c r="AA367" s="5">
        <f t="shared" si="134"/>
        <v>1</v>
      </c>
      <c r="AC367" s="5">
        <f t="shared" si="135"/>
        <v>0</v>
      </c>
      <c r="AG367" s="6" t="e">
        <f t="shared" si="136"/>
        <v>#DIV/0!</v>
      </c>
      <c r="AH367" s="5" t="e">
        <f t="shared" si="137"/>
        <v>#DIV/0!</v>
      </c>
      <c r="AJ367" s="5">
        <f t="shared" si="123"/>
        <v>1</v>
      </c>
      <c r="AK367" s="5" t="e">
        <f t="shared" si="124"/>
        <v>#DIV/0!</v>
      </c>
      <c r="AL367" s="4">
        <f t="shared" si="125"/>
        <v>0</v>
      </c>
      <c r="AM367" s="8">
        <f t="shared" si="126"/>
        <v>0</v>
      </c>
      <c r="AO367" s="61">
        <f t="shared" si="127"/>
        <v>0</v>
      </c>
    </row>
    <row r="368" spans="7:52" ht="12.75" customHeight="1">
      <c r="G368" s="5" t="e">
        <f t="shared" si="132"/>
        <v>#DIV/0!</v>
      </c>
      <c r="P368" s="5" t="e">
        <f t="shared" si="133"/>
        <v>#DIV/0!</v>
      </c>
      <c r="AA368" s="5">
        <f t="shared" si="134"/>
        <v>1</v>
      </c>
      <c r="AC368" s="5">
        <f t="shared" si="135"/>
        <v>0</v>
      </c>
      <c r="AG368" s="6" t="e">
        <f t="shared" si="136"/>
        <v>#DIV/0!</v>
      </c>
      <c r="AH368" s="5" t="e">
        <f t="shared" si="137"/>
        <v>#DIV/0!</v>
      </c>
      <c r="AJ368" s="5">
        <f t="shared" si="123"/>
        <v>1</v>
      </c>
      <c r="AK368" s="5" t="e">
        <f t="shared" si="124"/>
        <v>#DIV/0!</v>
      </c>
      <c r="AL368" s="4">
        <f t="shared" si="125"/>
        <v>0</v>
      </c>
      <c r="AM368" s="8">
        <f t="shared" si="126"/>
        <v>0</v>
      </c>
      <c r="AO368" s="61">
        <f t="shared" si="127"/>
        <v>0</v>
      </c>
    </row>
    <row r="369" spans="7:41" ht="12.75" customHeight="1">
      <c r="G369" s="5" t="e">
        <f t="shared" si="132"/>
        <v>#DIV/0!</v>
      </c>
      <c r="P369" s="5" t="e">
        <f t="shared" si="133"/>
        <v>#DIV/0!</v>
      </c>
      <c r="AA369" s="5">
        <f t="shared" si="134"/>
        <v>1</v>
      </c>
      <c r="AC369" s="5">
        <f t="shared" si="135"/>
        <v>0</v>
      </c>
      <c r="AG369" s="6" t="e">
        <f t="shared" si="136"/>
        <v>#DIV/0!</v>
      </c>
      <c r="AH369" s="5" t="e">
        <f t="shared" si="137"/>
        <v>#DIV/0!</v>
      </c>
      <c r="AJ369" s="5">
        <f t="shared" si="123"/>
        <v>1</v>
      </c>
      <c r="AK369" s="5" t="e">
        <f t="shared" si="124"/>
        <v>#DIV/0!</v>
      </c>
      <c r="AL369" s="4">
        <f t="shared" si="125"/>
        <v>0</v>
      </c>
      <c r="AM369" s="8">
        <f t="shared" si="126"/>
        <v>0</v>
      </c>
      <c r="AO369" s="61">
        <f t="shared" si="127"/>
        <v>0</v>
      </c>
    </row>
    <row r="370" spans="7:41" ht="12.75" customHeight="1">
      <c r="G370" s="5" t="e">
        <f t="shared" si="132"/>
        <v>#DIV/0!</v>
      </c>
      <c r="P370" s="5" t="e">
        <f t="shared" si="133"/>
        <v>#DIV/0!</v>
      </c>
      <c r="AA370" s="5">
        <f t="shared" si="134"/>
        <v>1</v>
      </c>
      <c r="AC370" s="5">
        <f t="shared" si="135"/>
        <v>0</v>
      </c>
      <c r="AG370" s="6" t="e">
        <f t="shared" si="136"/>
        <v>#DIV/0!</v>
      </c>
      <c r="AH370" s="5" t="e">
        <f t="shared" si="137"/>
        <v>#DIV/0!</v>
      </c>
      <c r="AJ370" s="5">
        <f t="shared" si="123"/>
        <v>1</v>
      </c>
      <c r="AK370" s="5" t="e">
        <f t="shared" si="124"/>
        <v>#DIV/0!</v>
      </c>
      <c r="AL370" s="4">
        <f t="shared" si="125"/>
        <v>0</v>
      </c>
      <c r="AM370" s="8">
        <f t="shared" si="126"/>
        <v>0</v>
      </c>
      <c r="AO370" s="61">
        <f t="shared" si="127"/>
        <v>0</v>
      </c>
    </row>
    <row r="371" spans="7:41" ht="12.75" customHeight="1">
      <c r="G371" s="5" t="e">
        <f t="shared" si="132"/>
        <v>#DIV/0!</v>
      </c>
      <c r="P371" s="5" t="e">
        <f t="shared" si="133"/>
        <v>#DIV/0!</v>
      </c>
      <c r="AA371" s="5">
        <f t="shared" si="134"/>
        <v>1</v>
      </c>
      <c r="AC371" s="5">
        <f t="shared" si="135"/>
        <v>0</v>
      </c>
      <c r="AG371" s="6" t="e">
        <f t="shared" si="136"/>
        <v>#DIV/0!</v>
      </c>
      <c r="AH371" s="5" t="e">
        <f t="shared" si="137"/>
        <v>#DIV/0!</v>
      </c>
      <c r="AJ371" s="5">
        <f t="shared" si="123"/>
        <v>1</v>
      </c>
      <c r="AK371" s="5" t="e">
        <f t="shared" si="124"/>
        <v>#DIV/0!</v>
      </c>
      <c r="AL371" s="4">
        <f t="shared" si="125"/>
        <v>0</v>
      </c>
      <c r="AM371" s="8">
        <f t="shared" si="126"/>
        <v>0</v>
      </c>
      <c r="AO371" s="61">
        <f t="shared" si="127"/>
        <v>0</v>
      </c>
    </row>
    <row r="372" spans="7:41" ht="12.75" customHeight="1">
      <c r="G372" s="5" t="e">
        <f t="shared" si="132"/>
        <v>#DIV/0!</v>
      </c>
      <c r="P372" s="5" t="e">
        <f t="shared" si="133"/>
        <v>#DIV/0!</v>
      </c>
      <c r="AA372" s="5">
        <f t="shared" si="134"/>
        <v>1</v>
      </c>
      <c r="AC372" s="5">
        <f t="shared" si="135"/>
        <v>0</v>
      </c>
      <c r="AG372" s="6" t="e">
        <f t="shared" si="136"/>
        <v>#DIV/0!</v>
      </c>
      <c r="AH372" s="5" t="e">
        <f t="shared" si="137"/>
        <v>#DIV/0!</v>
      </c>
      <c r="AJ372" s="5">
        <f t="shared" si="123"/>
        <v>1</v>
      </c>
      <c r="AK372" s="5" t="e">
        <f t="shared" si="124"/>
        <v>#DIV/0!</v>
      </c>
      <c r="AL372" s="4">
        <f t="shared" si="125"/>
        <v>0</v>
      </c>
      <c r="AM372" s="8">
        <f t="shared" si="126"/>
        <v>0</v>
      </c>
      <c r="AO372" s="61">
        <f t="shared" si="127"/>
        <v>0</v>
      </c>
    </row>
    <row r="373" spans="7:41" ht="12.75" customHeight="1">
      <c r="G373" s="5" t="e">
        <f t="shared" si="132"/>
        <v>#DIV/0!</v>
      </c>
      <c r="P373" s="5" t="e">
        <f t="shared" si="133"/>
        <v>#DIV/0!</v>
      </c>
      <c r="AA373" s="5">
        <f t="shared" si="134"/>
        <v>1</v>
      </c>
      <c r="AC373" s="5">
        <f t="shared" si="135"/>
        <v>0</v>
      </c>
      <c r="AG373" s="6" t="e">
        <f t="shared" si="136"/>
        <v>#DIV/0!</v>
      </c>
      <c r="AH373" s="5" t="e">
        <f t="shared" si="137"/>
        <v>#DIV/0!</v>
      </c>
      <c r="AJ373" s="5">
        <f t="shared" si="123"/>
        <v>1</v>
      </c>
      <c r="AK373" s="5" t="e">
        <f t="shared" si="124"/>
        <v>#DIV/0!</v>
      </c>
      <c r="AL373" s="4">
        <f t="shared" si="125"/>
        <v>0</v>
      </c>
      <c r="AM373" s="8">
        <f t="shared" si="126"/>
        <v>0</v>
      </c>
      <c r="AO373" s="61">
        <f t="shared" si="127"/>
        <v>0</v>
      </c>
    </row>
    <row r="374" spans="7:41" ht="12.75" customHeight="1">
      <c r="G374" s="5" t="e">
        <f t="shared" si="132"/>
        <v>#DIV/0!</v>
      </c>
      <c r="P374" s="5" t="e">
        <f t="shared" si="133"/>
        <v>#DIV/0!</v>
      </c>
      <c r="AA374" s="5">
        <f t="shared" si="134"/>
        <v>1</v>
      </c>
      <c r="AC374" s="5">
        <f t="shared" si="135"/>
        <v>0</v>
      </c>
      <c r="AG374" s="6" t="e">
        <f t="shared" si="136"/>
        <v>#DIV/0!</v>
      </c>
      <c r="AH374" s="5" t="e">
        <f t="shared" si="137"/>
        <v>#DIV/0!</v>
      </c>
      <c r="AJ374" s="5">
        <f t="shared" si="123"/>
        <v>1</v>
      </c>
      <c r="AK374" s="5" t="e">
        <f t="shared" si="124"/>
        <v>#DIV/0!</v>
      </c>
      <c r="AL374" s="4">
        <f t="shared" si="125"/>
        <v>0</v>
      </c>
      <c r="AM374" s="8">
        <f t="shared" si="126"/>
        <v>0</v>
      </c>
      <c r="AO374" s="61">
        <f t="shared" si="127"/>
        <v>0</v>
      </c>
    </row>
    <row r="375" spans="7:41" ht="12.75" customHeight="1">
      <c r="G375" s="5" t="e">
        <f t="shared" si="132"/>
        <v>#DIV/0!</v>
      </c>
      <c r="P375" s="5" t="e">
        <f t="shared" si="133"/>
        <v>#DIV/0!</v>
      </c>
      <c r="AA375" s="5">
        <f t="shared" si="134"/>
        <v>1</v>
      </c>
      <c r="AC375" s="5">
        <f t="shared" si="135"/>
        <v>0</v>
      </c>
      <c r="AG375" s="6" t="e">
        <f t="shared" si="136"/>
        <v>#DIV/0!</v>
      </c>
      <c r="AH375" s="5" t="e">
        <f t="shared" si="137"/>
        <v>#DIV/0!</v>
      </c>
      <c r="AJ375" s="5">
        <f t="shared" si="123"/>
        <v>1</v>
      </c>
      <c r="AK375" s="5" t="e">
        <f t="shared" si="124"/>
        <v>#DIV/0!</v>
      </c>
      <c r="AL375" s="4">
        <f t="shared" si="125"/>
        <v>0</v>
      </c>
      <c r="AM375" s="8">
        <f t="shared" si="126"/>
        <v>0</v>
      </c>
      <c r="AO375" s="61">
        <f t="shared" si="127"/>
        <v>0</v>
      </c>
    </row>
    <row r="376" spans="7:41" ht="12.75" customHeight="1">
      <c r="G376" s="5" t="e">
        <f t="shared" si="132"/>
        <v>#DIV/0!</v>
      </c>
      <c r="P376" s="5" t="e">
        <f t="shared" si="133"/>
        <v>#DIV/0!</v>
      </c>
      <c r="AA376" s="5">
        <f t="shared" si="134"/>
        <v>1</v>
      </c>
      <c r="AC376" s="5">
        <f t="shared" si="135"/>
        <v>0</v>
      </c>
      <c r="AG376" s="6" t="e">
        <f t="shared" si="136"/>
        <v>#DIV/0!</v>
      </c>
      <c r="AH376" s="5" t="e">
        <f t="shared" si="137"/>
        <v>#DIV/0!</v>
      </c>
      <c r="AJ376" s="5">
        <f t="shared" si="123"/>
        <v>1</v>
      </c>
      <c r="AK376" s="5" t="e">
        <f t="shared" si="124"/>
        <v>#DIV/0!</v>
      </c>
      <c r="AL376" s="4">
        <f t="shared" si="125"/>
        <v>0</v>
      </c>
      <c r="AM376" s="8">
        <f t="shared" si="126"/>
        <v>0</v>
      </c>
      <c r="AO376" s="61">
        <f t="shared" si="127"/>
        <v>0</v>
      </c>
    </row>
    <row r="377" spans="7:41" ht="12.75" customHeight="1">
      <c r="G377" s="5" t="e">
        <f t="shared" si="132"/>
        <v>#DIV/0!</v>
      </c>
      <c r="P377" s="5" t="e">
        <f t="shared" si="133"/>
        <v>#DIV/0!</v>
      </c>
      <c r="AA377" s="5">
        <f t="shared" si="134"/>
        <v>1</v>
      </c>
      <c r="AC377" s="5">
        <f t="shared" si="135"/>
        <v>0</v>
      </c>
      <c r="AG377" s="6" t="e">
        <f t="shared" si="136"/>
        <v>#DIV/0!</v>
      </c>
      <c r="AH377" s="5" t="e">
        <f t="shared" si="137"/>
        <v>#DIV/0!</v>
      </c>
      <c r="AJ377" s="5">
        <f t="shared" si="123"/>
        <v>1</v>
      </c>
      <c r="AK377" s="5" t="e">
        <f t="shared" si="124"/>
        <v>#DIV/0!</v>
      </c>
      <c r="AL377" s="4">
        <f t="shared" si="125"/>
        <v>0</v>
      </c>
      <c r="AM377" s="8">
        <f t="shared" si="126"/>
        <v>0</v>
      </c>
      <c r="AO377" s="61">
        <f t="shared" si="127"/>
        <v>0</v>
      </c>
    </row>
    <row r="378" spans="7:41" ht="12.75" customHeight="1">
      <c r="AO378" s="61">
        <f t="shared" si="127"/>
        <v>0</v>
      </c>
    </row>
    <row r="379" spans="7:41" ht="12.75" customHeight="1">
      <c r="AO379" s="61">
        <f t="shared" si="127"/>
        <v>0</v>
      </c>
    </row>
    <row r="380" spans="7:41" ht="12.75" customHeight="1">
      <c r="AO380" s="61">
        <f t="shared" si="127"/>
        <v>0</v>
      </c>
    </row>
    <row r="381" spans="7:41" ht="12.75" customHeight="1">
      <c r="AO381" s="61">
        <f t="shared" si="127"/>
        <v>0</v>
      </c>
    </row>
    <row r="382" spans="7:41" ht="12.75" customHeight="1">
      <c r="AO382" s="61">
        <f t="shared" ref="AO382:AO388" si="138">IF(Z382&lt;2.81,0,IF(AK382&gt;14.9,IF(Z382&lt;140,1,0),0))</f>
        <v>0</v>
      </c>
    </row>
    <row r="383" spans="7:41" ht="12.75" customHeight="1">
      <c r="AO383" s="61">
        <f t="shared" si="138"/>
        <v>0</v>
      </c>
    </row>
    <row r="384" spans="7:41" ht="12.75" customHeight="1">
      <c r="AO384" s="61">
        <f t="shared" si="138"/>
        <v>0</v>
      </c>
    </row>
    <row r="385" spans="41:41" ht="12.75" customHeight="1">
      <c r="AO385" s="61">
        <f t="shared" si="138"/>
        <v>0</v>
      </c>
    </row>
    <row r="386" spans="41:41" ht="12.75" customHeight="1">
      <c r="AO386" s="61">
        <f t="shared" si="138"/>
        <v>0</v>
      </c>
    </row>
    <row r="387" spans="41:41" ht="12.75" customHeight="1">
      <c r="AO387" s="61">
        <f t="shared" si="138"/>
        <v>0</v>
      </c>
    </row>
    <row r="388" spans="41:41" ht="12.75" customHeight="1">
      <c r="AO388" s="61">
        <f t="shared" si="138"/>
        <v>0</v>
      </c>
    </row>
  </sheetData>
  <autoFilter ref="AP1:AR363" xr:uid="{00000000-0009-0000-0000-000000000000}"/>
  <conditionalFormatting sqref="D2:D150 D152:D168 D170 D172 D174">
    <cfRule type="containsText" dxfId="49" priority="33" operator="containsText" text="neg">
      <formula>NOT(ISERROR(SEARCH("neg",D2)))</formula>
    </cfRule>
  </conditionalFormatting>
  <conditionalFormatting sqref="G2:G377">
    <cfRule type="cellIs" dxfId="48" priority="26" operator="lessThan">
      <formula>16</formula>
    </cfRule>
  </conditionalFormatting>
  <conditionalFormatting sqref="P2:P377">
    <cfRule type="cellIs" dxfId="47" priority="27" operator="greaterThan">
      <formula>14.56</formula>
    </cfRule>
  </conditionalFormatting>
  <conditionalFormatting sqref="R1:R134 Q2:Q134">
    <cfRule type="cellIs" dxfId="46" priority="30" operator="greaterThan">
      <formula>33.8</formula>
    </cfRule>
  </conditionalFormatting>
  <conditionalFormatting sqref="X2:X372">
    <cfRule type="cellIs" dxfId="45" priority="34" operator="lessThan">
      <formula>1.35</formula>
    </cfRule>
  </conditionalFormatting>
  <conditionalFormatting sqref="Z2:Z349">
    <cfRule type="cellIs" dxfId="44" priority="6" operator="lessThan">
      <formula>3.2</formula>
    </cfRule>
  </conditionalFormatting>
  <conditionalFormatting sqref="AE2:AE134">
    <cfRule type="cellIs" dxfId="43" priority="25" operator="lessThan">
      <formula>10.56</formula>
    </cfRule>
  </conditionalFormatting>
  <conditionalFormatting sqref="AG2:AG377">
    <cfRule type="cellIs" dxfId="42" priority="31" operator="greaterThan">
      <formula>5.6</formula>
    </cfRule>
  </conditionalFormatting>
  <conditionalFormatting sqref="AH2:AH377">
    <cfRule type="cellIs" dxfId="41" priority="29" operator="greaterThan">
      <formula>7.6</formula>
    </cfRule>
  </conditionalFormatting>
  <conditionalFormatting sqref="AK2:AK377">
    <cfRule type="cellIs" dxfId="40" priority="32" operator="greaterThan">
      <formula>13.7</formula>
    </cfRule>
  </conditionalFormatting>
  <conditionalFormatting sqref="AL2:AL377">
    <cfRule type="containsText" dxfId="39" priority="11" operator="containsText" text="2">
      <formula>NOT(ISERROR(SEARCH("2",AL2)))</formula>
    </cfRule>
    <cfRule type="containsText" dxfId="38" priority="12" operator="containsText" text="0">
      <formula>NOT(ISERROR(SEARCH("0",AL2)))</formula>
    </cfRule>
    <cfRule type="containsText" dxfId="37" priority="13" operator="containsText" text="1">
      <formula>NOT(ISERROR(SEARCH("1",AL2)))</formula>
    </cfRule>
  </conditionalFormatting>
  <conditionalFormatting sqref="AN2:AN139">
    <cfRule type="endsWith" dxfId="36" priority="14" operator="endsWith" text="4">
      <formula>RIGHT(AN2,LEN("4"))="4"</formula>
    </cfRule>
    <cfRule type="endsWith" dxfId="35" priority="15" operator="endsWith" text="2">
      <formula>RIGHT(AN2,LEN("2"))="2"</formula>
    </cfRule>
    <cfRule type="endsWith" dxfId="34" priority="16" operator="endsWith" text="7">
      <formula>RIGHT(AN2,LEN("7"))="7"</formula>
    </cfRule>
    <cfRule type="endsWith" dxfId="33" priority="17" operator="endsWith" text="0">
      <formula>RIGHT(AN2,LEN("0"))="0"</formula>
    </cfRule>
    <cfRule type="endsWith" dxfId="32" priority="18" operator="endsWith" text="8">
      <formula>RIGHT(AN2,LEN("8"))="8"</formula>
    </cfRule>
    <cfRule type="endsWith" dxfId="31" priority="19" operator="endsWith" text="9">
      <formula>RIGHT(AN2,LEN("9"))="9"</formula>
    </cfRule>
    <cfRule type="endsWith" dxfId="30" priority="20" operator="endsWith" text="6">
      <formula>RIGHT(AN2,LEN("6"))="6"</formula>
    </cfRule>
    <cfRule type="endsWith" dxfId="29" priority="21" operator="endsWith" text="1">
      <formula>RIGHT(AN2,LEN("1"))="1"</formula>
    </cfRule>
    <cfRule type="endsWith" dxfId="28" priority="22" operator="endsWith" text="3">
      <formula>RIGHT(AN2,LEN("3"))="3"</formula>
    </cfRule>
    <cfRule type="endsWith" dxfId="27" priority="23" operator="endsWith" text="5">
      <formula>RIGHT(AN2,LEN("5"))="5"</formula>
    </cfRule>
  </conditionalFormatting>
  <conditionalFormatting sqref="AP2:AP357 AO2:AO388">
    <cfRule type="containsText" dxfId="26" priority="1" operator="containsText" text="2">
      <formula>NOT(ISERROR(SEARCH("2",AO2)))</formula>
    </cfRule>
    <cfRule type="cellIs" dxfId="25" priority="2" operator="equal">
      <formula>1</formula>
    </cfRule>
    <cfRule type="cellIs" dxfId="24" priority="3" operator="equal">
      <formula>3</formula>
    </cfRule>
  </conditionalFormatting>
  <conditionalFormatting sqref="AR1:AR363">
    <cfRule type="containsText" dxfId="23" priority="4" operator="containsText" text="0">
      <formula>NOT(ISERROR(SEARCH("0",AR1)))</formula>
    </cfRule>
    <cfRule type="containsText" dxfId="22" priority="5" operator="containsText" text="1">
      <formula>NOT(ISERROR(SEARCH("1",AR1)))</formula>
    </cfRule>
  </conditionalFormatting>
  <conditionalFormatting sqref="BB2:BH83 BC84:BH84 BB85:BH94 BB96:BB97">
    <cfRule type="cellIs" dxfId="21" priority="28" operator="lessThan">
      <formula>0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1557"/>
  <sheetViews>
    <sheetView tabSelected="1" topLeftCell="Q1" zoomScale="80" zoomScaleNormal="80" workbookViewId="0">
      <pane ySplit="1" topLeftCell="A134" activePane="bottomLeft" state="frozen"/>
      <selection pane="bottomLeft" activeCell="AO2" sqref="AO2:AO449"/>
    </sheetView>
  </sheetViews>
  <sheetFormatPr defaultColWidth="8.6640625" defaultRowHeight="12.75" customHeight="1"/>
  <cols>
    <col min="1" max="1" width="4" style="52" customWidth="1"/>
    <col min="2" max="2" width="18" style="52" customWidth="1"/>
    <col min="3" max="3" width="7.109375" style="52" customWidth="1"/>
    <col min="4" max="4" width="7" style="52" customWidth="1"/>
    <col min="5" max="5" width="7.88671875" style="52" customWidth="1"/>
    <col min="6" max="6" width="5.5546875" style="52" customWidth="1"/>
    <col min="7" max="7" width="5.6640625" style="52" customWidth="1"/>
    <col min="8" max="8" width="7.33203125" style="52" customWidth="1"/>
    <col min="9" max="9" width="5.6640625" style="52" customWidth="1"/>
    <col min="10" max="10" width="4.88671875" style="52" customWidth="1"/>
    <col min="11" max="11" width="6.109375" style="52" customWidth="1"/>
    <col min="12" max="12" width="4.109375" style="52" customWidth="1"/>
    <col min="13" max="14" width="6.5546875" style="52" customWidth="1"/>
    <col min="15" max="15" width="7.5546875" style="52" customWidth="1"/>
    <col min="16" max="16" width="7.33203125" style="52" customWidth="1"/>
    <col min="17" max="17" width="5" style="52" customWidth="1"/>
    <col min="18" max="18" width="6.109375" style="52" customWidth="1"/>
    <col min="19" max="19" width="6" style="52" customWidth="1"/>
    <col min="20" max="20" width="5.6640625" style="52" customWidth="1"/>
    <col min="21" max="21" width="5.5546875" style="52" customWidth="1"/>
    <col min="22" max="22" width="6.109375" style="52" customWidth="1"/>
    <col min="23" max="24" width="6.6640625" style="52" customWidth="1"/>
    <col min="25" max="25" width="8.33203125" style="52" customWidth="1"/>
    <col min="26" max="26" width="6.6640625" style="52" customWidth="1"/>
    <col min="27" max="27" width="5.109375" style="52" customWidth="1"/>
    <col min="28" max="28" width="4.5546875" style="52" customWidth="1"/>
    <col min="29" max="29" width="4.88671875" style="52" customWidth="1"/>
    <col min="30" max="30" width="6.5546875" style="52" customWidth="1"/>
    <col min="31" max="31" width="5.6640625" style="52" customWidth="1"/>
    <col min="32" max="32" width="6.33203125" style="52" customWidth="1"/>
    <col min="33" max="36" width="4.88671875" style="52" customWidth="1"/>
    <col min="37" max="37" width="6.77734375" style="52" customWidth="1"/>
    <col min="38" max="38" width="5.6640625" style="52" customWidth="1"/>
    <col min="39" max="39" width="19.109375" style="52" customWidth="1"/>
    <col min="40" max="40" width="4.5546875" style="52" customWidth="1"/>
    <col min="41" max="41" width="5.44140625" style="52" customWidth="1"/>
    <col min="42" max="42" width="10.88671875" style="52" customWidth="1"/>
    <col min="43" max="43" width="7" style="52" customWidth="1"/>
    <col min="44" max="44" width="5.33203125" style="52" customWidth="1"/>
    <col min="45" max="45" width="7.33203125" style="52" customWidth="1"/>
    <col min="46" max="46" width="7.5546875" style="52" customWidth="1"/>
    <col min="47" max="48" width="6.6640625" style="52" customWidth="1"/>
    <col min="49" max="49" width="6.21875" style="52" customWidth="1"/>
    <col min="50" max="50" width="8.5546875" style="52" customWidth="1"/>
    <col min="51" max="83" width="8.6640625" style="52" customWidth="1"/>
    <col min="84" max="16384" width="8.6640625" style="52"/>
  </cols>
  <sheetData>
    <row r="1" spans="1:60" ht="92.25" customHeight="1">
      <c r="A1" s="62" t="s">
        <v>0</v>
      </c>
      <c r="B1" s="109" t="s">
        <v>1</v>
      </c>
      <c r="C1" s="109" t="s">
        <v>2</v>
      </c>
      <c r="D1" s="109" t="s">
        <v>3</v>
      </c>
      <c r="E1" s="109" t="s">
        <v>4</v>
      </c>
      <c r="F1" s="109" t="s">
        <v>5</v>
      </c>
      <c r="G1" s="110" t="s">
        <v>498</v>
      </c>
      <c r="H1" s="109" t="s">
        <v>7</v>
      </c>
      <c r="I1" s="109" t="s">
        <v>499</v>
      </c>
      <c r="J1" s="109" t="s">
        <v>9</v>
      </c>
      <c r="K1" s="109" t="s">
        <v>10</v>
      </c>
      <c r="L1" s="109" t="s">
        <v>11</v>
      </c>
      <c r="M1" s="109" t="s">
        <v>12</v>
      </c>
      <c r="N1" s="109" t="s">
        <v>500</v>
      </c>
      <c r="O1" s="109" t="s">
        <v>14</v>
      </c>
      <c r="P1" s="110" t="s">
        <v>501</v>
      </c>
      <c r="Q1" s="109" t="s">
        <v>502</v>
      </c>
      <c r="R1" s="109" t="s">
        <v>503</v>
      </c>
      <c r="S1" s="109" t="s">
        <v>18</v>
      </c>
      <c r="T1" s="109" t="s">
        <v>19</v>
      </c>
      <c r="U1" s="109" t="s">
        <v>20</v>
      </c>
      <c r="V1" s="109" t="s">
        <v>21</v>
      </c>
      <c r="W1" s="111" t="s">
        <v>22</v>
      </c>
      <c r="X1" s="112" t="s">
        <v>504</v>
      </c>
      <c r="Y1" s="111" t="s">
        <v>505</v>
      </c>
      <c r="Z1" s="111" t="s">
        <v>506</v>
      </c>
      <c r="AA1" s="113" t="s">
        <v>26</v>
      </c>
      <c r="AB1" s="111" t="s">
        <v>27</v>
      </c>
      <c r="AC1" s="114" t="s">
        <v>28</v>
      </c>
      <c r="AD1" s="109" t="s">
        <v>507</v>
      </c>
      <c r="AE1" s="109" t="s">
        <v>508</v>
      </c>
      <c r="AF1" s="109" t="s">
        <v>509</v>
      </c>
      <c r="AG1" s="114" t="s">
        <v>510</v>
      </c>
      <c r="AH1" s="114" t="s">
        <v>511</v>
      </c>
      <c r="AI1" s="111" t="s">
        <v>34</v>
      </c>
      <c r="AJ1" s="114" t="s">
        <v>35</v>
      </c>
      <c r="AK1" s="114" t="s">
        <v>512</v>
      </c>
      <c r="AL1" s="110" t="s">
        <v>3</v>
      </c>
      <c r="AM1" s="110" t="s">
        <v>1</v>
      </c>
      <c r="AN1" s="115" t="s">
        <v>38</v>
      </c>
      <c r="AO1" s="115" t="s">
        <v>39</v>
      </c>
      <c r="AP1" s="116" t="s">
        <v>40</v>
      </c>
      <c r="AQ1" s="115" t="s">
        <v>41</v>
      </c>
      <c r="AR1" s="127" t="s">
        <v>42</v>
      </c>
      <c r="AS1" s="115" t="s">
        <v>43</v>
      </c>
      <c r="AT1" s="115" t="s">
        <v>44</v>
      </c>
      <c r="AU1" s="115" t="s">
        <v>45</v>
      </c>
      <c r="AV1" s="115" t="s">
        <v>46</v>
      </c>
      <c r="AW1" s="115" t="s">
        <v>47</v>
      </c>
      <c r="AX1" s="115"/>
      <c r="AY1" s="115" t="s">
        <v>48</v>
      </c>
      <c r="AZ1" s="115" t="s">
        <v>49</v>
      </c>
      <c r="BA1" s="115" t="s">
        <v>50</v>
      </c>
      <c r="BB1" s="115" t="s">
        <v>51</v>
      </c>
      <c r="BC1" s="115" t="s">
        <v>52</v>
      </c>
      <c r="BD1" s="115" t="s">
        <v>53</v>
      </c>
      <c r="BE1" s="115" t="s">
        <v>54</v>
      </c>
      <c r="BF1" s="115" t="s">
        <v>55</v>
      </c>
      <c r="BG1" s="115" t="s">
        <v>56</v>
      </c>
      <c r="BH1" s="115" t="s">
        <v>57</v>
      </c>
    </row>
    <row r="2" spans="1:60" ht="12.75" customHeight="1">
      <c r="B2" s="117" t="s">
        <v>513</v>
      </c>
      <c r="C2" s="50">
        <v>2025</v>
      </c>
      <c r="D2" s="50">
        <v>1</v>
      </c>
      <c r="E2" s="100">
        <v>495.77</v>
      </c>
      <c r="F2" s="100">
        <v>593.6</v>
      </c>
      <c r="G2" s="100">
        <f t="shared" ref="G2:G33" si="0">100*(F2-E2)/F2</f>
        <v>16.480795148247985</v>
      </c>
      <c r="H2" s="100">
        <v>1647.59</v>
      </c>
      <c r="I2" s="100">
        <v>134.36000000000001</v>
      </c>
      <c r="J2" s="100"/>
      <c r="K2" s="101">
        <v>8.1999999999999993</v>
      </c>
      <c r="L2" s="101"/>
      <c r="M2" s="100">
        <v>267.89999999999998</v>
      </c>
      <c r="N2" s="100"/>
      <c r="O2" s="100">
        <v>1296</v>
      </c>
      <c r="P2" s="100">
        <f t="shared" ref="P2:P33" si="1">O2/I2</f>
        <v>9.645727895206905</v>
      </c>
      <c r="Q2" s="100">
        <v>59.15</v>
      </c>
      <c r="R2" s="100">
        <v>59.15</v>
      </c>
      <c r="S2" s="100">
        <v>5</v>
      </c>
      <c r="T2" s="100"/>
      <c r="U2" s="100"/>
      <c r="V2" s="100">
        <v>1</v>
      </c>
      <c r="W2" s="100">
        <v>1</v>
      </c>
      <c r="X2" s="102">
        <v>130.26</v>
      </c>
      <c r="Y2" s="101">
        <v>117.77</v>
      </c>
      <c r="Z2" s="101">
        <v>37.33</v>
      </c>
      <c r="AA2" s="103">
        <f t="shared" ref="AA2:AA33" si="2">IF(X2&lt;33,IF(Y2&gt;(1.1*X2),0,1),1)+IF(Y2&gt;(4*X2),-1,0)</f>
        <v>1</v>
      </c>
      <c r="AB2" s="100">
        <v>25</v>
      </c>
      <c r="AC2" s="101">
        <f t="shared" ref="AC2:AC33" si="3">IF(AB2&gt;9,1,0)+AB2/3+IF(AB2&gt;15,1,0)+IF(AB2&gt;20,1,0)</f>
        <v>11.333333333333334</v>
      </c>
      <c r="AD2" s="101">
        <v>47.57</v>
      </c>
      <c r="AE2" s="101">
        <v>48.67</v>
      </c>
      <c r="AF2" s="101">
        <v>43.82</v>
      </c>
      <c r="AG2" s="101">
        <f t="shared" ref="AG2:AG33" si="4">IF(G2&lt;0,0,1.2)+IF(G2&lt;14,0,0.9)+IF(P2&lt;0,0.7,0)+IF(P2&lt;6.5,1,0)+IF(P2&lt;23,1,0)+IF(R2&gt;80,0,1)+S2+IF(AD2&lt;20,0,1)+IF(AE2&lt;14,0,1)+IF(AF2&lt;26,0,1)</f>
        <v>12.1</v>
      </c>
      <c r="AH2" s="101">
        <f t="shared" ref="AH2:AH33" si="5">AG2+IF(AG2&gt;6,1,0)+IF(X2&lt;17,0,1)+IF(Y2&lt;11,0,1)+IF(Z2&lt;1.35,0,1)+AC2+AA2</f>
        <v>28.433333333333337</v>
      </c>
      <c r="AI2" s="101">
        <v>11</v>
      </c>
      <c r="AJ2" s="104">
        <f t="shared" ref="AJ2:AJ65" si="6">IF(AI2&gt;12.8,IF(AI2&gt;15.8,0.95,0.98),1)</f>
        <v>1</v>
      </c>
      <c r="AK2" s="101">
        <f t="shared" ref="AK2:AK65" si="7">((AG2*2.6+AH2)*AJ2*AQ2)</f>
        <v>59.893333333333338</v>
      </c>
      <c r="AL2" s="50">
        <f t="shared" ref="AL2:AL65" si="8">D2</f>
        <v>1</v>
      </c>
      <c r="AM2" s="97" t="str">
        <f t="shared" ref="AM2:AM65" si="9">B2</f>
        <v>Rubicon Research</v>
      </c>
      <c r="AN2" s="100"/>
      <c r="AO2" s="99">
        <f>IF(AK2&gt;24.2,IF(Z2&lt;140,1,0),0)</f>
        <v>1</v>
      </c>
      <c r="AP2" s="100">
        <f t="shared" ref="AP2:AP65" si="10">IF(AK2&gt;23.2,IF(Y2&lt;300,IF(Y2&lt;35,IF(Y2&lt;8,3,2),1),0),0)</f>
        <v>1</v>
      </c>
      <c r="AQ2" s="100">
        <v>1</v>
      </c>
      <c r="AR2" s="100">
        <f t="shared" ref="AR2:AR65" si="11">IF(AO2=1,IF(AO2=AL2,1,0),5)</f>
        <v>1</v>
      </c>
      <c r="AS2" s="101">
        <v>1</v>
      </c>
      <c r="AT2" s="101">
        <v>1</v>
      </c>
      <c r="AU2" s="101">
        <v>1</v>
      </c>
      <c r="AV2" s="101">
        <f t="shared" ref="AV2:AV33" si="12">(AT2+AU2)/2</f>
        <v>1</v>
      </c>
      <c r="AW2" s="101">
        <v>1</v>
      </c>
      <c r="AX2" s="101"/>
      <c r="AY2" s="52">
        <f t="shared" ref="AY2:AY33" si="13">(100*(AU2-AS2)/AS2)</f>
        <v>0</v>
      </c>
      <c r="AZ2" s="52">
        <f t="shared" ref="AZ2:AZ33" si="14">IF(AY2&lt;-50,-4,IF(AY2&lt;-20,-2,IF(AY2&lt;0,-1,IF(AY2=0,0,IF(AY2&lt;10,1.5,IF(AY2&lt;20,2,IF(AY2&gt;19,2.5,2.5)))))))</f>
        <v>0</v>
      </c>
    </row>
    <row r="3" spans="1:60" ht="12.75" customHeight="1">
      <c r="B3" s="117" t="s">
        <v>514</v>
      </c>
      <c r="C3" s="50">
        <v>2025</v>
      </c>
      <c r="D3" s="50">
        <v>1</v>
      </c>
      <c r="E3" s="100">
        <v>427.8</v>
      </c>
      <c r="F3" s="100">
        <v>5970.2</v>
      </c>
      <c r="G3" s="100">
        <f t="shared" si="0"/>
        <v>92.834410907507291</v>
      </c>
      <c r="H3" s="100">
        <v>11517.1</v>
      </c>
      <c r="I3" s="100">
        <v>2203</v>
      </c>
      <c r="J3" s="100"/>
      <c r="K3" s="101">
        <v>32.5</v>
      </c>
      <c r="L3" s="101"/>
      <c r="M3" s="100">
        <v>3110</v>
      </c>
      <c r="N3" s="100"/>
      <c r="O3" s="100">
        <v>24367</v>
      </c>
      <c r="P3" s="100">
        <f t="shared" si="1"/>
        <v>11.060826146164322</v>
      </c>
      <c r="Q3" s="100">
        <v>35</v>
      </c>
      <c r="R3" s="100">
        <v>35</v>
      </c>
      <c r="S3" s="100">
        <v>5</v>
      </c>
      <c r="T3" s="100"/>
      <c r="U3" s="100"/>
      <c r="V3" s="100">
        <v>1</v>
      </c>
      <c r="W3" s="100">
        <v>1</v>
      </c>
      <c r="X3" s="102">
        <v>166.51</v>
      </c>
      <c r="Y3" s="101">
        <v>24.68</v>
      </c>
      <c r="Z3" s="101">
        <v>3.55</v>
      </c>
      <c r="AA3" s="103">
        <f t="shared" si="2"/>
        <v>1</v>
      </c>
      <c r="AB3" s="100">
        <v>40</v>
      </c>
      <c r="AC3" s="101">
        <f t="shared" si="3"/>
        <v>16.333333333333336</v>
      </c>
      <c r="AD3" s="101">
        <v>45.8</v>
      </c>
      <c r="AE3" s="101">
        <v>14.1</v>
      </c>
      <c r="AF3" s="101">
        <v>58.3</v>
      </c>
      <c r="AG3" s="101">
        <f t="shared" si="4"/>
        <v>12.1</v>
      </c>
      <c r="AH3" s="101">
        <f t="shared" si="5"/>
        <v>33.433333333333337</v>
      </c>
      <c r="AI3" s="101">
        <v>11</v>
      </c>
      <c r="AJ3" s="104">
        <f t="shared" si="6"/>
        <v>1</v>
      </c>
      <c r="AK3" s="101">
        <f t="shared" si="7"/>
        <v>64.893333333333345</v>
      </c>
      <c r="AL3" s="50">
        <f t="shared" si="8"/>
        <v>1</v>
      </c>
      <c r="AM3" s="97" t="str">
        <f t="shared" si="9"/>
        <v>LG Electronics</v>
      </c>
      <c r="AN3" s="100"/>
      <c r="AO3" s="99">
        <f t="shared" ref="AO3:AO66" si="15">IF(AK3&gt;24.2,IF(Z3&lt;140,1,0),0)</f>
        <v>1</v>
      </c>
      <c r="AP3" s="100">
        <f t="shared" si="10"/>
        <v>2</v>
      </c>
      <c r="AQ3" s="100">
        <v>1</v>
      </c>
      <c r="AR3" s="100">
        <f t="shared" si="11"/>
        <v>1</v>
      </c>
      <c r="AS3" s="101">
        <v>1</v>
      </c>
      <c r="AT3" s="101">
        <v>1</v>
      </c>
      <c r="AU3" s="101">
        <v>1</v>
      </c>
      <c r="AV3" s="101">
        <f t="shared" si="12"/>
        <v>1</v>
      </c>
      <c r="AW3" s="101">
        <v>1</v>
      </c>
      <c r="AX3" s="101"/>
      <c r="AY3" s="52">
        <f t="shared" si="13"/>
        <v>0</v>
      </c>
      <c r="AZ3" s="52">
        <f t="shared" si="14"/>
        <v>0</v>
      </c>
    </row>
    <row r="4" spans="1:60" ht="12.75" customHeight="1">
      <c r="B4" s="117" t="s">
        <v>515</v>
      </c>
      <c r="C4" s="50">
        <v>2025</v>
      </c>
      <c r="D4" s="50">
        <v>1</v>
      </c>
      <c r="E4" s="100">
        <v>119.91</v>
      </c>
      <c r="F4" s="100">
        <v>1795.82</v>
      </c>
      <c r="G4" s="100">
        <f t="shared" si="0"/>
        <v>93.322827454867422</v>
      </c>
      <c r="H4" s="100">
        <v>2200.64</v>
      </c>
      <c r="I4" s="100">
        <v>240</v>
      </c>
      <c r="J4" s="100"/>
      <c r="K4" s="101">
        <v>1.67</v>
      </c>
      <c r="L4" s="101"/>
      <c r="M4" s="100">
        <v>-32</v>
      </c>
      <c r="N4" s="100"/>
      <c r="O4" s="100">
        <v>1144</v>
      </c>
      <c r="P4" s="100">
        <f t="shared" si="1"/>
        <v>4.7666666666666666</v>
      </c>
      <c r="Q4" s="100">
        <v>61.68</v>
      </c>
      <c r="R4" s="100">
        <v>61.68</v>
      </c>
      <c r="S4" s="100">
        <v>5</v>
      </c>
      <c r="T4" s="100"/>
      <c r="U4" s="100"/>
      <c r="V4" s="100">
        <v>1</v>
      </c>
      <c r="W4" s="100">
        <v>1</v>
      </c>
      <c r="X4" s="102">
        <v>147.35</v>
      </c>
      <c r="Y4" s="101">
        <v>77.819999999999993</v>
      </c>
      <c r="Z4" s="101">
        <v>41.49</v>
      </c>
      <c r="AA4" s="103">
        <f t="shared" si="2"/>
        <v>1</v>
      </c>
      <c r="AB4" s="100">
        <v>52</v>
      </c>
      <c r="AC4" s="101">
        <f t="shared" si="3"/>
        <v>20.333333333333332</v>
      </c>
      <c r="AD4" s="101">
        <v>358</v>
      </c>
      <c r="AE4" s="101">
        <v>38</v>
      </c>
      <c r="AF4" s="101">
        <v>39</v>
      </c>
      <c r="AG4" s="101">
        <f t="shared" si="4"/>
        <v>13.1</v>
      </c>
      <c r="AH4" s="101">
        <f t="shared" si="5"/>
        <v>38.433333333333337</v>
      </c>
      <c r="AI4" s="101">
        <v>11</v>
      </c>
      <c r="AJ4" s="104">
        <f t="shared" si="6"/>
        <v>1</v>
      </c>
      <c r="AK4" s="101">
        <f t="shared" si="7"/>
        <v>72.493333333333339</v>
      </c>
      <c r="AL4" s="50">
        <f t="shared" si="8"/>
        <v>1</v>
      </c>
      <c r="AM4" s="97" t="str">
        <f t="shared" si="9"/>
        <v>Urban Co.</v>
      </c>
      <c r="AN4" s="100"/>
      <c r="AO4" s="99">
        <f t="shared" si="15"/>
        <v>1</v>
      </c>
      <c r="AP4" s="100">
        <f t="shared" si="10"/>
        <v>1</v>
      </c>
      <c r="AQ4" s="100">
        <v>1</v>
      </c>
      <c r="AR4" s="100">
        <f t="shared" si="11"/>
        <v>1</v>
      </c>
      <c r="AS4" s="101">
        <v>1</v>
      </c>
      <c r="AT4" s="101">
        <v>1</v>
      </c>
      <c r="AU4" s="101">
        <v>1</v>
      </c>
      <c r="AV4" s="101">
        <f t="shared" si="12"/>
        <v>1</v>
      </c>
      <c r="AW4" s="101">
        <v>1</v>
      </c>
      <c r="AX4" s="101"/>
      <c r="AY4" s="52">
        <f t="shared" si="13"/>
        <v>0</v>
      </c>
      <c r="AZ4" s="52">
        <f t="shared" si="14"/>
        <v>0</v>
      </c>
    </row>
    <row r="5" spans="1:60" ht="12.75" customHeight="1">
      <c r="B5" s="117" t="s">
        <v>516</v>
      </c>
      <c r="C5" s="50">
        <v>2025</v>
      </c>
      <c r="D5" s="50">
        <v>1</v>
      </c>
      <c r="E5" s="100">
        <v>507.05</v>
      </c>
      <c r="F5" s="100">
        <v>235.41</v>
      </c>
      <c r="G5" s="100">
        <f t="shared" si="0"/>
        <v>-115.39017034110701</v>
      </c>
      <c r="H5" s="100">
        <v>860</v>
      </c>
      <c r="I5" s="100">
        <v>47.67</v>
      </c>
      <c r="J5" s="100"/>
      <c r="K5" s="101">
        <v>6.05</v>
      </c>
      <c r="L5" s="101"/>
      <c r="M5" s="100">
        <v>112.79</v>
      </c>
      <c r="N5" s="100"/>
      <c r="O5" s="100">
        <v>915.16</v>
      </c>
      <c r="P5" s="100">
        <f t="shared" si="1"/>
        <v>19.197818334382209</v>
      </c>
      <c r="Q5" s="100">
        <v>17</v>
      </c>
      <c r="R5" s="100">
        <v>17</v>
      </c>
      <c r="S5" s="100">
        <v>5</v>
      </c>
      <c r="T5" s="100"/>
      <c r="U5" s="100"/>
      <c r="V5" s="100">
        <v>1</v>
      </c>
      <c r="W5" s="100">
        <v>1</v>
      </c>
      <c r="X5" s="102">
        <v>190.96</v>
      </c>
      <c r="Y5" s="101">
        <v>356.72</v>
      </c>
      <c r="Z5" s="101">
        <v>57.75</v>
      </c>
      <c r="AA5" s="103">
        <f t="shared" si="2"/>
        <v>1</v>
      </c>
      <c r="AB5" s="100">
        <v>30</v>
      </c>
      <c r="AC5" s="101">
        <f t="shared" si="3"/>
        <v>13</v>
      </c>
      <c r="AD5" s="101">
        <v>115</v>
      </c>
      <c r="AE5" s="101">
        <v>52</v>
      </c>
      <c r="AF5" s="101">
        <v>86</v>
      </c>
      <c r="AG5" s="101">
        <f t="shared" si="4"/>
        <v>10</v>
      </c>
      <c r="AH5" s="101">
        <f t="shared" si="5"/>
        <v>28</v>
      </c>
      <c r="AI5" s="101">
        <v>11</v>
      </c>
      <c r="AJ5" s="104">
        <f t="shared" si="6"/>
        <v>1</v>
      </c>
      <c r="AK5" s="101">
        <f t="shared" si="7"/>
        <v>54</v>
      </c>
      <c r="AL5" s="50">
        <f t="shared" si="8"/>
        <v>1</v>
      </c>
      <c r="AM5" s="97" t="str">
        <f t="shared" si="9"/>
        <v>Regaal Resources</v>
      </c>
      <c r="AN5" s="100"/>
      <c r="AO5" s="99">
        <f t="shared" si="15"/>
        <v>1</v>
      </c>
      <c r="AP5" s="100">
        <f t="shared" si="10"/>
        <v>0</v>
      </c>
      <c r="AQ5" s="100">
        <v>1</v>
      </c>
      <c r="AR5" s="100">
        <f t="shared" si="11"/>
        <v>1</v>
      </c>
      <c r="AS5" s="101">
        <v>1</v>
      </c>
      <c r="AT5" s="101">
        <v>1</v>
      </c>
      <c r="AU5" s="101">
        <v>1</v>
      </c>
      <c r="AV5" s="101">
        <f t="shared" si="12"/>
        <v>1</v>
      </c>
      <c r="AW5" s="101">
        <v>1</v>
      </c>
      <c r="AX5" s="101"/>
      <c r="AY5" s="52">
        <f t="shared" si="13"/>
        <v>0</v>
      </c>
      <c r="AZ5" s="52">
        <f t="shared" si="14"/>
        <v>0</v>
      </c>
    </row>
    <row r="6" spans="1:60" ht="12.75" customHeight="1">
      <c r="B6" s="117" t="s">
        <v>517</v>
      </c>
      <c r="C6" s="50">
        <v>2025</v>
      </c>
      <c r="D6" s="50">
        <v>1</v>
      </c>
      <c r="E6" s="100">
        <v>71.8</v>
      </c>
      <c r="F6" s="100">
        <v>117.72</v>
      </c>
      <c r="G6" s="100">
        <f t="shared" si="0"/>
        <v>39.007815154604145</v>
      </c>
      <c r="H6" s="100">
        <v>231.56</v>
      </c>
      <c r="I6" s="100">
        <v>22.39</v>
      </c>
      <c r="J6" s="100"/>
      <c r="K6" s="101">
        <v>3.4</v>
      </c>
      <c r="L6" s="101"/>
      <c r="M6" s="100">
        <v>40.07</v>
      </c>
      <c r="N6" s="100"/>
      <c r="O6" s="100">
        <v>495.71</v>
      </c>
      <c r="P6" s="100">
        <f t="shared" si="1"/>
        <v>22.139794551138898</v>
      </c>
      <c r="Q6" s="100">
        <v>22.41</v>
      </c>
      <c r="R6" s="100">
        <v>22.41</v>
      </c>
      <c r="S6" s="100">
        <v>0</v>
      </c>
      <c r="T6" s="100"/>
      <c r="U6" s="100"/>
      <c r="V6" s="100">
        <v>1</v>
      </c>
      <c r="W6" s="100">
        <v>1</v>
      </c>
      <c r="X6" s="102">
        <v>6.46</v>
      </c>
      <c r="Y6" s="101">
        <v>89.1</v>
      </c>
      <c r="Z6" s="101">
        <v>70.45</v>
      </c>
      <c r="AA6" s="103">
        <f t="shared" si="2"/>
        <v>-1</v>
      </c>
      <c r="AB6" s="100">
        <v>34</v>
      </c>
      <c r="AC6" s="101">
        <f t="shared" si="3"/>
        <v>14.333333333333334</v>
      </c>
      <c r="AD6" s="101">
        <v>4.57</v>
      </c>
      <c r="AE6" s="101">
        <v>-13.56</v>
      </c>
      <c r="AF6" s="101">
        <v>26.37</v>
      </c>
      <c r="AG6" s="101">
        <f t="shared" si="4"/>
        <v>5.0999999999999996</v>
      </c>
      <c r="AH6" s="101">
        <f t="shared" si="5"/>
        <v>20.433333333333334</v>
      </c>
      <c r="AI6" s="101">
        <v>11</v>
      </c>
      <c r="AJ6" s="104">
        <f t="shared" si="6"/>
        <v>1</v>
      </c>
      <c r="AK6" s="101">
        <f t="shared" si="7"/>
        <v>33.693333333333335</v>
      </c>
      <c r="AL6" s="50">
        <f t="shared" si="8"/>
        <v>1</v>
      </c>
      <c r="AM6" s="97" t="str">
        <f t="shared" si="9"/>
        <v>Highway Infrastructure</v>
      </c>
      <c r="AN6" s="100"/>
      <c r="AO6" s="99">
        <f t="shared" si="15"/>
        <v>1</v>
      </c>
      <c r="AP6" s="100">
        <f t="shared" si="10"/>
        <v>1</v>
      </c>
      <c r="AQ6" s="100">
        <v>1</v>
      </c>
      <c r="AR6" s="100">
        <f t="shared" si="11"/>
        <v>1</v>
      </c>
      <c r="AS6" s="101">
        <v>1</v>
      </c>
      <c r="AT6" s="101">
        <v>1</v>
      </c>
      <c r="AU6" s="101">
        <v>1</v>
      </c>
      <c r="AV6" s="101">
        <f t="shared" si="12"/>
        <v>1</v>
      </c>
      <c r="AW6" s="101">
        <v>1</v>
      </c>
      <c r="AX6" s="101"/>
      <c r="AY6" s="52">
        <f t="shared" si="13"/>
        <v>0</v>
      </c>
      <c r="AZ6" s="52">
        <f t="shared" si="14"/>
        <v>0</v>
      </c>
    </row>
    <row r="7" spans="1:60" ht="12.75" customHeight="1">
      <c r="B7" s="117" t="s">
        <v>518</v>
      </c>
      <c r="C7" s="50">
        <v>2025</v>
      </c>
      <c r="D7" s="50">
        <v>1</v>
      </c>
      <c r="E7" s="100">
        <v>412.84</v>
      </c>
      <c r="F7" s="100">
        <v>1017.67</v>
      </c>
      <c r="G7" s="100">
        <f t="shared" si="0"/>
        <v>59.432822034647771</v>
      </c>
      <c r="H7" s="100">
        <v>3174.54</v>
      </c>
      <c r="I7" s="100">
        <v>351.37</v>
      </c>
      <c r="J7" s="100"/>
      <c r="K7" s="101">
        <v>33.020000000000003</v>
      </c>
      <c r="L7" s="101"/>
      <c r="M7" s="100">
        <v>258.39</v>
      </c>
      <c r="N7" s="100"/>
      <c r="O7" s="100">
        <v>3111.87</v>
      </c>
      <c r="P7" s="100">
        <f t="shared" si="1"/>
        <v>8.8563906992628851</v>
      </c>
      <c r="Q7" s="100">
        <v>20.440000000000001</v>
      </c>
      <c r="R7" s="100">
        <v>20.440000000000001</v>
      </c>
      <c r="S7" s="100">
        <v>0</v>
      </c>
      <c r="T7" s="100"/>
      <c r="U7" s="100"/>
      <c r="V7" s="100">
        <v>1</v>
      </c>
      <c r="W7" s="100">
        <v>1</v>
      </c>
      <c r="X7" s="102">
        <v>140.5</v>
      </c>
      <c r="Y7" s="101">
        <v>75.930000000000007</v>
      </c>
      <c r="Z7" s="101">
        <v>53.81</v>
      </c>
      <c r="AA7" s="103">
        <f t="shared" si="2"/>
        <v>1</v>
      </c>
      <c r="AB7" s="100">
        <v>45</v>
      </c>
      <c r="AC7" s="101">
        <f t="shared" si="3"/>
        <v>18</v>
      </c>
      <c r="AD7" s="101">
        <v>205</v>
      </c>
      <c r="AE7" s="101">
        <v>12</v>
      </c>
      <c r="AF7" s="101">
        <v>140</v>
      </c>
      <c r="AG7" s="101">
        <f t="shared" si="4"/>
        <v>6.1</v>
      </c>
      <c r="AH7" s="101">
        <f t="shared" si="5"/>
        <v>29.1</v>
      </c>
      <c r="AI7" s="101">
        <v>11</v>
      </c>
      <c r="AJ7" s="104">
        <f t="shared" si="6"/>
        <v>1</v>
      </c>
      <c r="AK7" s="101">
        <f t="shared" si="7"/>
        <v>44.96</v>
      </c>
      <c r="AL7" s="50">
        <f t="shared" si="8"/>
        <v>1</v>
      </c>
      <c r="AM7" s="97" t="str">
        <f t="shared" si="9"/>
        <v>Aditya Infotech</v>
      </c>
      <c r="AN7" s="100"/>
      <c r="AO7" s="99">
        <f t="shared" si="15"/>
        <v>1</v>
      </c>
      <c r="AP7" s="100">
        <f t="shared" si="10"/>
        <v>1</v>
      </c>
      <c r="AQ7" s="100">
        <v>1</v>
      </c>
      <c r="AR7" s="100">
        <f t="shared" si="11"/>
        <v>1</v>
      </c>
      <c r="AS7" s="101">
        <v>1</v>
      </c>
      <c r="AT7" s="101">
        <v>1</v>
      </c>
      <c r="AU7" s="101">
        <v>1</v>
      </c>
      <c r="AV7" s="101">
        <f t="shared" si="12"/>
        <v>1</v>
      </c>
      <c r="AW7" s="101">
        <v>1</v>
      </c>
      <c r="AX7" s="101"/>
      <c r="AY7" s="52">
        <f t="shared" si="13"/>
        <v>0</v>
      </c>
      <c r="AZ7" s="52">
        <f t="shared" si="14"/>
        <v>0</v>
      </c>
    </row>
    <row r="8" spans="1:60" ht="12.75" customHeight="1">
      <c r="B8" s="117" t="s">
        <v>519</v>
      </c>
      <c r="C8" s="50">
        <v>2025</v>
      </c>
      <c r="D8" s="50">
        <v>1</v>
      </c>
      <c r="E8" s="100">
        <v>39</v>
      </c>
      <c r="F8" s="100">
        <v>226</v>
      </c>
      <c r="G8" s="100">
        <f t="shared" si="0"/>
        <v>82.743362831858406</v>
      </c>
      <c r="H8" s="100">
        <v>719</v>
      </c>
      <c r="I8" s="100">
        <v>69</v>
      </c>
      <c r="J8" s="100"/>
      <c r="K8" s="101">
        <v>7.09</v>
      </c>
      <c r="L8" s="101"/>
      <c r="M8" s="100">
        <v>126</v>
      </c>
      <c r="N8" s="100"/>
      <c r="O8" s="100">
        <v>1411</v>
      </c>
      <c r="P8" s="100">
        <f t="shared" si="1"/>
        <v>20.44927536231884</v>
      </c>
      <c r="Q8" s="100">
        <v>33.43</v>
      </c>
      <c r="R8" s="100">
        <v>33.43</v>
      </c>
      <c r="S8" s="100">
        <v>0</v>
      </c>
      <c r="T8" s="100"/>
      <c r="U8" s="100"/>
      <c r="V8" s="100">
        <v>1</v>
      </c>
      <c r="W8" s="100">
        <v>1</v>
      </c>
      <c r="X8" s="102">
        <v>275.75</v>
      </c>
      <c r="Y8" s="101">
        <v>264.14</v>
      </c>
      <c r="Z8" s="101">
        <v>49.01</v>
      </c>
      <c r="AA8" s="103">
        <f t="shared" si="2"/>
        <v>1</v>
      </c>
      <c r="AB8" s="100">
        <v>35</v>
      </c>
      <c r="AC8" s="101">
        <f t="shared" si="3"/>
        <v>14.666666666666666</v>
      </c>
      <c r="AD8" s="101">
        <v>33</v>
      </c>
      <c r="AE8" s="101">
        <v>24</v>
      </c>
      <c r="AF8" s="101">
        <v>39</v>
      </c>
      <c r="AG8" s="101">
        <f t="shared" si="4"/>
        <v>7.1</v>
      </c>
      <c r="AH8" s="101">
        <f t="shared" si="5"/>
        <v>26.766666666666666</v>
      </c>
      <c r="AI8" s="101">
        <v>11</v>
      </c>
      <c r="AJ8" s="104">
        <f t="shared" si="6"/>
        <v>1</v>
      </c>
      <c r="AK8" s="101">
        <f t="shared" si="7"/>
        <v>45.226666666666667</v>
      </c>
      <c r="AL8" s="50">
        <f t="shared" si="8"/>
        <v>1</v>
      </c>
      <c r="AM8" s="97" t="str">
        <f t="shared" si="9"/>
        <v>GNG Electronics</v>
      </c>
      <c r="AN8" s="100"/>
      <c r="AO8" s="99">
        <f t="shared" si="15"/>
        <v>1</v>
      </c>
      <c r="AP8" s="100">
        <f t="shared" si="10"/>
        <v>1</v>
      </c>
      <c r="AQ8" s="100">
        <v>1</v>
      </c>
      <c r="AR8" s="100">
        <f t="shared" si="11"/>
        <v>1</v>
      </c>
      <c r="AS8" s="101">
        <v>1</v>
      </c>
      <c r="AT8" s="101">
        <v>1</v>
      </c>
      <c r="AU8" s="101">
        <v>1</v>
      </c>
      <c r="AV8" s="101">
        <f t="shared" si="12"/>
        <v>1</v>
      </c>
      <c r="AW8" s="101">
        <v>1</v>
      </c>
      <c r="AX8" s="101"/>
      <c r="AY8" s="52">
        <f t="shared" si="13"/>
        <v>0</v>
      </c>
      <c r="AZ8" s="52">
        <f t="shared" si="14"/>
        <v>0</v>
      </c>
    </row>
    <row r="9" spans="1:60" ht="12.75" customHeight="1">
      <c r="B9" s="117" t="s">
        <v>520</v>
      </c>
      <c r="C9" s="50">
        <v>2025</v>
      </c>
      <c r="D9" s="50">
        <v>1</v>
      </c>
      <c r="E9" s="100">
        <v>181.43</v>
      </c>
      <c r="F9" s="100">
        <v>438.28</v>
      </c>
      <c r="G9" s="100">
        <f t="shared" si="0"/>
        <v>58.604088710413428</v>
      </c>
      <c r="H9" s="100">
        <v>957.58</v>
      </c>
      <c r="I9" s="100">
        <v>82.44</v>
      </c>
      <c r="J9" s="100"/>
      <c r="K9" s="101">
        <v>3.79</v>
      </c>
      <c r="L9" s="101"/>
      <c r="M9" s="100">
        <v>159.87</v>
      </c>
      <c r="N9" s="100"/>
      <c r="O9" s="100">
        <v>1285.76</v>
      </c>
      <c r="P9" s="100">
        <f t="shared" si="1"/>
        <v>15.596312469674915</v>
      </c>
      <c r="Q9" s="100">
        <v>21.63</v>
      </c>
      <c r="R9" s="100">
        <v>21.63</v>
      </c>
      <c r="S9" s="100">
        <v>0</v>
      </c>
      <c r="T9" s="100"/>
      <c r="U9" s="100"/>
      <c r="V9" s="100">
        <v>1</v>
      </c>
      <c r="W9" s="100">
        <v>1</v>
      </c>
      <c r="X9" s="102">
        <v>66.36</v>
      </c>
      <c r="Y9" s="101">
        <v>33.880000000000003</v>
      </c>
      <c r="Z9" s="101">
        <v>8.56</v>
      </c>
      <c r="AA9" s="103">
        <f t="shared" si="2"/>
        <v>1</v>
      </c>
      <c r="AB9" s="100">
        <v>17</v>
      </c>
      <c r="AC9" s="101">
        <f t="shared" si="3"/>
        <v>7.666666666666667</v>
      </c>
      <c r="AD9" s="101">
        <v>36.49</v>
      </c>
      <c r="AE9" s="101">
        <v>37.17</v>
      </c>
      <c r="AF9" s="101">
        <v>108.27</v>
      </c>
      <c r="AG9" s="101">
        <f t="shared" si="4"/>
        <v>7.1</v>
      </c>
      <c r="AH9" s="101">
        <f t="shared" si="5"/>
        <v>19.766666666666666</v>
      </c>
      <c r="AI9" s="101">
        <v>11</v>
      </c>
      <c r="AJ9" s="104">
        <f t="shared" si="6"/>
        <v>1</v>
      </c>
      <c r="AK9" s="101">
        <f t="shared" si="7"/>
        <v>38.226666666666667</v>
      </c>
      <c r="AL9" s="50">
        <f t="shared" si="8"/>
        <v>1</v>
      </c>
      <c r="AM9" s="97" t="str">
        <f t="shared" si="9"/>
        <v>Sambhv Steel Tubes</v>
      </c>
      <c r="AN9" s="100"/>
      <c r="AO9" s="99">
        <f t="shared" si="15"/>
        <v>1</v>
      </c>
      <c r="AP9" s="100">
        <f t="shared" si="10"/>
        <v>2</v>
      </c>
      <c r="AQ9" s="100">
        <v>1</v>
      </c>
      <c r="AR9" s="100">
        <f t="shared" si="11"/>
        <v>1</v>
      </c>
      <c r="AS9" s="101">
        <v>1</v>
      </c>
      <c r="AT9" s="101">
        <v>1</v>
      </c>
      <c r="AU9" s="101">
        <v>1</v>
      </c>
      <c r="AV9" s="101">
        <f t="shared" si="12"/>
        <v>1</v>
      </c>
      <c r="AW9" s="101">
        <v>1</v>
      </c>
      <c r="AX9" s="101"/>
      <c r="AY9" s="52">
        <f t="shared" si="13"/>
        <v>0</v>
      </c>
      <c r="AZ9" s="52">
        <f t="shared" si="14"/>
        <v>0</v>
      </c>
    </row>
    <row r="10" spans="1:60" ht="12.75" customHeight="1">
      <c r="B10" s="117" t="s">
        <v>521</v>
      </c>
      <c r="C10" s="50">
        <v>2025</v>
      </c>
      <c r="D10" s="50">
        <v>1</v>
      </c>
      <c r="E10" s="100">
        <v>42</v>
      </c>
      <c r="F10" s="100">
        <v>42</v>
      </c>
      <c r="G10" s="100">
        <f t="shared" si="0"/>
        <v>0</v>
      </c>
      <c r="H10" s="100">
        <v>99</v>
      </c>
      <c r="I10" s="100">
        <v>26.5</v>
      </c>
      <c r="J10" s="100"/>
      <c r="K10" s="101">
        <v>9.5</v>
      </c>
      <c r="L10" s="101"/>
      <c r="M10" s="100">
        <v>23.8</v>
      </c>
      <c r="N10" s="100"/>
      <c r="O10" s="100">
        <v>193.6</v>
      </c>
      <c r="P10" s="100">
        <f t="shared" si="1"/>
        <v>7.3056603773584907</v>
      </c>
      <c r="Q10" s="100">
        <v>45</v>
      </c>
      <c r="R10" s="100">
        <v>45</v>
      </c>
      <c r="S10" s="100">
        <v>0</v>
      </c>
      <c r="T10" s="100"/>
      <c r="U10" s="100"/>
      <c r="V10" s="100">
        <v>1</v>
      </c>
      <c r="W10" s="100">
        <v>1</v>
      </c>
      <c r="X10" s="102">
        <v>110.38</v>
      </c>
      <c r="Y10" s="101">
        <v>147.69</v>
      </c>
      <c r="Z10" s="101">
        <v>75.099999999999994</v>
      </c>
      <c r="AA10" s="103">
        <f t="shared" si="2"/>
        <v>1</v>
      </c>
      <c r="AB10" s="100">
        <v>33</v>
      </c>
      <c r="AC10" s="101">
        <f t="shared" si="3"/>
        <v>14</v>
      </c>
      <c r="AD10" s="101">
        <v>741</v>
      </c>
      <c r="AE10" s="101">
        <v>19.8</v>
      </c>
      <c r="AF10" s="101">
        <v>133</v>
      </c>
      <c r="AG10" s="101">
        <f t="shared" si="4"/>
        <v>6.2</v>
      </c>
      <c r="AH10" s="101">
        <f t="shared" si="5"/>
        <v>25.2</v>
      </c>
      <c r="AI10" s="101">
        <v>11</v>
      </c>
      <c r="AJ10" s="104">
        <f t="shared" si="6"/>
        <v>1</v>
      </c>
      <c r="AK10" s="101">
        <f t="shared" si="7"/>
        <v>41.32</v>
      </c>
      <c r="AL10" s="50">
        <f t="shared" si="8"/>
        <v>1</v>
      </c>
      <c r="AM10" s="97" t="str">
        <f t="shared" si="9"/>
        <v>Lami Dental</v>
      </c>
      <c r="AN10" s="100"/>
      <c r="AO10" s="99">
        <f t="shared" si="15"/>
        <v>1</v>
      </c>
      <c r="AP10" s="100">
        <f t="shared" si="10"/>
        <v>1</v>
      </c>
      <c r="AQ10" s="100">
        <v>1</v>
      </c>
      <c r="AR10" s="100">
        <f t="shared" si="11"/>
        <v>1</v>
      </c>
      <c r="AS10" s="101">
        <v>1</v>
      </c>
      <c r="AT10" s="101">
        <v>1</v>
      </c>
      <c r="AU10" s="101">
        <v>1</v>
      </c>
      <c r="AV10" s="101">
        <f t="shared" si="12"/>
        <v>1</v>
      </c>
      <c r="AW10" s="101">
        <v>1</v>
      </c>
      <c r="AX10" s="101"/>
      <c r="AY10" s="52">
        <f t="shared" si="13"/>
        <v>0</v>
      </c>
      <c r="AZ10" s="52">
        <f t="shared" si="14"/>
        <v>0</v>
      </c>
    </row>
    <row r="11" spans="1:60" ht="12.75" customHeight="1">
      <c r="B11" s="117" t="s">
        <v>522</v>
      </c>
      <c r="C11" s="50">
        <v>2024</v>
      </c>
      <c r="D11" s="50">
        <v>1</v>
      </c>
      <c r="E11" s="100">
        <v>75.03</v>
      </c>
      <c r="F11" s="100">
        <v>108.6</v>
      </c>
      <c r="G11" s="100">
        <f t="shared" si="0"/>
        <v>30.911602209944746</v>
      </c>
      <c r="H11" s="100">
        <v>175.63</v>
      </c>
      <c r="I11" s="100">
        <v>58.13</v>
      </c>
      <c r="J11" s="100"/>
      <c r="K11" s="101">
        <v>13.23</v>
      </c>
      <c r="L11" s="101"/>
      <c r="M11" s="100">
        <v>79.13</v>
      </c>
      <c r="N11" s="100"/>
      <c r="O11" s="100">
        <v>208.77</v>
      </c>
      <c r="P11" s="100">
        <f t="shared" si="1"/>
        <v>3.5914329950111821</v>
      </c>
      <c r="Q11" s="100">
        <v>59.33</v>
      </c>
      <c r="R11" s="100">
        <v>59.33</v>
      </c>
      <c r="S11" s="100">
        <v>0</v>
      </c>
      <c r="T11" s="100"/>
      <c r="U11" s="100"/>
      <c r="V11" s="100">
        <v>1</v>
      </c>
      <c r="W11" s="100">
        <v>1</v>
      </c>
      <c r="X11" s="102">
        <v>116.01</v>
      </c>
      <c r="Y11" s="101">
        <v>196.78</v>
      </c>
      <c r="Z11" s="101">
        <v>44.11</v>
      </c>
      <c r="AA11" s="103">
        <f t="shared" si="2"/>
        <v>1</v>
      </c>
      <c r="AB11" s="100">
        <v>79</v>
      </c>
      <c r="AC11" s="101">
        <f t="shared" si="3"/>
        <v>29.333333333333332</v>
      </c>
      <c r="AD11" s="101">
        <v>155</v>
      </c>
      <c r="AE11" s="101">
        <v>122</v>
      </c>
      <c r="AF11" s="101">
        <v>122</v>
      </c>
      <c r="AG11" s="101">
        <f t="shared" si="4"/>
        <v>8.1</v>
      </c>
      <c r="AH11" s="101">
        <f t="shared" si="5"/>
        <v>42.43333333333333</v>
      </c>
      <c r="AI11" s="101">
        <v>11</v>
      </c>
      <c r="AJ11" s="104">
        <f t="shared" si="6"/>
        <v>1</v>
      </c>
      <c r="AK11" s="101">
        <f t="shared" si="7"/>
        <v>63.493333333333325</v>
      </c>
      <c r="AL11" s="50">
        <f t="shared" si="8"/>
        <v>1</v>
      </c>
      <c r="AM11" s="97" t="str">
        <f t="shared" si="9"/>
        <v>Unimech Aerospace</v>
      </c>
      <c r="AN11" s="100"/>
      <c r="AO11" s="99">
        <f t="shared" si="15"/>
        <v>1</v>
      </c>
      <c r="AP11" s="100">
        <f t="shared" si="10"/>
        <v>1</v>
      </c>
      <c r="AQ11" s="100">
        <v>1</v>
      </c>
      <c r="AR11" s="100">
        <f t="shared" si="11"/>
        <v>1</v>
      </c>
      <c r="AS11" s="101">
        <v>1</v>
      </c>
      <c r="AT11" s="101">
        <v>1</v>
      </c>
      <c r="AU11" s="101">
        <v>1</v>
      </c>
      <c r="AV11" s="101">
        <f t="shared" si="12"/>
        <v>1</v>
      </c>
      <c r="AW11" s="101">
        <v>1</v>
      </c>
      <c r="AX11" s="101"/>
      <c r="AY11" s="52">
        <f t="shared" si="13"/>
        <v>0</v>
      </c>
      <c r="AZ11" s="52">
        <f t="shared" si="14"/>
        <v>0</v>
      </c>
    </row>
    <row r="12" spans="1:60" ht="12.75" customHeight="1">
      <c r="B12" s="117" t="s">
        <v>523</v>
      </c>
      <c r="C12" s="50">
        <v>2024</v>
      </c>
      <c r="D12" s="50">
        <v>1</v>
      </c>
      <c r="E12" s="100">
        <v>200.8</v>
      </c>
      <c r="F12" s="100">
        <v>811.9</v>
      </c>
      <c r="G12" s="100">
        <f t="shared" si="0"/>
        <v>75.26789013425298</v>
      </c>
      <c r="H12" s="100">
        <v>1091.2</v>
      </c>
      <c r="I12" s="100">
        <v>58.3</v>
      </c>
      <c r="J12" s="100"/>
      <c r="K12" s="101">
        <v>12.7</v>
      </c>
      <c r="L12" s="101"/>
      <c r="M12" s="100">
        <v>89.7</v>
      </c>
      <c r="N12" s="100"/>
      <c r="O12" s="100">
        <v>398.3</v>
      </c>
      <c r="P12" s="100">
        <f t="shared" si="1"/>
        <v>6.8319039451114927</v>
      </c>
      <c r="Q12" s="100">
        <v>55.1</v>
      </c>
      <c r="R12" s="100">
        <v>55.1</v>
      </c>
      <c r="S12" s="100">
        <v>0</v>
      </c>
      <c r="T12" s="100"/>
      <c r="U12" s="100"/>
      <c r="V12" s="100">
        <v>1</v>
      </c>
      <c r="W12" s="100">
        <v>1</v>
      </c>
      <c r="X12" s="102">
        <v>97.84</v>
      </c>
      <c r="Y12" s="101">
        <v>100.35</v>
      </c>
      <c r="Z12" s="101">
        <v>93.16</v>
      </c>
      <c r="AA12" s="103">
        <f t="shared" si="2"/>
        <v>1</v>
      </c>
      <c r="AB12" s="100">
        <v>0</v>
      </c>
      <c r="AC12" s="101">
        <f t="shared" si="3"/>
        <v>0</v>
      </c>
      <c r="AD12" s="101">
        <v>85.7</v>
      </c>
      <c r="AE12" s="101">
        <v>85.6</v>
      </c>
      <c r="AF12" s="101">
        <v>250.5</v>
      </c>
      <c r="AG12" s="101">
        <f t="shared" si="4"/>
        <v>7.1</v>
      </c>
      <c r="AH12" s="101">
        <f t="shared" si="5"/>
        <v>12.1</v>
      </c>
      <c r="AI12" s="101">
        <v>11</v>
      </c>
      <c r="AJ12" s="104">
        <f t="shared" si="6"/>
        <v>1</v>
      </c>
      <c r="AK12" s="101">
        <f t="shared" si="7"/>
        <v>30.560000000000002</v>
      </c>
      <c r="AL12" s="50">
        <f t="shared" si="8"/>
        <v>1</v>
      </c>
      <c r="AM12" s="97" t="str">
        <f t="shared" si="9"/>
        <v>Senores Pharmaceuticals</v>
      </c>
      <c r="AN12" s="100"/>
      <c r="AO12" s="99">
        <f t="shared" si="15"/>
        <v>1</v>
      </c>
      <c r="AP12" s="100">
        <f t="shared" si="10"/>
        <v>1</v>
      </c>
      <c r="AQ12" s="100">
        <v>1</v>
      </c>
      <c r="AR12" s="100">
        <f t="shared" si="11"/>
        <v>1</v>
      </c>
      <c r="AS12" s="101">
        <v>1</v>
      </c>
      <c r="AT12" s="101">
        <v>1</v>
      </c>
      <c r="AU12" s="101">
        <v>1</v>
      </c>
      <c r="AV12" s="101">
        <f t="shared" si="12"/>
        <v>1</v>
      </c>
      <c r="AW12" s="101">
        <v>1</v>
      </c>
      <c r="AX12" s="101"/>
      <c r="AY12" s="52">
        <f t="shared" si="13"/>
        <v>0</v>
      </c>
      <c r="AZ12" s="52">
        <f t="shared" si="14"/>
        <v>0</v>
      </c>
    </row>
    <row r="13" spans="1:60" ht="12.75" customHeight="1">
      <c r="B13" s="117" t="s">
        <v>524</v>
      </c>
      <c r="C13" s="50">
        <v>2024</v>
      </c>
      <c r="D13" s="50">
        <v>1</v>
      </c>
      <c r="E13" s="100">
        <v>11.5</v>
      </c>
      <c r="F13" s="100">
        <v>132.30000000000001</v>
      </c>
      <c r="G13" s="100">
        <f t="shared" si="0"/>
        <v>91.307634164777028</v>
      </c>
      <c r="H13" s="100">
        <v>237.4</v>
      </c>
      <c r="I13" s="100">
        <v>36.1</v>
      </c>
      <c r="J13" s="100"/>
      <c r="K13" s="101">
        <v>14.65</v>
      </c>
      <c r="L13" s="101"/>
      <c r="M13" s="100">
        <v>47.1</v>
      </c>
      <c r="N13" s="100"/>
      <c r="O13" s="100">
        <v>236.6</v>
      </c>
      <c r="P13" s="100">
        <f t="shared" si="1"/>
        <v>6.5540166204986141</v>
      </c>
      <c r="Q13" s="100">
        <v>16.59</v>
      </c>
      <c r="R13" s="100">
        <v>16.59</v>
      </c>
      <c r="S13" s="100">
        <v>0</v>
      </c>
      <c r="T13" s="100"/>
      <c r="U13" s="100"/>
      <c r="V13" s="100">
        <v>1</v>
      </c>
      <c r="W13" s="100">
        <v>1</v>
      </c>
      <c r="X13" s="102">
        <v>235.88</v>
      </c>
      <c r="Y13" s="101">
        <v>274.38</v>
      </c>
      <c r="Z13" s="101">
        <v>138.08000000000001</v>
      </c>
      <c r="AA13" s="103">
        <f t="shared" si="2"/>
        <v>1</v>
      </c>
      <c r="AB13" s="100">
        <v>107</v>
      </c>
      <c r="AC13" s="101">
        <f t="shared" si="3"/>
        <v>38.666666666666664</v>
      </c>
      <c r="AD13" s="101">
        <v>60</v>
      </c>
      <c r="AE13" s="101">
        <v>18</v>
      </c>
      <c r="AF13" s="101">
        <v>4</v>
      </c>
      <c r="AG13" s="101">
        <f t="shared" si="4"/>
        <v>6.1</v>
      </c>
      <c r="AH13" s="101">
        <f t="shared" si="5"/>
        <v>49.766666666666666</v>
      </c>
      <c r="AI13" s="101">
        <v>11</v>
      </c>
      <c r="AJ13" s="104">
        <f t="shared" si="6"/>
        <v>1</v>
      </c>
      <c r="AK13" s="101">
        <f t="shared" si="7"/>
        <v>65.626666666666665</v>
      </c>
      <c r="AL13" s="50">
        <f t="shared" si="8"/>
        <v>1</v>
      </c>
      <c r="AM13" s="97" t="str">
        <f t="shared" si="9"/>
        <v>Mamata Machinery</v>
      </c>
      <c r="AN13" s="100"/>
      <c r="AO13" s="99">
        <f t="shared" si="15"/>
        <v>1</v>
      </c>
      <c r="AP13" s="100">
        <f t="shared" si="10"/>
        <v>1</v>
      </c>
      <c r="AQ13" s="100">
        <v>1</v>
      </c>
      <c r="AR13" s="100">
        <f t="shared" si="11"/>
        <v>1</v>
      </c>
      <c r="AS13" s="101">
        <v>1</v>
      </c>
      <c r="AT13" s="101">
        <v>1</v>
      </c>
      <c r="AU13" s="101">
        <v>1</v>
      </c>
      <c r="AV13" s="101">
        <f t="shared" si="12"/>
        <v>1</v>
      </c>
      <c r="AW13" s="101">
        <v>1</v>
      </c>
      <c r="AX13" s="101"/>
      <c r="AY13" s="52">
        <f t="shared" si="13"/>
        <v>0</v>
      </c>
      <c r="AZ13" s="52">
        <f t="shared" si="14"/>
        <v>0</v>
      </c>
    </row>
    <row r="14" spans="1:60" ht="12.75" customHeight="1">
      <c r="B14" s="117" t="s">
        <v>525</v>
      </c>
      <c r="C14" s="50">
        <v>2024</v>
      </c>
      <c r="D14" s="50">
        <v>1</v>
      </c>
      <c r="E14" s="100">
        <v>211.7</v>
      </c>
      <c r="F14" s="100">
        <v>162.59</v>
      </c>
      <c r="G14" s="100">
        <f t="shared" si="0"/>
        <v>-30.204809643889526</v>
      </c>
      <c r="H14" s="100">
        <v>854.65</v>
      </c>
      <c r="I14" s="100">
        <v>14.08</v>
      </c>
      <c r="J14" s="100"/>
      <c r="K14" s="101">
        <v>2.46</v>
      </c>
      <c r="L14" s="101"/>
      <c r="M14" s="100">
        <v>37.22</v>
      </c>
      <c r="N14" s="100"/>
      <c r="O14" s="100">
        <v>875</v>
      </c>
      <c r="P14" s="100">
        <f t="shared" si="1"/>
        <v>62.144886363636367</v>
      </c>
      <c r="Q14" s="100">
        <v>113.32</v>
      </c>
      <c r="R14" s="100">
        <v>113.32</v>
      </c>
      <c r="S14" s="100">
        <v>0</v>
      </c>
      <c r="T14" s="100"/>
      <c r="U14" s="100"/>
      <c r="V14" s="100">
        <v>1</v>
      </c>
      <c r="W14" s="100">
        <v>1</v>
      </c>
      <c r="X14" s="102">
        <v>125</v>
      </c>
      <c r="Y14" s="101">
        <v>114.7</v>
      </c>
      <c r="Z14" s="101">
        <v>141.78</v>
      </c>
      <c r="AA14" s="103">
        <f t="shared" si="2"/>
        <v>1</v>
      </c>
      <c r="AB14" s="100">
        <v>59</v>
      </c>
      <c r="AC14" s="101">
        <f t="shared" si="3"/>
        <v>22.666666666666668</v>
      </c>
      <c r="AD14" s="101">
        <v>117</v>
      </c>
      <c r="AE14" s="101">
        <v>62</v>
      </c>
      <c r="AF14" s="101">
        <v>14</v>
      </c>
      <c r="AG14" s="101">
        <f t="shared" si="4"/>
        <v>2</v>
      </c>
      <c r="AH14" s="101">
        <f t="shared" si="5"/>
        <v>28.666666666666668</v>
      </c>
      <c r="AI14" s="101">
        <v>11</v>
      </c>
      <c r="AJ14" s="104">
        <f t="shared" si="6"/>
        <v>1</v>
      </c>
      <c r="AK14" s="101">
        <f t="shared" si="7"/>
        <v>33.866666666666667</v>
      </c>
      <c r="AL14" s="50">
        <f t="shared" si="8"/>
        <v>1</v>
      </c>
      <c r="AM14" s="97" t="str">
        <f t="shared" si="9"/>
        <v>Mobikwik</v>
      </c>
      <c r="AN14" s="100"/>
      <c r="AO14" s="99">
        <f t="shared" si="15"/>
        <v>0</v>
      </c>
      <c r="AP14" s="100">
        <f t="shared" si="10"/>
        <v>1</v>
      </c>
      <c r="AQ14" s="100">
        <v>1</v>
      </c>
      <c r="AR14" s="100">
        <f t="shared" si="11"/>
        <v>5</v>
      </c>
      <c r="AS14" s="101">
        <v>1</v>
      </c>
      <c r="AT14" s="101">
        <v>1</v>
      </c>
      <c r="AU14" s="101">
        <v>1</v>
      </c>
      <c r="AV14" s="101">
        <f t="shared" si="12"/>
        <v>1</v>
      </c>
      <c r="AW14" s="101">
        <v>1</v>
      </c>
      <c r="AX14" s="101"/>
      <c r="AY14" s="52">
        <f t="shared" si="13"/>
        <v>0</v>
      </c>
      <c r="AZ14" s="52">
        <f t="shared" si="14"/>
        <v>0</v>
      </c>
    </row>
    <row r="15" spans="1:60" ht="12.75" customHeight="1">
      <c r="B15" s="117" t="s">
        <v>526</v>
      </c>
      <c r="C15" s="50">
        <v>2024</v>
      </c>
      <c r="D15" s="50">
        <v>1</v>
      </c>
      <c r="E15" s="100">
        <v>305.58</v>
      </c>
      <c r="F15" s="100">
        <v>323</v>
      </c>
      <c r="G15" s="100">
        <f t="shared" si="0"/>
        <v>5.3931888544891686</v>
      </c>
      <c r="H15" s="100">
        <v>812.87</v>
      </c>
      <c r="I15" s="100">
        <v>110.54</v>
      </c>
      <c r="J15" s="100"/>
      <c r="K15" s="101">
        <v>5.95</v>
      </c>
      <c r="L15" s="101"/>
      <c r="M15" s="100">
        <v>169.32</v>
      </c>
      <c r="N15" s="100"/>
      <c r="O15" s="100">
        <v>728.92</v>
      </c>
      <c r="P15" s="100">
        <f t="shared" si="1"/>
        <v>6.5941740546408534</v>
      </c>
      <c r="Q15" s="100">
        <v>23.9</v>
      </c>
      <c r="R15" s="100">
        <v>23.9</v>
      </c>
      <c r="S15" s="100">
        <v>0</v>
      </c>
      <c r="T15" s="100"/>
      <c r="U15" s="100"/>
      <c r="V15" s="100">
        <v>1</v>
      </c>
      <c r="W15" s="100">
        <v>1</v>
      </c>
      <c r="X15" s="102">
        <v>157.05000000000001</v>
      </c>
      <c r="Y15" s="101">
        <v>153.80000000000001</v>
      </c>
      <c r="Z15" s="101">
        <v>24.48</v>
      </c>
      <c r="AA15" s="103">
        <f t="shared" si="2"/>
        <v>1</v>
      </c>
      <c r="AB15" s="100">
        <v>39</v>
      </c>
      <c r="AC15" s="101">
        <f t="shared" si="3"/>
        <v>16</v>
      </c>
      <c r="AD15" s="101">
        <v>101</v>
      </c>
      <c r="AE15" s="101">
        <v>115.6</v>
      </c>
      <c r="AF15" s="101">
        <v>10.5</v>
      </c>
      <c r="AG15" s="101">
        <f t="shared" si="4"/>
        <v>5.2</v>
      </c>
      <c r="AH15" s="101">
        <f t="shared" si="5"/>
        <v>25.2</v>
      </c>
      <c r="AI15" s="101">
        <v>11</v>
      </c>
      <c r="AJ15" s="104">
        <f t="shared" si="6"/>
        <v>1</v>
      </c>
      <c r="AK15" s="101">
        <f t="shared" si="7"/>
        <v>38.72</v>
      </c>
      <c r="AL15" s="50">
        <f t="shared" si="8"/>
        <v>1</v>
      </c>
      <c r="AM15" s="97" t="str">
        <f t="shared" si="9"/>
        <v>Enviro Infra Engineers</v>
      </c>
      <c r="AN15" s="100"/>
      <c r="AO15" s="99">
        <f t="shared" si="15"/>
        <v>1</v>
      </c>
      <c r="AP15" s="100">
        <f t="shared" si="10"/>
        <v>1</v>
      </c>
      <c r="AQ15" s="100">
        <v>1</v>
      </c>
      <c r="AR15" s="100">
        <f t="shared" si="11"/>
        <v>1</v>
      </c>
      <c r="AS15" s="101">
        <v>1</v>
      </c>
      <c r="AT15" s="101">
        <v>1</v>
      </c>
      <c r="AU15" s="101">
        <v>1</v>
      </c>
      <c r="AV15" s="101">
        <f t="shared" si="12"/>
        <v>1</v>
      </c>
      <c r="AW15" s="101">
        <v>1</v>
      </c>
      <c r="AX15" s="101"/>
      <c r="AY15" s="52">
        <f t="shared" si="13"/>
        <v>0</v>
      </c>
      <c r="AZ15" s="52">
        <f t="shared" si="14"/>
        <v>0</v>
      </c>
    </row>
    <row r="16" spans="1:60" ht="12.75" customHeight="1">
      <c r="B16" s="117" t="s">
        <v>527</v>
      </c>
      <c r="C16" s="50">
        <v>2024</v>
      </c>
      <c r="D16" s="50">
        <v>1</v>
      </c>
      <c r="E16" s="100">
        <v>63.04</v>
      </c>
      <c r="F16" s="100">
        <v>130.28</v>
      </c>
      <c r="G16" s="100">
        <f t="shared" si="0"/>
        <v>51.611912803193128</v>
      </c>
      <c r="H16" s="100">
        <v>257.42</v>
      </c>
      <c r="I16" s="100">
        <v>39.880000000000003</v>
      </c>
      <c r="J16" s="100"/>
      <c r="K16" s="101">
        <v>8.8699999999999992</v>
      </c>
      <c r="L16" s="101"/>
      <c r="M16" s="100">
        <v>59.58</v>
      </c>
      <c r="N16" s="100"/>
      <c r="O16" s="100">
        <v>313.60000000000002</v>
      </c>
      <c r="P16" s="100">
        <f t="shared" si="1"/>
        <v>7.8635907723169511</v>
      </c>
      <c r="Q16" s="100">
        <v>23</v>
      </c>
      <c r="R16" s="100">
        <v>23</v>
      </c>
      <c r="S16" s="100">
        <v>0</v>
      </c>
      <c r="T16" s="100"/>
      <c r="U16" s="100"/>
      <c r="V16" s="100">
        <v>1</v>
      </c>
      <c r="W16" s="100">
        <v>1</v>
      </c>
      <c r="X16" s="102">
        <v>223.48</v>
      </c>
      <c r="Y16" s="101">
        <v>410.11</v>
      </c>
      <c r="Z16" s="101">
        <v>88.29</v>
      </c>
      <c r="AA16" s="103">
        <f t="shared" si="2"/>
        <v>1</v>
      </c>
      <c r="AB16" s="100">
        <v>106</v>
      </c>
      <c r="AC16" s="101">
        <f t="shared" si="3"/>
        <v>38.333333333333336</v>
      </c>
      <c r="AD16" s="101">
        <v>23</v>
      </c>
      <c r="AE16" s="101">
        <v>27</v>
      </c>
      <c r="AF16" s="101">
        <v>125</v>
      </c>
      <c r="AG16" s="101">
        <f t="shared" si="4"/>
        <v>7.1</v>
      </c>
      <c r="AH16" s="101">
        <f t="shared" si="5"/>
        <v>50.433333333333337</v>
      </c>
      <c r="AI16" s="101">
        <v>11</v>
      </c>
      <c r="AJ16" s="104">
        <f t="shared" si="6"/>
        <v>1</v>
      </c>
      <c r="AK16" s="101">
        <f t="shared" si="7"/>
        <v>68.893333333333345</v>
      </c>
      <c r="AL16" s="50">
        <f t="shared" si="8"/>
        <v>1</v>
      </c>
      <c r="AM16" s="97" t="str">
        <f t="shared" si="9"/>
        <v>KRN Heat Echanger</v>
      </c>
      <c r="AN16" s="100"/>
      <c r="AO16" s="99">
        <f t="shared" si="15"/>
        <v>1</v>
      </c>
      <c r="AP16" s="100">
        <f t="shared" si="10"/>
        <v>0</v>
      </c>
      <c r="AQ16" s="100">
        <v>1</v>
      </c>
      <c r="AR16" s="100">
        <f t="shared" si="11"/>
        <v>1</v>
      </c>
      <c r="AS16" s="101">
        <v>1</v>
      </c>
      <c r="AT16" s="101">
        <v>1</v>
      </c>
      <c r="AU16" s="101">
        <v>1</v>
      </c>
      <c r="AV16" s="101">
        <f t="shared" si="12"/>
        <v>1</v>
      </c>
      <c r="AW16" s="101">
        <v>1</v>
      </c>
      <c r="AX16" s="101"/>
      <c r="AY16" s="52">
        <f t="shared" si="13"/>
        <v>0</v>
      </c>
      <c r="AZ16" s="52">
        <f t="shared" si="14"/>
        <v>0</v>
      </c>
    </row>
    <row r="17" spans="2:52" ht="12.75" customHeight="1">
      <c r="B17" s="117" t="s">
        <v>528</v>
      </c>
      <c r="C17" s="50">
        <v>2024</v>
      </c>
      <c r="D17" s="50">
        <v>1</v>
      </c>
      <c r="E17" s="100">
        <v>396.5</v>
      </c>
      <c r="F17" s="100">
        <v>534.38</v>
      </c>
      <c r="G17" s="100">
        <f t="shared" si="0"/>
        <v>25.801863842209663</v>
      </c>
      <c r="H17" s="100">
        <v>1464.98</v>
      </c>
      <c r="I17" s="100">
        <v>154.34</v>
      </c>
      <c r="J17" s="100"/>
      <c r="K17" s="101">
        <v>21.59</v>
      </c>
      <c r="L17" s="101"/>
      <c r="M17" s="100">
        <v>277.43</v>
      </c>
      <c r="N17" s="100"/>
      <c r="O17" s="100">
        <v>6110.95</v>
      </c>
      <c r="P17" s="100">
        <f t="shared" si="1"/>
        <v>39.594078009589218</v>
      </c>
      <c r="Q17" s="100">
        <v>22.23</v>
      </c>
      <c r="R17" s="100">
        <v>22.23</v>
      </c>
      <c r="S17" s="100">
        <v>0</v>
      </c>
      <c r="T17" s="100"/>
      <c r="U17" s="100"/>
      <c r="V17" s="100">
        <v>1</v>
      </c>
      <c r="W17" s="100">
        <v>1</v>
      </c>
      <c r="X17" s="102">
        <v>136.85</v>
      </c>
      <c r="Y17" s="101">
        <v>56.08</v>
      </c>
      <c r="Z17" s="101">
        <v>16.579999999999998</v>
      </c>
      <c r="AA17" s="103">
        <f t="shared" si="2"/>
        <v>1</v>
      </c>
      <c r="AB17" s="100">
        <v>63</v>
      </c>
      <c r="AC17" s="101">
        <f t="shared" si="3"/>
        <v>24</v>
      </c>
      <c r="AD17" s="101">
        <v>64.72</v>
      </c>
      <c r="AE17" s="101">
        <v>35.700000000000003</v>
      </c>
      <c r="AF17" s="101">
        <v>46.07</v>
      </c>
      <c r="AG17" s="101">
        <f t="shared" si="4"/>
        <v>6.1</v>
      </c>
      <c r="AH17" s="101">
        <f t="shared" si="5"/>
        <v>35.1</v>
      </c>
      <c r="AI17" s="101">
        <v>11</v>
      </c>
      <c r="AJ17" s="104">
        <f t="shared" si="6"/>
        <v>1</v>
      </c>
      <c r="AK17" s="101">
        <f t="shared" si="7"/>
        <v>50.96</v>
      </c>
      <c r="AL17" s="50">
        <f t="shared" si="8"/>
        <v>1</v>
      </c>
      <c r="AM17" s="97" t="str">
        <f t="shared" si="9"/>
        <v>P N Gadgil Jewellers</v>
      </c>
      <c r="AN17" s="100"/>
      <c r="AO17" s="99">
        <f t="shared" si="15"/>
        <v>1</v>
      </c>
      <c r="AP17" s="100">
        <f t="shared" si="10"/>
        <v>1</v>
      </c>
      <c r="AQ17" s="100">
        <v>1</v>
      </c>
      <c r="AR17" s="100">
        <f t="shared" si="11"/>
        <v>1</v>
      </c>
      <c r="AS17" s="101">
        <v>1</v>
      </c>
      <c r="AT17" s="101">
        <v>1</v>
      </c>
      <c r="AU17" s="101">
        <v>1</v>
      </c>
      <c r="AV17" s="101">
        <f t="shared" si="12"/>
        <v>1</v>
      </c>
      <c r="AW17" s="101">
        <v>1</v>
      </c>
      <c r="AX17" s="101"/>
      <c r="AY17" s="52">
        <f t="shared" si="13"/>
        <v>0</v>
      </c>
      <c r="AZ17" s="52">
        <f t="shared" si="14"/>
        <v>0</v>
      </c>
    </row>
    <row r="18" spans="2:52" ht="12.75" customHeight="1">
      <c r="B18" s="117" t="s">
        <v>529</v>
      </c>
      <c r="C18" s="50">
        <v>2024</v>
      </c>
      <c r="D18" s="50">
        <v>1</v>
      </c>
      <c r="E18" s="100">
        <v>1392.24</v>
      </c>
      <c r="F18" s="100">
        <v>528</v>
      </c>
      <c r="G18" s="100">
        <f t="shared" si="0"/>
        <v>-163.68181818181819</v>
      </c>
      <c r="H18" s="100">
        <v>3554.13</v>
      </c>
      <c r="I18" s="100">
        <v>231.36</v>
      </c>
      <c r="J18" s="100"/>
      <c r="K18" s="101">
        <v>5.13</v>
      </c>
      <c r="L18" s="101"/>
      <c r="M18" s="100">
        <v>505</v>
      </c>
      <c r="N18" s="100"/>
      <c r="O18" s="100">
        <v>3143.79</v>
      </c>
      <c r="P18" s="100">
        <f t="shared" si="1"/>
        <v>13.588303941908713</v>
      </c>
      <c r="Q18" s="100">
        <v>87.7</v>
      </c>
      <c r="R18" s="100">
        <v>87.7</v>
      </c>
      <c r="S18" s="100">
        <v>0</v>
      </c>
      <c r="T18" s="100"/>
      <c r="U18" s="100"/>
      <c r="V18" s="100">
        <v>1</v>
      </c>
      <c r="W18" s="100">
        <v>1</v>
      </c>
      <c r="X18" s="102">
        <v>212.42</v>
      </c>
      <c r="Y18" s="101">
        <v>50.98</v>
      </c>
      <c r="Z18" s="101">
        <v>7.44</v>
      </c>
      <c r="AA18" s="103">
        <f t="shared" si="2"/>
        <v>1</v>
      </c>
      <c r="AB18" s="100">
        <v>108</v>
      </c>
      <c r="AC18" s="101">
        <f t="shared" si="3"/>
        <v>39</v>
      </c>
      <c r="AD18" s="101">
        <v>1838</v>
      </c>
      <c r="AE18" s="101">
        <v>120</v>
      </c>
      <c r="AF18" s="101">
        <v>29</v>
      </c>
      <c r="AG18" s="101">
        <f t="shared" si="4"/>
        <v>4</v>
      </c>
      <c r="AH18" s="101">
        <f t="shared" si="5"/>
        <v>47</v>
      </c>
      <c r="AI18" s="101">
        <v>11</v>
      </c>
      <c r="AJ18" s="104">
        <f t="shared" si="6"/>
        <v>1</v>
      </c>
      <c r="AK18" s="101">
        <f t="shared" si="7"/>
        <v>57.4</v>
      </c>
      <c r="AL18" s="50">
        <f t="shared" si="8"/>
        <v>1</v>
      </c>
      <c r="AM18" s="97" t="str">
        <f t="shared" si="9"/>
        <v>Premier Energies</v>
      </c>
      <c r="AN18" s="100"/>
      <c r="AO18" s="99">
        <f t="shared" si="15"/>
        <v>1</v>
      </c>
      <c r="AP18" s="100">
        <f t="shared" si="10"/>
        <v>1</v>
      </c>
      <c r="AQ18" s="100">
        <v>1</v>
      </c>
      <c r="AR18" s="100">
        <f t="shared" si="11"/>
        <v>1</v>
      </c>
      <c r="AS18" s="101">
        <v>1</v>
      </c>
      <c r="AT18" s="101">
        <v>1</v>
      </c>
      <c r="AU18" s="101">
        <v>1</v>
      </c>
      <c r="AV18" s="101">
        <f t="shared" si="12"/>
        <v>1</v>
      </c>
      <c r="AW18" s="101">
        <v>1</v>
      </c>
      <c r="AX18" s="101"/>
      <c r="AY18" s="52">
        <f t="shared" si="13"/>
        <v>0</v>
      </c>
      <c r="AZ18" s="52">
        <f t="shared" si="14"/>
        <v>0</v>
      </c>
    </row>
    <row r="19" spans="2:52" ht="12.75" customHeight="1">
      <c r="B19" s="117" t="s">
        <v>530</v>
      </c>
      <c r="C19" s="50">
        <v>2024</v>
      </c>
      <c r="D19" s="50">
        <v>1</v>
      </c>
      <c r="E19" s="100">
        <v>68.010000000000005</v>
      </c>
      <c r="F19" s="100">
        <v>67</v>
      </c>
      <c r="G19" s="100">
        <f t="shared" si="0"/>
        <v>-1.5074626865671719</v>
      </c>
      <c r="H19" s="100">
        <v>179.47</v>
      </c>
      <c r="I19" s="100">
        <v>18.88</v>
      </c>
      <c r="J19" s="100"/>
      <c r="K19" s="101">
        <v>2.08</v>
      </c>
      <c r="L19" s="101"/>
      <c r="M19" s="100">
        <v>33.58</v>
      </c>
      <c r="N19" s="100"/>
      <c r="O19" s="100">
        <v>243.06</v>
      </c>
      <c r="P19" s="100">
        <f t="shared" si="1"/>
        <v>12.873940677966102</v>
      </c>
      <c r="Q19" s="100">
        <v>64.900000000000006</v>
      </c>
      <c r="R19" s="100">
        <v>64.900000000000006</v>
      </c>
      <c r="S19" s="100">
        <v>0</v>
      </c>
      <c r="T19" s="100"/>
      <c r="U19" s="100"/>
      <c r="V19" s="100">
        <v>1</v>
      </c>
      <c r="W19" s="100">
        <v>1</v>
      </c>
      <c r="X19" s="102">
        <v>123.3</v>
      </c>
      <c r="Y19" s="101">
        <v>300.05</v>
      </c>
      <c r="Z19" s="101">
        <v>236.53</v>
      </c>
      <c r="AA19" s="103">
        <f t="shared" si="2"/>
        <v>1</v>
      </c>
      <c r="AB19" s="100">
        <v>114</v>
      </c>
      <c r="AC19" s="101">
        <f t="shared" si="3"/>
        <v>41</v>
      </c>
      <c r="AD19" s="101">
        <v>251</v>
      </c>
      <c r="AE19" s="101">
        <v>183</v>
      </c>
      <c r="AF19" s="101">
        <v>235</v>
      </c>
      <c r="AG19" s="101">
        <f t="shared" si="4"/>
        <v>5</v>
      </c>
      <c r="AH19" s="101">
        <f t="shared" si="5"/>
        <v>50</v>
      </c>
      <c r="AI19" s="101">
        <v>11</v>
      </c>
      <c r="AJ19" s="104">
        <f t="shared" si="6"/>
        <v>1</v>
      </c>
      <c r="AK19" s="101">
        <f t="shared" si="7"/>
        <v>63</v>
      </c>
      <c r="AL19" s="50">
        <f t="shared" si="8"/>
        <v>1</v>
      </c>
      <c r="AM19" s="97" t="str">
        <f t="shared" si="9"/>
        <v>BLS E-Services</v>
      </c>
      <c r="AN19" s="100"/>
      <c r="AO19" s="99">
        <f t="shared" si="15"/>
        <v>0</v>
      </c>
      <c r="AP19" s="100">
        <f t="shared" si="10"/>
        <v>0</v>
      </c>
      <c r="AQ19" s="100">
        <v>1</v>
      </c>
      <c r="AR19" s="100">
        <f t="shared" si="11"/>
        <v>5</v>
      </c>
      <c r="AS19" s="101">
        <v>1</v>
      </c>
      <c r="AT19" s="101">
        <v>1</v>
      </c>
      <c r="AU19" s="101">
        <v>1</v>
      </c>
      <c r="AV19" s="101">
        <f t="shared" si="12"/>
        <v>1</v>
      </c>
      <c r="AW19" s="101">
        <v>1</v>
      </c>
      <c r="AX19" s="101"/>
      <c r="AY19" s="52">
        <f t="shared" si="13"/>
        <v>0</v>
      </c>
      <c r="AZ19" s="52">
        <f t="shared" si="14"/>
        <v>0</v>
      </c>
    </row>
    <row r="20" spans="2:52" ht="12.75" customHeight="1">
      <c r="B20" s="118" t="s">
        <v>531</v>
      </c>
      <c r="C20" s="50">
        <v>2025</v>
      </c>
      <c r="D20" s="50">
        <v>1</v>
      </c>
      <c r="E20" s="100">
        <v>6166.54</v>
      </c>
      <c r="F20" s="100">
        <v>2372.35</v>
      </c>
      <c r="G20" s="100">
        <f t="shared" si="0"/>
        <v>-159.93382089489324</v>
      </c>
      <c r="H20" s="100">
        <v>12003.94</v>
      </c>
      <c r="I20" s="100">
        <v>-163.76</v>
      </c>
      <c r="J20" s="100"/>
      <c r="K20" s="101">
        <v>-1.1599999999999999</v>
      </c>
      <c r="L20" s="101"/>
      <c r="M20" s="100">
        <v>716.84</v>
      </c>
      <c r="N20" s="100"/>
      <c r="O20" s="100">
        <v>5813.07</v>
      </c>
      <c r="P20" s="100">
        <f t="shared" si="1"/>
        <v>-35.497496336101612</v>
      </c>
      <c r="Q20" s="100">
        <v>-122.38</v>
      </c>
      <c r="R20" s="100">
        <v>-122.38</v>
      </c>
      <c r="S20" s="100">
        <v>0</v>
      </c>
      <c r="T20" s="100"/>
      <c r="U20" s="100"/>
      <c r="V20" s="100">
        <v>1</v>
      </c>
      <c r="W20" s="100">
        <v>1</v>
      </c>
      <c r="X20" s="102">
        <v>16.71</v>
      </c>
      <c r="Y20" s="101">
        <v>11.6</v>
      </c>
      <c r="Z20" s="101">
        <v>1.91</v>
      </c>
      <c r="AA20" s="103">
        <f t="shared" si="2"/>
        <v>1</v>
      </c>
      <c r="AB20" s="100">
        <v>3.7</v>
      </c>
      <c r="AC20" s="101">
        <f t="shared" si="3"/>
        <v>1.2333333333333334</v>
      </c>
      <c r="AD20" s="101">
        <v>-364</v>
      </c>
      <c r="AE20" s="101">
        <v>-3.56</v>
      </c>
      <c r="AF20" s="101">
        <v>-3.74</v>
      </c>
      <c r="AG20" s="101">
        <f t="shared" si="4"/>
        <v>3.7</v>
      </c>
      <c r="AH20" s="101">
        <f t="shared" si="5"/>
        <v>7.9333333333333336</v>
      </c>
      <c r="AI20" s="101">
        <v>11</v>
      </c>
      <c r="AJ20" s="104">
        <f t="shared" si="6"/>
        <v>1</v>
      </c>
      <c r="AK20" s="101">
        <f t="shared" si="7"/>
        <v>17.553333333333335</v>
      </c>
      <c r="AL20" s="50">
        <f t="shared" si="8"/>
        <v>1</v>
      </c>
      <c r="AM20" s="97" t="str">
        <f t="shared" si="9"/>
        <v>JSW Cement</v>
      </c>
      <c r="AN20" s="100"/>
      <c r="AO20" s="99">
        <f t="shared" si="15"/>
        <v>0</v>
      </c>
      <c r="AP20" s="100">
        <f t="shared" si="10"/>
        <v>0</v>
      </c>
      <c r="AQ20" s="100">
        <v>1</v>
      </c>
      <c r="AR20" s="100">
        <f t="shared" si="11"/>
        <v>5</v>
      </c>
      <c r="AS20" s="101">
        <v>1</v>
      </c>
      <c r="AT20" s="101">
        <v>1</v>
      </c>
      <c r="AU20" s="101">
        <v>1</v>
      </c>
      <c r="AV20" s="101">
        <f t="shared" si="12"/>
        <v>1</v>
      </c>
      <c r="AW20" s="101">
        <v>1</v>
      </c>
      <c r="AX20" s="101"/>
      <c r="AY20" s="52">
        <f t="shared" si="13"/>
        <v>0</v>
      </c>
      <c r="AZ20" s="52">
        <f t="shared" si="14"/>
        <v>0</v>
      </c>
    </row>
    <row r="21" spans="2:52" ht="12.75" customHeight="1">
      <c r="B21" s="118" t="s">
        <v>532</v>
      </c>
      <c r="C21" s="50">
        <v>2025</v>
      </c>
      <c r="D21" s="50">
        <v>1</v>
      </c>
      <c r="E21" s="100">
        <v>397.77</v>
      </c>
      <c r="F21" s="100">
        <v>107.88</v>
      </c>
      <c r="G21" s="100">
        <f t="shared" si="0"/>
        <v>-268.71523915461626</v>
      </c>
      <c r="H21" s="100">
        <v>4650.8500000000004</v>
      </c>
      <c r="I21" s="100">
        <v>-63.18</v>
      </c>
      <c r="J21" s="100"/>
      <c r="K21" s="101">
        <v>-6.18</v>
      </c>
      <c r="L21" s="101"/>
      <c r="M21" s="100">
        <v>857.26</v>
      </c>
      <c r="N21" s="100"/>
      <c r="O21" s="100">
        <v>1374.06</v>
      </c>
      <c r="P21" s="100">
        <f t="shared" si="1"/>
        <v>-21.748338081671413</v>
      </c>
      <c r="Q21" s="100">
        <v>1</v>
      </c>
      <c r="R21" s="100">
        <v>1</v>
      </c>
      <c r="S21" s="100">
        <v>0</v>
      </c>
      <c r="T21" s="100"/>
      <c r="U21" s="100"/>
      <c r="V21" s="100">
        <v>1</v>
      </c>
      <c r="W21" s="100">
        <v>1</v>
      </c>
      <c r="X21" s="102">
        <v>24.92</v>
      </c>
      <c r="Y21" s="101">
        <v>23.68</v>
      </c>
      <c r="Z21" s="101">
        <v>3.69</v>
      </c>
      <c r="AA21" s="103">
        <f t="shared" si="2"/>
        <v>1</v>
      </c>
      <c r="AB21" s="100">
        <v>4</v>
      </c>
      <c r="AC21" s="101">
        <f t="shared" si="3"/>
        <v>1.3333333333333333</v>
      </c>
      <c r="AD21" s="101">
        <v>-27.5</v>
      </c>
      <c r="AE21" s="101">
        <v>32.200000000000003</v>
      </c>
      <c r="AF21" s="101">
        <v>115.76</v>
      </c>
      <c r="AG21" s="101">
        <f t="shared" si="4"/>
        <v>5.7</v>
      </c>
      <c r="AH21" s="101">
        <f t="shared" si="5"/>
        <v>11.033333333333333</v>
      </c>
      <c r="AI21" s="101">
        <v>11</v>
      </c>
      <c r="AJ21" s="104">
        <f t="shared" si="6"/>
        <v>1</v>
      </c>
      <c r="AK21" s="101">
        <f t="shared" si="7"/>
        <v>25.853333333333332</v>
      </c>
      <c r="AL21" s="50">
        <f t="shared" si="8"/>
        <v>1</v>
      </c>
      <c r="AM21" s="97" t="str">
        <f t="shared" si="9"/>
        <v>Smartworks Coworking</v>
      </c>
      <c r="AN21" s="100"/>
      <c r="AO21" s="99">
        <f t="shared" si="15"/>
        <v>1</v>
      </c>
      <c r="AP21" s="100">
        <f t="shared" si="10"/>
        <v>2</v>
      </c>
      <c r="AQ21" s="100">
        <v>1</v>
      </c>
      <c r="AR21" s="100">
        <f t="shared" si="11"/>
        <v>1</v>
      </c>
      <c r="AS21" s="101">
        <v>1</v>
      </c>
      <c r="AT21" s="101">
        <v>1</v>
      </c>
      <c r="AU21" s="101">
        <v>1</v>
      </c>
      <c r="AV21" s="101">
        <f t="shared" si="12"/>
        <v>1</v>
      </c>
      <c r="AW21" s="101">
        <v>1</v>
      </c>
      <c r="AX21" s="101"/>
      <c r="AY21" s="52">
        <f t="shared" si="13"/>
        <v>0</v>
      </c>
      <c r="AZ21" s="52">
        <f t="shared" si="14"/>
        <v>0</v>
      </c>
    </row>
    <row r="22" spans="2:52" ht="12.75" customHeight="1">
      <c r="B22" s="119" t="s">
        <v>533</v>
      </c>
      <c r="C22" s="50">
        <v>2024</v>
      </c>
      <c r="D22" s="50">
        <v>0</v>
      </c>
      <c r="E22" s="100">
        <v>213</v>
      </c>
      <c r="F22" s="100">
        <v>370</v>
      </c>
      <c r="G22" s="100">
        <f t="shared" si="0"/>
        <v>42.432432432432435</v>
      </c>
      <c r="H22" s="100">
        <v>632</v>
      </c>
      <c r="I22" s="100">
        <v>63</v>
      </c>
      <c r="J22" s="100"/>
      <c r="K22" s="101">
        <v>11</v>
      </c>
      <c r="L22" s="101"/>
      <c r="M22" s="100">
        <v>132</v>
      </c>
      <c r="N22" s="100"/>
      <c r="O22" s="100">
        <v>1789</v>
      </c>
      <c r="P22" s="100">
        <f t="shared" si="1"/>
        <v>28.396825396825395</v>
      </c>
      <c r="Q22" s="100">
        <v>64</v>
      </c>
      <c r="R22" s="100">
        <v>64</v>
      </c>
      <c r="S22" s="100">
        <v>0</v>
      </c>
      <c r="T22" s="100"/>
      <c r="U22" s="100"/>
      <c r="V22" s="100">
        <v>1</v>
      </c>
      <c r="W22" s="100">
        <v>1</v>
      </c>
      <c r="X22" s="102">
        <v>2.33</v>
      </c>
      <c r="Y22" s="101">
        <v>0.63</v>
      </c>
      <c r="Z22" s="101">
        <v>0.75</v>
      </c>
      <c r="AA22" s="103">
        <f t="shared" si="2"/>
        <v>1</v>
      </c>
      <c r="AB22" s="100">
        <v>0</v>
      </c>
      <c r="AC22" s="101">
        <f t="shared" si="3"/>
        <v>0</v>
      </c>
      <c r="AD22" s="101">
        <v>31</v>
      </c>
      <c r="AE22" s="101">
        <v>4</v>
      </c>
      <c r="AF22" s="101">
        <v>10</v>
      </c>
      <c r="AG22" s="101">
        <f t="shared" si="4"/>
        <v>4.0999999999999996</v>
      </c>
      <c r="AH22" s="101">
        <f t="shared" si="5"/>
        <v>5.0999999999999996</v>
      </c>
      <c r="AI22" s="101">
        <v>11</v>
      </c>
      <c r="AJ22" s="104">
        <f t="shared" si="6"/>
        <v>1</v>
      </c>
      <c r="AK22" s="101">
        <f t="shared" si="7"/>
        <v>15.76</v>
      </c>
      <c r="AL22" s="50">
        <f t="shared" si="8"/>
        <v>0</v>
      </c>
      <c r="AM22" s="97" t="str">
        <f t="shared" si="9"/>
        <v>Carraro India</v>
      </c>
      <c r="AN22" s="100"/>
      <c r="AO22" s="99">
        <f t="shared" si="15"/>
        <v>0</v>
      </c>
      <c r="AP22" s="100">
        <f t="shared" si="10"/>
        <v>0</v>
      </c>
      <c r="AQ22" s="100">
        <v>1</v>
      </c>
      <c r="AR22" s="100">
        <f t="shared" si="11"/>
        <v>5</v>
      </c>
      <c r="AS22" s="101">
        <v>1</v>
      </c>
      <c r="AT22" s="101">
        <v>1</v>
      </c>
      <c r="AU22" s="101">
        <v>1</v>
      </c>
      <c r="AV22" s="101">
        <f t="shared" si="12"/>
        <v>1</v>
      </c>
      <c r="AW22" s="101">
        <v>1</v>
      </c>
      <c r="AX22" s="101"/>
      <c r="AY22" s="52">
        <f t="shared" si="13"/>
        <v>0</v>
      </c>
      <c r="AZ22" s="52">
        <f t="shared" si="14"/>
        <v>0</v>
      </c>
    </row>
    <row r="23" spans="2:52" ht="12.75" customHeight="1">
      <c r="B23" s="119" t="s">
        <v>534</v>
      </c>
      <c r="C23" s="50">
        <v>2024</v>
      </c>
      <c r="D23" s="50">
        <v>0</v>
      </c>
      <c r="E23" s="100">
        <v>8536.35</v>
      </c>
      <c r="F23" s="100">
        <v>2590.87</v>
      </c>
      <c r="G23" s="100">
        <f t="shared" si="0"/>
        <v>-229.47812896826164</v>
      </c>
      <c r="H23" s="100">
        <v>13399.8</v>
      </c>
      <c r="I23" s="100">
        <v>698</v>
      </c>
      <c r="J23" s="100"/>
      <c r="K23" s="101">
        <v>66.81</v>
      </c>
      <c r="L23" s="101"/>
      <c r="M23" s="100">
        <v>1089</v>
      </c>
      <c r="N23" s="100"/>
      <c r="O23" s="100">
        <v>1319</v>
      </c>
      <c r="P23" s="100">
        <f t="shared" si="1"/>
        <v>1.8896848137535818</v>
      </c>
      <c r="Q23" s="100">
        <v>24</v>
      </c>
      <c r="R23" s="100">
        <v>24</v>
      </c>
      <c r="S23" s="100">
        <v>0</v>
      </c>
      <c r="T23" s="100"/>
      <c r="U23" s="100"/>
      <c r="V23" s="100">
        <v>1</v>
      </c>
      <c r="W23" s="100">
        <v>1</v>
      </c>
      <c r="X23" s="102">
        <v>3.72</v>
      </c>
      <c r="Y23" s="101">
        <v>1.02</v>
      </c>
      <c r="Z23" s="101">
        <v>3.25</v>
      </c>
      <c r="AA23" s="103">
        <f t="shared" si="2"/>
        <v>1</v>
      </c>
      <c r="AB23" s="100">
        <v>0</v>
      </c>
      <c r="AC23" s="101">
        <f t="shared" si="3"/>
        <v>0</v>
      </c>
      <c r="AD23" s="101">
        <v>0</v>
      </c>
      <c r="AE23" s="101">
        <v>1.88</v>
      </c>
      <c r="AF23" s="101">
        <v>36.4</v>
      </c>
      <c r="AG23" s="101">
        <f t="shared" si="4"/>
        <v>4</v>
      </c>
      <c r="AH23" s="101">
        <f t="shared" si="5"/>
        <v>6</v>
      </c>
      <c r="AI23" s="101">
        <v>11</v>
      </c>
      <c r="AJ23" s="104">
        <f t="shared" si="6"/>
        <v>1</v>
      </c>
      <c r="AK23" s="101">
        <f t="shared" si="7"/>
        <v>16.399999999999999</v>
      </c>
      <c r="AL23" s="50">
        <f t="shared" si="8"/>
        <v>0</v>
      </c>
      <c r="AM23" s="97" t="str">
        <f t="shared" si="9"/>
        <v>ACME Solar Holdings</v>
      </c>
      <c r="AN23" s="100"/>
      <c r="AO23" s="99">
        <f t="shared" si="15"/>
        <v>0</v>
      </c>
      <c r="AP23" s="100">
        <f t="shared" si="10"/>
        <v>0</v>
      </c>
      <c r="AQ23" s="100">
        <v>1</v>
      </c>
      <c r="AR23" s="100">
        <f t="shared" si="11"/>
        <v>5</v>
      </c>
      <c r="AS23" s="101">
        <v>1</v>
      </c>
      <c r="AT23" s="101">
        <v>1</v>
      </c>
      <c r="AU23" s="101">
        <v>1</v>
      </c>
      <c r="AV23" s="101">
        <f t="shared" si="12"/>
        <v>1</v>
      </c>
      <c r="AW23" s="101">
        <v>1</v>
      </c>
      <c r="AX23" s="101"/>
      <c r="AY23" s="52">
        <f t="shared" si="13"/>
        <v>0</v>
      </c>
      <c r="AZ23" s="52">
        <f t="shared" si="14"/>
        <v>0</v>
      </c>
    </row>
    <row r="24" spans="2:52" ht="12.75" customHeight="1">
      <c r="B24" s="119" t="s">
        <v>535</v>
      </c>
      <c r="C24" s="50">
        <v>2024</v>
      </c>
      <c r="D24" s="50">
        <v>0</v>
      </c>
      <c r="E24" s="100">
        <v>2253.44</v>
      </c>
      <c r="F24" s="100">
        <v>3075.29</v>
      </c>
      <c r="G24" s="100">
        <f t="shared" si="0"/>
        <v>26.72430892696298</v>
      </c>
      <c r="H24" s="100">
        <v>15611.2</v>
      </c>
      <c r="I24" s="100">
        <v>449.76</v>
      </c>
      <c r="J24" s="100"/>
      <c r="K24" s="101">
        <v>13.2</v>
      </c>
      <c r="L24" s="101"/>
      <c r="M24" s="100">
        <v>1583.12</v>
      </c>
      <c r="N24" s="100"/>
      <c r="O24" s="100">
        <v>13646.88</v>
      </c>
      <c r="P24" s="100">
        <f t="shared" si="1"/>
        <v>30.34258271077908</v>
      </c>
      <c r="Q24" s="100">
        <v>35.08</v>
      </c>
      <c r="R24" s="100">
        <v>35.08</v>
      </c>
      <c r="S24" s="100">
        <v>0</v>
      </c>
      <c r="T24" s="100"/>
      <c r="U24" s="100"/>
      <c r="V24" s="100">
        <v>1</v>
      </c>
      <c r="W24" s="100">
        <v>1</v>
      </c>
      <c r="X24" s="102">
        <v>3.99</v>
      </c>
      <c r="Y24" s="101">
        <v>5.31</v>
      </c>
      <c r="Z24" s="101">
        <v>0.99</v>
      </c>
      <c r="AA24" s="103">
        <f t="shared" si="2"/>
        <v>0</v>
      </c>
      <c r="AB24" s="100">
        <v>0</v>
      </c>
      <c r="AC24" s="101">
        <f t="shared" si="3"/>
        <v>0</v>
      </c>
      <c r="AD24" s="101">
        <v>9.5</v>
      </c>
      <c r="AE24" s="101">
        <v>6.3</v>
      </c>
      <c r="AF24" s="101">
        <v>15.3</v>
      </c>
      <c r="AG24" s="101">
        <f t="shared" si="4"/>
        <v>3.1</v>
      </c>
      <c r="AH24" s="101">
        <f t="shared" si="5"/>
        <v>3.1</v>
      </c>
      <c r="AI24" s="101">
        <v>11</v>
      </c>
      <c r="AJ24" s="104">
        <f t="shared" si="6"/>
        <v>1</v>
      </c>
      <c r="AK24" s="101">
        <f t="shared" si="7"/>
        <v>11.16</v>
      </c>
      <c r="AL24" s="50">
        <f t="shared" si="8"/>
        <v>0</v>
      </c>
      <c r="AM24" s="97" t="str">
        <f t="shared" si="9"/>
        <v>Afcons Infrastructure</v>
      </c>
      <c r="AN24" s="100"/>
      <c r="AO24" s="99">
        <f t="shared" si="15"/>
        <v>0</v>
      </c>
      <c r="AP24" s="100">
        <f t="shared" si="10"/>
        <v>0</v>
      </c>
      <c r="AQ24" s="100">
        <v>1</v>
      </c>
      <c r="AR24" s="100">
        <f t="shared" si="11"/>
        <v>5</v>
      </c>
      <c r="AS24" s="101">
        <v>1</v>
      </c>
      <c r="AT24" s="101">
        <v>1</v>
      </c>
      <c r="AU24" s="101">
        <v>1</v>
      </c>
      <c r="AV24" s="101">
        <f t="shared" si="12"/>
        <v>1</v>
      </c>
      <c r="AW24" s="101">
        <v>1</v>
      </c>
      <c r="AX24" s="101"/>
      <c r="AY24" s="52">
        <f t="shared" si="13"/>
        <v>0</v>
      </c>
      <c r="AZ24" s="52">
        <f t="shared" si="14"/>
        <v>0</v>
      </c>
    </row>
    <row r="25" spans="2:52" ht="12.75" customHeight="1">
      <c r="B25" s="119" t="s">
        <v>536</v>
      </c>
      <c r="C25" s="50">
        <v>2024</v>
      </c>
      <c r="D25" s="50">
        <v>0</v>
      </c>
      <c r="E25" s="100">
        <v>652</v>
      </c>
      <c r="F25" s="100">
        <v>260.25</v>
      </c>
      <c r="G25" s="100">
        <f t="shared" si="0"/>
        <v>-150.52833813640731</v>
      </c>
      <c r="H25" s="100">
        <v>1554.62</v>
      </c>
      <c r="I25" s="100">
        <v>12.3</v>
      </c>
      <c r="J25" s="100"/>
      <c r="K25" s="101">
        <v>2.9</v>
      </c>
      <c r="L25" s="101"/>
      <c r="M25" s="100">
        <v>133.53</v>
      </c>
      <c r="N25" s="100"/>
      <c r="O25" s="100">
        <v>1701.06</v>
      </c>
      <c r="P25" s="100">
        <f t="shared" si="1"/>
        <v>138.29756097560974</v>
      </c>
      <c r="Q25" s="100">
        <v>146.66999999999999</v>
      </c>
      <c r="R25" s="100">
        <v>146.66999999999999</v>
      </c>
      <c r="S25" s="100">
        <v>0</v>
      </c>
      <c r="T25" s="100"/>
      <c r="U25" s="100"/>
      <c r="V25" s="100">
        <v>1</v>
      </c>
      <c r="W25" s="100">
        <v>1</v>
      </c>
      <c r="X25" s="102">
        <v>2.76</v>
      </c>
      <c r="Y25" s="101">
        <v>0.93</v>
      </c>
      <c r="Z25" s="101">
        <v>1.76</v>
      </c>
      <c r="AA25" s="103">
        <f t="shared" si="2"/>
        <v>1</v>
      </c>
      <c r="AB25" s="100">
        <v>0</v>
      </c>
      <c r="AC25" s="101">
        <f t="shared" si="3"/>
        <v>0</v>
      </c>
      <c r="AD25" s="101">
        <v>-37.369999999999997</v>
      </c>
      <c r="AE25" s="101">
        <v>-15.89</v>
      </c>
      <c r="AF25" s="101">
        <v>4.51</v>
      </c>
      <c r="AG25" s="101">
        <f t="shared" si="4"/>
        <v>0</v>
      </c>
      <c r="AH25" s="101">
        <f t="shared" si="5"/>
        <v>2</v>
      </c>
      <c r="AI25" s="101">
        <v>11</v>
      </c>
      <c r="AJ25" s="104">
        <f t="shared" si="6"/>
        <v>1</v>
      </c>
      <c r="AK25" s="101">
        <f t="shared" si="7"/>
        <v>2</v>
      </c>
      <c r="AL25" s="50">
        <f t="shared" si="8"/>
        <v>0</v>
      </c>
      <c r="AM25" s="97" t="str">
        <f t="shared" si="9"/>
        <v>Godavari Biorefineries</v>
      </c>
      <c r="AN25" s="100"/>
      <c r="AO25" s="99">
        <f t="shared" si="15"/>
        <v>0</v>
      </c>
      <c r="AP25" s="100">
        <f t="shared" si="10"/>
        <v>0</v>
      </c>
      <c r="AQ25" s="100">
        <v>1</v>
      </c>
      <c r="AR25" s="100">
        <f t="shared" si="11"/>
        <v>5</v>
      </c>
      <c r="AS25" s="101">
        <v>1</v>
      </c>
      <c r="AT25" s="101">
        <v>1</v>
      </c>
      <c r="AU25" s="101">
        <v>1</v>
      </c>
      <c r="AV25" s="101">
        <f t="shared" si="12"/>
        <v>1</v>
      </c>
      <c r="AW25" s="101">
        <v>1</v>
      </c>
      <c r="AX25" s="101"/>
      <c r="AY25" s="52">
        <f t="shared" si="13"/>
        <v>0</v>
      </c>
      <c r="AZ25" s="52">
        <f t="shared" si="14"/>
        <v>0</v>
      </c>
    </row>
    <row r="26" spans="2:52" ht="12.75" customHeight="1">
      <c r="B26" s="119" t="s">
        <v>537</v>
      </c>
      <c r="C26" s="50">
        <v>2024</v>
      </c>
      <c r="D26" s="50">
        <v>0</v>
      </c>
      <c r="E26" s="100">
        <v>100</v>
      </c>
      <c r="F26" s="100">
        <v>180</v>
      </c>
      <c r="G26" s="100">
        <f t="shared" si="0"/>
        <v>44.444444444444443</v>
      </c>
      <c r="H26" s="100">
        <v>400</v>
      </c>
      <c r="I26" s="100">
        <v>40.5</v>
      </c>
      <c r="J26" s="100"/>
      <c r="K26" s="101">
        <v>12.61</v>
      </c>
      <c r="L26" s="101"/>
      <c r="M26" s="100">
        <v>80</v>
      </c>
      <c r="N26" s="100"/>
      <c r="O26" s="100">
        <v>795</v>
      </c>
      <c r="P26" s="100">
        <f t="shared" si="1"/>
        <v>19.62962962962963</v>
      </c>
      <c r="Q26" s="100">
        <v>20.079999999999998</v>
      </c>
      <c r="R26" s="100">
        <v>20.079999999999998</v>
      </c>
      <c r="S26" s="100">
        <v>0</v>
      </c>
      <c r="T26" s="100"/>
      <c r="U26" s="100"/>
      <c r="V26" s="100">
        <v>1</v>
      </c>
      <c r="W26" s="100">
        <v>1</v>
      </c>
      <c r="X26" s="102">
        <v>32.33</v>
      </c>
      <c r="Y26" s="101">
        <v>47.92</v>
      </c>
      <c r="Z26" s="101">
        <v>18.03</v>
      </c>
      <c r="AA26" s="103">
        <f t="shared" si="2"/>
        <v>0</v>
      </c>
      <c r="AB26" s="100">
        <v>0</v>
      </c>
      <c r="AC26" s="101">
        <f t="shared" si="3"/>
        <v>0</v>
      </c>
      <c r="AD26" s="101">
        <v>-6</v>
      </c>
      <c r="AE26" s="101">
        <v>30</v>
      </c>
      <c r="AF26" s="101">
        <v>25</v>
      </c>
      <c r="AG26" s="101">
        <f t="shared" si="4"/>
        <v>5.0999999999999996</v>
      </c>
      <c r="AH26" s="101">
        <f t="shared" si="5"/>
        <v>8.1</v>
      </c>
      <c r="AI26" s="101">
        <v>11</v>
      </c>
      <c r="AJ26" s="104">
        <f t="shared" si="6"/>
        <v>1</v>
      </c>
      <c r="AK26" s="101">
        <f t="shared" si="7"/>
        <v>21.36</v>
      </c>
      <c r="AL26" s="50">
        <f t="shared" si="8"/>
        <v>0</v>
      </c>
      <c r="AM26" s="97" t="str">
        <f t="shared" si="9"/>
        <v>JG Chemicals</v>
      </c>
      <c r="AN26" s="100"/>
      <c r="AO26" s="99">
        <f t="shared" si="15"/>
        <v>0</v>
      </c>
      <c r="AP26" s="100">
        <f t="shared" si="10"/>
        <v>0</v>
      </c>
      <c r="AQ26" s="100">
        <v>1</v>
      </c>
      <c r="AR26" s="100">
        <f t="shared" si="11"/>
        <v>5</v>
      </c>
      <c r="AS26" s="101">
        <v>1</v>
      </c>
      <c r="AT26" s="101">
        <v>1</v>
      </c>
      <c r="AU26" s="101">
        <v>1</v>
      </c>
      <c r="AV26" s="101">
        <f t="shared" si="12"/>
        <v>1</v>
      </c>
      <c r="AW26" s="101">
        <v>1</v>
      </c>
      <c r="AX26" s="101"/>
      <c r="AY26" s="52">
        <f t="shared" si="13"/>
        <v>0</v>
      </c>
      <c r="AZ26" s="52">
        <f t="shared" si="14"/>
        <v>0</v>
      </c>
    </row>
    <row r="27" spans="2:52" ht="12.75" customHeight="1">
      <c r="B27" s="119" t="s">
        <v>538</v>
      </c>
      <c r="C27" s="50">
        <v>2024</v>
      </c>
      <c r="D27" s="50">
        <v>0</v>
      </c>
      <c r="E27" s="100">
        <v>108</v>
      </c>
      <c r="F27" s="100">
        <v>346</v>
      </c>
      <c r="G27" s="100">
        <f t="shared" si="0"/>
        <v>68.786127167630056</v>
      </c>
      <c r="H27" s="100">
        <v>461</v>
      </c>
      <c r="I27" s="100">
        <v>112</v>
      </c>
      <c r="J27" s="100"/>
      <c r="K27" s="101">
        <v>9.02</v>
      </c>
      <c r="L27" s="101"/>
      <c r="M27" s="100">
        <v>196</v>
      </c>
      <c r="N27" s="100"/>
      <c r="O27" s="100">
        <v>1394</v>
      </c>
      <c r="P27" s="100">
        <f t="shared" si="1"/>
        <v>12.446428571428571</v>
      </c>
      <c r="Q27" s="100">
        <v>44.5</v>
      </c>
      <c r="R27" s="100">
        <v>44.5</v>
      </c>
      <c r="S27" s="100">
        <v>0</v>
      </c>
      <c r="T27" s="100"/>
      <c r="U27" s="100"/>
      <c r="V27" s="100">
        <v>1</v>
      </c>
      <c r="W27" s="100">
        <v>1</v>
      </c>
      <c r="X27" s="102">
        <v>18.420000000000002</v>
      </c>
      <c r="Y27" s="101">
        <v>10</v>
      </c>
      <c r="Z27" s="101">
        <v>4.22</v>
      </c>
      <c r="AA27" s="103">
        <f t="shared" si="2"/>
        <v>1</v>
      </c>
      <c r="AB27" s="100">
        <v>0</v>
      </c>
      <c r="AC27" s="101">
        <f t="shared" si="3"/>
        <v>0</v>
      </c>
      <c r="AD27" s="101">
        <v>170</v>
      </c>
      <c r="AE27" s="101">
        <v>3</v>
      </c>
      <c r="AF27" s="101">
        <v>19</v>
      </c>
      <c r="AG27" s="101">
        <f t="shared" si="4"/>
        <v>5.0999999999999996</v>
      </c>
      <c r="AH27" s="101">
        <f t="shared" si="5"/>
        <v>8.1</v>
      </c>
      <c r="AI27" s="101">
        <v>11</v>
      </c>
      <c r="AJ27" s="104">
        <f t="shared" si="6"/>
        <v>1</v>
      </c>
      <c r="AK27" s="101">
        <f t="shared" si="7"/>
        <v>21.36</v>
      </c>
      <c r="AL27" s="50">
        <f t="shared" si="8"/>
        <v>0</v>
      </c>
      <c r="AM27" s="97" t="str">
        <f t="shared" si="9"/>
        <v>Gopal Snacks</v>
      </c>
      <c r="AN27" s="100"/>
      <c r="AO27" s="99">
        <f t="shared" si="15"/>
        <v>0</v>
      </c>
      <c r="AP27" s="100">
        <f t="shared" si="10"/>
        <v>0</v>
      </c>
      <c r="AQ27" s="100">
        <v>1</v>
      </c>
      <c r="AR27" s="100">
        <f t="shared" si="11"/>
        <v>5</v>
      </c>
      <c r="AS27" s="101">
        <v>1</v>
      </c>
      <c r="AT27" s="101">
        <v>1</v>
      </c>
      <c r="AU27" s="101">
        <v>1</v>
      </c>
      <c r="AV27" s="101">
        <f t="shared" si="12"/>
        <v>1</v>
      </c>
      <c r="AW27" s="101">
        <v>1</v>
      </c>
      <c r="AX27" s="101"/>
      <c r="AY27" s="52">
        <f t="shared" si="13"/>
        <v>0</v>
      </c>
      <c r="AZ27" s="52">
        <f t="shared" si="14"/>
        <v>0</v>
      </c>
    </row>
    <row r="28" spans="2:52" ht="12.75" customHeight="1">
      <c r="B28" s="119" t="s">
        <v>539</v>
      </c>
      <c r="C28" s="50">
        <v>2024</v>
      </c>
      <c r="D28" s="50" t="s">
        <v>540</v>
      </c>
      <c r="E28" s="100">
        <v>4.51</v>
      </c>
      <c r="F28" s="100">
        <v>140.81</v>
      </c>
      <c r="G28" s="100">
        <f t="shared" si="0"/>
        <v>96.797102478517161</v>
      </c>
      <c r="H28" s="100">
        <v>313.64999999999998</v>
      </c>
      <c r="I28" s="100">
        <v>31.26</v>
      </c>
      <c r="J28" s="100"/>
      <c r="K28" s="101">
        <v>7.03</v>
      </c>
      <c r="L28" s="101"/>
      <c r="M28" s="100">
        <v>62.91</v>
      </c>
      <c r="N28" s="100"/>
      <c r="O28" s="100">
        <v>292.61</v>
      </c>
      <c r="P28" s="100">
        <f t="shared" si="1"/>
        <v>9.3605246321177216</v>
      </c>
      <c r="Q28" s="100">
        <v>46.5</v>
      </c>
      <c r="R28" s="100">
        <v>46.5</v>
      </c>
      <c r="S28" s="100">
        <v>-0.9</v>
      </c>
      <c r="T28" s="100"/>
      <c r="U28" s="100"/>
      <c r="V28" s="100">
        <v>1</v>
      </c>
      <c r="W28" s="100">
        <v>1</v>
      </c>
      <c r="X28" s="102">
        <v>20.58</v>
      </c>
      <c r="Y28" s="101">
        <v>34.24</v>
      </c>
      <c r="Z28" s="101">
        <v>33.31</v>
      </c>
      <c r="AA28" s="103">
        <f t="shared" si="2"/>
        <v>0</v>
      </c>
      <c r="AB28" s="100">
        <v>6</v>
      </c>
      <c r="AC28" s="101">
        <f t="shared" si="3"/>
        <v>2</v>
      </c>
      <c r="AD28" s="101">
        <v>62.29</v>
      </c>
      <c r="AE28" s="101">
        <v>24.85</v>
      </c>
      <c r="AF28" s="101">
        <v>25.58</v>
      </c>
      <c r="AG28" s="101">
        <f t="shared" si="4"/>
        <v>5.1999999999999993</v>
      </c>
      <c r="AH28" s="101">
        <f t="shared" si="5"/>
        <v>10.199999999999999</v>
      </c>
      <c r="AI28" s="101">
        <v>11</v>
      </c>
      <c r="AJ28" s="104">
        <f t="shared" si="6"/>
        <v>1</v>
      </c>
      <c r="AK28" s="101">
        <f t="shared" si="7"/>
        <v>23.72</v>
      </c>
      <c r="AL28" s="50" t="str">
        <f t="shared" si="8"/>
        <v>Rec</v>
      </c>
      <c r="AM28" s="97" t="str">
        <f t="shared" si="9"/>
        <v>R K SWAMY</v>
      </c>
      <c r="AN28" s="100"/>
      <c r="AO28" s="99">
        <f t="shared" si="15"/>
        <v>0</v>
      </c>
      <c r="AP28" s="100">
        <f t="shared" si="10"/>
        <v>2</v>
      </c>
      <c r="AQ28" s="100">
        <v>1</v>
      </c>
      <c r="AR28" s="100">
        <f t="shared" si="11"/>
        <v>5</v>
      </c>
      <c r="AS28" s="101">
        <v>1</v>
      </c>
      <c r="AT28" s="101">
        <v>1</v>
      </c>
      <c r="AU28" s="101">
        <v>1</v>
      </c>
      <c r="AV28" s="101">
        <f t="shared" si="12"/>
        <v>1</v>
      </c>
      <c r="AW28" s="101">
        <v>1</v>
      </c>
      <c r="AX28" s="101"/>
      <c r="AY28" s="52">
        <f t="shared" si="13"/>
        <v>0</v>
      </c>
      <c r="AZ28" s="52">
        <f t="shared" si="14"/>
        <v>0</v>
      </c>
    </row>
    <row r="29" spans="2:52" ht="12.75" customHeight="1">
      <c r="B29" s="119" t="s">
        <v>541</v>
      </c>
      <c r="C29" s="50">
        <v>2024</v>
      </c>
      <c r="D29" s="50">
        <v>0</v>
      </c>
      <c r="E29" s="100">
        <v>472.25</v>
      </c>
      <c r="F29" s="100">
        <v>2430</v>
      </c>
      <c r="G29" s="100">
        <f t="shared" si="0"/>
        <v>80.565843621399182</v>
      </c>
      <c r="H29" s="100">
        <v>9295</v>
      </c>
      <c r="I29" s="100">
        <v>93.6</v>
      </c>
      <c r="J29" s="100"/>
      <c r="K29" s="101">
        <v>26.48</v>
      </c>
      <c r="L29" s="101"/>
      <c r="M29" s="100">
        <v>310.79000000000002</v>
      </c>
      <c r="N29" s="100"/>
      <c r="O29" s="100">
        <v>908.5</v>
      </c>
      <c r="P29" s="100">
        <f t="shared" si="1"/>
        <v>9.7061965811965809</v>
      </c>
      <c r="Q29" s="100">
        <v>17.68</v>
      </c>
      <c r="R29" s="100">
        <v>17.68</v>
      </c>
      <c r="S29" s="100">
        <v>-0.9</v>
      </c>
      <c r="T29" s="100"/>
      <c r="U29" s="100"/>
      <c r="V29" s="100">
        <v>1</v>
      </c>
      <c r="W29" s="100">
        <v>1</v>
      </c>
      <c r="X29" s="102">
        <v>1.21</v>
      </c>
      <c r="Y29" s="101">
        <v>2.25</v>
      </c>
      <c r="Z29" s="101">
        <v>1.97</v>
      </c>
      <c r="AA29" s="103">
        <f t="shared" si="2"/>
        <v>0</v>
      </c>
      <c r="AB29" s="100">
        <v>0</v>
      </c>
      <c r="AC29" s="101">
        <f t="shared" si="3"/>
        <v>0</v>
      </c>
      <c r="AD29" s="101">
        <v>49.6</v>
      </c>
      <c r="AE29" s="101">
        <v>43.7</v>
      </c>
      <c r="AF29" s="101">
        <v>8.1999999999999993</v>
      </c>
      <c r="AG29" s="101">
        <f t="shared" si="4"/>
        <v>5.1999999999999993</v>
      </c>
      <c r="AH29" s="101">
        <f t="shared" si="5"/>
        <v>6.1999999999999993</v>
      </c>
      <c r="AI29" s="101">
        <v>11</v>
      </c>
      <c r="AJ29" s="104">
        <f t="shared" si="6"/>
        <v>1</v>
      </c>
      <c r="AK29" s="101">
        <f t="shared" si="7"/>
        <v>19.72</v>
      </c>
      <c r="AL29" s="50">
        <f t="shared" si="8"/>
        <v>0</v>
      </c>
      <c r="AM29" s="97" t="str">
        <f t="shared" si="9"/>
        <v>Capital Small Finance</v>
      </c>
      <c r="AN29" s="100"/>
      <c r="AO29" s="99">
        <f t="shared" si="15"/>
        <v>0</v>
      </c>
      <c r="AP29" s="100">
        <f t="shared" si="10"/>
        <v>0</v>
      </c>
      <c r="AQ29" s="100">
        <v>1</v>
      </c>
      <c r="AR29" s="100">
        <f t="shared" si="11"/>
        <v>5</v>
      </c>
      <c r="AS29" s="101">
        <v>1</v>
      </c>
      <c r="AT29" s="101">
        <v>1</v>
      </c>
      <c r="AU29" s="101">
        <v>1</v>
      </c>
      <c r="AV29" s="101">
        <f t="shared" si="12"/>
        <v>1</v>
      </c>
      <c r="AW29" s="101">
        <v>1</v>
      </c>
      <c r="AX29" s="101"/>
      <c r="AY29" s="52">
        <f t="shared" si="13"/>
        <v>0</v>
      </c>
      <c r="AZ29" s="52">
        <f t="shared" si="14"/>
        <v>0</v>
      </c>
    </row>
    <row r="30" spans="2:52" ht="12.75" customHeight="1">
      <c r="B30" s="119" t="s">
        <v>542</v>
      </c>
      <c r="C30" s="50">
        <v>2024</v>
      </c>
      <c r="D30" s="50">
        <v>0</v>
      </c>
      <c r="E30" s="100">
        <v>492.45</v>
      </c>
      <c r="F30" s="100">
        <v>313.62</v>
      </c>
      <c r="G30" s="100">
        <f t="shared" si="0"/>
        <v>-57.0212358905682</v>
      </c>
      <c r="H30" s="100">
        <v>1464.16</v>
      </c>
      <c r="I30" s="100">
        <v>31.97</v>
      </c>
      <c r="J30" s="100"/>
      <c r="K30" s="101">
        <v>4.6399999999999997</v>
      </c>
      <c r="L30" s="101"/>
      <c r="M30" s="100">
        <v>102.52</v>
      </c>
      <c r="N30" s="100"/>
      <c r="O30" s="100">
        <v>1539</v>
      </c>
      <c r="P30" s="100">
        <f t="shared" si="1"/>
        <v>48.138880200187678</v>
      </c>
      <c r="Q30" s="100">
        <v>49.56</v>
      </c>
      <c r="R30" s="100">
        <v>49.56</v>
      </c>
      <c r="S30" s="100">
        <v>0</v>
      </c>
      <c r="T30" s="100"/>
      <c r="U30" s="100"/>
      <c r="V30" s="100">
        <v>1</v>
      </c>
      <c r="W30" s="100">
        <v>1</v>
      </c>
      <c r="X30" s="102">
        <v>25.59</v>
      </c>
      <c r="Y30" s="101">
        <v>29.07</v>
      </c>
      <c r="Z30" s="101">
        <v>6.5</v>
      </c>
      <c r="AA30" s="103">
        <f t="shared" si="2"/>
        <v>0</v>
      </c>
      <c r="AB30" s="100">
        <v>0</v>
      </c>
      <c r="AC30" s="101">
        <f t="shared" si="3"/>
        <v>0</v>
      </c>
      <c r="AD30" s="101">
        <v>83.39</v>
      </c>
      <c r="AE30" s="101">
        <v>66.09</v>
      </c>
      <c r="AF30" s="101">
        <v>157.30000000000001</v>
      </c>
      <c r="AG30" s="101">
        <f t="shared" si="4"/>
        <v>4</v>
      </c>
      <c r="AH30" s="101">
        <f t="shared" si="5"/>
        <v>7</v>
      </c>
      <c r="AI30" s="101">
        <v>11</v>
      </c>
      <c r="AJ30" s="104">
        <f t="shared" si="6"/>
        <v>1</v>
      </c>
      <c r="AK30" s="101">
        <f t="shared" si="7"/>
        <v>17.399999999999999</v>
      </c>
      <c r="AL30" s="50">
        <f t="shared" si="8"/>
        <v>0</v>
      </c>
      <c r="AM30" s="97" t="str">
        <f t="shared" si="9"/>
        <v>EPACK Durable</v>
      </c>
      <c r="AN30" s="100"/>
      <c r="AO30" s="99">
        <f t="shared" si="15"/>
        <v>0</v>
      </c>
      <c r="AP30" s="100">
        <f t="shared" si="10"/>
        <v>0</v>
      </c>
      <c r="AQ30" s="100">
        <v>1</v>
      </c>
      <c r="AR30" s="100">
        <f t="shared" si="11"/>
        <v>5</v>
      </c>
      <c r="AS30" s="101">
        <v>1</v>
      </c>
      <c r="AT30" s="101">
        <v>1</v>
      </c>
      <c r="AU30" s="101">
        <v>1</v>
      </c>
      <c r="AV30" s="101">
        <f t="shared" si="12"/>
        <v>1</v>
      </c>
      <c r="AW30" s="101">
        <v>1</v>
      </c>
      <c r="AX30" s="101"/>
      <c r="AY30" s="52">
        <f t="shared" si="13"/>
        <v>0</v>
      </c>
      <c r="AZ30" s="52">
        <f t="shared" si="14"/>
        <v>0</v>
      </c>
    </row>
    <row r="31" spans="2:52" ht="12.75" customHeight="1">
      <c r="B31" s="119" t="s">
        <v>543</v>
      </c>
      <c r="C31" s="50">
        <v>2025</v>
      </c>
      <c r="D31" s="50">
        <v>0</v>
      </c>
      <c r="E31" s="100">
        <v>26.95</v>
      </c>
      <c r="F31" s="100">
        <v>173.47</v>
      </c>
      <c r="G31" s="100">
        <f t="shared" si="0"/>
        <v>84.464172479391266</v>
      </c>
      <c r="H31" s="100">
        <v>312.02</v>
      </c>
      <c r="I31" s="100">
        <v>21.99</v>
      </c>
      <c r="J31" s="100"/>
      <c r="K31" s="101">
        <v>6.9</v>
      </c>
      <c r="L31" s="101"/>
      <c r="M31" s="100">
        <v>37.71</v>
      </c>
      <c r="N31" s="100"/>
      <c r="O31" s="100">
        <v>490.14</v>
      </c>
      <c r="P31" s="100">
        <f t="shared" si="1"/>
        <v>22.289222373806275</v>
      </c>
      <c r="Q31" s="100">
        <v>19.559999999999999</v>
      </c>
      <c r="R31" s="100">
        <v>19.559999999999999</v>
      </c>
      <c r="S31" s="100">
        <v>0</v>
      </c>
      <c r="T31" s="100"/>
      <c r="U31" s="100"/>
      <c r="V31" s="100">
        <v>1</v>
      </c>
      <c r="W31" s="100">
        <v>1</v>
      </c>
      <c r="X31" s="102">
        <v>3.97</v>
      </c>
      <c r="Y31" s="101">
        <v>7.39</v>
      </c>
      <c r="Z31" s="101">
        <v>2.75</v>
      </c>
      <c r="AA31" s="103">
        <f t="shared" si="2"/>
        <v>0</v>
      </c>
      <c r="AB31" s="100">
        <v>-2.5</v>
      </c>
      <c r="AC31" s="101">
        <f t="shared" si="3"/>
        <v>-0.83333333333333337</v>
      </c>
      <c r="AD31" s="101">
        <v>112.51</v>
      </c>
      <c r="AE31" s="101">
        <v>19.420000000000002</v>
      </c>
      <c r="AF31" s="101">
        <v>14.42</v>
      </c>
      <c r="AG31" s="101">
        <f t="shared" si="4"/>
        <v>6.1</v>
      </c>
      <c r="AH31" s="101">
        <f t="shared" si="5"/>
        <v>7.2666666666666666</v>
      </c>
      <c r="AI31" s="101">
        <v>11</v>
      </c>
      <c r="AJ31" s="104">
        <f t="shared" si="6"/>
        <v>1</v>
      </c>
      <c r="AK31" s="101">
        <f t="shared" si="7"/>
        <v>23.126666666666665</v>
      </c>
      <c r="AL31" s="50">
        <f t="shared" si="8"/>
        <v>0</v>
      </c>
      <c r="AM31" s="97" t="str">
        <f t="shared" si="9"/>
        <v>Om Freight Forwarders</v>
      </c>
      <c r="AN31" s="100"/>
      <c r="AO31" s="99">
        <f t="shared" si="15"/>
        <v>0</v>
      </c>
      <c r="AP31" s="100">
        <f t="shared" si="10"/>
        <v>0</v>
      </c>
      <c r="AQ31" s="100">
        <v>1</v>
      </c>
      <c r="AR31" s="100">
        <f t="shared" si="11"/>
        <v>5</v>
      </c>
      <c r="AS31" s="101">
        <v>135</v>
      </c>
      <c r="AT31" s="101">
        <v>135</v>
      </c>
      <c r="AU31" s="101">
        <v>135</v>
      </c>
      <c r="AV31" s="101">
        <f t="shared" si="12"/>
        <v>135</v>
      </c>
      <c r="AW31" s="101">
        <v>81.5</v>
      </c>
      <c r="AX31" s="101"/>
      <c r="AY31" s="52">
        <f t="shared" si="13"/>
        <v>0</v>
      </c>
      <c r="AZ31" s="52">
        <f t="shared" si="14"/>
        <v>0</v>
      </c>
    </row>
    <row r="32" spans="2:52" ht="12.75" customHeight="1">
      <c r="B32" s="119" t="s">
        <v>544</v>
      </c>
      <c r="C32" s="50">
        <v>2025</v>
      </c>
      <c r="D32" s="50">
        <v>0</v>
      </c>
      <c r="E32" s="100">
        <v>21.67</v>
      </c>
      <c r="F32" s="100">
        <v>98.5</v>
      </c>
      <c r="G32" s="100">
        <f t="shared" si="0"/>
        <v>78</v>
      </c>
      <c r="H32" s="100">
        <v>120.17</v>
      </c>
      <c r="I32" s="100">
        <v>56.14</v>
      </c>
      <c r="J32" s="100"/>
      <c r="K32" s="101">
        <v>7.02</v>
      </c>
      <c r="L32" s="101"/>
      <c r="M32" s="100">
        <v>78.599999999999994</v>
      </c>
      <c r="N32" s="100"/>
      <c r="O32" s="100">
        <v>942.55</v>
      </c>
      <c r="P32" s="100">
        <f t="shared" si="1"/>
        <v>16.789276807980048</v>
      </c>
      <c r="Q32" s="100">
        <v>18.37</v>
      </c>
      <c r="R32" s="100">
        <v>18.37</v>
      </c>
      <c r="S32" s="100">
        <v>-0.9</v>
      </c>
      <c r="T32" s="100"/>
      <c r="U32" s="100"/>
      <c r="V32" s="100">
        <v>1</v>
      </c>
      <c r="W32" s="100">
        <v>1</v>
      </c>
      <c r="X32" s="102">
        <v>1.84</v>
      </c>
      <c r="Y32" s="101">
        <v>3.08</v>
      </c>
      <c r="Z32" s="101">
        <v>1.47</v>
      </c>
      <c r="AA32" s="103">
        <f t="shared" si="2"/>
        <v>0</v>
      </c>
      <c r="AB32" s="100">
        <v>1</v>
      </c>
      <c r="AC32" s="101">
        <f t="shared" si="3"/>
        <v>0.33333333333333331</v>
      </c>
      <c r="AD32" s="101">
        <v>81.3</v>
      </c>
      <c r="AE32" s="101">
        <v>89.3</v>
      </c>
      <c r="AF32" s="101">
        <v>80</v>
      </c>
      <c r="AG32" s="101">
        <f t="shared" si="4"/>
        <v>6.1999999999999993</v>
      </c>
      <c r="AH32" s="101">
        <f t="shared" si="5"/>
        <v>8.5333333333333332</v>
      </c>
      <c r="AI32" s="101">
        <v>11</v>
      </c>
      <c r="AJ32" s="104">
        <f t="shared" si="6"/>
        <v>1</v>
      </c>
      <c r="AK32" s="101">
        <f t="shared" si="7"/>
        <v>24.653333333333329</v>
      </c>
      <c r="AL32" s="50">
        <f t="shared" si="8"/>
        <v>0</v>
      </c>
      <c r="AM32" s="97" t="str">
        <f t="shared" si="9"/>
        <v>Glottis</v>
      </c>
      <c r="AN32" s="100"/>
      <c r="AO32" s="99">
        <f t="shared" si="15"/>
        <v>1</v>
      </c>
      <c r="AP32" s="100">
        <f t="shared" si="10"/>
        <v>3</v>
      </c>
      <c r="AQ32" s="100">
        <v>1</v>
      </c>
      <c r="AR32" s="100">
        <f t="shared" si="11"/>
        <v>0</v>
      </c>
      <c r="AS32" s="101">
        <v>129</v>
      </c>
      <c r="AT32" s="101">
        <v>129</v>
      </c>
      <c r="AU32" s="101">
        <v>129</v>
      </c>
      <c r="AV32" s="101">
        <f t="shared" si="12"/>
        <v>129</v>
      </c>
      <c r="AW32" s="101">
        <v>84</v>
      </c>
      <c r="AX32" s="101"/>
      <c r="AY32" s="52">
        <f t="shared" si="13"/>
        <v>0</v>
      </c>
      <c r="AZ32" s="52">
        <f t="shared" si="14"/>
        <v>0</v>
      </c>
    </row>
    <row r="33" spans="2:57" ht="12.75" customHeight="1">
      <c r="B33" s="119" t="s">
        <v>545</v>
      </c>
      <c r="C33" s="50">
        <v>2025</v>
      </c>
      <c r="D33" s="50">
        <v>0</v>
      </c>
      <c r="E33" s="100">
        <v>318.52999999999997</v>
      </c>
      <c r="F33" s="100">
        <v>353.92</v>
      </c>
      <c r="G33" s="100">
        <f t="shared" si="0"/>
        <v>9.9994349005425072</v>
      </c>
      <c r="H33" s="100">
        <v>931.02</v>
      </c>
      <c r="I33" s="100">
        <v>59.3</v>
      </c>
      <c r="J33" s="100"/>
      <c r="K33" s="101">
        <v>7.65</v>
      </c>
      <c r="L33" s="101"/>
      <c r="M33" s="100">
        <v>117.79</v>
      </c>
      <c r="N33" s="100"/>
      <c r="O33" s="100">
        <v>1134</v>
      </c>
      <c r="P33" s="100">
        <f t="shared" si="1"/>
        <v>19.123102866779089</v>
      </c>
      <c r="Q33" s="100">
        <v>26.67</v>
      </c>
      <c r="R33" s="100">
        <v>26.67</v>
      </c>
      <c r="S33" s="100">
        <v>-0.9</v>
      </c>
      <c r="T33" s="100"/>
      <c r="U33" s="100"/>
      <c r="V33" s="100">
        <v>1</v>
      </c>
      <c r="W33" s="100">
        <v>1</v>
      </c>
      <c r="X33" s="102">
        <v>5.09</v>
      </c>
      <c r="Y33" s="101">
        <v>3.79</v>
      </c>
      <c r="Z33" s="101">
        <v>1.74</v>
      </c>
      <c r="AA33" s="103">
        <f t="shared" si="2"/>
        <v>1</v>
      </c>
      <c r="AB33" s="100">
        <v>1</v>
      </c>
      <c r="AC33" s="101">
        <f t="shared" si="3"/>
        <v>0.33333333333333331</v>
      </c>
      <c r="AD33" s="101">
        <v>38</v>
      </c>
      <c r="AE33" s="101">
        <v>26</v>
      </c>
      <c r="AF33" s="101">
        <v>109</v>
      </c>
      <c r="AG33" s="101">
        <f t="shared" si="4"/>
        <v>5.3000000000000007</v>
      </c>
      <c r="AH33" s="101">
        <f t="shared" si="5"/>
        <v>7.6333333333333337</v>
      </c>
      <c r="AI33" s="101">
        <v>11</v>
      </c>
      <c r="AJ33" s="104">
        <f t="shared" si="6"/>
        <v>1</v>
      </c>
      <c r="AK33" s="101">
        <f t="shared" si="7"/>
        <v>21.413333333333338</v>
      </c>
      <c r="AL33" s="50">
        <f t="shared" si="8"/>
        <v>0</v>
      </c>
      <c r="AM33" s="97" t="str">
        <f t="shared" si="9"/>
        <v>Epack Prefab Technologies</v>
      </c>
      <c r="AN33" s="100"/>
      <c r="AO33" s="99">
        <f t="shared" si="15"/>
        <v>0</v>
      </c>
      <c r="AP33" s="100">
        <f t="shared" si="10"/>
        <v>0</v>
      </c>
      <c r="AQ33" s="100">
        <v>1</v>
      </c>
      <c r="AR33" s="100">
        <f t="shared" si="11"/>
        <v>5</v>
      </c>
      <c r="AS33" s="101">
        <v>1</v>
      </c>
      <c r="AT33" s="101">
        <v>1</v>
      </c>
      <c r="AU33" s="101">
        <v>1</v>
      </c>
      <c r="AV33" s="101">
        <f t="shared" si="12"/>
        <v>1</v>
      </c>
      <c r="AW33" s="101">
        <v>1</v>
      </c>
      <c r="AX33" s="101"/>
      <c r="AY33" s="52">
        <f t="shared" si="13"/>
        <v>0</v>
      </c>
      <c r="AZ33" s="52">
        <f t="shared" si="14"/>
        <v>0</v>
      </c>
    </row>
    <row r="34" spans="2:57" ht="12.75" customHeight="1">
      <c r="B34" s="119" t="s">
        <v>546</v>
      </c>
      <c r="C34" s="50">
        <v>2025</v>
      </c>
      <c r="D34" s="50">
        <v>0</v>
      </c>
      <c r="E34" s="100">
        <v>428.39</v>
      </c>
      <c r="F34" s="100">
        <v>210.12</v>
      </c>
      <c r="G34" s="100">
        <f t="shared" ref="G34:G65" si="16">100*(F34-E34)/F34</f>
        <v>-103.87873596040357</v>
      </c>
      <c r="H34" s="100">
        <v>676.09</v>
      </c>
      <c r="I34" s="100">
        <v>32.82</v>
      </c>
      <c r="J34" s="100"/>
      <c r="K34" s="101">
        <v>5.18</v>
      </c>
      <c r="L34" s="101"/>
      <c r="M34" s="100">
        <v>82</v>
      </c>
      <c r="N34" s="100"/>
      <c r="O34" s="100">
        <v>2062</v>
      </c>
      <c r="P34" s="100">
        <f t="shared" ref="P34:P65" si="17">O34/I34</f>
        <v>62.827544180377821</v>
      </c>
      <c r="Q34" s="100">
        <v>26.2</v>
      </c>
      <c r="R34" s="100">
        <v>26.2</v>
      </c>
      <c r="S34" s="100">
        <v>0</v>
      </c>
      <c r="T34" s="100"/>
      <c r="U34" s="100"/>
      <c r="V34" s="100">
        <v>1</v>
      </c>
      <c r="W34" s="100">
        <v>1</v>
      </c>
      <c r="X34" s="102">
        <v>0.23</v>
      </c>
      <c r="Y34" s="101">
        <v>5.62</v>
      </c>
      <c r="Z34" s="101">
        <v>17.55</v>
      </c>
      <c r="AA34" s="103">
        <f t="shared" ref="AA34:AA65" si="18">IF(X34&lt;33,IF(Y34&gt;(1.1*X34),0,1),1)+IF(Y34&gt;(4*X34),-1,0)</f>
        <v>-1</v>
      </c>
      <c r="AB34" s="100">
        <v>0</v>
      </c>
      <c r="AC34" s="101">
        <f t="shared" ref="AC34:AC65" si="19">IF(AB34&gt;9,1,0)+AB34/3+IF(AB34&gt;15,1,0)+IF(AB34&gt;20,1,0)</f>
        <v>0</v>
      </c>
      <c r="AD34" s="101">
        <v>10</v>
      </c>
      <c r="AE34" s="101">
        <v>6</v>
      </c>
      <c r="AF34" s="101">
        <v>12.5</v>
      </c>
      <c r="AG34" s="101">
        <f t="shared" ref="AG34:AG65" si="20">IF(G34&lt;0,0,1.2)+IF(G34&lt;14,0,0.9)+IF(P34&lt;0,0.7,0)+IF(P34&lt;6.5,1,0)+IF(P34&lt;23,1,0)+IF(R34&gt;80,0,1)+S34+IF(AD34&lt;20,0,1)+IF(AE34&lt;14,0,1)+IF(AF34&lt;26,0,1)</f>
        <v>1</v>
      </c>
      <c r="AH34" s="101">
        <f t="shared" ref="AH34:AH65" si="21">AG34+IF(AG34&gt;6,1,0)+IF(X34&lt;17,0,1)+IF(Y34&lt;11,0,1)+IF(Z34&lt;1.35,0,1)+AC34+AA34</f>
        <v>1</v>
      </c>
      <c r="AI34" s="101">
        <v>11</v>
      </c>
      <c r="AJ34" s="104">
        <f t="shared" si="6"/>
        <v>1</v>
      </c>
      <c r="AK34" s="101">
        <f t="shared" si="7"/>
        <v>3.6</v>
      </c>
      <c r="AL34" s="50">
        <f t="shared" si="8"/>
        <v>0</v>
      </c>
      <c r="AM34" s="97" t="str">
        <f t="shared" si="9"/>
        <v>BMW Ventures</v>
      </c>
      <c r="AN34" s="100"/>
      <c r="AO34" s="99">
        <f t="shared" si="15"/>
        <v>0</v>
      </c>
      <c r="AP34" s="100">
        <f t="shared" si="10"/>
        <v>0</v>
      </c>
      <c r="AQ34" s="100">
        <v>1</v>
      </c>
      <c r="AR34" s="100">
        <f t="shared" si="11"/>
        <v>5</v>
      </c>
      <c r="AS34" s="101">
        <v>1</v>
      </c>
      <c r="AT34" s="101">
        <v>1</v>
      </c>
      <c r="AU34" s="101">
        <v>1</v>
      </c>
      <c r="AV34" s="101">
        <f t="shared" ref="AV34:AV65" si="22">(AT34+AU34)/2</f>
        <v>1</v>
      </c>
      <c r="AW34" s="101">
        <v>1</v>
      </c>
      <c r="AX34" s="101"/>
      <c r="AY34" s="52">
        <f t="shared" ref="AY34:AY65" si="23">(100*(AU34-AS34)/AS34)</f>
        <v>0</v>
      </c>
      <c r="AZ34" s="52">
        <f t="shared" ref="AZ34:AZ65" si="24">IF(AY34&lt;-50,-4,IF(AY34&lt;-20,-2,IF(AY34&lt;0,-1,IF(AY34=0,0,IF(AY34&lt;10,1.5,IF(AY34&lt;20,2,IF(AY34&gt;19,2.5,2.5)))))))</f>
        <v>0</v>
      </c>
    </row>
    <row r="35" spans="2:57" ht="12.75" customHeight="1">
      <c r="B35" s="119" t="s">
        <v>547</v>
      </c>
      <c r="C35" s="50">
        <v>2025</v>
      </c>
      <c r="D35" s="50">
        <v>0</v>
      </c>
      <c r="E35" s="100">
        <v>50</v>
      </c>
      <c r="F35" s="100">
        <v>224.13</v>
      </c>
      <c r="G35" s="100">
        <f t="shared" si="16"/>
        <v>77.691518315263465</v>
      </c>
      <c r="H35" s="100">
        <v>341.74</v>
      </c>
      <c r="I35" s="100">
        <v>35.4</v>
      </c>
      <c r="J35" s="100"/>
      <c r="K35" s="101">
        <v>8.8000000000000007</v>
      </c>
      <c r="L35" s="101"/>
      <c r="M35" s="100">
        <v>73.2</v>
      </c>
      <c r="N35" s="100"/>
      <c r="O35" s="100">
        <v>850.5</v>
      </c>
      <c r="P35" s="100">
        <f t="shared" si="17"/>
        <v>24.025423728813561</v>
      </c>
      <c r="Q35" s="100">
        <v>36.700000000000003</v>
      </c>
      <c r="R35" s="100">
        <v>36.700000000000003</v>
      </c>
      <c r="S35" s="100">
        <v>0</v>
      </c>
      <c r="T35" s="100"/>
      <c r="U35" s="100"/>
      <c r="V35" s="100">
        <v>1</v>
      </c>
      <c r="W35" s="100">
        <v>1</v>
      </c>
      <c r="X35" s="102">
        <v>4.03</v>
      </c>
      <c r="Y35" s="101">
        <v>4.41</v>
      </c>
      <c r="Z35" s="101">
        <v>1.17</v>
      </c>
      <c r="AA35" s="103">
        <f t="shared" si="18"/>
        <v>1</v>
      </c>
      <c r="AB35" s="100">
        <v>0</v>
      </c>
      <c r="AC35" s="101">
        <f t="shared" si="19"/>
        <v>0</v>
      </c>
      <c r="AD35" s="101">
        <v>31.1</v>
      </c>
      <c r="AE35" s="101">
        <v>12</v>
      </c>
      <c r="AF35" s="101">
        <v>2.5</v>
      </c>
      <c r="AG35" s="101">
        <f t="shared" si="20"/>
        <v>4.0999999999999996</v>
      </c>
      <c r="AH35" s="101">
        <f t="shared" si="21"/>
        <v>5.0999999999999996</v>
      </c>
      <c r="AI35" s="101">
        <v>11</v>
      </c>
      <c r="AJ35" s="104">
        <f t="shared" si="6"/>
        <v>1</v>
      </c>
      <c r="AK35" s="101">
        <f t="shared" si="7"/>
        <v>15.76</v>
      </c>
      <c r="AL35" s="50">
        <f t="shared" si="8"/>
        <v>0</v>
      </c>
      <c r="AM35" s="97" t="str">
        <f t="shared" si="9"/>
        <v>Ganesh Consumer Products</v>
      </c>
      <c r="AN35" s="100"/>
      <c r="AO35" s="99">
        <f t="shared" si="15"/>
        <v>0</v>
      </c>
      <c r="AP35" s="100">
        <f t="shared" si="10"/>
        <v>0</v>
      </c>
      <c r="AQ35" s="100">
        <v>1</v>
      </c>
      <c r="AR35" s="100">
        <f t="shared" si="11"/>
        <v>5</v>
      </c>
      <c r="AS35" s="101">
        <v>1</v>
      </c>
      <c r="AT35" s="101">
        <v>1</v>
      </c>
      <c r="AU35" s="101">
        <v>1</v>
      </c>
      <c r="AV35" s="101">
        <f t="shared" si="22"/>
        <v>1</v>
      </c>
      <c r="AW35" s="101">
        <v>1</v>
      </c>
      <c r="AX35" s="101"/>
      <c r="AY35" s="52">
        <f t="shared" si="23"/>
        <v>0</v>
      </c>
      <c r="AZ35" s="52">
        <f t="shared" si="24"/>
        <v>0</v>
      </c>
    </row>
    <row r="36" spans="2:57" ht="12.75" customHeight="1">
      <c r="B36" s="119" t="s">
        <v>548</v>
      </c>
      <c r="C36" s="50">
        <v>2025</v>
      </c>
      <c r="D36" s="50">
        <v>0</v>
      </c>
      <c r="E36" s="100">
        <v>1137.06</v>
      </c>
      <c r="F36" s="100">
        <v>257.47000000000003</v>
      </c>
      <c r="G36" s="100">
        <f t="shared" si="16"/>
        <v>-341.6281508525264</v>
      </c>
      <c r="H36" s="100">
        <v>1413</v>
      </c>
      <c r="I36" s="100">
        <v>35.909999999999997</v>
      </c>
      <c r="J36" s="100"/>
      <c r="K36" s="101">
        <v>8.7799999999999994</v>
      </c>
      <c r="L36" s="101"/>
      <c r="M36" s="100">
        <v>163.88</v>
      </c>
      <c r="N36" s="100"/>
      <c r="O36" s="100">
        <v>245.71</v>
      </c>
      <c r="P36" s="100">
        <f t="shared" si="17"/>
        <v>6.8423837371205805</v>
      </c>
      <c r="Q36" s="100">
        <v>18</v>
      </c>
      <c r="R36" s="100">
        <v>18</v>
      </c>
      <c r="S36" s="100">
        <v>0</v>
      </c>
      <c r="T36" s="100"/>
      <c r="U36" s="100"/>
      <c r="V36" s="100">
        <v>1</v>
      </c>
      <c r="W36" s="100">
        <v>1</v>
      </c>
      <c r="X36" s="102">
        <v>1.2</v>
      </c>
      <c r="Y36" s="101">
        <v>1.83</v>
      </c>
      <c r="Z36" s="101">
        <v>2.2000000000000002</v>
      </c>
      <c r="AA36" s="103">
        <f t="shared" si="18"/>
        <v>0</v>
      </c>
      <c r="AB36" s="100">
        <v>0</v>
      </c>
      <c r="AC36" s="101">
        <f t="shared" si="19"/>
        <v>0</v>
      </c>
      <c r="AD36" s="101">
        <v>58.75</v>
      </c>
      <c r="AE36" s="101">
        <v>41.95</v>
      </c>
      <c r="AF36" s="101">
        <v>27.95</v>
      </c>
      <c r="AG36" s="101">
        <f t="shared" si="20"/>
        <v>5</v>
      </c>
      <c r="AH36" s="101">
        <f t="shared" si="21"/>
        <v>6</v>
      </c>
      <c r="AI36" s="101">
        <v>11</v>
      </c>
      <c r="AJ36" s="104">
        <f t="shared" si="6"/>
        <v>1</v>
      </c>
      <c r="AK36" s="101">
        <f t="shared" si="7"/>
        <v>19</v>
      </c>
      <c r="AL36" s="50">
        <f t="shared" si="8"/>
        <v>0</v>
      </c>
      <c r="AM36" s="97" t="str">
        <f t="shared" si="9"/>
        <v>Lami India Finance</v>
      </c>
      <c r="AN36" s="100"/>
      <c r="AO36" s="99">
        <f t="shared" si="15"/>
        <v>0</v>
      </c>
      <c r="AP36" s="100">
        <f t="shared" si="10"/>
        <v>0</v>
      </c>
      <c r="AQ36" s="100">
        <v>1</v>
      </c>
      <c r="AR36" s="100">
        <f t="shared" si="11"/>
        <v>5</v>
      </c>
      <c r="AS36" s="101">
        <v>1</v>
      </c>
      <c r="AT36" s="101">
        <v>1</v>
      </c>
      <c r="AU36" s="101">
        <v>1</v>
      </c>
      <c r="AV36" s="101">
        <f t="shared" si="22"/>
        <v>1</v>
      </c>
      <c r="AW36" s="101">
        <v>1</v>
      </c>
      <c r="AX36" s="101"/>
      <c r="AY36" s="52">
        <f t="shared" si="23"/>
        <v>0</v>
      </c>
      <c r="AZ36" s="52">
        <f t="shared" si="24"/>
        <v>0</v>
      </c>
    </row>
    <row r="37" spans="2:57" ht="12.75" customHeight="1">
      <c r="B37" s="119" t="s">
        <v>549</v>
      </c>
      <c r="C37" s="50">
        <v>2025</v>
      </c>
      <c r="D37" s="50">
        <v>0</v>
      </c>
      <c r="E37" s="100">
        <v>781.2</v>
      </c>
      <c r="F37" s="100">
        <v>86.9</v>
      </c>
      <c r="G37" s="100">
        <f t="shared" si="16"/>
        <v>-798.964326812428</v>
      </c>
      <c r="H37" s="100">
        <v>893.7</v>
      </c>
      <c r="I37" s="100">
        <v>23.7</v>
      </c>
      <c r="J37" s="100"/>
      <c r="K37" s="101">
        <v>0.7</v>
      </c>
      <c r="L37" s="101"/>
      <c r="M37" s="100">
        <v>164.4</v>
      </c>
      <c r="N37" s="100"/>
      <c r="O37" s="100">
        <v>468.3</v>
      </c>
      <c r="P37" s="100">
        <f t="shared" si="17"/>
        <v>19.759493670886076</v>
      </c>
      <c r="Q37" s="100">
        <v>125</v>
      </c>
      <c r="R37" s="100">
        <v>125</v>
      </c>
      <c r="S37" s="100">
        <v>0</v>
      </c>
      <c r="T37" s="100"/>
      <c r="U37" s="100"/>
      <c r="V37" s="100">
        <v>1</v>
      </c>
      <c r="W37" s="100">
        <v>1</v>
      </c>
      <c r="X37" s="102">
        <v>5.74</v>
      </c>
      <c r="Y37" s="101">
        <v>2.0299999999999998</v>
      </c>
      <c r="Z37" s="101">
        <v>6.83</v>
      </c>
      <c r="AA37" s="103">
        <f t="shared" si="18"/>
        <v>1</v>
      </c>
      <c r="AB37" s="100">
        <v>0</v>
      </c>
      <c r="AC37" s="101">
        <f t="shared" si="19"/>
        <v>0</v>
      </c>
      <c r="AD37" s="101">
        <v>-23.8</v>
      </c>
      <c r="AE37" s="101">
        <v>16.600000000000001</v>
      </c>
      <c r="AF37" s="101">
        <v>29.6</v>
      </c>
      <c r="AG37" s="101">
        <f t="shared" si="20"/>
        <v>3</v>
      </c>
      <c r="AH37" s="101">
        <f t="shared" si="21"/>
        <v>5</v>
      </c>
      <c r="AI37" s="101">
        <v>11</v>
      </c>
      <c r="AJ37" s="104">
        <f t="shared" si="6"/>
        <v>1</v>
      </c>
      <c r="AK37" s="101">
        <f t="shared" si="7"/>
        <v>12.8</v>
      </c>
      <c r="AL37" s="50">
        <f t="shared" si="8"/>
        <v>0</v>
      </c>
      <c r="AM37" s="97" t="str">
        <f t="shared" si="9"/>
        <v>Brigade Hotel Ventures</v>
      </c>
      <c r="AN37" s="100"/>
      <c r="AO37" s="99">
        <f t="shared" si="15"/>
        <v>0</v>
      </c>
      <c r="AP37" s="100">
        <f t="shared" si="10"/>
        <v>0</v>
      </c>
      <c r="AQ37" s="100">
        <v>1</v>
      </c>
      <c r="AR37" s="100">
        <f t="shared" si="11"/>
        <v>5</v>
      </c>
      <c r="AS37" s="101">
        <v>1</v>
      </c>
      <c r="AT37" s="101">
        <v>1</v>
      </c>
      <c r="AU37" s="101">
        <v>1</v>
      </c>
      <c r="AV37" s="101">
        <f t="shared" si="22"/>
        <v>1</v>
      </c>
      <c r="AW37" s="101">
        <v>1</v>
      </c>
      <c r="AX37" s="101"/>
      <c r="AY37" s="52">
        <f t="shared" si="23"/>
        <v>0</v>
      </c>
      <c r="AZ37" s="52">
        <f t="shared" si="24"/>
        <v>0</v>
      </c>
    </row>
    <row r="38" spans="2:57" ht="12.75" customHeight="1">
      <c r="B38" s="119" t="s">
        <v>550</v>
      </c>
      <c r="C38" s="50">
        <v>2025</v>
      </c>
      <c r="D38" s="50">
        <v>0</v>
      </c>
      <c r="E38" s="100">
        <v>343.96</v>
      </c>
      <c r="F38" s="100">
        <v>1</v>
      </c>
      <c r="G38" s="100">
        <f t="shared" si="16"/>
        <v>-34296</v>
      </c>
      <c r="H38" s="100">
        <v>4685.12</v>
      </c>
      <c r="I38" s="100">
        <v>-139.62</v>
      </c>
      <c r="J38" s="100"/>
      <c r="K38" s="101">
        <v>-7.65</v>
      </c>
      <c r="L38" s="101"/>
      <c r="M38" s="100">
        <v>660.19</v>
      </c>
      <c r="N38" s="100"/>
      <c r="O38" s="100">
        <v>1102.93</v>
      </c>
      <c r="P38" s="100">
        <f t="shared" si="17"/>
        <v>-7.8995129637587738</v>
      </c>
      <c r="Q38" s="100">
        <v>0</v>
      </c>
      <c r="R38" s="100">
        <v>0</v>
      </c>
      <c r="S38" s="100">
        <v>0</v>
      </c>
      <c r="T38" s="100"/>
      <c r="U38" s="100"/>
      <c r="V38" s="100">
        <v>1</v>
      </c>
      <c r="W38" s="100">
        <v>1</v>
      </c>
      <c r="X38" s="102">
        <v>1.49</v>
      </c>
      <c r="Y38" s="101">
        <v>1.95</v>
      </c>
      <c r="Z38" s="101">
        <v>7.53</v>
      </c>
      <c r="AA38" s="103">
        <f t="shared" si="18"/>
        <v>0</v>
      </c>
      <c r="AB38" s="100">
        <v>0</v>
      </c>
      <c r="AC38" s="101">
        <f t="shared" si="19"/>
        <v>0</v>
      </c>
      <c r="AD38" s="101">
        <v>59</v>
      </c>
      <c r="AE38" s="101">
        <v>27</v>
      </c>
      <c r="AF38" s="101">
        <v>-102</v>
      </c>
      <c r="AG38" s="101">
        <f t="shared" si="20"/>
        <v>5.7</v>
      </c>
      <c r="AH38" s="101">
        <f t="shared" si="21"/>
        <v>6.7</v>
      </c>
      <c r="AI38" s="101">
        <v>11</v>
      </c>
      <c r="AJ38" s="104">
        <f t="shared" si="6"/>
        <v>1</v>
      </c>
      <c r="AK38" s="101">
        <f t="shared" si="7"/>
        <v>21.52</v>
      </c>
      <c r="AL38" s="50">
        <f t="shared" si="8"/>
        <v>0</v>
      </c>
      <c r="AM38" s="97" t="str">
        <f t="shared" si="9"/>
        <v>Indiqube Spaces</v>
      </c>
      <c r="AN38" s="100"/>
      <c r="AO38" s="99">
        <f t="shared" si="15"/>
        <v>0</v>
      </c>
      <c r="AP38" s="100">
        <f t="shared" si="10"/>
        <v>0</v>
      </c>
      <c r="AQ38" s="100">
        <v>1</v>
      </c>
      <c r="AR38" s="100">
        <f t="shared" si="11"/>
        <v>5</v>
      </c>
      <c r="AS38" s="101">
        <v>1</v>
      </c>
      <c r="AT38" s="101">
        <v>1</v>
      </c>
      <c r="AU38" s="101">
        <v>1</v>
      </c>
      <c r="AV38" s="101">
        <f t="shared" si="22"/>
        <v>1</v>
      </c>
      <c r="AW38" s="101">
        <v>1</v>
      </c>
      <c r="AX38" s="101"/>
      <c r="AY38" s="52">
        <f t="shared" si="23"/>
        <v>0</v>
      </c>
      <c r="AZ38" s="52">
        <f t="shared" si="24"/>
        <v>0</v>
      </c>
    </row>
    <row r="39" spans="2:57" ht="12.75" customHeight="1">
      <c r="B39" s="119" t="s">
        <v>551</v>
      </c>
      <c r="C39" s="50">
        <v>2025</v>
      </c>
      <c r="D39" s="50">
        <v>0</v>
      </c>
      <c r="E39" s="100">
        <v>273.98</v>
      </c>
      <c r="F39" s="100">
        <v>141.6</v>
      </c>
      <c r="G39" s="100">
        <f t="shared" si="16"/>
        <v>-93.488700564971765</v>
      </c>
      <c r="H39" s="100">
        <v>492.83</v>
      </c>
      <c r="I39" s="100">
        <v>-17.29</v>
      </c>
      <c r="J39" s="100"/>
      <c r="K39" s="101">
        <v>-5.3</v>
      </c>
      <c r="L39" s="101"/>
      <c r="M39" s="100">
        <v>38.72</v>
      </c>
      <c r="N39" s="100"/>
      <c r="O39" s="100">
        <v>702.35</v>
      </c>
      <c r="P39" s="100">
        <f t="shared" si="17"/>
        <v>-40.621746674378258</v>
      </c>
      <c r="Q39" s="100">
        <v>-41.89</v>
      </c>
      <c r="R39" s="100">
        <v>-41.89</v>
      </c>
      <c r="S39" s="100">
        <v>0</v>
      </c>
      <c r="T39" s="100"/>
      <c r="U39" s="100"/>
      <c r="V39" s="100">
        <v>1</v>
      </c>
      <c r="W39" s="100">
        <v>1</v>
      </c>
      <c r="X39" s="102">
        <v>1.5</v>
      </c>
      <c r="Y39" s="101">
        <v>3.32</v>
      </c>
      <c r="Z39" s="101">
        <v>5.9</v>
      </c>
      <c r="AA39" s="103">
        <f t="shared" si="18"/>
        <v>0</v>
      </c>
      <c r="AB39" s="100">
        <v>0</v>
      </c>
      <c r="AC39" s="101">
        <f t="shared" si="19"/>
        <v>0</v>
      </c>
      <c r="AD39" s="101">
        <v>-12</v>
      </c>
      <c r="AE39" s="101">
        <v>-7</v>
      </c>
      <c r="AF39" s="101">
        <v>35</v>
      </c>
      <c r="AG39" s="101">
        <f t="shared" si="20"/>
        <v>4.7</v>
      </c>
      <c r="AH39" s="101">
        <f t="shared" si="21"/>
        <v>5.7</v>
      </c>
      <c r="AI39" s="101">
        <v>11</v>
      </c>
      <c r="AJ39" s="104">
        <f t="shared" si="6"/>
        <v>1</v>
      </c>
      <c r="AK39" s="101">
        <f t="shared" si="7"/>
        <v>17.920000000000002</v>
      </c>
      <c r="AL39" s="50">
        <f t="shared" si="8"/>
        <v>0</v>
      </c>
      <c r="AM39" s="97" t="str">
        <f t="shared" si="9"/>
        <v>Arisinfra Solutions</v>
      </c>
      <c r="AN39" s="100"/>
      <c r="AO39" s="99">
        <f t="shared" si="15"/>
        <v>0</v>
      </c>
      <c r="AP39" s="100">
        <f t="shared" si="10"/>
        <v>0</v>
      </c>
      <c r="AQ39" s="100">
        <v>1</v>
      </c>
      <c r="AR39" s="100">
        <f t="shared" si="11"/>
        <v>5</v>
      </c>
      <c r="AS39" s="101">
        <v>1</v>
      </c>
      <c r="AT39" s="101">
        <v>1</v>
      </c>
      <c r="AU39" s="101">
        <v>1</v>
      </c>
      <c r="AV39" s="101">
        <f t="shared" si="22"/>
        <v>1</v>
      </c>
      <c r="AW39" s="101">
        <v>1</v>
      </c>
      <c r="AX39" s="101"/>
      <c r="AY39" s="52">
        <f t="shared" si="23"/>
        <v>0</v>
      </c>
      <c r="AZ39" s="52">
        <f t="shared" si="24"/>
        <v>0</v>
      </c>
    </row>
    <row r="40" spans="2:57" ht="12.75" customHeight="1">
      <c r="B40" s="120" t="s">
        <v>552</v>
      </c>
      <c r="C40" s="50">
        <v>2024</v>
      </c>
      <c r="D40" s="50">
        <v>0</v>
      </c>
      <c r="E40" s="100">
        <v>0</v>
      </c>
      <c r="F40" s="100">
        <v>1626.41</v>
      </c>
      <c r="G40" s="100">
        <f t="shared" si="16"/>
        <v>100</v>
      </c>
      <c r="H40" s="100">
        <v>1768.58</v>
      </c>
      <c r="I40" s="100">
        <v>39.799999999999997</v>
      </c>
      <c r="J40" s="100"/>
      <c r="K40" s="101">
        <v>9.6999999999999993</v>
      </c>
      <c r="L40" s="101"/>
      <c r="M40" s="100">
        <v>111.78</v>
      </c>
      <c r="N40" s="100"/>
      <c r="O40" s="100">
        <v>3922.31</v>
      </c>
      <c r="P40" s="100">
        <f t="shared" si="17"/>
        <v>98.550502512562815</v>
      </c>
      <c r="Q40" s="100">
        <v>129.75</v>
      </c>
      <c r="R40" s="100">
        <v>129.75</v>
      </c>
      <c r="S40" s="100">
        <v>0</v>
      </c>
      <c r="T40" s="100"/>
      <c r="U40" s="100"/>
      <c r="V40" s="100">
        <v>1</v>
      </c>
      <c r="W40" s="100">
        <v>1</v>
      </c>
      <c r="X40" s="102">
        <v>2.2799999999999998</v>
      </c>
      <c r="Y40" s="101">
        <v>0.22</v>
      </c>
      <c r="Z40" s="101">
        <v>1.33</v>
      </c>
      <c r="AA40" s="103">
        <f t="shared" si="18"/>
        <v>1</v>
      </c>
      <c r="AB40" s="100">
        <v>0</v>
      </c>
      <c r="AC40" s="101">
        <f t="shared" si="19"/>
        <v>0</v>
      </c>
      <c r="AD40" s="101">
        <v>62</v>
      </c>
      <c r="AE40" s="101">
        <v>19</v>
      </c>
      <c r="AF40" s="101">
        <v>0</v>
      </c>
      <c r="AG40" s="101">
        <f t="shared" si="20"/>
        <v>4.0999999999999996</v>
      </c>
      <c r="AH40" s="101">
        <f t="shared" si="21"/>
        <v>5.0999999999999996</v>
      </c>
      <c r="AI40" s="101">
        <v>11</v>
      </c>
      <c r="AJ40" s="104">
        <f t="shared" si="6"/>
        <v>1</v>
      </c>
      <c r="AK40" s="101">
        <f t="shared" si="7"/>
        <v>15.76</v>
      </c>
      <c r="AL40" s="50">
        <f t="shared" si="8"/>
        <v>0</v>
      </c>
      <c r="AM40" s="97" t="str">
        <f t="shared" si="9"/>
        <v>Entero Healthcare Solutions</v>
      </c>
      <c r="AN40" s="100"/>
      <c r="AO40" s="99">
        <f t="shared" si="15"/>
        <v>0</v>
      </c>
      <c r="AP40" s="100">
        <f t="shared" si="10"/>
        <v>0</v>
      </c>
      <c r="AQ40" s="100">
        <v>1</v>
      </c>
      <c r="AR40" s="100">
        <f t="shared" si="11"/>
        <v>5</v>
      </c>
      <c r="AS40" s="101">
        <v>1</v>
      </c>
      <c r="AT40" s="101">
        <v>1</v>
      </c>
      <c r="AU40" s="101">
        <v>1</v>
      </c>
      <c r="AV40" s="101">
        <f t="shared" si="22"/>
        <v>1</v>
      </c>
      <c r="AW40" s="101">
        <v>1</v>
      </c>
      <c r="AX40" s="101"/>
      <c r="AY40" s="52">
        <f t="shared" si="23"/>
        <v>0</v>
      </c>
      <c r="AZ40" s="52">
        <f t="shared" si="24"/>
        <v>0</v>
      </c>
    </row>
    <row r="41" spans="2:57" ht="12.75" customHeight="1">
      <c r="B41" s="120" t="s">
        <v>553</v>
      </c>
      <c r="C41" s="50">
        <v>2024</v>
      </c>
      <c r="D41" s="50">
        <v>0</v>
      </c>
      <c r="E41" s="100">
        <v>1530</v>
      </c>
      <c r="F41" s="100">
        <v>1601</v>
      </c>
      <c r="G41" s="100">
        <f t="shared" si="16"/>
        <v>4.4347282948157405</v>
      </c>
      <c r="H41" s="100">
        <v>5587</v>
      </c>
      <c r="I41" s="100">
        <v>60.41</v>
      </c>
      <c r="J41" s="100"/>
      <c r="K41" s="101">
        <v>16.84</v>
      </c>
      <c r="L41" s="101"/>
      <c r="M41" s="100">
        <v>117.5</v>
      </c>
      <c r="N41" s="100"/>
      <c r="O41" s="100">
        <v>511.4</v>
      </c>
      <c r="P41" s="100">
        <f t="shared" si="17"/>
        <v>8.4654858467141203</v>
      </c>
      <c r="Q41" s="100">
        <v>12.05</v>
      </c>
      <c r="R41" s="100">
        <v>12.05</v>
      </c>
      <c r="S41" s="100">
        <v>-0.9</v>
      </c>
      <c r="T41" s="100"/>
      <c r="U41" s="100"/>
      <c r="V41" s="100">
        <v>1</v>
      </c>
      <c r="W41" s="100">
        <v>1</v>
      </c>
      <c r="X41" s="102">
        <v>13.91</v>
      </c>
      <c r="Y41" s="101">
        <v>82.47</v>
      </c>
      <c r="Z41" s="101">
        <v>39.79</v>
      </c>
      <c r="AA41" s="103">
        <f t="shared" si="18"/>
        <v>-1</v>
      </c>
      <c r="AB41" s="100">
        <v>24</v>
      </c>
      <c r="AC41" s="101">
        <f t="shared" si="19"/>
        <v>11</v>
      </c>
      <c r="AD41" s="101">
        <v>182</v>
      </c>
      <c r="AE41" s="101">
        <v>18</v>
      </c>
      <c r="AF41" s="101">
        <v>59</v>
      </c>
      <c r="AG41" s="101">
        <f t="shared" si="20"/>
        <v>5.3000000000000007</v>
      </c>
      <c r="AH41" s="101">
        <f t="shared" si="21"/>
        <v>17.3</v>
      </c>
      <c r="AI41" s="101">
        <v>11</v>
      </c>
      <c r="AJ41" s="104">
        <f t="shared" si="6"/>
        <v>1</v>
      </c>
      <c r="AK41" s="101">
        <f t="shared" si="7"/>
        <v>31.080000000000005</v>
      </c>
      <c r="AL41" s="50">
        <f t="shared" si="8"/>
        <v>0</v>
      </c>
      <c r="AM41" s="97" t="str">
        <f t="shared" si="9"/>
        <v>Deepak Builders Engineers</v>
      </c>
      <c r="AN41" s="100"/>
      <c r="AO41" s="99">
        <f t="shared" si="15"/>
        <v>1</v>
      </c>
      <c r="AP41" s="100">
        <f t="shared" si="10"/>
        <v>1</v>
      </c>
      <c r="AQ41" s="100">
        <v>1</v>
      </c>
      <c r="AR41" s="100">
        <f t="shared" si="11"/>
        <v>0</v>
      </c>
      <c r="AS41" s="101">
        <v>1</v>
      </c>
      <c r="AT41" s="101">
        <v>1</v>
      </c>
      <c r="AU41" s="101">
        <v>1</v>
      </c>
      <c r="AV41" s="101">
        <f t="shared" si="22"/>
        <v>1</v>
      </c>
      <c r="AW41" s="101">
        <v>1</v>
      </c>
      <c r="AX41" s="101"/>
      <c r="AY41" s="52">
        <f t="shared" si="23"/>
        <v>0</v>
      </c>
      <c r="AZ41" s="52">
        <f t="shared" si="24"/>
        <v>0</v>
      </c>
    </row>
    <row r="42" spans="2:57" ht="12.75" customHeight="1">
      <c r="B42" s="120" t="s">
        <v>554</v>
      </c>
      <c r="C42" s="50">
        <v>2025</v>
      </c>
      <c r="D42" s="50">
        <v>0</v>
      </c>
      <c r="E42" s="100">
        <v>92.12</v>
      </c>
      <c r="F42" s="100">
        <v>114.99</v>
      </c>
      <c r="G42" s="100">
        <f t="shared" si="16"/>
        <v>19.888685972693271</v>
      </c>
      <c r="H42" s="100">
        <v>246.54</v>
      </c>
      <c r="I42" s="100">
        <v>20.95</v>
      </c>
      <c r="J42" s="100"/>
      <c r="K42" s="101">
        <v>10.220000000000001</v>
      </c>
      <c r="L42" s="101"/>
      <c r="M42" s="100">
        <v>42.63</v>
      </c>
      <c r="N42" s="100"/>
      <c r="O42" s="100">
        <v>449.48</v>
      </c>
      <c r="P42" s="100">
        <f t="shared" si="17"/>
        <v>21.454892601431983</v>
      </c>
      <c r="Q42" s="100">
        <v>54.89</v>
      </c>
      <c r="R42" s="100">
        <v>54.89</v>
      </c>
      <c r="S42" s="100">
        <v>0</v>
      </c>
      <c r="T42" s="100"/>
      <c r="U42" s="100"/>
      <c r="V42" s="100">
        <v>1</v>
      </c>
      <c r="W42" s="100">
        <v>1</v>
      </c>
      <c r="X42" s="102">
        <v>11.09</v>
      </c>
      <c r="Y42" s="101">
        <v>19.78</v>
      </c>
      <c r="Z42" s="101">
        <v>5.09</v>
      </c>
      <c r="AA42" s="103">
        <f t="shared" si="18"/>
        <v>0</v>
      </c>
      <c r="AB42" s="100">
        <v>0</v>
      </c>
      <c r="AC42" s="101">
        <f t="shared" si="19"/>
        <v>0</v>
      </c>
      <c r="AD42" s="101">
        <v>-15.33</v>
      </c>
      <c r="AE42" s="101">
        <v>26.88</v>
      </c>
      <c r="AF42" s="101">
        <v>22.4</v>
      </c>
      <c r="AG42" s="101">
        <f t="shared" si="20"/>
        <v>5.0999999999999996</v>
      </c>
      <c r="AH42" s="101">
        <f t="shared" si="21"/>
        <v>7.1</v>
      </c>
      <c r="AI42" s="101">
        <v>11</v>
      </c>
      <c r="AJ42" s="104">
        <f t="shared" si="6"/>
        <v>1</v>
      </c>
      <c r="AK42" s="101">
        <f t="shared" si="7"/>
        <v>20.36</v>
      </c>
      <c r="AL42" s="50">
        <f t="shared" si="8"/>
        <v>0</v>
      </c>
      <c r="AM42" s="97" t="str">
        <f t="shared" si="9"/>
        <v>Mangal Electrical Industries</v>
      </c>
      <c r="AN42" s="100"/>
      <c r="AO42" s="99">
        <f t="shared" si="15"/>
        <v>0</v>
      </c>
      <c r="AP42" s="100">
        <f t="shared" si="10"/>
        <v>0</v>
      </c>
      <c r="AQ42" s="100">
        <v>1</v>
      </c>
      <c r="AR42" s="100">
        <f t="shared" si="11"/>
        <v>5</v>
      </c>
      <c r="AS42" s="101">
        <v>1</v>
      </c>
      <c r="AT42" s="101">
        <v>1</v>
      </c>
      <c r="AU42" s="101">
        <v>1</v>
      </c>
      <c r="AV42" s="101">
        <f t="shared" si="22"/>
        <v>1</v>
      </c>
      <c r="AW42" s="101">
        <v>1</v>
      </c>
      <c r="AX42" s="101"/>
      <c r="AY42" s="52">
        <f t="shared" si="23"/>
        <v>0</v>
      </c>
      <c r="AZ42" s="52">
        <f t="shared" si="24"/>
        <v>0</v>
      </c>
    </row>
    <row r="43" spans="2:57" ht="12.75" customHeight="1">
      <c r="B43" s="97" t="s">
        <v>555</v>
      </c>
      <c r="C43" s="50">
        <v>2025</v>
      </c>
      <c r="D43" s="50">
        <v>1</v>
      </c>
      <c r="E43" s="100">
        <v>0</v>
      </c>
      <c r="F43" s="100">
        <v>600.05999999999995</v>
      </c>
      <c r="G43" s="100">
        <f t="shared" si="16"/>
        <v>100</v>
      </c>
      <c r="H43" s="100">
        <v>0</v>
      </c>
      <c r="I43" s="100">
        <v>190.7</v>
      </c>
      <c r="J43" s="100"/>
      <c r="K43" s="101">
        <v>9.56</v>
      </c>
      <c r="L43" s="101"/>
      <c r="M43" s="100">
        <v>264.08</v>
      </c>
      <c r="N43" s="100"/>
      <c r="O43" s="100">
        <v>404</v>
      </c>
      <c r="P43" s="100">
        <f t="shared" si="17"/>
        <v>2.118510749868904</v>
      </c>
      <c r="Q43" s="100">
        <v>27.82</v>
      </c>
      <c r="R43" s="100">
        <v>27.82</v>
      </c>
      <c r="S43" s="100">
        <v>0.7</v>
      </c>
      <c r="T43" s="100"/>
      <c r="U43" s="100"/>
      <c r="V43" s="100">
        <v>1</v>
      </c>
      <c r="W43" s="100">
        <v>1</v>
      </c>
      <c r="X43" s="102">
        <v>25.92</v>
      </c>
      <c r="Y43" s="101">
        <v>6.45</v>
      </c>
      <c r="Z43" s="101">
        <v>1.91</v>
      </c>
      <c r="AA43" s="103">
        <f t="shared" si="18"/>
        <v>1</v>
      </c>
      <c r="AB43" s="100">
        <v>7.5</v>
      </c>
      <c r="AC43" s="101">
        <f t="shared" si="19"/>
        <v>2.5</v>
      </c>
      <c r="AD43" s="101">
        <v>26.35</v>
      </c>
      <c r="AE43" s="101">
        <v>26.94</v>
      </c>
      <c r="AF43" s="101">
        <v>32.07</v>
      </c>
      <c r="AG43" s="101">
        <f t="shared" si="20"/>
        <v>8.8000000000000007</v>
      </c>
      <c r="AH43" s="101">
        <f t="shared" si="21"/>
        <v>15.3</v>
      </c>
      <c r="AI43" s="101">
        <v>11</v>
      </c>
      <c r="AJ43" s="104">
        <f t="shared" si="6"/>
        <v>1</v>
      </c>
      <c r="AK43" s="101">
        <f t="shared" si="7"/>
        <v>38.180000000000007</v>
      </c>
      <c r="AL43" s="50">
        <f t="shared" si="8"/>
        <v>1</v>
      </c>
      <c r="AM43" s="97" t="str">
        <f t="shared" si="9"/>
        <v>Canara Robeco Asset Management</v>
      </c>
      <c r="AN43" s="100"/>
      <c r="AO43" s="99">
        <f t="shared" si="15"/>
        <v>1</v>
      </c>
      <c r="AP43" s="100">
        <f t="shared" si="10"/>
        <v>3</v>
      </c>
      <c r="AQ43" s="100">
        <v>1</v>
      </c>
      <c r="AR43" s="100">
        <f t="shared" si="11"/>
        <v>1</v>
      </c>
      <c r="AS43" s="52">
        <v>266</v>
      </c>
      <c r="AT43" s="101">
        <v>245</v>
      </c>
      <c r="AU43" s="101">
        <v>599</v>
      </c>
      <c r="AV43" s="101">
        <f t="shared" si="22"/>
        <v>422</v>
      </c>
      <c r="AW43" s="101">
        <v>280.25</v>
      </c>
      <c r="AX43" s="101">
        <f t="shared" ref="AX43:AX74" si="25">(AS43+AV43+AW43)/3</f>
        <v>322.75</v>
      </c>
      <c r="AY43" s="52">
        <f t="shared" si="23"/>
        <v>125.18796992481202</v>
      </c>
      <c r="AZ43" s="52">
        <f t="shared" si="24"/>
        <v>2.5</v>
      </c>
    </row>
    <row r="44" spans="2:57" ht="12.75" customHeight="1">
      <c r="B44" s="97" t="s">
        <v>556</v>
      </c>
      <c r="C44" s="50">
        <v>2025</v>
      </c>
      <c r="D44" s="50">
        <v>1</v>
      </c>
      <c r="E44" s="100">
        <v>0</v>
      </c>
      <c r="F44" s="100">
        <v>1516.86</v>
      </c>
      <c r="G44" s="100">
        <f t="shared" si="16"/>
        <v>100</v>
      </c>
      <c r="H44" s="100">
        <v>42914</v>
      </c>
      <c r="I44" s="100">
        <v>116.98</v>
      </c>
      <c r="J44" s="100"/>
      <c r="K44" s="101">
        <v>1.23</v>
      </c>
      <c r="L44" s="101"/>
      <c r="M44" s="100">
        <v>149.91</v>
      </c>
      <c r="N44" s="100"/>
      <c r="O44" s="100">
        <v>10710</v>
      </c>
      <c r="P44" s="100">
        <f t="shared" si="17"/>
        <v>91.554111813985287</v>
      </c>
      <c r="Q44" s="100">
        <v>86.18</v>
      </c>
      <c r="R44" s="100">
        <v>86.18</v>
      </c>
      <c r="S44" s="100">
        <v>-3</v>
      </c>
      <c r="T44" s="100"/>
      <c r="U44" s="100"/>
      <c r="V44" s="100">
        <v>1</v>
      </c>
      <c r="W44" s="100">
        <v>1</v>
      </c>
      <c r="X44" s="102">
        <v>7.05</v>
      </c>
      <c r="Y44" s="101">
        <v>0.33</v>
      </c>
      <c r="Z44" s="101">
        <v>0.42</v>
      </c>
      <c r="AA44" s="103">
        <f t="shared" si="18"/>
        <v>1</v>
      </c>
      <c r="AB44" s="100">
        <v>0</v>
      </c>
      <c r="AC44" s="101">
        <f t="shared" si="19"/>
        <v>0</v>
      </c>
      <c r="AD44" s="101">
        <v>39</v>
      </c>
      <c r="AE44" s="101">
        <v>7</v>
      </c>
      <c r="AF44" s="101">
        <v>7</v>
      </c>
      <c r="AG44" s="101">
        <f t="shared" si="20"/>
        <v>0.10000000000000009</v>
      </c>
      <c r="AH44" s="101">
        <f t="shared" si="21"/>
        <v>1.1000000000000001</v>
      </c>
      <c r="AI44" s="101">
        <v>11</v>
      </c>
      <c r="AJ44" s="104">
        <f t="shared" si="6"/>
        <v>1</v>
      </c>
      <c r="AK44" s="101">
        <f t="shared" si="7"/>
        <v>1.3600000000000003</v>
      </c>
      <c r="AL44" s="50">
        <f t="shared" si="8"/>
        <v>1</v>
      </c>
      <c r="AM44" s="97" t="str">
        <f t="shared" si="9"/>
        <v>Canara HSBC Life Insurance</v>
      </c>
      <c r="AN44" s="100"/>
      <c r="AO44" s="99">
        <f t="shared" si="15"/>
        <v>0</v>
      </c>
      <c r="AP44" s="100">
        <f t="shared" si="10"/>
        <v>0</v>
      </c>
      <c r="AQ44" s="100">
        <v>1</v>
      </c>
      <c r="AR44" s="100">
        <f t="shared" si="11"/>
        <v>5</v>
      </c>
      <c r="AS44" s="101">
        <v>106</v>
      </c>
      <c r="AT44" s="101">
        <v>98</v>
      </c>
      <c r="AU44" s="101">
        <v>111</v>
      </c>
      <c r="AV44" s="101">
        <f t="shared" si="22"/>
        <v>104.5</v>
      </c>
      <c r="AW44" s="101">
        <v>106</v>
      </c>
      <c r="AX44" s="101">
        <f t="shared" si="25"/>
        <v>105.5</v>
      </c>
      <c r="AY44" s="52">
        <f t="shared" si="23"/>
        <v>4.716981132075472</v>
      </c>
      <c r="AZ44" s="52">
        <f t="shared" si="24"/>
        <v>1.5</v>
      </c>
    </row>
    <row r="45" spans="2:57" ht="12.75" customHeight="1">
      <c r="B45" s="97" t="s">
        <v>557</v>
      </c>
      <c r="C45" s="50">
        <v>2025</v>
      </c>
      <c r="D45" s="50">
        <v>0</v>
      </c>
      <c r="E45" s="100">
        <v>0</v>
      </c>
      <c r="F45" s="100">
        <v>1853.47</v>
      </c>
      <c r="G45" s="100">
        <f t="shared" si="16"/>
        <v>100</v>
      </c>
      <c r="H45" s="100">
        <v>3171.3</v>
      </c>
      <c r="I45" s="100">
        <v>255.69</v>
      </c>
      <c r="J45" s="100"/>
      <c r="K45" s="101">
        <v>18.7</v>
      </c>
      <c r="L45" s="101"/>
      <c r="M45" s="100">
        <v>396.44</v>
      </c>
      <c r="N45" s="100"/>
      <c r="O45" s="100">
        <v>2394.71</v>
      </c>
      <c r="P45" s="100">
        <f t="shared" si="17"/>
        <v>9.365677187218898</v>
      </c>
      <c r="Q45" s="100">
        <v>39.03</v>
      </c>
      <c r="R45" s="100">
        <v>39.03</v>
      </c>
      <c r="S45" s="100">
        <v>-0.5</v>
      </c>
      <c r="T45" s="100"/>
      <c r="U45" s="100"/>
      <c r="V45" s="100">
        <v>1</v>
      </c>
      <c r="W45" s="100">
        <v>1</v>
      </c>
      <c r="X45" s="102">
        <v>118</v>
      </c>
      <c r="Y45" s="101">
        <v>54.42</v>
      </c>
      <c r="Z45" s="101">
        <v>7</v>
      </c>
      <c r="AA45" s="103">
        <f t="shared" si="18"/>
        <v>1</v>
      </c>
      <c r="AB45" s="100">
        <v>2.7</v>
      </c>
      <c r="AC45" s="101">
        <f t="shared" si="19"/>
        <v>0.9</v>
      </c>
      <c r="AD45" s="101">
        <v>13</v>
      </c>
      <c r="AE45" s="101">
        <v>1.6</v>
      </c>
      <c r="AF45" s="101">
        <v>-4</v>
      </c>
      <c r="AG45" s="101">
        <f t="shared" si="20"/>
        <v>3.5999999999999996</v>
      </c>
      <c r="AH45" s="101">
        <f t="shared" si="21"/>
        <v>8.5</v>
      </c>
      <c r="AI45" s="101">
        <v>11</v>
      </c>
      <c r="AJ45" s="104">
        <f t="shared" si="6"/>
        <v>1</v>
      </c>
      <c r="AK45" s="101">
        <f t="shared" si="7"/>
        <v>17.86</v>
      </c>
      <c r="AL45" s="50">
        <f t="shared" si="8"/>
        <v>0</v>
      </c>
      <c r="AM45" s="97" t="str">
        <f t="shared" si="9"/>
        <v>Orkla India</v>
      </c>
      <c r="AN45" s="100"/>
      <c r="AO45" s="99">
        <f t="shared" si="15"/>
        <v>0</v>
      </c>
      <c r="AP45" s="100">
        <f t="shared" si="10"/>
        <v>0</v>
      </c>
      <c r="AQ45" s="100">
        <v>1</v>
      </c>
      <c r="AR45" s="100">
        <f t="shared" si="11"/>
        <v>5</v>
      </c>
      <c r="AS45" s="101">
        <v>730</v>
      </c>
      <c r="AT45" s="101">
        <v>851</v>
      </c>
      <c r="AU45" s="101">
        <v>1035</v>
      </c>
      <c r="AV45" s="101">
        <f t="shared" si="22"/>
        <v>943</v>
      </c>
      <c r="AW45" s="101">
        <v>750</v>
      </c>
      <c r="AX45" s="101">
        <f t="shared" si="25"/>
        <v>807.66666666666663</v>
      </c>
      <c r="AY45" s="52">
        <f t="shared" si="23"/>
        <v>41.780821917808218</v>
      </c>
      <c r="AZ45" s="52">
        <f t="shared" si="24"/>
        <v>2.5</v>
      </c>
    </row>
    <row r="46" spans="2:57" ht="12.75" customHeight="1">
      <c r="B46" s="97" t="s">
        <v>558</v>
      </c>
      <c r="C46" s="50">
        <v>2025</v>
      </c>
      <c r="D46" s="50">
        <v>1</v>
      </c>
      <c r="E46" s="100">
        <v>346</v>
      </c>
      <c r="F46" s="100">
        <v>6099</v>
      </c>
      <c r="G46" s="100">
        <f t="shared" si="16"/>
        <v>94.326938842433179</v>
      </c>
      <c r="H46" s="100">
        <v>9263</v>
      </c>
      <c r="I46" s="100">
        <v>295.60000000000002</v>
      </c>
      <c r="J46" s="100"/>
      <c r="K46" s="101">
        <v>0.8</v>
      </c>
      <c r="L46" s="101"/>
      <c r="M46" s="100">
        <v>975.5</v>
      </c>
      <c r="N46" s="100"/>
      <c r="O46" s="100">
        <v>6652.5</v>
      </c>
      <c r="P46" s="100">
        <f t="shared" si="17"/>
        <v>22.50507442489851</v>
      </c>
      <c r="Q46" s="100">
        <v>526.4</v>
      </c>
      <c r="R46" s="100">
        <v>526.4</v>
      </c>
      <c r="S46" s="100">
        <v>-0.5</v>
      </c>
      <c r="T46" s="100"/>
      <c r="U46" s="100"/>
      <c r="V46" s="100">
        <v>1</v>
      </c>
      <c r="W46" s="100">
        <v>1</v>
      </c>
      <c r="X46" s="102">
        <v>40.36</v>
      </c>
      <c r="Y46" s="101">
        <v>20</v>
      </c>
      <c r="Z46" s="101">
        <v>7.56</v>
      </c>
      <c r="AA46" s="103">
        <f t="shared" si="18"/>
        <v>1</v>
      </c>
      <c r="AB46" s="100">
        <v>2.5</v>
      </c>
      <c r="AC46" s="101">
        <f t="shared" si="19"/>
        <v>0.83333333333333337</v>
      </c>
      <c r="AD46" s="101">
        <v>3031</v>
      </c>
      <c r="AE46" s="101">
        <v>22.6</v>
      </c>
      <c r="AF46" s="101">
        <v>7.9</v>
      </c>
      <c r="AG46" s="101">
        <f t="shared" si="20"/>
        <v>4.5999999999999996</v>
      </c>
      <c r="AH46" s="101">
        <f t="shared" si="21"/>
        <v>9.4333333333333336</v>
      </c>
      <c r="AI46" s="101">
        <v>11</v>
      </c>
      <c r="AJ46" s="104">
        <f t="shared" si="6"/>
        <v>1</v>
      </c>
      <c r="AK46" s="101">
        <f t="shared" si="7"/>
        <v>21.393333333333331</v>
      </c>
      <c r="AL46" s="50">
        <f t="shared" si="8"/>
        <v>1</v>
      </c>
      <c r="AM46" s="97" t="str">
        <f t="shared" si="9"/>
        <v>Lenskart Solutions</v>
      </c>
      <c r="AN46" s="100"/>
      <c r="AO46" s="99">
        <f t="shared" si="15"/>
        <v>0</v>
      </c>
      <c r="AP46" s="100">
        <f t="shared" si="10"/>
        <v>0</v>
      </c>
      <c r="AQ46" s="100">
        <v>1</v>
      </c>
      <c r="AR46" s="100">
        <f t="shared" si="11"/>
        <v>5</v>
      </c>
      <c r="AS46" s="101">
        <v>402</v>
      </c>
      <c r="AT46" s="101">
        <v>480</v>
      </c>
      <c r="AU46" s="101">
        <v>500</v>
      </c>
      <c r="AV46" s="101">
        <f t="shared" si="22"/>
        <v>490</v>
      </c>
      <c r="AW46" s="101">
        <v>395</v>
      </c>
      <c r="AX46" s="101">
        <f t="shared" si="25"/>
        <v>429</v>
      </c>
      <c r="AY46" s="52">
        <f t="shared" si="23"/>
        <v>24.378109452736318</v>
      </c>
      <c r="AZ46" s="52">
        <f t="shared" si="24"/>
        <v>2.5</v>
      </c>
      <c r="BB46" s="52">
        <v>405</v>
      </c>
      <c r="BE46" s="52">
        <v>516</v>
      </c>
    </row>
    <row r="47" spans="2:57" ht="12.75" customHeight="1">
      <c r="B47" s="97" t="s">
        <v>559</v>
      </c>
      <c r="C47" s="50">
        <v>2025</v>
      </c>
      <c r="D47" s="50">
        <v>1</v>
      </c>
      <c r="E47" s="100">
        <v>351.99</v>
      </c>
      <c r="F47" s="100">
        <v>4855.3500000000004</v>
      </c>
      <c r="G47" s="100">
        <f t="shared" si="16"/>
        <v>92.750471129784671</v>
      </c>
      <c r="H47" s="100">
        <v>10077.31</v>
      </c>
      <c r="I47" s="100">
        <v>1824.37</v>
      </c>
      <c r="J47" s="100"/>
      <c r="K47" s="101">
        <v>3.01</v>
      </c>
      <c r="L47" s="101"/>
      <c r="M47" s="100">
        <v>2371.0100000000002</v>
      </c>
      <c r="N47" s="100"/>
      <c r="O47" s="100">
        <v>4061.65</v>
      </c>
      <c r="P47" s="100">
        <f t="shared" si="17"/>
        <v>2.2263301852146222</v>
      </c>
      <c r="Q47" s="100">
        <v>33.26</v>
      </c>
      <c r="R47" s="100">
        <v>33.26</v>
      </c>
      <c r="S47" s="100">
        <v>-1</v>
      </c>
      <c r="T47" s="100" t="s">
        <v>560</v>
      </c>
      <c r="U47" s="100"/>
      <c r="V47" s="100">
        <v>1</v>
      </c>
      <c r="W47" s="100">
        <v>1</v>
      </c>
      <c r="X47" s="102">
        <v>22.3</v>
      </c>
      <c r="Y47" s="101">
        <v>14</v>
      </c>
      <c r="Z47" s="101">
        <v>9</v>
      </c>
      <c r="AA47" s="103">
        <f t="shared" si="18"/>
        <v>1</v>
      </c>
      <c r="AB47" s="100">
        <v>5</v>
      </c>
      <c r="AC47" s="101">
        <f t="shared" si="19"/>
        <v>1.6666666666666667</v>
      </c>
      <c r="AD47" s="101">
        <v>0</v>
      </c>
      <c r="AE47" s="101">
        <v>45.2</v>
      </c>
      <c r="AF47" s="101">
        <v>91</v>
      </c>
      <c r="AG47" s="101">
        <f t="shared" si="20"/>
        <v>6.1</v>
      </c>
      <c r="AH47" s="101">
        <f t="shared" si="21"/>
        <v>12.766666666666666</v>
      </c>
      <c r="AI47" s="101">
        <v>11</v>
      </c>
      <c r="AJ47" s="104">
        <f t="shared" si="6"/>
        <v>1</v>
      </c>
      <c r="AK47" s="101">
        <f t="shared" si="7"/>
        <v>28.626666666666665</v>
      </c>
      <c r="AL47" s="50">
        <f t="shared" si="8"/>
        <v>1</v>
      </c>
      <c r="AM47" s="97" t="str">
        <f t="shared" si="9"/>
        <v>Groww</v>
      </c>
      <c r="AN47" s="100"/>
      <c r="AO47" s="99">
        <f t="shared" si="15"/>
        <v>1</v>
      </c>
      <c r="AP47" s="100">
        <f t="shared" si="10"/>
        <v>2</v>
      </c>
      <c r="AQ47" s="100">
        <v>1</v>
      </c>
      <c r="AR47" s="100">
        <f t="shared" si="11"/>
        <v>1</v>
      </c>
      <c r="AS47" s="101">
        <v>100</v>
      </c>
      <c r="AT47" s="101">
        <v>61</v>
      </c>
      <c r="AU47" s="101">
        <v>79</v>
      </c>
      <c r="AV47" s="101">
        <f t="shared" si="22"/>
        <v>70</v>
      </c>
      <c r="AW47" s="101">
        <v>112</v>
      </c>
      <c r="AX47" s="101">
        <f t="shared" si="25"/>
        <v>94</v>
      </c>
      <c r="AY47" s="52">
        <f t="shared" si="23"/>
        <v>-21</v>
      </c>
      <c r="AZ47" s="52">
        <f t="shared" si="24"/>
        <v>-2</v>
      </c>
      <c r="BB47" s="52">
        <v>135</v>
      </c>
    </row>
    <row r="48" spans="2:57" ht="12.75" customHeight="1">
      <c r="B48" s="97" t="s">
        <v>561</v>
      </c>
      <c r="C48" s="50">
        <v>2025</v>
      </c>
      <c r="D48" s="50">
        <v>1</v>
      </c>
      <c r="E48" s="100">
        <v>829.48</v>
      </c>
      <c r="F48" s="100">
        <v>3506.15</v>
      </c>
      <c r="G48" s="100">
        <f t="shared" si="16"/>
        <v>76.342141665359435</v>
      </c>
      <c r="H48" s="100">
        <v>10715.73</v>
      </c>
      <c r="I48" s="100">
        <v>-145.47999999999999</v>
      </c>
      <c r="J48" s="100"/>
      <c r="K48" s="101">
        <v>0</v>
      </c>
      <c r="L48" s="101"/>
      <c r="M48" s="100">
        <v>234.51</v>
      </c>
      <c r="N48" s="100"/>
      <c r="O48" s="100">
        <v>2274.27</v>
      </c>
      <c r="P48" s="100">
        <f t="shared" si="17"/>
        <v>-15.63287049766291</v>
      </c>
      <c r="Q48" s="100">
        <v>0</v>
      </c>
      <c r="R48" s="100">
        <v>0</v>
      </c>
      <c r="S48" s="100">
        <v>0</v>
      </c>
      <c r="T48" s="100"/>
      <c r="U48" s="100"/>
      <c r="V48" s="100">
        <v>1</v>
      </c>
      <c r="W48" s="100">
        <v>1</v>
      </c>
      <c r="X48" s="102">
        <v>3.97</v>
      </c>
      <c r="Y48" s="101">
        <v>0.3</v>
      </c>
      <c r="Z48" s="101">
        <v>1.27</v>
      </c>
      <c r="AA48" s="103">
        <f t="shared" si="18"/>
        <v>1</v>
      </c>
      <c r="AB48" s="100">
        <v>2.5</v>
      </c>
      <c r="AC48" s="101">
        <f t="shared" si="19"/>
        <v>0.83333333333333337</v>
      </c>
      <c r="AD48" s="101">
        <v>57.47</v>
      </c>
      <c r="AE48" s="101">
        <v>28.5</v>
      </c>
      <c r="AF48" s="101">
        <v>-1</v>
      </c>
      <c r="AG48" s="101">
        <f t="shared" si="20"/>
        <v>7.8</v>
      </c>
      <c r="AH48" s="101">
        <f t="shared" si="21"/>
        <v>10.633333333333335</v>
      </c>
      <c r="AI48" s="101">
        <v>11</v>
      </c>
      <c r="AJ48" s="104">
        <f t="shared" si="6"/>
        <v>1</v>
      </c>
      <c r="AK48" s="101">
        <f t="shared" si="7"/>
        <v>30.913333333333334</v>
      </c>
      <c r="AL48" s="50">
        <f t="shared" si="8"/>
        <v>1</v>
      </c>
      <c r="AM48" s="97" t="str">
        <f t="shared" si="9"/>
        <v>Pine Labs</v>
      </c>
      <c r="AN48" s="132"/>
      <c r="AO48" s="99">
        <f t="shared" si="15"/>
        <v>1</v>
      </c>
      <c r="AP48" s="132">
        <f t="shared" si="10"/>
        <v>3</v>
      </c>
      <c r="AQ48" s="132">
        <v>1</v>
      </c>
      <c r="AR48" s="132">
        <f t="shared" si="11"/>
        <v>1</v>
      </c>
      <c r="AS48" s="133">
        <v>221</v>
      </c>
      <c r="AT48" s="133">
        <v>202</v>
      </c>
      <c r="AU48" s="133">
        <v>304</v>
      </c>
      <c r="AV48" s="133">
        <f t="shared" si="22"/>
        <v>253</v>
      </c>
      <c r="AW48" s="133">
        <v>242</v>
      </c>
      <c r="AX48" s="101">
        <f t="shared" si="25"/>
        <v>238.66666666666666</v>
      </c>
      <c r="AY48" s="52">
        <f t="shared" si="23"/>
        <v>37.556561085972852</v>
      </c>
      <c r="AZ48" s="52">
        <f t="shared" si="24"/>
        <v>2.5</v>
      </c>
    </row>
    <row r="49" spans="1:57" ht="12.75" customHeight="1">
      <c r="B49" s="97" t="s">
        <v>562</v>
      </c>
      <c r="C49" s="50">
        <v>2025</v>
      </c>
      <c r="D49" s="50">
        <v>1</v>
      </c>
      <c r="E49" s="100">
        <v>1949.69</v>
      </c>
      <c r="F49" s="100">
        <v>531.41</v>
      </c>
      <c r="G49" s="100">
        <f t="shared" si="16"/>
        <v>-266.88997196138581</v>
      </c>
      <c r="H49" s="100">
        <v>2629.95</v>
      </c>
      <c r="I49" s="100">
        <v>369.01</v>
      </c>
      <c r="J49" s="100"/>
      <c r="K49" s="101">
        <v>6.22</v>
      </c>
      <c r="L49" s="101"/>
      <c r="M49" s="100">
        <v>721.94</v>
      </c>
      <c r="N49" s="100"/>
      <c r="O49" s="100">
        <v>2335.61</v>
      </c>
      <c r="P49" s="100">
        <f t="shared" si="17"/>
        <v>6.3293948673477685</v>
      </c>
      <c r="Q49" s="100">
        <v>40</v>
      </c>
      <c r="R49" s="100">
        <v>40</v>
      </c>
      <c r="S49" s="100">
        <v>0.7</v>
      </c>
      <c r="T49" s="100"/>
      <c r="U49" s="100"/>
      <c r="V49" s="100">
        <v>1</v>
      </c>
      <c r="W49" s="100">
        <v>1</v>
      </c>
      <c r="X49" s="102">
        <v>1.2</v>
      </c>
      <c r="Y49" s="101">
        <v>1</v>
      </c>
      <c r="Z49" s="101">
        <v>1.1000000000000001</v>
      </c>
      <c r="AA49" s="103">
        <f t="shared" si="18"/>
        <v>1</v>
      </c>
      <c r="AB49" s="100">
        <v>0</v>
      </c>
      <c r="AC49" s="101">
        <f t="shared" si="19"/>
        <v>0</v>
      </c>
      <c r="AD49" s="101">
        <v>1177</v>
      </c>
      <c r="AE49" s="101">
        <v>145</v>
      </c>
      <c r="AF49" s="101">
        <v>218</v>
      </c>
      <c r="AG49" s="101">
        <f t="shared" si="20"/>
        <v>6.7</v>
      </c>
      <c r="AH49" s="101">
        <f t="shared" si="21"/>
        <v>8.6999999999999993</v>
      </c>
      <c r="AI49" s="101">
        <v>11</v>
      </c>
      <c r="AJ49" s="104">
        <f t="shared" si="6"/>
        <v>1</v>
      </c>
      <c r="AK49" s="101">
        <f t="shared" si="7"/>
        <v>26.12</v>
      </c>
      <c r="AL49" s="50">
        <f t="shared" si="8"/>
        <v>1</v>
      </c>
      <c r="AM49" s="97" t="str">
        <f t="shared" si="9"/>
        <v>Emmvee Photovoltaic</v>
      </c>
      <c r="AN49" s="100"/>
      <c r="AO49" s="99">
        <f t="shared" si="15"/>
        <v>1</v>
      </c>
      <c r="AP49" s="100">
        <f t="shared" si="10"/>
        <v>3</v>
      </c>
      <c r="AQ49" s="100">
        <v>1</v>
      </c>
      <c r="AR49" s="100">
        <f t="shared" si="11"/>
        <v>1</v>
      </c>
      <c r="AS49" s="101">
        <v>217</v>
      </c>
      <c r="AT49" s="101">
        <v>313</v>
      </c>
      <c r="AU49" s="101">
        <v>365</v>
      </c>
      <c r="AV49" s="101">
        <f t="shared" si="22"/>
        <v>339</v>
      </c>
      <c r="AW49" s="101">
        <v>217</v>
      </c>
      <c r="AX49" s="101">
        <f t="shared" si="25"/>
        <v>257.66666666666669</v>
      </c>
      <c r="AY49" s="52">
        <f t="shared" si="23"/>
        <v>68.20276497695852</v>
      </c>
      <c r="AZ49" s="52">
        <f t="shared" si="24"/>
        <v>2.5</v>
      </c>
      <c r="BB49" s="52">
        <v>219</v>
      </c>
      <c r="BE49" s="52">
        <v>351</v>
      </c>
    </row>
    <row r="50" spans="1:57" ht="12.75" customHeight="1">
      <c r="B50" s="97" t="s">
        <v>563</v>
      </c>
      <c r="C50" s="50">
        <v>2025</v>
      </c>
      <c r="D50" s="50">
        <v>1</v>
      </c>
      <c r="E50" s="100">
        <v>0.33</v>
      </c>
      <c r="F50" s="100">
        <v>1524.55</v>
      </c>
      <c r="G50" s="100">
        <f t="shared" si="16"/>
        <v>99.978354268472671</v>
      </c>
      <c r="H50" s="100">
        <v>4156.38</v>
      </c>
      <c r="I50" s="100">
        <v>-243.26</v>
      </c>
      <c r="J50" s="100"/>
      <c r="K50" s="101">
        <v>-0.86</v>
      </c>
      <c r="L50" s="101"/>
      <c r="M50" s="100">
        <v>193.19</v>
      </c>
      <c r="N50" s="100"/>
      <c r="O50" s="100">
        <v>2886.64</v>
      </c>
      <c r="P50" s="100">
        <f t="shared" si="17"/>
        <v>-11.866480309134259</v>
      </c>
      <c r="Q50" s="100">
        <v>-62.06</v>
      </c>
      <c r="R50" s="100">
        <v>-62.06</v>
      </c>
      <c r="S50" s="100">
        <v>-0.5</v>
      </c>
      <c r="T50" s="100"/>
      <c r="U50" s="100"/>
      <c r="V50" s="100">
        <v>1</v>
      </c>
      <c r="W50" s="100">
        <v>1</v>
      </c>
      <c r="X50" s="102">
        <v>3</v>
      </c>
      <c r="Y50" s="101">
        <v>0.5</v>
      </c>
      <c r="Z50" s="101">
        <v>1.1399999999999999</v>
      </c>
      <c r="AA50" s="103">
        <f t="shared" si="18"/>
        <v>1</v>
      </c>
      <c r="AB50" s="100">
        <v>0</v>
      </c>
      <c r="AC50" s="101">
        <f t="shared" si="19"/>
        <v>0</v>
      </c>
      <c r="AD50" s="101">
        <v>78.489999999999995</v>
      </c>
      <c r="AE50" s="101">
        <v>48.76</v>
      </c>
      <c r="AF50" s="101">
        <v>222.37</v>
      </c>
      <c r="AG50" s="101">
        <f t="shared" si="20"/>
        <v>8.3000000000000007</v>
      </c>
      <c r="AH50" s="101">
        <f t="shared" si="21"/>
        <v>10.3</v>
      </c>
      <c r="AI50" s="101">
        <v>11</v>
      </c>
      <c r="AJ50" s="104">
        <f t="shared" si="6"/>
        <v>1</v>
      </c>
      <c r="AK50" s="101">
        <f t="shared" si="7"/>
        <v>31.880000000000003</v>
      </c>
      <c r="AL50" s="50">
        <f t="shared" si="8"/>
        <v>1</v>
      </c>
      <c r="AM50" s="97" t="str">
        <f t="shared" si="9"/>
        <v>PhysicsWallah</v>
      </c>
      <c r="AN50" s="100"/>
      <c r="AO50" s="99">
        <f t="shared" si="15"/>
        <v>1</v>
      </c>
      <c r="AP50" s="100">
        <f t="shared" si="10"/>
        <v>3</v>
      </c>
      <c r="AQ50" s="100">
        <v>1</v>
      </c>
      <c r="AR50" s="100">
        <f t="shared" si="11"/>
        <v>1</v>
      </c>
      <c r="AS50" s="101">
        <v>109</v>
      </c>
      <c r="AT50" s="101">
        <v>99</v>
      </c>
      <c r="AU50" s="101">
        <v>150</v>
      </c>
      <c r="AV50" s="101">
        <f t="shared" si="22"/>
        <v>124.5</v>
      </c>
      <c r="AW50" s="101">
        <v>145</v>
      </c>
      <c r="AX50" s="101">
        <f t="shared" si="25"/>
        <v>126.16666666666667</v>
      </c>
      <c r="AY50" s="52">
        <f t="shared" si="23"/>
        <v>37.61467889908257</v>
      </c>
      <c r="AZ50" s="52">
        <f t="shared" si="24"/>
        <v>2.5</v>
      </c>
      <c r="BB50" s="52">
        <v>155</v>
      </c>
    </row>
    <row r="51" spans="1:57" ht="12.75" customHeight="1">
      <c r="B51" s="97" t="s">
        <v>564</v>
      </c>
      <c r="C51" s="50">
        <v>2025</v>
      </c>
      <c r="D51" s="50">
        <v>1</v>
      </c>
      <c r="E51" s="100">
        <v>2.9</v>
      </c>
      <c r="F51" s="100">
        <v>449.5</v>
      </c>
      <c r="G51" s="100">
        <f t="shared" si="16"/>
        <v>99.354838709677423</v>
      </c>
      <c r="H51" s="100">
        <v>556.70000000000005</v>
      </c>
      <c r="I51" s="100">
        <v>69.599999999999994</v>
      </c>
      <c r="J51" s="100"/>
      <c r="K51" s="101">
        <v>17.7</v>
      </c>
      <c r="L51" s="101"/>
      <c r="M51" s="100">
        <v>104.8</v>
      </c>
      <c r="N51" s="100"/>
      <c r="O51" s="100">
        <v>583.79999999999995</v>
      </c>
      <c r="P51" s="100">
        <f t="shared" si="17"/>
        <v>8.387931034482758</v>
      </c>
      <c r="Q51" s="100">
        <v>33.1</v>
      </c>
      <c r="R51" s="100">
        <v>33.1</v>
      </c>
      <c r="S51" s="100">
        <v>-0.6</v>
      </c>
      <c r="T51" s="100"/>
      <c r="U51" s="100"/>
      <c r="V51" s="100">
        <v>1</v>
      </c>
      <c r="W51" s="100">
        <v>1</v>
      </c>
      <c r="X51" s="102">
        <v>159.99</v>
      </c>
      <c r="Y51" s="101">
        <v>76.989999999999995</v>
      </c>
      <c r="Z51" s="101">
        <v>22.09</v>
      </c>
      <c r="AA51" s="103">
        <f t="shared" si="18"/>
        <v>1</v>
      </c>
      <c r="AB51" s="100">
        <v>3.4</v>
      </c>
      <c r="AC51" s="101">
        <f t="shared" si="19"/>
        <v>1.1333333333333333</v>
      </c>
      <c r="AD51" s="101">
        <v>21.7</v>
      </c>
      <c r="AE51" s="101">
        <v>10.4</v>
      </c>
      <c r="AF51" s="101">
        <v>16</v>
      </c>
      <c r="AG51" s="101">
        <f t="shared" si="20"/>
        <v>4.5</v>
      </c>
      <c r="AH51" s="101">
        <f t="shared" si="21"/>
        <v>9.6333333333333329</v>
      </c>
      <c r="AI51" s="101">
        <v>11</v>
      </c>
      <c r="AJ51" s="104">
        <f t="shared" si="6"/>
        <v>1</v>
      </c>
      <c r="AK51" s="101">
        <f t="shared" si="7"/>
        <v>21.333333333333336</v>
      </c>
      <c r="AL51" s="50">
        <f t="shared" si="8"/>
        <v>1</v>
      </c>
      <c r="AM51" s="97" t="str">
        <f t="shared" si="9"/>
        <v>Studds Accessories</v>
      </c>
      <c r="AN51" s="100"/>
      <c r="AO51" s="99">
        <f t="shared" si="15"/>
        <v>0</v>
      </c>
      <c r="AP51" s="100">
        <f t="shared" si="10"/>
        <v>0</v>
      </c>
      <c r="AQ51" s="100">
        <v>1</v>
      </c>
      <c r="AR51" s="100">
        <f t="shared" si="11"/>
        <v>5</v>
      </c>
      <c r="AS51" s="101">
        <v>585</v>
      </c>
      <c r="AT51" s="101">
        <v>557</v>
      </c>
      <c r="AU51" s="101">
        <v>680</v>
      </c>
      <c r="AV51" s="101">
        <f t="shared" si="22"/>
        <v>618.5</v>
      </c>
      <c r="AW51" s="101">
        <v>565</v>
      </c>
      <c r="AX51" s="101">
        <f t="shared" si="25"/>
        <v>589.5</v>
      </c>
      <c r="AY51" s="52">
        <f t="shared" si="23"/>
        <v>16.239316239316238</v>
      </c>
      <c r="AZ51" s="52">
        <f t="shared" si="24"/>
        <v>2</v>
      </c>
      <c r="BB51" s="52">
        <v>565</v>
      </c>
    </row>
    <row r="52" spans="1:57" ht="12.75" customHeight="1">
      <c r="B52" s="97" t="s">
        <v>565</v>
      </c>
      <c r="C52" s="50">
        <v>2025</v>
      </c>
      <c r="D52" s="50">
        <v>1</v>
      </c>
      <c r="E52" s="100">
        <v>0</v>
      </c>
      <c r="F52" s="100">
        <v>12550.93</v>
      </c>
      <c r="G52" s="100">
        <f t="shared" si="16"/>
        <v>100</v>
      </c>
      <c r="H52" s="100">
        <v>28315.84</v>
      </c>
      <c r="I52" s="100">
        <v>5531.43</v>
      </c>
      <c r="J52" s="100"/>
      <c r="K52" s="101">
        <v>13.68</v>
      </c>
      <c r="L52" s="101"/>
      <c r="M52" s="100">
        <v>8152.39</v>
      </c>
      <c r="N52" s="100"/>
      <c r="O52" s="100">
        <v>48904.3</v>
      </c>
      <c r="P52" s="100">
        <f t="shared" si="17"/>
        <v>8.8411676546571147</v>
      </c>
      <c r="Q52" s="100">
        <v>14.73</v>
      </c>
      <c r="R52" s="100">
        <v>14.73</v>
      </c>
      <c r="S52" s="100">
        <v>-0.9</v>
      </c>
      <c r="T52" s="100"/>
      <c r="U52" s="100"/>
      <c r="V52" s="100">
        <v>1</v>
      </c>
      <c r="W52" s="100">
        <v>1</v>
      </c>
      <c r="X52" s="102">
        <v>175</v>
      </c>
      <c r="Y52" s="101">
        <v>43</v>
      </c>
      <c r="Z52" s="101">
        <v>5</v>
      </c>
      <c r="AA52" s="103">
        <f t="shared" si="18"/>
        <v>1</v>
      </c>
      <c r="AB52" s="100">
        <v>26</v>
      </c>
      <c r="AC52" s="101">
        <f t="shared" si="19"/>
        <v>11.666666666666666</v>
      </c>
      <c r="AD52" s="101">
        <v>32.72</v>
      </c>
      <c r="AE52" s="101">
        <v>-10.56</v>
      </c>
      <c r="AF52" s="101">
        <v>12.39</v>
      </c>
      <c r="AG52" s="101">
        <f t="shared" si="20"/>
        <v>4.1999999999999993</v>
      </c>
      <c r="AH52" s="101">
        <f t="shared" si="21"/>
        <v>19.866666666666667</v>
      </c>
      <c r="AI52" s="101">
        <v>11</v>
      </c>
      <c r="AJ52" s="104">
        <f t="shared" si="6"/>
        <v>1</v>
      </c>
      <c r="AK52" s="101">
        <f t="shared" si="7"/>
        <v>30.786666666666665</v>
      </c>
      <c r="AL52" s="50">
        <f t="shared" si="8"/>
        <v>1</v>
      </c>
      <c r="AM52" s="97" t="str">
        <f t="shared" si="9"/>
        <v>Tenneco Clean Air</v>
      </c>
      <c r="AN52" s="100"/>
      <c r="AO52" s="99">
        <f t="shared" si="15"/>
        <v>1</v>
      </c>
      <c r="AP52" s="100">
        <f t="shared" si="10"/>
        <v>1</v>
      </c>
      <c r="AQ52" s="100">
        <v>1</v>
      </c>
      <c r="AR52" s="100">
        <f t="shared" si="11"/>
        <v>1</v>
      </c>
      <c r="AS52" s="101">
        <v>397</v>
      </c>
      <c r="AT52" s="101">
        <v>500</v>
      </c>
      <c r="AU52" s="101">
        <v>666</v>
      </c>
      <c r="AV52" s="101">
        <f t="shared" si="22"/>
        <v>583</v>
      </c>
      <c r="AW52" s="101">
        <v>505</v>
      </c>
      <c r="AX52" s="101">
        <f t="shared" si="25"/>
        <v>495</v>
      </c>
      <c r="AY52" s="52">
        <f t="shared" si="23"/>
        <v>67.758186397984886</v>
      </c>
      <c r="AZ52" s="52">
        <f t="shared" si="24"/>
        <v>2.5</v>
      </c>
      <c r="BB52" s="52">
        <v>505</v>
      </c>
    </row>
    <row r="53" spans="1:57" ht="12.75" customHeight="1">
      <c r="B53" s="97" t="s">
        <v>566</v>
      </c>
      <c r="C53" s="50">
        <v>2025</v>
      </c>
      <c r="D53" s="50">
        <v>1</v>
      </c>
      <c r="E53" s="100">
        <v>346.22</v>
      </c>
      <c r="F53" s="100">
        <v>396.82</v>
      </c>
      <c r="G53" s="100">
        <f t="shared" si="16"/>
        <v>12.751373418678485</v>
      </c>
      <c r="H53" s="100">
        <v>1013.96</v>
      </c>
      <c r="I53" s="100">
        <v>156.34</v>
      </c>
      <c r="J53" s="100"/>
      <c r="K53" s="101">
        <v>5.58</v>
      </c>
      <c r="L53" s="101"/>
      <c r="M53" s="100">
        <v>248.52</v>
      </c>
      <c r="N53" s="100"/>
      <c r="O53" s="100">
        <v>1550.09</v>
      </c>
      <c r="P53" s="100">
        <f t="shared" si="17"/>
        <v>9.9148650377382612</v>
      </c>
      <c r="Q53" s="100">
        <v>40.85</v>
      </c>
      <c r="R53" s="100">
        <v>40.85</v>
      </c>
      <c r="S53" s="100">
        <v>0.7</v>
      </c>
      <c r="T53" s="100"/>
      <c r="U53" s="100"/>
      <c r="V53" s="100">
        <v>1</v>
      </c>
      <c r="W53" s="100">
        <v>1</v>
      </c>
      <c r="X53" s="102">
        <v>5.24</v>
      </c>
      <c r="Y53" s="101">
        <v>0.87</v>
      </c>
      <c r="Z53" s="101">
        <v>0.88</v>
      </c>
      <c r="AA53" s="103">
        <f t="shared" si="18"/>
        <v>1</v>
      </c>
      <c r="AB53" s="100">
        <v>1.3</v>
      </c>
      <c r="AC53" s="101">
        <f t="shared" si="19"/>
        <v>0.43333333333333335</v>
      </c>
      <c r="AD53" s="101">
        <v>245</v>
      </c>
      <c r="AE53" s="101">
        <v>67</v>
      </c>
      <c r="AF53" s="101">
        <v>66</v>
      </c>
      <c r="AG53" s="101">
        <f t="shared" si="20"/>
        <v>6.9</v>
      </c>
      <c r="AH53" s="101">
        <f t="shared" si="21"/>
        <v>9.3333333333333339</v>
      </c>
      <c r="AI53" s="101">
        <v>11</v>
      </c>
      <c r="AJ53" s="104">
        <f t="shared" si="6"/>
        <v>1</v>
      </c>
      <c r="AK53" s="101">
        <f t="shared" si="7"/>
        <v>27.273333333333333</v>
      </c>
      <c r="AL53" s="50">
        <f t="shared" si="8"/>
        <v>1</v>
      </c>
      <c r="AM53" s="97" t="str">
        <f t="shared" si="9"/>
        <v>Fujiyama Power Systems</v>
      </c>
      <c r="AN53" s="100"/>
      <c r="AO53" s="99">
        <f t="shared" si="15"/>
        <v>1</v>
      </c>
      <c r="AP53" s="100">
        <f t="shared" si="10"/>
        <v>3</v>
      </c>
      <c r="AQ53" s="100">
        <v>1</v>
      </c>
      <c r="AR53" s="100">
        <f t="shared" si="11"/>
        <v>1</v>
      </c>
      <c r="AS53" s="101">
        <v>228</v>
      </c>
      <c r="AT53" s="101">
        <v>238</v>
      </c>
      <c r="AU53" s="101">
        <v>309</v>
      </c>
      <c r="AV53" s="101">
        <f t="shared" si="22"/>
        <v>273.5</v>
      </c>
      <c r="AW53" s="101">
        <v>220</v>
      </c>
      <c r="AX53" s="101">
        <f t="shared" si="25"/>
        <v>240.5</v>
      </c>
      <c r="AY53" s="52">
        <f t="shared" si="23"/>
        <v>35.526315789473685</v>
      </c>
      <c r="AZ53" s="52">
        <f t="shared" si="24"/>
        <v>2.5</v>
      </c>
      <c r="BB53" s="52">
        <v>220</v>
      </c>
    </row>
    <row r="54" spans="1:57" ht="12.75" customHeight="1">
      <c r="B54" s="97" t="s">
        <v>567</v>
      </c>
      <c r="C54" s="50">
        <v>2025</v>
      </c>
      <c r="D54" s="50">
        <v>1</v>
      </c>
      <c r="E54" s="100">
        <v>100.09</v>
      </c>
      <c r="F54" s="100">
        <v>481.42</v>
      </c>
      <c r="G54" s="100">
        <f t="shared" si="16"/>
        <v>79.209422126209972</v>
      </c>
      <c r="H54" s="100">
        <v>838.65</v>
      </c>
      <c r="I54" s="100">
        <v>13.28</v>
      </c>
      <c r="J54" s="100"/>
      <c r="K54" s="101">
        <v>1.81</v>
      </c>
      <c r="L54" s="101"/>
      <c r="M54" s="100">
        <v>78.569999999999993</v>
      </c>
      <c r="N54" s="100"/>
      <c r="O54" s="100">
        <v>598.26</v>
      </c>
      <c r="P54" s="100">
        <f t="shared" si="17"/>
        <v>45.049698795180724</v>
      </c>
      <c r="Q54" s="100">
        <v>10</v>
      </c>
      <c r="R54" s="100">
        <v>10</v>
      </c>
      <c r="S54" s="100">
        <v>-1</v>
      </c>
      <c r="T54" s="100"/>
      <c r="U54" s="100"/>
      <c r="V54" s="100">
        <v>1</v>
      </c>
      <c r="W54" s="100">
        <v>1</v>
      </c>
      <c r="X54" s="102">
        <v>45</v>
      </c>
      <c r="Y54" s="101">
        <v>70</v>
      </c>
      <c r="Z54" s="101">
        <v>16</v>
      </c>
      <c r="AA54" s="103">
        <f t="shared" si="18"/>
        <v>1</v>
      </c>
      <c r="AB54" s="100">
        <v>14</v>
      </c>
      <c r="AC54" s="101">
        <f t="shared" si="19"/>
        <v>5.666666666666667</v>
      </c>
      <c r="AD54" s="101">
        <v>20</v>
      </c>
      <c r="AE54" s="101">
        <v>20</v>
      </c>
      <c r="AF54" s="101">
        <v>6.48</v>
      </c>
      <c r="AG54" s="101">
        <f t="shared" si="20"/>
        <v>4.0999999999999996</v>
      </c>
      <c r="AH54" s="101">
        <f t="shared" si="21"/>
        <v>13.766666666666666</v>
      </c>
      <c r="AI54" s="101">
        <v>11</v>
      </c>
      <c r="AJ54" s="104">
        <f t="shared" si="6"/>
        <v>1</v>
      </c>
      <c r="AK54" s="101">
        <f t="shared" si="7"/>
        <v>24.426666666666666</v>
      </c>
      <c r="AL54" s="50">
        <f t="shared" si="8"/>
        <v>1</v>
      </c>
      <c r="AM54" s="97" t="str">
        <f t="shared" si="9"/>
        <v>Capillary Technologies</v>
      </c>
      <c r="AN54" s="100"/>
      <c r="AO54" s="99">
        <f t="shared" si="15"/>
        <v>1</v>
      </c>
      <c r="AP54" s="100">
        <f t="shared" si="10"/>
        <v>1</v>
      </c>
      <c r="AQ54" s="100">
        <v>1</v>
      </c>
      <c r="AR54" s="100">
        <f t="shared" si="11"/>
        <v>1</v>
      </c>
      <c r="AS54" s="101">
        <v>577</v>
      </c>
      <c r="AT54" s="101">
        <v>520</v>
      </c>
      <c r="AU54" s="101">
        <v>650</v>
      </c>
      <c r="AV54" s="101">
        <f t="shared" si="22"/>
        <v>585</v>
      </c>
      <c r="AW54" s="101">
        <v>571</v>
      </c>
      <c r="AX54" s="101">
        <f t="shared" si="25"/>
        <v>577.66666666666663</v>
      </c>
      <c r="AY54" s="52">
        <f t="shared" si="23"/>
        <v>12.651646447140381</v>
      </c>
      <c r="AZ54" s="52">
        <f t="shared" si="24"/>
        <v>2</v>
      </c>
      <c r="BB54" s="52">
        <v>606.9</v>
      </c>
    </row>
    <row r="55" spans="1:57" ht="12.75" customHeight="1">
      <c r="B55" s="97" t="s">
        <v>568</v>
      </c>
      <c r="C55" s="50">
        <v>2025</v>
      </c>
      <c r="D55" s="50">
        <v>1</v>
      </c>
      <c r="E55" s="100">
        <v>76.73</v>
      </c>
      <c r="F55" s="100">
        <v>297.3</v>
      </c>
      <c r="G55" s="100">
        <f t="shared" si="16"/>
        <v>74.191052808610834</v>
      </c>
      <c r="H55" s="100">
        <v>421.03</v>
      </c>
      <c r="I55" s="100">
        <v>12.75</v>
      </c>
      <c r="J55" s="100"/>
      <c r="K55" s="101">
        <v>3.45</v>
      </c>
      <c r="L55" s="101"/>
      <c r="M55" s="100">
        <v>54.97</v>
      </c>
      <c r="N55" s="100"/>
      <c r="O55" s="100">
        <v>198.3</v>
      </c>
      <c r="P55" s="100">
        <f t="shared" si="17"/>
        <v>15.55294117647059</v>
      </c>
      <c r="Q55" s="100">
        <v>34</v>
      </c>
      <c r="R55" s="100">
        <v>34</v>
      </c>
      <c r="S55" s="100">
        <v>-1</v>
      </c>
      <c r="T55" s="100"/>
      <c r="U55" s="100"/>
      <c r="V55" s="100">
        <v>1</v>
      </c>
      <c r="W55" s="100">
        <v>1</v>
      </c>
      <c r="X55" s="102">
        <v>50</v>
      </c>
      <c r="Y55" s="101">
        <v>106</v>
      </c>
      <c r="Z55" s="101">
        <v>16</v>
      </c>
      <c r="AA55" s="103">
        <f t="shared" si="18"/>
        <v>1</v>
      </c>
      <c r="AB55" s="100">
        <v>6</v>
      </c>
      <c r="AC55" s="101">
        <f t="shared" si="19"/>
        <v>2</v>
      </c>
      <c r="AD55" s="101">
        <v>200</v>
      </c>
      <c r="AE55" s="101">
        <v>24</v>
      </c>
      <c r="AF55" s="101">
        <v>27</v>
      </c>
      <c r="AG55" s="101">
        <f t="shared" si="20"/>
        <v>6.1</v>
      </c>
      <c r="AH55" s="101">
        <f t="shared" si="21"/>
        <v>13.1</v>
      </c>
      <c r="AI55" s="101">
        <v>11</v>
      </c>
      <c r="AJ55" s="104">
        <f t="shared" si="6"/>
        <v>1</v>
      </c>
      <c r="AK55" s="101">
        <f t="shared" si="7"/>
        <v>28.96</v>
      </c>
      <c r="AL55" s="50">
        <f t="shared" si="8"/>
        <v>1</v>
      </c>
      <c r="AM55" s="97" t="str">
        <f t="shared" si="9"/>
        <v>Ecelsoft Technologies</v>
      </c>
      <c r="AN55" s="100"/>
      <c r="AO55" s="99">
        <f t="shared" si="15"/>
        <v>1</v>
      </c>
      <c r="AP55" s="100">
        <f t="shared" si="10"/>
        <v>1</v>
      </c>
      <c r="AQ55" s="100">
        <v>1</v>
      </c>
      <c r="AR55" s="100">
        <f t="shared" si="11"/>
        <v>1</v>
      </c>
      <c r="AS55" s="101">
        <v>120</v>
      </c>
      <c r="AT55" s="101">
        <v>104</v>
      </c>
      <c r="AU55" s="101">
        <v>121</v>
      </c>
      <c r="AV55" s="101">
        <f t="shared" si="22"/>
        <v>112.5</v>
      </c>
      <c r="AW55" s="101">
        <v>135</v>
      </c>
      <c r="AX55" s="101">
        <f t="shared" si="25"/>
        <v>122.5</v>
      </c>
      <c r="AY55" s="52">
        <f t="shared" si="23"/>
        <v>0.83333333333333337</v>
      </c>
      <c r="AZ55" s="52">
        <f t="shared" si="24"/>
        <v>1.5</v>
      </c>
      <c r="BC55" s="52">
        <v>135</v>
      </c>
    </row>
    <row r="56" spans="1:57" ht="12.75" customHeight="1">
      <c r="B56" s="97" t="s">
        <v>569</v>
      </c>
      <c r="C56" s="50">
        <v>2025</v>
      </c>
      <c r="D56" s="50">
        <v>1</v>
      </c>
      <c r="E56" s="100">
        <v>135.25</v>
      </c>
      <c r="F56" s="100">
        <v>497.53</v>
      </c>
      <c r="G56" s="100">
        <f t="shared" si="16"/>
        <v>72.815709605450934</v>
      </c>
      <c r="H56" s="100">
        <v>717.17</v>
      </c>
      <c r="I56" s="100">
        <v>138.69</v>
      </c>
      <c r="J56" s="100"/>
      <c r="K56" s="101">
        <v>12.46</v>
      </c>
      <c r="L56" s="101"/>
      <c r="M56" s="100">
        <v>190</v>
      </c>
      <c r="N56" s="100"/>
      <c r="O56" s="100">
        <v>502</v>
      </c>
      <c r="P56" s="100">
        <f t="shared" si="17"/>
        <v>3.6195832432042687</v>
      </c>
      <c r="Q56" s="100">
        <v>47.61</v>
      </c>
      <c r="R56" s="100">
        <v>47.61</v>
      </c>
      <c r="S56" s="100">
        <v>-0.5</v>
      </c>
      <c r="T56" s="100"/>
      <c r="U56" s="100"/>
      <c r="V56" s="100">
        <v>1</v>
      </c>
      <c r="W56" s="100">
        <v>1</v>
      </c>
      <c r="X56" s="102">
        <v>213</v>
      </c>
      <c r="Y56" s="101">
        <v>116</v>
      </c>
      <c r="Z56" s="101">
        <v>15</v>
      </c>
      <c r="AA56" s="103">
        <f t="shared" si="18"/>
        <v>1</v>
      </c>
      <c r="AB56" s="100">
        <v>19</v>
      </c>
      <c r="AC56" s="101">
        <f t="shared" si="19"/>
        <v>8.3333333333333321</v>
      </c>
      <c r="AD56" s="101">
        <v>4</v>
      </c>
      <c r="AE56" s="101">
        <v>10</v>
      </c>
      <c r="AF56" s="101">
        <v>39</v>
      </c>
      <c r="AG56" s="101">
        <f t="shared" si="20"/>
        <v>5.6</v>
      </c>
      <c r="AH56" s="101">
        <f t="shared" si="21"/>
        <v>17.93333333333333</v>
      </c>
      <c r="AI56" s="101">
        <v>11</v>
      </c>
      <c r="AJ56" s="104">
        <f t="shared" si="6"/>
        <v>1</v>
      </c>
      <c r="AK56" s="101">
        <f t="shared" si="7"/>
        <v>32.493333333333325</v>
      </c>
      <c r="AL56" s="50">
        <f t="shared" si="8"/>
        <v>1</v>
      </c>
      <c r="AM56" s="97" t="str">
        <f t="shared" si="9"/>
        <v>Sudeep Pharma</v>
      </c>
      <c r="AN56" s="100">
        <v>25</v>
      </c>
      <c r="AO56" s="99">
        <f t="shared" si="15"/>
        <v>1</v>
      </c>
      <c r="AP56" s="100">
        <f t="shared" si="10"/>
        <v>1</v>
      </c>
      <c r="AQ56" s="100">
        <v>1</v>
      </c>
      <c r="AR56" s="100">
        <f t="shared" si="11"/>
        <v>1</v>
      </c>
      <c r="AS56" s="101">
        <v>593</v>
      </c>
      <c r="AT56" s="101">
        <v>500</v>
      </c>
      <c r="AU56" s="101">
        <v>665</v>
      </c>
      <c r="AV56" s="101">
        <f t="shared" si="22"/>
        <v>582.5</v>
      </c>
      <c r="AW56" s="101">
        <v>730</v>
      </c>
      <c r="AX56" s="101">
        <f t="shared" si="25"/>
        <v>635.16666666666663</v>
      </c>
      <c r="AY56" s="52">
        <f t="shared" si="23"/>
        <v>12.141652613827993</v>
      </c>
      <c r="AZ56" s="52">
        <f t="shared" si="24"/>
        <v>2</v>
      </c>
      <c r="BB56" s="52">
        <v>774</v>
      </c>
    </row>
    <row r="57" spans="1:57" ht="12.75" customHeight="1">
      <c r="B57" s="98" t="s">
        <v>570</v>
      </c>
      <c r="C57" s="50">
        <v>2025</v>
      </c>
      <c r="D57" s="50">
        <v>1</v>
      </c>
      <c r="E57" s="100">
        <v>437.04</v>
      </c>
      <c r="F57" s="100">
        <v>716.92</v>
      </c>
      <c r="G57" s="100">
        <f t="shared" si="16"/>
        <v>39.039223344306194</v>
      </c>
      <c r="H57" s="100">
        <v>1859.84</v>
      </c>
      <c r="I57" s="100">
        <v>-102.35</v>
      </c>
      <c r="J57" s="100"/>
      <c r="K57" s="100">
        <v>-1.8</v>
      </c>
      <c r="L57" s="100"/>
      <c r="M57" s="50">
        <v>107.97</v>
      </c>
      <c r="N57" s="50"/>
      <c r="O57" s="100">
        <v>924.61</v>
      </c>
      <c r="P57" s="100">
        <f t="shared" si="17"/>
        <v>-9.0338055691255494</v>
      </c>
      <c r="Q57" s="100">
        <v>46</v>
      </c>
      <c r="R57" s="100">
        <v>46</v>
      </c>
      <c r="S57" s="100">
        <v>-0.5</v>
      </c>
      <c r="T57" s="100"/>
      <c r="U57" s="100"/>
      <c r="V57" s="100">
        <v>1</v>
      </c>
      <c r="W57" s="100">
        <v>1</v>
      </c>
      <c r="X57" s="105">
        <v>20</v>
      </c>
      <c r="Y57" s="50">
        <v>20</v>
      </c>
      <c r="Z57" s="50">
        <v>20</v>
      </c>
      <c r="AA57" s="103">
        <f t="shared" si="18"/>
        <v>1</v>
      </c>
      <c r="AB57" s="100">
        <v>35</v>
      </c>
      <c r="AC57" s="101">
        <f t="shared" si="19"/>
        <v>14.666666666666666</v>
      </c>
      <c r="AD57" s="50">
        <v>-620</v>
      </c>
      <c r="AE57" s="50">
        <v>-4</v>
      </c>
      <c r="AF57" s="50">
        <v>-12</v>
      </c>
      <c r="AG57" s="101">
        <f t="shared" si="20"/>
        <v>5.3</v>
      </c>
      <c r="AH57" s="101">
        <f t="shared" si="21"/>
        <v>23.966666666666669</v>
      </c>
      <c r="AI57" s="101">
        <v>11</v>
      </c>
      <c r="AJ57" s="104">
        <f t="shared" si="6"/>
        <v>1</v>
      </c>
      <c r="AK57" s="101">
        <f t="shared" si="7"/>
        <v>37.74666666666667</v>
      </c>
      <c r="AL57" s="50">
        <f t="shared" si="8"/>
        <v>1</v>
      </c>
      <c r="AM57" s="97" t="str">
        <f t="shared" si="9"/>
        <v>Aequs</v>
      </c>
      <c r="AN57" s="131">
        <v>5</v>
      </c>
      <c r="AO57" s="99">
        <f t="shared" si="15"/>
        <v>1</v>
      </c>
      <c r="AP57" s="132">
        <f t="shared" si="10"/>
        <v>2</v>
      </c>
      <c r="AQ57" s="132">
        <v>1</v>
      </c>
      <c r="AR57" s="132">
        <f t="shared" si="11"/>
        <v>1</v>
      </c>
      <c r="AS57" s="130">
        <v>124</v>
      </c>
      <c r="AT57" s="130">
        <v>33</v>
      </c>
      <c r="AU57" s="130">
        <v>43</v>
      </c>
      <c r="AV57" s="133">
        <f t="shared" si="22"/>
        <v>38</v>
      </c>
      <c r="AW57" s="130">
        <v>140</v>
      </c>
      <c r="AX57" s="101">
        <f t="shared" si="25"/>
        <v>100.66666666666667</v>
      </c>
      <c r="AY57" s="52">
        <f t="shared" si="23"/>
        <v>-65.322580645161295</v>
      </c>
      <c r="AZ57" s="52">
        <f t="shared" si="24"/>
        <v>-4</v>
      </c>
      <c r="BB57" s="52">
        <v>151</v>
      </c>
    </row>
    <row r="58" spans="1:57" ht="12.75" customHeight="1">
      <c r="B58" s="98" t="s">
        <v>571</v>
      </c>
      <c r="C58" s="50">
        <v>2025</v>
      </c>
      <c r="D58" s="50">
        <v>1</v>
      </c>
      <c r="E58" s="100">
        <v>0</v>
      </c>
      <c r="F58" s="100">
        <v>1203.6199999999999</v>
      </c>
      <c r="G58" s="100">
        <f t="shared" si="16"/>
        <v>100</v>
      </c>
      <c r="H58" s="100">
        <v>7226.09</v>
      </c>
      <c r="I58" s="100">
        <v>-3941.71</v>
      </c>
      <c r="J58" s="100"/>
      <c r="K58" s="100">
        <v>-9.98</v>
      </c>
      <c r="L58" s="100"/>
      <c r="M58" s="50">
        <v>-593.76</v>
      </c>
      <c r="N58" s="50"/>
      <c r="O58" s="100">
        <v>10015.48</v>
      </c>
      <c r="P58" s="100">
        <f t="shared" si="17"/>
        <v>-2.5408972248085222</v>
      </c>
      <c r="Q58" s="100">
        <v>56</v>
      </c>
      <c r="R58" s="100">
        <v>56</v>
      </c>
      <c r="S58" s="100">
        <v>-0.5</v>
      </c>
      <c r="T58" s="100"/>
      <c r="U58" s="100"/>
      <c r="V58" s="100">
        <v>1</v>
      </c>
      <c r="W58" s="100">
        <v>1</v>
      </c>
      <c r="X58" s="105">
        <v>20</v>
      </c>
      <c r="Y58" s="50">
        <v>20</v>
      </c>
      <c r="Z58" s="50">
        <v>20</v>
      </c>
      <c r="AA58" s="103">
        <f t="shared" si="18"/>
        <v>1</v>
      </c>
      <c r="AB58" s="100">
        <v>38</v>
      </c>
      <c r="AC58" s="101">
        <f t="shared" si="19"/>
        <v>15.666666666666666</v>
      </c>
      <c r="AD58" s="50">
        <v>-1103</v>
      </c>
      <c r="AE58" s="50">
        <v>23</v>
      </c>
      <c r="AF58" s="50">
        <v>11.11</v>
      </c>
      <c r="AG58" s="101">
        <f t="shared" si="20"/>
        <v>6.3</v>
      </c>
      <c r="AH58" s="101">
        <f t="shared" si="21"/>
        <v>26.966666666666669</v>
      </c>
      <c r="AI58" s="101">
        <v>11</v>
      </c>
      <c r="AJ58" s="104">
        <f t="shared" si="6"/>
        <v>1</v>
      </c>
      <c r="AK58" s="101">
        <f t="shared" si="7"/>
        <v>43.346666666666664</v>
      </c>
      <c r="AL58" s="50">
        <f t="shared" si="8"/>
        <v>1</v>
      </c>
      <c r="AM58" s="97" t="str">
        <f t="shared" si="9"/>
        <v>Meesho</v>
      </c>
      <c r="AN58" s="131">
        <v>5</v>
      </c>
      <c r="AO58" s="99">
        <f t="shared" si="15"/>
        <v>1</v>
      </c>
      <c r="AP58" s="132">
        <f t="shared" si="10"/>
        <v>2</v>
      </c>
      <c r="AQ58" s="132">
        <v>1</v>
      </c>
      <c r="AR58" s="132">
        <f t="shared" si="11"/>
        <v>1</v>
      </c>
      <c r="AS58" s="130">
        <v>111</v>
      </c>
      <c r="AT58" s="130">
        <v>94</v>
      </c>
      <c r="AU58" s="130">
        <v>136</v>
      </c>
      <c r="AV58" s="133">
        <f t="shared" si="22"/>
        <v>115</v>
      </c>
      <c r="AW58" s="130">
        <v>162</v>
      </c>
      <c r="AX58" s="101">
        <f t="shared" si="25"/>
        <v>129.33333333333334</v>
      </c>
      <c r="AY58" s="52">
        <f t="shared" si="23"/>
        <v>22.522522522522522</v>
      </c>
      <c r="AZ58" s="52">
        <f t="shared" si="24"/>
        <v>2.5</v>
      </c>
      <c r="BB58" s="52">
        <v>170</v>
      </c>
    </row>
    <row r="59" spans="1:57" ht="12.75" customHeight="1">
      <c r="A59" s="52" t="s">
        <v>572</v>
      </c>
      <c r="B59" s="98" t="s">
        <v>573</v>
      </c>
      <c r="C59" s="50">
        <v>2025</v>
      </c>
      <c r="D59" s="50">
        <v>1</v>
      </c>
      <c r="E59" s="100">
        <v>146.38</v>
      </c>
      <c r="F59" s="100">
        <v>166.34</v>
      </c>
      <c r="G59" s="100">
        <f t="shared" si="16"/>
        <v>11.999519057352416</v>
      </c>
      <c r="H59" s="100">
        <v>331.33</v>
      </c>
      <c r="I59" s="100">
        <v>40.869999999999997</v>
      </c>
      <c r="J59" s="100"/>
      <c r="K59" s="100">
        <v>2.5499999999999998</v>
      </c>
      <c r="L59" s="100"/>
      <c r="M59" s="50">
        <v>64.45</v>
      </c>
      <c r="N59" s="50"/>
      <c r="O59" s="100">
        <v>1491.45</v>
      </c>
      <c r="P59" s="100">
        <f t="shared" si="17"/>
        <v>36.492537313432841</v>
      </c>
      <c r="Q59" s="100">
        <v>20.39</v>
      </c>
      <c r="R59" s="100">
        <v>20.39</v>
      </c>
      <c r="S59" s="100">
        <v>-0.5</v>
      </c>
      <c r="T59" s="100"/>
      <c r="U59" s="100"/>
      <c r="V59" s="100">
        <v>1</v>
      </c>
      <c r="W59" s="100">
        <v>1</v>
      </c>
      <c r="X59" s="105">
        <v>6</v>
      </c>
      <c r="Y59" s="50">
        <v>55</v>
      </c>
      <c r="Z59" s="50">
        <v>30</v>
      </c>
      <c r="AA59" s="103">
        <f t="shared" si="18"/>
        <v>-1</v>
      </c>
      <c r="AB59" s="100">
        <v>19</v>
      </c>
      <c r="AC59" s="101">
        <f t="shared" si="19"/>
        <v>8.3333333333333321</v>
      </c>
      <c r="AD59" s="50">
        <v>59</v>
      </c>
      <c r="AE59" s="50">
        <v>25</v>
      </c>
      <c r="AF59" s="50">
        <v>60</v>
      </c>
      <c r="AG59" s="101">
        <f t="shared" si="20"/>
        <v>4.7</v>
      </c>
      <c r="AH59" s="101">
        <f t="shared" si="21"/>
        <v>14.033333333333331</v>
      </c>
      <c r="AI59" s="101">
        <v>11</v>
      </c>
      <c r="AJ59" s="104">
        <f t="shared" si="6"/>
        <v>1</v>
      </c>
      <c r="AK59" s="101">
        <f t="shared" si="7"/>
        <v>26.25333333333333</v>
      </c>
      <c r="AL59" s="50">
        <f t="shared" si="8"/>
        <v>1</v>
      </c>
      <c r="AM59" s="97" t="str">
        <f t="shared" si="9"/>
        <v>Vidya Wires</v>
      </c>
      <c r="AN59" s="106">
        <v>5</v>
      </c>
      <c r="AO59" s="99">
        <f t="shared" si="15"/>
        <v>1</v>
      </c>
      <c r="AP59" s="100">
        <f t="shared" si="10"/>
        <v>1</v>
      </c>
      <c r="AQ59" s="100">
        <v>1</v>
      </c>
      <c r="AR59" s="100">
        <f t="shared" si="11"/>
        <v>1</v>
      </c>
      <c r="AS59" s="50">
        <v>52</v>
      </c>
      <c r="AT59" s="50">
        <v>50</v>
      </c>
      <c r="AU59" s="50">
        <v>67</v>
      </c>
      <c r="AV59" s="101">
        <f t="shared" si="22"/>
        <v>58.5</v>
      </c>
      <c r="AW59" s="50">
        <v>52</v>
      </c>
      <c r="AX59" s="101">
        <f t="shared" si="25"/>
        <v>54.166666666666664</v>
      </c>
      <c r="AY59" s="52">
        <f t="shared" si="23"/>
        <v>28.846153846153847</v>
      </c>
      <c r="AZ59" s="52">
        <f t="shared" si="24"/>
        <v>2.5</v>
      </c>
      <c r="BC59" s="52">
        <v>54</v>
      </c>
    </row>
    <row r="60" spans="1:57" ht="12.75" customHeight="1">
      <c r="A60" s="52" t="s">
        <v>574</v>
      </c>
      <c r="B60" s="98" t="s">
        <v>575</v>
      </c>
      <c r="C60" s="50">
        <v>2025</v>
      </c>
      <c r="D60" s="50">
        <v>1</v>
      </c>
      <c r="E60" s="100">
        <v>0</v>
      </c>
      <c r="F60" s="100">
        <v>520</v>
      </c>
      <c r="G60" s="100">
        <f t="shared" si="16"/>
        <v>100</v>
      </c>
      <c r="H60" s="100">
        <v>1050</v>
      </c>
      <c r="I60" s="100">
        <v>-35</v>
      </c>
      <c r="J60" s="100"/>
      <c r="K60" s="100"/>
      <c r="L60" s="100"/>
      <c r="M60" s="50">
        <v>90.83</v>
      </c>
      <c r="N60" s="50"/>
      <c r="O60" s="100">
        <v>1305</v>
      </c>
      <c r="P60" s="100">
        <f t="shared" si="17"/>
        <v>-37.285714285714285</v>
      </c>
      <c r="Q60" s="100">
        <v>50</v>
      </c>
      <c r="R60" s="100">
        <v>50</v>
      </c>
      <c r="S60" s="100">
        <v>0</v>
      </c>
      <c r="T60" s="100"/>
      <c r="U60" s="100"/>
      <c r="V60" s="100">
        <v>1</v>
      </c>
      <c r="W60" s="100">
        <v>1</v>
      </c>
      <c r="X60" s="105">
        <v>2.25</v>
      </c>
      <c r="Y60" s="50">
        <v>0.82</v>
      </c>
      <c r="Z60" s="50">
        <v>2.76</v>
      </c>
      <c r="AA60" s="103">
        <f t="shared" si="18"/>
        <v>1</v>
      </c>
      <c r="AB60" s="100">
        <v>0</v>
      </c>
      <c r="AC60" s="101">
        <f t="shared" si="19"/>
        <v>0</v>
      </c>
      <c r="AD60" s="50">
        <v>-132.44999999999999</v>
      </c>
      <c r="AE60" s="50">
        <v>35.33</v>
      </c>
      <c r="AF60" s="50">
        <v>-4.2</v>
      </c>
      <c r="AG60" s="101">
        <f t="shared" si="20"/>
        <v>6.8</v>
      </c>
      <c r="AH60" s="101">
        <f t="shared" si="21"/>
        <v>9.8000000000000007</v>
      </c>
      <c r="AI60" s="101">
        <v>11</v>
      </c>
      <c r="AJ60" s="104">
        <f t="shared" si="6"/>
        <v>1</v>
      </c>
      <c r="AK60" s="101">
        <f t="shared" si="7"/>
        <v>27.48</v>
      </c>
      <c r="AL60" s="50">
        <f t="shared" si="8"/>
        <v>1</v>
      </c>
      <c r="AM60" s="97" t="str">
        <f t="shared" si="9"/>
        <v>Wakefit Innovations</v>
      </c>
      <c r="AN60" s="106">
        <v>10</v>
      </c>
      <c r="AO60" s="99">
        <f t="shared" si="15"/>
        <v>1</v>
      </c>
      <c r="AP60" s="100">
        <f t="shared" si="10"/>
        <v>3</v>
      </c>
      <c r="AQ60" s="100">
        <v>1</v>
      </c>
      <c r="AR60" s="100">
        <f t="shared" si="11"/>
        <v>1</v>
      </c>
      <c r="AS60" s="50">
        <v>195</v>
      </c>
      <c r="AT60" s="50">
        <v>109</v>
      </c>
      <c r="AU60" s="50">
        <v>131</v>
      </c>
      <c r="AV60" s="101">
        <f t="shared" si="22"/>
        <v>120</v>
      </c>
      <c r="AW60" s="50">
        <v>195</v>
      </c>
      <c r="AX60" s="101">
        <f t="shared" si="25"/>
        <v>170</v>
      </c>
      <c r="AY60" s="52">
        <f t="shared" si="23"/>
        <v>-32.820512820512818</v>
      </c>
      <c r="AZ60" s="52">
        <f t="shared" si="24"/>
        <v>-2</v>
      </c>
    </row>
    <row r="61" spans="1:57" ht="12.75" customHeight="1">
      <c r="B61" s="98" t="s">
        <v>576</v>
      </c>
      <c r="C61" s="50">
        <v>2025</v>
      </c>
      <c r="D61" s="50">
        <v>1</v>
      </c>
      <c r="E61" s="100">
        <v>0</v>
      </c>
      <c r="F61" s="100">
        <v>3516.94</v>
      </c>
      <c r="G61" s="100">
        <f t="shared" si="16"/>
        <v>100</v>
      </c>
      <c r="H61" s="100">
        <v>4383.68</v>
      </c>
      <c r="I61" s="100">
        <v>2650.66</v>
      </c>
      <c r="J61" s="100"/>
      <c r="K61" s="100">
        <v>53.63</v>
      </c>
      <c r="L61" s="100"/>
      <c r="M61" s="50">
        <v>3636.99</v>
      </c>
      <c r="N61" s="50"/>
      <c r="O61" s="100">
        <v>4979.67</v>
      </c>
      <c r="P61" s="100">
        <f t="shared" si="17"/>
        <v>1.8786528638150499</v>
      </c>
      <c r="Q61" s="100">
        <v>40.369999999999997</v>
      </c>
      <c r="R61" s="100">
        <v>40.369999999999997</v>
      </c>
      <c r="S61" s="100">
        <v>0</v>
      </c>
      <c r="T61" s="100"/>
      <c r="U61" s="100"/>
      <c r="V61" s="100">
        <v>1</v>
      </c>
      <c r="W61" s="100">
        <v>1</v>
      </c>
      <c r="X61" s="105">
        <v>21.59</v>
      </c>
      <c r="Y61" s="50">
        <v>16.75</v>
      </c>
      <c r="Z61" s="50">
        <v>2.77</v>
      </c>
      <c r="AA61" s="103">
        <f t="shared" si="18"/>
        <v>1</v>
      </c>
      <c r="AB61" s="100">
        <v>15.52</v>
      </c>
      <c r="AC61" s="101">
        <f t="shared" si="19"/>
        <v>7.1733333333333329</v>
      </c>
      <c r="AD61" s="50">
        <v>100</v>
      </c>
      <c r="AE61" s="50">
        <v>32</v>
      </c>
      <c r="AF61" s="50">
        <v>10.97</v>
      </c>
      <c r="AG61" s="101">
        <f t="shared" si="20"/>
        <v>7.1</v>
      </c>
      <c r="AH61" s="101">
        <f t="shared" si="21"/>
        <v>19.273333333333333</v>
      </c>
      <c r="AI61" s="101">
        <v>11</v>
      </c>
      <c r="AJ61" s="104">
        <f t="shared" si="6"/>
        <v>1</v>
      </c>
      <c r="AK61" s="101">
        <f t="shared" si="7"/>
        <v>37.733333333333334</v>
      </c>
      <c r="AL61" s="50">
        <f t="shared" si="8"/>
        <v>1</v>
      </c>
      <c r="AM61" s="97" t="str">
        <f t="shared" si="9"/>
        <v>ICICI Prudential AMC</v>
      </c>
      <c r="AN61" s="106">
        <v>16</v>
      </c>
      <c r="AO61" s="99">
        <f t="shared" si="15"/>
        <v>1</v>
      </c>
      <c r="AP61" s="100">
        <f t="shared" si="10"/>
        <v>2</v>
      </c>
      <c r="AQ61" s="100">
        <v>1</v>
      </c>
      <c r="AR61" s="100">
        <f t="shared" si="11"/>
        <v>1</v>
      </c>
      <c r="AS61" s="50">
        <v>2165</v>
      </c>
      <c r="AT61" s="50">
        <v>2618</v>
      </c>
      <c r="AU61" s="50">
        <v>3273</v>
      </c>
      <c r="AV61" s="101">
        <f t="shared" si="22"/>
        <v>2945.5</v>
      </c>
      <c r="AW61" s="50">
        <v>2600</v>
      </c>
      <c r="AX61" s="101">
        <f t="shared" si="25"/>
        <v>2570.1666666666665</v>
      </c>
      <c r="AY61" s="52">
        <f t="shared" si="23"/>
        <v>51.177829099307161</v>
      </c>
      <c r="AZ61" s="52">
        <f t="shared" si="24"/>
        <v>2.5</v>
      </c>
    </row>
    <row r="62" spans="1:57" ht="12.75" customHeight="1">
      <c r="B62" s="98" t="s">
        <v>577</v>
      </c>
      <c r="C62" s="50">
        <v>2025</v>
      </c>
      <c r="D62" s="50">
        <v>0</v>
      </c>
      <c r="E62" s="100">
        <v>360.05</v>
      </c>
      <c r="F62" s="100">
        <v>298.55</v>
      </c>
      <c r="G62" s="100">
        <f t="shared" si="16"/>
        <v>-20.599564562049906</v>
      </c>
      <c r="H62" s="100">
        <v>744.91</v>
      </c>
      <c r="I62" s="100">
        <v>67.989999999999995</v>
      </c>
      <c r="J62" s="100"/>
      <c r="K62" s="100">
        <v>11.97</v>
      </c>
      <c r="L62" s="100"/>
      <c r="M62" s="50">
        <v>122.53</v>
      </c>
      <c r="N62" s="50"/>
      <c r="O62" s="100">
        <v>1938.19</v>
      </c>
      <c r="P62" s="100">
        <f t="shared" si="17"/>
        <v>28.506986321517875</v>
      </c>
      <c r="Q62" s="100">
        <v>32</v>
      </c>
      <c r="R62" s="100">
        <v>32</v>
      </c>
      <c r="S62" s="100">
        <v>0</v>
      </c>
      <c r="T62" s="100"/>
      <c r="U62" s="100"/>
      <c r="V62" s="100">
        <v>1</v>
      </c>
      <c r="W62" s="100">
        <v>1</v>
      </c>
      <c r="X62" s="105">
        <v>1.1200000000000001</v>
      </c>
      <c r="Y62" s="50">
        <v>0.44</v>
      </c>
      <c r="Z62" s="50">
        <v>0.91</v>
      </c>
      <c r="AA62" s="103">
        <f t="shared" si="18"/>
        <v>1</v>
      </c>
      <c r="AB62" s="100">
        <v>0</v>
      </c>
      <c r="AC62" s="101">
        <f t="shared" si="19"/>
        <v>0</v>
      </c>
      <c r="AD62" s="50">
        <v>78.959999999999994</v>
      </c>
      <c r="AE62" s="50">
        <v>82</v>
      </c>
      <c r="AF62" s="50">
        <v>39</v>
      </c>
      <c r="AG62" s="101">
        <f t="shared" si="20"/>
        <v>4</v>
      </c>
      <c r="AH62" s="101">
        <f t="shared" si="21"/>
        <v>5</v>
      </c>
      <c r="AI62" s="101">
        <v>11</v>
      </c>
      <c r="AJ62" s="104">
        <f t="shared" si="6"/>
        <v>1</v>
      </c>
      <c r="AK62" s="101">
        <f t="shared" si="7"/>
        <v>15.4</v>
      </c>
      <c r="AL62" s="50">
        <f t="shared" si="8"/>
        <v>0</v>
      </c>
      <c r="AM62" s="97" t="str">
        <f t="shared" si="9"/>
        <v>KSH International</v>
      </c>
      <c r="AN62" s="106">
        <v>18</v>
      </c>
      <c r="AO62" s="99">
        <f t="shared" si="15"/>
        <v>0</v>
      </c>
      <c r="AP62" s="100">
        <f t="shared" si="10"/>
        <v>0</v>
      </c>
      <c r="AQ62" s="100">
        <v>1</v>
      </c>
      <c r="AR62" s="100">
        <f t="shared" si="11"/>
        <v>5</v>
      </c>
      <c r="AS62" s="50">
        <v>384</v>
      </c>
      <c r="AT62" s="50">
        <v>295</v>
      </c>
      <c r="AU62" s="50">
        <v>335</v>
      </c>
      <c r="AV62" s="101">
        <f t="shared" si="22"/>
        <v>315</v>
      </c>
      <c r="AW62" s="50">
        <v>370</v>
      </c>
      <c r="AX62" s="101">
        <f t="shared" si="25"/>
        <v>356.33333333333331</v>
      </c>
      <c r="AY62" s="52">
        <f t="shared" si="23"/>
        <v>-12.760416666666666</v>
      </c>
      <c r="AZ62" s="52">
        <f t="shared" si="24"/>
        <v>-1</v>
      </c>
    </row>
    <row r="63" spans="1:57" ht="12.75" customHeight="1">
      <c r="B63" s="98" t="s">
        <v>578</v>
      </c>
      <c r="C63" s="50">
        <v>2025</v>
      </c>
      <c r="D63" s="50">
        <v>1</v>
      </c>
      <c r="E63" s="100">
        <v>3.88</v>
      </c>
      <c r="F63" s="100">
        <v>25.71</v>
      </c>
      <c r="G63" s="100">
        <f t="shared" si="16"/>
        <v>84.908595877090619</v>
      </c>
      <c r="H63" s="100">
        <v>55.34</v>
      </c>
      <c r="I63" s="100">
        <v>9.5</v>
      </c>
      <c r="J63" s="100"/>
      <c r="K63" s="100">
        <v>1.85</v>
      </c>
      <c r="L63" s="100"/>
      <c r="M63" s="50">
        <v>16.55</v>
      </c>
      <c r="N63" s="50"/>
      <c r="O63" s="50">
        <v>40.4</v>
      </c>
      <c r="P63" s="100">
        <f t="shared" si="17"/>
        <v>4.2526315789473683</v>
      </c>
      <c r="Q63" s="100">
        <v>62</v>
      </c>
      <c r="R63" s="100">
        <v>62</v>
      </c>
      <c r="S63" s="100">
        <v>0</v>
      </c>
      <c r="T63" s="100"/>
      <c r="U63" s="100"/>
      <c r="V63" s="100">
        <v>1</v>
      </c>
      <c r="W63" s="100">
        <v>1</v>
      </c>
      <c r="X63" s="105">
        <v>1.06</v>
      </c>
      <c r="Y63" s="50">
        <v>5.73</v>
      </c>
      <c r="Z63" s="50">
        <v>19.04</v>
      </c>
      <c r="AA63" s="103">
        <f t="shared" si="18"/>
        <v>-1</v>
      </c>
      <c r="AB63" s="100">
        <v>0</v>
      </c>
      <c r="AC63" s="101">
        <f t="shared" si="19"/>
        <v>0</v>
      </c>
      <c r="AD63" s="50">
        <v>454</v>
      </c>
      <c r="AE63" s="50">
        <v>637</v>
      </c>
      <c r="AF63" s="50">
        <v>138</v>
      </c>
      <c r="AG63" s="101">
        <f t="shared" si="20"/>
        <v>8.1</v>
      </c>
      <c r="AH63" s="101">
        <f t="shared" si="21"/>
        <v>9.1</v>
      </c>
      <c r="AI63" s="101">
        <v>11</v>
      </c>
      <c r="AJ63" s="104">
        <f t="shared" si="6"/>
        <v>1</v>
      </c>
      <c r="AK63" s="101">
        <f t="shared" si="7"/>
        <v>30.159999999999997</v>
      </c>
      <c r="AL63" s="50">
        <f t="shared" si="8"/>
        <v>1</v>
      </c>
      <c r="AM63" s="97" t="str">
        <f t="shared" si="9"/>
        <v>Gujarat Kidney</v>
      </c>
      <c r="AN63" s="106">
        <v>24</v>
      </c>
      <c r="AO63" s="99">
        <f t="shared" si="15"/>
        <v>1</v>
      </c>
      <c r="AP63" s="100">
        <f t="shared" si="10"/>
        <v>3</v>
      </c>
      <c r="AQ63" s="100">
        <v>1</v>
      </c>
      <c r="AR63" s="100">
        <f t="shared" si="11"/>
        <v>1</v>
      </c>
      <c r="AS63" s="50">
        <v>114</v>
      </c>
      <c r="AT63" s="50">
        <v>76</v>
      </c>
      <c r="AU63" s="50">
        <v>94</v>
      </c>
      <c r="AV63" s="101">
        <f t="shared" si="22"/>
        <v>85</v>
      </c>
      <c r="AW63" s="50">
        <v>120</v>
      </c>
      <c r="AX63" s="101">
        <f t="shared" si="25"/>
        <v>106.33333333333333</v>
      </c>
      <c r="AY63" s="52">
        <f t="shared" si="23"/>
        <v>-17.543859649122808</v>
      </c>
      <c r="AZ63" s="52">
        <f t="shared" si="24"/>
        <v>-1</v>
      </c>
      <c r="BB63" s="52">
        <v>121</v>
      </c>
    </row>
    <row r="64" spans="1:57" ht="12.75" customHeight="1">
      <c r="A64" s="52" t="s">
        <v>579</v>
      </c>
      <c r="B64" s="62" t="s">
        <v>580</v>
      </c>
      <c r="C64" s="52" t="s">
        <v>159</v>
      </c>
      <c r="D64" s="50">
        <v>1</v>
      </c>
      <c r="E64" s="52">
        <v>0</v>
      </c>
      <c r="F64" s="52">
        <v>6551.23</v>
      </c>
      <c r="G64" s="100">
        <f t="shared" si="16"/>
        <v>100</v>
      </c>
      <c r="H64" s="52">
        <v>17283.48</v>
      </c>
      <c r="I64" s="52">
        <v>1240.19</v>
      </c>
      <c r="J64" s="52">
        <v>1.96</v>
      </c>
      <c r="K64" s="52">
        <v>2.66</v>
      </c>
      <c r="L64" s="52">
        <v>0</v>
      </c>
      <c r="M64" s="52">
        <v>2356.06</v>
      </c>
      <c r="N64" s="52">
        <v>7.29</v>
      </c>
      <c r="O64" s="52">
        <v>14401.63</v>
      </c>
      <c r="P64" s="100">
        <f t="shared" si="17"/>
        <v>11.612438416694214</v>
      </c>
      <c r="Q64" s="52">
        <v>8.64</v>
      </c>
      <c r="R64" s="52">
        <v>43.23</v>
      </c>
      <c r="S64" s="100">
        <v>0</v>
      </c>
      <c r="T64" s="52">
        <v>1068.78</v>
      </c>
      <c r="U64" s="52">
        <v>0</v>
      </c>
      <c r="V64" s="52">
        <v>1</v>
      </c>
      <c r="W64" s="52">
        <v>1</v>
      </c>
      <c r="X64" s="52">
        <v>310.81</v>
      </c>
      <c r="Y64" s="52">
        <v>240.49</v>
      </c>
      <c r="Z64" s="52">
        <v>49.37</v>
      </c>
      <c r="AA64" s="103">
        <f t="shared" si="18"/>
        <v>1</v>
      </c>
      <c r="AB64" s="52">
        <v>80</v>
      </c>
      <c r="AC64" s="101">
        <f t="shared" si="19"/>
        <v>29.666666666666668</v>
      </c>
      <c r="AD64" s="52">
        <v>-20.73</v>
      </c>
      <c r="AE64" s="52">
        <v>-1.71</v>
      </c>
      <c r="AF64" s="52">
        <v>22.33</v>
      </c>
      <c r="AG64" s="101">
        <f t="shared" si="20"/>
        <v>4.0999999999999996</v>
      </c>
      <c r="AH64" s="101">
        <f t="shared" si="21"/>
        <v>37.766666666666666</v>
      </c>
      <c r="AI64" s="101">
        <v>11</v>
      </c>
      <c r="AJ64" s="104">
        <f t="shared" si="6"/>
        <v>1</v>
      </c>
      <c r="AK64" s="101">
        <f t="shared" si="7"/>
        <v>48.426666666666662</v>
      </c>
      <c r="AL64" s="50">
        <f t="shared" si="8"/>
        <v>1</v>
      </c>
      <c r="AM64" s="97" t="str">
        <f t="shared" si="9"/>
        <v>Bharat Coking Coal D</v>
      </c>
      <c r="AN64" s="52">
        <v>13</v>
      </c>
      <c r="AO64" s="99">
        <f t="shared" si="15"/>
        <v>1</v>
      </c>
      <c r="AP64" s="100">
        <f t="shared" si="10"/>
        <v>1</v>
      </c>
      <c r="AQ64" s="100">
        <v>1</v>
      </c>
      <c r="AR64" s="100">
        <f t="shared" si="11"/>
        <v>1</v>
      </c>
      <c r="AS64" s="52">
        <v>23</v>
      </c>
      <c r="AT64" s="52">
        <v>18</v>
      </c>
      <c r="AU64" s="52">
        <v>19</v>
      </c>
      <c r="AV64" s="101">
        <f t="shared" si="22"/>
        <v>18.5</v>
      </c>
      <c r="AW64" s="52">
        <v>45</v>
      </c>
      <c r="AX64" s="101">
        <f t="shared" si="25"/>
        <v>28.833333333333332</v>
      </c>
      <c r="AY64" s="52">
        <f t="shared" si="23"/>
        <v>-17.391304347826086</v>
      </c>
      <c r="AZ64" s="52">
        <f t="shared" si="24"/>
        <v>-1</v>
      </c>
      <c r="BB64" s="52">
        <v>466</v>
      </c>
    </row>
    <row r="65" spans="1:54" ht="12.75" customHeight="1">
      <c r="A65" s="52" t="s">
        <v>581</v>
      </c>
      <c r="B65" s="62" t="s">
        <v>582</v>
      </c>
      <c r="C65" s="52" t="s">
        <v>159</v>
      </c>
      <c r="D65" s="50">
        <v>1</v>
      </c>
      <c r="E65" s="52">
        <v>0</v>
      </c>
      <c r="F65" s="52">
        <v>509.45</v>
      </c>
      <c r="G65" s="100">
        <f t="shared" si="16"/>
        <v>100</v>
      </c>
      <c r="H65" s="52">
        <v>1425</v>
      </c>
      <c r="I65" s="52">
        <v>-68.709999999999994</v>
      </c>
      <c r="J65" s="52">
        <v>0.88</v>
      </c>
      <c r="K65" s="52">
        <v>-3.55</v>
      </c>
      <c r="L65" s="52">
        <v>0</v>
      </c>
      <c r="M65" s="52">
        <v>23.49</v>
      </c>
      <c r="N65" s="52">
        <v>8.26</v>
      </c>
      <c r="O65" s="52">
        <v>1223.31</v>
      </c>
      <c r="P65" s="100">
        <f t="shared" si="17"/>
        <v>-17.803958666860719</v>
      </c>
      <c r="Q65" s="52">
        <v>-101.78</v>
      </c>
      <c r="R65" s="52">
        <v>603.54</v>
      </c>
      <c r="S65" s="100">
        <v>0</v>
      </c>
      <c r="T65" s="52">
        <v>1788.62</v>
      </c>
      <c r="U65" s="52">
        <v>972.62</v>
      </c>
      <c r="V65" s="52">
        <v>1</v>
      </c>
      <c r="W65" s="52">
        <v>1</v>
      </c>
      <c r="X65" s="52">
        <v>33.130000000000003</v>
      </c>
      <c r="Y65" s="52">
        <v>38.26</v>
      </c>
      <c r="Z65" s="52">
        <v>9.5399999999999991</v>
      </c>
      <c r="AA65" s="103">
        <f t="shared" si="18"/>
        <v>1</v>
      </c>
      <c r="AB65" s="52">
        <v>0.23499999999999999</v>
      </c>
      <c r="AC65" s="101">
        <f t="shared" si="19"/>
        <v>7.8333333333333324E-2</v>
      </c>
      <c r="AD65" s="52">
        <v>-71.959999999999994</v>
      </c>
      <c r="AE65" s="52">
        <v>29.83</v>
      </c>
      <c r="AF65" s="52">
        <v>2.5499999999999998</v>
      </c>
      <c r="AG65" s="101">
        <f t="shared" si="20"/>
        <v>5.8</v>
      </c>
      <c r="AH65" s="101">
        <f t="shared" si="21"/>
        <v>9.8783333333333339</v>
      </c>
      <c r="AI65" s="101">
        <v>11</v>
      </c>
      <c r="AJ65" s="104">
        <f t="shared" si="6"/>
        <v>1</v>
      </c>
      <c r="AK65" s="101">
        <f t="shared" si="7"/>
        <v>24.958333333333336</v>
      </c>
      <c r="AL65" s="50">
        <f t="shared" si="8"/>
        <v>1</v>
      </c>
      <c r="AM65" s="97" t="str">
        <f t="shared" si="9"/>
        <v>Amagi Media Labs Dat</v>
      </c>
      <c r="AN65" s="52">
        <v>16</v>
      </c>
      <c r="AO65" s="99">
        <f t="shared" si="15"/>
        <v>1</v>
      </c>
      <c r="AP65" s="100">
        <f t="shared" si="10"/>
        <v>1</v>
      </c>
      <c r="AQ65" s="100">
        <v>1</v>
      </c>
      <c r="AR65" s="100">
        <f t="shared" si="11"/>
        <v>1</v>
      </c>
      <c r="AS65" s="52">
        <v>361</v>
      </c>
      <c r="AT65" s="52">
        <v>380</v>
      </c>
      <c r="AU65" s="52">
        <v>415</v>
      </c>
      <c r="AV65" s="101">
        <f t="shared" si="22"/>
        <v>397.5</v>
      </c>
      <c r="AW65" s="52">
        <v>318</v>
      </c>
      <c r="AX65" s="101">
        <f t="shared" si="25"/>
        <v>358.83333333333331</v>
      </c>
      <c r="AY65" s="52">
        <f t="shared" si="23"/>
        <v>14.958448753462603</v>
      </c>
      <c r="AZ65" s="52">
        <f t="shared" si="24"/>
        <v>2</v>
      </c>
    </row>
    <row r="66" spans="1:54" ht="12.75" customHeight="1">
      <c r="A66" s="52" t="s">
        <v>583</v>
      </c>
      <c r="B66" s="62" t="s">
        <v>584</v>
      </c>
      <c r="C66" s="52" t="s">
        <v>159</v>
      </c>
      <c r="D66" s="50">
        <v>0</v>
      </c>
      <c r="E66" s="52">
        <v>132.22999999999999</v>
      </c>
      <c r="F66" s="52">
        <v>660.43</v>
      </c>
      <c r="G66" s="100">
        <f t="shared" ref="G66:G97" si="26">100*(F66-E66)/F66</f>
        <v>79.978196023802667</v>
      </c>
      <c r="H66" s="52">
        <v>1259.26</v>
      </c>
      <c r="I66" s="52">
        <v>6.06</v>
      </c>
      <c r="J66" s="52">
        <v>0</v>
      </c>
      <c r="K66" s="52">
        <v>0.12</v>
      </c>
      <c r="L66" s="52">
        <v>0</v>
      </c>
      <c r="M66" s="52">
        <v>56.19</v>
      </c>
      <c r="N66" s="52">
        <v>2.86</v>
      </c>
      <c r="O66" s="52">
        <v>2514.66</v>
      </c>
      <c r="P66" s="100">
        <f t="shared" ref="P66:P97" si="27">O66/I66</f>
        <v>414.96039603960395</v>
      </c>
      <c r="Q66" s="52">
        <v>1017.96</v>
      </c>
      <c r="R66" s="52">
        <v>170.39</v>
      </c>
      <c r="S66" s="100">
        <v>0</v>
      </c>
      <c r="T66" s="52">
        <v>1907.27</v>
      </c>
      <c r="U66" s="52">
        <v>907.27</v>
      </c>
      <c r="V66" s="52">
        <v>1</v>
      </c>
      <c r="W66" s="52">
        <v>1</v>
      </c>
      <c r="X66" s="52">
        <v>4</v>
      </c>
      <c r="Y66" s="52">
        <v>0.88</v>
      </c>
      <c r="Z66" s="52">
        <v>2.4300000000000002</v>
      </c>
      <c r="AA66" s="103">
        <f t="shared" ref="AA66:AA83" si="28">IF(X66&lt;33,IF(Y66&gt;(1.1*X66),0,1),1)+IF(Y66&gt;(4*X66),-1,0)</f>
        <v>1</v>
      </c>
      <c r="AB66" s="52">
        <v>0</v>
      </c>
      <c r="AC66" s="101">
        <f t="shared" ref="AC66:AC97" si="29">IF(AB66&gt;9,1,0)+AB66/3+IF(AB66&gt;15,1,0)+IF(AB66&gt;20,1,0)</f>
        <v>0</v>
      </c>
      <c r="AD66" s="52">
        <v>-151.01</v>
      </c>
      <c r="AE66" s="52">
        <v>32.6</v>
      </c>
      <c r="AF66" s="52">
        <v>56.58</v>
      </c>
      <c r="AG66" s="101">
        <f t="shared" ref="AG66:AG97" si="30">IF(G66&lt;0,0,1.2)+IF(G66&lt;14,0,0.9)+IF(P66&lt;0,0.7,0)+IF(P66&lt;6.5,1,0)+IF(P66&lt;23,1,0)+IF(R66&gt;80,0,1)+S66+IF(AD66&lt;20,0,1)+IF(AE66&lt;14,0,1)+IF(AF66&lt;26,0,1)</f>
        <v>4.0999999999999996</v>
      </c>
      <c r="AH66" s="101">
        <f t="shared" ref="AH66:AH97" si="31">AG66+IF(AG66&gt;6,1,0)+IF(X66&lt;17,0,1)+IF(Y66&lt;11,0,1)+IF(Z66&lt;1.35,0,1)+AC66+AA66</f>
        <v>6.1</v>
      </c>
      <c r="AI66" s="101">
        <v>13</v>
      </c>
      <c r="AJ66" s="104">
        <f t="shared" ref="AJ66:AJ129" si="32">IF(AI66&gt;12.8,IF(AI66&gt;15.8,0.95,0.98),1)</f>
        <v>0.98</v>
      </c>
      <c r="AK66" s="101">
        <f t="shared" ref="AK66:AK129" si="33">((AG66*2.6+AH66)*AJ66*AQ66)</f>
        <v>16.424799999999998</v>
      </c>
      <c r="AL66" s="50">
        <f t="shared" ref="AL66:AL129" si="34">D66</f>
        <v>0</v>
      </c>
      <c r="AM66" s="97" t="str">
        <f t="shared" ref="AM66:AM129" si="35">B66</f>
        <v>Shadowfax Technologi</v>
      </c>
      <c r="AN66" s="52">
        <v>22</v>
      </c>
      <c r="AO66" s="99">
        <f t="shared" si="15"/>
        <v>0</v>
      </c>
      <c r="AP66" s="100">
        <f t="shared" ref="AP66:AP129" si="36">IF(AK66&gt;23.2,IF(Y66&lt;300,IF(Y66&lt;35,IF(Y66&lt;8,3,2),1),0),0)</f>
        <v>0</v>
      </c>
      <c r="AQ66" s="100">
        <v>1</v>
      </c>
      <c r="AR66" s="100">
        <f t="shared" ref="AR66:AR129" si="37">IF(AO66=1,IF(AO66=AL66,1,0),5)</f>
        <v>5</v>
      </c>
      <c r="AS66" s="52">
        <v>124</v>
      </c>
      <c r="AT66" s="52">
        <v>47</v>
      </c>
      <c r="AU66" s="52">
        <v>62</v>
      </c>
      <c r="AV66" s="101">
        <f t="shared" ref="AV66:AV97" si="38">(AT66+AU66)/2</f>
        <v>54.5</v>
      </c>
      <c r="AW66" s="52">
        <v>112</v>
      </c>
      <c r="AX66" s="101">
        <f t="shared" si="25"/>
        <v>96.833333333333329</v>
      </c>
      <c r="AY66" s="52">
        <f t="shared" ref="AY66:AY95" si="39">(100*(AU66-AS66)/AS66)</f>
        <v>-50</v>
      </c>
      <c r="AZ66" s="52">
        <f t="shared" ref="AZ66:AZ97" si="40">IF(AY66&lt;-50,-4,IF(AY66&lt;-20,-2,IF(AY66&lt;0,-1,IF(AY66=0,0,IF(AY66&lt;10,1.5,IF(AY66&lt;20,2,IF(AY66&gt;19,2.5,2.5)))))))</f>
        <v>-2</v>
      </c>
    </row>
    <row r="67" spans="1:54" ht="12.75" customHeight="1">
      <c r="A67" s="52" t="s">
        <v>585</v>
      </c>
      <c r="B67" s="62" t="s">
        <v>586</v>
      </c>
      <c r="C67" s="52" t="s">
        <v>159</v>
      </c>
      <c r="D67" s="50">
        <v>0</v>
      </c>
      <c r="E67" s="52">
        <v>266.2</v>
      </c>
      <c r="F67" s="52">
        <v>1748.3</v>
      </c>
      <c r="G67" s="100">
        <f t="shared" si="26"/>
        <v>84.773780243665271</v>
      </c>
      <c r="H67" s="52">
        <v>2857.6</v>
      </c>
      <c r="I67" s="52">
        <v>220.6</v>
      </c>
      <c r="J67" s="52">
        <v>4.5</v>
      </c>
      <c r="K67" s="52">
        <v>13.74</v>
      </c>
      <c r="L67" s="52">
        <v>0</v>
      </c>
      <c r="M67" s="52">
        <v>398</v>
      </c>
      <c r="N67" s="52">
        <v>11.9</v>
      </c>
      <c r="O67" s="52">
        <v>2816.2</v>
      </c>
      <c r="P67" s="100">
        <f t="shared" si="27"/>
        <v>12.766092475067996</v>
      </c>
      <c r="Q67" s="52">
        <v>65.5</v>
      </c>
      <c r="R67" s="52">
        <v>109.12</v>
      </c>
      <c r="S67" s="100">
        <v>0</v>
      </c>
      <c r="T67" s="52">
        <v>2833.9</v>
      </c>
      <c r="U67" s="52">
        <v>1810.4</v>
      </c>
      <c r="V67" s="52">
        <v>1</v>
      </c>
      <c r="W67" s="52">
        <v>1</v>
      </c>
      <c r="X67" s="52">
        <v>4.41</v>
      </c>
      <c r="Y67" s="52">
        <v>1.1100000000000001</v>
      </c>
      <c r="Z67" s="52">
        <v>1.1000000000000001</v>
      </c>
      <c r="AA67" s="103">
        <f t="shared" si="28"/>
        <v>1</v>
      </c>
      <c r="AB67" s="52">
        <v>0</v>
      </c>
      <c r="AC67" s="101">
        <f t="shared" si="29"/>
        <v>0</v>
      </c>
      <c r="AD67" s="52">
        <v>-503.29</v>
      </c>
      <c r="AE67" s="52">
        <v>25.62</v>
      </c>
      <c r="AF67" s="52">
        <v>25.15</v>
      </c>
      <c r="AG67" s="101">
        <f t="shared" si="30"/>
        <v>4.0999999999999996</v>
      </c>
      <c r="AH67" s="101">
        <f t="shared" si="31"/>
        <v>5.0999999999999996</v>
      </c>
      <c r="AI67" s="101">
        <v>11</v>
      </c>
      <c r="AJ67" s="104">
        <f t="shared" si="32"/>
        <v>1</v>
      </c>
      <c r="AK67" s="101">
        <f t="shared" si="33"/>
        <v>15.76</v>
      </c>
      <c r="AL67" s="50">
        <f t="shared" si="34"/>
        <v>0</v>
      </c>
      <c r="AM67" s="97" t="str">
        <f t="shared" si="35"/>
        <v>Fractal Analytics Da</v>
      </c>
      <c r="AN67" s="107">
        <v>11</v>
      </c>
      <c r="AO67" s="99">
        <f t="shared" ref="AO67:AO130" si="41">IF(AK67&gt;24.2,IF(Z67&lt;140,1,0),0)</f>
        <v>0</v>
      </c>
      <c r="AP67" s="100">
        <f t="shared" si="36"/>
        <v>0</v>
      </c>
      <c r="AQ67" s="100">
        <v>1</v>
      </c>
      <c r="AR67" s="100">
        <f t="shared" si="37"/>
        <v>5</v>
      </c>
      <c r="AS67" s="52">
        <v>900</v>
      </c>
      <c r="AT67" s="52">
        <v>801</v>
      </c>
      <c r="AU67" s="52">
        <v>801</v>
      </c>
      <c r="AV67" s="101">
        <f t="shared" si="38"/>
        <v>801</v>
      </c>
      <c r="AW67" s="52">
        <v>876</v>
      </c>
      <c r="AX67" s="101">
        <f t="shared" si="25"/>
        <v>859</v>
      </c>
      <c r="AY67" s="52">
        <f t="shared" si="39"/>
        <v>-11</v>
      </c>
      <c r="AZ67" s="52">
        <f t="shared" si="40"/>
        <v>-1</v>
      </c>
    </row>
    <row r="68" spans="1:54" ht="12.75" customHeight="1">
      <c r="A68" s="52" t="s">
        <v>587</v>
      </c>
      <c r="B68" s="62" t="s">
        <v>588</v>
      </c>
      <c r="C68" s="52" t="s">
        <v>159</v>
      </c>
      <c r="D68" s="50">
        <v>0</v>
      </c>
      <c r="E68" s="52">
        <v>4526.33</v>
      </c>
      <c r="F68" s="52">
        <v>1658.87</v>
      </c>
      <c r="G68" s="100">
        <f t="shared" si="26"/>
        <v>-172.85622140372664</v>
      </c>
      <c r="H68" s="52">
        <v>6338.63</v>
      </c>
      <c r="I68" s="52">
        <v>175.25</v>
      </c>
      <c r="J68" s="52">
        <v>0</v>
      </c>
      <c r="K68" s="52">
        <v>9.14</v>
      </c>
      <c r="L68" s="52">
        <v>7.63</v>
      </c>
      <c r="M68" s="52">
        <v>0</v>
      </c>
      <c r="N68" s="52">
        <v>0</v>
      </c>
      <c r="O68" s="52">
        <v>1504.99</v>
      </c>
      <c r="P68" s="100">
        <f t="shared" si="27"/>
        <v>8.5876747503566335</v>
      </c>
      <c r="Q68" s="52">
        <v>14.11</v>
      </c>
      <c r="R68" s="52">
        <v>24.64</v>
      </c>
      <c r="S68" s="100">
        <v>0</v>
      </c>
      <c r="T68" s="52">
        <v>1010</v>
      </c>
      <c r="U68" s="52">
        <v>300</v>
      </c>
      <c r="V68" s="52">
        <v>1</v>
      </c>
      <c r="W68" s="52">
        <v>1</v>
      </c>
      <c r="X68" s="52">
        <v>0.74</v>
      </c>
      <c r="Y68" s="52">
        <v>0.04</v>
      </c>
      <c r="Z68" s="52">
        <v>0.71</v>
      </c>
      <c r="AA68" s="103">
        <f t="shared" si="28"/>
        <v>1</v>
      </c>
      <c r="AB68" s="52">
        <v>0</v>
      </c>
      <c r="AC68" s="101">
        <f t="shared" si="29"/>
        <v>0</v>
      </c>
      <c r="AD68" s="52">
        <v>2.08</v>
      </c>
      <c r="AE68" s="52">
        <v>40.42</v>
      </c>
      <c r="AF68" s="52">
        <v>34.58</v>
      </c>
      <c r="AG68" s="101">
        <f t="shared" si="30"/>
        <v>4</v>
      </c>
      <c r="AH68" s="101">
        <f t="shared" si="31"/>
        <v>5</v>
      </c>
      <c r="AI68" s="101">
        <v>12</v>
      </c>
      <c r="AJ68" s="104">
        <f t="shared" si="32"/>
        <v>1</v>
      </c>
      <c r="AK68" s="101">
        <f t="shared" si="33"/>
        <v>15.4</v>
      </c>
      <c r="AL68" s="50">
        <f t="shared" si="34"/>
        <v>0</v>
      </c>
      <c r="AM68" s="97" t="str">
        <f t="shared" si="35"/>
        <v>Aye Finance Date, Pr</v>
      </c>
      <c r="AN68" s="107">
        <v>11</v>
      </c>
      <c r="AO68" s="99">
        <f t="shared" si="41"/>
        <v>0</v>
      </c>
      <c r="AP68" s="100">
        <f t="shared" si="36"/>
        <v>0</v>
      </c>
      <c r="AQ68" s="100">
        <v>1</v>
      </c>
      <c r="AR68" s="100">
        <f t="shared" si="37"/>
        <v>5</v>
      </c>
      <c r="AS68" s="52">
        <v>129</v>
      </c>
      <c r="AT68" s="52">
        <v>63</v>
      </c>
      <c r="AU68" s="52">
        <v>74</v>
      </c>
      <c r="AV68" s="101">
        <f t="shared" si="38"/>
        <v>68.5</v>
      </c>
      <c r="AW68" s="52">
        <v>129</v>
      </c>
      <c r="AX68" s="101">
        <f t="shared" si="25"/>
        <v>108.83333333333333</v>
      </c>
      <c r="AY68" s="52">
        <f t="shared" si="39"/>
        <v>-42.63565891472868</v>
      </c>
      <c r="AZ68" s="52">
        <f t="shared" si="40"/>
        <v>-2</v>
      </c>
    </row>
    <row r="69" spans="1:54" ht="12.75" customHeight="1">
      <c r="A69" s="52" t="s">
        <v>589</v>
      </c>
      <c r="B69" s="62" t="s">
        <v>590</v>
      </c>
      <c r="C69" s="52" t="s">
        <v>159</v>
      </c>
      <c r="D69" s="52">
        <v>1</v>
      </c>
      <c r="E69" s="52">
        <v>18.93</v>
      </c>
      <c r="F69" s="52">
        <v>46.3</v>
      </c>
      <c r="G69" s="100">
        <f t="shared" si="26"/>
        <v>59.114470842332608</v>
      </c>
      <c r="H69" s="52">
        <v>88.51</v>
      </c>
      <c r="I69" s="52">
        <v>19.13</v>
      </c>
      <c r="J69" s="52">
        <v>25.14</v>
      </c>
      <c r="K69" s="52">
        <v>3.12</v>
      </c>
      <c r="L69" s="52">
        <v>21.25</v>
      </c>
      <c r="M69" s="52">
        <v>28.63</v>
      </c>
      <c r="N69" s="52">
        <v>38.29</v>
      </c>
      <c r="O69" s="52">
        <v>70.959999999999994</v>
      </c>
      <c r="P69" s="100">
        <f t="shared" si="27"/>
        <v>3.7093570308416099</v>
      </c>
      <c r="Q69" s="52">
        <v>25.36</v>
      </c>
      <c r="R69" s="52">
        <v>22.99</v>
      </c>
      <c r="S69" s="100">
        <v>0</v>
      </c>
      <c r="T69" s="52">
        <v>165</v>
      </c>
      <c r="U69" s="52">
        <v>75</v>
      </c>
      <c r="V69" s="52">
        <v>1</v>
      </c>
      <c r="W69" s="52">
        <v>1</v>
      </c>
      <c r="X69" s="52">
        <v>0</v>
      </c>
      <c r="Y69" s="52">
        <v>0</v>
      </c>
      <c r="Z69" s="52">
        <v>2</v>
      </c>
      <c r="AA69" s="103">
        <f t="shared" si="28"/>
        <v>1</v>
      </c>
      <c r="AB69" s="52">
        <v>5.0599999999999996</v>
      </c>
      <c r="AC69" s="101">
        <f t="shared" si="29"/>
        <v>1.6866666666666665</v>
      </c>
      <c r="AD69" s="52">
        <v>85.37</v>
      </c>
      <c r="AE69" s="52">
        <v>47.37</v>
      </c>
      <c r="AF69" s="52">
        <v>71.55</v>
      </c>
      <c r="AG69" s="101">
        <f t="shared" si="30"/>
        <v>8.1</v>
      </c>
      <c r="AH69" s="101">
        <f t="shared" si="31"/>
        <v>12.786666666666665</v>
      </c>
      <c r="AI69" s="101">
        <v>13</v>
      </c>
      <c r="AJ69" s="104">
        <f t="shared" si="32"/>
        <v>0.98</v>
      </c>
      <c r="AK69" s="101">
        <f t="shared" si="33"/>
        <v>33.169733333333333</v>
      </c>
      <c r="AL69" s="50">
        <f t="shared" si="34"/>
        <v>1</v>
      </c>
      <c r="AM69" s="97" t="str">
        <f t="shared" si="35"/>
        <v>Gaudium IVF Date, Pr</v>
      </c>
      <c r="AN69" s="107">
        <v>24</v>
      </c>
      <c r="AO69" s="99">
        <f t="shared" si="41"/>
        <v>1</v>
      </c>
      <c r="AP69" s="100">
        <f t="shared" si="36"/>
        <v>3</v>
      </c>
      <c r="AQ69" s="100">
        <v>1</v>
      </c>
      <c r="AR69" s="100">
        <f t="shared" si="37"/>
        <v>1</v>
      </c>
      <c r="AS69" s="52">
        <v>79</v>
      </c>
      <c r="AT69" s="52">
        <v>79</v>
      </c>
      <c r="AU69" s="52">
        <v>89</v>
      </c>
      <c r="AV69" s="101">
        <f t="shared" si="38"/>
        <v>84</v>
      </c>
      <c r="AW69" s="52">
        <v>83</v>
      </c>
      <c r="AX69" s="101">
        <f t="shared" si="25"/>
        <v>82</v>
      </c>
      <c r="AY69" s="52">
        <f t="shared" si="39"/>
        <v>12.658227848101266</v>
      </c>
      <c r="AZ69" s="52">
        <f t="shared" si="40"/>
        <v>2</v>
      </c>
      <c r="BB69" s="52">
        <v>83</v>
      </c>
    </row>
    <row r="70" spans="1:54" ht="12.75" customHeight="1">
      <c r="A70" s="52" t="s">
        <v>591</v>
      </c>
      <c r="B70" s="62" t="s">
        <v>592</v>
      </c>
      <c r="C70" s="52" t="s">
        <v>159</v>
      </c>
      <c r="D70" s="52">
        <v>0</v>
      </c>
      <c r="E70" s="52">
        <v>62.48</v>
      </c>
      <c r="F70" s="52">
        <v>74.03</v>
      </c>
      <c r="G70" s="100">
        <f t="shared" si="26"/>
        <v>15.601783060921255</v>
      </c>
      <c r="H70" s="52">
        <v>194.2</v>
      </c>
      <c r="I70" s="52">
        <v>8</v>
      </c>
      <c r="J70" s="52">
        <v>5.3</v>
      </c>
      <c r="K70" s="52">
        <v>2.72</v>
      </c>
      <c r="L70" s="52">
        <v>0</v>
      </c>
      <c r="M70" s="52">
        <v>21.85</v>
      </c>
      <c r="N70" s="52">
        <v>12.9</v>
      </c>
      <c r="O70" s="52">
        <v>256.32</v>
      </c>
      <c r="P70" s="100">
        <f t="shared" si="27"/>
        <v>32.04</v>
      </c>
      <c r="Q70" s="52">
        <v>38.21</v>
      </c>
      <c r="R70" s="52">
        <v>29.69</v>
      </c>
      <c r="S70" s="100">
        <v>-0.9</v>
      </c>
      <c r="T70" s="52">
        <v>110.24</v>
      </c>
      <c r="U70" s="52">
        <v>0</v>
      </c>
      <c r="V70" s="52">
        <v>0</v>
      </c>
      <c r="W70" s="52">
        <v>0</v>
      </c>
      <c r="X70" s="52">
        <v>3.94</v>
      </c>
      <c r="Y70" s="52">
        <v>220</v>
      </c>
      <c r="Z70" s="52">
        <v>75</v>
      </c>
      <c r="AA70" s="103">
        <f t="shared" si="28"/>
        <v>-1</v>
      </c>
      <c r="AB70" s="52">
        <v>0</v>
      </c>
      <c r="AC70" s="101">
        <f t="shared" si="29"/>
        <v>0</v>
      </c>
      <c r="AD70" s="52">
        <v>22.14</v>
      </c>
      <c r="AE70" s="52">
        <v>10.62</v>
      </c>
      <c r="AF70" s="52">
        <v>10.82</v>
      </c>
      <c r="AG70" s="101">
        <f t="shared" si="30"/>
        <v>3.2</v>
      </c>
      <c r="AH70" s="101">
        <f t="shared" si="31"/>
        <v>4.2</v>
      </c>
      <c r="AI70" s="101">
        <v>14</v>
      </c>
      <c r="AJ70" s="104">
        <f t="shared" si="32"/>
        <v>0.98</v>
      </c>
      <c r="AK70" s="101">
        <f t="shared" si="33"/>
        <v>12.269599999999999</v>
      </c>
      <c r="AL70" s="50">
        <f t="shared" si="34"/>
        <v>0</v>
      </c>
      <c r="AM70" s="97" t="str">
        <f t="shared" si="35"/>
        <v>Shree Ram Twistex Da</v>
      </c>
      <c r="AN70" s="107">
        <v>25</v>
      </c>
      <c r="AO70" s="99">
        <f t="shared" si="41"/>
        <v>0</v>
      </c>
      <c r="AP70" s="100">
        <f t="shared" si="36"/>
        <v>0</v>
      </c>
      <c r="AQ70" s="100">
        <v>1</v>
      </c>
      <c r="AR70" s="100">
        <f t="shared" si="37"/>
        <v>5</v>
      </c>
      <c r="AS70" s="52">
        <v>104</v>
      </c>
      <c r="AT70" s="52">
        <v>32</v>
      </c>
      <c r="AU70" s="52">
        <v>38</v>
      </c>
      <c r="AV70" s="101">
        <f t="shared" si="38"/>
        <v>35</v>
      </c>
      <c r="AW70" s="52">
        <v>68</v>
      </c>
      <c r="AX70" s="101">
        <f t="shared" si="25"/>
        <v>69</v>
      </c>
      <c r="AY70" s="52">
        <f t="shared" si="39"/>
        <v>-63.46153846153846</v>
      </c>
      <c r="AZ70" s="52">
        <f t="shared" si="40"/>
        <v>-4</v>
      </c>
      <c r="BB70" s="52">
        <v>75</v>
      </c>
    </row>
    <row r="71" spans="1:54" ht="12.75" customHeight="1">
      <c r="A71" s="52" t="s">
        <v>593</v>
      </c>
      <c r="B71" s="62" t="s">
        <v>594</v>
      </c>
      <c r="C71" s="52" t="s">
        <v>159</v>
      </c>
      <c r="D71" s="52">
        <v>0</v>
      </c>
      <c r="E71" s="52">
        <v>7973.7</v>
      </c>
      <c r="F71" s="52">
        <v>2545.44</v>
      </c>
      <c r="G71" s="100">
        <f t="shared" si="26"/>
        <v>-213.25429002451443</v>
      </c>
      <c r="H71" s="52">
        <v>13279.25</v>
      </c>
      <c r="I71" s="52">
        <v>19.43</v>
      </c>
      <c r="J71" s="52">
        <v>0</v>
      </c>
      <c r="K71" s="52">
        <v>1.84</v>
      </c>
      <c r="L71" s="52">
        <v>0.43</v>
      </c>
      <c r="M71" s="52">
        <v>1015.07</v>
      </c>
      <c r="N71" s="52">
        <v>0</v>
      </c>
      <c r="O71" s="52">
        <v>1610.34</v>
      </c>
      <c r="P71" s="100">
        <f t="shared" si="27"/>
        <v>82.879053010808022</v>
      </c>
      <c r="Q71" s="52">
        <v>634.34</v>
      </c>
      <c r="R71" s="52">
        <v>324.27999999999997</v>
      </c>
      <c r="S71" s="100">
        <v>0</v>
      </c>
      <c r="T71" s="52">
        <v>3100</v>
      </c>
      <c r="U71" s="52">
        <v>1900</v>
      </c>
      <c r="V71" s="52">
        <v>1</v>
      </c>
      <c r="W71" s="52">
        <v>1</v>
      </c>
      <c r="X71" s="52">
        <v>1.42</v>
      </c>
      <c r="Y71" s="52">
        <v>0.48</v>
      </c>
      <c r="Z71" s="52">
        <v>0.05</v>
      </c>
      <c r="AA71" s="103">
        <f t="shared" si="28"/>
        <v>1</v>
      </c>
      <c r="AB71" s="52">
        <v>0</v>
      </c>
      <c r="AC71" s="101">
        <f t="shared" si="29"/>
        <v>0</v>
      </c>
      <c r="AD71" s="52">
        <v>-151.62</v>
      </c>
      <c r="AE71" s="52">
        <v>12.98</v>
      </c>
      <c r="AF71" s="52">
        <v>40.020000000000003</v>
      </c>
      <c r="AG71" s="101">
        <f t="shared" si="30"/>
        <v>1</v>
      </c>
      <c r="AH71" s="101">
        <f t="shared" si="31"/>
        <v>2</v>
      </c>
      <c r="AI71" s="101">
        <v>14</v>
      </c>
      <c r="AJ71" s="104">
        <f t="shared" si="32"/>
        <v>0.98</v>
      </c>
      <c r="AK71" s="101">
        <f t="shared" si="33"/>
        <v>4.508</v>
      </c>
      <c r="AL71" s="50">
        <f t="shared" si="34"/>
        <v>0</v>
      </c>
      <c r="AM71" s="97" t="str">
        <f t="shared" si="35"/>
        <v>Clean Max Enviro Ene</v>
      </c>
      <c r="AN71" s="107">
        <v>25</v>
      </c>
      <c r="AO71" s="99">
        <f t="shared" si="41"/>
        <v>0</v>
      </c>
      <c r="AP71" s="100">
        <f t="shared" si="36"/>
        <v>0</v>
      </c>
      <c r="AQ71" s="100">
        <v>1</v>
      </c>
      <c r="AR71" s="100">
        <f t="shared" si="37"/>
        <v>5</v>
      </c>
      <c r="AS71" s="52">
        <v>1053</v>
      </c>
      <c r="AT71" s="52">
        <v>1053</v>
      </c>
      <c r="AU71" s="52">
        <v>1053</v>
      </c>
      <c r="AV71" s="101">
        <f t="shared" si="38"/>
        <v>1053</v>
      </c>
      <c r="AW71" s="52">
        <v>960</v>
      </c>
      <c r="AX71" s="101">
        <f t="shared" si="25"/>
        <v>1022</v>
      </c>
      <c r="AY71" s="52">
        <f t="shared" si="39"/>
        <v>0</v>
      </c>
      <c r="AZ71" s="52">
        <f t="shared" si="40"/>
        <v>0</v>
      </c>
      <c r="BB71" s="52">
        <v>960</v>
      </c>
    </row>
    <row r="72" spans="1:54" ht="12.75" customHeight="1">
      <c r="A72" s="52" t="s">
        <v>595</v>
      </c>
      <c r="B72" s="62" t="s">
        <v>596</v>
      </c>
      <c r="C72" s="52" t="s">
        <v>159</v>
      </c>
      <c r="D72" s="52">
        <v>1</v>
      </c>
      <c r="E72" s="52">
        <v>90.65</v>
      </c>
      <c r="F72" s="52">
        <v>100.19</v>
      </c>
      <c r="G72" s="100">
        <f t="shared" si="26"/>
        <v>9.5219083740892234</v>
      </c>
      <c r="H72" s="52">
        <v>226.84</v>
      </c>
      <c r="I72" s="52">
        <v>59.47</v>
      </c>
      <c r="J72" s="52">
        <v>12.85</v>
      </c>
      <c r="K72" s="52">
        <v>35.21</v>
      </c>
      <c r="L72" s="52">
        <v>18.3</v>
      </c>
      <c r="M72" s="52">
        <v>79.61</v>
      </c>
      <c r="N72" s="52">
        <v>19.649999999999999</v>
      </c>
      <c r="O72" s="52">
        <v>259.11</v>
      </c>
      <c r="P72" s="100">
        <f t="shared" si="27"/>
        <v>4.3569867159912565</v>
      </c>
      <c r="Q72" s="52">
        <v>10.96</v>
      </c>
      <c r="R72" s="52">
        <v>0</v>
      </c>
      <c r="S72" s="100">
        <v>-0.9</v>
      </c>
      <c r="T72" s="52">
        <v>380</v>
      </c>
      <c r="U72" s="52">
        <v>0</v>
      </c>
      <c r="V72" s="52">
        <v>1</v>
      </c>
      <c r="W72" s="52">
        <v>1</v>
      </c>
      <c r="X72" s="52">
        <v>1.1000000000000001</v>
      </c>
      <c r="Y72" s="52">
        <v>1.57</v>
      </c>
      <c r="Z72" s="52">
        <v>1.22</v>
      </c>
      <c r="AA72" s="103">
        <f t="shared" si="28"/>
        <v>0</v>
      </c>
      <c r="AB72" s="52">
        <v>0</v>
      </c>
      <c r="AC72" s="101">
        <f t="shared" si="29"/>
        <v>0</v>
      </c>
      <c r="AD72" s="52">
        <v>40.229999999999997</v>
      </c>
      <c r="AE72" s="52">
        <v>32.04</v>
      </c>
      <c r="AF72" s="52">
        <v>-451.54</v>
      </c>
      <c r="AG72" s="101">
        <f t="shared" si="30"/>
        <v>5.3000000000000007</v>
      </c>
      <c r="AH72" s="101">
        <f t="shared" si="31"/>
        <v>5.3000000000000007</v>
      </c>
      <c r="AI72" s="101">
        <v>15</v>
      </c>
      <c r="AJ72" s="104">
        <f t="shared" si="32"/>
        <v>0.98</v>
      </c>
      <c r="AK72" s="101">
        <f t="shared" si="33"/>
        <v>18.698400000000007</v>
      </c>
      <c r="AL72" s="50">
        <f t="shared" si="34"/>
        <v>1</v>
      </c>
      <c r="AM72" s="97" t="str">
        <f t="shared" si="35"/>
        <v>PNGS Reva Diamond Je</v>
      </c>
      <c r="AN72" s="107">
        <v>26</v>
      </c>
      <c r="AO72" s="99">
        <f t="shared" si="41"/>
        <v>0</v>
      </c>
      <c r="AP72" s="100">
        <f t="shared" si="36"/>
        <v>0</v>
      </c>
      <c r="AQ72" s="100">
        <v>1</v>
      </c>
      <c r="AR72" s="100">
        <f t="shared" si="37"/>
        <v>5</v>
      </c>
      <c r="AS72" s="52">
        <v>386</v>
      </c>
      <c r="AT72" s="52">
        <v>305</v>
      </c>
      <c r="AU72" s="52">
        <v>305</v>
      </c>
      <c r="AV72" s="101">
        <f t="shared" si="38"/>
        <v>305</v>
      </c>
      <c r="AW72" s="52">
        <v>375</v>
      </c>
      <c r="AX72" s="101">
        <f t="shared" si="25"/>
        <v>355.33333333333331</v>
      </c>
      <c r="AY72" s="52">
        <f t="shared" si="39"/>
        <v>-20.984455958549223</v>
      </c>
      <c r="AZ72" s="52">
        <f t="shared" si="40"/>
        <v>-2</v>
      </c>
      <c r="BB72" s="52">
        <v>415</v>
      </c>
    </row>
    <row r="73" spans="1:54" ht="12.75" customHeight="1">
      <c r="A73" s="52" t="s">
        <v>597</v>
      </c>
      <c r="B73" s="62" t="s">
        <v>598</v>
      </c>
      <c r="C73" s="52" t="s">
        <v>159</v>
      </c>
      <c r="D73" s="52">
        <v>0</v>
      </c>
      <c r="E73" s="52">
        <v>330.63</v>
      </c>
      <c r="F73" s="52">
        <v>204.44</v>
      </c>
      <c r="G73" s="100">
        <f t="shared" si="26"/>
        <v>-61.724711406769714</v>
      </c>
      <c r="H73" s="52">
        <v>626.33000000000004</v>
      </c>
      <c r="I73" s="52">
        <v>43.87</v>
      </c>
      <c r="J73" s="52">
        <v>11.74</v>
      </c>
      <c r="K73" s="52">
        <v>4.17</v>
      </c>
      <c r="L73" s="52">
        <v>12.07</v>
      </c>
      <c r="M73" s="52">
        <v>117.65</v>
      </c>
      <c r="N73" s="52">
        <v>30.72</v>
      </c>
      <c r="O73" s="52">
        <v>349.71</v>
      </c>
      <c r="P73" s="100">
        <f t="shared" si="27"/>
        <v>7.9715067244130386</v>
      </c>
      <c r="Q73" s="52">
        <v>54.47</v>
      </c>
      <c r="R73" s="52">
        <v>50.53</v>
      </c>
      <c r="S73" s="100">
        <v>0</v>
      </c>
      <c r="T73" s="52">
        <v>583</v>
      </c>
      <c r="U73" s="52">
        <v>165</v>
      </c>
      <c r="V73" s="52">
        <v>1</v>
      </c>
      <c r="W73" s="52">
        <v>1</v>
      </c>
      <c r="X73" s="52">
        <v>3</v>
      </c>
      <c r="Y73" s="52">
        <v>0.77</v>
      </c>
      <c r="Z73" s="52">
        <v>0.35</v>
      </c>
      <c r="AA73" s="103">
        <f t="shared" si="28"/>
        <v>1</v>
      </c>
      <c r="AB73" s="52">
        <v>0</v>
      </c>
      <c r="AC73" s="101">
        <f t="shared" si="29"/>
        <v>0</v>
      </c>
      <c r="AD73" s="52">
        <v>131.99</v>
      </c>
      <c r="AE73" s="52">
        <v>92.2</v>
      </c>
      <c r="AF73" s="52">
        <v>159.41</v>
      </c>
      <c r="AG73" s="101">
        <f t="shared" si="30"/>
        <v>5</v>
      </c>
      <c r="AH73" s="101">
        <f t="shared" si="31"/>
        <v>6</v>
      </c>
      <c r="AI73" s="101">
        <v>16</v>
      </c>
      <c r="AJ73" s="104">
        <f t="shared" si="32"/>
        <v>0.95</v>
      </c>
      <c r="AK73" s="101">
        <f t="shared" si="33"/>
        <v>18.05</v>
      </c>
      <c r="AL73" s="50">
        <f t="shared" si="34"/>
        <v>0</v>
      </c>
      <c r="AM73" s="97" t="str">
        <f t="shared" si="35"/>
        <v>Omnitech Engineering</v>
      </c>
      <c r="AN73" s="107">
        <v>27</v>
      </c>
      <c r="AO73" s="99">
        <f t="shared" si="41"/>
        <v>0</v>
      </c>
      <c r="AP73" s="100">
        <f t="shared" si="36"/>
        <v>0</v>
      </c>
      <c r="AQ73" s="100">
        <v>1</v>
      </c>
      <c r="AR73" s="100">
        <f t="shared" si="37"/>
        <v>5</v>
      </c>
      <c r="AS73" s="52">
        <v>227</v>
      </c>
      <c r="AT73" s="52">
        <v>180</v>
      </c>
      <c r="AU73" s="52">
        <v>202</v>
      </c>
      <c r="AV73" s="101">
        <f t="shared" si="38"/>
        <v>191</v>
      </c>
      <c r="AW73" s="52">
        <v>202</v>
      </c>
      <c r="AX73" s="101">
        <f t="shared" si="25"/>
        <v>206.66666666666666</v>
      </c>
      <c r="AY73" s="52">
        <f t="shared" si="39"/>
        <v>-11.013215859030836</v>
      </c>
      <c r="AZ73" s="52">
        <f t="shared" si="40"/>
        <v>-1</v>
      </c>
      <c r="BB73" s="52">
        <v>205</v>
      </c>
    </row>
    <row r="74" spans="1:54" ht="12.75" customHeight="1">
      <c r="A74" s="52" t="s">
        <v>599</v>
      </c>
      <c r="B74" s="62" t="s">
        <v>600</v>
      </c>
      <c r="C74" s="52" t="s">
        <v>159</v>
      </c>
      <c r="D74" s="52">
        <v>1</v>
      </c>
      <c r="E74" s="52">
        <v>49.62</v>
      </c>
      <c r="F74" s="52">
        <v>303.88</v>
      </c>
      <c r="G74" s="100">
        <f t="shared" si="26"/>
        <v>83.6711859944715</v>
      </c>
      <c r="H74" s="52">
        <v>491.16</v>
      </c>
      <c r="I74" s="52">
        <v>47.05</v>
      </c>
      <c r="J74" s="52">
        <v>7.15</v>
      </c>
      <c r="K74" s="52">
        <v>10.76</v>
      </c>
      <c r="L74" s="52">
        <v>22.01</v>
      </c>
      <c r="M74" s="52">
        <v>125.07</v>
      </c>
      <c r="N74" s="52">
        <v>19</v>
      </c>
      <c r="O74" s="52">
        <v>662.54</v>
      </c>
      <c r="P74" s="100">
        <f t="shared" si="27"/>
        <v>14.081615302869288</v>
      </c>
      <c r="Q74" s="52">
        <v>125.69</v>
      </c>
      <c r="R74" s="52">
        <v>86.61</v>
      </c>
      <c r="S74" s="100">
        <v>0.7</v>
      </c>
      <c r="T74" s="52">
        <v>1087.45</v>
      </c>
      <c r="U74" s="52">
        <v>0</v>
      </c>
      <c r="V74" s="52">
        <v>0</v>
      </c>
      <c r="W74" s="52">
        <v>1</v>
      </c>
      <c r="X74" s="52">
        <v>7</v>
      </c>
      <c r="Y74" s="52">
        <v>0.4</v>
      </c>
      <c r="Z74" s="52">
        <v>0.5</v>
      </c>
      <c r="AA74" s="103">
        <f t="shared" si="28"/>
        <v>1</v>
      </c>
      <c r="AB74" s="52">
        <v>1</v>
      </c>
      <c r="AC74" s="101">
        <f t="shared" si="29"/>
        <v>0.33333333333333331</v>
      </c>
      <c r="AD74" s="52">
        <v>700.17</v>
      </c>
      <c r="AE74" s="52">
        <v>23.63</v>
      </c>
      <c r="AF74" s="52">
        <v>144.22</v>
      </c>
      <c r="AG74" s="101">
        <f t="shared" si="30"/>
        <v>6.8</v>
      </c>
      <c r="AH74" s="101">
        <f t="shared" si="31"/>
        <v>9.1333333333333329</v>
      </c>
      <c r="AI74" s="101">
        <v>17</v>
      </c>
      <c r="AJ74" s="104">
        <f t="shared" si="32"/>
        <v>0.95</v>
      </c>
      <c r="AK74" s="101">
        <f t="shared" si="33"/>
        <v>25.472666666666665</v>
      </c>
      <c r="AL74" s="50">
        <f t="shared" si="34"/>
        <v>1</v>
      </c>
      <c r="AM74" s="97" t="str">
        <f t="shared" si="35"/>
        <v>SEDEMAC Mechatronics</v>
      </c>
      <c r="AN74" s="52">
        <v>6</v>
      </c>
      <c r="AO74" s="99">
        <f t="shared" si="41"/>
        <v>1</v>
      </c>
      <c r="AP74" s="100">
        <f t="shared" si="36"/>
        <v>3</v>
      </c>
      <c r="AQ74" s="100">
        <v>1</v>
      </c>
      <c r="AR74" s="100">
        <f t="shared" si="37"/>
        <v>1</v>
      </c>
      <c r="AS74" s="52">
        <v>1352</v>
      </c>
      <c r="AT74" s="52">
        <v>800</v>
      </c>
      <c r="AU74" s="52">
        <v>1000</v>
      </c>
      <c r="AV74" s="101">
        <f t="shared" si="38"/>
        <v>900</v>
      </c>
      <c r="AW74" s="52">
        <v>1535</v>
      </c>
      <c r="AX74" s="101">
        <f t="shared" si="25"/>
        <v>1262.3333333333333</v>
      </c>
      <c r="AY74" s="52">
        <f t="shared" si="39"/>
        <v>-26.035502958579883</v>
      </c>
      <c r="AZ74" s="52">
        <f t="shared" si="40"/>
        <v>-2</v>
      </c>
      <c r="BB74" s="52">
        <v>1589</v>
      </c>
    </row>
    <row r="75" spans="1:54" ht="12.75" customHeight="1">
      <c r="A75" s="52" t="s">
        <v>601</v>
      </c>
      <c r="B75" s="62" t="s">
        <v>602</v>
      </c>
      <c r="C75" s="52" t="s">
        <v>159</v>
      </c>
      <c r="D75" s="52">
        <v>0</v>
      </c>
      <c r="E75" s="52">
        <v>99.75</v>
      </c>
      <c r="F75" s="52">
        <v>151.94999999999999</v>
      </c>
      <c r="G75" s="100">
        <f t="shared" si="26"/>
        <v>34.353405725567619</v>
      </c>
      <c r="H75" s="52">
        <v>420.36</v>
      </c>
      <c r="I75" s="52">
        <v>39.85</v>
      </c>
      <c r="J75" s="52">
        <v>4.87</v>
      </c>
      <c r="K75" s="52">
        <v>5.78</v>
      </c>
      <c r="L75" s="52">
        <v>14.86</v>
      </c>
      <c r="M75" s="52">
        <v>73.790000000000006</v>
      </c>
      <c r="N75" s="52">
        <v>9.16</v>
      </c>
      <c r="O75" s="52">
        <v>937.49</v>
      </c>
      <c r="P75" s="100">
        <f t="shared" si="27"/>
        <v>23.525470514429109</v>
      </c>
      <c r="Q75" s="52">
        <v>21.1</v>
      </c>
      <c r="R75" s="52">
        <v>20.88</v>
      </c>
      <c r="S75" s="100">
        <v>-0.9</v>
      </c>
      <c r="T75" s="52">
        <v>254.98</v>
      </c>
      <c r="U75" s="52">
        <v>76.25</v>
      </c>
      <c r="V75" s="52">
        <v>0</v>
      </c>
      <c r="W75" s="52">
        <v>1</v>
      </c>
      <c r="X75" s="52">
        <v>17</v>
      </c>
      <c r="Y75" s="52">
        <v>12</v>
      </c>
      <c r="Z75" s="52">
        <v>1</v>
      </c>
      <c r="AA75" s="103">
        <f t="shared" si="28"/>
        <v>1</v>
      </c>
      <c r="AB75" s="52">
        <v>2</v>
      </c>
      <c r="AC75" s="101">
        <f t="shared" si="29"/>
        <v>0.66666666666666663</v>
      </c>
      <c r="AD75" s="52">
        <v>25.99</v>
      </c>
      <c r="AE75" s="52">
        <v>2.4</v>
      </c>
      <c r="AF75" s="52">
        <v>35.340000000000003</v>
      </c>
      <c r="AG75" s="101">
        <f t="shared" si="30"/>
        <v>4.2</v>
      </c>
      <c r="AH75" s="101">
        <f t="shared" si="31"/>
        <v>7.8666666666666671</v>
      </c>
      <c r="AI75" s="101">
        <v>18</v>
      </c>
      <c r="AJ75" s="104">
        <f t="shared" si="32"/>
        <v>0.95</v>
      </c>
      <c r="AK75" s="101">
        <f t="shared" si="33"/>
        <v>17.847333333333335</v>
      </c>
      <c r="AL75" s="50">
        <f t="shared" si="34"/>
        <v>0</v>
      </c>
      <c r="AM75" s="97" t="str">
        <f t="shared" si="35"/>
        <v xml:space="preserve">Rajputana Stainless </v>
      </c>
      <c r="AN75" s="52">
        <v>11</v>
      </c>
      <c r="AO75" s="99">
        <f t="shared" si="41"/>
        <v>0</v>
      </c>
      <c r="AP75" s="100">
        <f t="shared" si="36"/>
        <v>0</v>
      </c>
      <c r="AQ75" s="100">
        <v>1</v>
      </c>
      <c r="AR75" s="100">
        <f t="shared" si="37"/>
        <v>5</v>
      </c>
      <c r="AS75" s="52">
        <v>122</v>
      </c>
      <c r="AT75" s="52">
        <v>70</v>
      </c>
      <c r="AU75" s="52">
        <v>88</v>
      </c>
      <c r="AV75" s="101">
        <f t="shared" si="38"/>
        <v>79</v>
      </c>
      <c r="AW75" s="52">
        <v>122</v>
      </c>
      <c r="AX75" s="101">
        <f t="shared" ref="AX75:AX106" si="42">(AS75+AV75+AW75)/3</f>
        <v>107.66666666666667</v>
      </c>
      <c r="AY75" s="52">
        <f t="shared" si="39"/>
        <v>-27.868852459016395</v>
      </c>
      <c r="AZ75" s="52">
        <f t="shared" si="40"/>
        <v>-2</v>
      </c>
      <c r="BB75" s="52">
        <v>122</v>
      </c>
    </row>
    <row r="76" spans="1:54" ht="12.75" customHeight="1">
      <c r="A76" s="52" t="s">
        <v>603</v>
      </c>
      <c r="B76" s="62" t="s">
        <v>604</v>
      </c>
      <c r="C76" s="52" t="s">
        <v>159</v>
      </c>
      <c r="D76" s="52">
        <v>0</v>
      </c>
      <c r="E76" s="52">
        <v>79.05</v>
      </c>
      <c r="F76" s="52">
        <v>81.88</v>
      </c>
      <c r="G76" s="100">
        <f t="shared" si="26"/>
        <v>3.4562774792379072</v>
      </c>
      <c r="H76" s="52">
        <v>220.3</v>
      </c>
      <c r="I76" s="52">
        <v>29.02</v>
      </c>
      <c r="J76" s="52">
        <v>4.17</v>
      </c>
      <c r="K76" s="52">
        <v>15.36</v>
      </c>
      <c r="L76" s="52">
        <v>19.55</v>
      </c>
      <c r="M76" s="52">
        <v>51.75</v>
      </c>
      <c r="N76" s="52">
        <v>6.34</v>
      </c>
      <c r="O76" s="52">
        <v>895.95</v>
      </c>
      <c r="P76" s="100">
        <f t="shared" si="27"/>
        <v>30.873535492763612</v>
      </c>
      <c r="Q76" s="52">
        <v>35.69</v>
      </c>
      <c r="R76" s="52">
        <v>32.26</v>
      </c>
      <c r="S76" s="100">
        <v>-0.9</v>
      </c>
      <c r="T76" s="52">
        <v>322.83999999999997</v>
      </c>
      <c r="U76" s="52">
        <v>67.84</v>
      </c>
      <c r="V76" s="52">
        <v>0</v>
      </c>
      <c r="W76" s="52">
        <v>0</v>
      </c>
      <c r="X76" s="52">
        <v>17</v>
      </c>
      <c r="Y76" s="52">
        <v>8</v>
      </c>
      <c r="Z76" s="52">
        <v>2</v>
      </c>
      <c r="AA76" s="103">
        <f t="shared" si="28"/>
        <v>1</v>
      </c>
      <c r="AB76" s="52">
        <v>0.5</v>
      </c>
      <c r="AC76" s="101">
        <f t="shared" si="29"/>
        <v>0.16666666666666666</v>
      </c>
      <c r="AD76" s="52">
        <v>182.57</v>
      </c>
      <c r="AE76" s="52">
        <v>74.95</v>
      </c>
      <c r="AF76" s="52">
        <v>56.41</v>
      </c>
      <c r="AG76" s="101">
        <f t="shared" si="30"/>
        <v>4.3000000000000007</v>
      </c>
      <c r="AH76" s="101">
        <f t="shared" si="31"/>
        <v>7.4666666666666677</v>
      </c>
      <c r="AI76" s="101">
        <v>18</v>
      </c>
      <c r="AJ76" s="104">
        <f t="shared" si="32"/>
        <v>0.95</v>
      </c>
      <c r="AK76" s="101">
        <f t="shared" si="33"/>
        <v>17.714333333333332</v>
      </c>
      <c r="AL76" s="50">
        <f t="shared" si="34"/>
        <v>0</v>
      </c>
      <c r="AM76" s="97" t="str">
        <f t="shared" si="35"/>
        <v>Innovision Date, Pri</v>
      </c>
      <c r="AN76" s="52">
        <v>12</v>
      </c>
      <c r="AO76" s="99">
        <f t="shared" si="41"/>
        <v>0</v>
      </c>
      <c r="AP76" s="100">
        <f t="shared" si="36"/>
        <v>0</v>
      </c>
      <c r="AQ76" s="100">
        <v>1</v>
      </c>
      <c r="AR76" s="100">
        <f t="shared" si="37"/>
        <v>5</v>
      </c>
      <c r="AS76" s="52">
        <v>519</v>
      </c>
      <c r="AT76" s="52">
        <v>170</v>
      </c>
      <c r="AU76" s="52">
        <v>220</v>
      </c>
      <c r="AV76" s="101">
        <f t="shared" si="38"/>
        <v>195</v>
      </c>
      <c r="AW76" s="52">
        <v>467</v>
      </c>
      <c r="AX76" s="101">
        <f t="shared" si="42"/>
        <v>393.66666666666669</v>
      </c>
      <c r="AY76" s="52">
        <f t="shared" si="39"/>
        <v>-57.610789980732179</v>
      </c>
      <c r="AZ76" s="52">
        <f t="shared" si="40"/>
        <v>-4</v>
      </c>
      <c r="BB76" s="52">
        <v>467</v>
      </c>
    </row>
    <row r="77" spans="1:54" ht="12.75" customHeight="1">
      <c r="A77" s="52" t="s">
        <v>605</v>
      </c>
      <c r="B77" s="62" t="s">
        <v>606</v>
      </c>
      <c r="C77" s="52" t="s">
        <v>159</v>
      </c>
      <c r="D77" s="52">
        <v>1</v>
      </c>
      <c r="E77" s="52">
        <v>295.60000000000002</v>
      </c>
      <c r="F77" s="52">
        <v>450.03</v>
      </c>
      <c r="G77" s="100">
        <f t="shared" si="26"/>
        <v>34.315490078439204</v>
      </c>
      <c r="H77" s="52">
        <v>1228.5</v>
      </c>
      <c r="I77" s="52">
        <v>81.42</v>
      </c>
      <c r="J77" s="52">
        <v>9.56</v>
      </c>
      <c r="K77" s="52">
        <v>20.87</v>
      </c>
      <c r="L77" s="52">
        <v>15.62</v>
      </c>
      <c r="M77" s="52">
        <v>164.03</v>
      </c>
      <c r="N77" s="52">
        <v>16.45</v>
      </c>
      <c r="O77" s="52">
        <v>1301.06</v>
      </c>
      <c r="P77" s="100">
        <f t="shared" si="27"/>
        <v>15.979611888970767</v>
      </c>
      <c r="Q77" s="52">
        <v>15.34</v>
      </c>
      <c r="R77" s="52">
        <v>9.18</v>
      </c>
      <c r="S77" s="100">
        <v>0.7</v>
      </c>
      <c r="T77" s="52">
        <v>400</v>
      </c>
      <c r="U77" s="52">
        <v>160</v>
      </c>
      <c r="V77" s="52">
        <v>1</v>
      </c>
      <c r="W77" s="52">
        <v>1</v>
      </c>
      <c r="X77" s="52">
        <v>2.66</v>
      </c>
      <c r="Y77" s="52">
        <v>3.14</v>
      </c>
      <c r="Z77" s="52">
        <v>0.42</v>
      </c>
      <c r="AA77" s="103">
        <f t="shared" si="28"/>
        <v>0</v>
      </c>
      <c r="AB77" s="52">
        <v>0.62</v>
      </c>
      <c r="AC77" s="101">
        <f t="shared" si="29"/>
        <v>0.20666666666666667</v>
      </c>
      <c r="AD77" s="52">
        <v>46.6</v>
      </c>
      <c r="AE77" s="52">
        <v>12.33</v>
      </c>
      <c r="AF77" s="52">
        <v>21.48</v>
      </c>
      <c r="AG77" s="101">
        <f t="shared" si="30"/>
        <v>5.8</v>
      </c>
      <c r="AH77" s="101">
        <f t="shared" si="31"/>
        <v>6.0066666666666668</v>
      </c>
      <c r="AI77" s="101">
        <v>18</v>
      </c>
      <c r="AJ77" s="104">
        <f t="shared" si="32"/>
        <v>0.95</v>
      </c>
      <c r="AK77" s="101">
        <f t="shared" si="33"/>
        <v>20.03233333333333</v>
      </c>
      <c r="AL77" s="50">
        <f t="shared" si="34"/>
        <v>1</v>
      </c>
      <c r="AM77" s="97" t="str">
        <f t="shared" si="35"/>
        <v>GSP Crop Science Dat</v>
      </c>
      <c r="AN77" s="52">
        <v>18</v>
      </c>
      <c r="AO77" s="99">
        <f t="shared" si="41"/>
        <v>0</v>
      </c>
      <c r="AP77" s="100">
        <f t="shared" si="36"/>
        <v>0</v>
      </c>
      <c r="AQ77" s="100">
        <v>1</v>
      </c>
      <c r="AR77" s="100">
        <f t="shared" si="37"/>
        <v>5</v>
      </c>
      <c r="AS77" s="52">
        <v>320</v>
      </c>
      <c r="AT77" s="52">
        <v>212</v>
      </c>
      <c r="AU77" s="52">
        <v>234</v>
      </c>
      <c r="AV77" s="101">
        <f t="shared" si="38"/>
        <v>223</v>
      </c>
      <c r="AW77" s="52">
        <v>328</v>
      </c>
      <c r="AX77" s="101">
        <f t="shared" si="42"/>
        <v>290.33333333333331</v>
      </c>
      <c r="AY77" s="52">
        <f t="shared" si="39"/>
        <v>-26.875</v>
      </c>
      <c r="AZ77" s="52">
        <f t="shared" si="40"/>
        <v>-2</v>
      </c>
      <c r="BB77" s="52">
        <v>356</v>
      </c>
    </row>
    <row r="78" spans="1:54" ht="12.75" customHeight="1">
      <c r="A78" s="52" t="s">
        <v>607</v>
      </c>
      <c r="B78" s="62" t="s">
        <v>608</v>
      </c>
      <c r="C78" s="52" t="s">
        <v>159</v>
      </c>
      <c r="D78" s="52">
        <v>1</v>
      </c>
      <c r="E78" s="52">
        <v>0</v>
      </c>
      <c r="F78" s="52">
        <v>2041.85</v>
      </c>
      <c r="G78" s="100">
        <f t="shared" si="26"/>
        <v>100</v>
      </c>
      <c r="H78" s="52">
        <v>2682.8</v>
      </c>
      <c r="I78" s="52">
        <v>666.91</v>
      </c>
      <c r="J78" s="52">
        <v>27.6</v>
      </c>
      <c r="K78" s="52">
        <v>9.34</v>
      </c>
      <c r="L78" s="52">
        <v>0</v>
      </c>
      <c r="M78" s="52">
        <v>915.71</v>
      </c>
      <c r="N78" s="52">
        <v>38.5</v>
      </c>
      <c r="O78" s="52">
        <v>2177.5300000000002</v>
      </c>
      <c r="P78" s="100">
        <f t="shared" si="27"/>
        <v>3.265103237318379</v>
      </c>
      <c r="Q78" s="52">
        <v>18.41</v>
      </c>
      <c r="R78" s="52">
        <v>21.65</v>
      </c>
      <c r="S78" s="100">
        <v>-0.9</v>
      </c>
      <c r="T78" s="52">
        <v>1842.12</v>
      </c>
      <c r="U78" s="52">
        <v>0</v>
      </c>
      <c r="V78" s="52">
        <v>1</v>
      </c>
      <c r="W78" s="52">
        <v>1</v>
      </c>
      <c r="X78" s="52">
        <v>3.48</v>
      </c>
      <c r="Y78" s="52">
        <v>0.35</v>
      </c>
      <c r="Z78" s="52">
        <v>0.35</v>
      </c>
      <c r="AA78" s="103">
        <f t="shared" si="28"/>
        <v>1</v>
      </c>
      <c r="AB78" s="52">
        <v>4</v>
      </c>
      <c r="AC78" s="101">
        <f t="shared" si="29"/>
        <v>1.3333333333333333</v>
      </c>
      <c r="AD78" s="52">
        <v>32.53</v>
      </c>
      <c r="AE78" s="52">
        <v>23.01</v>
      </c>
      <c r="AF78" s="52">
        <v>28.29</v>
      </c>
      <c r="AG78" s="101">
        <f t="shared" si="30"/>
        <v>7.1999999999999993</v>
      </c>
      <c r="AH78" s="101">
        <f t="shared" si="31"/>
        <v>10.533333333333333</v>
      </c>
      <c r="AI78" s="101">
        <v>18</v>
      </c>
      <c r="AJ78" s="104">
        <f t="shared" si="32"/>
        <v>0.95</v>
      </c>
      <c r="AK78" s="101">
        <f t="shared" si="33"/>
        <v>27.790666666666663</v>
      </c>
      <c r="AL78" s="50">
        <f t="shared" si="34"/>
        <v>1</v>
      </c>
      <c r="AM78" s="97" t="str">
        <f t="shared" si="35"/>
        <v>Central Mine Plannin</v>
      </c>
      <c r="AN78" s="52">
        <v>26</v>
      </c>
      <c r="AO78" s="99">
        <f t="shared" si="41"/>
        <v>1</v>
      </c>
      <c r="AP78" s="100">
        <f t="shared" si="36"/>
        <v>3</v>
      </c>
      <c r="AQ78" s="100">
        <v>1</v>
      </c>
      <c r="AR78" s="100">
        <f t="shared" si="37"/>
        <v>1</v>
      </c>
      <c r="AS78" s="52">
        <v>172</v>
      </c>
      <c r="AT78" s="52">
        <v>198</v>
      </c>
      <c r="AU78" s="52">
        <v>238</v>
      </c>
      <c r="AV78" s="101">
        <f t="shared" si="38"/>
        <v>218</v>
      </c>
      <c r="AW78" s="52">
        <v>160</v>
      </c>
      <c r="AX78" s="101">
        <f t="shared" si="42"/>
        <v>183.33333333333334</v>
      </c>
      <c r="AY78" s="52">
        <f t="shared" si="39"/>
        <v>38.372093023255815</v>
      </c>
      <c r="AZ78" s="52">
        <f t="shared" si="40"/>
        <v>2.5</v>
      </c>
      <c r="BB78" s="52">
        <v>165</v>
      </c>
    </row>
    <row r="79" spans="1:54" ht="12.75" customHeight="1">
      <c r="A79" s="52" t="s">
        <v>609</v>
      </c>
      <c r="B79" s="62" t="s">
        <v>610</v>
      </c>
      <c r="C79" s="52" t="s">
        <v>159</v>
      </c>
      <c r="D79" s="52">
        <v>1</v>
      </c>
      <c r="E79" s="52">
        <v>93.95</v>
      </c>
      <c r="F79" s="52">
        <v>95.78</v>
      </c>
      <c r="G79" s="100">
        <f t="shared" si="26"/>
        <v>1.9106285237001444</v>
      </c>
      <c r="H79" s="52">
        <v>272.39</v>
      </c>
      <c r="I79" s="52">
        <v>14.43</v>
      </c>
      <c r="J79" s="52">
        <v>8.93</v>
      </c>
      <c r="K79" s="52">
        <v>5.43</v>
      </c>
      <c r="L79" s="52">
        <v>5.13</v>
      </c>
      <c r="M79" s="52">
        <v>39.44</v>
      </c>
      <c r="N79" s="52">
        <v>18.68</v>
      </c>
      <c r="O79" s="52">
        <v>163.74</v>
      </c>
      <c r="P79" s="100">
        <f t="shared" si="27"/>
        <v>11.347193347193349</v>
      </c>
      <c r="Q79" s="52">
        <v>72.19</v>
      </c>
      <c r="R79" s="52">
        <v>0</v>
      </c>
      <c r="S79" s="100">
        <v>0.45</v>
      </c>
      <c r="T79" s="52">
        <v>408.79</v>
      </c>
      <c r="U79" s="52">
        <v>123.79</v>
      </c>
      <c r="V79" s="52">
        <v>1</v>
      </c>
      <c r="W79" s="52">
        <v>1</v>
      </c>
      <c r="X79" s="52">
        <v>0.6</v>
      </c>
      <c r="Y79" s="52">
        <v>1.05</v>
      </c>
      <c r="Z79" s="52">
        <v>0.05</v>
      </c>
      <c r="AA79" s="103">
        <f t="shared" si="28"/>
        <v>0</v>
      </c>
      <c r="AB79" s="52">
        <v>0</v>
      </c>
      <c r="AC79" s="101">
        <f t="shared" si="29"/>
        <v>0</v>
      </c>
      <c r="AD79" s="52">
        <v>71.38</v>
      </c>
      <c r="AE79" s="52">
        <v>5.52</v>
      </c>
      <c r="AF79" s="52">
        <v>25.37</v>
      </c>
      <c r="AG79" s="101">
        <f t="shared" si="30"/>
        <v>4.6500000000000004</v>
      </c>
      <c r="AH79" s="101">
        <f t="shared" si="31"/>
        <v>4.6500000000000004</v>
      </c>
      <c r="AI79" s="101">
        <v>18</v>
      </c>
      <c r="AJ79" s="104">
        <f t="shared" si="32"/>
        <v>0.95</v>
      </c>
      <c r="AK79" s="101">
        <f t="shared" si="33"/>
        <v>15.903</v>
      </c>
      <c r="AL79" s="50">
        <f t="shared" si="34"/>
        <v>1</v>
      </c>
      <c r="AM79" s="97" t="str">
        <f t="shared" si="35"/>
        <v>Sai Parenteral&amp;#x27;</v>
      </c>
      <c r="AN79" s="52">
        <v>27</v>
      </c>
      <c r="AO79" s="99">
        <f t="shared" si="41"/>
        <v>0</v>
      </c>
      <c r="AP79" s="100">
        <f t="shared" si="36"/>
        <v>0</v>
      </c>
      <c r="AQ79" s="100">
        <v>1</v>
      </c>
      <c r="AR79" s="100">
        <f t="shared" si="37"/>
        <v>5</v>
      </c>
      <c r="AS79" s="52">
        <v>392</v>
      </c>
      <c r="AT79" s="52">
        <v>70</v>
      </c>
      <c r="AU79" s="52">
        <v>90</v>
      </c>
      <c r="AV79" s="101">
        <f t="shared" si="38"/>
        <v>80</v>
      </c>
      <c r="AW79" s="52">
        <v>400</v>
      </c>
      <c r="AX79" s="101">
        <f t="shared" si="42"/>
        <v>290.66666666666669</v>
      </c>
      <c r="AY79" s="52">
        <f t="shared" si="39"/>
        <v>-77.040816326530617</v>
      </c>
      <c r="AZ79" s="52">
        <f t="shared" si="40"/>
        <v>-4</v>
      </c>
      <c r="BB79" s="52">
        <v>406</v>
      </c>
    </row>
    <row r="80" spans="1:54" ht="12.75" customHeight="1">
      <c r="A80" s="52" t="s">
        <v>611</v>
      </c>
      <c r="B80" s="62" t="s">
        <v>612</v>
      </c>
      <c r="C80" s="52" t="s">
        <v>159</v>
      </c>
      <c r="D80" s="52">
        <v>0</v>
      </c>
      <c r="E80" s="52">
        <v>784.06</v>
      </c>
      <c r="F80" s="52">
        <v>379.18</v>
      </c>
      <c r="G80" s="100">
        <f t="shared" si="26"/>
        <v>-106.77778363837753</v>
      </c>
      <c r="H80" s="52">
        <v>1549.03</v>
      </c>
      <c r="I80" s="52">
        <v>60.82</v>
      </c>
      <c r="J80" s="52">
        <v>4.76</v>
      </c>
      <c r="K80" s="52">
        <v>7.35</v>
      </c>
      <c r="L80" s="52">
        <v>11.87</v>
      </c>
      <c r="M80" s="52">
        <v>163.65</v>
      </c>
      <c r="N80" s="52">
        <v>10.36</v>
      </c>
      <c r="O80" s="52">
        <v>2004.03</v>
      </c>
      <c r="P80" s="100">
        <f t="shared" si="27"/>
        <v>32.9501808615587</v>
      </c>
      <c r="Q80" s="52">
        <v>28.86</v>
      </c>
      <c r="R80" s="52">
        <v>22.56</v>
      </c>
      <c r="S80" s="100">
        <v>-0.9</v>
      </c>
      <c r="T80" s="52">
        <v>440</v>
      </c>
      <c r="U80" s="52">
        <v>0</v>
      </c>
      <c r="V80" s="52">
        <v>0</v>
      </c>
      <c r="W80" s="52">
        <v>1</v>
      </c>
      <c r="X80" s="52">
        <v>5</v>
      </c>
      <c r="Y80" s="52">
        <v>9</v>
      </c>
      <c r="Z80" s="52">
        <v>1</v>
      </c>
      <c r="AA80" s="103">
        <f t="shared" si="28"/>
        <v>0</v>
      </c>
      <c r="AB80" s="52">
        <v>3.77</v>
      </c>
      <c r="AC80" s="101">
        <f t="shared" si="29"/>
        <v>1.2566666666666666</v>
      </c>
      <c r="AD80" s="52">
        <v>100</v>
      </c>
      <c r="AE80" s="52">
        <v>29.17</v>
      </c>
      <c r="AF80" s="52">
        <v>21.73</v>
      </c>
      <c r="AG80" s="101">
        <f t="shared" si="30"/>
        <v>2.1</v>
      </c>
      <c r="AH80" s="101">
        <f t="shared" si="31"/>
        <v>3.3566666666666665</v>
      </c>
      <c r="AI80" s="101">
        <v>21</v>
      </c>
      <c r="AJ80" s="104">
        <f t="shared" si="32"/>
        <v>0.95</v>
      </c>
      <c r="AK80" s="101">
        <f t="shared" si="33"/>
        <v>8.3758333333333326</v>
      </c>
      <c r="AL80" s="50">
        <f t="shared" si="34"/>
        <v>0</v>
      </c>
      <c r="AM80" s="97" t="str">
        <f t="shared" si="35"/>
        <v>Amir Chand Jagdish K</v>
      </c>
      <c r="AN80" s="52">
        <v>27</v>
      </c>
      <c r="AO80" s="99">
        <f t="shared" si="41"/>
        <v>0</v>
      </c>
      <c r="AP80" s="100">
        <f t="shared" si="36"/>
        <v>0</v>
      </c>
      <c r="AQ80" s="100">
        <v>1</v>
      </c>
      <c r="AR80" s="100">
        <f t="shared" si="37"/>
        <v>5</v>
      </c>
      <c r="AS80" s="52">
        <v>212</v>
      </c>
      <c r="AT80" s="52">
        <v>122</v>
      </c>
      <c r="AU80" s="52">
        <v>141</v>
      </c>
      <c r="AV80" s="101">
        <f t="shared" si="38"/>
        <v>131.5</v>
      </c>
      <c r="AW80" s="52">
        <v>200</v>
      </c>
      <c r="AX80" s="101">
        <f t="shared" si="42"/>
        <v>181.16666666666666</v>
      </c>
      <c r="AY80" s="52">
        <f t="shared" si="39"/>
        <v>-33.490566037735846</v>
      </c>
      <c r="AZ80" s="52">
        <f t="shared" si="40"/>
        <v>-2</v>
      </c>
    </row>
    <row r="81" spans="1:58" ht="12.75" customHeight="1">
      <c r="A81" s="52" t="s">
        <v>613</v>
      </c>
      <c r="B81" s="62" t="s">
        <v>614</v>
      </c>
      <c r="C81" s="52" t="s">
        <v>159</v>
      </c>
      <c r="D81" s="52">
        <v>1</v>
      </c>
      <c r="E81" s="52">
        <v>300.8</v>
      </c>
      <c r="F81" s="52">
        <v>1085.5999999999999</v>
      </c>
      <c r="G81" s="100">
        <f t="shared" si="26"/>
        <v>72.291820191599115</v>
      </c>
      <c r="H81" s="52">
        <v>2414.83</v>
      </c>
      <c r="I81" s="52">
        <v>175.83</v>
      </c>
      <c r="J81" s="52">
        <v>9.1199999999999992</v>
      </c>
      <c r="K81" s="52">
        <v>16.16</v>
      </c>
      <c r="L81" s="52">
        <v>11.6</v>
      </c>
      <c r="M81" s="52">
        <v>345.66</v>
      </c>
      <c r="N81" s="52">
        <v>15.23</v>
      </c>
      <c r="O81" s="52">
        <v>2710.93</v>
      </c>
      <c r="P81" s="100">
        <f t="shared" si="27"/>
        <v>15.417903656941363</v>
      </c>
      <c r="Q81" s="52">
        <v>24.45</v>
      </c>
      <c r="R81" s="52">
        <v>18.579999999999998</v>
      </c>
      <c r="S81" s="100">
        <v>0.7</v>
      </c>
      <c r="T81" s="52">
        <v>1100</v>
      </c>
      <c r="U81" s="52">
        <v>400</v>
      </c>
      <c r="V81" s="52">
        <v>1</v>
      </c>
      <c r="W81" s="52">
        <v>1</v>
      </c>
      <c r="X81" s="52">
        <v>4.74</v>
      </c>
      <c r="Y81" s="52">
        <v>0.47</v>
      </c>
      <c r="Z81" s="52">
        <v>0.16</v>
      </c>
      <c r="AA81" s="103">
        <f t="shared" si="28"/>
        <v>1</v>
      </c>
      <c r="AB81" s="52">
        <v>0.7</v>
      </c>
      <c r="AC81" s="101">
        <f t="shared" si="29"/>
        <v>0.23333333333333331</v>
      </c>
      <c r="AD81" s="52">
        <v>-22.24</v>
      </c>
      <c r="AE81" s="52">
        <v>15.03</v>
      </c>
      <c r="AF81" s="52">
        <v>18.97</v>
      </c>
      <c r="AG81" s="101">
        <f t="shared" si="30"/>
        <v>5.8</v>
      </c>
      <c r="AH81" s="101">
        <f t="shared" si="31"/>
        <v>7.0333333333333332</v>
      </c>
      <c r="AI81" s="101">
        <v>20</v>
      </c>
      <c r="AJ81" s="104">
        <f t="shared" si="32"/>
        <v>0.95</v>
      </c>
      <c r="AK81" s="101">
        <f t="shared" si="33"/>
        <v>21.007666666666665</v>
      </c>
      <c r="AL81" s="50">
        <f t="shared" si="34"/>
        <v>1</v>
      </c>
      <c r="AM81" s="97" t="str">
        <f t="shared" si="35"/>
        <v>Powerica Date, Price</v>
      </c>
      <c r="AN81" s="52">
        <v>27</v>
      </c>
      <c r="AO81" s="99">
        <f t="shared" si="41"/>
        <v>0</v>
      </c>
      <c r="AP81" s="100">
        <f t="shared" si="36"/>
        <v>0</v>
      </c>
      <c r="AQ81" s="100">
        <v>1</v>
      </c>
      <c r="AR81" s="100">
        <f t="shared" si="37"/>
        <v>5</v>
      </c>
      <c r="AS81" s="52">
        <v>395</v>
      </c>
      <c r="AT81" s="52">
        <v>531</v>
      </c>
      <c r="AU81" s="52">
        <v>637</v>
      </c>
      <c r="AV81" s="101">
        <f t="shared" si="38"/>
        <v>584</v>
      </c>
      <c r="AW81" s="52">
        <v>366</v>
      </c>
      <c r="AX81" s="101">
        <f t="shared" si="42"/>
        <v>448.33333333333331</v>
      </c>
      <c r="AY81" s="52">
        <f t="shared" si="39"/>
        <v>61.265822784810126</v>
      </c>
      <c r="AZ81" s="52">
        <f t="shared" si="40"/>
        <v>2.5</v>
      </c>
      <c r="BB81" s="52">
        <v>396</v>
      </c>
    </row>
    <row r="82" spans="1:58" ht="12.75" customHeight="1">
      <c r="A82" s="52" t="s">
        <v>615</v>
      </c>
      <c r="B82" s="62" t="s">
        <v>616</v>
      </c>
      <c r="C82" s="52" t="s">
        <v>159</v>
      </c>
      <c r="D82" s="52">
        <v>1</v>
      </c>
      <c r="E82" s="52">
        <v>18.899999999999999</v>
      </c>
      <c r="F82" s="52">
        <v>72.650000000000006</v>
      </c>
      <c r="G82" s="100">
        <f t="shared" si="26"/>
        <v>73.984858912594632</v>
      </c>
      <c r="H82" s="52">
        <v>150.16999999999999</v>
      </c>
      <c r="I82" s="52">
        <v>22.08</v>
      </c>
      <c r="J82" s="52">
        <v>8.4499999999999993</v>
      </c>
      <c r="K82" s="52">
        <v>8.2799999999999994</v>
      </c>
      <c r="L82" s="52">
        <v>24.28</v>
      </c>
      <c r="M82" s="52">
        <v>35.659999999999997</v>
      </c>
      <c r="N82" s="52">
        <v>12.38</v>
      </c>
      <c r="O82" s="52">
        <v>281.64999999999998</v>
      </c>
      <c r="P82" s="100">
        <f t="shared" si="27"/>
        <v>12.75588768115942</v>
      </c>
      <c r="Q82" s="52">
        <v>21.13</v>
      </c>
      <c r="R82" s="52">
        <v>19.23</v>
      </c>
      <c r="S82" s="100">
        <v>0.7</v>
      </c>
      <c r="T82" s="52">
        <v>150.06</v>
      </c>
      <c r="U82" s="52">
        <v>17.5</v>
      </c>
      <c r="V82" s="52">
        <v>1</v>
      </c>
      <c r="W82" s="52">
        <v>1</v>
      </c>
      <c r="X82" s="52">
        <v>3.6472000000000002</v>
      </c>
      <c r="Y82" s="52">
        <v>7.0624000000000002</v>
      </c>
      <c r="Z82" s="52">
        <v>1.5427999999999999</v>
      </c>
      <c r="AA82" s="103">
        <f t="shared" si="28"/>
        <v>0</v>
      </c>
      <c r="AB82" s="52">
        <v>0.23499999999999999</v>
      </c>
      <c r="AC82" s="101">
        <f t="shared" si="29"/>
        <v>7.8333333333333324E-2</v>
      </c>
      <c r="AD82" s="52">
        <v>197.98</v>
      </c>
      <c r="AE82" s="52">
        <v>52.75</v>
      </c>
      <c r="AF82" s="52">
        <v>43.46</v>
      </c>
      <c r="AG82" s="101">
        <f t="shared" si="30"/>
        <v>7.8</v>
      </c>
      <c r="AH82" s="101">
        <f t="shared" si="31"/>
        <v>9.8783333333333339</v>
      </c>
      <c r="AI82" s="101">
        <v>18.59</v>
      </c>
      <c r="AJ82" s="104">
        <f t="shared" si="32"/>
        <v>0.95</v>
      </c>
      <c r="AK82" s="101">
        <f t="shared" si="33"/>
        <v>28.650416666666668</v>
      </c>
      <c r="AL82" s="50">
        <f t="shared" si="34"/>
        <v>1</v>
      </c>
      <c r="AM82" s="97" t="str">
        <f t="shared" si="35"/>
        <v>Om Power Transmission</v>
      </c>
      <c r="AN82" s="130">
        <v>13</v>
      </c>
      <c r="AO82" s="99">
        <f t="shared" si="41"/>
        <v>1</v>
      </c>
      <c r="AP82" s="132">
        <f t="shared" si="36"/>
        <v>3</v>
      </c>
      <c r="AQ82" s="132">
        <v>1</v>
      </c>
      <c r="AR82" s="132">
        <f t="shared" si="37"/>
        <v>1</v>
      </c>
      <c r="AS82" s="130">
        <v>175</v>
      </c>
      <c r="AT82" s="130">
        <v>165</v>
      </c>
      <c r="AU82" s="130">
        <v>230</v>
      </c>
      <c r="AV82" s="133">
        <f t="shared" si="38"/>
        <v>197.5</v>
      </c>
      <c r="AW82" s="130">
        <v>178</v>
      </c>
      <c r="AX82" s="101">
        <f t="shared" si="42"/>
        <v>183.5</v>
      </c>
      <c r="AY82" s="130">
        <f t="shared" si="39"/>
        <v>31.428571428571427</v>
      </c>
      <c r="AZ82" s="52">
        <f t="shared" si="40"/>
        <v>2.5</v>
      </c>
      <c r="BB82" s="52">
        <v>193</v>
      </c>
    </row>
    <row r="83" spans="1:58" ht="12.75" customHeight="1">
      <c r="A83" s="52" t="s">
        <v>617</v>
      </c>
      <c r="B83" s="62" t="s">
        <v>618</v>
      </c>
      <c r="C83" s="52" t="s">
        <v>159</v>
      </c>
      <c r="D83" s="52">
        <v>1</v>
      </c>
      <c r="E83" s="52">
        <v>1507.58</v>
      </c>
      <c r="F83" s="52">
        <v>1005.99</v>
      </c>
      <c r="G83" s="100">
        <f t="shared" si="26"/>
        <v>-49.860336583862654</v>
      </c>
      <c r="H83" s="52">
        <v>2701.1</v>
      </c>
      <c r="I83" s="52">
        <v>160.62</v>
      </c>
      <c r="J83" s="52">
        <v>0</v>
      </c>
      <c r="K83" s="52">
        <v>13.52</v>
      </c>
      <c r="L83" s="52">
        <v>23.51</v>
      </c>
      <c r="M83" s="52">
        <v>403.37</v>
      </c>
      <c r="N83" s="52">
        <v>0</v>
      </c>
      <c r="O83" s="52">
        <v>1352.69</v>
      </c>
      <c r="P83" s="100">
        <f t="shared" si="27"/>
        <v>8.4216784958286635</v>
      </c>
      <c r="Q83" s="52">
        <v>12.65</v>
      </c>
      <c r="R83" s="52">
        <v>10.84</v>
      </c>
      <c r="S83" s="100">
        <v>0</v>
      </c>
      <c r="T83" s="52">
        <v>925.92</v>
      </c>
      <c r="U83" s="52">
        <v>75.919999999999959</v>
      </c>
      <c r="V83" s="52">
        <v>1</v>
      </c>
      <c r="W83" s="52">
        <v>1</v>
      </c>
      <c r="X83" s="52">
        <v>25.97</v>
      </c>
      <c r="Y83" s="52">
        <v>6.91</v>
      </c>
      <c r="Z83" s="52">
        <v>2.13</v>
      </c>
      <c r="AA83" s="103">
        <f t="shared" si="28"/>
        <v>1</v>
      </c>
      <c r="AB83" s="52">
        <v>0</v>
      </c>
      <c r="AC83" s="101">
        <f t="shared" si="29"/>
        <v>0</v>
      </c>
      <c r="AD83" s="52">
        <v>-18.59</v>
      </c>
      <c r="AE83" s="52">
        <v>-20.440000000000001</v>
      </c>
      <c r="AF83" s="52">
        <v>25.03</v>
      </c>
      <c r="AG83" s="101">
        <f t="shared" si="30"/>
        <v>2</v>
      </c>
      <c r="AH83" s="101">
        <f t="shared" si="31"/>
        <v>5</v>
      </c>
      <c r="AI83" s="101">
        <v>16.204999999999998</v>
      </c>
      <c r="AJ83" s="104">
        <f t="shared" si="32"/>
        <v>0.95</v>
      </c>
      <c r="AK83" s="101">
        <f t="shared" si="33"/>
        <v>9.2054999999999989</v>
      </c>
      <c r="AL83" s="50">
        <f t="shared" si="34"/>
        <v>1</v>
      </c>
      <c r="AM83" s="97" t="str">
        <f t="shared" si="35"/>
        <v>OnEMI Technology  Pri</v>
      </c>
      <c r="AN83" s="52">
        <v>5</v>
      </c>
      <c r="AO83" s="99">
        <f t="shared" si="41"/>
        <v>0</v>
      </c>
      <c r="AP83" s="100">
        <f t="shared" si="36"/>
        <v>0</v>
      </c>
      <c r="AQ83" s="100">
        <v>0.95</v>
      </c>
      <c r="AR83" s="100">
        <f t="shared" si="37"/>
        <v>5</v>
      </c>
      <c r="AS83" s="52">
        <v>171</v>
      </c>
      <c r="AT83" s="52">
        <v>171</v>
      </c>
      <c r="AU83" s="52">
        <v>233</v>
      </c>
      <c r="AV83" s="101">
        <f t="shared" si="38"/>
        <v>202</v>
      </c>
      <c r="AX83" s="101">
        <f t="shared" si="42"/>
        <v>124.33333333333333</v>
      </c>
      <c r="AY83" s="52">
        <f t="shared" si="39"/>
        <v>36.257309941520468</v>
      </c>
      <c r="AZ83" s="52">
        <f t="shared" si="40"/>
        <v>2.5</v>
      </c>
      <c r="BB83" s="52">
        <v>208</v>
      </c>
    </row>
    <row r="84" spans="1:58" ht="12.75" customHeight="1">
      <c r="A84" s="52" t="s">
        <v>619</v>
      </c>
      <c r="B84" s="62" t="s">
        <v>620</v>
      </c>
      <c r="C84" s="52" t="s">
        <v>159</v>
      </c>
      <c r="D84" s="52">
        <v>1</v>
      </c>
      <c r="E84" s="52">
        <v>26.6</v>
      </c>
      <c r="F84" s="52">
        <v>195.6</v>
      </c>
      <c r="G84" s="100">
        <v>86.4</v>
      </c>
      <c r="H84" s="52">
        <v>261.36</v>
      </c>
      <c r="I84" s="52">
        <v>24.38</v>
      </c>
      <c r="J84" s="52">
        <v>9.81</v>
      </c>
      <c r="K84" s="52">
        <v>1.98</v>
      </c>
      <c r="L84" s="52">
        <v>13.02</v>
      </c>
      <c r="M84" s="52">
        <v>40.07</v>
      </c>
      <c r="N84" s="52">
        <v>14.03</v>
      </c>
      <c r="O84" s="52">
        <v>331.29</v>
      </c>
      <c r="P84" s="100">
        <v>13.59</v>
      </c>
      <c r="Q84" s="52">
        <v>22.69</v>
      </c>
      <c r="R84" s="52">
        <v>15.35</v>
      </c>
      <c r="S84" s="100">
        <v>0</v>
      </c>
      <c r="T84" s="52">
        <v>138.87</v>
      </c>
      <c r="U84" s="52">
        <v>0</v>
      </c>
      <c r="V84" s="52">
        <v>1</v>
      </c>
      <c r="W84" s="52">
        <v>1</v>
      </c>
      <c r="X84" s="52">
        <v>0</v>
      </c>
      <c r="Y84" s="52">
        <v>0</v>
      </c>
      <c r="Z84" s="52">
        <v>0</v>
      </c>
      <c r="AA84" s="103">
        <v>1</v>
      </c>
      <c r="AB84" s="52">
        <v>0</v>
      </c>
      <c r="AC84" s="101">
        <v>0</v>
      </c>
      <c r="AD84" s="52">
        <v>99.67</v>
      </c>
      <c r="AE84" s="52">
        <v>8.76</v>
      </c>
      <c r="AF84" s="52">
        <v>10.95</v>
      </c>
      <c r="AG84" s="101">
        <v>5.0999999999999996</v>
      </c>
      <c r="AH84" s="101">
        <v>6.1</v>
      </c>
      <c r="AI84" s="101">
        <v>18.850000000000001</v>
      </c>
      <c r="AJ84" s="104">
        <f t="shared" si="32"/>
        <v>0.95</v>
      </c>
      <c r="AK84" s="101">
        <f t="shared" si="33"/>
        <v>18.391999999999999</v>
      </c>
      <c r="AL84" s="50">
        <f t="shared" si="34"/>
        <v>1</v>
      </c>
      <c r="AM84" s="97" t="str">
        <f t="shared" si="35"/>
        <v>Hexagon Nutrition  Pr</v>
      </c>
      <c r="AN84" s="52">
        <v>9</v>
      </c>
      <c r="AO84" s="99">
        <f t="shared" si="41"/>
        <v>0</v>
      </c>
      <c r="AP84" s="100">
        <f t="shared" si="36"/>
        <v>0</v>
      </c>
      <c r="AQ84" s="100">
        <v>1</v>
      </c>
      <c r="AR84" s="100">
        <f t="shared" si="37"/>
        <v>5</v>
      </c>
      <c r="AS84" s="52">
        <v>45</v>
      </c>
      <c r="AT84" s="52">
        <v>45</v>
      </c>
      <c r="AU84" s="52">
        <v>45</v>
      </c>
      <c r="AV84" s="101">
        <f t="shared" si="38"/>
        <v>45</v>
      </c>
      <c r="AX84" s="101">
        <f t="shared" si="42"/>
        <v>30</v>
      </c>
      <c r="AY84" s="52">
        <f t="shared" si="39"/>
        <v>0</v>
      </c>
      <c r="AZ84" s="52">
        <f t="shared" si="40"/>
        <v>0</v>
      </c>
    </row>
    <row r="85" spans="1:58" ht="12.75" customHeight="1">
      <c r="A85" s="52" t="s">
        <v>621</v>
      </c>
      <c r="B85" s="62" t="s">
        <v>622</v>
      </c>
      <c r="C85" s="52" t="s">
        <v>159</v>
      </c>
      <c r="D85" s="52">
        <v>1</v>
      </c>
      <c r="E85" s="52">
        <v>894.03</v>
      </c>
      <c r="F85" s="52">
        <v>458.38</v>
      </c>
      <c r="G85" s="100">
        <f>100*(F85-E85)/F85</f>
        <v>-95.041232165452243</v>
      </c>
      <c r="H85" s="52">
        <v>2815.86</v>
      </c>
      <c r="I85" s="52">
        <v>155.04</v>
      </c>
      <c r="J85" s="52">
        <v>2.59</v>
      </c>
      <c r="K85" s="52">
        <v>7.08</v>
      </c>
      <c r="L85" s="52">
        <v>0.1</v>
      </c>
      <c r="M85" s="52">
        <v>328.62</v>
      </c>
      <c r="N85" s="52">
        <v>5.17</v>
      </c>
      <c r="O85" s="52">
        <v>6696.66</v>
      </c>
      <c r="P85" s="100">
        <f>O85/I85</f>
        <v>43.193111455108358</v>
      </c>
      <c r="Q85" s="52">
        <v>27.13</v>
      </c>
      <c r="R85" s="52">
        <v>19.420000000000002</v>
      </c>
      <c r="S85" s="100">
        <v>0</v>
      </c>
      <c r="T85" s="52">
        <v>630.88</v>
      </c>
      <c r="U85" s="52">
        <v>0</v>
      </c>
      <c r="V85" s="52">
        <v>1</v>
      </c>
      <c r="W85" s="52">
        <v>1</v>
      </c>
      <c r="X85" s="52">
        <v>16.399999999999999</v>
      </c>
      <c r="Y85" s="52">
        <v>103.26</v>
      </c>
      <c r="Z85" s="52">
        <v>17.63</v>
      </c>
      <c r="AA85" s="103">
        <f>IF(X85&lt;33,IF(Y85&gt;(1.1*X85),0,1),1)+IF(Y85&gt;(4*X85),-1,0)</f>
        <v>-1</v>
      </c>
      <c r="AB85" s="52">
        <v>40</v>
      </c>
      <c r="AC85" s="101">
        <f>IF(AB85&gt;9,1,0)+AB85/3+IF(AB85&gt;15,1,0)+IF(AB85&gt;20,1,0)</f>
        <v>16.333333333333336</v>
      </c>
      <c r="AD85" s="52">
        <v>-118.49</v>
      </c>
      <c r="AE85" s="52">
        <v>12.2</v>
      </c>
      <c r="AF85" s="52">
        <v>44.35</v>
      </c>
      <c r="AG85" s="101">
        <f>IF(G85&lt;0,0,1.2)+IF(G85&lt;14,0,0.9)+IF(P85&lt;0,0.7,0)+IF(P85&lt;6.5,1,0)+IF(P85&lt;23,1,0)+IF(R85&gt;80,0,1)+S85+IF(AD85&lt;20,0,1)+IF(AE85&lt;14,0,1)+IF(AF85&lt;26,0,1)</f>
        <v>2</v>
      </c>
      <c r="AH85" s="101">
        <f>AG85+IF(AG85&gt;6,1,0)+IF(X85&lt;17,0,1)+IF(Y85&lt;11,0,1)+IF(Z85&lt;1.35,0,1)+AC85+AA85</f>
        <v>19.333333333333336</v>
      </c>
      <c r="AI85" s="101">
        <v>16.195</v>
      </c>
      <c r="AJ85" s="104">
        <f t="shared" si="32"/>
        <v>0.95</v>
      </c>
      <c r="AK85" s="101">
        <f t="shared" si="33"/>
        <v>22.141333333333336</v>
      </c>
      <c r="AL85" s="50">
        <f t="shared" si="34"/>
        <v>1</v>
      </c>
      <c r="AM85" s="97" t="str">
        <f t="shared" si="35"/>
        <v>CMR Green Technologie</v>
      </c>
      <c r="AN85" s="52">
        <v>5</v>
      </c>
      <c r="AO85" s="99">
        <f t="shared" si="41"/>
        <v>0</v>
      </c>
      <c r="AP85" s="100">
        <f t="shared" si="36"/>
        <v>0</v>
      </c>
      <c r="AQ85" s="100">
        <v>0.95</v>
      </c>
      <c r="AR85" s="100">
        <f t="shared" si="37"/>
        <v>5</v>
      </c>
      <c r="AS85" s="52">
        <v>192</v>
      </c>
      <c r="AT85" s="52">
        <v>216</v>
      </c>
      <c r="AU85" s="52">
        <v>243</v>
      </c>
      <c r="AV85" s="101">
        <f t="shared" si="38"/>
        <v>229.5</v>
      </c>
      <c r="AX85" s="101">
        <f t="shared" si="42"/>
        <v>140.5</v>
      </c>
      <c r="AY85" s="52">
        <f t="shared" si="39"/>
        <v>26.5625</v>
      </c>
      <c r="AZ85" s="52">
        <f t="shared" si="40"/>
        <v>2.5</v>
      </c>
    </row>
    <row r="86" spans="1:58" ht="12.75" customHeight="1">
      <c r="A86" s="52" t="s">
        <v>623</v>
      </c>
      <c r="B86" s="62" t="s">
        <v>624</v>
      </c>
      <c r="C86" s="52" t="s">
        <v>159</v>
      </c>
      <c r="D86" s="52">
        <v>1</v>
      </c>
      <c r="E86" s="52">
        <v>74.8</v>
      </c>
      <c r="F86" s="52">
        <v>58.13</v>
      </c>
      <c r="G86" s="100">
        <f>100*(F86-E86)/F86</f>
        <v>-28.677103044899354</v>
      </c>
      <c r="H86" s="52">
        <v>140.85</v>
      </c>
      <c r="I86" s="52">
        <v>25.37</v>
      </c>
      <c r="J86" s="52">
        <v>20.55</v>
      </c>
      <c r="K86" s="52">
        <v>7.5</v>
      </c>
      <c r="L86" s="52">
        <v>35.89</v>
      </c>
      <c r="M86" s="52">
        <v>37.15</v>
      </c>
      <c r="N86" s="52">
        <v>29.63</v>
      </c>
      <c r="O86" s="52">
        <v>124.94</v>
      </c>
      <c r="P86" s="100">
        <f>O86/I86</f>
        <v>4.9247142294048087</v>
      </c>
      <c r="Q86" s="52">
        <v>18.41</v>
      </c>
      <c r="R86" s="52">
        <v>18.64</v>
      </c>
      <c r="S86" s="100">
        <v>0</v>
      </c>
      <c r="T86" s="52">
        <v>165.16</v>
      </c>
      <c r="U86" s="52">
        <v>0</v>
      </c>
      <c r="V86" s="52">
        <v>1</v>
      </c>
      <c r="W86" s="52">
        <v>1</v>
      </c>
      <c r="X86" s="52">
        <v>174.98</v>
      </c>
      <c r="Y86" s="52">
        <v>536.38</v>
      </c>
      <c r="Z86" s="52">
        <v>95.3</v>
      </c>
      <c r="AA86" s="103">
        <f>IF(X86&lt;33,IF(Y86&gt;(1.1*X86),0,1),1)+IF(Y86&gt;(4*X86),-1,0)</f>
        <v>1</v>
      </c>
      <c r="AB86" s="52">
        <v>0</v>
      </c>
      <c r="AC86" s="101">
        <f>IF(AB86&gt;9,1,0)+AB86/3+IF(AB86&gt;15,1,0)+IF(AB86&gt;20,1,0)</f>
        <v>0</v>
      </c>
      <c r="AD86" s="52">
        <v>72.47</v>
      </c>
      <c r="AE86" s="52">
        <v>79.900000000000006</v>
      </c>
      <c r="AF86" s="52">
        <v>77.23</v>
      </c>
      <c r="AG86" s="101">
        <f>IF(G86&lt;0,0,1.2)+IF(G86&lt;14,0,0.9)+IF(P86&lt;0,0.7,0)+IF(P86&lt;6.5,1,0)+IF(P86&lt;23,1,0)+IF(R86&gt;80,0,1)+S86+IF(AD86&lt;20,0,1)+IF(AE86&lt;14,0,1)+IF(AF86&lt;26,0,1)</f>
        <v>6</v>
      </c>
      <c r="AH86" s="101">
        <f>AG86+IF(AG86&gt;6,1,0)+IF(X86&lt;17,0,1)+IF(Y86&lt;11,0,1)+IF(Z86&lt;1.35,0,1)+AC86+AA86</f>
        <v>10</v>
      </c>
      <c r="AI86" s="101">
        <v>13.27</v>
      </c>
      <c r="AJ86" s="104">
        <f t="shared" si="32"/>
        <v>0.98</v>
      </c>
      <c r="AK86" s="101">
        <f t="shared" si="33"/>
        <v>25.088000000000001</v>
      </c>
      <c r="AL86" s="50">
        <f t="shared" si="34"/>
        <v>1</v>
      </c>
      <c r="AM86" s="97" t="str">
        <f t="shared" si="35"/>
        <v xml:space="preserve">Advit Jewels  Price, </v>
      </c>
      <c r="AN86" s="52">
        <v>25</v>
      </c>
      <c r="AO86" s="99">
        <f t="shared" si="41"/>
        <v>1</v>
      </c>
      <c r="AP86" s="100">
        <f t="shared" si="36"/>
        <v>0</v>
      </c>
      <c r="AQ86" s="100">
        <v>1</v>
      </c>
      <c r="AR86" s="100">
        <f t="shared" si="37"/>
        <v>1</v>
      </c>
      <c r="AV86" s="101">
        <f t="shared" si="38"/>
        <v>0</v>
      </c>
      <c r="AX86" s="101">
        <f t="shared" si="42"/>
        <v>0</v>
      </c>
      <c r="AY86" s="52" t="e">
        <f t="shared" si="39"/>
        <v>#DIV/0!</v>
      </c>
      <c r="AZ86" s="52" t="e">
        <f t="shared" si="40"/>
        <v>#DIV/0!</v>
      </c>
    </row>
    <row r="87" spans="1:58" ht="12.75" customHeight="1">
      <c r="A87" s="52" t="s">
        <v>625</v>
      </c>
      <c r="B87" s="62" t="s">
        <v>626</v>
      </c>
      <c r="C87" s="52" t="s">
        <v>159</v>
      </c>
      <c r="D87" s="52">
        <v>0</v>
      </c>
      <c r="E87" s="52">
        <v>0</v>
      </c>
      <c r="F87" s="52">
        <v>121.05</v>
      </c>
      <c r="G87" s="100">
        <f>100*(F87-E87)/F87</f>
        <v>100</v>
      </c>
      <c r="H87" s="52">
        <v>274.2</v>
      </c>
      <c r="I87" s="52">
        <v>22.92</v>
      </c>
      <c r="J87" s="52">
        <v>5.6</v>
      </c>
      <c r="K87" s="52">
        <v>7.24</v>
      </c>
      <c r="L87" s="52">
        <v>12.8</v>
      </c>
      <c r="M87" s="52">
        <v>46.36</v>
      </c>
      <c r="N87" s="52">
        <v>11.25</v>
      </c>
      <c r="O87" s="52">
        <v>352.17</v>
      </c>
      <c r="P87" s="100">
        <f>O87/I87</f>
        <v>15.365183246073299</v>
      </c>
      <c r="Q87" s="52">
        <v>18.78</v>
      </c>
      <c r="R87" s="52">
        <v>25.65</v>
      </c>
      <c r="S87" s="100">
        <v>0</v>
      </c>
      <c r="T87" s="52">
        <v>170</v>
      </c>
      <c r="U87" s="52">
        <v>0</v>
      </c>
      <c r="V87" s="52">
        <v>0</v>
      </c>
      <c r="W87" s="52">
        <v>1</v>
      </c>
      <c r="X87" s="52">
        <v>3.59</v>
      </c>
      <c r="Y87" s="52">
        <v>8.2899999999999991</v>
      </c>
      <c r="Z87" s="52">
        <v>2.54</v>
      </c>
      <c r="AA87" s="103">
        <f>IF(X87&lt;33,IF(Y87&gt;(1.1*X87),0,1),1)+IF(Y87&gt;(4*X87),-1,0)</f>
        <v>0</v>
      </c>
      <c r="AB87" s="52">
        <v>0</v>
      </c>
      <c r="AC87" s="101">
        <f>IF(AB87&gt;9,1,0)+AB87/3+IF(AB87&gt;15,1,0)+IF(AB87&gt;20,1,0)</f>
        <v>0</v>
      </c>
      <c r="AD87" s="52">
        <v>40.700000000000003</v>
      </c>
      <c r="AE87" s="52">
        <v>15.21</v>
      </c>
      <c r="AF87" s="52">
        <v>58.48</v>
      </c>
      <c r="AG87" s="101">
        <f>IF(G87&lt;0,0,1.2)+IF(G87&lt;14,0,0.9)+IF(P87&lt;0,0.7,0)+IF(P87&lt;6.5,1,0)+IF(P87&lt;23,1,0)+IF(R87&gt;80,0,1)+S87+IF(AD87&lt;20,0,1)+IF(AE87&lt;14,0,1)+IF(AF87&lt;26,0,1)</f>
        <v>7.1</v>
      </c>
      <c r="AH87" s="101">
        <f>AG87+IF(AG87&gt;6,1,0)+IF(X87&lt;17,0,1)+IF(Y87&lt;11,0,1)+IF(Z87&lt;1.35,0,1)+AC87+AA87</f>
        <v>9.1</v>
      </c>
      <c r="AI87" s="101">
        <v>13.27</v>
      </c>
      <c r="AJ87" s="104">
        <f t="shared" si="32"/>
        <v>0.98</v>
      </c>
      <c r="AK87" s="101">
        <f t="shared" si="33"/>
        <v>27.008800000000001</v>
      </c>
      <c r="AL87" s="50">
        <f t="shared" si="34"/>
        <v>0</v>
      </c>
      <c r="AM87" s="97" t="str">
        <f t="shared" si="35"/>
        <v>Aastha Spintex  Price</v>
      </c>
      <c r="AN87" s="52">
        <v>1</v>
      </c>
      <c r="AO87" s="99">
        <f t="shared" si="41"/>
        <v>1</v>
      </c>
      <c r="AP87" s="100">
        <f t="shared" si="36"/>
        <v>2</v>
      </c>
      <c r="AQ87" s="100">
        <v>1</v>
      </c>
      <c r="AR87" s="100">
        <f t="shared" si="37"/>
        <v>0</v>
      </c>
      <c r="AV87" s="101">
        <f t="shared" si="38"/>
        <v>0</v>
      </c>
      <c r="AX87" s="101">
        <f t="shared" si="42"/>
        <v>0</v>
      </c>
      <c r="AY87" s="52" t="e">
        <f t="shared" si="39"/>
        <v>#DIV/0!</v>
      </c>
      <c r="AZ87" s="52" t="e">
        <f t="shared" si="40"/>
        <v>#DIV/0!</v>
      </c>
    </row>
    <row r="88" spans="1:58" ht="12.75" customHeight="1">
      <c r="A88" s="52" t="s">
        <v>627</v>
      </c>
      <c r="B88" s="62" t="s">
        <v>628</v>
      </c>
      <c r="C88" s="52" t="s">
        <v>159</v>
      </c>
      <c r="D88" s="52">
        <v>1</v>
      </c>
      <c r="E88" s="52">
        <v>172.06</v>
      </c>
      <c r="F88" s="52">
        <v>214.71</v>
      </c>
      <c r="G88" s="100">
        <f>100*(F88-E88)/F88</f>
        <v>19.864002608169162</v>
      </c>
      <c r="H88" s="52">
        <v>449.36</v>
      </c>
      <c r="I88" s="52">
        <v>73.81</v>
      </c>
      <c r="J88" s="52">
        <v>10.99</v>
      </c>
      <c r="K88" s="52">
        <v>9.27</v>
      </c>
      <c r="L88" s="52">
        <v>35.75</v>
      </c>
      <c r="M88" s="52">
        <v>144.34</v>
      </c>
      <c r="N88" s="52">
        <v>20.420000000000002</v>
      </c>
      <c r="O88" s="52">
        <v>747.38</v>
      </c>
      <c r="P88" s="100">
        <f>O88/I88</f>
        <v>10.12572822110825</v>
      </c>
      <c r="Q88" s="52">
        <v>18.329999999999998</v>
      </c>
      <c r="R88" s="52">
        <v>0</v>
      </c>
      <c r="S88" s="100">
        <v>0</v>
      </c>
      <c r="T88" s="52">
        <v>439.5</v>
      </c>
      <c r="U88" s="52">
        <v>59.470000000000027</v>
      </c>
      <c r="V88" s="52">
        <v>1</v>
      </c>
      <c r="W88" s="52">
        <v>1</v>
      </c>
      <c r="X88" s="52">
        <v>160.03</v>
      </c>
      <c r="Y88" s="52">
        <v>146.57</v>
      </c>
      <c r="Z88" s="52">
        <v>21.08</v>
      </c>
      <c r="AA88" s="103">
        <f>IF(X88&lt;33,IF(Y88&gt;(1.1*X88),0,1),1)+IF(Y88&gt;(4*X88),-1,0)</f>
        <v>1</v>
      </c>
      <c r="AB88" s="52">
        <v>0</v>
      </c>
      <c r="AC88" s="101">
        <f>IF(AB88&gt;9,1,0)+AB88/3+IF(AB88&gt;15,1,0)+IF(AB88&gt;20,1,0)</f>
        <v>0</v>
      </c>
      <c r="AD88" s="52">
        <v>60.53</v>
      </c>
      <c r="AE88" s="52">
        <v>13.41</v>
      </c>
      <c r="AF88" s="52">
        <v>52.69</v>
      </c>
      <c r="AG88" s="101">
        <f>IF(G88&lt;0,0,1.2)+IF(G88&lt;14,0,0.9)+IF(P88&lt;0,0.7,0)+IF(P88&lt;6.5,1,0)+IF(P88&lt;23,1,0)+IF(R88&gt;80,0,1)+S88+IF(AD88&lt;20,0,1)+IF(AE88&lt;14,0,1)+IF(AF88&lt;26,0,1)</f>
        <v>6.1</v>
      </c>
      <c r="AH88" s="101">
        <f>AG88+IF(AG88&gt;6,1,0)+IF(X88&lt;17,0,1)+IF(Y88&lt;11,0,1)+IF(Z88&lt;1.35,0,1)+AC88+AA88</f>
        <v>11.1</v>
      </c>
      <c r="AI88" s="101">
        <v>13.27</v>
      </c>
      <c r="AJ88" s="104">
        <f t="shared" si="32"/>
        <v>0.98</v>
      </c>
      <c r="AK88" s="101">
        <f t="shared" si="33"/>
        <v>26.4208</v>
      </c>
      <c r="AL88" s="50">
        <f t="shared" si="34"/>
        <v>1</v>
      </c>
      <c r="AM88" s="97" t="str">
        <f t="shared" si="35"/>
        <v>Knack Packaging  Pric</v>
      </c>
      <c r="AN88" s="52">
        <v>3</v>
      </c>
      <c r="AO88" s="99">
        <f t="shared" si="41"/>
        <v>1</v>
      </c>
      <c r="AP88" s="100">
        <f t="shared" si="36"/>
        <v>1</v>
      </c>
      <c r="AQ88" s="100">
        <v>1</v>
      </c>
      <c r="AR88" s="100">
        <f t="shared" si="37"/>
        <v>1</v>
      </c>
      <c r="AV88" s="101">
        <f t="shared" si="38"/>
        <v>0</v>
      </c>
      <c r="AX88" s="101">
        <f t="shared" si="42"/>
        <v>0</v>
      </c>
      <c r="AY88" s="52" t="e">
        <f t="shared" si="39"/>
        <v>#DIV/0!</v>
      </c>
      <c r="AZ88" s="52" t="e">
        <f t="shared" si="40"/>
        <v>#DIV/0!</v>
      </c>
    </row>
    <row r="89" spans="1:58" ht="12.75" customHeight="1">
      <c r="A89" s="52" t="s">
        <v>629</v>
      </c>
      <c r="B89" s="62" t="s">
        <v>630</v>
      </c>
      <c r="C89" s="52" t="s">
        <v>159</v>
      </c>
      <c r="D89" s="52">
        <v>1</v>
      </c>
      <c r="E89" s="52">
        <v>246.5</v>
      </c>
      <c r="F89" s="52">
        <v>257.75</v>
      </c>
      <c r="G89" s="100">
        <v>4.3600000000000003</v>
      </c>
      <c r="H89" s="52">
        <v>632.4</v>
      </c>
      <c r="I89" s="52">
        <v>111.99</v>
      </c>
      <c r="J89" s="52">
        <v>13.8</v>
      </c>
      <c r="K89" s="52">
        <v>9.35</v>
      </c>
      <c r="L89" s="52">
        <v>25.82</v>
      </c>
      <c r="M89" s="52">
        <v>188.39</v>
      </c>
      <c r="N89" s="52">
        <v>27.15</v>
      </c>
      <c r="O89" s="52">
        <v>790.21</v>
      </c>
      <c r="P89" s="100">
        <v>7.06</v>
      </c>
      <c r="Q89" s="52">
        <v>44.8</v>
      </c>
      <c r="R89" s="52">
        <v>44.8</v>
      </c>
      <c r="S89" s="100">
        <v>0</v>
      </c>
      <c r="T89" s="52">
        <v>650</v>
      </c>
      <c r="U89" s="52">
        <v>0</v>
      </c>
      <c r="V89" s="52">
        <v>1</v>
      </c>
      <c r="W89" s="52">
        <v>1</v>
      </c>
      <c r="X89" s="52">
        <v>0</v>
      </c>
      <c r="Y89" s="52">
        <v>0</v>
      </c>
      <c r="Z89" s="52">
        <v>0</v>
      </c>
      <c r="AA89" s="103">
        <v>1</v>
      </c>
      <c r="AB89" s="52">
        <v>0</v>
      </c>
      <c r="AC89" s="101">
        <v>0</v>
      </c>
      <c r="AD89" s="52">
        <v>32.69</v>
      </c>
      <c r="AE89" s="52">
        <v>66.52</v>
      </c>
      <c r="AF89" s="52">
        <v>83.63</v>
      </c>
      <c r="AG89" s="101">
        <v>6.2</v>
      </c>
      <c r="AH89" s="101">
        <v>8.1999999999999993</v>
      </c>
      <c r="AI89" s="101">
        <v>23.7</v>
      </c>
      <c r="AJ89" s="104">
        <f t="shared" si="32"/>
        <v>0.95</v>
      </c>
      <c r="AK89" s="101">
        <f t="shared" si="33"/>
        <v>23.103999999999999</v>
      </c>
      <c r="AL89" s="50">
        <f t="shared" si="34"/>
        <v>1</v>
      </c>
      <c r="AM89" s="97" t="str">
        <f t="shared" si="35"/>
        <v>Kusumgar  Price, GMP,</v>
      </c>
      <c r="AN89" s="52">
        <v>10</v>
      </c>
      <c r="AO89" s="99">
        <f t="shared" si="41"/>
        <v>0</v>
      </c>
      <c r="AP89" s="100">
        <f t="shared" si="36"/>
        <v>0</v>
      </c>
      <c r="AQ89" s="100">
        <v>1</v>
      </c>
      <c r="AR89" s="100">
        <f t="shared" si="37"/>
        <v>5</v>
      </c>
      <c r="AV89" s="101">
        <f t="shared" si="38"/>
        <v>0</v>
      </c>
      <c r="AX89" s="101">
        <f t="shared" si="42"/>
        <v>0</v>
      </c>
      <c r="AY89" s="52" t="e">
        <f t="shared" si="39"/>
        <v>#DIV/0!</v>
      </c>
      <c r="AZ89" s="52" t="e">
        <f t="shared" si="40"/>
        <v>#DIV/0!</v>
      </c>
    </row>
    <row r="90" spans="1:58" ht="12.75" customHeight="1">
      <c r="A90" s="52" t="s">
        <v>631</v>
      </c>
      <c r="B90" s="62" t="s">
        <v>632</v>
      </c>
      <c r="C90" s="52" t="s">
        <v>159</v>
      </c>
      <c r="D90" s="52">
        <v>1</v>
      </c>
      <c r="E90" s="52">
        <v>502.95</v>
      </c>
      <c r="F90" s="52">
        <v>574.58000000000004</v>
      </c>
      <c r="G90" s="100">
        <v>12.47</v>
      </c>
      <c r="H90" s="52">
        <v>2270.17</v>
      </c>
      <c r="I90" s="52">
        <v>106.75</v>
      </c>
      <c r="J90" s="52">
        <v>6.46</v>
      </c>
      <c r="K90" s="52">
        <v>13.18</v>
      </c>
      <c r="L90" s="52">
        <v>23.32</v>
      </c>
      <c r="M90" s="52">
        <v>250.39</v>
      </c>
      <c r="N90" s="52">
        <v>12.96</v>
      </c>
      <c r="O90" s="52">
        <v>2592.5300000000002</v>
      </c>
      <c r="P90" s="100">
        <v>24.29</v>
      </c>
      <c r="Q90" s="52">
        <v>16.239999999999998</v>
      </c>
      <c r="R90" s="52">
        <v>19.82</v>
      </c>
      <c r="S90" s="100">
        <v>0</v>
      </c>
      <c r="T90" s="52">
        <v>742</v>
      </c>
      <c r="U90" s="52">
        <v>200</v>
      </c>
      <c r="V90" s="52">
        <v>1</v>
      </c>
      <c r="W90" s="52">
        <v>1</v>
      </c>
      <c r="X90" s="52">
        <v>97.25</v>
      </c>
      <c r="Y90" s="52">
        <v>45.69</v>
      </c>
      <c r="Z90" s="52">
        <v>6.95</v>
      </c>
      <c r="AA90" s="103">
        <v>1</v>
      </c>
      <c r="AB90" s="52">
        <v>0</v>
      </c>
      <c r="AC90" s="101">
        <v>0</v>
      </c>
      <c r="AD90" s="52">
        <v>164.17</v>
      </c>
      <c r="AE90" s="52">
        <v>47</v>
      </c>
      <c r="AF90" s="52">
        <v>21.36</v>
      </c>
      <c r="AG90" s="101">
        <v>4.2</v>
      </c>
      <c r="AH90" s="101">
        <v>8.1999999999999993</v>
      </c>
      <c r="AI90" s="101">
        <v>18.7</v>
      </c>
      <c r="AJ90" s="104">
        <f t="shared" si="32"/>
        <v>0.95</v>
      </c>
      <c r="AK90" s="101">
        <f t="shared" si="33"/>
        <v>18.164000000000001</v>
      </c>
      <c r="AL90" s="50">
        <f t="shared" si="34"/>
        <v>1</v>
      </c>
      <c r="AM90" s="97" t="str">
        <f t="shared" si="35"/>
        <v>Laser Power &amp;amp; Inf</v>
      </c>
      <c r="AN90" s="52">
        <v>13</v>
      </c>
      <c r="AO90" s="99">
        <f t="shared" si="41"/>
        <v>0</v>
      </c>
      <c r="AP90" s="100">
        <f t="shared" si="36"/>
        <v>0</v>
      </c>
      <c r="AQ90" s="100">
        <v>1</v>
      </c>
      <c r="AR90" s="100">
        <f t="shared" si="37"/>
        <v>5</v>
      </c>
      <c r="AV90" s="101">
        <f t="shared" si="38"/>
        <v>0</v>
      </c>
      <c r="AX90" s="101">
        <f t="shared" si="42"/>
        <v>0</v>
      </c>
      <c r="AY90" s="52" t="e">
        <f t="shared" si="39"/>
        <v>#DIV/0!</v>
      </c>
      <c r="AZ90" s="52" t="e">
        <f t="shared" si="40"/>
        <v>#DIV/0!</v>
      </c>
    </row>
    <row r="91" spans="1:58" ht="12.75" customHeight="1">
      <c r="A91" s="52" t="s">
        <v>633</v>
      </c>
      <c r="B91" s="62" t="s">
        <v>634</v>
      </c>
      <c r="C91" s="52" t="s">
        <v>159</v>
      </c>
      <c r="D91" s="52">
        <v>1</v>
      </c>
      <c r="E91" s="52">
        <v>0</v>
      </c>
      <c r="F91" s="52">
        <v>8297.5300000000007</v>
      </c>
      <c r="G91" s="100">
        <v>100</v>
      </c>
      <c r="H91" s="52">
        <v>8771.86</v>
      </c>
      <c r="I91" s="52">
        <v>2540.15</v>
      </c>
      <c r="J91" s="52">
        <v>0</v>
      </c>
      <c r="K91" s="52">
        <v>15.06</v>
      </c>
      <c r="L91" s="52">
        <v>43.02</v>
      </c>
      <c r="M91" s="52">
        <v>3412.94</v>
      </c>
      <c r="N91" s="52">
        <v>92.46</v>
      </c>
      <c r="O91" s="52">
        <v>4236.1499999999996</v>
      </c>
      <c r="P91" s="100">
        <v>1.67</v>
      </c>
      <c r="Q91" s="52">
        <v>38.119999999999997</v>
      </c>
      <c r="R91" s="52">
        <v>38.119999999999997</v>
      </c>
      <c r="S91" s="100">
        <v>0</v>
      </c>
      <c r="T91" s="52">
        <v>0</v>
      </c>
      <c r="U91" s="52">
        <v>0</v>
      </c>
      <c r="V91" s="52">
        <v>1</v>
      </c>
      <c r="W91" s="52">
        <v>1</v>
      </c>
      <c r="X91" s="52">
        <v>140.11000000000001</v>
      </c>
      <c r="Y91" s="52">
        <v>22.51</v>
      </c>
      <c r="Z91" s="52">
        <v>3.76</v>
      </c>
      <c r="AA91" s="103">
        <v>1</v>
      </c>
      <c r="AB91" s="52">
        <v>0</v>
      </c>
      <c r="AC91" s="101">
        <v>0</v>
      </c>
      <c r="AD91" s="52">
        <v>22.55</v>
      </c>
      <c r="AE91" s="52">
        <v>23.64</v>
      </c>
      <c r="AF91" s="52">
        <v>22.97</v>
      </c>
      <c r="AG91" s="101">
        <v>7.1</v>
      </c>
      <c r="AH91" s="101">
        <v>12.1</v>
      </c>
      <c r="AI91" s="101">
        <v>29.85</v>
      </c>
      <c r="AJ91" s="104">
        <f t="shared" si="32"/>
        <v>0.95</v>
      </c>
      <c r="AK91" s="101">
        <f t="shared" si="33"/>
        <v>29.032</v>
      </c>
      <c r="AL91" s="50">
        <f t="shared" si="34"/>
        <v>1</v>
      </c>
      <c r="AM91" s="97" t="str">
        <f t="shared" si="35"/>
        <v xml:space="preserve">SBI Funds Management </v>
      </c>
      <c r="AN91" s="82">
        <v>16</v>
      </c>
      <c r="AO91" s="99">
        <f t="shared" si="41"/>
        <v>1</v>
      </c>
      <c r="AP91" s="100">
        <f t="shared" si="36"/>
        <v>2</v>
      </c>
      <c r="AQ91" s="100">
        <v>1</v>
      </c>
      <c r="AR91" s="100">
        <f t="shared" si="37"/>
        <v>1</v>
      </c>
      <c r="AS91" s="52">
        <v>574</v>
      </c>
      <c r="AT91" s="52">
        <v>587</v>
      </c>
      <c r="AU91" s="52">
        <v>632</v>
      </c>
      <c r="AV91" s="101">
        <f t="shared" si="38"/>
        <v>609.5</v>
      </c>
      <c r="AW91" s="52">
        <v>613.4</v>
      </c>
      <c r="AX91" s="101">
        <f t="shared" si="42"/>
        <v>598.9666666666667</v>
      </c>
      <c r="AY91" s="52">
        <f t="shared" si="39"/>
        <v>10.104529616724738</v>
      </c>
      <c r="AZ91" s="52">
        <f t="shared" si="40"/>
        <v>2</v>
      </c>
      <c r="BF91" s="52">
        <v>568</v>
      </c>
    </row>
    <row r="92" spans="1:58" ht="12.75" customHeight="1">
      <c r="A92" s="52" t="s">
        <v>635</v>
      </c>
      <c r="B92" s="62" t="s">
        <v>636</v>
      </c>
      <c r="C92" s="52" t="s">
        <v>159</v>
      </c>
      <c r="D92" s="52">
        <v>0</v>
      </c>
      <c r="E92" s="52">
        <v>166.09</v>
      </c>
      <c r="F92" s="52">
        <v>51.13</v>
      </c>
      <c r="G92" s="100">
        <v>-224.84</v>
      </c>
      <c r="H92" s="52">
        <v>294.86</v>
      </c>
      <c r="I92" s="52">
        <v>8.6300000000000008</v>
      </c>
      <c r="J92" s="52">
        <v>6.34</v>
      </c>
      <c r="K92" s="52">
        <v>8.2799999999999994</v>
      </c>
      <c r="L92" s="52">
        <v>33.85</v>
      </c>
      <c r="M92" s="52">
        <v>27</v>
      </c>
      <c r="N92" s="52">
        <v>13.84</v>
      </c>
      <c r="O92" s="52">
        <v>237.66</v>
      </c>
      <c r="P92" s="100">
        <v>27.54</v>
      </c>
      <c r="Q92" s="52">
        <v>12.68</v>
      </c>
      <c r="R92" s="52">
        <v>18.489999999999998</v>
      </c>
      <c r="S92" s="100">
        <v>0</v>
      </c>
      <c r="T92" s="52">
        <v>126.25</v>
      </c>
      <c r="U92" s="52">
        <v>0</v>
      </c>
      <c r="V92" s="52">
        <v>0</v>
      </c>
      <c r="W92" s="52">
        <v>0</v>
      </c>
      <c r="X92" s="52">
        <v>0</v>
      </c>
      <c r="Y92" s="52">
        <v>0</v>
      </c>
      <c r="Z92" s="52">
        <v>0</v>
      </c>
      <c r="AA92" s="103">
        <v>1</v>
      </c>
      <c r="AB92" s="52">
        <v>0</v>
      </c>
      <c r="AC92" s="101">
        <v>0</v>
      </c>
      <c r="AD92" s="52">
        <v>0</v>
      </c>
      <c r="AE92" s="52">
        <v>0</v>
      </c>
      <c r="AF92" s="52">
        <v>0</v>
      </c>
      <c r="AG92" s="101">
        <v>1</v>
      </c>
      <c r="AH92" s="101">
        <v>2</v>
      </c>
      <c r="AI92" s="101">
        <v>4.5</v>
      </c>
      <c r="AJ92" s="104">
        <f t="shared" si="32"/>
        <v>1</v>
      </c>
      <c r="AK92" s="101">
        <f t="shared" si="33"/>
        <v>4.5999999999999996</v>
      </c>
      <c r="AL92" s="50">
        <f t="shared" si="34"/>
        <v>0</v>
      </c>
      <c r="AM92" s="97" t="str">
        <f t="shared" si="35"/>
        <v>Alpine Texworld  Pric</v>
      </c>
      <c r="AN92" s="82">
        <v>16</v>
      </c>
      <c r="AO92" s="99">
        <f t="shared" si="41"/>
        <v>0</v>
      </c>
      <c r="AP92" s="100">
        <f t="shared" si="36"/>
        <v>0</v>
      </c>
      <c r="AQ92" s="100">
        <v>1</v>
      </c>
      <c r="AR92" s="100">
        <f t="shared" si="37"/>
        <v>5</v>
      </c>
      <c r="AV92" s="101">
        <f t="shared" si="38"/>
        <v>0</v>
      </c>
      <c r="AX92" s="101">
        <f t="shared" si="42"/>
        <v>0</v>
      </c>
      <c r="AY92" s="52" t="e">
        <f t="shared" si="39"/>
        <v>#DIV/0!</v>
      </c>
      <c r="AZ92" s="52" t="e">
        <f t="shared" si="40"/>
        <v>#DIV/0!</v>
      </c>
    </row>
    <row r="93" spans="1:58" ht="12.75" customHeight="1">
      <c r="A93" s="52" t="s">
        <v>637</v>
      </c>
      <c r="B93" s="62" t="s">
        <v>638</v>
      </c>
      <c r="C93" s="52" t="s">
        <v>159</v>
      </c>
      <c r="D93">
        <v>1</v>
      </c>
      <c r="E93" s="52">
        <v>649.27</v>
      </c>
      <c r="F93" s="52">
        <v>489.3</v>
      </c>
      <c r="G93" s="100">
        <f t="shared" ref="G93:G100" si="43">100*(F93-E93)/F93</f>
        <v>-32.693643981197624</v>
      </c>
      <c r="H93" s="52">
        <v>1404.09</v>
      </c>
      <c r="I93" s="52">
        <v>131.55000000000001</v>
      </c>
      <c r="J93" s="52">
        <v>9.41</v>
      </c>
      <c r="K93" s="52">
        <v>28.23</v>
      </c>
      <c r="L93" s="52">
        <v>0</v>
      </c>
      <c r="M93" s="52">
        <v>349.77</v>
      </c>
      <c r="N93" s="52">
        <v>25.69</v>
      </c>
      <c r="O93" s="52">
        <v>1435.57</v>
      </c>
      <c r="P93" s="100">
        <f t="shared" ref="P93:P100" si="44">O93/I93</f>
        <v>10.912732801216267</v>
      </c>
      <c r="Q93" s="52">
        <v>15.02</v>
      </c>
      <c r="R93" s="52">
        <v>17.55</v>
      </c>
      <c r="S93" s="100">
        <v>0</v>
      </c>
      <c r="T93" s="52">
        <v>450</v>
      </c>
      <c r="U93" s="52">
        <v>50</v>
      </c>
      <c r="V93" s="52">
        <v>1</v>
      </c>
      <c r="W93" s="52">
        <v>1</v>
      </c>
      <c r="X93" s="52">
        <v>1.24</v>
      </c>
      <c r="Y93" s="52">
        <v>56.04</v>
      </c>
      <c r="Z93" s="52">
        <v>14.05</v>
      </c>
      <c r="AA93" s="103">
        <f t="shared" ref="AA93:AA100" si="45">IF(X93&lt;33,IF(Y93&gt;(1.1*X93),0,1),1)+IF(Y93&gt;(4*X93),-1,0)</f>
        <v>-1</v>
      </c>
      <c r="AB93" s="52">
        <v>27.36</v>
      </c>
      <c r="AC93" s="101">
        <f t="shared" ref="AC93:AC100" si="46">IF(AB93&gt;9,1,0)+AB93/3+IF(AB93&gt;15,1,0)+IF(AB93&gt;20,1,0)</f>
        <v>12.12</v>
      </c>
      <c r="AD93" s="52">
        <v>37.17</v>
      </c>
      <c r="AE93" s="52">
        <v>49.86</v>
      </c>
      <c r="AF93" s="52">
        <v>65.34</v>
      </c>
      <c r="AG93" s="101">
        <f t="shared" ref="AG93:AG100" si="47">IF(G93&lt;0,0,1.2)+IF(G93&lt;14,0,0.9)+IF(P93&lt;0,0.7,0)+IF(P93&lt;6.5,1,0)+IF(P93&lt;23,1,0)+IF(R93&gt;80,0,1)+S93+IF(AD93&lt;20,0,1)+IF(AE93&lt;14,0,1)+IF(AF93&lt;26,0,1)</f>
        <v>5</v>
      </c>
      <c r="AH93" s="101">
        <f t="shared" ref="AH93:AH100" si="48">AG93+IF(AG93&gt;6,1,0)+IF(X93&lt;17,0,1)+IF(Y93&lt;11,0,1)+IF(Z93&lt;1.35,0,1)+AC93+AA93</f>
        <v>18.119999999999997</v>
      </c>
      <c r="AI93" s="101">
        <v>12.98</v>
      </c>
      <c r="AJ93" s="104">
        <f t="shared" si="32"/>
        <v>0.98</v>
      </c>
      <c r="AK93" s="101">
        <f t="shared" si="33"/>
        <v>30.497599999999998</v>
      </c>
      <c r="AL93" s="50">
        <f t="shared" si="34"/>
        <v>1</v>
      </c>
      <c r="AM93" s="97" t="str">
        <f t="shared" si="35"/>
        <v>Caliber Mining  Price</v>
      </c>
      <c r="AN93" s="52">
        <v>21</v>
      </c>
      <c r="AO93" s="99">
        <f t="shared" si="41"/>
        <v>1</v>
      </c>
      <c r="AP93" s="100">
        <f t="shared" si="36"/>
        <v>1</v>
      </c>
      <c r="AQ93" s="100">
        <v>1</v>
      </c>
      <c r="AR93" s="100">
        <f t="shared" si="37"/>
        <v>1</v>
      </c>
      <c r="AV93" s="101">
        <f t="shared" si="38"/>
        <v>0</v>
      </c>
      <c r="AX93" s="101">
        <f t="shared" si="42"/>
        <v>0</v>
      </c>
      <c r="AY93" s="52" t="e">
        <f t="shared" si="39"/>
        <v>#DIV/0!</v>
      </c>
      <c r="AZ93" s="52" t="e">
        <f t="shared" si="40"/>
        <v>#DIV/0!</v>
      </c>
    </row>
    <row r="94" spans="1:58" ht="12.75" customHeight="1">
      <c r="A94" s="52" t="s">
        <v>639</v>
      </c>
      <c r="B94" s="62" t="s">
        <v>640</v>
      </c>
      <c r="C94" s="52" t="s">
        <v>159</v>
      </c>
      <c r="D94">
        <v>1</v>
      </c>
      <c r="E94" s="52">
        <v>39.24</v>
      </c>
      <c r="F94" s="52">
        <v>95.49</v>
      </c>
      <c r="G94" s="100">
        <f t="shared" si="43"/>
        <v>58.906691800188497</v>
      </c>
      <c r="H94" s="52">
        <v>321.79000000000002</v>
      </c>
      <c r="I94" s="52">
        <v>30.03</v>
      </c>
      <c r="J94" s="52">
        <v>10.88</v>
      </c>
      <c r="K94" s="52">
        <v>10.4</v>
      </c>
      <c r="L94" s="52">
        <v>44.31</v>
      </c>
      <c r="M94" s="52">
        <v>47.2</v>
      </c>
      <c r="N94" s="52">
        <v>17.100000000000001</v>
      </c>
      <c r="O94" s="52">
        <v>276.52999999999997</v>
      </c>
      <c r="P94" s="100">
        <f t="shared" si="44"/>
        <v>9.2084582084582074</v>
      </c>
      <c r="Q94" s="52">
        <v>12.21</v>
      </c>
      <c r="R94" s="52">
        <v>16.3</v>
      </c>
      <c r="S94" s="100">
        <v>0</v>
      </c>
      <c r="T94" s="52">
        <v>166.8</v>
      </c>
      <c r="U94" s="52">
        <v>0</v>
      </c>
      <c r="V94" s="52">
        <v>0</v>
      </c>
      <c r="W94" s="52">
        <v>1</v>
      </c>
      <c r="X94" s="52">
        <v>5</v>
      </c>
      <c r="Y94" s="52">
        <v>5</v>
      </c>
      <c r="Z94" s="52">
        <v>1</v>
      </c>
      <c r="AA94" s="103">
        <f t="shared" si="45"/>
        <v>1</v>
      </c>
      <c r="AB94" s="52">
        <v>19.690000000000001</v>
      </c>
      <c r="AC94" s="101">
        <f t="shared" si="46"/>
        <v>8.5633333333333326</v>
      </c>
      <c r="AD94" s="52">
        <v>174.5</v>
      </c>
      <c r="AE94" s="52">
        <v>18.55</v>
      </c>
      <c r="AF94" s="52">
        <v>146.24</v>
      </c>
      <c r="AG94" s="101">
        <f t="shared" si="47"/>
        <v>7.1</v>
      </c>
      <c r="AH94" s="101">
        <f t="shared" si="48"/>
        <v>17.663333333333334</v>
      </c>
      <c r="AI94" s="101">
        <v>13.15</v>
      </c>
      <c r="AJ94" s="104">
        <f t="shared" si="32"/>
        <v>0.98</v>
      </c>
      <c r="AK94" s="101">
        <f t="shared" si="33"/>
        <v>33.630823333333332</v>
      </c>
      <c r="AL94" s="50">
        <f t="shared" si="34"/>
        <v>1</v>
      </c>
      <c r="AM94" s="97" t="str">
        <f t="shared" si="35"/>
        <v xml:space="preserve">Xtranet Technologies </v>
      </c>
      <c r="AN94" s="108">
        <v>27</v>
      </c>
      <c r="AO94" s="99">
        <f t="shared" si="41"/>
        <v>1</v>
      </c>
      <c r="AP94" s="100">
        <f t="shared" si="36"/>
        <v>3</v>
      </c>
      <c r="AQ94" s="100">
        <v>0.95</v>
      </c>
      <c r="AR94" s="100">
        <f t="shared" si="37"/>
        <v>1</v>
      </c>
      <c r="AV94" s="101">
        <f t="shared" si="38"/>
        <v>0</v>
      </c>
      <c r="AX94" s="101">
        <f t="shared" si="42"/>
        <v>0</v>
      </c>
      <c r="AY94" s="52" t="e">
        <f t="shared" si="39"/>
        <v>#DIV/0!</v>
      </c>
      <c r="AZ94" s="52" t="e">
        <f t="shared" si="40"/>
        <v>#DIV/0!</v>
      </c>
    </row>
    <row r="95" spans="1:58" ht="12.75" customHeight="1">
      <c r="A95" s="52" t="s">
        <v>641</v>
      </c>
      <c r="B95" s="62" t="s">
        <v>642</v>
      </c>
      <c r="C95" s="52" t="s">
        <v>159</v>
      </c>
      <c r="D95">
        <v>1</v>
      </c>
      <c r="E95" s="52">
        <v>1247.2</v>
      </c>
      <c r="F95" s="52">
        <v>2199.4299999999998</v>
      </c>
      <c r="G95" s="100">
        <f t="shared" si="43"/>
        <v>43.294399003378146</v>
      </c>
      <c r="H95" s="52">
        <v>4140.84</v>
      </c>
      <c r="I95" s="52">
        <v>423.73</v>
      </c>
      <c r="J95" s="52">
        <v>12.72</v>
      </c>
      <c r="K95" s="52">
        <v>11.02</v>
      </c>
      <c r="L95" s="52">
        <v>21.26</v>
      </c>
      <c r="M95" s="52">
        <v>932.6</v>
      </c>
      <c r="N95" s="52">
        <v>25.54</v>
      </c>
      <c r="O95" s="52">
        <v>3373.97</v>
      </c>
      <c r="P95" s="100">
        <f t="shared" si="44"/>
        <v>7.9625469048686659</v>
      </c>
      <c r="Q95" s="52">
        <v>44.01</v>
      </c>
      <c r="R95" s="52">
        <v>44.95</v>
      </c>
      <c r="S95" s="100">
        <v>0</v>
      </c>
      <c r="T95" s="52">
        <v>3811.21</v>
      </c>
      <c r="U95" s="52">
        <v>3312.11</v>
      </c>
      <c r="V95" s="52">
        <v>0</v>
      </c>
      <c r="W95" s="52">
        <v>1</v>
      </c>
      <c r="X95" s="52">
        <v>5</v>
      </c>
      <c r="Y95" s="52">
        <v>5</v>
      </c>
      <c r="Z95" s="52">
        <v>1</v>
      </c>
      <c r="AA95" s="103">
        <f t="shared" si="45"/>
        <v>1</v>
      </c>
      <c r="AB95" s="52">
        <v>40.21</v>
      </c>
      <c r="AC95" s="101">
        <f t="shared" si="46"/>
        <v>16.403333333333336</v>
      </c>
      <c r="AD95" s="52">
        <v>49.34</v>
      </c>
      <c r="AE95" s="52">
        <v>16.329999999999998</v>
      </c>
      <c r="AF95" s="52">
        <v>7.26</v>
      </c>
      <c r="AG95" s="101">
        <f t="shared" si="47"/>
        <v>6.1</v>
      </c>
      <c r="AH95" s="101">
        <f t="shared" si="48"/>
        <v>24.503333333333337</v>
      </c>
      <c r="AI95" s="101">
        <v>13.2925</v>
      </c>
      <c r="AJ95" s="104">
        <f t="shared" si="32"/>
        <v>0.98</v>
      </c>
      <c r="AK95" s="101">
        <f t="shared" si="33"/>
        <v>39.556066666666666</v>
      </c>
      <c r="AL95" s="50">
        <f t="shared" si="34"/>
        <v>1</v>
      </c>
      <c r="AM95" s="97" t="str">
        <f t="shared" si="35"/>
        <v>Indo-MIM  Price, GMP,</v>
      </c>
      <c r="AN95" s="108">
        <v>27</v>
      </c>
      <c r="AO95" s="99">
        <f t="shared" si="41"/>
        <v>1</v>
      </c>
      <c r="AP95" s="100">
        <f t="shared" si="36"/>
        <v>3</v>
      </c>
      <c r="AQ95" s="100">
        <v>1</v>
      </c>
      <c r="AR95" s="100">
        <f t="shared" si="37"/>
        <v>1</v>
      </c>
      <c r="AV95" s="101">
        <f t="shared" si="38"/>
        <v>0</v>
      </c>
      <c r="AX95" s="101">
        <f t="shared" si="42"/>
        <v>0</v>
      </c>
      <c r="AY95" s="52" t="e">
        <f t="shared" si="39"/>
        <v>#DIV/0!</v>
      </c>
      <c r="AZ95" s="52" t="e">
        <f t="shared" si="40"/>
        <v>#DIV/0!</v>
      </c>
    </row>
    <row r="96" spans="1:58" ht="12.75" customHeight="1">
      <c r="A96" t="s">
        <v>643</v>
      </c>
      <c r="B96" s="62" t="s">
        <v>644</v>
      </c>
      <c r="C96" t="s">
        <v>159</v>
      </c>
      <c r="D96">
        <v>1</v>
      </c>
      <c r="E96">
        <v>212.16</v>
      </c>
      <c r="F96">
        <v>0</v>
      </c>
      <c r="G96" s="100" t="e">
        <f t="shared" si="43"/>
        <v>#DIV/0!</v>
      </c>
      <c r="H96">
        <v>967.6</v>
      </c>
      <c r="I96">
        <v>117.84</v>
      </c>
      <c r="J96">
        <v>8.5</v>
      </c>
      <c r="K96">
        <v>18.309999999999999</v>
      </c>
      <c r="L96">
        <v>31.71</v>
      </c>
      <c r="M96">
        <v>228.6</v>
      </c>
      <c r="N96">
        <v>16.489999999999998</v>
      </c>
      <c r="O96">
        <v>1386.47</v>
      </c>
      <c r="P96" s="100">
        <f t="shared" si="44"/>
        <v>11.765699253224712</v>
      </c>
      <c r="Q96">
        <v>23.21</v>
      </c>
      <c r="R96">
        <v>23.21</v>
      </c>
      <c r="S96">
        <v>0.7</v>
      </c>
      <c r="T96">
        <v>1101.28</v>
      </c>
      <c r="U96">
        <v>0</v>
      </c>
      <c r="V96">
        <v>1</v>
      </c>
      <c r="W96">
        <v>1</v>
      </c>
      <c r="X96">
        <v>9</v>
      </c>
      <c r="Y96">
        <v>6</v>
      </c>
      <c r="Z96">
        <v>2.78</v>
      </c>
      <c r="AA96" s="103">
        <f t="shared" si="45"/>
        <v>1</v>
      </c>
      <c r="AB96" s="52">
        <v>2.71</v>
      </c>
      <c r="AC96" s="101">
        <f t="shared" si="46"/>
        <v>0.90333333333333332</v>
      </c>
      <c r="AD96">
        <v>0</v>
      </c>
      <c r="AE96">
        <v>0</v>
      </c>
      <c r="AF96">
        <v>0</v>
      </c>
      <c r="AG96" s="101" t="e">
        <f t="shared" si="47"/>
        <v>#DIV/0!</v>
      </c>
      <c r="AH96" s="101" t="e">
        <f t="shared" si="48"/>
        <v>#DIV/0!</v>
      </c>
      <c r="AI96">
        <v>12.66</v>
      </c>
      <c r="AJ96" s="104">
        <f t="shared" si="32"/>
        <v>1</v>
      </c>
      <c r="AK96" s="101" t="e">
        <f t="shared" si="33"/>
        <v>#DIV/0!</v>
      </c>
      <c r="AL96" s="50">
        <f t="shared" si="34"/>
        <v>1</v>
      </c>
      <c r="AM96" s="97" t="str">
        <f t="shared" si="35"/>
        <v>Lohia Corp  Price, GM</v>
      </c>
      <c r="AN96" s="129">
        <v>23</v>
      </c>
      <c r="AO96" s="99" t="e">
        <f t="shared" si="41"/>
        <v>#DIV/0!</v>
      </c>
      <c r="AP96" s="100" t="e">
        <f t="shared" si="36"/>
        <v>#DIV/0!</v>
      </c>
      <c r="AQ96">
        <v>1</v>
      </c>
      <c r="AR96" s="100" t="e">
        <f t="shared" si="37"/>
        <v>#DIV/0!</v>
      </c>
      <c r="AX96" s="101">
        <f t="shared" si="42"/>
        <v>0</v>
      </c>
    </row>
    <row r="97" spans="1:50" ht="12.75" customHeight="1">
      <c r="A97" t="s">
        <v>645</v>
      </c>
      <c r="B97" s="62" t="s">
        <v>646</v>
      </c>
      <c r="C97" t="s">
        <v>159</v>
      </c>
      <c r="D97">
        <v>1</v>
      </c>
      <c r="E97">
        <v>4766.83</v>
      </c>
      <c r="F97">
        <v>5865.66</v>
      </c>
      <c r="G97" s="100">
        <f t="shared" si="43"/>
        <v>18.733271277230525</v>
      </c>
      <c r="H97">
        <v>14072.08</v>
      </c>
      <c r="I97">
        <v>1081.67</v>
      </c>
      <c r="J97">
        <v>8.8699999999999992</v>
      </c>
      <c r="K97">
        <v>7.77</v>
      </c>
      <c r="L97">
        <v>0</v>
      </c>
      <c r="M97">
        <v>2247.0700000000002</v>
      </c>
      <c r="N97">
        <v>27.05</v>
      </c>
      <c r="O97">
        <v>8362.7900000000009</v>
      </c>
      <c r="P97" s="100">
        <f t="shared" si="44"/>
        <v>7.7313690866900258</v>
      </c>
      <c r="Q97">
        <v>75.930000000000007</v>
      </c>
      <c r="R97">
        <v>84.65</v>
      </c>
      <c r="S97">
        <v>-0.9</v>
      </c>
      <c r="T97">
        <v>9275.2199999999993</v>
      </c>
      <c r="U97">
        <v>1275.2199999999989</v>
      </c>
      <c r="V97">
        <v>1</v>
      </c>
      <c r="W97">
        <v>1</v>
      </c>
      <c r="X97">
        <v>0.15</v>
      </c>
      <c r="Y97">
        <v>0.08</v>
      </c>
      <c r="Z97">
        <v>0.27</v>
      </c>
      <c r="AA97" s="103">
        <f t="shared" si="45"/>
        <v>1</v>
      </c>
      <c r="AB97">
        <v>0</v>
      </c>
      <c r="AC97" s="101">
        <f t="shared" si="46"/>
        <v>0</v>
      </c>
      <c r="AD97">
        <v>102.86</v>
      </c>
      <c r="AE97">
        <v>33.479999999999997</v>
      </c>
      <c r="AF97">
        <v>45.58</v>
      </c>
      <c r="AG97" s="101">
        <f t="shared" si="47"/>
        <v>5.2</v>
      </c>
      <c r="AH97" s="101">
        <f t="shared" si="48"/>
        <v>6.2</v>
      </c>
      <c r="AI97">
        <v>12.192500000000001</v>
      </c>
      <c r="AJ97" s="104">
        <f t="shared" si="32"/>
        <v>1</v>
      </c>
      <c r="AK97" s="101">
        <f t="shared" si="33"/>
        <v>18.734000000000002</v>
      </c>
      <c r="AL97" s="50">
        <f t="shared" si="34"/>
        <v>1</v>
      </c>
      <c r="AM97" s="97" t="str">
        <f t="shared" si="35"/>
        <v>Manipal Health Enterp</v>
      </c>
      <c r="AN97">
        <v>31</v>
      </c>
      <c r="AO97" s="99">
        <f t="shared" si="41"/>
        <v>0</v>
      </c>
      <c r="AP97" s="100">
        <f t="shared" si="36"/>
        <v>0</v>
      </c>
      <c r="AQ97">
        <v>0.95</v>
      </c>
      <c r="AR97" s="100">
        <f t="shared" si="37"/>
        <v>5</v>
      </c>
      <c r="AX97" s="101">
        <f t="shared" si="42"/>
        <v>0</v>
      </c>
    </row>
    <row r="98" spans="1:50" ht="12.75" customHeight="1">
      <c r="A98" t="s">
        <v>647</v>
      </c>
      <c r="B98" s="62" t="s">
        <v>648</v>
      </c>
      <c r="C98" t="s">
        <v>159</v>
      </c>
      <c r="D98">
        <v>1</v>
      </c>
      <c r="E98">
        <v>27.5</v>
      </c>
      <c r="F98">
        <v>17.91</v>
      </c>
      <c r="G98" s="100">
        <f t="shared" si="43"/>
        <v>-53.545505304299276</v>
      </c>
      <c r="H98">
        <v>74.12</v>
      </c>
      <c r="I98">
        <v>1.4</v>
      </c>
      <c r="J98">
        <v>-25.36</v>
      </c>
      <c r="K98">
        <v>-6.17</v>
      </c>
      <c r="L98">
        <v>-31.55</v>
      </c>
      <c r="M98">
        <v>8.92</v>
      </c>
      <c r="N98">
        <v>-19.97</v>
      </c>
      <c r="O98">
        <v>64.64</v>
      </c>
      <c r="P98" s="100">
        <f t="shared" si="44"/>
        <v>46.171428571428578</v>
      </c>
      <c r="Q98">
        <v>-68.88</v>
      </c>
      <c r="R98">
        <v>0</v>
      </c>
      <c r="S98">
        <v>0</v>
      </c>
      <c r="T98">
        <v>290</v>
      </c>
      <c r="U98">
        <v>0</v>
      </c>
      <c r="V98">
        <v>1</v>
      </c>
      <c r="W98">
        <v>1</v>
      </c>
      <c r="X98">
        <v>1.05</v>
      </c>
      <c r="Y98">
        <v>108.83</v>
      </c>
      <c r="Z98">
        <v>87.82</v>
      </c>
      <c r="AA98" s="103">
        <f t="shared" si="45"/>
        <v>-1</v>
      </c>
      <c r="AB98">
        <v>26.35</v>
      </c>
      <c r="AC98" s="101">
        <f t="shared" si="46"/>
        <v>11.783333333333333</v>
      </c>
      <c r="AD98">
        <v>150</v>
      </c>
      <c r="AE98">
        <v>27.82</v>
      </c>
      <c r="AF98">
        <v>8.35</v>
      </c>
      <c r="AG98" s="101">
        <f t="shared" si="47"/>
        <v>3</v>
      </c>
      <c r="AH98" s="101">
        <f t="shared" si="48"/>
        <v>15.783333333333331</v>
      </c>
      <c r="AI98">
        <v>11.98</v>
      </c>
      <c r="AJ98" s="104">
        <f t="shared" si="32"/>
        <v>1</v>
      </c>
      <c r="AK98" s="101">
        <f t="shared" si="33"/>
        <v>22.404166666666665</v>
      </c>
      <c r="AL98" s="50">
        <f t="shared" si="34"/>
        <v>1</v>
      </c>
      <c r="AM98" s="97" t="str">
        <f t="shared" si="35"/>
        <v>MV Electrosystems  Pr</v>
      </c>
      <c r="AN98">
        <v>3</v>
      </c>
      <c r="AO98" s="99">
        <f t="shared" si="41"/>
        <v>0</v>
      </c>
      <c r="AP98" s="100">
        <f t="shared" si="36"/>
        <v>0</v>
      </c>
      <c r="AQ98">
        <v>0.95</v>
      </c>
      <c r="AR98" s="100">
        <f t="shared" si="37"/>
        <v>5</v>
      </c>
      <c r="AX98" s="101">
        <f t="shared" si="42"/>
        <v>0</v>
      </c>
    </row>
    <row r="99" spans="1:50" ht="12.75" customHeight="1">
      <c r="A99" t="s">
        <v>649</v>
      </c>
      <c r="B99" s="62" t="s">
        <v>650</v>
      </c>
      <c r="C99" t="s">
        <v>159</v>
      </c>
      <c r="D99">
        <v>1</v>
      </c>
      <c r="E99">
        <v>5502.53</v>
      </c>
      <c r="F99">
        <v>116.29</v>
      </c>
      <c r="G99" s="100">
        <f t="shared" si="43"/>
        <v>-4631.7310172843754</v>
      </c>
      <c r="H99">
        <v>10356.81</v>
      </c>
      <c r="I99">
        <v>36.479999999999997</v>
      </c>
      <c r="J99">
        <v>0</v>
      </c>
      <c r="K99">
        <v>0.83</v>
      </c>
      <c r="L99">
        <v>0</v>
      </c>
      <c r="M99">
        <v>485.69</v>
      </c>
      <c r="N99">
        <v>85.99</v>
      </c>
      <c r="O99">
        <v>569.78</v>
      </c>
      <c r="P99" s="100">
        <f t="shared" si="44"/>
        <v>15.618969298245615</v>
      </c>
      <c r="Q99">
        <v>271.08</v>
      </c>
      <c r="R99">
        <v>316.89999999999998</v>
      </c>
      <c r="S99">
        <v>-0.6</v>
      </c>
      <c r="T99">
        <v>1800</v>
      </c>
      <c r="U99">
        <v>0</v>
      </c>
      <c r="V99">
        <v>0</v>
      </c>
      <c r="W99">
        <v>1</v>
      </c>
      <c r="X99">
        <v>4.04</v>
      </c>
      <c r="Y99">
        <v>0.14000000000000001</v>
      </c>
      <c r="Z99">
        <v>0.3</v>
      </c>
      <c r="AA99" s="103">
        <f t="shared" si="45"/>
        <v>1</v>
      </c>
      <c r="AB99">
        <v>0.51</v>
      </c>
      <c r="AC99" s="101">
        <f t="shared" si="46"/>
        <v>0.17</v>
      </c>
      <c r="AD99">
        <v>-8.94</v>
      </c>
      <c r="AE99">
        <v>34.24</v>
      </c>
      <c r="AF99">
        <v>7.47</v>
      </c>
      <c r="AG99" s="101">
        <f t="shared" si="47"/>
        <v>1.4</v>
      </c>
      <c r="AH99" s="101">
        <f t="shared" si="48"/>
        <v>2.57</v>
      </c>
      <c r="AI99">
        <v>11.977499999999999</v>
      </c>
      <c r="AJ99" s="104">
        <f t="shared" si="32"/>
        <v>1</v>
      </c>
      <c r="AK99" s="101">
        <f t="shared" si="33"/>
        <v>6.2099999999999991</v>
      </c>
      <c r="AL99" s="50">
        <f t="shared" si="34"/>
        <v>1</v>
      </c>
      <c r="AM99" s="97" t="str">
        <f t="shared" si="35"/>
        <v xml:space="preserve">Juniper Green Energy </v>
      </c>
      <c r="AN99">
        <v>3</v>
      </c>
      <c r="AO99" s="99">
        <f t="shared" si="41"/>
        <v>0</v>
      </c>
      <c r="AP99" s="100">
        <f t="shared" si="36"/>
        <v>0</v>
      </c>
      <c r="AQ99">
        <v>1</v>
      </c>
      <c r="AR99" s="100">
        <f t="shared" si="37"/>
        <v>5</v>
      </c>
      <c r="AX99" s="101">
        <f t="shared" si="42"/>
        <v>0</v>
      </c>
    </row>
    <row r="100" spans="1:50" ht="12.75" customHeight="1">
      <c r="A100" t="s">
        <v>651</v>
      </c>
      <c r="B100" s="62" t="s">
        <v>652</v>
      </c>
      <c r="C100" t="s">
        <v>159</v>
      </c>
      <c r="D100">
        <v>1</v>
      </c>
      <c r="E100">
        <v>165.77</v>
      </c>
      <c r="F100">
        <v>62.6</v>
      </c>
      <c r="G100" s="100">
        <f t="shared" si="43"/>
        <v>-164.8083067092652</v>
      </c>
      <c r="H100">
        <v>262.06</v>
      </c>
      <c r="I100">
        <v>33.270000000000003</v>
      </c>
      <c r="J100">
        <v>7.25</v>
      </c>
      <c r="K100">
        <v>3.32</v>
      </c>
      <c r="L100">
        <v>81</v>
      </c>
      <c r="M100">
        <v>65.930000000000007</v>
      </c>
      <c r="N100">
        <v>12.6</v>
      </c>
      <c r="O100">
        <v>743.53</v>
      </c>
      <c r="P100" s="100">
        <f t="shared" si="44"/>
        <v>22.34836188758641</v>
      </c>
      <c r="Q100">
        <v>15.96</v>
      </c>
      <c r="R100">
        <v>19.7</v>
      </c>
      <c r="S100">
        <v>0.7</v>
      </c>
      <c r="T100">
        <v>425.87</v>
      </c>
      <c r="U100">
        <v>105.87</v>
      </c>
      <c r="V100">
        <v>1</v>
      </c>
      <c r="W100">
        <v>1</v>
      </c>
      <c r="X100">
        <v>1.1299999999999999</v>
      </c>
      <c r="Y100">
        <v>5.67</v>
      </c>
      <c r="Z100">
        <v>3.65</v>
      </c>
      <c r="AA100" s="103">
        <f t="shared" si="45"/>
        <v>-1</v>
      </c>
      <c r="AB100">
        <v>26.42</v>
      </c>
      <c r="AC100" s="101">
        <f t="shared" si="46"/>
        <v>11.806666666666667</v>
      </c>
      <c r="AD100">
        <v>271.73</v>
      </c>
      <c r="AE100">
        <v>60.45</v>
      </c>
      <c r="AF100">
        <v>114.02</v>
      </c>
      <c r="AG100" s="101">
        <f t="shared" si="47"/>
        <v>5.7</v>
      </c>
      <c r="AH100" s="101">
        <f t="shared" si="48"/>
        <v>17.506666666666668</v>
      </c>
      <c r="AI100">
        <v>12.25</v>
      </c>
      <c r="AJ100" s="104">
        <f t="shared" si="32"/>
        <v>1</v>
      </c>
      <c r="AK100" s="101">
        <f t="shared" si="33"/>
        <v>32.326666666666668</v>
      </c>
      <c r="AL100" s="50">
        <f t="shared" si="34"/>
        <v>1</v>
      </c>
      <c r="AM100" s="97" t="str">
        <f t="shared" si="35"/>
        <v>Ardee Industries  Pri</v>
      </c>
      <c r="AN100">
        <v>7</v>
      </c>
      <c r="AO100" s="99">
        <f t="shared" si="41"/>
        <v>1</v>
      </c>
      <c r="AP100" s="100">
        <f t="shared" si="36"/>
        <v>3</v>
      </c>
      <c r="AQ100">
        <v>1</v>
      </c>
      <c r="AR100" s="100">
        <f t="shared" si="37"/>
        <v>1</v>
      </c>
      <c r="AX100" s="101">
        <f t="shared" si="42"/>
        <v>0</v>
      </c>
    </row>
    <row r="101" spans="1:50" ht="12.75" customHeight="1">
      <c r="A101" t="s">
        <v>653</v>
      </c>
      <c r="B101" s="62" t="s">
        <v>654</v>
      </c>
      <c r="C101" t="s">
        <v>159</v>
      </c>
      <c r="D101">
        <v>1</v>
      </c>
      <c r="E101">
        <v>87.43</v>
      </c>
      <c r="F101">
        <v>119.98</v>
      </c>
      <c r="G101" s="100">
        <v>27.13</v>
      </c>
      <c r="H101">
        <v>269.74</v>
      </c>
      <c r="I101">
        <v>28.2</v>
      </c>
      <c r="J101">
        <v>12.56</v>
      </c>
      <c r="K101">
        <v>14.39</v>
      </c>
      <c r="L101">
        <v>26.51</v>
      </c>
      <c r="M101">
        <v>49.63</v>
      </c>
      <c r="N101">
        <v>20.92</v>
      </c>
      <c r="O101">
        <v>281</v>
      </c>
      <c r="P101" s="100">
        <v>9.9600000000000009</v>
      </c>
      <c r="Q101">
        <v>14.73</v>
      </c>
      <c r="R101">
        <v>19.38</v>
      </c>
      <c r="S101">
        <v>-0.9</v>
      </c>
      <c r="T101">
        <v>251.88</v>
      </c>
      <c r="U101">
        <v>50.37</v>
      </c>
      <c r="V101">
        <v>1</v>
      </c>
      <c r="W101">
        <v>1</v>
      </c>
      <c r="X101">
        <v>42.26</v>
      </c>
      <c r="Y101">
        <v>65.06</v>
      </c>
      <c r="Z101">
        <v>25.35</v>
      </c>
      <c r="AA101" s="103">
        <v>1</v>
      </c>
      <c r="AB101">
        <v>13.64</v>
      </c>
      <c r="AC101" s="101">
        <v>5.5466666666666669</v>
      </c>
      <c r="AD101">
        <v>48.03</v>
      </c>
      <c r="AE101">
        <v>23.63</v>
      </c>
      <c r="AF101">
        <v>30.73</v>
      </c>
      <c r="AG101" s="101">
        <v>7.1</v>
      </c>
      <c r="AH101" s="101">
        <v>17.646666666666668</v>
      </c>
      <c r="AI101">
        <v>35.396666666666668</v>
      </c>
      <c r="AJ101" s="104">
        <f t="shared" si="32"/>
        <v>0.95</v>
      </c>
      <c r="AK101" s="101">
        <f t="shared" si="33"/>
        <v>32.586266666666667</v>
      </c>
      <c r="AL101" s="50">
        <f t="shared" si="34"/>
        <v>1</v>
      </c>
      <c r="AM101" s="97" t="str">
        <f t="shared" si="35"/>
        <v xml:space="preserve">Technocraft Ventures </v>
      </c>
      <c r="AN101">
        <v>11</v>
      </c>
      <c r="AO101" s="99">
        <f t="shared" si="41"/>
        <v>1</v>
      </c>
      <c r="AP101" s="100">
        <f t="shared" si="36"/>
        <v>1</v>
      </c>
      <c r="AQ101">
        <v>0.95</v>
      </c>
      <c r="AR101" s="100">
        <f t="shared" si="37"/>
        <v>1</v>
      </c>
      <c r="AX101" s="101">
        <f t="shared" si="42"/>
        <v>0</v>
      </c>
    </row>
    <row r="102" spans="1:50" ht="12.75" customHeight="1">
      <c r="A102" t="s">
        <v>655</v>
      </c>
      <c r="B102" s="62" t="s">
        <v>656</v>
      </c>
      <c r="C102" t="s">
        <v>159</v>
      </c>
      <c r="D102">
        <v>1</v>
      </c>
      <c r="E102">
        <v>776.06</v>
      </c>
      <c r="F102">
        <v>978.18</v>
      </c>
      <c r="G102" s="100">
        <v>20.66</v>
      </c>
      <c r="H102">
        <v>2336.23</v>
      </c>
      <c r="I102">
        <v>353.89</v>
      </c>
      <c r="J102">
        <v>8.6999999999999993</v>
      </c>
      <c r="K102">
        <v>21.06</v>
      </c>
      <c r="L102">
        <v>16.3</v>
      </c>
      <c r="M102">
        <v>590.96</v>
      </c>
      <c r="N102">
        <v>15.71</v>
      </c>
      <c r="O102">
        <v>3472.24</v>
      </c>
      <c r="P102" s="100">
        <v>9.81</v>
      </c>
      <c r="Q102">
        <v>41.36</v>
      </c>
      <c r="R102">
        <v>44.9</v>
      </c>
      <c r="S102">
        <v>-0.9</v>
      </c>
      <c r="T102">
        <v>3066.89</v>
      </c>
      <c r="U102">
        <v>1666.89</v>
      </c>
      <c r="V102">
        <v>1</v>
      </c>
      <c r="W102">
        <v>1</v>
      </c>
      <c r="X102">
        <v>209.02</v>
      </c>
      <c r="Y102">
        <v>53.13</v>
      </c>
      <c r="Z102">
        <v>8.32</v>
      </c>
      <c r="AA102" s="103">
        <v>1</v>
      </c>
      <c r="AB102">
        <v>31.57</v>
      </c>
      <c r="AC102" s="101">
        <v>11.52333333333333</v>
      </c>
      <c r="AD102">
        <v>18.46</v>
      </c>
      <c r="AE102">
        <v>24.04</v>
      </c>
      <c r="AF102">
        <v>32.01</v>
      </c>
      <c r="AG102" s="101">
        <v>6.1</v>
      </c>
      <c r="AH102" s="101">
        <v>22.623333333333331</v>
      </c>
      <c r="AI102">
        <v>37.873333333333328</v>
      </c>
      <c r="AJ102" s="104">
        <f t="shared" si="32"/>
        <v>0.95</v>
      </c>
      <c r="AK102" s="101">
        <f t="shared" si="33"/>
        <v>36.559166666666663</v>
      </c>
      <c r="AL102" s="50">
        <f t="shared" si="34"/>
        <v>1</v>
      </c>
      <c r="AM102" s="97" t="str">
        <f t="shared" si="35"/>
        <v>Dhoot Transmission  P</v>
      </c>
      <c r="AN102">
        <v>12</v>
      </c>
      <c r="AO102" s="99">
        <f t="shared" si="41"/>
        <v>1</v>
      </c>
      <c r="AP102" s="100">
        <f t="shared" si="36"/>
        <v>1</v>
      </c>
      <c r="AQ102">
        <v>1</v>
      </c>
      <c r="AR102" s="100">
        <f t="shared" si="37"/>
        <v>1</v>
      </c>
      <c r="AX102" s="101">
        <f t="shared" si="42"/>
        <v>0</v>
      </c>
    </row>
    <row r="103" spans="1:50" ht="12.75" customHeight="1">
      <c r="A103" t="s">
        <v>657</v>
      </c>
      <c r="B103" s="62" t="s">
        <v>658</v>
      </c>
      <c r="C103" t="s">
        <v>159</v>
      </c>
      <c r="D103">
        <v>1</v>
      </c>
      <c r="E103">
        <v>123.16</v>
      </c>
      <c r="F103">
        <v>952.95</v>
      </c>
      <c r="G103" s="100">
        <v>87.08</v>
      </c>
      <c r="H103">
        <v>1461.56</v>
      </c>
      <c r="I103">
        <v>138.58000000000001</v>
      </c>
      <c r="J103">
        <v>11.28</v>
      </c>
      <c r="K103">
        <v>14.56</v>
      </c>
      <c r="L103">
        <v>15.59</v>
      </c>
      <c r="M103">
        <v>256.64</v>
      </c>
      <c r="N103">
        <v>22.56</v>
      </c>
      <c r="O103">
        <v>1027.94</v>
      </c>
      <c r="P103" s="100">
        <v>7.42</v>
      </c>
      <c r="Q103">
        <v>55.43</v>
      </c>
      <c r="R103">
        <v>56.67</v>
      </c>
      <c r="S103">
        <v>-0.9</v>
      </c>
      <c r="T103">
        <v>939.7</v>
      </c>
      <c r="U103">
        <v>739.7</v>
      </c>
      <c r="V103">
        <v>1</v>
      </c>
      <c r="W103">
        <v>1</v>
      </c>
      <c r="X103">
        <v>186.39</v>
      </c>
      <c r="Y103">
        <v>49.8</v>
      </c>
      <c r="Z103">
        <v>12.97</v>
      </c>
      <c r="AA103" s="103">
        <v>1</v>
      </c>
      <c r="AB103">
        <v>19.329999999999998</v>
      </c>
      <c r="AC103" s="101">
        <v>7.4433333333333316</v>
      </c>
      <c r="AD103">
        <v>65.88</v>
      </c>
      <c r="AE103">
        <v>22.28</v>
      </c>
      <c r="AF103">
        <v>17.95</v>
      </c>
      <c r="AG103" s="101">
        <v>6.1</v>
      </c>
      <c r="AH103" s="101">
        <v>18.543333333333329</v>
      </c>
      <c r="AI103">
        <v>33.793333333333337</v>
      </c>
      <c r="AJ103" s="104">
        <f t="shared" si="32"/>
        <v>0.95</v>
      </c>
      <c r="AK103" s="101">
        <f t="shared" si="33"/>
        <v>32.683166666666658</v>
      </c>
      <c r="AL103" s="50">
        <f t="shared" si="34"/>
        <v>1</v>
      </c>
      <c r="AM103" s="97" t="str">
        <f t="shared" si="35"/>
        <v>Molbio Diagnostics  P</v>
      </c>
      <c r="AN103">
        <v>12</v>
      </c>
      <c r="AO103" s="99">
        <f t="shared" si="41"/>
        <v>1</v>
      </c>
      <c r="AP103" s="100">
        <f t="shared" si="36"/>
        <v>1</v>
      </c>
      <c r="AQ103">
        <v>1</v>
      </c>
      <c r="AR103" s="100">
        <f t="shared" si="37"/>
        <v>1</v>
      </c>
      <c r="AX103" s="101">
        <f t="shared" si="42"/>
        <v>0</v>
      </c>
    </row>
    <row r="104" spans="1:50" ht="12.75" customHeight="1">
      <c r="A104" t="s">
        <v>659</v>
      </c>
      <c r="B104" s="62" t="s">
        <v>660</v>
      </c>
      <c r="C104" t="s">
        <v>159</v>
      </c>
      <c r="D104">
        <v>1</v>
      </c>
      <c r="E104">
        <v>1376.38</v>
      </c>
      <c r="F104">
        <v>242.77</v>
      </c>
      <c r="G104" s="100">
        <v>-466.95</v>
      </c>
      <c r="H104">
        <v>2150.59</v>
      </c>
      <c r="I104">
        <v>46.07</v>
      </c>
      <c r="J104">
        <v>4.05</v>
      </c>
      <c r="K104">
        <v>1.9</v>
      </c>
      <c r="L104">
        <v>32.119999999999997</v>
      </c>
      <c r="M104">
        <v>310.35000000000002</v>
      </c>
      <c r="N104">
        <v>13.87</v>
      </c>
      <c r="O104">
        <v>2354.79</v>
      </c>
      <c r="P104" s="100">
        <v>51.11</v>
      </c>
      <c r="Q104">
        <v>0</v>
      </c>
      <c r="R104">
        <v>0</v>
      </c>
      <c r="S104">
        <v>0.7</v>
      </c>
      <c r="T104">
        <v>1553</v>
      </c>
      <c r="U104">
        <v>125</v>
      </c>
      <c r="V104">
        <v>1</v>
      </c>
      <c r="W104">
        <v>1</v>
      </c>
      <c r="X104">
        <v>164.03</v>
      </c>
      <c r="Y104">
        <v>36.75</v>
      </c>
      <c r="Z104">
        <v>8.86</v>
      </c>
      <c r="AA104" s="103">
        <v>1</v>
      </c>
      <c r="AB104">
        <v>2.61</v>
      </c>
      <c r="AC104" s="101">
        <v>0.87</v>
      </c>
      <c r="AD104">
        <v>136.99</v>
      </c>
      <c r="AE104">
        <v>28.9</v>
      </c>
      <c r="AF104">
        <v>23.2</v>
      </c>
      <c r="AG104" s="101">
        <v>3</v>
      </c>
      <c r="AH104" s="101">
        <v>7.87</v>
      </c>
      <c r="AI104">
        <v>15.37</v>
      </c>
      <c r="AJ104" s="104">
        <f t="shared" si="32"/>
        <v>0.98</v>
      </c>
      <c r="AK104" s="101">
        <f t="shared" si="33"/>
        <v>15.356600000000002</v>
      </c>
      <c r="AL104" s="50">
        <f t="shared" si="34"/>
        <v>1</v>
      </c>
      <c r="AM104" s="97" t="str">
        <f t="shared" si="35"/>
        <v>Milky Mist Dairy Food</v>
      </c>
      <c r="AN104">
        <v>13</v>
      </c>
      <c r="AO104" s="99">
        <f t="shared" si="41"/>
        <v>0</v>
      </c>
      <c r="AP104" s="100">
        <f t="shared" si="36"/>
        <v>0</v>
      </c>
      <c r="AQ104">
        <v>1</v>
      </c>
      <c r="AR104" s="100">
        <f t="shared" si="37"/>
        <v>5</v>
      </c>
      <c r="AX104" s="101">
        <f t="shared" si="42"/>
        <v>0</v>
      </c>
    </row>
    <row r="105" spans="1:50" ht="12.75" customHeight="1">
      <c r="A105" t="s">
        <v>661</v>
      </c>
      <c r="B105" s="62" t="s">
        <v>662</v>
      </c>
      <c r="C105" t="s">
        <v>159</v>
      </c>
      <c r="D105">
        <v>1</v>
      </c>
      <c r="E105">
        <v>244.67</v>
      </c>
      <c r="F105">
        <v>1491.23</v>
      </c>
      <c r="G105" s="100">
        <v>83.59</v>
      </c>
      <c r="H105">
        <v>2308.62</v>
      </c>
      <c r="I105">
        <v>-74.45</v>
      </c>
      <c r="J105">
        <v>0</v>
      </c>
      <c r="K105">
        <v>-4.01</v>
      </c>
      <c r="L105">
        <v>0</v>
      </c>
      <c r="M105">
        <v>-17.16</v>
      </c>
      <c r="N105">
        <v>0</v>
      </c>
      <c r="O105">
        <v>1674.82</v>
      </c>
      <c r="P105" s="100">
        <v>-22.5</v>
      </c>
      <c r="Q105">
        <v>-24.19</v>
      </c>
      <c r="R105">
        <v>0</v>
      </c>
      <c r="S105">
        <v>0</v>
      </c>
      <c r="T105">
        <v>1617.48</v>
      </c>
      <c r="U105">
        <v>731.98</v>
      </c>
      <c r="V105">
        <v>1</v>
      </c>
      <c r="W105">
        <v>1</v>
      </c>
      <c r="X105">
        <v>125.2</v>
      </c>
      <c r="Y105">
        <v>92.58</v>
      </c>
      <c r="Z105">
        <v>48.38</v>
      </c>
      <c r="AA105" s="103">
        <v>1</v>
      </c>
      <c r="AB105">
        <v>32.99</v>
      </c>
      <c r="AC105" s="101">
        <v>11.99666666666667</v>
      </c>
      <c r="AD105">
        <v>-87.49</v>
      </c>
      <c r="AE105">
        <v>23.35</v>
      </c>
      <c r="AF105">
        <v>16.12</v>
      </c>
      <c r="AG105" s="101">
        <v>6.8000000000000007</v>
      </c>
      <c r="AH105" s="101">
        <v>23.79666666666667</v>
      </c>
      <c r="AI105">
        <v>40.796666666666667</v>
      </c>
      <c r="AJ105" s="104">
        <f t="shared" si="32"/>
        <v>0.95</v>
      </c>
      <c r="AK105" s="101">
        <f t="shared" si="33"/>
        <v>39.402833333333341</v>
      </c>
      <c r="AL105" s="50">
        <f t="shared" si="34"/>
        <v>1</v>
      </c>
      <c r="AM105" s="97" t="str">
        <f t="shared" si="35"/>
        <v>Shiprocket  Price, GM</v>
      </c>
      <c r="AN105">
        <v>14</v>
      </c>
      <c r="AO105" s="99">
        <f t="shared" si="41"/>
        <v>1</v>
      </c>
      <c r="AP105" s="100">
        <f t="shared" si="36"/>
        <v>1</v>
      </c>
      <c r="AQ105">
        <v>1</v>
      </c>
      <c r="AR105" s="100">
        <f t="shared" si="37"/>
        <v>1</v>
      </c>
      <c r="AX105" s="101">
        <f t="shared" si="42"/>
        <v>0</v>
      </c>
    </row>
    <row r="106" spans="1:50" ht="12.75" customHeight="1">
      <c r="A106" t="s">
        <v>663</v>
      </c>
      <c r="B106" s="62" t="s">
        <v>664</v>
      </c>
      <c r="C106" t="s">
        <v>159</v>
      </c>
      <c r="D106">
        <v>1</v>
      </c>
      <c r="E106">
        <v>7.58</v>
      </c>
      <c r="F106">
        <v>241.62</v>
      </c>
      <c r="G106" s="100">
        <v>96.86</v>
      </c>
      <c r="H106">
        <v>295.98</v>
      </c>
      <c r="I106">
        <v>52.95</v>
      </c>
      <c r="J106">
        <v>12.1</v>
      </c>
      <c r="K106">
        <v>16.559999999999999</v>
      </c>
      <c r="L106">
        <v>23.6</v>
      </c>
      <c r="M106">
        <v>81.31</v>
      </c>
      <c r="N106">
        <v>18.97</v>
      </c>
      <c r="O106">
        <v>516.29999999999995</v>
      </c>
      <c r="P106" s="100">
        <v>9.75</v>
      </c>
      <c r="Q106">
        <v>17.21</v>
      </c>
      <c r="R106">
        <v>18.649999999999999</v>
      </c>
      <c r="S106">
        <v>0.7</v>
      </c>
      <c r="T106">
        <v>301.62</v>
      </c>
      <c r="U106">
        <v>208.62</v>
      </c>
      <c r="V106">
        <v>1</v>
      </c>
      <c r="W106">
        <v>1</v>
      </c>
      <c r="X106">
        <v>222.04</v>
      </c>
      <c r="Y106">
        <v>167.95</v>
      </c>
      <c r="Z106">
        <v>54.12</v>
      </c>
      <c r="AA106" s="103">
        <v>1</v>
      </c>
      <c r="AB106">
        <v>29.12</v>
      </c>
      <c r="AC106" s="101">
        <v>10.706666666666671</v>
      </c>
      <c r="AD106">
        <v>47.95</v>
      </c>
      <c r="AE106">
        <v>14.74</v>
      </c>
      <c r="AF106">
        <v>24.77</v>
      </c>
      <c r="AG106" s="101">
        <v>6.1</v>
      </c>
      <c r="AH106" s="101">
        <v>21.806666666666661</v>
      </c>
      <c r="AI106">
        <v>37.056666666666658</v>
      </c>
      <c r="AJ106" s="104">
        <f t="shared" si="32"/>
        <v>0.95</v>
      </c>
      <c r="AK106" s="101">
        <f t="shared" si="33"/>
        <v>35.783333333333324</v>
      </c>
      <c r="AL106" s="50">
        <f t="shared" si="34"/>
        <v>1</v>
      </c>
      <c r="AM106" s="97" t="str">
        <f t="shared" si="35"/>
        <v>Behari Lal Engineerin</v>
      </c>
      <c r="AN106">
        <v>14</v>
      </c>
      <c r="AO106" s="99">
        <f t="shared" si="41"/>
        <v>1</v>
      </c>
      <c r="AP106" s="100">
        <f t="shared" si="36"/>
        <v>1</v>
      </c>
      <c r="AQ106">
        <v>1</v>
      </c>
      <c r="AR106" s="100">
        <f t="shared" si="37"/>
        <v>1</v>
      </c>
      <c r="AX106" s="101">
        <f t="shared" si="42"/>
        <v>0</v>
      </c>
    </row>
    <row r="107" spans="1:50" ht="12.75" customHeight="1">
      <c r="A107" t="s">
        <v>665</v>
      </c>
      <c r="B107" t="s">
        <v>666</v>
      </c>
      <c r="C107" t="s">
        <v>159</v>
      </c>
      <c r="D107">
        <v>1</v>
      </c>
      <c r="E107">
        <v>801.66</v>
      </c>
      <c r="F107">
        <v>917.35</v>
      </c>
      <c r="G107" s="100">
        <f>100*(F107-E107)/F107</f>
        <v>12.611326102360065</v>
      </c>
      <c r="H107">
        <v>2042.46</v>
      </c>
      <c r="I107">
        <v>37.56</v>
      </c>
      <c r="J107">
        <v>8.34</v>
      </c>
      <c r="K107">
        <v>1.52</v>
      </c>
      <c r="L107">
        <v>6.48</v>
      </c>
      <c r="M107">
        <v>273.8</v>
      </c>
      <c r="N107">
        <v>50.69</v>
      </c>
      <c r="O107">
        <v>485.03</v>
      </c>
      <c r="P107" s="100">
        <f>O107/I107</f>
        <v>12.913471778487752</v>
      </c>
      <c r="Q107">
        <v>104.61</v>
      </c>
      <c r="R107">
        <v>111.97</v>
      </c>
      <c r="S107">
        <v>-0.3</v>
      </c>
      <c r="T107">
        <v>2480</v>
      </c>
      <c r="U107">
        <v>2000</v>
      </c>
      <c r="V107">
        <v>1</v>
      </c>
      <c r="W107">
        <v>1</v>
      </c>
      <c r="X107">
        <v>17.73</v>
      </c>
      <c r="Y107">
        <v>13.31</v>
      </c>
      <c r="Z107">
        <v>1.81</v>
      </c>
      <c r="AA107" s="103">
        <f>IF(X107&lt;33,IF(Y107&gt;(1.1*X107),0,1),1)+IF(Y107&gt;(4*X107),-1,0)</f>
        <v>1</v>
      </c>
      <c r="AB107">
        <v>8.18</v>
      </c>
      <c r="AC107" s="101">
        <f>IF(AB107&gt;9,1,0)+AB107/3+IF(AB107&gt;15,1,0)+IF(AB107&gt;20,1,0)</f>
        <v>2.7266666666666666</v>
      </c>
      <c r="AD107">
        <v>1.05</v>
      </c>
      <c r="AE107">
        <v>30.41</v>
      </c>
      <c r="AF107">
        <v>28.45</v>
      </c>
      <c r="AG107" s="101">
        <f>IF(G107&lt;0,0,1.2)+IF(G107&lt;14,0,0.9)+IF(P107&lt;0,0.7,0)+IF(P107&lt;6.5,1,0)+IF(P107&lt;23,1,0)+IF(R107&gt;80,0,1)+S107+IF(AD107&lt;20,0,1)+IF(AE107&lt;14,0,1)+IF(AF107&lt;26,0,1)</f>
        <v>3.9000000000000004</v>
      </c>
      <c r="AH107" s="101">
        <f>AG107+IF(AG107&gt;6,1,0)+IF(X107&lt;17,0,1)+IF(Y107&lt;11,0,1)+IF(Z107&lt;1.35,0,1)+AC107+AA107</f>
        <v>10.626666666666667</v>
      </c>
      <c r="AI107">
        <v>11.36</v>
      </c>
      <c r="AJ107" s="104">
        <f t="shared" si="32"/>
        <v>1</v>
      </c>
      <c r="AK107" s="101">
        <f t="shared" si="33"/>
        <v>20.766666666666666</v>
      </c>
      <c r="AL107" s="50">
        <f t="shared" si="34"/>
        <v>1</v>
      </c>
      <c r="AM107" s="97" t="str">
        <f t="shared" si="35"/>
        <v>LEAP India  Price, GM</v>
      </c>
      <c r="AN107">
        <v>11</v>
      </c>
      <c r="AO107" s="99">
        <f t="shared" si="41"/>
        <v>0</v>
      </c>
      <c r="AP107" s="100">
        <f t="shared" si="36"/>
        <v>0</v>
      </c>
      <c r="AQ107">
        <v>1</v>
      </c>
      <c r="AR107" s="100">
        <f t="shared" si="37"/>
        <v>5</v>
      </c>
      <c r="AX107" s="101">
        <f t="shared" ref="AX107:AX138" si="49">(AS107+AV107+AW107)/3</f>
        <v>0</v>
      </c>
    </row>
    <row r="108" spans="1:50" ht="12.75" customHeight="1">
      <c r="A108" t="s">
        <v>667</v>
      </c>
      <c r="B108" t="s">
        <v>668</v>
      </c>
      <c r="C108" t="s">
        <v>159</v>
      </c>
      <c r="D108">
        <v>0</v>
      </c>
      <c r="E108">
        <v>7009.11</v>
      </c>
      <c r="F108">
        <v>122</v>
      </c>
      <c r="G108" s="100">
        <v>-5645.17</v>
      </c>
      <c r="H108">
        <v>9851.5400000000009</v>
      </c>
      <c r="I108">
        <v>-178.78</v>
      </c>
      <c r="J108">
        <v>0</v>
      </c>
      <c r="K108">
        <v>-0.83</v>
      </c>
      <c r="L108">
        <v>0</v>
      </c>
      <c r="M108">
        <v>339.12</v>
      </c>
      <c r="N108">
        <v>79.16</v>
      </c>
      <c r="O108">
        <v>439.35</v>
      </c>
      <c r="P108" s="100">
        <v>-2.46</v>
      </c>
      <c r="Q108">
        <v>-72.290000000000006</v>
      </c>
      <c r="R108">
        <v>0</v>
      </c>
      <c r="S108">
        <v>-0.3</v>
      </c>
      <c r="T108">
        <v>2600.04</v>
      </c>
      <c r="U108">
        <v>0</v>
      </c>
      <c r="V108">
        <v>1</v>
      </c>
      <c r="W108">
        <v>1</v>
      </c>
      <c r="X108">
        <v>1.94</v>
      </c>
      <c r="Y108">
        <v>1.03</v>
      </c>
      <c r="Z108">
        <v>1.02</v>
      </c>
      <c r="AA108" s="103">
        <v>1</v>
      </c>
      <c r="AB108">
        <v>6</v>
      </c>
      <c r="AC108" s="101">
        <v>2</v>
      </c>
      <c r="AD108">
        <v>10.220000000000001</v>
      </c>
      <c r="AE108">
        <v>78.95</v>
      </c>
      <c r="AF108">
        <v>-54.3</v>
      </c>
      <c r="AG108" s="101">
        <v>4.7</v>
      </c>
      <c r="AH108" s="101">
        <v>7.7</v>
      </c>
      <c r="AI108">
        <v>19.45</v>
      </c>
      <c r="AJ108" s="104">
        <f t="shared" si="32"/>
        <v>0.95</v>
      </c>
      <c r="AK108" s="101">
        <f t="shared" si="33"/>
        <v>18.923999999999999</v>
      </c>
      <c r="AL108" s="50">
        <f t="shared" si="34"/>
        <v>0</v>
      </c>
      <c r="AM108" s="97" t="str">
        <f t="shared" si="35"/>
        <v>Horizon Industrial Pa</v>
      </c>
      <c r="AN108">
        <v>19</v>
      </c>
      <c r="AO108" s="99">
        <f t="shared" si="41"/>
        <v>0</v>
      </c>
      <c r="AP108" s="100">
        <f t="shared" si="36"/>
        <v>0</v>
      </c>
      <c r="AQ108">
        <v>1</v>
      </c>
      <c r="AR108" s="100">
        <f t="shared" si="37"/>
        <v>5</v>
      </c>
      <c r="AX108" s="101">
        <f t="shared" si="49"/>
        <v>0</v>
      </c>
    </row>
    <row r="109" spans="1:50" ht="12.75" customHeight="1">
      <c r="A109" t="s">
        <v>669</v>
      </c>
      <c r="B109" t="s">
        <v>670</v>
      </c>
      <c r="C109" t="s">
        <v>159</v>
      </c>
      <c r="D109">
        <v>1</v>
      </c>
      <c r="E109">
        <v>949.26</v>
      </c>
      <c r="F109">
        <v>2028.8</v>
      </c>
      <c r="G109" s="100">
        <v>53.21</v>
      </c>
      <c r="H109">
        <v>6929.68</v>
      </c>
      <c r="I109">
        <v>364.73</v>
      </c>
      <c r="J109">
        <v>4.04</v>
      </c>
      <c r="K109">
        <v>20.2</v>
      </c>
      <c r="L109">
        <v>41.6</v>
      </c>
      <c r="M109">
        <v>0</v>
      </c>
      <c r="N109">
        <v>0</v>
      </c>
      <c r="O109">
        <v>16907.88</v>
      </c>
      <c r="P109" s="100">
        <v>46.36</v>
      </c>
      <c r="Q109">
        <v>9.9499999999999993</v>
      </c>
      <c r="R109">
        <v>11.14</v>
      </c>
      <c r="S109">
        <v>-0.9</v>
      </c>
      <c r="T109">
        <v>1700</v>
      </c>
      <c r="U109">
        <v>500</v>
      </c>
      <c r="V109">
        <v>1</v>
      </c>
      <c r="W109">
        <v>1</v>
      </c>
      <c r="X109">
        <v>153.80000000000001</v>
      </c>
      <c r="Y109">
        <v>78.17</v>
      </c>
      <c r="Z109">
        <v>12.51</v>
      </c>
      <c r="AA109" s="103">
        <v>1</v>
      </c>
      <c r="AB109">
        <v>29.35</v>
      </c>
      <c r="AC109" s="101">
        <v>10.78333333333333</v>
      </c>
      <c r="AD109">
        <v>1.36</v>
      </c>
      <c r="AE109">
        <v>0.64</v>
      </c>
      <c r="AF109">
        <v>21.65</v>
      </c>
      <c r="AG109" s="101">
        <v>3.1</v>
      </c>
      <c r="AH109" s="101">
        <v>17.883333333333329</v>
      </c>
      <c r="AI109">
        <v>25.633333333333329</v>
      </c>
      <c r="AJ109" s="104">
        <f t="shared" si="32"/>
        <v>0.95</v>
      </c>
      <c r="AK109" s="101">
        <f t="shared" si="33"/>
        <v>24.646166666666659</v>
      </c>
      <c r="AL109" s="50">
        <f t="shared" si="34"/>
        <v>1</v>
      </c>
      <c r="AM109" s="97" t="str">
        <f t="shared" si="35"/>
        <v>Lalithaa Jewellery Ma</v>
      </c>
      <c r="AN109">
        <v>19</v>
      </c>
      <c r="AO109" s="99">
        <f t="shared" si="41"/>
        <v>1</v>
      </c>
      <c r="AP109" s="100">
        <f t="shared" si="36"/>
        <v>1</v>
      </c>
      <c r="AQ109">
        <v>1</v>
      </c>
      <c r="AR109" s="100">
        <f t="shared" si="37"/>
        <v>1</v>
      </c>
      <c r="AX109" s="101">
        <f t="shared" si="49"/>
        <v>0</v>
      </c>
    </row>
    <row r="110" spans="1:50" ht="12.75" customHeight="1">
      <c r="A110" t="s">
        <v>671</v>
      </c>
      <c r="B110" t="s">
        <v>672</v>
      </c>
      <c r="C110" t="s">
        <v>159</v>
      </c>
      <c r="D110">
        <v>1</v>
      </c>
      <c r="E110">
        <v>145.63</v>
      </c>
      <c r="F110">
        <v>100.6</v>
      </c>
      <c r="G110" s="100">
        <v>-44.76</v>
      </c>
      <c r="H110">
        <v>249.56</v>
      </c>
      <c r="I110">
        <v>40.31</v>
      </c>
      <c r="J110">
        <v>6.54</v>
      </c>
      <c r="K110">
        <v>9.08</v>
      </c>
      <c r="L110">
        <v>50.94</v>
      </c>
      <c r="M110">
        <v>65.349999999999994</v>
      </c>
      <c r="N110">
        <v>9.68</v>
      </c>
      <c r="O110">
        <v>1403.94</v>
      </c>
      <c r="P110" s="100">
        <v>34.83</v>
      </c>
      <c r="Q110">
        <v>10.24</v>
      </c>
      <c r="R110">
        <v>12.81</v>
      </c>
      <c r="S110">
        <v>-0.9</v>
      </c>
      <c r="T110">
        <v>367.18</v>
      </c>
      <c r="U110">
        <v>93</v>
      </c>
      <c r="V110">
        <v>0</v>
      </c>
      <c r="W110">
        <v>1</v>
      </c>
      <c r="X110">
        <v>1.32</v>
      </c>
      <c r="Y110">
        <v>5.68</v>
      </c>
      <c r="Z110">
        <v>2.42</v>
      </c>
      <c r="AA110" s="103">
        <v>0</v>
      </c>
      <c r="AB110">
        <v>5.38</v>
      </c>
      <c r="AC110" s="101">
        <v>1.793333333333333</v>
      </c>
      <c r="AD110">
        <v>214.43</v>
      </c>
      <c r="AE110">
        <v>32.21</v>
      </c>
      <c r="AF110">
        <v>66.86</v>
      </c>
      <c r="AG110" s="101">
        <v>4</v>
      </c>
      <c r="AH110" s="101">
        <v>6.793333333333333</v>
      </c>
      <c r="AI110">
        <v>16.793333333333329</v>
      </c>
      <c r="AJ110" s="104">
        <f t="shared" si="32"/>
        <v>0.95</v>
      </c>
      <c r="AK110" s="101">
        <f t="shared" si="33"/>
        <v>16.333666666666666</v>
      </c>
      <c r="AL110" s="50">
        <f t="shared" si="34"/>
        <v>1</v>
      </c>
      <c r="AM110" s="97" t="str">
        <f t="shared" si="35"/>
        <v>Shankesh Jewellers  P</v>
      </c>
      <c r="AN110">
        <v>20</v>
      </c>
      <c r="AO110" s="99">
        <f t="shared" si="41"/>
        <v>0</v>
      </c>
      <c r="AP110" s="100">
        <f t="shared" si="36"/>
        <v>0</v>
      </c>
      <c r="AQ110">
        <v>1</v>
      </c>
      <c r="AR110" s="100">
        <f t="shared" si="37"/>
        <v>5</v>
      </c>
      <c r="AX110" s="101">
        <f t="shared" si="49"/>
        <v>0</v>
      </c>
    </row>
    <row r="111" spans="1:50" ht="12.75" customHeight="1">
      <c r="A111" t="s">
        <v>673</v>
      </c>
      <c r="B111" t="s">
        <v>674</v>
      </c>
      <c r="C111" t="s">
        <v>159</v>
      </c>
      <c r="D111">
        <v>0</v>
      </c>
      <c r="E111">
        <v>22.27</v>
      </c>
      <c r="F111">
        <v>122.06</v>
      </c>
      <c r="G111" s="100">
        <f t="shared" ref="G111:G117" si="50">100*(F111-E111)/F111</f>
        <v>81.754874651810582</v>
      </c>
      <c r="H111">
        <v>233.37</v>
      </c>
      <c r="I111">
        <v>21.1</v>
      </c>
      <c r="J111">
        <v>13.69</v>
      </c>
      <c r="K111">
        <v>6.91</v>
      </c>
      <c r="L111">
        <v>21.27</v>
      </c>
      <c r="M111">
        <v>32.19</v>
      </c>
      <c r="N111">
        <v>20.81</v>
      </c>
      <c r="O111">
        <v>182.35</v>
      </c>
      <c r="P111" s="100">
        <f t="shared" ref="P111:P117" si="51">O111/I111</f>
        <v>8.6421800947867293</v>
      </c>
      <c r="Q111">
        <v>14.33</v>
      </c>
      <c r="R111">
        <v>19.64</v>
      </c>
      <c r="S111">
        <v>-0.9</v>
      </c>
      <c r="T111">
        <v>175.06</v>
      </c>
      <c r="U111">
        <v>0</v>
      </c>
      <c r="V111">
        <v>1</v>
      </c>
      <c r="W111">
        <v>1</v>
      </c>
      <c r="X111">
        <v>1.72</v>
      </c>
      <c r="Y111">
        <v>3.55</v>
      </c>
      <c r="Z111">
        <v>2.68</v>
      </c>
      <c r="AA111" s="103">
        <f t="shared" ref="AA111:AA117" si="52">IF(X111&lt;33,IF(Y111&gt;(1.1*X111),0,1),1)+IF(Y111&gt;(4*X111),-1,0)</f>
        <v>0</v>
      </c>
      <c r="AB111">
        <v>36.99</v>
      </c>
      <c r="AC111" s="101">
        <f t="shared" ref="AC111:AC117" si="53">IF(AB111&gt;9,1,0)+AB111/3+IF(AB111&gt;15,1,0)+IF(AB111&gt;20,1,0)</f>
        <v>15.33</v>
      </c>
      <c r="AD111">
        <v>21.33</v>
      </c>
      <c r="AE111">
        <v>17.329999999999998</v>
      </c>
      <c r="AF111">
        <v>77.08</v>
      </c>
      <c r="AG111" s="101">
        <f t="shared" ref="AG111:AG117" si="54">IF(G111&lt;0,0,1.2)+IF(G111&lt;14,0,0.9)+IF(P111&lt;0,0.7,0)+IF(P111&lt;6.5,1,0)+IF(P111&lt;23,1,0)+IF(R111&gt;80,0,1)+S111+IF(AD111&lt;20,0,1)+IF(AE111&lt;14,0,1)+IF(AF111&lt;26,0,1)</f>
        <v>6.1999999999999993</v>
      </c>
      <c r="AH111" s="101">
        <f t="shared" ref="AH111:AH117" si="55">AG111+IF(AG111&gt;6,1,0)+IF(X111&lt;17,0,1)+IF(Y111&lt;11,0,1)+IF(Z111&lt;1.35,0,1)+AC111+AA111</f>
        <v>23.53</v>
      </c>
      <c r="AI111">
        <v>12.39</v>
      </c>
      <c r="AJ111" s="104">
        <f t="shared" si="32"/>
        <v>1</v>
      </c>
      <c r="AK111" s="101">
        <f t="shared" si="33"/>
        <v>39.65</v>
      </c>
      <c r="AL111" s="50">
        <f t="shared" si="34"/>
        <v>0</v>
      </c>
      <c r="AM111" s="97" t="str">
        <f t="shared" si="35"/>
        <v>Annu Projects  Price,</v>
      </c>
      <c r="AN111">
        <v>28</v>
      </c>
      <c r="AO111" s="99">
        <f t="shared" si="41"/>
        <v>1</v>
      </c>
      <c r="AP111" s="100">
        <f t="shared" si="36"/>
        <v>3</v>
      </c>
      <c r="AQ111">
        <v>1</v>
      </c>
      <c r="AR111" s="100">
        <f t="shared" si="37"/>
        <v>0</v>
      </c>
      <c r="AX111" s="101">
        <f t="shared" si="49"/>
        <v>0</v>
      </c>
    </row>
    <row r="112" spans="1:50" ht="12.75" customHeight="1">
      <c r="A112" t="s">
        <v>675</v>
      </c>
      <c r="B112" t="s">
        <v>676</v>
      </c>
      <c r="C112" t="s">
        <v>159</v>
      </c>
      <c r="D112">
        <v>1</v>
      </c>
      <c r="E112">
        <v>418.83</v>
      </c>
      <c r="F112">
        <v>570.29</v>
      </c>
      <c r="G112" s="100">
        <f t="shared" si="50"/>
        <v>26.558417647161967</v>
      </c>
      <c r="H112">
        <v>1718.66</v>
      </c>
      <c r="I112">
        <v>124.59</v>
      </c>
      <c r="J112">
        <v>7.66</v>
      </c>
      <c r="K112">
        <v>6.57</v>
      </c>
      <c r="L112">
        <v>24.62</v>
      </c>
      <c r="M112">
        <v>222.94</v>
      </c>
      <c r="N112">
        <v>11.71</v>
      </c>
      <c r="O112">
        <v>1946.68</v>
      </c>
      <c r="P112" s="100">
        <f t="shared" si="51"/>
        <v>15.624688979853921</v>
      </c>
      <c r="Q112">
        <v>12.48</v>
      </c>
      <c r="R112">
        <v>15.62</v>
      </c>
      <c r="S112">
        <v>-0.9</v>
      </c>
      <c r="T112">
        <v>700</v>
      </c>
      <c r="U112">
        <v>200</v>
      </c>
      <c r="V112">
        <v>1</v>
      </c>
      <c r="W112">
        <v>1</v>
      </c>
      <c r="X112">
        <v>232.79</v>
      </c>
      <c r="Y112">
        <v>185.21</v>
      </c>
      <c r="Z112">
        <v>40.270000000000003</v>
      </c>
      <c r="AA112" s="103">
        <f t="shared" si="52"/>
        <v>1</v>
      </c>
      <c r="AB112">
        <v>0</v>
      </c>
      <c r="AC112" s="101">
        <f t="shared" si="53"/>
        <v>0</v>
      </c>
      <c r="AD112">
        <v>43.85</v>
      </c>
      <c r="AE112">
        <v>36.64</v>
      </c>
      <c r="AF112">
        <v>27.91</v>
      </c>
      <c r="AG112" s="101">
        <f t="shared" si="54"/>
        <v>6.1999999999999993</v>
      </c>
      <c r="AH112" s="101">
        <f t="shared" si="55"/>
        <v>11.2</v>
      </c>
      <c r="AI112">
        <v>12.375</v>
      </c>
      <c r="AJ112" s="104">
        <f t="shared" si="32"/>
        <v>1</v>
      </c>
      <c r="AK112" s="101">
        <f t="shared" si="33"/>
        <v>27.319999999999997</v>
      </c>
      <c r="AL112" s="50">
        <f t="shared" si="34"/>
        <v>1</v>
      </c>
      <c r="AM112" s="97" t="str">
        <f t="shared" si="35"/>
        <v>Lumino Industries  Pr</v>
      </c>
      <c r="AN112">
        <v>31</v>
      </c>
      <c r="AO112" s="99">
        <f t="shared" si="41"/>
        <v>1</v>
      </c>
      <c r="AP112" s="100">
        <f t="shared" si="36"/>
        <v>1</v>
      </c>
      <c r="AQ112">
        <v>1</v>
      </c>
      <c r="AR112" s="100">
        <f t="shared" si="37"/>
        <v>1</v>
      </c>
      <c r="AX112" s="101">
        <f t="shared" si="49"/>
        <v>0</v>
      </c>
    </row>
    <row r="113" spans="1:50" ht="12.75" customHeight="1">
      <c r="A113" t="s">
        <v>677</v>
      </c>
      <c r="B113" t="s">
        <v>678</v>
      </c>
      <c r="C113" t="s">
        <v>159</v>
      </c>
      <c r="D113">
        <v>1</v>
      </c>
      <c r="E113">
        <v>145.85</v>
      </c>
      <c r="F113">
        <v>104.89</v>
      </c>
      <c r="G113" s="100">
        <f t="shared" si="50"/>
        <v>-39.050433787777671</v>
      </c>
      <c r="H113">
        <v>309.14</v>
      </c>
      <c r="I113">
        <v>10.51</v>
      </c>
      <c r="J113">
        <v>4.3899999999999997</v>
      </c>
      <c r="K113">
        <v>13.15</v>
      </c>
      <c r="L113">
        <v>4.55</v>
      </c>
      <c r="M113">
        <v>24.28</v>
      </c>
      <c r="N113">
        <v>7.01</v>
      </c>
      <c r="O113">
        <v>435.87</v>
      </c>
      <c r="P113" s="100">
        <f t="shared" si="51"/>
        <v>41.471931493815418</v>
      </c>
      <c r="Q113">
        <v>15.21</v>
      </c>
      <c r="R113">
        <v>13.9</v>
      </c>
      <c r="S113">
        <v>-0.9</v>
      </c>
      <c r="T113">
        <v>91.5</v>
      </c>
      <c r="U113">
        <v>0</v>
      </c>
      <c r="V113">
        <v>1</v>
      </c>
      <c r="W113">
        <v>1</v>
      </c>
      <c r="X113">
        <v>39.869999999999997</v>
      </c>
      <c r="Y113">
        <v>166.49</v>
      </c>
      <c r="Z113">
        <v>106.76</v>
      </c>
      <c r="AA113" s="103">
        <f t="shared" si="52"/>
        <v>0</v>
      </c>
      <c r="AB113">
        <v>0</v>
      </c>
      <c r="AC113" s="101">
        <f t="shared" si="53"/>
        <v>0</v>
      </c>
      <c r="AD113">
        <v>46.99</v>
      </c>
      <c r="AE113">
        <v>6.15</v>
      </c>
      <c r="AF113">
        <v>10.67</v>
      </c>
      <c r="AG113" s="101">
        <f t="shared" si="54"/>
        <v>1.1000000000000001</v>
      </c>
      <c r="AH113" s="101">
        <f t="shared" si="55"/>
        <v>4.0999999999999996</v>
      </c>
      <c r="AI113">
        <v>12.3725</v>
      </c>
      <c r="AJ113" s="104">
        <f t="shared" si="32"/>
        <v>1</v>
      </c>
      <c r="AK113" s="101">
        <f t="shared" si="33"/>
        <v>6.96</v>
      </c>
      <c r="AL113" s="50">
        <f t="shared" si="34"/>
        <v>1</v>
      </c>
      <c r="AM113" s="97" t="str">
        <f t="shared" si="35"/>
        <v>Priority Jewels  Pric</v>
      </c>
      <c r="AN113">
        <v>1</v>
      </c>
      <c r="AO113" s="99">
        <f t="shared" si="41"/>
        <v>0</v>
      </c>
      <c r="AP113" s="100">
        <f t="shared" si="36"/>
        <v>0</v>
      </c>
      <c r="AQ113">
        <v>1</v>
      </c>
      <c r="AR113" s="100">
        <f t="shared" si="37"/>
        <v>5</v>
      </c>
      <c r="AX113" s="101">
        <f t="shared" si="49"/>
        <v>0</v>
      </c>
    </row>
    <row r="114" spans="1:50" ht="12.75" customHeight="1">
      <c r="A114" t="s">
        <v>679</v>
      </c>
      <c r="B114" t="s">
        <v>680</v>
      </c>
      <c r="C114" t="s">
        <v>159</v>
      </c>
      <c r="D114">
        <v>1</v>
      </c>
      <c r="E114">
        <v>62.71</v>
      </c>
      <c r="F114">
        <v>405.55</v>
      </c>
      <c r="G114" s="100">
        <f t="shared" si="50"/>
        <v>84.537048452718523</v>
      </c>
      <c r="H114">
        <v>655.95</v>
      </c>
      <c r="I114">
        <v>55.61</v>
      </c>
      <c r="J114">
        <v>25.59</v>
      </c>
      <c r="K114">
        <v>12.03</v>
      </c>
      <c r="L114">
        <v>25.12</v>
      </c>
      <c r="M114">
        <v>154.88999999999999</v>
      </c>
      <c r="N114">
        <v>49.6</v>
      </c>
      <c r="O114">
        <v>376.64</v>
      </c>
      <c r="P114" s="100">
        <f t="shared" si="51"/>
        <v>6.7728825750764248</v>
      </c>
      <c r="Q114">
        <v>35.659999999999997</v>
      </c>
      <c r="R114">
        <v>41.61</v>
      </c>
      <c r="S114">
        <v>-0.3</v>
      </c>
      <c r="T114">
        <v>720</v>
      </c>
      <c r="U114">
        <v>0</v>
      </c>
      <c r="V114">
        <v>1</v>
      </c>
      <c r="W114">
        <v>1</v>
      </c>
      <c r="X114">
        <v>274.97000000000003</v>
      </c>
      <c r="Y114">
        <v>202.87</v>
      </c>
      <c r="Z114">
        <v>41.68</v>
      </c>
      <c r="AA114" s="103">
        <f t="shared" si="52"/>
        <v>1</v>
      </c>
      <c r="AB114">
        <v>0</v>
      </c>
      <c r="AC114" s="101">
        <f t="shared" si="53"/>
        <v>0</v>
      </c>
      <c r="AD114">
        <v>308.60000000000002</v>
      </c>
      <c r="AE114">
        <v>28.92</v>
      </c>
      <c r="AF114">
        <v>96.53</v>
      </c>
      <c r="AG114" s="101">
        <f t="shared" si="54"/>
        <v>6.8</v>
      </c>
      <c r="AH114" s="101">
        <f t="shared" si="55"/>
        <v>11.8</v>
      </c>
      <c r="AI114">
        <v>12.37</v>
      </c>
      <c r="AJ114" s="104">
        <f t="shared" si="32"/>
        <v>1</v>
      </c>
      <c r="AK114" s="101">
        <f t="shared" si="33"/>
        <v>28.006</v>
      </c>
      <c r="AL114" s="50">
        <f t="shared" si="34"/>
        <v>1</v>
      </c>
      <c r="AM114" s="97" t="str">
        <f t="shared" si="35"/>
        <v>ESDS Software Solutio</v>
      </c>
      <c r="AN114">
        <v>1</v>
      </c>
      <c r="AO114" s="99">
        <f t="shared" si="41"/>
        <v>1</v>
      </c>
      <c r="AP114" s="100">
        <f t="shared" si="36"/>
        <v>1</v>
      </c>
      <c r="AQ114">
        <v>0.95</v>
      </c>
      <c r="AR114" s="100">
        <f t="shared" si="37"/>
        <v>1</v>
      </c>
      <c r="AX114" s="101">
        <f t="shared" si="49"/>
        <v>0</v>
      </c>
    </row>
    <row r="115" spans="1:50" ht="12.75" customHeight="1">
      <c r="A115" t="s">
        <v>681</v>
      </c>
      <c r="B115" t="s">
        <v>682</v>
      </c>
      <c r="C115" t="s">
        <v>159</v>
      </c>
      <c r="D115">
        <v>0</v>
      </c>
      <c r="E115">
        <v>112.79</v>
      </c>
      <c r="F115">
        <v>117.5</v>
      </c>
      <c r="G115" s="100">
        <f t="shared" si="50"/>
        <v>4.0085106382978672</v>
      </c>
      <c r="H115">
        <v>497.05</v>
      </c>
      <c r="I115">
        <v>-188.38</v>
      </c>
      <c r="J115">
        <v>-51.16</v>
      </c>
      <c r="K115">
        <v>-41.83</v>
      </c>
      <c r="L115">
        <v>0</v>
      </c>
      <c r="M115">
        <v>41.99</v>
      </c>
      <c r="N115">
        <v>5.44</v>
      </c>
      <c r="O115">
        <v>494</v>
      </c>
      <c r="P115" s="100">
        <f t="shared" si="51"/>
        <v>-2.622359061471494</v>
      </c>
      <c r="Q115">
        <v>-13.75</v>
      </c>
      <c r="R115">
        <v>0</v>
      </c>
      <c r="S115">
        <v>-0.3</v>
      </c>
      <c r="T115">
        <v>680</v>
      </c>
      <c r="U115">
        <v>0</v>
      </c>
      <c r="V115">
        <v>1</v>
      </c>
      <c r="W115">
        <v>1</v>
      </c>
      <c r="X115">
        <v>1.5</v>
      </c>
      <c r="Y115">
        <v>0.89</v>
      </c>
      <c r="Z115">
        <v>1.66</v>
      </c>
      <c r="AA115" s="103">
        <f t="shared" si="52"/>
        <v>1</v>
      </c>
      <c r="AB115">
        <v>0</v>
      </c>
      <c r="AC115" s="101">
        <f t="shared" si="53"/>
        <v>0</v>
      </c>
      <c r="AD115">
        <v>294.83999999999997</v>
      </c>
      <c r="AE115">
        <v>-3.14</v>
      </c>
      <c r="AF115">
        <v>197.39</v>
      </c>
      <c r="AG115" s="101">
        <f t="shared" si="54"/>
        <v>6.6000000000000005</v>
      </c>
      <c r="AH115" s="101">
        <f t="shared" si="55"/>
        <v>9.6000000000000014</v>
      </c>
      <c r="AI115">
        <v>12.3575</v>
      </c>
      <c r="AJ115" s="104">
        <f t="shared" si="32"/>
        <v>1</v>
      </c>
      <c r="AK115" s="101">
        <f t="shared" si="33"/>
        <v>26.760000000000005</v>
      </c>
      <c r="AL115" s="50">
        <f t="shared" si="34"/>
        <v>0</v>
      </c>
      <c r="AM115" s="97" t="str">
        <f t="shared" si="35"/>
        <v>Purple Style Labs  Pr</v>
      </c>
      <c r="AN115">
        <v>2</v>
      </c>
      <c r="AO115" s="99">
        <f t="shared" si="41"/>
        <v>1</v>
      </c>
      <c r="AP115" s="100">
        <f t="shared" si="36"/>
        <v>3</v>
      </c>
      <c r="AQ115">
        <v>1</v>
      </c>
      <c r="AR115" s="100">
        <f t="shared" si="37"/>
        <v>0</v>
      </c>
      <c r="AX115" s="101">
        <f t="shared" si="49"/>
        <v>0</v>
      </c>
    </row>
    <row r="116" spans="1:50" ht="12.75" customHeight="1">
      <c r="A116" t="s">
        <v>683</v>
      </c>
      <c r="B116" t="s">
        <v>684</v>
      </c>
      <c r="C116" t="s">
        <v>159</v>
      </c>
      <c r="D116">
        <v>1</v>
      </c>
      <c r="E116">
        <v>80.790000000000006</v>
      </c>
      <c r="F116">
        <v>133.21</v>
      </c>
      <c r="G116" s="100">
        <f t="shared" si="50"/>
        <v>39.351400045041665</v>
      </c>
      <c r="H116">
        <v>217.67</v>
      </c>
      <c r="I116">
        <v>40.58</v>
      </c>
      <c r="J116">
        <v>5.44</v>
      </c>
      <c r="K116">
        <v>4.95</v>
      </c>
      <c r="L116">
        <v>56.45</v>
      </c>
      <c r="M116">
        <v>56.01</v>
      </c>
      <c r="N116">
        <v>7.6</v>
      </c>
      <c r="O116">
        <v>1400.1</v>
      </c>
      <c r="P116" s="100">
        <f t="shared" si="51"/>
        <v>34.502217841301132</v>
      </c>
      <c r="Q116">
        <v>0</v>
      </c>
      <c r="R116">
        <v>0</v>
      </c>
      <c r="S116">
        <v>0.7</v>
      </c>
      <c r="T116">
        <v>459.72</v>
      </c>
      <c r="U116">
        <v>209.72</v>
      </c>
      <c r="V116">
        <v>1</v>
      </c>
      <c r="W116">
        <v>1</v>
      </c>
      <c r="X116">
        <v>36.729999999999997</v>
      </c>
      <c r="Y116">
        <v>109.04</v>
      </c>
      <c r="Z116">
        <v>19.09</v>
      </c>
      <c r="AA116" s="103">
        <f t="shared" si="52"/>
        <v>1</v>
      </c>
      <c r="AB116">
        <v>0</v>
      </c>
      <c r="AC116" s="101">
        <f t="shared" si="53"/>
        <v>0</v>
      </c>
      <c r="AD116">
        <v>66.650000000000006</v>
      </c>
      <c r="AE116">
        <v>36.5</v>
      </c>
      <c r="AF116">
        <v>43.93</v>
      </c>
      <c r="AG116" s="101">
        <f t="shared" si="54"/>
        <v>6.8</v>
      </c>
      <c r="AH116" s="101">
        <f t="shared" si="55"/>
        <v>11.8</v>
      </c>
      <c r="AI116">
        <v>12.3675</v>
      </c>
      <c r="AJ116" s="104">
        <f t="shared" si="32"/>
        <v>1</v>
      </c>
      <c r="AK116" s="101">
        <f t="shared" si="33"/>
        <v>29.48</v>
      </c>
      <c r="AL116" s="50">
        <f t="shared" si="34"/>
        <v>1</v>
      </c>
      <c r="AM116" s="97" t="str">
        <f t="shared" si="35"/>
        <v>Deepa Jewellers  Pric</v>
      </c>
      <c r="AN116">
        <v>3</v>
      </c>
      <c r="AO116" s="99">
        <f t="shared" si="41"/>
        <v>1</v>
      </c>
      <c r="AP116" s="100">
        <f t="shared" si="36"/>
        <v>1</v>
      </c>
      <c r="AQ116">
        <v>1</v>
      </c>
      <c r="AR116" s="100">
        <f t="shared" si="37"/>
        <v>1</v>
      </c>
      <c r="AX116" s="101">
        <f t="shared" si="49"/>
        <v>0</v>
      </c>
    </row>
    <row r="117" spans="1:50" ht="12.75" customHeight="1">
      <c r="A117" t="s">
        <v>685</v>
      </c>
      <c r="B117" t="s">
        <v>686</v>
      </c>
      <c r="C117" t="s">
        <v>159</v>
      </c>
      <c r="D117">
        <v>1</v>
      </c>
      <c r="E117">
        <v>4.3600000000000003</v>
      </c>
      <c r="F117">
        <v>15.02</v>
      </c>
      <c r="G117" s="100">
        <f t="shared" si="50"/>
        <v>70.972037283621844</v>
      </c>
      <c r="H117">
        <v>26.12</v>
      </c>
      <c r="I117">
        <v>5.88</v>
      </c>
      <c r="J117">
        <v>6.07</v>
      </c>
      <c r="K117">
        <v>3.16</v>
      </c>
      <c r="L117">
        <v>21.64</v>
      </c>
      <c r="M117">
        <v>3.02</v>
      </c>
      <c r="N117">
        <v>14.59</v>
      </c>
      <c r="O117">
        <v>36.54</v>
      </c>
      <c r="P117" s="100">
        <f t="shared" si="51"/>
        <v>6.2142857142857144</v>
      </c>
      <c r="Q117">
        <v>75.63</v>
      </c>
      <c r="R117">
        <v>100.84</v>
      </c>
      <c r="S117">
        <v>-0.3</v>
      </c>
      <c r="T117">
        <v>125</v>
      </c>
      <c r="U117">
        <v>0</v>
      </c>
      <c r="V117">
        <v>1</v>
      </c>
      <c r="W117">
        <v>1</v>
      </c>
      <c r="X117">
        <v>9.06</v>
      </c>
      <c r="Y117">
        <v>279.11</v>
      </c>
      <c r="Z117">
        <v>195.86</v>
      </c>
      <c r="AA117" s="103">
        <f t="shared" si="52"/>
        <v>-1</v>
      </c>
      <c r="AB117">
        <v>0</v>
      </c>
      <c r="AC117" s="101">
        <f t="shared" si="53"/>
        <v>0</v>
      </c>
      <c r="AD117">
        <v>591.76</v>
      </c>
      <c r="AE117">
        <v>18.79</v>
      </c>
      <c r="AF117">
        <v>159.86000000000001</v>
      </c>
      <c r="AG117" s="101">
        <f t="shared" si="54"/>
        <v>6.8</v>
      </c>
      <c r="AH117" s="101">
        <f t="shared" si="55"/>
        <v>8.8000000000000007</v>
      </c>
      <c r="AI117">
        <v>12.362500000000001</v>
      </c>
      <c r="AJ117" s="104">
        <f t="shared" si="32"/>
        <v>1</v>
      </c>
      <c r="AK117" s="101">
        <f t="shared" si="33"/>
        <v>26.48</v>
      </c>
      <c r="AL117" s="50">
        <f t="shared" si="34"/>
        <v>1</v>
      </c>
      <c r="AM117" s="97" t="str">
        <f t="shared" si="35"/>
        <v>Rays of Belief  Price</v>
      </c>
      <c r="AN117">
        <v>3</v>
      </c>
      <c r="AO117" s="99">
        <f t="shared" si="41"/>
        <v>0</v>
      </c>
      <c r="AP117" s="100">
        <f t="shared" si="36"/>
        <v>1</v>
      </c>
      <c r="AQ117">
        <v>1</v>
      </c>
      <c r="AR117" s="100">
        <f t="shared" si="37"/>
        <v>5</v>
      </c>
      <c r="AX117" s="101">
        <f t="shared" si="49"/>
        <v>0</v>
      </c>
    </row>
    <row r="118" spans="1:50" ht="12.75" customHeight="1">
      <c r="A118" t="s">
        <v>687</v>
      </c>
      <c r="B118" t="s">
        <v>688</v>
      </c>
      <c r="C118" t="s">
        <v>159</v>
      </c>
      <c r="D118">
        <v>1</v>
      </c>
      <c r="E118">
        <v>196.5</v>
      </c>
      <c r="F118">
        <v>175.59</v>
      </c>
      <c r="G118" s="100">
        <v>-11.91</v>
      </c>
      <c r="H118">
        <v>1246.29</v>
      </c>
      <c r="I118">
        <v>62.25</v>
      </c>
      <c r="J118">
        <v>9.3699999999999992</v>
      </c>
      <c r="K118">
        <v>8.18</v>
      </c>
      <c r="L118">
        <v>33.78</v>
      </c>
      <c r="M118">
        <v>98.54</v>
      </c>
      <c r="N118">
        <v>17.18</v>
      </c>
      <c r="O118">
        <v>638.24</v>
      </c>
      <c r="P118" s="100">
        <v>10.25</v>
      </c>
      <c r="Q118">
        <v>15.16</v>
      </c>
      <c r="R118">
        <v>19.59</v>
      </c>
      <c r="S118">
        <v>-0.9</v>
      </c>
      <c r="T118">
        <v>351.03</v>
      </c>
      <c r="U118">
        <v>35.42999999999995</v>
      </c>
      <c r="V118">
        <v>1</v>
      </c>
      <c r="W118">
        <v>1</v>
      </c>
      <c r="X118">
        <v>268.54000000000002</v>
      </c>
      <c r="Y118">
        <v>217.73</v>
      </c>
      <c r="Z118">
        <v>45.31</v>
      </c>
      <c r="AA118" s="103">
        <v>1</v>
      </c>
      <c r="AB118">
        <v>9.35</v>
      </c>
      <c r="AC118" s="101">
        <v>4.1166666666666671</v>
      </c>
      <c r="AD118">
        <v>57.12</v>
      </c>
      <c r="AE118">
        <v>41.91</v>
      </c>
      <c r="AF118">
        <v>98.7</v>
      </c>
      <c r="AG118" s="101">
        <v>5</v>
      </c>
      <c r="AH118" s="101">
        <v>13.116666666666671</v>
      </c>
      <c r="AI118">
        <v>25.616666666666671</v>
      </c>
      <c r="AJ118" s="104">
        <f t="shared" si="32"/>
        <v>0.95</v>
      </c>
      <c r="AK118" s="101">
        <f t="shared" si="33"/>
        <v>24.810833333333335</v>
      </c>
      <c r="AL118" s="50">
        <f t="shared" si="34"/>
        <v>1</v>
      </c>
      <c r="AM118" s="97" t="str">
        <f t="shared" si="35"/>
        <v xml:space="preserve">Pranav Constructions </v>
      </c>
      <c r="AN118">
        <v>9</v>
      </c>
      <c r="AO118" s="99">
        <f t="shared" si="41"/>
        <v>1</v>
      </c>
      <c r="AP118" s="100">
        <f t="shared" si="36"/>
        <v>1</v>
      </c>
      <c r="AQ118">
        <v>1</v>
      </c>
      <c r="AR118" s="100">
        <f t="shared" si="37"/>
        <v>1</v>
      </c>
      <c r="AX118" s="101">
        <f t="shared" si="49"/>
        <v>0</v>
      </c>
    </row>
    <row r="119" spans="1:50" ht="12.75" customHeight="1">
      <c r="A119" t="s">
        <v>689</v>
      </c>
      <c r="B119" t="s">
        <v>690</v>
      </c>
      <c r="C119" t="s">
        <v>159</v>
      </c>
      <c r="D119">
        <v>1</v>
      </c>
      <c r="E119">
        <v>32.270000000000003</v>
      </c>
      <c r="F119">
        <v>243.13</v>
      </c>
      <c r="G119" s="100">
        <f t="shared" ref="G119:G126" si="56">100*(F119-E119)/F119</f>
        <v>86.727265249043725</v>
      </c>
      <c r="H119">
        <v>432.07</v>
      </c>
      <c r="I119">
        <v>65.12</v>
      </c>
      <c r="J119">
        <v>19.57</v>
      </c>
      <c r="K119">
        <v>17.43</v>
      </c>
      <c r="L119">
        <v>42.12</v>
      </c>
      <c r="M119">
        <v>93.39</v>
      </c>
      <c r="N119">
        <v>27.59</v>
      </c>
      <c r="O119">
        <v>457.3</v>
      </c>
      <c r="P119" s="100">
        <f t="shared" ref="P119:P126" si="57">O119/I119</f>
        <v>7.0224201474201475</v>
      </c>
      <c r="Q119">
        <v>36.26</v>
      </c>
      <c r="R119">
        <v>38.58</v>
      </c>
      <c r="S119">
        <v>0.7</v>
      </c>
      <c r="T119">
        <v>1055.74</v>
      </c>
      <c r="U119">
        <v>300</v>
      </c>
      <c r="V119">
        <v>1</v>
      </c>
      <c r="W119">
        <v>1</v>
      </c>
      <c r="X119">
        <v>215.37</v>
      </c>
      <c r="Y119">
        <v>87.74</v>
      </c>
      <c r="Z119">
        <v>20.51</v>
      </c>
      <c r="AA119" s="103">
        <f t="shared" ref="AA119:AA126" si="58">IF(X119&lt;33,IF(Y119&gt;(1.1*X119),0,1),1)+IF(Y119&gt;(4*X119),-1,0)</f>
        <v>1</v>
      </c>
      <c r="AB119">
        <v>0</v>
      </c>
      <c r="AC119" s="101">
        <f t="shared" ref="AC119:AC126" si="59">IF(AB119&gt;9,1,0)+AB119/3+IF(AB119&gt;15,1,0)+IF(AB119&gt;20,1,0)</f>
        <v>0</v>
      </c>
      <c r="AD119">
        <v>266.67</v>
      </c>
      <c r="AE119">
        <v>62.67</v>
      </c>
      <c r="AF119">
        <v>36.5</v>
      </c>
      <c r="AG119" s="101">
        <f t="shared" ref="AG119:AG126" si="60">IF(G119&lt;0,0,1.2)+IF(G119&lt;14,0,0.9)+IF(P119&lt;0,0.7,0)+IF(P119&lt;6.5,1,0)+IF(P119&lt;23,1,0)+IF(R119&gt;80,0,1)+S119+IF(AD119&lt;20,0,1)+IF(AE119&lt;14,0,1)+IF(AF119&lt;26,0,1)</f>
        <v>7.8</v>
      </c>
      <c r="AH119" s="101">
        <f t="shared" ref="AH119:AH126" si="61">AG119+IF(AG119&gt;6,1,0)+IF(X119&lt;17,0,1)+IF(Y119&lt;11,0,1)+IF(Z119&lt;1.35,0,1)+AC119+AA119</f>
        <v>12.8</v>
      </c>
      <c r="AI119">
        <v>12.285</v>
      </c>
      <c r="AJ119" s="104">
        <f t="shared" si="32"/>
        <v>1</v>
      </c>
      <c r="AK119" s="101">
        <f t="shared" si="33"/>
        <v>33.08</v>
      </c>
      <c r="AL119" s="50">
        <f t="shared" si="34"/>
        <v>1</v>
      </c>
      <c r="AM119" s="97" t="str">
        <f t="shared" si="35"/>
        <v xml:space="preserve">Kanohar Electricals  </v>
      </c>
      <c r="AN119">
        <v>10</v>
      </c>
      <c r="AO119" s="99">
        <f t="shared" si="41"/>
        <v>1</v>
      </c>
      <c r="AP119" s="100">
        <f t="shared" si="36"/>
        <v>1</v>
      </c>
      <c r="AQ119">
        <v>1</v>
      </c>
      <c r="AR119" s="100">
        <f t="shared" si="37"/>
        <v>1</v>
      </c>
      <c r="AX119" s="101">
        <f t="shared" si="49"/>
        <v>0</v>
      </c>
    </row>
    <row r="120" spans="1:50" ht="12.75" customHeight="1">
      <c r="A120" t="s">
        <v>691</v>
      </c>
      <c r="B120" t="s">
        <v>692</v>
      </c>
      <c r="C120" t="s">
        <v>159</v>
      </c>
      <c r="D120">
        <v>0</v>
      </c>
      <c r="E120">
        <v>101.05</v>
      </c>
      <c r="F120">
        <v>367.46</v>
      </c>
      <c r="G120" s="100">
        <f t="shared" si="56"/>
        <v>72.500408207696069</v>
      </c>
      <c r="H120">
        <v>723.09</v>
      </c>
      <c r="I120">
        <v>43.57</v>
      </c>
      <c r="J120">
        <v>6.74</v>
      </c>
      <c r="K120">
        <v>14.33</v>
      </c>
      <c r="L120">
        <v>20.37</v>
      </c>
      <c r="M120">
        <v>87.77</v>
      </c>
      <c r="N120">
        <v>11.3</v>
      </c>
      <c r="O120">
        <v>1015.54</v>
      </c>
      <c r="P120" s="100">
        <f t="shared" si="57"/>
        <v>23.308239614413587</v>
      </c>
      <c r="Q120">
        <v>0</v>
      </c>
      <c r="R120">
        <v>0</v>
      </c>
      <c r="S120">
        <v>0.7</v>
      </c>
      <c r="T120">
        <v>500</v>
      </c>
      <c r="U120">
        <v>0</v>
      </c>
      <c r="V120">
        <v>1</v>
      </c>
      <c r="W120">
        <v>1</v>
      </c>
      <c r="X120">
        <v>7.59</v>
      </c>
      <c r="Y120">
        <v>1.89</v>
      </c>
      <c r="Z120">
        <v>1.79</v>
      </c>
      <c r="AA120" s="103">
        <f t="shared" si="58"/>
        <v>1</v>
      </c>
      <c r="AB120">
        <v>0</v>
      </c>
      <c r="AC120" s="101">
        <f t="shared" si="59"/>
        <v>0</v>
      </c>
      <c r="AD120">
        <v>140.32</v>
      </c>
      <c r="AE120">
        <v>14.42</v>
      </c>
      <c r="AF120">
        <v>12.77</v>
      </c>
      <c r="AG120" s="101">
        <f t="shared" si="60"/>
        <v>5.8</v>
      </c>
      <c r="AH120" s="101">
        <f t="shared" si="61"/>
        <v>7.8</v>
      </c>
      <c r="AI120">
        <v>12.285</v>
      </c>
      <c r="AJ120" s="104">
        <f t="shared" si="32"/>
        <v>1</v>
      </c>
      <c r="AK120" s="101">
        <f t="shared" si="33"/>
        <v>22.88</v>
      </c>
      <c r="AL120" s="50">
        <f t="shared" si="34"/>
        <v>0</v>
      </c>
      <c r="AM120" s="97" t="str">
        <f t="shared" si="35"/>
        <v>Prasol Chemicals  Pri</v>
      </c>
      <c r="AN120">
        <v>10</v>
      </c>
      <c r="AO120" s="99">
        <f t="shared" si="41"/>
        <v>0</v>
      </c>
      <c r="AP120" s="100">
        <f t="shared" si="36"/>
        <v>0</v>
      </c>
      <c r="AQ120">
        <v>1</v>
      </c>
      <c r="AR120" s="100">
        <f t="shared" si="37"/>
        <v>5</v>
      </c>
      <c r="AX120" s="101">
        <f t="shared" si="49"/>
        <v>0</v>
      </c>
    </row>
    <row r="121" spans="1:50" ht="12.75" customHeight="1">
      <c r="A121" t="s">
        <v>693</v>
      </c>
      <c r="B121" t="s">
        <v>694</v>
      </c>
      <c r="C121" t="s">
        <v>159</v>
      </c>
      <c r="D121">
        <v>1</v>
      </c>
      <c r="E121">
        <v>8.4600000000000009</v>
      </c>
      <c r="F121">
        <v>175.75</v>
      </c>
      <c r="G121" s="100">
        <f t="shared" si="56"/>
        <v>95.186344238975821</v>
      </c>
      <c r="H121">
        <v>316.63</v>
      </c>
      <c r="I121">
        <v>57.51</v>
      </c>
      <c r="J121">
        <v>18.34</v>
      </c>
      <c r="K121">
        <v>9.9</v>
      </c>
      <c r="L121">
        <v>38.619999999999997</v>
      </c>
      <c r="M121">
        <v>73.010000000000005</v>
      </c>
      <c r="N121">
        <v>23.02</v>
      </c>
      <c r="O121">
        <v>288.14</v>
      </c>
      <c r="P121" s="100">
        <f t="shared" si="57"/>
        <v>5.0102590853764566</v>
      </c>
      <c r="Q121">
        <v>18.38</v>
      </c>
      <c r="R121">
        <v>19.100000000000001</v>
      </c>
      <c r="S121">
        <v>0</v>
      </c>
      <c r="T121">
        <v>427.89</v>
      </c>
      <c r="U121">
        <v>60</v>
      </c>
      <c r="V121">
        <v>1</v>
      </c>
      <c r="W121">
        <v>1</v>
      </c>
      <c r="X121">
        <v>167.93</v>
      </c>
      <c r="Y121">
        <v>79.709999999999994</v>
      </c>
      <c r="Z121">
        <v>33.18</v>
      </c>
      <c r="AA121" s="103">
        <f t="shared" si="58"/>
        <v>1</v>
      </c>
      <c r="AB121">
        <v>0</v>
      </c>
      <c r="AC121" s="101">
        <f t="shared" si="59"/>
        <v>0</v>
      </c>
      <c r="AD121">
        <v>184</v>
      </c>
      <c r="AE121">
        <v>-7.13</v>
      </c>
      <c r="AF121">
        <v>43.35</v>
      </c>
      <c r="AG121" s="101">
        <f t="shared" si="60"/>
        <v>7.1</v>
      </c>
      <c r="AH121" s="101">
        <f t="shared" si="61"/>
        <v>12.1</v>
      </c>
      <c r="AI121">
        <v>12.285</v>
      </c>
      <c r="AJ121" s="104">
        <f t="shared" si="32"/>
        <v>1</v>
      </c>
      <c r="AK121" s="101">
        <f t="shared" si="33"/>
        <v>29.032</v>
      </c>
      <c r="AL121" s="50">
        <f t="shared" si="34"/>
        <v>1</v>
      </c>
      <c r="AM121" s="97" t="str">
        <f t="shared" si="35"/>
        <v>Glass Wall Systems  P</v>
      </c>
      <c r="AN121">
        <v>10</v>
      </c>
      <c r="AO121" s="99">
        <f t="shared" si="41"/>
        <v>1</v>
      </c>
      <c r="AP121" s="100">
        <f t="shared" si="36"/>
        <v>1</v>
      </c>
      <c r="AQ121">
        <v>0.95</v>
      </c>
      <c r="AR121" s="100">
        <f t="shared" si="37"/>
        <v>1</v>
      </c>
      <c r="AX121" s="101">
        <f t="shared" si="49"/>
        <v>0</v>
      </c>
    </row>
    <row r="122" spans="1:50" ht="12.75" customHeight="1">
      <c r="A122" t="s">
        <v>695</v>
      </c>
      <c r="B122" t="s">
        <v>696</v>
      </c>
      <c r="C122" t="s">
        <v>159</v>
      </c>
      <c r="D122">
        <v>1</v>
      </c>
      <c r="E122">
        <v>305.93</v>
      </c>
      <c r="F122">
        <v>2767.8</v>
      </c>
      <c r="G122" s="100">
        <f t="shared" si="56"/>
        <v>88.946816966543835</v>
      </c>
      <c r="H122">
        <v>3263.82</v>
      </c>
      <c r="I122">
        <v>355.32</v>
      </c>
      <c r="J122">
        <v>51.95</v>
      </c>
      <c r="K122">
        <v>12.55</v>
      </c>
      <c r="L122">
        <v>0</v>
      </c>
      <c r="M122">
        <v>491.88</v>
      </c>
      <c r="N122">
        <v>78.209999999999994</v>
      </c>
      <c r="O122">
        <v>623.4</v>
      </c>
      <c r="P122" s="100">
        <f t="shared" si="57"/>
        <v>1.7544748395812226</v>
      </c>
      <c r="Q122">
        <v>11.08</v>
      </c>
      <c r="R122">
        <v>11.08</v>
      </c>
      <c r="S122">
        <v>-0.3</v>
      </c>
      <c r="T122">
        <v>732.97</v>
      </c>
      <c r="U122">
        <v>0</v>
      </c>
      <c r="V122">
        <v>1</v>
      </c>
      <c r="W122">
        <v>1</v>
      </c>
      <c r="X122">
        <v>52.65</v>
      </c>
      <c r="Y122">
        <v>15.69</v>
      </c>
      <c r="Z122">
        <v>3.39</v>
      </c>
      <c r="AA122" s="103">
        <f t="shared" si="58"/>
        <v>1</v>
      </c>
      <c r="AB122">
        <v>11.51</v>
      </c>
      <c r="AC122" s="101">
        <f t="shared" si="59"/>
        <v>4.836666666666666</v>
      </c>
      <c r="AD122">
        <v>16.37</v>
      </c>
      <c r="AE122">
        <v>8.59</v>
      </c>
      <c r="AF122">
        <v>12.4</v>
      </c>
      <c r="AG122" s="101">
        <f t="shared" si="60"/>
        <v>4.8</v>
      </c>
      <c r="AH122" s="101">
        <f t="shared" si="61"/>
        <v>13.636666666666667</v>
      </c>
      <c r="AI122">
        <v>12.285</v>
      </c>
      <c r="AJ122" s="104">
        <f t="shared" si="32"/>
        <v>1</v>
      </c>
      <c r="AK122" s="101">
        <f t="shared" si="33"/>
        <v>26.116666666666667</v>
      </c>
      <c r="AL122" s="50">
        <f t="shared" si="34"/>
        <v>1</v>
      </c>
      <c r="AM122" s="97" t="str">
        <f t="shared" si="35"/>
        <v xml:space="preserve">Asset Reconstruction </v>
      </c>
      <c r="AN122">
        <v>11</v>
      </c>
      <c r="AO122" s="99">
        <f t="shared" si="41"/>
        <v>1</v>
      </c>
      <c r="AP122" s="100">
        <f t="shared" si="36"/>
        <v>2</v>
      </c>
      <c r="AQ122">
        <v>1</v>
      </c>
      <c r="AR122" s="100">
        <f t="shared" si="37"/>
        <v>1</v>
      </c>
      <c r="AX122" s="101">
        <f t="shared" si="49"/>
        <v>0</v>
      </c>
    </row>
    <row r="123" spans="1:50" ht="12.75" customHeight="1">
      <c r="A123" t="s">
        <v>697</v>
      </c>
      <c r="B123" t="s">
        <v>698</v>
      </c>
      <c r="C123" t="s">
        <v>159</v>
      </c>
      <c r="D123">
        <v>0</v>
      </c>
      <c r="E123">
        <v>472.87</v>
      </c>
      <c r="F123">
        <v>619.70000000000005</v>
      </c>
      <c r="G123" s="100">
        <f t="shared" si="56"/>
        <v>23.693722769081816</v>
      </c>
      <c r="H123">
        <v>1409.67</v>
      </c>
      <c r="I123">
        <v>282.20999999999998</v>
      </c>
      <c r="J123">
        <v>18.68</v>
      </c>
      <c r="K123">
        <v>11.4</v>
      </c>
      <c r="L123">
        <v>29.35</v>
      </c>
      <c r="M123">
        <v>408.77</v>
      </c>
      <c r="N123">
        <v>33.6</v>
      </c>
      <c r="O123">
        <v>1277.1099999999999</v>
      </c>
      <c r="P123" s="100">
        <f t="shared" si="57"/>
        <v>4.5253888947946566</v>
      </c>
      <c r="Q123">
        <v>29.74</v>
      </c>
      <c r="R123">
        <v>31.02</v>
      </c>
      <c r="S123">
        <v>0</v>
      </c>
      <c r="T123">
        <v>805</v>
      </c>
      <c r="U123">
        <v>320</v>
      </c>
      <c r="V123">
        <v>1</v>
      </c>
      <c r="W123">
        <v>1</v>
      </c>
      <c r="X123">
        <v>1.26</v>
      </c>
      <c r="Y123">
        <v>1.22</v>
      </c>
      <c r="Z123">
        <v>2.19</v>
      </c>
      <c r="AA123" s="103">
        <f t="shared" si="58"/>
        <v>1</v>
      </c>
      <c r="AB123">
        <v>0.59</v>
      </c>
      <c r="AC123" s="101">
        <f t="shared" si="59"/>
        <v>0.19666666666666666</v>
      </c>
      <c r="AD123">
        <v>13.26</v>
      </c>
      <c r="AE123">
        <v>0.72</v>
      </c>
      <c r="AF123">
        <v>52.99</v>
      </c>
      <c r="AG123" s="101">
        <f t="shared" si="60"/>
        <v>6.1</v>
      </c>
      <c r="AH123" s="101">
        <f t="shared" si="61"/>
        <v>9.2966666666666669</v>
      </c>
      <c r="AI123">
        <v>12.285</v>
      </c>
      <c r="AJ123" s="104">
        <f t="shared" si="32"/>
        <v>1</v>
      </c>
      <c r="AK123" s="101">
        <f t="shared" si="33"/>
        <v>23.898833333333332</v>
      </c>
      <c r="AL123" s="50">
        <f t="shared" si="34"/>
        <v>0</v>
      </c>
      <c r="AM123" s="97" t="str">
        <f t="shared" si="35"/>
        <v>Manipal Payment &amp;amp;</v>
      </c>
      <c r="AN123">
        <v>11</v>
      </c>
      <c r="AO123" s="99">
        <f t="shared" si="41"/>
        <v>0</v>
      </c>
      <c r="AP123" s="100">
        <f t="shared" si="36"/>
        <v>3</v>
      </c>
      <c r="AQ123">
        <v>0.95</v>
      </c>
      <c r="AR123" s="100">
        <f t="shared" si="37"/>
        <v>5</v>
      </c>
      <c r="AX123" s="101">
        <f t="shared" si="49"/>
        <v>0</v>
      </c>
    </row>
    <row r="124" spans="1:50" ht="12.75" customHeight="1">
      <c r="A124" t="s">
        <v>699</v>
      </c>
      <c r="B124" t="s">
        <v>700</v>
      </c>
      <c r="C124" t="s">
        <v>159</v>
      </c>
      <c r="D124">
        <v>1</v>
      </c>
      <c r="E124">
        <v>222.95</v>
      </c>
      <c r="F124">
        <v>131</v>
      </c>
      <c r="G124" s="100">
        <f t="shared" si="56"/>
        <v>-70.190839694656475</v>
      </c>
      <c r="H124">
        <v>543.66999999999996</v>
      </c>
      <c r="I124">
        <v>31.16</v>
      </c>
      <c r="J124">
        <v>7.81</v>
      </c>
      <c r="K124">
        <v>1.66</v>
      </c>
      <c r="L124">
        <v>22.36</v>
      </c>
      <c r="M124">
        <v>69.319999999999993</v>
      </c>
      <c r="N124">
        <v>16.989999999999998</v>
      </c>
      <c r="O124">
        <v>398.53</v>
      </c>
      <c r="P124" s="100">
        <f t="shared" si="57"/>
        <v>12.7897946084724</v>
      </c>
      <c r="Q124">
        <v>48.8</v>
      </c>
      <c r="R124">
        <v>57.86</v>
      </c>
      <c r="S124">
        <v>-0.9</v>
      </c>
      <c r="T124">
        <v>414</v>
      </c>
      <c r="U124">
        <v>61</v>
      </c>
      <c r="V124">
        <v>1</v>
      </c>
      <c r="W124">
        <v>1</v>
      </c>
      <c r="X124">
        <v>46.19</v>
      </c>
      <c r="Y124">
        <v>46.6</v>
      </c>
      <c r="Z124">
        <v>17.78</v>
      </c>
      <c r="AA124" s="103">
        <f t="shared" si="58"/>
        <v>1</v>
      </c>
      <c r="AB124">
        <v>0</v>
      </c>
      <c r="AC124" s="101">
        <f t="shared" si="59"/>
        <v>0</v>
      </c>
      <c r="AD124">
        <v>14.6</v>
      </c>
      <c r="AE124">
        <v>35.94</v>
      </c>
      <c r="AF124">
        <v>27.54</v>
      </c>
      <c r="AG124" s="101">
        <f t="shared" si="60"/>
        <v>3.1</v>
      </c>
      <c r="AH124" s="101">
        <f t="shared" si="61"/>
        <v>7.1</v>
      </c>
      <c r="AI124">
        <v>12.285</v>
      </c>
      <c r="AJ124" s="104">
        <f t="shared" si="32"/>
        <v>1</v>
      </c>
      <c r="AK124" s="101">
        <f t="shared" si="33"/>
        <v>15.16</v>
      </c>
      <c r="AL124" s="50">
        <f t="shared" si="34"/>
        <v>1</v>
      </c>
      <c r="AM124" s="97" t="str">
        <f t="shared" si="35"/>
        <v>Steamhouse India  Pri</v>
      </c>
      <c r="AN124">
        <v>11</v>
      </c>
      <c r="AO124" s="99">
        <f t="shared" si="41"/>
        <v>0</v>
      </c>
      <c r="AP124" s="100">
        <f t="shared" si="36"/>
        <v>0</v>
      </c>
      <c r="AQ124">
        <v>1</v>
      </c>
      <c r="AR124" s="100">
        <f t="shared" si="37"/>
        <v>5</v>
      </c>
      <c r="AX124" s="101">
        <f t="shared" si="49"/>
        <v>0</v>
      </c>
    </row>
    <row r="125" spans="1:50" ht="12.75" customHeight="1">
      <c r="A125" t="s">
        <v>701</v>
      </c>
      <c r="B125" t="s">
        <v>702</v>
      </c>
      <c r="C125" t="s">
        <v>159</v>
      </c>
      <c r="D125">
        <v>1</v>
      </c>
      <c r="E125">
        <v>649.54999999999995</v>
      </c>
      <c r="F125">
        <v>604.99</v>
      </c>
      <c r="G125" s="100">
        <f t="shared" si="56"/>
        <v>-7.3654109985288923</v>
      </c>
      <c r="H125">
        <v>1727.46</v>
      </c>
      <c r="I125">
        <v>223.63</v>
      </c>
      <c r="J125">
        <v>7.96</v>
      </c>
      <c r="K125">
        <v>10.53</v>
      </c>
      <c r="L125">
        <v>32.24</v>
      </c>
      <c r="M125">
        <v>401.04</v>
      </c>
      <c r="N125">
        <v>14.44</v>
      </c>
      <c r="O125">
        <v>2941.01</v>
      </c>
      <c r="P125" s="100">
        <f t="shared" si="57"/>
        <v>13.15123194562447</v>
      </c>
      <c r="Q125">
        <v>13.87</v>
      </c>
      <c r="R125">
        <v>14.76</v>
      </c>
      <c r="S125">
        <v>0</v>
      </c>
      <c r="T125">
        <v>427.14</v>
      </c>
      <c r="U125">
        <v>169.14</v>
      </c>
      <c r="V125">
        <v>1</v>
      </c>
      <c r="W125">
        <v>1</v>
      </c>
      <c r="X125">
        <v>78.73</v>
      </c>
      <c r="Y125">
        <v>64.91</v>
      </c>
      <c r="Z125">
        <v>26.34</v>
      </c>
      <c r="AA125" s="103">
        <f t="shared" si="58"/>
        <v>1</v>
      </c>
      <c r="AB125">
        <v>43.84</v>
      </c>
      <c r="AC125" s="101">
        <f t="shared" si="59"/>
        <v>17.613333333333337</v>
      </c>
      <c r="AD125">
        <v>83.3</v>
      </c>
      <c r="AE125">
        <v>20.05</v>
      </c>
      <c r="AF125">
        <v>58.03</v>
      </c>
      <c r="AG125" s="101">
        <f t="shared" si="60"/>
        <v>5</v>
      </c>
      <c r="AH125" s="101">
        <f t="shared" si="61"/>
        <v>26.613333333333337</v>
      </c>
      <c r="AI125">
        <v>12.285</v>
      </c>
      <c r="AJ125" s="104">
        <f t="shared" si="32"/>
        <v>1</v>
      </c>
      <c r="AK125" s="101">
        <f t="shared" si="33"/>
        <v>39.613333333333337</v>
      </c>
      <c r="AL125" s="50">
        <f t="shared" si="34"/>
        <v>1</v>
      </c>
      <c r="AM125" s="97" t="str">
        <f t="shared" si="35"/>
        <v xml:space="preserve">LCC Projects  Price, </v>
      </c>
      <c r="AN125">
        <v>11</v>
      </c>
      <c r="AO125" s="99">
        <f t="shared" si="41"/>
        <v>1</v>
      </c>
      <c r="AP125" s="100">
        <f t="shared" si="36"/>
        <v>1</v>
      </c>
      <c r="AQ125">
        <v>1</v>
      </c>
      <c r="AR125" s="100">
        <f t="shared" si="37"/>
        <v>1</v>
      </c>
      <c r="AX125" s="101">
        <f t="shared" si="49"/>
        <v>0</v>
      </c>
    </row>
    <row r="126" spans="1:50" ht="12.75" customHeight="1">
      <c r="A126" t="s">
        <v>703</v>
      </c>
      <c r="B126" t="s">
        <v>704</v>
      </c>
      <c r="C126" t="s">
        <v>159</v>
      </c>
      <c r="D126">
        <v>1</v>
      </c>
      <c r="E126">
        <v>556.28</v>
      </c>
      <c r="F126">
        <v>982.67</v>
      </c>
      <c r="G126" s="100">
        <f t="shared" si="56"/>
        <v>43.390965430917809</v>
      </c>
      <c r="H126">
        <v>2762.59</v>
      </c>
      <c r="I126">
        <v>139.33000000000001</v>
      </c>
      <c r="J126">
        <v>0</v>
      </c>
      <c r="K126">
        <v>7.75</v>
      </c>
      <c r="L126">
        <v>20.77</v>
      </c>
      <c r="M126">
        <v>346.83</v>
      </c>
      <c r="N126">
        <v>11.55</v>
      </c>
      <c r="O126">
        <v>3165.36</v>
      </c>
      <c r="P126" s="100">
        <f t="shared" si="57"/>
        <v>22.718438240149286</v>
      </c>
      <c r="Q126">
        <v>32.770000000000003</v>
      </c>
      <c r="R126">
        <v>35.72</v>
      </c>
      <c r="S126">
        <v>-0.9</v>
      </c>
      <c r="T126">
        <v>875</v>
      </c>
      <c r="U126">
        <v>200</v>
      </c>
      <c r="V126">
        <v>1</v>
      </c>
      <c r="W126">
        <v>1</v>
      </c>
      <c r="X126">
        <v>168.19</v>
      </c>
      <c r="Y126">
        <v>51.17</v>
      </c>
      <c r="Z126">
        <v>13.98</v>
      </c>
      <c r="AA126" s="103">
        <f t="shared" si="58"/>
        <v>1</v>
      </c>
      <c r="AB126">
        <v>0</v>
      </c>
      <c r="AC126" s="101">
        <f t="shared" si="59"/>
        <v>0</v>
      </c>
      <c r="AD126">
        <v>35.729999999999997</v>
      </c>
      <c r="AE126">
        <v>30.42</v>
      </c>
      <c r="AF126">
        <v>77.72</v>
      </c>
      <c r="AG126" s="101">
        <f t="shared" si="60"/>
        <v>6.1999999999999993</v>
      </c>
      <c r="AH126" s="101">
        <f t="shared" si="61"/>
        <v>11.2</v>
      </c>
      <c r="AI126">
        <v>12.285</v>
      </c>
      <c r="AJ126" s="104">
        <f t="shared" si="32"/>
        <v>1</v>
      </c>
      <c r="AK126" s="101">
        <f t="shared" si="33"/>
        <v>27.319999999999997</v>
      </c>
      <c r="AL126" s="50">
        <f t="shared" si="34"/>
        <v>1</v>
      </c>
      <c r="AM126" s="97" t="str">
        <f t="shared" si="35"/>
        <v>Karamtara Engineering</v>
      </c>
      <c r="AN126">
        <v>11</v>
      </c>
      <c r="AO126" s="99">
        <f t="shared" si="41"/>
        <v>1</v>
      </c>
      <c r="AP126" s="100">
        <f t="shared" si="36"/>
        <v>1</v>
      </c>
      <c r="AQ126">
        <v>1</v>
      </c>
      <c r="AR126" s="100">
        <f t="shared" si="37"/>
        <v>1</v>
      </c>
      <c r="AX126" s="101">
        <f t="shared" si="49"/>
        <v>0</v>
      </c>
    </row>
    <row r="127" spans="1:50" ht="12.75" customHeight="1">
      <c r="A127" t="s">
        <v>705</v>
      </c>
      <c r="B127" t="s">
        <v>706</v>
      </c>
      <c r="C127" t="s">
        <v>159</v>
      </c>
      <c r="D127">
        <v>1</v>
      </c>
      <c r="E127">
        <v>176.97</v>
      </c>
      <c r="F127">
        <v>65.44</v>
      </c>
      <c r="G127" s="100">
        <v>-170.43</v>
      </c>
      <c r="H127">
        <v>326.64999999999998</v>
      </c>
      <c r="I127">
        <v>20.43</v>
      </c>
      <c r="J127">
        <v>10.47</v>
      </c>
      <c r="K127">
        <v>7.89</v>
      </c>
      <c r="L127">
        <v>16.02</v>
      </c>
      <c r="M127">
        <v>33.770000000000003</v>
      </c>
      <c r="N127">
        <v>16.78</v>
      </c>
      <c r="O127">
        <v>196.22</v>
      </c>
      <c r="P127" s="100">
        <v>9.6</v>
      </c>
      <c r="Q127">
        <v>17.739999999999998</v>
      </c>
      <c r="R127">
        <v>25.64</v>
      </c>
      <c r="S127">
        <v>-0.9</v>
      </c>
      <c r="T127">
        <v>210</v>
      </c>
      <c r="U127">
        <v>0</v>
      </c>
      <c r="V127">
        <v>1</v>
      </c>
      <c r="W127">
        <v>1</v>
      </c>
      <c r="X127">
        <v>10</v>
      </c>
      <c r="Y127">
        <v>13.3</v>
      </c>
      <c r="Z127">
        <v>8.0299999999999994</v>
      </c>
      <c r="AA127" s="103">
        <v>0</v>
      </c>
      <c r="AB127">
        <v>5</v>
      </c>
      <c r="AC127" s="101">
        <v>1.666666666666667</v>
      </c>
      <c r="AD127">
        <v>159.59</v>
      </c>
      <c r="AE127">
        <v>71.209999999999994</v>
      </c>
      <c r="AF127">
        <v>45.2</v>
      </c>
      <c r="AG127" s="101">
        <v>5</v>
      </c>
      <c r="AH127" s="101">
        <v>8.6666666666666661</v>
      </c>
      <c r="AI127">
        <v>21.166666666666661</v>
      </c>
      <c r="AJ127" s="104">
        <f t="shared" si="32"/>
        <v>0.95</v>
      </c>
      <c r="AK127" s="101">
        <f t="shared" si="33"/>
        <v>20.583333333333329</v>
      </c>
      <c r="AL127" s="50">
        <f t="shared" si="34"/>
        <v>1</v>
      </c>
      <c r="AM127" s="97" t="str">
        <f t="shared" si="35"/>
        <v xml:space="preserve">Veegaland Developers </v>
      </c>
      <c r="AN127">
        <v>15</v>
      </c>
      <c r="AO127" s="99">
        <f t="shared" si="41"/>
        <v>0</v>
      </c>
      <c r="AP127" s="100">
        <f t="shared" si="36"/>
        <v>0</v>
      </c>
      <c r="AQ127">
        <v>1</v>
      </c>
      <c r="AR127" s="100">
        <f t="shared" si="37"/>
        <v>5</v>
      </c>
      <c r="AX127" s="101">
        <f t="shared" si="49"/>
        <v>0</v>
      </c>
    </row>
    <row r="128" spans="1:50" ht="12.75" customHeight="1">
      <c r="A128" t="s">
        <v>707</v>
      </c>
      <c r="B128" t="s">
        <v>708</v>
      </c>
      <c r="C128" t="s">
        <v>159</v>
      </c>
      <c r="D128">
        <v>1</v>
      </c>
      <c r="E128">
        <v>97.45</v>
      </c>
      <c r="F128">
        <v>125.17</v>
      </c>
      <c r="G128" s="100">
        <v>22.15</v>
      </c>
      <c r="H128">
        <v>320.99</v>
      </c>
      <c r="I128">
        <v>19.329999999999998</v>
      </c>
      <c r="J128">
        <v>8.0299999999999994</v>
      </c>
      <c r="K128">
        <v>2.36</v>
      </c>
      <c r="L128">
        <v>8.34</v>
      </c>
      <c r="M128">
        <v>45.3</v>
      </c>
      <c r="N128">
        <v>15.01</v>
      </c>
      <c r="O128">
        <v>412.59</v>
      </c>
      <c r="P128" s="100">
        <v>21.34</v>
      </c>
      <c r="Q128">
        <v>18.22</v>
      </c>
      <c r="R128">
        <v>9.58</v>
      </c>
      <c r="S128">
        <v>0.7</v>
      </c>
      <c r="T128">
        <v>125.5</v>
      </c>
      <c r="U128">
        <v>33</v>
      </c>
      <c r="V128">
        <v>1</v>
      </c>
      <c r="W128">
        <v>1</v>
      </c>
      <c r="X128">
        <v>0.8</v>
      </c>
      <c r="Y128">
        <v>8.11</v>
      </c>
      <c r="Z128">
        <v>10.3</v>
      </c>
      <c r="AA128" s="103">
        <v>0</v>
      </c>
      <c r="AB128">
        <v>9.3000000000000007</v>
      </c>
      <c r="AC128" s="101">
        <v>4.0999999999999996</v>
      </c>
      <c r="AD128">
        <v>67.650000000000006</v>
      </c>
      <c r="AE128">
        <v>11.89</v>
      </c>
      <c r="AF128">
        <v>15.91</v>
      </c>
      <c r="AG128" s="101">
        <v>5.0999999999999996</v>
      </c>
      <c r="AH128" s="101">
        <v>10.199999999999999</v>
      </c>
      <c r="AI128">
        <v>22.95</v>
      </c>
      <c r="AJ128" s="104">
        <f t="shared" si="32"/>
        <v>0.95</v>
      </c>
      <c r="AK128" s="101">
        <f t="shared" si="33"/>
        <v>21.172649999999997</v>
      </c>
      <c r="AL128" s="50">
        <f t="shared" si="34"/>
        <v>1</v>
      </c>
      <c r="AM128" s="97" t="str">
        <f t="shared" si="35"/>
        <v>Manika Plastech  Pric</v>
      </c>
      <c r="AN128">
        <v>16</v>
      </c>
      <c r="AO128" s="99">
        <f t="shared" si="41"/>
        <v>0</v>
      </c>
      <c r="AP128" s="100">
        <f t="shared" si="36"/>
        <v>0</v>
      </c>
      <c r="AQ128">
        <v>0.95</v>
      </c>
      <c r="AR128" s="100">
        <f t="shared" si="37"/>
        <v>5</v>
      </c>
      <c r="AX128" s="101">
        <f t="shared" si="49"/>
        <v>0</v>
      </c>
    </row>
    <row r="129" spans="1:50" ht="12.75" customHeight="1">
      <c r="A129" t="s">
        <v>709</v>
      </c>
      <c r="B129" t="s">
        <v>710</v>
      </c>
      <c r="C129" t="s">
        <v>159</v>
      </c>
      <c r="D129">
        <v>1</v>
      </c>
      <c r="E129">
        <v>125.36</v>
      </c>
      <c r="F129">
        <v>141.37</v>
      </c>
      <c r="G129" s="100">
        <f>100*(F129-E129)/F129</f>
        <v>11.324892127042515</v>
      </c>
      <c r="H129">
        <v>389.44</v>
      </c>
      <c r="I129">
        <v>39.86</v>
      </c>
      <c r="J129">
        <v>2.52</v>
      </c>
      <c r="K129">
        <v>9</v>
      </c>
      <c r="L129">
        <v>30.6</v>
      </c>
      <c r="M129">
        <v>80.44</v>
      </c>
      <c r="N129">
        <v>5.32</v>
      </c>
      <c r="O129">
        <v>1599.96</v>
      </c>
      <c r="P129" s="100">
        <f>O129/I129</f>
        <v>40.139488208730562</v>
      </c>
      <c r="Q129">
        <v>47.11</v>
      </c>
      <c r="R129">
        <v>53.2</v>
      </c>
      <c r="S129">
        <v>-0.9</v>
      </c>
      <c r="T129">
        <v>500</v>
      </c>
      <c r="U129">
        <v>0</v>
      </c>
      <c r="V129">
        <v>0</v>
      </c>
      <c r="W129">
        <v>1</v>
      </c>
      <c r="X129">
        <v>0</v>
      </c>
      <c r="Y129">
        <v>0</v>
      </c>
      <c r="Z129">
        <v>0</v>
      </c>
      <c r="AA129" s="103">
        <f>IF(X129&lt;33,IF(Y129&gt;(1.1*X129),0,1),1)+IF(Y129&gt;(4*X129),-1,0)</f>
        <v>1</v>
      </c>
      <c r="AB129">
        <v>32.08</v>
      </c>
      <c r="AC129" s="101">
        <f>IF(AB129&gt;9,1,0)+AB129/3+IF(AB129&gt;15,1,0)+IF(AB129&gt;20,1,0)</f>
        <v>13.693333333333333</v>
      </c>
      <c r="AD129">
        <v>49.57</v>
      </c>
      <c r="AE129">
        <v>32.44</v>
      </c>
      <c r="AF129">
        <v>39.270000000000003</v>
      </c>
      <c r="AG129" s="101">
        <f>IF(G129&lt;0,0,1.2)+IF(G129&lt;14,0,0.9)+IF(P129&lt;0,0.7,0)+IF(P129&lt;6.5,1,0)+IF(P129&lt;23,1,0)+IF(R129&gt;80,0,1)+S129+IF(AD129&lt;20,0,1)+IF(AE129&lt;14,0,1)+IF(AF129&lt;26,0,1)</f>
        <v>4.3000000000000007</v>
      </c>
      <c r="AH129" s="101">
        <f>AG129+IF(AG129&gt;6,1,0)+IF(X129&lt;17,0,1)+IF(Y129&lt;11,0,1)+IF(Z129&lt;1.35,0,1)+AC129+AA129</f>
        <v>18.993333333333332</v>
      </c>
      <c r="AI129">
        <v>12.285</v>
      </c>
      <c r="AJ129" s="104">
        <f t="shared" si="32"/>
        <v>1</v>
      </c>
      <c r="AK129" s="101">
        <f t="shared" si="33"/>
        <v>28.664666666666665</v>
      </c>
      <c r="AL129" s="50">
        <f t="shared" si="34"/>
        <v>1</v>
      </c>
      <c r="AM129" s="97" t="str">
        <f t="shared" si="35"/>
        <v>SS Retail  Price, GMP</v>
      </c>
      <c r="AN129">
        <v>18</v>
      </c>
      <c r="AO129" s="99">
        <f t="shared" si="41"/>
        <v>1</v>
      </c>
      <c r="AP129" s="100">
        <f t="shared" si="36"/>
        <v>3</v>
      </c>
      <c r="AQ129">
        <v>0.95</v>
      </c>
      <c r="AR129" s="100">
        <f t="shared" si="37"/>
        <v>1</v>
      </c>
      <c r="AX129" s="101">
        <f t="shared" si="49"/>
        <v>0</v>
      </c>
    </row>
    <row r="130" spans="1:50" ht="12.75" customHeight="1">
      <c r="A130" t="s">
        <v>711</v>
      </c>
      <c r="B130" t="s">
        <v>712</v>
      </c>
      <c r="C130" t="s">
        <v>159</v>
      </c>
      <c r="D130">
        <v>1</v>
      </c>
      <c r="E130">
        <v>95.84</v>
      </c>
      <c r="F130">
        <v>74.64</v>
      </c>
      <c r="G130" s="100">
        <f>100*(F130-E130)/F130</f>
        <v>-28.403001071811367</v>
      </c>
      <c r="H130">
        <v>200.33</v>
      </c>
      <c r="I130">
        <v>24.27</v>
      </c>
      <c r="J130">
        <v>4.33</v>
      </c>
      <c r="K130">
        <v>5.59</v>
      </c>
      <c r="L130">
        <v>8.1999999999999993</v>
      </c>
      <c r="M130">
        <v>25.92</v>
      </c>
      <c r="N130">
        <v>7.2</v>
      </c>
      <c r="O130">
        <v>604.74</v>
      </c>
      <c r="P130" s="100">
        <f>O130/I130</f>
        <v>24.917181705809643</v>
      </c>
      <c r="Q130">
        <v>16.64</v>
      </c>
      <c r="R130">
        <v>14.33</v>
      </c>
      <c r="S130">
        <v>-0.3</v>
      </c>
      <c r="T130">
        <v>124.88</v>
      </c>
      <c r="U130">
        <v>24.989999999999991</v>
      </c>
      <c r="V130">
        <v>0</v>
      </c>
      <c r="W130">
        <v>1</v>
      </c>
      <c r="X130">
        <v>0</v>
      </c>
      <c r="Y130">
        <v>0</v>
      </c>
      <c r="Z130">
        <v>0</v>
      </c>
      <c r="AA130" s="103">
        <f>IF(X130&lt;33,IF(Y130&gt;(1.1*X130),0,1),1)+IF(Y130&gt;(4*X130),-1,0)</f>
        <v>1</v>
      </c>
      <c r="AB130">
        <v>29.03</v>
      </c>
      <c r="AC130" s="101">
        <f>IF(AB130&gt;9,1,0)+AB130/3+IF(AB130&gt;15,1,0)+IF(AB130&gt;20,1,0)</f>
        <v>12.676666666666668</v>
      </c>
      <c r="AD130">
        <v>88.58</v>
      </c>
      <c r="AE130">
        <v>-7.09</v>
      </c>
      <c r="AF130">
        <v>48.36</v>
      </c>
      <c r="AG130" s="101">
        <f>IF(G130&lt;0,0,1.2)+IF(G130&lt;14,0,0.9)+IF(P130&lt;0,0.7,0)+IF(P130&lt;6.5,1,0)+IF(P130&lt;23,1,0)+IF(R130&gt;80,0,1)+S130+IF(AD130&lt;20,0,1)+IF(AE130&lt;14,0,1)+IF(AF130&lt;26,0,1)</f>
        <v>2.7</v>
      </c>
      <c r="AH130" s="101">
        <f>AG130+IF(AG130&gt;6,1,0)+IF(X130&lt;17,0,1)+IF(Y130&lt;11,0,1)+IF(Z130&lt;1.35,0,1)+AC130+AA130</f>
        <v>16.376666666666669</v>
      </c>
      <c r="AI130">
        <v>12.285</v>
      </c>
      <c r="AJ130" s="104">
        <f t="shared" ref="AJ130:AJ193" si="62">IF(AI130&gt;12.8,IF(AI130&gt;15.8,0.95,0.98),1)</f>
        <v>1</v>
      </c>
      <c r="AK130" s="101">
        <f t="shared" ref="AK130:AK193" si="63">((AG130*2.6+AH130)*AJ130*AQ130)</f>
        <v>23.396666666666668</v>
      </c>
      <c r="AL130" s="50">
        <f t="shared" ref="AL130:AL193" si="64">D130</f>
        <v>1</v>
      </c>
      <c r="AM130" s="97" t="str">
        <f t="shared" ref="AM130:AM193" si="65">B130</f>
        <v>Jindal Supreme  Price</v>
      </c>
      <c r="AN130">
        <v>18</v>
      </c>
      <c r="AO130" s="99">
        <f t="shared" si="41"/>
        <v>0</v>
      </c>
      <c r="AP130" s="100">
        <f t="shared" ref="AP130:AP193" si="66">IF(AK130&gt;23.2,IF(Y130&lt;300,IF(Y130&lt;35,IF(Y130&lt;8,3,2),1),0),0)</f>
        <v>3</v>
      </c>
      <c r="AQ130">
        <v>1</v>
      </c>
      <c r="AR130" s="100">
        <f t="shared" ref="AR130:AR193" si="67">IF(AO130=1,IF(AO130=AL130,1,0),5)</f>
        <v>5</v>
      </c>
      <c r="AX130" s="101">
        <f t="shared" si="49"/>
        <v>0</v>
      </c>
    </row>
    <row r="131" spans="1:50" ht="12.75" customHeight="1">
      <c r="A131" t="s">
        <v>713</v>
      </c>
      <c r="B131" t="s">
        <v>714</v>
      </c>
      <c r="C131" t="s">
        <v>159</v>
      </c>
      <c r="D131">
        <v>0</v>
      </c>
      <c r="E131">
        <v>407.62</v>
      </c>
      <c r="F131">
        <v>423.95</v>
      </c>
      <c r="G131" s="100">
        <f>100*(F131-E131)/F131</f>
        <v>3.8518693242127573</v>
      </c>
      <c r="H131">
        <v>1164.6199999999999</v>
      </c>
      <c r="I131">
        <v>32.799999999999997</v>
      </c>
      <c r="J131">
        <v>3.46</v>
      </c>
      <c r="K131">
        <v>1.08</v>
      </c>
      <c r="L131">
        <v>8.56</v>
      </c>
      <c r="M131">
        <v>114</v>
      </c>
      <c r="N131">
        <v>12.44</v>
      </c>
      <c r="O131">
        <v>1111.23</v>
      </c>
      <c r="P131" s="100">
        <f>O131/I131</f>
        <v>33.87896341463415</v>
      </c>
      <c r="Q131">
        <v>77.78</v>
      </c>
      <c r="R131">
        <v>92.31</v>
      </c>
      <c r="S131">
        <v>-0.9</v>
      </c>
      <c r="T131">
        <v>1000</v>
      </c>
      <c r="U131">
        <v>400</v>
      </c>
      <c r="V131">
        <v>0</v>
      </c>
      <c r="W131">
        <v>1</v>
      </c>
      <c r="X131">
        <v>0</v>
      </c>
      <c r="Y131">
        <v>0</v>
      </c>
      <c r="Z131">
        <v>0</v>
      </c>
      <c r="AA131" s="103">
        <f>IF(X131&lt;33,IF(Y131&gt;(1.1*X131),0,1),1)+IF(Y131&gt;(4*X131),-1,0)</f>
        <v>1</v>
      </c>
      <c r="AB131">
        <v>28.57</v>
      </c>
      <c r="AC131" s="101">
        <f>IF(AB131&gt;9,1,0)+AB131/3+IF(AB131&gt;15,1,0)+IF(AB131&gt;20,1,0)</f>
        <v>12.523333333333333</v>
      </c>
      <c r="AD131">
        <v>92.49</v>
      </c>
      <c r="AE131">
        <v>2.57</v>
      </c>
      <c r="AF131">
        <v>9.99</v>
      </c>
      <c r="AG131" s="101">
        <f>IF(G131&lt;0,0,1.2)+IF(G131&lt;14,0,0.9)+IF(P131&lt;0,0.7,0)+IF(P131&lt;6.5,1,0)+IF(P131&lt;23,1,0)+IF(R131&gt;80,0,1)+S131+IF(AD131&lt;20,0,1)+IF(AE131&lt;14,0,1)+IF(AF131&lt;26,0,1)</f>
        <v>1.2999999999999998</v>
      </c>
      <c r="AH131" s="101">
        <f>AG131+IF(AG131&gt;6,1,0)+IF(X131&lt;17,0,1)+IF(Y131&lt;11,0,1)+IF(Z131&lt;1.35,0,1)+AC131+AA131</f>
        <v>14.823333333333334</v>
      </c>
      <c r="AI131">
        <v>12.285</v>
      </c>
      <c r="AJ131" s="104">
        <f t="shared" si="62"/>
        <v>1</v>
      </c>
      <c r="AK131" s="101">
        <f t="shared" si="63"/>
        <v>18.203333333333333</v>
      </c>
      <c r="AL131" s="50">
        <f t="shared" si="64"/>
        <v>0</v>
      </c>
      <c r="AM131" s="97" t="str">
        <f t="shared" si="65"/>
        <v>Hero Motors  Price, G</v>
      </c>
      <c r="AN131">
        <v>18</v>
      </c>
      <c r="AO131" s="99">
        <f t="shared" ref="AO131:AO194" si="68">IF(AK131&gt;24.2,IF(Z131&lt;140,1,0),0)</f>
        <v>0</v>
      </c>
      <c r="AP131" s="100">
        <f t="shared" si="66"/>
        <v>0</v>
      </c>
      <c r="AQ131">
        <v>1</v>
      </c>
      <c r="AR131" s="100">
        <f t="shared" si="67"/>
        <v>5</v>
      </c>
      <c r="AX131" s="101">
        <f t="shared" si="49"/>
        <v>0</v>
      </c>
    </row>
    <row r="132" spans="1:50" ht="12.75" customHeight="1">
      <c r="A132" t="s">
        <v>715</v>
      </c>
      <c r="B132" t="s">
        <v>716</v>
      </c>
      <c r="C132" t="s">
        <v>159</v>
      </c>
      <c r="D132">
        <v>1</v>
      </c>
      <c r="E132">
        <v>0</v>
      </c>
      <c r="F132">
        <v>30165.05</v>
      </c>
      <c r="G132" s="100">
        <v>100</v>
      </c>
      <c r="H132">
        <v>69466.64</v>
      </c>
      <c r="I132">
        <v>12187.69</v>
      </c>
      <c r="J132">
        <v>58.78</v>
      </c>
      <c r="K132">
        <v>41.62</v>
      </c>
      <c r="L132">
        <v>9.26</v>
      </c>
      <c r="M132">
        <v>16021.36</v>
      </c>
      <c r="N132">
        <v>0</v>
      </c>
      <c r="O132">
        <v>19176.830000000002</v>
      </c>
      <c r="P132" s="100">
        <v>1.57</v>
      </c>
      <c r="Q132">
        <v>42.89</v>
      </c>
      <c r="R132">
        <v>35.4</v>
      </c>
      <c r="S132">
        <v>0</v>
      </c>
      <c r="T132">
        <v>22561.57</v>
      </c>
      <c r="U132">
        <v>0</v>
      </c>
      <c r="V132">
        <v>1</v>
      </c>
      <c r="W132">
        <v>1</v>
      </c>
      <c r="X132">
        <v>0</v>
      </c>
      <c r="Y132">
        <v>0.19</v>
      </c>
      <c r="Z132">
        <v>0.38</v>
      </c>
      <c r="AA132" s="103">
        <v>0</v>
      </c>
      <c r="AB132">
        <v>0</v>
      </c>
      <c r="AC132" s="101">
        <v>0</v>
      </c>
      <c r="AD132">
        <v>46.74</v>
      </c>
      <c r="AE132">
        <v>17.27</v>
      </c>
      <c r="AF132">
        <v>26.57</v>
      </c>
      <c r="AG132" s="101">
        <v>8.1</v>
      </c>
      <c r="AH132" s="101">
        <v>9.1</v>
      </c>
      <c r="AI132">
        <v>29.35</v>
      </c>
      <c r="AJ132" s="104">
        <f t="shared" si="62"/>
        <v>0.95</v>
      </c>
      <c r="AK132" s="101">
        <f t="shared" si="63"/>
        <v>28.651999999999994</v>
      </c>
      <c r="AL132" s="50">
        <f t="shared" si="64"/>
        <v>1</v>
      </c>
      <c r="AM132" s="97" t="str">
        <f t="shared" si="65"/>
        <v>NSE  Price, GMP, Revi</v>
      </c>
      <c r="AN132">
        <v>21</v>
      </c>
      <c r="AO132" s="99">
        <f t="shared" si="68"/>
        <v>1</v>
      </c>
      <c r="AP132" s="100">
        <f t="shared" si="66"/>
        <v>3</v>
      </c>
      <c r="AQ132">
        <v>1</v>
      </c>
      <c r="AR132" s="100">
        <f t="shared" si="67"/>
        <v>1</v>
      </c>
      <c r="AX132" s="101">
        <f t="shared" si="49"/>
        <v>0</v>
      </c>
    </row>
    <row r="133" spans="1:50" ht="12.75" customHeight="1">
      <c r="A133" t="s">
        <v>717</v>
      </c>
      <c r="B133" t="s">
        <v>718</v>
      </c>
      <c r="C133" t="s">
        <v>159</v>
      </c>
      <c r="D133">
        <v>1</v>
      </c>
      <c r="E133">
        <v>207.4</v>
      </c>
      <c r="F133">
        <v>70.069999999999993</v>
      </c>
      <c r="G133" s="100">
        <v>-195.99</v>
      </c>
      <c r="H133">
        <v>374.77</v>
      </c>
      <c r="I133">
        <v>18.559999999999999</v>
      </c>
      <c r="J133">
        <v>6.58</v>
      </c>
      <c r="K133">
        <v>8</v>
      </c>
      <c r="L133">
        <v>39.049999999999997</v>
      </c>
      <c r="M133">
        <v>58.12</v>
      </c>
      <c r="N133">
        <v>16.399999999999999</v>
      </c>
      <c r="O133">
        <v>316.47000000000003</v>
      </c>
      <c r="P133" s="100">
        <v>17.05</v>
      </c>
      <c r="Q133">
        <v>12.38</v>
      </c>
      <c r="R133">
        <v>16.53</v>
      </c>
      <c r="S133">
        <v>-0.9</v>
      </c>
      <c r="T133">
        <v>141.57</v>
      </c>
      <c r="U133">
        <v>0</v>
      </c>
      <c r="V133">
        <v>1</v>
      </c>
      <c r="W133">
        <v>1</v>
      </c>
      <c r="X133">
        <v>1.1599999999999999</v>
      </c>
      <c r="Y133">
        <v>2</v>
      </c>
      <c r="Z133">
        <v>2.5</v>
      </c>
      <c r="AA133" s="103">
        <v>0</v>
      </c>
      <c r="AB133">
        <v>0</v>
      </c>
      <c r="AC133" s="101">
        <v>0</v>
      </c>
      <c r="AD133">
        <v>41.68</v>
      </c>
      <c r="AE133">
        <v>160.88</v>
      </c>
      <c r="AF133">
        <v>80.22</v>
      </c>
      <c r="AG133" s="101">
        <v>5</v>
      </c>
      <c r="AH133" s="101">
        <v>6</v>
      </c>
      <c r="AI133">
        <v>18.5</v>
      </c>
      <c r="AJ133" s="104">
        <f t="shared" si="62"/>
        <v>0.95</v>
      </c>
      <c r="AK133" s="101">
        <f t="shared" si="63"/>
        <v>18.05</v>
      </c>
      <c r="AL133" s="50">
        <f t="shared" si="64"/>
        <v>1</v>
      </c>
      <c r="AM133" s="97" t="str">
        <f t="shared" si="65"/>
        <v xml:space="preserve">Sonaselection India  </v>
      </c>
      <c r="AN133">
        <v>21</v>
      </c>
      <c r="AO133" s="99">
        <f t="shared" si="68"/>
        <v>0</v>
      </c>
      <c r="AP133" s="100">
        <f t="shared" si="66"/>
        <v>0</v>
      </c>
      <c r="AQ133">
        <v>1</v>
      </c>
      <c r="AR133" s="100">
        <f t="shared" si="67"/>
        <v>5</v>
      </c>
      <c r="AX133" s="101">
        <f t="shared" si="49"/>
        <v>0</v>
      </c>
    </row>
    <row r="134" spans="1:50" ht="12.75" customHeight="1">
      <c r="A134" t="s">
        <v>715</v>
      </c>
      <c r="B134" t="s">
        <v>716</v>
      </c>
      <c r="C134" t="s">
        <v>159</v>
      </c>
      <c r="D134">
        <v>1</v>
      </c>
      <c r="E134">
        <v>0</v>
      </c>
      <c r="F134">
        <v>30165.05</v>
      </c>
      <c r="G134" s="100">
        <v>100</v>
      </c>
      <c r="H134">
        <v>69466.64</v>
      </c>
      <c r="I134">
        <v>12187.69</v>
      </c>
      <c r="J134">
        <v>58.78</v>
      </c>
      <c r="K134">
        <v>41.62</v>
      </c>
      <c r="L134">
        <v>9.26</v>
      </c>
      <c r="M134">
        <v>16021.36</v>
      </c>
      <c r="N134">
        <v>0</v>
      </c>
      <c r="O134">
        <v>19176.830000000002</v>
      </c>
      <c r="P134" s="100">
        <v>1.57</v>
      </c>
      <c r="Q134">
        <v>42.89</v>
      </c>
      <c r="R134">
        <v>35.4</v>
      </c>
      <c r="S134">
        <v>0</v>
      </c>
      <c r="T134">
        <v>22561.57</v>
      </c>
      <c r="U134">
        <v>0</v>
      </c>
      <c r="V134">
        <v>1</v>
      </c>
      <c r="W134">
        <v>1</v>
      </c>
      <c r="X134">
        <v>0</v>
      </c>
      <c r="Y134">
        <v>0.19</v>
      </c>
      <c r="Z134">
        <v>0.38</v>
      </c>
      <c r="AA134" s="103">
        <v>0</v>
      </c>
      <c r="AB134">
        <v>0</v>
      </c>
      <c r="AC134" s="101">
        <v>0</v>
      </c>
      <c r="AD134">
        <v>46.74</v>
      </c>
      <c r="AE134">
        <v>17.27</v>
      </c>
      <c r="AF134">
        <v>26.57</v>
      </c>
      <c r="AG134" s="101">
        <v>8.1</v>
      </c>
      <c r="AH134" s="101">
        <v>9.1</v>
      </c>
      <c r="AI134">
        <v>29.35</v>
      </c>
      <c r="AJ134" s="104">
        <f t="shared" si="62"/>
        <v>0.95</v>
      </c>
      <c r="AK134" s="101">
        <f t="shared" si="63"/>
        <v>28.651999999999994</v>
      </c>
      <c r="AL134" s="50">
        <f t="shared" si="64"/>
        <v>1</v>
      </c>
      <c r="AM134" s="97" t="str">
        <f t="shared" si="65"/>
        <v>NSE  Price, GMP, Revi</v>
      </c>
      <c r="AN134">
        <v>21</v>
      </c>
      <c r="AO134" s="99">
        <f t="shared" si="68"/>
        <v>1</v>
      </c>
      <c r="AP134" s="100">
        <f t="shared" si="66"/>
        <v>3</v>
      </c>
      <c r="AQ134">
        <v>1</v>
      </c>
      <c r="AR134" s="100">
        <f t="shared" si="67"/>
        <v>1</v>
      </c>
      <c r="AX134" s="101">
        <f t="shared" si="49"/>
        <v>0</v>
      </c>
    </row>
    <row r="135" spans="1:50" ht="12.75" customHeight="1">
      <c r="A135" t="s">
        <v>709</v>
      </c>
      <c r="B135" t="s">
        <v>710</v>
      </c>
      <c r="C135" t="s">
        <v>159</v>
      </c>
      <c r="D135">
        <v>1</v>
      </c>
      <c r="E135">
        <v>125.36</v>
      </c>
      <c r="F135">
        <v>141.37</v>
      </c>
      <c r="G135" s="100">
        <f>100*(F135-E135)/F135</f>
        <v>11.324892127042515</v>
      </c>
      <c r="H135">
        <v>389.44</v>
      </c>
      <c r="I135">
        <v>39.86</v>
      </c>
      <c r="J135">
        <v>2.52</v>
      </c>
      <c r="K135">
        <v>9</v>
      </c>
      <c r="L135">
        <v>30.6</v>
      </c>
      <c r="M135">
        <v>80.44</v>
      </c>
      <c r="N135">
        <v>5.32</v>
      </c>
      <c r="O135">
        <v>1599.96</v>
      </c>
      <c r="P135" s="100">
        <f>O135/I135</f>
        <v>40.139488208730562</v>
      </c>
      <c r="Q135">
        <v>47.11</v>
      </c>
      <c r="R135">
        <v>53.2</v>
      </c>
      <c r="S135">
        <v>-0.9</v>
      </c>
      <c r="T135">
        <v>500</v>
      </c>
      <c r="U135">
        <v>0</v>
      </c>
      <c r="V135">
        <v>1</v>
      </c>
      <c r="W135">
        <v>1</v>
      </c>
      <c r="X135">
        <v>214.22</v>
      </c>
      <c r="Y135">
        <v>150.33000000000001</v>
      </c>
      <c r="Z135">
        <v>35.81</v>
      </c>
      <c r="AA135" s="103">
        <f>IF(X135&lt;33,IF(Y135&gt;(1.1*X135),0,1),1)+IF(Y135&gt;(4*X135),-1,0)</f>
        <v>1</v>
      </c>
      <c r="AB135">
        <v>0</v>
      </c>
      <c r="AC135" s="101">
        <f>IF(AB135&gt;9,1,0)+AB135/3+IF(AB135&gt;15,1,0)+IF(AB135&gt;20,1,0)</f>
        <v>0</v>
      </c>
      <c r="AD135">
        <v>49.57</v>
      </c>
      <c r="AE135">
        <v>32.44</v>
      </c>
      <c r="AF135">
        <v>39.270000000000003</v>
      </c>
      <c r="AG135" s="101">
        <f>IF(G135&lt;0,0,1.2)+IF(G135&lt;14,0,0.9)+IF(P135&lt;0,0.7,0)+IF(P135&lt;6.5,1,0)+IF(P135&lt;23,1,0)+IF(R135&gt;80,0,1)+S135+IF(AD135&lt;20,0,1)+IF(AE135&lt;14,0,1)+IF(AF135&lt;26,0,1)</f>
        <v>4.3000000000000007</v>
      </c>
      <c r="AH135" s="101">
        <f>AG135+IF(AG135&gt;6,1,0)+IF(X135&lt;17,0,1)+IF(Y135&lt;11,0,1)+IF(Z135&lt;1.35,0,1)+AC135+AA135</f>
        <v>8.3000000000000007</v>
      </c>
      <c r="AI135">
        <v>10.2575</v>
      </c>
      <c r="AJ135" s="104">
        <f t="shared" si="62"/>
        <v>1</v>
      </c>
      <c r="AK135" s="101">
        <f t="shared" si="63"/>
        <v>18.506000000000004</v>
      </c>
      <c r="AL135" s="50">
        <f t="shared" si="64"/>
        <v>1</v>
      </c>
      <c r="AM135" s="97" t="str">
        <f t="shared" si="65"/>
        <v>SS Retail  Price, GMP</v>
      </c>
      <c r="AN135">
        <v>18</v>
      </c>
      <c r="AO135" s="99">
        <f t="shared" si="68"/>
        <v>0</v>
      </c>
      <c r="AP135" s="100">
        <f t="shared" si="66"/>
        <v>0</v>
      </c>
      <c r="AQ135">
        <v>0.95</v>
      </c>
      <c r="AR135" s="100">
        <f t="shared" si="67"/>
        <v>5</v>
      </c>
      <c r="AX135" s="101">
        <f t="shared" si="49"/>
        <v>0</v>
      </c>
    </row>
    <row r="136" spans="1:50" ht="12.75" customHeight="1">
      <c r="A136" t="s">
        <v>713</v>
      </c>
      <c r="B136" t="s">
        <v>714</v>
      </c>
      <c r="C136" t="s">
        <v>159</v>
      </c>
      <c r="D136">
        <v>0</v>
      </c>
      <c r="E136">
        <v>407.62</v>
      </c>
      <c r="F136">
        <v>423.95</v>
      </c>
      <c r="G136" s="100">
        <f>100*(F136-E136)/F136</f>
        <v>3.8518693242127573</v>
      </c>
      <c r="H136">
        <v>1164.6199999999999</v>
      </c>
      <c r="I136">
        <v>32.799999999999997</v>
      </c>
      <c r="J136">
        <v>3.46</v>
      </c>
      <c r="K136">
        <v>1.08</v>
      </c>
      <c r="L136">
        <v>8.56</v>
      </c>
      <c r="M136">
        <v>114</v>
      </c>
      <c r="N136">
        <v>12.44</v>
      </c>
      <c r="O136">
        <v>1111.23</v>
      </c>
      <c r="P136" s="100">
        <f>O136/I136</f>
        <v>33.87896341463415</v>
      </c>
      <c r="Q136">
        <v>77.78</v>
      </c>
      <c r="R136">
        <v>92.31</v>
      </c>
      <c r="S136">
        <v>-0.9</v>
      </c>
      <c r="T136">
        <v>1000</v>
      </c>
      <c r="U136">
        <v>400</v>
      </c>
      <c r="V136">
        <v>1</v>
      </c>
      <c r="W136">
        <v>1</v>
      </c>
      <c r="X136">
        <v>1.59</v>
      </c>
      <c r="Y136">
        <v>10.47</v>
      </c>
      <c r="Z136">
        <v>8.6199999999999992</v>
      </c>
      <c r="AA136" s="103">
        <f>IF(X136&lt;33,IF(Y136&gt;(1.1*X136),0,1),1)+IF(Y136&gt;(4*X136),-1,0)</f>
        <v>-1</v>
      </c>
      <c r="AB136">
        <v>0</v>
      </c>
      <c r="AC136" s="101">
        <f>IF(AB136&gt;9,1,0)+AB136/3+IF(AB136&gt;15,1,0)+IF(AB136&gt;20,1,0)</f>
        <v>0</v>
      </c>
      <c r="AD136">
        <v>92.49</v>
      </c>
      <c r="AE136">
        <v>2.57</v>
      </c>
      <c r="AF136">
        <v>9.99</v>
      </c>
      <c r="AG136" s="101">
        <f>IF(G136&lt;0,0,1.2)+IF(G136&lt;14,0,0.9)+IF(P136&lt;0,0.7,0)+IF(P136&lt;6.5,1,0)+IF(P136&lt;23,1,0)+IF(R136&gt;80,0,1)+S136+IF(AD136&lt;20,0,1)+IF(AE136&lt;14,0,1)+IF(AF136&lt;26,0,1)</f>
        <v>1.2999999999999998</v>
      </c>
      <c r="AH136" s="101">
        <f>AG136+IF(AG136&gt;6,1,0)+IF(X136&lt;17,0,1)+IF(Y136&lt;11,0,1)+IF(Z136&lt;1.35,0,1)+AC136+AA136</f>
        <v>1.2999999999999998</v>
      </c>
      <c r="AI136">
        <v>10.2575</v>
      </c>
      <c r="AJ136" s="104">
        <f t="shared" si="62"/>
        <v>1</v>
      </c>
      <c r="AK136" s="101">
        <f t="shared" si="63"/>
        <v>4.68</v>
      </c>
      <c r="AL136" s="50">
        <f t="shared" si="64"/>
        <v>0</v>
      </c>
      <c r="AM136" s="97" t="str">
        <f t="shared" si="65"/>
        <v>Hero Motors  Price, G</v>
      </c>
      <c r="AN136">
        <v>18</v>
      </c>
      <c r="AO136" s="99">
        <f t="shared" si="68"/>
        <v>0</v>
      </c>
      <c r="AP136" s="100">
        <f t="shared" si="66"/>
        <v>0</v>
      </c>
      <c r="AQ136">
        <v>1</v>
      </c>
      <c r="AR136" s="100">
        <f t="shared" si="67"/>
        <v>5</v>
      </c>
      <c r="AX136" s="101">
        <f t="shared" si="49"/>
        <v>0</v>
      </c>
    </row>
    <row r="137" spans="1:50" ht="12.75" customHeight="1">
      <c r="A137" t="s">
        <v>715</v>
      </c>
      <c r="B137" t="s">
        <v>716</v>
      </c>
      <c r="C137" t="s">
        <v>159</v>
      </c>
      <c r="D137">
        <v>1</v>
      </c>
      <c r="E137">
        <v>0</v>
      </c>
      <c r="F137">
        <v>30165.05</v>
      </c>
      <c r="G137" s="100">
        <v>100</v>
      </c>
      <c r="H137">
        <v>69466.64</v>
      </c>
      <c r="I137">
        <v>12187.69</v>
      </c>
      <c r="J137">
        <v>58.78</v>
      </c>
      <c r="K137">
        <v>41.62</v>
      </c>
      <c r="L137">
        <v>9.26</v>
      </c>
      <c r="M137">
        <v>16021.36</v>
      </c>
      <c r="N137">
        <v>0</v>
      </c>
      <c r="O137">
        <v>19176.830000000002</v>
      </c>
      <c r="P137" s="100">
        <v>1.57</v>
      </c>
      <c r="Q137">
        <v>42.89</v>
      </c>
      <c r="R137">
        <v>35.4</v>
      </c>
      <c r="S137">
        <v>0</v>
      </c>
      <c r="T137">
        <v>22561.57</v>
      </c>
      <c r="U137">
        <v>0</v>
      </c>
      <c r="V137">
        <v>1</v>
      </c>
      <c r="W137">
        <v>1</v>
      </c>
      <c r="X137">
        <v>0</v>
      </c>
      <c r="Y137">
        <v>0.19</v>
      </c>
      <c r="Z137">
        <v>0.38</v>
      </c>
      <c r="AA137" s="103">
        <v>0</v>
      </c>
      <c r="AB137">
        <v>0</v>
      </c>
      <c r="AC137" s="101">
        <v>0</v>
      </c>
      <c r="AD137">
        <v>46.74</v>
      </c>
      <c r="AE137">
        <v>17.27</v>
      </c>
      <c r="AF137">
        <v>26.57</v>
      </c>
      <c r="AG137" s="101">
        <v>8.1</v>
      </c>
      <c r="AH137" s="101">
        <v>9.1</v>
      </c>
      <c r="AI137">
        <v>29.35</v>
      </c>
      <c r="AJ137" s="104">
        <f t="shared" si="62"/>
        <v>0.95</v>
      </c>
      <c r="AK137" s="101">
        <f t="shared" si="63"/>
        <v>28.651999999999994</v>
      </c>
      <c r="AL137" s="50">
        <f t="shared" si="64"/>
        <v>1</v>
      </c>
      <c r="AM137" s="97" t="str">
        <f t="shared" si="65"/>
        <v>NSE  Price, GMP, Revi</v>
      </c>
      <c r="AN137">
        <v>21</v>
      </c>
      <c r="AO137" s="99">
        <f t="shared" si="68"/>
        <v>1</v>
      </c>
      <c r="AP137" s="100">
        <f t="shared" si="66"/>
        <v>3</v>
      </c>
      <c r="AQ137">
        <v>1</v>
      </c>
      <c r="AR137" s="100">
        <f t="shared" si="67"/>
        <v>1</v>
      </c>
      <c r="AX137" s="101">
        <f t="shared" si="49"/>
        <v>0</v>
      </c>
    </row>
    <row r="138" spans="1:50" ht="12.75" customHeight="1">
      <c r="A138" t="s">
        <v>719</v>
      </c>
      <c r="B138" t="s">
        <v>720</v>
      </c>
      <c r="C138" t="s">
        <v>159</v>
      </c>
      <c r="D138" s="52">
        <v>1</v>
      </c>
      <c r="E138">
        <v>505.16</v>
      </c>
      <c r="F138">
        <v>722.9</v>
      </c>
      <c r="G138" s="100">
        <v>30.12</v>
      </c>
      <c r="H138">
        <v>1589.8</v>
      </c>
      <c r="I138">
        <v>30.77</v>
      </c>
      <c r="J138">
        <v>3.53</v>
      </c>
      <c r="K138">
        <v>2.7</v>
      </c>
      <c r="L138">
        <v>6.8</v>
      </c>
      <c r="M138">
        <v>198.29</v>
      </c>
      <c r="N138">
        <v>14.18</v>
      </c>
      <c r="O138">
        <v>1492.68</v>
      </c>
      <c r="P138" s="100">
        <v>48.51</v>
      </c>
      <c r="Q138">
        <v>54.81</v>
      </c>
      <c r="R138">
        <v>60.66</v>
      </c>
      <c r="S138">
        <v>-0.9</v>
      </c>
      <c r="T138">
        <v>708.02</v>
      </c>
      <c r="U138">
        <v>388.02</v>
      </c>
      <c r="V138">
        <v>1</v>
      </c>
      <c r="W138">
        <v>1</v>
      </c>
      <c r="X138">
        <v>0</v>
      </c>
      <c r="Y138">
        <v>0.1</v>
      </c>
      <c r="Z138">
        <v>0.34</v>
      </c>
      <c r="AA138" s="103">
        <v>0</v>
      </c>
      <c r="AB138">
        <v>0</v>
      </c>
      <c r="AC138" s="101">
        <v>0</v>
      </c>
      <c r="AD138">
        <v>-31.53</v>
      </c>
      <c r="AE138">
        <v>1.36</v>
      </c>
      <c r="AF138">
        <v>6.53</v>
      </c>
      <c r="AG138" s="101">
        <v>3.1</v>
      </c>
      <c r="AH138" s="101">
        <v>3.1</v>
      </c>
      <c r="AI138">
        <v>10.85</v>
      </c>
      <c r="AJ138" s="104">
        <f t="shared" si="62"/>
        <v>1</v>
      </c>
      <c r="AK138" s="101">
        <f t="shared" si="63"/>
        <v>11.16</v>
      </c>
      <c r="AL138" s="50">
        <f t="shared" si="64"/>
        <v>1</v>
      </c>
      <c r="AM138" s="97" t="str">
        <f t="shared" si="65"/>
        <v>Varmora Granito  Pric</v>
      </c>
      <c r="AN138">
        <v>24</v>
      </c>
      <c r="AO138" s="99">
        <f t="shared" si="68"/>
        <v>0</v>
      </c>
      <c r="AP138" s="100">
        <f t="shared" si="66"/>
        <v>0</v>
      </c>
      <c r="AQ138">
        <v>1</v>
      </c>
      <c r="AR138" s="100">
        <f t="shared" si="67"/>
        <v>5</v>
      </c>
      <c r="AX138" s="101">
        <f t="shared" si="49"/>
        <v>0</v>
      </c>
    </row>
    <row r="139" spans="1:50" ht="12.75" customHeight="1">
      <c r="A139" t="s">
        <v>721</v>
      </c>
      <c r="B139" t="s">
        <v>722</v>
      </c>
      <c r="C139" t="s">
        <v>159</v>
      </c>
      <c r="E139">
        <v>8.32</v>
      </c>
      <c r="F139">
        <v>103.53</v>
      </c>
      <c r="G139" s="100">
        <v>91.96</v>
      </c>
      <c r="H139">
        <v>187.01</v>
      </c>
      <c r="I139">
        <v>18.14</v>
      </c>
      <c r="J139">
        <v>18.690000000000001</v>
      </c>
      <c r="K139">
        <v>7.49</v>
      </c>
      <c r="L139">
        <v>22.54</v>
      </c>
      <c r="M139">
        <v>31.02</v>
      </c>
      <c r="N139">
        <v>27.66</v>
      </c>
      <c r="O139">
        <v>136.61000000000001</v>
      </c>
      <c r="P139" s="100">
        <v>7.53</v>
      </c>
      <c r="Q139">
        <v>17.89</v>
      </c>
      <c r="R139">
        <v>22.95</v>
      </c>
      <c r="S139">
        <v>-0.9</v>
      </c>
      <c r="T139">
        <v>150.71</v>
      </c>
      <c r="U139">
        <v>0</v>
      </c>
      <c r="V139">
        <v>1</v>
      </c>
      <c r="W139">
        <v>1</v>
      </c>
      <c r="X139">
        <v>0.01</v>
      </c>
      <c r="Y139">
        <v>3.55</v>
      </c>
      <c r="Z139">
        <v>4.26</v>
      </c>
      <c r="AA139" s="103">
        <v>0</v>
      </c>
      <c r="AB139">
        <v>24.63</v>
      </c>
      <c r="AC139" s="101">
        <v>9.2099999999999991</v>
      </c>
      <c r="AD139">
        <v>24.85</v>
      </c>
      <c r="AE139">
        <v>9.1999999999999993</v>
      </c>
      <c r="AF139">
        <v>17.89</v>
      </c>
      <c r="AG139" s="101">
        <v>5.0999999999999996</v>
      </c>
      <c r="AH139" s="101">
        <v>15.31</v>
      </c>
      <c r="AI139">
        <v>28.06</v>
      </c>
      <c r="AJ139" s="104">
        <f t="shared" si="62"/>
        <v>0.95</v>
      </c>
      <c r="AK139" s="101">
        <f t="shared" si="63"/>
        <v>27.141500000000001</v>
      </c>
      <c r="AL139" s="50">
        <f t="shared" si="64"/>
        <v>0</v>
      </c>
      <c r="AM139" s="97" t="str">
        <f t="shared" si="65"/>
        <v>Adroit Industries  Pr</v>
      </c>
      <c r="AN139">
        <v>25</v>
      </c>
      <c r="AO139" s="99">
        <f t="shared" si="68"/>
        <v>1</v>
      </c>
      <c r="AP139" s="100">
        <f t="shared" si="66"/>
        <v>3</v>
      </c>
      <c r="AQ139">
        <v>1</v>
      </c>
      <c r="AR139" s="100">
        <f t="shared" si="67"/>
        <v>0</v>
      </c>
      <c r="AX139" s="101">
        <f t="shared" ref="AX139:AX170" si="69">(AS139+AV139+AW139)/3</f>
        <v>0</v>
      </c>
    </row>
    <row r="140" spans="1:50" ht="12.75" customHeight="1">
      <c r="A140" t="s">
        <v>723</v>
      </c>
      <c r="B140" t="s">
        <v>724</v>
      </c>
      <c r="C140" t="s">
        <v>159</v>
      </c>
      <c r="E140">
        <v>111.02</v>
      </c>
      <c r="F140">
        <v>77.02</v>
      </c>
      <c r="G140" s="100">
        <v>-44.14</v>
      </c>
      <c r="H140">
        <v>258.54000000000002</v>
      </c>
      <c r="I140">
        <v>27.45</v>
      </c>
      <c r="J140">
        <v>8.23</v>
      </c>
      <c r="K140">
        <v>15.7</v>
      </c>
      <c r="L140">
        <v>35.44</v>
      </c>
      <c r="M140">
        <v>43.89</v>
      </c>
      <c r="N140">
        <v>14.07</v>
      </c>
      <c r="O140">
        <v>352.6</v>
      </c>
      <c r="P140" s="100">
        <v>12.85</v>
      </c>
      <c r="Q140">
        <v>11.78</v>
      </c>
      <c r="R140">
        <v>15.24</v>
      </c>
      <c r="S140">
        <v>-0.9</v>
      </c>
      <c r="T140">
        <v>160.88</v>
      </c>
      <c r="U140">
        <v>0</v>
      </c>
      <c r="V140">
        <v>1</v>
      </c>
      <c r="W140">
        <v>1</v>
      </c>
      <c r="X140">
        <v>0.16</v>
      </c>
      <c r="Y140">
        <v>1.29</v>
      </c>
      <c r="Z140">
        <v>0.49</v>
      </c>
      <c r="AA140" s="103">
        <v>0</v>
      </c>
      <c r="AB140">
        <v>3.78</v>
      </c>
      <c r="AC140" s="101">
        <v>1.26</v>
      </c>
      <c r="AD140">
        <v>96.35</v>
      </c>
      <c r="AE140">
        <v>66.849999999999994</v>
      </c>
      <c r="AF140">
        <v>55.38</v>
      </c>
      <c r="AG140" s="101">
        <v>5</v>
      </c>
      <c r="AH140" s="101">
        <v>6.26</v>
      </c>
      <c r="AI140">
        <v>18.760000000000002</v>
      </c>
      <c r="AJ140" s="104">
        <f t="shared" si="62"/>
        <v>0.95</v>
      </c>
      <c r="AK140" s="101">
        <f t="shared" si="63"/>
        <v>18.296999999999997</v>
      </c>
      <c r="AL140" s="50">
        <f t="shared" si="64"/>
        <v>0</v>
      </c>
      <c r="AM140" s="97" t="str">
        <f t="shared" si="65"/>
        <v>Swastika Infra  Price</v>
      </c>
      <c r="AN140">
        <v>25</v>
      </c>
      <c r="AO140" s="99">
        <f t="shared" si="68"/>
        <v>0</v>
      </c>
      <c r="AP140" s="100">
        <f t="shared" si="66"/>
        <v>0</v>
      </c>
      <c r="AQ140">
        <v>1</v>
      </c>
      <c r="AR140" s="100">
        <f t="shared" si="67"/>
        <v>5</v>
      </c>
      <c r="AX140" s="101">
        <f t="shared" si="69"/>
        <v>0</v>
      </c>
    </row>
    <row r="141" spans="1:50" ht="12.75" customHeight="1">
      <c r="A141" t="s">
        <v>725</v>
      </c>
      <c r="B141" t="s">
        <v>726</v>
      </c>
      <c r="C141" t="s">
        <v>159</v>
      </c>
      <c r="E141">
        <v>48.1</v>
      </c>
      <c r="F141">
        <v>136.66999999999999</v>
      </c>
      <c r="G141" s="100">
        <v>64.81</v>
      </c>
      <c r="H141">
        <v>828.54</v>
      </c>
      <c r="I141">
        <v>41.67</v>
      </c>
      <c r="J141">
        <v>3.26</v>
      </c>
      <c r="K141">
        <v>19.16</v>
      </c>
      <c r="L141">
        <v>28.52</v>
      </c>
      <c r="M141">
        <v>58.64</v>
      </c>
      <c r="N141">
        <v>5.42</v>
      </c>
      <c r="O141">
        <v>1315.78</v>
      </c>
      <c r="P141" s="100">
        <v>31.58</v>
      </c>
      <c r="Q141">
        <v>19.57</v>
      </c>
      <c r="R141">
        <v>26.17</v>
      </c>
      <c r="S141">
        <v>-0.9</v>
      </c>
      <c r="T141">
        <v>300</v>
      </c>
      <c r="U141">
        <v>0</v>
      </c>
      <c r="V141">
        <v>1</v>
      </c>
      <c r="W141">
        <v>1</v>
      </c>
      <c r="X141">
        <v>1</v>
      </c>
      <c r="Y141">
        <v>0.28000000000000003</v>
      </c>
      <c r="Z141">
        <v>0.33</v>
      </c>
      <c r="AA141" s="103">
        <v>1</v>
      </c>
      <c r="AB141">
        <v>10.91</v>
      </c>
      <c r="AC141" s="101">
        <v>4.6366666666666667</v>
      </c>
      <c r="AD141">
        <v>-16.88</v>
      </c>
      <c r="AE141">
        <v>28.5</v>
      </c>
      <c r="AF141">
        <v>43.59</v>
      </c>
      <c r="AG141" s="101">
        <v>5.0999999999999996</v>
      </c>
      <c r="AH141" s="101">
        <v>10.73666666666667</v>
      </c>
      <c r="AI141">
        <v>23.486666666666661</v>
      </c>
      <c r="AJ141" s="104">
        <f t="shared" si="62"/>
        <v>0.95</v>
      </c>
      <c r="AK141" s="101">
        <f t="shared" si="63"/>
        <v>21.656991666666666</v>
      </c>
      <c r="AL141" s="50">
        <f t="shared" si="64"/>
        <v>0</v>
      </c>
      <c r="AM141" s="97" t="str">
        <f t="shared" si="65"/>
        <v>ArMee Infotech  Price</v>
      </c>
      <c r="AN141">
        <v>25</v>
      </c>
      <c r="AO141" s="99">
        <f t="shared" si="68"/>
        <v>0</v>
      </c>
      <c r="AP141" s="100">
        <f t="shared" si="66"/>
        <v>0</v>
      </c>
      <c r="AQ141">
        <v>0.95</v>
      </c>
      <c r="AR141" s="100">
        <f t="shared" si="67"/>
        <v>5</v>
      </c>
      <c r="AX141" s="101">
        <f t="shared" si="69"/>
        <v>0</v>
      </c>
    </row>
    <row r="142" spans="1:50" ht="12.75" customHeight="1">
      <c r="A142" t="s">
        <v>727</v>
      </c>
      <c r="B142" t="s">
        <v>728</v>
      </c>
      <c r="C142" t="s">
        <v>159</v>
      </c>
      <c r="E142">
        <v>3413.37</v>
      </c>
      <c r="F142">
        <v>1918.66</v>
      </c>
      <c r="G142" s="100">
        <v>-77.900000000000006</v>
      </c>
      <c r="H142">
        <v>5632.42</v>
      </c>
      <c r="I142">
        <v>240.28</v>
      </c>
      <c r="J142">
        <v>0</v>
      </c>
      <c r="K142">
        <v>1.58</v>
      </c>
      <c r="L142">
        <v>15.98</v>
      </c>
      <c r="M142">
        <v>697.98</v>
      </c>
      <c r="N142">
        <v>0</v>
      </c>
      <c r="O142">
        <v>2378.5300000000002</v>
      </c>
      <c r="P142" s="100">
        <v>9.9</v>
      </c>
      <c r="Q142">
        <v>21.52</v>
      </c>
      <c r="R142">
        <v>8.61</v>
      </c>
      <c r="S142">
        <v>0.7</v>
      </c>
      <c r="T142">
        <v>1091.68</v>
      </c>
      <c r="U142">
        <v>341.68000000000012</v>
      </c>
      <c r="V142">
        <v>1</v>
      </c>
      <c r="W142">
        <v>1</v>
      </c>
      <c r="X142">
        <v>230.54</v>
      </c>
      <c r="Y142">
        <v>120.37</v>
      </c>
      <c r="Z142">
        <v>20.41</v>
      </c>
      <c r="AA142" s="103">
        <v>1</v>
      </c>
      <c r="AB142">
        <v>0</v>
      </c>
      <c r="AC142" s="101">
        <v>0</v>
      </c>
      <c r="AD142">
        <v>40.39</v>
      </c>
      <c r="AE142">
        <v>71.209999999999994</v>
      </c>
      <c r="AF142">
        <v>19.420000000000002</v>
      </c>
      <c r="AG142" s="101">
        <v>4</v>
      </c>
      <c r="AH142" s="101">
        <v>8</v>
      </c>
      <c r="AI142">
        <v>18</v>
      </c>
      <c r="AJ142" s="104">
        <f t="shared" si="62"/>
        <v>0.95</v>
      </c>
      <c r="AK142" s="101">
        <f t="shared" si="63"/>
        <v>17.479999999999997</v>
      </c>
      <c r="AL142" s="50">
        <f t="shared" si="64"/>
        <v>0</v>
      </c>
      <c r="AM142" s="97" t="str">
        <f t="shared" si="65"/>
        <v>Moneyview  Price, GMP</v>
      </c>
      <c r="AN142">
        <v>28</v>
      </c>
      <c r="AO142" s="99">
        <f t="shared" si="68"/>
        <v>0</v>
      </c>
      <c r="AP142" s="100">
        <f t="shared" si="66"/>
        <v>0</v>
      </c>
      <c r="AQ142">
        <v>1</v>
      </c>
      <c r="AR142" s="100">
        <f t="shared" si="67"/>
        <v>5</v>
      </c>
      <c r="AX142" s="101">
        <f t="shared" si="69"/>
        <v>0</v>
      </c>
    </row>
    <row r="143" spans="1:50" ht="12.75" customHeight="1">
      <c r="A143" t="s">
        <v>729</v>
      </c>
      <c r="B143" t="s">
        <v>730</v>
      </c>
      <c r="C143" t="s">
        <v>159</v>
      </c>
      <c r="E143">
        <v>963.67</v>
      </c>
      <c r="F143">
        <v>676.63</v>
      </c>
      <c r="G143" s="100">
        <v>-42.42</v>
      </c>
      <c r="H143">
        <v>2753.06</v>
      </c>
      <c r="I143">
        <v>7.71</v>
      </c>
      <c r="J143">
        <v>3.04</v>
      </c>
      <c r="K143">
        <v>18.61</v>
      </c>
      <c r="L143">
        <v>14.7</v>
      </c>
      <c r="M143">
        <v>174.06</v>
      </c>
      <c r="N143">
        <v>7.29</v>
      </c>
      <c r="O143">
        <v>3569.63</v>
      </c>
      <c r="P143" s="100">
        <v>462.99</v>
      </c>
      <c r="Q143">
        <v>21.76</v>
      </c>
      <c r="R143">
        <v>24.55</v>
      </c>
      <c r="S143">
        <v>0.7</v>
      </c>
      <c r="T143">
        <v>405</v>
      </c>
      <c r="U143">
        <v>0</v>
      </c>
      <c r="V143">
        <v>1</v>
      </c>
      <c r="W143">
        <v>1</v>
      </c>
      <c r="X143">
        <v>7.69</v>
      </c>
      <c r="Y143">
        <v>25.8</v>
      </c>
      <c r="Z143">
        <v>9.11</v>
      </c>
      <c r="AA143" s="103">
        <v>0</v>
      </c>
      <c r="AB143">
        <v>0</v>
      </c>
      <c r="AC143" s="101">
        <v>0</v>
      </c>
      <c r="AD143">
        <v>-80.19</v>
      </c>
      <c r="AE143">
        <v>-7.58</v>
      </c>
      <c r="AF143">
        <v>60.42</v>
      </c>
      <c r="AG143" s="101">
        <v>2</v>
      </c>
      <c r="AH143" s="101">
        <v>4</v>
      </c>
      <c r="AI143">
        <v>9</v>
      </c>
      <c r="AJ143" s="104">
        <f t="shared" si="62"/>
        <v>1</v>
      </c>
      <c r="AK143" s="101">
        <f t="shared" si="63"/>
        <v>9.1999999999999993</v>
      </c>
      <c r="AL143" s="50">
        <f t="shared" si="64"/>
        <v>0</v>
      </c>
      <c r="AM143" s="97" t="str">
        <f t="shared" si="65"/>
        <v xml:space="preserve">A-One Steels  Price, </v>
      </c>
      <c r="AN143">
        <v>28</v>
      </c>
      <c r="AO143" s="99">
        <f t="shared" si="68"/>
        <v>0</v>
      </c>
      <c r="AP143" s="100">
        <f t="shared" si="66"/>
        <v>0</v>
      </c>
      <c r="AQ143">
        <v>1</v>
      </c>
      <c r="AR143" s="100">
        <f t="shared" si="67"/>
        <v>5</v>
      </c>
      <c r="AX143" s="101">
        <f t="shared" si="69"/>
        <v>0</v>
      </c>
    </row>
    <row r="144" spans="1:50" ht="12.75" customHeight="1">
      <c r="A144" t="s">
        <v>731</v>
      </c>
      <c r="B144" t="s">
        <v>732</v>
      </c>
      <c r="C144" t="s">
        <v>159</v>
      </c>
      <c r="E144">
        <v>0.45</v>
      </c>
      <c r="F144">
        <v>126.33</v>
      </c>
      <c r="G144" s="100">
        <v>99.64</v>
      </c>
      <c r="H144">
        <v>558.09</v>
      </c>
      <c r="I144">
        <v>-126.31</v>
      </c>
      <c r="J144">
        <v>0</v>
      </c>
      <c r="K144">
        <v>-1</v>
      </c>
      <c r="L144">
        <v>0</v>
      </c>
      <c r="M144">
        <v>-107.79</v>
      </c>
      <c r="N144">
        <v>0</v>
      </c>
      <c r="O144">
        <v>406.77</v>
      </c>
      <c r="P144" s="100">
        <v>-3.22</v>
      </c>
      <c r="Q144">
        <v>-32</v>
      </c>
      <c r="R144">
        <v>0</v>
      </c>
      <c r="S144">
        <v>0</v>
      </c>
      <c r="T144">
        <v>420</v>
      </c>
      <c r="U144">
        <v>133</v>
      </c>
      <c r="V144">
        <v>1</v>
      </c>
      <c r="W144">
        <v>1</v>
      </c>
      <c r="X144">
        <v>1.36</v>
      </c>
      <c r="Y144">
        <v>1.93</v>
      </c>
      <c r="Z144">
        <v>2.37</v>
      </c>
      <c r="AA144" s="103">
        <v>0</v>
      </c>
      <c r="AB144">
        <v>3.12</v>
      </c>
      <c r="AC144" s="101">
        <v>1.04</v>
      </c>
      <c r="AD144">
        <v>146.22</v>
      </c>
      <c r="AE144">
        <v>5.73</v>
      </c>
      <c r="AF144">
        <v>-188.91</v>
      </c>
      <c r="AG144" s="101">
        <v>6.8000000000000007</v>
      </c>
      <c r="AH144" s="101">
        <v>9.84</v>
      </c>
      <c r="AI144">
        <v>26.84</v>
      </c>
      <c r="AJ144" s="104">
        <f t="shared" si="62"/>
        <v>0.95</v>
      </c>
      <c r="AK144" s="101">
        <f t="shared" si="63"/>
        <v>26.144000000000002</v>
      </c>
      <c r="AL144" s="50">
        <f t="shared" si="64"/>
        <v>0</v>
      </c>
      <c r="AM144" s="97" t="str">
        <f t="shared" si="65"/>
        <v>Acevector  Price, GMP</v>
      </c>
      <c r="AN144">
        <v>29</v>
      </c>
      <c r="AO144" s="99">
        <f t="shared" si="68"/>
        <v>1</v>
      </c>
      <c r="AP144" s="100">
        <f t="shared" si="66"/>
        <v>3</v>
      </c>
      <c r="AQ144">
        <v>1</v>
      </c>
      <c r="AR144" s="100">
        <f t="shared" si="67"/>
        <v>0</v>
      </c>
      <c r="AX144" s="101">
        <f t="shared" si="69"/>
        <v>0</v>
      </c>
    </row>
    <row r="145" spans="1:50" ht="12.75" customHeight="1">
      <c r="A145" t="s">
        <v>733</v>
      </c>
      <c r="B145" t="s">
        <v>734</v>
      </c>
      <c r="C145" t="s">
        <v>159</v>
      </c>
      <c r="E145">
        <v>113.45</v>
      </c>
      <c r="F145">
        <v>180.7</v>
      </c>
      <c r="G145" s="100">
        <v>37.22</v>
      </c>
      <c r="H145">
        <v>427.19</v>
      </c>
      <c r="I145">
        <v>53.32</v>
      </c>
      <c r="J145">
        <v>6.77</v>
      </c>
      <c r="K145">
        <v>5.25</v>
      </c>
      <c r="L145">
        <v>13.17</v>
      </c>
      <c r="M145">
        <v>83.86</v>
      </c>
      <c r="N145">
        <v>11.22</v>
      </c>
      <c r="O145">
        <v>831.86</v>
      </c>
      <c r="P145" s="100">
        <v>15.6</v>
      </c>
      <c r="Q145">
        <v>51.81</v>
      </c>
      <c r="R145">
        <v>23.61</v>
      </c>
      <c r="S145">
        <v>0.7</v>
      </c>
      <c r="T145">
        <v>552</v>
      </c>
      <c r="U145">
        <v>232</v>
      </c>
      <c r="V145">
        <v>1</v>
      </c>
      <c r="W145">
        <v>1</v>
      </c>
      <c r="X145">
        <v>0.24</v>
      </c>
      <c r="Y145">
        <v>40.6</v>
      </c>
      <c r="Z145">
        <v>16.79</v>
      </c>
      <c r="AA145" s="103">
        <v>0</v>
      </c>
      <c r="AB145">
        <v>24.63</v>
      </c>
      <c r="AC145" s="101">
        <v>9.2099999999999991</v>
      </c>
      <c r="AD145">
        <v>33.07</v>
      </c>
      <c r="AE145">
        <v>25.1</v>
      </c>
      <c r="AF145">
        <v>41.68</v>
      </c>
      <c r="AG145" s="101">
        <v>7.1</v>
      </c>
      <c r="AH145" s="101">
        <v>19.309999999999999</v>
      </c>
      <c r="AI145">
        <v>37.06</v>
      </c>
      <c r="AJ145" s="104">
        <f t="shared" si="62"/>
        <v>0.95</v>
      </c>
      <c r="AK145" s="101">
        <f t="shared" si="63"/>
        <v>35.881499999999996</v>
      </c>
      <c r="AL145" s="50">
        <f t="shared" si="64"/>
        <v>0</v>
      </c>
      <c r="AM145" s="97" t="str">
        <f t="shared" si="65"/>
        <v>Orient Cables  Price,</v>
      </c>
      <c r="AN145">
        <v>29</v>
      </c>
      <c r="AO145" s="99">
        <f t="shared" si="68"/>
        <v>1</v>
      </c>
      <c r="AP145" s="100">
        <f t="shared" si="66"/>
        <v>1</v>
      </c>
      <c r="AQ145">
        <v>1</v>
      </c>
      <c r="AR145" s="100">
        <f t="shared" si="67"/>
        <v>0</v>
      </c>
      <c r="AX145" s="101">
        <f t="shared" si="69"/>
        <v>0</v>
      </c>
    </row>
    <row r="146" spans="1:50" ht="12.75" customHeight="1">
      <c r="A146" t="s">
        <v>735</v>
      </c>
      <c r="B146" t="s">
        <v>736</v>
      </c>
      <c r="C146" t="s">
        <v>159</v>
      </c>
      <c r="E146">
        <v>347.86</v>
      </c>
      <c r="F146">
        <v>292.55</v>
      </c>
      <c r="G146" s="100">
        <v>-18.91</v>
      </c>
      <c r="H146">
        <v>1015.2</v>
      </c>
      <c r="I146">
        <v>59.94</v>
      </c>
      <c r="J146">
        <v>4.76</v>
      </c>
      <c r="K146">
        <v>14.66</v>
      </c>
      <c r="L146">
        <v>18.86</v>
      </c>
      <c r="M146">
        <v>116.81</v>
      </c>
      <c r="N146">
        <v>9.94</v>
      </c>
      <c r="O146">
        <v>1517.21</v>
      </c>
      <c r="P146" s="100">
        <v>25.31</v>
      </c>
      <c r="Q146">
        <v>9.48</v>
      </c>
      <c r="R146">
        <v>13.11</v>
      </c>
      <c r="S146">
        <v>-0.9</v>
      </c>
      <c r="T146">
        <v>303.89999999999998</v>
      </c>
      <c r="U146">
        <v>13.899999999999981</v>
      </c>
      <c r="V146">
        <v>1</v>
      </c>
      <c r="W146">
        <v>1</v>
      </c>
      <c r="X146">
        <v>1.42</v>
      </c>
      <c r="Y146">
        <v>19.13</v>
      </c>
      <c r="Z146">
        <v>12.68</v>
      </c>
      <c r="AA146" s="103">
        <v>0</v>
      </c>
      <c r="AB146">
        <v>15.11</v>
      </c>
      <c r="AC146" s="101">
        <v>6.0366666666666662</v>
      </c>
      <c r="AD146">
        <v>43.84</v>
      </c>
      <c r="AE146">
        <v>33.380000000000003</v>
      </c>
      <c r="AF146">
        <v>66.16</v>
      </c>
      <c r="AG146" s="101">
        <v>4</v>
      </c>
      <c r="AH146" s="101">
        <v>12.036666666666671</v>
      </c>
      <c r="AI146">
        <v>22.036666666666669</v>
      </c>
      <c r="AJ146" s="104">
        <f t="shared" si="62"/>
        <v>0.95</v>
      </c>
      <c r="AK146" s="101">
        <f t="shared" si="63"/>
        <v>21.314833333333336</v>
      </c>
      <c r="AL146" s="50">
        <f t="shared" si="64"/>
        <v>0</v>
      </c>
      <c r="AM146" s="97" t="str">
        <f t="shared" si="65"/>
        <v>German Green Steel  P</v>
      </c>
      <c r="AN146">
        <v>29</v>
      </c>
      <c r="AO146" s="99">
        <f t="shared" si="68"/>
        <v>0</v>
      </c>
      <c r="AP146" s="100">
        <f t="shared" si="66"/>
        <v>0</v>
      </c>
      <c r="AQ146">
        <v>1</v>
      </c>
      <c r="AR146" s="100">
        <f t="shared" si="67"/>
        <v>5</v>
      </c>
      <c r="AX146" s="101">
        <f t="shared" si="69"/>
        <v>0</v>
      </c>
    </row>
    <row r="147" spans="1:50" ht="12.75" customHeight="1">
      <c r="A147" t="s">
        <v>737</v>
      </c>
      <c r="B147" t="s">
        <v>738</v>
      </c>
      <c r="C147" t="s">
        <v>159</v>
      </c>
      <c r="E147">
        <v>2312.58</v>
      </c>
      <c r="F147">
        <v>455.86</v>
      </c>
      <c r="G147" s="100">
        <v>-407.3</v>
      </c>
      <c r="H147">
        <v>8328.14</v>
      </c>
      <c r="I147">
        <v>55.65</v>
      </c>
      <c r="J147">
        <v>0</v>
      </c>
      <c r="K147">
        <v>14.14</v>
      </c>
      <c r="L147">
        <v>0</v>
      </c>
      <c r="M147">
        <v>180.11</v>
      </c>
      <c r="N147">
        <v>19.440000000000001</v>
      </c>
      <c r="O147">
        <v>1050.71</v>
      </c>
      <c r="P147" s="100">
        <v>18.88</v>
      </c>
      <c r="Q147">
        <v>21.57</v>
      </c>
      <c r="R147">
        <v>24.26</v>
      </c>
      <c r="S147">
        <v>-0.9</v>
      </c>
      <c r="T147">
        <v>499.83</v>
      </c>
      <c r="U147">
        <v>0</v>
      </c>
      <c r="V147">
        <v>1</v>
      </c>
      <c r="W147">
        <v>1</v>
      </c>
      <c r="X147">
        <v>1.87</v>
      </c>
      <c r="Y147">
        <v>1.99</v>
      </c>
      <c r="Z147">
        <v>0.66</v>
      </c>
      <c r="AA147" s="103">
        <v>1</v>
      </c>
      <c r="AB147">
        <v>2.62</v>
      </c>
      <c r="AC147" s="101">
        <v>0.87333333333333341</v>
      </c>
      <c r="AD147">
        <v>-40.61</v>
      </c>
      <c r="AE147">
        <v>-56.88</v>
      </c>
      <c r="AF147">
        <v>22.33</v>
      </c>
      <c r="AG147" s="101">
        <v>2</v>
      </c>
      <c r="AH147" s="101">
        <v>3.873333333333334</v>
      </c>
      <c r="AI147">
        <v>8.8733333333333331</v>
      </c>
      <c r="AJ147" s="104">
        <f t="shared" si="62"/>
        <v>1</v>
      </c>
      <c r="AK147" s="101">
        <f t="shared" si="63"/>
        <v>8.6196666666666673</v>
      </c>
      <c r="AL147" s="50">
        <f t="shared" si="64"/>
        <v>0</v>
      </c>
      <c r="AM147" s="97" t="str">
        <f t="shared" si="65"/>
        <v>Runwal Enterprises  P</v>
      </c>
      <c r="AN147">
        <v>29</v>
      </c>
      <c r="AO147" s="99">
        <f t="shared" si="68"/>
        <v>0</v>
      </c>
      <c r="AP147" s="100">
        <f t="shared" si="66"/>
        <v>0</v>
      </c>
      <c r="AQ147">
        <v>0.95</v>
      </c>
      <c r="AR147" s="100">
        <f t="shared" si="67"/>
        <v>5</v>
      </c>
      <c r="AX147" s="101">
        <f t="shared" si="69"/>
        <v>0</v>
      </c>
    </row>
    <row r="148" spans="1:50" ht="12.75" customHeight="1">
      <c r="A148" t="s">
        <v>739</v>
      </c>
      <c r="B148" t="s">
        <v>740</v>
      </c>
      <c r="C148" t="s">
        <v>159</v>
      </c>
      <c r="E148">
        <v>61.84</v>
      </c>
      <c r="F148">
        <v>93.17</v>
      </c>
      <c r="G148" s="100">
        <v>33.630000000000003</v>
      </c>
      <c r="H148">
        <v>496.64</v>
      </c>
      <c r="I148">
        <v>33.6</v>
      </c>
      <c r="J148">
        <v>0</v>
      </c>
      <c r="K148">
        <v>7.08</v>
      </c>
      <c r="L148">
        <v>0</v>
      </c>
      <c r="M148">
        <v>49.81</v>
      </c>
      <c r="N148">
        <v>0</v>
      </c>
      <c r="O148">
        <v>400.5</v>
      </c>
      <c r="P148" s="100">
        <v>11.92</v>
      </c>
      <c r="Q148">
        <v>18.36</v>
      </c>
      <c r="R148">
        <v>20.97</v>
      </c>
      <c r="S148">
        <v>-0.9</v>
      </c>
      <c r="T148">
        <v>218.4</v>
      </c>
      <c r="U148">
        <v>0</v>
      </c>
      <c r="V148">
        <v>1</v>
      </c>
      <c r="W148">
        <v>1</v>
      </c>
      <c r="X148">
        <v>0.01</v>
      </c>
      <c r="Y148">
        <v>2.4</v>
      </c>
      <c r="Z148">
        <v>3.54</v>
      </c>
      <c r="AA148" s="103">
        <v>0</v>
      </c>
      <c r="AB148">
        <v>17.690000000000001</v>
      </c>
      <c r="AC148" s="101">
        <v>6.8966666666666674</v>
      </c>
      <c r="AD148">
        <v>15.54</v>
      </c>
      <c r="AE148">
        <v>41.91</v>
      </c>
      <c r="AF148">
        <v>15.78</v>
      </c>
      <c r="AG148" s="101">
        <v>5.0999999999999996</v>
      </c>
      <c r="AH148" s="101">
        <v>12.99666666666667</v>
      </c>
      <c r="AI148">
        <v>25.74666666666667</v>
      </c>
      <c r="AJ148" s="104">
        <f t="shared" si="62"/>
        <v>0.95</v>
      </c>
      <c r="AK148" s="101">
        <f t="shared" si="63"/>
        <v>24.943833333333334</v>
      </c>
      <c r="AL148" s="50">
        <f t="shared" si="64"/>
        <v>0</v>
      </c>
      <c r="AM148" s="97" t="str">
        <f t="shared" si="65"/>
        <v>SRIT India  Price, GM</v>
      </c>
      <c r="AN148">
        <v>30</v>
      </c>
      <c r="AO148" s="99">
        <f t="shared" si="68"/>
        <v>1</v>
      </c>
      <c r="AP148" s="100">
        <f t="shared" si="66"/>
        <v>3</v>
      </c>
      <c r="AQ148">
        <v>1</v>
      </c>
      <c r="AR148" s="100">
        <f t="shared" si="67"/>
        <v>0</v>
      </c>
      <c r="AX148" s="101">
        <f t="shared" si="69"/>
        <v>0</v>
      </c>
    </row>
    <row r="149" spans="1:50" ht="12.75" customHeight="1">
      <c r="A149" t="s">
        <v>741</v>
      </c>
      <c r="B149" t="s">
        <v>742</v>
      </c>
      <c r="C149" t="s">
        <v>159</v>
      </c>
      <c r="E149">
        <v>5.71</v>
      </c>
      <c r="F149">
        <v>168.09</v>
      </c>
      <c r="G149" s="100">
        <v>96.6</v>
      </c>
      <c r="H149">
        <v>302.57</v>
      </c>
      <c r="I149">
        <v>23.42</v>
      </c>
      <c r="J149">
        <v>18.239999999999998</v>
      </c>
      <c r="K149">
        <v>8.32</v>
      </c>
      <c r="L149">
        <v>7.59</v>
      </c>
      <c r="M149">
        <v>35.31</v>
      </c>
      <c r="N149">
        <v>30.24</v>
      </c>
      <c r="O149">
        <v>94.47</v>
      </c>
      <c r="P149" s="100">
        <v>4.03</v>
      </c>
      <c r="Q149">
        <v>20.07</v>
      </c>
      <c r="R149">
        <v>26.94</v>
      </c>
      <c r="S149">
        <v>-0.9</v>
      </c>
      <c r="T149">
        <v>90.17</v>
      </c>
      <c r="U149">
        <v>0</v>
      </c>
      <c r="V149">
        <v>1</v>
      </c>
      <c r="W149">
        <v>1</v>
      </c>
      <c r="X149">
        <v>0.61</v>
      </c>
      <c r="Y149">
        <v>0.56999999999999995</v>
      </c>
      <c r="Z149">
        <v>0.49</v>
      </c>
      <c r="AA149" s="103">
        <v>1</v>
      </c>
      <c r="AB149">
        <v>7.78</v>
      </c>
      <c r="AC149" s="101">
        <v>2.5933333333333328</v>
      </c>
      <c r="AD149">
        <v>29.75</v>
      </c>
      <c r="AE149">
        <v>19.510000000000002</v>
      </c>
      <c r="AF149">
        <v>11.66</v>
      </c>
      <c r="AG149" s="101">
        <v>7.1</v>
      </c>
      <c r="AH149" s="101">
        <v>11.69333333333333</v>
      </c>
      <c r="AI149">
        <v>29.443333333333339</v>
      </c>
      <c r="AJ149" s="104">
        <f t="shared" si="62"/>
        <v>0.95</v>
      </c>
      <c r="AK149" s="101">
        <f t="shared" si="63"/>
        <v>28.64566666666666</v>
      </c>
      <c r="AL149" s="50">
        <f t="shared" si="64"/>
        <v>0</v>
      </c>
      <c r="AM149" s="97" t="str">
        <f t="shared" si="65"/>
        <v xml:space="preserve">Shah Investor&amp;#x27;s </v>
      </c>
      <c r="AN149">
        <v>30</v>
      </c>
      <c r="AO149" s="99">
        <f t="shared" si="68"/>
        <v>1</v>
      </c>
      <c r="AP149" s="100">
        <f t="shared" si="66"/>
        <v>3</v>
      </c>
      <c r="AQ149">
        <v>1</v>
      </c>
      <c r="AR149" s="100">
        <f t="shared" si="67"/>
        <v>0</v>
      </c>
      <c r="AX149" s="101">
        <f t="shared" si="69"/>
        <v>0</v>
      </c>
    </row>
    <row r="150" spans="1:50" ht="12.75" customHeight="1">
      <c r="A150" t="s">
        <v>729</v>
      </c>
      <c r="B150" t="s">
        <v>730</v>
      </c>
      <c r="C150" t="s">
        <v>159</v>
      </c>
      <c r="E150">
        <v>963.67</v>
      </c>
      <c r="F150">
        <v>676.63</v>
      </c>
      <c r="G150" s="100">
        <f>100*(F150-E150)/F150</f>
        <v>-42.422003162732949</v>
      </c>
      <c r="H150">
        <v>2753.06</v>
      </c>
      <c r="I150">
        <v>7.71</v>
      </c>
      <c r="J150">
        <v>3.04</v>
      </c>
      <c r="K150">
        <v>18.61</v>
      </c>
      <c r="L150">
        <v>14.7</v>
      </c>
      <c r="M150">
        <v>174.06</v>
      </c>
      <c r="N150">
        <v>7.29</v>
      </c>
      <c r="O150">
        <v>3569.63</v>
      </c>
      <c r="P150" s="100">
        <f>O150/I150</f>
        <v>462.98702983138782</v>
      </c>
      <c r="Q150">
        <v>21.76</v>
      </c>
      <c r="R150">
        <v>24.55</v>
      </c>
      <c r="S150">
        <v>0.7</v>
      </c>
      <c r="T150">
        <v>405</v>
      </c>
      <c r="U150">
        <v>0</v>
      </c>
      <c r="V150">
        <v>1</v>
      </c>
      <c r="W150">
        <v>1</v>
      </c>
      <c r="X150">
        <v>7.69</v>
      </c>
      <c r="Y150">
        <v>25.8</v>
      </c>
      <c r="Z150">
        <v>9.11</v>
      </c>
      <c r="AA150" s="103">
        <f>IF(X150&lt;33,IF(Y150&gt;(1.1*X150),0,1),1)+IF(Y150&gt;(4*X150),-1,0)</f>
        <v>0</v>
      </c>
      <c r="AB150">
        <v>17.690000000000001</v>
      </c>
      <c r="AC150" s="101">
        <f>IF(AB150&gt;9,1,0)+AB150/3+IF(AB150&gt;15,1,0)+IF(AB150&gt;20,1,0)</f>
        <v>7.8966666666666674</v>
      </c>
      <c r="AD150">
        <v>-80.19</v>
      </c>
      <c r="AE150">
        <v>-7.58</v>
      </c>
      <c r="AF150">
        <v>60.42</v>
      </c>
      <c r="AG150" s="101">
        <f>IF(G150&lt;0,0,1.2)+IF(G150&lt;14,0,0.9)+IF(P150&lt;0,0.7,0)+IF(P150&lt;6.5,1,0)+IF(P150&lt;23,1,0)+IF(R150&gt;80,0,1)+S150+IF(AD150&lt;20,0,1)+IF(AE150&lt;14,0,1)+IF(AF150&lt;26,0,1)</f>
        <v>2.7</v>
      </c>
      <c r="AH150" s="101">
        <f>AG150+IF(AG150&gt;6,1,0)+IF(X150&lt;17,0,1)+IF(Y150&lt;11,0,1)+IF(Z150&lt;1.35,0,1)+AC150+AA150</f>
        <v>12.596666666666668</v>
      </c>
      <c r="AI150">
        <v>13.89</v>
      </c>
      <c r="AJ150" s="104">
        <f t="shared" si="62"/>
        <v>0.98</v>
      </c>
      <c r="AK150" s="101">
        <f t="shared" si="63"/>
        <v>19.224333333333334</v>
      </c>
      <c r="AL150" s="50">
        <f t="shared" si="64"/>
        <v>0</v>
      </c>
      <c r="AM150" s="97" t="str">
        <f t="shared" si="65"/>
        <v xml:space="preserve">A-One Steels  Price, </v>
      </c>
      <c r="AN150">
        <v>24</v>
      </c>
      <c r="AO150" s="99">
        <f t="shared" si="68"/>
        <v>0</v>
      </c>
      <c r="AP150" s="100">
        <f t="shared" si="66"/>
        <v>0</v>
      </c>
      <c r="AQ150">
        <v>1</v>
      </c>
      <c r="AR150" s="100">
        <f t="shared" si="67"/>
        <v>5</v>
      </c>
      <c r="AX150" s="101">
        <f t="shared" si="69"/>
        <v>0</v>
      </c>
    </row>
    <row r="151" spans="1:50" ht="12.75" customHeight="1">
      <c r="A151" t="s">
        <v>743</v>
      </c>
      <c r="B151" t="s">
        <v>744</v>
      </c>
      <c r="C151" t="s">
        <v>159</v>
      </c>
      <c r="E151">
        <v>0.45</v>
      </c>
      <c r="F151">
        <v>126.33</v>
      </c>
      <c r="G151" s="100">
        <f>100*(F151-E151)/F151</f>
        <v>99.643790073616714</v>
      </c>
      <c r="H151">
        <v>558.09</v>
      </c>
      <c r="I151">
        <v>-126.31</v>
      </c>
      <c r="J151">
        <v>0</v>
      </c>
      <c r="K151">
        <v>-1</v>
      </c>
      <c r="L151">
        <v>0</v>
      </c>
      <c r="M151">
        <v>-107.79</v>
      </c>
      <c r="N151">
        <v>0</v>
      </c>
      <c r="O151">
        <v>406.77</v>
      </c>
      <c r="P151" s="100">
        <f>O151/I151</f>
        <v>-3.2204101021296809</v>
      </c>
      <c r="Q151">
        <v>-32</v>
      </c>
      <c r="R151">
        <v>0</v>
      </c>
      <c r="S151">
        <v>0</v>
      </c>
      <c r="T151">
        <v>420</v>
      </c>
      <c r="U151">
        <v>133</v>
      </c>
      <c r="V151">
        <v>1</v>
      </c>
      <c r="W151">
        <v>1</v>
      </c>
      <c r="X151">
        <v>1.05</v>
      </c>
      <c r="Y151">
        <v>1.31</v>
      </c>
      <c r="Z151">
        <v>1.43</v>
      </c>
      <c r="AA151" s="103">
        <f>IF(X151&lt;33,IF(Y151&gt;(1.1*X151),0,1),1)+IF(Y151&gt;(4*X151),-1,0)</f>
        <v>0</v>
      </c>
      <c r="AB151">
        <v>3.12</v>
      </c>
      <c r="AC151" s="101">
        <f>IF(AB151&gt;9,1,0)+AB151/3+IF(AB151&gt;15,1,0)+IF(AB151&gt;20,1,0)</f>
        <v>1.04</v>
      </c>
      <c r="AD151">
        <v>146.22</v>
      </c>
      <c r="AE151">
        <v>5.73</v>
      </c>
      <c r="AF151">
        <v>-188.91</v>
      </c>
      <c r="AG151" s="101">
        <f>IF(G151&lt;0,0,1.2)+IF(G151&lt;14,0,0.9)+IF(P151&lt;0,0.7,0)+IF(P151&lt;6.5,1,0)+IF(P151&lt;23,1,0)+IF(R151&gt;80,0,1)+S151+IF(AD151&lt;20,0,1)+IF(AE151&lt;14,0,1)+IF(AF151&lt;26,0,1)</f>
        <v>6.8</v>
      </c>
      <c r="AH151" s="101">
        <f>AG151+IF(AG151&gt;6,1,0)+IF(X151&lt;17,0,1)+IF(Y151&lt;11,0,1)+IF(Z151&lt;1.35,0,1)+AC151+AA151</f>
        <v>9.84</v>
      </c>
      <c r="AI151">
        <v>13.862500000000001</v>
      </c>
      <c r="AJ151" s="104">
        <f t="shared" si="62"/>
        <v>0.98</v>
      </c>
      <c r="AK151" s="101">
        <f t="shared" si="63"/>
        <v>26.9696</v>
      </c>
      <c r="AL151" s="50">
        <f t="shared" si="64"/>
        <v>0</v>
      </c>
      <c r="AM151" s="97" t="str">
        <f t="shared" si="65"/>
        <v>Snapdeal  Price, GMP,</v>
      </c>
      <c r="AN151">
        <v>25</v>
      </c>
      <c r="AO151" s="99">
        <f t="shared" si="68"/>
        <v>1</v>
      </c>
      <c r="AP151" s="100">
        <f t="shared" si="66"/>
        <v>3</v>
      </c>
      <c r="AQ151">
        <v>1</v>
      </c>
      <c r="AR151" s="100">
        <f t="shared" si="67"/>
        <v>0</v>
      </c>
      <c r="AX151" s="101">
        <f t="shared" si="69"/>
        <v>0</v>
      </c>
    </row>
    <row r="152" spans="1:50" ht="12.75" customHeight="1">
      <c r="A152" t="s">
        <v>733</v>
      </c>
      <c r="B152" t="s">
        <v>734</v>
      </c>
      <c r="C152" t="s">
        <v>159</v>
      </c>
      <c r="E152">
        <v>113.45</v>
      </c>
      <c r="F152">
        <v>180.7</v>
      </c>
      <c r="G152" s="100">
        <f>100*(F152-E152)/F152</f>
        <v>37.216380741560592</v>
      </c>
      <c r="H152">
        <v>427.19</v>
      </c>
      <c r="I152">
        <v>53.32</v>
      </c>
      <c r="J152">
        <v>6.77</v>
      </c>
      <c r="K152">
        <v>5.25</v>
      </c>
      <c r="L152">
        <v>13.17</v>
      </c>
      <c r="M152">
        <v>83.86</v>
      </c>
      <c r="N152">
        <v>11.22</v>
      </c>
      <c r="O152">
        <v>831.86</v>
      </c>
      <c r="P152" s="100">
        <f>O152/I152</f>
        <v>15.601275318829707</v>
      </c>
      <c r="Q152">
        <v>51.81</v>
      </c>
      <c r="R152">
        <v>23.61</v>
      </c>
      <c r="S152">
        <v>0.7</v>
      </c>
      <c r="T152">
        <v>552</v>
      </c>
      <c r="U152">
        <v>232</v>
      </c>
      <c r="V152">
        <v>1</v>
      </c>
      <c r="W152">
        <v>1</v>
      </c>
      <c r="X152">
        <v>0.24</v>
      </c>
      <c r="Y152">
        <v>40.6</v>
      </c>
      <c r="Z152">
        <v>16.79</v>
      </c>
      <c r="AA152" s="103">
        <f>IF(X152&lt;33,IF(Y152&gt;(1.1*X152),0,1),1)+IF(Y152&gt;(4*X152),-1,0)</f>
        <v>-1</v>
      </c>
      <c r="AB152">
        <v>17.690000000000001</v>
      </c>
      <c r="AC152" s="101">
        <f>IF(AB152&gt;9,1,0)+AB152/3+IF(AB152&gt;15,1,0)+IF(AB152&gt;20,1,0)</f>
        <v>7.8966666666666674</v>
      </c>
      <c r="AD152">
        <v>33.07</v>
      </c>
      <c r="AE152">
        <v>25.1</v>
      </c>
      <c r="AF152">
        <v>41.68</v>
      </c>
      <c r="AG152" s="101">
        <f>IF(G152&lt;0,0,1.2)+IF(G152&lt;14,0,0.9)+IF(P152&lt;0,0.7,0)+IF(P152&lt;6.5,1,0)+IF(P152&lt;23,1,0)+IF(R152&gt;80,0,1)+S152+IF(AD152&lt;20,0,1)+IF(AE152&lt;14,0,1)+IF(AF152&lt;26,0,1)</f>
        <v>7.8</v>
      </c>
      <c r="AH152" s="101">
        <f>AG152+IF(AG152&gt;6,1,0)+IF(X152&lt;17,0,1)+IF(Y152&lt;11,0,1)+IF(Z152&lt;1.35,0,1)+AC152+AA152</f>
        <v>17.696666666666669</v>
      </c>
      <c r="AI152">
        <v>13.88</v>
      </c>
      <c r="AJ152" s="104">
        <f t="shared" si="62"/>
        <v>0.98</v>
      </c>
      <c r="AK152" s="101">
        <f t="shared" si="63"/>
        <v>37.217133333333337</v>
      </c>
      <c r="AL152" s="50">
        <f t="shared" si="64"/>
        <v>0</v>
      </c>
      <c r="AM152" s="97" t="str">
        <f t="shared" si="65"/>
        <v>Orient Cables  Price,</v>
      </c>
      <c r="AN152">
        <v>25</v>
      </c>
      <c r="AO152" s="99">
        <f t="shared" si="68"/>
        <v>1</v>
      </c>
      <c r="AP152" s="100">
        <f t="shared" si="66"/>
        <v>1</v>
      </c>
      <c r="AQ152">
        <v>1</v>
      </c>
      <c r="AR152" s="100">
        <f t="shared" si="67"/>
        <v>0</v>
      </c>
      <c r="AX152" s="101">
        <f t="shared" si="69"/>
        <v>0</v>
      </c>
    </row>
    <row r="153" spans="1:50" ht="12.75" customHeight="1">
      <c r="A153" t="s">
        <v>741</v>
      </c>
      <c r="B153" t="s">
        <v>742</v>
      </c>
      <c r="C153" t="s">
        <v>159</v>
      </c>
      <c r="E153">
        <v>5.71</v>
      </c>
      <c r="F153">
        <v>168.09</v>
      </c>
      <c r="G153" s="100">
        <v>96.6</v>
      </c>
      <c r="H153">
        <v>302.57</v>
      </c>
      <c r="I153">
        <v>23.42</v>
      </c>
      <c r="J153">
        <v>18.239999999999998</v>
      </c>
      <c r="K153">
        <v>8.32</v>
      </c>
      <c r="L153">
        <v>7.59</v>
      </c>
      <c r="M153">
        <v>35.31</v>
      </c>
      <c r="N153">
        <v>30.24</v>
      </c>
      <c r="O153">
        <v>94.47</v>
      </c>
      <c r="P153" s="100">
        <v>4.03</v>
      </c>
      <c r="Q153">
        <v>20.07</v>
      </c>
      <c r="R153">
        <v>26.94</v>
      </c>
      <c r="S153">
        <v>-0.9</v>
      </c>
      <c r="T153">
        <v>90.17</v>
      </c>
      <c r="U153">
        <v>0</v>
      </c>
      <c r="V153">
        <v>1</v>
      </c>
      <c r="W153">
        <v>1</v>
      </c>
      <c r="X153">
        <v>0.61</v>
      </c>
      <c r="Y153">
        <v>0.56999999999999995</v>
      </c>
      <c r="Z153">
        <v>0.49</v>
      </c>
      <c r="AA153" s="103">
        <v>1</v>
      </c>
      <c r="AB153">
        <v>7.78</v>
      </c>
      <c r="AC153" s="101">
        <v>2.5933333333333328</v>
      </c>
      <c r="AD153">
        <v>29.75</v>
      </c>
      <c r="AE153">
        <v>19.510000000000002</v>
      </c>
      <c r="AF153">
        <v>11.66</v>
      </c>
      <c r="AG153" s="101">
        <v>7.1</v>
      </c>
      <c r="AH153" s="101">
        <v>11.69333333333333</v>
      </c>
      <c r="AI153">
        <v>29.443333333333339</v>
      </c>
      <c r="AJ153" s="104">
        <f t="shared" si="62"/>
        <v>0.95</v>
      </c>
      <c r="AK153" s="101">
        <f t="shared" si="63"/>
        <v>28.64566666666666</v>
      </c>
      <c r="AL153" s="50">
        <f t="shared" si="64"/>
        <v>0</v>
      </c>
      <c r="AM153" s="97" t="str">
        <f t="shared" si="65"/>
        <v xml:space="preserve">Shah Investor&amp;#x27;s </v>
      </c>
      <c r="AN153">
        <v>30</v>
      </c>
      <c r="AO153" s="99">
        <f t="shared" si="68"/>
        <v>1</v>
      </c>
      <c r="AP153" s="100">
        <f t="shared" si="66"/>
        <v>3</v>
      </c>
      <c r="AQ153">
        <v>1</v>
      </c>
      <c r="AR153" s="100">
        <f t="shared" si="67"/>
        <v>0</v>
      </c>
      <c r="AX153" s="101">
        <f t="shared" si="69"/>
        <v>0</v>
      </c>
    </row>
    <row r="154" spans="1:50" ht="12.75" customHeight="1">
      <c r="A154" t="s">
        <v>745</v>
      </c>
      <c r="B154" t="s">
        <v>746</v>
      </c>
      <c r="C154" t="s">
        <v>159</v>
      </c>
      <c r="E154">
        <v>7.11</v>
      </c>
      <c r="F154">
        <v>22.57</v>
      </c>
      <c r="G154" s="100">
        <f t="shared" ref="G154:G217" si="70">100*(F154-E154)/F154</f>
        <v>68.49800620292423</v>
      </c>
      <c r="H154">
        <v>39.869999999999997</v>
      </c>
      <c r="I154">
        <v>9.7899999999999991</v>
      </c>
      <c r="J154">
        <v>11</v>
      </c>
      <c r="K154">
        <v>5.17</v>
      </c>
      <c r="L154">
        <v>0</v>
      </c>
      <c r="M154">
        <v>12.9</v>
      </c>
      <c r="N154">
        <v>15.27</v>
      </c>
      <c r="O154">
        <v>96.85</v>
      </c>
      <c r="P154" s="100">
        <f t="shared" ref="P154:P217" si="71">O154/I154</f>
        <v>9.8927477017364662</v>
      </c>
      <c r="Q154">
        <v>14.51</v>
      </c>
      <c r="R154">
        <v>19.38</v>
      </c>
      <c r="S154">
        <v>-0.9</v>
      </c>
      <c r="T154">
        <v>108.35</v>
      </c>
      <c r="U154">
        <v>0</v>
      </c>
      <c r="V154">
        <v>0</v>
      </c>
      <c r="W154">
        <v>1</v>
      </c>
      <c r="X154">
        <v>0</v>
      </c>
      <c r="Y154">
        <v>0</v>
      </c>
      <c r="Z154">
        <v>0</v>
      </c>
      <c r="AA154" s="103">
        <f t="shared" ref="AA154:AA217" si="72">IF(X154&lt;33,IF(Y154&gt;(1.1*X154),0,1),1)+IF(Y154&gt;(4*X154),-1,0)</f>
        <v>1</v>
      </c>
      <c r="AB154">
        <v>12</v>
      </c>
      <c r="AC154" s="101">
        <f t="shared" ref="AC154:AC217" si="73">IF(AB154&gt;9,1,0)+AB154/3+IF(AB154&gt;15,1,0)+IF(AB154&gt;20,1,0)</f>
        <v>5</v>
      </c>
      <c r="AD154">
        <v>143.53</v>
      </c>
      <c r="AE154">
        <v>80.489999999999995</v>
      </c>
      <c r="AF154">
        <v>323.45</v>
      </c>
      <c r="AG154" s="101">
        <f t="shared" ref="AG154:AG217" si="74">IF(G154&lt;0,0,1.2)+IF(G154&lt;14,0,0.9)+IF(P154&lt;0,0.7,0)+IF(P154&lt;6.5,1,0)+IF(P154&lt;23,1,0)+IF(R154&gt;80,0,1)+S154+IF(AD154&lt;20,0,1)+IF(AE154&lt;14,0,1)+IF(AF154&lt;26,0,1)</f>
        <v>6.1999999999999993</v>
      </c>
      <c r="AH154" s="101">
        <f t="shared" ref="AH154:AH217" si="75">AG154+IF(AG154&gt;6,1,0)+IF(X154&lt;17,0,1)+IF(Y154&lt;11,0,1)+IF(Z154&lt;1.35,0,1)+AC154+AA154</f>
        <v>13.2</v>
      </c>
      <c r="AI154">
        <v>13.9125</v>
      </c>
      <c r="AJ154" s="104">
        <f t="shared" si="62"/>
        <v>0.98</v>
      </c>
      <c r="AK154" s="101">
        <f t="shared" si="63"/>
        <v>28.733599999999996</v>
      </c>
      <c r="AL154" s="50">
        <f t="shared" si="64"/>
        <v>0</v>
      </c>
      <c r="AM154" s="97" t="str">
        <f t="shared" si="65"/>
        <v>Nityas Gems &amp;amp; Jew</v>
      </c>
      <c r="AN154">
        <v>5</v>
      </c>
      <c r="AO154" s="99">
        <f t="shared" si="68"/>
        <v>1</v>
      </c>
      <c r="AP154" s="100">
        <f t="shared" si="66"/>
        <v>3</v>
      </c>
      <c r="AQ154">
        <v>1</v>
      </c>
      <c r="AR154" s="100">
        <f t="shared" si="67"/>
        <v>0</v>
      </c>
      <c r="AX154" s="101">
        <f t="shared" si="69"/>
        <v>0</v>
      </c>
    </row>
    <row r="155" spans="1:50" ht="12.75" customHeight="1">
      <c r="A155" t="s">
        <v>747</v>
      </c>
      <c r="B155" t="s">
        <v>748</v>
      </c>
      <c r="C155" t="s">
        <v>159</v>
      </c>
      <c r="E155">
        <v>88.05</v>
      </c>
      <c r="F155">
        <v>61.12</v>
      </c>
      <c r="G155" s="100">
        <f t="shared" si="70"/>
        <v>-44.06086387434555</v>
      </c>
      <c r="H155">
        <v>296.61</v>
      </c>
      <c r="I155">
        <v>23.64</v>
      </c>
      <c r="J155">
        <v>7.37</v>
      </c>
      <c r="K155">
        <v>12.61</v>
      </c>
      <c r="L155">
        <v>33.67</v>
      </c>
      <c r="M155">
        <v>46.48</v>
      </c>
      <c r="N155">
        <v>15.1</v>
      </c>
      <c r="O155">
        <v>324.86</v>
      </c>
      <c r="P155" s="100">
        <f t="shared" si="71"/>
        <v>13.741962774957699</v>
      </c>
      <c r="Q155">
        <v>17.45</v>
      </c>
      <c r="R155">
        <v>23.26</v>
      </c>
      <c r="S155">
        <v>-0.9</v>
      </c>
      <c r="T155">
        <v>178</v>
      </c>
      <c r="U155">
        <v>0</v>
      </c>
      <c r="V155">
        <v>0</v>
      </c>
      <c r="W155">
        <v>1</v>
      </c>
      <c r="X155">
        <v>0</v>
      </c>
      <c r="Y155">
        <v>0</v>
      </c>
      <c r="Z155">
        <v>0</v>
      </c>
      <c r="AA155" s="103">
        <f t="shared" si="72"/>
        <v>1</v>
      </c>
      <c r="AB155">
        <v>0.91</v>
      </c>
      <c r="AC155" s="101">
        <f t="shared" si="73"/>
        <v>0.30333333333333334</v>
      </c>
      <c r="AD155">
        <v>585.22</v>
      </c>
      <c r="AE155">
        <v>31.03</v>
      </c>
      <c r="AF155">
        <v>60.34</v>
      </c>
      <c r="AG155" s="101">
        <f t="shared" si="74"/>
        <v>4.0999999999999996</v>
      </c>
      <c r="AH155" s="101">
        <f t="shared" si="75"/>
        <v>5.4033333333333333</v>
      </c>
      <c r="AI155">
        <v>13.955</v>
      </c>
      <c r="AJ155" s="104">
        <f t="shared" si="62"/>
        <v>0.98</v>
      </c>
      <c r="AK155" s="101">
        <f t="shared" si="63"/>
        <v>15.742066666666666</v>
      </c>
      <c r="AL155" s="50">
        <f t="shared" si="64"/>
        <v>0</v>
      </c>
      <c r="AM155" s="97" t="str">
        <f t="shared" si="65"/>
        <v>Vishal Nirmiti  Price</v>
      </c>
      <c r="AN155">
        <v>5</v>
      </c>
      <c r="AO155" s="99">
        <f t="shared" si="68"/>
        <v>0</v>
      </c>
      <c r="AP155" s="100">
        <f t="shared" si="66"/>
        <v>0</v>
      </c>
      <c r="AQ155">
        <v>1</v>
      </c>
      <c r="AR155" s="100">
        <f t="shared" si="67"/>
        <v>5</v>
      </c>
      <c r="AX155" s="101">
        <f t="shared" si="69"/>
        <v>0</v>
      </c>
    </row>
    <row r="156" spans="1:50" ht="12.75" customHeight="1">
      <c r="G156" s="100" t="e">
        <f t="shared" si="70"/>
        <v>#DIV/0!</v>
      </c>
      <c r="P156" s="100" t="e">
        <f t="shared" si="71"/>
        <v>#DIV/0!</v>
      </c>
      <c r="AA156" s="103">
        <f t="shared" si="72"/>
        <v>1</v>
      </c>
      <c r="AC156" s="101">
        <f t="shared" si="73"/>
        <v>0</v>
      </c>
      <c r="AG156" s="101" t="e">
        <f t="shared" si="74"/>
        <v>#DIV/0!</v>
      </c>
      <c r="AH156" s="101" t="e">
        <f t="shared" si="75"/>
        <v>#DIV/0!</v>
      </c>
      <c r="AJ156" s="104">
        <f t="shared" si="62"/>
        <v>1</v>
      </c>
      <c r="AK156" s="101" t="e">
        <f t="shared" si="63"/>
        <v>#DIV/0!</v>
      </c>
      <c r="AL156" s="50">
        <f t="shared" si="64"/>
        <v>0</v>
      </c>
      <c r="AM156" s="97">
        <f t="shared" si="65"/>
        <v>0</v>
      </c>
      <c r="AO156" s="99" t="e">
        <f t="shared" si="68"/>
        <v>#DIV/0!</v>
      </c>
      <c r="AP156" s="100" t="e">
        <f t="shared" si="66"/>
        <v>#DIV/0!</v>
      </c>
      <c r="AR156" s="100" t="e">
        <f t="shared" si="67"/>
        <v>#DIV/0!</v>
      </c>
      <c r="AX156" s="101">
        <f t="shared" si="69"/>
        <v>0</v>
      </c>
    </row>
    <row r="157" spans="1:50" ht="12.75" customHeight="1">
      <c r="G157" s="100" t="e">
        <f t="shared" si="70"/>
        <v>#DIV/0!</v>
      </c>
      <c r="P157" s="100" t="e">
        <f t="shared" si="71"/>
        <v>#DIV/0!</v>
      </c>
      <c r="AA157" s="103">
        <f t="shared" si="72"/>
        <v>1</v>
      </c>
      <c r="AC157" s="101">
        <f t="shared" si="73"/>
        <v>0</v>
      </c>
      <c r="AG157" s="101" t="e">
        <f t="shared" si="74"/>
        <v>#DIV/0!</v>
      </c>
      <c r="AH157" s="101" t="e">
        <f t="shared" si="75"/>
        <v>#DIV/0!</v>
      </c>
      <c r="AJ157" s="104">
        <f t="shared" si="62"/>
        <v>1</v>
      </c>
      <c r="AK157" s="101" t="e">
        <f t="shared" si="63"/>
        <v>#DIV/0!</v>
      </c>
      <c r="AL157" s="50">
        <f t="shared" si="64"/>
        <v>0</v>
      </c>
      <c r="AM157" s="97">
        <f t="shared" si="65"/>
        <v>0</v>
      </c>
      <c r="AO157" s="99" t="e">
        <f t="shared" si="68"/>
        <v>#DIV/0!</v>
      </c>
      <c r="AP157" s="100" t="e">
        <f t="shared" si="66"/>
        <v>#DIV/0!</v>
      </c>
      <c r="AR157" s="100" t="e">
        <f t="shared" si="67"/>
        <v>#DIV/0!</v>
      </c>
      <c r="AX157" s="101">
        <f t="shared" si="69"/>
        <v>0</v>
      </c>
    </row>
    <row r="158" spans="1:50" ht="12.75" customHeight="1">
      <c r="G158" s="100" t="e">
        <f t="shared" si="70"/>
        <v>#DIV/0!</v>
      </c>
      <c r="P158" s="100" t="e">
        <f t="shared" si="71"/>
        <v>#DIV/0!</v>
      </c>
      <c r="AA158" s="103">
        <f t="shared" si="72"/>
        <v>1</v>
      </c>
      <c r="AC158" s="101">
        <f t="shared" si="73"/>
        <v>0</v>
      </c>
      <c r="AG158" s="101" t="e">
        <f t="shared" si="74"/>
        <v>#DIV/0!</v>
      </c>
      <c r="AH158" s="101" t="e">
        <f t="shared" si="75"/>
        <v>#DIV/0!</v>
      </c>
      <c r="AJ158" s="104">
        <f t="shared" si="62"/>
        <v>1</v>
      </c>
      <c r="AK158" s="101" t="e">
        <f t="shared" si="63"/>
        <v>#DIV/0!</v>
      </c>
      <c r="AL158" s="50">
        <f t="shared" si="64"/>
        <v>0</v>
      </c>
      <c r="AM158" s="97">
        <f t="shared" si="65"/>
        <v>0</v>
      </c>
      <c r="AO158" s="99" t="e">
        <f t="shared" si="68"/>
        <v>#DIV/0!</v>
      </c>
      <c r="AP158" s="100" t="e">
        <f t="shared" si="66"/>
        <v>#DIV/0!</v>
      </c>
      <c r="AR158" s="100" t="e">
        <f t="shared" si="67"/>
        <v>#DIV/0!</v>
      </c>
      <c r="AX158" s="101">
        <f t="shared" si="69"/>
        <v>0</v>
      </c>
    </row>
    <row r="159" spans="1:50" ht="12.75" customHeight="1">
      <c r="G159" s="100" t="e">
        <f t="shared" si="70"/>
        <v>#DIV/0!</v>
      </c>
      <c r="P159" s="100" t="e">
        <f t="shared" si="71"/>
        <v>#DIV/0!</v>
      </c>
      <c r="AA159" s="103">
        <f t="shared" si="72"/>
        <v>1</v>
      </c>
      <c r="AC159" s="101">
        <f t="shared" si="73"/>
        <v>0</v>
      </c>
      <c r="AG159" s="101" t="e">
        <f t="shared" si="74"/>
        <v>#DIV/0!</v>
      </c>
      <c r="AH159" s="101" t="e">
        <f t="shared" si="75"/>
        <v>#DIV/0!</v>
      </c>
      <c r="AJ159" s="104">
        <f t="shared" si="62"/>
        <v>1</v>
      </c>
      <c r="AK159" s="101" t="e">
        <f t="shared" si="63"/>
        <v>#DIV/0!</v>
      </c>
      <c r="AL159" s="50">
        <f t="shared" si="64"/>
        <v>0</v>
      </c>
      <c r="AM159" s="97">
        <f t="shared" si="65"/>
        <v>0</v>
      </c>
      <c r="AO159" s="99" t="e">
        <f t="shared" si="68"/>
        <v>#DIV/0!</v>
      </c>
      <c r="AP159" s="100" t="e">
        <f t="shared" si="66"/>
        <v>#DIV/0!</v>
      </c>
      <c r="AR159" s="100" t="e">
        <f t="shared" si="67"/>
        <v>#DIV/0!</v>
      </c>
      <c r="AX159" s="101">
        <f t="shared" si="69"/>
        <v>0</v>
      </c>
    </row>
    <row r="160" spans="1:50" ht="12.75" customHeight="1">
      <c r="G160" s="100" t="e">
        <f t="shared" si="70"/>
        <v>#DIV/0!</v>
      </c>
      <c r="P160" s="100" t="e">
        <f t="shared" si="71"/>
        <v>#DIV/0!</v>
      </c>
      <c r="AA160" s="103">
        <f t="shared" si="72"/>
        <v>1</v>
      </c>
      <c r="AC160" s="101">
        <f t="shared" si="73"/>
        <v>0</v>
      </c>
      <c r="AG160" s="101" t="e">
        <f t="shared" si="74"/>
        <v>#DIV/0!</v>
      </c>
      <c r="AH160" s="101" t="e">
        <f t="shared" si="75"/>
        <v>#DIV/0!</v>
      </c>
      <c r="AJ160" s="104">
        <f t="shared" si="62"/>
        <v>1</v>
      </c>
      <c r="AK160" s="101" t="e">
        <f t="shared" si="63"/>
        <v>#DIV/0!</v>
      </c>
      <c r="AL160" s="50">
        <f t="shared" si="64"/>
        <v>0</v>
      </c>
      <c r="AM160" s="97">
        <f t="shared" si="65"/>
        <v>0</v>
      </c>
      <c r="AO160" s="99" t="e">
        <f t="shared" si="68"/>
        <v>#DIV/0!</v>
      </c>
      <c r="AP160" s="100" t="e">
        <f t="shared" si="66"/>
        <v>#DIV/0!</v>
      </c>
      <c r="AR160" s="100" t="e">
        <f t="shared" si="67"/>
        <v>#DIV/0!</v>
      </c>
      <c r="AX160" s="101">
        <f t="shared" si="69"/>
        <v>0</v>
      </c>
    </row>
    <row r="161" spans="7:50" ht="12.75" customHeight="1">
      <c r="G161" s="100" t="e">
        <f t="shared" si="70"/>
        <v>#DIV/0!</v>
      </c>
      <c r="P161" s="100" t="e">
        <f t="shared" si="71"/>
        <v>#DIV/0!</v>
      </c>
      <c r="AA161" s="103">
        <f t="shared" si="72"/>
        <v>1</v>
      </c>
      <c r="AC161" s="101">
        <f t="shared" si="73"/>
        <v>0</v>
      </c>
      <c r="AG161" s="101" t="e">
        <f t="shared" si="74"/>
        <v>#DIV/0!</v>
      </c>
      <c r="AH161" s="101" t="e">
        <f t="shared" si="75"/>
        <v>#DIV/0!</v>
      </c>
      <c r="AJ161" s="104">
        <f t="shared" si="62"/>
        <v>1</v>
      </c>
      <c r="AK161" s="101" t="e">
        <f t="shared" si="63"/>
        <v>#DIV/0!</v>
      </c>
      <c r="AL161" s="50">
        <f t="shared" si="64"/>
        <v>0</v>
      </c>
      <c r="AM161" s="97">
        <f t="shared" si="65"/>
        <v>0</v>
      </c>
      <c r="AO161" s="99" t="e">
        <f t="shared" si="68"/>
        <v>#DIV/0!</v>
      </c>
      <c r="AP161" s="100" t="e">
        <f t="shared" si="66"/>
        <v>#DIV/0!</v>
      </c>
      <c r="AR161" s="100" t="e">
        <f t="shared" si="67"/>
        <v>#DIV/0!</v>
      </c>
      <c r="AX161" s="101">
        <f t="shared" si="69"/>
        <v>0</v>
      </c>
    </row>
    <row r="162" spans="7:50" ht="12.75" customHeight="1">
      <c r="G162" s="100" t="e">
        <f t="shared" si="70"/>
        <v>#DIV/0!</v>
      </c>
      <c r="P162" s="100" t="e">
        <f t="shared" si="71"/>
        <v>#DIV/0!</v>
      </c>
      <c r="AA162" s="103">
        <f t="shared" si="72"/>
        <v>1</v>
      </c>
      <c r="AC162" s="101">
        <f t="shared" si="73"/>
        <v>0</v>
      </c>
      <c r="AG162" s="101" t="e">
        <f t="shared" si="74"/>
        <v>#DIV/0!</v>
      </c>
      <c r="AH162" s="101" t="e">
        <f t="shared" si="75"/>
        <v>#DIV/0!</v>
      </c>
      <c r="AJ162" s="104">
        <f t="shared" si="62"/>
        <v>1</v>
      </c>
      <c r="AK162" s="101" t="e">
        <f t="shared" si="63"/>
        <v>#DIV/0!</v>
      </c>
      <c r="AL162" s="50">
        <f t="shared" si="64"/>
        <v>0</v>
      </c>
      <c r="AM162" s="97">
        <f t="shared" si="65"/>
        <v>0</v>
      </c>
      <c r="AO162" s="99" t="e">
        <f t="shared" si="68"/>
        <v>#DIV/0!</v>
      </c>
      <c r="AP162" s="100" t="e">
        <f t="shared" si="66"/>
        <v>#DIV/0!</v>
      </c>
      <c r="AR162" s="100" t="e">
        <f t="shared" si="67"/>
        <v>#DIV/0!</v>
      </c>
      <c r="AX162" s="101">
        <f t="shared" si="69"/>
        <v>0</v>
      </c>
    </row>
    <row r="163" spans="7:50" ht="12.75" customHeight="1">
      <c r="G163" s="100" t="e">
        <f t="shared" si="70"/>
        <v>#DIV/0!</v>
      </c>
      <c r="P163" s="100" t="e">
        <f t="shared" si="71"/>
        <v>#DIV/0!</v>
      </c>
      <c r="AA163" s="103">
        <f t="shared" si="72"/>
        <v>1</v>
      </c>
      <c r="AC163" s="101">
        <f t="shared" si="73"/>
        <v>0</v>
      </c>
      <c r="AG163" s="101" t="e">
        <f t="shared" si="74"/>
        <v>#DIV/0!</v>
      </c>
      <c r="AH163" s="101" t="e">
        <f t="shared" si="75"/>
        <v>#DIV/0!</v>
      </c>
      <c r="AJ163" s="104">
        <f t="shared" si="62"/>
        <v>1</v>
      </c>
      <c r="AK163" s="101" t="e">
        <f t="shared" si="63"/>
        <v>#DIV/0!</v>
      </c>
      <c r="AL163" s="50">
        <f t="shared" si="64"/>
        <v>0</v>
      </c>
      <c r="AM163" s="97">
        <f t="shared" si="65"/>
        <v>0</v>
      </c>
      <c r="AO163" s="99" t="e">
        <f t="shared" si="68"/>
        <v>#DIV/0!</v>
      </c>
      <c r="AP163" s="100" t="e">
        <f t="shared" si="66"/>
        <v>#DIV/0!</v>
      </c>
      <c r="AR163" s="100" t="e">
        <f t="shared" si="67"/>
        <v>#DIV/0!</v>
      </c>
      <c r="AX163" s="101">
        <f t="shared" si="69"/>
        <v>0</v>
      </c>
    </row>
    <row r="164" spans="7:50" ht="12.75" customHeight="1">
      <c r="G164" s="100" t="e">
        <f t="shared" si="70"/>
        <v>#DIV/0!</v>
      </c>
      <c r="P164" s="100" t="e">
        <f t="shared" si="71"/>
        <v>#DIV/0!</v>
      </c>
      <c r="AA164" s="103">
        <f t="shared" si="72"/>
        <v>1</v>
      </c>
      <c r="AC164" s="101">
        <f t="shared" si="73"/>
        <v>0</v>
      </c>
      <c r="AG164" s="101" t="e">
        <f t="shared" si="74"/>
        <v>#DIV/0!</v>
      </c>
      <c r="AH164" s="101" t="e">
        <f t="shared" si="75"/>
        <v>#DIV/0!</v>
      </c>
      <c r="AJ164" s="104">
        <f t="shared" si="62"/>
        <v>1</v>
      </c>
      <c r="AK164" s="101" t="e">
        <f t="shared" si="63"/>
        <v>#DIV/0!</v>
      </c>
      <c r="AL164" s="50">
        <f t="shared" si="64"/>
        <v>0</v>
      </c>
      <c r="AM164" s="97">
        <f t="shared" si="65"/>
        <v>0</v>
      </c>
      <c r="AO164" s="99" t="e">
        <f t="shared" si="68"/>
        <v>#DIV/0!</v>
      </c>
      <c r="AP164" s="100" t="e">
        <f t="shared" si="66"/>
        <v>#DIV/0!</v>
      </c>
      <c r="AR164" s="100" t="e">
        <f t="shared" si="67"/>
        <v>#DIV/0!</v>
      </c>
      <c r="AX164" s="101">
        <f t="shared" si="69"/>
        <v>0</v>
      </c>
    </row>
    <row r="165" spans="7:50" ht="12.75" customHeight="1">
      <c r="G165" s="100" t="e">
        <f t="shared" si="70"/>
        <v>#DIV/0!</v>
      </c>
      <c r="P165" s="100" t="e">
        <f t="shared" si="71"/>
        <v>#DIV/0!</v>
      </c>
      <c r="AA165" s="103">
        <f t="shared" si="72"/>
        <v>1</v>
      </c>
      <c r="AC165" s="101">
        <f t="shared" si="73"/>
        <v>0</v>
      </c>
      <c r="AG165" s="101" t="e">
        <f t="shared" si="74"/>
        <v>#DIV/0!</v>
      </c>
      <c r="AH165" s="101" t="e">
        <f t="shared" si="75"/>
        <v>#DIV/0!</v>
      </c>
      <c r="AJ165" s="104">
        <f t="shared" si="62"/>
        <v>1</v>
      </c>
      <c r="AK165" s="101" t="e">
        <f t="shared" si="63"/>
        <v>#DIV/0!</v>
      </c>
      <c r="AL165" s="50">
        <f t="shared" si="64"/>
        <v>0</v>
      </c>
      <c r="AM165" s="97">
        <f t="shared" si="65"/>
        <v>0</v>
      </c>
      <c r="AO165" s="99" t="e">
        <f t="shared" si="68"/>
        <v>#DIV/0!</v>
      </c>
      <c r="AP165" s="100" t="e">
        <f t="shared" si="66"/>
        <v>#DIV/0!</v>
      </c>
      <c r="AR165" s="100" t="e">
        <f t="shared" si="67"/>
        <v>#DIV/0!</v>
      </c>
      <c r="AX165" s="101">
        <f t="shared" si="69"/>
        <v>0</v>
      </c>
    </row>
    <row r="166" spans="7:50" ht="12.75" customHeight="1">
      <c r="G166" s="100" t="e">
        <f t="shared" si="70"/>
        <v>#DIV/0!</v>
      </c>
      <c r="P166" s="100" t="e">
        <f t="shared" si="71"/>
        <v>#DIV/0!</v>
      </c>
      <c r="AA166" s="103">
        <f t="shared" si="72"/>
        <v>1</v>
      </c>
      <c r="AC166" s="101">
        <f t="shared" si="73"/>
        <v>0</v>
      </c>
      <c r="AG166" s="101" t="e">
        <f t="shared" si="74"/>
        <v>#DIV/0!</v>
      </c>
      <c r="AH166" s="101" t="e">
        <f t="shared" si="75"/>
        <v>#DIV/0!</v>
      </c>
      <c r="AJ166" s="104">
        <f t="shared" si="62"/>
        <v>1</v>
      </c>
      <c r="AK166" s="101" t="e">
        <f t="shared" si="63"/>
        <v>#DIV/0!</v>
      </c>
      <c r="AL166" s="50">
        <f t="shared" si="64"/>
        <v>0</v>
      </c>
      <c r="AM166" s="97">
        <f t="shared" si="65"/>
        <v>0</v>
      </c>
      <c r="AO166" s="99" t="e">
        <f t="shared" si="68"/>
        <v>#DIV/0!</v>
      </c>
      <c r="AP166" s="100" t="e">
        <f t="shared" si="66"/>
        <v>#DIV/0!</v>
      </c>
      <c r="AR166" s="100" t="e">
        <f t="shared" si="67"/>
        <v>#DIV/0!</v>
      </c>
      <c r="AX166" s="101">
        <f t="shared" si="69"/>
        <v>0</v>
      </c>
    </row>
    <row r="167" spans="7:50" ht="12.75" customHeight="1">
      <c r="G167" s="100" t="e">
        <f t="shared" si="70"/>
        <v>#DIV/0!</v>
      </c>
      <c r="P167" s="100" t="e">
        <f t="shared" si="71"/>
        <v>#DIV/0!</v>
      </c>
      <c r="AA167" s="103">
        <f t="shared" si="72"/>
        <v>1</v>
      </c>
      <c r="AC167" s="101">
        <f t="shared" si="73"/>
        <v>0</v>
      </c>
      <c r="AG167" s="101" t="e">
        <f t="shared" si="74"/>
        <v>#DIV/0!</v>
      </c>
      <c r="AH167" s="101" t="e">
        <f t="shared" si="75"/>
        <v>#DIV/0!</v>
      </c>
      <c r="AJ167" s="104">
        <f t="shared" si="62"/>
        <v>1</v>
      </c>
      <c r="AK167" s="101" t="e">
        <f t="shared" si="63"/>
        <v>#DIV/0!</v>
      </c>
      <c r="AL167" s="50">
        <f t="shared" si="64"/>
        <v>0</v>
      </c>
      <c r="AM167" s="97">
        <f t="shared" si="65"/>
        <v>0</v>
      </c>
      <c r="AO167" s="99" t="e">
        <f t="shared" si="68"/>
        <v>#DIV/0!</v>
      </c>
      <c r="AP167" s="100" t="e">
        <f t="shared" si="66"/>
        <v>#DIV/0!</v>
      </c>
      <c r="AR167" s="100" t="e">
        <f t="shared" si="67"/>
        <v>#DIV/0!</v>
      </c>
      <c r="AX167" s="101">
        <f t="shared" si="69"/>
        <v>0</v>
      </c>
    </row>
    <row r="168" spans="7:50" ht="12.75" customHeight="1">
      <c r="G168" s="100" t="e">
        <f t="shared" si="70"/>
        <v>#DIV/0!</v>
      </c>
      <c r="P168" s="100" t="e">
        <f t="shared" si="71"/>
        <v>#DIV/0!</v>
      </c>
      <c r="AA168" s="103">
        <f t="shared" si="72"/>
        <v>1</v>
      </c>
      <c r="AC168" s="101">
        <f t="shared" si="73"/>
        <v>0</v>
      </c>
      <c r="AG168" s="101" t="e">
        <f t="shared" si="74"/>
        <v>#DIV/0!</v>
      </c>
      <c r="AH168" s="101" t="e">
        <f t="shared" si="75"/>
        <v>#DIV/0!</v>
      </c>
      <c r="AJ168" s="104">
        <f t="shared" si="62"/>
        <v>1</v>
      </c>
      <c r="AK168" s="101" t="e">
        <f t="shared" si="63"/>
        <v>#DIV/0!</v>
      </c>
      <c r="AL168" s="50">
        <f t="shared" si="64"/>
        <v>0</v>
      </c>
      <c r="AM168" s="97">
        <f t="shared" si="65"/>
        <v>0</v>
      </c>
      <c r="AO168" s="99" t="e">
        <f t="shared" si="68"/>
        <v>#DIV/0!</v>
      </c>
      <c r="AP168" s="100" t="e">
        <f t="shared" si="66"/>
        <v>#DIV/0!</v>
      </c>
      <c r="AR168" s="100" t="e">
        <f t="shared" si="67"/>
        <v>#DIV/0!</v>
      </c>
      <c r="AX168" s="101">
        <f t="shared" si="69"/>
        <v>0</v>
      </c>
    </row>
    <row r="169" spans="7:50" ht="12.75" customHeight="1">
      <c r="G169" s="100" t="e">
        <f t="shared" si="70"/>
        <v>#DIV/0!</v>
      </c>
      <c r="P169" s="100" t="e">
        <f t="shared" si="71"/>
        <v>#DIV/0!</v>
      </c>
      <c r="AA169" s="103">
        <f t="shared" si="72"/>
        <v>1</v>
      </c>
      <c r="AC169" s="101">
        <f t="shared" si="73"/>
        <v>0</v>
      </c>
      <c r="AG169" s="101" t="e">
        <f t="shared" si="74"/>
        <v>#DIV/0!</v>
      </c>
      <c r="AH169" s="101" t="e">
        <f t="shared" si="75"/>
        <v>#DIV/0!</v>
      </c>
      <c r="AJ169" s="104">
        <f t="shared" si="62"/>
        <v>1</v>
      </c>
      <c r="AK169" s="101" t="e">
        <f t="shared" si="63"/>
        <v>#DIV/0!</v>
      </c>
      <c r="AL169" s="50">
        <f t="shared" si="64"/>
        <v>0</v>
      </c>
      <c r="AM169" s="97">
        <f t="shared" si="65"/>
        <v>0</v>
      </c>
      <c r="AO169" s="99" t="e">
        <f t="shared" si="68"/>
        <v>#DIV/0!</v>
      </c>
      <c r="AP169" s="100" t="e">
        <f t="shared" si="66"/>
        <v>#DIV/0!</v>
      </c>
      <c r="AR169" s="100" t="e">
        <f t="shared" si="67"/>
        <v>#DIV/0!</v>
      </c>
      <c r="AX169" s="101">
        <f t="shared" si="69"/>
        <v>0</v>
      </c>
    </row>
    <row r="170" spans="7:50" ht="12.75" customHeight="1">
      <c r="G170" s="100" t="e">
        <f t="shared" si="70"/>
        <v>#DIV/0!</v>
      </c>
      <c r="P170" s="100" t="e">
        <f t="shared" si="71"/>
        <v>#DIV/0!</v>
      </c>
      <c r="AA170" s="103">
        <f t="shared" si="72"/>
        <v>1</v>
      </c>
      <c r="AC170" s="101">
        <f t="shared" si="73"/>
        <v>0</v>
      </c>
      <c r="AG170" s="101" t="e">
        <f t="shared" si="74"/>
        <v>#DIV/0!</v>
      </c>
      <c r="AH170" s="101" t="e">
        <f t="shared" si="75"/>
        <v>#DIV/0!</v>
      </c>
      <c r="AJ170" s="104">
        <f t="shared" si="62"/>
        <v>1</v>
      </c>
      <c r="AK170" s="101" t="e">
        <f t="shared" si="63"/>
        <v>#DIV/0!</v>
      </c>
      <c r="AL170" s="50">
        <f t="shared" si="64"/>
        <v>0</v>
      </c>
      <c r="AM170" s="97">
        <f t="shared" si="65"/>
        <v>0</v>
      </c>
      <c r="AO170" s="99" t="e">
        <f t="shared" si="68"/>
        <v>#DIV/0!</v>
      </c>
      <c r="AP170" s="100" t="e">
        <f t="shared" si="66"/>
        <v>#DIV/0!</v>
      </c>
      <c r="AR170" s="100" t="e">
        <f t="shared" si="67"/>
        <v>#DIV/0!</v>
      </c>
      <c r="AX170" s="101">
        <f t="shared" si="69"/>
        <v>0</v>
      </c>
    </row>
    <row r="171" spans="7:50" ht="12.75" customHeight="1">
      <c r="G171" s="100" t="e">
        <f t="shared" si="70"/>
        <v>#DIV/0!</v>
      </c>
      <c r="P171" s="100" t="e">
        <f t="shared" si="71"/>
        <v>#DIV/0!</v>
      </c>
      <c r="AA171" s="103">
        <f t="shared" si="72"/>
        <v>1</v>
      </c>
      <c r="AC171" s="101">
        <f t="shared" si="73"/>
        <v>0</v>
      </c>
      <c r="AG171" s="101" t="e">
        <f t="shared" si="74"/>
        <v>#DIV/0!</v>
      </c>
      <c r="AH171" s="101" t="e">
        <f t="shared" si="75"/>
        <v>#DIV/0!</v>
      </c>
      <c r="AJ171" s="104">
        <f t="shared" si="62"/>
        <v>1</v>
      </c>
      <c r="AK171" s="101" t="e">
        <f t="shared" si="63"/>
        <v>#DIV/0!</v>
      </c>
      <c r="AL171" s="50">
        <f t="shared" si="64"/>
        <v>0</v>
      </c>
      <c r="AM171" s="97">
        <f t="shared" si="65"/>
        <v>0</v>
      </c>
      <c r="AO171" s="99" t="e">
        <f t="shared" si="68"/>
        <v>#DIV/0!</v>
      </c>
      <c r="AP171" s="100" t="e">
        <f t="shared" si="66"/>
        <v>#DIV/0!</v>
      </c>
      <c r="AR171" s="100" t="e">
        <f t="shared" si="67"/>
        <v>#DIV/0!</v>
      </c>
      <c r="AX171" s="101">
        <f t="shared" ref="AX171:AX202" si="76">(AS171+AV171+AW171)/3</f>
        <v>0</v>
      </c>
    </row>
    <row r="172" spans="7:50" ht="12.75" customHeight="1">
      <c r="G172" s="100" t="e">
        <f t="shared" si="70"/>
        <v>#DIV/0!</v>
      </c>
      <c r="P172" s="100" t="e">
        <f t="shared" si="71"/>
        <v>#DIV/0!</v>
      </c>
      <c r="AA172" s="103">
        <f t="shared" si="72"/>
        <v>1</v>
      </c>
      <c r="AC172" s="101">
        <f t="shared" si="73"/>
        <v>0</v>
      </c>
      <c r="AG172" s="101" t="e">
        <f t="shared" si="74"/>
        <v>#DIV/0!</v>
      </c>
      <c r="AH172" s="101" t="e">
        <f t="shared" si="75"/>
        <v>#DIV/0!</v>
      </c>
      <c r="AJ172" s="104">
        <f t="shared" si="62"/>
        <v>1</v>
      </c>
      <c r="AK172" s="101" t="e">
        <f t="shared" si="63"/>
        <v>#DIV/0!</v>
      </c>
      <c r="AL172" s="50">
        <f t="shared" si="64"/>
        <v>0</v>
      </c>
      <c r="AM172" s="97">
        <f t="shared" si="65"/>
        <v>0</v>
      </c>
      <c r="AO172" s="99" t="e">
        <f t="shared" si="68"/>
        <v>#DIV/0!</v>
      </c>
      <c r="AP172" s="100" t="e">
        <f t="shared" si="66"/>
        <v>#DIV/0!</v>
      </c>
      <c r="AR172" s="100" t="e">
        <f t="shared" si="67"/>
        <v>#DIV/0!</v>
      </c>
      <c r="AX172" s="101">
        <f t="shared" si="76"/>
        <v>0</v>
      </c>
    </row>
    <row r="173" spans="7:50" ht="12.75" customHeight="1">
      <c r="G173" s="100" t="e">
        <f t="shared" si="70"/>
        <v>#DIV/0!</v>
      </c>
      <c r="P173" s="100" t="e">
        <f t="shared" si="71"/>
        <v>#DIV/0!</v>
      </c>
      <c r="AA173" s="103">
        <f t="shared" si="72"/>
        <v>1</v>
      </c>
      <c r="AC173" s="101">
        <f t="shared" si="73"/>
        <v>0</v>
      </c>
      <c r="AG173" s="101" t="e">
        <f t="shared" si="74"/>
        <v>#DIV/0!</v>
      </c>
      <c r="AH173" s="101" t="e">
        <f t="shared" si="75"/>
        <v>#DIV/0!</v>
      </c>
      <c r="AJ173" s="104">
        <f t="shared" si="62"/>
        <v>1</v>
      </c>
      <c r="AK173" s="101" t="e">
        <f t="shared" si="63"/>
        <v>#DIV/0!</v>
      </c>
      <c r="AL173" s="50">
        <f t="shared" si="64"/>
        <v>0</v>
      </c>
      <c r="AM173" s="97">
        <f t="shared" si="65"/>
        <v>0</v>
      </c>
      <c r="AO173" s="99" t="e">
        <f t="shared" si="68"/>
        <v>#DIV/0!</v>
      </c>
      <c r="AP173" s="100" t="e">
        <f t="shared" si="66"/>
        <v>#DIV/0!</v>
      </c>
      <c r="AR173" s="100" t="e">
        <f t="shared" si="67"/>
        <v>#DIV/0!</v>
      </c>
      <c r="AX173" s="101">
        <f t="shared" si="76"/>
        <v>0</v>
      </c>
    </row>
    <row r="174" spans="7:50" ht="12.75" customHeight="1">
      <c r="G174" s="100" t="e">
        <f t="shared" si="70"/>
        <v>#DIV/0!</v>
      </c>
      <c r="P174" s="100" t="e">
        <f t="shared" si="71"/>
        <v>#DIV/0!</v>
      </c>
      <c r="AA174" s="103">
        <f t="shared" si="72"/>
        <v>1</v>
      </c>
      <c r="AC174" s="101">
        <f t="shared" si="73"/>
        <v>0</v>
      </c>
      <c r="AG174" s="101" t="e">
        <f t="shared" si="74"/>
        <v>#DIV/0!</v>
      </c>
      <c r="AH174" s="101" t="e">
        <f t="shared" si="75"/>
        <v>#DIV/0!</v>
      </c>
      <c r="AJ174" s="104">
        <f t="shared" si="62"/>
        <v>1</v>
      </c>
      <c r="AK174" s="101" t="e">
        <f t="shared" si="63"/>
        <v>#DIV/0!</v>
      </c>
      <c r="AL174" s="50">
        <f t="shared" si="64"/>
        <v>0</v>
      </c>
      <c r="AM174" s="97">
        <f t="shared" si="65"/>
        <v>0</v>
      </c>
      <c r="AO174" s="99" t="e">
        <f t="shared" si="68"/>
        <v>#DIV/0!</v>
      </c>
      <c r="AP174" s="100" t="e">
        <f t="shared" si="66"/>
        <v>#DIV/0!</v>
      </c>
      <c r="AR174" s="100" t="e">
        <f t="shared" si="67"/>
        <v>#DIV/0!</v>
      </c>
      <c r="AX174" s="101">
        <f t="shared" si="76"/>
        <v>0</v>
      </c>
    </row>
    <row r="175" spans="7:50" ht="12.75" customHeight="1">
      <c r="G175" s="100" t="e">
        <f t="shared" si="70"/>
        <v>#DIV/0!</v>
      </c>
      <c r="P175" s="100" t="e">
        <f t="shared" si="71"/>
        <v>#DIV/0!</v>
      </c>
      <c r="AA175" s="103">
        <f t="shared" si="72"/>
        <v>1</v>
      </c>
      <c r="AC175" s="101">
        <f t="shared" si="73"/>
        <v>0</v>
      </c>
      <c r="AG175" s="101" t="e">
        <f t="shared" si="74"/>
        <v>#DIV/0!</v>
      </c>
      <c r="AH175" s="101" t="e">
        <f t="shared" si="75"/>
        <v>#DIV/0!</v>
      </c>
      <c r="AJ175" s="104">
        <f t="shared" si="62"/>
        <v>1</v>
      </c>
      <c r="AK175" s="101" t="e">
        <f t="shared" si="63"/>
        <v>#DIV/0!</v>
      </c>
      <c r="AL175" s="50">
        <f t="shared" si="64"/>
        <v>0</v>
      </c>
      <c r="AM175" s="97">
        <f t="shared" si="65"/>
        <v>0</v>
      </c>
      <c r="AO175" s="99" t="e">
        <f t="shared" si="68"/>
        <v>#DIV/0!</v>
      </c>
      <c r="AP175" s="100" t="e">
        <f t="shared" si="66"/>
        <v>#DIV/0!</v>
      </c>
      <c r="AR175" s="100" t="e">
        <f t="shared" si="67"/>
        <v>#DIV/0!</v>
      </c>
      <c r="AX175" s="101">
        <f t="shared" si="76"/>
        <v>0</v>
      </c>
    </row>
    <row r="176" spans="7:50" ht="12.75" customHeight="1">
      <c r="G176" s="100" t="e">
        <f t="shared" si="70"/>
        <v>#DIV/0!</v>
      </c>
      <c r="P176" s="100" t="e">
        <f t="shared" si="71"/>
        <v>#DIV/0!</v>
      </c>
      <c r="AA176" s="103">
        <f t="shared" si="72"/>
        <v>1</v>
      </c>
      <c r="AC176" s="101">
        <f t="shared" si="73"/>
        <v>0</v>
      </c>
      <c r="AG176" s="101" t="e">
        <f t="shared" si="74"/>
        <v>#DIV/0!</v>
      </c>
      <c r="AH176" s="101" t="e">
        <f t="shared" si="75"/>
        <v>#DIV/0!</v>
      </c>
      <c r="AJ176" s="104">
        <f t="shared" si="62"/>
        <v>1</v>
      </c>
      <c r="AK176" s="101" t="e">
        <f t="shared" si="63"/>
        <v>#DIV/0!</v>
      </c>
      <c r="AL176" s="50">
        <f t="shared" si="64"/>
        <v>0</v>
      </c>
      <c r="AM176" s="97">
        <f t="shared" si="65"/>
        <v>0</v>
      </c>
      <c r="AO176" s="99" t="e">
        <f t="shared" si="68"/>
        <v>#DIV/0!</v>
      </c>
      <c r="AP176" s="100" t="e">
        <f t="shared" si="66"/>
        <v>#DIV/0!</v>
      </c>
      <c r="AR176" s="100" t="e">
        <f t="shared" si="67"/>
        <v>#DIV/0!</v>
      </c>
      <c r="AX176" s="101">
        <f t="shared" si="76"/>
        <v>0</v>
      </c>
    </row>
    <row r="177" spans="7:50" ht="12.75" customHeight="1">
      <c r="G177" s="100" t="e">
        <f t="shared" si="70"/>
        <v>#DIV/0!</v>
      </c>
      <c r="P177" s="100" t="e">
        <f t="shared" si="71"/>
        <v>#DIV/0!</v>
      </c>
      <c r="AA177" s="103">
        <f t="shared" si="72"/>
        <v>1</v>
      </c>
      <c r="AC177" s="101">
        <f t="shared" si="73"/>
        <v>0</v>
      </c>
      <c r="AG177" s="101" t="e">
        <f t="shared" si="74"/>
        <v>#DIV/0!</v>
      </c>
      <c r="AH177" s="101" t="e">
        <f t="shared" si="75"/>
        <v>#DIV/0!</v>
      </c>
      <c r="AJ177" s="104">
        <f t="shared" si="62"/>
        <v>1</v>
      </c>
      <c r="AK177" s="101" t="e">
        <f t="shared" si="63"/>
        <v>#DIV/0!</v>
      </c>
      <c r="AL177" s="50">
        <f t="shared" si="64"/>
        <v>0</v>
      </c>
      <c r="AM177" s="97">
        <f t="shared" si="65"/>
        <v>0</v>
      </c>
      <c r="AO177" s="99" t="e">
        <f t="shared" si="68"/>
        <v>#DIV/0!</v>
      </c>
      <c r="AP177" s="100" t="e">
        <f t="shared" si="66"/>
        <v>#DIV/0!</v>
      </c>
      <c r="AR177" s="100" t="e">
        <f t="shared" si="67"/>
        <v>#DIV/0!</v>
      </c>
      <c r="AX177" s="101">
        <f t="shared" si="76"/>
        <v>0</v>
      </c>
    </row>
    <row r="178" spans="7:50" ht="12.75" customHeight="1">
      <c r="G178" s="100" t="e">
        <f t="shared" si="70"/>
        <v>#DIV/0!</v>
      </c>
      <c r="P178" s="100" t="e">
        <f t="shared" si="71"/>
        <v>#DIV/0!</v>
      </c>
      <c r="AA178" s="103">
        <f t="shared" si="72"/>
        <v>1</v>
      </c>
      <c r="AC178" s="101">
        <f t="shared" si="73"/>
        <v>0</v>
      </c>
      <c r="AG178" s="101" t="e">
        <f t="shared" si="74"/>
        <v>#DIV/0!</v>
      </c>
      <c r="AH178" s="101" t="e">
        <f t="shared" si="75"/>
        <v>#DIV/0!</v>
      </c>
      <c r="AJ178" s="104">
        <f t="shared" si="62"/>
        <v>1</v>
      </c>
      <c r="AK178" s="101" t="e">
        <f t="shared" si="63"/>
        <v>#DIV/0!</v>
      </c>
      <c r="AL178" s="50">
        <f t="shared" si="64"/>
        <v>0</v>
      </c>
      <c r="AM178" s="97">
        <f t="shared" si="65"/>
        <v>0</v>
      </c>
      <c r="AO178" s="99" t="e">
        <f t="shared" si="68"/>
        <v>#DIV/0!</v>
      </c>
      <c r="AP178" s="100" t="e">
        <f t="shared" si="66"/>
        <v>#DIV/0!</v>
      </c>
      <c r="AR178" s="100" t="e">
        <f t="shared" si="67"/>
        <v>#DIV/0!</v>
      </c>
      <c r="AX178" s="101">
        <f t="shared" si="76"/>
        <v>0</v>
      </c>
    </row>
    <row r="179" spans="7:50" ht="12.75" customHeight="1">
      <c r="G179" s="100" t="e">
        <f t="shared" si="70"/>
        <v>#DIV/0!</v>
      </c>
      <c r="P179" s="100" t="e">
        <f t="shared" si="71"/>
        <v>#DIV/0!</v>
      </c>
      <c r="AA179" s="103">
        <f t="shared" si="72"/>
        <v>1</v>
      </c>
      <c r="AC179" s="101">
        <f t="shared" si="73"/>
        <v>0</v>
      </c>
      <c r="AG179" s="101" t="e">
        <f t="shared" si="74"/>
        <v>#DIV/0!</v>
      </c>
      <c r="AH179" s="101" t="e">
        <f t="shared" si="75"/>
        <v>#DIV/0!</v>
      </c>
      <c r="AJ179" s="104">
        <f t="shared" si="62"/>
        <v>1</v>
      </c>
      <c r="AK179" s="101" t="e">
        <f t="shared" si="63"/>
        <v>#DIV/0!</v>
      </c>
      <c r="AL179" s="50">
        <f t="shared" si="64"/>
        <v>0</v>
      </c>
      <c r="AM179" s="97">
        <f t="shared" si="65"/>
        <v>0</v>
      </c>
      <c r="AO179" s="99" t="e">
        <f t="shared" si="68"/>
        <v>#DIV/0!</v>
      </c>
      <c r="AP179" s="100" t="e">
        <f t="shared" si="66"/>
        <v>#DIV/0!</v>
      </c>
      <c r="AR179" s="100" t="e">
        <f t="shared" si="67"/>
        <v>#DIV/0!</v>
      </c>
      <c r="AX179" s="101">
        <f t="shared" si="76"/>
        <v>0</v>
      </c>
    </row>
    <row r="180" spans="7:50" ht="12.75" customHeight="1">
      <c r="G180" s="100" t="e">
        <f t="shared" si="70"/>
        <v>#DIV/0!</v>
      </c>
      <c r="P180" s="100" t="e">
        <f t="shared" si="71"/>
        <v>#DIV/0!</v>
      </c>
      <c r="AA180" s="103">
        <f t="shared" si="72"/>
        <v>1</v>
      </c>
      <c r="AC180" s="101">
        <f t="shared" si="73"/>
        <v>0</v>
      </c>
      <c r="AG180" s="101" t="e">
        <f t="shared" si="74"/>
        <v>#DIV/0!</v>
      </c>
      <c r="AH180" s="101" t="e">
        <f t="shared" si="75"/>
        <v>#DIV/0!</v>
      </c>
      <c r="AJ180" s="104">
        <f t="shared" si="62"/>
        <v>1</v>
      </c>
      <c r="AK180" s="101" t="e">
        <f t="shared" si="63"/>
        <v>#DIV/0!</v>
      </c>
      <c r="AL180" s="50">
        <f t="shared" si="64"/>
        <v>0</v>
      </c>
      <c r="AM180" s="97">
        <f t="shared" si="65"/>
        <v>0</v>
      </c>
      <c r="AO180" s="99" t="e">
        <f t="shared" si="68"/>
        <v>#DIV/0!</v>
      </c>
      <c r="AP180" s="100" t="e">
        <f t="shared" si="66"/>
        <v>#DIV/0!</v>
      </c>
      <c r="AR180" s="100" t="e">
        <f t="shared" si="67"/>
        <v>#DIV/0!</v>
      </c>
      <c r="AX180" s="101">
        <f t="shared" si="76"/>
        <v>0</v>
      </c>
    </row>
    <row r="181" spans="7:50" ht="12.75" customHeight="1">
      <c r="G181" s="100" t="e">
        <f t="shared" si="70"/>
        <v>#DIV/0!</v>
      </c>
      <c r="P181" s="100" t="e">
        <f t="shared" si="71"/>
        <v>#DIV/0!</v>
      </c>
      <c r="AA181" s="103">
        <f t="shared" si="72"/>
        <v>1</v>
      </c>
      <c r="AC181" s="101">
        <f t="shared" si="73"/>
        <v>0</v>
      </c>
      <c r="AG181" s="101" t="e">
        <f t="shared" si="74"/>
        <v>#DIV/0!</v>
      </c>
      <c r="AH181" s="101" t="e">
        <f t="shared" si="75"/>
        <v>#DIV/0!</v>
      </c>
      <c r="AJ181" s="104">
        <f t="shared" si="62"/>
        <v>1</v>
      </c>
      <c r="AK181" s="101" t="e">
        <f t="shared" si="63"/>
        <v>#DIV/0!</v>
      </c>
      <c r="AL181" s="50">
        <f t="shared" si="64"/>
        <v>0</v>
      </c>
      <c r="AM181" s="97">
        <f t="shared" si="65"/>
        <v>0</v>
      </c>
      <c r="AO181" s="99" t="e">
        <f t="shared" si="68"/>
        <v>#DIV/0!</v>
      </c>
      <c r="AP181" s="100" t="e">
        <f t="shared" si="66"/>
        <v>#DIV/0!</v>
      </c>
      <c r="AR181" s="100" t="e">
        <f t="shared" si="67"/>
        <v>#DIV/0!</v>
      </c>
      <c r="AX181" s="101">
        <f t="shared" si="76"/>
        <v>0</v>
      </c>
    </row>
    <row r="182" spans="7:50" ht="12.75" customHeight="1">
      <c r="G182" s="100" t="e">
        <f t="shared" si="70"/>
        <v>#DIV/0!</v>
      </c>
      <c r="P182" s="100" t="e">
        <f t="shared" si="71"/>
        <v>#DIV/0!</v>
      </c>
      <c r="AA182" s="103">
        <f t="shared" si="72"/>
        <v>1</v>
      </c>
      <c r="AC182" s="101">
        <f t="shared" si="73"/>
        <v>0</v>
      </c>
      <c r="AG182" s="101" t="e">
        <f t="shared" si="74"/>
        <v>#DIV/0!</v>
      </c>
      <c r="AH182" s="101" t="e">
        <f t="shared" si="75"/>
        <v>#DIV/0!</v>
      </c>
      <c r="AJ182" s="104">
        <f t="shared" si="62"/>
        <v>1</v>
      </c>
      <c r="AK182" s="101" t="e">
        <f t="shared" si="63"/>
        <v>#DIV/0!</v>
      </c>
      <c r="AL182" s="50">
        <f t="shared" si="64"/>
        <v>0</v>
      </c>
      <c r="AM182" s="97">
        <f t="shared" si="65"/>
        <v>0</v>
      </c>
      <c r="AO182" s="99" t="e">
        <f t="shared" si="68"/>
        <v>#DIV/0!</v>
      </c>
      <c r="AP182" s="100" t="e">
        <f t="shared" si="66"/>
        <v>#DIV/0!</v>
      </c>
      <c r="AR182" s="100" t="e">
        <f t="shared" si="67"/>
        <v>#DIV/0!</v>
      </c>
      <c r="AX182" s="101">
        <f t="shared" si="76"/>
        <v>0</v>
      </c>
    </row>
    <row r="183" spans="7:50" ht="12.75" customHeight="1">
      <c r="G183" s="100" t="e">
        <f t="shared" si="70"/>
        <v>#DIV/0!</v>
      </c>
      <c r="P183" s="100" t="e">
        <f t="shared" si="71"/>
        <v>#DIV/0!</v>
      </c>
      <c r="AA183" s="103">
        <f t="shared" si="72"/>
        <v>1</v>
      </c>
      <c r="AC183" s="101">
        <f t="shared" si="73"/>
        <v>0</v>
      </c>
      <c r="AG183" s="101" t="e">
        <f t="shared" si="74"/>
        <v>#DIV/0!</v>
      </c>
      <c r="AH183" s="101" t="e">
        <f t="shared" si="75"/>
        <v>#DIV/0!</v>
      </c>
      <c r="AJ183" s="104">
        <f t="shared" si="62"/>
        <v>1</v>
      </c>
      <c r="AK183" s="101" t="e">
        <f t="shared" si="63"/>
        <v>#DIV/0!</v>
      </c>
      <c r="AL183" s="50">
        <f t="shared" si="64"/>
        <v>0</v>
      </c>
      <c r="AM183" s="97">
        <f t="shared" si="65"/>
        <v>0</v>
      </c>
      <c r="AO183" s="99" t="e">
        <f t="shared" si="68"/>
        <v>#DIV/0!</v>
      </c>
      <c r="AP183" s="100" t="e">
        <f t="shared" si="66"/>
        <v>#DIV/0!</v>
      </c>
      <c r="AR183" s="100" t="e">
        <f t="shared" si="67"/>
        <v>#DIV/0!</v>
      </c>
      <c r="AX183" s="101">
        <f t="shared" si="76"/>
        <v>0</v>
      </c>
    </row>
    <row r="184" spans="7:50" ht="12.75" customHeight="1">
      <c r="G184" s="100" t="e">
        <f t="shared" si="70"/>
        <v>#DIV/0!</v>
      </c>
      <c r="P184" s="100" t="e">
        <f t="shared" si="71"/>
        <v>#DIV/0!</v>
      </c>
      <c r="AA184" s="103">
        <f t="shared" si="72"/>
        <v>1</v>
      </c>
      <c r="AC184" s="101">
        <f t="shared" si="73"/>
        <v>0</v>
      </c>
      <c r="AG184" s="101" t="e">
        <f t="shared" si="74"/>
        <v>#DIV/0!</v>
      </c>
      <c r="AH184" s="101" t="e">
        <f t="shared" si="75"/>
        <v>#DIV/0!</v>
      </c>
      <c r="AJ184" s="104">
        <f t="shared" si="62"/>
        <v>1</v>
      </c>
      <c r="AK184" s="101" t="e">
        <f t="shared" si="63"/>
        <v>#DIV/0!</v>
      </c>
      <c r="AL184" s="50">
        <f t="shared" si="64"/>
        <v>0</v>
      </c>
      <c r="AM184" s="97">
        <f t="shared" si="65"/>
        <v>0</v>
      </c>
      <c r="AO184" s="99" t="e">
        <f t="shared" si="68"/>
        <v>#DIV/0!</v>
      </c>
      <c r="AP184" s="100" t="e">
        <f t="shared" si="66"/>
        <v>#DIV/0!</v>
      </c>
      <c r="AR184" s="100" t="e">
        <f t="shared" si="67"/>
        <v>#DIV/0!</v>
      </c>
      <c r="AX184" s="101">
        <f t="shared" si="76"/>
        <v>0</v>
      </c>
    </row>
    <row r="185" spans="7:50" ht="12.75" customHeight="1">
      <c r="G185" s="100" t="e">
        <f t="shared" si="70"/>
        <v>#DIV/0!</v>
      </c>
      <c r="P185" s="100" t="e">
        <f t="shared" si="71"/>
        <v>#DIV/0!</v>
      </c>
      <c r="AA185" s="103">
        <f t="shared" si="72"/>
        <v>1</v>
      </c>
      <c r="AC185" s="101">
        <f t="shared" si="73"/>
        <v>0</v>
      </c>
      <c r="AG185" s="101" t="e">
        <f t="shared" si="74"/>
        <v>#DIV/0!</v>
      </c>
      <c r="AH185" s="101" t="e">
        <f t="shared" si="75"/>
        <v>#DIV/0!</v>
      </c>
      <c r="AJ185" s="104">
        <f t="shared" si="62"/>
        <v>1</v>
      </c>
      <c r="AK185" s="101" t="e">
        <f t="shared" si="63"/>
        <v>#DIV/0!</v>
      </c>
      <c r="AL185" s="50">
        <f t="shared" si="64"/>
        <v>0</v>
      </c>
      <c r="AM185" s="97">
        <f t="shared" si="65"/>
        <v>0</v>
      </c>
      <c r="AO185" s="99" t="e">
        <f t="shared" si="68"/>
        <v>#DIV/0!</v>
      </c>
      <c r="AP185" s="100" t="e">
        <f t="shared" si="66"/>
        <v>#DIV/0!</v>
      </c>
      <c r="AR185" s="100" t="e">
        <f t="shared" si="67"/>
        <v>#DIV/0!</v>
      </c>
      <c r="AX185" s="101">
        <f t="shared" si="76"/>
        <v>0</v>
      </c>
    </row>
    <row r="186" spans="7:50" ht="12.75" customHeight="1">
      <c r="G186" s="100" t="e">
        <f t="shared" si="70"/>
        <v>#DIV/0!</v>
      </c>
      <c r="P186" s="100" t="e">
        <f t="shared" si="71"/>
        <v>#DIV/0!</v>
      </c>
      <c r="AA186" s="103">
        <f t="shared" si="72"/>
        <v>1</v>
      </c>
      <c r="AC186" s="101">
        <f t="shared" si="73"/>
        <v>0</v>
      </c>
      <c r="AG186" s="101" t="e">
        <f t="shared" si="74"/>
        <v>#DIV/0!</v>
      </c>
      <c r="AH186" s="101" t="e">
        <f t="shared" si="75"/>
        <v>#DIV/0!</v>
      </c>
      <c r="AJ186" s="104">
        <f t="shared" si="62"/>
        <v>1</v>
      </c>
      <c r="AK186" s="101" t="e">
        <f t="shared" si="63"/>
        <v>#DIV/0!</v>
      </c>
      <c r="AL186" s="50">
        <f t="shared" si="64"/>
        <v>0</v>
      </c>
      <c r="AM186" s="97">
        <f t="shared" si="65"/>
        <v>0</v>
      </c>
      <c r="AO186" s="99" t="e">
        <f t="shared" si="68"/>
        <v>#DIV/0!</v>
      </c>
      <c r="AP186" s="100" t="e">
        <f t="shared" si="66"/>
        <v>#DIV/0!</v>
      </c>
      <c r="AR186" s="100" t="e">
        <f t="shared" si="67"/>
        <v>#DIV/0!</v>
      </c>
      <c r="AX186" s="101">
        <f t="shared" si="76"/>
        <v>0</v>
      </c>
    </row>
    <row r="187" spans="7:50" ht="12.75" customHeight="1">
      <c r="G187" s="100" t="e">
        <f t="shared" si="70"/>
        <v>#DIV/0!</v>
      </c>
      <c r="P187" s="100" t="e">
        <f t="shared" si="71"/>
        <v>#DIV/0!</v>
      </c>
      <c r="AA187" s="103">
        <f t="shared" si="72"/>
        <v>1</v>
      </c>
      <c r="AC187" s="101">
        <f t="shared" si="73"/>
        <v>0</v>
      </c>
      <c r="AG187" s="101" t="e">
        <f t="shared" si="74"/>
        <v>#DIV/0!</v>
      </c>
      <c r="AH187" s="101" t="e">
        <f t="shared" si="75"/>
        <v>#DIV/0!</v>
      </c>
      <c r="AJ187" s="104">
        <f t="shared" si="62"/>
        <v>1</v>
      </c>
      <c r="AK187" s="101" t="e">
        <f t="shared" si="63"/>
        <v>#DIV/0!</v>
      </c>
      <c r="AL187" s="50">
        <f t="shared" si="64"/>
        <v>0</v>
      </c>
      <c r="AM187" s="97">
        <f t="shared" si="65"/>
        <v>0</v>
      </c>
      <c r="AO187" s="99" t="e">
        <f t="shared" si="68"/>
        <v>#DIV/0!</v>
      </c>
      <c r="AP187" s="100" t="e">
        <f t="shared" si="66"/>
        <v>#DIV/0!</v>
      </c>
      <c r="AR187" s="100" t="e">
        <f t="shared" si="67"/>
        <v>#DIV/0!</v>
      </c>
      <c r="AX187" s="101">
        <f t="shared" si="76"/>
        <v>0</v>
      </c>
    </row>
    <row r="188" spans="7:50" ht="12.75" customHeight="1">
      <c r="G188" s="100" t="e">
        <f t="shared" si="70"/>
        <v>#DIV/0!</v>
      </c>
      <c r="P188" s="100" t="e">
        <f t="shared" si="71"/>
        <v>#DIV/0!</v>
      </c>
      <c r="AA188" s="103">
        <f t="shared" si="72"/>
        <v>1</v>
      </c>
      <c r="AC188" s="101">
        <f t="shared" si="73"/>
        <v>0</v>
      </c>
      <c r="AG188" s="101" t="e">
        <f t="shared" si="74"/>
        <v>#DIV/0!</v>
      </c>
      <c r="AH188" s="101" t="e">
        <f t="shared" si="75"/>
        <v>#DIV/0!</v>
      </c>
      <c r="AJ188" s="104">
        <f t="shared" si="62"/>
        <v>1</v>
      </c>
      <c r="AK188" s="101" t="e">
        <f t="shared" si="63"/>
        <v>#DIV/0!</v>
      </c>
      <c r="AL188" s="50">
        <f t="shared" si="64"/>
        <v>0</v>
      </c>
      <c r="AM188" s="97">
        <f t="shared" si="65"/>
        <v>0</v>
      </c>
      <c r="AO188" s="99" t="e">
        <f t="shared" si="68"/>
        <v>#DIV/0!</v>
      </c>
      <c r="AP188" s="100" t="e">
        <f t="shared" si="66"/>
        <v>#DIV/0!</v>
      </c>
      <c r="AR188" s="100" t="e">
        <f t="shared" si="67"/>
        <v>#DIV/0!</v>
      </c>
      <c r="AX188" s="101">
        <f t="shared" si="76"/>
        <v>0</v>
      </c>
    </row>
    <row r="189" spans="7:50" ht="12.75" customHeight="1">
      <c r="G189" s="100" t="e">
        <f t="shared" si="70"/>
        <v>#DIV/0!</v>
      </c>
      <c r="P189" s="100" t="e">
        <f t="shared" si="71"/>
        <v>#DIV/0!</v>
      </c>
      <c r="AA189" s="103">
        <f t="shared" si="72"/>
        <v>1</v>
      </c>
      <c r="AC189" s="101">
        <f t="shared" si="73"/>
        <v>0</v>
      </c>
      <c r="AG189" s="101" t="e">
        <f t="shared" si="74"/>
        <v>#DIV/0!</v>
      </c>
      <c r="AH189" s="101" t="e">
        <f t="shared" si="75"/>
        <v>#DIV/0!</v>
      </c>
      <c r="AJ189" s="104">
        <f t="shared" si="62"/>
        <v>1</v>
      </c>
      <c r="AK189" s="101" t="e">
        <f t="shared" si="63"/>
        <v>#DIV/0!</v>
      </c>
      <c r="AL189" s="50">
        <f t="shared" si="64"/>
        <v>0</v>
      </c>
      <c r="AM189" s="97">
        <f t="shared" si="65"/>
        <v>0</v>
      </c>
      <c r="AO189" s="99" t="e">
        <f t="shared" si="68"/>
        <v>#DIV/0!</v>
      </c>
      <c r="AP189" s="100" t="e">
        <f t="shared" si="66"/>
        <v>#DIV/0!</v>
      </c>
      <c r="AR189" s="100" t="e">
        <f t="shared" si="67"/>
        <v>#DIV/0!</v>
      </c>
      <c r="AX189" s="101">
        <f t="shared" si="76"/>
        <v>0</v>
      </c>
    </row>
    <row r="190" spans="7:50" ht="12.75" customHeight="1">
      <c r="G190" s="100" t="e">
        <f t="shared" si="70"/>
        <v>#DIV/0!</v>
      </c>
      <c r="P190" s="100" t="e">
        <f t="shared" si="71"/>
        <v>#DIV/0!</v>
      </c>
      <c r="AA190" s="103">
        <f t="shared" si="72"/>
        <v>1</v>
      </c>
      <c r="AC190" s="101">
        <f t="shared" si="73"/>
        <v>0</v>
      </c>
      <c r="AG190" s="101" t="e">
        <f t="shared" si="74"/>
        <v>#DIV/0!</v>
      </c>
      <c r="AH190" s="101" t="e">
        <f t="shared" si="75"/>
        <v>#DIV/0!</v>
      </c>
      <c r="AJ190" s="104">
        <f t="shared" si="62"/>
        <v>1</v>
      </c>
      <c r="AK190" s="101" t="e">
        <f t="shared" si="63"/>
        <v>#DIV/0!</v>
      </c>
      <c r="AL190" s="50">
        <f t="shared" si="64"/>
        <v>0</v>
      </c>
      <c r="AM190" s="97">
        <f t="shared" si="65"/>
        <v>0</v>
      </c>
      <c r="AO190" s="99" t="e">
        <f t="shared" si="68"/>
        <v>#DIV/0!</v>
      </c>
      <c r="AP190" s="100" t="e">
        <f t="shared" si="66"/>
        <v>#DIV/0!</v>
      </c>
      <c r="AR190" s="100" t="e">
        <f t="shared" si="67"/>
        <v>#DIV/0!</v>
      </c>
      <c r="AX190" s="101">
        <f t="shared" si="76"/>
        <v>0</v>
      </c>
    </row>
    <row r="191" spans="7:50" ht="12.75" customHeight="1">
      <c r="G191" s="100" t="e">
        <f t="shared" si="70"/>
        <v>#DIV/0!</v>
      </c>
      <c r="P191" s="100" t="e">
        <f t="shared" si="71"/>
        <v>#DIV/0!</v>
      </c>
      <c r="AA191" s="103">
        <f t="shared" si="72"/>
        <v>1</v>
      </c>
      <c r="AC191" s="101">
        <f t="shared" si="73"/>
        <v>0</v>
      </c>
      <c r="AG191" s="101" t="e">
        <f t="shared" si="74"/>
        <v>#DIV/0!</v>
      </c>
      <c r="AH191" s="101" t="e">
        <f t="shared" si="75"/>
        <v>#DIV/0!</v>
      </c>
      <c r="AJ191" s="104">
        <f t="shared" si="62"/>
        <v>1</v>
      </c>
      <c r="AK191" s="101" t="e">
        <f t="shared" si="63"/>
        <v>#DIV/0!</v>
      </c>
      <c r="AL191" s="50">
        <f t="shared" si="64"/>
        <v>0</v>
      </c>
      <c r="AM191" s="97">
        <f t="shared" si="65"/>
        <v>0</v>
      </c>
      <c r="AO191" s="99" t="e">
        <f t="shared" si="68"/>
        <v>#DIV/0!</v>
      </c>
      <c r="AP191" s="100" t="e">
        <f t="shared" si="66"/>
        <v>#DIV/0!</v>
      </c>
      <c r="AR191" s="100" t="e">
        <f t="shared" si="67"/>
        <v>#DIV/0!</v>
      </c>
      <c r="AX191" s="101">
        <f t="shared" si="76"/>
        <v>0</v>
      </c>
    </row>
    <row r="192" spans="7:50" ht="12.75" customHeight="1">
      <c r="G192" s="100" t="e">
        <f t="shared" si="70"/>
        <v>#DIV/0!</v>
      </c>
      <c r="P192" s="100" t="e">
        <f t="shared" si="71"/>
        <v>#DIV/0!</v>
      </c>
      <c r="AA192" s="103">
        <f t="shared" si="72"/>
        <v>1</v>
      </c>
      <c r="AC192" s="101">
        <f t="shared" si="73"/>
        <v>0</v>
      </c>
      <c r="AG192" s="101" t="e">
        <f t="shared" si="74"/>
        <v>#DIV/0!</v>
      </c>
      <c r="AH192" s="101" t="e">
        <f t="shared" si="75"/>
        <v>#DIV/0!</v>
      </c>
      <c r="AJ192" s="104">
        <f t="shared" si="62"/>
        <v>1</v>
      </c>
      <c r="AK192" s="101" t="e">
        <f t="shared" si="63"/>
        <v>#DIV/0!</v>
      </c>
      <c r="AL192" s="50">
        <f t="shared" si="64"/>
        <v>0</v>
      </c>
      <c r="AM192" s="97">
        <f t="shared" si="65"/>
        <v>0</v>
      </c>
      <c r="AO192" s="99" t="e">
        <f t="shared" si="68"/>
        <v>#DIV/0!</v>
      </c>
      <c r="AP192" s="100" t="e">
        <f t="shared" si="66"/>
        <v>#DIV/0!</v>
      </c>
      <c r="AR192" s="100" t="e">
        <f t="shared" si="67"/>
        <v>#DIV/0!</v>
      </c>
      <c r="AX192" s="101">
        <f t="shared" si="76"/>
        <v>0</v>
      </c>
    </row>
    <row r="193" spans="7:50" ht="12.75" customHeight="1">
      <c r="G193" s="100" t="e">
        <f t="shared" si="70"/>
        <v>#DIV/0!</v>
      </c>
      <c r="P193" s="100" t="e">
        <f t="shared" si="71"/>
        <v>#DIV/0!</v>
      </c>
      <c r="AA193" s="103">
        <f t="shared" si="72"/>
        <v>1</v>
      </c>
      <c r="AC193" s="101">
        <f t="shared" si="73"/>
        <v>0</v>
      </c>
      <c r="AG193" s="101" t="e">
        <f t="shared" si="74"/>
        <v>#DIV/0!</v>
      </c>
      <c r="AH193" s="101" t="e">
        <f t="shared" si="75"/>
        <v>#DIV/0!</v>
      </c>
      <c r="AJ193" s="104">
        <f t="shared" si="62"/>
        <v>1</v>
      </c>
      <c r="AK193" s="101" t="e">
        <f t="shared" si="63"/>
        <v>#DIV/0!</v>
      </c>
      <c r="AL193" s="50">
        <f t="shared" si="64"/>
        <v>0</v>
      </c>
      <c r="AM193" s="97">
        <f t="shared" si="65"/>
        <v>0</v>
      </c>
      <c r="AO193" s="99" t="e">
        <f t="shared" si="68"/>
        <v>#DIV/0!</v>
      </c>
      <c r="AP193" s="100" t="e">
        <f t="shared" si="66"/>
        <v>#DIV/0!</v>
      </c>
      <c r="AR193" s="100" t="e">
        <f t="shared" si="67"/>
        <v>#DIV/0!</v>
      </c>
      <c r="AX193" s="101">
        <f t="shared" si="76"/>
        <v>0</v>
      </c>
    </row>
    <row r="194" spans="7:50" ht="12.75" customHeight="1">
      <c r="G194" s="100" t="e">
        <f t="shared" si="70"/>
        <v>#DIV/0!</v>
      </c>
      <c r="P194" s="100" t="e">
        <f t="shared" si="71"/>
        <v>#DIV/0!</v>
      </c>
      <c r="AA194" s="103">
        <f t="shared" si="72"/>
        <v>1</v>
      </c>
      <c r="AC194" s="101">
        <f t="shared" si="73"/>
        <v>0</v>
      </c>
      <c r="AG194" s="101" t="e">
        <f t="shared" si="74"/>
        <v>#DIV/0!</v>
      </c>
      <c r="AH194" s="101" t="e">
        <f t="shared" si="75"/>
        <v>#DIV/0!</v>
      </c>
      <c r="AJ194" s="104">
        <f t="shared" ref="AJ194:AJ257" si="77">IF(AI194&gt;12.8,IF(AI194&gt;15.8,0.95,0.98),1)</f>
        <v>1</v>
      </c>
      <c r="AK194" s="101" t="e">
        <f t="shared" ref="AK194:AK257" si="78">((AG194*2.6+AH194)*AJ194*AQ194)</f>
        <v>#DIV/0!</v>
      </c>
      <c r="AL194" s="50">
        <f t="shared" ref="AL194:AL257" si="79">D194</f>
        <v>0</v>
      </c>
      <c r="AM194" s="97">
        <f t="shared" ref="AM194:AM257" si="80">B194</f>
        <v>0</v>
      </c>
      <c r="AO194" s="99" t="e">
        <f t="shared" si="68"/>
        <v>#DIV/0!</v>
      </c>
      <c r="AP194" s="100" t="e">
        <f t="shared" ref="AP194:AP257" si="81">IF(AK194&gt;23.2,IF(Y194&lt;300,IF(Y194&lt;35,IF(Y194&lt;8,3,2),1),0),0)</f>
        <v>#DIV/0!</v>
      </c>
      <c r="AR194" s="100" t="e">
        <f t="shared" ref="AR194:AR257" si="82">IF(AO194=1,IF(AO194=AL194,1,0),5)</f>
        <v>#DIV/0!</v>
      </c>
      <c r="AX194" s="101">
        <f t="shared" si="76"/>
        <v>0</v>
      </c>
    </row>
    <row r="195" spans="7:50" ht="12.75" customHeight="1">
      <c r="G195" s="100" t="e">
        <f t="shared" si="70"/>
        <v>#DIV/0!</v>
      </c>
      <c r="P195" s="100" t="e">
        <f t="shared" si="71"/>
        <v>#DIV/0!</v>
      </c>
      <c r="AA195" s="103">
        <f t="shared" si="72"/>
        <v>1</v>
      </c>
      <c r="AC195" s="101">
        <f t="shared" si="73"/>
        <v>0</v>
      </c>
      <c r="AG195" s="101" t="e">
        <f t="shared" si="74"/>
        <v>#DIV/0!</v>
      </c>
      <c r="AH195" s="101" t="e">
        <f t="shared" si="75"/>
        <v>#DIV/0!</v>
      </c>
      <c r="AJ195" s="104">
        <f t="shared" si="77"/>
        <v>1</v>
      </c>
      <c r="AK195" s="101" t="e">
        <f t="shared" si="78"/>
        <v>#DIV/0!</v>
      </c>
      <c r="AL195" s="50">
        <f t="shared" si="79"/>
        <v>0</v>
      </c>
      <c r="AM195" s="97">
        <f t="shared" si="80"/>
        <v>0</v>
      </c>
      <c r="AO195" s="99" t="e">
        <f t="shared" ref="AO195:AO258" si="83">IF(AK195&gt;24.2,IF(Z195&lt;140,1,0),0)</f>
        <v>#DIV/0!</v>
      </c>
      <c r="AP195" s="100" t="e">
        <f t="shared" si="81"/>
        <v>#DIV/0!</v>
      </c>
      <c r="AR195" s="100" t="e">
        <f t="shared" si="82"/>
        <v>#DIV/0!</v>
      </c>
      <c r="AX195" s="101">
        <f t="shared" si="76"/>
        <v>0</v>
      </c>
    </row>
    <row r="196" spans="7:50" ht="12.75" customHeight="1">
      <c r="G196" s="100" t="e">
        <f t="shared" si="70"/>
        <v>#DIV/0!</v>
      </c>
      <c r="P196" s="100" t="e">
        <f t="shared" si="71"/>
        <v>#DIV/0!</v>
      </c>
      <c r="AA196" s="103">
        <f t="shared" si="72"/>
        <v>1</v>
      </c>
      <c r="AC196" s="101">
        <f t="shared" si="73"/>
        <v>0</v>
      </c>
      <c r="AG196" s="101" t="e">
        <f t="shared" si="74"/>
        <v>#DIV/0!</v>
      </c>
      <c r="AH196" s="101" t="e">
        <f t="shared" si="75"/>
        <v>#DIV/0!</v>
      </c>
      <c r="AJ196" s="104">
        <f t="shared" si="77"/>
        <v>1</v>
      </c>
      <c r="AK196" s="101" t="e">
        <f t="shared" si="78"/>
        <v>#DIV/0!</v>
      </c>
      <c r="AL196" s="50">
        <f t="shared" si="79"/>
        <v>0</v>
      </c>
      <c r="AM196" s="97">
        <f t="shared" si="80"/>
        <v>0</v>
      </c>
      <c r="AO196" s="99" t="e">
        <f t="shared" si="83"/>
        <v>#DIV/0!</v>
      </c>
      <c r="AP196" s="100" t="e">
        <f t="shared" si="81"/>
        <v>#DIV/0!</v>
      </c>
      <c r="AR196" s="100" t="e">
        <f t="shared" si="82"/>
        <v>#DIV/0!</v>
      </c>
      <c r="AX196" s="101">
        <f t="shared" si="76"/>
        <v>0</v>
      </c>
    </row>
    <row r="197" spans="7:50" ht="12.75" customHeight="1">
      <c r="G197" s="100" t="e">
        <f t="shared" si="70"/>
        <v>#DIV/0!</v>
      </c>
      <c r="P197" s="100" t="e">
        <f t="shared" si="71"/>
        <v>#DIV/0!</v>
      </c>
      <c r="AA197" s="103">
        <f t="shared" si="72"/>
        <v>1</v>
      </c>
      <c r="AC197" s="101">
        <f t="shared" si="73"/>
        <v>0</v>
      </c>
      <c r="AG197" s="101" t="e">
        <f t="shared" si="74"/>
        <v>#DIV/0!</v>
      </c>
      <c r="AH197" s="101" t="e">
        <f t="shared" si="75"/>
        <v>#DIV/0!</v>
      </c>
      <c r="AJ197" s="104">
        <f t="shared" si="77"/>
        <v>1</v>
      </c>
      <c r="AK197" s="101" t="e">
        <f t="shared" si="78"/>
        <v>#DIV/0!</v>
      </c>
      <c r="AL197" s="50">
        <f t="shared" si="79"/>
        <v>0</v>
      </c>
      <c r="AM197" s="97">
        <f t="shared" si="80"/>
        <v>0</v>
      </c>
      <c r="AO197" s="99" t="e">
        <f t="shared" si="83"/>
        <v>#DIV/0!</v>
      </c>
      <c r="AP197" s="100" t="e">
        <f t="shared" si="81"/>
        <v>#DIV/0!</v>
      </c>
      <c r="AR197" s="100" t="e">
        <f t="shared" si="82"/>
        <v>#DIV/0!</v>
      </c>
      <c r="AX197" s="101">
        <f t="shared" si="76"/>
        <v>0</v>
      </c>
    </row>
    <row r="198" spans="7:50" ht="12.75" customHeight="1">
      <c r="G198" s="100" t="e">
        <f t="shared" si="70"/>
        <v>#DIV/0!</v>
      </c>
      <c r="P198" s="100" t="e">
        <f t="shared" si="71"/>
        <v>#DIV/0!</v>
      </c>
      <c r="AA198" s="103">
        <f t="shared" si="72"/>
        <v>1</v>
      </c>
      <c r="AC198" s="101">
        <f t="shared" si="73"/>
        <v>0</v>
      </c>
      <c r="AG198" s="101" t="e">
        <f t="shared" si="74"/>
        <v>#DIV/0!</v>
      </c>
      <c r="AH198" s="101" t="e">
        <f t="shared" si="75"/>
        <v>#DIV/0!</v>
      </c>
      <c r="AJ198" s="104">
        <f t="shared" si="77"/>
        <v>1</v>
      </c>
      <c r="AK198" s="101" t="e">
        <f t="shared" si="78"/>
        <v>#DIV/0!</v>
      </c>
      <c r="AL198" s="50">
        <f t="shared" si="79"/>
        <v>0</v>
      </c>
      <c r="AM198" s="97">
        <f t="shared" si="80"/>
        <v>0</v>
      </c>
      <c r="AO198" s="99" t="e">
        <f t="shared" si="83"/>
        <v>#DIV/0!</v>
      </c>
      <c r="AP198" s="100" t="e">
        <f t="shared" si="81"/>
        <v>#DIV/0!</v>
      </c>
      <c r="AR198" s="100" t="e">
        <f t="shared" si="82"/>
        <v>#DIV/0!</v>
      </c>
      <c r="AX198" s="101">
        <f t="shared" si="76"/>
        <v>0</v>
      </c>
    </row>
    <row r="199" spans="7:50" ht="12.75" customHeight="1">
      <c r="G199" s="100" t="e">
        <f t="shared" si="70"/>
        <v>#DIV/0!</v>
      </c>
      <c r="P199" s="100" t="e">
        <f t="shared" si="71"/>
        <v>#DIV/0!</v>
      </c>
      <c r="AA199" s="103">
        <f t="shared" si="72"/>
        <v>1</v>
      </c>
      <c r="AC199" s="101">
        <f t="shared" si="73"/>
        <v>0</v>
      </c>
      <c r="AG199" s="101" t="e">
        <f t="shared" si="74"/>
        <v>#DIV/0!</v>
      </c>
      <c r="AH199" s="101" t="e">
        <f t="shared" si="75"/>
        <v>#DIV/0!</v>
      </c>
      <c r="AJ199" s="104">
        <f t="shared" si="77"/>
        <v>1</v>
      </c>
      <c r="AK199" s="101" t="e">
        <f t="shared" si="78"/>
        <v>#DIV/0!</v>
      </c>
      <c r="AL199" s="50">
        <f t="shared" si="79"/>
        <v>0</v>
      </c>
      <c r="AM199" s="97">
        <f t="shared" si="80"/>
        <v>0</v>
      </c>
      <c r="AO199" s="99" t="e">
        <f t="shared" si="83"/>
        <v>#DIV/0!</v>
      </c>
      <c r="AP199" s="100" t="e">
        <f t="shared" si="81"/>
        <v>#DIV/0!</v>
      </c>
      <c r="AR199" s="100" t="e">
        <f t="shared" si="82"/>
        <v>#DIV/0!</v>
      </c>
      <c r="AX199" s="101">
        <f t="shared" si="76"/>
        <v>0</v>
      </c>
    </row>
    <row r="200" spans="7:50" ht="12.75" customHeight="1">
      <c r="G200" s="100" t="e">
        <f t="shared" si="70"/>
        <v>#DIV/0!</v>
      </c>
      <c r="P200" s="100" t="e">
        <f t="shared" si="71"/>
        <v>#DIV/0!</v>
      </c>
      <c r="AA200" s="103">
        <f t="shared" si="72"/>
        <v>1</v>
      </c>
      <c r="AC200" s="101">
        <f t="shared" si="73"/>
        <v>0</v>
      </c>
      <c r="AG200" s="101" t="e">
        <f t="shared" si="74"/>
        <v>#DIV/0!</v>
      </c>
      <c r="AH200" s="101" t="e">
        <f t="shared" si="75"/>
        <v>#DIV/0!</v>
      </c>
      <c r="AJ200" s="104">
        <f t="shared" si="77"/>
        <v>1</v>
      </c>
      <c r="AK200" s="101" t="e">
        <f t="shared" si="78"/>
        <v>#DIV/0!</v>
      </c>
      <c r="AL200" s="50">
        <f t="shared" si="79"/>
        <v>0</v>
      </c>
      <c r="AM200" s="97">
        <f t="shared" si="80"/>
        <v>0</v>
      </c>
      <c r="AO200" s="99" t="e">
        <f t="shared" si="83"/>
        <v>#DIV/0!</v>
      </c>
      <c r="AP200" s="100" t="e">
        <f t="shared" si="81"/>
        <v>#DIV/0!</v>
      </c>
      <c r="AR200" s="100" t="e">
        <f t="shared" si="82"/>
        <v>#DIV/0!</v>
      </c>
      <c r="AX200" s="101">
        <f t="shared" si="76"/>
        <v>0</v>
      </c>
    </row>
    <row r="201" spans="7:50" ht="12.75" customHeight="1">
      <c r="G201" s="100" t="e">
        <f t="shared" si="70"/>
        <v>#DIV/0!</v>
      </c>
      <c r="P201" s="100" t="e">
        <f t="shared" si="71"/>
        <v>#DIV/0!</v>
      </c>
      <c r="AA201" s="103">
        <f t="shared" si="72"/>
        <v>1</v>
      </c>
      <c r="AC201" s="101">
        <f t="shared" si="73"/>
        <v>0</v>
      </c>
      <c r="AG201" s="101" t="e">
        <f t="shared" si="74"/>
        <v>#DIV/0!</v>
      </c>
      <c r="AH201" s="101" t="e">
        <f t="shared" si="75"/>
        <v>#DIV/0!</v>
      </c>
      <c r="AJ201" s="104">
        <f t="shared" si="77"/>
        <v>1</v>
      </c>
      <c r="AK201" s="101" t="e">
        <f t="shared" si="78"/>
        <v>#DIV/0!</v>
      </c>
      <c r="AL201" s="50">
        <f t="shared" si="79"/>
        <v>0</v>
      </c>
      <c r="AM201" s="97">
        <f t="shared" si="80"/>
        <v>0</v>
      </c>
      <c r="AO201" s="99" t="e">
        <f t="shared" si="83"/>
        <v>#DIV/0!</v>
      </c>
      <c r="AP201" s="100" t="e">
        <f t="shared" si="81"/>
        <v>#DIV/0!</v>
      </c>
      <c r="AR201" s="100" t="e">
        <f t="shared" si="82"/>
        <v>#DIV/0!</v>
      </c>
      <c r="AX201" s="101">
        <f t="shared" si="76"/>
        <v>0</v>
      </c>
    </row>
    <row r="202" spans="7:50" ht="12.75" customHeight="1">
      <c r="G202" s="100" t="e">
        <f t="shared" si="70"/>
        <v>#DIV/0!</v>
      </c>
      <c r="P202" s="100" t="e">
        <f t="shared" si="71"/>
        <v>#DIV/0!</v>
      </c>
      <c r="AA202" s="103">
        <f t="shared" si="72"/>
        <v>1</v>
      </c>
      <c r="AC202" s="101">
        <f t="shared" si="73"/>
        <v>0</v>
      </c>
      <c r="AG202" s="101" t="e">
        <f t="shared" si="74"/>
        <v>#DIV/0!</v>
      </c>
      <c r="AH202" s="101" t="e">
        <f t="shared" si="75"/>
        <v>#DIV/0!</v>
      </c>
      <c r="AJ202" s="104">
        <f t="shared" si="77"/>
        <v>1</v>
      </c>
      <c r="AK202" s="101" t="e">
        <f t="shared" si="78"/>
        <v>#DIV/0!</v>
      </c>
      <c r="AL202" s="50">
        <f t="shared" si="79"/>
        <v>0</v>
      </c>
      <c r="AM202" s="97">
        <f t="shared" si="80"/>
        <v>0</v>
      </c>
      <c r="AO202" s="99" t="e">
        <f t="shared" si="83"/>
        <v>#DIV/0!</v>
      </c>
      <c r="AP202" s="100" t="e">
        <f t="shared" si="81"/>
        <v>#DIV/0!</v>
      </c>
      <c r="AR202" s="100" t="e">
        <f t="shared" si="82"/>
        <v>#DIV/0!</v>
      </c>
      <c r="AX202" s="101">
        <f t="shared" si="76"/>
        <v>0</v>
      </c>
    </row>
    <row r="203" spans="7:50" ht="12.75" customHeight="1">
      <c r="G203" s="100" t="e">
        <f t="shared" si="70"/>
        <v>#DIV/0!</v>
      </c>
      <c r="P203" s="100" t="e">
        <f t="shared" si="71"/>
        <v>#DIV/0!</v>
      </c>
      <c r="AA203" s="103">
        <f t="shared" si="72"/>
        <v>1</v>
      </c>
      <c r="AC203" s="101">
        <f t="shared" si="73"/>
        <v>0</v>
      </c>
      <c r="AG203" s="101" t="e">
        <f t="shared" si="74"/>
        <v>#DIV/0!</v>
      </c>
      <c r="AH203" s="101" t="e">
        <f t="shared" si="75"/>
        <v>#DIV/0!</v>
      </c>
      <c r="AJ203" s="104">
        <f t="shared" si="77"/>
        <v>1</v>
      </c>
      <c r="AK203" s="101" t="e">
        <f t="shared" si="78"/>
        <v>#DIV/0!</v>
      </c>
      <c r="AL203" s="50">
        <f t="shared" si="79"/>
        <v>0</v>
      </c>
      <c r="AM203" s="97">
        <f t="shared" si="80"/>
        <v>0</v>
      </c>
      <c r="AO203" s="99" t="e">
        <f t="shared" si="83"/>
        <v>#DIV/0!</v>
      </c>
      <c r="AP203" s="100" t="e">
        <f t="shared" si="81"/>
        <v>#DIV/0!</v>
      </c>
      <c r="AR203" s="100" t="e">
        <f t="shared" si="82"/>
        <v>#DIV/0!</v>
      </c>
      <c r="AX203" s="101">
        <f t="shared" ref="AX203:AX234" si="84">(AS203+AV203+AW203)/3</f>
        <v>0</v>
      </c>
    </row>
    <row r="204" spans="7:50" ht="12.75" customHeight="1">
      <c r="G204" s="100" t="e">
        <f t="shared" si="70"/>
        <v>#DIV/0!</v>
      </c>
      <c r="P204" s="100" t="e">
        <f t="shared" si="71"/>
        <v>#DIV/0!</v>
      </c>
      <c r="AA204" s="103">
        <f t="shared" si="72"/>
        <v>1</v>
      </c>
      <c r="AC204" s="101">
        <f t="shared" si="73"/>
        <v>0</v>
      </c>
      <c r="AG204" s="101" t="e">
        <f t="shared" si="74"/>
        <v>#DIV/0!</v>
      </c>
      <c r="AH204" s="101" t="e">
        <f t="shared" si="75"/>
        <v>#DIV/0!</v>
      </c>
      <c r="AJ204" s="104">
        <f t="shared" si="77"/>
        <v>1</v>
      </c>
      <c r="AK204" s="101" t="e">
        <f t="shared" si="78"/>
        <v>#DIV/0!</v>
      </c>
      <c r="AL204" s="50">
        <f t="shared" si="79"/>
        <v>0</v>
      </c>
      <c r="AM204" s="97">
        <f t="shared" si="80"/>
        <v>0</v>
      </c>
      <c r="AO204" s="99" t="e">
        <f t="shared" si="83"/>
        <v>#DIV/0!</v>
      </c>
      <c r="AP204" s="100" t="e">
        <f t="shared" si="81"/>
        <v>#DIV/0!</v>
      </c>
      <c r="AR204" s="100" t="e">
        <f t="shared" si="82"/>
        <v>#DIV/0!</v>
      </c>
      <c r="AX204" s="101">
        <f t="shared" si="84"/>
        <v>0</v>
      </c>
    </row>
    <row r="205" spans="7:50" ht="12.75" customHeight="1">
      <c r="G205" s="100" t="e">
        <f t="shared" si="70"/>
        <v>#DIV/0!</v>
      </c>
      <c r="P205" s="100" t="e">
        <f t="shared" si="71"/>
        <v>#DIV/0!</v>
      </c>
      <c r="AA205" s="103">
        <f t="shared" si="72"/>
        <v>1</v>
      </c>
      <c r="AC205" s="101">
        <f t="shared" si="73"/>
        <v>0</v>
      </c>
      <c r="AG205" s="101" t="e">
        <f t="shared" si="74"/>
        <v>#DIV/0!</v>
      </c>
      <c r="AH205" s="101" t="e">
        <f t="shared" si="75"/>
        <v>#DIV/0!</v>
      </c>
      <c r="AJ205" s="104">
        <f t="shared" si="77"/>
        <v>1</v>
      </c>
      <c r="AK205" s="101" t="e">
        <f t="shared" si="78"/>
        <v>#DIV/0!</v>
      </c>
      <c r="AL205" s="50">
        <f t="shared" si="79"/>
        <v>0</v>
      </c>
      <c r="AM205" s="97">
        <f t="shared" si="80"/>
        <v>0</v>
      </c>
      <c r="AO205" s="99" t="e">
        <f t="shared" si="83"/>
        <v>#DIV/0!</v>
      </c>
      <c r="AP205" s="100" t="e">
        <f t="shared" si="81"/>
        <v>#DIV/0!</v>
      </c>
      <c r="AR205" s="100" t="e">
        <f t="shared" si="82"/>
        <v>#DIV/0!</v>
      </c>
      <c r="AX205" s="101">
        <f t="shared" si="84"/>
        <v>0</v>
      </c>
    </row>
    <row r="206" spans="7:50" ht="12.75" customHeight="1">
      <c r="G206" s="100" t="e">
        <f t="shared" si="70"/>
        <v>#DIV/0!</v>
      </c>
      <c r="P206" s="100" t="e">
        <f t="shared" si="71"/>
        <v>#DIV/0!</v>
      </c>
      <c r="AA206" s="103">
        <f t="shared" si="72"/>
        <v>1</v>
      </c>
      <c r="AC206" s="101">
        <f t="shared" si="73"/>
        <v>0</v>
      </c>
      <c r="AG206" s="101" t="e">
        <f t="shared" si="74"/>
        <v>#DIV/0!</v>
      </c>
      <c r="AH206" s="101" t="e">
        <f t="shared" si="75"/>
        <v>#DIV/0!</v>
      </c>
      <c r="AJ206" s="104">
        <f t="shared" si="77"/>
        <v>1</v>
      </c>
      <c r="AK206" s="101" t="e">
        <f t="shared" si="78"/>
        <v>#DIV/0!</v>
      </c>
      <c r="AL206" s="50">
        <f t="shared" si="79"/>
        <v>0</v>
      </c>
      <c r="AM206" s="97">
        <f t="shared" si="80"/>
        <v>0</v>
      </c>
      <c r="AO206" s="99" t="e">
        <f t="shared" si="83"/>
        <v>#DIV/0!</v>
      </c>
      <c r="AP206" s="100" t="e">
        <f t="shared" si="81"/>
        <v>#DIV/0!</v>
      </c>
      <c r="AR206" s="100" t="e">
        <f t="shared" si="82"/>
        <v>#DIV/0!</v>
      </c>
      <c r="AX206" s="101">
        <f t="shared" si="84"/>
        <v>0</v>
      </c>
    </row>
    <row r="207" spans="7:50" ht="12.75" customHeight="1">
      <c r="G207" s="100" t="e">
        <f t="shared" si="70"/>
        <v>#DIV/0!</v>
      </c>
      <c r="P207" s="100" t="e">
        <f t="shared" si="71"/>
        <v>#DIV/0!</v>
      </c>
      <c r="AA207" s="103">
        <f t="shared" si="72"/>
        <v>1</v>
      </c>
      <c r="AC207" s="101">
        <f t="shared" si="73"/>
        <v>0</v>
      </c>
      <c r="AG207" s="101" t="e">
        <f t="shared" si="74"/>
        <v>#DIV/0!</v>
      </c>
      <c r="AH207" s="101" t="e">
        <f t="shared" si="75"/>
        <v>#DIV/0!</v>
      </c>
      <c r="AJ207" s="104">
        <f t="shared" si="77"/>
        <v>1</v>
      </c>
      <c r="AK207" s="101" t="e">
        <f t="shared" si="78"/>
        <v>#DIV/0!</v>
      </c>
      <c r="AL207" s="50">
        <f t="shared" si="79"/>
        <v>0</v>
      </c>
      <c r="AM207" s="97">
        <f t="shared" si="80"/>
        <v>0</v>
      </c>
      <c r="AO207" s="99" t="e">
        <f t="shared" si="83"/>
        <v>#DIV/0!</v>
      </c>
      <c r="AP207" s="100" t="e">
        <f t="shared" si="81"/>
        <v>#DIV/0!</v>
      </c>
      <c r="AR207" s="100" t="e">
        <f t="shared" si="82"/>
        <v>#DIV/0!</v>
      </c>
      <c r="AX207" s="101">
        <f t="shared" si="84"/>
        <v>0</v>
      </c>
    </row>
    <row r="208" spans="7:50" ht="12.75" customHeight="1">
      <c r="G208" s="100" t="e">
        <f t="shared" si="70"/>
        <v>#DIV/0!</v>
      </c>
      <c r="P208" s="100" t="e">
        <f t="shared" si="71"/>
        <v>#DIV/0!</v>
      </c>
      <c r="AA208" s="103">
        <f t="shared" si="72"/>
        <v>1</v>
      </c>
      <c r="AC208" s="101">
        <f t="shared" si="73"/>
        <v>0</v>
      </c>
      <c r="AG208" s="101" t="e">
        <f t="shared" si="74"/>
        <v>#DIV/0!</v>
      </c>
      <c r="AH208" s="101" t="e">
        <f t="shared" si="75"/>
        <v>#DIV/0!</v>
      </c>
      <c r="AJ208" s="104">
        <f t="shared" si="77"/>
        <v>1</v>
      </c>
      <c r="AK208" s="101" t="e">
        <f t="shared" si="78"/>
        <v>#DIV/0!</v>
      </c>
      <c r="AL208" s="50">
        <f t="shared" si="79"/>
        <v>0</v>
      </c>
      <c r="AM208" s="97">
        <f t="shared" si="80"/>
        <v>0</v>
      </c>
      <c r="AO208" s="99" t="e">
        <f t="shared" si="83"/>
        <v>#DIV/0!</v>
      </c>
      <c r="AP208" s="100" t="e">
        <f t="shared" si="81"/>
        <v>#DIV/0!</v>
      </c>
      <c r="AR208" s="100" t="e">
        <f t="shared" si="82"/>
        <v>#DIV/0!</v>
      </c>
      <c r="AX208" s="101">
        <f t="shared" si="84"/>
        <v>0</v>
      </c>
    </row>
    <row r="209" spans="7:44" ht="12.75" customHeight="1">
      <c r="G209" s="100" t="e">
        <f t="shared" si="70"/>
        <v>#DIV/0!</v>
      </c>
      <c r="P209" s="100" t="e">
        <f t="shared" si="71"/>
        <v>#DIV/0!</v>
      </c>
      <c r="AA209" s="103">
        <f t="shared" si="72"/>
        <v>1</v>
      </c>
      <c r="AC209" s="101">
        <f t="shared" si="73"/>
        <v>0</v>
      </c>
      <c r="AG209" s="101" t="e">
        <f t="shared" si="74"/>
        <v>#DIV/0!</v>
      </c>
      <c r="AH209" s="101" t="e">
        <f t="shared" si="75"/>
        <v>#DIV/0!</v>
      </c>
      <c r="AJ209" s="104">
        <f t="shared" si="77"/>
        <v>1</v>
      </c>
      <c r="AK209" s="101" t="e">
        <f t="shared" si="78"/>
        <v>#DIV/0!</v>
      </c>
      <c r="AL209" s="50">
        <f t="shared" si="79"/>
        <v>0</v>
      </c>
      <c r="AM209" s="97">
        <f t="shared" si="80"/>
        <v>0</v>
      </c>
      <c r="AO209" s="99" t="e">
        <f t="shared" si="83"/>
        <v>#DIV/0!</v>
      </c>
      <c r="AP209" s="100" t="e">
        <f t="shared" si="81"/>
        <v>#DIV/0!</v>
      </c>
      <c r="AR209" s="100" t="e">
        <f t="shared" si="82"/>
        <v>#DIV/0!</v>
      </c>
    </row>
    <row r="210" spans="7:44" ht="12.75" customHeight="1">
      <c r="G210" s="100" t="e">
        <f t="shared" si="70"/>
        <v>#DIV/0!</v>
      </c>
      <c r="P210" s="100" t="e">
        <f t="shared" si="71"/>
        <v>#DIV/0!</v>
      </c>
      <c r="AA210" s="103">
        <f t="shared" si="72"/>
        <v>1</v>
      </c>
      <c r="AC210" s="101">
        <f t="shared" si="73"/>
        <v>0</v>
      </c>
      <c r="AG210" s="101" t="e">
        <f t="shared" si="74"/>
        <v>#DIV/0!</v>
      </c>
      <c r="AH210" s="101" t="e">
        <f t="shared" si="75"/>
        <v>#DIV/0!</v>
      </c>
      <c r="AJ210" s="104">
        <f t="shared" si="77"/>
        <v>1</v>
      </c>
      <c r="AK210" s="101" t="e">
        <f t="shared" si="78"/>
        <v>#DIV/0!</v>
      </c>
      <c r="AL210" s="50">
        <f t="shared" si="79"/>
        <v>0</v>
      </c>
      <c r="AM210" s="97">
        <f t="shared" si="80"/>
        <v>0</v>
      </c>
      <c r="AO210" s="99" t="e">
        <f t="shared" si="83"/>
        <v>#DIV/0!</v>
      </c>
      <c r="AP210" s="100" t="e">
        <f t="shared" si="81"/>
        <v>#DIV/0!</v>
      </c>
      <c r="AR210" s="100" t="e">
        <f t="shared" si="82"/>
        <v>#DIV/0!</v>
      </c>
    </row>
    <row r="211" spans="7:44" ht="12.75" customHeight="1">
      <c r="G211" s="100" t="e">
        <f t="shared" si="70"/>
        <v>#DIV/0!</v>
      </c>
      <c r="P211" s="100" t="e">
        <f t="shared" si="71"/>
        <v>#DIV/0!</v>
      </c>
      <c r="AA211" s="103">
        <f t="shared" si="72"/>
        <v>1</v>
      </c>
      <c r="AC211" s="101">
        <f t="shared" si="73"/>
        <v>0</v>
      </c>
      <c r="AG211" s="101" t="e">
        <f t="shared" si="74"/>
        <v>#DIV/0!</v>
      </c>
      <c r="AH211" s="101" t="e">
        <f t="shared" si="75"/>
        <v>#DIV/0!</v>
      </c>
      <c r="AJ211" s="104">
        <f t="shared" si="77"/>
        <v>1</v>
      </c>
      <c r="AK211" s="101" t="e">
        <f t="shared" si="78"/>
        <v>#DIV/0!</v>
      </c>
      <c r="AL211" s="50">
        <f t="shared" si="79"/>
        <v>0</v>
      </c>
      <c r="AM211" s="97">
        <f t="shared" si="80"/>
        <v>0</v>
      </c>
      <c r="AO211" s="99" t="e">
        <f t="shared" si="83"/>
        <v>#DIV/0!</v>
      </c>
      <c r="AP211" s="100" t="e">
        <f t="shared" si="81"/>
        <v>#DIV/0!</v>
      </c>
      <c r="AR211" s="100" t="e">
        <f t="shared" si="82"/>
        <v>#DIV/0!</v>
      </c>
    </row>
    <row r="212" spans="7:44" ht="12.75" customHeight="1">
      <c r="G212" s="100" t="e">
        <f t="shared" si="70"/>
        <v>#DIV/0!</v>
      </c>
      <c r="P212" s="100" t="e">
        <f t="shared" si="71"/>
        <v>#DIV/0!</v>
      </c>
      <c r="AA212" s="103">
        <f t="shared" si="72"/>
        <v>1</v>
      </c>
      <c r="AC212" s="101">
        <f t="shared" si="73"/>
        <v>0</v>
      </c>
      <c r="AG212" s="101" t="e">
        <f t="shared" si="74"/>
        <v>#DIV/0!</v>
      </c>
      <c r="AH212" s="101" t="e">
        <f t="shared" si="75"/>
        <v>#DIV/0!</v>
      </c>
      <c r="AJ212" s="104">
        <f t="shared" si="77"/>
        <v>1</v>
      </c>
      <c r="AK212" s="101" t="e">
        <f t="shared" si="78"/>
        <v>#DIV/0!</v>
      </c>
      <c r="AL212" s="50">
        <f t="shared" si="79"/>
        <v>0</v>
      </c>
      <c r="AM212" s="97">
        <f t="shared" si="80"/>
        <v>0</v>
      </c>
      <c r="AO212" s="99" t="e">
        <f t="shared" si="83"/>
        <v>#DIV/0!</v>
      </c>
      <c r="AP212" s="100" t="e">
        <f t="shared" si="81"/>
        <v>#DIV/0!</v>
      </c>
      <c r="AR212" s="100" t="e">
        <f t="shared" si="82"/>
        <v>#DIV/0!</v>
      </c>
    </row>
    <row r="213" spans="7:44" ht="12.75" customHeight="1">
      <c r="G213" s="100" t="e">
        <f t="shared" si="70"/>
        <v>#DIV/0!</v>
      </c>
      <c r="P213" s="100" t="e">
        <f t="shared" si="71"/>
        <v>#DIV/0!</v>
      </c>
      <c r="AA213" s="103">
        <f t="shared" si="72"/>
        <v>1</v>
      </c>
      <c r="AC213" s="101">
        <f t="shared" si="73"/>
        <v>0</v>
      </c>
      <c r="AG213" s="101" t="e">
        <f t="shared" si="74"/>
        <v>#DIV/0!</v>
      </c>
      <c r="AH213" s="101" t="e">
        <f t="shared" si="75"/>
        <v>#DIV/0!</v>
      </c>
      <c r="AJ213" s="104">
        <f t="shared" si="77"/>
        <v>1</v>
      </c>
      <c r="AK213" s="101" t="e">
        <f t="shared" si="78"/>
        <v>#DIV/0!</v>
      </c>
      <c r="AL213" s="50">
        <f t="shared" si="79"/>
        <v>0</v>
      </c>
      <c r="AM213" s="97">
        <f t="shared" si="80"/>
        <v>0</v>
      </c>
      <c r="AO213" s="99" t="e">
        <f t="shared" si="83"/>
        <v>#DIV/0!</v>
      </c>
      <c r="AP213" s="100" t="e">
        <f t="shared" si="81"/>
        <v>#DIV/0!</v>
      </c>
      <c r="AR213" s="100" t="e">
        <f t="shared" si="82"/>
        <v>#DIV/0!</v>
      </c>
    </row>
    <row r="214" spans="7:44" ht="12.75" customHeight="1">
      <c r="G214" s="100" t="e">
        <f t="shared" si="70"/>
        <v>#DIV/0!</v>
      </c>
      <c r="P214" s="100" t="e">
        <f t="shared" si="71"/>
        <v>#DIV/0!</v>
      </c>
      <c r="AA214" s="103">
        <f t="shared" si="72"/>
        <v>1</v>
      </c>
      <c r="AC214" s="101">
        <f t="shared" si="73"/>
        <v>0</v>
      </c>
      <c r="AG214" s="101" t="e">
        <f t="shared" si="74"/>
        <v>#DIV/0!</v>
      </c>
      <c r="AH214" s="101" t="e">
        <f t="shared" si="75"/>
        <v>#DIV/0!</v>
      </c>
      <c r="AJ214" s="104">
        <f t="shared" si="77"/>
        <v>1</v>
      </c>
      <c r="AK214" s="101" t="e">
        <f t="shared" si="78"/>
        <v>#DIV/0!</v>
      </c>
      <c r="AL214" s="50">
        <f t="shared" si="79"/>
        <v>0</v>
      </c>
      <c r="AM214" s="97">
        <f t="shared" si="80"/>
        <v>0</v>
      </c>
      <c r="AO214" s="99" t="e">
        <f t="shared" si="83"/>
        <v>#DIV/0!</v>
      </c>
      <c r="AP214" s="100" t="e">
        <f t="shared" si="81"/>
        <v>#DIV/0!</v>
      </c>
      <c r="AR214" s="100" t="e">
        <f t="shared" si="82"/>
        <v>#DIV/0!</v>
      </c>
    </row>
    <row r="215" spans="7:44" ht="12.75" customHeight="1">
      <c r="G215" s="100" t="e">
        <f t="shared" si="70"/>
        <v>#DIV/0!</v>
      </c>
      <c r="P215" s="100" t="e">
        <f t="shared" si="71"/>
        <v>#DIV/0!</v>
      </c>
      <c r="AA215" s="103">
        <f t="shared" si="72"/>
        <v>1</v>
      </c>
      <c r="AC215" s="101">
        <f t="shared" si="73"/>
        <v>0</v>
      </c>
      <c r="AG215" s="101" t="e">
        <f t="shared" si="74"/>
        <v>#DIV/0!</v>
      </c>
      <c r="AH215" s="101" t="e">
        <f t="shared" si="75"/>
        <v>#DIV/0!</v>
      </c>
      <c r="AJ215" s="104">
        <f t="shared" si="77"/>
        <v>1</v>
      </c>
      <c r="AK215" s="101" t="e">
        <f t="shared" si="78"/>
        <v>#DIV/0!</v>
      </c>
      <c r="AL215" s="50">
        <f t="shared" si="79"/>
        <v>0</v>
      </c>
      <c r="AM215" s="97">
        <f t="shared" si="80"/>
        <v>0</v>
      </c>
      <c r="AO215" s="99" t="e">
        <f t="shared" si="83"/>
        <v>#DIV/0!</v>
      </c>
      <c r="AP215" s="100" t="e">
        <f t="shared" si="81"/>
        <v>#DIV/0!</v>
      </c>
      <c r="AR215" s="100" t="e">
        <f t="shared" si="82"/>
        <v>#DIV/0!</v>
      </c>
    </row>
    <row r="216" spans="7:44" ht="12.75" customHeight="1">
      <c r="G216" s="100" t="e">
        <f t="shared" si="70"/>
        <v>#DIV/0!</v>
      </c>
      <c r="P216" s="100" t="e">
        <f t="shared" si="71"/>
        <v>#DIV/0!</v>
      </c>
      <c r="AA216" s="103">
        <f t="shared" si="72"/>
        <v>1</v>
      </c>
      <c r="AC216" s="101">
        <f t="shared" si="73"/>
        <v>0</v>
      </c>
      <c r="AG216" s="101" t="e">
        <f t="shared" si="74"/>
        <v>#DIV/0!</v>
      </c>
      <c r="AH216" s="101" t="e">
        <f t="shared" si="75"/>
        <v>#DIV/0!</v>
      </c>
      <c r="AJ216" s="104">
        <f t="shared" si="77"/>
        <v>1</v>
      </c>
      <c r="AK216" s="101" t="e">
        <f t="shared" si="78"/>
        <v>#DIV/0!</v>
      </c>
      <c r="AL216" s="50">
        <f t="shared" si="79"/>
        <v>0</v>
      </c>
      <c r="AM216" s="97">
        <f t="shared" si="80"/>
        <v>0</v>
      </c>
      <c r="AO216" s="99" t="e">
        <f t="shared" si="83"/>
        <v>#DIV/0!</v>
      </c>
      <c r="AP216" s="100" t="e">
        <f t="shared" si="81"/>
        <v>#DIV/0!</v>
      </c>
      <c r="AR216" s="100" t="e">
        <f t="shared" si="82"/>
        <v>#DIV/0!</v>
      </c>
    </row>
    <row r="217" spans="7:44" ht="12.75" customHeight="1">
      <c r="G217" s="100" t="e">
        <f t="shared" si="70"/>
        <v>#DIV/0!</v>
      </c>
      <c r="P217" s="100" t="e">
        <f t="shared" si="71"/>
        <v>#DIV/0!</v>
      </c>
      <c r="AA217" s="103">
        <f t="shared" si="72"/>
        <v>1</v>
      </c>
      <c r="AC217" s="101">
        <f t="shared" si="73"/>
        <v>0</v>
      </c>
      <c r="AG217" s="101" t="e">
        <f t="shared" si="74"/>
        <v>#DIV/0!</v>
      </c>
      <c r="AH217" s="101" t="e">
        <f t="shared" si="75"/>
        <v>#DIV/0!</v>
      </c>
      <c r="AJ217" s="104">
        <f t="shared" si="77"/>
        <v>1</v>
      </c>
      <c r="AK217" s="101" t="e">
        <f t="shared" si="78"/>
        <v>#DIV/0!</v>
      </c>
      <c r="AL217" s="50">
        <f t="shared" si="79"/>
        <v>0</v>
      </c>
      <c r="AM217" s="97">
        <f t="shared" si="80"/>
        <v>0</v>
      </c>
      <c r="AO217" s="99" t="e">
        <f t="shared" si="83"/>
        <v>#DIV/0!</v>
      </c>
      <c r="AP217" s="100" t="e">
        <f t="shared" si="81"/>
        <v>#DIV/0!</v>
      </c>
      <c r="AR217" s="100" t="e">
        <f t="shared" si="82"/>
        <v>#DIV/0!</v>
      </c>
    </row>
    <row r="218" spans="7:44" ht="12.75" customHeight="1">
      <c r="G218" s="100" t="e">
        <f t="shared" ref="G218:G281" si="85">100*(F218-E218)/F218</f>
        <v>#DIV/0!</v>
      </c>
      <c r="P218" s="100" t="e">
        <f t="shared" ref="P218:P281" si="86">O218/I218</f>
        <v>#DIV/0!</v>
      </c>
      <c r="AA218" s="103">
        <f t="shared" ref="AA218:AA281" si="87">IF(X218&lt;33,IF(Y218&gt;(1.1*X218),0,1),1)+IF(Y218&gt;(4*X218),-1,0)</f>
        <v>1</v>
      </c>
      <c r="AC218" s="101">
        <f t="shared" ref="AC218:AC281" si="88">IF(AB218&gt;9,1,0)+AB218/3+IF(AB218&gt;15,1,0)+IF(AB218&gt;20,1,0)</f>
        <v>0</v>
      </c>
      <c r="AG218" s="101" t="e">
        <f t="shared" ref="AG218:AG281" si="89">IF(G218&lt;0,0,1.2)+IF(G218&lt;14,0,0.9)+IF(P218&lt;0,0.7,0)+IF(P218&lt;6.5,1,0)+IF(P218&lt;23,1,0)+IF(R218&gt;80,0,1)+S218+IF(AD218&lt;20,0,1)+IF(AE218&lt;14,0,1)+IF(AF218&lt;26,0,1)</f>
        <v>#DIV/0!</v>
      </c>
      <c r="AH218" s="101" t="e">
        <f t="shared" ref="AH218:AH281" si="90">AG218+IF(AG218&gt;6,1,0)+IF(X218&lt;17,0,1)+IF(Y218&lt;11,0,1)+IF(Z218&lt;1.35,0,1)+AC218+AA218</f>
        <v>#DIV/0!</v>
      </c>
      <c r="AJ218" s="104">
        <f t="shared" si="77"/>
        <v>1</v>
      </c>
      <c r="AK218" s="101" t="e">
        <f t="shared" si="78"/>
        <v>#DIV/0!</v>
      </c>
      <c r="AL218" s="50">
        <f t="shared" si="79"/>
        <v>0</v>
      </c>
      <c r="AM218" s="97">
        <f t="shared" si="80"/>
        <v>0</v>
      </c>
      <c r="AO218" s="99" t="e">
        <f t="shared" si="83"/>
        <v>#DIV/0!</v>
      </c>
      <c r="AP218" s="100" t="e">
        <f t="shared" si="81"/>
        <v>#DIV/0!</v>
      </c>
      <c r="AR218" s="100" t="e">
        <f t="shared" si="82"/>
        <v>#DIV/0!</v>
      </c>
    </row>
    <row r="219" spans="7:44" ht="12.75" customHeight="1">
      <c r="G219" s="100" t="e">
        <f t="shared" si="85"/>
        <v>#DIV/0!</v>
      </c>
      <c r="P219" s="100" t="e">
        <f t="shared" si="86"/>
        <v>#DIV/0!</v>
      </c>
      <c r="AA219" s="103">
        <f t="shared" si="87"/>
        <v>1</v>
      </c>
      <c r="AC219" s="101">
        <f t="shared" si="88"/>
        <v>0</v>
      </c>
      <c r="AG219" s="101" t="e">
        <f t="shared" si="89"/>
        <v>#DIV/0!</v>
      </c>
      <c r="AH219" s="101" t="e">
        <f t="shared" si="90"/>
        <v>#DIV/0!</v>
      </c>
      <c r="AJ219" s="104">
        <f t="shared" si="77"/>
        <v>1</v>
      </c>
      <c r="AK219" s="101" t="e">
        <f t="shared" si="78"/>
        <v>#DIV/0!</v>
      </c>
      <c r="AL219" s="50">
        <f t="shared" si="79"/>
        <v>0</v>
      </c>
      <c r="AM219" s="97">
        <f t="shared" si="80"/>
        <v>0</v>
      </c>
      <c r="AO219" s="99" t="e">
        <f t="shared" si="83"/>
        <v>#DIV/0!</v>
      </c>
      <c r="AP219" s="100" t="e">
        <f t="shared" si="81"/>
        <v>#DIV/0!</v>
      </c>
      <c r="AR219" s="100" t="e">
        <f t="shared" si="82"/>
        <v>#DIV/0!</v>
      </c>
    </row>
    <row r="220" spans="7:44" ht="12.75" customHeight="1">
      <c r="G220" s="100" t="e">
        <f t="shared" si="85"/>
        <v>#DIV/0!</v>
      </c>
      <c r="P220" s="100" t="e">
        <f t="shared" si="86"/>
        <v>#DIV/0!</v>
      </c>
      <c r="AA220" s="103">
        <f t="shared" si="87"/>
        <v>1</v>
      </c>
      <c r="AC220" s="101">
        <f t="shared" si="88"/>
        <v>0</v>
      </c>
      <c r="AG220" s="101" t="e">
        <f t="shared" si="89"/>
        <v>#DIV/0!</v>
      </c>
      <c r="AH220" s="101" t="e">
        <f t="shared" si="90"/>
        <v>#DIV/0!</v>
      </c>
      <c r="AJ220" s="104">
        <f t="shared" si="77"/>
        <v>1</v>
      </c>
      <c r="AK220" s="101" t="e">
        <f t="shared" si="78"/>
        <v>#DIV/0!</v>
      </c>
      <c r="AL220" s="50">
        <f t="shared" si="79"/>
        <v>0</v>
      </c>
      <c r="AM220" s="97">
        <f t="shared" si="80"/>
        <v>0</v>
      </c>
      <c r="AO220" s="99" t="e">
        <f t="shared" si="83"/>
        <v>#DIV/0!</v>
      </c>
      <c r="AP220" s="100" t="e">
        <f t="shared" si="81"/>
        <v>#DIV/0!</v>
      </c>
      <c r="AR220" s="100" t="e">
        <f t="shared" si="82"/>
        <v>#DIV/0!</v>
      </c>
    </row>
    <row r="221" spans="7:44" ht="12.75" customHeight="1">
      <c r="G221" s="100" t="e">
        <f t="shared" si="85"/>
        <v>#DIV/0!</v>
      </c>
      <c r="P221" s="100" t="e">
        <f t="shared" si="86"/>
        <v>#DIV/0!</v>
      </c>
      <c r="AA221" s="103">
        <f t="shared" si="87"/>
        <v>1</v>
      </c>
      <c r="AC221" s="101">
        <f t="shared" si="88"/>
        <v>0</v>
      </c>
      <c r="AG221" s="101" t="e">
        <f t="shared" si="89"/>
        <v>#DIV/0!</v>
      </c>
      <c r="AH221" s="101" t="e">
        <f t="shared" si="90"/>
        <v>#DIV/0!</v>
      </c>
      <c r="AJ221" s="104">
        <f t="shared" si="77"/>
        <v>1</v>
      </c>
      <c r="AK221" s="101" t="e">
        <f t="shared" si="78"/>
        <v>#DIV/0!</v>
      </c>
      <c r="AL221" s="50">
        <f t="shared" si="79"/>
        <v>0</v>
      </c>
      <c r="AM221" s="97">
        <f t="shared" si="80"/>
        <v>0</v>
      </c>
      <c r="AO221" s="99" t="e">
        <f t="shared" si="83"/>
        <v>#DIV/0!</v>
      </c>
      <c r="AP221" s="100" t="e">
        <f t="shared" si="81"/>
        <v>#DIV/0!</v>
      </c>
      <c r="AR221" s="100" t="e">
        <f t="shared" si="82"/>
        <v>#DIV/0!</v>
      </c>
    </row>
    <row r="222" spans="7:44" ht="12.75" customHeight="1">
      <c r="G222" s="100" t="e">
        <f t="shared" si="85"/>
        <v>#DIV/0!</v>
      </c>
      <c r="P222" s="100" t="e">
        <f t="shared" si="86"/>
        <v>#DIV/0!</v>
      </c>
      <c r="AA222" s="103">
        <f t="shared" si="87"/>
        <v>1</v>
      </c>
      <c r="AC222" s="101">
        <f t="shared" si="88"/>
        <v>0</v>
      </c>
      <c r="AG222" s="101" t="e">
        <f t="shared" si="89"/>
        <v>#DIV/0!</v>
      </c>
      <c r="AH222" s="101" t="e">
        <f t="shared" si="90"/>
        <v>#DIV/0!</v>
      </c>
      <c r="AJ222" s="104">
        <f t="shared" si="77"/>
        <v>1</v>
      </c>
      <c r="AK222" s="101" t="e">
        <f t="shared" si="78"/>
        <v>#DIV/0!</v>
      </c>
      <c r="AL222" s="50">
        <f t="shared" si="79"/>
        <v>0</v>
      </c>
      <c r="AM222" s="97">
        <f t="shared" si="80"/>
        <v>0</v>
      </c>
      <c r="AO222" s="99" t="e">
        <f t="shared" si="83"/>
        <v>#DIV/0!</v>
      </c>
      <c r="AP222" s="100" t="e">
        <f t="shared" si="81"/>
        <v>#DIV/0!</v>
      </c>
      <c r="AR222" s="100" t="e">
        <f t="shared" si="82"/>
        <v>#DIV/0!</v>
      </c>
    </row>
    <row r="223" spans="7:44" ht="12.75" customHeight="1">
      <c r="G223" s="100" t="e">
        <f t="shared" si="85"/>
        <v>#DIV/0!</v>
      </c>
      <c r="P223" s="100" t="e">
        <f t="shared" si="86"/>
        <v>#DIV/0!</v>
      </c>
      <c r="AA223" s="103">
        <f t="shared" si="87"/>
        <v>1</v>
      </c>
      <c r="AC223" s="101">
        <f t="shared" si="88"/>
        <v>0</v>
      </c>
      <c r="AG223" s="101" t="e">
        <f t="shared" si="89"/>
        <v>#DIV/0!</v>
      </c>
      <c r="AH223" s="101" t="e">
        <f t="shared" si="90"/>
        <v>#DIV/0!</v>
      </c>
      <c r="AJ223" s="104">
        <f t="shared" si="77"/>
        <v>1</v>
      </c>
      <c r="AK223" s="101" t="e">
        <f t="shared" si="78"/>
        <v>#DIV/0!</v>
      </c>
      <c r="AL223" s="50">
        <f t="shared" si="79"/>
        <v>0</v>
      </c>
      <c r="AM223" s="97">
        <f t="shared" si="80"/>
        <v>0</v>
      </c>
      <c r="AO223" s="99" t="e">
        <f t="shared" si="83"/>
        <v>#DIV/0!</v>
      </c>
      <c r="AP223" s="100" t="e">
        <f t="shared" si="81"/>
        <v>#DIV/0!</v>
      </c>
      <c r="AR223" s="100" t="e">
        <f t="shared" si="82"/>
        <v>#DIV/0!</v>
      </c>
    </row>
    <row r="224" spans="7:44" ht="12.75" customHeight="1">
      <c r="G224" s="100" t="e">
        <f t="shared" si="85"/>
        <v>#DIV/0!</v>
      </c>
      <c r="P224" s="100" t="e">
        <f t="shared" si="86"/>
        <v>#DIV/0!</v>
      </c>
      <c r="AA224" s="103">
        <f t="shared" si="87"/>
        <v>1</v>
      </c>
      <c r="AC224" s="101">
        <f t="shared" si="88"/>
        <v>0</v>
      </c>
      <c r="AG224" s="101" t="e">
        <f t="shared" si="89"/>
        <v>#DIV/0!</v>
      </c>
      <c r="AH224" s="101" t="e">
        <f t="shared" si="90"/>
        <v>#DIV/0!</v>
      </c>
      <c r="AJ224" s="104">
        <f t="shared" si="77"/>
        <v>1</v>
      </c>
      <c r="AK224" s="101" t="e">
        <f t="shared" si="78"/>
        <v>#DIV/0!</v>
      </c>
      <c r="AL224" s="50">
        <f t="shared" si="79"/>
        <v>0</v>
      </c>
      <c r="AM224" s="97">
        <f t="shared" si="80"/>
        <v>0</v>
      </c>
      <c r="AO224" s="99" t="e">
        <f t="shared" si="83"/>
        <v>#DIV/0!</v>
      </c>
      <c r="AP224" s="100" t="e">
        <f t="shared" si="81"/>
        <v>#DIV/0!</v>
      </c>
      <c r="AR224" s="100" t="e">
        <f t="shared" si="82"/>
        <v>#DIV/0!</v>
      </c>
    </row>
    <row r="225" spans="7:44" ht="12.75" customHeight="1">
      <c r="G225" s="100" t="e">
        <f t="shared" si="85"/>
        <v>#DIV/0!</v>
      </c>
      <c r="P225" s="100" t="e">
        <f t="shared" si="86"/>
        <v>#DIV/0!</v>
      </c>
      <c r="AA225" s="103">
        <f t="shared" si="87"/>
        <v>1</v>
      </c>
      <c r="AC225" s="101">
        <f t="shared" si="88"/>
        <v>0</v>
      </c>
      <c r="AG225" s="101" t="e">
        <f t="shared" si="89"/>
        <v>#DIV/0!</v>
      </c>
      <c r="AH225" s="101" t="e">
        <f t="shared" si="90"/>
        <v>#DIV/0!</v>
      </c>
      <c r="AJ225" s="104">
        <f t="shared" si="77"/>
        <v>1</v>
      </c>
      <c r="AK225" s="101" t="e">
        <f t="shared" si="78"/>
        <v>#DIV/0!</v>
      </c>
      <c r="AL225" s="50">
        <f t="shared" si="79"/>
        <v>0</v>
      </c>
      <c r="AM225" s="97">
        <f t="shared" si="80"/>
        <v>0</v>
      </c>
      <c r="AO225" s="99" t="e">
        <f t="shared" si="83"/>
        <v>#DIV/0!</v>
      </c>
      <c r="AP225" s="100" t="e">
        <f t="shared" si="81"/>
        <v>#DIV/0!</v>
      </c>
      <c r="AR225" s="100" t="e">
        <f t="shared" si="82"/>
        <v>#DIV/0!</v>
      </c>
    </row>
    <row r="226" spans="7:44" ht="12.75" customHeight="1">
      <c r="G226" s="100" t="e">
        <f t="shared" si="85"/>
        <v>#DIV/0!</v>
      </c>
      <c r="P226" s="100" t="e">
        <f t="shared" si="86"/>
        <v>#DIV/0!</v>
      </c>
      <c r="AA226" s="103">
        <f t="shared" si="87"/>
        <v>1</v>
      </c>
      <c r="AC226" s="101">
        <f t="shared" si="88"/>
        <v>0</v>
      </c>
      <c r="AG226" s="101" t="e">
        <f t="shared" si="89"/>
        <v>#DIV/0!</v>
      </c>
      <c r="AH226" s="101" t="e">
        <f t="shared" si="90"/>
        <v>#DIV/0!</v>
      </c>
      <c r="AJ226" s="104">
        <f t="shared" si="77"/>
        <v>1</v>
      </c>
      <c r="AK226" s="101" t="e">
        <f t="shared" si="78"/>
        <v>#DIV/0!</v>
      </c>
      <c r="AL226" s="50">
        <f t="shared" si="79"/>
        <v>0</v>
      </c>
      <c r="AM226" s="97">
        <f t="shared" si="80"/>
        <v>0</v>
      </c>
      <c r="AO226" s="99" t="e">
        <f t="shared" si="83"/>
        <v>#DIV/0!</v>
      </c>
      <c r="AP226" s="100" t="e">
        <f t="shared" si="81"/>
        <v>#DIV/0!</v>
      </c>
      <c r="AR226" s="100" t="e">
        <f t="shared" si="82"/>
        <v>#DIV/0!</v>
      </c>
    </row>
    <row r="227" spans="7:44" ht="12.75" customHeight="1">
      <c r="G227" s="100" t="e">
        <f t="shared" si="85"/>
        <v>#DIV/0!</v>
      </c>
      <c r="P227" s="100" t="e">
        <f t="shared" si="86"/>
        <v>#DIV/0!</v>
      </c>
      <c r="AA227" s="103">
        <f t="shared" si="87"/>
        <v>1</v>
      </c>
      <c r="AC227" s="101">
        <f t="shared" si="88"/>
        <v>0</v>
      </c>
      <c r="AG227" s="101" t="e">
        <f t="shared" si="89"/>
        <v>#DIV/0!</v>
      </c>
      <c r="AH227" s="101" t="e">
        <f t="shared" si="90"/>
        <v>#DIV/0!</v>
      </c>
      <c r="AJ227" s="104">
        <f t="shared" si="77"/>
        <v>1</v>
      </c>
      <c r="AK227" s="101" t="e">
        <f t="shared" si="78"/>
        <v>#DIV/0!</v>
      </c>
      <c r="AL227" s="50">
        <f t="shared" si="79"/>
        <v>0</v>
      </c>
      <c r="AM227" s="97">
        <f t="shared" si="80"/>
        <v>0</v>
      </c>
      <c r="AO227" s="99" t="e">
        <f t="shared" si="83"/>
        <v>#DIV/0!</v>
      </c>
      <c r="AP227" s="100" t="e">
        <f t="shared" si="81"/>
        <v>#DIV/0!</v>
      </c>
      <c r="AR227" s="100" t="e">
        <f t="shared" si="82"/>
        <v>#DIV/0!</v>
      </c>
    </row>
    <row r="228" spans="7:44" ht="12.75" customHeight="1">
      <c r="G228" s="100" t="e">
        <f t="shared" si="85"/>
        <v>#DIV/0!</v>
      </c>
      <c r="P228" s="100" t="e">
        <f t="shared" si="86"/>
        <v>#DIV/0!</v>
      </c>
      <c r="AA228" s="103">
        <f t="shared" si="87"/>
        <v>1</v>
      </c>
      <c r="AC228" s="101">
        <f t="shared" si="88"/>
        <v>0</v>
      </c>
      <c r="AG228" s="101" t="e">
        <f t="shared" si="89"/>
        <v>#DIV/0!</v>
      </c>
      <c r="AH228" s="101" t="e">
        <f t="shared" si="90"/>
        <v>#DIV/0!</v>
      </c>
      <c r="AJ228" s="104">
        <f t="shared" si="77"/>
        <v>1</v>
      </c>
      <c r="AK228" s="101" t="e">
        <f t="shared" si="78"/>
        <v>#DIV/0!</v>
      </c>
      <c r="AL228" s="50">
        <f t="shared" si="79"/>
        <v>0</v>
      </c>
      <c r="AM228" s="97">
        <f t="shared" si="80"/>
        <v>0</v>
      </c>
      <c r="AO228" s="99" t="e">
        <f t="shared" si="83"/>
        <v>#DIV/0!</v>
      </c>
      <c r="AP228" s="100" t="e">
        <f t="shared" si="81"/>
        <v>#DIV/0!</v>
      </c>
      <c r="AR228" s="100" t="e">
        <f t="shared" si="82"/>
        <v>#DIV/0!</v>
      </c>
    </row>
    <row r="229" spans="7:44" ht="12.75" customHeight="1">
      <c r="G229" s="100" t="e">
        <f t="shared" si="85"/>
        <v>#DIV/0!</v>
      </c>
      <c r="P229" s="100" t="e">
        <f t="shared" si="86"/>
        <v>#DIV/0!</v>
      </c>
      <c r="AA229" s="103">
        <f t="shared" si="87"/>
        <v>1</v>
      </c>
      <c r="AC229" s="101">
        <f t="shared" si="88"/>
        <v>0</v>
      </c>
      <c r="AG229" s="101" t="e">
        <f t="shared" si="89"/>
        <v>#DIV/0!</v>
      </c>
      <c r="AH229" s="101" t="e">
        <f t="shared" si="90"/>
        <v>#DIV/0!</v>
      </c>
      <c r="AJ229" s="104">
        <f t="shared" si="77"/>
        <v>1</v>
      </c>
      <c r="AK229" s="101" t="e">
        <f t="shared" si="78"/>
        <v>#DIV/0!</v>
      </c>
      <c r="AL229" s="50">
        <f t="shared" si="79"/>
        <v>0</v>
      </c>
      <c r="AM229" s="97">
        <f t="shared" si="80"/>
        <v>0</v>
      </c>
      <c r="AO229" s="99" t="e">
        <f t="shared" si="83"/>
        <v>#DIV/0!</v>
      </c>
      <c r="AP229" s="100" t="e">
        <f t="shared" si="81"/>
        <v>#DIV/0!</v>
      </c>
      <c r="AR229" s="100" t="e">
        <f t="shared" si="82"/>
        <v>#DIV/0!</v>
      </c>
    </row>
    <row r="230" spans="7:44" ht="12.75" customHeight="1">
      <c r="G230" s="100" t="e">
        <f t="shared" si="85"/>
        <v>#DIV/0!</v>
      </c>
      <c r="P230" s="100" t="e">
        <f t="shared" si="86"/>
        <v>#DIV/0!</v>
      </c>
      <c r="AA230" s="103">
        <f t="shared" si="87"/>
        <v>1</v>
      </c>
      <c r="AC230" s="101">
        <f t="shared" si="88"/>
        <v>0</v>
      </c>
      <c r="AG230" s="101" t="e">
        <f t="shared" si="89"/>
        <v>#DIV/0!</v>
      </c>
      <c r="AH230" s="101" t="e">
        <f t="shared" si="90"/>
        <v>#DIV/0!</v>
      </c>
      <c r="AJ230" s="104">
        <f t="shared" si="77"/>
        <v>1</v>
      </c>
      <c r="AK230" s="101" t="e">
        <f t="shared" si="78"/>
        <v>#DIV/0!</v>
      </c>
      <c r="AL230" s="50">
        <f t="shared" si="79"/>
        <v>0</v>
      </c>
      <c r="AM230" s="97">
        <f t="shared" si="80"/>
        <v>0</v>
      </c>
      <c r="AO230" s="99" t="e">
        <f t="shared" si="83"/>
        <v>#DIV/0!</v>
      </c>
      <c r="AP230" s="100" t="e">
        <f t="shared" si="81"/>
        <v>#DIV/0!</v>
      </c>
      <c r="AR230" s="100" t="e">
        <f t="shared" si="82"/>
        <v>#DIV/0!</v>
      </c>
    </row>
    <row r="231" spans="7:44" ht="12.75" customHeight="1">
      <c r="G231" s="100" t="e">
        <f t="shared" si="85"/>
        <v>#DIV/0!</v>
      </c>
      <c r="P231" s="100" t="e">
        <f t="shared" si="86"/>
        <v>#DIV/0!</v>
      </c>
      <c r="AA231" s="103">
        <f t="shared" si="87"/>
        <v>1</v>
      </c>
      <c r="AC231" s="101">
        <f t="shared" si="88"/>
        <v>0</v>
      </c>
      <c r="AG231" s="101" t="e">
        <f t="shared" si="89"/>
        <v>#DIV/0!</v>
      </c>
      <c r="AH231" s="101" t="e">
        <f t="shared" si="90"/>
        <v>#DIV/0!</v>
      </c>
      <c r="AJ231" s="104">
        <f t="shared" si="77"/>
        <v>1</v>
      </c>
      <c r="AK231" s="101" t="e">
        <f t="shared" si="78"/>
        <v>#DIV/0!</v>
      </c>
      <c r="AL231" s="50">
        <f t="shared" si="79"/>
        <v>0</v>
      </c>
      <c r="AM231" s="97">
        <f t="shared" si="80"/>
        <v>0</v>
      </c>
      <c r="AO231" s="99" t="e">
        <f t="shared" si="83"/>
        <v>#DIV/0!</v>
      </c>
      <c r="AP231" s="100" t="e">
        <f t="shared" si="81"/>
        <v>#DIV/0!</v>
      </c>
      <c r="AR231" s="100" t="e">
        <f t="shared" si="82"/>
        <v>#DIV/0!</v>
      </c>
    </row>
    <row r="232" spans="7:44" ht="12.75" customHeight="1">
      <c r="G232" s="100" t="e">
        <f t="shared" si="85"/>
        <v>#DIV/0!</v>
      </c>
      <c r="P232" s="100" t="e">
        <f t="shared" si="86"/>
        <v>#DIV/0!</v>
      </c>
      <c r="AA232" s="103">
        <f t="shared" si="87"/>
        <v>1</v>
      </c>
      <c r="AC232" s="101">
        <f t="shared" si="88"/>
        <v>0</v>
      </c>
      <c r="AG232" s="101" t="e">
        <f t="shared" si="89"/>
        <v>#DIV/0!</v>
      </c>
      <c r="AH232" s="101" t="e">
        <f t="shared" si="90"/>
        <v>#DIV/0!</v>
      </c>
      <c r="AJ232" s="104">
        <f t="shared" si="77"/>
        <v>1</v>
      </c>
      <c r="AK232" s="101" t="e">
        <f t="shared" si="78"/>
        <v>#DIV/0!</v>
      </c>
      <c r="AL232" s="50">
        <f t="shared" si="79"/>
        <v>0</v>
      </c>
      <c r="AM232" s="97">
        <f t="shared" si="80"/>
        <v>0</v>
      </c>
      <c r="AO232" s="99" t="e">
        <f t="shared" si="83"/>
        <v>#DIV/0!</v>
      </c>
      <c r="AP232" s="100" t="e">
        <f t="shared" si="81"/>
        <v>#DIV/0!</v>
      </c>
      <c r="AR232" s="100" t="e">
        <f t="shared" si="82"/>
        <v>#DIV/0!</v>
      </c>
    </row>
    <row r="233" spans="7:44" ht="12.75" customHeight="1">
      <c r="G233" s="100" t="e">
        <f t="shared" si="85"/>
        <v>#DIV/0!</v>
      </c>
      <c r="P233" s="100" t="e">
        <f t="shared" si="86"/>
        <v>#DIV/0!</v>
      </c>
      <c r="AA233" s="103">
        <f t="shared" si="87"/>
        <v>1</v>
      </c>
      <c r="AC233" s="101">
        <f t="shared" si="88"/>
        <v>0</v>
      </c>
      <c r="AG233" s="101" t="e">
        <f t="shared" si="89"/>
        <v>#DIV/0!</v>
      </c>
      <c r="AH233" s="101" t="e">
        <f t="shared" si="90"/>
        <v>#DIV/0!</v>
      </c>
      <c r="AJ233" s="104">
        <f t="shared" si="77"/>
        <v>1</v>
      </c>
      <c r="AK233" s="101" t="e">
        <f t="shared" si="78"/>
        <v>#DIV/0!</v>
      </c>
      <c r="AL233" s="50">
        <f t="shared" si="79"/>
        <v>0</v>
      </c>
      <c r="AM233" s="97">
        <f t="shared" si="80"/>
        <v>0</v>
      </c>
      <c r="AO233" s="99" t="e">
        <f t="shared" si="83"/>
        <v>#DIV/0!</v>
      </c>
      <c r="AP233" s="100" t="e">
        <f t="shared" si="81"/>
        <v>#DIV/0!</v>
      </c>
      <c r="AR233" s="100" t="e">
        <f t="shared" si="82"/>
        <v>#DIV/0!</v>
      </c>
    </row>
    <row r="234" spans="7:44" ht="12.75" customHeight="1">
      <c r="G234" s="100" t="e">
        <f t="shared" si="85"/>
        <v>#DIV/0!</v>
      </c>
      <c r="P234" s="100" t="e">
        <f t="shared" si="86"/>
        <v>#DIV/0!</v>
      </c>
      <c r="AA234" s="103">
        <f t="shared" si="87"/>
        <v>1</v>
      </c>
      <c r="AC234" s="101">
        <f t="shared" si="88"/>
        <v>0</v>
      </c>
      <c r="AG234" s="101" t="e">
        <f t="shared" si="89"/>
        <v>#DIV/0!</v>
      </c>
      <c r="AH234" s="101" t="e">
        <f t="shared" si="90"/>
        <v>#DIV/0!</v>
      </c>
      <c r="AJ234" s="104">
        <f t="shared" si="77"/>
        <v>1</v>
      </c>
      <c r="AK234" s="101" t="e">
        <f t="shared" si="78"/>
        <v>#DIV/0!</v>
      </c>
      <c r="AL234" s="50">
        <f t="shared" si="79"/>
        <v>0</v>
      </c>
      <c r="AM234" s="97">
        <f t="shared" si="80"/>
        <v>0</v>
      </c>
      <c r="AO234" s="99" t="e">
        <f t="shared" si="83"/>
        <v>#DIV/0!</v>
      </c>
      <c r="AP234" s="100" t="e">
        <f t="shared" si="81"/>
        <v>#DIV/0!</v>
      </c>
      <c r="AR234" s="100" t="e">
        <f t="shared" si="82"/>
        <v>#DIV/0!</v>
      </c>
    </row>
    <row r="235" spans="7:44" ht="12.75" customHeight="1">
      <c r="G235" s="100" t="e">
        <f t="shared" si="85"/>
        <v>#DIV/0!</v>
      </c>
      <c r="P235" s="100" t="e">
        <f t="shared" si="86"/>
        <v>#DIV/0!</v>
      </c>
      <c r="AA235" s="103">
        <f t="shared" si="87"/>
        <v>1</v>
      </c>
      <c r="AC235" s="101">
        <f t="shared" si="88"/>
        <v>0</v>
      </c>
      <c r="AG235" s="101" t="e">
        <f t="shared" si="89"/>
        <v>#DIV/0!</v>
      </c>
      <c r="AH235" s="101" t="e">
        <f t="shared" si="90"/>
        <v>#DIV/0!</v>
      </c>
      <c r="AJ235" s="104">
        <f t="shared" si="77"/>
        <v>1</v>
      </c>
      <c r="AK235" s="101" t="e">
        <f t="shared" si="78"/>
        <v>#DIV/0!</v>
      </c>
      <c r="AL235" s="50">
        <f t="shared" si="79"/>
        <v>0</v>
      </c>
      <c r="AM235" s="97">
        <f t="shared" si="80"/>
        <v>0</v>
      </c>
      <c r="AO235" s="99" t="e">
        <f t="shared" si="83"/>
        <v>#DIV/0!</v>
      </c>
      <c r="AP235" s="100" t="e">
        <f t="shared" si="81"/>
        <v>#DIV/0!</v>
      </c>
      <c r="AR235" s="100" t="e">
        <f t="shared" si="82"/>
        <v>#DIV/0!</v>
      </c>
    </row>
    <row r="236" spans="7:44" ht="12.75" customHeight="1">
      <c r="G236" s="100" t="e">
        <f t="shared" si="85"/>
        <v>#DIV/0!</v>
      </c>
      <c r="P236" s="100" t="e">
        <f t="shared" si="86"/>
        <v>#DIV/0!</v>
      </c>
      <c r="AA236" s="103">
        <f t="shared" si="87"/>
        <v>1</v>
      </c>
      <c r="AC236" s="101">
        <f t="shared" si="88"/>
        <v>0</v>
      </c>
      <c r="AG236" s="101" t="e">
        <f t="shared" si="89"/>
        <v>#DIV/0!</v>
      </c>
      <c r="AH236" s="101" t="e">
        <f t="shared" si="90"/>
        <v>#DIV/0!</v>
      </c>
      <c r="AJ236" s="104">
        <f t="shared" si="77"/>
        <v>1</v>
      </c>
      <c r="AK236" s="101" t="e">
        <f t="shared" si="78"/>
        <v>#DIV/0!</v>
      </c>
      <c r="AL236" s="50">
        <f t="shared" si="79"/>
        <v>0</v>
      </c>
      <c r="AM236" s="97">
        <f t="shared" si="80"/>
        <v>0</v>
      </c>
      <c r="AO236" s="99" t="e">
        <f t="shared" si="83"/>
        <v>#DIV/0!</v>
      </c>
      <c r="AP236" s="100" t="e">
        <f t="shared" si="81"/>
        <v>#DIV/0!</v>
      </c>
      <c r="AR236" s="100" t="e">
        <f t="shared" si="82"/>
        <v>#DIV/0!</v>
      </c>
    </row>
    <row r="237" spans="7:44" ht="12.75" customHeight="1">
      <c r="G237" s="100" t="e">
        <f t="shared" si="85"/>
        <v>#DIV/0!</v>
      </c>
      <c r="P237" s="100" t="e">
        <f t="shared" si="86"/>
        <v>#DIV/0!</v>
      </c>
      <c r="AA237" s="103">
        <f t="shared" si="87"/>
        <v>1</v>
      </c>
      <c r="AC237" s="101">
        <f t="shared" si="88"/>
        <v>0</v>
      </c>
      <c r="AG237" s="101" t="e">
        <f t="shared" si="89"/>
        <v>#DIV/0!</v>
      </c>
      <c r="AH237" s="101" t="e">
        <f t="shared" si="90"/>
        <v>#DIV/0!</v>
      </c>
      <c r="AJ237" s="104">
        <f t="shared" si="77"/>
        <v>1</v>
      </c>
      <c r="AK237" s="101" t="e">
        <f t="shared" si="78"/>
        <v>#DIV/0!</v>
      </c>
      <c r="AL237" s="50">
        <f t="shared" si="79"/>
        <v>0</v>
      </c>
      <c r="AM237" s="97">
        <f t="shared" si="80"/>
        <v>0</v>
      </c>
      <c r="AO237" s="99" t="e">
        <f t="shared" si="83"/>
        <v>#DIV/0!</v>
      </c>
      <c r="AP237" s="100" t="e">
        <f t="shared" si="81"/>
        <v>#DIV/0!</v>
      </c>
      <c r="AR237" s="100" t="e">
        <f t="shared" si="82"/>
        <v>#DIV/0!</v>
      </c>
    </row>
    <row r="238" spans="7:44" ht="12.75" customHeight="1">
      <c r="G238" s="100" t="e">
        <f t="shared" si="85"/>
        <v>#DIV/0!</v>
      </c>
      <c r="P238" s="100" t="e">
        <f t="shared" si="86"/>
        <v>#DIV/0!</v>
      </c>
      <c r="AA238" s="103">
        <f t="shared" si="87"/>
        <v>1</v>
      </c>
      <c r="AC238" s="101">
        <f t="shared" si="88"/>
        <v>0</v>
      </c>
      <c r="AG238" s="101" t="e">
        <f t="shared" si="89"/>
        <v>#DIV/0!</v>
      </c>
      <c r="AH238" s="101" t="e">
        <f t="shared" si="90"/>
        <v>#DIV/0!</v>
      </c>
      <c r="AJ238" s="104">
        <f t="shared" si="77"/>
        <v>1</v>
      </c>
      <c r="AK238" s="101" t="e">
        <f t="shared" si="78"/>
        <v>#DIV/0!</v>
      </c>
      <c r="AL238" s="50">
        <f t="shared" si="79"/>
        <v>0</v>
      </c>
      <c r="AM238" s="97">
        <f t="shared" si="80"/>
        <v>0</v>
      </c>
      <c r="AO238" s="99" t="e">
        <f t="shared" si="83"/>
        <v>#DIV/0!</v>
      </c>
      <c r="AP238" s="100" t="e">
        <f t="shared" si="81"/>
        <v>#DIV/0!</v>
      </c>
      <c r="AR238" s="100" t="e">
        <f t="shared" si="82"/>
        <v>#DIV/0!</v>
      </c>
    </row>
    <row r="239" spans="7:44" ht="12.75" customHeight="1">
      <c r="G239" s="100" t="e">
        <f t="shared" si="85"/>
        <v>#DIV/0!</v>
      </c>
      <c r="P239" s="100" t="e">
        <f t="shared" si="86"/>
        <v>#DIV/0!</v>
      </c>
      <c r="AA239" s="103">
        <f t="shared" si="87"/>
        <v>1</v>
      </c>
      <c r="AC239" s="101">
        <f t="shared" si="88"/>
        <v>0</v>
      </c>
      <c r="AG239" s="101" t="e">
        <f t="shared" si="89"/>
        <v>#DIV/0!</v>
      </c>
      <c r="AH239" s="101" t="e">
        <f t="shared" si="90"/>
        <v>#DIV/0!</v>
      </c>
      <c r="AJ239" s="104">
        <f t="shared" si="77"/>
        <v>1</v>
      </c>
      <c r="AK239" s="101" t="e">
        <f t="shared" si="78"/>
        <v>#DIV/0!</v>
      </c>
      <c r="AL239" s="50">
        <f t="shared" si="79"/>
        <v>0</v>
      </c>
      <c r="AM239" s="97">
        <f t="shared" si="80"/>
        <v>0</v>
      </c>
      <c r="AO239" s="99" t="e">
        <f t="shared" si="83"/>
        <v>#DIV/0!</v>
      </c>
      <c r="AP239" s="100" t="e">
        <f t="shared" si="81"/>
        <v>#DIV/0!</v>
      </c>
      <c r="AR239" s="100" t="e">
        <f t="shared" si="82"/>
        <v>#DIV/0!</v>
      </c>
    </row>
    <row r="240" spans="7:44" ht="12.75" customHeight="1">
      <c r="G240" s="100" t="e">
        <f t="shared" si="85"/>
        <v>#DIV/0!</v>
      </c>
      <c r="P240" s="100" t="e">
        <f t="shared" si="86"/>
        <v>#DIV/0!</v>
      </c>
      <c r="AA240" s="103">
        <f t="shared" si="87"/>
        <v>1</v>
      </c>
      <c r="AC240" s="101">
        <f t="shared" si="88"/>
        <v>0</v>
      </c>
      <c r="AG240" s="101" t="e">
        <f t="shared" si="89"/>
        <v>#DIV/0!</v>
      </c>
      <c r="AH240" s="101" t="e">
        <f t="shared" si="90"/>
        <v>#DIV/0!</v>
      </c>
      <c r="AJ240" s="104">
        <f t="shared" si="77"/>
        <v>1</v>
      </c>
      <c r="AK240" s="101" t="e">
        <f t="shared" si="78"/>
        <v>#DIV/0!</v>
      </c>
      <c r="AL240" s="50">
        <f t="shared" si="79"/>
        <v>0</v>
      </c>
      <c r="AM240" s="97">
        <f t="shared" si="80"/>
        <v>0</v>
      </c>
      <c r="AO240" s="99" t="e">
        <f t="shared" si="83"/>
        <v>#DIV/0!</v>
      </c>
      <c r="AP240" s="100" t="e">
        <f t="shared" si="81"/>
        <v>#DIV/0!</v>
      </c>
      <c r="AR240" s="100" t="e">
        <f t="shared" si="82"/>
        <v>#DIV/0!</v>
      </c>
    </row>
    <row r="241" spans="7:44" ht="12.75" customHeight="1">
      <c r="G241" s="100" t="e">
        <f t="shared" si="85"/>
        <v>#DIV/0!</v>
      </c>
      <c r="P241" s="100" t="e">
        <f t="shared" si="86"/>
        <v>#DIV/0!</v>
      </c>
      <c r="AA241" s="103">
        <f t="shared" si="87"/>
        <v>1</v>
      </c>
      <c r="AC241" s="101">
        <f t="shared" si="88"/>
        <v>0</v>
      </c>
      <c r="AG241" s="101" t="e">
        <f t="shared" si="89"/>
        <v>#DIV/0!</v>
      </c>
      <c r="AH241" s="101" t="e">
        <f t="shared" si="90"/>
        <v>#DIV/0!</v>
      </c>
      <c r="AJ241" s="104">
        <f t="shared" si="77"/>
        <v>1</v>
      </c>
      <c r="AK241" s="101" t="e">
        <f t="shared" si="78"/>
        <v>#DIV/0!</v>
      </c>
      <c r="AL241" s="50">
        <f t="shared" si="79"/>
        <v>0</v>
      </c>
      <c r="AM241" s="97">
        <f t="shared" si="80"/>
        <v>0</v>
      </c>
      <c r="AO241" s="99" t="e">
        <f t="shared" si="83"/>
        <v>#DIV/0!</v>
      </c>
      <c r="AP241" s="100" t="e">
        <f t="shared" si="81"/>
        <v>#DIV/0!</v>
      </c>
      <c r="AR241" s="100" t="e">
        <f t="shared" si="82"/>
        <v>#DIV/0!</v>
      </c>
    </row>
    <row r="242" spans="7:44" ht="12.75" customHeight="1">
      <c r="G242" s="100" t="e">
        <f t="shared" si="85"/>
        <v>#DIV/0!</v>
      </c>
      <c r="P242" s="100" t="e">
        <f t="shared" si="86"/>
        <v>#DIV/0!</v>
      </c>
      <c r="AA242" s="103">
        <f t="shared" si="87"/>
        <v>1</v>
      </c>
      <c r="AC242" s="101">
        <f t="shared" si="88"/>
        <v>0</v>
      </c>
      <c r="AG242" s="101" t="e">
        <f t="shared" si="89"/>
        <v>#DIV/0!</v>
      </c>
      <c r="AH242" s="101" t="e">
        <f t="shared" si="90"/>
        <v>#DIV/0!</v>
      </c>
      <c r="AJ242" s="104">
        <f t="shared" si="77"/>
        <v>1</v>
      </c>
      <c r="AK242" s="101" t="e">
        <f t="shared" si="78"/>
        <v>#DIV/0!</v>
      </c>
      <c r="AL242" s="50">
        <f t="shared" si="79"/>
        <v>0</v>
      </c>
      <c r="AM242" s="97">
        <f t="shared" si="80"/>
        <v>0</v>
      </c>
      <c r="AO242" s="99" t="e">
        <f t="shared" si="83"/>
        <v>#DIV/0!</v>
      </c>
      <c r="AP242" s="100" t="e">
        <f t="shared" si="81"/>
        <v>#DIV/0!</v>
      </c>
      <c r="AR242" s="100" t="e">
        <f t="shared" si="82"/>
        <v>#DIV/0!</v>
      </c>
    </row>
    <row r="243" spans="7:44" ht="12.75" customHeight="1">
      <c r="G243" s="100" t="e">
        <f t="shared" si="85"/>
        <v>#DIV/0!</v>
      </c>
      <c r="P243" s="100" t="e">
        <f t="shared" si="86"/>
        <v>#DIV/0!</v>
      </c>
      <c r="AA243" s="103">
        <f t="shared" si="87"/>
        <v>1</v>
      </c>
      <c r="AC243" s="101">
        <f t="shared" si="88"/>
        <v>0</v>
      </c>
      <c r="AG243" s="101" t="e">
        <f t="shared" si="89"/>
        <v>#DIV/0!</v>
      </c>
      <c r="AH243" s="101" t="e">
        <f t="shared" si="90"/>
        <v>#DIV/0!</v>
      </c>
      <c r="AJ243" s="104">
        <f t="shared" si="77"/>
        <v>1</v>
      </c>
      <c r="AK243" s="101" t="e">
        <f t="shared" si="78"/>
        <v>#DIV/0!</v>
      </c>
      <c r="AL243" s="50">
        <f t="shared" si="79"/>
        <v>0</v>
      </c>
      <c r="AM243" s="97">
        <f t="shared" si="80"/>
        <v>0</v>
      </c>
      <c r="AO243" s="99" t="e">
        <f t="shared" si="83"/>
        <v>#DIV/0!</v>
      </c>
      <c r="AP243" s="100" t="e">
        <f t="shared" si="81"/>
        <v>#DIV/0!</v>
      </c>
      <c r="AR243" s="100" t="e">
        <f t="shared" si="82"/>
        <v>#DIV/0!</v>
      </c>
    </row>
    <row r="244" spans="7:44" ht="12.75" customHeight="1">
      <c r="G244" s="100" t="e">
        <f t="shared" si="85"/>
        <v>#DIV/0!</v>
      </c>
      <c r="P244" s="100" t="e">
        <f t="shared" si="86"/>
        <v>#DIV/0!</v>
      </c>
      <c r="AA244" s="103">
        <f t="shared" si="87"/>
        <v>1</v>
      </c>
      <c r="AC244" s="101">
        <f t="shared" si="88"/>
        <v>0</v>
      </c>
      <c r="AG244" s="101" t="e">
        <f t="shared" si="89"/>
        <v>#DIV/0!</v>
      </c>
      <c r="AH244" s="101" t="e">
        <f t="shared" si="90"/>
        <v>#DIV/0!</v>
      </c>
      <c r="AJ244" s="104">
        <f t="shared" si="77"/>
        <v>1</v>
      </c>
      <c r="AK244" s="101" t="e">
        <f t="shared" si="78"/>
        <v>#DIV/0!</v>
      </c>
      <c r="AL244" s="50">
        <f t="shared" si="79"/>
        <v>0</v>
      </c>
      <c r="AM244" s="97">
        <f t="shared" si="80"/>
        <v>0</v>
      </c>
      <c r="AO244" s="99" t="e">
        <f t="shared" si="83"/>
        <v>#DIV/0!</v>
      </c>
      <c r="AP244" s="100" t="e">
        <f t="shared" si="81"/>
        <v>#DIV/0!</v>
      </c>
      <c r="AR244" s="100" t="e">
        <f t="shared" si="82"/>
        <v>#DIV/0!</v>
      </c>
    </row>
    <row r="245" spans="7:44" ht="12.75" customHeight="1">
      <c r="G245" s="100" t="e">
        <f t="shared" si="85"/>
        <v>#DIV/0!</v>
      </c>
      <c r="P245" s="100" t="e">
        <f t="shared" si="86"/>
        <v>#DIV/0!</v>
      </c>
      <c r="AA245" s="103">
        <f t="shared" si="87"/>
        <v>1</v>
      </c>
      <c r="AC245" s="101">
        <f t="shared" si="88"/>
        <v>0</v>
      </c>
      <c r="AG245" s="101" t="e">
        <f t="shared" si="89"/>
        <v>#DIV/0!</v>
      </c>
      <c r="AH245" s="101" t="e">
        <f t="shared" si="90"/>
        <v>#DIV/0!</v>
      </c>
      <c r="AJ245" s="104">
        <f t="shared" si="77"/>
        <v>1</v>
      </c>
      <c r="AK245" s="101" t="e">
        <f t="shared" si="78"/>
        <v>#DIV/0!</v>
      </c>
      <c r="AL245" s="50">
        <f t="shared" si="79"/>
        <v>0</v>
      </c>
      <c r="AM245" s="97">
        <f t="shared" si="80"/>
        <v>0</v>
      </c>
      <c r="AO245" s="99" t="e">
        <f t="shared" si="83"/>
        <v>#DIV/0!</v>
      </c>
      <c r="AP245" s="100" t="e">
        <f t="shared" si="81"/>
        <v>#DIV/0!</v>
      </c>
      <c r="AR245" s="100" t="e">
        <f t="shared" si="82"/>
        <v>#DIV/0!</v>
      </c>
    </row>
    <row r="246" spans="7:44" ht="12.75" customHeight="1">
      <c r="G246" s="100" t="e">
        <f t="shared" si="85"/>
        <v>#DIV/0!</v>
      </c>
      <c r="P246" s="100" t="e">
        <f t="shared" si="86"/>
        <v>#DIV/0!</v>
      </c>
      <c r="AA246" s="103">
        <f t="shared" si="87"/>
        <v>1</v>
      </c>
      <c r="AC246" s="101">
        <f t="shared" si="88"/>
        <v>0</v>
      </c>
      <c r="AG246" s="101" t="e">
        <f t="shared" si="89"/>
        <v>#DIV/0!</v>
      </c>
      <c r="AH246" s="101" t="e">
        <f t="shared" si="90"/>
        <v>#DIV/0!</v>
      </c>
      <c r="AJ246" s="104">
        <f t="shared" si="77"/>
        <v>1</v>
      </c>
      <c r="AK246" s="101" t="e">
        <f t="shared" si="78"/>
        <v>#DIV/0!</v>
      </c>
      <c r="AL246" s="50">
        <f t="shared" si="79"/>
        <v>0</v>
      </c>
      <c r="AM246" s="97">
        <f t="shared" si="80"/>
        <v>0</v>
      </c>
      <c r="AO246" s="99" t="e">
        <f t="shared" si="83"/>
        <v>#DIV/0!</v>
      </c>
      <c r="AP246" s="100" t="e">
        <f t="shared" si="81"/>
        <v>#DIV/0!</v>
      </c>
      <c r="AR246" s="100" t="e">
        <f t="shared" si="82"/>
        <v>#DIV/0!</v>
      </c>
    </row>
    <row r="247" spans="7:44" ht="12.75" customHeight="1">
      <c r="G247" s="100" t="e">
        <f t="shared" si="85"/>
        <v>#DIV/0!</v>
      </c>
      <c r="P247" s="100" t="e">
        <f t="shared" si="86"/>
        <v>#DIV/0!</v>
      </c>
      <c r="AA247" s="103">
        <f t="shared" si="87"/>
        <v>1</v>
      </c>
      <c r="AC247" s="101">
        <f t="shared" si="88"/>
        <v>0</v>
      </c>
      <c r="AG247" s="101" t="e">
        <f t="shared" si="89"/>
        <v>#DIV/0!</v>
      </c>
      <c r="AH247" s="101" t="e">
        <f t="shared" si="90"/>
        <v>#DIV/0!</v>
      </c>
      <c r="AJ247" s="104">
        <f t="shared" si="77"/>
        <v>1</v>
      </c>
      <c r="AK247" s="101" t="e">
        <f t="shared" si="78"/>
        <v>#DIV/0!</v>
      </c>
      <c r="AL247" s="50">
        <f t="shared" si="79"/>
        <v>0</v>
      </c>
      <c r="AM247" s="97">
        <f t="shared" si="80"/>
        <v>0</v>
      </c>
      <c r="AO247" s="99" t="e">
        <f t="shared" si="83"/>
        <v>#DIV/0!</v>
      </c>
      <c r="AP247" s="100" t="e">
        <f t="shared" si="81"/>
        <v>#DIV/0!</v>
      </c>
      <c r="AR247" s="100" t="e">
        <f t="shared" si="82"/>
        <v>#DIV/0!</v>
      </c>
    </row>
    <row r="248" spans="7:44" ht="12.75" customHeight="1">
      <c r="G248" s="100" t="e">
        <f t="shared" si="85"/>
        <v>#DIV/0!</v>
      </c>
      <c r="P248" s="100" t="e">
        <f t="shared" si="86"/>
        <v>#DIV/0!</v>
      </c>
      <c r="AA248" s="103">
        <f t="shared" si="87"/>
        <v>1</v>
      </c>
      <c r="AC248" s="101">
        <f t="shared" si="88"/>
        <v>0</v>
      </c>
      <c r="AG248" s="101" t="e">
        <f t="shared" si="89"/>
        <v>#DIV/0!</v>
      </c>
      <c r="AH248" s="101" t="e">
        <f t="shared" si="90"/>
        <v>#DIV/0!</v>
      </c>
      <c r="AJ248" s="104">
        <f t="shared" si="77"/>
        <v>1</v>
      </c>
      <c r="AK248" s="101" t="e">
        <f t="shared" si="78"/>
        <v>#DIV/0!</v>
      </c>
      <c r="AL248" s="50">
        <f t="shared" si="79"/>
        <v>0</v>
      </c>
      <c r="AM248" s="97">
        <f t="shared" si="80"/>
        <v>0</v>
      </c>
      <c r="AO248" s="99" t="e">
        <f t="shared" si="83"/>
        <v>#DIV/0!</v>
      </c>
      <c r="AP248" s="100" t="e">
        <f t="shared" si="81"/>
        <v>#DIV/0!</v>
      </c>
      <c r="AR248" s="100" t="e">
        <f t="shared" si="82"/>
        <v>#DIV/0!</v>
      </c>
    </row>
    <row r="249" spans="7:44" ht="12.75" customHeight="1">
      <c r="G249" s="100" t="e">
        <f t="shared" si="85"/>
        <v>#DIV/0!</v>
      </c>
      <c r="P249" s="100" t="e">
        <f t="shared" si="86"/>
        <v>#DIV/0!</v>
      </c>
      <c r="AA249" s="103">
        <f t="shared" si="87"/>
        <v>1</v>
      </c>
      <c r="AC249" s="101">
        <f t="shared" si="88"/>
        <v>0</v>
      </c>
      <c r="AG249" s="101" t="e">
        <f t="shared" si="89"/>
        <v>#DIV/0!</v>
      </c>
      <c r="AH249" s="101" t="e">
        <f t="shared" si="90"/>
        <v>#DIV/0!</v>
      </c>
      <c r="AJ249" s="104">
        <f t="shared" si="77"/>
        <v>1</v>
      </c>
      <c r="AK249" s="101" t="e">
        <f t="shared" si="78"/>
        <v>#DIV/0!</v>
      </c>
      <c r="AL249" s="50">
        <f t="shared" si="79"/>
        <v>0</v>
      </c>
      <c r="AM249" s="97">
        <f t="shared" si="80"/>
        <v>0</v>
      </c>
      <c r="AO249" s="99" t="e">
        <f t="shared" si="83"/>
        <v>#DIV/0!</v>
      </c>
      <c r="AP249" s="100" t="e">
        <f t="shared" si="81"/>
        <v>#DIV/0!</v>
      </c>
      <c r="AR249" s="100" t="e">
        <f t="shared" si="82"/>
        <v>#DIV/0!</v>
      </c>
    </row>
    <row r="250" spans="7:44" ht="12.75" customHeight="1">
      <c r="G250" s="100" t="e">
        <f t="shared" si="85"/>
        <v>#DIV/0!</v>
      </c>
      <c r="P250" s="100" t="e">
        <f t="shared" si="86"/>
        <v>#DIV/0!</v>
      </c>
      <c r="AA250" s="103">
        <f t="shared" si="87"/>
        <v>1</v>
      </c>
      <c r="AC250" s="101">
        <f t="shared" si="88"/>
        <v>0</v>
      </c>
      <c r="AG250" s="101" t="e">
        <f t="shared" si="89"/>
        <v>#DIV/0!</v>
      </c>
      <c r="AH250" s="101" t="e">
        <f t="shared" si="90"/>
        <v>#DIV/0!</v>
      </c>
      <c r="AJ250" s="104">
        <f t="shared" si="77"/>
        <v>1</v>
      </c>
      <c r="AK250" s="101" t="e">
        <f t="shared" si="78"/>
        <v>#DIV/0!</v>
      </c>
      <c r="AL250" s="50">
        <f t="shared" si="79"/>
        <v>0</v>
      </c>
      <c r="AM250" s="97">
        <f t="shared" si="80"/>
        <v>0</v>
      </c>
      <c r="AO250" s="99" t="e">
        <f t="shared" si="83"/>
        <v>#DIV/0!</v>
      </c>
      <c r="AP250" s="100" t="e">
        <f t="shared" si="81"/>
        <v>#DIV/0!</v>
      </c>
      <c r="AR250" s="100" t="e">
        <f t="shared" si="82"/>
        <v>#DIV/0!</v>
      </c>
    </row>
    <row r="251" spans="7:44" ht="12.75" customHeight="1">
      <c r="G251" s="100" t="e">
        <f t="shared" si="85"/>
        <v>#DIV/0!</v>
      </c>
      <c r="P251" s="100" t="e">
        <f t="shared" si="86"/>
        <v>#DIV/0!</v>
      </c>
      <c r="AA251" s="103">
        <f t="shared" si="87"/>
        <v>1</v>
      </c>
      <c r="AC251" s="101">
        <f t="shared" si="88"/>
        <v>0</v>
      </c>
      <c r="AG251" s="101" t="e">
        <f t="shared" si="89"/>
        <v>#DIV/0!</v>
      </c>
      <c r="AH251" s="101" t="e">
        <f t="shared" si="90"/>
        <v>#DIV/0!</v>
      </c>
      <c r="AJ251" s="104">
        <f t="shared" si="77"/>
        <v>1</v>
      </c>
      <c r="AK251" s="101" t="e">
        <f t="shared" si="78"/>
        <v>#DIV/0!</v>
      </c>
      <c r="AL251" s="50">
        <f t="shared" si="79"/>
        <v>0</v>
      </c>
      <c r="AM251" s="97">
        <f t="shared" si="80"/>
        <v>0</v>
      </c>
      <c r="AO251" s="99" t="e">
        <f t="shared" si="83"/>
        <v>#DIV/0!</v>
      </c>
      <c r="AP251" s="100" t="e">
        <f t="shared" si="81"/>
        <v>#DIV/0!</v>
      </c>
      <c r="AR251" s="100" t="e">
        <f t="shared" si="82"/>
        <v>#DIV/0!</v>
      </c>
    </row>
    <row r="252" spans="7:44" ht="12.75" customHeight="1">
      <c r="G252" s="100" t="e">
        <f t="shared" si="85"/>
        <v>#DIV/0!</v>
      </c>
      <c r="P252" s="100" t="e">
        <f t="shared" si="86"/>
        <v>#DIV/0!</v>
      </c>
      <c r="AA252" s="103">
        <f t="shared" si="87"/>
        <v>1</v>
      </c>
      <c r="AC252" s="101">
        <f t="shared" si="88"/>
        <v>0</v>
      </c>
      <c r="AG252" s="101" t="e">
        <f t="shared" si="89"/>
        <v>#DIV/0!</v>
      </c>
      <c r="AH252" s="101" t="e">
        <f t="shared" si="90"/>
        <v>#DIV/0!</v>
      </c>
      <c r="AJ252" s="104">
        <f t="shared" si="77"/>
        <v>1</v>
      </c>
      <c r="AK252" s="101" t="e">
        <f t="shared" si="78"/>
        <v>#DIV/0!</v>
      </c>
      <c r="AL252" s="50">
        <f t="shared" si="79"/>
        <v>0</v>
      </c>
      <c r="AM252" s="97">
        <f t="shared" si="80"/>
        <v>0</v>
      </c>
      <c r="AO252" s="99" t="e">
        <f t="shared" si="83"/>
        <v>#DIV/0!</v>
      </c>
      <c r="AP252" s="100" t="e">
        <f t="shared" si="81"/>
        <v>#DIV/0!</v>
      </c>
      <c r="AR252" s="100" t="e">
        <f t="shared" si="82"/>
        <v>#DIV/0!</v>
      </c>
    </row>
    <row r="253" spans="7:44" ht="12.75" customHeight="1">
      <c r="G253" s="100" t="e">
        <f t="shared" si="85"/>
        <v>#DIV/0!</v>
      </c>
      <c r="P253" s="100" t="e">
        <f t="shared" si="86"/>
        <v>#DIV/0!</v>
      </c>
      <c r="AA253" s="103">
        <f t="shared" si="87"/>
        <v>1</v>
      </c>
      <c r="AC253" s="101">
        <f t="shared" si="88"/>
        <v>0</v>
      </c>
      <c r="AG253" s="101" t="e">
        <f t="shared" si="89"/>
        <v>#DIV/0!</v>
      </c>
      <c r="AH253" s="101" t="e">
        <f t="shared" si="90"/>
        <v>#DIV/0!</v>
      </c>
      <c r="AJ253" s="104">
        <f t="shared" si="77"/>
        <v>1</v>
      </c>
      <c r="AK253" s="101" t="e">
        <f t="shared" si="78"/>
        <v>#DIV/0!</v>
      </c>
      <c r="AL253" s="50">
        <f t="shared" si="79"/>
        <v>0</v>
      </c>
      <c r="AM253" s="97">
        <f t="shared" si="80"/>
        <v>0</v>
      </c>
      <c r="AO253" s="99" t="e">
        <f t="shared" si="83"/>
        <v>#DIV/0!</v>
      </c>
      <c r="AP253" s="100" t="e">
        <f t="shared" si="81"/>
        <v>#DIV/0!</v>
      </c>
      <c r="AR253" s="100" t="e">
        <f t="shared" si="82"/>
        <v>#DIV/0!</v>
      </c>
    </row>
    <row r="254" spans="7:44" ht="12.75" customHeight="1">
      <c r="G254" s="100" t="e">
        <f t="shared" si="85"/>
        <v>#DIV/0!</v>
      </c>
      <c r="P254" s="100" t="e">
        <f t="shared" si="86"/>
        <v>#DIV/0!</v>
      </c>
      <c r="AA254" s="103">
        <f t="shared" si="87"/>
        <v>1</v>
      </c>
      <c r="AC254" s="101">
        <f t="shared" si="88"/>
        <v>0</v>
      </c>
      <c r="AG254" s="101" t="e">
        <f t="shared" si="89"/>
        <v>#DIV/0!</v>
      </c>
      <c r="AH254" s="101" t="e">
        <f t="shared" si="90"/>
        <v>#DIV/0!</v>
      </c>
      <c r="AJ254" s="104">
        <f t="shared" si="77"/>
        <v>1</v>
      </c>
      <c r="AK254" s="101" t="e">
        <f t="shared" si="78"/>
        <v>#DIV/0!</v>
      </c>
      <c r="AL254" s="50">
        <f t="shared" si="79"/>
        <v>0</v>
      </c>
      <c r="AM254" s="97">
        <f t="shared" si="80"/>
        <v>0</v>
      </c>
      <c r="AO254" s="99" t="e">
        <f t="shared" si="83"/>
        <v>#DIV/0!</v>
      </c>
      <c r="AP254" s="100" t="e">
        <f t="shared" si="81"/>
        <v>#DIV/0!</v>
      </c>
      <c r="AR254" s="100" t="e">
        <f t="shared" si="82"/>
        <v>#DIV/0!</v>
      </c>
    </row>
    <row r="255" spans="7:44" ht="12.75" customHeight="1">
      <c r="G255" s="100" t="e">
        <f t="shared" si="85"/>
        <v>#DIV/0!</v>
      </c>
      <c r="P255" s="100" t="e">
        <f t="shared" si="86"/>
        <v>#DIV/0!</v>
      </c>
      <c r="AA255" s="103">
        <f t="shared" si="87"/>
        <v>1</v>
      </c>
      <c r="AC255" s="101">
        <f t="shared" si="88"/>
        <v>0</v>
      </c>
      <c r="AG255" s="101" t="e">
        <f t="shared" si="89"/>
        <v>#DIV/0!</v>
      </c>
      <c r="AH255" s="101" t="e">
        <f t="shared" si="90"/>
        <v>#DIV/0!</v>
      </c>
      <c r="AJ255" s="104">
        <f t="shared" si="77"/>
        <v>1</v>
      </c>
      <c r="AK255" s="101" t="e">
        <f t="shared" si="78"/>
        <v>#DIV/0!</v>
      </c>
      <c r="AL255" s="50">
        <f t="shared" si="79"/>
        <v>0</v>
      </c>
      <c r="AM255" s="97">
        <f t="shared" si="80"/>
        <v>0</v>
      </c>
      <c r="AO255" s="99" t="e">
        <f t="shared" si="83"/>
        <v>#DIV/0!</v>
      </c>
      <c r="AP255" s="100" t="e">
        <f t="shared" si="81"/>
        <v>#DIV/0!</v>
      </c>
      <c r="AR255" s="100" t="e">
        <f t="shared" si="82"/>
        <v>#DIV/0!</v>
      </c>
    </row>
    <row r="256" spans="7:44" ht="12.75" customHeight="1">
      <c r="G256" s="100" t="e">
        <f t="shared" si="85"/>
        <v>#DIV/0!</v>
      </c>
      <c r="P256" s="100" t="e">
        <f t="shared" si="86"/>
        <v>#DIV/0!</v>
      </c>
      <c r="AA256" s="103">
        <f t="shared" si="87"/>
        <v>1</v>
      </c>
      <c r="AC256" s="101">
        <f t="shared" si="88"/>
        <v>0</v>
      </c>
      <c r="AG256" s="101" t="e">
        <f t="shared" si="89"/>
        <v>#DIV/0!</v>
      </c>
      <c r="AH256" s="101" t="e">
        <f t="shared" si="90"/>
        <v>#DIV/0!</v>
      </c>
      <c r="AJ256" s="104">
        <f t="shared" si="77"/>
        <v>1</v>
      </c>
      <c r="AK256" s="101" t="e">
        <f t="shared" si="78"/>
        <v>#DIV/0!</v>
      </c>
      <c r="AL256" s="50">
        <f t="shared" si="79"/>
        <v>0</v>
      </c>
      <c r="AM256" s="97">
        <f t="shared" si="80"/>
        <v>0</v>
      </c>
      <c r="AO256" s="99" t="e">
        <f t="shared" si="83"/>
        <v>#DIV/0!</v>
      </c>
      <c r="AP256" s="100" t="e">
        <f t="shared" si="81"/>
        <v>#DIV/0!</v>
      </c>
      <c r="AR256" s="100" t="e">
        <f t="shared" si="82"/>
        <v>#DIV/0!</v>
      </c>
    </row>
    <row r="257" spans="7:44" ht="12.75" customHeight="1">
      <c r="G257" s="100" t="e">
        <f t="shared" si="85"/>
        <v>#DIV/0!</v>
      </c>
      <c r="P257" s="100" t="e">
        <f t="shared" si="86"/>
        <v>#DIV/0!</v>
      </c>
      <c r="AA257" s="103">
        <f t="shared" si="87"/>
        <v>1</v>
      </c>
      <c r="AC257" s="101">
        <f t="shared" si="88"/>
        <v>0</v>
      </c>
      <c r="AG257" s="101" t="e">
        <f t="shared" si="89"/>
        <v>#DIV/0!</v>
      </c>
      <c r="AH257" s="101" t="e">
        <f t="shared" si="90"/>
        <v>#DIV/0!</v>
      </c>
      <c r="AJ257" s="104">
        <f t="shared" si="77"/>
        <v>1</v>
      </c>
      <c r="AK257" s="101" t="e">
        <f t="shared" si="78"/>
        <v>#DIV/0!</v>
      </c>
      <c r="AL257" s="50">
        <f t="shared" si="79"/>
        <v>0</v>
      </c>
      <c r="AM257" s="97">
        <f t="shared" si="80"/>
        <v>0</v>
      </c>
      <c r="AO257" s="99" t="e">
        <f t="shared" si="83"/>
        <v>#DIV/0!</v>
      </c>
      <c r="AP257" s="100" t="e">
        <f t="shared" si="81"/>
        <v>#DIV/0!</v>
      </c>
      <c r="AR257" s="100" t="e">
        <f t="shared" si="82"/>
        <v>#DIV/0!</v>
      </c>
    </row>
    <row r="258" spans="7:44" ht="12.75" customHeight="1">
      <c r="G258" s="100" t="e">
        <f t="shared" si="85"/>
        <v>#DIV/0!</v>
      </c>
      <c r="P258" s="100" t="e">
        <f t="shared" si="86"/>
        <v>#DIV/0!</v>
      </c>
      <c r="AA258" s="103">
        <f t="shared" si="87"/>
        <v>1</v>
      </c>
      <c r="AC258" s="101">
        <f t="shared" si="88"/>
        <v>0</v>
      </c>
      <c r="AG258" s="101" t="e">
        <f t="shared" si="89"/>
        <v>#DIV/0!</v>
      </c>
      <c r="AH258" s="101" t="e">
        <f t="shared" si="90"/>
        <v>#DIV/0!</v>
      </c>
      <c r="AJ258" s="104">
        <f t="shared" ref="AJ258:AJ321" si="91">IF(AI258&gt;12.8,IF(AI258&gt;15.8,0.95,0.98),1)</f>
        <v>1</v>
      </c>
      <c r="AK258" s="101" t="e">
        <f t="shared" ref="AK258:AK321" si="92">((AG258*2.6+AH258)*AJ258*AQ258)</f>
        <v>#DIV/0!</v>
      </c>
      <c r="AL258" s="50">
        <f t="shared" ref="AL258:AL321" si="93">D258</f>
        <v>0</v>
      </c>
      <c r="AM258" s="97">
        <f t="shared" ref="AM258:AM321" si="94">B258</f>
        <v>0</v>
      </c>
      <c r="AO258" s="99" t="e">
        <f t="shared" si="83"/>
        <v>#DIV/0!</v>
      </c>
      <c r="AP258" s="100" t="e">
        <f t="shared" ref="AP258:AP321" si="95">IF(AK258&gt;23.2,IF(Y258&lt;300,IF(Y258&lt;35,IF(Y258&lt;8,3,2),1),0),0)</f>
        <v>#DIV/0!</v>
      </c>
      <c r="AR258" s="100" t="e">
        <f t="shared" ref="AR258:AR321" si="96">IF(AO258=1,IF(AO258=AL258,1,0),5)</f>
        <v>#DIV/0!</v>
      </c>
    </row>
    <row r="259" spans="7:44" ht="12.75" customHeight="1">
      <c r="G259" s="100" t="e">
        <f t="shared" si="85"/>
        <v>#DIV/0!</v>
      </c>
      <c r="P259" s="100" t="e">
        <f t="shared" si="86"/>
        <v>#DIV/0!</v>
      </c>
      <c r="AA259" s="103">
        <f t="shared" si="87"/>
        <v>1</v>
      </c>
      <c r="AC259" s="101">
        <f t="shared" si="88"/>
        <v>0</v>
      </c>
      <c r="AG259" s="101" t="e">
        <f t="shared" si="89"/>
        <v>#DIV/0!</v>
      </c>
      <c r="AH259" s="101" t="e">
        <f t="shared" si="90"/>
        <v>#DIV/0!</v>
      </c>
      <c r="AJ259" s="104">
        <f t="shared" si="91"/>
        <v>1</v>
      </c>
      <c r="AK259" s="101" t="e">
        <f t="shared" si="92"/>
        <v>#DIV/0!</v>
      </c>
      <c r="AL259" s="50">
        <f t="shared" si="93"/>
        <v>0</v>
      </c>
      <c r="AM259" s="97">
        <f t="shared" si="94"/>
        <v>0</v>
      </c>
      <c r="AO259" s="99" t="e">
        <f t="shared" ref="AO259:AO322" si="97">IF(AK259&gt;24.2,IF(Z259&lt;140,1,0),0)</f>
        <v>#DIV/0!</v>
      </c>
      <c r="AP259" s="100" t="e">
        <f t="shared" si="95"/>
        <v>#DIV/0!</v>
      </c>
      <c r="AR259" s="100" t="e">
        <f t="shared" si="96"/>
        <v>#DIV/0!</v>
      </c>
    </row>
    <row r="260" spans="7:44" ht="12.75" customHeight="1">
      <c r="G260" s="100" t="e">
        <f t="shared" si="85"/>
        <v>#DIV/0!</v>
      </c>
      <c r="P260" s="100" t="e">
        <f t="shared" si="86"/>
        <v>#DIV/0!</v>
      </c>
      <c r="AA260" s="103">
        <f t="shared" si="87"/>
        <v>1</v>
      </c>
      <c r="AC260" s="101">
        <f t="shared" si="88"/>
        <v>0</v>
      </c>
      <c r="AG260" s="101" t="e">
        <f t="shared" si="89"/>
        <v>#DIV/0!</v>
      </c>
      <c r="AH260" s="101" t="e">
        <f t="shared" si="90"/>
        <v>#DIV/0!</v>
      </c>
      <c r="AJ260" s="104">
        <f t="shared" si="91"/>
        <v>1</v>
      </c>
      <c r="AK260" s="101" t="e">
        <f t="shared" si="92"/>
        <v>#DIV/0!</v>
      </c>
      <c r="AL260" s="50">
        <f t="shared" si="93"/>
        <v>0</v>
      </c>
      <c r="AM260" s="97">
        <f t="shared" si="94"/>
        <v>0</v>
      </c>
      <c r="AO260" s="99" t="e">
        <f t="shared" si="97"/>
        <v>#DIV/0!</v>
      </c>
      <c r="AP260" s="100" t="e">
        <f t="shared" si="95"/>
        <v>#DIV/0!</v>
      </c>
      <c r="AR260" s="100" t="e">
        <f t="shared" si="96"/>
        <v>#DIV/0!</v>
      </c>
    </row>
    <row r="261" spans="7:44" ht="12.75" customHeight="1">
      <c r="G261" s="100" t="e">
        <f t="shared" si="85"/>
        <v>#DIV/0!</v>
      </c>
      <c r="P261" s="100" t="e">
        <f t="shared" si="86"/>
        <v>#DIV/0!</v>
      </c>
      <c r="AA261" s="103">
        <f t="shared" si="87"/>
        <v>1</v>
      </c>
      <c r="AC261" s="101">
        <f t="shared" si="88"/>
        <v>0</v>
      </c>
      <c r="AG261" s="101" t="e">
        <f t="shared" si="89"/>
        <v>#DIV/0!</v>
      </c>
      <c r="AH261" s="101" t="e">
        <f t="shared" si="90"/>
        <v>#DIV/0!</v>
      </c>
      <c r="AJ261" s="104">
        <f t="shared" si="91"/>
        <v>1</v>
      </c>
      <c r="AK261" s="101" t="e">
        <f t="shared" si="92"/>
        <v>#DIV/0!</v>
      </c>
      <c r="AL261" s="50">
        <f t="shared" si="93"/>
        <v>0</v>
      </c>
      <c r="AM261" s="97">
        <f t="shared" si="94"/>
        <v>0</v>
      </c>
      <c r="AO261" s="99" t="e">
        <f t="shared" si="97"/>
        <v>#DIV/0!</v>
      </c>
      <c r="AP261" s="100" t="e">
        <f t="shared" si="95"/>
        <v>#DIV/0!</v>
      </c>
      <c r="AR261" s="100" t="e">
        <f t="shared" si="96"/>
        <v>#DIV/0!</v>
      </c>
    </row>
    <row r="262" spans="7:44" ht="12.75" customHeight="1">
      <c r="G262" s="100" t="e">
        <f t="shared" si="85"/>
        <v>#DIV/0!</v>
      </c>
      <c r="P262" s="100" t="e">
        <f t="shared" si="86"/>
        <v>#DIV/0!</v>
      </c>
      <c r="AA262" s="103">
        <f t="shared" si="87"/>
        <v>1</v>
      </c>
      <c r="AC262" s="101">
        <f t="shared" si="88"/>
        <v>0</v>
      </c>
      <c r="AG262" s="101" t="e">
        <f t="shared" si="89"/>
        <v>#DIV/0!</v>
      </c>
      <c r="AH262" s="101" t="e">
        <f t="shared" si="90"/>
        <v>#DIV/0!</v>
      </c>
      <c r="AJ262" s="104">
        <f t="shared" si="91"/>
        <v>1</v>
      </c>
      <c r="AK262" s="101" t="e">
        <f t="shared" si="92"/>
        <v>#DIV/0!</v>
      </c>
      <c r="AL262" s="50">
        <f t="shared" si="93"/>
        <v>0</v>
      </c>
      <c r="AM262" s="97">
        <f t="shared" si="94"/>
        <v>0</v>
      </c>
      <c r="AO262" s="99" t="e">
        <f t="shared" si="97"/>
        <v>#DIV/0!</v>
      </c>
      <c r="AP262" s="100" t="e">
        <f t="shared" si="95"/>
        <v>#DIV/0!</v>
      </c>
      <c r="AR262" s="100" t="e">
        <f t="shared" si="96"/>
        <v>#DIV/0!</v>
      </c>
    </row>
    <row r="263" spans="7:44" ht="12.75" customHeight="1">
      <c r="G263" s="100" t="e">
        <f t="shared" si="85"/>
        <v>#DIV/0!</v>
      </c>
      <c r="P263" s="100" t="e">
        <f t="shared" si="86"/>
        <v>#DIV/0!</v>
      </c>
      <c r="AA263" s="103">
        <f t="shared" si="87"/>
        <v>1</v>
      </c>
      <c r="AC263" s="101">
        <f t="shared" si="88"/>
        <v>0</v>
      </c>
      <c r="AG263" s="101" t="e">
        <f t="shared" si="89"/>
        <v>#DIV/0!</v>
      </c>
      <c r="AH263" s="101" t="e">
        <f t="shared" si="90"/>
        <v>#DIV/0!</v>
      </c>
      <c r="AJ263" s="104">
        <f t="shared" si="91"/>
        <v>1</v>
      </c>
      <c r="AK263" s="101" t="e">
        <f t="shared" si="92"/>
        <v>#DIV/0!</v>
      </c>
      <c r="AL263" s="50">
        <f t="shared" si="93"/>
        <v>0</v>
      </c>
      <c r="AM263" s="97">
        <f t="shared" si="94"/>
        <v>0</v>
      </c>
      <c r="AO263" s="99" t="e">
        <f t="shared" si="97"/>
        <v>#DIV/0!</v>
      </c>
      <c r="AP263" s="100" t="e">
        <f t="shared" si="95"/>
        <v>#DIV/0!</v>
      </c>
      <c r="AR263" s="100" t="e">
        <f t="shared" si="96"/>
        <v>#DIV/0!</v>
      </c>
    </row>
    <row r="264" spans="7:44" ht="12.75" customHeight="1">
      <c r="G264" s="100" t="e">
        <f t="shared" si="85"/>
        <v>#DIV/0!</v>
      </c>
      <c r="P264" s="100" t="e">
        <f t="shared" si="86"/>
        <v>#DIV/0!</v>
      </c>
      <c r="AA264" s="103">
        <f t="shared" si="87"/>
        <v>1</v>
      </c>
      <c r="AC264" s="101">
        <f t="shared" si="88"/>
        <v>0</v>
      </c>
      <c r="AG264" s="101" t="e">
        <f t="shared" si="89"/>
        <v>#DIV/0!</v>
      </c>
      <c r="AH264" s="101" t="e">
        <f t="shared" si="90"/>
        <v>#DIV/0!</v>
      </c>
      <c r="AJ264" s="104">
        <f t="shared" si="91"/>
        <v>1</v>
      </c>
      <c r="AK264" s="101" t="e">
        <f t="shared" si="92"/>
        <v>#DIV/0!</v>
      </c>
      <c r="AL264" s="50">
        <f t="shared" si="93"/>
        <v>0</v>
      </c>
      <c r="AM264" s="97">
        <f t="shared" si="94"/>
        <v>0</v>
      </c>
      <c r="AO264" s="99" t="e">
        <f t="shared" si="97"/>
        <v>#DIV/0!</v>
      </c>
      <c r="AP264" s="100" t="e">
        <f t="shared" si="95"/>
        <v>#DIV/0!</v>
      </c>
      <c r="AR264" s="100" t="e">
        <f t="shared" si="96"/>
        <v>#DIV/0!</v>
      </c>
    </row>
    <row r="265" spans="7:44" ht="12.75" customHeight="1">
      <c r="G265" s="100" t="e">
        <f t="shared" si="85"/>
        <v>#DIV/0!</v>
      </c>
      <c r="P265" s="100" t="e">
        <f t="shared" si="86"/>
        <v>#DIV/0!</v>
      </c>
      <c r="AA265" s="103">
        <f t="shared" si="87"/>
        <v>1</v>
      </c>
      <c r="AC265" s="101">
        <f t="shared" si="88"/>
        <v>0</v>
      </c>
      <c r="AG265" s="101" t="e">
        <f t="shared" si="89"/>
        <v>#DIV/0!</v>
      </c>
      <c r="AH265" s="101" t="e">
        <f t="shared" si="90"/>
        <v>#DIV/0!</v>
      </c>
      <c r="AJ265" s="104">
        <f t="shared" si="91"/>
        <v>1</v>
      </c>
      <c r="AK265" s="101" t="e">
        <f t="shared" si="92"/>
        <v>#DIV/0!</v>
      </c>
      <c r="AL265" s="50">
        <f t="shared" si="93"/>
        <v>0</v>
      </c>
      <c r="AM265" s="97">
        <f t="shared" si="94"/>
        <v>0</v>
      </c>
      <c r="AO265" s="99" t="e">
        <f t="shared" si="97"/>
        <v>#DIV/0!</v>
      </c>
      <c r="AP265" s="100" t="e">
        <f t="shared" si="95"/>
        <v>#DIV/0!</v>
      </c>
      <c r="AR265" s="100" t="e">
        <f t="shared" si="96"/>
        <v>#DIV/0!</v>
      </c>
    </row>
    <row r="266" spans="7:44" ht="12.75" customHeight="1">
      <c r="G266" s="100" t="e">
        <f t="shared" si="85"/>
        <v>#DIV/0!</v>
      </c>
      <c r="P266" s="100" t="e">
        <f t="shared" si="86"/>
        <v>#DIV/0!</v>
      </c>
      <c r="AA266" s="103">
        <f t="shared" si="87"/>
        <v>1</v>
      </c>
      <c r="AC266" s="101">
        <f t="shared" si="88"/>
        <v>0</v>
      </c>
      <c r="AG266" s="101" t="e">
        <f t="shared" si="89"/>
        <v>#DIV/0!</v>
      </c>
      <c r="AH266" s="101" t="e">
        <f t="shared" si="90"/>
        <v>#DIV/0!</v>
      </c>
      <c r="AJ266" s="104">
        <f t="shared" si="91"/>
        <v>1</v>
      </c>
      <c r="AK266" s="101" t="e">
        <f t="shared" si="92"/>
        <v>#DIV/0!</v>
      </c>
      <c r="AL266" s="50">
        <f t="shared" si="93"/>
        <v>0</v>
      </c>
      <c r="AM266" s="97">
        <f t="shared" si="94"/>
        <v>0</v>
      </c>
      <c r="AO266" s="99" t="e">
        <f t="shared" si="97"/>
        <v>#DIV/0!</v>
      </c>
      <c r="AP266" s="100" t="e">
        <f t="shared" si="95"/>
        <v>#DIV/0!</v>
      </c>
      <c r="AR266" s="100" t="e">
        <f t="shared" si="96"/>
        <v>#DIV/0!</v>
      </c>
    </row>
    <row r="267" spans="7:44" ht="12.75" customHeight="1">
      <c r="G267" s="100" t="e">
        <f t="shared" si="85"/>
        <v>#DIV/0!</v>
      </c>
      <c r="P267" s="100" t="e">
        <f t="shared" si="86"/>
        <v>#DIV/0!</v>
      </c>
      <c r="AA267" s="103">
        <f t="shared" si="87"/>
        <v>1</v>
      </c>
      <c r="AC267" s="101">
        <f t="shared" si="88"/>
        <v>0</v>
      </c>
      <c r="AG267" s="101" t="e">
        <f t="shared" si="89"/>
        <v>#DIV/0!</v>
      </c>
      <c r="AH267" s="101" t="e">
        <f t="shared" si="90"/>
        <v>#DIV/0!</v>
      </c>
      <c r="AJ267" s="104">
        <f t="shared" si="91"/>
        <v>1</v>
      </c>
      <c r="AK267" s="101" t="e">
        <f t="shared" si="92"/>
        <v>#DIV/0!</v>
      </c>
      <c r="AL267" s="50">
        <f t="shared" si="93"/>
        <v>0</v>
      </c>
      <c r="AM267" s="97">
        <f t="shared" si="94"/>
        <v>0</v>
      </c>
      <c r="AO267" s="99" t="e">
        <f t="shared" si="97"/>
        <v>#DIV/0!</v>
      </c>
      <c r="AP267" s="100" t="e">
        <f t="shared" si="95"/>
        <v>#DIV/0!</v>
      </c>
      <c r="AR267" s="100" t="e">
        <f t="shared" si="96"/>
        <v>#DIV/0!</v>
      </c>
    </row>
    <row r="268" spans="7:44" ht="12.75" customHeight="1">
      <c r="G268" s="100" t="e">
        <f t="shared" si="85"/>
        <v>#DIV/0!</v>
      </c>
      <c r="P268" s="100" t="e">
        <f t="shared" si="86"/>
        <v>#DIV/0!</v>
      </c>
      <c r="AA268" s="103">
        <f t="shared" si="87"/>
        <v>1</v>
      </c>
      <c r="AC268" s="101">
        <f t="shared" si="88"/>
        <v>0</v>
      </c>
      <c r="AG268" s="101" t="e">
        <f t="shared" si="89"/>
        <v>#DIV/0!</v>
      </c>
      <c r="AH268" s="101" t="e">
        <f t="shared" si="90"/>
        <v>#DIV/0!</v>
      </c>
      <c r="AJ268" s="104">
        <f t="shared" si="91"/>
        <v>1</v>
      </c>
      <c r="AK268" s="101" t="e">
        <f t="shared" si="92"/>
        <v>#DIV/0!</v>
      </c>
      <c r="AL268" s="50">
        <f t="shared" si="93"/>
        <v>0</v>
      </c>
      <c r="AM268" s="97">
        <f t="shared" si="94"/>
        <v>0</v>
      </c>
      <c r="AO268" s="99" t="e">
        <f t="shared" si="97"/>
        <v>#DIV/0!</v>
      </c>
      <c r="AP268" s="100" t="e">
        <f t="shared" si="95"/>
        <v>#DIV/0!</v>
      </c>
      <c r="AR268" s="100" t="e">
        <f t="shared" si="96"/>
        <v>#DIV/0!</v>
      </c>
    </row>
    <row r="269" spans="7:44" ht="12.75" customHeight="1">
      <c r="G269" s="100" t="e">
        <f t="shared" si="85"/>
        <v>#DIV/0!</v>
      </c>
      <c r="P269" s="100" t="e">
        <f t="shared" si="86"/>
        <v>#DIV/0!</v>
      </c>
      <c r="AA269" s="103">
        <f t="shared" si="87"/>
        <v>1</v>
      </c>
      <c r="AC269" s="101">
        <f t="shared" si="88"/>
        <v>0</v>
      </c>
      <c r="AG269" s="101" t="e">
        <f t="shared" si="89"/>
        <v>#DIV/0!</v>
      </c>
      <c r="AH269" s="101" t="e">
        <f t="shared" si="90"/>
        <v>#DIV/0!</v>
      </c>
      <c r="AJ269" s="104">
        <f t="shared" si="91"/>
        <v>1</v>
      </c>
      <c r="AK269" s="101" t="e">
        <f t="shared" si="92"/>
        <v>#DIV/0!</v>
      </c>
      <c r="AL269" s="50">
        <f t="shared" si="93"/>
        <v>0</v>
      </c>
      <c r="AM269" s="97">
        <f t="shared" si="94"/>
        <v>0</v>
      </c>
      <c r="AO269" s="99" t="e">
        <f t="shared" si="97"/>
        <v>#DIV/0!</v>
      </c>
      <c r="AP269" s="100" t="e">
        <f t="shared" si="95"/>
        <v>#DIV/0!</v>
      </c>
      <c r="AR269" s="100" t="e">
        <f t="shared" si="96"/>
        <v>#DIV/0!</v>
      </c>
    </row>
    <row r="270" spans="7:44" ht="12.75" customHeight="1">
      <c r="G270" s="100" t="e">
        <f t="shared" si="85"/>
        <v>#DIV/0!</v>
      </c>
      <c r="P270" s="100" t="e">
        <f t="shared" si="86"/>
        <v>#DIV/0!</v>
      </c>
      <c r="AA270" s="103">
        <f t="shared" si="87"/>
        <v>1</v>
      </c>
      <c r="AC270" s="101">
        <f t="shared" si="88"/>
        <v>0</v>
      </c>
      <c r="AG270" s="101" t="e">
        <f t="shared" si="89"/>
        <v>#DIV/0!</v>
      </c>
      <c r="AH270" s="101" t="e">
        <f t="shared" si="90"/>
        <v>#DIV/0!</v>
      </c>
      <c r="AJ270" s="104">
        <f t="shared" si="91"/>
        <v>1</v>
      </c>
      <c r="AK270" s="101" t="e">
        <f t="shared" si="92"/>
        <v>#DIV/0!</v>
      </c>
      <c r="AL270" s="50">
        <f t="shared" si="93"/>
        <v>0</v>
      </c>
      <c r="AM270" s="97">
        <f t="shared" si="94"/>
        <v>0</v>
      </c>
      <c r="AO270" s="99" t="e">
        <f t="shared" si="97"/>
        <v>#DIV/0!</v>
      </c>
      <c r="AP270" s="100" t="e">
        <f t="shared" si="95"/>
        <v>#DIV/0!</v>
      </c>
      <c r="AR270" s="100" t="e">
        <f t="shared" si="96"/>
        <v>#DIV/0!</v>
      </c>
    </row>
    <row r="271" spans="7:44" ht="12.75" customHeight="1">
      <c r="G271" s="100" t="e">
        <f t="shared" si="85"/>
        <v>#DIV/0!</v>
      </c>
      <c r="P271" s="100" t="e">
        <f t="shared" si="86"/>
        <v>#DIV/0!</v>
      </c>
      <c r="AA271" s="103">
        <f t="shared" si="87"/>
        <v>1</v>
      </c>
      <c r="AC271" s="101">
        <f t="shared" si="88"/>
        <v>0</v>
      </c>
      <c r="AG271" s="101" t="e">
        <f t="shared" si="89"/>
        <v>#DIV/0!</v>
      </c>
      <c r="AH271" s="101" t="e">
        <f t="shared" si="90"/>
        <v>#DIV/0!</v>
      </c>
      <c r="AJ271" s="104">
        <f t="shared" si="91"/>
        <v>1</v>
      </c>
      <c r="AK271" s="101" t="e">
        <f t="shared" si="92"/>
        <v>#DIV/0!</v>
      </c>
      <c r="AL271" s="50">
        <f t="shared" si="93"/>
        <v>0</v>
      </c>
      <c r="AM271" s="97">
        <f t="shared" si="94"/>
        <v>0</v>
      </c>
      <c r="AO271" s="99" t="e">
        <f t="shared" si="97"/>
        <v>#DIV/0!</v>
      </c>
      <c r="AP271" s="100" t="e">
        <f t="shared" si="95"/>
        <v>#DIV/0!</v>
      </c>
      <c r="AR271" s="100" t="e">
        <f t="shared" si="96"/>
        <v>#DIV/0!</v>
      </c>
    </row>
    <row r="272" spans="7:44" ht="12.75" customHeight="1">
      <c r="G272" s="100" t="e">
        <f t="shared" si="85"/>
        <v>#DIV/0!</v>
      </c>
      <c r="P272" s="100" t="e">
        <f t="shared" si="86"/>
        <v>#DIV/0!</v>
      </c>
      <c r="AA272" s="103">
        <f t="shared" si="87"/>
        <v>1</v>
      </c>
      <c r="AC272" s="101">
        <f t="shared" si="88"/>
        <v>0</v>
      </c>
      <c r="AG272" s="101" t="e">
        <f t="shared" si="89"/>
        <v>#DIV/0!</v>
      </c>
      <c r="AH272" s="101" t="e">
        <f t="shared" si="90"/>
        <v>#DIV/0!</v>
      </c>
      <c r="AJ272" s="104">
        <f t="shared" si="91"/>
        <v>1</v>
      </c>
      <c r="AK272" s="101" t="e">
        <f t="shared" si="92"/>
        <v>#DIV/0!</v>
      </c>
      <c r="AL272" s="50">
        <f t="shared" si="93"/>
        <v>0</v>
      </c>
      <c r="AM272" s="97">
        <f t="shared" si="94"/>
        <v>0</v>
      </c>
      <c r="AO272" s="99" t="e">
        <f t="shared" si="97"/>
        <v>#DIV/0!</v>
      </c>
      <c r="AP272" s="100" t="e">
        <f t="shared" si="95"/>
        <v>#DIV/0!</v>
      </c>
      <c r="AR272" s="100" t="e">
        <f t="shared" si="96"/>
        <v>#DIV/0!</v>
      </c>
    </row>
    <row r="273" spans="7:44" ht="12.75" customHeight="1">
      <c r="G273" s="100" t="e">
        <f t="shared" si="85"/>
        <v>#DIV/0!</v>
      </c>
      <c r="P273" s="100" t="e">
        <f t="shared" si="86"/>
        <v>#DIV/0!</v>
      </c>
      <c r="AA273" s="103">
        <f t="shared" si="87"/>
        <v>1</v>
      </c>
      <c r="AC273" s="101">
        <f t="shared" si="88"/>
        <v>0</v>
      </c>
      <c r="AG273" s="101" t="e">
        <f t="shared" si="89"/>
        <v>#DIV/0!</v>
      </c>
      <c r="AH273" s="101" t="e">
        <f t="shared" si="90"/>
        <v>#DIV/0!</v>
      </c>
      <c r="AJ273" s="104">
        <f t="shared" si="91"/>
        <v>1</v>
      </c>
      <c r="AK273" s="101" t="e">
        <f t="shared" si="92"/>
        <v>#DIV/0!</v>
      </c>
      <c r="AL273" s="50">
        <f t="shared" si="93"/>
        <v>0</v>
      </c>
      <c r="AM273" s="97">
        <f t="shared" si="94"/>
        <v>0</v>
      </c>
      <c r="AO273" s="99" t="e">
        <f t="shared" si="97"/>
        <v>#DIV/0!</v>
      </c>
      <c r="AP273" s="100" t="e">
        <f t="shared" si="95"/>
        <v>#DIV/0!</v>
      </c>
      <c r="AR273" s="100" t="e">
        <f t="shared" si="96"/>
        <v>#DIV/0!</v>
      </c>
    </row>
    <row r="274" spans="7:44" ht="12.75" customHeight="1">
      <c r="G274" s="100" t="e">
        <f t="shared" si="85"/>
        <v>#DIV/0!</v>
      </c>
      <c r="P274" s="100" t="e">
        <f t="shared" si="86"/>
        <v>#DIV/0!</v>
      </c>
      <c r="AA274" s="103">
        <f t="shared" si="87"/>
        <v>1</v>
      </c>
      <c r="AC274" s="101">
        <f t="shared" si="88"/>
        <v>0</v>
      </c>
      <c r="AG274" s="101" t="e">
        <f t="shared" si="89"/>
        <v>#DIV/0!</v>
      </c>
      <c r="AH274" s="101" t="e">
        <f t="shared" si="90"/>
        <v>#DIV/0!</v>
      </c>
      <c r="AJ274" s="104">
        <f t="shared" si="91"/>
        <v>1</v>
      </c>
      <c r="AK274" s="101" t="e">
        <f t="shared" si="92"/>
        <v>#DIV/0!</v>
      </c>
      <c r="AL274" s="50">
        <f t="shared" si="93"/>
        <v>0</v>
      </c>
      <c r="AM274" s="97">
        <f t="shared" si="94"/>
        <v>0</v>
      </c>
      <c r="AO274" s="99" t="e">
        <f t="shared" si="97"/>
        <v>#DIV/0!</v>
      </c>
      <c r="AP274" s="100" t="e">
        <f t="shared" si="95"/>
        <v>#DIV/0!</v>
      </c>
      <c r="AR274" s="100" t="e">
        <f t="shared" si="96"/>
        <v>#DIV/0!</v>
      </c>
    </row>
    <row r="275" spans="7:44" ht="12.75" customHeight="1">
      <c r="G275" s="100" t="e">
        <f t="shared" si="85"/>
        <v>#DIV/0!</v>
      </c>
      <c r="P275" s="100" t="e">
        <f t="shared" si="86"/>
        <v>#DIV/0!</v>
      </c>
      <c r="AA275" s="103">
        <f t="shared" si="87"/>
        <v>1</v>
      </c>
      <c r="AC275" s="101">
        <f t="shared" si="88"/>
        <v>0</v>
      </c>
      <c r="AG275" s="101" t="e">
        <f t="shared" si="89"/>
        <v>#DIV/0!</v>
      </c>
      <c r="AH275" s="101" t="e">
        <f t="shared" si="90"/>
        <v>#DIV/0!</v>
      </c>
      <c r="AJ275" s="104">
        <f t="shared" si="91"/>
        <v>1</v>
      </c>
      <c r="AK275" s="101" t="e">
        <f t="shared" si="92"/>
        <v>#DIV/0!</v>
      </c>
      <c r="AL275" s="50">
        <f t="shared" si="93"/>
        <v>0</v>
      </c>
      <c r="AM275" s="97">
        <f t="shared" si="94"/>
        <v>0</v>
      </c>
      <c r="AO275" s="99" t="e">
        <f t="shared" si="97"/>
        <v>#DIV/0!</v>
      </c>
      <c r="AP275" s="100" t="e">
        <f t="shared" si="95"/>
        <v>#DIV/0!</v>
      </c>
      <c r="AR275" s="100" t="e">
        <f t="shared" si="96"/>
        <v>#DIV/0!</v>
      </c>
    </row>
    <row r="276" spans="7:44" ht="12.75" customHeight="1">
      <c r="G276" s="100" t="e">
        <f t="shared" si="85"/>
        <v>#DIV/0!</v>
      </c>
      <c r="P276" s="100" t="e">
        <f t="shared" si="86"/>
        <v>#DIV/0!</v>
      </c>
      <c r="AA276" s="103">
        <f t="shared" si="87"/>
        <v>1</v>
      </c>
      <c r="AC276" s="101">
        <f t="shared" si="88"/>
        <v>0</v>
      </c>
      <c r="AG276" s="101" t="e">
        <f t="shared" si="89"/>
        <v>#DIV/0!</v>
      </c>
      <c r="AH276" s="101" t="e">
        <f t="shared" si="90"/>
        <v>#DIV/0!</v>
      </c>
      <c r="AJ276" s="104">
        <f t="shared" si="91"/>
        <v>1</v>
      </c>
      <c r="AK276" s="101" t="e">
        <f t="shared" si="92"/>
        <v>#DIV/0!</v>
      </c>
      <c r="AL276" s="50">
        <f t="shared" si="93"/>
        <v>0</v>
      </c>
      <c r="AM276" s="97">
        <f t="shared" si="94"/>
        <v>0</v>
      </c>
      <c r="AO276" s="99" t="e">
        <f t="shared" si="97"/>
        <v>#DIV/0!</v>
      </c>
      <c r="AP276" s="100" t="e">
        <f t="shared" si="95"/>
        <v>#DIV/0!</v>
      </c>
      <c r="AR276" s="100" t="e">
        <f t="shared" si="96"/>
        <v>#DIV/0!</v>
      </c>
    </row>
    <row r="277" spans="7:44" ht="12.75" customHeight="1">
      <c r="G277" s="100" t="e">
        <f t="shared" si="85"/>
        <v>#DIV/0!</v>
      </c>
      <c r="P277" s="100" t="e">
        <f t="shared" si="86"/>
        <v>#DIV/0!</v>
      </c>
      <c r="AA277" s="103">
        <f t="shared" si="87"/>
        <v>1</v>
      </c>
      <c r="AC277" s="101">
        <f t="shared" si="88"/>
        <v>0</v>
      </c>
      <c r="AG277" s="101" t="e">
        <f t="shared" si="89"/>
        <v>#DIV/0!</v>
      </c>
      <c r="AH277" s="101" t="e">
        <f t="shared" si="90"/>
        <v>#DIV/0!</v>
      </c>
      <c r="AJ277" s="104">
        <f t="shared" si="91"/>
        <v>1</v>
      </c>
      <c r="AK277" s="101" t="e">
        <f t="shared" si="92"/>
        <v>#DIV/0!</v>
      </c>
      <c r="AL277" s="50">
        <f t="shared" si="93"/>
        <v>0</v>
      </c>
      <c r="AM277" s="97">
        <f t="shared" si="94"/>
        <v>0</v>
      </c>
      <c r="AO277" s="99" t="e">
        <f t="shared" si="97"/>
        <v>#DIV/0!</v>
      </c>
      <c r="AP277" s="100" t="e">
        <f t="shared" si="95"/>
        <v>#DIV/0!</v>
      </c>
      <c r="AR277" s="100" t="e">
        <f t="shared" si="96"/>
        <v>#DIV/0!</v>
      </c>
    </row>
    <row r="278" spans="7:44" ht="12.75" customHeight="1">
      <c r="G278" s="100" t="e">
        <f t="shared" si="85"/>
        <v>#DIV/0!</v>
      </c>
      <c r="P278" s="100" t="e">
        <f t="shared" si="86"/>
        <v>#DIV/0!</v>
      </c>
      <c r="AA278" s="103">
        <f t="shared" si="87"/>
        <v>1</v>
      </c>
      <c r="AC278" s="101">
        <f t="shared" si="88"/>
        <v>0</v>
      </c>
      <c r="AG278" s="101" t="e">
        <f t="shared" si="89"/>
        <v>#DIV/0!</v>
      </c>
      <c r="AH278" s="101" t="e">
        <f t="shared" si="90"/>
        <v>#DIV/0!</v>
      </c>
      <c r="AJ278" s="104">
        <f t="shared" si="91"/>
        <v>1</v>
      </c>
      <c r="AK278" s="101" t="e">
        <f t="shared" si="92"/>
        <v>#DIV/0!</v>
      </c>
      <c r="AL278" s="50">
        <f t="shared" si="93"/>
        <v>0</v>
      </c>
      <c r="AM278" s="97">
        <f t="shared" si="94"/>
        <v>0</v>
      </c>
      <c r="AO278" s="99" t="e">
        <f t="shared" si="97"/>
        <v>#DIV/0!</v>
      </c>
      <c r="AP278" s="100" t="e">
        <f t="shared" si="95"/>
        <v>#DIV/0!</v>
      </c>
      <c r="AR278" s="100" t="e">
        <f t="shared" si="96"/>
        <v>#DIV/0!</v>
      </c>
    </row>
    <row r="279" spans="7:44" ht="12.75" customHeight="1">
      <c r="G279" s="100" t="e">
        <f t="shared" si="85"/>
        <v>#DIV/0!</v>
      </c>
      <c r="P279" s="100" t="e">
        <f t="shared" si="86"/>
        <v>#DIV/0!</v>
      </c>
      <c r="AA279" s="103">
        <f t="shared" si="87"/>
        <v>1</v>
      </c>
      <c r="AC279" s="101">
        <f t="shared" si="88"/>
        <v>0</v>
      </c>
      <c r="AG279" s="101" t="e">
        <f t="shared" si="89"/>
        <v>#DIV/0!</v>
      </c>
      <c r="AH279" s="101" t="e">
        <f t="shared" si="90"/>
        <v>#DIV/0!</v>
      </c>
      <c r="AJ279" s="104">
        <f t="shared" si="91"/>
        <v>1</v>
      </c>
      <c r="AK279" s="101" t="e">
        <f t="shared" si="92"/>
        <v>#DIV/0!</v>
      </c>
      <c r="AL279" s="50">
        <f t="shared" si="93"/>
        <v>0</v>
      </c>
      <c r="AM279" s="97">
        <f t="shared" si="94"/>
        <v>0</v>
      </c>
      <c r="AO279" s="99" t="e">
        <f t="shared" si="97"/>
        <v>#DIV/0!</v>
      </c>
      <c r="AP279" s="100" t="e">
        <f t="shared" si="95"/>
        <v>#DIV/0!</v>
      </c>
      <c r="AR279" s="100" t="e">
        <f t="shared" si="96"/>
        <v>#DIV/0!</v>
      </c>
    </row>
    <row r="280" spans="7:44" ht="12.75" customHeight="1">
      <c r="G280" s="100" t="e">
        <f t="shared" si="85"/>
        <v>#DIV/0!</v>
      </c>
      <c r="P280" s="100" t="e">
        <f t="shared" si="86"/>
        <v>#DIV/0!</v>
      </c>
      <c r="AA280" s="103">
        <f t="shared" si="87"/>
        <v>1</v>
      </c>
      <c r="AC280" s="101">
        <f t="shared" si="88"/>
        <v>0</v>
      </c>
      <c r="AG280" s="101" t="e">
        <f t="shared" si="89"/>
        <v>#DIV/0!</v>
      </c>
      <c r="AH280" s="101" t="e">
        <f t="shared" si="90"/>
        <v>#DIV/0!</v>
      </c>
      <c r="AJ280" s="104">
        <f t="shared" si="91"/>
        <v>1</v>
      </c>
      <c r="AK280" s="101" t="e">
        <f t="shared" si="92"/>
        <v>#DIV/0!</v>
      </c>
      <c r="AL280" s="50">
        <f t="shared" si="93"/>
        <v>0</v>
      </c>
      <c r="AM280" s="97">
        <f t="shared" si="94"/>
        <v>0</v>
      </c>
      <c r="AO280" s="99" t="e">
        <f t="shared" si="97"/>
        <v>#DIV/0!</v>
      </c>
      <c r="AP280" s="100" t="e">
        <f t="shared" si="95"/>
        <v>#DIV/0!</v>
      </c>
      <c r="AR280" s="100" t="e">
        <f t="shared" si="96"/>
        <v>#DIV/0!</v>
      </c>
    </row>
    <row r="281" spans="7:44" ht="12.75" customHeight="1">
      <c r="G281" s="100" t="e">
        <f t="shared" si="85"/>
        <v>#DIV/0!</v>
      </c>
      <c r="P281" s="100" t="e">
        <f t="shared" si="86"/>
        <v>#DIV/0!</v>
      </c>
      <c r="AA281" s="103">
        <f t="shared" si="87"/>
        <v>1</v>
      </c>
      <c r="AC281" s="101">
        <f t="shared" si="88"/>
        <v>0</v>
      </c>
      <c r="AG281" s="101" t="e">
        <f t="shared" si="89"/>
        <v>#DIV/0!</v>
      </c>
      <c r="AH281" s="101" t="e">
        <f t="shared" si="90"/>
        <v>#DIV/0!</v>
      </c>
      <c r="AJ281" s="104">
        <f t="shared" si="91"/>
        <v>1</v>
      </c>
      <c r="AK281" s="101" t="e">
        <f t="shared" si="92"/>
        <v>#DIV/0!</v>
      </c>
      <c r="AL281" s="50">
        <f t="shared" si="93"/>
        <v>0</v>
      </c>
      <c r="AM281" s="97">
        <f t="shared" si="94"/>
        <v>0</v>
      </c>
      <c r="AO281" s="99" t="e">
        <f t="shared" si="97"/>
        <v>#DIV/0!</v>
      </c>
      <c r="AP281" s="100" t="e">
        <f t="shared" si="95"/>
        <v>#DIV/0!</v>
      </c>
      <c r="AR281" s="100" t="e">
        <f t="shared" si="96"/>
        <v>#DIV/0!</v>
      </c>
    </row>
    <row r="282" spans="7:44" ht="12.75" customHeight="1">
      <c r="G282" s="100" t="e">
        <f t="shared" ref="G282:G345" si="98">100*(F282-E282)/F282</f>
        <v>#DIV/0!</v>
      </c>
      <c r="P282" s="100" t="e">
        <f t="shared" ref="P282:P345" si="99">O282/I282</f>
        <v>#DIV/0!</v>
      </c>
      <c r="AA282" s="103">
        <f t="shared" ref="AA282:AA345" si="100">IF(X282&lt;33,IF(Y282&gt;(1.1*X282),0,1),1)+IF(Y282&gt;(4*X282),-1,0)</f>
        <v>1</v>
      </c>
      <c r="AC282" s="101">
        <f t="shared" ref="AC282:AC345" si="101">IF(AB282&gt;9,1,0)+AB282/3+IF(AB282&gt;15,1,0)+IF(AB282&gt;20,1,0)</f>
        <v>0</v>
      </c>
      <c r="AG282" s="101" t="e">
        <f t="shared" ref="AG282:AG345" si="102">IF(G282&lt;0,0,1.2)+IF(G282&lt;14,0,0.9)+IF(P282&lt;0,0.7,0)+IF(P282&lt;6.5,1,0)+IF(P282&lt;23,1,0)+IF(R282&gt;80,0,1)+S282+IF(AD282&lt;20,0,1)+IF(AE282&lt;14,0,1)+IF(AF282&lt;26,0,1)</f>
        <v>#DIV/0!</v>
      </c>
      <c r="AH282" s="101" t="e">
        <f t="shared" ref="AH282:AH345" si="103">AG282+IF(AG282&gt;6,1,0)+IF(X282&lt;17,0,1)+IF(Y282&lt;11,0,1)+IF(Z282&lt;1.35,0,1)+AC282+AA282</f>
        <v>#DIV/0!</v>
      </c>
      <c r="AJ282" s="104">
        <f t="shared" si="91"/>
        <v>1</v>
      </c>
      <c r="AK282" s="101" t="e">
        <f t="shared" si="92"/>
        <v>#DIV/0!</v>
      </c>
      <c r="AL282" s="50">
        <f t="shared" si="93"/>
        <v>0</v>
      </c>
      <c r="AM282" s="97">
        <f t="shared" si="94"/>
        <v>0</v>
      </c>
      <c r="AO282" s="99" t="e">
        <f t="shared" si="97"/>
        <v>#DIV/0!</v>
      </c>
      <c r="AP282" s="100" t="e">
        <f t="shared" si="95"/>
        <v>#DIV/0!</v>
      </c>
      <c r="AR282" s="100" t="e">
        <f t="shared" si="96"/>
        <v>#DIV/0!</v>
      </c>
    </row>
    <row r="283" spans="7:44" ht="12.75" customHeight="1">
      <c r="G283" s="100" t="e">
        <f t="shared" si="98"/>
        <v>#DIV/0!</v>
      </c>
      <c r="P283" s="100" t="e">
        <f t="shared" si="99"/>
        <v>#DIV/0!</v>
      </c>
      <c r="AA283" s="103">
        <f t="shared" si="100"/>
        <v>1</v>
      </c>
      <c r="AC283" s="101">
        <f t="shared" si="101"/>
        <v>0</v>
      </c>
      <c r="AG283" s="101" t="e">
        <f t="shared" si="102"/>
        <v>#DIV/0!</v>
      </c>
      <c r="AH283" s="101" t="e">
        <f t="shared" si="103"/>
        <v>#DIV/0!</v>
      </c>
      <c r="AJ283" s="104">
        <f t="shared" si="91"/>
        <v>1</v>
      </c>
      <c r="AK283" s="101" t="e">
        <f t="shared" si="92"/>
        <v>#DIV/0!</v>
      </c>
      <c r="AL283" s="50">
        <f t="shared" si="93"/>
        <v>0</v>
      </c>
      <c r="AM283" s="97">
        <f t="shared" si="94"/>
        <v>0</v>
      </c>
      <c r="AO283" s="99" t="e">
        <f t="shared" si="97"/>
        <v>#DIV/0!</v>
      </c>
      <c r="AP283" s="100" t="e">
        <f t="shared" si="95"/>
        <v>#DIV/0!</v>
      </c>
      <c r="AR283" s="100" t="e">
        <f t="shared" si="96"/>
        <v>#DIV/0!</v>
      </c>
    </row>
    <row r="284" spans="7:44" ht="12.75" customHeight="1">
      <c r="G284" s="100" t="e">
        <f t="shared" si="98"/>
        <v>#DIV/0!</v>
      </c>
      <c r="P284" s="100" t="e">
        <f t="shared" si="99"/>
        <v>#DIV/0!</v>
      </c>
      <c r="AA284" s="103">
        <f t="shared" si="100"/>
        <v>1</v>
      </c>
      <c r="AC284" s="101">
        <f t="shared" si="101"/>
        <v>0</v>
      </c>
      <c r="AG284" s="101" t="e">
        <f t="shared" si="102"/>
        <v>#DIV/0!</v>
      </c>
      <c r="AH284" s="101" t="e">
        <f t="shared" si="103"/>
        <v>#DIV/0!</v>
      </c>
      <c r="AJ284" s="104">
        <f t="shared" si="91"/>
        <v>1</v>
      </c>
      <c r="AK284" s="101" t="e">
        <f t="shared" si="92"/>
        <v>#DIV/0!</v>
      </c>
      <c r="AL284" s="50">
        <f t="shared" si="93"/>
        <v>0</v>
      </c>
      <c r="AM284" s="97">
        <f t="shared" si="94"/>
        <v>0</v>
      </c>
      <c r="AO284" s="99" t="e">
        <f t="shared" si="97"/>
        <v>#DIV/0!</v>
      </c>
      <c r="AP284" s="100" t="e">
        <f t="shared" si="95"/>
        <v>#DIV/0!</v>
      </c>
      <c r="AR284" s="100" t="e">
        <f t="shared" si="96"/>
        <v>#DIV/0!</v>
      </c>
    </row>
    <row r="285" spans="7:44" ht="12.75" customHeight="1">
      <c r="G285" s="100" t="e">
        <f t="shared" si="98"/>
        <v>#DIV/0!</v>
      </c>
      <c r="P285" s="100" t="e">
        <f t="shared" si="99"/>
        <v>#DIV/0!</v>
      </c>
      <c r="AA285" s="103">
        <f t="shared" si="100"/>
        <v>1</v>
      </c>
      <c r="AC285" s="101">
        <f t="shared" si="101"/>
        <v>0</v>
      </c>
      <c r="AG285" s="101" t="e">
        <f t="shared" si="102"/>
        <v>#DIV/0!</v>
      </c>
      <c r="AH285" s="101" t="e">
        <f t="shared" si="103"/>
        <v>#DIV/0!</v>
      </c>
      <c r="AJ285" s="104">
        <f t="shared" si="91"/>
        <v>1</v>
      </c>
      <c r="AK285" s="101" t="e">
        <f t="shared" si="92"/>
        <v>#DIV/0!</v>
      </c>
      <c r="AL285" s="50">
        <f t="shared" si="93"/>
        <v>0</v>
      </c>
      <c r="AM285" s="97">
        <f t="shared" si="94"/>
        <v>0</v>
      </c>
      <c r="AO285" s="99" t="e">
        <f t="shared" si="97"/>
        <v>#DIV/0!</v>
      </c>
      <c r="AP285" s="100" t="e">
        <f t="shared" si="95"/>
        <v>#DIV/0!</v>
      </c>
      <c r="AR285" s="100" t="e">
        <f t="shared" si="96"/>
        <v>#DIV/0!</v>
      </c>
    </row>
    <row r="286" spans="7:44" ht="12.75" customHeight="1">
      <c r="G286" s="100" t="e">
        <f t="shared" si="98"/>
        <v>#DIV/0!</v>
      </c>
      <c r="P286" s="100" t="e">
        <f t="shared" si="99"/>
        <v>#DIV/0!</v>
      </c>
      <c r="AA286" s="103">
        <f t="shared" si="100"/>
        <v>1</v>
      </c>
      <c r="AC286" s="101">
        <f t="shared" si="101"/>
        <v>0</v>
      </c>
      <c r="AG286" s="101" t="e">
        <f t="shared" si="102"/>
        <v>#DIV/0!</v>
      </c>
      <c r="AH286" s="101" t="e">
        <f t="shared" si="103"/>
        <v>#DIV/0!</v>
      </c>
      <c r="AJ286" s="104">
        <f t="shared" si="91"/>
        <v>1</v>
      </c>
      <c r="AK286" s="101" t="e">
        <f t="shared" si="92"/>
        <v>#DIV/0!</v>
      </c>
      <c r="AL286" s="50">
        <f t="shared" si="93"/>
        <v>0</v>
      </c>
      <c r="AM286" s="97">
        <f t="shared" si="94"/>
        <v>0</v>
      </c>
      <c r="AO286" s="99" t="e">
        <f t="shared" si="97"/>
        <v>#DIV/0!</v>
      </c>
      <c r="AP286" s="100" t="e">
        <f t="shared" si="95"/>
        <v>#DIV/0!</v>
      </c>
      <c r="AR286" s="100" t="e">
        <f t="shared" si="96"/>
        <v>#DIV/0!</v>
      </c>
    </row>
    <row r="287" spans="7:44" ht="12.75" customHeight="1">
      <c r="G287" s="100" t="e">
        <f t="shared" si="98"/>
        <v>#DIV/0!</v>
      </c>
      <c r="P287" s="100" t="e">
        <f t="shared" si="99"/>
        <v>#DIV/0!</v>
      </c>
      <c r="AA287" s="103">
        <f t="shared" si="100"/>
        <v>1</v>
      </c>
      <c r="AC287" s="101">
        <f t="shared" si="101"/>
        <v>0</v>
      </c>
      <c r="AG287" s="101" t="e">
        <f t="shared" si="102"/>
        <v>#DIV/0!</v>
      </c>
      <c r="AH287" s="101" t="e">
        <f t="shared" si="103"/>
        <v>#DIV/0!</v>
      </c>
      <c r="AJ287" s="104">
        <f t="shared" si="91"/>
        <v>1</v>
      </c>
      <c r="AK287" s="101" t="e">
        <f t="shared" si="92"/>
        <v>#DIV/0!</v>
      </c>
      <c r="AL287" s="50">
        <f t="shared" si="93"/>
        <v>0</v>
      </c>
      <c r="AM287" s="97">
        <f t="shared" si="94"/>
        <v>0</v>
      </c>
      <c r="AO287" s="99" t="e">
        <f t="shared" si="97"/>
        <v>#DIV/0!</v>
      </c>
      <c r="AP287" s="100" t="e">
        <f t="shared" si="95"/>
        <v>#DIV/0!</v>
      </c>
      <c r="AR287" s="100" t="e">
        <f t="shared" si="96"/>
        <v>#DIV/0!</v>
      </c>
    </row>
    <row r="288" spans="7:44" ht="12.75" customHeight="1">
      <c r="G288" s="100" t="e">
        <f t="shared" si="98"/>
        <v>#DIV/0!</v>
      </c>
      <c r="P288" s="100" t="e">
        <f t="shared" si="99"/>
        <v>#DIV/0!</v>
      </c>
      <c r="AA288" s="103">
        <f t="shared" si="100"/>
        <v>1</v>
      </c>
      <c r="AC288" s="101">
        <f t="shared" si="101"/>
        <v>0</v>
      </c>
      <c r="AG288" s="101" t="e">
        <f t="shared" si="102"/>
        <v>#DIV/0!</v>
      </c>
      <c r="AH288" s="101" t="e">
        <f t="shared" si="103"/>
        <v>#DIV/0!</v>
      </c>
      <c r="AJ288" s="104">
        <f t="shared" si="91"/>
        <v>1</v>
      </c>
      <c r="AK288" s="101" t="e">
        <f t="shared" si="92"/>
        <v>#DIV/0!</v>
      </c>
      <c r="AL288" s="50">
        <f t="shared" si="93"/>
        <v>0</v>
      </c>
      <c r="AM288" s="97">
        <f t="shared" si="94"/>
        <v>0</v>
      </c>
      <c r="AO288" s="99" t="e">
        <f t="shared" si="97"/>
        <v>#DIV/0!</v>
      </c>
      <c r="AP288" s="100" t="e">
        <f t="shared" si="95"/>
        <v>#DIV/0!</v>
      </c>
      <c r="AR288" s="100" t="e">
        <f t="shared" si="96"/>
        <v>#DIV/0!</v>
      </c>
    </row>
    <row r="289" spans="7:44" ht="12.75" customHeight="1">
      <c r="G289" s="100" t="e">
        <f t="shared" si="98"/>
        <v>#DIV/0!</v>
      </c>
      <c r="P289" s="100" t="e">
        <f t="shared" si="99"/>
        <v>#DIV/0!</v>
      </c>
      <c r="AA289" s="103">
        <f t="shared" si="100"/>
        <v>1</v>
      </c>
      <c r="AC289" s="101">
        <f t="shared" si="101"/>
        <v>0</v>
      </c>
      <c r="AG289" s="101" t="e">
        <f t="shared" si="102"/>
        <v>#DIV/0!</v>
      </c>
      <c r="AH289" s="101" t="e">
        <f t="shared" si="103"/>
        <v>#DIV/0!</v>
      </c>
      <c r="AJ289" s="104">
        <f t="shared" si="91"/>
        <v>1</v>
      </c>
      <c r="AK289" s="101" t="e">
        <f t="shared" si="92"/>
        <v>#DIV/0!</v>
      </c>
      <c r="AL289" s="50">
        <f t="shared" si="93"/>
        <v>0</v>
      </c>
      <c r="AM289" s="97">
        <f t="shared" si="94"/>
        <v>0</v>
      </c>
      <c r="AO289" s="99" t="e">
        <f t="shared" si="97"/>
        <v>#DIV/0!</v>
      </c>
      <c r="AP289" s="100" t="e">
        <f t="shared" si="95"/>
        <v>#DIV/0!</v>
      </c>
      <c r="AR289" s="100" t="e">
        <f t="shared" si="96"/>
        <v>#DIV/0!</v>
      </c>
    </row>
    <row r="290" spans="7:44" ht="12.75" customHeight="1">
      <c r="G290" s="100" t="e">
        <f t="shared" si="98"/>
        <v>#DIV/0!</v>
      </c>
      <c r="P290" s="100" t="e">
        <f t="shared" si="99"/>
        <v>#DIV/0!</v>
      </c>
      <c r="AA290" s="103">
        <f t="shared" si="100"/>
        <v>1</v>
      </c>
      <c r="AC290" s="101">
        <f t="shared" si="101"/>
        <v>0</v>
      </c>
      <c r="AG290" s="101" t="e">
        <f t="shared" si="102"/>
        <v>#DIV/0!</v>
      </c>
      <c r="AH290" s="101" t="e">
        <f t="shared" si="103"/>
        <v>#DIV/0!</v>
      </c>
      <c r="AJ290" s="104">
        <f t="shared" si="91"/>
        <v>1</v>
      </c>
      <c r="AK290" s="101" t="e">
        <f t="shared" si="92"/>
        <v>#DIV/0!</v>
      </c>
      <c r="AL290" s="50">
        <f t="shared" si="93"/>
        <v>0</v>
      </c>
      <c r="AM290" s="97">
        <f t="shared" si="94"/>
        <v>0</v>
      </c>
      <c r="AO290" s="99" t="e">
        <f t="shared" si="97"/>
        <v>#DIV/0!</v>
      </c>
      <c r="AP290" s="100" t="e">
        <f t="shared" si="95"/>
        <v>#DIV/0!</v>
      </c>
      <c r="AR290" s="100" t="e">
        <f t="shared" si="96"/>
        <v>#DIV/0!</v>
      </c>
    </row>
    <row r="291" spans="7:44" ht="12.75" customHeight="1">
      <c r="G291" s="100" t="e">
        <f t="shared" si="98"/>
        <v>#DIV/0!</v>
      </c>
      <c r="P291" s="100" t="e">
        <f t="shared" si="99"/>
        <v>#DIV/0!</v>
      </c>
      <c r="AA291" s="103">
        <f t="shared" si="100"/>
        <v>1</v>
      </c>
      <c r="AC291" s="101">
        <f t="shared" si="101"/>
        <v>0</v>
      </c>
      <c r="AG291" s="101" t="e">
        <f t="shared" si="102"/>
        <v>#DIV/0!</v>
      </c>
      <c r="AH291" s="101" t="e">
        <f t="shared" si="103"/>
        <v>#DIV/0!</v>
      </c>
      <c r="AJ291" s="104">
        <f t="shared" si="91"/>
        <v>1</v>
      </c>
      <c r="AK291" s="101" t="e">
        <f t="shared" si="92"/>
        <v>#DIV/0!</v>
      </c>
      <c r="AL291" s="50">
        <f t="shared" si="93"/>
        <v>0</v>
      </c>
      <c r="AM291" s="97">
        <f t="shared" si="94"/>
        <v>0</v>
      </c>
      <c r="AO291" s="99" t="e">
        <f t="shared" si="97"/>
        <v>#DIV/0!</v>
      </c>
      <c r="AP291" s="100" t="e">
        <f t="shared" si="95"/>
        <v>#DIV/0!</v>
      </c>
      <c r="AR291" s="100" t="e">
        <f t="shared" si="96"/>
        <v>#DIV/0!</v>
      </c>
    </row>
    <row r="292" spans="7:44" ht="12.75" customHeight="1">
      <c r="G292" s="100" t="e">
        <f t="shared" si="98"/>
        <v>#DIV/0!</v>
      </c>
      <c r="P292" s="100" t="e">
        <f t="shared" si="99"/>
        <v>#DIV/0!</v>
      </c>
      <c r="AA292" s="103">
        <f t="shared" si="100"/>
        <v>1</v>
      </c>
      <c r="AC292" s="101">
        <f t="shared" si="101"/>
        <v>0</v>
      </c>
      <c r="AG292" s="101" t="e">
        <f t="shared" si="102"/>
        <v>#DIV/0!</v>
      </c>
      <c r="AH292" s="101" t="e">
        <f t="shared" si="103"/>
        <v>#DIV/0!</v>
      </c>
      <c r="AJ292" s="104">
        <f t="shared" si="91"/>
        <v>1</v>
      </c>
      <c r="AK292" s="101" t="e">
        <f t="shared" si="92"/>
        <v>#DIV/0!</v>
      </c>
      <c r="AL292" s="50">
        <f t="shared" si="93"/>
        <v>0</v>
      </c>
      <c r="AM292" s="97">
        <f t="shared" si="94"/>
        <v>0</v>
      </c>
      <c r="AO292" s="99" t="e">
        <f t="shared" si="97"/>
        <v>#DIV/0!</v>
      </c>
      <c r="AP292" s="100" t="e">
        <f t="shared" si="95"/>
        <v>#DIV/0!</v>
      </c>
      <c r="AR292" s="100" t="e">
        <f t="shared" si="96"/>
        <v>#DIV/0!</v>
      </c>
    </row>
    <row r="293" spans="7:44" ht="12.75" customHeight="1">
      <c r="G293" s="100" t="e">
        <f t="shared" si="98"/>
        <v>#DIV/0!</v>
      </c>
      <c r="P293" s="100" t="e">
        <f t="shared" si="99"/>
        <v>#DIV/0!</v>
      </c>
      <c r="AA293" s="103">
        <f t="shared" si="100"/>
        <v>1</v>
      </c>
      <c r="AC293" s="101">
        <f t="shared" si="101"/>
        <v>0</v>
      </c>
      <c r="AG293" s="101" t="e">
        <f t="shared" si="102"/>
        <v>#DIV/0!</v>
      </c>
      <c r="AH293" s="101" t="e">
        <f t="shared" si="103"/>
        <v>#DIV/0!</v>
      </c>
      <c r="AJ293" s="104">
        <f t="shared" si="91"/>
        <v>1</v>
      </c>
      <c r="AK293" s="101" t="e">
        <f t="shared" si="92"/>
        <v>#DIV/0!</v>
      </c>
      <c r="AL293" s="50">
        <f t="shared" si="93"/>
        <v>0</v>
      </c>
      <c r="AM293" s="97">
        <f t="shared" si="94"/>
        <v>0</v>
      </c>
      <c r="AO293" s="99" t="e">
        <f t="shared" si="97"/>
        <v>#DIV/0!</v>
      </c>
      <c r="AP293" s="100" t="e">
        <f t="shared" si="95"/>
        <v>#DIV/0!</v>
      </c>
      <c r="AR293" s="100" t="e">
        <f t="shared" si="96"/>
        <v>#DIV/0!</v>
      </c>
    </row>
    <row r="294" spans="7:44" ht="12.75" customHeight="1">
      <c r="G294" s="100" t="e">
        <f t="shared" si="98"/>
        <v>#DIV/0!</v>
      </c>
      <c r="P294" s="100" t="e">
        <f t="shared" si="99"/>
        <v>#DIV/0!</v>
      </c>
      <c r="AA294" s="103">
        <f t="shared" si="100"/>
        <v>1</v>
      </c>
      <c r="AC294" s="101">
        <f t="shared" si="101"/>
        <v>0</v>
      </c>
      <c r="AG294" s="101" t="e">
        <f t="shared" si="102"/>
        <v>#DIV/0!</v>
      </c>
      <c r="AH294" s="101" t="e">
        <f t="shared" si="103"/>
        <v>#DIV/0!</v>
      </c>
      <c r="AJ294" s="104">
        <f t="shared" si="91"/>
        <v>1</v>
      </c>
      <c r="AK294" s="101" t="e">
        <f t="shared" si="92"/>
        <v>#DIV/0!</v>
      </c>
      <c r="AL294" s="50">
        <f t="shared" si="93"/>
        <v>0</v>
      </c>
      <c r="AM294" s="97">
        <f t="shared" si="94"/>
        <v>0</v>
      </c>
      <c r="AO294" s="99" t="e">
        <f t="shared" si="97"/>
        <v>#DIV/0!</v>
      </c>
      <c r="AP294" s="100" t="e">
        <f t="shared" si="95"/>
        <v>#DIV/0!</v>
      </c>
      <c r="AR294" s="100" t="e">
        <f t="shared" si="96"/>
        <v>#DIV/0!</v>
      </c>
    </row>
    <row r="295" spans="7:44" ht="12.75" customHeight="1">
      <c r="G295" s="100" t="e">
        <f t="shared" si="98"/>
        <v>#DIV/0!</v>
      </c>
      <c r="P295" s="100" t="e">
        <f t="shared" si="99"/>
        <v>#DIV/0!</v>
      </c>
      <c r="AA295" s="103">
        <f t="shared" si="100"/>
        <v>1</v>
      </c>
      <c r="AC295" s="101">
        <f t="shared" si="101"/>
        <v>0</v>
      </c>
      <c r="AG295" s="101" t="e">
        <f t="shared" si="102"/>
        <v>#DIV/0!</v>
      </c>
      <c r="AH295" s="101" t="e">
        <f t="shared" si="103"/>
        <v>#DIV/0!</v>
      </c>
      <c r="AJ295" s="104">
        <f t="shared" si="91"/>
        <v>1</v>
      </c>
      <c r="AK295" s="101" t="e">
        <f t="shared" si="92"/>
        <v>#DIV/0!</v>
      </c>
      <c r="AL295" s="50">
        <f t="shared" si="93"/>
        <v>0</v>
      </c>
      <c r="AM295" s="97">
        <f t="shared" si="94"/>
        <v>0</v>
      </c>
      <c r="AO295" s="99" t="e">
        <f t="shared" si="97"/>
        <v>#DIV/0!</v>
      </c>
      <c r="AP295" s="100" t="e">
        <f t="shared" si="95"/>
        <v>#DIV/0!</v>
      </c>
      <c r="AR295" s="100" t="e">
        <f t="shared" si="96"/>
        <v>#DIV/0!</v>
      </c>
    </row>
    <row r="296" spans="7:44" ht="12.75" customHeight="1">
      <c r="G296" s="100" t="e">
        <f t="shared" si="98"/>
        <v>#DIV/0!</v>
      </c>
      <c r="P296" s="100" t="e">
        <f t="shared" si="99"/>
        <v>#DIV/0!</v>
      </c>
      <c r="AA296" s="103">
        <f t="shared" si="100"/>
        <v>1</v>
      </c>
      <c r="AC296" s="101">
        <f t="shared" si="101"/>
        <v>0</v>
      </c>
      <c r="AG296" s="101" t="e">
        <f t="shared" si="102"/>
        <v>#DIV/0!</v>
      </c>
      <c r="AH296" s="101" t="e">
        <f t="shared" si="103"/>
        <v>#DIV/0!</v>
      </c>
      <c r="AJ296" s="104">
        <f t="shared" si="91"/>
        <v>1</v>
      </c>
      <c r="AK296" s="101" t="e">
        <f t="shared" si="92"/>
        <v>#DIV/0!</v>
      </c>
      <c r="AL296" s="50">
        <f t="shared" si="93"/>
        <v>0</v>
      </c>
      <c r="AM296" s="97">
        <f t="shared" si="94"/>
        <v>0</v>
      </c>
      <c r="AO296" s="99" t="e">
        <f t="shared" si="97"/>
        <v>#DIV/0!</v>
      </c>
      <c r="AP296" s="100" t="e">
        <f t="shared" si="95"/>
        <v>#DIV/0!</v>
      </c>
      <c r="AR296" s="100" t="e">
        <f t="shared" si="96"/>
        <v>#DIV/0!</v>
      </c>
    </row>
    <row r="297" spans="7:44" ht="12.75" customHeight="1">
      <c r="G297" s="100" t="e">
        <f t="shared" si="98"/>
        <v>#DIV/0!</v>
      </c>
      <c r="P297" s="100" t="e">
        <f t="shared" si="99"/>
        <v>#DIV/0!</v>
      </c>
      <c r="AA297" s="103">
        <f t="shared" si="100"/>
        <v>1</v>
      </c>
      <c r="AC297" s="101">
        <f t="shared" si="101"/>
        <v>0</v>
      </c>
      <c r="AG297" s="101" t="e">
        <f t="shared" si="102"/>
        <v>#DIV/0!</v>
      </c>
      <c r="AH297" s="101" t="e">
        <f t="shared" si="103"/>
        <v>#DIV/0!</v>
      </c>
      <c r="AJ297" s="104">
        <f t="shared" si="91"/>
        <v>1</v>
      </c>
      <c r="AK297" s="101" t="e">
        <f t="shared" si="92"/>
        <v>#DIV/0!</v>
      </c>
      <c r="AL297" s="50">
        <f t="shared" si="93"/>
        <v>0</v>
      </c>
      <c r="AM297" s="97">
        <f t="shared" si="94"/>
        <v>0</v>
      </c>
      <c r="AO297" s="99" t="e">
        <f t="shared" si="97"/>
        <v>#DIV/0!</v>
      </c>
      <c r="AP297" s="100" t="e">
        <f t="shared" si="95"/>
        <v>#DIV/0!</v>
      </c>
      <c r="AR297" s="100" t="e">
        <f t="shared" si="96"/>
        <v>#DIV/0!</v>
      </c>
    </row>
    <row r="298" spans="7:44" ht="12.75" customHeight="1">
      <c r="G298" s="100" t="e">
        <f t="shared" si="98"/>
        <v>#DIV/0!</v>
      </c>
      <c r="P298" s="100" t="e">
        <f t="shared" si="99"/>
        <v>#DIV/0!</v>
      </c>
      <c r="AA298" s="103">
        <f t="shared" si="100"/>
        <v>1</v>
      </c>
      <c r="AC298" s="101">
        <f t="shared" si="101"/>
        <v>0</v>
      </c>
      <c r="AG298" s="101" t="e">
        <f t="shared" si="102"/>
        <v>#DIV/0!</v>
      </c>
      <c r="AH298" s="101" t="e">
        <f t="shared" si="103"/>
        <v>#DIV/0!</v>
      </c>
      <c r="AJ298" s="104">
        <f t="shared" si="91"/>
        <v>1</v>
      </c>
      <c r="AK298" s="101" t="e">
        <f t="shared" si="92"/>
        <v>#DIV/0!</v>
      </c>
      <c r="AL298" s="50">
        <f t="shared" si="93"/>
        <v>0</v>
      </c>
      <c r="AM298" s="97">
        <f t="shared" si="94"/>
        <v>0</v>
      </c>
      <c r="AO298" s="99" t="e">
        <f t="shared" si="97"/>
        <v>#DIV/0!</v>
      </c>
      <c r="AP298" s="100" t="e">
        <f t="shared" si="95"/>
        <v>#DIV/0!</v>
      </c>
      <c r="AR298" s="100" t="e">
        <f t="shared" si="96"/>
        <v>#DIV/0!</v>
      </c>
    </row>
    <row r="299" spans="7:44" ht="12.75" customHeight="1">
      <c r="G299" s="100" t="e">
        <f t="shared" si="98"/>
        <v>#DIV/0!</v>
      </c>
      <c r="P299" s="100" t="e">
        <f t="shared" si="99"/>
        <v>#DIV/0!</v>
      </c>
      <c r="AA299" s="103">
        <f t="shared" si="100"/>
        <v>1</v>
      </c>
      <c r="AC299" s="101">
        <f t="shared" si="101"/>
        <v>0</v>
      </c>
      <c r="AG299" s="101" t="e">
        <f t="shared" si="102"/>
        <v>#DIV/0!</v>
      </c>
      <c r="AH299" s="101" t="e">
        <f t="shared" si="103"/>
        <v>#DIV/0!</v>
      </c>
      <c r="AJ299" s="104">
        <f t="shared" si="91"/>
        <v>1</v>
      </c>
      <c r="AK299" s="101" t="e">
        <f t="shared" si="92"/>
        <v>#DIV/0!</v>
      </c>
      <c r="AL299" s="50">
        <f t="shared" si="93"/>
        <v>0</v>
      </c>
      <c r="AM299" s="97">
        <f t="shared" si="94"/>
        <v>0</v>
      </c>
      <c r="AO299" s="99" t="e">
        <f t="shared" si="97"/>
        <v>#DIV/0!</v>
      </c>
      <c r="AP299" s="100" t="e">
        <f t="shared" si="95"/>
        <v>#DIV/0!</v>
      </c>
      <c r="AR299" s="100" t="e">
        <f t="shared" si="96"/>
        <v>#DIV/0!</v>
      </c>
    </row>
    <row r="300" spans="7:44" ht="12.75" customHeight="1">
      <c r="G300" s="100" t="e">
        <f t="shared" si="98"/>
        <v>#DIV/0!</v>
      </c>
      <c r="P300" s="100" t="e">
        <f t="shared" si="99"/>
        <v>#DIV/0!</v>
      </c>
      <c r="AA300" s="103">
        <f t="shared" si="100"/>
        <v>1</v>
      </c>
      <c r="AC300" s="101">
        <f t="shared" si="101"/>
        <v>0</v>
      </c>
      <c r="AG300" s="101" t="e">
        <f t="shared" si="102"/>
        <v>#DIV/0!</v>
      </c>
      <c r="AH300" s="101" t="e">
        <f t="shared" si="103"/>
        <v>#DIV/0!</v>
      </c>
      <c r="AJ300" s="104">
        <f t="shared" si="91"/>
        <v>1</v>
      </c>
      <c r="AK300" s="101" t="e">
        <f t="shared" si="92"/>
        <v>#DIV/0!</v>
      </c>
      <c r="AL300" s="50">
        <f t="shared" si="93"/>
        <v>0</v>
      </c>
      <c r="AM300" s="97">
        <f t="shared" si="94"/>
        <v>0</v>
      </c>
      <c r="AO300" s="99" t="e">
        <f t="shared" si="97"/>
        <v>#DIV/0!</v>
      </c>
      <c r="AP300" s="100" t="e">
        <f t="shared" si="95"/>
        <v>#DIV/0!</v>
      </c>
      <c r="AR300" s="100" t="e">
        <f t="shared" si="96"/>
        <v>#DIV/0!</v>
      </c>
    </row>
    <row r="301" spans="7:44" ht="12.75" customHeight="1">
      <c r="G301" s="100" t="e">
        <f t="shared" si="98"/>
        <v>#DIV/0!</v>
      </c>
      <c r="P301" s="100" t="e">
        <f t="shared" si="99"/>
        <v>#DIV/0!</v>
      </c>
      <c r="AA301" s="103">
        <f t="shared" si="100"/>
        <v>1</v>
      </c>
      <c r="AC301" s="101">
        <f t="shared" si="101"/>
        <v>0</v>
      </c>
      <c r="AG301" s="101" t="e">
        <f t="shared" si="102"/>
        <v>#DIV/0!</v>
      </c>
      <c r="AH301" s="101" t="e">
        <f t="shared" si="103"/>
        <v>#DIV/0!</v>
      </c>
      <c r="AJ301" s="104">
        <f t="shared" si="91"/>
        <v>1</v>
      </c>
      <c r="AK301" s="101" t="e">
        <f t="shared" si="92"/>
        <v>#DIV/0!</v>
      </c>
      <c r="AL301" s="50">
        <f t="shared" si="93"/>
        <v>0</v>
      </c>
      <c r="AM301" s="97">
        <f t="shared" si="94"/>
        <v>0</v>
      </c>
      <c r="AO301" s="99" t="e">
        <f t="shared" si="97"/>
        <v>#DIV/0!</v>
      </c>
      <c r="AP301" s="100" t="e">
        <f t="shared" si="95"/>
        <v>#DIV/0!</v>
      </c>
      <c r="AR301" s="100" t="e">
        <f t="shared" si="96"/>
        <v>#DIV/0!</v>
      </c>
    </row>
    <row r="302" spans="7:44" ht="12.75" customHeight="1">
      <c r="G302" s="100" t="e">
        <f t="shared" si="98"/>
        <v>#DIV/0!</v>
      </c>
      <c r="P302" s="100" t="e">
        <f t="shared" si="99"/>
        <v>#DIV/0!</v>
      </c>
      <c r="AA302" s="103">
        <f t="shared" si="100"/>
        <v>1</v>
      </c>
      <c r="AC302" s="101">
        <f t="shared" si="101"/>
        <v>0</v>
      </c>
      <c r="AG302" s="101" t="e">
        <f t="shared" si="102"/>
        <v>#DIV/0!</v>
      </c>
      <c r="AH302" s="101" t="e">
        <f t="shared" si="103"/>
        <v>#DIV/0!</v>
      </c>
      <c r="AJ302" s="104">
        <f t="shared" si="91"/>
        <v>1</v>
      </c>
      <c r="AK302" s="101" t="e">
        <f t="shared" si="92"/>
        <v>#DIV/0!</v>
      </c>
      <c r="AL302" s="50">
        <f t="shared" si="93"/>
        <v>0</v>
      </c>
      <c r="AM302" s="97">
        <f t="shared" si="94"/>
        <v>0</v>
      </c>
      <c r="AO302" s="99" t="e">
        <f t="shared" si="97"/>
        <v>#DIV/0!</v>
      </c>
      <c r="AP302" s="100" t="e">
        <f t="shared" si="95"/>
        <v>#DIV/0!</v>
      </c>
      <c r="AR302" s="100" t="e">
        <f t="shared" si="96"/>
        <v>#DIV/0!</v>
      </c>
    </row>
    <row r="303" spans="7:44" ht="12.75" customHeight="1">
      <c r="G303" s="100" t="e">
        <f t="shared" si="98"/>
        <v>#DIV/0!</v>
      </c>
      <c r="P303" s="100" t="e">
        <f t="shared" si="99"/>
        <v>#DIV/0!</v>
      </c>
      <c r="AA303" s="103">
        <f t="shared" si="100"/>
        <v>1</v>
      </c>
      <c r="AC303" s="101">
        <f t="shared" si="101"/>
        <v>0</v>
      </c>
      <c r="AG303" s="101" t="e">
        <f t="shared" si="102"/>
        <v>#DIV/0!</v>
      </c>
      <c r="AH303" s="101" t="e">
        <f t="shared" si="103"/>
        <v>#DIV/0!</v>
      </c>
      <c r="AJ303" s="104">
        <f t="shared" si="91"/>
        <v>1</v>
      </c>
      <c r="AK303" s="101" t="e">
        <f t="shared" si="92"/>
        <v>#DIV/0!</v>
      </c>
      <c r="AL303" s="50">
        <f t="shared" si="93"/>
        <v>0</v>
      </c>
      <c r="AM303" s="97">
        <f t="shared" si="94"/>
        <v>0</v>
      </c>
      <c r="AO303" s="99" t="e">
        <f t="shared" si="97"/>
        <v>#DIV/0!</v>
      </c>
      <c r="AP303" s="100" t="e">
        <f t="shared" si="95"/>
        <v>#DIV/0!</v>
      </c>
      <c r="AR303" s="100" t="e">
        <f t="shared" si="96"/>
        <v>#DIV/0!</v>
      </c>
    </row>
    <row r="304" spans="7:44" ht="12.75" customHeight="1">
      <c r="G304" s="100" t="e">
        <f t="shared" si="98"/>
        <v>#DIV/0!</v>
      </c>
      <c r="P304" s="100" t="e">
        <f t="shared" si="99"/>
        <v>#DIV/0!</v>
      </c>
      <c r="AA304" s="103">
        <f t="shared" si="100"/>
        <v>1</v>
      </c>
      <c r="AC304" s="101">
        <f t="shared" si="101"/>
        <v>0</v>
      </c>
      <c r="AG304" s="101" t="e">
        <f t="shared" si="102"/>
        <v>#DIV/0!</v>
      </c>
      <c r="AH304" s="101" t="e">
        <f t="shared" si="103"/>
        <v>#DIV/0!</v>
      </c>
      <c r="AJ304" s="104">
        <f t="shared" si="91"/>
        <v>1</v>
      </c>
      <c r="AK304" s="101" t="e">
        <f t="shared" si="92"/>
        <v>#DIV/0!</v>
      </c>
      <c r="AL304" s="50">
        <f t="shared" si="93"/>
        <v>0</v>
      </c>
      <c r="AM304" s="97">
        <f t="shared" si="94"/>
        <v>0</v>
      </c>
      <c r="AO304" s="99" t="e">
        <f t="shared" si="97"/>
        <v>#DIV/0!</v>
      </c>
      <c r="AP304" s="100" t="e">
        <f t="shared" si="95"/>
        <v>#DIV/0!</v>
      </c>
      <c r="AR304" s="100" t="e">
        <f t="shared" si="96"/>
        <v>#DIV/0!</v>
      </c>
    </row>
    <row r="305" spans="7:44" ht="12.75" customHeight="1">
      <c r="G305" s="100" t="e">
        <f t="shared" si="98"/>
        <v>#DIV/0!</v>
      </c>
      <c r="P305" s="100" t="e">
        <f t="shared" si="99"/>
        <v>#DIV/0!</v>
      </c>
      <c r="AA305" s="103">
        <f t="shared" si="100"/>
        <v>1</v>
      </c>
      <c r="AC305" s="101">
        <f t="shared" si="101"/>
        <v>0</v>
      </c>
      <c r="AG305" s="101" t="e">
        <f t="shared" si="102"/>
        <v>#DIV/0!</v>
      </c>
      <c r="AH305" s="101" t="e">
        <f t="shared" si="103"/>
        <v>#DIV/0!</v>
      </c>
      <c r="AJ305" s="104">
        <f t="shared" si="91"/>
        <v>1</v>
      </c>
      <c r="AK305" s="101" t="e">
        <f t="shared" si="92"/>
        <v>#DIV/0!</v>
      </c>
      <c r="AL305" s="50">
        <f t="shared" si="93"/>
        <v>0</v>
      </c>
      <c r="AM305" s="97">
        <f t="shared" si="94"/>
        <v>0</v>
      </c>
      <c r="AO305" s="99" t="e">
        <f t="shared" si="97"/>
        <v>#DIV/0!</v>
      </c>
      <c r="AP305" s="100" t="e">
        <f t="shared" si="95"/>
        <v>#DIV/0!</v>
      </c>
      <c r="AR305" s="100" t="e">
        <f t="shared" si="96"/>
        <v>#DIV/0!</v>
      </c>
    </row>
    <row r="306" spans="7:44" ht="12.75" customHeight="1">
      <c r="G306" s="100" t="e">
        <f t="shared" si="98"/>
        <v>#DIV/0!</v>
      </c>
      <c r="P306" s="100" t="e">
        <f t="shared" si="99"/>
        <v>#DIV/0!</v>
      </c>
      <c r="AA306" s="103">
        <f t="shared" si="100"/>
        <v>1</v>
      </c>
      <c r="AC306" s="101">
        <f t="shared" si="101"/>
        <v>0</v>
      </c>
      <c r="AG306" s="101" t="e">
        <f t="shared" si="102"/>
        <v>#DIV/0!</v>
      </c>
      <c r="AH306" s="101" t="e">
        <f t="shared" si="103"/>
        <v>#DIV/0!</v>
      </c>
      <c r="AJ306" s="104">
        <f t="shared" si="91"/>
        <v>1</v>
      </c>
      <c r="AK306" s="101" t="e">
        <f t="shared" si="92"/>
        <v>#DIV/0!</v>
      </c>
      <c r="AL306" s="50">
        <f t="shared" si="93"/>
        <v>0</v>
      </c>
      <c r="AM306" s="97">
        <f t="shared" si="94"/>
        <v>0</v>
      </c>
      <c r="AO306" s="99" t="e">
        <f t="shared" si="97"/>
        <v>#DIV/0!</v>
      </c>
      <c r="AP306" s="100" t="e">
        <f t="shared" si="95"/>
        <v>#DIV/0!</v>
      </c>
      <c r="AR306" s="100" t="e">
        <f t="shared" si="96"/>
        <v>#DIV/0!</v>
      </c>
    </row>
    <row r="307" spans="7:44" ht="12.75" customHeight="1">
      <c r="G307" s="100" t="e">
        <f t="shared" si="98"/>
        <v>#DIV/0!</v>
      </c>
      <c r="P307" s="100" t="e">
        <f t="shared" si="99"/>
        <v>#DIV/0!</v>
      </c>
      <c r="AA307" s="103">
        <f t="shared" si="100"/>
        <v>1</v>
      </c>
      <c r="AC307" s="101">
        <f t="shared" si="101"/>
        <v>0</v>
      </c>
      <c r="AG307" s="101" t="e">
        <f t="shared" si="102"/>
        <v>#DIV/0!</v>
      </c>
      <c r="AH307" s="101" t="e">
        <f t="shared" si="103"/>
        <v>#DIV/0!</v>
      </c>
      <c r="AJ307" s="104">
        <f t="shared" si="91"/>
        <v>1</v>
      </c>
      <c r="AK307" s="101" t="e">
        <f t="shared" si="92"/>
        <v>#DIV/0!</v>
      </c>
      <c r="AL307" s="50">
        <f t="shared" si="93"/>
        <v>0</v>
      </c>
      <c r="AM307" s="97">
        <f t="shared" si="94"/>
        <v>0</v>
      </c>
      <c r="AO307" s="99" t="e">
        <f t="shared" si="97"/>
        <v>#DIV/0!</v>
      </c>
      <c r="AP307" s="100" t="e">
        <f t="shared" si="95"/>
        <v>#DIV/0!</v>
      </c>
      <c r="AR307" s="100" t="e">
        <f t="shared" si="96"/>
        <v>#DIV/0!</v>
      </c>
    </row>
    <row r="308" spans="7:44" ht="12.75" customHeight="1">
      <c r="G308" s="100" t="e">
        <f t="shared" si="98"/>
        <v>#DIV/0!</v>
      </c>
      <c r="P308" s="100" t="e">
        <f t="shared" si="99"/>
        <v>#DIV/0!</v>
      </c>
      <c r="AA308" s="103">
        <f t="shared" si="100"/>
        <v>1</v>
      </c>
      <c r="AC308" s="101">
        <f t="shared" si="101"/>
        <v>0</v>
      </c>
      <c r="AG308" s="101" t="e">
        <f t="shared" si="102"/>
        <v>#DIV/0!</v>
      </c>
      <c r="AH308" s="101" t="e">
        <f t="shared" si="103"/>
        <v>#DIV/0!</v>
      </c>
      <c r="AJ308" s="104">
        <f t="shared" si="91"/>
        <v>1</v>
      </c>
      <c r="AK308" s="101" t="e">
        <f t="shared" si="92"/>
        <v>#DIV/0!</v>
      </c>
      <c r="AL308" s="50">
        <f t="shared" si="93"/>
        <v>0</v>
      </c>
      <c r="AM308" s="97">
        <f t="shared" si="94"/>
        <v>0</v>
      </c>
      <c r="AO308" s="99" t="e">
        <f t="shared" si="97"/>
        <v>#DIV/0!</v>
      </c>
      <c r="AP308" s="100" t="e">
        <f t="shared" si="95"/>
        <v>#DIV/0!</v>
      </c>
      <c r="AR308" s="100" t="e">
        <f t="shared" si="96"/>
        <v>#DIV/0!</v>
      </c>
    </row>
    <row r="309" spans="7:44" ht="12.75" customHeight="1">
      <c r="G309" s="100" t="e">
        <f t="shared" si="98"/>
        <v>#DIV/0!</v>
      </c>
      <c r="P309" s="100" t="e">
        <f t="shared" si="99"/>
        <v>#DIV/0!</v>
      </c>
      <c r="AA309" s="103">
        <f t="shared" si="100"/>
        <v>1</v>
      </c>
      <c r="AC309" s="101">
        <f t="shared" si="101"/>
        <v>0</v>
      </c>
      <c r="AG309" s="101" t="e">
        <f t="shared" si="102"/>
        <v>#DIV/0!</v>
      </c>
      <c r="AH309" s="101" t="e">
        <f t="shared" si="103"/>
        <v>#DIV/0!</v>
      </c>
      <c r="AJ309" s="104">
        <f t="shared" si="91"/>
        <v>1</v>
      </c>
      <c r="AK309" s="101" t="e">
        <f t="shared" si="92"/>
        <v>#DIV/0!</v>
      </c>
      <c r="AL309" s="50">
        <f t="shared" si="93"/>
        <v>0</v>
      </c>
      <c r="AM309" s="97">
        <f t="shared" si="94"/>
        <v>0</v>
      </c>
      <c r="AO309" s="99" t="e">
        <f t="shared" si="97"/>
        <v>#DIV/0!</v>
      </c>
      <c r="AP309" s="100" t="e">
        <f t="shared" si="95"/>
        <v>#DIV/0!</v>
      </c>
      <c r="AR309" s="100" t="e">
        <f t="shared" si="96"/>
        <v>#DIV/0!</v>
      </c>
    </row>
    <row r="310" spans="7:44" ht="12.75" customHeight="1">
      <c r="G310" s="100" t="e">
        <f t="shared" si="98"/>
        <v>#DIV/0!</v>
      </c>
      <c r="P310" s="100" t="e">
        <f t="shared" si="99"/>
        <v>#DIV/0!</v>
      </c>
      <c r="AA310" s="103">
        <f t="shared" si="100"/>
        <v>1</v>
      </c>
      <c r="AC310" s="101">
        <f t="shared" si="101"/>
        <v>0</v>
      </c>
      <c r="AG310" s="101" t="e">
        <f t="shared" si="102"/>
        <v>#DIV/0!</v>
      </c>
      <c r="AH310" s="101" t="e">
        <f t="shared" si="103"/>
        <v>#DIV/0!</v>
      </c>
      <c r="AJ310" s="104">
        <f t="shared" si="91"/>
        <v>1</v>
      </c>
      <c r="AK310" s="101" t="e">
        <f t="shared" si="92"/>
        <v>#DIV/0!</v>
      </c>
      <c r="AL310" s="50">
        <f t="shared" si="93"/>
        <v>0</v>
      </c>
      <c r="AM310" s="97">
        <f t="shared" si="94"/>
        <v>0</v>
      </c>
      <c r="AO310" s="99" t="e">
        <f t="shared" si="97"/>
        <v>#DIV/0!</v>
      </c>
      <c r="AP310" s="100" t="e">
        <f t="shared" si="95"/>
        <v>#DIV/0!</v>
      </c>
      <c r="AR310" s="100" t="e">
        <f t="shared" si="96"/>
        <v>#DIV/0!</v>
      </c>
    </row>
    <row r="311" spans="7:44" ht="12.75" customHeight="1">
      <c r="G311" s="100" t="e">
        <f t="shared" si="98"/>
        <v>#DIV/0!</v>
      </c>
      <c r="P311" s="100" t="e">
        <f t="shared" si="99"/>
        <v>#DIV/0!</v>
      </c>
      <c r="AA311" s="103">
        <f t="shared" si="100"/>
        <v>1</v>
      </c>
      <c r="AC311" s="101">
        <f t="shared" si="101"/>
        <v>0</v>
      </c>
      <c r="AG311" s="101" t="e">
        <f t="shared" si="102"/>
        <v>#DIV/0!</v>
      </c>
      <c r="AH311" s="101" t="e">
        <f t="shared" si="103"/>
        <v>#DIV/0!</v>
      </c>
      <c r="AJ311" s="104">
        <f t="shared" si="91"/>
        <v>1</v>
      </c>
      <c r="AK311" s="101" t="e">
        <f t="shared" si="92"/>
        <v>#DIV/0!</v>
      </c>
      <c r="AL311" s="50">
        <f t="shared" si="93"/>
        <v>0</v>
      </c>
      <c r="AM311" s="97">
        <f t="shared" si="94"/>
        <v>0</v>
      </c>
      <c r="AO311" s="99" t="e">
        <f t="shared" si="97"/>
        <v>#DIV/0!</v>
      </c>
      <c r="AP311" s="100" t="e">
        <f t="shared" si="95"/>
        <v>#DIV/0!</v>
      </c>
      <c r="AR311" s="100" t="e">
        <f t="shared" si="96"/>
        <v>#DIV/0!</v>
      </c>
    </row>
    <row r="312" spans="7:44" ht="12.75" customHeight="1">
      <c r="G312" s="100" t="e">
        <f t="shared" si="98"/>
        <v>#DIV/0!</v>
      </c>
      <c r="P312" s="100" t="e">
        <f t="shared" si="99"/>
        <v>#DIV/0!</v>
      </c>
      <c r="AA312" s="103">
        <f t="shared" si="100"/>
        <v>1</v>
      </c>
      <c r="AC312" s="101">
        <f t="shared" si="101"/>
        <v>0</v>
      </c>
      <c r="AG312" s="101" t="e">
        <f t="shared" si="102"/>
        <v>#DIV/0!</v>
      </c>
      <c r="AH312" s="101" t="e">
        <f t="shared" si="103"/>
        <v>#DIV/0!</v>
      </c>
      <c r="AJ312" s="104">
        <f t="shared" si="91"/>
        <v>1</v>
      </c>
      <c r="AK312" s="101" t="e">
        <f t="shared" si="92"/>
        <v>#DIV/0!</v>
      </c>
      <c r="AL312" s="50">
        <f t="shared" si="93"/>
        <v>0</v>
      </c>
      <c r="AM312" s="97">
        <f t="shared" si="94"/>
        <v>0</v>
      </c>
      <c r="AO312" s="99" t="e">
        <f t="shared" si="97"/>
        <v>#DIV/0!</v>
      </c>
      <c r="AP312" s="100" t="e">
        <f t="shared" si="95"/>
        <v>#DIV/0!</v>
      </c>
      <c r="AR312" s="100" t="e">
        <f t="shared" si="96"/>
        <v>#DIV/0!</v>
      </c>
    </row>
    <row r="313" spans="7:44" ht="12.75" customHeight="1">
      <c r="G313" s="100" t="e">
        <f t="shared" si="98"/>
        <v>#DIV/0!</v>
      </c>
      <c r="P313" s="100" t="e">
        <f t="shared" si="99"/>
        <v>#DIV/0!</v>
      </c>
      <c r="AA313" s="103">
        <f t="shared" si="100"/>
        <v>1</v>
      </c>
      <c r="AC313" s="101">
        <f t="shared" si="101"/>
        <v>0</v>
      </c>
      <c r="AG313" s="101" t="e">
        <f t="shared" si="102"/>
        <v>#DIV/0!</v>
      </c>
      <c r="AH313" s="101" t="e">
        <f t="shared" si="103"/>
        <v>#DIV/0!</v>
      </c>
      <c r="AJ313" s="104">
        <f t="shared" si="91"/>
        <v>1</v>
      </c>
      <c r="AK313" s="101" t="e">
        <f t="shared" si="92"/>
        <v>#DIV/0!</v>
      </c>
      <c r="AL313" s="50">
        <f t="shared" si="93"/>
        <v>0</v>
      </c>
      <c r="AM313" s="97">
        <f t="shared" si="94"/>
        <v>0</v>
      </c>
      <c r="AO313" s="99" t="e">
        <f t="shared" si="97"/>
        <v>#DIV/0!</v>
      </c>
      <c r="AP313" s="100" t="e">
        <f t="shared" si="95"/>
        <v>#DIV/0!</v>
      </c>
      <c r="AR313" s="100" t="e">
        <f t="shared" si="96"/>
        <v>#DIV/0!</v>
      </c>
    </row>
    <row r="314" spans="7:44" ht="12.75" customHeight="1">
      <c r="G314" s="100" t="e">
        <f t="shared" si="98"/>
        <v>#DIV/0!</v>
      </c>
      <c r="P314" s="100" t="e">
        <f t="shared" si="99"/>
        <v>#DIV/0!</v>
      </c>
      <c r="AA314" s="103">
        <f t="shared" si="100"/>
        <v>1</v>
      </c>
      <c r="AC314" s="101">
        <f t="shared" si="101"/>
        <v>0</v>
      </c>
      <c r="AG314" s="101" t="e">
        <f t="shared" si="102"/>
        <v>#DIV/0!</v>
      </c>
      <c r="AH314" s="101" t="e">
        <f t="shared" si="103"/>
        <v>#DIV/0!</v>
      </c>
      <c r="AJ314" s="104">
        <f t="shared" si="91"/>
        <v>1</v>
      </c>
      <c r="AK314" s="101" t="e">
        <f t="shared" si="92"/>
        <v>#DIV/0!</v>
      </c>
      <c r="AL314" s="50">
        <f t="shared" si="93"/>
        <v>0</v>
      </c>
      <c r="AM314" s="97">
        <f t="shared" si="94"/>
        <v>0</v>
      </c>
      <c r="AO314" s="99" t="e">
        <f t="shared" si="97"/>
        <v>#DIV/0!</v>
      </c>
      <c r="AP314" s="100" t="e">
        <f t="shared" si="95"/>
        <v>#DIV/0!</v>
      </c>
      <c r="AR314" s="100" t="e">
        <f t="shared" si="96"/>
        <v>#DIV/0!</v>
      </c>
    </row>
    <row r="315" spans="7:44" ht="12.75" customHeight="1">
      <c r="G315" s="100" t="e">
        <f t="shared" si="98"/>
        <v>#DIV/0!</v>
      </c>
      <c r="P315" s="100" t="e">
        <f t="shared" si="99"/>
        <v>#DIV/0!</v>
      </c>
      <c r="AA315" s="103">
        <f t="shared" si="100"/>
        <v>1</v>
      </c>
      <c r="AC315" s="101">
        <f t="shared" si="101"/>
        <v>0</v>
      </c>
      <c r="AG315" s="101" t="e">
        <f t="shared" si="102"/>
        <v>#DIV/0!</v>
      </c>
      <c r="AH315" s="101" t="e">
        <f t="shared" si="103"/>
        <v>#DIV/0!</v>
      </c>
      <c r="AJ315" s="104">
        <f t="shared" si="91"/>
        <v>1</v>
      </c>
      <c r="AK315" s="101" t="e">
        <f t="shared" si="92"/>
        <v>#DIV/0!</v>
      </c>
      <c r="AL315" s="50">
        <f t="shared" si="93"/>
        <v>0</v>
      </c>
      <c r="AM315" s="97">
        <f t="shared" si="94"/>
        <v>0</v>
      </c>
      <c r="AO315" s="99" t="e">
        <f t="shared" si="97"/>
        <v>#DIV/0!</v>
      </c>
      <c r="AP315" s="100" t="e">
        <f t="shared" si="95"/>
        <v>#DIV/0!</v>
      </c>
      <c r="AR315" s="100" t="e">
        <f t="shared" si="96"/>
        <v>#DIV/0!</v>
      </c>
    </row>
    <row r="316" spans="7:44" ht="12.75" customHeight="1">
      <c r="G316" s="100" t="e">
        <f t="shared" si="98"/>
        <v>#DIV/0!</v>
      </c>
      <c r="P316" s="100" t="e">
        <f t="shared" si="99"/>
        <v>#DIV/0!</v>
      </c>
      <c r="AA316" s="103">
        <f t="shared" si="100"/>
        <v>1</v>
      </c>
      <c r="AC316" s="101">
        <f t="shared" si="101"/>
        <v>0</v>
      </c>
      <c r="AG316" s="101" t="e">
        <f t="shared" si="102"/>
        <v>#DIV/0!</v>
      </c>
      <c r="AH316" s="101" t="e">
        <f t="shared" si="103"/>
        <v>#DIV/0!</v>
      </c>
      <c r="AJ316" s="104">
        <f t="shared" si="91"/>
        <v>1</v>
      </c>
      <c r="AK316" s="101" t="e">
        <f t="shared" si="92"/>
        <v>#DIV/0!</v>
      </c>
      <c r="AL316" s="50">
        <f t="shared" si="93"/>
        <v>0</v>
      </c>
      <c r="AM316" s="97">
        <f t="shared" si="94"/>
        <v>0</v>
      </c>
      <c r="AO316" s="99" t="e">
        <f t="shared" si="97"/>
        <v>#DIV/0!</v>
      </c>
      <c r="AP316" s="100" t="e">
        <f t="shared" si="95"/>
        <v>#DIV/0!</v>
      </c>
      <c r="AR316" s="100" t="e">
        <f t="shared" si="96"/>
        <v>#DIV/0!</v>
      </c>
    </row>
    <row r="317" spans="7:44" ht="12.75" customHeight="1">
      <c r="G317" s="100" t="e">
        <f t="shared" si="98"/>
        <v>#DIV/0!</v>
      </c>
      <c r="P317" s="100" t="e">
        <f t="shared" si="99"/>
        <v>#DIV/0!</v>
      </c>
      <c r="AA317" s="103">
        <f t="shared" si="100"/>
        <v>1</v>
      </c>
      <c r="AC317" s="101">
        <f t="shared" si="101"/>
        <v>0</v>
      </c>
      <c r="AG317" s="101" t="e">
        <f t="shared" si="102"/>
        <v>#DIV/0!</v>
      </c>
      <c r="AH317" s="101" t="e">
        <f t="shared" si="103"/>
        <v>#DIV/0!</v>
      </c>
      <c r="AJ317" s="104">
        <f t="shared" si="91"/>
        <v>1</v>
      </c>
      <c r="AK317" s="101" t="e">
        <f t="shared" si="92"/>
        <v>#DIV/0!</v>
      </c>
      <c r="AL317" s="50">
        <f t="shared" si="93"/>
        <v>0</v>
      </c>
      <c r="AM317" s="97">
        <f t="shared" si="94"/>
        <v>0</v>
      </c>
      <c r="AO317" s="99" t="e">
        <f t="shared" si="97"/>
        <v>#DIV/0!</v>
      </c>
      <c r="AP317" s="100" t="e">
        <f t="shared" si="95"/>
        <v>#DIV/0!</v>
      </c>
      <c r="AR317" s="100" t="e">
        <f t="shared" si="96"/>
        <v>#DIV/0!</v>
      </c>
    </row>
    <row r="318" spans="7:44" ht="12.75" customHeight="1">
      <c r="G318" s="100" t="e">
        <f t="shared" si="98"/>
        <v>#DIV/0!</v>
      </c>
      <c r="P318" s="100" t="e">
        <f t="shared" si="99"/>
        <v>#DIV/0!</v>
      </c>
      <c r="AA318" s="103">
        <f t="shared" si="100"/>
        <v>1</v>
      </c>
      <c r="AC318" s="101">
        <f t="shared" si="101"/>
        <v>0</v>
      </c>
      <c r="AG318" s="101" t="e">
        <f t="shared" si="102"/>
        <v>#DIV/0!</v>
      </c>
      <c r="AH318" s="101" t="e">
        <f t="shared" si="103"/>
        <v>#DIV/0!</v>
      </c>
      <c r="AJ318" s="104">
        <f t="shared" si="91"/>
        <v>1</v>
      </c>
      <c r="AK318" s="101" t="e">
        <f t="shared" si="92"/>
        <v>#DIV/0!</v>
      </c>
      <c r="AL318" s="50">
        <f t="shared" si="93"/>
        <v>0</v>
      </c>
      <c r="AM318" s="97">
        <f t="shared" si="94"/>
        <v>0</v>
      </c>
      <c r="AO318" s="99" t="e">
        <f t="shared" si="97"/>
        <v>#DIV/0!</v>
      </c>
      <c r="AP318" s="100" t="e">
        <f t="shared" si="95"/>
        <v>#DIV/0!</v>
      </c>
      <c r="AR318" s="100" t="e">
        <f t="shared" si="96"/>
        <v>#DIV/0!</v>
      </c>
    </row>
    <row r="319" spans="7:44" ht="12.75" customHeight="1">
      <c r="G319" s="100" t="e">
        <f t="shared" si="98"/>
        <v>#DIV/0!</v>
      </c>
      <c r="P319" s="100" t="e">
        <f t="shared" si="99"/>
        <v>#DIV/0!</v>
      </c>
      <c r="AA319" s="103">
        <f t="shared" si="100"/>
        <v>1</v>
      </c>
      <c r="AC319" s="101">
        <f t="shared" si="101"/>
        <v>0</v>
      </c>
      <c r="AG319" s="101" t="e">
        <f t="shared" si="102"/>
        <v>#DIV/0!</v>
      </c>
      <c r="AH319" s="101" t="e">
        <f t="shared" si="103"/>
        <v>#DIV/0!</v>
      </c>
      <c r="AJ319" s="104">
        <f t="shared" si="91"/>
        <v>1</v>
      </c>
      <c r="AK319" s="101" t="e">
        <f t="shared" si="92"/>
        <v>#DIV/0!</v>
      </c>
      <c r="AL319" s="50">
        <f t="shared" si="93"/>
        <v>0</v>
      </c>
      <c r="AM319" s="97">
        <f t="shared" si="94"/>
        <v>0</v>
      </c>
      <c r="AO319" s="99" t="e">
        <f t="shared" si="97"/>
        <v>#DIV/0!</v>
      </c>
      <c r="AP319" s="100" t="e">
        <f t="shared" si="95"/>
        <v>#DIV/0!</v>
      </c>
      <c r="AR319" s="100" t="e">
        <f t="shared" si="96"/>
        <v>#DIV/0!</v>
      </c>
    </row>
    <row r="320" spans="7:44" ht="12.75" customHeight="1">
      <c r="G320" s="100" t="e">
        <f t="shared" si="98"/>
        <v>#DIV/0!</v>
      </c>
      <c r="P320" s="100" t="e">
        <f t="shared" si="99"/>
        <v>#DIV/0!</v>
      </c>
      <c r="AA320" s="103">
        <f t="shared" si="100"/>
        <v>1</v>
      </c>
      <c r="AC320" s="101">
        <f t="shared" si="101"/>
        <v>0</v>
      </c>
      <c r="AG320" s="101" t="e">
        <f t="shared" si="102"/>
        <v>#DIV/0!</v>
      </c>
      <c r="AH320" s="101" t="e">
        <f t="shared" si="103"/>
        <v>#DIV/0!</v>
      </c>
      <c r="AJ320" s="104">
        <f t="shared" si="91"/>
        <v>1</v>
      </c>
      <c r="AK320" s="101" t="e">
        <f t="shared" si="92"/>
        <v>#DIV/0!</v>
      </c>
      <c r="AL320" s="50">
        <f t="shared" si="93"/>
        <v>0</v>
      </c>
      <c r="AM320" s="97">
        <f t="shared" si="94"/>
        <v>0</v>
      </c>
      <c r="AO320" s="99" t="e">
        <f t="shared" si="97"/>
        <v>#DIV/0!</v>
      </c>
      <c r="AP320" s="100" t="e">
        <f t="shared" si="95"/>
        <v>#DIV/0!</v>
      </c>
      <c r="AR320" s="100" t="e">
        <f t="shared" si="96"/>
        <v>#DIV/0!</v>
      </c>
    </row>
    <row r="321" spans="7:44" ht="12.75" customHeight="1">
      <c r="G321" s="100" t="e">
        <f t="shared" si="98"/>
        <v>#DIV/0!</v>
      </c>
      <c r="P321" s="100" t="e">
        <f t="shared" si="99"/>
        <v>#DIV/0!</v>
      </c>
      <c r="AA321" s="103">
        <f t="shared" si="100"/>
        <v>1</v>
      </c>
      <c r="AC321" s="101">
        <f t="shared" si="101"/>
        <v>0</v>
      </c>
      <c r="AG321" s="101" t="e">
        <f t="shared" si="102"/>
        <v>#DIV/0!</v>
      </c>
      <c r="AH321" s="101" t="e">
        <f t="shared" si="103"/>
        <v>#DIV/0!</v>
      </c>
      <c r="AJ321" s="104">
        <f t="shared" si="91"/>
        <v>1</v>
      </c>
      <c r="AK321" s="101" t="e">
        <f t="shared" si="92"/>
        <v>#DIV/0!</v>
      </c>
      <c r="AL321" s="50">
        <f t="shared" si="93"/>
        <v>0</v>
      </c>
      <c r="AM321" s="97">
        <f t="shared" si="94"/>
        <v>0</v>
      </c>
      <c r="AO321" s="99" t="e">
        <f t="shared" si="97"/>
        <v>#DIV/0!</v>
      </c>
      <c r="AP321" s="100" t="e">
        <f t="shared" si="95"/>
        <v>#DIV/0!</v>
      </c>
      <c r="AR321" s="100" t="e">
        <f t="shared" si="96"/>
        <v>#DIV/0!</v>
      </c>
    </row>
    <row r="322" spans="7:44" ht="12.75" customHeight="1">
      <c r="G322" s="100" t="e">
        <f t="shared" si="98"/>
        <v>#DIV/0!</v>
      </c>
      <c r="P322" s="100" t="e">
        <f t="shared" si="99"/>
        <v>#DIV/0!</v>
      </c>
      <c r="AA322" s="103">
        <f t="shared" si="100"/>
        <v>1</v>
      </c>
      <c r="AC322" s="101">
        <f t="shared" si="101"/>
        <v>0</v>
      </c>
      <c r="AG322" s="101" t="e">
        <f t="shared" si="102"/>
        <v>#DIV/0!</v>
      </c>
      <c r="AH322" s="101" t="e">
        <f t="shared" si="103"/>
        <v>#DIV/0!</v>
      </c>
      <c r="AJ322" s="104">
        <f t="shared" ref="AJ322:AJ385" si="104">IF(AI322&gt;12.8,IF(AI322&gt;15.8,0.95,0.98),1)</f>
        <v>1</v>
      </c>
      <c r="AK322" s="101" t="e">
        <f t="shared" ref="AK322:AK385" si="105">((AG322*2.6+AH322)*AJ322*AQ322)</f>
        <v>#DIV/0!</v>
      </c>
      <c r="AL322" s="50">
        <f t="shared" ref="AL322:AL385" si="106">D322</f>
        <v>0</v>
      </c>
      <c r="AM322" s="97">
        <f t="shared" ref="AM322:AM385" si="107">B322</f>
        <v>0</v>
      </c>
      <c r="AO322" s="99" t="e">
        <f t="shared" si="97"/>
        <v>#DIV/0!</v>
      </c>
      <c r="AP322" s="100" t="e">
        <f t="shared" ref="AP322:AP338" si="108">IF(AK322&gt;23.2,IF(Y322&lt;300,IF(Y322&lt;35,IF(Y322&lt;8,3,2),1),0),0)</f>
        <v>#DIV/0!</v>
      </c>
      <c r="AR322" s="100" t="e">
        <f t="shared" ref="AR322:AR338" si="109">IF(AO322=1,IF(AO322=AL322,1,0),5)</f>
        <v>#DIV/0!</v>
      </c>
    </row>
    <row r="323" spans="7:44" ht="12.75" customHeight="1">
      <c r="G323" s="100" t="e">
        <f t="shared" si="98"/>
        <v>#DIV/0!</v>
      </c>
      <c r="P323" s="100" t="e">
        <f t="shared" si="99"/>
        <v>#DIV/0!</v>
      </c>
      <c r="AA323" s="103">
        <f t="shared" si="100"/>
        <v>1</v>
      </c>
      <c r="AC323" s="101">
        <f t="shared" si="101"/>
        <v>0</v>
      </c>
      <c r="AG323" s="101" t="e">
        <f t="shared" si="102"/>
        <v>#DIV/0!</v>
      </c>
      <c r="AH323" s="101" t="e">
        <f t="shared" si="103"/>
        <v>#DIV/0!</v>
      </c>
      <c r="AJ323" s="104">
        <f t="shared" si="104"/>
        <v>1</v>
      </c>
      <c r="AK323" s="101" t="e">
        <f t="shared" si="105"/>
        <v>#DIV/0!</v>
      </c>
      <c r="AL323" s="50">
        <f t="shared" si="106"/>
        <v>0</v>
      </c>
      <c r="AM323" s="97">
        <f t="shared" si="107"/>
        <v>0</v>
      </c>
      <c r="AO323" s="99" t="e">
        <f t="shared" ref="AO323:AO386" si="110">IF(AK323&gt;24.2,IF(Z323&lt;140,1,0),0)</f>
        <v>#DIV/0!</v>
      </c>
      <c r="AP323" s="100" t="e">
        <f t="shared" si="108"/>
        <v>#DIV/0!</v>
      </c>
      <c r="AR323" s="100" t="e">
        <f t="shared" si="109"/>
        <v>#DIV/0!</v>
      </c>
    </row>
    <row r="324" spans="7:44" ht="12.75" customHeight="1">
      <c r="G324" s="100" t="e">
        <f t="shared" si="98"/>
        <v>#DIV/0!</v>
      </c>
      <c r="P324" s="100" t="e">
        <f t="shared" si="99"/>
        <v>#DIV/0!</v>
      </c>
      <c r="AA324" s="103">
        <f t="shared" si="100"/>
        <v>1</v>
      </c>
      <c r="AC324" s="101">
        <f t="shared" si="101"/>
        <v>0</v>
      </c>
      <c r="AG324" s="101" t="e">
        <f t="shared" si="102"/>
        <v>#DIV/0!</v>
      </c>
      <c r="AH324" s="101" t="e">
        <f t="shared" si="103"/>
        <v>#DIV/0!</v>
      </c>
      <c r="AJ324" s="104">
        <f t="shared" si="104"/>
        <v>1</v>
      </c>
      <c r="AK324" s="101" t="e">
        <f t="shared" si="105"/>
        <v>#DIV/0!</v>
      </c>
      <c r="AL324" s="50">
        <f t="shared" si="106"/>
        <v>0</v>
      </c>
      <c r="AM324" s="97">
        <f t="shared" si="107"/>
        <v>0</v>
      </c>
      <c r="AO324" s="99" t="e">
        <f t="shared" si="110"/>
        <v>#DIV/0!</v>
      </c>
      <c r="AP324" s="100" t="e">
        <f t="shared" si="108"/>
        <v>#DIV/0!</v>
      </c>
      <c r="AR324" s="100" t="e">
        <f t="shared" si="109"/>
        <v>#DIV/0!</v>
      </c>
    </row>
    <row r="325" spans="7:44" ht="12.75" customHeight="1">
      <c r="G325" s="100" t="e">
        <f t="shared" si="98"/>
        <v>#DIV/0!</v>
      </c>
      <c r="P325" s="100" t="e">
        <f t="shared" si="99"/>
        <v>#DIV/0!</v>
      </c>
      <c r="AA325" s="103">
        <f t="shared" si="100"/>
        <v>1</v>
      </c>
      <c r="AC325" s="101">
        <f t="shared" si="101"/>
        <v>0</v>
      </c>
      <c r="AG325" s="101" t="e">
        <f t="shared" si="102"/>
        <v>#DIV/0!</v>
      </c>
      <c r="AH325" s="101" t="e">
        <f t="shared" si="103"/>
        <v>#DIV/0!</v>
      </c>
      <c r="AJ325" s="104">
        <f t="shared" si="104"/>
        <v>1</v>
      </c>
      <c r="AK325" s="101" t="e">
        <f t="shared" si="105"/>
        <v>#DIV/0!</v>
      </c>
      <c r="AL325" s="50">
        <f t="shared" si="106"/>
        <v>0</v>
      </c>
      <c r="AM325" s="97">
        <f t="shared" si="107"/>
        <v>0</v>
      </c>
      <c r="AO325" s="99" t="e">
        <f t="shared" si="110"/>
        <v>#DIV/0!</v>
      </c>
      <c r="AP325" s="100" t="e">
        <f t="shared" si="108"/>
        <v>#DIV/0!</v>
      </c>
      <c r="AR325" s="100" t="e">
        <f t="shared" si="109"/>
        <v>#DIV/0!</v>
      </c>
    </row>
    <row r="326" spans="7:44" ht="12.75" customHeight="1">
      <c r="G326" s="100" t="e">
        <f t="shared" si="98"/>
        <v>#DIV/0!</v>
      </c>
      <c r="P326" s="100" t="e">
        <f t="shared" si="99"/>
        <v>#DIV/0!</v>
      </c>
      <c r="AA326" s="103">
        <f t="shared" si="100"/>
        <v>1</v>
      </c>
      <c r="AC326" s="101">
        <f t="shared" si="101"/>
        <v>0</v>
      </c>
      <c r="AG326" s="101" t="e">
        <f t="shared" si="102"/>
        <v>#DIV/0!</v>
      </c>
      <c r="AH326" s="101" t="e">
        <f t="shared" si="103"/>
        <v>#DIV/0!</v>
      </c>
      <c r="AJ326" s="104">
        <f t="shared" si="104"/>
        <v>1</v>
      </c>
      <c r="AK326" s="101" t="e">
        <f t="shared" si="105"/>
        <v>#DIV/0!</v>
      </c>
      <c r="AL326" s="50">
        <f t="shared" si="106"/>
        <v>0</v>
      </c>
      <c r="AM326" s="97">
        <f t="shared" si="107"/>
        <v>0</v>
      </c>
      <c r="AO326" s="99" t="e">
        <f t="shared" si="110"/>
        <v>#DIV/0!</v>
      </c>
      <c r="AP326" s="100" t="e">
        <f t="shared" si="108"/>
        <v>#DIV/0!</v>
      </c>
      <c r="AR326" s="100" t="e">
        <f t="shared" si="109"/>
        <v>#DIV/0!</v>
      </c>
    </row>
    <row r="327" spans="7:44" ht="12.75" customHeight="1">
      <c r="G327" s="100" t="e">
        <f t="shared" si="98"/>
        <v>#DIV/0!</v>
      </c>
      <c r="P327" s="100" t="e">
        <f t="shared" si="99"/>
        <v>#DIV/0!</v>
      </c>
      <c r="AA327" s="103">
        <f t="shared" si="100"/>
        <v>1</v>
      </c>
      <c r="AC327" s="101">
        <f t="shared" si="101"/>
        <v>0</v>
      </c>
      <c r="AG327" s="101" t="e">
        <f t="shared" si="102"/>
        <v>#DIV/0!</v>
      </c>
      <c r="AH327" s="101" t="e">
        <f t="shared" si="103"/>
        <v>#DIV/0!</v>
      </c>
      <c r="AJ327" s="104">
        <f t="shared" si="104"/>
        <v>1</v>
      </c>
      <c r="AK327" s="101" t="e">
        <f t="shared" si="105"/>
        <v>#DIV/0!</v>
      </c>
      <c r="AL327" s="50">
        <f t="shared" si="106"/>
        <v>0</v>
      </c>
      <c r="AM327" s="97">
        <f t="shared" si="107"/>
        <v>0</v>
      </c>
      <c r="AO327" s="99" t="e">
        <f t="shared" si="110"/>
        <v>#DIV/0!</v>
      </c>
      <c r="AP327" s="100" t="e">
        <f t="shared" si="108"/>
        <v>#DIV/0!</v>
      </c>
      <c r="AR327" s="100" t="e">
        <f t="shared" si="109"/>
        <v>#DIV/0!</v>
      </c>
    </row>
    <row r="328" spans="7:44" ht="12.75" customHeight="1">
      <c r="G328" s="100" t="e">
        <f t="shared" si="98"/>
        <v>#DIV/0!</v>
      </c>
      <c r="P328" s="100" t="e">
        <f t="shared" si="99"/>
        <v>#DIV/0!</v>
      </c>
      <c r="AA328" s="103">
        <f t="shared" si="100"/>
        <v>1</v>
      </c>
      <c r="AC328" s="101">
        <f t="shared" si="101"/>
        <v>0</v>
      </c>
      <c r="AG328" s="101" t="e">
        <f t="shared" si="102"/>
        <v>#DIV/0!</v>
      </c>
      <c r="AH328" s="101" t="e">
        <f t="shared" si="103"/>
        <v>#DIV/0!</v>
      </c>
      <c r="AJ328" s="104">
        <f t="shared" si="104"/>
        <v>1</v>
      </c>
      <c r="AK328" s="101" t="e">
        <f t="shared" si="105"/>
        <v>#DIV/0!</v>
      </c>
      <c r="AL328" s="50">
        <f t="shared" si="106"/>
        <v>0</v>
      </c>
      <c r="AM328" s="97">
        <f t="shared" si="107"/>
        <v>0</v>
      </c>
      <c r="AO328" s="99" t="e">
        <f t="shared" si="110"/>
        <v>#DIV/0!</v>
      </c>
      <c r="AP328" s="100" t="e">
        <f t="shared" si="108"/>
        <v>#DIV/0!</v>
      </c>
      <c r="AR328" s="100" t="e">
        <f t="shared" si="109"/>
        <v>#DIV/0!</v>
      </c>
    </row>
    <row r="329" spans="7:44" ht="12.75" customHeight="1">
      <c r="G329" s="100" t="e">
        <f t="shared" si="98"/>
        <v>#DIV/0!</v>
      </c>
      <c r="P329" s="100" t="e">
        <f t="shared" si="99"/>
        <v>#DIV/0!</v>
      </c>
      <c r="AA329" s="103">
        <f t="shared" si="100"/>
        <v>1</v>
      </c>
      <c r="AC329" s="101">
        <f t="shared" si="101"/>
        <v>0</v>
      </c>
      <c r="AG329" s="101" t="e">
        <f t="shared" si="102"/>
        <v>#DIV/0!</v>
      </c>
      <c r="AH329" s="101" t="e">
        <f t="shared" si="103"/>
        <v>#DIV/0!</v>
      </c>
      <c r="AJ329" s="104">
        <f t="shared" si="104"/>
        <v>1</v>
      </c>
      <c r="AK329" s="101" t="e">
        <f t="shared" si="105"/>
        <v>#DIV/0!</v>
      </c>
      <c r="AL329" s="50">
        <f t="shared" si="106"/>
        <v>0</v>
      </c>
      <c r="AM329" s="97">
        <f t="shared" si="107"/>
        <v>0</v>
      </c>
      <c r="AO329" s="99" t="e">
        <f t="shared" si="110"/>
        <v>#DIV/0!</v>
      </c>
      <c r="AP329" s="100" t="e">
        <f t="shared" si="108"/>
        <v>#DIV/0!</v>
      </c>
      <c r="AR329" s="100" t="e">
        <f t="shared" si="109"/>
        <v>#DIV/0!</v>
      </c>
    </row>
    <row r="330" spans="7:44" ht="12.75" customHeight="1">
      <c r="G330" s="100" t="e">
        <f t="shared" si="98"/>
        <v>#DIV/0!</v>
      </c>
      <c r="P330" s="100" t="e">
        <f t="shared" si="99"/>
        <v>#DIV/0!</v>
      </c>
      <c r="AA330" s="103">
        <f t="shared" si="100"/>
        <v>1</v>
      </c>
      <c r="AC330" s="101">
        <f t="shared" si="101"/>
        <v>0</v>
      </c>
      <c r="AG330" s="101" t="e">
        <f t="shared" si="102"/>
        <v>#DIV/0!</v>
      </c>
      <c r="AH330" s="101" t="e">
        <f t="shared" si="103"/>
        <v>#DIV/0!</v>
      </c>
      <c r="AJ330" s="104">
        <f t="shared" si="104"/>
        <v>1</v>
      </c>
      <c r="AK330" s="101" t="e">
        <f t="shared" si="105"/>
        <v>#DIV/0!</v>
      </c>
      <c r="AL330" s="50">
        <f t="shared" si="106"/>
        <v>0</v>
      </c>
      <c r="AM330" s="97">
        <f t="shared" si="107"/>
        <v>0</v>
      </c>
      <c r="AO330" s="99" t="e">
        <f t="shared" si="110"/>
        <v>#DIV/0!</v>
      </c>
      <c r="AP330" s="100" t="e">
        <f t="shared" si="108"/>
        <v>#DIV/0!</v>
      </c>
      <c r="AR330" s="100" t="e">
        <f t="shared" si="109"/>
        <v>#DIV/0!</v>
      </c>
    </row>
    <row r="331" spans="7:44" ht="12.75" customHeight="1">
      <c r="G331" s="100" t="e">
        <f t="shared" si="98"/>
        <v>#DIV/0!</v>
      </c>
      <c r="P331" s="100" t="e">
        <f t="shared" si="99"/>
        <v>#DIV/0!</v>
      </c>
      <c r="AA331" s="103">
        <f t="shared" si="100"/>
        <v>1</v>
      </c>
      <c r="AC331" s="101">
        <f t="shared" si="101"/>
        <v>0</v>
      </c>
      <c r="AG331" s="101" t="e">
        <f t="shared" si="102"/>
        <v>#DIV/0!</v>
      </c>
      <c r="AH331" s="101" t="e">
        <f t="shared" si="103"/>
        <v>#DIV/0!</v>
      </c>
      <c r="AJ331" s="104">
        <f t="shared" si="104"/>
        <v>1</v>
      </c>
      <c r="AK331" s="101" t="e">
        <f t="shared" si="105"/>
        <v>#DIV/0!</v>
      </c>
      <c r="AL331" s="50">
        <f t="shared" si="106"/>
        <v>0</v>
      </c>
      <c r="AM331" s="97">
        <f t="shared" si="107"/>
        <v>0</v>
      </c>
      <c r="AO331" s="99" t="e">
        <f t="shared" si="110"/>
        <v>#DIV/0!</v>
      </c>
      <c r="AP331" s="100" t="e">
        <f t="shared" si="108"/>
        <v>#DIV/0!</v>
      </c>
      <c r="AR331" s="100" t="e">
        <f t="shared" si="109"/>
        <v>#DIV/0!</v>
      </c>
    </row>
    <row r="332" spans="7:44" ht="12.75" customHeight="1">
      <c r="G332" s="100" t="e">
        <f t="shared" si="98"/>
        <v>#DIV/0!</v>
      </c>
      <c r="P332" s="100" t="e">
        <f t="shared" si="99"/>
        <v>#DIV/0!</v>
      </c>
      <c r="AA332" s="103">
        <f t="shared" si="100"/>
        <v>1</v>
      </c>
      <c r="AC332" s="101">
        <f t="shared" si="101"/>
        <v>0</v>
      </c>
      <c r="AG332" s="101" t="e">
        <f t="shared" si="102"/>
        <v>#DIV/0!</v>
      </c>
      <c r="AH332" s="101" t="e">
        <f t="shared" si="103"/>
        <v>#DIV/0!</v>
      </c>
      <c r="AJ332" s="104">
        <f t="shared" si="104"/>
        <v>1</v>
      </c>
      <c r="AK332" s="101" t="e">
        <f t="shared" si="105"/>
        <v>#DIV/0!</v>
      </c>
      <c r="AL332" s="50">
        <f t="shared" si="106"/>
        <v>0</v>
      </c>
      <c r="AM332" s="97">
        <f t="shared" si="107"/>
        <v>0</v>
      </c>
      <c r="AO332" s="99" t="e">
        <f t="shared" si="110"/>
        <v>#DIV/0!</v>
      </c>
      <c r="AP332" s="100" t="e">
        <f t="shared" si="108"/>
        <v>#DIV/0!</v>
      </c>
      <c r="AR332" s="100" t="e">
        <f t="shared" si="109"/>
        <v>#DIV/0!</v>
      </c>
    </row>
    <row r="333" spans="7:44" ht="12.75" customHeight="1">
      <c r="G333" s="100" t="e">
        <f t="shared" si="98"/>
        <v>#DIV/0!</v>
      </c>
      <c r="P333" s="100" t="e">
        <f t="shared" si="99"/>
        <v>#DIV/0!</v>
      </c>
      <c r="AA333" s="103">
        <f t="shared" si="100"/>
        <v>1</v>
      </c>
      <c r="AC333" s="101">
        <f t="shared" si="101"/>
        <v>0</v>
      </c>
      <c r="AG333" s="101" t="e">
        <f t="shared" si="102"/>
        <v>#DIV/0!</v>
      </c>
      <c r="AH333" s="101" t="e">
        <f t="shared" si="103"/>
        <v>#DIV/0!</v>
      </c>
      <c r="AJ333" s="104">
        <f t="shared" si="104"/>
        <v>1</v>
      </c>
      <c r="AK333" s="101" t="e">
        <f t="shared" si="105"/>
        <v>#DIV/0!</v>
      </c>
      <c r="AL333" s="50">
        <f t="shared" si="106"/>
        <v>0</v>
      </c>
      <c r="AM333" s="97">
        <f t="shared" si="107"/>
        <v>0</v>
      </c>
      <c r="AO333" s="99" t="e">
        <f t="shared" si="110"/>
        <v>#DIV/0!</v>
      </c>
      <c r="AP333" s="100" t="e">
        <f t="shared" si="108"/>
        <v>#DIV/0!</v>
      </c>
      <c r="AR333" s="100" t="e">
        <f t="shared" si="109"/>
        <v>#DIV/0!</v>
      </c>
    </row>
    <row r="334" spans="7:44" ht="12.75" customHeight="1">
      <c r="G334" s="100" t="e">
        <f t="shared" si="98"/>
        <v>#DIV/0!</v>
      </c>
      <c r="P334" s="100" t="e">
        <f t="shared" si="99"/>
        <v>#DIV/0!</v>
      </c>
      <c r="AA334" s="103">
        <f t="shared" si="100"/>
        <v>1</v>
      </c>
      <c r="AC334" s="101">
        <f t="shared" si="101"/>
        <v>0</v>
      </c>
      <c r="AG334" s="101" t="e">
        <f t="shared" si="102"/>
        <v>#DIV/0!</v>
      </c>
      <c r="AH334" s="101" t="e">
        <f t="shared" si="103"/>
        <v>#DIV/0!</v>
      </c>
      <c r="AJ334" s="104">
        <f t="shared" si="104"/>
        <v>1</v>
      </c>
      <c r="AK334" s="101" t="e">
        <f t="shared" si="105"/>
        <v>#DIV/0!</v>
      </c>
      <c r="AL334" s="50">
        <f t="shared" si="106"/>
        <v>0</v>
      </c>
      <c r="AM334" s="97">
        <f t="shared" si="107"/>
        <v>0</v>
      </c>
      <c r="AO334" s="99" t="e">
        <f t="shared" si="110"/>
        <v>#DIV/0!</v>
      </c>
      <c r="AP334" s="100" t="e">
        <f t="shared" si="108"/>
        <v>#DIV/0!</v>
      </c>
      <c r="AR334" s="100" t="e">
        <f t="shared" si="109"/>
        <v>#DIV/0!</v>
      </c>
    </row>
    <row r="335" spans="7:44" ht="12.75" customHeight="1">
      <c r="G335" s="100" t="e">
        <f t="shared" si="98"/>
        <v>#DIV/0!</v>
      </c>
      <c r="P335" s="100" t="e">
        <f t="shared" si="99"/>
        <v>#DIV/0!</v>
      </c>
      <c r="AA335" s="103">
        <f t="shared" si="100"/>
        <v>1</v>
      </c>
      <c r="AC335" s="101">
        <f t="shared" si="101"/>
        <v>0</v>
      </c>
      <c r="AG335" s="101" t="e">
        <f t="shared" si="102"/>
        <v>#DIV/0!</v>
      </c>
      <c r="AH335" s="101" t="e">
        <f t="shared" si="103"/>
        <v>#DIV/0!</v>
      </c>
      <c r="AJ335" s="104">
        <f t="shared" si="104"/>
        <v>1</v>
      </c>
      <c r="AK335" s="101" t="e">
        <f t="shared" si="105"/>
        <v>#DIV/0!</v>
      </c>
      <c r="AL335" s="50">
        <f t="shared" si="106"/>
        <v>0</v>
      </c>
      <c r="AM335" s="97">
        <f t="shared" si="107"/>
        <v>0</v>
      </c>
      <c r="AO335" s="99" t="e">
        <f t="shared" si="110"/>
        <v>#DIV/0!</v>
      </c>
      <c r="AP335" s="100" t="e">
        <f t="shared" si="108"/>
        <v>#DIV/0!</v>
      </c>
      <c r="AR335" s="100" t="e">
        <f t="shared" si="109"/>
        <v>#DIV/0!</v>
      </c>
    </row>
    <row r="336" spans="7:44" ht="12.75" customHeight="1">
      <c r="G336" s="100" t="e">
        <f t="shared" si="98"/>
        <v>#DIV/0!</v>
      </c>
      <c r="P336" s="100" t="e">
        <f t="shared" si="99"/>
        <v>#DIV/0!</v>
      </c>
      <c r="AA336" s="103">
        <f t="shared" si="100"/>
        <v>1</v>
      </c>
      <c r="AC336" s="101">
        <f t="shared" si="101"/>
        <v>0</v>
      </c>
      <c r="AG336" s="101" t="e">
        <f t="shared" si="102"/>
        <v>#DIV/0!</v>
      </c>
      <c r="AH336" s="101" t="e">
        <f t="shared" si="103"/>
        <v>#DIV/0!</v>
      </c>
      <c r="AJ336" s="104">
        <f t="shared" si="104"/>
        <v>1</v>
      </c>
      <c r="AK336" s="101" t="e">
        <f t="shared" si="105"/>
        <v>#DIV/0!</v>
      </c>
      <c r="AL336" s="50">
        <f t="shared" si="106"/>
        <v>0</v>
      </c>
      <c r="AM336" s="97">
        <f t="shared" si="107"/>
        <v>0</v>
      </c>
      <c r="AO336" s="99" t="e">
        <f t="shared" si="110"/>
        <v>#DIV/0!</v>
      </c>
      <c r="AP336" s="100" t="e">
        <f t="shared" si="108"/>
        <v>#DIV/0!</v>
      </c>
      <c r="AR336" s="100" t="e">
        <f t="shared" si="109"/>
        <v>#DIV/0!</v>
      </c>
    </row>
    <row r="337" spans="7:44" ht="12.75" customHeight="1">
      <c r="G337" s="100" t="e">
        <f t="shared" si="98"/>
        <v>#DIV/0!</v>
      </c>
      <c r="P337" s="100" t="e">
        <f t="shared" si="99"/>
        <v>#DIV/0!</v>
      </c>
      <c r="AA337" s="103">
        <f t="shared" si="100"/>
        <v>1</v>
      </c>
      <c r="AC337" s="101">
        <f t="shared" si="101"/>
        <v>0</v>
      </c>
      <c r="AG337" s="101" t="e">
        <f t="shared" si="102"/>
        <v>#DIV/0!</v>
      </c>
      <c r="AH337" s="101" t="e">
        <f t="shared" si="103"/>
        <v>#DIV/0!</v>
      </c>
      <c r="AJ337" s="104">
        <f t="shared" si="104"/>
        <v>1</v>
      </c>
      <c r="AK337" s="101" t="e">
        <f t="shared" si="105"/>
        <v>#DIV/0!</v>
      </c>
      <c r="AL337" s="50">
        <f t="shared" si="106"/>
        <v>0</v>
      </c>
      <c r="AM337" s="97">
        <f t="shared" si="107"/>
        <v>0</v>
      </c>
      <c r="AO337" s="99" t="e">
        <f t="shared" si="110"/>
        <v>#DIV/0!</v>
      </c>
      <c r="AP337" s="100" t="e">
        <f t="shared" si="108"/>
        <v>#DIV/0!</v>
      </c>
      <c r="AR337" s="100" t="e">
        <f t="shared" si="109"/>
        <v>#DIV/0!</v>
      </c>
    </row>
    <row r="338" spans="7:44" ht="12.75" customHeight="1">
      <c r="G338" s="100" t="e">
        <f t="shared" si="98"/>
        <v>#DIV/0!</v>
      </c>
      <c r="P338" s="100" t="e">
        <f t="shared" si="99"/>
        <v>#DIV/0!</v>
      </c>
      <c r="AA338" s="103">
        <f t="shared" si="100"/>
        <v>1</v>
      </c>
      <c r="AC338" s="101">
        <f t="shared" si="101"/>
        <v>0</v>
      </c>
      <c r="AG338" s="101" t="e">
        <f t="shared" si="102"/>
        <v>#DIV/0!</v>
      </c>
      <c r="AH338" s="101" t="e">
        <f t="shared" si="103"/>
        <v>#DIV/0!</v>
      </c>
      <c r="AJ338" s="104">
        <f t="shared" si="104"/>
        <v>1</v>
      </c>
      <c r="AK338" s="101" t="e">
        <f t="shared" si="105"/>
        <v>#DIV/0!</v>
      </c>
      <c r="AL338" s="50">
        <f t="shared" si="106"/>
        <v>0</v>
      </c>
      <c r="AM338" s="97">
        <f t="shared" si="107"/>
        <v>0</v>
      </c>
      <c r="AO338" s="99" t="e">
        <f t="shared" si="110"/>
        <v>#DIV/0!</v>
      </c>
      <c r="AP338" s="100" t="e">
        <f t="shared" si="108"/>
        <v>#DIV/0!</v>
      </c>
      <c r="AR338" s="100" t="e">
        <f t="shared" si="109"/>
        <v>#DIV/0!</v>
      </c>
    </row>
    <row r="339" spans="7:44" ht="12.75" customHeight="1">
      <c r="G339" s="100" t="e">
        <f t="shared" si="98"/>
        <v>#DIV/0!</v>
      </c>
      <c r="P339" s="100" t="e">
        <f t="shared" si="99"/>
        <v>#DIV/0!</v>
      </c>
      <c r="AA339" s="103">
        <f t="shared" si="100"/>
        <v>1</v>
      </c>
      <c r="AC339" s="101">
        <f t="shared" si="101"/>
        <v>0</v>
      </c>
      <c r="AG339" s="101" t="e">
        <f t="shared" si="102"/>
        <v>#DIV/0!</v>
      </c>
      <c r="AH339" s="101" t="e">
        <f t="shared" si="103"/>
        <v>#DIV/0!</v>
      </c>
      <c r="AJ339" s="104">
        <f t="shared" si="104"/>
        <v>1</v>
      </c>
      <c r="AK339" s="101" t="e">
        <f t="shared" si="105"/>
        <v>#DIV/0!</v>
      </c>
      <c r="AL339" s="50">
        <f t="shared" si="106"/>
        <v>0</v>
      </c>
      <c r="AM339" s="97">
        <f t="shared" si="107"/>
        <v>0</v>
      </c>
      <c r="AO339" s="99" t="e">
        <f t="shared" si="110"/>
        <v>#DIV/0!</v>
      </c>
    </row>
    <row r="340" spans="7:44" ht="12.75" customHeight="1">
      <c r="G340" s="100" t="e">
        <f t="shared" si="98"/>
        <v>#DIV/0!</v>
      </c>
      <c r="P340" s="100" t="e">
        <f t="shared" si="99"/>
        <v>#DIV/0!</v>
      </c>
      <c r="AA340" s="103">
        <f t="shared" si="100"/>
        <v>1</v>
      </c>
      <c r="AC340" s="101">
        <f t="shared" si="101"/>
        <v>0</v>
      </c>
      <c r="AG340" s="101" t="e">
        <f t="shared" si="102"/>
        <v>#DIV/0!</v>
      </c>
      <c r="AH340" s="101" t="e">
        <f t="shared" si="103"/>
        <v>#DIV/0!</v>
      </c>
      <c r="AJ340" s="104">
        <f t="shared" si="104"/>
        <v>1</v>
      </c>
      <c r="AK340" s="101" t="e">
        <f t="shared" si="105"/>
        <v>#DIV/0!</v>
      </c>
      <c r="AL340" s="50">
        <f t="shared" si="106"/>
        <v>0</v>
      </c>
      <c r="AM340" s="97">
        <f t="shared" si="107"/>
        <v>0</v>
      </c>
      <c r="AO340" s="99" t="e">
        <f t="shared" si="110"/>
        <v>#DIV/0!</v>
      </c>
    </row>
    <row r="341" spans="7:44" ht="12.75" customHeight="1">
      <c r="G341" s="100" t="e">
        <f t="shared" si="98"/>
        <v>#DIV/0!</v>
      </c>
      <c r="P341" s="100" t="e">
        <f t="shared" si="99"/>
        <v>#DIV/0!</v>
      </c>
      <c r="AA341" s="103">
        <f t="shared" si="100"/>
        <v>1</v>
      </c>
      <c r="AC341" s="101">
        <f t="shared" si="101"/>
        <v>0</v>
      </c>
      <c r="AG341" s="101" t="e">
        <f t="shared" si="102"/>
        <v>#DIV/0!</v>
      </c>
      <c r="AH341" s="101" t="e">
        <f t="shared" si="103"/>
        <v>#DIV/0!</v>
      </c>
      <c r="AJ341" s="104">
        <f t="shared" si="104"/>
        <v>1</v>
      </c>
      <c r="AK341" s="101" t="e">
        <f t="shared" si="105"/>
        <v>#DIV/0!</v>
      </c>
      <c r="AL341" s="50">
        <f t="shared" si="106"/>
        <v>0</v>
      </c>
      <c r="AM341" s="97">
        <f t="shared" si="107"/>
        <v>0</v>
      </c>
      <c r="AO341" s="99" t="e">
        <f t="shared" si="110"/>
        <v>#DIV/0!</v>
      </c>
    </row>
    <row r="342" spans="7:44" ht="12.75" customHeight="1">
      <c r="G342" s="100" t="e">
        <f t="shared" si="98"/>
        <v>#DIV/0!</v>
      </c>
      <c r="P342" s="100" t="e">
        <f t="shared" si="99"/>
        <v>#DIV/0!</v>
      </c>
      <c r="AA342" s="103">
        <f t="shared" si="100"/>
        <v>1</v>
      </c>
      <c r="AC342" s="101">
        <f t="shared" si="101"/>
        <v>0</v>
      </c>
      <c r="AG342" s="101" t="e">
        <f t="shared" si="102"/>
        <v>#DIV/0!</v>
      </c>
      <c r="AH342" s="101" t="e">
        <f t="shared" si="103"/>
        <v>#DIV/0!</v>
      </c>
      <c r="AJ342" s="104">
        <f t="shared" si="104"/>
        <v>1</v>
      </c>
      <c r="AK342" s="101" t="e">
        <f t="shared" si="105"/>
        <v>#DIV/0!</v>
      </c>
      <c r="AL342" s="50">
        <f t="shared" si="106"/>
        <v>0</v>
      </c>
      <c r="AM342" s="97">
        <f t="shared" si="107"/>
        <v>0</v>
      </c>
      <c r="AO342" s="99" t="e">
        <f t="shared" si="110"/>
        <v>#DIV/0!</v>
      </c>
    </row>
    <row r="343" spans="7:44" ht="12.75" customHeight="1">
      <c r="G343" s="100" t="e">
        <f t="shared" si="98"/>
        <v>#DIV/0!</v>
      </c>
      <c r="P343" s="100" t="e">
        <f t="shared" si="99"/>
        <v>#DIV/0!</v>
      </c>
      <c r="AA343" s="103">
        <f t="shared" si="100"/>
        <v>1</v>
      </c>
      <c r="AC343" s="101">
        <f t="shared" si="101"/>
        <v>0</v>
      </c>
      <c r="AG343" s="101" t="e">
        <f t="shared" si="102"/>
        <v>#DIV/0!</v>
      </c>
      <c r="AH343" s="101" t="e">
        <f t="shared" si="103"/>
        <v>#DIV/0!</v>
      </c>
      <c r="AJ343" s="104">
        <f t="shared" si="104"/>
        <v>1</v>
      </c>
      <c r="AK343" s="101" t="e">
        <f t="shared" si="105"/>
        <v>#DIV/0!</v>
      </c>
      <c r="AL343" s="50">
        <f t="shared" si="106"/>
        <v>0</v>
      </c>
      <c r="AM343" s="97">
        <f t="shared" si="107"/>
        <v>0</v>
      </c>
      <c r="AO343" s="99" t="e">
        <f t="shared" si="110"/>
        <v>#DIV/0!</v>
      </c>
    </row>
    <row r="344" spans="7:44" ht="12.75" customHeight="1">
      <c r="G344" s="100" t="e">
        <f t="shared" si="98"/>
        <v>#DIV/0!</v>
      </c>
      <c r="P344" s="100" t="e">
        <f t="shared" si="99"/>
        <v>#DIV/0!</v>
      </c>
      <c r="AA344" s="103">
        <f t="shared" si="100"/>
        <v>1</v>
      </c>
      <c r="AC344" s="101">
        <f t="shared" si="101"/>
        <v>0</v>
      </c>
      <c r="AG344" s="101" t="e">
        <f t="shared" si="102"/>
        <v>#DIV/0!</v>
      </c>
      <c r="AH344" s="101" t="e">
        <f t="shared" si="103"/>
        <v>#DIV/0!</v>
      </c>
      <c r="AJ344" s="104">
        <f t="shared" si="104"/>
        <v>1</v>
      </c>
      <c r="AK344" s="101" t="e">
        <f t="shared" si="105"/>
        <v>#DIV/0!</v>
      </c>
      <c r="AL344" s="50">
        <f t="shared" si="106"/>
        <v>0</v>
      </c>
      <c r="AM344" s="97">
        <f t="shared" si="107"/>
        <v>0</v>
      </c>
      <c r="AO344" s="99" t="e">
        <f t="shared" si="110"/>
        <v>#DIV/0!</v>
      </c>
    </row>
    <row r="345" spans="7:44" ht="12.75" customHeight="1">
      <c r="G345" s="100" t="e">
        <f t="shared" si="98"/>
        <v>#DIV/0!</v>
      </c>
      <c r="P345" s="100" t="e">
        <f t="shared" si="99"/>
        <v>#DIV/0!</v>
      </c>
      <c r="AA345" s="103">
        <f t="shared" si="100"/>
        <v>1</v>
      </c>
      <c r="AC345" s="101">
        <f t="shared" si="101"/>
        <v>0</v>
      </c>
      <c r="AG345" s="101" t="e">
        <f t="shared" si="102"/>
        <v>#DIV/0!</v>
      </c>
      <c r="AH345" s="101" t="e">
        <f t="shared" si="103"/>
        <v>#DIV/0!</v>
      </c>
      <c r="AJ345" s="104">
        <f t="shared" si="104"/>
        <v>1</v>
      </c>
      <c r="AK345" s="101" t="e">
        <f t="shared" si="105"/>
        <v>#DIV/0!</v>
      </c>
      <c r="AL345" s="50">
        <f t="shared" si="106"/>
        <v>0</v>
      </c>
      <c r="AM345" s="97">
        <f t="shared" si="107"/>
        <v>0</v>
      </c>
      <c r="AO345" s="99" t="e">
        <f t="shared" si="110"/>
        <v>#DIV/0!</v>
      </c>
    </row>
    <row r="346" spans="7:44" ht="12.75" customHeight="1">
      <c r="G346" s="100" t="e">
        <f t="shared" ref="G346:G409" si="111">100*(F346-E346)/F346</f>
        <v>#DIV/0!</v>
      </c>
      <c r="P346" s="100" t="e">
        <f t="shared" ref="P346:P409" si="112">O346/I346</f>
        <v>#DIV/0!</v>
      </c>
      <c r="AA346" s="103">
        <f t="shared" ref="AA346:AA409" si="113">IF(X346&lt;33,IF(Y346&gt;(1.1*X346),0,1),1)+IF(Y346&gt;(4*X346),-1,0)</f>
        <v>1</v>
      </c>
      <c r="AC346" s="101">
        <f t="shared" ref="AC346:AC409" si="114">IF(AB346&gt;9,1,0)+AB346/3+IF(AB346&gt;15,1,0)+IF(AB346&gt;20,1,0)</f>
        <v>0</v>
      </c>
      <c r="AG346" s="101" t="e">
        <f t="shared" ref="AG346:AG409" si="115">IF(G346&lt;0,0,1.2)+IF(G346&lt;14,0,0.9)+IF(P346&lt;0,0.7,0)+IF(P346&lt;6.5,1,0)+IF(P346&lt;23,1,0)+IF(R346&gt;80,0,1)+S346+IF(AD346&lt;20,0,1)+IF(AE346&lt;14,0,1)+IF(AF346&lt;26,0,1)</f>
        <v>#DIV/0!</v>
      </c>
      <c r="AH346" s="101" t="e">
        <f t="shared" ref="AH346:AH409" si="116">AG346+IF(AG346&gt;6,1,0)+IF(X346&lt;17,0,1)+IF(Y346&lt;11,0,1)+IF(Z346&lt;1.35,0,1)+AC346+AA346</f>
        <v>#DIV/0!</v>
      </c>
      <c r="AJ346" s="104">
        <f t="shared" si="104"/>
        <v>1</v>
      </c>
      <c r="AK346" s="101" t="e">
        <f t="shared" si="105"/>
        <v>#DIV/0!</v>
      </c>
      <c r="AL346" s="50">
        <f t="shared" si="106"/>
        <v>0</v>
      </c>
      <c r="AM346" s="97">
        <f t="shared" si="107"/>
        <v>0</v>
      </c>
      <c r="AO346" s="99" t="e">
        <f t="shared" si="110"/>
        <v>#DIV/0!</v>
      </c>
    </row>
    <row r="347" spans="7:44" ht="12.75" customHeight="1">
      <c r="G347" s="100" t="e">
        <f t="shared" si="111"/>
        <v>#DIV/0!</v>
      </c>
      <c r="P347" s="100" t="e">
        <f t="shared" si="112"/>
        <v>#DIV/0!</v>
      </c>
      <c r="AA347" s="103">
        <f t="shared" si="113"/>
        <v>1</v>
      </c>
      <c r="AC347" s="101">
        <f t="shared" si="114"/>
        <v>0</v>
      </c>
      <c r="AG347" s="101" t="e">
        <f t="shared" si="115"/>
        <v>#DIV/0!</v>
      </c>
      <c r="AH347" s="101" t="e">
        <f t="shared" si="116"/>
        <v>#DIV/0!</v>
      </c>
      <c r="AJ347" s="104">
        <f t="shared" si="104"/>
        <v>1</v>
      </c>
      <c r="AK347" s="101" t="e">
        <f t="shared" si="105"/>
        <v>#DIV/0!</v>
      </c>
      <c r="AL347" s="50">
        <f t="shared" si="106"/>
        <v>0</v>
      </c>
      <c r="AM347" s="97">
        <f t="shared" si="107"/>
        <v>0</v>
      </c>
      <c r="AO347" s="99" t="e">
        <f t="shared" si="110"/>
        <v>#DIV/0!</v>
      </c>
    </row>
    <row r="348" spans="7:44" ht="12.75" customHeight="1">
      <c r="G348" s="100" t="e">
        <f t="shared" si="111"/>
        <v>#DIV/0!</v>
      </c>
      <c r="P348" s="100" t="e">
        <f t="shared" si="112"/>
        <v>#DIV/0!</v>
      </c>
      <c r="AA348" s="103">
        <f t="shared" si="113"/>
        <v>1</v>
      </c>
      <c r="AC348" s="101">
        <f t="shared" si="114"/>
        <v>0</v>
      </c>
      <c r="AG348" s="101" t="e">
        <f t="shared" si="115"/>
        <v>#DIV/0!</v>
      </c>
      <c r="AH348" s="101" t="e">
        <f t="shared" si="116"/>
        <v>#DIV/0!</v>
      </c>
      <c r="AJ348" s="104">
        <f t="shared" si="104"/>
        <v>1</v>
      </c>
      <c r="AK348" s="101" t="e">
        <f t="shared" si="105"/>
        <v>#DIV/0!</v>
      </c>
      <c r="AL348" s="50">
        <f t="shared" si="106"/>
        <v>0</v>
      </c>
      <c r="AM348" s="97">
        <f t="shared" si="107"/>
        <v>0</v>
      </c>
      <c r="AO348" s="99" t="e">
        <f t="shared" si="110"/>
        <v>#DIV/0!</v>
      </c>
    </row>
    <row r="349" spans="7:44" ht="12.75" customHeight="1">
      <c r="G349" s="100" t="e">
        <f t="shared" si="111"/>
        <v>#DIV/0!</v>
      </c>
      <c r="P349" s="100" t="e">
        <f t="shared" si="112"/>
        <v>#DIV/0!</v>
      </c>
      <c r="AA349" s="103">
        <f t="shared" si="113"/>
        <v>1</v>
      </c>
      <c r="AC349" s="101">
        <f t="shared" si="114"/>
        <v>0</v>
      </c>
      <c r="AG349" s="101" t="e">
        <f t="shared" si="115"/>
        <v>#DIV/0!</v>
      </c>
      <c r="AH349" s="101" t="e">
        <f t="shared" si="116"/>
        <v>#DIV/0!</v>
      </c>
      <c r="AJ349" s="104">
        <f t="shared" si="104"/>
        <v>1</v>
      </c>
      <c r="AK349" s="101" t="e">
        <f t="shared" si="105"/>
        <v>#DIV/0!</v>
      </c>
      <c r="AL349" s="50">
        <f t="shared" si="106"/>
        <v>0</v>
      </c>
      <c r="AM349" s="97">
        <f t="shared" si="107"/>
        <v>0</v>
      </c>
      <c r="AO349" s="99" t="e">
        <f t="shared" si="110"/>
        <v>#DIV/0!</v>
      </c>
    </row>
    <row r="350" spans="7:44" ht="12.75" customHeight="1">
      <c r="G350" s="100" t="e">
        <f t="shared" si="111"/>
        <v>#DIV/0!</v>
      </c>
      <c r="P350" s="100" t="e">
        <f t="shared" si="112"/>
        <v>#DIV/0!</v>
      </c>
      <c r="AA350" s="103">
        <f t="shared" si="113"/>
        <v>1</v>
      </c>
      <c r="AC350" s="101">
        <f t="shared" si="114"/>
        <v>0</v>
      </c>
      <c r="AG350" s="101" t="e">
        <f t="shared" si="115"/>
        <v>#DIV/0!</v>
      </c>
      <c r="AH350" s="101" t="e">
        <f t="shared" si="116"/>
        <v>#DIV/0!</v>
      </c>
      <c r="AJ350" s="104">
        <f t="shared" si="104"/>
        <v>1</v>
      </c>
      <c r="AK350" s="101" t="e">
        <f t="shared" si="105"/>
        <v>#DIV/0!</v>
      </c>
      <c r="AL350" s="50">
        <f t="shared" si="106"/>
        <v>0</v>
      </c>
      <c r="AM350" s="97">
        <f t="shared" si="107"/>
        <v>0</v>
      </c>
      <c r="AO350" s="99" t="e">
        <f t="shared" si="110"/>
        <v>#DIV/0!</v>
      </c>
    </row>
    <row r="351" spans="7:44" ht="12.75" customHeight="1">
      <c r="G351" s="100" t="e">
        <f t="shared" si="111"/>
        <v>#DIV/0!</v>
      </c>
      <c r="P351" s="100" t="e">
        <f t="shared" si="112"/>
        <v>#DIV/0!</v>
      </c>
      <c r="AA351" s="103">
        <f t="shared" si="113"/>
        <v>1</v>
      </c>
      <c r="AC351" s="101">
        <f t="shared" si="114"/>
        <v>0</v>
      </c>
      <c r="AG351" s="101" t="e">
        <f t="shared" si="115"/>
        <v>#DIV/0!</v>
      </c>
      <c r="AH351" s="101" t="e">
        <f t="shared" si="116"/>
        <v>#DIV/0!</v>
      </c>
      <c r="AJ351" s="104">
        <f t="shared" si="104"/>
        <v>1</v>
      </c>
      <c r="AK351" s="101" t="e">
        <f t="shared" si="105"/>
        <v>#DIV/0!</v>
      </c>
      <c r="AL351" s="50">
        <f t="shared" si="106"/>
        <v>0</v>
      </c>
      <c r="AM351" s="97">
        <f t="shared" si="107"/>
        <v>0</v>
      </c>
      <c r="AO351" s="99" t="e">
        <f t="shared" si="110"/>
        <v>#DIV/0!</v>
      </c>
    </row>
    <row r="352" spans="7:44" ht="12.75" customHeight="1">
      <c r="G352" s="100" t="e">
        <f t="shared" si="111"/>
        <v>#DIV/0!</v>
      </c>
      <c r="P352" s="100" t="e">
        <f t="shared" si="112"/>
        <v>#DIV/0!</v>
      </c>
      <c r="AA352" s="103">
        <f t="shared" si="113"/>
        <v>1</v>
      </c>
      <c r="AC352" s="101">
        <f t="shared" si="114"/>
        <v>0</v>
      </c>
      <c r="AG352" s="101" t="e">
        <f t="shared" si="115"/>
        <v>#DIV/0!</v>
      </c>
      <c r="AH352" s="101" t="e">
        <f t="shared" si="116"/>
        <v>#DIV/0!</v>
      </c>
      <c r="AJ352" s="104">
        <f t="shared" si="104"/>
        <v>1</v>
      </c>
      <c r="AK352" s="101" t="e">
        <f t="shared" si="105"/>
        <v>#DIV/0!</v>
      </c>
      <c r="AL352" s="50">
        <f t="shared" si="106"/>
        <v>0</v>
      </c>
      <c r="AM352" s="97">
        <f t="shared" si="107"/>
        <v>0</v>
      </c>
      <c r="AO352" s="99" t="e">
        <f t="shared" si="110"/>
        <v>#DIV/0!</v>
      </c>
    </row>
    <row r="353" spans="7:41" ht="12.75" customHeight="1">
      <c r="G353" s="100" t="e">
        <f t="shared" si="111"/>
        <v>#DIV/0!</v>
      </c>
      <c r="P353" s="100" t="e">
        <f t="shared" si="112"/>
        <v>#DIV/0!</v>
      </c>
      <c r="AA353" s="103">
        <f t="shared" si="113"/>
        <v>1</v>
      </c>
      <c r="AC353" s="101">
        <f t="shared" si="114"/>
        <v>0</v>
      </c>
      <c r="AG353" s="101" t="e">
        <f t="shared" si="115"/>
        <v>#DIV/0!</v>
      </c>
      <c r="AH353" s="101" t="e">
        <f t="shared" si="116"/>
        <v>#DIV/0!</v>
      </c>
      <c r="AJ353" s="104">
        <f t="shared" si="104"/>
        <v>1</v>
      </c>
      <c r="AK353" s="101" t="e">
        <f t="shared" si="105"/>
        <v>#DIV/0!</v>
      </c>
      <c r="AL353" s="50">
        <f t="shared" si="106"/>
        <v>0</v>
      </c>
      <c r="AM353" s="97">
        <f t="shared" si="107"/>
        <v>0</v>
      </c>
      <c r="AO353" s="99" t="e">
        <f t="shared" si="110"/>
        <v>#DIV/0!</v>
      </c>
    </row>
    <row r="354" spans="7:41" ht="12.75" customHeight="1">
      <c r="G354" s="100" t="e">
        <f t="shared" si="111"/>
        <v>#DIV/0!</v>
      </c>
      <c r="P354" s="100" t="e">
        <f t="shared" si="112"/>
        <v>#DIV/0!</v>
      </c>
      <c r="AA354" s="103">
        <f t="shared" si="113"/>
        <v>1</v>
      </c>
      <c r="AC354" s="101">
        <f t="shared" si="114"/>
        <v>0</v>
      </c>
      <c r="AG354" s="101" t="e">
        <f t="shared" si="115"/>
        <v>#DIV/0!</v>
      </c>
      <c r="AH354" s="101" t="e">
        <f t="shared" si="116"/>
        <v>#DIV/0!</v>
      </c>
      <c r="AJ354" s="104">
        <f t="shared" si="104"/>
        <v>1</v>
      </c>
      <c r="AK354" s="101" t="e">
        <f t="shared" si="105"/>
        <v>#DIV/0!</v>
      </c>
      <c r="AL354" s="50">
        <f t="shared" si="106"/>
        <v>0</v>
      </c>
      <c r="AM354" s="97">
        <f t="shared" si="107"/>
        <v>0</v>
      </c>
      <c r="AO354" s="99" t="e">
        <f t="shared" si="110"/>
        <v>#DIV/0!</v>
      </c>
    </row>
    <row r="355" spans="7:41" ht="12.75" customHeight="1">
      <c r="G355" s="100" t="e">
        <f t="shared" si="111"/>
        <v>#DIV/0!</v>
      </c>
      <c r="P355" s="100" t="e">
        <f t="shared" si="112"/>
        <v>#DIV/0!</v>
      </c>
      <c r="AA355" s="103">
        <f t="shared" si="113"/>
        <v>1</v>
      </c>
      <c r="AC355" s="101">
        <f t="shared" si="114"/>
        <v>0</v>
      </c>
      <c r="AG355" s="101" t="e">
        <f t="shared" si="115"/>
        <v>#DIV/0!</v>
      </c>
      <c r="AH355" s="101" t="e">
        <f t="shared" si="116"/>
        <v>#DIV/0!</v>
      </c>
      <c r="AJ355" s="104">
        <f t="shared" si="104"/>
        <v>1</v>
      </c>
      <c r="AK355" s="101" t="e">
        <f t="shared" si="105"/>
        <v>#DIV/0!</v>
      </c>
      <c r="AL355" s="50">
        <f t="shared" si="106"/>
        <v>0</v>
      </c>
      <c r="AM355" s="97">
        <f t="shared" si="107"/>
        <v>0</v>
      </c>
      <c r="AO355" s="99" t="e">
        <f t="shared" si="110"/>
        <v>#DIV/0!</v>
      </c>
    </row>
    <row r="356" spans="7:41" ht="12.75" customHeight="1">
      <c r="G356" s="100" t="e">
        <f t="shared" si="111"/>
        <v>#DIV/0!</v>
      </c>
      <c r="P356" s="100" t="e">
        <f t="shared" si="112"/>
        <v>#DIV/0!</v>
      </c>
      <c r="AA356" s="103">
        <f t="shared" si="113"/>
        <v>1</v>
      </c>
      <c r="AC356" s="101">
        <f t="shared" si="114"/>
        <v>0</v>
      </c>
      <c r="AG356" s="101" t="e">
        <f t="shared" si="115"/>
        <v>#DIV/0!</v>
      </c>
      <c r="AH356" s="101" t="e">
        <f t="shared" si="116"/>
        <v>#DIV/0!</v>
      </c>
      <c r="AJ356" s="104">
        <f t="shared" si="104"/>
        <v>1</v>
      </c>
      <c r="AK356" s="101" t="e">
        <f t="shared" si="105"/>
        <v>#DIV/0!</v>
      </c>
      <c r="AL356" s="50">
        <f t="shared" si="106"/>
        <v>0</v>
      </c>
      <c r="AM356" s="97">
        <f t="shared" si="107"/>
        <v>0</v>
      </c>
      <c r="AO356" s="99" t="e">
        <f t="shared" si="110"/>
        <v>#DIV/0!</v>
      </c>
    </row>
    <row r="357" spans="7:41" ht="12.75" customHeight="1">
      <c r="G357" s="100" t="e">
        <f t="shared" si="111"/>
        <v>#DIV/0!</v>
      </c>
      <c r="P357" s="100" t="e">
        <f t="shared" si="112"/>
        <v>#DIV/0!</v>
      </c>
      <c r="AA357" s="103">
        <f t="shared" si="113"/>
        <v>1</v>
      </c>
      <c r="AC357" s="101">
        <f t="shared" si="114"/>
        <v>0</v>
      </c>
      <c r="AG357" s="101" t="e">
        <f t="shared" si="115"/>
        <v>#DIV/0!</v>
      </c>
      <c r="AH357" s="101" t="e">
        <f t="shared" si="116"/>
        <v>#DIV/0!</v>
      </c>
      <c r="AJ357" s="104">
        <f t="shared" si="104"/>
        <v>1</v>
      </c>
      <c r="AK357" s="101" t="e">
        <f t="shared" si="105"/>
        <v>#DIV/0!</v>
      </c>
      <c r="AL357" s="50">
        <f t="shared" si="106"/>
        <v>0</v>
      </c>
      <c r="AM357" s="97">
        <f t="shared" si="107"/>
        <v>0</v>
      </c>
      <c r="AO357" s="99" t="e">
        <f t="shared" si="110"/>
        <v>#DIV/0!</v>
      </c>
    </row>
    <row r="358" spans="7:41" ht="12.75" customHeight="1">
      <c r="G358" s="100" t="e">
        <f t="shared" si="111"/>
        <v>#DIV/0!</v>
      </c>
      <c r="P358" s="100" t="e">
        <f t="shared" si="112"/>
        <v>#DIV/0!</v>
      </c>
      <c r="AA358" s="103">
        <f t="shared" si="113"/>
        <v>1</v>
      </c>
      <c r="AC358" s="101">
        <f t="shared" si="114"/>
        <v>0</v>
      </c>
      <c r="AG358" s="101" t="e">
        <f t="shared" si="115"/>
        <v>#DIV/0!</v>
      </c>
      <c r="AH358" s="101" t="e">
        <f t="shared" si="116"/>
        <v>#DIV/0!</v>
      </c>
      <c r="AJ358" s="104">
        <f t="shared" si="104"/>
        <v>1</v>
      </c>
      <c r="AK358" s="101" t="e">
        <f t="shared" si="105"/>
        <v>#DIV/0!</v>
      </c>
      <c r="AL358" s="50">
        <f t="shared" si="106"/>
        <v>0</v>
      </c>
      <c r="AM358" s="97">
        <f t="shared" si="107"/>
        <v>0</v>
      </c>
      <c r="AO358" s="99" t="e">
        <f t="shared" si="110"/>
        <v>#DIV/0!</v>
      </c>
    </row>
    <row r="359" spans="7:41" ht="12.75" customHeight="1">
      <c r="G359" s="100" t="e">
        <f t="shared" si="111"/>
        <v>#DIV/0!</v>
      </c>
      <c r="P359" s="100" t="e">
        <f t="shared" si="112"/>
        <v>#DIV/0!</v>
      </c>
      <c r="AA359" s="103">
        <f t="shared" si="113"/>
        <v>1</v>
      </c>
      <c r="AC359" s="101">
        <f t="shared" si="114"/>
        <v>0</v>
      </c>
      <c r="AG359" s="101" t="e">
        <f t="shared" si="115"/>
        <v>#DIV/0!</v>
      </c>
      <c r="AH359" s="101" t="e">
        <f t="shared" si="116"/>
        <v>#DIV/0!</v>
      </c>
      <c r="AJ359" s="104">
        <f t="shared" si="104"/>
        <v>1</v>
      </c>
      <c r="AK359" s="101" t="e">
        <f t="shared" si="105"/>
        <v>#DIV/0!</v>
      </c>
      <c r="AL359" s="50">
        <f t="shared" si="106"/>
        <v>0</v>
      </c>
      <c r="AM359" s="97">
        <f t="shared" si="107"/>
        <v>0</v>
      </c>
      <c r="AO359" s="99" t="e">
        <f t="shared" si="110"/>
        <v>#DIV/0!</v>
      </c>
    </row>
    <row r="360" spans="7:41" ht="12.75" customHeight="1">
      <c r="G360" s="100" t="e">
        <f t="shared" si="111"/>
        <v>#DIV/0!</v>
      </c>
      <c r="P360" s="100" t="e">
        <f t="shared" si="112"/>
        <v>#DIV/0!</v>
      </c>
      <c r="AA360" s="103">
        <f t="shared" si="113"/>
        <v>1</v>
      </c>
      <c r="AC360" s="101">
        <f t="shared" si="114"/>
        <v>0</v>
      </c>
      <c r="AG360" s="101" t="e">
        <f t="shared" si="115"/>
        <v>#DIV/0!</v>
      </c>
      <c r="AH360" s="101" t="e">
        <f t="shared" si="116"/>
        <v>#DIV/0!</v>
      </c>
      <c r="AJ360" s="104">
        <f t="shared" si="104"/>
        <v>1</v>
      </c>
      <c r="AK360" s="101" t="e">
        <f t="shared" si="105"/>
        <v>#DIV/0!</v>
      </c>
      <c r="AL360" s="50">
        <f t="shared" si="106"/>
        <v>0</v>
      </c>
      <c r="AM360" s="97">
        <f t="shared" si="107"/>
        <v>0</v>
      </c>
      <c r="AO360" s="99" t="e">
        <f t="shared" si="110"/>
        <v>#DIV/0!</v>
      </c>
    </row>
    <row r="361" spans="7:41" ht="12.75" customHeight="1">
      <c r="G361" s="100" t="e">
        <f t="shared" si="111"/>
        <v>#DIV/0!</v>
      </c>
      <c r="P361" s="100" t="e">
        <f t="shared" si="112"/>
        <v>#DIV/0!</v>
      </c>
      <c r="AA361" s="103">
        <f t="shared" si="113"/>
        <v>1</v>
      </c>
      <c r="AC361" s="101">
        <f t="shared" si="114"/>
        <v>0</v>
      </c>
      <c r="AG361" s="101" t="e">
        <f t="shared" si="115"/>
        <v>#DIV/0!</v>
      </c>
      <c r="AH361" s="101" t="e">
        <f t="shared" si="116"/>
        <v>#DIV/0!</v>
      </c>
      <c r="AJ361" s="104">
        <f t="shared" si="104"/>
        <v>1</v>
      </c>
      <c r="AK361" s="101" t="e">
        <f t="shared" si="105"/>
        <v>#DIV/0!</v>
      </c>
      <c r="AL361" s="50">
        <f t="shared" si="106"/>
        <v>0</v>
      </c>
      <c r="AM361" s="97">
        <f t="shared" si="107"/>
        <v>0</v>
      </c>
      <c r="AO361" s="99" t="e">
        <f t="shared" si="110"/>
        <v>#DIV/0!</v>
      </c>
    </row>
    <row r="362" spans="7:41" ht="12.75" customHeight="1">
      <c r="G362" s="100" t="e">
        <f t="shared" si="111"/>
        <v>#DIV/0!</v>
      </c>
      <c r="P362" s="100" t="e">
        <f t="shared" si="112"/>
        <v>#DIV/0!</v>
      </c>
      <c r="AA362" s="103">
        <f t="shared" si="113"/>
        <v>1</v>
      </c>
      <c r="AC362" s="101">
        <f t="shared" si="114"/>
        <v>0</v>
      </c>
      <c r="AG362" s="101" t="e">
        <f t="shared" si="115"/>
        <v>#DIV/0!</v>
      </c>
      <c r="AH362" s="101" t="e">
        <f t="shared" si="116"/>
        <v>#DIV/0!</v>
      </c>
      <c r="AJ362" s="104">
        <f t="shared" si="104"/>
        <v>1</v>
      </c>
      <c r="AK362" s="101" t="e">
        <f t="shared" si="105"/>
        <v>#DIV/0!</v>
      </c>
      <c r="AL362" s="50">
        <f t="shared" si="106"/>
        <v>0</v>
      </c>
      <c r="AM362" s="97">
        <f t="shared" si="107"/>
        <v>0</v>
      </c>
      <c r="AO362" s="99" t="e">
        <f t="shared" si="110"/>
        <v>#DIV/0!</v>
      </c>
    </row>
    <row r="363" spans="7:41" ht="12.75" customHeight="1">
      <c r="G363" s="100" t="e">
        <f t="shared" si="111"/>
        <v>#DIV/0!</v>
      </c>
      <c r="P363" s="100" t="e">
        <f t="shared" si="112"/>
        <v>#DIV/0!</v>
      </c>
      <c r="AA363" s="103">
        <f t="shared" si="113"/>
        <v>1</v>
      </c>
      <c r="AC363" s="101">
        <f t="shared" si="114"/>
        <v>0</v>
      </c>
      <c r="AG363" s="101" t="e">
        <f t="shared" si="115"/>
        <v>#DIV/0!</v>
      </c>
      <c r="AH363" s="101" t="e">
        <f t="shared" si="116"/>
        <v>#DIV/0!</v>
      </c>
      <c r="AJ363" s="104">
        <f t="shared" si="104"/>
        <v>1</v>
      </c>
      <c r="AK363" s="101" t="e">
        <f t="shared" si="105"/>
        <v>#DIV/0!</v>
      </c>
      <c r="AL363" s="50">
        <f t="shared" si="106"/>
        <v>0</v>
      </c>
      <c r="AM363" s="97">
        <f t="shared" si="107"/>
        <v>0</v>
      </c>
      <c r="AO363" s="99" t="e">
        <f t="shared" si="110"/>
        <v>#DIV/0!</v>
      </c>
    </row>
    <row r="364" spans="7:41" ht="12.75" customHeight="1">
      <c r="G364" s="100" t="e">
        <f t="shared" si="111"/>
        <v>#DIV/0!</v>
      </c>
      <c r="P364" s="100" t="e">
        <f t="shared" si="112"/>
        <v>#DIV/0!</v>
      </c>
      <c r="AA364" s="103">
        <f t="shared" si="113"/>
        <v>1</v>
      </c>
      <c r="AC364" s="101">
        <f t="shared" si="114"/>
        <v>0</v>
      </c>
      <c r="AG364" s="101" t="e">
        <f t="shared" si="115"/>
        <v>#DIV/0!</v>
      </c>
      <c r="AH364" s="101" t="e">
        <f t="shared" si="116"/>
        <v>#DIV/0!</v>
      </c>
      <c r="AJ364" s="104">
        <f t="shared" si="104"/>
        <v>1</v>
      </c>
      <c r="AK364" s="101" t="e">
        <f t="shared" si="105"/>
        <v>#DIV/0!</v>
      </c>
      <c r="AL364" s="50">
        <f t="shared" si="106"/>
        <v>0</v>
      </c>
      <c r="AM364" s="97">
        <f t="shared" si="107"/>
        <v>0</v>
      </c>
      <c r="AO364" s="99" t="e">
        <f t="shared" si="110"/>
        <v>#DIV/0!</v>
      </c>
    </row>
    <row r="365" spans="7:41" ht="12.75" customHeight="1">
      <c r="G365" s="100" t="e">
        <f t="shared" si="111"/>
        <v>#DIV/0!</v>
      </c>
      <c r="P365" s="100" t="e">
        <f t="shared" si="112"/>
        <v>#DIV/0!</v>
      </c>
      <c r="AA365" s="103">
        <f t="shared" si="113"/>
        <v>1</v>
      </c>
      <c r="AC365" s="101">
        <f t="shared" si="114"/>
        <v>0</v>
      </c>
      <c r="AG365" s="101" t="e">
        <f t="shared" si="115"/>
        <v>#DIV/0!</v>
      </c>
      <c r="AH365" s="101" t="e">
        <f t="shared" si="116"/>
        <v>#DIV/0!</v>
      </c>
      <c r="AJ365" s="104">
        <f t="shared" si="104"/>
        <v>1</v>
      </c>
      <c r="AK365" s="101" t="e">
        <f t="shared" si="105"/>
        <v>#DIV/0!</v>
      </c>
      <c r="AL365" s="50">
        <f t="shared" si="106"/>
        <v>0</v>
      </c>
      <c r="AM365" s="97">
        <f t="shared" si="107"/>
        <v>0</v>
      </c>
      <c r="AO365" s="99" t="e">
        <f t="shared" si="110"/>
        <v>#DIV/0!</v>
      </c>
    </row>
    <row r="366" spans="7:41" ht="12.75" customHeight="1">
      <c r="G366" s="100" t="e">
        <f t="shared" si="111"/>
        <v>#DIV/0!</v>
      </c>
      <c r="P366" s="100" t="e">
        <f t="shared" si="112"/>
        <v>#DIV/0!</v>
      </c>
      <c r="AA366" s="103">
        <f t="shared" si="113"/>
        <v>1</v>
      </c>
      <c r="AC366" s="101">
        <f t="shared" si="114"/>
        <v>0</v>
      </c>
      <c r="AG366" s="101" t="e">
        <f t="shared" si="115"/>
        <v>#DIV/0!</v>
      </c>
      <c r="AH366" s="101" t="e">
        <f t="shared" si="116"/>
        <v>#DIV/0!</v>
      </c>
      <c r="AJ366" s="104">
        <f t="shared" si="104"/>
        <v>1</v>
      </c>
      <c r="AK366" s="101" t="e">
        <f t="shared" si="105"/>
        <v>#DIV/0!</v>
      </c>
      <c r="AL366" s="50">
        <f t="shared" si="106"/>
        <v>0</v>
      </c>
      <c r="AM366" s="97">
        <f t="shared" si="107"/>
        <v>0</v>
      </c>
      <c r="AO366" s="99" t="e">
        <f t="shared" si="110"/>
        <v>#DIV/0!</v>
      </c>
    </row>
    <row r="367" spans="7:41" ht="12.75" customHeight="1">
      <c r="G367" s="100" t="e">
        <f t="shared" si="111"/>
        <v>#DIV/0!</v>
      </c>
      <c r="P367" s="100" t="e">
        <f t="shared" si="112"/>
        <v>#DIV/0!</v>
      </c>
      <c r="AA367" s="103">
        <f t="shared" si="113"/>
        <v>1</v>
      </c>
      <c r="AC367" s="101">
        <f t="shared" si="114"/>
        <v>0</v>
      </c>
      <c r="AG367" s="101" t="e">
        <f t="shared" si="115"/>
        <v>#DIV/0!</v>
      </c>
      <c r="AH367" s="101" t="e">
        <f t="shared" si="116"/>
        <v>#DIV/0!</v>
      </c>
      <c r="AJ367" s="104">
        <f t="shared" si="104"/>
        <v>1</v>
      </c>
      <c r="AK367" s="101" t="e">
        <f t="shared" si="105"/>
        <v>#DIV/0!</v>
      </c>
      <c r="AL367" s="50">
        <f t="shared" si="106"/>
        <v>0</v>
      </c>
      <c r="AM367" s="97">
        <f t="shared" si="107"/>
        <v>0</v>
      </c>
      <c r="AO367" s="99" t="e">
        <f t="shared" si="110"/>
        <v>#DIV/0!</v>
      </c>
    </row>
    <row r="368" spans="7:41" ht="12.75" customHeight="1">
      <c r="G368" s="100" t="e">
        <f t="shared" si="111"/>
        <v>#DIV/0!</v>
      </c>
      <c r="P368" s="100" t="e">
        <f t="shared" si="112"/>
        <v>#DIV/0!</v>
      </c>
      <c r="AA368" s="103">
        <f t="shared" si="113"/>
        <v>1</v>
      </c>
      <c r="AC368" s="101">
        <f t="shared" si="114"/>
        <v>0</v>
      </c>
      <c r="AG368" s="101" t="e">
        <f t="shared" si="115"/>
        <v>#DIV/0!</v>
      </c>
      <c r="AH368" s="101" t="e">
        <f t="shared" si="116"/>
        <v>#DIV/0!</v>
      </c>
      <c r="AJ368" s="104">
        <f t="shared" si="104"/>
        <v>1</v>
      </c>
      <c r="AK368" s="101" t="e">
        <f t="shared" si="105"/>
        <v>#DIV/0!</v>
      </c>
      <c r="AL368" s="50">
        <f t="shared" si="106"/>
        <v>0</v>
      </c>
      <c r="AM368" s="97">
        <f t="shared" si="107"/>
        <v>0</v>
      </c>
      <c r="AO368" s="99" t="e">
        <f t="shared" si="110"/>
        <v>#DIV/0!</v>
      </c>
    </row>
    <row r="369" spans="7:41" ht="12.75" customHeight="1">
      <c r="G369" s="100" t="e">
        <f t="shared" si="111"/>
        <v>#DIV/0!</v>
      </c>
      <c r="P369" s="100" t="e">
        <f t="shared" si="112"/>
        <v>#DIV/0!</v>
      </c>
      <c r="AA369" s="103">
        <f t="shared" si="113"/>
        <v>1</v>
      </c>
      <c r="AC369" s="101">
        <f t="shared" si="114"/>
        <v>0</v>
      </c>
      <c r="AG369" s="101" t="e">
        <f t="shared" si="115"/>
        <v>#DIV/0!</v>
      </c>
      <c r="AH369" s="101" t="e">
        <f t="shared" si="116"/>
        <v>#DIV/0!</v>
      </c>
      <c r="AJ369" s="104">
        <f t="shared" si="104"/>
        <v>1</v>
      </c>
      <c r="AK369" s="101" t="e">
        <f t="shared" si="105"/>
        <v>#DIV/0!</v>
      </c>
      <c r="AL369" s="50">
        <f t="shared" si="106"/>
        <v>0</v>
      </c>
      <c r="AM369" s="97">
        <f t="shared" si="107"/>
        <v>0</v>
      </c>
      <c r="AO369" s="99" t="e">
        <f t="shared" si="110"/>
        <v>#DIV/0!</v>
      </c>
    </row>
    <row r="370" spans="7:41" ht="12.75" customHeight="1">
      <c r="G370" s="100" t="e">
        <f t="shared" si="111"/>
        <v>#DIV/0!</v>
      </c>
      <c r="P370" s="100" t="e">
        <f t="shared" si="112"/>
        <v>#DIV/0!</v>
      </c>
      <c r="AA370" s="103">
        <f t="shared" si="113"/>
        <v>1</v>
      </c>
      <c r="AC370" s="101">
        <f t="shared" si="114"/>
        <v>0</v>
      </c>
      <c r="AG370" s="101" t="e">
        <f t="shared" si="115"/>
        <v>#DIV/0!</v>
      </c>
      <c r="AH370" s="101" t="e">
        <f t="shared" si="116"/>
        <v>#DIV/0!</v>
      </c>
      <c r="AJ370" s="104">
        <f t="shared" si="104"/>
        <v>1</v>
      </c>
      <c r="AK370" s="101" t="e">
        <f t="shared" si="105"/>
        <v>#DIV/0!</v>
      </c>
      <c r="AL370" s="50">
        <f t="shared" si="106"/>
        <v>0</v>
      </c>
      <c r="AM370" s="97">
        <f t="shared" si="107"/>
        <v>0</v>
      </c>
      <c r="AO370" s="99" t="e">
        <f t="shared" si="110"/>
        <v>#DIV/0!</v>
      </c>
    </row>
    <row r="371" spans="7:41" ht="12.75" customHeight="1">
      <c r="G371" s="100" t="e">
        <f t="shared" si="111"/>
        <v>#DIV/0!</v>
      </c>
      <c r="P371" s="100" t="e">
        <f t="shared" si="112"/>
        <v>#DIV/0!</v>
      </c>
      <c r="AA371" s="103">
        <f t="shared" si="113"/>
        <v>1</v>
      </c>
      <c r="AC371" s="101">
        <f t="shared" si="114"/>
        <v>0</v>
      </c>
      <c r="AG371" s="101" t="e">
        <f t="shared" si="115"/>
        <v>#DIV/0!</v>
      </c>
      <c r="AH371" s="101" t="e">
        <f t="shared" si="116"/>
        <v>#DIV/0!</v>
      </c>
      <c r="AJ371" s="104">
        <f t="shared" si="104"/>
        <v>1</v>
      </c>
      <c r="AK371" s="101" t="e">
        <f t="shared" si="105"/>
        <v>#DIV/0!</v>
      </c>
      <c r="AL371" s="50">
        <f t="shared" si="106"/>
        <v>0</v>
      </c>
      <c r="AM371" s="97">
        <f t="shared" si="107"/>
        <v>0</v>
      </c>
      <c r="AO371" s="99" t="e">
        <f t="shared" si="110"/>
        <v>#DIV/0!</v>
      </c>
    </row>
    <row r="372" spans="7:41" ht="12.75" customHeight="1">
      <c r="G372" s="100" t="e">
        <f t="shared" si="111"/>
        <v>#DIV/0!</v>
      </c>
      <c r="P372" s="100" t="e">
        <f t="shared" si="112"/>
        <v>#DIV/0!</v>
      </c>
      <c r="AA372" s="103">
        <f t="shared" si="113"/>
        <v>1</v>
      </c>
      <c r="AC372" s="101">
        <f t="shared" si="114"/>
        <v>0</v>
      </c>
      <c r="AG372" s="101" t="e">
        <f t="shared" si="115"/>
        <v>#DIV/0!</v>
      </c>
      <c r="AH372" s="101" t="e">
        <f t="shared" si="116"/>
        <v>#DIV/0!</v>
      </c>
      <c r="AJ372" s="104">
        <f t="shared" si="104"/>
        <v>1</v>
      </c>
      <c r="AK372" s="101" t="e">
        <f t="shared" si="105"/>
        <v>#DIV/0!</v>
      </c>
      <c r="AL372" s="50">
        <f t="shared" si="106"/>
        <v>0</v>
      </c>
      <c r="AM372" s="97">
        <f t="shared" si="107"/>
        <v>0</v>
      </c>
      <c r="AO372" s="99" t="e">
        <f t="shared" si="110"/>
        <v>#DIV/0!</v>
      </c>
    </row>
    <row r="373" spans="7:41" ht="12.75" customHeight="1">
      <c r="G373" s="100" t="e">
        <f t="shared" si="111"/>
        <v>#DIV/0!</v>
      </c>
      <c r="P373" s="100" t="e">
        <f t="shared" si="112"/>
        <v>#DIV/0!</v>
      </c>
      <c r="AA373" s="103">
        <f t="shared" si="113"/>
        <v>1</v>
      </c>
      <c r="AC373" s="101">
        <f t="shared" si="114"/>
        <v>0</v>
      </c>
      <c r="AG373" s="101" t="e">
        <f t="shared" si="115"/>
        <v>#DIV/0!</v>
      </c>
      <c r="AH373" s="101" t="e">
        <f t="shared" si="116"/>
        <v>#DIV/0!</v>
      </c>
      <c r="AJ373" s="104">
        <f t="shared" si="104"/>
        <v>1</v>
      </c>
      <c r="AK373" s="101" t="e">
        <f t="shared" si="105"/>
        <v>#DIV/0!</v>
      </c>
      <c r="AL373" s="50">
        <f t="shared" si="106"/>
        <v>0</v>
      </c>
      <c r="AM373" s="97">
        <f t="shared" si="107"/>
        <v>0</v>
      </c>
      <c r="AO373" s="99" t="e">
        <f t="shared" si="110"/>
        <v>#DIV/0!</v>
      </c>
    </row>
    <row r="374" spans="7:41" ht="12.75" customHeight="1">
      <c r="G374" s="100" t="e">
        <f t="shared" si="111"/>
        <v>#DIV/0!</v>
      </c>
      <c r="P374" s="100" t="e">
        <f t="shared" si="112"/>
        <v>#DIV/0!</v>
      </c>
      <c r="AA374" s="103">
        <f t="shared" si="113"/>
        <v>1</v>
      </c>
      <c r="AC374" s="101">
        <f t="shared" si="114"/>
        <v>0</v>
      </c>
      <c r="AG374" s="101" t="e">
        <f t="shared" si="115"/>
        <v>#DIV/0!</v>
      </c>
      <c r="AH374" s="101" t="e">
        <f t="shared" si="116"/>
        <v>#DIV/0!</v>
      </c>
      <c r="AJ374" s="104">
        <f t="shared" si="104"/>
        <v>1</v>
      </c>
      <c r="AK374" s="101" t="e">
        <f t="shared" si="105"/>
        <v>#DIV/0!</v>
      </c>
      <c r="AL374" s="50">
        <f t="shared" si="106"/>
        <v>0</v>
      </c>
      <c r="AM374" s="97">
        <f t="shared" si="107"/>
        <v>0</v>
      </c>
      <c r="AO374" s="99" t="e">
        <f t="shared" si="110"/>
        <v>#DIV/0!</v>
      </c>
    </row>
    <row r="375" spans="7:41" ht="12.75" customHeight="1">
      <c r="G375" s="100" t="e">
        <f t="shared" si="111"/>
        <v>#DIV/0!</v>
      </c>
      <c r="P375" s="100" t="e">
        <f t="shared" si="112"/>
        <v>#DIV/0!</v>
      </c>
      <c r="AA375" s="103">
        <f t="shared" si="113"/>
        <v>1</v>
      </c>
      <c r="AC375" s="101">
        <f t="shared" si="114"/>
        <v>0</v>
      </c>
      <c r="AG375" s="101" t="e">
        <f t="shared" si="115"/>
        <v>#DIV/0!</v>
      </c>
      <c r="AH375" s="101" t="e">
        <f t="shared" si="116"/>
        <v>#DIV/0!</v>
      </c>
      <c r="AJ375" s="104">
        <f t="shared" si="104"/>
        <v>1</v>
      </c>
      <c r="AK375" s="101" t="e">
        <f t="shared" si="105"/>
        <v>#DIV/0!</v>
      </c>
      <c r="AL375" s="50">
        <f t="shared" si="106"/>
        <v>0</v>
      </c>
      <c r="AM375" s="97">
        <f t="shared" si="107"/>
        <v>0</v>
      </c>
      <c r="AO375" s="99" t="e">
        <f t="shared" si="110"/>
        <v>#DIV/0!</v>
      </c>
    </row>
    <row r="376" spans="7:41" ht="12.75" customHeight="1">
      <c r="G376" s="100" t="e">
        <f t="shared" si="111"/>
        <v>#DIV/0!</v>
      </c>
      <c r="P376" s="100" t="e">
        <f t="shared" si="112"/>
        <v>#DIV/0!</v>
      </c>
      <c r="AA376" s="103">
        <f t="shared" si="113"/>
        <v>1</v>
      </c>
      <c r="AC376" s="101">
        <f t="shared" si="114"/>
        <v>0</v>
      </c>
      <c r="AG376" s="101" t="e">
        <f t="shared" si="115"/>
        <v>#DIV/0!</v>
      </c>
      <c r="AH376" s="101" t="e">
        <f t="shared" si="116"/>
        <v>#DIV/0!</v>
      </c>
      <c r="AJ376" s="104">
        <f t="shared" si="104"/>
        <v>1</v>
      </c>
      <c r="AK376" s="101" t="e">
        <f t="shared" si="105"/>
        <v>#DIV/0!</v>
      </c>
      <c r="AL376" s="50">
        <f t="shared" si="106"/>
        <v>0</v>
      </c>
      <c r="AM376" s="97">
        <f t="shared" si="107"/>
        <v>0</v>
      </c>
      <c r="AO376" s="99" t="e">
        <f t="shared" si="110"/>
        <v>#DIV/0!</v>
      </c>
    </row>
    <row r="377" spans="7:41" ht="12.75" customHeight="1">
      <c r="G377" s="100" t="e">
        <f t="shared" si="111"/>
        <v>#DIV/0!</v>
      </c>
      <c r="P377" s="100" t="e">
        <f t="shared" si="112"/>
        <v>#DIV/0!</v>
      </c>
      <c r="AA377" s="103">
        <f t="shared" si="113"/>
        <v>1</v>
      </c>
      <c r="AC377" s="101">
        <f t="shared" si="114"/>
        <v>0</v>
      </c>
      <c r="AG377" s="101" t="e">
        <f t="shared" si="115"/>
        <v>#DIV/0!</v>
      </c>
      <c r="AH377" s="101" t="e">
        <f t="shared" si="116"/>
        <v>#DIV/0!</v>
      </c>
      <c r="AJ377" s="104">
        <f t="shared" si="104"/>
        <v>1</v>
      </c>
      <c r="AK377" s="101" t="e">
        <f t="shared" si="105"/>
        <v>#DIV/0!</v>
      </c>
      <c r="AL377" s="50">
        <f t="shared" si="106"/>
        <v>0</v>
      </c>
      <c r="AM377" s="97">
        <f t="shared" si="107"/>
        <v>0</v>
      </c>
      <c r="AO377" s="99" t="e">
        <f t="shared" si="110"/>
        <v>#DIV/0!</v>
      </c>
    </row>
    <row r="378" spans="7:41" ht="12.75" customHeight="1">
      <c r="G378" s="100" t="e">
        <f t="shared" si="111"/>
        <v>#DIV/0!</v>
      </c>
      <c r="P378" s="100" t="e">
        <f t="shared" si="112"/>
        <v>#DIV/0!</v>
      </c>
      <c r="AA378" s="103">
        <f t="shared" si="113"/>
        <v>1</v>
      </c>
      <c r="AC378" s="101">
        <f t="shared" si="114"/>
        <v>0</v>
      </c>
      <c r="AG378" s="101" t="e">
        <f t="shared" si="115"/>
        <v>#DIV/0!</v>
      </c>
      <c r="AH378" s="101" t="e">
        <f t="shared" si="116"/>
        <v>#DIV/0!</v>
      </c>
      <c r="AJ378" s="104">
        <f t="shared" si="104"/>
        <v>1</v>
      </c>
      <c r="AK378" s="101" t="e">
        <f t="shared" si="105"/>
        <v>#DIV/0!</v>
      </c>
      <c r="AL378" s="50">
        <f t="shared" si="106"/>
        <v>0</v>
      </c>
      <c r="AM378" s="97">
        <f t="shared" si="107"/>
        <v>0</v>
      </c>
      <c r="AO378" s="99" t="e">
        <f t="shared" si="110"/>
        <v>#DIV/0!</v>
      </c>
    </row>
    <row r="379" spans="7:41" ht="12.75" customHeight="1">
      <c r="G379" s="100" t="e">
        <f t="shared" si="111"/>
        <v>#DIV/0!</v>
      </c>
      <c r="P379" s="100" t="e">
        <f t="shared" si="112"/>
        <v>#DIV/0!</v>
      </c>
      <c r="AA379" s="103">
        <f t="shared" si="113"/>
        <v>1</v>
      </c>
      <c r="AC379" s="101">
        <f t="shared" si="114"/>
        <v>0</v>
      </c>
      <c r="AG379" s="101" t="e">
        <f t="shared" si="115"/>
        <v>#DIV/0!</v>
      </c>
      <c r="AH379" s="101" t="e">
        <f t="shared" si="116"/>
        <v>#DIV/0!</v>
      </c>
      <c r="AJ379" s="104">
        <f t="shared" si="104"/>
        <v>1</v>
      </c>
      <c r="AK379" s="101" t="e">
        <f t="shared" si="105"/>
        <v>#DIV/0!</v>
      </c>
      <c r="AL379" s="50">
        <f t="shared" si="106"/>
        <v>0</v>
      </c>
      <c r="AM379" s="97">
        <f t="shared" si="107"/>
        <v>0</v>
      </c>
      <c r="AO379" s="99" t="e">
        <f t="shared" si="110"/>
        <v>#DIV/0!</v>
      </c>
    </row>
    <row r="380" spans="7:41" ht="12.75" customHeight="1">
      <c r="G380" s="100" t="e">
        <f t="shared" si="111"/>
        <v>#DIV/0!</v>
      </c>
      <c r="P380" s="100" t="e">
        <f t="shared" si="112"/>
        <v>#DIV/0!</v>
      </c>
      <c r="AA380" s="103">
        <f t="shared" si="113"/>
        <v>1</v>
      </c>
      <c r="AC380" s="101">
        <f t="shared" si="114"/>
        <v>0</v>
      </c>
      <c r="AG380" s="101" t="e">
        <f t="shared" si="115"/>
        <v>#DIV/0!</v>
      </c>
      <c r="AH380" s="101" t="e">
        <f t="shared" si="116"/>
        <v>#DIV/0!</v>
      </c>
      <c r="AJ380" s="104">
        <f t="shared" si="104"/>
        <v>1</v>
      </c>
      <c r="AK380" s="101" t="e">
        <f t="shared" si="105"/>
        <v>#DIV/0!</v>
      </c>
      <c r="AL380" s="50">
        <f t="shared" si="106"/>
        <v>0</v>
      </c>
      <c r="AM380" s="97">
        <f t="shared" si="107"/>
        <v>0</v>
      </c>
      <c r="AO380" s="99" t="e">
        <f t="shared" si="110"/>
        <v>#DIV/0!</v>
      </c>
    </row>
    <row r="381" spans="7:41" ht="12.75" customHeight="1">
      <c r="G381" s="100" t="e">
        <f t="shared" si="111"/>
        <v>#DIV/0!</v>
      </c>
      <c r="P381" s="100" t="e">
        <f t="shared" si="112"/>
        <v>#DIV/0!</v>
      </c>
      <c r="AA381" s="103">
        <f t="shared" si="113"/>
        <v>1</v>
      </c>
      <c r="AC381" s="101">
        <f t="shared" si="114"/>
        <v>0</v>
      </c>
      <c r="AG381" s="101" t="e">
        <f t="shared" si="115"/>
        <v>#DIV/0!</v>
      </c>
      <c r="AH381" s="101" t="e">
        <f t="shared" si="116"/>
        <v>#DIV/0!</v>
      </c>
      <c r="AJ381" s="104">
        <f t="shared" si="104"/>
        <v>1</v>
      </c>
      <c r="AK381" s="101" t="e">
        <f t="shared" si="105"/>
        <v>#DIV/0!</v>
      </c>
      <c r="AL381" s="50">
        <f t="shared" si="106"/>
        <v>0</v>
      </c>
      <c r="AM381" s="97">
        <f t="shared" si="107"/>
        <v>0</v>
      </c>
      <c r="AO381" s="99" t="e">
        <f t="shared" si="110"/>
        <v>#DIV/0!</v>
      </c>
    </row>
    <row r="382" spans="7:41" ht="12.75" customHeight="1">
      <c r="G382" s="100" t="e">
        <f t="shared" si="111"/>
        <v>#DIV/0!</v>
      </c>
      <c r="P382" s="100" t="e">
        <f t="shared" si="112"/>
        <v>#DIV/0!</v>
      </c>
      <c r="AA382" s="103">
        <f t="shared" si="113"/>
        <v>1</v>
      </c>
      <c r="AC382" s="101">
        <f t="shared" si="114"/>
        <v>0</v>
      </c>
      <c r="AG382" s="101" t="e">
        <f t="shared" si="115"/>
        <v>#DIV/0!</v>
      </c>
      <c r="AH382" s="101" t="e">
        <f t="shared" si="116"/>
        <v>#DIV/0!</v>
      </c>
      <c r="AJ382" s="104">
        <f t="shared" si="104"/>
        <v>1</v>
      </c>
      <c r="AK382" s="101" t="e">
        <f t="shared" si="105"/>
        <v>#DIV/0!</v>
      </c>
      <c r="AL382" s="50">
        <f t="shared" si="106"/>
        <v>0</v>
      </c>
      <c r="AM382" s="97">
        <f t="shared" si="107"/>
        <v>0</v>
      </c>
      <c r="AO382" s="99" t="e">
        <f t="shared" si="110"/>
        <v>#DIV/0!</v>
      </c>
    </row>
    <row r="383" spans="7:41" ht="12.75" customHeight="1">
      <c r="G383" s="100" t="e">
        <f t="shared" si="111"/>
        <v>#DIV/0!</v>
      </c>
      <c r="P383" s="100" t="e">
        <f t="shared" si="112"/>
        <v>#DIV/0!</v>
      </c>
      <c r="AA383" s="103">
        <f t="shared" si="113"/>
        <v>1</v>
      </c>
      <c r="AC383" s="101">
        <f t="shared" si="114"/>
        <v>0</v>
      </c>
      <c r="AG383" s="101" t="e">
        <f t="shared" si="115"/>
        <v>#DIV/0!</v>
      </c>
      <c r="AH383" s="101" t="e">
        <f t="shared" si="116"/>
        <v>#DIV/0!</v>
      </c>
      <c r="AJ383" s="104">
        <f t="shared" si="104"/>
        <v>1</v>
      </c>
      <c r="AK383" s="101" t="e">
        <f t="shared" si="105"/>
        <v>#DIV/0!</v>
      </c>
      <c r="AL383" s="50">
        <f t="shared" si="106"/>
        <v>0</v>
      </c>
      <c r="AM383" s="97">
        <f t="shared" si="107"/>
        <v>0</v>
      </c>
      <c r="AO383" s="99" t="e">
        <f t="shared" si="110"/>
        <v>#DIV/0!</v>
      </c>
    </row>
    <row r="384" spans="7:41" ht="12.75" customHeight="1">
      <c r="G384" s="100" t="e">
        <f t="shared" si="111"/>
        <v>#DIV/0!</v>
      </c>
      <c r="P384" s="100" t="e">
        <f t="shared" si="112"/>
        <v>#DIV/0!</v>
      </c>
      <c r="AA384" s="103">
        <f t="shared" si="113"/>
        <v>1</v>
      </c>
      <c r="AC384" s="101">
        <f t="shared" si="114"/>
        <v>0</v>
      </c>
      <c r="AG384" s="101" t="e">
        <f t="shared" si="115"/>
        <v>#DIV/0!</v>
      </c>
      <c r="AH384" s="101" t="e">
        <f t="shared" si="116"/>
        <v>#DIV/0!</v>
      </c>
      <c r="AJ384" s="104">
        <f t="shared" si="104"/>
        <v>1</v>
      </c>
      <c r="AK384" s="101" t="e">
        <f t="shared" si="105"/>
        <v>#DIV/0!</v>
      </c>
      <c r="AL384" s="50">
        <f t="shared" si="106"/>
        <v>0</v>
      </c>
      <c r="AM384" s="97">
        <f t="shared" si="107"/>
        <v>0</v>
      </c>
      <c r="AO384" s="99" t="e">
        <f t="shared" si="110"/>
        <v>#DIV/0!</v>
      </c>
    </row>
    <row r="385" spans="7:41" ht="12.75" customHeight="1">
      <c r="G385" s="100" t="e">
        <f t="shared" si="111"/>
        <v>#DIV/0!</v>
      </c>
      <c r="P385" s="100" t="e">
        <f t="shared" si="112"/>
        <v>#DIV/0!</v>
      </c>
      <c r="AA385" s="103">
        <f t="shared" si="113"/>
        <v>1</v>
      </c>
      <c r="AC385" s="101">
        <f t="shared" si="114"/>
        <v>0</v>
      </c>
      <c r="AG385" s="101" t="e">
        <f t="shared" si="115"/>
        <v>#DIV/0!</v>
      </c>
      <c r="AH385" s="101" t="e">
        <f t="shared" si="116"/>
        <v>#DIV/0!</v>
      </c>
      <c r="AJ385" s="104">
        <f t="shared" si="104"/>
        <v>1</v>
      </c>
      <c r="AK385" s="101" t="e">
        <f t="shared" si="105"/>
        <v>#DIV/0!</v>
      </c>
      <c r="AL385" s="50">
        <f t="shared" si="106"/>
        <v>0</v>
      </c>
      <c r="AM385" s="97">
        <f t="shared" si="107"/>
        <v>0</v>
      </c>
      <c r="AO385" s="99" t="e">
        <f t="shared" si="110"/>
        <v>#DIV/0!</v>
      </c>
    </row>
    <row r="386" spans="7:41" ht="12.75" customHeight="1">
      <c r="G386" s="100" t="e">
        <f t="shared" si="111"/>
        <v>#DIV/0!</v>
      </c>
      <c r="P386" s="100" t="e">
        <f t="shared" si="112"/>
        <v>#DIV/0!</v>
      </c>
      <c r="AA386" s="103">
        <f t="shared" si="113"/>
        <v>1</v>
      </c>
      <c r="AC386" s="101">
        <f t="shared" si="114"/>
        <v>0</v>
      </c>
      <c r="AG386" s="101" t="e">
        <f t="shared" si="115"/>
        <v>#DIV/0!</v>
      </c>
      <c r="AH386" s="101" t="e">
        <f t="shared" si="116"/>
        <v>#DIV/0!</v>
      </c>
      <c r="AJ386" s="104">
        <f t="shared" ref="AJ386:AJ449" si="117">IF(AI386&gt;12.8,IF(AI386&gt;15.8,0.95,0.98),1)</f>
        <v>1</v>
      </c>
      <c r="AK386" s="101" t="e">
        <f t="shared" ref="AK386:AK449" si="118">((AG386*2.6+AH386)*AJ386*AQ386)</f>
        <v>#DIV/0!</v>
      </c>
      <c r="AL386" s="50">
        <f t="shared" ref="AL386:AL399" si="119">D386</f>
        <v>0</v>
      </c>
      <c r="AM386" s="97">
        <f t="shared" ref="AM386:AM399" si="120">B386</f>
        <v>0</v>
      </c>
      <c r="AO386" s="99" t="e">
        <f t="shared" si="110"/>
        <v>#DIV/0!</v>
      </c>
    </row>
    <row r="387" spans="7:41" ht="12.75" customHeight="1">
      <c r="G387" s="100" t="e">
        <f t="shared" si="111"/>
        <v>#DIV/0!</v>
      </c>
      <c r="P387" s="100" t="e">
        <f t="shared" si="112"/>
        <v>#DIV/0!</v>
      </c>
      <c r="AA387" s="103">
        <f t="shared" si="113"/>
        <v>1</v>
      </c>
      <c r="AC387" s="101">
        <f t="shared" si="114"/>
        <v>0</v>
      </c>
      <c r="AG387" s="101" t="e">
        <f t="shared" si="115"/>
        <v>#DIV/0!</v>
      </c>
      <c r="AH387" s="101" t="e">
        <f t="shared" si="116"/>
        <v>#DIV/0!</v>
      </c>
      <c r="AJ387" s="104">
        <f t="shared" si="117"/>
        <v>1</v>
      </c>
      <c r="AK387" s="101" t="e">
        <f t="shared" si="118"/>
        <v>#DIV/0!</v>
      </c>
      <c r="AL387" s="50">
        <f t="shared" si="119"/>
        <v>0</v>
      </c>
      <c r="AM387" s="97">
        <f t="shared" si="120"/>
        <v>0</v>
      </c>
      <c r="AO387" s="99" t="e">
        <f t="shared" ref="AO387:AO449" si="121">IF(AK387&gt;24.2,IF(Z387&lt;140,1,0),0)</f>
        <v>#DIV/0!</v>
      </c>
    </row>
    <row r="388" spans="7:41" ht="12.75" customHeight="1">
      <c r="G388" s="100" t="e">
        <f t="shared" si="111"/>
        <v>#DIV/0!</v>
      </c>
      <c r="P388" s="100" t="e">
        <f t="shared" si="112"/>
        <v>#DIV/0!</v>
      </c>
      <c r="AA388" s="103">
        <f t="shared" si="113"/>
        <v>1</v>
      </c>
      <c r="AC388" s="101">
        <f t="shared" si="114"/>
        <v>0</v>
      </c>
      <c r="AG388" s="101" t="e">
        <f t="shared" si="115"/>
        <v>#DIV/0!</v>
      </c>
      <c r="AH388" s="101" t="e">
        <f t="shared" si="116"/>
        <v>#DIV/0!</v>
      </c>
      <c r="AJ388" s="104">
        <f t="shared" si="117"/>
        <v>1</v>
      </c>
      <c r="AK388" s="101" t="e">
        <f t="shared" si="118"/>
        <v>#DIV/0!</v>
      </c>
      <c r="AL388" s="50">
        <f t="shared" si="119"/>
        <v>0</v>
      </c>
      <c r="AM388" s="97">
        <f t="shared" si="120"/>
        <v>0</v>
      </c>
      <c r="AO388" s="99" t="e">
        <f t="shared" si="121"/>
        <v>#DIV/0!</v>
      </c>
    </row>
    <row r="389" spans="7:41" ht="12.75" customHeight="1">
      <c r="G389" s="100" t="e">
        <f t="shared" si="111"/>
        <v>#DIV/0!</v>
      </c>
      <c r="P389" s="100" t="e">
        <f t="shared" si="112"/>
        <v>#DIV/0!</v>
      </c>
      <c r="AA389" s="103">
        <f t="shared" si="113"/>
        <v>1</v>
      </c>
      <c r="AC389" s="101">
        <f t="shared" si="114"/>
        <v>0</v>
      </c>
      <c r="AG389" s="101" t="e">
        <f t="shared" si="115"/>
        <v>#DIV/0!</v>
      </c>
      <c r="AH389" s="101" t="e">
        <f t="shared" si="116"/>
        <v>#DIV/0!</v>
      </c>
      <c r="AJ389" s="104">
        <f t="shared" si="117"/>
        <v>1</v>
      </c>
      <c r="AK389" s="101" t="e">
        <f t="shared" si="118"/>
        <v>#DIV/0!</v>
      </c>
      <c r="AL389" s="50">
        <f t="shared" si="119"/>
        <v>0</v>
      </c>
      <c r="AM389" s="97">
        <f t="shared" si="120"/>
        <v>0</v>
      </c>
      <c r="AO389" s="99" t="e">
        <f t="shared" si="121"/>
        <v>#DIV/0!</v>
      </c>
    </row>
    <row r="390" spans="7:41" ht="12.75" customHeight="1">
      <c r="G390" s="100" t="e">
        <f t="shared" si="111"/>
        <v>#DIV/0!</v>
      </c>
      <c r="P390" s="100" t="e">
        <f t="shared" si="112"/>
        <v>#DIV/0!</v>
      </c>
      <c r="AA390" s="103">
        <f t="shared" si="113"/>
        <v>1</v>
      </c>
      <c r="AC390" s="101">
        <f t="shared" si="114"/>
        <v>0</v>
      </c>
      <c r="AG390" s="101" t="e">
        <f t="shared" si="115"/>
        <v>#DIV/0!</v>
      </c>
      <c r="AH390" s="101" t="e">
        <f t="shared" si="116"/>
        <v>#DIV/0!</v>
      </c>
      <c r="AJ390" s="104">
        <f t="shared" si="117"/>
        <v>1</v>
      </c>
      <c r="AK390" s="101" t="e">
        <f t="shared" si="118"/>
        <v>#DIV/0!</v>
      </c>
      <c r="AL390" s="50">
        <f t="shared" si="119"/>
        <v>0</v>
      </c>
      <c r="AM390" s="97">
        <f t="shared" si="120"/>
        <v>0</v>
      </c>
      <c r="AO390" s="99" t="e">
        <f t="shared" si="121"/>
        <v>#DIV/0!</v>
      </c>
    </row>
    <row r="391" spans="7:41" ht="12.75" customHeight="1">
      <c r="G391" s="100" t="e">
        <f t="shared" si="111"/>
        <v>#DIV/0!</v>
      </c>
      <c r="P391" s="100" t="e">
        <f t="shared" si="112"/>
        <v>#DIV/0!</v>
      </c>
      <c r="AA391" s="103">
        <f t="shared" si="113"/>
        <v>1</v>
      </c>
      <c r="AC391" s="101">
        <f t="shared" si="114"/>
        <v>0</v>
      </c>
      <c r="AG391" s="101" t="e">
        <f t="shared" si="115"/>
        <v>#DIV/0!</v>
      </c>
      <c r="AH391" s="101" t="e">
        <f t="shared" si="116"/>
        <v>#DIV/0!</v>
      </c>
      <c r="AJ391" s="104">
        <f t="shared" si="117"/>
        <v>1</v>
      </c>
      <c r="AK391" s="101" t="e">
        <f t="shared" si="118"/>
        <v>#DIV/0!</v>
      </c>
      <c r="AL391" s="50">
        <f t="shared" si="119"/>
        <v>0</v>
      </c>
      <c r="AM391" s="97">
        <f t="shared" si="120"/>
        <v>0</v>
      </c>
      <c r="AO391" s="99" t="e">
        <f t="shared" si="121"/>
        <v>#DIV/0!</v>
      </c>
    </row>
    <row r="392" spans="7:41" ht="12.75" customHeight="1">
      <c r="G392" s="100" t="e">
        <f t="shared" si="111"/>
        <v>#DIV/0!</v>
      </c>
      <c r="P392" s="100" t="e">
        <f t="shared" si="112"/>
        <v>#DIV/0!</v>
      </c>
      <c r="AA392" s="103">
        <f t="shared" si="113"/>
        <v>1</v>
      </c>
      <c r="AC392" s="101">
        <f t="shared" si="114"/>
        <v>0</v>
      </c>
      <c r="AG392" s="101" t="e">
        <f t="shared" si="115"/>
        <v>#DIV/0!</v>
      </c>
      <c r="AH392" s="101" t="e">
        <f t="shared" si="116"/>
        <v>#DIV/0!</v>
      </c>
      <c r="AJ392" s="104">
        <f t="shared" si="117"/>
        <v>1</v>
      </c>
      <c r="AK392" s="101" t="e">
        <f t="shared" si="118"/>
        <v>#DIV/0!</v>
      </c>
      <c r="AL392" s="50">
        <f t="shared" si="119"/>
        <v>0</v>
      </c>
      <c r="AM392" s="97">
        <f t="shared" si="120"/>
        <v>0</v>
      </c>
      <c r="AO392" s="99" t="e">
        <f t="shared" si="121"/>
        <v>#DIV/0!</v>
      </c>
    </row>
    <row r="393" spans="7:41" ht="12.75" customHeight="1">
      <c r="G393" s="100" t="e">
        <f t="shared" si="111"/>
        <v>#DIV/0!</v>
      </c>
      <c r="P393" s="100" t="e">
        <f t="shared" si="112"/>
        <v>#DIV/0!</v>
      </c>
      <c r="AA393" s="103">
        <f t="shared" si="113"/>
        <v>1</v>
      </c>
      <c r="AC393" s="101">
        <f t="shared" si="114"/>
        <v>0</v>
      </c>
      <c r="AG393" s="101" t="e">
        <f t="shared" si="115"/>
        <v>#DIV/0!</v>
      </c>
      <c r="AH393" s="101" t="e">
        <f t="shared" si="116"/>
        <v>#DIV/0!</v>
      </c>
      <c r="AJ393" s="104">
        <f t="shared" si="117"/>
        <v>1</v>
      </c>
      <c r="AK393" s="101" t="e">
        <f t="shared" si="118"/>
        <v>#DIV/0!</v>
      </c>
      <c r="AL393" s="50">
        <f t="shared" si="119"/>
        <v>0</v>
      </c>
      <c r="AM393" s="97">
        <f t="shared" si="120"/>
        <v>0</v>
      </c>
      <c r="AO393" s="99" t="e">
        <f t="shared" si="121"/>
        <v>#DIV/0!</v>
      </c>
    </row>
    <row r="394" spans="7:41" ht="12.75" customHeight="1">
      <c r="G394" s="100" t="e">
        <f t="shared" si="111"/>
        <v>#DIV/0!</v>
      </c>
      <c r="P394" s="100" t="e">
        <f t="shared" si="112"/>
        <v>#DIV/0!</v>
      </c>
      <c r="AA394" s="103">
        <f t="shared" si="113"/>
        <v>1</v>
      </c>
      <c r="AC394" s="101">
        <f t="shared" si="114"/>
        <v>0</v>
      </c>
      <c r="AG394" s="101" t="e">
        <f t="shared" si="115"/>
        <v>#DIV/0!</v>
      </c>
      <c r="AH394" s="101" t="e">
        <f t="shared" si="116"/>
        <v>#DIV/0!</v>
      </c>
      <c r="AJ394" s="104">
        <f t="shared" si="117"/>
        <v>1</v>
      </c>
      <c r="AK394" s="101" t="e">
        <f t="shared" si="118"/>
        <v>#DIV/0!</v>
      </c>
      <c r="AL394" s="50">
        <f t="shared" si="119"/>
        <v>0</v>
      </c>
      <c r="AM394" s="97">
        <f t="shared" si="120"/>
        <v>0</v>
      </c>
      <c r="AO394" s="99" t="e">
        <f t="shared" si="121"/>
        <v>#DIV/0!</v>
      </c>
    </row>
    <row r="395" spans="7:41" ht="12.75" customHeight="1">
      <c r="G395" s="100" t="e">
        <f t="shared" si="111"/>
        <v>#DIV/0!</v>
      </c>
      <c r="P395" s="100" t="e">
        <f t="shared" si="112"/>
        <v>#DIV/0!</v>
      </c>
      <c r="AA395" s="103">
        <f t="shared" si="113"/>
        <v>1</v>
      </c>
      <c r="AC395" s="101">
        <f t="shared" si="114"/>
        <v>0</v>
      </c>
      <c r="AG395" s="101" t="e">
        <f t="shared" si="115"/>
        <v>#DIV/0!</v>
      </c>
      <c r="AH395" s="101" t="e">
        <f t="shared" si="116"/>
        <v>#DIV/0!</v>
      </c>
      <c r="AJ395" s="104">
        <f t="shared" si="117"/>
        <v>1</v>
      </c>
      <c r="AK395" s="101" t="e">
        <f t="shared" si="118"/>
        <v>#DIV/0!</v>
      </c>
      <c r="AL395" s="50">
        <f t="shared" si="119"/>
        <v>0</v>
      </c>
      <c r="AM395" s="97">
        <f t="shared" si="120"/>
        <v>0</v>
      </c>
      <c r="AO395" s="99" t="e">
        <f t="shared" si="121"/>
        <v>#DIV/0!</v>
      </c>
    </row>
    <row r="396" spans="7:41" ht="12.75" customHeight="1">
      <c r="G396" s="100" t="e">
        <f t="shared" si="111"/>
        <v>#DIV/0!</v>
      </c>
      <c r="P396" s="100" t="e">
        <f t="shared" si="112"/>
        <v>#DIV/0!</v>
      </c>
      <c r="AA396" s="103">
        <f t="shared" si="113"/>
        <v>1</v>
      </c>
      <c r="AC396" s="101">
        <f t="shared" si="114"/>
        <v>0</v>
      </c>
      <c r="AG396" s="101" t="e">
        <f t="shared" si="115"/>
        <v>#DIV/0!</v>
      </c>
      <c r="AH396" s="101" t="e">
        <f t="shared" si="116"/>
        <v>#DIV/0!</v>
      </c>
      <c r="AJ396" s="104">
        <f t="shared" si="117"/>
        <v>1</v>
      </c>
      <c r="AK396" s="101" t="e">
        <f t="shared" si="118"/>
        <v>#DIV/0!</v>
      </c>
      <c r="AL396" s="50">
        <f t="shared" si="119"/>
        <v>0</v>
      </c>
      <c r="AM396" s="97">
        <f t="shared" si="120"/>
        <v>0</v>
      </c>
      <c r="AO396" s="99" t="e">
        <f t="shared" si="121"/>
        <v>#DIV/0!</v>
      </c>
    </row>
    <row r="397" spans="7:41" ht="12.75" customHeight="1">
      <c r="G397" s="100" t="e">
        <f t="shared" si="111"/>
        <v>#DIV/0!</v>
      </c>
      <c r="P397" s="100" t="e">
        <f t="shared" si="112"/>
        <v>#DIV/0!</v>
      </c>
      <c r="AA397" s="103">
        <f t="shared" si="113"/>
        <v>1</v>
      </c>
      <c r="AC397" s="101">
        <f t="shared" si="114"/>
        <v>0</v>
      </c>
      <c r="AG397" s="101" t="e">
        <f t="shared" si="115"/>
        <v>#DIV/0!</v>
      </c>
      <c r="AH397" s="101" t="e">
        <f t="shared" si="116"/>
        <v>#DIV/0!</v>
      </c>
      <c r="AJ397" s="104">
        <f t="shared" si="117"/>
        <v>1</v>
      </c>
      <c r="AK397" s="101" t="e">
        <f t="shared" si="118"/>
        <v>#DIV/0!</v>
      </c>
      <c r="AL397" s="50">
        <f t="shared" si="119"/>
        <v>0</v>
      </c>
      <c r="AM397" s="97">
        <f t="shared" si="120"/>
        <v>0</v>
      </c>
      <c r="AO397" s="99" t="e">
        <f t="shared" si="121"/>
        <v>#DIV/0!</v>
      </c>
    </row>
    <row r="398" spans="7:41" ht="12.75" customHeight="1">
      <c r="G398" s="100" t="e">
        <f t="shared" si="111"/>
        <v>#DIV/0!</v>
      </c>
      <c r="P398" s="100" t="e">
        <f t="shared" si="112"/>
        <v>#DIV/0!</v>
      </c>
      <c r="AA398" s="103">
        <f t="shared" si="113"/>
        <v>1</v>
      </c>
      <c r="AC398" s="101">
        <f t="shared" si="114"/>
        <v>0</v>
      </c>
      <c r="AG398" s="101" t="e">
        <f t="shared" si="115"/>
        <v>#DIV/0!</v>
      </c>
      <c r="AH398" s="101" t="e">
        <f t="shared" si="116"/>
        <v>#DIV/0!</v>
      </c>
      <c r="AJ398" s="104">
        <f t="shared" si="117"/>
        <v>1</v>
      </c>
      <c r="AK398" s="101" t="e">
        <f t="shared" si="118"/>
        <v>#DIV/0!</v>
      </c>
      <c r="AL398" s="50">
        <f t="shared" si="119"/>
        <v>0</v>
      </c>
      <c r="AM398" s="97">
        <f t="shared" si="120"/>
        <v>0</v>
      </c>
      <c r="AO398" s="99" t="e">
        <f t="shared" si="121"/>
        <v>#DIV/0!</v>
      </c>
    </row>
    <row r="399" spans="7:41" ht="12.75" customHeight="1">
      <c r="G399" s="100" t="e">
        <f t="shared" si="111"/>
        <v>#DIV/0!</v>
      </c>
      <c r="P399" s="100" t="e">
        <f t="shared" si="112"/>
        <v>#DIV/0!</v>
      </c>
      <c r="AA399" s="103">
        <f t="shared" si="113"/>
        <v>1</v>
      </c>
      <c r="AC399" s="101">
        <f t="shared" si="114"/>
        <v>0</v>
      </c>
      <c r="AG399" s="101" t="e">
        <f t="shared" si="115"/>
        <v>#DIV/0!</v>
      </c>
      <c r="AH399" s="101" t="e">
        <f t="shared" si="116"/>
        <v>#DIV/0!</v>
      </c>
      <c r="AJ399" s="104">
        <f t="shared" si="117"/>
        <v>1</v>
      </c>
      <c r="AK399" s="101" t="e">
        <f t="shared" si="118"/>
        <v>#DIV/0!</v>
      </c>
      <c r="AL399" s="50">
        <f t="shared" si="119"/>
        <v>0</v>
      </c>
      <c r="AM399" s="97">
        <f t="shared" si="120"/>
        <v>0</v>
      </c>
      <c r="AO399" s="99" t="e">
        <f t="shared" si="121"/>
        <v>#DIV/0!</v>
      </c>
    </row>
    <row r="400" spans="7:41" ht="12.75" customHeight="1">
      <c r="G400" s="100" t="e">
        <f t="shared" si="111"/>
        <v>#DIV/0!</v>
      </c>
      <c r="P400" s="100" t="e">
        <f t="shared" si="112"/>
        <v>#DIV/0!</v>
      </c>
      <c r="AA400" s="103">
        <f t="shared" si="113"/>
        <v>1</v>
      </c>
      <c r="AC400" s="101">
        <f t="shared" si="114"/>
        <v>0</v>
      </c>
      <c r="AG400" s="101" t="e">
        <f t="shared" si="115"/>
        <v>#DIV/0!</v>
      </c>
      <c r="AH400" s="101" t="e">
        <f t="shared" si="116"/>
        <v>#DIV/0!</v>
      </c>
      <c r="AO400" s="99">
        <f t="shared" si="121"/>
        <v>0</v>
      </c>
    </row>
    <row r="401" spans="7:41" ht="12.75" customHeight="1">
      <c r="G401" s="100" t="e">
        <f t="shared" si="111"/>
        <v>#DIV/0!</v>
      </c>
      <c r="P401" s="100" t="e">
        <f t="shared" si="112"/>
        <v>#DIV/0!</v>
      </c>
      <c r="AA401" s="103">
        <f t="shared" si="113"/>
        <v>1</v>
      </c>
      <c r="AC401" s="101">
        <f t="shared" si="114"/>
        <v>0</v>
      </c>
      <c r="AG401" s="101" t="e">
        <f t="shared" si="115"/>
        <v>#DIV/0!</v>
      </c>
      <c r="AH401" s="101" t="e">
        <f t="shared" si="116"/>
        <v>#DIV/0!</v>
      </c>
      <c r="AO401" s="99">
        <f t="shared" si="121"/>
        <v>0</v>
      </c>
    </row>
    <row r="402" spans="7:41" ht="12.75" customHeight="1">
      <c r="G402" s="100" t="e">
        <f t="shared" si="111"/>
        <v>#DIV/0!</v>
      </c>
      <c r="P402" s="100" t="e">
        <f t="shared" si="112"/>
        <v>#DIV/0!</v>
      </c>
      <c r="AA402" s="103">
        <f t="shared" si="113"/>
        <v>1</v>
      </c>
      <c r="AC402" s="101">
        <f t="shared" si="114"/>
        <v>0</v>
      </c>
      <c r="AG402" s="101" t="e">
        <f t="shared" si="115"/>
        <v>#DIV/0!</v>
      </c>
      <c r="AH402" s="101" t="e">
        <f t="shared" si="116"/>
        <v>#DIV/0!</v>
      </c>
      <c r="AO402" s="99">
        <f t="shared" si="121"/>
        <v>0</v>
      </c>
    </row>
    <row r="403" spans="7:41" ht="12.75" customHeight="1">
      <c r="G403" s="100" t="e">
        <f t="shared" si="111"/>
        <v>#DIV/0!</v>
      </c>
      <c r="P403" s="100" t="e">
        <f t="shared" si="112"/>
        <v>#DIV/0!</v>
      </c>
      <c r="AA403" s="103">
        <f t="shared" si="113"/>
        <v>1</v>
      </c>
      <c r="AC403" s="101">
        <f t="shared" si="114"/>
        <v>0</v>
      </c>
      <c r="AG403" s="101" t="e">
        <f t="shared" si="115"/>
        <v>#DIV/0!</v>
      </c>
      <c r="AH403" s="101" t="e">
        <f t="shared" si="116"/>
        <v>#DIV/0!</v>
      </c>
      <c r="AO403" s="99">
        <f t="shared" si="121"/>
        <v>0</v>
      </c>
    </row>
    <row r="404" spans="7:41" ht="12.75" customHeight="1">
      <c r="G404" s="100" t="e">
        <f t="shared" si="111"/>
        <v>#DIV/0!</v>
      </c>
      <c r="P404" s="100" t="e">
        <f t="shared" si="112"/>
        <v>#DIV/0!</v>
      </c>
      <c r="AA404" s="103">
        <f t="shared" si="113"/>
        <v>1</v>
      </c>
      <c r="AC404" s="101">
        <f t="shared" si="114"/>
        <v>0</v>
      </c>
      <c r="AG404" s="101" t="e">
        <f t="shared" si="115"/>
        <v>#DIV/0!</v>
      </c>
      <c r="AH404" s="101" t="e">
        <f t="shared" si="116"/>
        <v>#DIV/0!</v>
      </c>
      <c r="AO404" s="99">
        <f t="shared" si="121"/>
        <v>0</v>
      </c>
    </row>
    <row r="405" spans="7:41" ht="12.75" customHeight="1">
      <c r="G405" s="100" t="e">
        <f t="shared" si="111"/>
        <v>#DIV/0!</v>
      </c>
      <c r="P405" s="100" t="e">
        <f t="shared" si="112"/>
        <v>#DIV/0!</v>
      </c>
      <c r="AA405" s="103">
        <f t="shared" si="113"/>
        <v>1</v>
      </c>
      <c r="AC405" s="101">
        <f t="shared" si="114"/>
        <v>0</v>
      </c>
      <c r="AG405" s="101" t="e">
        <f t="shared" si="115"/>
        <v>#DIV/0!</v>
      </c>
      <c r="AH405" s="101" t="e">
        <f t="shared" si="116"/>
        <v>#DIV/0!</v>
      </c>
      <c r="AO405" s="99">
        <f t="shared" si="121"/>
        <v>0</v>
      </c>
    </row>
    <row r="406" spans="7:41" ht="12.75" customHeight="1">
      <c r="G406" s="100" t="e">
        <f t="shared" si="111"/>
        <v>#DIV/0!</v>
      </c>
      <c r="P406" s="100" t="e">
        <f t="shared" si="112"/>
        <v>#DIV/0!</v>
      </c>
      <c r="AA406" s="103">
        <f t="shared" si="113"/>
        <v>1</v>
      </c>
      <c r="AC406" s="101">
        <f t="shared" si="114"/>
        <v>0</v>
      </c>
      <c r="AG406" s="101" t="e">
        <f t="shared" si="115"/>
        <v>#DIV/0!</v>
      </c>
      <c r="AH406" s="101" t="e">
        <f t="shared" si="116"/>
        <v>#DIV/0!</v>
      </c>
      <c r="AO406" s="99">
        <f t="shared" si="121"/>
        <v>0</v>
      </c>
    </row>
    <row r="407" spans="7:41" ht="12.75" customHeight="1">
      <c r="G407" s="100" t="e">
        <f t="shared" si="111"/>
        <v>#DIV/0!</v>
      </c>
      <c r="P407" s="100" t="e">
        <f t="shared" si="112"/>
        <v>#DIV/0!</v>
      </c>
      <c r="AA407" s="103">
        <f t="shared" si="113"/>
        <v>1</v>
      </c>
      <c r="AC407" s="101">
        <f t="shared" si="114"/>
        <v>0</v>
      </c>
      <c r="AG407" s="101" t="e">
        <f t="shared" si="115"/>
        <v>#DIV/0!</v>
      </c>
      <c r="AH407" s="101" t="e">
        <f t="shared" si="116"/>
        <v>#DIV/0!</v>
      </c>
      <c r="AO407" s="99">
        <f t="shared" si="121"/>
        <v>0</v>
      </c>
    </row>
    <row r="408" spans="7:41" ht="12.75" customHeight="1">
      <c r="G408" s="100" t="e">
        <f t="shared" si="111"/>
        <v>#DIV/0!</v>
      </c>
      <c r="P408" s="100" t="e">
        <f t="shared" si="112"/>
        <v>#DIV/0!</v>
      </c>
      <c r="AA408" s="103">
        <f t="shared" si="113"/>
        <v>1</v>
      </c>
      <c r="AC408" s="101">
        <f t="shared" si="114"/>
        <v>0</v>
      </c>
      <c r="AG408" s="101" t="e">
        <f t="shared" si="115"/>
        <v>#DIV/0!</v>
      </c>
      <c r="AH408" s="101" t="e">
        <f t="shared" si="116"/>
        <v>#DIV/0!</v>
      </c>
      <c r="AO408" s="99">
        <f t="shared" si="121"/>
        <v>0</v>
      </c>
    </row>
    <row r="409" spans="7:41" ht="12.75" customHeight="1">
      <c r="G409" s="100" t="e">
        <f t="shared" si="111"/>
        <v>#DIV/0!</v>
      </c>
      <c r="P409" s="100" t="e">
        <f t="shared" si="112"/>
        <v>#DIV/0!</v>
      </c>
      <c r="AA409" s="103">
        <f t="shared" si="113"/>
        <v>1</v>
      </c>
      <c r="AC409" s="101">
        <f t="shared" si="114"/>
        <v>0</v>
      </c>
      <c r="AG409" s="101" t="e">
        <f t="shared" si="115"/>
        <v>#DIV/0!</v>
      </c>
      <c r="AH409" s="101" t="e">
        <f t="shared" si="116"/>
        <v>#DIV/0!</v>
      </c>
      <c r="AO409" s="99">
        <f t="shared" si="121"/>
        <v>0</v>
      </c>
    </row>
    <row r="410" spans="7:41" ht="12.75" customHeight="1">
      <c r="G410" s="100" t="e">
        <f t="shared" ref="G410:G473" si="122">100*(F410-E410)/F410</f>
        <v>#DIV/0!</v>
      </c>
      <c r="P410" s="100" t="e">
        <f t="shared" ref="P410:P473" si="123">O410/I410</f>
        <v>#DIV/0!</v>
      </c>
      <c r="AA410" s="103">
        <f t="shared" ref="AA410:AA455" si="124">IF(X410&lt;33,IF(Y410&gt;(1.1*X410),0,1),1)+IF(Y410&gt;(4*X410),-1,0)</f>
        <v>1</v>
      </c>
      <c r="AC410" s="101">
        <f t="shared" ref="AC410:AC473" si="125">IF(AB410&gt;9,1,0)+AB410/3+IF(AB410&gt;15,1,0)+IF(AB410&gt;20,1,0)</f>
        <v>0</v>
      </c>
      <c r="AG410" s="101" t="e">
        <f t="shared" ref="AG410:AG473" si="126">IF(G410&lt;0,0,1.2)+IF(G410&lt;14,0,0.9)+IF(P410&lt;0,0.7,0)+IF(P410&lt;6.5,1,0)+IF(P410&lt;23,1,0)+IF(R410&gt;80,0,1)+S410+IF(AD410&lt;20,0,1)+IF(AE410&lt;14,0,1)+IF(AF410&lt;26,0,1)</f>
        <v>#DIV/0!</v>
      </c>
      <c r="AH410" s="101" t="e">
        <f t="shared" ref="AH410:AH473" si="127">AG410+IF(AG410&gt;6,1,0)+IF(X410&lt;17,0,1)+IF(Y410&lt;11,0,1)+IF(Z410&lt;1.35,0,1)+AC410+AA410</f>
        <v>#DIV/0!</v>
      </c>
      <c r="AO410" s="99">
        <f t="shared" si="121"/>
        <v>0</v>
      </c>
    </row>
    <row r="411" spans="7:41" ht="12.75" customHeight="1">
      <c r="G411" s="100" t="e">
        <f t="shared" si="122"/>
        <v>#DIV/0!</v>
      </c>
      <c r="P411" s="100" t="e">
        <f t="shared" si="123"/>
        <v>#DIV/0!</v>
      </c>
      <c r="AA411" s="103">
        <f t="shared" si="124"/>
        <v>1</v>
      </c>
      <c r="AC411" s="101">
        <f t="shared" si="125"/>
        <v>0</v>
      </c>
      <c r="AG411" s="101" t="e">
        <f t="shared" si="126"/>
        <v>#DIV/0!</v>
      </c>
      <c r="AH411" s="101" t="e">
        <f t="shared" si="127"/>
        <v>#DIV/0!</v>
      </c>
      <c r="AO411" s="99">
        <f t="shared" si="121"/>
        <v>0</v>
      </c>
    </row>
    <row r="412" spans="7:41" ht="12.75" customHeight="1">
      <c r="G412" s="100" t="e">
        <f t="shared" si="122"/>
        <v>#DIV/0!</v>
      </c>
      <c r="P412" s="100" t="e">
        <f t="shared" si="123"/>
        <v>#DIV/0!</v>
      </c>
      <c r="AA412" s="103">
        <f t="shared" si="124"/>
        <v>1</v>
      </c>
      <c r="AC412" s="101">
        <f t="shared" si="125"/>
        <v>0</v>
      </c>
      <c r="AG412" s="101" t="e">
        <f t="shared" si="126"/>
        <v>#DIV/0!</v>
      </c>
      <c r="AH412" s="101" t="e">
        <f t="shared" si="127"/>
        <v>#DIV/0!</v>
      </c>
      <c r="AO412" s="99">
        <f t="shared" si="121"/>
        <v>0</v>
      </c>
    </row>
    <row r="413" spans="7:41" ht="12.75" customHeight="1">
      <c r="G413" s="100" t="e">
        <f t="shared" si="122"/>
        <v>#DIV/0!</v>
      </c>
      <c r="P413" s="100" t="e">
        <f t="shared" si="123"/>
        <v>#DIV/0!</v>
      </c>
      <c r="AA413" s="103">
        <f t="shared" si="124"/>
        <v>1</v>
      </c>
      <c r="AC413" s="101">
        <f t="shared" si="125"/>
        <v>0</v>
      </c>
      <c r="AG413" s="101" t="e">
        <f t="shared" si="126"/>
        <v>#DIV/0!</v>
      </c>
      <c r="AH413" s="101" t="e">
        <f t="shared" si="127"/>
        <v>#DIV/0!</v>
      </c>
      <c r="AO413" s="99">
        <f t="shared" si="121"/>
        <v>0</v>
      </c>
    </row>
    <row r="414" spans="7:41" ht="12.75" customHeight="1">
      <c r="G414" s="100" t="e">
        <f t="shared" si="122"/>
        <v>#DIV/0!</v>
      </c>
      <c r="P414" s="100" t="e">
        <f t="shared" si="123"/>
        <v>#DIV/0!</v>
      </c>
      <c r="AA414" s="103">
        <f t="shared" si="124"/>
        <v>1</v>
      </c>
      <c r="AC414" s="101">
        <f t="shared" si="125"/>
        <v>0</v>
      </c>
      <c r="AG414" s="101" t="e">
        <f t="shared" si="126"/>
        <v>#DIV/0!</v>
      </c>
      <c r="AH414" s="101" t="e">
        <f t="shared" si="127"/>
        <v>#DIV/0!</v>
      </c>
      <c r="AO414" s="99">
        <f t="shared" si="121"/>
        <v>0</v>
      </c>
    </row>
    <row r="415" spans="7:41" ht="12.75" customHeight="1">
      <c r="G415" s="100" t="e">
        <f t="shared" si="122"/>
        <v>#DIV/0!</v>
      </c>
      <c r="P415" s="100" t="e">
        <f t="shared" si="123"/>
        <v>#DIV/0!</v>
      </c>
      <c r="AA415" s="103">
        <f t="shared" si="124"/>
        <v>1</v>
      </c>
      <c r="AC415" s="101">
        <f t="shared" si="125"/>
        <v>0</v>
      </c>
      <c r="AG415" s="101" t="e">
        <f t="shared" si="126"/>
        <v>#DIV/0!</v>
      </c>
      <c r="AH415" s="101" t="e">
        <f t="shared" si="127"/>
        <v>#DIV/0!</v>
      </c>
      <c r="AO415" s="99">
        <f t="shared" si="121"/>
        <v>0</v>
      </c>
    </row>
    <row r="416" spans="7:41" ht="12.75" customHeight="1">
      <c r="G416" s="100" t="e">
        <f t="shared" si="122"/>
        <v>#DIV/0!</v>
      </c>
      <c r="P416" s="100" t="e">
        <f t="shared" si="123"/>
        <v>#DIV/0!</v>
      </c>
      <c r="AA416" s="103">
        <f t="shared" si="124"/>
        <v>1</v>
      </c>
      <c r="AC416" s="101">
        <f t="shared" si="125"/>
        <v>0</v>
      </c>
      <c r="AG416" s="101" t="e">
        <f t="shared" si="126"/>
        <v>#DIV/0!</v>
      </c>
      <c r="AH416" s="101" t="e">
        <f t="shared" si="127"/>
        <v>#DIV/0!</v>
      </c>
      <c r="AO416" s="99">
        <f t="shared" si="121"/>
        <v>0</v>
      </c>
    </row>
    <row r="417" spans="7:41" ht="12.75" customHeight="1">
      <c r="G417" s="100" t="e">
        <f t="shared" si="122"/>
        <v>#DIV/0!</v>
      </c>
      <c r="P417" s="100" t="e">
        <f t="shared" si="123"/>
        <v>#DIV/0!</v>
      </c>
      <c r="AA417" s="103">
        <f t="shared" si="124"/>
        <v>1</v>
      </c>
      <c r="AC417" s="101">
        <f t="shared" si="125"/>
        <v>0</v>
      </c>
      <c r="AG417" s="101" t="e">
        <f t="shared" si="126"/>
        <v>#DIV/0!</v>
      </c>
      <c r="AH417" s="101" t="e">
        <f t="shared" si="127"/>
        <v>#DIV/0!</v>
      </c>
      <c r="AO417" s="99">
        <f t="shared" si="121"/>
        <v>0</v>
      </c>
    </row>
    <row r="418" spans="7:41" ht="12.75" customHeight="1">
      <c r="G418" s="100" t="e">
        <f t="shared" si="122"/>
        <v>#DIV/0!</v>
      </c>
      <c r="P418" s="100" t="e">
        <f t="shared" si="123"/>
        <v>#DIV/0!</v>
      </c>
      <c r="AA418" s="103">
        <f t="shared" si="124"/>
        <v>1</v>
      </c>
      <c r="AC418" s="101">
        <f t="shared" si="125"/>
        <v>0</v>
      </c>
      <c r="AG418" s="101" t="e">
        <f t="shared" si="126"/>
        <v>#DIV/0!</v>
      </c>
      <c r="AH418" s="101" t="e">
        <f t="shared" si="127"/>
        <v>#DIV/0!</v>
      </c>
      <c r="AO418" s="99">
        <f t="shared" si="121"/>
        <v>0</v>
      </c>
    </row>
    <row r="419" spans="7:41" ht="12.75" customHeight="1">
      <c r="G419" s="100" t="e">
        <f t="shared" si="122"/>
        <v>#DIV/0!</v>
      </c>
      <c r="P419" s="100" t="e">
        <f t="shared" si="123"/>
        <v>#DIV/0!</v>
      </c>
      <c r="AA419" s="103">
        <f t="shared" si="124"/>
        <v>1</v>
      </c>
      <c r="AC419" s="101">
        <f t="shared" si="125"/>
        <v>0</v>
      </c>
      <c r="AG419" s="101" t="e">
        <f t="shared" si="126"/>
        <v>#DIV/0!</v>
      </c>
      <c r="AH419" s="101" t="e">
        <f t="shared" si="127"/>
        <v>#DIV/0!</v>
      </c>
      <c r="AO419" s="99">
        <f t="shared" si="121"/>
        <v>0</v>
      </c>
    </row>
    <row r="420" spans="7:41" ht="12.75" customHeight="1">
      <c r="G420" s="100" t="e">
        <f t="shared" si="122"/>
        <v>#DIV/0!</v>
      </c>
      <c r="P420" s="100" t="e">
        <f t="shared" si="123"/>
        <v>#DIV/0!</v>
      </c>
      <c r="AA420" s="103">
        <f t="shared" si="124"/>
        <v>1</v>
      </c>
      <c r="AC420" s="101">
        <f t="shared" si="125"/>
        <v>0</v>
      </c>
      <c r="AG420" s="101" t="e">
        <f t="shared" si="126"/>
        <v>#DIV/0!</v>
      </c>
      <c r="AH420" s="101" t="e">
        <f t="shared" si="127"/>
        <v>#DIV/0!</v>
      </c>
      <c r="AO420" s="99">
        <f t="shared" si="121"/>
        <v>0</v>
      </c>
    </row>
    <row r="421" spans="7:41" ht="12.75" customHeight="1">
      <c r="G421" s="100" t="e">
        <f t="shared" si="122"/>
        <v>#DIV/0!</v>
      </c>
      <c r="P421" s="100" t="e">
        <f t="shared" si="123"/>
        <v>#DIV/0!</v>
      </c>
      <c r="AA421" s="103">
        <f t="shared" si="124"/>
        <v>1</v>
      </c>
      <c r="AC421" s="101">
        <f t="shared" si="125"/>
        <v>0</v>
      </c>
      <c r="AG421" s="101" t="e">
        <f t="shared" si="126"/>
        <v>#DIV/0!</v>
      </c>
      <c r="AH421" s="101" t="e">
        <f t="shared" si="127"/>
        <v>#DIV/0!</v>
      </c>
      <c r="AO421" s="99">
        <f t="shared" si="121"/>
        <v>0</v>
      </c>
    </row>
    <row r="422" spans="7:41" ht="12.75" customHeight="1">
      <c r="G422" s="100" t="e">
        <f t="shared" si="122"/>
        <v>#DIV/0!</v>
      </c>
      <c r="P422" s="100" t="e">
        <f t="shared" si="123"/>
        <v>#DIV/0!</v>
      </c>
      <c r="AA422" s="103">
        <f t="shared" si="124"/>
        <v>1</v>
      </c>
      <c r="AC422" s="101">
        <f t="shared" si="125"/>
        <v>0</v>
      </c>
      <c r="AG422" s="101" t="e">
        <f t="shared" si="126"/>
        <v>#DIV/0!</v>
      </c>
      <c r="AH422" s="101" t="e">
        <f t="shared" si="127"/>
        <v>#DIV/0!</v>
      </c>
      <c r="AO422" s="99">
        <f t="shared" si="121"/>
        <v>0</v>
      </c>
    </row>
    <row r="423" spans="7:41" ht="12.75" customHeight="1">
      <c r="G423" s="100" t="e">
        <f t="shared" si="122"/>
        <v>#DIV/0!</v>
      </c>
      <c r="P423" s="100" t="e">
        <f t="shared" si="123"/>
        <v>#DIV/0!</v>
      </c>
      <c r="AA423" s="103">
        <f t="shared" si="124"/>
        <v>1</v>
      </c>
      <c r="AC423" s="101">
        <f t="shared" si="125"/>
        <v>0</v>
      </c>
      <c r="AG423" s="101" t="e">
        <f t="shared" si="126"/>
        <v>#DIV/0!</v>
      </c>
      <c r="AH423" s="101" t="e">
        <f t="shared" si="127"/>
        <v>#DIV/0!</v>
      </c>
      <c r="AO423" s="99">
        <f t="shared" si="121"/>
        <v>0</v>
      </c>
    </row>
    <row r="424" spans="7:41" ht="12.75" customHeight="1">
      <c r="G424" s="100" t="e">
        <f t="shared" si="122"/>
        <v>#DIV/0!</v>
      </c>
      <c r="P424" s="100" t="e">
        <f t="shared" si="123"/>
        <v>#DIV/0!</v>
      </c>
      <c r="AA424" s="103">
        <f t="shared" si="124"/>
        <v>1</v>
      </c>
      <c r="AC424" s="101">
        <f t="shared" si="125"/>
        <v>0</v>
      </c>
      <c r="AG424" s="101" t="e">
        <f t="shared" si="126"/>
        <v>#DIV/0!</v>
      </c>
      <c r="AH424" s="101" t="e">
        <f t="shared" si="127"/>
        <v>#DIV/0!</v>
      </c>
      <c r="AO424" s="99">
        <f t="shared" si="121"/>
        <v>0</v>
      </c>
    </row>
    <row r="425" spans="7:41" ht="12.75" customHeight="1">
      <c r="G425" s="100" t="e">
        <f t="shared" si="122"/>
        <v>#DIV/0!</v>
      </c>
      <c r="P425" s="100" t="e">
        <f t="shared" si="123"/>
        <v>#DIV/0!</v>
      </c>
      <c r="AA425" s="103">
        <f t="shared" si="124"/>
        <v>1</v>
      </c>
      <c r="AC425" s="101">
        <f t="shared" si="125"/>
        <v>0</v>
      </c>
      <c r="AG425" s="101" t="e">
        <f t="shared" si="126"/>
        <v>#DIV/0!</v>
      </c>
      <c r="AH425" s="101" t="e">
        <f t="shared" si="127"/>
        <v>#DIV/0!</v>
      </c>
      <c r="AO425" s="99">
        <f t="shared" si="121"/>
        <v>0</v>
      </c>
    </row>
    <row r="426" spans="7:41" ht="12.75" customHeight="1">
      <c r="G426" s="100" t="e">
        <f t="shared" si="122"/>
        <v>#DIV/0!</v>
      </c>
      <c r="P426" s="100" t="e">
        <f t="shared" si="123"/>
        <v>#DIV/0!</v>
      </c>
      <c r="AA426" s="103">
        <f t="shared" si="124"/>
        <v>1</v>
      </c>
      <c r="AC426" s="101">
        <f t="shared" si="125"/>
        <v>0</v>
      </c>
      <c r="AG426" s="101" t="e">
        <f t="shared" si="126"/>
        <v>#DIV/0!</v>
      </c>
      <c r="AH426" s="101" t="e">
        <f t="shared" si="127"/>
        <v>#DIV/0!</v>
      </c>
      <c r="AO426" s="99">
        <f t="shared" si="121"/>
        <v>0</v>
      </c>
    </row>
    <row r="427" spans="7:41" ht="12.75" customHeight="1">
      <c r="G427" s="100" t="e">
        <f t="shared" si="122"/>
        <v>#DIV/0!</v>
      </c>
      <c r="P427" s="100" t="e">
        <f t="shared" si="123"/>
        <v>#DIV/0!</v>
      </c>
      <c r="AA427" s="103">
        <f t="shared" si="124"/>
        <v>1</v>
      </c>
      <c r="AC427" s="101">
        <f t="shared" si="125"/>
        <v>0</v>
      </c>
      <c r="AG427" s="101" t="e">
        <f t="shared" si="126"/>
        <v>#DIV/0!</v>
      </c>
      <c r="AH427" s="101" t="e">
        <f t="shared" si="127"/>
        <v>#DIV/0!</v>
      </c>
      <c r="AO427" s="99">
        <f t="shared" si="121"/>
        <v>0</v>
      </c>
    </row>
    <row r="428" spans="7:41" ht="12.75" customHeight="1">
      <c r="G428" s="100" t="e">
        <f t="shared" si="122"/>
        <v>#DIV/0!</v>
      </c>
      <c r="P428" s="100" t="e">
        <f t="shared" si="123"/>
        <v>#DIV/0!</v>
      </c>
      <c r="AA428" s="103">
        <f t="shared" si="124"/>
        <v>1</v>
      </c>
      <c r="AC428" s="101">
        <f t="shared" si="125"/>
        <v>0</v>
      </c>
      <c r="AG428" s="101" t="e">
        <f t="shared" si="126"/>
        <v>#DIV/0!</v>
      </c>
      <c r="AH428" s="101" t="e">
        <f t="shared" si="127"/>
        <v>#DIV/0!</v>
      </c>
      <c r="AO428" s="99">
        <f t="shared" si="121"/>
        <v>0</v>
      </c>
    </row>
    <row r="429" spans="7:41" ht="12.75" customHeight="1">
      <c r="G429" s="100" t="e">
        <f t="shared" si="122"/>
        <v>#DIV/0!</v>
      </c>
      <c r="P429" s="100" t="e">
        <f t="shared" si="123"/>
        <v>#DIV/0!</v>
      </c>
      <c r="AA429" s="103">
        <f t="shared" si="124"/>
        <v>1</v>
      </c>
      <c r="AC429" s="101">
        <f t="shared" si="125"/>
        <v>0</v>
      </c>
      <c r="AG429" s="101" t="e">
        <f t="shared" si="126"/>
        <v>#DIV/0!</v>
      </c>
      <c r="AH429" s="101" t="e">
        <f t="shared" si="127"/>
        <v>#DIV/0!</v>
      </c>
      <c r="AO429" s="99">
        <f t="shared" si="121"/>
        <v>0</v>
      </c>
    </row>
    <row r="430" spans="7:41" ht="12.75" customHeight="1">
      <c r="G430" s="100" t="e">
        <f t="shared" si="122"/>
        <v>#DIV/0!</v>
      </c>
      <c r="P430" s="100" t="e">
        <f t="shared" si="123"/>
        <v>#DIV/0!</v>
      </c>
      <c r="AA430" s="103">
        <f t="shared" si="124"/>
        <v>1</v>
      </c>
      <c r="AC430" s="101">
        <f t="shared" si="125"/>
        <v>0</v>
      </c>
      <c r="AG430" s="101" t="e">
        <f t="shared" si="126"/>
        <v>#DIV/0!</v>
      </c>
      <c r="AH430" s="101" t="e">
        <f t="shared" si="127"/>
        <v>#DIV/0!</v>
      </c>
      <c r="AO430" s="99">
        <f t="shared" si="121"/>
        <v>0</v>
      </c>
    </row>
    <row r="431" spans="7:41" ht="12.75" customHeight="1">
      <c r="G431" s="100" t="e">
        <f t="shared" si="122"/>
        <v>#DIV/0!</v>
      </c>
      <c r="P431" s="100" t="e">
        <f t="shared" si="123"/>
        <v>#DIV/0!</v>
      </c>
      <c r="AA431" s="103">
        <f t="shared" si="124"/>
        <v>1</v>
      </c>
      <c r="AC431" s="101">
        <f t="shared" si="125"/>
        <v>0</v>
      </c>
      <c r="AG431" s="101" t="e">
        <f t="shared" si="126"/>
        <v>#DIV/0!</v>
      </c>
      <c r="AH431" s="101" t="e">
        <f t="shared" si="127"/>
        <v>#DIV/0!</v>
      </c>
      <c r="AO431" s="99">
        <f t="shared" si="121"/>
        <v>0</v>
      </c>
    </row>
    <row r="432" spans="7:41" ht="12.75" customHeight="1">
      <c r="G432" s="100" t="e">
        <f t="shared" si="122"/>
        <v>#DIV/0!</v>
      </c>
      <c r="P432" s="100" t="e">
        <f t="shared" si="123"/>
        <v>#DIV/0!</v>
      </c>
      <c r="AA432" s="103">
        <f t="shared" si="124"/>
        <v>1</v>
      </c>
      <c r="AC432" s="101">
        <f t="shared" si="125"/>
        <v>0</v>
      </c>
      <c r="AG432" s="101" t="e">
        <f t="shared" si="126"/>
        <v>#DIV/0!</v>
      </c>
      <c r="AH432" s="101" t="e">
        <f t="shared" si="127"/>
        <v>#DIV/0!</v>
      </c>
      <c r="AO432" s="99">
        <f t="shared" si="121"/>
        <v>0</v>
      </c>
    </row>
    <row r="433" spans="27:41" ht="12.75" customHeight="1">
      <c r="AA433" s="103">
        <f t="shared" si="124"/>
        <v>1</v>
      </c>
      <c r="AC433" s="101">
        <f t="shared" si="125"/>
        <v>0</v>
      </c>
      <c r="AG433" s="101">
        <f t="shared" si="126"/>
        <v>4.2</v>
      </c>
      <c r="AH433" s="101">
        <f t="shared" si="127"/>
        <v>5.2</v>
      </c>
      <c r="AO433" s="99">
        <f t="shared" si="121"/>
        <v>0</v>
      </c>
    </row>
    <row r="434" spans="27:41" ht="12.75" customHeight="1">
      <c r="AA434" s="103">
        <f t="shared" si="124"/>
        <v>1</v>
      </c>
      <c r="AC434" s="101">
        <f t="shared" si="125"/>
        <v>0</v>
      </c>
      <c r="AG434" s="101">
        <f t="shared" si="126"/>
        <v>4.2</v>
      </c>
      <c r="AH434" s="101">
        <f t="shared" si="127"/>
        <v>5.2</v>
      </c>
      <c r="AO434" s="99">
        <f t="shared" si="121"/>
        <v>0</v>
      </c>
    </row>
    <row r="435" spans="27:41" ht="12.75" customHeight="1">
      <c r="AA435" s="103">
        <f t="shared" si="124"/>
        <v>1</v>
      </c>
      <c r="AC435" s="101">
        <f t="shared" si="125"/>
        <v>0</v>
      </c>
      <c r="AG435" s="101">
        <f t="shared" si="126"/>
        <v>4.2</v>
      </c>
      <c r="AH435" s="101">
        <f t="shared" si="127"/>
        <v>5.2</v>
      </c>
      <c r="AO435" s="99">
        <f t="shared" si="121"/>
        <v>0</v>
      </c>
    </row>
    <row r="436" spans="27:41" ht="12.75" customHeight="1">
      <c r="AA436" s="103">
        <f t="shared" si="124"/>
        <v>1</v>
      </c>
      <c r="AC436" s="101">
        <f t="shared" si="125"/>
        <v>0</v>
      </c>
      <c r="AG436" s="101">
        <f t="shared" si="126"/>
        <v>4.2</v>
      </c>
      <c r="AH436" s="101">
        <f t="shared" si="127"/>
        <v>5.2</v>
      </c>
      <c r="AO436" s="99">
        <f t="shared" si="121"/>
        <v>0</v>
      </c>
    </row>
    <row r="437" spans="27:41" ht="12.75" customHeight="1">
      <c r="AA437" s="103">
        <f t="shared" si="124"/>
        <v>1</v>
      </c>
      <c r="AC437" s="101">
        <f t="shared" si="125"/>
        <v>0</v>
      </c>
      <c r="AG437" s="101">
        <f t="shared" si="126"/>
        <v>4.2</v>
      </c>
      <c r="AH437" s="101">
        <f t="shared" si="127"/>
        <v>5.2</v>
      </c>
      <c r="AO437" s="99">
        <f t="shared" si="121"/>
        <v>0</v>
      </c>
    </row>
    <row r="438" spans="27:41" ht="12.75" customHeight="1">
      <c r="AA438" s="103">
        <f t="shared" si="124"/>
        <v>1</v>
      </c>
      <c r="AC438" s="101">
        <f t="shared" si="125"/>
        <v>0</v>
      </c>
      <c r="AG438" s="101">
        <f t="shared" si="126"/>
        <v>4.2</v>
      </c>
      <c r="AH438" s="101">
        <f t="shared" si="127"/>
        <v>5.2</v>
      </c>
      <c r="AO438" s="99">
        <f t="shared" si="121"/>
        <v>0</v>
      </c>
    </row>
    <row r="439" spans="27:41" ht="12.75" customHeight="1">
      <c r="AA439" s="103">
        <f t="shared" si="124"/>
        <v>1</v>
      </c>
      <c r="AC439" s="101">
        <f t="shared" si="125"/>
        <v>0</v>
      </c>
      <c r="AG439" s="101">
        <f t="shared" si="126"/>
        <v>4.2</v>
      </c>
      <c r="AH439" s="101">
        <f t="shared" si="127"/>
        <v>5.2</v>
      </c>
      <c r="AO439" s="99">
        <f t="shared" si="121"/>
        <v>0</v>
      </c>
    </row>
    <row r="440" spans="27:41" ht="12.75" customHeight="1">
      <c r="AA440" s="103">
        <f t="shared" si="124"/>
        <v>1</v>
      </c>
      <c r="AC440" s="101">
        <f t="shared" si="125"/>
        <v>0</v>
      </c>
      <c r="AG440" s="101">
        <f t="shared" si="126"/>
        <v>4.2</v>
      </c>
      <c r="AH440" s="101">
        <f t="shared" si="127"/>
        <v>5.2</v>
      </c>
      <c r="AO440" s="99">
        <f t="shared" si="121"/>
        <v>0</v>
      </c>
    </row>
    <row r="441" spans="27:41" ht="12.75" customHeight="1">
      <c r="AA441" s="103">
        <f t="shared" si="124"/>
        <v>1</v>
      </c>
      <c r="AC441" s="101">
        <f t="shared" si="125"/>
        <v>0</v>
      </c>
      <c r="AG441" s="101">
        <f t="shared" si="126"/>
        <v>4.2</v>
      </c>
      <c r="AH441" s="101">
        <f t="shared" si="127"/>
        <v>5.2</v>
      </c>
      <c r="AO441" s="99">
        <f t="shared" si="121"/>
        <v>0</v>
      </c>
    </row>
    <row r="442" spans="27:41" ht="12.75" customHeight="1">
      <c r="AA442" s="103">
        <f t="shared" si="124"/>
        <v>1</v>
      </c>
      <c r="AC442" s="101">
        <f t="shared" si="125"/>
        <v>0</v>
      </c>
      <c r="AG442" s="101">
        <f t="shared" si="126"/>
        <v>4.2</v>
      </c>
      <c r="AH442" s="101">
        <f t="shared" si="127"/>
        <v>5.2</v>
      </c>
      <c r="AO442" s="99">
        <f t="shared" si="121"/>
        <v>0</v>
      </c>
    </row>
    <row r="443" spans="27:41" ht="12.75" customHeight="1">
      <c r="AA443" s="103">
        <f t="shared" si="124"/>
        <v>1</v>
      </c>
      <c r="AC443" s="101">
        <f t="shared" si="125"/>
        <v>0</v>
      </c>
      <c r="AG443" s="101">
        <f t="shared" si="126"/>
        <v>4.2</v>
      </c>
      <c r="AH443" s="101">
        <f t="shared" si="127"/>
        <v>5.2</v>
      </c>
      <c r="AO443" s="99">
        <f t="shared" si="121"/>
        <v>0</v>
      </c>
    </row>
    <row r="444" spans="27:41" ht="12.75" customHeight="1">
      <c r="AA444" s="103">
        <f t="shared" si="124"/>
        <v>1</v>
      </c>
      <c r="AC444" s="101">
        <f t="shared" si="125"/>
        <v>0</v>
      </c>
      <c r="AG444" s="101">
        <f t="shared" si="126"/>
        <v>4.2</v>
      </c>
      <c r="AH444" s="101">
        <f t="shared" si="127"/>
        <v>5.2</v>
      </c>
      <c r="AO444" s="99">
        <f t="shared" si="121"/>
        <v>0</v>
      </c>
    </row>
    <row r="445" spans="27:41" ht="12.75" customHeight="1">
      <c r="AA445" s="103">
        <f t="shared" si="124"/>
        <v>1</v>
      </c>
      <c r="AC445" s="101">
        <f t="shared" si="125"/>
        <v>0</v>
      </c>
      <c r="AG445" s="101">
        <f t="shared" si="126"/>
        <v>4.2</v>
      </c>
      <c r="AH445" s="101">
        <f t="shared" si="127"/>
        <v>5.2</v>
      </c>
      <c r="AO445" s="99">
        <f t="shared" si="121"/>
        <v>0</v>
      </c>
    </row>
    <row r="446" spans="27:41" ht="12.75" customHeight="1">
      <c r="AA446" s="103">
        <f t="shared" si="124"/>
        <v>1</v>
      </c>
      <c r="AC446" s="101">
        <f t="shared" si="125"/>
        <v>0</v>
      </c>
      <c r="AG446" s="101">
        <f t="shared" si="126"/>
        <v>4.2</v>
      </c>
      <c r="AH446" s="101">
        <f t="shared" si="127"/>
        <v>5.2</v>
      </c>
      <c r="AO446" s="99">
        <f t="shared" si="121"/>
        <v>0</v>
      </c>
    </row>
    <row r="447" spans="27:41" ht="12.75" customHeight="1">
      <c r="AA447" s="103">
        <f t="shared" si="124"/>
        <v>1</v>
      </c>
      <c r="AC447" s="101">
        <f t="shared" si="125"/>
        <v>0</v>
      </c>
      <c r="AG447" s="101">
        <f t="shared" si="126"/>
        <v>4.2</v>
      </c>
      <c r="AH447" s="101">
        <f t="shared" si="127"/>
        <v>5.2</v>
      </c>
      <c r="AO447" s="99">
        <f t="shared" si="121"/>
        <v>0</v>
      </c>
    </row>
    <row r="448" spans="27:41" ht="12.75" customHeight="1">
      <c r="AA448" s="103">
        <f t="shared" si="124"/>
        <v>1</v>
      </c>
      <c r="AC448" s="101">
        <f t="shared" si="125"/>
        <v>0</v>
      </c>
      <c r="AG448" s="101">
        <f t="shared" si="126"/>
        <v>4.2</v>
      </c>
      <c r="AH448" s="101">
        <f t="shared" si="127"/>
        <v>5.2</v>
      </c>
      <c r="AO448" s="99">
        <f t="shared" si="121"/>
        <v>0</v>
      </c>
    </row>
    <row r="449" spans="27:41" ht="12.75" customHeight="1">
      <c r="AA449" s="103">
        <f t="shared" si="124"/>
        <v>1</v>
      </c>
      <c r="AC449" s="101">
        <f t="shared" si="125"/>
        <v>0</v>
      </c>
      <c r="AG449" s="101">
        <f t="shared" si="126"/>
        <v>4.2</v>
      </c>
      <c r="AH449" s="101">
        <f t="shared" si="127"/>
        <v>5.2</v>
      </c>
      <c r="AO449" s="99">
        <f t="shared" si="121"/>
        <v>0</v>
      </c>
    </row>
    <row r="450" spans="27:41" ht="12.75" customHeight="1">
      <c r="AA450" s="103">
        <f t="shared" si="124"/>
        <v>1</v>
      </c>
      <c r="AC450" s="101">
        <f t="shared" si="125"/>
        <v>0</v>
      </c>
      <c r="AG450" s="101">
        <f t="shared" si="126"/>
        <v>4.2</v>
      </c>
      <c r="AH450" s="101">
        <f t="shared" si="127"/>
        <v>5.2</v>
      </c>
      <c r="AO450" s="99">
        <f t="shared" ref="AO443:AO474" si="128">IF(AK450&gt;26.1,IF(Z450&lt;140,1,0),0)</f>
        <v>0</v>
      </c>
    </row>
    <row r="451" spans="27:41" ht="12.75" customHeight="1">
      <c r="AA451" s="103">
        <f t="shared" si="124"/>
        <v>1</v>
      </c>
      <c r="AC451" s="101">
        <f t="shared" si="125"/>
        <v>0</v>
      </c>
      <c r="AG451" s="101">
        <f t="shared" si="126"/>
        <v>4.2</v>
      </c>
      <c r="AH451" s="101">
        <f t="shared" si="127"/>
        <v>5.2</v>
      </c>
      <c r="AO451" s="99">
        <f t="shared" si="128"/>
        <v>0</v>
      </c>
    </row>
    <row r="452" spans="27:41" ht="12.75" customHeight="1">
      <c r="AA452" s="103">
        <f t="shared" si="124"/>
        <v>1</v>
      </c>
      <c r="AC452" s="101">
        <f t="shared" si="125"/>
        <v>0</v>
      </c>
      <c r="AG452" s="101">
        <f t="shared" si="126"/>
        <v>4.2</v>
      </c>
      <c r="AH452" s="101">
        <f t="shared" si="127"/>
        <v>5.2</v>
      </c>
      <c r="AO452" s="99">
        <f t="shared" si="128"/>
        <v>0</v>
      </c>
    </row>
    <row r="453" spans="27:41" ht="12.75" customHeight="1">
      <c r="AA453" s="103">
        <f t="shared" si="124"/>
        <v>1</v>
      </c>
      <c r="AC453" s="101">
        <f t="shared" si="125"/>
        <v>0</v>
      </c>
      <c r="AG453" s="101">
        <f t="shared" si="126"/>
        <v>4.2</v>
      </c>
      <c r="AH453" s="101">
        <f t="shared" si="127"/>
        <v>5.2</v>
      </c>
      <c r="AO453" s="99">
        <f t="shared" si="128"/>
        <v>0</v>
      </c>
    </row>
    <row r="454" spans="27:41" ht="12.75" customHeight="1">
      <c r="AA454" s="103">
        <f t="shared" si="124"/>
        <v>1</v>
      </c>
      <c r="AC454" s="101">
        <f t="shared" si="125"/>
        <v>0</v>
      </c>
      <c r="AG454" s="101">
        <f t="shared" si="126"/>
        <v>4.2</v>
      </c>
      <c r="AH454" s="101">
        <f t="shared" si="127"/>
        <v>5.2</v>
      </c>
      <c r="AO454" s="99">
        <f t="shared" si="128"/>
        <v>0</v>
      </c>
    </row>
    <row r="455" spans="27:41" ht="12.75" customHeight="1">
      <c r="AA455" s="103">
        <f t="shared" si="124"/>
        <v>1</v>
      </c>
      <c r="AC455" s="101">
        <f t="shared" si="125"/>
        <v>0</v>
      </c>
      <c r="AG455" s="101">
        <f t="shared" si="126"/>
        <v>4.2</v>
      </c>
      <c r="AH455" s="101">
        <f t="shared" si="127"/>
        <v>5.2</v>
      </c>
      <c r="AO455" s="99">
        <f t="shared" si="128"/>
        <v>0</v>
      </c>
    </row>
    <row r="456" spans="27:41" ht="12.75" customHeight="1">
      <c r="AC456" s="101">
        <f t="shared" si="125"/>
        <v>0</v>
      </c>
      <c r="AG456" s="101">
        <f t="shared" si="126"/>
        <v>4.2</v>
      </c>
      <c r="AH456" s="101">
        <f t="shared" si="127"/>
        <v>4.2</v>
      </c>
      <c r="AO456" s="99">
        <f t="shared" si="128"/>
        <v>0</v>
      </c>
    </row>
    <row r="457" spans="27:41" ht="12.75" customHeight="1">
      <c r="AC457" s="101">
        <f t="shared" si="125"/>
        <v>0</v>
      </c>
      <c r="AG457" s="101">
        <f t="shared" si="126"/>
        <v>4.2</v>
      </c>
      <c r="AH457" s="101">
        <f t="shared" si="127"/>
        <v>4.2</v>
      </c>
      <c r="AO457" s="99">
        <f t="shared" si="128"/>
        <v>0</v>
      </c>
    </row>
    <row r="458" spans="27:41" ht="12.75" customHeight="1">
      <c r="AC458" s="101">
        <f t="shared" si="125"/>
        <v>0</v>
      </c>
      <c r="AG458" s="101">
        <f t="shared" si="126"/>
        <v>4.2</v>
      </c>
      <c r="AH458" s="101">
        <f t="shared" si="127"/>
        <v>4.2</v>
      </c>
      <c r="AO458" s="99">
        <f t="shared" si="128"/>
        <v>0</v>
      </c>
    </row>
    <row r="459" spans="27:41" ht="12.75" customHeight="1">
      <c r="AC459" s="101">
        <f t="shared" si="125"/>
        <v>0</v>
      </c>
      <c r="AG459" s="101">
        <f t="shared" si="126"/>
        <v>4.2</v>
      </c>
      <c r="AH459" s="101">
        <f t="shared" si="127"/>
        <v>4.2</v>
      </c>
      <c r="AO459" s="99">
        <f t="shared" si="128"/>
        <v>0</v>
      </c>
    </row>
    <row r="460" spans="27:41" ht="12.75" customHeight="1">
      <c r="AC460" s="101">
        <f t="shared" si="125"/>
        <v>0</v>
      </c>
      <c r="AG460" s="101">
        <f t="shared" si="126"/>
        <v>4.2</v>
      </c>
      <c r="AH460" s="101">
        <f t="shared" si="127"/>
        <v>4.2</v>
      </c>
      <c r="AO460" s="99">
        <f t="shared" si="128"/>
        <v>0</v>
      </c>
    </row>
    <row r="461" spans="27:41" ht="12.75" customHeight="1">
      <c r="AC461" s="101">
        <f t="shared" si="125"/>
        <v>0</v>
      </c>
      <c r="AG461" s="101">
        <f t="shared" si="126"/>
        <v>4.2</v>
      </c>
      <c r="AH461" s="101">
        <f t="shared" si="127"/>
        <v>4.2</v>
      </c>
      <c r="AO461" s="99">
        <f t="shared" si="128"/>
        <v>0</v>
      </c>
    </row>
    <row r="462" spans="27:41" ht="12.75" customHeight="1">
      <c r="AC462" s="101">
        <f t="shared" si="125"/>
        <v>0</v>
      </c>
      <c r="AG462" s="101">
        <f t="shared" si="126"/>
        <v>4.2</v>
      </c>
      <c r="AH462" s="101">
        <f t="shared" si="127"/>
        <v>4.2</v>
      </c>
      <c r="AO462" s="99">
        <f t="shared" si="128"/>
        <v>0</v>
      </c>
    </row>
    <row r="463" spans="27:41" ht="12.75" customHeight="1">
      <c r="AC463" s="101">
        <f t="shared" si="125"/>
        <v>0</v>
      </c>
      <c r="AG463" s="101">
        <f t="shared" si="126"/>
        <v>4.2</v>
      </c>
      <c r="AH463" s="101">
        <f t="shared" si="127"/>
        <v>4.2</v>
      </c>
      <c r="AO463" s="99">
        <f t="shared" si="128"/>
        <v>0</v>
      </c>
    </row>
    <row r="464" spans="27:41" ht="12.75" customHeight="1">
      <c r="AC464" s="101">
        <f t="shared" si="125"/>
        <v>0</v>
      </c>
      <c r="AG464" s="101">
        <f t="shared" si="126"/>
        <v>4.2</v>
      </c>
      <c r="AH464" s="101">
        <f t="shared" si="127"/>
        <v>4.2</v>
      </c>
      <c r="AO464" s="99">
        <f t="shared" si="128"/>
        <v>0</v>
      </c>
    </row>
    <row r="465" spans="29:41" ht="12.75" customHeight="1">
      <c r="AC465" s="101">
        <f t="shared" si="125"/>
        <v>0</v>
      </c>
      <c r="AG465" s="101">
        <f t="shared" si="126"/>
        <v>4.2</v>
      </c>
      <c r="AH465" s="101">
        <f t="shared" si="127"/>
        <v>4.2</v>
      </c>
      <c r="AO465" s="99">
        <f t="shared" si="128"/>
        <v>0</v>
      </c>
    </row>
    <row r="466" spans="29:41" ht="12.75" customHeight="1">
      <c r="AC466" s="101">
        <f t="shared" si="125"/>
        <v>0</v>
      </c>
      <c r="AG466" s="101">
        <f t="shared" si="126"/>
        <v>4.2</v>
      </c>
      <c r="AH466" s="101">
        <f t="shared" si="127"/>
        <v>4.2</v>
      </c>
      <c r="AO466" s="99">
        <f t="shared" si="128"/>
        <v>0</v>
      </c>
    </row>
    <row r="467" spans="29:41" ht="12.75" customHeight="1">
      <c r="AC467" s="101">
        <f t="shared" si="125"/>
        <v>0</v>
      </c>
      <c r="AG467" s="101">
        <f t="shared" si="126"/>
        <v>4.2</v>
      </c>
      <c r="AH467" s="101">
        <f t="shared" si="127"/>
        <v>4.2</v>
      </c>
      <c r="AO467" s="99">
        <f t="shared" si="128"/>
        <v>0</v>
      </c>
    </row>
    <row r="468" spans="29:41" ht="12.75" customHeight="1">
      <c r="AC468" s="101">
        <f t="shared" si="125"/>
        <v>0</v>
      </c>
      <c r="AG468" s="101">
        <f t="shared" si="126"/>
        <v>4.2</v>
      </c>
      <c r="AH468" s="101">
        <f t="shared" si="127"/>
        <v>4.2</v>
      </c>
      <c r="AO468" s="99">
        <f t="shared" si="128"/>
        <v>0</v>
      </c>
    </row>
    <row r="469" spans="29:41" ht="12.75" customHeight="1">
      <c r="AC469" s="101">
        <f t="shared" si="125"/>
        <v>0</v>
      </c>
      <c r="AG469" s="101">
        <f t="shared" si="126"/>
        <v>4.2</v>
      </c>
      <c r="AH469" s="101">
        <f t="shared" si="127"/>
        <v>4.2</v>
      </c>
      <c r="AO469" s="99">
        <f t="shared" si="128"/>
        <v>0</v>
      </c>
    </row>
    <row r="470" spans="29:41" ht="12.75" customHeight="1">
      <c r="AC470" s="101">
        <f t="shared" si="125"/>
        <v>0</v>
      </c>
      <c r="AG470" s="101">
        <f t="shared" si="126"/>
        <v>4.2</v>
      </c>
      <c r="AH470" s="101">
        <f t="shared" si="127"/>
        <v>4.2</v>
      </c>
      <c r="AO470" s="99">
        <f t="shared" si="128"/>
        <v>0</v>
      </c>
    </row>
    <row r="471" spans="29:41" ht="12.75" customHeight="1">
      <c r="AC471" s="101">
        <f t="shared" si="125"/>
        <v>0</v>
      </c>
      <c r="AG471" s="101">
        <f t="shared" si="126"/>
        <v>4.2</v>
      </c>
      <c r="AO471" s="99">
        <f t="shared" si="128"/>
        <v>0</v>
      </c>
    </row>
    <row r="472" spans="29:41" ht="12.75" customHeight="1">
      <c r="AC472" s="101">
        <f t="shared" si="125"/>
        <v>0</v>
      </c>
      <c r="AG472" s="101">
        <f t="shared" si="126"/>
        <v>4.2</v>
      </c>
      <c r="AO472" s="99">
        <f t="shared" si="128"/>
        <v>0</v>
      </c>
    </row>
    <row r="473" spans="29:41" ht="12.75" customHeight="1">
      <c r="AC473" s="101">
        <f t="shared" si="125"/>
        <v>0</v>
      </c>
      <c r="AG473" s="101">
        <f t="shared" si="126"/>
        <v>4.2</v>
      </c>
      <c r="AO473" s="99">
        <f t="shared" si="128"/>
        <v>0</v>
      </c>
    </row>
    <row r="474" spans="29:41" ht="12.75" customHeight="1">
      <c r="AC474" s="101">
        <f t="shared" ref="AC474:AC537" si="129">IF(AB474&gt;9,1,0)+AB474/3+IF(AB474&gt;15,1,0)+IF(AB474&gt;20,1,0)</f>
        <v>0</v>
      </c>
      <c r="AG474" s="101">
        <f t="shared" ref="AG474:AG537" si="130">IF(G474&lt;0,0,1.2)+IF(G474&lt;14,0,0.9)+IF(P474&lt;0,0.7,0)+IF(P474&lt;6.5,1,0)+IF(P474&lt;23,1,0)+IF(R474&gt;80,0,1)+S474+IF(AD474&lt;20,0,1)+IF(AE474&lt;14,0,1)+IF(AF474&lt;26,0,1)</f>
        <v>4.2</v>
      </c>
      <c r="AO474" s="99">
        <f t="shared" si="128"/>
        <v>0</v>
      </c>
    </row>
    <row r="475" spans="29:41" ht="12.75" customHeight="1">
      <c r="AC475" s="101">
        <f t="shared" si="129"/>
        <v>0</v>
      </c>
      <c r="AG475" s="101">
        <f t="shared" si="130"/>
        <v>4.2</v>
      </c>
      <c r="AO475" s="99">
        <f t="shared" ref="AO475:AO506" si="131">IF(AK475&gt;26.1,IF(Z475&lt;140,1,0),0)</f>
        <v>0</v>
      </c>
    </row>
    <row r="476" spans="29:41" ht="12.75" customHeight="1">
      <c r="AC476" s="101">
        <f t="shared" si="129"/>
        <v>0</v>
      </c>
      <c r="AG476" s="101">
        <f t="shared" si="130"/>
        <v>4.2</v>
      </c>
      <c r="AO476" s="99">
        <f t="shared" si="131"/>
        <v>0</v>
      </c>
    </row>
    <row r="477" spans="29:41" ht="12.75" customHeight="1">
      <c r="AC477" s="101">
        <f t="shared" si="129"/>
        <v>0</v>
      </c>
      <c r="AG477" s="101">
        <f t="shared" si="130"/>
        <v>4.2</v>
      </c>
      <c r="AO477" s="99">
        <f t="shared" si="131"/>
        <v>0</v>
      </c>
    </row>
    <row r="478" spans="29:41" ht="12.75" customHeight="1">
      <c r="AC478" s="101">
        <f t="shared" si="129"/>
        <v>0</v>
      </c>
      <c r="AG478" s="101">
        <f t="shared" si="130"/>
        <v>4.2</v>
      </c>
      <c r="AO478" s="99">
        <f t="shared" si="131"/>
        <v>0</v>
      </c>
    </row>
    <row r="479" spans="29:41" ht="12.75" customHeight="1">
      <c r="AC479" s="101">
        <f t="shared" si="129"/>
        <v>0</v>
      </c>
      <c r="AG479" s="101">
        <f t="shared" si="130"/>
        <v>4.2</v>
      </c>
      <c r="AO479" s="99">
        <f t="shared" si="131"/>
        <v>0</v>
      </c>
    </row>
    <row r="480" spans="29:41" ht="12.75" customHeight="1">
      <c r="AC480" s="101">
        <f t="shared" si="129"/>
        <v>0</v>
      </c>
      <c r="AG480" s="101">
        <f t="shared" si="130"/>
        <v>4.2</v>
      </c>
      <c r="AO480" s="99">
        <f t="shared" si="131"/>
        <v>0</v>
      </c>
    </row>
    <row r="481" spans="29:41" ht="12.75" customHeight="1">
      <c r="AC481" s="101">
        <f t="shared" si="129"/>
        <v>0</v>
      </c>
      <c r="AG481" s="101">
        <f t="shared" si="130"/>
        <v>4.2</v>
      </c>
      <c r="AO481" s="99">
        <f t="shared" si="131"/>
        <v>0</v>
      </c>
    </row>
    <row r="482" spans="29:41" ht="12.75" customHeight="1">
      <c r="AC482" s="101">
        <f t="shared" si="129"/>
        <v>0</v>
      </c>
      <c r="AG482" s="101">
        <f t="shared" si="130"/>
        <v>4.2</v>
      </c>
      <c r="AO482" s="99">
        <f t="shared" si="131"/>
        <v>0</v>
      </c>
    </row>
    <row r="483" spans="29:41" ht="12.75" customHeight="1">
      <c r="AC483" s="101">
        <f t="shared" si="129"/>
        <v>0</v>
      </c>
      <c r="AG483" s="101">
        <f t="shared" si="130"/>
        <v>4.2</v>
      </c>
      <c r="AO483" s="99">
        <f t="shared" si="131"/>
        <v>0</v>
      </c>
    </row>
    <row r="484" spans="29:41" ht="12.75" customHeight="1">
      <c r="AC484" s="101">
        <f t="shared" si="129"/>
        <v>0</v>
      </c>
      <c r="AG484" s="101">
        <f t="shared" si="130"/>
        <v>4.2</v>
      </c>
      <c r="AO484" s="99">
        <f t="shared" si="131"/>
        <v>0</v>
      </c>
    </row>
    <row r="485" spans="29:41" ht="12.75" customHeight="1">
      <c r="AC485" s="101">
        <f t="shared" si="129"/>
        <v>0</v>
      </c>
      <c r="AG485" s="101">
        <f t="shared" si="130"/>
        <v>4.2</v>
      </c>
      <c r="AO485" s="99">
        <f t="shared" si="131"/>
        <v>0</v>
      </c>
    </row>
    <row r="486" spans="29:41" ht="12.75" customHeight="1">
      <c r="AC486" s="101">
        <f t="shared" si="129"/>
        <v>0</v>
      </c>
      <c r="AG486" s="101">
        <f t="shared" si="130"/>
        <v>4.2</v>
      </c>
      <c r="AO486" s="99">
        <f t="shared" si="131"/>
        <v>0</v>
      </c>
    </row>
    <row r="487" spans="29:41" ht="12.75" customHeight="1">
      <c r="AC487" s="101">
        <f t="shared" si="129"/>
        <v>0</v>
      </c>
      <c r="AG487" s="101">
        <f t="shared" si="130"/>
        <v>4.2</v>
      </c>
      <c r="AO487" s="99">
        <f t="shared" si="131"/>
        <v>0</v>
      </c>
    </row>
    <row r="488" spans="29:41" ht="12.75" customHeight="1">
      <c r="AC488" s="101">
        <f t="shared" si="129"/>
        <v>0</v>
      </c>
      <c r="AG488" s="101">
        <f t="shared" si="130"/>
        <v>4.2</v>
      </c>
      <c r="AO488" s="99">
        <f t="shared" si="131"/>
        <v>0</v>
      </c>
    </row>
    <row r="489" spans="29:41" ht="12.75" customHeight="1">
      <c r="AC489" s="101">
        <f t="shared" si="129"/>
        <v>0</v>
      </c>
      <c r="AG489" s="101">
        <f t="shared" si="130"/>
        <v>4.2</v>
      </c>
      <c r="AO489" s="99">
        <f t="shared" si="131"/>
        <v>0</v>
      </c>
    </row>
    <row r="490" spans="29:41" ht="12.75" customHeight="1">
      <c r="AC490" s="101">
        <f t="shared" si="129"/>
        <v>0</v>
      </c>
      <c r="AG490" s="101">
        <f t="shared" si="130"/>
        <v>4.2</v>
      </c>
      <c r="AO490" s="99">
        <f t="shared" si="131"/>
        <v>0</v>
      </c>
    </row>
    <row r="491" spans="29:41" ht="12.75" customHeight="1">
      <c r="AC491" s="101">
        <f t="shared" si="129"/>
        <v>0</v>
      </c>
      <c r="AG491" s="101">
        <f t="shared" si="130"/>
        <v>4.2</v>
      </c>
      <c r="AO491" s="99">
        <f t="shared" si="131"/>
        <v>0</v>
      </c>
    </row>
    <row r="492" spans="29:41" ht="12.75" customHeight="1">
      <c r="AC492" s="101">
        <f t="shared" si="129"/>
        <v>0</v>
      </c>
      <c r="AG492" s="101">
        <f t="shared" si="130"/>
        <v>4.2</v>
      </c>
      <c r="AO492" s="99">
        <f t="shared" si="131"/>
        <v>0</v>
      </c>
    </row>
    <row r="493" spans="29:41" ht="12.75" customHeight="1">
      <c r="AC493" s="101">
        <f t="shared" si="129"/>
        <v>0</v>
      </c>
      <c r="AG493" s="101">
        <f t="shared" si="130"/>
        <v>4.2</v>
      </c>
      <c r="AO493" s="99">
        <f t="shared" si="131"/>
        <v>0</v>
      </c>
    </row>
    <row r="494" spans="29:41" ht="12.75" customHeight="1">
      <c r="AC494" s="101">
        <f t="shared" si="129"/>
        <v>0</v>
      </c>
      <c r="AG494" s="101">
        <f t="shared" si="130"/>
        <v>4.2</v>
      </c>
      <c r="AO494" s="99">
        <f t="shared" si="131"/>
        <v>0</v>
      </c>
    </row>
    <row r="495" spans="29:41" ht="12.75" customHeight="1">
      <c r="AC495" s="101">
        <f t="shared" si="129"/>
        <v>0</v>
      </c>
      <c r="AG495" s="101">
        <f t="shared" si="130"/>
        <v>4.2</v>
      </c>
      <c r="AO495" s="99">
        <f t="shared" si="131"/>
        <v>0</v>
      </c>
    </row>
    <row r="496" spans="29:41" ht="12.75" customHeight="1">
      <c r="AG496" s="101">
        <f t="shared" si="130"/>
        <v>4.2</v>
      </c>
      <c r="AO496" s="99">
        <f t="shared" si="131"/>
        <v>0</v>
      </c>
    </row>
    <row r="497" spans="33:41" ht="12.75" customHeight="1">
      <c r="AG497" s="101">
        <f t="shared" si="130"/>
        <v>4.2</v>
      </c>
      <c r="AO497" s="99">
        <f t="shared" si="131"/>
        <v>0</v>
      </c>
    </row>
    <row r="498" spans="33:41" ht="12.75" customHeight="1">
      <c r="AG498" s="101">
        <f t="shared" si="130"/>
        <v>4.2</v>
      </c>
      <c r="AO498" s="99">
        <f t="shared" si="131"/>
        <v>0</v>
      </c>
    </row>
    <row r="499" spans="33:41" ht="12.75" customHeight="1">
      <c r="AG499" s="101">
        <f t="shared" si="130"/>
        <v>4.2</v>
      </c>
      <c r="AO499" s="99">
        <f t="shared" si="131"/>
        <v>0</v>
      </c>
    </row>
    <row r="500" spans="33:41" ht="12.75" customHeight="1">
      <c r="AG500" s="101">
        <f t="shared" si="130"/>
        <v>4.2</v>
      </c>
      <c r="AO500" s="99">
        <f t="shared" si="131"/>
        <v>0</v>
      </c>
    </row>
    <row r="501" spans="33:41" ht="12.75" customHeight="1">
      <c r="AG501" s="101">
        <f t="shared" si="130"/>
        <v>4.2</v>
      </c>
      <c r="AO501" s="99">
        <f t="shared" si="131"/>
        <v>0</v>
      </c>
    </row>
    <row r="502" spans="33:41" ht="12.75" customHeight="1">
      <c r="AG502" s="101">
        <f t="shared" si="130"/>
        <v>4.2</v>
      </c>
      <c r="AO502" s="99">
        <f t="shared" si="131"/>
        <v>0</v>
      </c>
    </row>
    <row r="503" spans="33:41" ht="12.75" customHeight="1">
      <c r="AG503" s="101">
        <f t="shared" si="130"/>
        <v>4.2</v>
      </c>
      <c r="AO503" s="99">
        <f t="shared" si="131"/>
        <v>0</v>
      </c>
    </row>
    <row r="504" spans="33:41" ht="12.75" customHeight="1">
      <c r="AG504" s="101">
        <f t="shared" si="130"/>
        <v>4.2</v>
      </c>
      <c r="AO504" s="99">
        <f t="shared" si="131"/>
        <v>0</v>
      </c>
    </row>
    <row r="505" spans="33:41" ht="12.75" customHeight="1">
      <c r="AG505" s="101">
        <f t="shared" si="130"/>
        <v>4.2</v>
      </c>
      <c r="AO505" s="99">
        <f t="shared" si="131"/>
        <v>0</v>
      </c>
    </row>
    <row r="506" spans="33:41" ht="12.75" customHeight="1">
      <c r="AG506" s="101">
        <f t="shared" si="130"/>
        <v>4.2</v>
      </c>
      <c r="AO506" s="99">
        <f t="shared" si="131"/>
        <v>0</v>
      </c>
    </row>
    <row r="507" spans="33:41" ht="12.75" customHeight="1">
      <c r="AG507" s="101">
        <f t="shared" si="130"/>
        <v>4.2</v>
      </c>
      <c r="AO507" s="99">
        <f t="shared" ref="AO507:AO538" si="132">IF(AK507&gt;26.1,IF(Z507&lt;140,1,0),0)</f>
        <v>0</v>
      </c>
    </row>
    <row r="508" spans="33:41" ht="12.75" customHeight="1">
      <c r="AG508" s="101">
        <f t="shared" si="130"/>
        <v>4.2</v>
      </c>
      <c r="AO508" s="99">
        <f t="shared" si="132"/>
        <v>0</v>
      </c>
    </row>
    <row r="509" spans="33:41" ht="12.75" customHeight="1">
      <c r="AG509" s="101">
        <f t="shared" si="130"/>
        <v>4.2</v>
      </c>
      <c r="AO509" s="99">
        <f t="shared" si="132"/>
        <v>0</v>
      </c>
    </row>
    <row r="510" spans="33:41" ht="12.75" customHeight="1">
      <c r="AG510" s="101">
        <f t="shared" si="130"/>
        <v>4.2</v>
      </c>
      <c r="AO510" s="99">
        <f t="shared" si="132"/>
        <v>0</v>
      </c>
    </row>
    <row r="511" spans="33:41" ht="12.75" customHeight="1">
      <c r="AG511" s="101">
        <f t="shared" si="130"/>
        <v>4.2</v>
      </c>
      <c r="AO511" s="99">
        <f t="shared" si="132"/>
        <v>0</v>
      </c>
    </row>
    <row r="512" spans="33:41" ht="12.75" customHeight="1">
      <c r="AG512" s="101">
        <f t="shared" si="130"/>
        <v>4.2</v>
      </c>
      <c r="AO512" s="99">
        <f t="shared" si="132"/>
        <v>0</v>
      </c>
    </row>
    <row r="513" spans="33:41" ht="12.75" customHeight="1">
      <c r="AG513" s="101">
        <f t="shared" si="130"/>
        <v>4.2</v>
      </c>
      <c r="AO513" s="99">
        <f t="shared" si="132"/>
        <v>0</v>
      </c>
    </row>
    <row r="514" spans="33:41" ht="12.75" customHeight="1">
      <c r="AG514" s="101">
        <f t="shared" si="130"/>
        <v>4.2</v>
      </c>
      <c r="AO514" s="99">
        <f t="shared" si="132"/>
        <v>0</v>
      </c>
    </row>
    <row r="515" spans="33:41" ht="12.75" customHeight="1">
      <c r="AG515" s="101">
        <f t="shared" si="130"/>
        <v>4.2</v>
      </c>
      <c r="AO515" s="99">
        <f t="shared" si="132"/>
        <v>0</v>
      </c>
    </row>
    <row r="516" spans="33:41" ht="12.75" customHeight="1">
      <c r="AG516" s="101">
        <f t="shared" si="130"/>
        <v>4.2</v>
      </c>
      <c r="AO516" s="99">
        <f t="shared" si="132"/>
        <v>0</v>
      </c>
    </row>
    <row r="517" spans="33:41" ht="12.75" customHeight="1">
      <c r="AG517" s="101">
        <f t="shared" si="130"/>
        <v>4.2</v>
      </c>
      <c r="AO517" s="99">
        <f t="shared" si="132"/>
        <v>0</v>
      </c>
    </row>
    <row r="518" spans="33:41" ht="12.75" customHeight="1">
      <c r="AG518" s="101">
        <f t="shared" si="130"/>
        <v>4.2</v>
      </c>
      <c r="AO518" s="99">
        <f t="shared" si="132"/>
        <v>0</v>
      </c>
    </row>
    <row r="519" spans="33:41" ht="12.75" customHeight="1">
      <c r="AG519" s="101">
        <f t="shared" si="130"/>
        <v>4.2</v>
      </c>
      <c r="AO519" s="99">
        <f t="shared" si="132"/>
        <v>0</v>
      </c>
    </row>
    <row r="520" spans="33:41" ht="12.75" customHeight="1">
      <c r="AG520" s="101">
        <f t="shared" si="130"/>
        <v>4.2</v>
      </c>
      <c r="AO520" s="99">
        <f t="shared" si="132"/>
        <v>0</v>
      </c>
    </row>
    <row r="521" spans="33:41" ht="12.75" customHeight="1">
      <c r="AG521" s="101">
        <f t="shared" si="130"/>
        <v>4.2</v>
      </c>
      <c r="AO521" s="99">
        <f t="shared" si="132"/>
        <v>0</v>
      </c>
    </row>
    <row r="522" spans="33:41" ht="12.75" customHeight="1">
      <c r="AG522" s="101">
        <f t="shared" si="130"/>
        <v>4.2</v>
      </c>
      <c r="AO522" s="99">
        <f t="shared" si="132"/>
        <v>0</v>
      </c>
    </row>
    <row r="523" spans="33:41" ht="12.75" customHeight="1">
      <c r="AG523" s="101">
        <f t="shared" si="130"/>
        <v>4.2</v>
      </c>
      <c r="AO523" s="99">
        <f t="shared" si="132"/>
        <v>0</v>
      </c>
    </row>
    <row r="524" spans="33:41" ht="12.75" customHeight="1">
      <c r="AG524" s="101">
        <f t="shared" si="130"/>
        <v>4.2</v>
      </c>
      <c r="AO524" s="99">
        <f t="shared" si="132"/>
        <v>0</v>
      </c>
    </row>
    <row r="525" spans="33:41" ht="12.75" customHeight="1">
      <c r="AG525" s="101">
        <f t="shared" si="130"/>
        <v>4.2</v>
      </c>
      <c r="AO525" s="99">
        <f t="shared" si="132"/>
        <v>0</v>
      </c>
    </row>
    <row r="526" spans="33:41" ht="12.75" customHeight="1">
      <c r="AG526" s="101">
        <f t="shared" si="130"/>
        <v>4.2</v>
      </c>
      <c r="AO526" s="99">
        <f t="shared" si="132"/>
        <v>0</v>
      </c>
    </row>
    <row r="527" spans="33:41" ht="12.75" customHeight="1">
      <c r="AG527" s="101">
        <f t="shared" si="130"/>
        <v>4.2</v>
      </c>
      <c r="AO527" s="99">
        <f t="shared" si="132"/>
        <v>0</v>
      </c>
    </row>
    <row r="528" spans="33:41" ht="12.75" customHeight="1">
      <c r="AG528" s="101">
        <f t="shared" si="130"/>
        <v>4.2</v>
      </c>
      <c r="AO528" s="99">
        <f t="shared" si="132"/>
        <v>0</v>
      </c>
    </row>
    <row r="529" spans="33:41" ht="12.75" customHeight="1">
      <c r="AG529" s="101">
        <f t="shared" si="130"/>
        <v>4.2</v>
      </c>
      <c r="AO529" s="99">
        <f t="shared" si="132"/>
        <v>0</v>
      </c>
    </row>
    <row r="530" spans="33:41" ht="12.75" customHeight="1">
      <c r="AG530" s="101">
        <f t="shared" si="130"/>
        <v>4.2</v>
      </c>
      <c r="AO530" s="99">
        <f t="shared" si="132"/>
        <v>0</v>
      </c>
    </row>
    <row r="531" spans="33:41" ht="12.75" customHeight="1">
      <c r="AG531" s="101">
        <f t="shared" si="130"/>
        <v>4.2</v>
      </c>
      <c r="AO531" s="99">
        <f t="shared" si="132"/>
        <v>0</v>
      </c>
    </row>
    <row r="532" spans="33:41" ht="12.75" customHeight="1">
      <c r="AG532" s="101">
        <f t="shared" si="130"/>
        <v>4.2</v>
      </c>
      <c r="AO532" s="99">
        <f t="shared" si="132"/>
        <v>0</v>
      </c>
    </row>
    <row r="533" spans="33:41" ht="12.75" customHeight="1">
      <c r="AG533" s="101">
        <f t="shared" si="130"/>
        <v>4.2</v>
      </c>
      <c r="AO533" s="99">
        <f t="shared" si="132"/>
        <v>0</v>
      </c>
    </row>
    <row r="534" spans="33:41" ht="12.75" customHeight="1">
      <c r="AG534" s="101">
        <f t="shared" si="130"/>
        <v>4.2</v>
      </c>
      <c r="AO534" s="99">
        <f t="shared" si="132"/>
        <v>0</v>
      </c>
    </row>
    <row r="535" spans="33:41" ht="12.75" customHeight="1">
      <c r="AG535" s="101">
        <f t="shared" si="130"/>
        <v>4.2</v>
      </c>
      <c r="AO535" s="99">
        <f t="shared" si="132"/>
        <v>0</v>
      </c>
    </row>
    <row r="536" spans="33:41" ht="12.75" customHeight="1">
      <c r="AG536" s="101">
        <f t="shared" si="130"/>
        <v>4.2</v>
      </c>
      <c r="AO536" s="99">
        <f t="shared" si="132"/>
        <v>0</v>
      </c>
    </row>
    <row r="537" spans="33:41" ht="12.75" customHeight="1">
      <c r="AG537" s="101">
        <f t="shared" si="130"/>
        <v>4.2</v>
      </c>
      <c r="AO537" s="99">
        <f t="shared" si="132"/>
        <v>0</v>
      </c>
    </row>
    <row r="538" spans="33:41" ht="12.75" customHeight="1">
      <c r="AG538" s="101">
        <f t="shared" ref="AG538:AG601" si="133">IF(G538&lt;0,0,1.2)+IF(G538&lt;14,0,0.9)+IF(P538&lt;0,0.7,0)+IF(P538&lt;6.5,1,0)+IF(P538&lt;23,1,0)+IF(R538&gt;80,0,1)+S538+IF(AD538&lt;20,0,1)+IF(AE538&lt;14,0,1)+IF(AF538&lt;26,0,1)</f>
        <v>4.2</v>
      </c>
      <c r="AO538" s="99">
        <f t="shared" si="132"/>
        <v>0</v>
      </c>
    </row>
    <row r="539" spans="33:41" ht="12.75" customHeight="1">
      <c r="AG539" s="101">
        <f t="shared" si="133"/>
        <v>4.2</v>
      </c>
      <c r="AO539" s="99">
        <f t="shared" ref="AO539:AO545" si="134">IF(AK539&gt;26.1,IF(Z539&lt;140,1,0),0)</f>
        <v>0</v>
      </c>
    </row>
    <row r="540" spans="33:41" ht="12.75" customHeight="1">
      <c r="AG540" s="101">
        <f t="shared" si="133"/>
        <v>4.2</v>
      </c>
      <c r="AO540" s="99">
        <f t="shared" si="134"/>
        <v>0</v>
      </c>
    </row>
    <row r="541" spans="33:41" ht="12.75" customHeight="1">
      <c r="AG541" s="101">
        <f t="shared" si="133"/>
        <v>4.2</v>
      </c>
      <c r="AO541" s="99">
        <f t="shared" si="134"/>
        <v>0</v>
      </c>
    </row>
    <row r="542" spans="33:41" ht="12.75" customHeight="1">
      <c r="AG542" s="101">
        <f t="shared" si="133"/>
        <v>4.2</v>
      </c>
      <c r="AO542" s="99">
        <f t="shared" si="134"/>
        <v>0</v>
      </c>
    </row>
    <row r="543" spans="33:41" ht="12.75" customHeight="1">
      <c r="AG543" s="101">
        <f t="shared" si="133"/>
        <v>4.2</v>
      </c>
      <c r="AO543" s="99">
        <f t="shared" si="134"/>
        <v>0</v>
      </c>
    </row>
    <row r="544" spans="33:41" ht="12.75" customHeight="1">
      <c r="AG544" s="101">
        <f t="shared" si="133"/>
        <v>4.2</v>
      </c>
      <c r="AO544" s="99">
        <f t="shared" si="134"/>
        <v>0</v>
      </c>
    </row>
    <row r="545" spans="33:41" ht="12.75" customHeight="1">
      <c r="AG545" s="101">
        <f t="shared" si="133"/>
        <v>4.2</v>
      </c>
      <c r="AO545" s="99">
        <f t="shared" si="134"/>
        <v>0</v>
      </c>
    </row>
    <row r="546" spans="33:41" ht="12.75" customHeight="1">
      <c r="AG546" s="101">
        <f t="shared" si="133"/>
        <v>4.2</v>
      </c>
      <c r="AO546" s="99">
        <f t="shared" ref="AO546:AO609" si="135">IF(AK546&gt;23.75,IF(Z546&lt;140,1,0),0)</f>
        <v>0</v>
      </c>
    </row>
    <row r="547" spans="33:41" ht="12.75" customHeight="1">
      <c r="AG547" s="101">
        <f t="shared" si="133"/>
        <v>4.2</v>
      </c>
      <c r="AO547" s="99">
        <f t="shared" si="135"/>
        <v>0</v>
      </c>
    </row>
    <row r="548" spans="33:41" ht="12.75" customHeight="1">
      <c r="AG548" s="101">
        <f t="shared" si="133"/>
        <v>4.2</v>
      </c>
      <c r="AO548" s="99">
        <f t="shared" si="135"/>
        <v>0</v>
      </c>
    </row>
    <row r="549" spans="33:41" ht="12.75" customHeight="1">
      <c r="AG549" s="101">
        <f t="shared" si="133"/>
        <v>4.2</v>
      </c>
      <c r="AO549" s="99">
        <f t="shared" si="135"/>
        <v>0</v>
      </c>
    </row>
    <row r="550" spans="33:41" ht="12.75" customHeight="1">
      <c r="AG550" s="101">
        <f t="shared" si="133"/>
        <v>4.2</v>
      </c>
      <c r="AO550" s="99">
        <f t="shared" si="135"/>
        <v>0</v>
      </c>
    </row>
    <row r="551" spans="33:41" ht="12.75" customHeight="1">
      <c r="AG551" s="101">
        <f t="shared" si="133"/>
        <v>4.2</v>
      </c>
      <c r="AO551" s="99">
        <f t="shared" si="135"/>
        <v>0</v>
      </c>
    </row>
    <row r="552" spans="33:41" ht="12.75" customHeight="1">
      <c r="AG552" s="101">
        <f t="shared" si="133"/>
        <v>4.2</v>
      </c>
      <c r="AO552" s="99">
        <f t="shared" si="135"/>
        <v>0</v>
      </c>
    </row>
    <row r="553" spans="33:41" ht="12.75" customHeight="1">
      <c r="AG553" s="101">
        <f t="shared" si="133"/>
        <v>4.2</v>
      </c>
      <c r="AO553" s="99">
        <f t="shared" si="135"/>
        <v>0</v>
      </c>
    </row>
    <row r="554" spans="33:41" ht="12.75" customHeight="1">
      <c r="AG554" s="101">
        <f t="shared" si="133"/>
        <v>4.2</v>
      </c>
      <c r="AO554" s="99">
        <f t="shared" si="135"/>
        <v>0</v>
      </c>
    </row>
    <row r="555" spans="33:41" ht="12.75" customHeight="1">
      <c r="AG555" s="101">
        <f t="shared" si="133"/>
        <v>4.2</v>
      </c>
      <c r="AO555" s="99">
        <f t="shared" si="135"/>
        <v>0</v>
      </c>
    </row>
    <row r="556" spans="33:41" ht="12.75" customHeight="1">
      <c r="AG556" s="101">
        <f t="shared" si="133"/>
        <v>4.2</v>
      </c>
      <c r="AO556" s="99">
        <f t="shared" si="135"/>
        <v>0</v>
      </c>
    </row>
    <row r="557" spans="33:41" ht="12.75" customHeight="1">
      <c r="AG557" s="101">
        <f t="shared" si="133"/>
        <v>4.2</v>
      </c>
      <c r="AO557" s="99">
        <f t="shared" si="135"/>
        <v>0</v>
      </c>
    </row>
    <row r="558" spans="33:41" ht="12.75" customHeight="1">
      <c r="AG558" s="101">
        <f t="shared" si="133"/>
        <v>4.2</v>
      </c>
      <c r="AO558" s="99">
        <f t="shared" si="135"/>
        <v>0</v>
      </c>
    </row>
    <row r="559" spans="33:41" ht="12.75" customHeight="1">
      <c r="AG559" s="101">
        <f t="shared" si="133"/>
        <v>4.2</v>
      </c>
      <c r="AO559" s="99">
        <f t="shared" si="135"/>
        <v>0</v>
      </c>
    </row>
    <row r="560" spans="33:41" ht="12.75" customHeight="1">
      <c r="AG560" s="101">
        <f t="shared" si="133"/>
        <v>4.2</v>
      </c>
      <c r="AO560" s="99">
        <f t="shared" si="135"/>
        <v>0</v>
      </c>
    </row>
    <row r="561" spans="33:41" ht="12.75" customHeight="1">
      <c r="AG561" s="101">
        <f t="shared" si="133"/>
        <v>4.2</v>
      </c>
      <c r="AO561" s="99">
        <f t="shared" si="135"/>
        <v>0</v>
      </c>
    </row>
    <row r="562" spans="33:41" ht="12.75" customHeight="1">
      <c r="AG562" s="101">
        <f t="shared" si="133"/>
        <v>4.2</v>
      </c>
      <c r="AO562" s="99">
        <f t="shared" si="135"/>
        <v>0</v>
      </c>
    </row>
    <row r="563" spans="33:41" ht="12.75" customHeight="1">
      <c r="AG563" s="101">
        <f t="shared" si="133"/>
        <v>4.2</v>
      </c>
      <c r="AO563" s="99">
        <f t="shared" si="135"/>
        <v>0</v>
      </c>
    </row>
    <row r="564" spans="33:41" ht="12.75" customHeight="1">
      <c r="AG564" s="101">
        <f t="shared" si="133"/>
        <v>4.2</v>
      </c>
      <c r="AO564" s="99">
        <f t="shared" si="135"/>
        <v>0</v>
      </c>
    </row>
    <row r="565" spans="33:41" ht="12.75" customHeight="1">
      <c r="AG565" s="101">
        <f t="shared" si="133"/>
        <v>4.2</v>
      </c>
      <c r="AO565" s="99">
        <f t="shared" si="135"/>
        <v>0</v>
      </c>
    </row>
    <row r="566" spans="33:41" ht="12.75" customHeight="1">
      <c r="AG566" s="101">
        <f t="shared" si="133"/>
        <v>4.2</v>
      </c>
      <c r="AO566" s="99">
        <f t="shared" si="135"/>
        <v>0</v>
      </c>
    </row>
    <row r="567" spans="33:41" ht="12.75" customHeight="1">
      <c r="AG567" s="101">
        <f t="shared" si="133"/>
        <v>4.2</v>
      </c>
      <c r="AO567" s="99">
        <f t="shared" si="135"/>
        <v>0</v>
      </c>
    </row>
    <row r="568" spans="33:41" ht="12.75" customHeight="1">
      <c r="AG568" s="101">
        <f t="shared" si="133"/>
        <v>4.2</v>
      </c>
      <c r="AO568" s="99">
        <f t="shared" si="135"/>
        <v>0</v>
      </c>
    </row>
    <row r="569" spans="33:41" ht="12.75" customHeight="1">
      <c r="AG569" s="101">
        <f t="shared" si="133"/>
        <v>4.2</v>
      </c>
      <c r="AO569" s="99">
        <f t="shared" si="135"/>
        <v>0</v>
      </c>
    </row>
    <row r="570" spans="33:41" ht="12.75" customHeight="1">
      <c r="AG570" s="101">
        <f t="shared" si="133"/>
        <v>4.2</v>
      </c>
      <c r="AO570" s="99">
        <f t="shared" si="135"/>
        <v>0</v>
      </c>
    </row>
    <row r="571" spans="33:41" ht="12.75" customHeight="1">
      <c r="AG571" s="101">
        <f t="shared" si="133"/>
        <v>4.2</v>
      </c>
      <c r="AO571" s="99">
        <f t="shared" si="135"/>
        <v>0</v>
      </c>
    </row>
    <row r="572" spans="33:41" ht="12.75" customHeight="1">
      <c r="AG572" s="101">
        <f t="shared" si="133"/>
        <v>4.2</v>
      </c>
      <c r="AO572" s="99">
        <f t="shared" si="135"/>
        <v>0</v>
      </c>
    </row>
    <row r="573" spans="33:41" ht="12.75" customHeight="1">
      <c r="AG573" s="101">
        <f t="shared" si="133"/>
        <v>4.2</v>
      </c>
      <c r="AO573" s="99">
        <f t="shared" si="135"/>
        <v>0</v>
      </c>
    </row>
    <row r="574" spans="33:41" ht="12.75" customHeight="1">
      <c r="AG574" s="101">
        <f t="shared" si="133"/>
        <v>4.2</v>
      </c>
      <c r="AO574" s="99">
        <f t="shared" si="135"/>
        <v>0</v>
      </c>
    </row>
    <row r="575" spans="33:41" ht="12.75" customHeight="1">
      <c r="AG575" s="101">
        <f t="shared" si="133"/>
        <v>4.2</v>
      </c>
      <c r="AO575" s="99">
        <f t="shared" si="135"/>
        <v>0</v>
      </c>
    </row>
    <row r="576" spans="33:41" ht="12.75" customHeight="1">
      <c r="AG576" s="101">
        <f t="shared" si="133"/>
        <v>4.2</v>
      </c>
      <c r="AO576" s="99">
        <f t="shared" si="135"/>
        <v>0</v>
      </c>
    </row>
    <row r="577" spans="33:41" ht="12.75" customHeight="1">
      <c r="AG577" s="101">
        <f t="shared" si="133"/>
        <v>4.2</v>
      </c>
      <c r="AO577" s="99">
        <f t="shared" si="135"/>
        <v>0</v>
      </c>
    </row>
    <row r="578" spans="33:41" ht="12.75" customHeight="1">
      <c r="AG578" s="101">
        <f t="shared" si="133"/>
        <v>4.2</v>
      </c>
      <c r="AO578" s="99">
        <f t="shared" si="135"/>
        <v>0</v>
      </c>
    </row>
    <row r="579" spans="33:41" ht="12.75" customHeight="1">
      <c r="AG579" s="101">
        <f t="shared" si="133"/>
        <v>4.2</v>
      </c>
      <c r="AO579" s="99">
        <f t="shared" si="135"/>
        <v>0</v>
      </c>
    </row>
    <row r="580" spans="33:41" ht="12.75" customHeight="1">
      <c r="AG580" s="101">
        <f t="shared" si="133"/>
        <v>4.2</v>
      </c>
      <c r="AO580" s="99">
        <f t="shared" si="135"/>
        <v>0</v>
      </c>
    </row>
    <row r="581" spans="33:41" ht="12.75" customHeight="1">
      <c r="AG581" s="101">
        <f t="shared" si="133"/>
        <v>4.2</v>
      </c>
      <c r="AO581" s="99">
        <f t="shared" si="135"/>
        <v>0</v>
      </c>
    </row>
    <row r="582" spans="33:41" ht="12.75" customHeight="1">
      <c r="AG582" s="101">
        <f t="shared" si="133"/>
        <v>4.2</v>
      </c>
      <c r="AO582" s="99">
        <f t="shared" si="135"/>
        <v>0</v>
      </c>
    </row>
    <row r="583" spans="33:41" ht="12.75" customHeight="1">
      <c r="AG583" s="101">
        <f t="shared" si="133"/>
        <v>4.2</v>
      </c>
      <c r="AO583" s="99">
        <f t="shared" si="135"/>
        <v>0</v>
      </c>
    </row>
    <row r="584" spans="33:41" ht="12.75" customHeight="1">
      <c r="AG584" s="101">
        <f t="shared" si="133"/>
        <v>4.2</v>
      </c>
      <c r="AO584" s="99">
        <f t="shared" si="135"/>
        <v>0</v>
      </c>
    </row>
    <row r="585" spans="33:41" ht="12.75" customHeight="1">
      <c r="AG585" s="101">
        <f t="shared" si="133"/>
        <v>4.2</v>
      </c>
      <c r="AO585" s="99">
        <f t="shared" si="135"/>
        <v>0</v>
      </c>
    </row>
    <row r="586" spans="33:41" ht="12.75" customHeight="1">
      <c r="AG586" s="101">
        <f t="shared" si="133"/>
        <v>4.2</v>
      </c>
      <c r="AO586" s="99">
        <f t="shared" si="135"/>
        <v>0</v>
      </c>
    </row>
    <row r="587" spans="33:41" ht="12.75" customHeight="1">
      <c r="AG587" s="101">
        <f t="shared" si="133"/>
        <v>4.2</v>
      </c>
      <c r="AO587" s="99">
        <f t="shared" si="135"/>
        <v>0</v>
      </c>
    </row>
    <row r="588" spans="33:41" ht="12.75" customHeight="1">
      <c r="AG588" s="101">
        <f t="shared" si="133"/>
        <v>4.2</v>
      </c>
      <c r="AO588" s="99">
        <f t="shared" si="135"/>
        <v>0</v>
      </c>
    </row>
    <row r="589" spans="33:41" ht="12.75" customHeight="1">
      <c r="AG589" s="101">
        <f t="shared" si="133"/>
        <v>4.2</v>
      </c>
      <c r="AO589" s="99">
        <f t="shared" si="135"/>
        <v>0</v>
      </c>
    </row>
    <row r="590" spans="33:41" ht="12.75" customHeight="1">
      <c r="AG590" s="101">
        <f t="shared" si="133"/>
        <v>4.2</v>
      </c>
      <c r="AO590" s="99">
        <f t="shared" si="135"/>
        <v>0</v>
      </c>
    </row>
    <row r="591" spans="33:41" ht="12.75" customHeight="1">
      <c r="AG591" s="101">
        <f t="shared" si="133"/>
        <v>4.2</v>
      </c>
      <c r="AO591" s="99">
        <f t="shared" si="135"/>
        <v>0</v>
      </c>
    </row>
    <row r="592" spans="33:41" ht="12.75" customHeight="1">
      <c r="AG592" s="101">
        <f t="shared" si="133"/>
        <v>4.2</v>
      </c>
      <c r="AO592" s="99">
        <f t="shared" si="135"/>
        <v>0</v>
      </c>
    </row>
    <row r="593" spans="33:41" ht="12.75" customHeight="1">
      <c r="AG593" s="101">
        <f t="shared" si="133"/>
        <v>4.2</v>
      </c>
      <c r="AO593" s="99">
        <f t="shared" si="135"/>
        <v>0</v>
      </c>
    </row>
    <row r="594" spans="33:41" ht="12.75" customHeight="1">
      <c r="AG594" s="101">
        <f t="shared" si="133"/>
        <v>4.2</v>
      </c>
      <c r="AO594" s="99">
        <f t="shared" si="135"/>
        <v>0</v>
      </c>
    </row>
    <row r="595" spans="33:41" ht="12.75" customHeight="1">
      <c r="AG595" s="101">
        <f t="shared" si="133"/>
        <v>4.2</v>
      </c>
      <c r="AO595" s="99">
        <f t="shared" si="135"/>
        <v>0</v>
      </c>
    </row>
    <row r="596" spans="33:41" ht="12.75" customHeight="1">
      <c r="AG596" s="101">
        <f t="shared" si="133"/>
        <v>4.2</v>
      </c>
      <c r="AO596" s="99">
        <f t="shared" si="135"/>
        <v>0</v>
      </c>
    </row>
    <row r="597" spans="33:41" ht="12.75" customHeight="1">
      <c r="AG597" s="101">
        <f t="shared" si="133"/>
        <v>4.2</v>
      </c>
      <c r="AO597" s="99">
        <f t="shared" si="135"/>
        <v>0</v>
      </c>
    </row>
    <row r="598" spans="33:41" ht="12.75" customHeight="1">
      <c r="AG598" s="101">
        <f t="shared" si="133"/>
        <v>4.2</v>
      </c>
      <c r="AO598" s="99">
        <f t="shared" si="135"/>
        <v>0</v>
      </c>
    </row>
    <row r="599" spans="33:41" ht="12.75" customHeight="1">
      <c r="AG599" s="101">
        <f t="shared" si="133"/>
        <v>4.2</v>
      </c>
      <c r="AO599" s="99">
        <f t="shared" si="135"/>
        <v>0</v>
      </c>
    </row>
    <row r="600" spans="33:41" ht="12.75" customHeight="1">
      <c r="AG600" s="101">
        <f t="shared" si="133"/>
        <v>4.2</v>
      </c>
      <c r="AO600" s="99">
        <f t="shared" si="135"/>
        <v>0</v>
      </c>
    </row>
    <row r="601" spans="33:41" ht="12.75" customHeight="1">
      <c r="AG601" s="101">
        <f t="shared" si="133"/>
        <v>4.2</v>
      </c>
      <c r="AO601" s="99">
        <f t="shared" si="135"/>
        <v>0</v>
      </c>
    </row>
    <row r="602" spans="33:41" ht="12.75" customHeight="1">
      <c r="AG602" s="101">
        <f t="shared" ref="AG602:AG665" si="136">IF(G602&lt;0,0,1.2)+IF(G602&lt;14,0,0.9)+IF(P602&lt;0,0.7,0)+IF(P602&lt;6.5,1,0)+IF(P602&lt;23,1,0)+IF(R602&gt;80,0,1)+S602+IF(AD602&lt;20,0,1)+IF(AE602&lt;14,0,1)+IF(AF602&lt;26,0,1)</f>
        <v>4.2</v>
      </c>
      <c r="AO602" s="99">
        <f t="shared" si="135"/>
        <v>0</v>
      </c>
    </row>
    <row r="603" spans="33:41" ht="12.75" customHeight="1">
      <c r="AG603" s="101">
        <f t="shared" si="136"/>
        <v>4.2</v>
      </c>
      <c r="AO603" s="99">
        <f t="shared" si="135"/>
        <v>0</v>
      </c>
    </row>
    <row r="604" spans="33:41" ht="12.75" customHeight="1">
      <c r="AG604" s="101">
        <f t="shared" si="136"/>
        <v>4.2</v>
      </c>
      <c r="AO604" s="99">
        <f t="shared" si="135"/>
        <v>0</v>
      </c>
    </row>
    <row r="605" spans="33:41" ht="12.75" customHeight="1">
      <c r="AG605" s="101">
        <f t="shared" si="136"/>
        <v>4.2</v>
      </c>
      <c r="AO605" s="99">
        <f t="shared" si="135"/>
        <v>0</v>
      </c>
    </row>
    <row r="606" spans="33:41" ht="12.75" customHeight="1">
      <c r="AG606" s="101">
        <f t="shared" si="136"/>
        <v>4.2</v>
      </c>
      <c r="AO606" s="99">
        <f t="shared" si="135"/>
        <v>0</v>
      </c>
    </row>
    <row r="607" spans="33:41" ht="12.75" customHeight="1">
      <c r="AG607" s="101">
        <f t="shared" si="136"/>
        <v>4.2</v>
      </c>
      <c r="AO607" s="99">
        <f t="shared" si="135"/>
        <v>0</v>
      </c>
    </row>
    <row r="608" spans="33:41" ht="12.75" customHeight="1">
      <c r="AG608" s="101">
        <f t="shared" si="136"/>
        <v>4.2</v>
      </c>
      <c r="AO608" s="99">
        <f t="shared" si="135"/>
        <v>0</v>
      </c>
    </row>
    <row r="609" spans="33:41" ht="12.75" customHeight="1">
      <c r="AG609" s="101">
        <f t="shared" si="136"/>
        <v>4.2</v>
      </c>
      <c r="AO609" s="99">
        <f t="shared" si="135"/>
        <v>0</v>
      </c>
    </row>
    <row r="610" spans="33:41" ht="12.75" customHeight="1">
      <c r="AG610" s="101">
        <f t="shared" si="136"/>
        <v>4.2</v>
      </c>
      <c r="AO610" s="99">
        <f t="shared" ref="AO610:AO673" si="137">IF(AK610&gt;23.75,IF(Z610&lt;140,1,0),0)</f>
        <v>0</v>
      </c>
    </row>
    <row r="611" spans="33:41" ht="12.75" customHeight="1">
      <c r="AG611" s="101">
        <f t="shared" si="136"/>
        <v>4.2</v>
      </c>
      <c r="AO611" s="99">
        <f t="shared" si="137"/>
        <v>0</v>
      </c>
    </row>
    <row r="612" spans="33:41" ht="12.75" customHeight="1">
      <c r="AG612" s="101">
        <f t="shared" si="136"/>
        <v>4.2</v>
      </c>
      <c r="AO612" s="99">
        <f t="shared" si="137"/>
        <v>0</v>
      </c>
    </row>
    <row r="613" spans="33:41" ht="12.75" customHeight="1">
      <c r="AG613" s="101">
        <f t="shared" si="136"/>
        <v>4.2</v>
      </c>
      <c r="AO613" s="99">
        <f t="shared" si="137"/>
        <v>0</v>
      </c>
    </row>
    <row r="614" spans="33:41" ht="12.75" customHeight="1">
      <c r="AG614" s="101">
        <f t="shared" si="136"/>
        <v>4.2</v>
      </c>
      <c r="AO614" s="99">
        <f t="shared" si="137"/>
        <v>0</v>
      </c>
    </row>
    <row r="615" spans="33:41" ht="12.75" customHeight="1">
      <c r="AG615" s="101">
        <f t="shared" si="136"/>
        <v>4.2</v>
      </c>
      <c r="AO615" s="99">
        <f t="shared" si="137"/>
        <v>0</v>
      </c>
    </row>
    <row r="616" spans="33:41" ht="12.75" customHeight="1">
      <c r="AG616" s="101">
        <f t="shared" si="136"/>
        <v>4.2</v>
      </c>
      <c r="AO616" s="99">
        <f t="shared" si="137"/>
        <v>0</v>
      </c>
    </row>
    <row r="617" spans="33:41" ht="12.75" customHeight="1">
      <c r="AG617" s="101">
        <f t="shared" si="136"/>
        <v>4.2</v>
      </c>
      <c r="AO617" s="99">
        <f t="shared" si="137"/>
        <v>0</v>
      </c>
    </row>
    <row r="618" spans="33:41" ht="12.75" customHeight="1">
      <c r="AG618" s="101">
        <f t="shared" si="136"/>
        <v>4.2</v>
      </c>
      <c r="AO618" s="99">
        <f t="shared" si="137"/>
        <v>0</v>
      </c>
    </row>
    <row r="619" spans="33:41" ht="12.75" customHeight="1">
      <c r="AG619" s="101">
        <f t="shared" si="136"/>
        <v>4.2</v>
      </c>
      <c r="AO619" s="99">
        <f t="shared" si="137"/>
        <v>0</v>
      </c>
    </row>
    <row r="620" spans="33:41" ht="12.75" customHeight="1">
      <c r="AG620" s="101">
        <f t="shared" si="136"/>
        <v>4.2</v>
      </c>
      <c r="AO620" s="99">
        <f t="shared" si="137"/>
        <v>0</v>
      </c>
    </row>
    <row r="621" spans="33:41" ht="12.75" customHeight="1">
      <c r="AG621" s="101">
        <f t="shared" si="136"/>
        <v>4.2</v>
      </c>
      <c r="AO621" s="99">
        <f t="shared" si="137"/>
        <v>0</v>
      </c>
    </row>
    <row r="622" spans="33:41" ht="12.75" customHeight="1">
      <c r="AG622" s="101">
        <f t="shared" si="136"/>
        <v>4.2</v>
      </c>
      <c r="AO622" s="99">
        <f t="shared" si="137"/>
        <v>0</v>
      </c>
    </row>
    <row r="623" spans="33:41" ht="12.75" customHeight="1">
      <c r="AG623" s="101">
        <f t="shared" si="136"/>
        <v>4.2</v>
      </c>
      <c r="AO623" s="99">
        <f t="shared" si="137"/>
        <v>0</v>
      </c>
    </row>
    <row r="624" spans="33:41" ht="12.75" customHeight="1">
      <c r="AG624" s="101">
        <f t="shared" si="136"/>
        <v>4.2</v>
      </c>
      <c r="AO624" s="99">
        <f t="shared" si="137"/>
        <v>0</v>
      </c>
    </row>
    <row r="625" spans="33:41" ht="12.75" customHeight="1">
      <c r="AG625" s="101">
        <f t="shared" si="136"/>
        <v>4.2</v>
      </c>
      <c r="AO625" s="99">
        <f t="shared" si="137"/>
        <v>0</v>
      </c>
    </row>
    <row r="626" spans="33:41" ht="12.75" customHeight="1">
      <c r="AG626" s="101">
        <f t="shared" si="136"/>
        <v>4.2</v>
      </c>
      <c r="AO626" s="99">
        <f t="shared" si="137"/>
        <v>0</v>
      </c>
    </row>
    <row r="627" spans="33:41" ht="12.75" customHeight="1">
      <c r="AG627" s="101">
        <f t="shared" si="136"/>
        <v>4.2</v>
      </c>
      <c r="AO627" s="99">
        <f t="shared" si="137"/>
        <v>0</v>
      </c>
    </row>
    <row r="628" spans="33:41" ht="12.75" customHeight="1">
      <c r="AG628" s="101">
        <f t="shared" si="136"/>
        <v>4.2</v>
      </c>
      <c r="AO628" s="99">
        <f t="shared" si="137"/>
        <v>0</v>
      </c>
    </row>
    <row r="629" spans="33:41" ht="12.75" customHeight="1">
      <c r="AG629" s="101">
        <f t="shared" si="136"/>
        <v>4.2</v>
      </c>
      <c r="AO629" s="99">
        <f t="shared" si="137"/>
        <v>0</v>
      </c>
    </row>
    <row r="630" spans="33:41" ht="12.75" customHeight="1">
      <c r="AG630" s="101">
        <f t="shared" si="136"/>
        <v>4.2</v>
      </c>
      <c r="AO630" s="99">
        <f t="shared" si="137"/>
        <v>0</v>
      </c>
    </row>
    <row r="631" spans="33:41" ht="12.75" customHeight="1">
      <c r="AG631" s="101">
        <f t="shared" si="136"/>
        <v>4.2</v>
      </c>
      <c r="AO631" s="99">
        <f t="shared" si="137"/>
        <v>0</v>
      </c>
    </row>
    <row r="632" spans="33:41" ht="12.75" customHeight="1">
      <c r="AG632" s="101">
        <f t="shared" si="136"/>
        <v>4.2</v>
      </c>
      <c r="AO632" s="99">
        <f t="shared" si="137"/>
        <v>0</v>
      </c>
    </row>
    <row r="633" spans="33:41" ht="12.75" customHeight="1">
      <c r="AG633" s="101">
        <f t="shared" si="136"/>
        <v>4.2</v>
      </c>
      <c r="AO633" s="99">
        <f t="shared" si="137"/>
        <v>0</v>
      </c>
    </row>
    <row r="634" spans="33:41" ht="12.75" customHeight="1">
      <c r="AG634" s="101">
        <f t="shared" si="136"/>
        <v>4.2</v>
      </c>
      <c r="AO634" s="99">
        <f t="shared" si="137"/>
        <v>0</v>
      </c>
    </row>
    <row r="635" spans="33:41" ht="12.75" customHeight="1">
      <c r="AG635" s="101">
        <f t="shared" si="136"/>
        <v>4.2</v>
      </c>
      <c r="AO635" s="99">
        <f t="shared" si="137"/>
        <v>0</v>
      </c>
    </row>
    <row r="636" spans="33:41" ht="12.75" customHeight="1">
      <c r="AG636" s="101">
        <f t="shared" si="136"/>
        <v>4.2</v>
      </c>
      <c r="AO636" s="99">
        <f t="shared" si="137"/>
        <v>0</v>
      </c>
    </row>
    <row r="637" spans="33:41" ht="12.75" customHeight="1">
      <c r="AG637" s="101">
        <f t="shared" si="136"/>
        <v>4.2</v>
      </c>
      <c r="AO637" s="99">
        <f t="shared" si="137"/>
        <v>0</v>
      </c>
    </row>
    <row r="638" spans="33:41" ht="12.75" customHeight="1">
      <c r="AG638" s="101">
        <f t="shared" si="136"/>
        <v>4.2</v>
      </c>
      <c r="AO638" s="99">
        <f t="shared" si="137"/>
        <v>0</v>
      </c>
    </row>
    <row r="639" spans="33:41" ht="12.75" customHeight="1">
      <c r="AG639" s="101">
        <f t="shared" si="136"/>
        <v>4.2</v>
      </c>
      <c r="AO639" s="99">
        <f t="shared" si="137"/>
        <v>0</v>
      </c>
    </row>
    <row r="640" spans="33:41" ht="12.75" customHeight="1">
      <c r="AG640" s="101">
        <f t="shared" si="136"/>
        <v>4.2</v>
      </c>
      <c r="AO640" s="99">
        <f t="shared" si="137"/>
        <v>0</v>
      </c>
    </row>
    <row r="641" spans="33:41" ht="12.75" customHeight="1">
      <c r="AG641" s="101">
        <f t="shared" si="136"/>
        <v>4.2</v>
      </c>
      <c r="AO641" s="99">
        <f t="shared" si="137"/>
        <v>0</v>
      </c>
    </row>
    <row r="642" spans="33:41" ht="12.75" customHeight="1">
      <c r="AG642" s="101">
        <f t="shared" si="136"/>
        <v>4.2</v>
      </c>
      <c r="AO642" s="99">
        <f t="shared" si="137"/>
        <v>0</v>
      </c>
    </row>
    <row r="643" spans="33:41" ht="12.75" customHeight="1">
      <c r="AG643" s="101">
        <f t="shared" si="136"/>
        <v>4.2</v>
      </c>
      <c r="AO643" s="99">
        <f t="shared" si="137"/>
        <v>0</v>
      </c>
    </row>
    <row r="644" spans="33:41" ht="12.75" customHeight="1">
      <c r="AG644" s="101">
        <f t="shared" si="136"/>
        <v>4.2</v>
      </c>
      <c r="AO644" s="99">
        <f t="shared" si="137"/>
        <v>0</v>
      </c>
    </row>
    <row r="645" spans="33:41" ht="12.75" customHeight="1">
      <c r="AG645" s="101">
        <f t="shared" si="136"/>
        <v>4.2</v>
      </c>
      <c r="AO645" s="99">
        <f t="shared" si="137"/>
        <v>0</v>
      </c>
    </row>
    <row r="646" spans="33:41" ht="12.75" customHeight="1">
      <c r="AG646" s="101">
        <f t="shared" si="136"/>
        <v>4.2</v>
      </c>
      <c r="AO646" s="99">
        <f t="shared" si="137"/>
        <v>0</v>
      </c>
    </row>
    <row r="647" spans="33:41" ht="12.75" customHeight="1">
      <c r="AG647" s="101">
        <f t="shared" si="136"/>
        <v>4.2</v>
      </c>
      <c r="AO647" s="99">
        <f t="shared" si="137"/>
        <v>0</v>
      </c>
    </row>
    <row r="648" spans="33:41" ht="12.75" customHeight="1">
      <c r="AG648" s="101">
        <f t="shared" si="136"/>
        <v>4.2</v>
      </c>
      <c r="AO648" s="99">
        <f t="shared" si="137"/>
        <v>0</v>
      </c>
    </row>
    <row r="649" spans="33:41" ht="12.75" customHeight="1">
      <c r="AG649" s="101">
        <f t="shared" si="136"/>
        <v>4.2</v>
      </c>
      <c r="AO649" s="99">
        <f t="shared" si="137"/>
        <v>0</v>
      </c>
    </row>
    <row r="650" spans="33:41" ht="12.75" customHeight="1">
      <c r="AG650" s="101">
        <f t="shared" si="136"/>
        <v>4.2</v>
      </c>
      <c r="AO650" s="99">
        <f t="shared" si="137"/>
        <v>0</v>
      </c>
    </row>
    <row r="651" spans="33:41" ht="12.75" customHeight="1">
      <c r="AG651" s="101">
        <f t="shared" si="136"/>
        <v>4.2</v>
      </c>
      <c r="AO651" s="99">
        <f t="shared" si="137"/>
        <v>0</v>
      </c>
    </row>
    <row r="652" spans="33:41" ht="12.75" customHeight="1">
      <c r="AG652" s="101">
        <f t="shared" si="136"/>
        <v>4.2</v>
      </c>
      <c r="AO652" s="99">
        <f t="shared" si="137"/>
        <v>0</v>
      </c>
    </row>
    <row r="653" spans="33:41" ht="12.75" customHeight="1">
      <c r="AG653" s="101">
        <f t="shared" si="136"/>
        <v>4.2</v>
      </c>
      <c r="AO653" s="99">
        <f t="shared" si="137"/>
        <v>0</v>
      </c>
    </row>
    <row r="654" spans="33:41" ht="12.75" customHeight="1">
      <c r="AG654" s="101">
        <f t="shared" si="136"/>
        <v>4.2</v>
      </c>
      <c r="AO654" s="99">
        <f t="shared" si="137"/>
        <v>0</v>
      </c>
    </row>
    <row r="655" spans="33:41" ht="12.75" customHeight="1">
      <c r="AG655" s="101">
        <f t="shared" si="136"/>
        <v>4.2</v>
      </c>
      <c r="AO655" s="99">
        <f t="shared" si="137"/>
        <v>0</v>
      </c>
    </row>
    <row r="656" spans="33:41" ht="12.75" customHeight="1">
      <c r="AG656" s="101">
        <f t="shared" si="136"/>
        <v>4.2</v>
      </c>
      <c r="AO656" s="99">
        <f t="shared" si="137"/>
        <v>0</v>
      </c>
    </row>
    <row r="657" spans="33:41" ht="12.75" customHeight="1">
      <c r="AG657" s="101">
        <f t="shared" si="136"/>
        <v>4.2</v>
      </c>
      <c r="AO657" s="99">
        <f t="shared" si="137"/>
        <v>0</v>
      </c>
    </row>
    <row r="658" spans="33:41" ht="12.75" customHeight="1">
      <c r="AG658" s="101">
        <f t="shared" si="136"/>
        <v>4.2</v>
      </c>
      <c r="AO658" s="99">
        <f t="shared" si="137"/>
        <v>0</v>
      </c>
    </row>
    <row r="659" spans="33:41" ht="12.75" customHeight="1">
      <c r="AG659" s="101">
        <f t="shared" si="136"/>
        <v>4.2</v>
      </c>
      <c r="AO659" s="99">
        <f t="shared" si="137"/>
        <v>0</v>
      </c>
    </row>
    <row r="660" spans="33:41" ht="12.75" customHeight="1">
      <c r="AG660" s="101">
        <f t="shared" si="136"/>
        <v>4.2</v>
      </c>
      <c r="AO660" s="99">
        <f t="shared" si="137"/>
        <v>0</v>
      </c>
    </row>
    <row r="661" spans="33:41" ht="12.75" customHeight="1">
      <c r="AG661" s="101">
        <f t="shared" si="136"/>
        <v>4.2</v>
      </c>
      <c r="AO661" s="99">
        <f t="shared" si="137"/>
        <v>0</v>
      </c>
    </row>
    <row r="662" spans="33:41" ht="12.75" customHeight="1">
      <c r="AG662" s="101">
        <f t="shared" si="136"/>
        <v>4.2</v>
      </c>
      <c r="AO662" s="99">
        <f t="shared" si="137"/>
        <v>0</v>
      </c>
    </row>
    <row r="663" spans="33:41" ht="12.75" customHeight="1">
      <c r="AG663" s="101">
        <f t="shared" si="136"/>
        <v>4.2</v>
      </c>
      <c r="AO663" s="99">
        <f t="shared" si="137"/>
        <v>0</v>
      </c>
    </row>
    <row r="664" spans="33:41" ht="12.75" customHeight="1">
      <c r="AG664" s="101">
        <f t="shared" si="136"/>
        <v>4.2</v>
      </c>
      <c r="AO664" s="99">
        <f t="shared" si="137"/>
        <v>0</v>
      </c>
    </row>
    <row r="665" spans="33:41" ht="12.75" customHeight="1">
      <c r="AG665" s="101">
        <f t="shared" si="136"/>
        <v>4.2</v>
      </c>
      <c r="AO665" s="99">
        <f t="shared" si="137"/>
        <v>0</v>
      </c>
    </row>
    <row r="666" spans="33:41" ht="12.75" customHeight="1">
      <c r="AG666" s="101">
        <f t="shared" ref="AG666:AG729" si="138">IF(G666&lt;0,0,1.2)+IF(G666&lt;14,0,0.9)+IF(P666&lt;0,0.7,0)+IF(P666&lt;6.5,1,0)+IF(P666&lt;23,1,0)+IF(R666&gt;80,0,1)+S666+IF(AD666&lt;20,0,1)+IF(AE666&lt;14,0,1)+IF(AF666&lt;26,0,1)</f>
        <v>4.2</v>
      </c>
      <c r="AO666" s="99">
        <f t="shared" si="137"/>
        <v>0</v>
      </c>
    </row>
    <row r="667" spans="33:41" ht="12.75" customHeight="1">
      <c r="AG667" s="101">
        <f t="shared" si="138"/>
        <v>4.2</v>
      </c>
      <c r="AO667" s="99">
        <f t="shared" si="137"/>
        <v>0</v>
      </c>
    </row>
    <row r="668" spans="33:41" ht="12.75" customHeight="1">
      <c r="AG668" s="101">
        <f t="shared" si="138"/>
        <v>4.2</v>
      </c>
      <c r="AO668" s="99">
        <f t="shared" si="137"/>
        <v>0</v>
      </c>
    </row>
    <row r="669" spans="33:41" ht="12.75" customHeight="1">
      <c r="AG669" s="101">
        <f t="shared" si="138"/>
        <v>4.2</v>
      </c>
      <c r="AO669" s="99">
        <f t="shared" si="137"/>
        <v>0</v>
      </c>
    </row>
    <row r="670" spans="33:41" ht="12.75" customHeight="1">
      <c r="AG670" s="101">
        <f t="shared" si="138"/>
        <v>4.2</v>
      </c>
      <c r="AO670" s="99">
        <f t="shared" si="137"/>
        <v>0</v>
      </c>
    </row>
    <row r="671" spans="33:41" ht="12.75" customHeight="1">
      <c r="AG671" s="101">
        <f t="shared" si="138"/>
        <v>4.2</v>
      </c>
      <c r="AO671" s="99">
        <f t="shared" si="137"/>
        <v>0</v>
      </c>
    </row>
    <row r="672" spans="33:41" ht="12.75" customHeight="1">
      <c r="AG672" s="101">
        <f t="shared" si="138"/>
        <v>4.2</v>
      </c>
      <c r="AO672" s="99">
        <f t="shared" si="137"/>
        <v>0</v>
      </c>
    </row>
    <row r="673" spans="33:41" ht="12.75" customHeight="1">
      <c r="AG673" s="101">
        <f t="shared" si="138"/>
        <v>4.2</v>
      </c>
      <c r="AO673" s="99">
        <f t="shared" si="137"/>
        <v>0</v>
      </c>
    </row>
    <row r="674" spans="33:41" ht="12.75" customHeight="1">
      <c r="AG674" s="101">
        <f t="shared" si="138"/>
        <v>4.2</v>
      </c>
      <c r="AO674" s="99">
        <f t="shared" ref="AO674:AO737" si="139">IF(AK674&gt;23.75,IF(Z674&lt;140,1,0),0)</f>
        <v>0</v>
      </c>
    </row>
    <row r="675" spans="33:41" ht="12.75" customHeight="1">
      <c r="AG675" s="101">
        <f t="shared" si="138"/>
        <v>4.2</v>
      </c>
      <c r="AO675" s="99">
        <f t="shared" si="139"/>
        <v>0</v>
      </c>
    </row>
    <row r="676" spans="33:41" ht="12.75" customHeight="1">
      <c r="AG676" s="101">
        <f t="shared" si="138"/>
        <v>4.2</v>
      </c>
      <c r="AO676" s="99">
        <f t="shared" si="139"/>
        <v>0</v>
      </c>
    </row>
    <row r="677" spans="33:41" ht="12.75" customHeight="1">
      <c r="AG677" s="101">
        <f t="shared" si="138"/>
        <v>4.2</v>
      </c>
      <c r="AO677" s="99">
        <f t="shared" si="139"/>
        <v>0</v>
      </c>
    </row>
    <row r="678" spans="33:41" ht="12.75" customHeight="1">
      <c r="AG678" s="101">
        <f t="shared" si="138"/>
        <v>4.2</v>
      </c>
      <c r="AO678" s="99">
        <f t="shared" si="139"/>
        <v>0</v>
      </c>
    </row>
    <row r="679" spans="33:41" ht="12.75" customHeight="1">
      <c r="AG679" s="101">
        <f t="shared" si="138"/>
        <v>4.2</v>
      </c>
      <c r="AO679" s="99">
        <f t="shared" si="139"/>
        <v>0</v>
      </c>
    </row>
    <row r="680" spans="33:41" ht="12.75" customHeight="1">
      <c r="AG680" s="101">
        <f t="shared" si="138"/>
        <v>4.2</v>
      </c>
      <c r="AO680" s="99">
        <f t="shared" si="139"/>
        <v>0</v>
      </c>
    </row>
    <row r="681" spans="33:41" ht="12.75" customHeight="1">
      <c r="AG681" s="101">
        <f t="shared" si="138"/>
        <v>4.2</v>
      </c>
      <c r="AO681" s="99">
        <f t="shared" si="139"/>
        <v>0</v>
      </c>
    </row>
    <row r="682" spans="33:41" ht="12.75" customHeight="1">
      <c r="AG682" s="101">
        <f t="shared" si="138"/>
        <v>4.2</v>
      </c>
      <c r="AO682" s="99">
        <f t="shared" si="139"/>
        <v>0</v>
      </c>
    </row>
    <row r="683" spans="33:41" ht="12.75" customHeight="1">
      <c r="AG683" s="101">
        <f t="shared" si="138"/>
        <v>4.2</v>
      </c>
      <c r="AO683" s="99">
        <f t="shared" si="139"/>
        <v>0</v>
      </c>
    </row>
    <row r="684" spans="33:41" ht="12.75" customHeight="1">
      <c r="AG684" s="101">
        <f t="shared" si="138"/>
        <v>4.2</v>
      </c>
      <c r="AO684" s="99">
        <f t="shared" si="139"/>
        <v>0</v>
      </c>
    </row>
    <row r="685" spans="33:41" ht="12.75" customHeight="1">
      <c r="AG685" s="101">
        <f t="shared" si="138"/>
        <v>4.2</v>
      </c>
      <c r="AO685" s="99">
        <f t="shared" si="139"/>
        <v>0</v>
      </c>
    </row>
    <row r="686" spans="33:41" ht="12.75" customHeight="1">
      <c r="AG686" s="101">
        <f t="shared" si="138"/>
        <v>4.2</v>
      </c>
      <c r="AO686" s="99">
        <f t="shared" si="139"/>
        <v>0</v>
      </c>
    </row>
    <row r="687" spans="33:41" ht="12.75" customHeight="1">
      <c r="AG687" s="101">
        <f t="shared" si="138"/>
        <v>4.2</v>
      </c>
      <c r="AO687" s="99">
        <f t="shared" si="139"/>
        <v>0</v>
      </c>
    </row>
    <row r="688" spans="33:41" ht="12.75" customHeight="1">
      <c r="AG688" s="101">
        <f t="shared" si="138"/>
        <v>4.2</v>
      </c>
      <c r="AO688" s="99">
        <f t="shared" si="139"/>
        <v>0</v>
      </c>
    </row>
    <row r="689" spans="33:41" ht="12.75" customHeight="1">
      <c r="AG689" s="101">
        <f t="shared" si="138"/>
        <v>4.2</v>
      </c>
      <c r="AO689" s="99">
        <f t="shared" si="139"/>
        <v>0</v>
      </c>
    </row>
    <row r="690" spans="33:41" ht="12.75" customHeight="1">
      <c r="AG690" s="101">
        <f t="shared" si="138"/>
        <v>4.2</v>
      </c>
      <c r="AO690" s="99">
        <f t="shared" si="139"/>
        <v>0</v>
      </c>
    </row>
    <row r="691" spans="33:41" ht="12.75" customHeight="1">
      <c r="AG691" s="101">
        <f t="shared" si="138"/>
        <v>4.2</v>
      </c>
      <c r="AO691" s="99">
        <f t="shared" si="139"/>
        <v>0</v>
      </c>
    </row>
    <row r="692" spans="33:41" ht="12.75" customHeight="1">
      <c r="AG692" s="101">
        <f t="shared" si="138"/>
        <v>4.2</v>
      </c>
      <c r="AO692" s="99">
        <f t="shared" si="139"/>
        <v>0</v>
      </c>
    </row>
    <row r="693" spans="33:41" ht="12.75" customHeight="1">
      <c r="AG693" s="101">
        <f t="shared" si="138"/>
        <v>4.2</v>
      </c>
      <c r="AO693" s="99">
        <f t="shared" si="139"/>
        <v>0</v>
      </c>
    </row>
    <row r="694" spans="33:41" ht="12.75" customHeight="1">
      <c r="AG694" s="101">
        <f t="shared" si="138"/>
        <v>4.2</v>
      </c>
      <c r="AO694" s="99">
        <f t="shared" si="139"/>
        <v>0</v>
      </c>
    </row>
    <row r="695" spans="33:41" ht="12.75" customHeight="1">
      <c r="AG695" s="101">
        <f t="shared" si="138"/>
        <v>4.2</v>
      </c>
      <c r="AO695" s="99">
        <f t="shared" si="139"/>
        <v>0</v>
      </c>
    </row>
    <row r="696" spans="33:41" ht="12.75" customHeight="1">
      <c r="AG696" s="101">
        <f t="shared" si="138"/>
        <v>4.2</v>
      </c>
      <c r="AO696" s="99">
        <f t="shared" si="139"/>
        <v>0</v>
      </c>
    </row>
    <row r="697" spans="33:41" ht="12.75" customHeight="1">
      <c r="AG697" s="101">
        <f t="shared" si="138"/>
        <v>4.2</v>
      </c>
      <c r="AO697" s="99">
        <f t="shared" si="139"/>
        <v>0</v>
      </c>
    </row>
    <row r="698" spans="33:41" ht="12.75" customHeight="1">
      <c r="AG698" s="101">
        <f t="shared" si="138"/>
        <v>4.2</v>
      </c>
      <c r="AO698" s="99">
        <f t="shared" si="139"/>
        <v>0</v>
      </c>
    </row>
    <row r="699" spans="33:41" ht="12.75" customHeight="1">
      <c r="AG699" s="101">
        <f t="shared" si="138"/>
        <v>4.2</v>
      </c>
      <c r="AO699" s="99">
        <f t="shared" si="139"/>
        <v>0</v>
      </c>
    </row>
    <row r="700" spans="33:41" ht="12.75" customHeight="1">
      <c r="AG700" s="101">
        <f t="shared" si="138"/>
        <v>4.2</v>
      </c>
      <c r="AO700" s="99">
        <f t="shared" si="139"/>
        <v>0</v>
      </c>
    </row>
    <row r="701" spans="33:41" ht="12.75" customHeight="1">
      <c r="AG701" s="101">
        <f t="shared" si="138"/>
        <v>4.2</v>
      </c>
      <c r="AO701" s="99">
        <f t="shared" si="139"/>
        <v>0</v>
      </c>
    </row>
    <row r="702" spans="33:41" ht="12.75" customHeight="1">
      <c r="AG702" s="101">
        <f t="shared" si="138"/>
        <v>4.2</v>
      </c>
      <c r="AO702" s="99">
        <f t="shared" si="139"/>
        <v>0</v>
      </c>
    </row>
    <row r="703" spans="33:41" ht="12.75" customHeight="1">
      <c r="AG703" s="101">
        <f t="shared" si="138"/>
        <v>4.2</v>
      </c>
      <c r="AO703" s="99">
        <f t="shared" si="139"/>
        <v>0</v>
      </c>
    </row>
    <row r="704" spans="33:41" ht="12.75" customHeight="1">
      <c r="AG704" s="101">
        <f t="shared" si="138"/>
        <v>4.2</v>
      </c>
      <c r="AO704" s="99">
        <f t="shared" si="139"/>
        <v>0</v>
      </c>
    </row>
    <row r="705" spans="33:41" ht="12.75" customHeight="1">
      <c r="AG705" s="101">
        <f t="shared" si="138"/>
        <v>4.2</v>
      </c>
      <c r="AO705" s="99">
        <f t="shared" si="139"/>
        <v>0</v>
      </c>
    </row>
    <row r="706" spans="33:41" ht="12.75" customHeight="1">
      <c r="AG706" s="101">
        <f t="shared" si="138"/>
        <v>4.2</v>
      </c>
      <c r="AO706" s="99">
        <f t="shared" si="139"/>
        <v>0</v>
      </c>
    </row>
    <row r="707" spans="33:41" ht="12.75" customHeight="1">
      <c r="AG707" s="101">
        <f t="shared" si="138"/>
        <v>4.2</v>
      </c>
      <c r="AO707" s="99">
        <f t="shared" si="139"/>
        <v>0</v>
      </c>
    </row>
    <row r="708" spans="33:41" ht="12.75" customHeight="1">
      <c r="AG708" s="101">
        <f t="shared" si="138"/>
        <v>4.2</v>
      </c>
      <c r="AO708" s="99">
        <f t="shared" si="139"/>
        <v>0</v>
      </c>
    </row>
    <row r="709" spans="33:41" ht="12.75" customHeight="1">
      <c r="AG709" s="101">
        <f t="shared" si="138"/>
        <v>4.2</v>
      </c>
      <c r="AO709" s="99">
        <f t="shared" si="139"/>
        <v>0</v>
      </c>
    </row>
    <row r="710" spans="33:41" ht="12.75" customHeight="1">
      <c r="AG710" s="101">
        <f t="shared" si="138"/>
        <v>4.2</v>
      </c>
      <c r="AO710" s="99">
        <f t="shared" si="139"/>
        <v>0</v>
      </c>
    </row>
    <row r="711" spans="33:41" ht="12.75" customHeight="1">
      <c r="AG711" s="101">
        <f t="shared" si="138"/>
        <v>4.2</v>
      </c>
      <c r="AO711" s="99">
        <f t="shared" si="139"/>
        <v>0</v>
      </c>
    </row>
    <row r="712" spans="33:41" ht="12.75" customHeight="1">
      <c r="AG712" s="101">
        <f t="shared" si="138"/>
        <v>4.2</v>
      </c>
      <c r="AO712" s="99">
        <f t="shared" si="139"/>
        <v>0</v>
      </c>
    </row>
    <row r="713" spans="33:41" ht="12.75" customHeight="1">
      <c r="AG713" s="101">
        <f t="shared" si="138"/>
        <v>4.2</v>
      </c>
      <c r="AO713" s="99">
        <f t="shared" si="139"/>
        <v>0</v>
      </c>
    </row>
    <row r="714" spans="33:41" ht="12.75" customHeight="1">
      <c r="AG714" s="101">
        <f t="shared" si="138"/>
        <v>4.2</v>
      </c>
      <c r="AO714" s="99">
        <f t="shared" si="139"/>
        <v>0</v>
      </c>
    </row>
    <row r="715" spans="33:41" ht="12.75" customHeight="1">
      <c r="AG715" s="101">
        <f t="shared" si="138"/>
        <v>4.2</v>
      </c>
      <c r="AO715" s="99">
        <f t="shared" si="139"/>
        <v>0</v>
      </c>
    </row>
    <row r="716" spans="33:41" ht="12.75" customHeight="1">
      <c r="AG716" s="101">
        <f t="shared" si="138"/>
        <v>4.2</v>
      </c>
      <c r="AO716" s="99">
        <f t="shared" si="139"/>
        <v>0</v>
      </c>
    </row>
    <row r="717" spans="33:41" ht="12.75" customHeight="1">
      <c r="AG717" s="101">
        <f t="shared" si="138"/>
        <v>4.2</v>
      </c>
      <c r="AO717" s="99">
        <f t="shared" si="139"/>
        <v>0</v>
      </c>
    </row>
    <row r="718" spans="33:41" ht="12.75" customHeight="1">
      <c r="AG718" s="101">
        <f t="shared" si="138"/>
        <v>4.2</v>
      </c>
      <c r="AO718" s="99">
        <f t="shared" si="139"/>
        <v>0</v>
      </c>
    </row>
    <row r="719" spans="33:41" ht="12.75" customHeight="1">
      <c r="AG719" s="101">
        <f t="shared" si="138"/>
        <v>4.2</v>
      </c>
      <c r="AO719" s="99">
        <f t="shared" si="139"/>
        <v>0</v>
      </c>
    </row>
    <row r="720" spans="33:41" ht="12.75" customHeight="1">
      <c r="AG720" s="101">
        <f t="shared" si="138"/>
        <v>4.2</v>
      </c>
      <c r="AO720" s="99">
        <f t="shared" si="139"/>
        <v>0</v>
      </c>
    </row>
    <row r="721" spans="33:41" ht="12.75" customHeight="1">
      <c r="AG721" s="101">
        <f t="shared" si="138"/>
        <v>4.2</v>
      </c>
      <c r="AO721" s="99">
        <f t="shared" si="139"/>
        <v>0</v>
      </c>
    </row>
    <row r="722" spans="33:41" ht="12.75" customHeight="1">
      <c r="AG722" s="101">
        <f t="shared" si="138"/>
        <v>4.2</v>
      </c>
      <c r="AO722" s="99">
        <f t="shared" si="139"/>
        <v>0</v>
      </c>
    </row>
    <row r="723" spans="33:41" ht="12.75" customHeight="1">
      <c r="AG723" s="101">
        <f t="shared" si="138"/>
        <v>4.2</v>
      </c>
      <c r="AO723" s="99">
        <f t="shared" si="139"/>
        <v>0</v>
      </c>
    </row>
    <row r="724" spans="33:41" ht="12.75" customHeight="1">
      <c r="AG724" s="101">
        <f t="shared" si="138"/>
        <v>4.2</v>
      </c>
      <c r="AO724" s="99">
        <f t="shared" si="139"/>
        <v>0</v>
      </c>
    </row>
    <row r="725" spans="33:41" ht="12.75" customHeight="1">
      <c r="AG725" s="101">
        <f t="shared" si="138"/>
        <v>4.2</v>
      </c>
      <c r="AO725" s="99">
        <f t="shared" si="139"/>
        <v>0</v>
      </c>
    </row>
    <row r="726" spans="33:41" ht="12.75" customHeight="1">
      <c r="AG726" s="101">
        <f t="shared" si="138"/>
        <v>4.2</v>
      </c>
      <c r="AO726" s="99">
        <f t="shared" si="139"/>
        <v>0</v>
      </c>
    </row>
    <row r="727" spans="33:41" ht="12.75" customHeight="1">
      <c r="AG727" s="101">
        <f t="shared" si="138"/>
        <v>4.2</v>
      </c>
      <c r="AO727" s="99">
        <f t="shared" si="139"/>
        <v>0</v>
      </c>
    </row>
    <row r="728" spans="33:41" ht="12.75" customHeight="1">
      <c r="AG728" s="101">
        <f t="shared" si="138"/>
        <v>4.2</v>
      </c>
      <c r="AO728" s="99">
        <f t="shared" si="139"/>
        <v>0</v>
      </c>
    </row>
    <row r="729" spans="33:41" ht="12.75" customHeight="1">
      <c r="AG729" s="101">
        <f t="shared" si="138"/>
        <v>4.2</v>
      </c>
      <c r="AO729" s="99">
        <f t="shared" si="139"/>
        <v>0</v>
      </c>
    </row>
    <row r="730" spans="33:41" ht="12.75" customHeight="1">
      <c r="AG730" s="101">
        <f t="shared" ref="AG730:AG793" si="140">IF(G730&lt;0,0,1.2)+IF(G730&lt;14,0,0.9)+IF(P730&lt;0,0.7,0)+IF(P730&lt;6.5,1,0)+IF(P730&lt;23,1,0)+IF(R730&gt;80,0,1)+S730+IF(AD730&lt;20,0,1)+IF(AE730&lt;14,0,1)+IF(AF730&lt;26,0,1)</f>
        <v>4.2</v>
      </c>
      <c r="AO730" s="99">
        <f t="shared" si="139"/>
        <v>0</v>
      </c>
    </row>
    <row r="731" spans="33:41" ht="12.75" customHeight="1">
      <c r="AG731" s="101">
        <f t="shared" si="140"/>
        <v>4.2</v>
      </c>
      <c r="AO731" s="99">
        <f t="shared" si="139"/>
        <v>0</v>
      </c>
    </row>
    <row r="732" spans="33:41" ht="12.75" customHeight="1">
      <c r="AG732" s="101">
        <f t="shared" si="140"/>
        <v>4.2</v>
      </c>
      <c r="AO732" s="99">
        <f t="shared" si="139"/>
        <v>0</v>
      </c>
    </row>
    <row r="733" spans="33:41" ht="12.75" customHeight="1">
      <c r="AG733" s="101">
        <f t="shared" si="140"/>
        <v>4.2</v>
      </c>
      <c r="AO733" s="99">
        <f t="shared" si="139"/>
        <v>0</v>
      </c>
    </row>
    <row r="734" spans="33:41" ht="12.75" customHeight="1">
      <c r="AG734" s="101">
        <f t="shared" si="140"/>
        <v>4.2</v>
      </c>
      <c r="AO734" s="99">
        <f t="shared" si="139"/>
        <v>0</v>
      </c>
    </row>
    <row r="735" spans="33:41" ht="12.75" customHeight="1">
      <c r="AG735" s="101">
        <f t="shared" si="140"/>
        <v>4.2</v>
      </c>
      <c r="AO735" s="99">
        <f t="shared" si="139"/>
        <v>0</v>
      </c>
    </row>
    <row r="736" spans="33:41" ht="12.75" customHeight="1">
      <c r="AG736" s="101">
        <f t="shared" si="140"/>
        <v>4.2</v>
      </c>
      <c r="AO736" s="99">
        <f t="shared" si="139"/>
        <v>0</v>
      </c>
    </row>
    <row r="737" spans="33:41" ht="12.75" customHeight="1">
      <c r="AG737" s="101">
        <f t="shared" si="140"/>
        <v>4.2</v>
      </c>
      <c r="AO737" s="99">
        <f t="shared" si="139"/>
        <v>0</v>
      </c>
    </row>
    <row r="738" spans="33:41" ht="12.75" customHeight="1">
      <c r="AG738" s="101">
        <f t="shared" si="140"/>
        <v>4.2</v>
      </c>
      <c r="AO738" s="99">
        <f t="shared" ref="AO738:AO787" si="141">IF(AK738&gt;23.75,IF(Z738&lt;140,1,0),0)</f>
        <v>0</v>
      </c>
    </row>
    <row r="739" spans="33:41" ht="12.75" customHeight="1">
      <c r="AG739" s="101">
        <f t="shared" si="140"/>
        <v>4.2</v>
      </c>
      <c r="AO739" s="99">
        <f t="shared" si="141"/>
        <v>0</v>
      </c>
    </row>
    <row r="740" spans="33:41" ht="12.75" customHeight="1">
      <c r="AG740" s="101">
        <f t="shared" si="140"/>
        <v>4.2</v>
      </c>
      <c r="AO740" s="99">
        <f t="shared" si="141"/>
        <v>0</v>
      </c>
    </row>
    <row r="741" spans="33:41" ht="12.75" customHeight="1">
      <c r="AG741" s="101">
        <f t="shared" si="140"/>
        <v>4.2</v>
      </c>
      <c r="AO741" s="99">
        <f t="shared" si="141"/>
        <v>0</v>
      </c>
    </row>
    <row r="742" spans="33:41" ht="12.75" customHeight="1">
      <c r="AG742" s="101">
        <f t="shared" si="140"/>
        <v>4.2</v>
      </c>
      <c r="AO742" s="99">
        <f t="shared" si="141"/>
        <v>0</v>
      </c>
    </row>
    <row r="743" spans="33:41" ht="12.75" customHeight="1">
      <c r="AG743" s="101">
        <f t="shared" si="140"/>
        <v>4.2</v>
      </c>
      <c r="AO743" s="99">
        <f t="shared" si="141"/>
        <v>0</v>
      </c>
    </row>
    <row r="744" spans="33:41" ht="12.75" customHeight="1">
      <c r="AG744" s="101">
        <f t="shared" si="140"/>
        <v>4.2</v>
      </c>
      <c r="AO744" s="99">
        <f t="shared" si="141"/>
        <v>0</v>
      </c>
    </row>
    <row r="745" spans="33:41" ht="12.75" customHeight="1">
      <c r="AG745" s="101">
        <f t="shared" si="140"/>
        <v>4.2</v>
      </c>
      <c r="AO745" s="99">
        <f t="shared" si="141"/>
        <v>0</v>
      </c>
    </row>
    <row r="746" spans="33:41" ht="12.75" customHeight="1">
      <c r="AG746" s="101">
        <f t="shared" si="140"/>
        <v>4.2</v>
      </c>
      <c r="AO746" s="99">
        <f t="shared" si="141"/>
        <v>0</v>
      </c>
    </row>
    <row r="747" spans="33:41" ht="12.75" customHeight="1">
      <c r="AG747" s="101">
        <f t="shared" si="140"/>
        <v>4.2</v>
      </c>
      <c r="AO747" s="99">
        <f t="shared" si="141"/>
        <v>0</v>
      </c>
    </row>
    <row r="748" spans="33:41" ht="12.75" customHeight="1">
      <c r="AG748" s="101">
        <f t="shared" si="140"/>
        <v>4.2</v>
      </c>
      <c r="AO748" s="99">
        <f t="shared" si="141"/>
        <v>0</v>
      </c>
    </row>
    <row r="749" spans="33:41" ht="12.75" customHeight="1">
      <c r="AG749" s="101">
        <f t="shared" si="140"/>
        <v>4.2</v>
      </c>
      <c r="AO749" s="99">
        <f t="shared" si="141"/>
        <v>0</v>
      </c>
    </row>
    <row r="750" spans="33:41" ht="12.75" customHeight="1">
      <c r="AG750" s="101">
        <f t="shared" si="140"/>
        <v>4.2</v>
      </c>
      <c r="AO750" s="99">
        <f t="shared" si="141"/>
        <v>0</v>
      </c>
    </row>
    <row r="751" spans="33:41" ht="12.75" customHeight="1">
      <c r="AG751" s="101">
        <f t="shared" si="140"/>
        <v>4.2</v>
      </c>
      <c r="AO751" s="99">
        <f t="shared" si="141"/>
        <v>0</v>
      </c>
    </row>
    <row r="752" spans="33:41" ht="12.75" customHeight="1">
      <c r="AG752" s="101">
        <f t="shared" si="140"/>
        <v>4.2</v>
      </c>
      <c r="AO752" s="99">
        <f t="shared" si="141"/>
        <v>0</v>
      </c>
    </row>
    <row r="753" spans="33:41" ht="12.75" customHeight="1">
      <c r="AG753" s="101">
        <f t="shared" si="140"/>
        <v>4.2</v>
      </c>
      <c r="AO753" s="99">
        <f t="shared" si="141"/>
        <v>0</v>
      </c>
    </row>
    <row r="754" spans="33:41" ht="12.75" customHeight="1">
      <c r="AG754" s="101">
        <f t="shared" si="140"/>
        <v>4.2</v>
      </c>
      <c r="AO754" s="99">
        <f t="shared" si="141"/>
        <v>0</v>
      </c>
    </row>
    <row r="755" spans="33:41" ht="12.75" customHeight="1">
      <c r="AG755" s="101">
        <f t="shared" si="140"/>
        <v>4.2</v>
      </c>
      <c r="AO755" s="99">
        <f t="shared" si="141"/>
        <v>0</v>
      </c>
    </row>
    <row r="756" spans="33:41" ht="12.75" customHeight="1">
      <c r="AG756" s="101">
        <f t="shared" si="140"/>
        <v>4.2</v>
      </c>
      <c r="AO756" s="99">
        <f t="shared" si="141"/>
        <v>0</v>
      </c>
    </row>
    <row r="757" spans="33:41" ht="12.75" customHeight="1">
      <c r="AG757" s="101">
        <f t="shared" si="140"/>
        <v>4.2</v>
      </c>
      <c r="AO757" s="99">
        <f t="shared" si="141"/>
        <v>0</v>
      </c>
    </row>
    <row r="758" spans="33:41" ht="12.75" customHeight="1">
      <c r="AG758" s="101">
        <f t="shared" si="140"/>
        <v>4.2</v>
      </c>
      <c r="AO758" s="99">
        <f t="shared" si="141"/>
        <v>0</v>
      </c>
    </row>
    <row r="759" spans="33:41" ht="12.75" customHeight="1">
      <c r="AG759" s="101">
        <f t="shared" si="140"/>
        <v>4.2</v>
      </c>
      <c r="AO759" s="99">
        <f t="shared" si="141"/>
        <v>0</v>
      </c>
    </row>
    <row r="760" spans="33:41" ht="12.75" customHeight="1">
      <c r="AG760" s="101">
        <f t="shared" si="140"/>
        <v>4.2</v>
      </c>
      <c r="AO760" s="99">
        <f t="shared" si="141"/>
        <v>0</v>
      </c>
    </row>
    <row r="761" spans="33:41" ht="12.75" customHeight="1">
      <c r="AG761" s="101">
        <f t="shared" si="140"/>
        <v>4.2</v>
      </c>
      <c r="AO761" s="99">
        <f t="shared" si="141"/>
        <v>0</v>
      </c>
    </row>
    <row r="762" spans="33:41" ht="12.75" customHeight="1">
      <c r="AG762" s="101">
        <f t="shared" si="140"/>
        <v>4.2</v>
      </c>
      <c r="AO762" s="99">
        <f t="shared" si="141"/>
        <v>0</v>
      </c>
    </row>
    <row r="763" spans="33:41" ht="12.75" customHeight="1">
      <c r="AG763" s="101">
        <f t="shared" si="140"/>
        <v>4.2</v>
      </c>
      <c r="AO763" s="99">
        <f t="shared" si="141"/>
        <v>0</v>
      </c>
    </row>
    <row r="764" spans="33:41" ht="12.75" customHeight="1">
      <c r="AG764" s="101">
        <f t="shared" si="140"/>
        <v>4.2</v>
      </c>
      <c r="AO764" s="99">
        <f t="shared" si="141"/>
        <v>0</v>
      </c>
    </row>
    <row r="765" spans="33:41" ht="12.75" customHeight="1">
      <c r="AG765" s="101">
        <f t="shared" si="140"/>
        <v>4.2</v>
      </c>
      <c r="AO765" s="99">
        <f t="shared" si="141"/>
        <v>0</v>
      </c>
    </row>
    <row r="766" spans="33:41" ht="12.75" customHeight="1">
      <c r="AG766" s="101">
        <f t="shared" si="140"/>
        <v>4.2</v>
      </c>
      <c r="AO766" s="99">
        <f t="shared" si="141"/>
        <v>0</v>
      </c>
    </row>
    <row r="767" spans="33:41" ht="12.75" customHeight="1">
      <c r="AG767" s="101">
        <f t="shared" si="140"/>
        <v>4.2</v>
      </c>
      <c r="AO767" s="99">
        <f t="shared" si="141"/>
        <v>0</v>
      </c>
    </row>
    <row r="768" spans="33:41" ht="12.75" customHeight="1">
      <c r="AG768" s="101">
        <f t="shared" si="140"/>
        <v>4.2</v>
      </c>
      <c r="AO768" s="99">
        <f t="shared" si="141"/>
        <v>0</v>
      </c>
    </row>
    <row r="769" spans="33:41" ht="12.75" customHeight="1">
      <c r="AG769" s="101">
        <f t="shared" si="140"/>
        <v>4.2</v>
      </c>
      <c r="AO769" s="99">
        <f t="shared" si="141"/>
        <v>0</v>
      </c>
    </row>
    <row r="770" spans="33:41" ht="12.75" customHeight="1">
      <c r="AG770" s="101">
        <f t="shared" si="140"/>
        <v>4.2</v>
      </c>
      <c r="AO770" s="99">
        <f t="shared" si="141"/>
        <v>0</v>
      </c>
    </row>
    <row r="771" spans="33:41" ht="12.75" customHeight="1">
      <c r="AG771" s="101">
        <f t="shared" si="140"/>
        <v>4.2</v>
      </c>
      <c r="AO771" s="99">
        <f t="shared" si="141"/>
        <v>0</v>
      </c>
    </row>
    <row r="772" spans="33:41" ht="12.75" customHeight="1">
      <c r="AG772" s="101">
        <f t="shared" si="140"/>
        <v>4.2</v>
      </c>
      <c r="AO772" s="99">
        <f t="shared" si="141"/>
        <v>0</v>
      </c>
    </row>
    <row r="773" spans="33:41" ht="12.75" customHeight="1">
      <c r="AG773" s="101">
        <f t="shared" si="140"/>
        <v>4.2</v>
      </c>
      <c r="AO773" s="99">
        <f t="shared" si="141"/>
        <v>0</v>
      </c>
    </row>
    <row r="774" spans="33:41" ht="12.75" customHeight="1">
      <c r="AG774" s="101">
        <f t="shared" si="140"/>
        <v>4.2</v>
      </c>
      <c r="AO774" s="99">
        <f t="shared" si="141"/>
        <v>0</v>
      </c>
    </row>
    <row r="775" spans="33:41" ht="12.75" customHeight="1">
      <c r="AG775" s="101">
        <f t="shared" si="140"/>
        <v>4.2</v>
      </c>
      <c r="AO775" s="99">
        <f t="shared" si="141"/>
        <v>0</v>
      </c>
    </row>
    <row r="776" spans="33:41" ht="12.75" customHeight="1">
      <c r="AG776" s="101">
        <f t="shared" si="140"/>
        <v>4.2</v>
      </c>
      <c r="AO776" s="99">
        <f t="shared" si="141"/>
        <v>0</v>
      </c>
    </row>
    <row r="777" spans="33:41" ht="12.75" customHeight="1">
      <c r="AG777" s="101">
        <f t="shared" si="140"/>
        <v>4.2</v>
      </c>
      <c r="AO777" s="99">
        <f t="shared" si="141"/>
        <v>0</v>
      </c>
    </row>
    <row r="778" spans="33:41" ht="12.75" customHeight="1">
      <c r="AG778" s="101">
        <f t="shared" si="140"/>
        <v>4.2</v>
      </c>
      <c r="AO778" s="99">
        <f t="shared" si="141"/>
        <v>0</v>
      </c>
    </row>
    <row r="779" spans="33:41" ht="12.75" customHeight="1">
      <c r="AG779" s="101">
        <f t="shared" si="140"/>
        <v>4.2</v>
      </c>
      <c r="AO779" s="99">
        <f t="shared" si="141"/>
        <v>0</v>
      </c>
    </row>
    <row r="780" spans="33:41" ht="12.75" customHeight="1">
      <c r="AG780" s="101">
        <f t="shared" si="140"/>
        <v>4.2</v>
      </c>
      <c r="AO780" s="99">
        <f t="shared" si="141"/>
        <v>0</v>
      </c>
    </row>
    <row r="781" spans="33:41" ht="12.75" customHeight="1">
      <c r="AG781" s="101">
        <f t="shared" si="140"/>
        <v>4.2</v>
      </c>
      <c r="AO781" s="99">
        <f t="shared" si="141"/>
        <v>0</v>
      </c>
    </row>
    <row r="782" spans="33:41" ht="12.75" customHeight="1">
      <c r="AG782" s="101">
        <f t="shared" si="140"/>
        <v>4.2</v>
      </c>
      <c r="AO782" s="99">
        <f t="shared" si="141"/>
        <v>0</v>
      </c>
    </row>
    <row r="783" spans="33:41" ht="12.75" customHeight="1">
      <c r="AG783" s="101">
        <f t="shared" si="140"/>
        <v>4.2</v>
      </c>
      <c r="AO783" s="99">
        <f t="shared" si="141"/>
        <v>0</v>
      </c>
    </row>
    <row r="784" spans="33:41" ht="12.75" customHeight="1">
      <c r="AG784" s="101">
        <f t="shared" si="140"/>
        <v>4.2</v>
      </c>
      <c r="AO784" s="99">
        <f t="shared" si="141"/>
        <v>0</v>
      </c>
    </row>
    <row r="785" spans="33:41" ht="12.75" customHeight="1">
      <c r="AG785" s="101">
        <f t="shared" si="140"/>
        <v>4.2</v>
      </c>
      <c r="AO785" s="99">
        <f t="shared" si="141"/>
        <v>0</v>
      </c>
    </row>
    <row r="786" spans="33:41" ht="12.75" customHeight="1">
      <c r="AG786" s="101">
        <f t="shared" si="140"/>
        <v>4.2</v>
      </c>
      <c r="AO786" s="99">
        <f t="shared" si="141"/>
        <v>0</v>
      </c>
    </row>
    <row r="787" spans="33:41" ht="12.75" customHeight="1">
      <c r="AG787" s="101">
        <f t="shared" si="140"/>
        <v>4.2</v>
      </c>
      <c r="AO787" s="99">
        <f t="shared" si="141"/>
        <v>0</v>
      </c>
    </row>
    <row r="788" spans="33:41" ht="12.75" customHeight="1">
      <c r="AG788" s="101">
        <f t="shared" si="140"/>
        <v>4.2</v>
      </c>
    </row>
    <row r="789" spans="33:41" ht="12.75" customHeight="1">
      <c r="AG789" s="101">
        <f t="shared" si="140"/>
        <v>4.2</v>
      </c>
    </row>
    <row r="790" spans="33:41" ht="12.75" customHeight="1">
      <c r="AG790" s="101">
        <f t="shared" si="140"/>
        <v>4.2</v>
      </c>
    </row>
    <row r="791" spans="33:41" ht="12.75" customHeight="1">
      <c r="AG791" s="101">
        <f t="shared" si="140"/>
        <v>4.2</v>
      </c>
    </row>
    <row r="792" spans="33:41" ht="12.75" customHeight="1">
      <c r="AG792" s="101">
        <f t="shared" si="140"/>
        <v>4.2</v>
      </c>
    </row>
    <row r="793" spans="33:41" ht="12.75" customHeight="1">
      <c r="AG793" s="101">
        <f t="shared" si="140"/>
        <v>4.2</v>
      </c>
    </row>
    <row r="794" spans="33:41" ht="12.75" customHeight="1">
      <c r="AG794" s="101">
        <f t="shared" ref="AG794:AG857" si="142">IF(G794&lt;0,0,1.2)+IF(G794&lt;14,0,0.9)+IF(P794&lt;0,0.7,0)+IF(P794&lt;6.5,1,0)+IF(P794&lt;23,1,0)+IF(R794&gt;80,0,1)+S794+IF(AD794&lt;20,0,1)+IF(AE794&lt;14,0,1)+IF(AF794&lt;26,0,1)</f>
        <v>4.2</v>
      </c>
    </row>
    <row r="795" spans="33:41" ht="12.75" customHeight="1">
      <c r="AG795" s="101">
        <f t="shared" si="142"/>
        <v>4.2</v>
      </c>
    </row>
    <row r="796" spans="33:41" ht="12.75" customHeight="1">
      <c r="AG796" s="101">
        <f t="shared" si="142"/>
        <v>4.2</v>
      </c>
    </row>
    <row r="797" spans="33:41" ht="12.75" customHeight="1">
      <c r="AG797" s="101">
        <f t="shared" si="142"/>
        <v>4.2</v>
      </c>
    </row>
    <row r="798" spans="33:41" ht="12.75" customHeight="1">
      <c r="AG798" s="101">
        <f t="shared" si="142"/>
        <v>4.2</v>
      </c>
    </row>
    <row r="799" spans="33:41" ht="12.75" customHeight="1">
      <c r="AG799" s="101">
        <f t="shared" si="142"/>
        <v>4.2</v>
      </c>
    </row>
    <row r="800" spans="33:41" ht="12.75" customHeight="1">
      <c r="AG800" s="101">
        <f t="shared" si="142"/>
        <v>4.2</v>
      </c>
    </row>
    <row r="801" spans="33:33" ht="12.75" customHeight="1">
      <c r="AG801" s="101">
        <f t="shared" si="142"/>
        <v>4.2</v>
      </c>
    </row>
    <row r="802" spans="33:33" ht="12.75" customHeight="1">
      <c r="AG802" s="101">
        <f t="shared" si="142"/>
        <v>4.2</v>
      </c>
    </row>
    <row r="803" spans="33:33" ht="12.75" customHeight="1">
      <c r="AG803" s="101">
        <f t="shared" si="142"/>
        <v>4.2</v>
      </c>
    </row>
    <row r="804" spans="33:33" ht="12.75" customHeight="1">
      <c r="AG804" s="101">
        <f t="shared" si="142"/>
        <v>4.2</v>
      </c>
    </row>
    <row r="805" spans="33:33" ht="12.75" customHeight="1">
      <c r="AG805" s="101">
        <f t="shared" si="142"/>
        <v>4.2</v>
      </c>
    </row>
    <row r="806" spans="33:33" ht="12.75" customHeight="1">
      <c r="AG806" s="101">
        <f t="shared" si="142"/>
        <v>4.2</v>
      </c>
    </row>
    <row r="807" spans="33:33" ht="12.75" customHeight="1">
      <c r="AG807" s="101">
        <f t="shared" si="142"/>
        <v>4.2</v>
      </c>
    </row>
    <row r="808" spans="33:33" ht="12.75" customHeight="1">
      <c r="AG808" s="101">
        <f t="shared" si="142"/>
        <v>4.2</v>
      </c>
    </row>
    <row r="809" spans="33:33" ht="12.75" customHeight="1">
      <c r="AG809" s="101">
        <f t="shared" si="142"/>
        <v>4.2</v>
      </c>
    </row>
    <row r="810" spans="33:33" ht="12.75" customHeight="1">
      <c r="AG810" s="101">
        <f t="shared" si="142"/>
        <v>4.2</v>
      </c>
    </row>
    <row r="811" spans="33:33" ht="12.75" customHeight="1">
      <c r="AG811" s="101">
        <f t="shared" si="142"/>
        <v>4.2</v>
      </c>
    </row>
    <row r="812" spans="33:33" ht="12.75" customHeight="1">
      <c r="AG812" s="101">
        <f t="shared" si="142"/>
        <v>4.2</v>
      </c>
    </row>
    <row r="813" spans="33:33" ht="12.75" customHeight="1">
      <c r="AG813" s="101">
        <f t="shared" si="142"/>
        <v>4.2</v>
      </c>
    </row>
    <row r="814" spans="33:33" ht="12.75" customHeight="1">
      <c r="AG814" s="101">
        <f t="shared" si="142"/>
        <v>4.2</v>
      </c>
    </row>
    <row r="815" spans="33:33" ht="12.75" customHeight="1">
      <c r="AG815" s="101">
        <f t="shared" si="142"/>
        <v>4.2</v>
      </c>
    </row>
    <row r="816" spans="33:33" ht="12.75" customHeight="1">
      <c r="AG816" s="101">
        <f t="shared" si="142"/>
        <v>4.2</v>
      </c>
    </row>
    <row r="817" spans="33:33" ht="12.75" customHeight="1">
      <c r="AG817" s="101">
        <f t="shared" si="142"/>
        <v>4.2</v>
      </c>
    </row>
    <row r="818" spans="33:33" ht="12.75" customHeight="1">
      <c r="AG818" s="101">
        <f t="shared" si="142"/>
        <v>4.2</v>
      </c>
    </row>
    <row r="819" spans="33:33" ht="12.75" customHeight="1">
      <c r="AG819" s="101">
        <f t="shared" si="142"/>
        <v>4.2</v>
      </c>
    </row>
    <row r="820" spans="33:33" ht="12.75" customHeight="1">
      <c r="AG820" s="101">
        <f t="shared" si="142"/>
        <v>4.2</v>
      </c>
    </row>
    <row r="821" spans="33:33" ht="12.75" customHeight="1">
      <c r="AG821" s="101">
        <f t="shared" si="142"/>
        <v>4.2</v>
      </c>
    </row>
    <row r="822" spans="33:33" ht="12.75" customHeight="1">
      <c r="AG822" s="101">
        <f t="shared" si="142"/>
        <v>4.2</v>
      </c>
    </row>
    <row r="823" spans="33:33" ht="12.75" customHeight="1">
      <c r="AG823" s="101">
        <f t="shared" si="142"/>
        <v>4.2</v>
      </c>
    </row>
    <row r="824" spans="33:33" ht="12.75" customHeight="1">
      <c r="AG824" s="101">
        <f t="shared" si="142"/>
        <v>4.2</v>
      </c>
    </row>
    <row r="825" spans="33:33" ht="12.75" customHeight="1">
      <c r="AG825" s="101">
        <f t="shared" si="142"/>
        <v>4.2</v>
      </c>
    </row>
    <row r="826" spans="33:33" ht="12.75" customHeight="1">
      <c r="AG826" s="101">
        <f t="shared" si="142"/>
        <v>4.2</v>
      </c>
    </row>
    <row r="827" spans="33:33" ht="12.75" customHeight="1">
      <c r="AG827" s="101">
        <f t="shared" si="142"/>
        <v>4.2</v>
      </c>
    </row>
    <row r="828" spans="33:33" ht="12.75" customHeight="1">
      <c r="AG828" s="101">
        <f t="shared" si="142"/>
        <v>4.2</v>
      </c>
    </row>
    <row r="829" spans="33:33" ht="12.75" customHeight="1">
      <c r="AG829" s="101">
        <f t="shared" si="142"/>
        <v>4.2</v>
      </c>
    </row>
    <row r="830" spans="33:33" ht="12.75" customHeight="1">
      <c r="AG830" s="101">
        <f t="shared" si="142"/>
        <v>4.2</v>
      </c>
    </row>
    <row r="831" spans="33:33" ht="12.75" customHeight="1">
      <c r="AG831" s="101">
        <f t="shared" si="142"/>
        <v>4.2</v>
      </c>
    </row>
    <row r="832" spans="33:33" ht="12.75" customHeight="1">
      <c r="AG832" s="101">
        <f t="shared" si="142"/>
        <v>4.2</v>
      </c>
    </row>
    <row r="833" spans="33:33" ht="12.75" customHeight="1">
      <c r="AG833" s="101">
        <f t="shared" si="142"/>
        <v>4.2</v>
      </c>
    </row>
    <row r="834" spans="33:33" ht="12.75" customHeight="1">
      <c r="AG834" s="101">
        <f t="shared" si="142"/>
        <v>4.2</v>
      </c>
    </row>
    <row r="835" spans="33:33" ht="12.75" customHeight="1">
      <c r="AG835" s="101">
        <f t="shared" si="142"/>
        <v>4.2</v>
      </c>
    </row>
    <row r="836" spans="33:33" ht="12.75" customHeight="1">
      <c r="AG836" s="101">
        <f t="shared" si="142"/>
        <v>4.2</v>
      </c>
    </row>
    <row r="837" spans="33:33" ht="12.75" customHeight="1">
      <c r="AG837" s="101">
        <f t="shared" si="142"/>
        <v>4.2</v>
      </c>
    </row>
    <row r="838" spans="33:33" ht="12.75" customHeight="1">
      <c r="AG838" s="101">
        <f t="shared" si="142"/>
        <v>4.2</v>
      </c>
    </row>
    <row r="839" spans="33:33" ht="12.75" customHeight="1">
      <c r="AG839" s="101">
        <f t="shared" si="142"/>
        <v>4.2</v>
      </c>
    </row>
    <row r="840" spans="33:33" ht="12.75" customHeight="1">
      <c r="AG840" s="101">
        <f t="shared" si="142"/>
        <v>4.2</v>
      </c>
    </row>
    <row r="841" spans="33:33" ht="12.75" customHeight="1">
      <c r="AG841" s="101">
        <f t="shared" si="142"/>
        <v>4.2</v>
      </c>
    </row>
    <row r="842" spans="33:33" ht="12.75" customHeight="1">
      <c r="AG842" s="101">
        <f t="shared" si="142"/>
        <v>4.2</v>
      </c>
    </row>
    <row r="843" spans="33:33" ht="12.75" customHeight="1">
      <c r="AG843" s="101">
        <f t="shared" si="142"/>
        <v>4.2</v>
      </c>
    </row>
    <row r="844" spans="33:33" ht="12.75" customHeight="1">
      <c r="AG844" s="101">
        <f t="shared" si="142"/>
        <v>4.2</v>
      </c>
    </row>
    <row r="845" spans="33:33" ht="12.75" customHeight="1">
      <c r="AG845" s="101">
        <f t="shared" si="142"/>
        <v>4.2</v>
      </c>
    </row>
    <row r="846" spans="33:33" ht="12.75" customHeight="1">
      <c r="AG846" s="101">
        <f t="shared" si="142"/>
        <v>4.2</v>
      </c>
    </row>
    <row r="847" spans="33:33" ht="12.75" customHeight="1">
      <c r="AG847" s="101">
        <f t="shared" si="142"/>
        <v>4.2</v>
      </c>
    </row>
    <row r="848" spans="33:33" ht="12.75" customHeight="1">
      <c r="AG848" s="101">
        <f t="shared" si="142"/>
        <v>4.2</v>
      </c>
    </row>
    <row r="849" spans="33:33" ht="12.75" customHeight="1">
      <c r="AG849" s="101">
        <f t="shared" si="142"/>
        <v>4.2</v>
      </c>
    </row>
    <row r="850" spans="33:33" ht="12.75" customHeight="1">
      <c r="AG850" s="101">
        <f t="shared" si="142"/>
        <v>4.2</v>
      </c>
    </row>
    <row r="851" spans="33:33" ht="12.75" customHeight="1">
      <c r="AG851" s="101">
        <f t="shared" si="142"/>
        <v>4.2</v>
      </c>
    </row>
    <row r="852" spans="33:33" ht="12.75" customHeight="1">
      <c r="AG852" s="101">
        <f t="shared" si="142"/>
        <v>4.2</v>
      </c>
    </row>
    <row r="853" spans="33:33" ht="12.75" customHeight="1">
      <c r="AG853" s="101">
        <f t="shared" si="142"/>
        <v>4.2</v>
      </c>
    </row>
    <row r="854" spans="33:33" ht="12.75" customHeight="1">
      <c r="AG854" s="101">
        <f t="shared" si="142"/>
        <v>4.2</v>
      </c>
    </row>
    <row r="855" spans="33:33" ht="12.75" customHeight="1">
      <c r="AG855" s="101">
        <f t="shared" si="142"/>
        <v>4.2</v>
      </c>
    </row>
    <row r="856" spans="33:33" ht="12.75" customHeight="1">
      <c r="AG856" s="101">
        <f t="shared" si="142"/>
        <v>4.2</v>
      </c>
    </row>
    <row r="857" spans="33:33" ht="12.75" customHeight="1">
      <c r="AG857" s="101">
        <f t="shared" si="142"/>
        <v>4.2</v>
      </c>
    </row>
    <row r="858" spans="33:33" ht="12.75" customHeight="1">
      <c r="AG858" s="101">
        <f t="shared" ref="AG858:AG921" si="143">IF(G858&lt;0,0,1.2)+IF(G858&lt;14,0,0.9)+IF(P858&lt;0,0.7,0)+IF(P858&lt;6.5,1,0)+IF(P858&lt;23,1,0)+IF(R858&gt;80,0,1)+S858+IF(AD858&lt;20,0,1)+IF(AE858&lt;14,0,1)+IF(AF858&lt;26,0,1)</f>
        <v>4.2</v>
      </c>
    </row>
    <row r="859" spans="33:33" ht="12.75" customHeight="1">
      <c r="AG859" s="101">
        <f t="shared" si="143"/>
        <v>4.2</v>
      </c>
    </row>
    <row r="860" spans="33:33" ht="12.75" customHeight="1">
      <c r="AG860" s="101">
        <f t="shared" si="143"/>
        <v>4.2</v>
      </c>
    </row>
    <row r="861" spans="33:33" ht="12.75" customHeight="1">
      <c r="AG861" s="101">
        <f t="shared" si="143"/>
        <v>4.2</v>
      </c>
    </row>
    <row r="862" spans="33:33" ht="12.75" customHeight="1">
      <c r="AG862" s="101">
        <f t="shared" si="143"/>
        <v>4.2</v>
      </c>
    </row>
    <row r="863" spans="33:33" ht="12.75" customHeight="1">
      <c r="AG863" s="101">
        <f t="shared" si="143"/>
        <v>4.2</v>
      </c>
    </row>
    <row r="864" spans="33:33" ht="12.75" customHeight="1">
      <c r="AG864" s="101">
        <f t="shared" si="143"/>
        <v>4.2</v>
      </c>
    </row>
    <row r="865" spans="33:33" ht="12.75" customHeight="1">
      <c r="AG865" s="101">
        <f t="shared" si="143"/>
        <v>4.2</v>
      </c>
    </row>
    <row r="866" spans="33:33" ht="12.75" customHeight="1">
      <c r="AG866" s="101">
        <f t="shared" si="143"/>
        <v>4.2</v>
      </c>
    </row>
    <row r="867" spans="33:33" ht="12.75" customHeight="1">
      <c r="AG867" s="101">
        <f t="shared" si="143"/>
        <v>4.2</v>
      </c>
    </row>
    <row r="868" spans="33:33" ht="12.75" customHeight="1">
      <c r="AG868" s="101">
        <f t="shared" si="143"/>
        <v>4.2</v>
      </c>
    </row>
    <row r="869" spans="33:33" ht="12.75" customHeight="1">
      <c r="AG869" s="101">
        <f t="shared" si="143"/>
        <v>4.2</v>
      </c>
    </row>
    <row r="870" spans="33:33" ht="12.75" customHeight="1">
      <c r="AG870" s="101">
        <f t="shared" si="143"/>
        <v>4.2</v>
      </c>
    </row>
    <row r="871" spans="33:33" ht="12.75" customHeight="1">
      <c r="AG871" s="101">
        <f t="shared" si="143"/>
        <v>4.2</v>
      </c>
    </row>
    <row r="872" spans="33:33" ht="12.75" customHeight="1">
      <c r="AG872" s="101">
        <f t="shared" si="143"/>
        <v>4.2</v>
      </c>
    </row>
    <row r="873" spans="33:33" ht="12.75" customHeight="1">
      <c r="AG873" s="101">
        <f t="shared" si="143"/>
        <v>4.2</v>
      </c>
    </row>
    <row r="874" spans="33:33" ht="12.75" customHeight="1">
      <c r="AG874" s="101">
        <f t="shared" si="143"/>
        <v>4.2</v>
      </c>
    </row>
    <row r="875" spans="33:33" ht="12.75" customHeight="1">
      <c r="AG875" s="101">
        <f t="shared" si="143"/>
        <v>4.2</v>
      </c>
    </row>
    <row r="876" spans="33:33" ht="12.75" customHeight="1">
      <c r="AG876" s="101">
        <f t="shared" si="143"/>
        <v>4.2</v>
      </c>
    </row>
    <row r="877" spans="33:33" ht="12.75" customHeight="1">
      <c r="AG877" s="101">
        <f t="shared" si="143"/>
        <v>4.2</v>
      </c>
    </row>
    <row r="878" spans="33:33" ht="12.75" customHeight="1">
      <c r="AG878" s="101">
        <f t="shared" si="143"/>
        <v>4.2</v>
      </c>
    </row>
    <row r="879" spans="33:33" ht="12.75" customHeight="1">
      <c r="AG879" s="101">
        <f t="shared" si="143"/>
        <v>4.2</v>
      </c>
    </row>
    <row r="880" spans="33:33" ht="12.75" customHeight="1">
      <c r="AG880" s="101">
        <f t="shared" si="143"/>
        <v>4.2</v>
      </c>
    </row>
    <row r="881" spans="33:33" ht="12.75" customHeight="1">
      <c r="AG881" s="101">
        <f t="shared" si="143"/>
        <v>4.2</v>
      </c>
    </row>
    <row r="882" spans="33:33" ht="12.75" customHeight="1">
      <c r="AG882" s="101">
        <f t="shared" si="143"/>
        <v>4.2</v>
      </c>
    </row>
    <row r="883" spans="33:33" ht="12.75" customHeight="1">
      <c r="AG883" s="101">
        <f t="shared" si="143"/>
        <v>4.2</v>
      </c>
    </row>
    <row r="884" spans="33:33" ht="12.75" customHeight="1">
      <c r="AG884" s="101">
        <f t="shared" si="143"/>
        <v>4.2</v>
      </c>
    </row>
    <row r="885" spans="33:33" ht="12.75" customHeight="1">
      <c r="AG885" s="101">
        <f t="shared" si="143"/>
        <v>4.2</v>
      </c>
    </row>
    <row r="886" spans="33:33" ht="12.75" customHeight="1">
      <c r="AG886" s="101">
        <f t="shared" si="143"/>
        <v>4.2</v>
      </c>
    </row>
    <row r="887" spans="33:33" ht="12.75" customHeight="1">
      <c r="AG887" s="101">
        <f t="shared" si="143"/>
        <v>4.2</v>
      </c>
    </row>
    <row r="888" spans="33:33" ht="12.75" customHeight="1">
      <c r="AG888" s="101">
        <f t="shared" si="143"/>
        <v>4.2</v>
      </c>
    </row>
    <row r="889" spans="33:33" ht="12.75" customHeight="1">
      <c r="AG889" s="101">
        <f t="shared" si="143"/>
        <v>4.2</v>
      </c>
    </row>
    <row r="890" spans="33:33" ht="12.75" customHeight="1">
      <c r="AG890" s="101">
        <f t="shared" si="143"/>
        <v>4.2</v>
      </c>
    </row>
    <row r="891" spans="33:33" ht="12.75" customHeight="1">
      <c r="AG891" s="101">
        <f t="shared" si="143"/>
        <v>4.2</v>
      </c>
    </row>
    <row r="892" spans="33:33" ht="12.75" customHeight="1">
      <c r="AG892" s="101">
        <f t="shared" si="143"/>
        <v>4.2</v>
      </c>
    </row>
    <row r="893" spans="33:33" ht="12.75" customHeight="1">
      <c r="AG893" s="101">
        <f t="shared" si="143"/>
        <v>4.2</v>
      </c>
    </row>
    <row r="894" spans="33:33" ht="12.75" customHeight="1">
      <c r="AG894" s="101">
        <f t="shared" si="143"/>
        <v>4.2</v>
      </c>
    </row>
    <row r="895" spans="33:33" ht="12.75" customHeight="1">
      <c r="AG895" s="101">
        <f t="shared" si="143"/>
        <v>4.2</v>
      </c>
    </row>
    <row r="896" spans="33:33" ht="12.75" customHeight="1">
      <c r="AG896" s="101">
        <f t="shared" si="143"/>
        <v>4.2</v>
      </c>
    </row>
    <row r="897" spans="33:33" ht="12.75" customHeight="1">
      <c r="AG897" s="101">
        <f t="shared" si="143"/>
        <v>4.2</v>
      </c>
    </row>
    <row r="898" spans="33:33" ht="12.75" customHeight="1">
      <c r="AG898" s="101">
        <f t="shared" si="143"/>
        <v>4.2</v>
      </c>
    </row>
    <row r="899" spans="33:33" ht="12.75" customHeight="1">
      <c r="AG899" s="101">
        <f t="shared" si="143"/>
        <v>4.2</v>
      </c>
    </row>
    <row r="900" spans="33:33" ht="12.75" customHeight="1">
      <c r="AG900" s="101">
        <f t="shared" si="143"/>
        <v>4.2</v>
      </c>
    </row>
    <row r="901" spans="33:33" ht="12.75" customHeight="1">
      <c r="AG901" s="101">
        <f t="shared" si="143"/>
        <v>4.2</v>
      </c>
    </row>
    <row r="902" spans="33:33" ht="12.75" customHeight="1">
      <c r="AG902" s="101">
        <f t="shared" si="143"/>
        <v>4.2</v>
      </c>
    </row>
    <row r="903" spans="33:33" ht="12.75" customHeight="1">
      <c r="AG903" s="101">
        <f t="shared" si="143"/>
        <v>4.2</v>
      </c>
    </row>
    <row r="904" spans="33:33" ht="12.75" customHeight="1">
      <c r="AG904" s="101">
        <f t="shared" si="143"/>
        <v>4.2</v>
      </c>
    </row>
    <row r="905" spans="33:33" ht="12.75" customHeight="1">
      <c r="AG905" s="101">
        <f t="shared" si="143"/>
        <v>4.2</v>
      </c>
    </row>
    <row r="906" spans="33:33" ht="12.75" customHeight="1">
      <c r="AG906" s="101">
        <f t="shared" si="143"/>
        <v>4.2</v>
      </c>
    </row>
    <row r="907" spans="33:33" ht="12.75" customHeight="1">
      <c r="AG907" s="101">
        <f t="shared" si="143"/>
        <v>4.2</v>
      </c>
    </row>
    <row r="908" spans="33:33" ht="12.75" customHeight="1">
      <c r="AG908" s="101">
        <f t="shared" si="143"/>
        <v>4.2</v>
      </c>
    </row>
    <row r="909" spans="33:33" ht="12.75" customHeight="1">
      <c r="AG909" s="101">
        <f t="shared" si="143"/>
        <v>4.2</v>
      </c>
    </row>
    <row r="910" spans="33:33" ht="12.75" customHeight="1">
      <c r="AG910" s="101">
        <f t="shared" si="143"/>
        <v>4.2</v>
      </c>
    </row>
    <row r="911" spans="33:33" ht="12.75" customHeight="1">
      <c r="AG911" s="101">
        <f t="shared" si="143"/>
        <v>4.2</v>
      </c>
    </row>
    <row r="912" spans="33:33" ht="12.75" customHeight="1">
      <c r="AG912" s="101">
        <f t="shared" si="143"/>
        <v>4.2</v>
      </c>
    </row>
    <row r="913" spans="33:33" ht="12.75" customHeight="1">
      <c r="AG913" s="101">
        <f t="shared" si="143"/>
        <v>4.2</v>
      </c>
    </row>
    <row r="914" spans="33:33" ht="12.75" customHeight="1">
      <c r="AG914" s="101">
        <f t="shared" si="143"/>
        <v>4.2</v>
      </c>
    </row>
    <row r="915" spans="33:33" ht="12.75" customHeight="1">
      <c r="AG915" s="101">
        <f t="shared" si="143"/>
        <v>4.2</v>
      </c>
    </row>
    <row r="916" spans="33:33" ht="12.75" customHeight="1">
      <c r="AG916" s="101">
        <f t="shared" si="143"/>
        <v>4.2</v>
      </c>
    </row>
    <row r="917" spans="33:33" ht="12.75" customHeight="1">
      <c r="AG917" s="101">
        <f t="shared" si="143"/>
        <v>4.2</v>
      </c>
    </row>
    <row r="918" spans="33:33" ht="12.75" customHeight="1">
      <c r="AG918" s="101">
        <f t="shared" si="143"/>
        <v>4.2</v>
      </c>
    </row>
    <row r="919" spans="33:33" ht="12.75" customHeight="1">
      <c r="AG919" s="101">
        <f t="shared" si="143"/>
        <v>4.2</v>
      </c>
    </row>
    <row r="920" spans="33:33" ht="12.75" customHeight="1">
      <c r="AG920" s="101">
        <f t="shared" si="143"/>
        <v>4.2</v>
      </c>
    </row>
    <row r="921" spans="33:33" ht="12.75" customHeight="1">
      <c r="AG921" s="101">
        <f t="shared" si="143"/>
        <v>4.2</v>
      </c>
    </row>
    <row r="922" spans="33:33" ht="12.75" customHeight="1">
      <c r="AG922" s="101">
        <f t="shared" ref="AG922:AG985" si="144">IF(G922&lt;0,0,1.2)+IF(G922&lt;14,0,0.9)+IF(P922&lt;0,0.7,0)+IF(P922&lt;6.5,1,0)+IF(P922&lt;23,1,0)+IF(R922&gt;80,0,1)+S922+IF(AD922&lt;20,0,1)+IF(AE922&lt;14,0,1)+IF(AF922&lt;26,0,1)</f>
        <v>4.2</v>
      </c>
    </row>
    <row r="923" spans="33:33" ht="12.75" customHeight="1">
      <c r="AG923" s="101">
        <f t="shared" si="144"/>
        <v>4.2</v>
      </c>
    </row>
    <row r="924" spans="33:33" ht="12.75" customHeight="1">
      <c r="AG924" s="101">
        <f t="shared" si="144"/>
        <v>4.2</v>
      </c>
    </row>
    <row r="925" spans="33:33" ht="12.75" customHeight="1">
      <c r="AG925" s="101">
        <f t="shared" si="144"/>
        <v>4.2</v>
      </c>
    </row>
    <row r="926" spans="33:33" ht="12.75" customHeight="1">
      <c r="AG926" s="101">
        <f t="shared" si="144"/>
        <v>4.2</v>
      </c>
    </row>
    <row r="927" spans="33:33" ht="12.75" customHeight="1">
      <c r="AG927" s="101">
        <f t="shared" si="144"/>
        <v>4.2</v>
      </c>
    </row>
    <row r="928" spans="33:33" ht="12.75" customHeight="1">
      <c r="AG928" s="101">
        <f t="shared" si="144"/>
        <v>4.2</v>
      </c>
    </row>
    <row r="929" spans="33:33" ht="12.75" customHeight="1">
      <c r="AG929" s="101">
        <f t="shared" si="144"/>
        <v>4.2</v>
      </c>
    </row>
    <row r="930" spans="33:33" ht="12.75" customHeight="1">
      <c r="AG930" s="101">
        <f t="shared" si="144"/>
        <v>4.2</v>
      </c>
    </row>
    <row r="931" spans="33:33" ht="12.75" customHeight="1">
      <c r="AG931" s="101">
        <f t="shared" si="144"/>
        <v>4.2</v>
      </c>
    </row>
    <row r="932" spans="33:33" ht="12.75" customHeight="1">
      <c r="AG932" s="101">
        <f t="shared" si="144"/>
        <v>4.2</v>
      </c>
    </row>
    <row r="933" spans="33:33" ht="12.75" customHeight="1">
      <c r="AG933" s="101">
        <f t="shared" si="144"/>
        <v>4.2</v>
      </c>
    </row>
    <row r="934" spans="33:33" ht="12.75" customHeight="1">
      <c r="AG934" s="101">
        <f t="shared" si="144"/>
        <v>4.2</v>
      </c>
    </row>
    <row r="935" spans="33:33" ht="12.75" customHeight="1">
      <c r="AG935" s="101">
        <f t="shared" si="144"/>
        <v>4.2</v>
      </c>
    </row>
    <row r="936" spans="33:33" ht="12.75" customHeight="1">
      <c r="AG936" s="101">
        <f t="shared" si="144"/>
        <v>4.2</v>
      </c>
    </row>
    <row r="937" spans="33:33" ht="12.75" customHeight="1">
      <c r="AG937" s="101">
        <f t="shared" si="144"/>
        <v>4.2</v>
      </c>
    </row>
    <row r="938" spans="33:33" ht="12.75" customHeight="1">
      <c r="AG938" s="101">
        <f t="shared" si="144"/>
        <v>4.2</v>
      </c>
    </row>
    <row r="939" spans="33:33" ht="12.75" customHeight="1">
      <c r="AG939" s="101">
        <f t="shared" si="144"/>
        <v>4.2</v>
      </c>
    </row>
    <row r="940" spans="33:33" ht="12.75" customHeight="1">
      <c r="AG940" s="101">
        <f t="shared" si="144"/>
        <v>4.2</v>
      </c>
    </row>
    <row r="941" spans="33:33" ht="12.75" customHeight="1">
      <c r="AG941" s="101">
        <f t="shared" si="144"/>
        <v>4.2</v>
      </c>
    </row>
    <row r="942" spans="33:33" ht="12.75" customHeight="1">
      <c r="AG942" s="101">
        <f t="shared" si="144"/>
        <v>4.2</v>
      </c>
    </row>
    <row r="943" spans="33:33" ht="12.75" customHeight="1">
      <c r="AG943" s="101">
        <f t="shared" si="144"/>
        <v>4.2</v>
      </c>
    </row>
    <row r="944" spans="33:33" ht="12.75" customHeight="1">
      <c r="AG944" s="101">
        <f t="shared" si="144"/>
        <v>4.2</v>
      </c>
    </row>
    <row r="945" spans="33:33" ht="12.75" customHeight="1">
      <c r="AG945" s="101">
        <f t="shared" si="144"/>
        <v>4.2</v>
      </c>
    </row>
    <row r="946" spans="33:33" ht="12.75" customHeight="1">
      <c r="AG946" s="101">
        <f t="shared" si="144"/>
        <v>4.2</v>
      </c>
    </row>
    <row r="947" spans="33:33" ht="12.75" customHeight="1">
      <c r="AG947" s="101">
        <f t="shared" si="144"/>
        <v>4.2</v>
      </c>
    </row>
    <row r="948" spans="33:33" ht="12.75" customHeight="1">
      <c r="AG948" s="101">
        <f t="shared" si="144"/>
        <v>4.2</v>
      </c>
    </row>
    <row r="949" spans="33:33" ht="12.75" customHeight="1">
      <c r="AG949" s="101">
        <f t="shared" si="144"/>
        <v>4.2</v>
      </c>
    </row>
    <row r="950" spans="33:33" ht="12.75" customHeight="1">
      <c r="AG950" s="101">
        <f t="shared" si="144"/>
        <v>4.2</v>
      </c>
    </row>
    <row r="951" spans="33:33" ht="12.75" customHeight="1">
      <c r="AG951" s="101">
        <f t="shared" si="144"/>
        <v>4.2</v>
      </c>
    </row>
    <row r="952" spans="33:33" ht="12.75" customHeight="1">
      <c r="AG952" s="101">
        <f t="shared" si="144"/>
        <v>4.2</v>
      </c>
    </row>
    <row r="953" spans="33:33" ht="12.75" customHeight="1">
      <c r="AG953" s="101">
        <f t="shared" si="144"/>
        <v>4.2</v>
      </c>
    </row>
    <row r="954" spans="33:33" ht="12.75" customHeight="1">
      <c r="AG954" s="101">
        <f t="shared" si="144"/>
        <v>4.2</v>
      </c>
    </row>
    <row r="955" spans="33:33" ht="12.75" customHeight="1">
      <c r="AG955" s="101">
        <f t="shared" si="144"/>
        <v>4.2</v>
      </c>
    </row>
    <row r="956" spans="33:33" ht="12.75" customHeight="1">
      <c r="AG956" s="101">
        <f t="shared" si="144"/>
        <v>4.2</v>
      </c>
    </row>
    <row r="957" spans="33:33" ht="12.75" customHeight="1">
      <c r="AG957" s="101">
        <f t="shared" si="144"/>
        <v>4.2</v>
      </c>
    </row>
    <row r="958" spans="33:33" ht="12.75" customHeight="1">
      <c r="AG958" s="101">
        <f t="shared" si="144"/>
        <v>4.2</v>
      </c>
    </row>
    <row r="959" spans="33:33" ht="12.75" customHeight="1">
      <c r="AG959" s="101">
        <f t="shared" si="144"/>
        <v>4.2</v>
      </c>
    </row>
    <row r="960" spans="33:33" ht="12.75" customHeight="1">
      <c r="AG960" s="101">
        <f t="shared" si="144"/>
        <v>4.2</v>
      </c>
    </row>
    <row r="961" spans="33:33" ht="12.75" customHeight="1">
      <c r="AG961" s="101">
        <f t="shared" si="144"/>
        <v>4.2</v>
      </c>
    </row>
    <row r="962" spans="33:33" ht="12.75" customHeight="1">
      <c r="AG962" s="101">
        <f t="shared" si="144"/>
        <v>4.2</v>
      </c>
    </row>
    <row r="963" spans="33:33" ht="12.75" customHeight="1">
      <c r="AG963" s="101">
        <f t="shared" si="144"/>
        <v>4.2</v>
      </c>
    </row>
    <row r="964" spans="33:33" ht="12.75" customHeight="1">
      <c r="AG964" s="101">
        <f t="shared" si="144"/>
        <v>4.2</v>
      </c>
    </row>
    <row r="965" spans="33:33" ht="12.75" customHeight="1">
      <c r="AG965" s="101">
        <f t="shared" si="144"/>
        <v>4.2</v>
      </c>
    </row>
    <row r="966" spans="33:33" ht="12.75" customHeight="1">
      <c r="AG966" s="101">
        <f t="shared" si="144"/>
        <v>4.2</v>
      </c>
    </row>
    <row r="967" spans="33:33" ht="12.75" customHeight="1">
      <c r="AG967" s="101">
        <f t="shared" si="144"/>
        <v>4.2</v>
      </c>
    </row>
    <row r="968" spans="33:33" ht="12.75" customHeight="1">
      <c r="AG968" s="101">
        <f t="shared" si="144"/>
        <v>4.2</v>
      </c>
    </row>
    <row r="969" spans="33:33" ht="12.75" customHeight="1">
      <c r="AG969" s="101">
        <f t="shared" si="144"/>
        <v>4.2</v>
      </c>
    </row>
    <row r="970" spans="33:33" ht="12.75" customHeight="1">
      <c r="AG970" s="101">
        <f t="shared" si="144"/>
        <v>4.2</v>
      </c>
    </row>
    <row r="971" spans="33:33" ht="12.75" customHeight="1">
      <c r="AG971" s="101">
        <f t="shared" si="144"/>
        <v>4.2</v>
      </c>
    </row>
    <row r="972" spans="33:33" ht="12.75" customHeight="1">
      <c r="AG972" s="101">
        <f t="shared" si="144"/>
        <v>4.2</v>
      </c>
    </row>
    <row r="973" spans="33:33" ht="12.75" customHeight="1">
      <c r="AG973" s="101">
        <f t="shared" si="144"/>
        <v>4.2</v>
      </c>
    </row>
    <row r="974" spans="33:33" ht="12.75" customHeight="1">
      <c r="AG974" s="101">
        <f t="shared" si="144"/>
        <v>4.2</v>
      </c>
    </row>
    <row r="975" spans="33:33" ht="12.75" customHeight="1">
      <c r="AG975" s="101">
        <f t="shared" si="144"/>
        <v>4.2</v>
      </c>
    </row>
    <row r="976" spans="33:33" ht="12.75" customHeight="1">
      <c r="AG976" s="101">
        <f t="shared" si="144"/>
        <v>4.2</v>
      </c>
    </row>
    <row r="977" spans="33:33" ht="12.75" customHeight="1">
      <c r="AG977" s="101">
        <f t="shared" si="144"/>
        <v>4.2</v>
      </c>
    </row>
    <row r="978" spans="33:33" ht="12.75" customHeight="1">
      <c r="AG978" s="101">
        <f t="shared" si="144"/>
        <v>4.2</v>
      </c>
    </row>
    <row r="979" spans="33:33" ht="12.75" customHeight="1">
      <c r="AG979" s="101">
        <f t="shared" si="144"/>
        <v>4.2</v>
      </c>
    </row>
    <row r="980" spans="33:33" ht="12.75" customHeight="1">
      <c r="AG980" s="101">
        <f t="shared" si="144"/>
        <v>4.2</v>
      </c>
    </row>
    <row r="981" spans="33:33" ht="12.75" customHeight="1">
      <c r="AG981" s="101">
        <f t="shared" si="144"/>
        <v>4.2</v>
      </c>
    </row>
    <row r="982" spans="33:33" ht="12.75" customHeight="1">
      <c r="AG982" s="101">
        <f t="shared" si="144"/>
        <v>4.2</v>
      </c>
    </row>
    <row r="983" spans="33:33" ht="12.75" customHeight="1">
      <c r="AG983" s="101">
        <f t="shared" si="144"/>
        <v>4.2</v>
      </c>
    </row>
    <row r="984" spans="33:33" ht="12.75" customHeight="1">
      <c r="AG984" s="101">
        <f t="shared" si="144"/>
        <v>4.2</v>
      </c>
    </row>
    <row r="985" spans="33:33" ht="12.75" customHeight="1">
      <c r="AG985" s="101">
        <f t="shared" si="144"/>
        <v>4.2</v>
      </c>
    </row>
    <row r="986" spans="33:33" ht="12.75" customHeight="1">
      <c r="AG986" s="101">
        <f t="shared" ref="AG986:AG1049" si="145">IF(G986&lt;0,0,1.2)+IF(G986&lt;14,0,0.9)+IF(P986&lt;0,0.7,0)+IF(P986&lt;6.5,1,0)+IF(P986&lt;23,1,0)+IF(R986&gt;80,0,1)+S986+IF(AD986&lt;20,0,1)+IF(AE986&lt;14,0,1)+IF(AF986&lt;26,0,1)</f>
        <v>4.2</v>
      </c>
    </row>
    <row r="987" spans="33:33" ht="12.75" customHeight="1">
      <c r="AG987" s="101">
        <f t="shared" si="145"/>
        <v>4.2</v>
      </c>
    </row>
    <row r="988" spans="33:33" ht="12.75" customHeight="1">
      <c r="AG988" s="101">
        <f t="shared" si="145"/>
        <v>4.2</v>
      </c>
    </row>
    <row r="989" spans="33:33" ht="12.75" customHeight="1">
      <c r="AG989" s="101">
        <f t="shared" si="145"/>
        <v>4.2</v>
      </c>
    </row>
    <row r="990" spans="33:33" ht="12.75" customHeight="1">
      <c r="AG990" s="101">
        <f t="shared" si="145"/>
        <v>4.2</v>
      </c>
    </row>
    <row r="991" spans="33:33" ht="12.75" customHeight="1">
      <c r="AG991" s="101">
        <f t="shared" si="145"/>
        <v>4.2</v>
      </c>
    </row>
    <row r="992" spans="33:33" ht="12.75" customHeight="1">
      <c r="AG992" s="101">
        <f t="shared" si="145"/>
        <v>4.2</v>
      </c>
    </row>
    <row r="993" spans="33:33" ht="12.75" customHeight="1">
      <c r="AG993" s="101">
        <f t="shared" si="145"/>
        <v>4.2</v>
      </c>
    </row>
    <row r="994" spans="33:33" ht="12.75" customHeight="1">
      <c r="AG994" s="101">
        <f t="shared" si="145"/>
        <v>4.2</v>
      </c>
    </row>
    <row r="995" spans="33:33" ht="12.75" customHeight="1">
      <c r="AG995" s="101">
        <f t="shared" si="145"/>
        <v>4.2</v>
      </c>
    </row>
    <row r="996" spans="33:33" ht="12.75" customHeight="1">
      <c r="AG996" s="101">
        <f t="shared" si="145"/>
        <v>4.2</v>
      </c>
    </row>
    <row r="997" spans="33:33" ht="12.75" customHeight="1">
      <c r="AG997" s="101">
        <f t="shared" si="145"/>
        <v>4.2</v>
      </c>
    </row>
    <row r="998" spans="33:33" ht="12.75" customHeight="1">
      <c r="AG998" s="101">
        <f t="shared" si="145"/>
        <v>4.2</v>
      </c>
    </row>
    <row r="999" spans="33:33" ht="12.75" customHeight="1">
      <c r="AG999" s="101">
        <f t="shared" si="145"/>
        <v>4.2</v>
      </c>
    </row>
    <row r="1000" spans="33:33" ht="12.75" customHeight="1">
      <c r="AG1000" s="101">
        <f t="shared" si="145"/>
        <v>4.2</v>
      </c>
    </row>
    <row r="1001" spans="33:33" ht="12.75" customHeight="1">
      <c r="AG1001" s="101">
        <f t="shared" si="145"/>
        <v>4.2</v>
      </c>
    </row>
    <row r="1002" spans="33:33" ht="12.75" customHeight="1">
      <c r="AG1002" s="101">
        <f t="shared" si="145"/>
        <v>4.2</v>
      </c>
    </row>
    <row r="1003" spans="33:33" ht="12.75" customHeight="1">
      <c r="AG1003" s="101">
        <f t="shared" si="145"/>
        <v>4.2</v>
      </c>
    </row>
    <row r="1004" spans="33:33" ht="12.75" customHeight="1">
      <c r="AG1004" s="101">
        <f t="shared" si="145"/>
        <v>4.2</v>
      </c>
    </row>
    <row r="1005" spans="33:33" ht="12.75" customHeight="1">
      <c r="AG1005" s="101">
        <f t="shared" si="145"/>
        <v>4.2</v>
      </c>
    </row>
    <row r="1006" spans="33:33" ht="12.75" customHeight="1">
      <c r="AG1006" s="101">
        <f t="shared" si="145"/>
        <v>4.2</v>
      </c>
    </row>
    <row r="1007" spans="33:33" ht="12.75" customHeight="1">
      <c r="AG1007" s="101">
        <f t="shared" si="145"/>
        <v>4.2</v>
      </c>
    </row>
    <row r="1008" spans="33:33" ht="12.75" customHeight="1">
      <c r="AG1008" s="101">
        <f t="shared" si="145"/>
        <v>4.2</v>
      </c>
    </row>
    <row r="1009" spans="33:33" ht="12.75" customHeight="1">
      <c r="AG1009" s="101">
        <f t="shared" si="145"/>
        <v>4.2</v>
      </c>
    </row>
    <row r="1010" spans="33:33" ht="12.75" customHeight="1">
      <c r="AG1010" s="101">
        <f t="shared" si="145"/>
        <v>4.2</v>
      </c>
    </row>
    <row r="1011" spans="33:33" ht="12.75" customHeight="1">
      <c r="AG1011" s="101">
        <f t="shared" si="145"/>
        <v>4.2</v>
      </c>
    </row>
    <row r="1012" spans="33:33" ht="12.75" customHeight="1">
      <c r="AG1012" s="101">
        <f t="shared" si="145"/>
        <v>4.2</v>
      </c>
    </row>
    <row r="1013" spans="33:33" ht="12.75" customHeight="1">
      <c r="AG1013" s="101">
        <f t="shared" si="145"/>
        <v>4.2</v>
      </c>
    </row>
    <row r="1014" spans="33:33" ht="12.75" customHeight="1">
      <c r="AG1014" s="101">
        <f t="shared" si="145"/>
        <v>4.2</v>
      </c>
    </row>
    <row r="1015" spans="33:33" ht="12.75" customHeight="1">
      <c r="AG1015" s="101">
        <f t="shared" si="145"/>
        <v>4.2</v>
      </c>
    </row>
    <row r="1016" spans="33:33" ht="12.75" customHeight="1">
      <c r="AG1016" s="101">
        <f t="shared" si="145"/>
        <v>4.2</v>
      </c>
    </row>
    <row r="1017" spans="33:33" ht="12.75" customHeight="1">
      <c r="AG1017" s="101">
        <f t="shared" si="145"/>
        <v>4.2</v>
      </c>
    </row>
    <row r="1018" spans="33:33" ht="12.75" customHeight="1">
      <c r="AG1018" s="101">
        <f t="shared" si="145"/>
        <v>4.2</v>
      </c>
    </row>
    <row r="1019" spans="33:33" ht="12.75" customHeight="1">
      <c r="AG1019" s="101">
        <f t="shared" si="145"/>
        <v>4.2</v>
      </c>
    </row>
    <row r="1020" spans="33:33" ht="12.75" customHeight="1">
      <c r="AG1020" s="101">
        <f t="shared" si="145"/>
        <v>4.2</v>
      </c>
    </row>
    <row r="1021" spans="33:33" ht="12.75" customHeight="1">
      <c r="AG1021" s="101">
        <f t="shared" si="145"/>
        <v>4.2</v>
      </c>
    </row>
    <row r="1022" spans="33:33" ht="12.75" customHeight="1">
      <c r="AG1022" s="101">
        <f t="shared" si="145"/>
        <v>4.2</v>
      </c>
    </row>
    <row r="1023" spans="33:33" ht="12.75" customHeight="1">
      <c r="AG1023" s="101">
        <f t="shared" si="145"/>
        <v>4.2</v>
      </c>
    </row>
    <row r="1024" spans="33:33" ht="12.75" customHeight="1">
      <c r="AG1024" s="101">
        <f t="shared" si="145"/>
        <v>4.2</v>
      </c>
    </row>
    <row r="1025" spans="33:33" ht="12.75" customHeight="1">
      <c r="AG1025" s="101">
        <f t="shared" si="145"/>
        <v>4.2</v>
      </c>
    </row>
    <row r="1026" spans="33:33" ht="12.75" customHeight="1">
      <c r="AG1026" s="101">
        <f t="shared" si="145"/>
        <v>4.2</v>
      </c>
    </row>
    <row r="1027" spans="33:33" ht="12.75" customHeight="1">
      <c r="AG1027" s="101">
        <f t="shared" si="145"/>
        <v>4.2</v>
      </c>
    </row>
    <row r="1028" spans="33:33" ht="12.75" customHeight="1">
      <c r="AG1028" s="101">
        <f t="shared" si="145"/>
        <v>4.2</v>
      </c>
    </row>
    <row r="1029" spans="33:33" ht="12.75" customHeight="1">
      <c r="AG1029" s="101">
        <f t="shared" si="145"/>
        <v>4.2</v>
      </c>
    </row>
    <row r="1030" spans="33:33" ht="12.75" customHeight="1">
      <c r="AG1030" s="101">
        <f t="shared" si="145"/>
        <v>4.2</v>
      </c>
    </row>
    <row r="1031" spans="33:33" ht="12.75" customHeight="1">
      <c r="AG1031" s="101">
        <f t="shared" si="145"/>
        <v>4.2</v>
      </c>
    </row>
    <row r="1032" spans="33:33" ht="12.75" customHeight="1">
      <c r="AG1032" s="101">
        <f t="shared" si="145"/>
        <v>4.2</v>
      </c>
    </row>
    <row r="1033" spans="33:33" ht="12.75" customHeight="1">
      <c r="AG1033" s="101">
        <f t="shared" si="145"/>
        <v>4.2</v>
      </c>
    </row>
    <row r="1034" spans="33:33" ht="12.75" customHeight="1">
      <c r="AG1034" s="101">
        <f t="shared" si="145"/>
        <v>4.2</v>
      </c>
    </row>
    <row r="1035" spans="33:33" ht="12.75" customHeight="1">
      <c r="AG1035" s="101">
        <f t="shared" si="145"/>
        <v>4.2</v>
      </c>
    </row>
    <row r="1036" spans="33:33" ht="12.75" customHeight="1">
      <c r="AG1036" s="101">
        <f t="shared" si="145"/>
        <v>4.2</v>
      </c>
    </row>
    <row r="1037" spans="33:33" ht="12.75" customHeight="1">
      <c r="AG1037" s="101">
        <f t="shared" si="145"/>
        <v>4.2</v>
      </c>
    </row>
    <row r="1038" spans="33:33" ht="12.75" customHeight="1">
      <c r="AG1038" s="101">
        <f t="shared" si="145"/>
        <v>4.2</v>
      </c>
    </row>
    <row r="1039" spans="33:33" ht="12.75" customHeight="1">
      <c r="AG1039" s="101">
        <f t="shared" si="145"/>
        <v>4.2</v>
      </c>
    </row>
    <row r="1040" spans="33:33" ht="12.75" customHeight="1">
      <c r="AG1040" s="101">
        <f t="shared" si="145"/>
        <v>4.2</v>
      </c>
    </row>
    <row r="1041" spans="33:33" ht="12.75" customHeight="1">
      <c r="AG1041" s="101">
        <f t="shared" si="145"/>
        <v>4.2</v>
      </c>
    </row>
    <row r="1042" spans="33:33" ht="12.75" customHeight="1">
      <c r="AG1042" s="101">
        <f t="shared" si="145"/>
        <v>4.2</v>
      </c>
    </row>
    <row r="1043" spans="33:33" ht="12.75" customHeight="1">
      <c r="AG1043" s="101">
        <f t="shared" si="145"/>
        <v>4.2</v>
      </c>
    </row>
    <row r="1044" spans="33:33" ht="12.75" customHeight="1">
      <c r="AG1044" s="101">
        <f t="shared" si="145"/>
        <v>4.2</v>
      </c>
    </row>
    <row r="1045" spans="33:33" ht="12.75" customHeight="1">
      <c r="AG1045" s="101">
        <f t="shared" si="145"/>
        <v>4.2</v>
      </c>
    </row>
    <row r="1046" spans="33:33" ht="12.75" customHeight="1">
      <c r="AG1046" s="101">
        <f t="shared" si="145"/>
        <v>4.2</v>
      </c>
    </row>
    <row r="1047" spans="33:33" ht="12.75" customHeight="1">
      <c r="AG1047" s="101">
        <f t="shared" si="145"/>
        <v>4.2</v>
      </c>
    </row>
    <row r="1048" spans="33:33" ht="12.75" customHeight="1">
      <c r="AG1048" s="101">
        <f t="shared" si="145"/>
        <v>4.2</v>
      </c>
    </row>
    <row r="1049" spans="33:33" ht="12.75" customHeight="1">
      <c r="AG1049" s="101">
        <f t="shared" si="145"/>
        <v>4.2</v>
      </c>
    </row>
    <row r="1050" spans="33:33" ht="12.75" customHeight="1">
      <c r="AG1050" s="101">
        <f t="shared" ref="AG1050:AG1113" si="146">IF(G1050&lt;0,0,1.2)+IF(G1050&lt;14,0,0.9)+IF(P1050&lt;0,0.7,0)+IF(P1050&lt;6.5,1,0)+IF(P1050&lt;23,1,0)+IF(R1050&gt;80,0,1)+S1050+IF(AD1050&lt;20,0,1)+IF(AE1050&lt;14,0,1)+IF(AF1050&lt;26,0,1)</f>
        <v>4.2</v>
      </c>
    </row>
    <row r="1051" spans="33:33" ht="12.75" customHeight="1">
      <c r="AG1051" s="101">
        <f t="shared" si="146"/>
        <v>4.2</v>
      </c>
    </row>
    <row r="1052" spans="33:33" ht="12.75" customHeight="1">
      <c r="AG1052" s="101">
        <f t="shared" si="146"/>
        <v>4.2</v>
      </c>
    </row>
    <row r="1053" spans="33:33" ht="12.75" customHeight="1">
      <c r="AG1053" s="101">
        <f t="shared" si="146"/>
        <v>4.2</v>
      </c>
    </row>
    <row r="1054" spans="33:33" ht="12.75" customHeight="1">
      <c r="AG1054" s="101">
        <f t="shared" si="146"/>
        <v>4.2</v>
      </c>
    </row>
    <row r="1055" spans="33:33" ht="12.75" customHeight="1">
      <c r="AG1055" s="101">
        <f t="shared" si="146"/>
        <v>4.2</v>
      </c>
    </row>
    <row r="1056" spans="33:33" ht="12.75" customHeight="1">
      <c r="AG1056" s="101">
        <f t="shared" si="146"/>
        <v>4.2</v>
      </c>
    </row>
    <row r="1057" spans="33:33" ht="12.75" customHeight="1">
      <c r="AG1057" s="101">
        <f t="shared" si="146"/>
        <v>4.2</v>
      </c>
    </row>
    <row r="1058" spans="33:33" ht="12.75" customHeight="1">
      <c r="AG1058" s="101">
        <f t="shared" si="146"/>
        <v>4.2</v>
      </c>
    </row>
    <row r="1059" spans="33:33" ht="12.75" customHeight="1">
      <c r="AG1059" s="101">
        <f t="shared" si="146"/>
        <v>4.2</v>
      </c>
    </row>
    <row r="1060" spans="33:33" ht="12.75" customHeight="1">
      <c r="AG1060" s="101">
        <f t="shared" si="146"/>
        <v>4.2</v>
      </c>
    </row>
    <row r="1061" spans="33:33" ht="12.75" customHeight="1">
      <c r="AG1061" s="101">
        <f t="shared" si="146"/>
        <v>4.2</v>
      </c>
    </row>
    <row r="1062" spans="33:33" ht="12.75" customHeight="1">
      <c r="AG1062" s="101">
        <f t="shared" si="146"/>
        <v>4.2</v>
      </c>
    </row>
    <row r="1063" spans="33:33" ht="12.75" customHeight="1">
      <c r="AG1063" s="101">
        <f t="shared" si="146"/>
        <v>4.2</v>
      </c>
    </row>
    <row r="1064" spans="33:33" ht="12.75" customHeight="1">
      <c r="AG1064" s="101">
        <f t="shared" si="146"/>
        <v>4.2</v>
      </c>
    </row>
    <row r="1065" spans="33:33" ht="12.75" customHeight="1">
      <c r="AG1065" s="101">
        <f t="shared" si="146"/>
        <v>4.2</v>
      </c>
    </row>
    <row r="1066" spans="33:33" ht="12.75" customHeight="1">
      <c r="AG1066" s="101">
        <f t="shared" si="146"/>
        <v>4.2</v>
      </c>
    </row>
    <row r="1067" spans="33:33" ht="12.75" customHeight="1">
      <c r="AG1067" s="101">
        <f t="shared" si="146"/>
        <v>4.2</v>
      </c>
    </row>
    <row r="1068" spans="33:33" ht="12.75" customHeight="1">
      <c r="AG1068" s="101">
        <f t="shared" si="146"/>
        <v>4.2</v>
      </c>
    </row>
    <row r="1069" spans="33:33" ht="12.75" customHeight="1">
      <c r="AG1069" s="101">
        <f t="shared" si="146"/>
        <v>4.2</v>
      </c>
    </row>
    <row r="1070" spans="33:33" ht="12.75" customHeight="1">
      <c r="AG1070" s="101">
        <f t="shared" si="146"/>
        <v>4.2</v>
      </c>
    </row>
    <row r="1071" spans="33:33" ht="12.75" customHeight="1">
      <c r="AG1071" s="101">
        <f t="shared" si="146"/>
        <v>4.2</v>
      </c>
    </row>
    <row r="1072" spans="33:33" ht="12.75" customHeight="1">
      <c r="AG1072" s="101">
        <f t="shared" si="146"/>
        <v>4.2</v>
      </c>
    </row>
    <row r="1073" spans="33:33" ht="12.75" customHeight="1">
      <c r="AG1073" s="101">
        <f t="shared" si="146"/>
        <v>4.2</v>
      </c>
    </row>
    <row r="1074" spans="33:33" ht="12.75" customHeight="1">
      <c r="AG1074" s="101">
        <f t="shared" si="146"/>
        <v>4.2</v>
      </c>
    </row>
    <row r="1075" spans="33:33" ht="12.75" customHeight="1">
      <c r="AG1075" s="101">
        <f t="shared" si="146"/>
        <v>4.2</v>
      </c>
    </row>
    <row r="1076" spans="33:33" ht="12.75" customHeight="1">
      <c r="AG1076" s="101">
        <f t="shared" si="146"/>
        <v>4.2</v>
      </c>
    </row>
    <row r="1077" spans="33:33" ht="12.75" customHeight="1">
      <c r="AG1077" s="101">
        <f t="shared" si="146"/>
        <v>4.2</v>
      </c>
    </row>
    <row r="1078" spans="33:33" ht="12.75" customHeight="1">
      <c r="AG1078" s="101">
        <f t="shared" si="146"/>
        <v>4.2</v>
      </c>
    </row>
    <row r="1079" spans="33:33" ht="12.75" customHeight="1">
      <c r="AG1079" s="101">
        <f t="shared" si="146"/>
        <v>4.2</v>
      </c>
    </row>
    <row r="1080" spans="33:33" ht="12.75" customHeight="1">
      <c r="AG1080" s="101">
        <f t="shared" si="146"/>
        <v>4.2</v>
      </c>
    </row>
    <row r="1081" spans="33:33" ht="12.75" customHeight="1">
      <c r="AG1081" s="101">
        <f t="shared" si="146"/>
        <v>4.2</v>
      </c>
    </row>
    <row r="1082" spans="33:33" ht="12.75" customHeight="1">
      <c r="AG1082" s="101">
        <f t="shared" si="146"/>
        <v>4.2</v>
      </c>
    </row>
    <row r="1083" spans="33:33" ht="12.75" customHeight="1">
      <c r="AG1083" s="101">
        <f t="shared" si="146"/>
        <v>4.2</v>
      </c>
    </row>
    <row r="1084" spans="33:33" ht="12.75" customHeight="1">
      <c r="AG1084" s="101">
        <f t="shared" si="146"/>
        <v>4.2</v>
      </c>
    </row>
    <row r="1085" spans="33:33" ht="12.75" customHeight="1">
      <c r="AG1085" s="101">
        <f t="shared" si="146"/>
        <v>4.2</v>
      </c>
    </row>
    <row r="1086" spans="33:33" ht="12.75" customHeight="1">
      <c r="AG1086" s="101">
        <f t="shared" si="146"/>
        <v>4.2</v>
      </c>
    </row>
    <row r="1087" spans="33:33" ht="12.75" customHeight="1">
      <c r="AG1087" s="101">
        <f t="shared" si="146"/>
        <v>4.2</v>
      </c>
    </row>
    <row r="1088" spans="33:33" ht="12.75" customHeight="1">
      <c r="AG1088" s="101">
        <f t="shared" si="146"/>
        <v>4.2</v>
      </c>
    </row>
    <row r="1089" spans="33:33" ht="12.75" customHeight="1">
      <c r="AG1089" s="101">
        <f t="shared" si="146"/>
        <v>4.2</v>
      </c>
    </row>
    <row r="1090" spans="33:33" ht="12.75" customHeight="1">
      <c r="AG1090" s="101">
        <f t="shared" si="146"/>
        <v>4.2</v>
      </c>
    </row>
    <row r="1091" spans="33:33" ht="12.75" customHeight="1">
      <c r="AG1091" s="101">
        <f t="shared" si="146"/>
        <v>4.2</v>
      </c>
    </row>
    <row r="1092" spans="33:33" ht="12.75" customHeight="1">
      <c r="AG1092" s="101">
        <f t="shared" si="146"/>
        <v>4.2</v>
      </c>
    </row>
    <row r="1093" spans="33:33" ht="12.75" customHeight="1">
      <c r="AG1093" s="101">
        <f t="shared" si="146"/>
        <v>4.2</v>
      </c>
    </row>
    <row r="1094" spans="33:33" ht="12.75" customHeight="1">
      <c r="AG1094" s="101">
        <f t="shared" si="146"/>
        <v>4.2</v>
      </c>
    </row>
    <row r="1095" spans="33:33" ht="12.75" customHeight="1">
      <c r="AG1095" s="101">
        <f t="shared" si="146"/>
        <v>4.2</v>
      </c>
    </row>
    <row r="1096" spans="33:33" ht="12.75" customHeight="1">
      <c r="AG1096" s="101">
        <f t="shared" si="146"/>
        <v>4.2</v>
      </c>
    </row>
    <row r="1097" spans="33:33" ht="12.75" customHeight="1">
      <c r="AG1097" s="101">
        <f t="shared" si="146"/>
        <v>4.2</v>
      </c>
    </row>
    <row r="1098" spans="33:33" ht="12.75" customHeight="1">
      <c r="AG1098" s="101">
        <f t="shared" si="146"/>
        <v>4.2</v>
      </c>
    </row>
    <row r="1099" spans="33:33" ht="12.75" customHeight="1">
      <c r="AG1099" s="101">
        <f t="shared" si="146"/>
        <v>4.2</v>
      </c>
    </row>
    <row r="1100" spans="33:33" ht="12.75" customHeight="1">
      <c r="AG1100" s="101">
        <f t="shared" si="146"/>
        <v>4.2</v>
      </c>
    </row>
    <row r="1101" spans="33:33" ht="12.75" customHeight="1">
      <c r="AG1101" s="101">
        <f t="shared" si="146"/>
        <v>4.2</v>
      </c>
    </row>
    <row r="1102" spans="33:33" ht="12.75" customHeight="1">
      <c r="AG1102" s="101">
        <f t="shared" si="146"/>
        <v>4.2</v>
      </c>
    </row>
    <row r="1103" spans="33:33" ht="12.75" customHeight="1">
      <c r="AG1103" s="101">
        <f t="shared" si="146"/>
        <v>4.2</v>
      </c>
    </row>
    <row r="1104" spans="33:33" ht="12.75" customHeight="1">
      <c r="AG1104" s="101">
        <f t="shared" si="146"/>
        <v>4.2</v>
      </c>
    </row>
    <row r="1105" spans="33:33" ht="12.75" customHeight="1">
      <c r="AG1105" s="101">
        <f t="shared" si="146"/>
        <v>4.2</v>
      </c>
    </row>
    <row r="1106" spans="33:33" ht="12.75" customHeight="1">
      <c r="AG1106" s="101">
        <f t="shared" si="146"/>
        <v>4.2</v>
      </c>
    </row>
    <row r="1107" spans="33:33" ht="12.75" customHeight="1">
      <c r="AG1107" s="101">
        <f t="shared" si="146"/>
        <v>4.2</v>
      </c>
    </row>
    <row r="1108" spans="33:33" ht="12.75" customHeight="1">
      <c r="AG1108" s="101">
        <f t="shared" si="146"/>
        <v>4.2</v>
      </c>
    </row>
    <row r="1109" spans="33:33" ht="12.75" customHeight="1">
      <c r="AG1109" s="101">
        <f t="shared" si="146"/>
        <v>4.2</v>
      </c>
    </row>
    <row r="1110" spans="33:33" ht="12.75" customHeight="1">
      <c r="AG1110" s="101">
        <f t="shared" si="146"/>
        <v>4.2</v>
      </c>
    </row>
    <row r="1111" spans="33:33" ht="12.75" customHeight="1">
      <c r="AG1111" s="101">
        <f t="shared" si="146"/>
        <v>4.2</v>
      </c>
    </row>
    <row r="1112" spans="33:33" ht="12.75" customHeight="1">
      <c r="AG1112" s="101">
        <f t="shared" si="146"/>
        <v>4.2</v>
      </c>
    </row>
    <row r="1113" spans="33:33" ht="12.75" customHeight="1">
      <c r="AG1113" s="101">
        <f t="shared" si="146"/>
        <v>4.2</v>
      </c>
    </row>
    <row r="1114" spans="33:33" ht="12.75" customHeight="1">
      <c r="AG1114" s="101">
        <f t="shared" ref="AG1114:AG1177" si="147">IF(G1114&lt;0,0,1.2)+IF(G1114&lt;14,0,0.9)+IF(P1114&lt;0,0.7,0)+IF(P1114&lt;6.5,1,0)+IF(P1114&lt;23,1,0)+IF(R1114&gt;80,0,1)+S1114+IF(AD1114&lt;20,0,1)+IF(AE1114&lt;14,0,1)+IF(AF1114&lt;26,0,1)</f>
        <v>4.2</v>
      </c>
    </row>
    <row r="1115" spans="33:33" ht="12.75" customHeight="1">
      <c r="AG1115" s="101">
        <f t="shared" si="147"/>
        <v>4.2</v>
      </c>
    </row>
    <row r="1116" spans="33:33" ht="12.75" customHeight="1">
      <c r="AG1116" s="101">
        <f t="shared" si="147"/>
        <v>4.2</v>
      </c>
    </row>
    <row r="1117" spans="33:33" ht="12.75" customHeight="1">
      <c r="AG1117" s="101">
        <f t="shared" si="147"/>
        <v>4.2</v>
      </c>
    </row>
    <row r="1118" spans="33:33" ht="12.75" customHeight="1">
      <c r="AG1118" s="101">
        <f t="shared" si="147"/>
        <v>4.2</v>
      </c>
    </row>
    <row r="1119" spans="33:33" ht="12.75" customHeight="1">
      <c r="AG1119" s="101">
        <f t="shared" si="147"/>
        <v>4.2</v>
      </c>
    </row>
    <row r="1120" spans="33:33" ht="12.75" customHeight="1">
      <c r="AG1120" s="101">
        <f t="shared" si="147"/>
        <v>4.2</v>
      </c>
    </row>
    <row r="1121" spans="33:33" ht="12.75" customHeight="1">
      <c r="AG1121" s="101">
        <f t="shared" si="147"/>
        <v>4.2</v>
      </c>
    </row>
    <row r="1122" spans="33:33" ht="12.75" customHeight="1">
      <c r="AG1122" s="101">
        <f t="shared" si="147"/>
        <v>4.2</v>
      </c>
    </row>
    <row r="1123" spans="33:33" ht="12.75" customHeight="1">
      <c r="AG1123" s="101">
        <f t="shared" si="147"/>
        <v>4.2</v>
      </c>
    </row>
    <row r="1124" spans="33:33" ht="12.75" customHeight="1">
      <c r="AG1124" s="101">
        <f t="shared" si="147"/>
        <v>4.2</v>
      </c>
    </row>
    <row r="1125" spans="33:33" ht="12.75" customHeight="1">
      <c r="AG1125" s="101">
        <f t="shared" si="147"/>
        <v>4.2</v>
      </c>
    </row>
    <row r="1126" spans="33:33" ht="12.75" customHeight="1">
      <c r="AG1126" s="101">
        <f t="shared" si="147"/>
        <v>4.2</v>
      </c>
    </row>
    <row r="1127" spans="33:33" ht="12.75" customHeight="1">
      <c r="AG1127" s="101">
        <f t="shared" si="147"/>
        <v>4.2</v>
      </c>
    </row>
    <row r="1128" spans="33:33" ht="12.75" customHeight="1">
      <c r="AG1128" s="101">
        <f t="shared" si="147"/>
        <v>4.2</v>
      </c>
    </row>
    <row r="1129" spans="33:33" ht="12.75" customHeight="1">
      <c r="AG1129" s="101">
        <f t="shared" si="147"/>
        <v>4.2</v>
      </c>
    </row>
    <row r="1130" spans="33:33" ht="12.75" customHeight="1">
      <c r="AG1130" s="101">
        <f t="shared" si="147"/>
        <v>4.2</v>
      </c>
    </row>
    <row r="1131" spans="33:33" ht="12.75" customHeight="1">
      <c r="AG1131" s="101">
        <f t="shared" si="147"/>
        <v>4.2</v>
      </c>
    </row>
    <row r="1132" spans="33:33" ht="12.75" customHeight="1">
      <c r="AG1132" s="101">
        <f t="shared" si="147"/>
        <v>4.2</v>
      </c>
    </row>
    <row r="1133" spans="33:33" ht="12.75" customHeight="1">
      <c r="AG1133" s="101">
        <f t="shared" si="147"/>
        <v>4.2</v>
      </c>
    </row>
    <row r="1134" spans="33:33" ht="12.75" customHeight="1">
      <c r="AG1134" s="101">
        <f t="shared" si="147"/>
        <v>4.2</v>
      </c>
    </row>
    <row r="1135" spans="33:33" ht="12.75" customHeight="1">
      <c r="AG1135" s="101">
        <f t="shared" si="147"/>
        <v>4.2</v>
      </c>
    </row>
    <row r="1136" spans="33:33" ht="12.75" customHeight="1">
      <c r="AG1136" s="101">
        <f t="shared" si="147"/>
        <v>4.2</v>
      </c>
    </row>
    <row r="1137" spans="33:33" ht="12.75" customHeight="1">
      <c r="AG1137" s="101">
        <f t="shared" si="147"/>
        <v>4.2</v>
      </c>
    </row>
    <row r="1138" spans="33:33" ht="12.75" customHeight="1">
      <c r="AG1138" s="101">
        <f t="shared" si="147"/>
        <v>4.2</v>
      </c>
    </row>
    <row r="1139" spans="33:33" ht="12.75" customHeight="1">
      <c r="AG1139" s="101">
        <f t="shared" si="147"/>
        <v>4.2</v>
      </c>
    </row>
    <row r="1140" spans="33:33" ht="12.75" customHeight="1">
      <c r="AG1140" s="101">
        <f t="shared" si="147"/>
        <v>4.2</v>
      </c>
    </row>
    <row r="1141" spans="33:33" ht="12.75" customHeight="1">
      <c r="AG1141" s="101">
        <f t="shared" si="147"/>
        <v>4.2</v>
      </c>
    </row>
    <row r="1142" spans="33:33" ht="12.75" customHeight="1">
      <c r="AG1142" s="101">
        <f t="shared" si="147"/>
        <v>4.2</v>
      </c>
    </row>
    <row r="1143" spans="33:33" ht="12.75" customHeight="1">
      <c r="AG1143" s="101">
        <f t="shared" si="147"/>
        <v>4.2</v>
      </c>
    </row>
    <row r="1144" spans="33:33" ht="12.75" customHeight="1">
      <c r="AG1144" s="101">
        <f t="shared" si="147"/>
        <v>4.2</v>
      </c>
    </row>
    <row r="1145" spans="33:33" ht="12.75" customHeight="1">
      <c r="AG1145" s="101">
        <f t="shared" si="147"/>
        <v>4.2</v>
      </c>
    </row>
    <row r="1146" spans="33:33" ht="12.75" customHeight="1">
      <c r="AG1146" s="101">
        <f t="shared" si="147"/>
        <v>4.2</v>
      </c>
    </row>
    <row r="1147" spans="33:33" ht="12.75" customHeight="1">
      <c r="AG1147" s="101">
        <f t="shared" si="147"/>
        <v>4.2</v>
      </c>
    </row>
    <row r="1148" spans="33:33" ht="12.75" customHeight="1">
      <c r="AG1148" s="101">
        <f t="shared" si="147"/>
        <v>4.2</v>
      </c>
    </row>
    <row r="1149" spans="33:33" ht="12.75" customHeight="1">
      <c r="AG1149" s="101">
        <f t="shared" si="147"/>
        <v>4.2</v>
      </c>
    </row>
    <row r="1150" spans="33:33" ht="12.75" customHeight="1">
      <c r="AG1150" s="101">
        <f t="shared" si="147"/>
        <v>4.2</v>
      </c>
    </row>
    <row r="1151" spans="33:33" ht="12.75" customHeight="1">
      <c r="AG1151" s="101">
        <f t="shared" si="147"/>
        <v>4.2</v>
      </c>
    </row>
    <row r="1152" spans="33:33" ht="12.75" customHeight="1">
      <c r="AG1152" s="101">
        <f t="shared" si="147"/>
        <v>4.2</v>
      </c>
    </row>
    <row r="1153" spans="33:33" ht="12.75" customHeight="1">
      <c r="AG1153" s="101">
        <f t="shared" si="147"/>
        <v>4.2</v>
      </c>
    </row>
    <row r="1154" spans="33:33" ht="12.75" customHeight="1">
      <c r="AG1154" s="101">
        <f t="shared" si="147"/>
        <v>4.2</v>
      </c>
    </row>
    <row r="1155" spans="33:33" ht="12.75" customHeight="1">
      <c r="AG1155" s="101">
        <f t="shared" si="147"/>
        <v>4.2</v>
      </c>
    </row>
    <row r="1156" spans="33:33" ht="12.75" customHeight="1">
      <c r="AG1156" s="101">
        <f t="shared" si="147"/>
        <v>4.2</v>
      </c>
    </row>
    <row r="1157" spans="33:33" ht="12.75" customHeight="1">
      <c r="AG1157" s="101">
        <f t="shared" si="147"/>
        <v>4.2</v>
      </c>
    </row>
    <row r="1158" spans="33:33" ht="12.75" customHeight="1">
      <c r="AG1158" s="101">
        <f t="shared" si="147"/>
        <v>4.2</v>
      </c>
    </row>
    <row r="1159" spans="33:33" ht="12.75" customHeight="1">
      <c r="AG1159" s="101">
        <f t="shared" si="147"/>
        <v>4.2</v>
      </c>
    </row>
    <row r="1160" spans="33:33" ht="12.75" customHeight="1">
      <c r="AG1160" s="101">
        <f t="shared" si="147"/>
        <v>4.2</v>
      </c>
    </row>
    <row r="1161" spans="33:33" ht="12.75" customHeight="1">
      <c r="AG1161" s="101">
        <f t="shared" si="147"/>
        <v>4.2</v>
      </c>
    </row>
    <row r="1162" spans="33:33" ht="12.75" customHeight="1">
      <c r="AG1162" s="101">
        <f t="shared" si="147"/>
        <v>4.2</v>
      </c>
    </row>
    <row r="1163" spans="33:33" ht="12.75" customHeight="1">
      <c r="AG1163" s="101">
        <f t="shared" si="147"/>
        <v>4.2</v>
      </c>
    </row>
    <row r="1164" spans="33:33" ht="12.75" customHeight="1">
      <c r="AG1164" s="101">
        <f t="shared" si="147"/>
        <v>4.2</v>
      </c>
    </row>
    <row r="1165" spans="33:33" ht="12.75" customHeight="1">
      <c r="AG1165" s="101">
        <f t="shared" si="147"/>
        <v>4.2</v>
      </c>
    </row>
    <row r="1166" spans="33:33" ht="12.75" customHeight="1">
      <c r="AG1166" s="101">
        <f t="shared" si="147"/>
        <v>4.2</v>
      </c>
    </row>
    <row r="1167" spans="33:33" ht="12.75" customHeight="1">
      <c r="AG1167" s="101">
        <f t="shared" si="147"/>
        <v>4.2</v>
      </c>
    </row>
    <row r="1168" spans="33:33" ht="12.75" customHeight="1">
      <c r="AG1168" s="101">
        <f t="shared" si="147"/>
        <v>4.2</v>
      </c>
    </row>
    <row r="1169" spans="33:33" ht="12.75" customHeight="1">
      <c r="AG1169" s="101">
        <f t="shared" si="147"/>
        <v>4.2</v>
      </c>
    </row>
    <row r="1170" spans="33:33" ht="12.75" customHeight="1">
      <c r="AG1170" s="101">
        <f t="shared" si="147"/>
        <v>4.2</v>
      </c>
    </row>
    <row r="1171" spans="33:33" ht="12.75" customHeight="1">
      <c r="AG1171" s="101">
        <f t="shared" si="147"/>
        <v>4.2</v>
      </c>
    </row>
    <row r="1172" spans="33:33" ht="12.75" customHeight="1">
      <c r="AG1172" s="101">
        <f t="shared" si="147"/>
        <v>4.2</v>
      </c>
    </row>
    <row r="1173" spans="33:33" ht="12.75" customHeight="1">
      <c r="AG1173" s="101">
        <f t="shared" si="147"/>
        <v>4.2</v>
      </c>
    </row>
    <row r="1174" spans="33:33" ht="12.75" customHeight="1">
      <c r="AG1174" s="101">
        <f t="shared" si="147"/>
        <v>4.2</v>
      </c>
    </row>
    <row r="1175" spans="33:33" ht="12.75" customHeight="1">
      <c r="AG1175" s="101">
        <f t="shared" si="147"/>
        <v>4.2</v>
      </c>
    </row>
    <row r="1176" spans="33:33" ht="12.75" customHeight="1">
      <c r="AG1176" s="101">
        <f t="shared" si="147"/>
        <v>4.2</v>
      </c>
    </row>
    <row r="1177" spans="33:33" ht="12.75" customHeight="1">
      <c r="AG1177" s="101">
        <f t="shared" si="147"/>
        <v>4.2</v>
      </c>
    </row>
    <row r="1178" spans="33:33" ht="12.75" customHeight="1">
      <c r="AG1178" s="101">
        <f t="shared" ref="AG1178:AG1241" si="148">IF(G1178&lt;0,0,1.2)+IF(G1178&lt;14,0,0.9)+IF(P1178&lt;0,0.7,0)+IF(P1178&lt;6.5,1,0)+IF(P1178&lt;23,1,0)+IF(R1178&gt;80,0,1)+S1178+IF(AD1178&lt;20,0,1)+IF(AE1178&lt;14,0,1)+IF(AF1178&lt;26,0,1)</f>
        <v>4.2</v>
      </c>
    </row>
    <row r="1179" spans="33:33" ht="12.75" customHeight="1">
      <c r="AG1179" s="101">
        <f t="shared" si="148"/>
        <v>4.2</v>
      </c>
    </row>
    <row r="1180" spans="33:33" ht="12.75" customHeight="1">
      <c r="AG1180" s="101">
        <f t="shared" si="148"/>
        <v>4.2</v>
      </c>
    </row>
    <row r="1181" spans="33:33" ht="12.75" customHeight="1">
      <c r="AG1181" s="101">
        <f t="shared" si="148"/>
        <v>4.2</v>
      </c>
    </row>
    <row r="1182" spans="33:33" ht="12.75" customHeight="1">
      <c r="AG1182" s="101">
        <f t="shared" si="148"/>
        <v>4.2</v>
      </c>
    </row>
    <row r="1183" spans="33:33" ht="12.75" customHeight="1">
      <c r="AG1183" s="101">
        <f t="shared" si="148"/>
        <v>4.2</v>
      </c>
    </row>
    <row r="1184" spans="33:33" ht="12.75" customHeight="1">
      <c r="AG1184" s="101">
        <f t="shared" si="148"/>
        <v>4.2</v>
      </c>
    </row>
    <row r="1185" spans="33:33" ht="12.75" customHeight="1">
      <c r="AG1185" s="101">
        <f t="shared" si="148"/>
        <v>4.2</v>
      </c>
    </row>
    <row r="1186" spans="33:33" ht="12.75" customHeight="1">
      <c r="AG1186" s="101">
        <f t="shared" si="148"/>
        <v>4.2</v>
      </c>
    </row>
    <row r="1187" spans="33:33" ht="12.75" customHeight="1">
      <c r="AG1187" s="101">
        <f t="shared" si="148"/>
        <v>4.2</v>
      </c>
    </row>
    <row r="1188" spans="33:33" ht="12.75" customHeight="1">
      <c r="AG1188" s="101">
        <f t="shared" si="148"/>
        <v>4.2</v>
      </c>
    </row>
    <row r="1189" spans="33:33" ht="12.75" customHeight="1">
      <c r="AG1189" s="101">
        <f t="shared" si="148"/>
        <v>4.2</v>
      </c>
    </row>
    <row r="1190" spans="33:33" ht="12.75" customHeight="1">
      <c r="AG1190" s="101">
        <f t="shared" si="148"/>
        <v>4.2</v>
      </c>
    </row>
    <row r="1191" spans="33:33" ht="12.75" customHeight="1">
      <c r="AG1191" s="101">
        <f t="shared" si="148"/>
        <v>4.2</v>
      </c>
    </row>
    <row r="1192" spans="33:33" ht="12.75" customHeight="1">
      <c r="AG1192" s="101">
        <f t="shared" si="148"/>
        <v>4.2</v>
      </c>
    </row>
    <row r="1193" spans="33:33" ht="12.75" customHeight="1">
      <c r="AG1193" s="101">
        <f t="shared" si="148"/>
        <v>4.2</v>
      </c>
    </row>
    <row r="1194" spans="33:33" ht="12.75" customHeight="1">
      <c r="AG1194" s="101">
        <f t="shared" si="148"/>
        <v>4.2</v>
      </c>
    </row>
    <row r="1195" spans="33:33" ht="12.75" customHeight="1">
      <c r="AG1195" s="101">
        <f t="shared" si="148"/>
        <v>4.2</v>
      </c>
    </row>
    <row r="1196" spans="33:33" ht="12.75" customHeight="1">
      <c r="AG1196" s="101">
        <f t="shared" si="148"/>
        <v>4.2</v>
      </c>
    </row>
    <row r="1197" spans="33:33" ht="12.75" customHeight="1">
      <c r="AG1197" s="101">
        <f t="shared" si="148"/>
        <v>4.2</v>
      </c>
    </row>
    <row r="1198" spans="33:33" ht="12.75" customHeight="1">
      <c r="AG1198" s="101">
        <f t="shared" si="148"/>
        <v>4.2</v>
      </c>
    </row>
    <row r="1199" spans="33:33" ht="12.75" customHeight="1">
      <c r="AG1199" s="101">
        <f t="shared" si="148"/>
        <v>4.2</v>
      </c>
    </row>
    <row r="1200" spans="33:33" ht="12.75" customHeight="1">
      <c r="AG1200" s="101">
        <f t="shared" si="148"/>
        <v>4.2</v>
      </c>
    </row>
    <row r="1201" spans="33:33" ht="12.75" customHeight="1">
      <c r="AG1201" s="101">
        <f t="shared" si="148"/>
        <v>4.2</v>
      </c>
    </row>
    <row r="1202" spans="33:33" ht="12.75" customHeight="1">
      <c r="AG1202" s="101">
        <f t="shared" si="148"/>
        <v>4.2</v>
      </c>
    </row>
    <row r="1203" spans="33:33" ht="12.75" customHeight="1">
      <c r="AG1203" s="101">
        <f t="shared" si="148"/>
        <v>4.2</v>
      </c>
    </row>
    <row r="1204" spans="33:33" ht="12.75" customHeight="1">
      <c r="AG1204" s="101">
        <f t="shared" si="148"/>
        <v>4.2</v>
      </c>
    </row>
    <row r="1205" spans="33:33" ht="12.75" customHeight="1">
      <c r="AG1205" s="101">
        <f t="shared" si="148"/>
        <v>4.2</v>
      </c>
    </row>
    <row r="1206" spans="33:33" ht="12.75" customHeight="1">
      <c r="AG1206" s="101">
        <f t="shared" si="148"/>
        <v>4.2</v>
      </c>
    </row>
    <row r="1207" spans="33:33" ht="12.75" customHeight="1">
      <c r="AG1207" s="101">
        <f t="shared" si="148"/>
        <v>4.2</v>
      </c>
    </row>
    <row r="1208" spans="33:33" ht="12.75" customHeight="1">
      <c r="AG1208" s="101">
        <f t="shared" si="148"/>
        <v>4.2</v>
      </c>
    </row>
    <row r="1209" spans="33:33" ht="12.75" customHeight="1">
      <c r="AG1209" s="101">
        <f t="shared" si="148"/>
        <v>4.2</v>
      </c>
    </row>
    <row r="1210" spans="33:33" ht="12.75" customHeight="1">
      <c r="AG1210" s="101">
        <f t="shared" si="148"/>
        <v>4.2</v>
      </c>
    </row>
    <row r="1211" spans="33:33" ht="12.75" customHeight="1">
      <c r="AG1211" s="101">
        <f t="shared" si="148"/>
        <v>4.2</v>
      </c>
    </row>
    <row r="1212" spans="33:33" ht="12.75" customHeight="1">
      <c r="AG1212" s="101">
        <f t="shared" si="148"/>
        <v>4.2</v>
      </c>
    </row>
    <row r="1213" spans="33:33" ht="12.75" customHeight="1">
      <c r="AG1213" s="101">
        <f t="shared" si="148"/>
        <v>4.2</v>
      </c>
    </row>
    <row r="1214" spans="33:33" ht="12.75" customHeight="1">
      <c r="AG1214" s="101">
        <f t="shared" si="148"/>
        <v>4.2</v>
      </c>
    </row>
    <row r="1215" spans="33:33" ht="12.75" customHeight="1">
      <c r="AG1215" s="101">
        <f t="shared" si="148"/>
        <v>4.2</v>
      </c>
    </row>
    <row r="1216" spans="33:33" ht="12.75" customHeight="1">
      <c r="AG1216" s="101">
        <f t="shared" si="148"/>
        <v>4.2</v>
      </c>
    </row>
    <row r="1217" spans="33:33" ht="12.75" customHeight="1">
      <c r="AG1217" s="101">
        <f t="shared" si="148"/>
        <v>4.2</v>
      </c>
    </row>
    <row r="1218" spans="33:33" ht="12.75" customHeight="1">
      <c r="AG1218" s="101">
        <f t="shared" si="148"/>
        <v>4.2</v>
      </c>
    </row>
    <row r="1219" spans="33:33" ht="12.75" customHeight="1">
      <c r="AG1219" s="101">
        <f t="shared" si="148"/>
        <v>4.2</v>
      </c>
    </row>
    <row r="1220" spans="33:33" ht="12.75" customHeight="1">
      <c r="AG1220" s="101">
        <f t="shared" si="148"/>
        <v>4.2</v>
      </c>
    </row>
    <row r="1221" spans="33:33" ht="12.75" customHeight="1">
      <c r="AG1221" s="101">
        <f t="shared" si="148"/>
        <v>4.2</v>
      </c>
    </row>
    <row r="1222" spans="33:33" ht="12.75" customHeight="1">
      <c r="AG1222" s="101">
        <f t="shared" si="148"/>
        <v>4.2</v>
      </c>
    </row>
    <row r="1223" spans="33:33" ht="12.75" customHeight="1">
      <c r="AG1223" s="101">
        <f t="shared" si="148"/>
        <v>4.2</v>
      </c>
    </row>
    <row r="1224" spans="33:33" ht="12.75" customHeight="1">
      <c r="AG1224" s="101">
        <f t="shared" si="148"/>
        <v>4.2</v>
      </c>
    </row>
    <row r="1225" spans="33:33" ht="12.75" customHeight="1">
      <c r="AG1225" s="101">
        <f t="shared" si="148"/>
        <v>4.2</v>
      </c>
    </row>
    <row r="1226" spans="33:33" ht="12.75" customHeight="1">
      <c r="AG1226" s="101">
        <f t="shared" si="148"/>
        <v>4.2</v>
      </c>
    </row>
    <row r="1227" spans="33:33" ht="12.75" customHeight="1">
      <c r="AG1227" s="101">
        <f t="shared" si="148"/>
        <v>4.2</v>
      </c>
    </row>
    <row r="1228" spans="33:33" ht="12.75" customHeight="1">
      <c r="AG1228" s="101">
        <f t="shared" si="148"/>
        <v>4.2</v>
      </c>
    </row>
    <row r="1229" spans="33:33" ht="12.75" customHeight="1">
      <c r="AG1229" s="101">
        <f t="shared" si="148"/>
        <v>4.2</v>
      </c>
    </row>
    <row r="1230" spans="33:33" ht="12.75" customHeight="1">
      <c r="AG1230" s="101">
        <f t="shared" si="148"/>
        <v>4.2</v>
      </c>
    </row>
    <row r="1231" spans="33:33" ht="12.75" customHeight="1">
      <c r="AG1231" s="101">
        <f t="shared" si="148"/>
        <v>4.2</v>
      </c>
    </row>
    <row r="1232" spans="33:33" ht="12.75" customHeight="1">
      <c r="AG1232" s="101">
        <f t="shared" si="148"/>
        <v>4.2</v>
      </c>
    </row>
    <row r="1233" spans="33:33" ht="12.75" customHeight="1">
      <c r="AG1233" s="101">
        <f t="shared" si="148"/>
        <v>4.2</v>
      </c>
    </row>
    <row r="1234" spans="33:33" ht="12.75" customHeight="1">
      <c r="AG1234" s="101">
        <f t="shared" si="148"/>
        <v>4.2</v>
      </c>
    </row>
    <row r="1235" spans="33:33" ht="12.75" customHeight="1">
      <c r="AG1235" s="101">
        <f t="shared" si="148"/>
        <v>4.2</v>
      </c>
    </row>
    <row r="1236" spans="33:33" ht="12.75" customHeight="1">
      <c r="AG1236" s="101">
        <f t="shared" si="148"/>
        <v>4.2</v>
      </c>
    </row>
    <row r="1237" spans="33:33" ht="12.75" customHeight="1">
      <c r="AG1237" s="101">
        <f t="shared" si="148"/>
        <v>4.2</v>
      </c>
    </row>
    <row r="1238" spans="33:33" ht="12.75" customHeight="1">
      <c r="AG1238" s="101">
        <f t="shared" si="148"/>
        <v>4.2</v>
      </c>
    </row>
    <row r="1239" spans="33:33" ht="12.75" customHeight="1">
      <c r="AG1239" s="101">
        <f t="shared" si="148"/>
        <v>4.2</v>
      </c>
    </row>
    <row r="1240" spans="33:33" ht="12.75" customHeight="1">
      <c r="AG1240" s="101">
        <f t="shared" si="148"/>
        <v>4.2</v>
      </c>
    </row>
    <row r="1241" spans="33:33" ht="12.75" customHeight="1">
      <c r="AG1241" s="101">
        <f t="shared" si="148"/>
        <v>4.2</v>
      </c>
    </row>
    <row r="1242" spans="33:33" ht="12.75" customHeight="1">
      <c r="AG1242" s="101">
        <f t="shared" ref="AG1242:AG1305" si="149">IF(G1242&lt;0,0,1.2)+IF(G1242&lt;14,0,0.9)+IF(P1242&lt;0,0.7,0)+IF(P1242&lt;6.5,1,0)+IF(P1242&lt;23,1,0)+IF(R1242&gt;80,0,1)+S1242+IF(AD1242&lt;20,0,1)+IF(AE1242&lt;14,0,1)+IF(AF1242&lt;26,0,1)</f>
        <v>4.2</v>
      </c>
    </row>
    <row r="1243" spans="33:33" ht="12.75" customHeight="1">
      <c r="AG1243" s="101">
        <f t="shared" si="149"/>
        <v>4.2</v>
      </c>
    </row>
    <row r="1244" spans="33:33" ht="12.75" customHeight="1">
      <c r="AG1244" s="101">
        <f t="shared" si="149"/>
        <v>4.2</v>
      </c>
    </row>
    <row r="1245" spans="33:33" ht="12.75" customHeight="1">
      <c r="AG1245" s="101">
        <f t="shared" si="149"/>
        <v>4.2</v>
      </c>
    </row>
    <row r="1246" spans="33:33" ht="12.75" customHeight="1">
      <c r="AG1246" s="101">
        <f t="shared" si="149"/>
        <v>4.2</v>
      </c>
    </row>
    <row r="1247" spans="33:33" ht="12.75" customHeight="1">
      <c r="AG1247" s="101">
        <f t="shared" si="149"/>
        <v>4.2</v>
      </c>
    </row>
    <row r="1248" spans="33:33" ht="12.75" customHeight="1">
      <c r="AG1248" s="101">
        <f t="shared" si="149"/>
        <v>4.2</v>
      </c>
    </row>
    <row r="1249" spans="33:33" ht="12.75" customHeight="1">
      <c r="AG1249" s="101">
        <f t="shared" si="149"/>
        <v>4.2</v>
      </c>
    </row>
    <row r="1250" spans="33:33" ht="12.75" customHeight="1">
      <c r="AG1250" s="101">
        <f t="shared" si="149"/>
        <v>4.2</v>
      </c>
    </row>
    <row r="1251" spans="33:33" ht="12.75" customHeight="1">
      <c r="AG1251" s="101">
        <f t="shared" si="149"/>
        <v>4.2</v>
      </c>
    </row>
    <row r="1252" spans="33:33" ht="12.75" customHeight="1">
      <c r="AG1252" s="101">
        <f t="shared" si="149"/>
        <v>4.2</v>
      </c>
    </row>
    <row r="1253" spans="33:33" ht="12.75" customHeight="1">
      <c r="AG1253" s="101">
        <f t="shared" si="149"/>
        <v>4.2</v>
      </c>
    </row>
    <row r="1254" spans="33:33" ht="12.75" customHeight="1">
      <c r="AG1254" s="101">
        <f t="shared" si="149"/>
        <v>4.2</v>
      </c>
    </row>
    <row r="1255" spans="33:33" ht="12.75" customHeight="1">
      <c r="AG1255" s="101">
        <f t="shared" si="149"/>
        <v>4.2</v>
      </c>
    </row>
    <row r="1256" spans="33:33" ht="12.75" customHeight="1">
      <c r="AG1256" s="101">
        <f t="shared" si="149"/>
        <v>4.2</v>
      </c>
    </row>
    <row r="1257" spans="33:33" ht="12.75" customHeight="1">
      <c r="AG1257" s="101">
        <f t="shared" si="149"/>
        <v>4.2</v>
      </c>
    </row>
    <row r="1258" spans="33:33" ht="12.75" customHeight="1">
      <c r="AG1258" s="101">
        <f t="shared" si="149"/>
        <v>4.2</v>
      </c>
    </row>
    <row r="1259" spans="33:33" ht="12.75" customHeight="1">
      <c r="AG1259" s="101">
        <f t="shared" si="149"/>
        <v>4.2</v>
      </c>
    </row>
    <row r="1260" spans="33:33" ht="12.75" customHeight="1">
      <c r="AG1260" s="101">
        <f t="shared" si="149"/>
        <v>4.2</v>
      </c>
    </row>
    <row r="1261" spans="33:33" ht="12.75" customHeight="1">
      <c r="AG1261" s="101">
        <f t="shared" si="149"/>
        <v>4.2</v>
      </c>
    </row>
    <row r="1262" spans="33:33" ht="12.75" customHeight="1">
      <c r="AG1262" s="101">
        <f t="shared" si="149"/>
        <v>4.2</v>
      </c>
    </row>
    <row r="1263" spans="33:33" ht="12.75" customHeight="1">
      <c r="AG1263" s="101">
        <f t="shared" si="149"/>
        <v>4.2</v>
      </c>
    </row>
    <row r="1264" spans="33:33" ht="12.75" customHeight="1">
      <c r="AG1264" s="101">
        <f t="shared" si="149"/>
        <v>4.2</v>
      </c>
    </row>
    <row r="1265" spans="33:33" ht="12.75" customHeight="1">
      <c r="AG1265" s="101">
        <f t="shared" si="149"/>
        <v>4.2</v>
      </c>
    </row>
    <row r="1266" spans="33:33" ht="12.75" customHeight="1">
      <c r="AG1266" s="101">
        <f t="shared" si="149"/>
        <v>4.2</v>
      </c>
    </row>
    <row r="1267" spans="33:33" ht="12.75" customHeight="1">
      <c r="AG1267" s="101">
        <f t="shared" si="149"/>
        <v>4.2</v>
      </c>
    </row>
    <row r="1268" spans="33:33" ht="12.75" customHeight="1">
      <c r="AG1268" s="101">
        <f t="shared" si="149"/>
        <v>4.2</v>
      </c>
    </row>
    <row r="1269" spans="33:33" ht="12.75" customHeight="1">
      <c r="AG1269" s="101">
        <f t="shared" si="149"/>
        <v>4.2</v>
      </c>
    </row>
    <row r="1270" spans="33:33" ht="12.75" customHeight="1">
      <c r="AG1270" s="101">
        <f t="shared" si="149"/>
        <v>4.2</v>
      </c>
    </row>
    <row r="1271" spans="33:33" ht="12.75" customHeight="1">
      <c r="AG1271" s="101">
        <f t="shared" si="149"/>
        <v>4.2</v>
      </c>
    </row>
    <row r="1272" spans="33:33" ht="12.75" customHeight="1">
      <c r="AG1272" s="101">
        <f t="shared" si="149"/>
        <v>4.2</v>
      </c>
    </row>
    <row r="1273" spans="33:33" ht="12.75" customHeight="1">
      <c r="AG1273" s="101">
        <f t="shared" si="149"/>
        <v>4.2</v>
      </c>
    </row>
    <row r="1274" spans="33:33" ht="12.75" customHeight="1">
      <c r="AG1274" s="101">
        <f t="shared" si="149"/>
        <v>4.2</v>
      </c>
    </row>
    <row r="1275" spans="33:33" ht="12.75" customHeight="1">
      <c r="AG1275" s="101">
        <f t="shared" si="149"/>
        <v>4.2</v>
      </c>
    </row>
    <row r="1276" spans="33:33" ht="12.75" customHeight="1">
      <c r="AG1276" s="101">
        <f t="shared" si="149"/>
        <v>4.2</v>
      </c>
    </row>
    <row r="1277" spans="33:33" ht="12.75" customHeight="1">
      <c r="AG1277" s="101">
        <f t="shared" si="149"/>
        <v>4.2</v>
      </c>
    </row>
    <row r="1278" spans="33:33" ht="12.75" customHeight="1">
      <c r="AG1278" s="101">
        <f t="shared" si="149"/>
        <v>4.2</v>
      </c>
    </row>
    <row r="1279" spans="33:33" ht="12.75" customHeight="1">
      <c r="AG1279" s="101">
        <f t="shared" si="149"/>
        <v>4.2</v>
      </c>
    </row>
    <row r="1280" spans="33:33" ht="12.75" customHeight="1">
      <c r="AG1280" s="101">
        <f t="shared" si="149"/>
        <v>4.2</v>
      </c>
    </row>
    <row r="1281" spans="33:33" ht="12.75" customHeight="1">
      <c r="AG1281" s="101">
        <f t="shared" si="149"/>
        <v>4.2</v>
      </c>
    </row>
    <row r="1282" spans="33:33" ht="12.75" customHeight="1">
      <c r="AG1282" s="101">
        <f t="shared" si="149"/>
        <v>4.2</v>
      </c>
    </row>
    <row r="1283" spans="33:33" ht="12.75" customHeight="1">
      <c r="AG1283" s="101">
        <f t="shared" si="149"/>
        <v>4.2</v>
      </c>
    </row>
    <row r="1284" spans="33:33" ht="12.75" customHeight="1">
      <c r="AG1284" s="101">
        <f t="shared" si="149"/>
        <v>4.2</v>
      </c>
    </row>
    <row r="1285" spans="33:33" ht="12.75" customHeight="1">
      <c r="AG1285" s="101">
        <f t="shared" si="149"/>
        <v>4.2</v>
      </c>
    </row>
    <row r="1286" spans="33:33" ht="12.75" customHeight="1">
      <c r="AG1286" s="101">
        <f t="shared" si="149"/>
        <v>4.2</v>
      </c>
    </row>
    <row r="1287" spans="33:33" ht="12.75" customHeight="1">
      <c r="AG1287" s="101">
        <f t="shared" si="149"/>
        <v>4.2</v>
      </c>
    </row>
    <row r="1288" spans="33:33" ht="12.75" customHeight="1">
      <c r="AG1288" s="101">
        <f t="shared" si="149"/>
        <v>4.2</v>
      </c>
    </row>
    <row r="1289" spans="33:33" ht="12.75" customHeight="1">
      <c r="AG1289" s="101">
        <f t="shared" si="149"/>
        <v>4.2</v>
      </c>
    </row>
    <row r="1290" spans="33:33" ht="12.75" customHeight="1">
      <c r="AG1290" s="101">
        <f t="shared" si="149"/>
        <v>4.2</v>
      </c>
    </row>
    <row r="1291" spans="33:33" ht="12.75" customHeight="1">
      <c r="AG1291" s="101">
        <f t="shared" si="149"/>
        <v>4.2</v>
      </c>
    </row>
    <row r="1292" spans="33:33" ht="12.75" customHeight="1">
      <c r="AG1292" s="101">
        <f t="shared" si="149"/>
        <v>4.2</v>
      </c>
    </row>
    <row r="1293" spans="33:33" ht="12.75" customHeight="1">
      <c r="AG1293" s="101">
        <f t="shared" si="149"/>
        <v>4.2</v>
      </c>
    </row>
    <row r="1294" spans="33:33" ht="12.75" customHeight="1">
      <c r="AG1294" s="101">
        <f t="shared" si="149"/>
        <v>4.2</v>
      </c>
    </row>
    <row r="1295" spans="33:33" ht="12.75" customHeight="1">
      <c r="AG1295" s="101">
        <f t="shared" si="149"/>
        <v>4.2</v>
      </c>
    </row>
    <row r="1296" spans="33:33" ht="12.75" customHeight="1">
      <c r="AG1296" s="101">
        <f t="shared" si="149"/>
        <v>4.2</v>
      </c>
    </row>
    <row r="1297" spans="33:33" ht="12.75" customHeight="1">
      <c r="AG1297" s="101">
        <f t="shared" si="149"/>
        <v>4.2</v>
      </c>
    </row>
    <row r="1298" spans="33:33" ht="12.75" customHeight="1">
      <c r="AG1298" s="101">
        <f t="shared" si="149"/>
        <v>4.2</v>
      </c>
    </row>
    <row r="1299" spans="33:33" ht="12.75" customHeight="1">
      <c r="AG1299" s="101">
        <f t="shared" si="149"/>
        <v>4.2</v>
      </c>
    </row>
    <row r="1300" spans="33:33" ht="12.75" customHeight="1">
      <c r="AG1300" s="101">
        <f t="shared" si="149"/>
        <v>4.2</v>
      </c>
    </row>
    <row r="1301" spans="33:33" ht="12.75" customHeight="1">
      <c r="AG1301" s="101">
        <f t="shared" si="149"/>
        <v>4.2</v>
      </c>
    </row>
    <row r="1302" spans="33:33" ht="12.75" customHeight="1">
      <c r="AG1302" s="101">
        <f t="shared" si="149"/>
        <v>4.2</v>
      </c>
    </row>
    <row r="1303" spans="33:33" ht="12.75" customHeight="1">
      <c r="AG1303" s="101">
        <f t="shared" si="149"/>
        <v>4.2</v>
      </c>
    </row>
    <row r="1304" spans="33:33" ht="12.75" customHeight="1">
      <c r="AG1304" s="101">
        <f t="shared" si="149"/>
        <v>4.2</v>
      </c>
    </row>
    <row r="1305" spans="33:33" ht="12.75" customHeight="1">
      <c r="AG1305" s="101">
        <f t="shared" si="149"/>
        <v>4.2</v>
      </c>
    </row>
    <row r="1306" spans="33:33" ht="12.75" customHeight="1">
      <c r="AG1306" s="101">
        <f t="shared" ref="AG1306:AG1369" si="150">IF(G1306&lt;0,0,1.2)+IF(G1306&lt;14,0,0.9)+IF(P1306&lt;0,0.7,0)+IF(P1306&lt;6.5,1,0)+IF(P1306&lt;23,1,0)+IF(R1306&gt;80,0,1)+S1306+IF(AD1306&lt;20,0,1)+IF(AE1306&lt;14,0,1)+IF(AF1306&lt;26,0,1)</f>
        <v>4.2</v>
      </c>
    </row>
    <row r="1307" spans="33:33" ht="12.75" customHeight="1">
      <c r="AG1307" s="101">
        <f t="shared" si="150"/>
        <v>4.2</v>
      </c>
    </row>
    <row r="1308" spans="33:33" ht="12.75" customHeight="1">
      <c r="AG1308" s="101">
        <f t="shared" si="150"/>
        <v>4.2</v>
      </c>
    </row>
    <row r="1309" spans="33:33" ht="12.75" customHeight="1">
      <c r="AG1309" s="101">
        <f t="shared" si="150"/>
        <v>4.2</v>
      </c>
    </row>
    <row r="1310" spans="33:33" ht="12.75" customHeight="1">
      <c r="AG1310" s="101">
        <f t="shared" si="150"/>
        <v>4.2</v>
      </c>
    </row>
    <row r="1311" spans="33:33" ht="12.75" customHeight="1">
      <c r="AG1311" s="101">
        <f t="shared" si="150"/>
        <v>4.2</v>
      </c>
    </row>
    <row r="1312" spans="33:33" ht="12.75" customHeight="1">
      <c r="AG1312" s="101">
        <f t="shared" si="150"/>
        <v>4.2</v>
      </c>
    </row>
    <row r="1313" spans="33:33" ht="12.75" customHeight="1">
      <c r="AG1313" s="101">
        <f t="shared" si="150"/>
        <v>4.2</v>
      </c>
    </row>
    <row r="1314" spans="33:33" ht="12.75" customHeight="1">
      <c r="AG1314" s="101">
        <f t="shared" si="150"/>
        <v>4.2</v>
      </c>
    </row>
    <row r="1315" spans="33:33" ht="12.75" customHeight="1">
      <c r="AG1315" s="101">
        <f t="shared" si="150"/>
        <v>4.2</v>
      </c>
    </row>
    <row r="1316" spans="33:33" ht="12.75" customHeight="1">
      <c r="AG1316" s="101">
        <f t="shared" si="150"/>
        <v>4.2</v>
      </c>
    </row>
    <row r="1317" spans="33:33" ht="12.75" customHeight="1">
      <c r="AG1317" s="101">
        <f t="shared" si="150"/>
        <v>4.2</v>
      </c>
    </row>
    <row r="1318" spans="33:33" ht="12.75" customHeight="1">
      <c r="AG1318" s="101">
        <f t="shared" si="150"/>
        <v>4.2</v>
      </c>
    </row>
    <row r="1319" spans="33:33" ht="12.75" customHeight="1">
      <c r="AG1319" s="101">
        <f t="shared" si="150"/>
        <v>4.2</v>
      </c>
    </row>
    <row r="1320" spans="33:33" ht="12.75" customHeight="1">
      <c r="AG1320" s="101">
        <f t="shared" si="150"/>
        <v>4.2</v>
      </c>
    </row>
    <row r="1321" spans="33:33" ht="12.75" customHeight="1">
      <c r="AG1321" s="101">
        <f t="shared" si="150"/>
        <v>4.2</v>
      </c>
    </row>
    <row r="1322" spans="33:33" ht="12.75" customHeight="1">
      <c r="AG1322" s="101">
        <f t="shared" si="150"/>
        <v>4.2</v>
      </c>
    </row>
    <row r="1323" spans="33:33" ht="12.75" customHeight="1">
      <c r="AG1323" s="101">
        <f t="shared" si="150"/>
        <v>4.2</v>
      </c>
    </row>
    <row r="1324" spans="33:33" ht="12.75" customHeight="1">
      <c r="AG1324" s="101">
        <f t="shared" si="150"/>
        <v>4.2</v>
      </c>
    </row>
    <row r="1325" spans="33:33" ht="12.75" customHeight="1">
      <c r="AG1325" s="101">
        <f t="shared" si="150"/>
        <v>4.2</v>
      </c>
    </row>
    <row r="1326" spans="33:33" ht="12.75" customHeight="1">
      <c r="AG1326" s="101">
        <f t="shared" si="150"/>
        <v>4.2</v>
      </c>
    </row>
    <row r="1327" spans="33:33" ht="12.75" customHeight="1">
      <c r="AG1327" s="101">
        <f t="shared" si="150"/>
        <v>4.2</v>
      </c>
    </row>
    <row r="1328" spans="33:33" ht="12.75" customHeight="1">
      <c r="AG1328" s="101">
        <f t="shared" si="150"/>
        <v>4.2</v>
      </c>
    </row>
    <row r="1329" spans="33:33" ht="12.75" customHeight="1">
      <c r="AG1329" s="101">
        <f t="shared" si="150"/>
        <v>4.2</v>
      </c>
    </row>
    <row r="1330" spans="33:33" ht="12.75" customHeight="1">
      <c r="AG1330" s="101">
        <f t="shared" si="150"/>
        <v>4.2</v>
      </c>
    </row>
    <row r="1331" spans="33:33" ht="12.75" customHeight="1">
      <c r="AG1331" s="101">
        <f t="shared" si="150"/>
        <v>4.2</v>
      </c>
    </row>
    <row r="1332" spans="33:33" ht="12.75" customHeight="1">
      <c r="AG1332" s="101">
        <f t="shared" si="150"/>
        <v>4.2</v>
      </c>
    </row>
    <row r="1333" spans="33:33" ht="12.75" customHeight="1">
      <c r="AG1333" s="101">
        <f t="shared" si="150"/>
        <v>4.2</v>
      </c>
    </row>
    <row r="1334" spans="33:33" ht="12.75" customHeight="1">
      <c r="AG1334" s="101">
        <f t="shared" si="150"/>
        <v>4.2</v>
      </c>
    </row>
    <row r="1335" spans="33:33" ht="12.75" customHeight="1">
      <c r="AG1335" s="101">
        <f t="shared" si="150"/>
        <v>4.2</v>
      </c>
    </row>
    <row r="1336" spans="33:33" ht="12.75" customHeight="1">
      <c r="AG1336" s="101">
        <f t="shared" si="150"/>
        <v>4.2</v>
      </c>
    </row>
    <row r="1337" spans="33:33" ht="12.75" customHeight="1">
      <c r="AG1337" s="101">
        <f t="shared" si="150"/>
        <v>4.2</v>
      </c>
    </row>
    <row r="1338" spans="33:33" ht="12.75" customHeight="1">
      <c r="AG1338" s="101">
        <f t="shared" si="150"/>
        <v>4.2</v>
      </c>
    </row>
    <row r="1339" spans="33:33" ht="12.75" customHeight="1">
      <c r="AG1339" s="101">
        <f t="shared" si="150"/>
        <v>4.2</v>
      </c>
    </row>
    <row r="1340" spans="33:33" ht="12.75" customHeight="1">
      <c r="AG1340" s="101">
        <f t="shared" si="150"/>
        <v>4.2</v>
      </c>
    </row>
    <row r="1341" spans="33:33" ht="12.75" customHeight="1">
      <c r="AG1341" s="101">
        <f t="shared" si="150"/>
        <v>4.2</v>
      </c>
    </row>
    <row r="1342" spans="33:33" ht="12.75" customHeight="1">
      <c r="AG1342" s="101">
        <f t="shared" si="150"/>
        <v>4.2</v>
      </c>
    </row>
    <row r="1343" spans="33:33" ht="12.75" customHeight="1">
      <c r="AG1343" s="101">
        <f t="shared" si="150"/>
        <v>4.2</v>
      </c>
    </row>
    <row r="1344" spans="33:33" ht="12.75" customHeight="1">
      <c r="AG1344" s="101">
        <f t="shared" si="150"/>
        <v>4.2</v>
      </c>
    </row>
    <row r="1345" spans="33:33" ht="12.75" customHeight="1">
      <c r="AG1345" s="101">
        <f t="shared" si="150"/>
        <v>4.2</v>
      </c>
    </row>
    <row r="1346" spans="33:33" ht="12.75" customHeight="1">
      <c r="AG1346" s="101">
        <f t="shared" si="150"/>
        <v>4.2</v>
      </c>
    </row>
    <row r="1347" spans="33:33" ht="12.75" customHeight="1">
      <c r="AG1347" s="101">
        <f t="shared" si="150"/>
        <v>4.2</v>
      </c>
    </row>
    <row r="1348" spans="33:33" ht="12.75" customHeight="1">
      <c r="AG1348" s="101">
        <f t="shared" si="150"/>
        <v>4.2</v>
      </c>
    </row>
    <row r="1349" spans="33:33" ht="12.75" customHeight="1">
      <c r="AG1349" s="101">
        <f t="shared" si="150"/>
        <v>4.2</v>
      </c>
    </row>
    <row r="1350" spans="33:33" ht="12.75" customHeight="1">
      <c r="AG1350" s="101">
        <f t="shared" si="150"/>
        <v>4.2</v>
      </c>
    </row>
    <row r="1351" spans="33:33" ht="12.75" customHeight="1">
      <c r="AG1351" s="101">
        <f t="shared" si="150"/>
        <v>4.2</v>
      </c>
    </row>
    <row r="1352" spans="33:33" ht="12.75" customHeight="1">
      <c r="AG1352" s="101">
        <f t="shared" si="150"/>
        <v>4.2</v>
      </c>
    </row>
    <row r="1353" spans="33:33" ht="12.75" customHeight="1">
      <c r="AG1353" s="101">
        <f t="shared" si="150"/>
        <v>4.2</v>
      </c>
    </row>
    <row r="1354" spans="33:33" ht="12.75" customHeight="1">
      <c r="AG1354" s="101">
        <f t="shared" si="150"/>
        <v>4.2</v>
      </c>
    </row>
    <row r="1355" spans="33:33" ht="12.75" customHeight="1">
      <c r="AG1355" s="101">
        <f t="shared" si="150"/>
        <v>4.2</v>
      </c>
    </row>
    <row r="1356" spans="33:33" ht="12.75" customHeight="1">
      <c r="AG1356" s="101">
        <f t="shared" si="150"/>
        <v>4.2</v>
      </c>
    </row>
    <row r="1357" spans="33:33" ht="12.75" customHeight="1">
      <c r="AG1357" s="101">
        <f t="shared" si="150"/>
        <v>4.2</v>
      </c>
    </row>
    <row r="1358" spans="33:33" ht="12.75" customHeight="1">
      <c r="AG1358" s="101">
        <f t="shared" si="150"/>
        <v>4.2</v>
      </c>
    </row>
    <row r="1359" spans="33:33" ht="12.75" customHeight="1">
      <c r="AG1359" s="101">
        <f t="shared" si="150"/>
        <v>4.2</v>
      </c>
    </row>
    <row r="1360" spans="33:33" ht="12.75" customHeight="1">
      <c r="AG1360" s="101">
        <f t="shared" si="150"/>
        <v>4.2</v>
      </c>
    </row>
    <row r="1361" spans="33:33" ht="12.75" customHeight="1">
      <c r="AG1361" s="101">
        <f t="shared" si="150"/>
        <v>4.2</v>
      </c>
    </row>
    <row r="1362" spans="33:33" ht="12.75" customHeight="1">
      <c r="AG1362" s="101">
        <f t="shared" si="150"/>
        <v>4.2</v>
      </c>
    </row>
    <row r="1363" spans="33:33" ht="12.75" customHeight="1">
      <c r="AG1363" s="101">
        <f t="shared" si="150"/>
        <v>4.2</v>
      </c>
    </row>
    <row r="1364" spans="33:33" ht="12.75" customHeight="1">
      <c r="AG1364" s="101">
        <f t="shared" si="150"/>
        <v>4.2</v>
      </c>
    </row>
    <row r="1365" spans="33:33" ht="12.75" customHeight="1">
      <c r="AG1365" s="101">
        <f t="shared" si="150"/>
        <v>4.2</v>
      </c>
    </row>
    <row r="1366" spans="33:33" ht="12.75" customHeight="1">
      <c r="AG1366" s="101">
        <f t="shared" si="150"/>
        <v>4.2</v>
      </c>
    </row>
    <row r="1367" spans="33:33" ht="12.75" customHeight="1">
      <c r="AG1367" s="101">
        <f t="shared" si="150"/>
        <v>4.2</v>
      </c>
    </row>
    <row r="1368" spans="33:33" ht="12.75" customHeight="1">
      <c r="AG1368" s="101">
        <f t="shared" si="150"/>
        <v>4.2</v>
      </c>
    </row>
    <row r="1369" spans="33:33" ht="12.75" customHeight="1">
      <c r="AG1369" s="101">
        <f t="shared" si="150"/>
        <v>4.2</v>
      </c>
    </row>
    <row r="1370" spans="33:33" ht="12.75" customHeight="1">
      <c r="AG1370" s="101">
        <f t="shared" ref="AG1370:AG1433" si="151">IF(G1370&lt;0,0,1.2)+IF(G1370&lt;14,0,0.9)+IF(P1370&lt;0,0.7,0)+IF(P1370&lt;6.5,1,0)+IF(P1370&lt;23,1,0)+IF(R1370&gt;80,0,1)+S1370+IF(AD1370&lt;20,0,1)+IF(AE1370&lt;14,0,1)+IF(AF1370&lt;26,0,1)</f>
        <v>4.2</v>
      </c>
    </row>
    <row r="1371" spans="33:33" ht="12.75" customHeight="1">
      <c r="AG1371" s="101">
        <f t="shared" si="151"/>
        <v>4.2</v>
      </c>
    </row>
    <row r="1372" spans="33:33" ht="12.75" customHeight="1">
      <c r="AG1372" s="101">
        <f t="shared" si="151"/>
        <v>4.2</v>
      </c>
    </row>
    <row r="1373" spans="33:33" ht="12.75" customHeight="1">
      <c r="AG1373" s="101">
        <f t="shared" si="151"/>
        <v>4.2</v>
      </c>
    </row>
    <row r="1374" spans="33:33" ht="12.75" customHeight="1">
      <c r="AG1374" s="101">
        <f t="shared" si="151"/>
        <v>4.2</v>
      </c>
    </row>
    <row r="1375" spans="33:33" ht="12.75" customHeight="1">
      <c r="AG1375" s="101">
        <f t="shared" si="151"/>
        <v>4.2</v>
      </c>
    </row>
    <row r="1376" spans="33:33" ht="12.75" customHeight="1">
      <c r="AG1376" s="101">
        <f t="shared" si="151"/>
        <v>4.2</v>
      </c>
    </row>
    <row r="1377" spans="33:33" ht="12.75" customHeight="1">
      <c r="AG1377" s="101">
        <f t="shared" si="151"/>
        <v>4.2</v>
      </c>
    </row>
    <row r="1378" spans="33:33" ht="12.75" customHeight="1">
      <c r="AG1378" s="101">
        <f t="shared" si="151"/>
        <v>4.2</v>
      </c>
    </row>
    <row r="1379" spans="33:33" ht="12.75" customHeight="1">
      <c r="AG1379" s="101">
        <f t="shared" si="151"/>
        <v>4.2</v>
      </c>
    </row>
    <row r="1380" spans="33:33" ht="12.75" customHeight="1">
      <c r="AG1380" s="101">
        <f t="shared" si="151"/>
        <v>4.2</v>
      </c>
    </row>
    <row r="1381" spans="33:33" ht="12.75" customHeight="1">
      <c r="AG1381" s="101">
        <f t="shared" si="151"/>
        <v>4.2</v>
      </c>
    </row>
    <row r="1382" spans="33:33" ht="12.75" customHeight="1">
      <c r="AG1382" s="101">
        <f t="shared" si="151"/>
        <v>4.2</v>
      </c>
    </row>
    <row r="1383" spans="33:33" ht="12.75" customHeight="1">
      <c r="AG1383" s="101">
        <f t="shared" si="151"/>
        <v>4.2</v>
      </c>
    </row>
    <row r="1384" spans="33:33" ht="12.75" customHeight="1">
      <c r="AG1384" s="101">
        <f t="shared" si="151"/>
        <v>4.2</v>
      </c>
    </row>
    <row r="1385" spans="33:33" ht="12.75" customHeight="1">
      <c r="AG1385" s="101">
        <f t="shared" si="151"/>
        <v>4.2</v>
      </c>
    </row>
    <row r="1386" spans="33:33" ht="12.75" customHeight="1">
      <c r="AG1386" s="101">
        <f t="shared" si="151"/>
        <v>4.2</v>
      </c>
    </row>
    <row r="1387" spans="33:33" ht="12.75" customHeight="1">
      <c r="AG1387" s="101">
        <f t="shared" si="151"/>
        <v>4.2</v>
      </c>
    </row>
    <row r="1388" spans="33:33" ht="12.75" customHeight="1">
      <c r="AG1388" s="101">
        <f t="shared" si="151"/>
        <v>4.2</v>
      </c>
    </row>
    <row r="1389" spans="33:33" ht="12.75" customHeight="1">
      <c r="AG1389" s="101">
        <f t="shared" si="151"/>
        <v>4.2</v>
      </c>
    </row>
    <row r="1390" spans="33:33" ht="12.75" customHeight="1">
      <c r="AG1390" s="101">
        <f t="shared" si="151"/>
        <v>4.2</v>
      </c>
    </row>
    <row r="1391" spans="33:33" ht="12.75" customHeight="1">
      <c r="AG1391" s="101">
        <f t="shared" si="151"/>
        <v>4.2</v>
      </c>
    </row>
    <row r="1392" spans="33:33" ht="12.75" customHeight="1">
      <c r="AG1392" s="101">
        <f t="shared" si="151"/>
        <v>4.2</v>
      </c>
    </row>
    <row r="1393" spans="33:33" ht="12.75" customHeight="1">
      <c r="AG1393" s="101">
        <f t="shared" si="151"/>
        <v>4.2</v>
      </c>
    </row>
    <row r="1394" spans="33:33" ht="12.75" customHeight="1">
      <c r="AG1394" s="101">
        <f t="shared" si="151"/>
        <v>4.2</v>
      </c>
    </row>
    <row r="1395" spans="33:33" ht="12.75" customHeight="1">
      <c r="AG1395" s="101">
        <f t="shared" si="151"/>
        <v>4.2</v>
      </c>
    </row>
    <row r="1396" spans="33:33" ht="12.75" customHeight="1">
      <c r="AG1396" s="101">
        <f t="shared" si="151"/>
        <v>4.2</v>
      </c>
    </row>
    <row r="1397" spans="33:33" ht="12.75" customHeight="1">
      <c r="AG1397" s="101">
        <f t="shared" si="151"/>
        <v>4.2</v>
      </c>
    </row>
    <row r="1398" spans="33:33" ht="12.75" customHeight="1">
      <c r="AG1398" s="101">
        <f t="shared" si="151"/>
        <v>4.2</v>
      </c>
    </row>
    <row r="1399" spans="33:33" ht="12.75" customHeight="1">
      <c r="AG1399" s="101">
        <f t="shared" si="151"/>
        <v>4.2</v>
      </c>
    </row>
    <row r="1400" spans="33:33" ht="12.75" customHeight="1">
      <c r="AG1400" s="101">
        <f t="shared" si="151"/>
        <v>4.2</v>
      </c>
    </row>
    <row r="1401" spans="33:33" ht="12.75" customHeight="1">
      <c r="AG1401" s="101">
        <f t="shared" si="151"/>
        <v>4.2</v>
      </c>
    </row>
    <row r="1402" spans="33:33" ht="12.75" customHeight="1">
      <c r="AG1402" s="101">
        <f t="shared" si="151"/>
        <v>4.2</v>
      </c>
    </row>
    <row r="1403" spans="33:33" ht="12.75" customHeight="1">
      <c r="AG1403" s="101">
        <f t="shared" si="151"/>
        <v>4.2</v>
      </c>
    </row>
    <row r="1404" spans="33:33" ht="12.75" customHeight="1">
      <c r="AG1404" s="101">
        <f t="shared" si="151"/>
        <v>4.2</v>
      </c>
    </row>
    <row r="1405" spans="33:33" ht="12.75" customHeight="1">
      <c r="AG1405" s="101">
        <f t="shared" si="151"/>
        <v>4.2</v>
      </c>
    </row>
    <row r="1406" spans="33:33" ht="12.75" customHeight="1">
      <c r="AG1406" s="101">
        <f t="shared" si="151"/>
        <v>4.2</v>
      </c>
    </row>
    <row r="1407" spans="33:33" ht="12.75" customHeight="1">
      <c r="AG1407" s="101">
        <f t="shared" si="151"/>
        <v>4.2</v>
      </c>
    </row>
    <row r="1408" spans="33:33" ht="12.75" customHeight="1">
      <c r="AG1408" s="101">
        <f t="shared" si="151"/>
        <v>4.2</v>
      </c>
    </row>
    <row r="1409" spans="33:33" ht="12.75" customHeight="1">
      <c r="AG1409" s="101">
        <f t="shared" si="151"/>
        <v>4.2</v>
      </c>
    </row>
    <row r="1410" spans="33:33" ht="12.75" customHeight="1">
      <c r="AG1410" s="101">
        <f t="shared" si="151"/>
        <v>4.2</v>
      </c>
    </row>
    <row r="1411" spans="33:33" ht="12.75" customHeight="1">
      <c r="AG1411" s="101">
        <f t="shared" si="151"/>
        <v>4.2</v>
      </c>
    </row>
    <row r="1412" spans="33:33" ht="12.75" customHeight="1">
      <c r="AG1412" s="101">
        <f t="shared" si="151"/>
        <v>4.2</v>
      </c>
    </row>
    <row r="1413" spans="33:33" ht="12.75" customHeight="1">
      <c r="AG1413" s="101">
        <f t="shared" si="151"/>
        <v>4.2</v>
      </c>
    </row>
    <row r="1414" spans="33:33" ht="12.75" customHeight="1">
      <c r="AG1414" s="101">
        <f t="shared" si="151"/>
        <v>4.2</v>
      </c>
    </row>
    <row r="1415" spans="33:33" ht="12.75" customHeight="1">
      <c r="AG1415" s="101">
        <f t="shared" si="151"/>
        <v>4.2</v>
      </c>
    </row>
    <row r="1416" spans="33:33" ht="12.75" customHeight="1">
      <c r="AG1416" s="101">
        <f t="shared" si="151"/>
        <v>4.2</v>
      </c>
    </row>
    <row r="1417" spans="33:33" ht="12.75" customHeight="1">
      <c r="AG1417" s="101">
        <f t="shared" si="151"/>
        <v>4.2</v>
      </c>
    </row>
    <row r="1418" spans="33:33" ht="12.75" customHeight="1">
      <c r="AG1418" s="101">
        <f t="shared" si="151"/>
        <v>4.2</v>
      </c>
    </row>
    <row r="1419" spans="33:33" ht="12.75" customHeight="1">
      <c r="AG1419" s="101">
        <f t="shared" si="151"/>
        <v>4.2</v>
      </c>
    </row>
    <row r="1420" spans="33:33" ht="12.75" customHeight="1">
      <c r="AG1420" s="101">
        <f t="shared" si="151"/>
        <v>4.2</v>
      </c>
    </row>
    <row r="1421" spans="33:33" ht="12.75" customHeight="1">
      <c r="AG1421" s="101">
        <f t="shared" si="151"/>
        <v>4.2</v>
      </c>
    </row>
    <row r="1422" spans="33:33" ht="12.75" customHeight="1">
      <c r="AG1422" s="101">
        <f t="shared" si="151"/>
        <v>4.2</v>
      </c>
    </row>
    <row r="1423" spans="33:33" ht="12.75" customHeight="1">
      <c r="AG1423" s="101">
        <f t="shared" si="151"/>
        <v>4.2</v>
      </c>
    </row>
    <row r="1424" spans="33:33" ht="12.75" customHeight="1">
      <c r="AG1424" s="101">
        <f t="shared" si="151"/>
        <v>4.2</v>
      </c>
    </row>
    <row r="1425" spans="33:33" ht="12.75" customHeight="1">
      <c r="AG1425" s="101">
        <f t="shared" si="151"/>
        <v>4.2</v>
      </c>
    </row>
    <row r="1426" spans="33:33" ht="12.75" customHeight="1">
      <c r="AG1426" s="101">
        <f t="shared" si="151"/>
        <v>4.2</v>
      </c>
    </row>
    <row r="1427" spans="33:33" ht="12.75" customHeight="1">
      <c r="AG1427" s="101">
        <f t="shared" si="151"/>
        <v>4.2</v>
      </c>
    </row>
    <row r="1428" spans="33:33" ht="12.75" customHeight="1">
      <c r="AG1428" s="101">
        <f t="shared" si="151"/>
        <v>4.2</v>
      </c>
    </row>
    <row r="1429" spans="33:33" ht="12.75" customHeight="1">
      <c r="AG1429" s="101">
        <f t="shared" si="151"/>
        <v>4.2</v>
      </c>
    </row>
    <row r="1430" spans="33:33" ht="12.75" customHeight="1">
      <c r="AG1430" s="101">
        <f t="shared" si="151"/>
        <v>4.2</v>
      </c>
    </row>
    <row r="1431" spans="33:33" ht="12.75" customHeight="1">
      <c r="AG1431" s="101">
        <f t="shared" si="151"/>
        <v>4.2</v>
      </c>
    </row>
    <row r="1432" spans="33:33" ht="12.75" customHeight="1">
      <c r="AG1432" s="101">
        <f t="shared" si="151"/>
        <v>4.2</v>
      </c>
    </row>
    <row r="1433" spans="33:33" ht="12.75" customHeight="1">
      <c r="AG1433" s="101">
        <f t="shared" si="151"/>
        <v>4.2</v>
      </c>
    </row>
    <row r="1434" spans="33:33" ht="12.75" customHeight="1">
      <c r="AG1434" s="101">
        <f t="shared" ref="AG1434:AG1497" si="152">IF(G1434&lt;0,0,1.2)+IF(G1434&lt;14,0,0.9)+IF(P1434&lt;0,0.7,0)+IF(P1434&lt;6.5,1,0)+IF(P1434&lt;23,1,0)+IF(R1434&gt;80,0,1)+S1434+IF(AD1434&lt;20,0,1)+IF(AE1434&lt;14,0,1)+IF(AF1434&lt;26,0,1)</f>
        <v>4.2</v>
      </c>
    </row>
    <row r="1435" spans="33:33" ht="12.75" customHeight="1">
      <c r="AG1435" s="101">
        <f t="shared" si="152"/>
        <v>4.2</v>
      </c>
    </row>
    <row r="1436" spans="33:33" ht="12.75" customHeight="1">
      <c r="AG1436" s="101">
        <f t="shared" si="152"/>
        <v>4.2</v>
      </c>
    </row>
    <row r="1437" spans="33:33" ht="12.75" customHeight="1">
      <c r="AG1437" s="101">
        <f t="shared" si="152"/>
        <v>4.2</v>
      </c>
    </row>
    <row r="1438" spans="33:33" ht="12.75" customHeight="1">
      <c r="AG1438" s="101">
        <f t="shared" si="152"/>
        <v>4.2</v>
      </c>
    </row>
    <row r="1439" spans="33:33" ht="12.75" customHeight="1">
      <c r="AG1439" s="101">
        <f t="shared" si="152"/>
        <v>4.2</v>
      </c>
    </row>
    <row r="1440" spans="33:33" ht="12.75" customHeight="1">
      <c r="AG1440" s="101">
        <f t="shared" si="152"/>
        <v>4.2</v>
      </c>
    </row>
    <row r="1441" spans="33:33" ht="12.75" customHeight="1">
      <c r="AG1441" s="101">
        <f t="shared" si="152"/>
        <v>4.2</v>
      </c>
    </row>
    <row r="1442" spans="33:33" ht="12.75" customHeight="1">
      <c r="AG1442" s="101">
        <f t="shared" si="152"/>
        <v>4.2</v>
      </c>
    </row>
    <row r="1443" spans="33:33" ht="12.75" customHeight="1">
      <c r="AG1443" s="101">
        <f t="shared" si="152"/>
        <v>4.2</v>
      </c>
    </row>
    <row r="1444" spans="33:33" ht="12.75" customHeight="1">
      <c r="AG1444" s="101">
        <f t="shared" si="152"/>
        <v>4.2</v>
      </c>
    </row>
    <row r="1445" spans="33:33" ht="12.75" customHeight="1">
      <c r="AG1445" s="101">
        <f t="shared" si="152"/>
        <v>4.2</v>
      </c>
    </row>
    <row r="1446" spans="33:33" ht="12.75" customHeight="1">
      <c r="AG1446" s="101">
        <f t="shared" si="152"/>
        <v>4.2</v>
      </c>
    </row>
    <row r="1447" spans="33:33" ht="12.75" customHeight="1">
      <c r="AG1447" s="101">
        <f t="shared" si="152"/>
        <v>4.2</v>
      </c>
    </row>
    <row r="1448" spans="33:33" ht="12.75" customHeight="1">
      <c r="AG1448" s="101">
        <f t="shared" si="152"/>
        <v>4.2</v>
      </c>
    </row>
    <row r="1449" spans="33:33" ht="12.75" customHeight="1">
      <c r="AG1449" s="101">
        <f t="shared" si="152"/>
        <v>4.2</v>
      </c>
    </row>
    <row r="1450" spans="33:33" ht="12.75" customHeight="1">
      <c r="AG1450" s="101">
        <f t="shared" si="152"/>
        <v>4.2</v>
      </c>
    </row>
    <row r="1451" spans="33:33" ht="12.75" customHeight="1">
      <c r="AG1451" s="101">
        <f t="shared" si="152"/>
        <v>4.2</v>
      </c>
    </row>
    <row r="1452" spans="33:33" ht="12.75" customHeight="1">
      <c r="AG1452" s="101">
        <f t="shared" si="152"/>
        <v>4.2</v>
      </c>
    </row>
    <row r="1453" spans="33:33" ht="12.75" customHeight="1">
      <c r="AG1453" s="101">
        <f t="shared" si="152"/>
        <v>4.2</v>
      </c>
    </row>
    <row r="1454" spans="33:33" ht="12.75" customHeight="1">
      <c r="AG1454" s="101">
        <f t="shared" si="152"/>
        <v>4.2</v>
      </c>
    </row>
    <row r="1455" spans="33:33" ht="12.75" customHeight="1">
      <c r="AG1455" s="101">
        <f t="shared" si="152"/>
        <v>4.2</v>
      </c>
    </row>
    <row r="1456" spans="33:33" ht="12.75" customHeight="1">
      <c r="AG1456" s="101">
        <f t="shared" si="152"/>
        <v>4.2</v>
      </c>
    </row>
    <row r="1457" spans="33:33" ht="12.75" customHeight="1">
      <c r="AG1457" s="101">
        <f t="shared" si="152"/>
        <v>4.2</v>
      </c>
    </row>
    <row r="1458" spans="33:33" ht="12.75" customHeight="1">
      <c r="AG1458" s="101">
        <f t="shared" si="152"/>
        <v>4.2</v>
      </c>
    </row>
    <row r="1459" spans="33:33" ht="12.75" customHeight="1">
      <c r="AG1459" s="101">
        <f t="shared" si="152"/>
        <v>4.2</v>
      </c>
    </row>
    <row r="1460" spans="33:33" ht="12.75" customHeight="1">
      <c r="AG1460" s="101">
        <f t="shared" si="152"/>
        <v>4.2</v>
      </c>
    </row>
    <row r="1461" spans="33:33" ht="12.75" customHeight="1">
      <c r="AG1461" s="101">
        <f t="shared" si="152"/>
        <v>4.2</v>
      </c>
    </row>
    <row r="1462" spans="33:33" ht="12.75" customHeight="1">
      <c r="AG1462" s="101">
        <f t="shared" si="152"/>
        <v>4.2</v>
      </c>
    </row>
    <row r="1463" spans="33:33" ht="12.75" customHeight="1">
      <c r="AG1463" s="101">
        <f t="shared" si="152"/>
        <v>4.2</v>
      </c>
    </row>
    <row r="1464" spans="33:33" ht="12.75" customHeight="1">
      <c r="AG1464" s="101">
        <f t="shared" si="152"/>
        <v>4.2</v>
      </c>
    </row>
    <row r="1465" spans="33:33" ht="12.75" customHeight="1">
      <c r="AG1465" s="101">
        <f t="shared" si="152"/>
        <v>4.2</v>
      </c>
    </row>
    <row r="1466" spans="33:33" ht="12.75" customHeight="1">
      <c r="AG1466" s="101">
        <f t="shared" si="152"/>
        <v>4.2</v>
      </c>
    </row>
    <row r="1467" spans="33:33" ht="12.75" customHeight="1">
      <c r="AG1467" s="101">
        <f t="shared" si="152"/>
        <v>4.2</v>
      </c>
    </row>
    <row r="1468" spans="33:33" ht="12.75" customHeight="1">
      <c r="AG1468" s="101">
        <f t="shared" si="152"/>
        <v>4.2</v>
      </c>
    </row>
    <row r="1469" spans="33:33" ht="12.75" customHeight="1">
      <c r="AG1469" s="101">
        <f t="shared" si="152"/>
        <v>4.2</v>
      </c>
    </row>
    <row r="1470" spans="33:33" ht="12.75" customHeight="1">
      <c r="AG1470" s="101">
        <f t="shared" si="152"/>
        <v>4.2</v>
      </c>
    </row>
    <row r="1471" spans="33:33" ht="12.75" customHeight="1">
      <c r="AG1471" s="101">
        <f t="shared" si="152"/>
        <v>4.2</v>
      </c>
    </row>
    <row r="1472" spans="33:33" ht="12.75" customHeight="1">
      <c r="AG1472" s="101">
        <f t="shared" si="152"/>
        <v>4.2</v>
      </c>
    </row>
    <row r="1473" spans="33:33" ht="12.75" customHeight="1">
      <c r="AG1473" s="101">
        <f t="shared" si="152"/>
        <v>4.2</v>
      </c>
    </row>
    <row r="1474" spans="33:33" ht="12.75" customHeight="1">
      <c r="AG1474" s="101">
        <f t="shared" si="152"/>
        <v>4.2</v>
      </c>
    </row>
    <row r="1475" spans="33:33" ht="12.75" customHeight="1">
      <c r="AG1475" s="101">
        <f t="shared" si="152"/>
        <v>4.2</v>
      </c>
    </row>
    <row r="1476" spans="33:33" ht="12.75" customHeight="1">
      <c r="AG1476" s="101">
        <f t="shared" si="152"/>
        <v>4.2</v>
      </c>
    </row>
    <row r="1477" spans="33:33" ht="12.75" customHeight="1">
      <c r="AG1477" s="101">
        <f t="shared" si="152"/>
        <v>4.2</v>
      </c>
    </row>
    <row r="1478" spans="33:33" ht="12.75" customHeight="1">
      <c r="AG1478" s="101">
        <f t="shared" si="152"/>
        <v>4.2</v>
      </c>
    </row>
    <row r="1479" spans="33:33" ht="12.75" customHeight="1">
      <c r="AG1479" s="101">
        <f t="shared" si="152"/>
        <v>4.2</v>
      </c>
    </row>
    <row r="1480" spans="33:33" ht="12.75" customHeight="1">
      <c r="AG1480" s="101">
        <f t="shared" si="152"/>
        <v>4.2</v>
      </c>
    </row>
    <row r="1481" spans="33:33" ht="12.75" customHeight="1">
      <c r="AG1481" s="101">
        <f t="shared" si="152"/>
        <v>4.2</v>
      </c>
    </row>
    <row r="1482" spans="33:33" ht="12.75" customHeight="1">
      <c r="AG1482" s="101">
        <f t="shared" si="152"/>
        <v>4.2</v>
      </c>
    </row>
    <row r="1483" spans="33:33" ht="12.75" customHeight="1">
      <c r="AG1483" s="101">
        <f t="shared" si="152"/>
        <v>4.2</v>
      </c>
    </row>
    <row r="1484" spans="33:33" ht="12.75" customHeight="1">
      <c r="AG1484" s="101">
        <f t="shared" si="152"/>
        <v>4.2</v>
      </c>
    </row>
    <row r="1485" spans="33:33" ht="12.75" customHeight="1">
      <c r="AG1485" s="101">
        <f t="shared" si="152"/>
        <v>4.2</v>
      </c>
    </row>
    <row r="1486" spans="33:33" ht="12.75" customHeight="1">
      <c r="AG1486" s="101">
        <f t="shared" si="152"/>
        <v>4.2</v>
      </c>
    </row>
    <row r="1487" spans="33:33" ht="12.75" customHeight="1">
      <c r="AG1487" s="101">
        <f t="shared" si="152"/>
        <v>4.2</v>
      </c>
    </row>
    <row r="1488" spans="33:33" ht="12.75" customHeight="1">
      <c r="AG1488" s="101">
        <f t="shared" si="152"/>
        <v>4.2</v>
      </c>
    </row>
    <row r="1489" spans="33:33" ht="12.75" customHeight="1">
      <c r="AG1489" s="101">
        <f t="shared" si="152"/>
        <v>4.2</v>
      </c>
    </row>
    <row r="1490" spans="33:33" ht="12.75" customHeight="1">
      <c r="AG1490" s="101">
        <f t="shared" si="152"/>
        <v>4.2</v>
      </c>
    </row>
    <row r="1491" spans="33:33" ht="12.75" customHeight="1">
      <c r="AG1491" s="101">
        <f t="shared" si="152"/>
        <v>4.2</v>
      </c>
    </row>
    <row r="1492" spans="33:33" ht="12.75" customHeight="1">
      <c r="AG1492" s="101">
        <f t="shared" si="152"/>
        <v>4.2</v>
      </c>
    </row>
    <row r="1493" spans="33:33" ht="12.75" customHeight="1">
      <c r="AG1493" s="101">
        <f t="shared" si="152"/>
        <v>4.2</v>
      </c>
    </row>
    <row r="1494" spans="33:33" ht="12.75" customHeight="1">
      <c r="AG1494" s="101">
        <f t="shared" si="152"/>
        <v>4.2</v>
      </c>
    </row>
    <row r="1495" spans="33:33" ht="12.75" customHeight="1">
      <c r="AG1495" s="101">
        <f t="shared" si="152"/>
        <v>4.2</v>
      </c>
    </row>
    <row r="1496" spans="33:33" ht="12.75" customHeight="1">
      <c r="AG1496" s="101">
        <f t="shared" si="152"/>
        <v>4.2</v>
      </c>
    </row>
    <row r="1497" spans="33:33" ht="12.75" customHeight="1">
      <c r="AG1497" s="101">
        <f t="shared" si="152"/>
        <v>4.2</v>
      </c>
    </row>
    <row r="1498" spans="33:33" ht="12.75" customHeight="1">
      <c r="AG1498" s="101">
        <f t="shared" ref="AG1498:AG1561" si="153">IF(G1498&lt;0,0,1.2)+IF(G1498&lt;14,0,0.9)+IF(P1498&lt;0,0.7,0)+IF(P1498&lt;6.5,1,0)+IF(P1498&lt;23,1,0)+IF(R1498&gt;80,0,1)+S1498+IF(AD1498&lt;20,0,1)+IF(AE1498&lt;14,0,1)+IF(AF1498&lt;26,0,1)</f>
        <v>4.2</v>
      </c>
    </row>
    <row r="1499" spans="33:33" ht="12.75" customHeight="1">
      <c r="AG1499" s="101">
        <f t="shared" si="153"/>
        <v>4.2</v>
      </c>
    </row>
    <row r="1500" spans="33:33" ht="12.75" customHeight="1">
      <c r="AG1500" s="101">
        <f t="shared" si="153"/>
        <v>4.2</v>
      </c>
    </row>
    <row r="1501" spans="33:33" ht="12.75" customHeight="1">
      <c r="AG1501" s="101">
        <f t="shared" si="153"/>
        <v>4.2</v>
      </c>
    </row>
    <row r="1502" spans="33:33" ht="12.75" customHeight="1">
      <c r="AG1502" s="101">
        <f t="shared" si="153"/>
        <v>4.2</v>
      </c>
    </row>
    <row r="1503" spans="33:33" ht="12.75" customHeight="1">
      <c r="AG1503" s="101">
        <f t="shared" si="153"/>
        <v>4.2</v>
      </c>
    </row>
    <row r="1504" spans="33:33" ht="12.75" customHeight="1">
      <c r="AG1504" s="101">
        <f t="shared" si="153"/>
        <v>4.2</v>
      </c>
    </row>
    <row r="1505" spans="33:33" ht="12.75" customHeight="1">
      <c r="AG1505" s="101">
        <f t="shared" si="153"/>
        <v>4.2</v>
      </c>
    </row>
    <row r="1506" spans="33:33" ht="12.75" customHeight="1">
      <c r="AG1506" s="101">
        <f t="shared" si="153"/>
        <v>4.2</v>
      </c>
    </row>
    <row r="1507" spans="33:33" ht="12.75" customHeight="1">
      <c r="AG1507" s="101">
        <f t="shared" si="153"/>
        <v>4.2</v>
      </c>
    </row>
    <row r="1508" spans="33:33" ht="12.75" customHeight="1">
      <c r="AG1508" s="101">
        <f t="shared" si="153"/>
        <v>4.2</v>
      </c>
    </row>
    <row r="1509" spans="33:33" ht="12.75" customHeight="1">
      <c r="AG1509" s="101">
        <f t="shared" si="153"/>
        <v>4.2</v>
      </c>
    </row>
    <row r="1510" spans="33:33" ht="12.75" customHeight="1">
      <c r="AG1510" s="101">
        <f t="shared" si="153"/>
        <v>4.2</v>
      </c>
    </row>
    <row r="1511" spans="33:33" ht="12.75" customHeight="1">
      <c r="AG1511" s="101">
        <f t="shared" si="153"/>
        <v>4.2</v>
      </c>
    </row>
    <row r="1512" spans="33:33" ht="12.75" customHeight="1">
      <c r="AG1512" s="101">
        <f t="shared" si="153"/>
        <v>4.2</v>
      </c>
    </row>
    <row r="1513" spans="33:33" ht="12.75" customHeight="1">
      <c r="AG1513" s="101">
        <f t="shared" si="153"/>
        <v>4.2</v>
      </c>
    </row>
    <row r="1514" spans="33:33" ht="12.75" customHeight="1">
      <c r="AG1514" s="101">
        <f t="shared" si="153"/>
        <v>4.2</v>
      </c>
    </row>
    <row r="1515" spans="33:33" ht="12.75" customHeight="1">
      <c r="AG1515" s="101">
        <f t="shared" si="153"/>
        <v>4.2</v>
      </c>
    </row>
    <row r="1516" spans="33:33" ht="12.75" customHeight="1">
      <c r="AG1516" s="101">
        <f t="shared" si="153"/>
        <v>4.2</v>
      </c>
    </row>
    <row r="1517" spans="33:33" ht="12.75" customHeight="1">
      <c r="AG1517" s="101">
        <f t="shared" si="153"/>
        <v>4.2</v>
      </c>
    </row>
    <row r="1518" spans="33:33" ht="12.75" customHeight="1">
      <c r="AG1518" s="101">
        <f t="shared" si="153"/>
        <v>4.2</v>
      </c>
    </row>
    <row r="1519" spans="33:33" ht="12.75" customHeight="1">
      <c r="AG1519" s="101">
        <f t="shared" si="153"/>
        <v>4.2</v>
      </c>
    </row>
    <row r="1520" spans="33:33" ht="12.75" customHeight="1">
      <c r="AG1520" s="101">
        <f t="shared" si="153"/>
        <v>4.2</v>
      </c>
    </row>
    <row r="1521" spans="33:33" ht="12.75" customHeight="1">
      <c r="AG1521" s="101">
        <f t="shared" si="153"/>
        <v>4.2</v>
      </c>
    </row>
    <row r="1522" spans="33:33" ht="12.75" customHeight="1">
      <c r="AG1522" s="101">
        <f t="shared" si="153"/>
        <v>4.2</v>
      </c>
    </row>
    <row r="1523" spans="33:33" ht="12.75" customHeight="1">
      <c r="AG1523" s="101">
        <f t="shared" si="153"/>
        <v>4.2</v>
      </c>
    </row>
    <row r="1524" spans="33:33" ht="12.75" customHeight="1">
      <c r="AG1524" s="101">
        <f t="shared" si="153"/>
        <v>4.2</v>
      </c>
    </row>
    <row r="1525" spans="33:33" ht="12.75" customHeight="1">
      <c r="AG1525" s="101">
        <f t="shared" si="153"/>
        <v>4.2</v>
      </c>
    </row>
    <row r="1526" spans="33:33" ht="12.75" customHeight="1">
      <c r="AG1526" s="101">
        <f t="shared" si="153"/>
        <v>4.2</v>
      </c>
    </row>
    <row r="1527" spans="33:33" ht="12.75" customHeight="1">
      <c r="AG1527" s="101">
        <f t="shared" si="153"/>
        <v>4.2</v>
      </c>
    </row>
    <row r="1528" spans="33:33" ht="12.75" customHeight="1">
      <c r="AG1528" s="101">
        <f t="shared" si="153"/>
        <v>4.2</v>
      </c>
    </row>
    <row r="1529" spans="33:33" ht="12.75" customHeight="1">
      <c r="AG1529" s="101">
        <f t="shared" si="153"/>
        <v>4.2</v>
      </c>
    </row>
    <row r="1530" spans="33:33" ht="12.75" customHeight="1">
      <c r="AG1530" s="101">
        <f t="shared" si="153"/>
        <v>4.2</v>
      </c>
    </row>
    <row r="1531" spans="33:33" ht="12.75" customHeight="1">
      <c r="AG1531" s="101">
        <f t="shared" si="153"/>
        <v>4.2</v>
      </c>
    </row>
    <row r="1532" spans="33:33" ht="12.75" customHeight="1">
      <c r="AG1532" s="101">
        <f t="shared" si="153"/>
        <v>4.2</v>
      </c>
    </row>
    <row r="1533" spans="33:33" ht="12.75" customHeight="1">
      <c r="AG1533" s="101">
        <f t="shared" si="153"/>
        <v>4.2</v>
      </c>
    </row>
    <row r="1534" spans="33:33" ht="12.75" customHeight="1">
      <c r="AG1534" s="101">
        <f t="shared" si="153"/>
        <v>4.2</v>
      </c>
    </row>
    <row r="1535" spans="33:33" ht="12.75" customHeight="1">
      <c r="AG1535" s="101">
        <f t="shared" si="153"/>
        <v>4.2</v>
      </c>
    </row>
    <row r="1536" spans="33:33" ht="12.75" customHeight="1">
      <c r="AG1536" s="101">
        <f t="shared" si="153"/>
        <v>4.2</v>
      </c>
    </row>
    <row r="1537" spans="33:33" ht="12.75" customHeight="1">
      <c r="AG1537" s="101">
        <f t="shared" si="153"/>
        <v>4.2</v>
      </c>
    </row>
    <row r="1538" spans="33:33" ht="12.75" customHeight="1">
      <c r="AG1538" s="101">
        <f t="shared" si="153"/>
        <v>4.2</v>
      </c>
    </row>
    <row r="1539" spans="33:33" ht="12.75" customHeight="1">
      <c r="AG1539" s="101">
        <f t="shared" si="153"/>
        <v>4.2</v>
      </c>
    </row>
    <row r="1540" spans="33:33" ht="12.75" customHeight="1">
      <c r="AG1540" s="101">
        <f t="shared" si="153"/>
        <v>4.2</v>
      </c>
    </row>
    <row r="1541" spans="33:33" ht="12.75" customHeight="1">
      <c r="AG1541" s="101">
        <f t="shared" si="153"/>
        <v>4.2</v>
      </c>
    </row>
    <row r="1542" spans="33:33" ht="12.75" customHeight="1">
      <c r="AG1542" s="101">
        <f t="shared" si="153"/>
        <v>4.2</v>
      </c>
    </row>
    <row r="1543" spans="33:33" ht="12.75" customHeight="1">
      <c r="AG1543" s="101">
        <f t="shared" si="153"/>
        <v>4.2</v>
      </c>
    </row>
    <row r="1544" spans="33:33" ht="12.75" customHeight="1">
      <c r="AG1544" s="101">
        <f t="shared" si="153"/>
        <v>4.2</v>
      </c>
    </row>
    <row r="1545" spans="33:33" ht="12.75" customHeight="1">
      <c r="AG1545" s="101">
        <f t="shared" si="153"/>
        <v>4.2</v>
      </c>
    </row>
    <row r="1546" spans="33:33" ht="12.75" customHeight="1">
      <c r="AG1546" s="101">
        <f t="shared" si="153"/>
        <v>4.2</v>
      </c>
    </row>
    <row r="1547" spans="33:33" ht="12.75" customHeight="1">
      <c r="AG1547" s="101">
        <f t="shared" si="153"/>
        <v>4.2</v>
      </c>
    </row>
    <row r="1548" spans="33:33" ht="12.75" customHeight="1">
      <c r="AG1548" s="101">
        <f t="shared" si="153"/>
        <v>4.2</v>
      </c>
    </row>
    <row r="1549" spans="33:33" ht="12.75" customHeight="1">
      <c r="AG1549" s="101">
        <f t="shared" si="153"/>
        <v>4.2</v>
      </c>
    </row>
    <row r="1550" spans="33:33" ht="12.75" customHeight="1">
      <c r="AG1550" s="101">
        <f t="shared" si="153"/>
        <v>4.2</v>
      </c>
    </row>
    <row r="1551" spans="33:33" ht="12.75" customHeight="1">
      <c r="AG1551" s="101">
        <f t="shared" si="153"/>
        <v>4.2</v>
      </c>
    </row>
    <row r="1552" spans="33:33" ht="12.75" customHeight="1">
      <c r="AG1552" s="101">
        <f t="shared" si="153"/>
        <v>4.2</v>
      </c>
    </row>
    <row r="1553" spans="33:33" ht="12.75" customHeight="1">
      <c r="AG1553" s="101">
        <f t="shared" si="153"/>
        <v>4.2</v>
      </c>
    </row>
    <row r="1554" spans="33:33" ht="12.75" customHeight="1">
      <c r="AG1554" s="101">
        <f t="shared" si="153"/>
        <v>4.2</v>
      </c>
    </row>
    <row r="1555" spans="33:33" ht="12.75" customHeight="1">
      <c r="AG1555" s="101">
        <f t="shared" si="153"/>
        <v>4.2</v>
      </c>
    </row>
    <row r="1556" spans="33:33" ht="12.75" customHeight="1">
      <c r="AG1556" s="101">
        <f t="shared" si="153"/>
        <v>4.2</v>
      </c>
    </row>
    <row r="1557" spans="33:33" ht="12.75" customHeight="1">
      <c r="AG1557" s="101">
        <f t="shared" si="153"/>
        <v>4.2</v>
      </c>
    </row>
  </sheetData>
  <autoFilter ref="AR1:AR96" xr:uid="{00000000-0009-0000-0000-000001000000}"/>
  <conditionalFormatting sqref="G2:G432 H56">
    <cfRule type="cellIs" dxfId="20" priority="18" operator="lessThan">
      <formula>0</formula>
    </cfRule>
  </conditionalFormatting>
  <conditionalFormatting sqref="R2:R514">
    <cfRule type="cellIs" dxfId="19" priority="24" operator="greaterThan">
      <formula>80</formula>
    </cfRule>
  </conditionalFormatting>
  <conditionalFormatting sqref="X2:X63">
    <cfRule type="cellIs" dxfId="18" priority="21" operator="lessThan">
      <formula>16</formula>
    </cfRule>
  </conditionalFormatting>
  <conditionalFormatting sqref="X48">
    <cfRule type="cellIs" dxfId="17" priority="16" operator="lessThan">
      <formula>19</formula>
    </cfRule>
  </conditionalFormatting>
  <conditionalFormatting sqref="Y2:Y63">
    <cfRule type="cellIs" dxfId="16" priority="20" operator="lessThan">
      <formula>11</formula>
    </cfRule>
  </conditionalFormatting>
  <conditionalFormatting sqref="Y48">
    <cfRule type="cellIs" dxfId="15" priority="15" operator="lessThan">
      <formula>10</formula>
    </cfRule>
  </conditionalFormatting>
  <conditionalFormatting sqref="Z48">
    <cfRule type="cellIs" dxfId="14" priority="17" operator="lessThan">
      <formula>3.5</formula>
    </cfRule>
  </conditionalFormatting>
  <conditionalFormatting sqref="AA2:AA455">
    <cfRule type="cellIs" dxfId="13" priority="23" operator="equal">
      <formula>0</formula>
    </cfRule>
  </conditionalFormatting>
  <conditionalFormatting sqref="AF2:AF63">
    <cfRule type="cellIs" dxfId="12" priority="19" operator="lessThan">
      <formula>26</formula>
    </cfRule>
  </conditionalFormatting>
  <conditionalFormatting sqref="AG1:AG1557">
    <cfRule type="cellIs" dxfId="11" priority="12" operator="greaterThan">
      <formula>6.1</formula>
    </cfRule>
  </conditionalFormatting>
  <conditionalFormatting sqref="AK2:AK399">
    <cfRule type="cellIs" dxfId="10" priority="25" operator="greaterThan">
      <formula>23.75</formula>
    </cfRule>
  </conditionalFormatting>
  <conditionalFormatting sqref="AL2:AL399">
    <cfRule type="containsText" dxfId="9" priority="13" operator="containsText" text="0">
      <formula>NOT(ISERROR(SEARCH("0",AL2)))</formula>
    </cfRule>
    <cfRule type="containsText" dxfId="8" priority="14" operator="containsText" text="1">
      <formula>NOT(ISERROR(SEARCH("1",AL2)))</formula>
    </cfRule>
  </conditionalFormatting>
  <conditionalFormatting sqref="AO2:AO787">
    <cfRule type="containsText" dxfId="7" priority="1" operator="containsText" text="2">
      <formula>NOT(ISERROR(SEARCH("2",AO2)))</formula>
    </cfRule>
    <cfRule type="cellIs" dxfId="6" priority="2" operator="equal">
      <formula>1</formula>
    </cfRule>
    <cfRule type="cellIs" dxfId="5" priority="3" operator="equal">
      <formula>3</formula>
    </cfRule>
  </conditionalFormatting>
  <conditionalFormatting sqref="AP2:AP338">
    <cfRule type="cellIs" dxfId="4" priority="9" operator="equal">
      <formula>3</formula>
    </cfRule>
    <cfRule type="cellIs" dxfId="3" priority="10" operator="equal">
      <formula>1</formula>
    </cfRule>
    <cfRule type="cellIs" dxfId="2" priority="11" operator="equal">
      <formula>2</formula>
    </cfRule>
  </conditionalFormatting>
  <conditionalFormatting sqref="AR1:AR338">
    <cfRule type="containsText" dxfId="1" priority="4" operator="containsText" text="0">
      <formula>NOT(ISERROR(SEARCH("0",AR1)))</formula>
    </cfRule>
    <cfRule type="containsText" dxfId="0" priority="5" operator="containsText" text="1">
      <formula>NOT(ISERROR(SEARCH("1",AR1)))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3"/>
  <sheetViews>
    <sheetView workbookViewId="0">
      <selection activeCell="M29" sqref="M29"/>
    </sheetView>
  </sheetViews>
  <sheetFormatPr defaultRowHeight="13.2"/>
  <cols>
    <col min="1" max="1" width="12.33203125" customWidth="1"/>
    <col min="2" max="2" width="11.77734375" customWidth="1"/>
    <col min="13" max="13" width="8.33203125" customWidth="1"/>
  </cols>
  <sheetData>
    <row r="1" spans="1:17" ht="26.4" customHeight="1">
      <c r="A1" t="s">
        <v>749</v>
      </c>
      <c r="B1" s="53"/>
      <c r="C1" s="54" t="s">
        <v>750</v>
      </c>
      <c r="D1" s="54" t="s">
        <v>751</v>
      </c>
      <c r="E1" s="54" t="s">
        <v>752</v>
      </c>
      <c r="F1" s="53"/>
      <c r="G1" s="54" t="s">
        <v>753</v>
      </c>
      <c r="H1" s="54" t="s">
        <v>754</v>
      </c>
      <c r="I1" s="53"/>
      <c r="J1" s="54" t="s">
        <v>755</v>
      </c>
      <c r="K1" s="53"/>
      <c r="L1" s="54" t="s">
        <v>756</v>
      </c>
      <c r="M1" s="54" t="s">
        <v>757</v>
      </c>
      <c r="N1" s="54" t="s">
        <v>758</v>
      </c>
    </row>
    <row r="2" spans="1:17">
      <c r="B2" s="63" t="s">
        <v>759</v>
      </c>
      <c r="C2" s="59">
        <v>260000</v>
      </c>
      <c r="D2" s="59">
        <f t="shared" ref="D2:D7" si="0">C2*0.45</f>
        <v>117000</v>
      </c>
      <c r="E2" s="59">
        <v>45</v>
      </c>
      <c r="F2" s="59">
        <f t="shared" ref="F2:F19" si="1">D2*E2</f>
        <v>5265000</v>
      </c>
      <c r="G2" s="59">
        <v>12</v>
      </c>
      <c r="H2" s="59">
        <f t="shared" ref="H2:H7" si="2">C2*0.1</f>
        <v>26000</v>
      </c>
      <c r="I2" s="59">
        <f t="shared" ref="I2:I19" si="3">G2*H2</f>
        <v>312000</v>
      </c>
      <c r="J2" s="59">
        <f t="shared" ref="J2:J19" si="4">F2-I2</f>
        <v>4953000</v>
      </c>
      <c r="K2" s="59">
        <f t="shared" ref="K2:K19" si="5">J2/12</f>
        <v>412750</v>
      </c>
      <c r="L2" s="65">
        <f t="shared" ref="L2:L19" si="6">(K2/C2)*100</f>
        <v>158.75</v>
      </c>
      <c r="M2" s="57">
        <f t="shared" ref="M2:M19" si="7">L2*2</f>
        <v>317.5</v>
      </c>
      <c r="N2">
        <v>0</v>
      </c>
    </row>
    <row r="3" spans="1:17">
      <c r="B3" s="81" t="s">
        <v>760</v>
      </c>
      <c r="C3" s="80">
        <v>260000</v>
      </c>
      <c r="D3" s="83">
        <f t="shared" si="0"/>
        <v>117000</v>
      </c>
      <c r="E3" s="80">
        <v>39</v>
      </c>
      <c r="F3" s="80">
        <f t="shared" si="1"/>
        <v>4563000</v>
      </c>
      <c r="G3" s="80">
        <v>5</v>
      </c>
      <c r="H3" s="80">
        <f t="shared" si="2"/>
        <v>26000</v>
      </c>
      <c r="I3" s="80">
        <f t="shared" si="3"/>
        <v>130000</v>
      </c>
      <c r="J3" s="80">
        <f t="shared" si="4"/>
        <v>4433000</v>
      </c>
      <c r="K3" s="80">
        <f t="shared" si="5"/>
        <v>369416.66666666669</v>
      </c>
      <c r="L3" s="84">
        <f t="shared" si="6"/>
        <v>142.08333333333334</v>
      </c>
      <c r="M3" s="85">
        <f t="shared" si="7"/>
        <v>284.16666666666669</v>
      </c>
      <c r="N3" s="80">
        <v>0</v>
      </c>
      <c r="Q3" t="s">
        <v>761</v>
      </c>
    </row>
    <row r="4" spans="1:17">
      <c r="A4" s="52" t="s">
        <v>762</v>
      </c>
      <c r="B4" s="58" t="s">
        <v>763</v>
      </c>
      <c r="C4">
        <v>260000</v>
      </c>
      <c r="D4" s="59">
        <f t="shared" si="0"/>
        <v>117000</v>
      </c>
      <c r="E4">
        <v>46</v>
      </c>
      <c r="F4">
        <f t="shared" si="1"/>
        <v>5382000</v>
      </c>
      <c r="G4">
        <v>13</v>
      </c>
      <c r="H4">
        <f t="shared" si="2"/>
        <v>26000</v>
      </c>
      <c r="I4">
        <f t="shared" si="3"/>
        <v>338000</v>
      </c>
      <c r="J4">
        <f t="shared" si="4"/>
        <v>5044000</v>
      </c>
      <c r="K4">
        <f t="shared" si="5"/>
        <v>420333.33333333331</v>
      </c>
      <c r="L4" s="60">
        <f t="shared" si="6"/>
        <v>161.66666666666666</v>
      </c>
      <c r="M4" s="55">
        <f t="shared" si="7"/>
        <v>323.33333333333331</v>
      </c>
      <c r="N4">
        <v>0</v>
      </c>
      <c r="Q4" s="64" t="s">
        <v>764</v>
      </c>
    </row>
    <row r="5" spans="1:17">
      <c r="A5" s="52" t="s">
        <v>765</v>
      </c>
      <c r="B5" s="58" t="s">
        <v>766</v>
      </c>
      <c r="C5">
        <v>260000</v>
      </c>
      <c r="D5" s="59">
        <f t="shared" si="0"/>
        <v>117000</v>
      </c>
      <c r="E5">
        <v>38</v>
      </c>
      <c r="F5">
        <f t="shared" si="1"/>
        <v>4446000</v>
      </c>
      <c r="G5">
        <v>9</v>
      </c>
      <c r="H5">
        <f t="shared" si="2"/>
        <v>26000</v>
      </c>
      <c r="I5">
        <f t="shared" si="3"/>
        <v>234000</v>
      </c>
      <c r="J5">
        <f t="shared" si="4"/>
        <v>4212000</v>
      </c>
      <c r="K5">
        <f t="shared" si="5"/>
        <v>351000</v>
      </c>
      <c r="L5" s="60">
        <f t="shared" si="6"/>
        <v>135</v>
      </c>
      <c r="M5" s="55">
        <f t="shared" si="7"/>
        <v>270</v>
      </c>
      <c r="N5">
        <v>0</v>
      </c>
      <c r="Q5" t="s">
        <v>767</v>
      </c>
    </row>
    <row r="6" spans="1:17">
      <c r="A6" s="52" t="s">
        <v>768</v>
      </c>
      <c r="B6" s="58" t="s">
        <v>769</v>
      </c>
      <c r="C6">
        <v>260000</v>
      </c>
      <c r="D6" s="59">
        <f t="shared" si="0"/>
        <v>117000</v>
      </c>
      <c r="E6" s="52">
        <v>50</v>
      </c>
      <c r="F6">
        <f t="shared" si="1"/>
        <v>5850000</v>
      </c>
      <c r="G6" s="52">
        <v>16</v>
      </c>
      <c r="H6">
        <f t="shared" si="2"/>
        <v>26000</v>
      </c>
      <c r="I6">
        <f t="shared" si="3"/>
        <v>416000</v>
      </c>
      <c r="J6">
        <f t="shared" si="4"/>
        <v>5434000</v>
      </c>
      <c r="K6">
        <f t="shared" si="5"/>
        <v>452833.33333333331</v>
      </c>
      <c r="L6" s="60">
        <f t="shared" si="6"/>
        <v>174.16666666666666</v>
      </c>
      <c r="M6" s="55">
        <f t="shared" si="7"/>
        <v>348.33333333333331</v>
      </c>
      <c r="N6">
        <v>1</v>
      </c>
    </row>
    <row r="7" spans="1:17">
      <c r="B7" s="66" t="s">
        <v>770</v>
      </c>
      <c r="C7" s="68">
        <v>260000</v>
      </c>
      <c r="D7" s="59">
        <f t="shared" si="0"/>
        <v>117000</v>
      </c>
      <c r="E7" s="67">
        <v>52</v>
      </c>
      <c r="F7" s="68">
        <f t="shared" si="1"/>
        <v>6084000</v>
      </c>
      <c r="G7" s="67">
        <v>18</v>
      </c>
      <c r="H7" s="68">
        <f t="shared" si="2"/>
        <v>26000</v>
      </c>
      <c r="I7" s="68">
        <f t="shared" si="3"/>
        <v>468000</v>
      </c>
      <c r="J7" s="68">
        <f t="shared" si="4"/>
        <v>5616000</v>
      </c>
      <c r="K7" s="68">
        <f t="shared" si="5"/>
        <v>468000</v>
      </c>
      <c r="L7" s="69">
        <f t="shared" si="6"/>
        <v>180</v>
      </c>
      <c r="M7" s="56">
        <f t="shared" si="7"/>
        <v>360</v>
      </c>
      <c r="N7">
        <v>3</v>
      </c>
    </row>
    <row r="8" spans="1:17">
      <c r="B8" s="63" t="s">
        <v>759</v>
      </c>
      <c r="C8" s="59">
        <v>260000</v>
      </c>
      <c r="D8" s="59">
        <f t="shared" ref="D8:D13" si="8">C8*0.3</f>
        <v>78000</v>
      </c>
      <c r="E8" s="59">
        <f t="shared" ref="E8:E13" si="9">E2</f>
        <v>45</v>
      </c>
      <c r="F8" s="59">
        <f t="shared" si="1"/>
        <v>3510000</v>
      </c>
      <c r="G8" s="59">
        <f t="shared" ref="G8:G13" si="10">G2</f>
        <v>12</v>
      </c>
      <c r="H8" s="59">
        <f t="shared" ref="H8:H13" si="11">C8*0.12</f>
        <v>31200</v>
      </c>
      <c r="I8" s="59">
        <f t="shared" si="3"/>
        <v>374400</v>
      </c>
      <c r="J8" s="59">
        <f t="shared" si="4"/>
        <v>3135600</v>
      </c>
      <c r="K8" s="59">
        <f t="shared" si="5"/>
        <v>261300</v>
      </c>
      <c r="L8" s="65">
        <f t="shared" si="6"/>
        <v>100.49999999999999</v>
      </c>
      <c r="M8" s="57">
        <f t="shared" si="7"/>
        <v>200.99999999999997</v>
      </c>
      <c r="N8">
        <v>0</v>
      </c>
    </row>
    <row r="9" spans="1:17">
      <c r="B9" s="81" t="s">
        <v>760</v>
      </c>
      <c r="C9" s="80">
        <v>260000</v>
      </c>
      <c r="D9" s="80">
        <f t="shared" si="8"/>
        <v>78000</v>
      </c>
      <c r="E9" s="80">
        <f t="shared" si="9"/>
        <v>39</v>
      </c>
      <c r="F9" s="80">
        <f t="shared" si="1"/>
        <v>3042000</v>
      </c>
      <c r="G9" s="80">
        <f t="shared" si="10"/>
        <v>5</v>
      </c>
      <c r="H9" s="83">
        <f t="shared" si="11"/>
        <v>31200</v>
      </c>
      <c r="I9" s="80">
        <f t="shared" si="3"/>
        <v>156000</v>
      </c>
      <c r="J9" s="80">
        <f t="shared" si="4"/>
        <v>2886000</v>
      </c>
      <c r="K9" s="80">
        <f t="shared" si="5"/>
        <v>240500</v>
      </c>
      <c r="L9" s="84">
        <f t="shared" si="6"/>
        <v>92.5</v>
      </c>
      <c r="M9" s="85">
        <f t="shared" si="7"/>
        <v>185</v>
      </c>
      <c r="N9" s="80">
        <v>0</v>
      </c>
    </row>
    <row r="10" spans="1:17">
      <c r="A10" s="52" t="s">
        <v>771</v>
      </c>
      <c r="B10" s="58" t="s">
        <v>763</v>
      </c>
      <c r="C10">
        <v>260000</v>
      </c>
      <c r="D10">
        <f t="shared" si="8"/>
        <v>78000</v>
      </c>
      <c r="E10">
        <f t="shared" si="9"/>
        <v>46</v>
      </c>
      <c r="F10">
        <f t="shared" si="1"/>
        <v>3588000</v>
      </c>
      <c r="G10">
        <f t="shared" si="10"/>
        <v>13</v>
      </c>
      <c r="H10" s="59">
        <f t="shared" si="11"/>
        <v>31200</v>
      </c>
      <c r="I10">
        <f t="shared" si="3"/>
        <v>405600</v>
      </c>
      <c r="J10">
        <f t="shared" si="4"/>
        <v>3182400</v>
      </c>
      <c r="K10">
        <f t="shared" si="5"/>
        <v>265200</v>
      </c>
      <c r="L10" s="60">
        <f t="shared" si="6"/>
        <v>102</v>
      </c>
      <c r="M10" s="55">
        <f t="shared" si="7"/>
        <v>204</v>
      </c>
      <c r="N10">
        <v>0</v>
      </c>
    </row>
    <row r="11" spans="1:17">
      <c r="A11" s="52" t="s">
        <v>772</v>
      </c>
      <c r="B11" s="58" t="s">
        <v>766</v>
      </c>
      <c r="C11">
        <v>260000</v>
      </c>
      <c r="D11">
        <f t="shared" si="8"/>
        <v>78000</v>
      </c>
      <c r="E11">
        <f t="shared" si="9"/>
        <v>38</v>
      </c>
      <c r="F11">
        <f t="shared" si="1"/>
        <v>2964000</v>
      </c>
      <c r="G11">
        <f t="shared" si="10"/>
        <v>9</v>
      </c>
      <c r="H11" s="59">
        <f t="shared" si="11"/>
        <v>31200</v>
      </c>
      <c r="I11">
        <f t="shared" si="3"/>
        <v>280800</v>
      </c>
      <c r="J11">
        <f t="shared" si="4"/>
        <v>2683200</v>
      </c>
      <c r="K11">
        <f t="shared" si="5"/>
        <v>223600</v>
      </c>
      <c r="L11" s="60">
        <f t="shared" si="6"/>
        <v>86</v>
      </c>
      <c r="M11" s="55">
        <f t="shared" si="7"/>
        <v>172</v>
      </c>
      <c r="N11">
        <v>0</v>
      </c>
    </row>
    <row r="12" spans="1:17">
      <c r="A12" s="52" t="s">
        <v>773</v>
      </c>
      <c r="B12" s="58" t="s">
        <v>769</v>
      </c>
      <c r="C12">
        <v>260000</v>
      </c>
      <c r="D12">
        <f t="shared" si="8"/>
        <v>78000</v>
      </c>
      <c r="E12" s="52">
        <f t="shared" si="9"/>
        <v>50</v>
      </c>
      <c r="F12">
        <f t="shared" si="1"/>
        <v>3900000</v>
      </c>
      <c r="G12" s="52">
        <f t="shared" si="10"/>
        <v>16</v>
      </c>
      <c r="H12" s="59">
        <f t="shared" si="11"/>
        <v>31200</v>
      </c>
      <c r="I12">
        <f t="shared" si="3"/>
        <v>499200</v>
      </c>
      <c r="J12">
        <f t="shared" si="4"/>
        <v>3400800</v>
      </c>
      <c r="K12">
        <f t="shared" si="5"/>
        <v>283400</v>
      </c>
      <c r="L12" s="60">
        <f t="shared" si="6"/>
        <v>109.00000000000001</v>
      </c>
      <c r="M12" s="55">
        <f t="shared" si="7"/>
        <v>218.00000000000003</v>
      </c>
      <c r="N12">
        <v>1</v>
      </c>
    </row>
    <row r="13" spans="1:17">
      <c r="B13" s="66" t="s">
        <v>770</v>
      </c>
      <c r="C13" s="68">
        <v>260000</v>
      </c>
      <c r="D13" s="68">
        <f t="shared" si="8"/>
        <v>78000</v>
      </c>
      <c r="E13" s="67">
        <f t="shared" si="9"/>
        <v>52</v>
      </c>
      <c r="F13" s="68">
        <f t="shared" si="1"/>
        <v>4056000</v>
      </c>
      <c r="G13" s="67">
        <f t="shared" si="10"/>
        <v>18</v>
      </c>
      <c r="H13" s="59">
        <f t="shared" si="11"/>
        <v>31200</v>
      </c>
      <c r="I13" s="68">
        <f t="shared" si="3"/>
        <v>561600</v>
      </c>
      <c r="J13" s="68">
        <f t="shared" si="4"/>
        <v>3494400</v>
      </c>
      <c r="K13" s="68">
        <f t="shared" si="5"/>
        <v>291200</v>
      </c>
      <c r="L13" s="69">
        <f t="shared" si="6"/>
        <v>112.00000000000001</v>
      </c>
      <c r="M13" s="56">
        <f t="shared" si="7"/>
        <v>224.00000000000003</v>
      </c>
      <c r="N13">
        <v>3</v>
      </c>
    </row>
    <row r="14" spans="1:17">
      <c r="B14" s="63" t="s">
        <v>759</v>
      </c>
      <c r="C14" s="59">
        <v>260000</v>
      </c>
      <c r="D14" s="59">
        <f t="shared" ref="D14:D19" si="12">C14*0.1</f>
        <v>26000</v>
      </c>
      <c r="E14" s="59">
        <f t="shared" ref="E14:E19" si="13">E2</f>
        <v>45</v>
      </c>
      <c r="F14" s="59">
        <f t="shared" si="1"/>
        <v>1170000</v>
      </c>
      <c r="G14" s="59">
        <f t="shared" ref="G14:G19" si="14">G2</f>
        <v>12</v>
      </c>
      <c r="H14" s="59">
        <f t="shared" ref="H14:H19" si="15">C14*0.15</f>
        <v>39000</v>
      </c>
      <c r="I14" s="59">
        <f t="shared" si="3"/>
        <v>468000</v>
      </c>
      <c r="J14" s="59">
        <f t="shared" si="4"/>
        <v>702000</v>
      </c>
      <c r="K14" s="59">
        <f t="shared" si="5"/>
        <v>58500</v>
      </c>
      <c r="L14" s="65">
        <f t="shared" si="6"/>
        <v>22.5</v>
      </c>
      <c r="M14" s="57">
        <f t="shared" si="7"/>
        <v>45</v>
      </c>
      <c r="N14">
        <v>0</v>
      </c>
    </row>
    <row r="15" spans="1:17">
      <c r="B15" s="81" t="s">
        <v>760</v>
      </c>
      <c r="C15" s="80">
        <v>260000</v>
      </c>
      <c r="D15" s="83">
        <f t="shared" si="12"/>
        <v>26000</v>
      </c>
      <c r="E15" s="80">
        <f t="shared" si="13"/>
        <v>39</v>
      </c>
      <c r="F15" s="80">
        <f t="shared" si="1"/>
        <v>1014000</v>
      </c>
      <c r="G15" s="80">
        <f t="shared" si="14"/>
        <v>5</v>
      </c>
      <c r="H15" s="83">
        <f t="shared" si="15"/>
        <v>39000</v>
      </c>
      <c r="I15" s="80">
        <f t="shared" si="3"/>
        <v>195000</v>
      </c>
      <c r="J15" s="80">
        <f t="shared" si="4"/>
        <v>819000</v>
      </c>
      <c r="K15" s="80">
        <f t="shared" si="5"/>
        <v>68250</v>
      </c>
      <c r="L15" s="84">
        <f t="shared" si="6"/>
        <v>26.25</v>
      </c>
      <c r="M15" s="85">
        <f t="shared" si="7"/>
        <v>52.5</v>
      </c>
      <c r="N15" s="80">
        <v>0</v>
      </c>
    </row>
    <row r="16" spans="1:17">
      <c r="A16" s="52" t="s">
        <v>774</v>
      </c>
      <c r="B16" s="58" t="s">
        <v>763</v>
      </c>
      <c r="C16">
        <v>260000</v>
      </c>
      <c r="D16" s="59">
        <f t="shared" si="12"/>
        <v>26000</v>
      </c>
      <c r="E16">
        <f t="shared" si="13"/>
        <v>46</v>
      </c>
      <c r="F16">
        <f t="shared" si="1"/>
        <v>1196000</v>
      </c>
      <c r="G16">
        <f t="shared" si="14"/>
        <v>13</v>
      </c>
      <c r="H16" s="59">
        <f t="shared" si="15"/>
        <v>39000</v>
      </c>
      <c r="I16">
        <f t="shared" si="3"/>
        <v>507000</v>
      </c>
      <c r="J16">
        <f t="shared" si="4"/>
        <v>689000</v>
      </c>
      <c r="K16">
        <f t="shared" si="5"/>
        <v>57416.666666666664</v>
      </c>
      <c r="L16" s="60">
        <f t="shared" si="6"/>
        <v>22.083333333333332</v>
      </c>
      <c r="M16" s="55">
        <f t="shared" si="7"/>
        <v>44.166666666666664</v>
      </c>
      <c r="N16">
        <v>0</v>
      </c>
    </row>
    <row r="17" spans="1:17">
      <c r="A17" s="52" t="s">
        <v>775</v>
      </c>
      <c r="B17" s="58" t="s">
        <v>766</v>
      </c>
      <c r="C17">
        <v>260000</v>
      </c>
      <c r="D17" s="59">
        <f t="shared" si="12"/>
        <v>26000</v>
      </c>
      <c r="E17">
        <f t="shared" si="13"/>
        <v>38</v>
      </c>
      <c r="F17">
        <f t="shared" si="1"/>
        <v>988000</v>
      </c>
      <c r="G17">
        <f t="shared" si="14"/>
        <v>9</v>
      </c>
      <c r="H17" s="59">
        <f t="shared" si="15"/>
        <v>39000</v>
      </c>
      <c r="I17">
        <f t="shared" si="3"/>
        <v>351000</v>
      </c>
      <c r="J17">
        <f t="shared" si="4"/>
        <v>637000</v>
      </c>
      <c r="K17">
        <f t="shared" si="5"/>
        <v>53083.333333333336</v>
      </c>
      <c r="L17" s="60">
        <f t="shared" si="6"/>
        <v>20.416666666666668</v>
      </c>
      <c r="M17" s="55">
        <f t="shared" si="7"/>
        <v>40.833333333333336</v>
      </c>
      <c r="N17">
        <v>0</v>
      </c>
    </row>
    <row r="18" spans="1:17">
      <c r="A18" s="52" t="s">
        <v>776</v>
      </c>
      <c r="B18" s="58" t="s">
        <v>769</v>
      </c>
      <c r="C18">
        <v>260000</v>
      </c>
      <c r="D18" s="59">
        <f t="shared" si="12"/>
        <v>26000</v>
      </c>
      <c r="E18" s="52">
        <f t="shared" si="13"/>
        <v>50</v>
      </c>
      <c r="F18">
        <f t="shared" si="1"/>
        <v>1300000</v>
      </c>
      <c r="G18" s="52">
        <f t="shared" si="14"/>
        <v>16</v>
      </c>
      <c r="H18" s="59">
        <f t="shared" si="15"/>
        <v>39000</v>
      </c>
      <c r="I18">
        <f t="shared" si="3"/>
        <v>624000</v>
      </c>
      <c r="J18">
        <f t="shared" si="4"/>
        <v>676000</v>
      </c>
      <c r="K18">
        <f t="shared" si="5"/>
        <v>56333.333333333336</v>
      </c>
      <c r="L18" s="60">
        <f t="shared" si="6"/>
        <v>21.666666666666668</v>
      </c>
      <c r="M18" s="55">
        <f t="shared" si="7"/>
        <v>43.333333333333336</v>
      </c>
      <c r="N18">
        <v>1</v>
      </c>
    </row>
    <row r="19" spans="1:17">
      <c r="B19" s="66" t="s">
        <v>770</v>
      </c>
      <c r="C19" s="68">
        <v>260000</v>
      </c>
      <c r="D19" s="59">
        <f t="shared" si="12"/>
        <v>26000</v>
      </c>
      <c r="E19" s="67">
        <f t="shared" si="13"/>
        <v>52</v>
      </c>
      <c r="F19" s="68">
        <f t="shared" si="1"/>
        <v>1352000</v>
      </c>
      <c r="G19" s="67">
        <f t="shared" si="14"/>
        <v>18</v>
      </c>
      <c r="H19" s="59">
        <f t="shared" si="15"/>
        <v>39000</v>
      </c>
      <c r="I19" s="68">
        <f t="shared" si="3"/>
        <v>702000</v>
      </c>
      <c r="J19" s="68">
        <f t="shared" si="4"/>
        <v>650000</v>
      </c>
      <c r="K19" s="68">
        <f t="shared" si="5"/>
        <v>54166.666666666664</v>
      </c>
      <c r="L19" s="69">
        <f t="shared" si="6"/>
        <v>20.833333333333332</v>
      </c>
      <c r="M19" s="56">
        <f t="shared" si="7"/>
        <v>41.666666666666664</v>
      </c>
      <c r="N19">
        <v>3</v>
      </c>
    </row>
    <row r="24" spans="1:17" ht="26.4" customHeight="1">
      <c r="A24" t="s">
        <v>777</v>
      </c>
      <c r="B24" s="53"/>
      <c r="C24" s="54" t="s">
        <v>750</v>
      </c>
      <c r="D24" s="54" t="s">
        <v>751</v>
      </c>
      <c r="E24" s="54" t="s">
        <v>752</v>
      </c>
      <c r="F24" s="53"/>
      <c r="G24" s="54" t="s">
        <v>753</v>
      </c>
      <c r="H24" s="54" t="s">
        <v>754</v>
      </c>
      <c r="I24" s="53"/>
      <c r="J24" s="54" t="s">
        <v>755</v>
      </c>
      <c r="K24" s="53"/>
      <c r="L24" s="54" t="s">
        <v>756</v>
      </c>
      <c r="M24" s="54" t="s">
        <v>757</v>
      </c>
      <c r="N24" s="54" t="s">
        <v>758</v>
      </c>
    </row>
    <row r="25" spans="1:17">
      <c r="B25" s="63" t="s">
        <v>759</v>
      </c>
      <c r="C25" s="59">
        <v>260000</v>
      </c>
      <c r="D25" s="59">
        <f>C25*0.45</f>
        <v>117000</v>
      </c>
      <c r="E25" s="59">
        <v>49</v>
      </c>
      <c r="F25" s="59">
        <f t="shared" ref="F25:F33" si="16">D25*E25</f>
        <v>5733000</v>
      </c>
      <c r="G25" s="59">
        <v>12</v>
      </c>
      <c r="H25" s="59">
        <f>C25*0.1</f>
        <v>26000</v>
      </c>
      <c r="I25" s="59">
        <f t="shared" ref="I25:I33" si="17">G25*H25</f>
        <v>312000</v>
      </c>
      <c r="J25" s="59">
        <f t="shared" ref="J25:J33" si="18">F25-I25</f>
        <v>5421000</v>
      </c>
      <c r="K25" s="59">
        <f t="shared" ref="K25:K33" si="19">J25/12</f>
        <v>451750</v>
      </c>
      <c r="L25" s="65">
        <f t="shared" ref="L25:L33" si="20">(K25/C25)*100</f>
        <v>173.75</v>
      </c>
      <c r="M25" s="57">
        <f t="shared" ref="M25:M33" si="21">L25*2</f>
        <v>347.5</v>
      </c>
      <c r="N25">
        <v>0</v>
      </c>
    </row>
    <row r="26" spans="1:17">
      <c r="A26" s="52" t="s">
        <v>762</v>
      </c>
      <c r="B26" s="58" t="s">
        <v>760</v>
      </c>
      <c r="C26">
        <v>260000</v>
      </c>
      <c r="D26" s="59">
        <f>C26*0.45</f>
        <v>117000</v>
      </c>
      <c r="E26">
        <v>43</v>
      </c>
      <c r="F26">
        <f t="shared" si="16"/>
        <v>5031000</v>
      </c>
      <c r="G26">
        <v>6</v>
      </c>
      <c r="H26">
        <f>C26*0.1</f>
        <v>26000</v>
      </c>
      <c r="I26">
        <f t="shared" si="17"/>
        <v>156000</v>
      </c>
      <c r="J26">
        <f t="shared" si="18"/>
        <v>4875000</v>
      </c>
      <c r="K26">
        <f t="shared" si="19"/>
        <v>406250</v>
      </c>
      <c r="L26" s="60">
        <f t="shared" si="20"/>
        <v>156.25</v>
      </c>
      <c r="M26" s="55">
        <f t="shared" si="21"/>
        <v>312.5</v>
      </c>
      <c r="N26">
        <v>0</v>
      </c>
      <c r="Q26" t="s">
        <v>761</v>
      </c>
    </row>
    <row r="27" spans="1:17">
      <c r="A27" s="52" t="s">
        <v>778</v>
      </c>
      <c r="B27" s="91" t="s">
        <v>779</v>
      </c>
      <c r="C27">
        <v>260000</v>
      </c>
      <c r="D27" s="59">
        <f>C27*0.45</f>
        <v>117000</v>
      </c>
      <c r="E27">
        <v>28</v>
      </c>
      <c r="F27">
        <f t="shared" si="16"/>
        <v>3276000</v>
      </c>
      <c r="G27">
        <v>2</v>
      </c>
      <c r="H27">
        <f>C27*0.1</f>
        <v>26000</v>
      </c>
      <c r="I27">
        <f t="shared" si="17"/>
        <v>52000</v>
      </c>
      <c r="J27">
        <f t="shared" si="18"/>
        <v>3224000</v>
      </c>
      <c r="K27">
        <f t="shared" si="19"/>
        <v>268666.66666666669</v>
      </c>
      <c r="L27" s="60">
        <f t="shared" si="20"/>
        <v>103.33333333333334</v>
      </c>
      <c r="M27" s="55">
        <f t="shared" si="21"/>
        <v>206.66666666666669</v>
      </c>
      <c r="N27">
        <v>0</v>
      </c>
    </row>
    <row r="28" spans="1:17">
      <c r="A28" s="52" t="s">
        <v>771</v>
      </c>
      <c r="B28" s="63" t="s">
        <v>759</v>
      </c>
      <c r="C28" s="59">
        <v>260000</v>
      </c>
      <c r="D28" s="59">
        <f>C28*0.3</f>
        <v>78000</v>
      </c>
      <c r="E28" s="59">
        <f>E25</f>
        <v>49</v>
      </c>
      <c r="F28" s="59">
        <f t="shared" si="16"/>
        <v>3822000</v>
      </c>
      <c r="G28" s="59">
        <f>G25</f>
        <v>12</v>
      </c>
      <c r="H28" s="59">
        <f>C28*0.12</f>
        <v>31200</v>
      </c>
      <c r="I28" s="59">
        <f t="shared" si="17"/>
        <v>374400</v>
      </c>
      <c r="J28" s="59">
        <f t="shared" si="18"/>
        <v>3447600</v>
      </c>
      <c r="K28" s="59">
        <f t="shared" si="19"/>
        <v>287300</v>
      </c>
      <c r="L28" s="65">
        <f t="shared" si="20"/>
        <v>110.5</v>
      </c>
      <c r="M28" s="57">
        <f t="shared" si="21"/>
        <v>221</v>
      </c>
      <c r="N28">
        <v>0</v>
      </c>
    </row>
    <row r="29" spans="1:17">
      <c r="A29" s="52" t="s">
        <v>780</v>
      </c>
      <c r="B29" s="58" t="s">
        <v>760</v>
      </c>
      <c r="C29">
        <v>260000</v>
      </c>
      <c r="D29">
        <f>C29*0.3</f>
        <v>78000</v>
      </c>
      <c r="E29">
        <f>E26</f>
        <v>43</v>
      </c>
      <c r="F29">
        <f t="shared" si="16"/>
        <v>3354000</v>
      </c>
      <c r="G29">
        <f>G26</f>
        <v>6</v>
      </c>
      <c r="H29" s="59">
        <f>C29*0.12</f>
        <v>31200</v>
      </c>
      <c r="I29">
        <f t="shared" si="17"/>
        <v>187200</v>
      </c>
      <c r="J29">
        <f t="shared" si="18"/>
        <v>3166800</v>
      </c>
      <c r="K29">
        <f t="shared" si="19"/>
        <v>263900</v>
      </c>
      <c r="L29" s="60">
        <f t="shared" si="20"/>
        <v>101.49999999999999</v>
      </c>
      <c r="M29" s="55">
        <f t="shared" si="21"/>
        <v>202.99999999999997</v>
      </c>
      <c r="N29">
        <v>0</v>
      </c>
    </row>
    <row r="30" spans="1:17">
      <c r="A30" s="52"/>
      <c r="B30" s="91" t="s">
        <v>779</v>
      </c>
      <c r="C30" s="92">
        <v>260000</v>
      </c>
      <c r="D30" s="93">
        <f>C30*0.3</f>
        <v>78000</v>
      </c>
      <c r="E30" s="92">
        <v>28</v>
      </c>
      <c r="F30" s="92">
        <f t="shared" si="16"/>
        <v>2184000</v>
      </c>
      <c r="G30" s="92">
        <v>2</v>
      </c>
      <c r="H30" s="92">
        <f>C30*0.12</f>
        <v>31200</v>
      </c>
      <c r="I30" s="92">
        <f t="shared" si="17"/>
        <v>62400</v>
      </c>
      <c r="J30" s="92">
        <f t="shared" si="18"/>
        <v>2121600</v>
      </c>
      <c r="K30" s="92">
        <f t="shared" si="19"/>
        <v>176800</v>
      </c>
      <c r="L30" s="94">
        <f t="shared" si="20"/>
        <v>68</v>
      </c>
      <c r="M30" s="95">
        <f t="shared" si="21"/>
        <v>136</v>
      </c>
      <c r="N30" s="92">
        <v>0</v>
      </c>
    </row>
    <row r="31" spans="1:17">
      <c r="A31" s="52" t="s">
        <v>774</v>
      </c>
      <c r="B31" s="63" t="s">
        <v>759</v>
      </c>
      <c r="C31" s="59">
        <v>260000</v>
      </c>
      <c r="D31" s="59">
        <f>C31*0.1</f>
        <v>26000</v>
      </c>
      <c r="E31" s="59">
        <f>E25</f>
        <v>49</v>
      </c>
      <c r="F31" s="59">
        <f t="shared" si="16"/>
        <v>1274000</v>
      </c>
      <c r="G31" s="59">
        <f>G25</f>
        <v>12</v>
      </c>
      <c r="H31" s="59">
        <f>C31*0.15</f>
        <v>39000</v>
      </c>
      <c r="I31" s="59">
        <f t="shared" si="17"/>
        <v>468000</v>
      </c>
      <c r="J31" s="59">
        <f t="shared" si="18"/>
        <v>806000</v>
      </c>
      <c r="K31" s="59">
        <f t="shared" si="19"/>
        <v>67166.666666666672</v>
      </c>
      <c r="L31" s="65">
        <f t="shared" si="20"/>
        <v>25.833333333333336</v>
      </c>
      <c r="M31" s="57">
        <f t="shared" si="21"/>
        <v>51.666666666666671</v>
      </c>
      <c r="N31">
        <v>0</v>
      </c>
    </row>
    <row r="32" spans="1:17">
      <c r="A32" s="52" t="s">
        <v>781</v>
      </c>
      <c r="B32" s="58" t="s">
        <v>760</v>
      </c>
      <c r="C32">
        <v>260000</v>
      </c>
      <c r="D32" s="59">
        <f>C32*0.1</f>
        <v>26000</v>
      </c>
      <c r="E32">
        <f>E26</f>
        <v>43</v>
      </c>
      <c r="F32">
        <f t="shared" si="16"/>
        <v>1118000</v>
      </c>
      <c r="G32">
        <f>G26</f>
        <v>6</v>
      </c>
      <c r="H32" s="59">
        <f>C32*0.15</f>
        <v>39000</v>
      </c>
      <c r="I32">
        <f t="shared" si="17"/>
        <v>234000</v>
      </c>
      <c r="J32">
        <f t="shared" si="18"/>
        <v>884000</v>
      </c>
      <c r="K32">
        <f t="shared" si="19"/>
        <v>73666.666666666672</v>
      </c>
      <c r="L32" s="60">
        <f t="shared" si="20"/>
        <v>28.333333333333332</v>
      </c>
      <c r="M32" s="55">
        <f t="shared" si="21"/>
        <v>56.666666666666664</v>
      </c>
      <c r="N32">
        <v>0</v>
      </c>
    </row>
    <row r="33" spans="1:14">
      <c r="A33" s="52"/>
      <c r="B33" s="91" t="s">
        <v>779</v>
      </c>
      <c r="C33">
        <v>260000</v>
      </c>
      <c r="D33" s="59">
        <f>C33*0.1</f>
        <v>26000</v>
      </c>
      <c r="E33">
        <v>28</v>
      </c>
      <c r="F33">
        <f t="shared" si="16"/>
        <v>728000</v>
      </c>
      <c r="G33">
        <v>2</v>
      </c>
      <c r="H33">
        <f>C33*0.15</f>
        <v>39000</v>
      </c>
      <c r="I33">
        <f t="shared" si="17"/>
        <v>78000</v>
      </c>
      <c r="J33">
        <f t="shared" si="18"/>
        <v>650000</v>
      </c>
      <c r="K33">
        <f t="shared" si="19"/>
        <v>54166.666666666664</v>
      </c>
      <c r="L33" s="60">
        <f t="shared" si="20"/>
        <v>20.833333333333332</v>
      </c>
      <c r="M33" s="55">
        <f t="shared" si="21"/>
        <v>41.666666666666664</v>
      </c>
      <c r="N3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9"/>
  <sheetViews>
    <sheetView workbookViewId="0">
      <selection activeCell="N13" sqref="N13"/>
    </sheetView>
  </sheetViews>
  <sheetFormatPr defaultRowHeight="13.2"/>
  <cols>
    <col min="1" max="1" width="12.33203125" customWidth="1"/>
    <col min="2" max="2" width="11.77734375" customWidth="1"/>
    <col min="14" max="14" width="8.33203125" customWidth="1"/>
  </cols>
  <sheetData>
    <row r="1" spans="1:17" ht="26.4" customHeight="1">
      <c r="A1" t="s">
        <v>749</v>
      </c>
      <c r="B1" s="53"/>
      <c r="C1" s="53"/>
      <c r="D1" s="54" t="s">
        <v>750</v>
      </c>
      <c r="E1" s="54" t="s">
        <v>751</v>
      </c>
      <c r="F1" s="54" t="s">
        <v>752</v>
      </c>
      <c r="G1" s="53"/>
      <c r="H1" s="54" t="s">
        <v>753</v>
      </c>
      <c r="I1" s="54" t="s">
        <v>754</v>
      </c>
      <c r="J1" s="53"/>
      <c r="K1" s="54" t="s">
        <v>755</v>
      </c>
      <c r="L1" s="53"/>
      <c r="M1" s="54" t="s">
        <v>756</v>
      </c>
      <c r="N1" s="54" t="s">
        <v>757</v>
      </c>
      <c r="Q1" t="s">
        <v>782</v>
      </c>
    </row>
    <row r="2" spans="1:17">
      <c r="B2" s="70" t="s">
        <v>783</v>
      </c>
      <c r="C2" s="71" t="s">
        <v>764</v>
      </c>
      <c r="D2" s="72">
        <v>260000</v>
      </c>
      <c r="E2" s="72">
        <f t="shared" ref="E2:E7" si="0">D2*0.42</f>
        <v>109200</v>
      </c>
      <c r="F2" s="72">
        <v>27</v>
      </c>
      <c r="G2" s="72">
        <f t="shared" ref="G2:G19" si="1">E2*F2</f>
        <v>2948400</v>
      </c>
      <c r="H2" s="72">
        <v>1</v>
      </c>
      <c r="I2" s="72">
        <f t="shared" ref="I2:I13" si="2">D2*0.15</f>
        <v>39000</v>
      </c>
      <c r="J2" s="72">
        <f t="shared" ref="J2:J19" si="3">H2*I2</f>
        <v>39000</v>
      </c>
      <c r="K2" s="72">
        <f t="shared" ref="K2:K19" si="4">G2-J2</f>
        <v>2909400</v>
      </c>
      <c r="L2" s="72">
        <f t="shared" ref="L2:L19" si="5">K2/12</f>
        <v>242450</v>
      </c>
      <c r="M2" s="73">
        <f t="shared" ref="M2:M19" si="6">(L2/D2)*100</f>
        <v>93.25</v>
      </c>
      <c r="N2" s="74">
        <f t="shared" ref="N2:N19" si="7">M2*2</f>
        <v>186.5</v>
      </c>
      <c r="O2" s="75"/>
      <c r="P2" s="75"/>
      <c r="Q2" s="75">
        <v>12</v>
      </c>
    </row>
    <row r="3" spans="1:17">
      <c r="A3" s="52" t="s">
        <v>762</v>
      </c>
      <c r="B3" s="76" t="s">
        <v>784</v>
      </c>
      <c r="C3" s="77" t="s">
        <v>764</v>
      </c>
      <c r="D3" s="75">
        <v>260000</v>
      </c>
      <c r="E3" s="72">
        <f t="shared" si="0"/>
        <v>109200</v>
      </c>
      <c r="F3" s="75">
        <v>27</v>
      </c>
      <c r="G3" s="75">
        <f t="shared" si="1"/>
        <v>2948400</v>
      </c>
      <c r="H3" s="75">
        <v>2</v>
      </c>
      <c r="I3" s="72">
        <f t="shared" si="2"/>
        <v>39000</v>
      </c>
      <c r="J3" s="75">
        <f t="shared" si="3"/>
        <v>78000</v>
      </c>
      <c r="K3" s="75">
        <f t="shared" si="4"/>
        <v>2870400</v>
      </c>
      <c r="L3" s="75">
        <f t="shared" si="5"/>
        <v>239200</v>
      </c>
      <c r="M3" s="78">
        <f t="shared" si="6"/>
        <v>92</v>
      </c>
      <c r="N3" s="79">
        <f t="shared" si="7"/>
        <v>184</v>
      </c>
      <c r="O3" s="75"/>
      <c r="P3" s="75"/>
      <c r="Q3" s="75">
        <v>13</v>
      </c>
    </row>
    <row r="4" spans="1:17">
      <c r="A4" s="52" t="s">
        <v>785</v>
      </c>
      <c r="B4" s="76" t="s">
        <v>786</v>
      </c>
      <c r="C4" s="77" t="s">
        <v>764</v>
      </c>
      <c r="D4" s="75">
        <v>260000</v>
      </c>
      <c r="E4" s="72">
        <f t="shared" si="0"/>
        <v>109200</v>
      </c>
      <c r="F4" s="75">
        <v>24</v>
      </c>
      <c r="G4" s="75">
        <f t="shared" si="1"/>
        <v>2620800</v>
      </c>
      <c r="H4" s="75">
        <v>0</v>
      </c>
      <c r="I4" s="72">
        <f t="shared" si="2"/>
        <v>39000</v>
      </c>
      <c r="J4" s="75">
        <f t="shared" si="3"/>
        <v>0</v>
      </c>
      <c r="K4" s="75">
        <f t="shared" si="4"/>
        <v>2620800</v>
      </c>
      <c r="L4" s="75">
        <f t="shared" si="5"/>
        <v>218400</v>
      </c>
      <c r="M4" s="78">
        <f t="shared" si="6"/>
        <v>84</v>
      </c>
      <c r="N4" s="79">
        <f t="shared" si="7"/>
        <v>168</v>
      </c>
      <c r="O4" s="75"/>
      <c r="P4" s="75"/>
      <c r="Q4" s="75">
        <v>4</v>
      </c>
    </row>
    <row r="5" spans="1:17">
      <c r="A5" s="52" t="s">
        <v>776</v>
      </c>
      <c r="B5" s="81" t="s">
        <v>787</v>
      </c>
      <c r="C5" s="82" t="s">
        <v>764</v>
      </c>
      <c r="D5" s="80">
        <v>260000</v>
      </c>
      <c r="E5" s="83">
        <f t="shared" si="0"/>
        <v>109200</v>
      </c>
      <c r="F5" s="82">
        <v>23</v>
      </c>
      <c r="G5" s="80">
        <f t="shared" si="1"/>
        <v>2511600</v>
      </c>
      <c r="H5" s="82">
        <v>0</v>
      </c>
      <c r="I5" s="83">
        <f t="shared" si="2"/>
        <v>39000</v>
      </c>
      <c r="J5" s="80">
        <f t="shared" si="3"/>
        <v>0</v>
      </c>
      <c r="K5" s="80">
        <f t="shared" si="4"/>
        <v>2511600</v>
      </c>
      <c r="L5" s="80">
        <f t="shared" si="5"/>
        <v>209300</v>
      </c>
      <c r="M5" s="84">
        <f t="shared" si="6"/>
        <v>80.5</v>
      </c>
      <c r="N5" s="85">
        <f t="shared" si="7"/>
        <v>161</v>
      </c>
      <c r="O5" s="80"/>
      <c r="P5" s="80"/>
      <c r="Q5" s="80">
        <v>2</v>
      </c>
    </row>
    <row r="6" spans="1:17">
      <c r="B6" s="76" t="s">
        <v>788</v>
      </c>
      <c r="C6" s="77" t="s">
        <v>764</v>
      </c>
      <c r="D6" s="75">
        <v>260000</v>
      </c>
      <c r="E6" s="72">
        <f t="shared" si="0"/>
        <v>109200</v>
      </c>
      <c r="F6" s="75">
        <v>22</v>
      </c>
      <c r="G6" s="75">
        <f t="shared" si="1"/>
        <v>2402400</v>
      </c>
      <c r="H6" s="75">
        <v>0</v>
      </c>
      <c r="I6" s="72">
        <f t="shared" si="2"/>
        <v>39000</v>
      </c>
      <c r="J6" s="75">
        <f t="shared" si="3"/>
        <v>0</v>
      </c>
      <c r="K6" s="75">
        <f t="shared" si="4"/>
        <v>2402400</v>
      </c>
      <c r="L6" s="75">
        <f t="shared" si="5"/>
        <v>200200</v>
      </c>
      <c r="M6" s="78">
        <f t="shared" si="6"/>
        <v>77</v>
      </c>
      <c r="N6" s="79">
        <f t="shared" si="7"/>
        <v>154</v>
      </c>
      <c r="O6" s="75"/>
      <c r="P6" s="75"/>
      <c r="Q6" s="75">
        <v>5</v>
      </c>
    </row>
    <row r="7" spans="1:17">
      <c r="B7" s="86" t="s">
        <v>789</v>
      </c>
      <c r="C7" s="87" t="s">
        <v>764</v>
      </c>
      <c r="D7" s="88">
        <v>260000</v>
      </c>
      <c r="E7" s="83">
        <f t="shared" si="0"/>
        <v>109200</v>
      </c>
      <c r="F7" s="87">
        <v>22</v>
      </c>
      <c r="G7" s="88">
        <f t="shared" si="1"/>
        <v>2402400</v>
      </c>
      <c r="H7" s="87">
        <v>0</v>
      </c>
      <c r="I7" s="83">
        <f t="shared" si="2"/>
        <v>39000</v>
      </c>
      <c r="J7" s="88">
        <f t="shared" si="3"/>
        <v>0</v>
      </c>
      <c r="K7" s="88">
        <f t="shared" si="4"/>
        <v>2402400</v>
      </c>
      <c r="L7" s="88">
        <f t="shared" si="5"/>
        <v>200200</v>
      </c>
      <c r="M7" s="89">
        <f t="shared" si="6"/>
        <v>77</v>
      </c>
      <c r="N7" s="90">
        <f t="shared" si="7"/>
        <v>154</v>
      </c>
      <c r="O7" s="80"/>
      <c r="P7" s="80"/>
      <c r="Q7" s="80">
        <v>2</v>
      </c>
    </row>
    <row r="8" spans="1:17">
      <c r="B8" s="70" t="s">
        <v>783</v>
      </c>
      <c r="C8" s="71" t="s">
        <v>764</v>
      </c>
      <c r="D8" s="72">
        <v>260000</v>
      </c>
      <c r="E8" s="72">
        <f t="shared" ref="E8:E13" si="8">D8*0.21</f>
        <v>54600</v>
      </c>
      <c r="F8" s="72">
        <f t="shared" ref="F8:F13" si="9">F2</f>
        <v>27</v>
      </c>
      <c r="G8" s="72">
        <f t="shared" si="1"/>
        <v>1474200</v>
      </c>
      <c r="H8" s="72">
        <f t="shared" ref="H8:H13" si="10">H2</f>
        <v>1</v>
      </c>
      <c r="I8" s="72">
        <f t="shared" si="2"/>
        <v>39000</v>
      </c>
      <c r="J8" s="72">
        <f t="shared" si="3"/>
        <v>39000</v>
      </c>
      <c r="K8" s="72">
        <f t="shared" si="4"/>
        <v>1435200</v>
      </c>
      <c r="L8" s="72">
        <f t="shared" si="5"/>
        <v>119600</v>
      </c>
      <c r="M8" s="73">
        <f t="shared" si="6"/>
        <v>46</v>
      </c>
      <c r="N8" s="74">
        <f t="shared" si="7"/>
        <v>92</v>
      </c>
      <c r="O8" s="75"/>
      <c r="P8" s="75"/>
      <c r="Q8" s="75">
        <v>12</v>
      </c>
    </row>
    <row r="9" spans="1:17">
      <c r="A9" s="52" t="s">
        <v>771</v>
      </c>
      <c r="B9" s="76" t="s">
        <v>784</v>
      </c>
      <c r="C9" s="77" t="s">
        <v>764</v>
      </c>
      <c r="D9" s="75">
        <v>260000</v>
      </c>
      <c r="E9" s="72">
        <f t="shared" si="8"/>
        <v>54600</v>
      </c>
      <c r="F9" s="75">
        <f t="shared" si="9"/>
        <v>27</v>
      </c>
      <c r="G9" s="75">
        <f t="shared" si="1"/>
        <v>1474200</v>
      </c>
      <c r="H9" s="75">
        <f t="shared" si="10"/>
        <v>2</v>
      </c>
      <c r="I9" s="72">
        <f t="shared" si="2"/>
        <v>39000</v>
      </c>
      <c r="J9" s="75">
        <f t="shared" si="3"/>
        <v>78000</v>
      </c>
      <c r="K9" s="75">
        <f t="shared" si="4"/>
        <v>1396200</v>
      </c>
      <c r="L9" s="75">
        <f t="shared" si="5"/>
        <v>116350</v>
      </c>
      <c r="M9" s="78">
        <f t="shared" si="6"/>
        <v>44.75</v>
      </c>
      <c r="N9" s="79">
        <f t="shared" si="7"/>
        <v>89.5</v>
      </c>
      <c r="O9" s="75"/>
      <c r="P9" s="75"/>
      <c r="Q9" s="75">
        <v>13</v>
      </c>
    </row>
    <row r="10" spans="1:17">
      <c r="A10" s="52" t="s">
        <v>790</v>
      </c>
      <c r="B10" s="76" t="s">
        <v>786</v>
      </c>
      <c r="C10" s="77" t="s">
        <v>764</v>
      </c>
      <c r="D10" s="75">
        <v>260000</v>
      </c>
      <c r="E10" s="72">
        <f t="shared" si="8"/>
        <v>54600</v>
      </c>
      <c r="F10" s="75">
        <f t="shared" si="9"/>
        <v>24</v>
      </c>
      <c r="G10" s="75">
        <f t="shared" si="1"/>
        <v>1310400</v>
      </c>
      <c r="H10" s="75">
        <f t="shared" si="10"/>
        <v>0</v>
      </c>
      <c r="I10" s="72">
        <f t="shared" si="2"/>
        <v>39000</v>
      </c>
      <c r="J10" s="75">
        <f t="shared" si="3"/>
        <v>0</v>
      </c>
      <c r="K10" s="75">
        <f t="shared" si="4"/>
        <v>1310400</v>
      </c>
      <c r="L10" s="75">
        <f t="shared" si="5"/>
        <v>109200</v>
      </c>
      <c r="M10" s="78">
        <f t="shared" si="6"/>
        <v>42</v>
      </c>
      <c r="N10" s="79">
        <f t="shared" si="7"/>
        <v>84</v>
      </c>
      <c r="O10" s="75"/>
      <c r="P10" s="75"/>
      <c r="Q10" s="75">
        <v>4</v>
      </c>
    </row>
    <row r="11" spans="1:17">
      <c r="A11" s="52" t="s">
        <v>776</v>
      </c>
      <c r="B11" s="81" t="s">
        <v>787</v>
      </c>
      <c r="C11" s="82" t="s">
        <v>764</v>
      </c>
      <c r="D11" s="80">
        <v>260000</v>
      </c>
      <c r="E11" s="83">
        <f t="shared" si="8"/>
        <v>54600</v>
      </c>
      <c r="F11" s="82">
        <f t="shared" si="9"/>
        <v>23</v>
      </c>
      <c r="G11" s="80">
        <f t="shared" si="1"/>
        <v>1255800</v>
      </c>
      <c r="H11" s="82">
        <f t="shared" si="10"/>
        <v>0</v>
      </c>
      <c r="I11" s="83">
        <f t="shared" si="2"/>
        <v>39000</v>
      </c>
      <c r="J11" s="80">
        <f t="shared" si="3"/>
        <v>0</v>
      </c>
      <c r="K11" s="80">
        <f t="shared" si="4"/>
        <v>1255800</v>
      </c>
      <c r="L11" s="80">
        <f t="shared" si="5"/>
        <v>104650</v>
      </c>
      <c r="M11" s="84">
        <f t="shared" si="6"/>
        <v>40.25</v>
      </c>
      <c r="N11" s="85">
        <f t="shared" si="7"/>
        <v>80.5</v>
      </c>
      <c r="O11" s="80"/>
      <c r="P11" s="80"/>
      <c r="Q11" s="80">
        <v>2</v>
      </c>
    </row>
    <row r="12" spans="1:17">
      <c r="B12" s="76" t="s">
        <v>788</v>
      </c>
      <c r="C12" s="77" t="s">
        <v>764</v>
      </c>
      <c r="D12" s="75">
        <v>260000</v>
      </c>
      <c r="E12" s="72">
        <f t="shared" si="8"/>
        <v>54600</v>
      </c>
      <c r="F12" s="75">
        <f t="shared" si="9"/>
        <v>22</v>
      </c>
      <c r="G12" s="75">
        <f t="shared" si="1"/>
        <v>1201200</v>
      </c>
      <c r="H12" s="75">
        <f t="shared" si="10"/>
        <v>0</v>
      </c>
      <c r="I12" s="72">
        <f t="shared" si="2"/>
        <v>39000</v>
      </c>
      <c r="J12" s="75">
        <f t="shared" si="3"/>
        <v>0</v>
      </c>
      <c r="K12" s="75">
        <f t="shared" si="4"/>
        <v>1201200</v>
      </c>
      <c r="L12" s="75">
        <f t="shared" si="5"/>
        <v>100100</v>
      </c>
      <c r="M12" s="78">
        <f t="shared" si="6"/>
        <v>38.5</v>
      </c>
      <c r="N12" s="79">
        <f t="shared" si="7"/>
        <v>77</v>
      </c>
      <c r="O12" s="75"/>
      <c r="P12" s="75"/>
      <c r="Q12" s="75">
        <v>5</v>
      </c>
    </row>
    <row r="13" spans="1:17">
      <c r="B13" s="86" t="s">
        <v>789</v>
      </c>
      <c r="C13" s="87" t="s">
        <v>764</v>
      </c>
      <c r="D13" s="88">
        <v>260000</v>
      </c>
      <c r="E13" s="83">
        <f t="shared" si="8"/>
        <v>54600</v>
      </c>
      <c r="F13" s="87">
        <f t="shared" si="9"/>
        <v>22</v>
      </c>
      <c r="G13" s="88">
        <f t="shared" si="1"/>
        <v>1201200</v>
      </c>
      <c r="H13" s="87">
        <f t="shared" si="10"/>
        <v>0</v>
      </c>
      <c r="I13" s="83">
        <f t="shared" si="2"/>
        <v>39000</v>
      </c>
      <c r="J13" s="88">
        <f t="shared" si="3"/>
        <v>0</v>
      </c>
      <c r="K13" s="88">
        <f t="shared" si="4"/>
        <v>1201200</v>
      </c>
      <c r="L13" s="88">
        <f t="shared" si="5"/>
        <v>100100</v>
      </c>
      <c r="M13" s="89">
        <f t="shared" si="6"/>
        <v>38.5</v>
      </c>
      <c r="N13" s="90">
        <f t="shared" si="7"/>
        <v>77</v>
      </c>
      <c r="O13" s="80"/>
      <c r="P13" s="80"/>
      <c r="Q13" s="80">
        <v>2</v>
      </c>
    </row>
    <row r="14" spans="1:17">
      <c r="B14" s="70" t="s">
        <v>783</v>
      </c>
      <c r="C14" s="71" t="s">
        <v>764</v>
      </c>
      <c r="D14" s="72">
        <v>260000</v>
      </c>
      <c r="E14" s="72">
        <f t="shared" ref="E14:E19" si="11">D14*0.15</f>
        <v>39000</v>
      </c>
      <c r="F14" s="72">
        <f t="shared" ref="F14:F19" si="12">F2</f>
        <v>27</v>
      </c>
      <c r="G14" s="72">
        <f t="shared" si="1"/>
        <v>1053000</v>
      </c>
      <c r="H14" s="72">
        <f t="shared" ref="H14:H19" si="13">H2</f>
        <v>1</v>
      </c>
      <c r="I14" s="72">
        <f t="shared" ref="I14:I19" si="14">D14*0.2</f>
        <v>52000</v>
      </c>
      <c r="J14" s="72">
        <f t="shared" si="3"/>
        <v>52000</v>
      </c>
      <c r="K14" s="72">
        <f t="shared" si="4"/>
        <v>1001000</v>
      </c>
      <c r="L14" s="72">
        <f t="shared" si="5"/>
        <v>83416.666666666672</v>
      </c>
      <c r="M14" s="73">
        <f t="shared" si="6"/>
        <v>32.083333333333336</v>
      </c>
      <c r="N14" s="74">
        <f t="shared" si="7"/>
        <v>64.166666666666671</v>
      </c>
      <c r="O14" s="75"/>
      <c r="P14" s="75"/>
      <c r="Q14" s="75">
        <v>12</v>
      </c>
    </row>
    <row r="15" spans="1:17">
      <c r="A15" s="52" t="s">
        <v>774</v>
      </c>
      <c r="B15" s="76" t="s">
        <v>784</v>
      </c>
      <c r="C15" s="77" t="s">
        <v>764</v>
      </c>
      <c r="D15" s="75">
        <v>260000</v>
      </c>
      <c r="E15" s="72">
        <f t="shared" si="11"/>
        <v>39000</v>
      </c>
      <c r="F15" s="75">
        <f t="shared" si="12"/>
        <v>27</v>
      </c>
      <c r="G15" s="75">
        <f t="shared" si="1"/>
        <v>1053000</v>
      </c>
      <c r="H15" s="75">
        <f t="shared" si="13"/>
        <v>2</v>
      </c>
      <c r="I15" s="72">
        <f t="shared" si="14"/>
        <v>52000</v>
      </c>
      <c r="J15" s="75">
        <f t="shared" si="3"/>
        <v>104000</v>
      </c>
      <c r="K15" s="75">
        <f t="shared" si="4"/>
        <v>949000</v>
      </c>
      <c r="L15" s="75">
        <f t="shared" si="5"/>
        <v>79083.333333333328</v>
      </c>
      <c r="M15" s="78">
        <f t="shared" si="6"/>
        <v>30.416666666666664</v>
      </c>
      <c r="N15" s="79">
        <f t="shared" si="7"/>
        <v>60.833333333333329</v>
      </c>
      <c r="O15" s="75"/>
      <c r="P15" s="75"/>
      <c r="Q15" s="75">
        <v>13</v>
      </c>
    </row>
    <row r="16" spans="1:17">
      <c r="A16" s="52" t="s">
        <v>791</v>
      </c>
      <c r="B16" s="76" t="s">
        <v>786</v>
      </c>
      <c r="C16" s="77" t="s">
        <v>764</v>
      </c>
      <c r="D16" s="75">
        <v>260000</v>
      </c>
      <c r="E16" s="72">
        <f t="shared" si="11"/>
        <v>39000</v>
      </c>
      <c r="F16" s="75">
        <f t="shared" si="12"/>
        <v>24</v>
      </c>
      <c r="G16" s="75">
        <f t="shared" si="1"/>
        <v>936000</v>
      </c>
      <c r="H16" s="75">
        <f t="shared" si="13"/>
        <v>0</v>
      </c>
      <c r="I16" s="72">
        <f t="shared" si="14"/>
        <v>52000</v>
      </c>
      <c r="J16" s="75">
        <f t="shared" si="3"/>
        <v>0</v>
      </c>
      <c r="K16" s="75">
        <f t="shared" si="4"/>
        <v>936000</v>
      </c>
      <c r="L16" s="75">
        <f t="shared" si="5"/>
        <v>78000</v>
      </c>
      <c r="M16" s="78">
        <f t="shared" si="6"/>
        <v>30</v>
      </c>
      <c r="N16" s="79">
        <f t="shared" si="7"/>
        <v>60</v>
      </c>
      <c r="O16" s="75"/>
      <c r="P16" s="75"/>
      <c r="Q16" s="75">
        <v>4</v>
      </c>
    </row>
    <row r="17" spans="1:17">
      <c r="A17" s="52" t="s">
        <v>792</v>
      </c>
      <c r="B17" s="81" t="s">
        <v>787</v>
      </c>
      <c r="C17" s="82" t="s">
        <v>764</v>
      </c>
      <c r="D17" s="80">
        <v>260000</v>
      </c>
      <c r="E17" s="83">
        <f t="shared" si="11"/>
        <v>39000</v>
      </c>
      <c r="F17" s="82">
        <f t="shared" si="12"/>
        <v>23</v>
      </c>
      <c r="G17" s="80">
        <f t="shared" si="1"/>
        <v>897000</v>
      </c>
      <c r="H17" s="82">
        <f t="shared" si="13"/>
        <v>0</v>
      </c>
      <c r="I17" s="83">
        <f t="shared" si="14"/>
        <v>52000</v>
      </c>
      <c r="J17" s="80">
        <f t="shared" si="3"/>
        <v>0</v>
      </c>
      <c r="K17" s="80">
        <f t="shared" si="4"/>
        <v>897000</v>
      </c>
      <c r="L17" s="80">
        <f t="shared" si="5"/>
        <v>74750</v>
      </c>
      <c r="M17" s="84">
        <f t="shared" si="6"/>
        <v>28.749999999999996</v>
      </c>
      <c r="N17" s="85">
        <f t="shared" si="7"/>
        <v>57.499999999999993</v>
      </c>
      <c r="O17" s="80"/>
      <c r="P17" s="80"/>
      <c r="Q17" s="80">
        <v>2</v>
      </c>
    </row>
    <row r="18" spans="1:17">
      <c r="B18" s="76" t="s">
        <v>788</v>
      </c>
      <c r="C18" s="77" t="s">
        <v>764</v>
      </c>
      <c r="D18" s="75">
        <v>260000</v>
      </c>
      <c r="E18" s="72">
        <f t="shared" si="11"/>
        <v>39000</v>
      </c>
      <c r="F18" s="75">
        <f t="shared" si="12"/>
        <v>22</v>
      </c>
      <c r="G18" s="75">
        <f t="shared" si="1"/>
        <v>858000</v>
      </c>
      <c r="H18" s="75">
        <f t="shared" si="13"/>
        <v>0</v>
      </c>
      <c r="I18" s="72">
        <f t="shared" si="14"/>
        <v>52000</v>
      </c>
      <c r="J18" s="75">
        <f t="shared" si="3"/>
        <v>0</v>
      </c>
      <c r="K18" s="75">
        <f t="shared" si="4"/>
        <v>858000</v>
      </c>
      <c r="L18" s="75">
        <f t="shared" si="5"/>
        <v>71500</v>
      </c>
      <c r="M18" s="78">
        <f t="shared" si="6"/>
        <v>27.500000000000004</v>
      </c>
      <c r="N18" s="79">
        <f t="shared" si="7"/>
        <v>55.000000000000007</v>
      </c>
      <c r="O18" s="75"/>
      <c r="P18" s="75"/>
      <c r="Q18" s="75">
        <v>5</v>
      </c>
    </row>
    <row r="19" spans="1:17">
      <c r="B19" s="86" t="s">
        <v>789</v>
      </c>
      <c r="C19" s="87" t="s">
        <v>764</v>
      </c>
      <c r="D19" s="88">
        <v>260000</v>
      </c>
      <c r="E19" s="83">
        <f t="shared" si="11"/>
        <v>39000</v>
      </c>
      <c r="F19" s="87">
        <f t="shared" si="12"/>
        <v>22</v>
      </c>
      <c r="G19" s="88">
        <f t="shared" si="1"/>
        <v>858000</v>
      </c>
      <c r="H19" s="87">
        <f t="shared" si="13"/>
        <v>0</v>
      </c>
      <c r="I19" s="83">
        <f t="shared" si="14"/>
        <v>52000</v>
      </c>
      <c r="J19" s="88">
        <f t="shared" si="3"/>
        <v>0</v>
      </c>
      <c r="K19" s="88">
        <f t="shared" si="4"/>
        <v>858000</v>
      </c>
      <c r="L19" s="88">
        <f t="shared" si="5"/>
        <v>71500</v>
      </c>
      <c r="M19" s="89">
        <f t="shared" si="6"/>
        <v>27.500000000000004</v>
      </c>
      <c r="N19" s="90">
        <f t="shared" si="7"/>
        <v>55.000000000000007</v>
      </c>
      <c r="O19" s="80"/>
      <c r="P19" s="80"/>
      <c r="Q19" s="80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I12"/>
  <sheetViews>
    <sheetView workbookViewId="0">
      <selection activeCell="H11" sqref="H11"/>
    </sheetView>
  </sheetViews>
  <sheetFormatPr defaultRowHeight="13.2"/>
  <cols>
    <col min="7" max="7" width="12" customWidth="1"/>
    <col min="9" max="9" width="32.33203125" customWidth="1"/>
  </cols>
  <sheetData>
    <row r="2" spans="2:9">
      <c r="B2" t="s">
        <v>749</v>
      </c>
      <c r="C2" t="s">
        <v>793</v>
      </c>
      <c r="D2" t="s">
        <v>794</v>
      </c>
      <c r="E2" t="s">
        <v>795</v>
      </c>
      <c r="F2" t="s">
        <v>796</v>
      </c>
      <c r="G2" t="s">
        <v>797</v>
      </c>
      <c r="I2" t="s">
        <v>798</v>
      </c>
    </row>
    <row r="3" spans="2:9">
      <c r="B3" t="s">
        <v>799</v>
      </c>
      <c r="C3">
        <v>282</v>
      </c>
      <c r="D3">
        <v>154</v>
      </c>
      <c r="E3">
        <f>SUM(C3:D3)</f>
        <v>436</v>
      </c>
      <c r="F3">
        <v>48</v>
      </c>
      <c r="G3">
        <v>30</v>
      </c>
      <c r="H3">
        <f>SUM(E3+F3+G3)</f>
        <v>514</v>
      </c>
      <c r="I3">
        <f>H3*0.7</f>
        <v>359.79999999999995</v>
      </c>
    </row>
    <row r="4" spans="2:9">
      <c r="B4" t="s">
        <v>800</v>
      </c>
      <c r="C4">
        <v>183</v>
      </c>
      <c r="D4">
        <v>77</v>
      </c>
      <c r="E4">
        <f>SUM(C4:D4)</f>
        <v>260</v>
      </c>
      <c r="F4">
        <v>36</v>
      </c>
      <c r="G4">
        <v>20</v>
      </c>
      <c r="H4">
        <f>SUM(E4+F4+G4)</f>
        <v>316</v>
      </c>
      <c r="I4">
        <f>H4*0.7</f>
        <v>221.2</v>
      </c>
    </row>
    <row r="5" spans="2:9">
      <c r="B5" t="s">
        <v>801</v>
      </c>
      <c r="C5">
        <v>50</v>
      </c>
      <c r="D5">
        <v>55</v>
      </c>
      <c r="E5">
        <f>SUM(C5:D5)</f>
        <v>105</v>
      </c>
      <c r="F5">
        <v>24</v>
      </c>
      <c r="G5">
        <v>10</v>
      </c>
      <c r="H5">
        <f>SUM(E5+F5+G5)</f>
        <v>139</v>
      </c>
      <c r="I5">
        <f>H5*0.7</f>
        <v>97.3</v>
      </c>
    </row>
    <row r="9" spans="2:9">
      <c r="B9" t="s">
        <v>777</v>
      </c>
      <c r="C9" t="s">
        <v>793</v>
      </c>
      <c r="D9" t="s">
        <v>794</v>
      </c>
      <c r="E9" t="s">
        <v>795</v>
      </c>
      <c r="F9" t="s">
        <v>796</v>
      </c>
      <c r="G9" t="s">
        <v>797</v>
      </c>
      <c r="I9" t="s">
        <v>798</v>
      </c>
    </row>
    <row r="10" spans="2:9">
      <c r="B10" t="s">
        <v>799</v>
      </c>
      <c r="E10">
        <f>SUM(C10:D10)</f>
        <v>0</v>
      </c>
      <c r="F10">
        <v>48</v>
      </c>
      <c r="G10">
        <v>0</v>
      </c>
      <c r="H10">
        <f>SUM(E10+F10+G10)</f>
        <v>48</v>
      </c>
      <c r="I10">
        <f>H10*0.8</f>
        <v>38.400000000000006</v>
      </c>
    </row>
    <row r="11" spans="2:9">
      <c r="B11" t="s">
        <v>800</v>
      </c>
      <c r="C11">
        <v>136</v>
      </c>
      <c r="D11">
        <v>77</v>
      </c>
      <c r="E11">
        <f>SUM(C11:D11)</f>
        <v>213</v>
      </c>
      <c r="F11">
        <v>36</v>
      </c>
      <c r="G11">
        <v>0</v>
      </c>
      <c r="H11">
        <f>SUM(E11+F11+G11)</f>
        <v>249</v>
      </c>
      <c r="I11">
        <f>H11*0.8</f>
        <v>199.20000000000002</v>
      </c>
    </row>
    <row r="12" spans="2:9">
      <c r="B12" t="s">
        <v>801</v>
      </c>
      <c r="C12">
        <v>41</v>
      </c>
      <c r="D12">
        <v>55</v>
      </c>
      <c r="E12">
        <f>SUM(C12:D12)</f>
        <v>96</v>
      </c>
      <c r="F12">
        <v>24</v>
      </c>
      <c r="G12">
        <v>0</v>
      </c>
      <c r="H12">
        <f>SUM(E12+F12+G12)</f>
        <v>120</v>
      </c>
      <c r="I12">
        <f>H12*0.8</f>
        <v>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C3:D4"/>
  <sheetViews>
    <sheetView workbookViewId="0">
      <selection activeCell="C3" sqref="C3"/>
    </sheetView>
  </sheetViews>
  <sheetFormatPr defaultRowHeight="13.2"/>
  <sheetData>
    <row r="3" spans="3:4">
      <c r="C3" t="s">
        <v>802</v>
      </c>
      <c r="D3" t="s">
        <v>803</v>
      </c>
    </row>
    <row r="4" spans="3:4">
      <c r="C4" t="s">
        <v>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IPOSME</vt:lpstr>
      <vt:lpstr>IPOMB</vt:lpstr>
      <vt:lpstr>SMEr&amp;d</vt:lpstr>
      <vt:lpstr>mbr&amp;d</vt:lpstr>
      <vt:lpstr>Sheet2</vt:lpstr>
      <vt:lpstr>Notes Remarks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bruce wayne</cp:lastModifiedBy>
  <cp:revision>5</cp:revision>
  <dcterms:created xsi:type="dcterms:W3CDTF">2026-01-08T17:06:38Z</dcterms:created>
  <dcterms:modified xsi:type="dcterms:W3CDTF">2026-09-29T08:26:40Z</dcterms:modified>
  <dc:language>en-GB</dc:language>
</cp:coreProperties>
</file>