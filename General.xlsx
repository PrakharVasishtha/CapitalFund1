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3.56</v>
      </c>
      <c r="Y193" t="n">
        <v>30.78</v>
      </c>
      <c r="Z193" t="n">
        <v>47.53</v>
      </c>
      <c r="AA193" s="5">
        <f>IF(X193&lt;50,IF(Y193&gt;(2.3*X193),0,1),1)-IF(Z193&gt;Y193,1.7,0)</f>
        <v/>
      </c>
      <c r="AB193" t="n">
        <v>0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12.1575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9.65</v>
      </c>
      <c r="K196" t="n">
        <v>5.64</v>
      </c>
      <c r="L196" t="n">
        <v>78</v>
      </c>
      <c r="M196" t="n">
        <v>10.01</v>
      </c>
      <c r="N196" t="n">
        <v>16.57</v>
      </c>
      <c r="O196" t="n">
        <v>60.28</v>
      </c>
      <c r="P196" s="5" t="n">
        <v>10.38</v>
      </c>
      <c r="Q196" t="n">
        <v>27.66</v>
      </c>
      <c r="R196" s="2" t="n">
        <v>36.97</v>
      </c>
      <c r="S196" s="6" t="n">
        <v>-0.5</v>
      </c>
      <c r="T196" t="n">
        <v>66.98999999999999</v>
      </c>
      <c r="U196" t="n">
        <v>13.05</v>
      </c>
      <c r="V196" t="n">
        <v>0</v>
      </c>
      <c r="W196" t="n">
        <v>1</v>
      </c>
      <c r="X196" t="n">
        <v>2</v>
      </c>
      <c r="Y196" t="n">
        <v>2</v>
      </c>
      <c r="Z196" t="n">
        <v>1</v>
      </c>
      <c r="AA196" s="5">
        <f>IF(X196&lt;50,IF(Y196&gt;(2.3*X196),0,1),1)-IF(Z196&gt;Y196,1.7,0)</f>
        <v/>
      </c>
      <c r="AB196" t="n">
        <v>0</v>
      </c>
      <c r="AC196" s="5">
        <f>IF(AB196&gt;4,1,0)+IF(AB196&gt;10,1,0)</f>
        <v/>
      </c>
      <c r="AD196" t="n">
        <v>1110.42</v>
      </c>
      <c r="AE196" t="n">
        <v>108.58</v>
      </c>
      <c r="AF196" t="n">
        <v>134.83</v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>
        <v>12.1075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 t="inlineStr">
        <is>
          <t>Fascinate Textiles  P</t>
        </is>
      </c>
      <c r="AN196" t="n">
        <v>13</v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https://www.chittorgarh.com/ipo/sham-foam-ipo/2869/</t>
        </is>
      </c>
      <c r="B197" t="inlineStr">
        <is>
          <t>Sham Foam  Price, GMP</t>
        </is>
      </c>
      <c r="C197" t="inlineStr">
        <is>
          <t>2026</t>
        </is>
      </c>
      <c r="E197" t="n">
        <v>9.220000000000001</v>
      </c>
      <c r="F197" t="n">
        <v>12.46</v>
      </c>
      <c r="G197" s="5" t="n">
        <v>26</v>
      </c>
      <c r="H197" t="n">
        <v>36.58</v>
      </c>
      <c r="I197" t="n">
        <v>3.58</v>
      </c>
      <c r="J197" t="n">
        <v>9.369999999999999</v>
      </c>
      <c r="K197" t="n">
        <v>4.28</v>
      </c>
      <c r="L197" t="n">
        <v>51.53</v>
      </c>
      <c r="M197" t="n">
        <v>4.69</v>
      </c>
      <c r="N197" t="n">
        <v>11.91</v>
      </c>
      <c r="O197" t="n">
        <v>81.62</v>
      </c>
      <c r="P197" s="5" t="n">
        <v>22.8</v>
      </c>
      <c r="Q197" t="n">
        <v>30.37</v>
      </c>
      <c r="R197" s="2" t="n">
        <v>23.38</v>
      </c>
      <c r="S197" s="6" t="n">
        <v>-0.5</v>
      </c>
      <c r="T197" t="n">
        <v>40.48</v>
      </c>
      <c r="U197" t="n">
        <v>0</v>
      </c>
      <c r="V197" t="n">
        <v>0</v>
      </c>
      <c r="W197" t="n">
        <v>1</v>
      </c>
      <c r="X197" t="n">
        <v>2</v>
      </c>
      <c r="Y197" t="n">
        <v>2</v>
      </c>
      <c r="Z197" t="n">
        <v>1</v>
      </c>
      <c r="AA197" s="5">
        <f>IF(X197&lt;50,IF(Y197&gt;(2.3*X197),0,1),1)-IF(Z197&gt;Y197,1.7,0)</f>
        <v/>
      </c>
      <c r="AB197" t="n">
        <v>0</v>
      </c>
      <c r="AC197" s="5">
        <f>IF(AB197&gt;4,1,0)+IF(AB197&gt;10,1,0)</f>
        <v/>
      </c>
      <c r="AD197" t="n">
        <v>20.54</v>
      </c>
      <c r="AE197" t="n">
        <v>10.46</v>
      </c>
      <c r="AF197" t="n">
        <v>40.32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>
        <v>12.1575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 t="inlineStr">
        <is>
          <t>Sham Foam  Price, GMP</t>
        </is>
      </c>
      <c r="AN197" t="n">
        <v>13</v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A198" t="inlineStr">
        <is>
          <t>https://www.chittorgarh.com/ipo/qt-foods-ipo/3145/</t>
        </is>
      </c>
      <c r="B198" t="inlineStr">
        <is>
          <t>Q&amp;amp;T Foods  Price,</t>
        </is>
      </c>
      <c r="C198" t="inlineStr">
        <is>
          <t>2026</t>
        </is>
      </c>
      <c r="E198" t="n">
        <v>10.11</v>
      </c>
      <c r="F198" t="n">
        <v>7.04</v>
      </c>
      <c r="G198" s="5" t="n">
        <v>-43.61</v>
      </c>
      <c r="H198" t="n">
        <v>19.68</v>
      </c>
      <c r="I198" t="n">
        <v>2.74</v>
      </c>
      <c r="J198" t="n">
        <v>7.11</v>
      </c>
      <c r="K198" t="n">
        <v>5.7</v>
      </c>
      <c r="L198" t="n">
        <v>34.91</v>
      </c>
      <c r="M198" t="n">
        <v>4.82</v>
      </c>
      <c r="N198" t="n">
        <v>12.02</v>
      </c>
      <c r="O198" t="n">
        <v>46.83</v>
      </c>
      <c r="P198" s="5" t="n">
        <v>17.09</v>
      </c>
      <c r="Q198" t="n">
        <v>20.18</v>
      </c>
      <c r="R198" s="2" t="n">
        <v>20.5</v>
      </c>
      <c r="S198" s="6" t="n">
        <v>-0.5</v>
      </c>
      <c r="T198" t="n">
        <v>26.25</v>
      </c>
      <c r="U198" t="n">
        <v>0</v>
      </c>
      <c r="V198" t="n">
        <v>0</v>
      </c>
      <c r="W198" t="n">
        <v>1</v>
      </c>
      <c r="X198" t="n">
        <v>2</v>
      </c>
      <c r="Y198" t="n">
        <v>2</v>
      </c>
      <c r="Z198" t="n">
        <v>1</v>
      </c>
      <c r="AA198" s="5">
        <f>IF(X198&lt;50,IF(Y198&gt;(2.3*X198),0,1),1)-IF(Z198&gt;Y198,1.7,0)</f>
        <v/>
      </c>
      <c r="AB198" t="n">
        <v>5.22</v>
      </c>
      <c r="AC198" s="5">
        <f>IF(AB198&gt;4,1,0)+IF(AB198&gt;10,1,0)</f>
        <v/>
      </c>
      <c r="AD198" t="n">
        <v>39.8</v>
      </c>
      <c r="AE198" t="n">
        <v>16.43</v>
      </c>
      <c r="AF198" t="n">
        <v>188.52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>
        <v>12.1575</v>
      </c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 t="inlineStr">
        <is>
          <t>Q&amp;amp;T Foods  Price,</t>
        </is>
      </c>
      <c r="AN198" t="n">
        <v>14</v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3" t="inlineStr">
        <is>
          <t>Milky Mist Dairy Food</t>
        </is>
      </c>
      <c r="C104" t="inlineStr">
        <is>
          <t>2026</t>
        </is>
      </c>
      <c r="D104" s="53" t="n">
        <v>5</v>
      </c>
      <c r="E104" t="n">
        <v>1376.38</v>
      </c>
      <c r="F104" t="n">
        <v>242.77</v>
      </c>
      <c r="G104" s="101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1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0</v>
      </c>
      <c r="W104" t="n">
        <v>1</v>
      </c>
      <c r="X104" t="n">
        <v>2</v>
      </c>
      <c r="Y104" t="n">
        <v>2</v>
      </c>
      <c r="Z104" t="n">
        <v>1</v>
      </c>
      <c r="AA104" s="104">
        <f>IF(X104&lt;33,IF(Y104&gt;(1.1*X104),0,1),1)+IF(Y104&gt;(4*X104),-1,0)</f>
        <v/>
      </c>
      <c r="AB104" t="n">
        <v>0</v>
      </c>
      <c r="AC104" s="102">
        <f>IF(AB104&gt;9,1,0)+AB104/3+IF(AB104&gt;15,1,0)+IF(AB104&gt;20,1,0)</f>
        <v/>
      </c>
      <c r="AD104" t="n">
        <v>136.99</v>
      </c>
      <c r="AE104" t="n">
        <v>28.9</v>
      </c>
      <c r="AF104" t="n">
        <v>23.2</v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I104" t="n">
        <v>12.1075</v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 t="inlineStr">
        <is>
          <t>Milky Mist Dairy Food</t>
        </is>
      </c>
      <c r="AN104" t="n">
        <v>13</v>
      </c>
      <c r="AO104" s="63" t="n"/>
      <c r="AP104" s="101">
        <f>IF(AK104&gt;23.2,IF(Y104&lt;300,IF(Y104&lt;35,IF(Y104&lt;8,3,2),1),0),0)</f>
        <v/>
      </c>
      <c r="AQ104" t="n">
        <v>1</v>
      </c>
      <c r="AR104" s="101">
        <f>IF(AO104=1,IF(AO104=AL104,1,0),5)</f>
        <v/>
      </c>
      <c r="AX104" s="102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3" t="inlineStr">
        <is>
          <t>Shiprocket  Price, GM</t>
        </is>
      </c>
      <c r="C105" t="inlineStr">
        <is>
          <t>2026</t>
        </is>
      </c>
      <c r="D105" s="53" t="n">
        <v>5</v>
      </c>
      <c r="E105" t="n">
        <v>244.67</v>
      </c>
      <c r="F105" t="n">
        <v>1491.23</v>
      </c>
      <c r="G105" s="101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1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0</v>
      </c>
      <c r="W105" t="n">
        <v>1</v>
      </c>
      <c r="X105" t="n">
        <v>2</v>
      </c>
      <c r="Y105" t="n">
        <v>2</v>
      </c>
      <c r="Z105" t="n">
        <v>1</v>
      </c>
      <c r="AA105" s="104">
        <f>IF(X105&lt;33,IF(Y105&gt;(1.1*X105),0,1),1)+IF(Y105&gt;(4*X105),-1,0)</f>
        <v/>
      </c>
      <c r="AB105" t="n">
        <v>0</v>
      </c>
      <c r="AC105" s="102">
        <f>IF(AB105&gt;9,1,0)+AB105/3+IF(AB105&gt;15,1,0)+IF(AB105&gt;20,1,0)</f>
        <v/>
      </c>
      <c r="AD105" t="n">
        <v>-87.48999999999999</v>
      </c>
      <c r="AE105" t="n">
        <v>23.35</v>
      </c>
      <c r="AF105" t="n">
        <v>16.12</v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I105" t="n">
        <v>12.1075</v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 t="inlineStr">
        <is>
          <t>Shiprocket  Price, GM</t>
        </is>
      </c>
      <c r="AN105" t="n">
        <v>14</v>
      </c>
      <c r="AO105" s="63" t="n"/>
      <c r="AP105" s="101">
        <f>IF(AK105&gt;23.2,IF(Y105&lt;300,IF(Y105&lt;35,IF(Y105&lt;8,3,2),1),0),0)</f>
        <v/>
      </c>
      <c r="AQ105" t="n">
        <v>1</v>
      </c>
      <c r="AR105" s="101">
        <f>IF(AO105=1,IF(AO105=AL105,1,0),5)</f>
        <v/>
      </c>
      <c r="AX105" s="102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3" t="inlineStr">
        <is>
          <t>Behari Lal Engineerin</t>
        </is>
      </c>
      <c r="C106" t="inlineStr">
        <is>
          <t>2026</t>
        </is>
      </c>
      <c r="D106" s="53" t="n">
        <v>5</v>
      </c>
      <c r="E106" t="n">
        <v>7.58</v>
      </c>
      <c r="F106" t="n">
        <v>241.62</v>
      </c>
      <c r="G106" s="101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1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0</v>
      </c>
      <c r="W106" t="n">
        <v>1</v>
      </c>
      <c r="X106" t="n">
        <v>2</v>
      </c>
      <c r="Y106" t="n">
        <v>2</v>
      </c>
      <c r="Z106" t="n">
        <v>1</v>
      </c>
      <c r="AA106" s="104">
        <f>IF(X106&lt;33,IF(Y106&gt;(1.1*X106),0,1),1)+IF(Y106&gt;(4*X106),-1,0)</f>
        <v/>
      </c>
      <c r="AB106" t="n">
        <v>10.53</v>
      </c>
      <c r="AC106" s="102">
        <f>IF(AB106&gt;9,1,0)+AB106/3+IF(AB106&gt;15,1,0)+IF(AB106&gt;20,1,0)</f>
        <v/>
      </c>
      <c r="AD106" t="n">
        <v>47.95</v>
      </c>
      <c r="AE106" t="n">
        <v>14.74</v>
      </c>
      <c r="AF106" t="n">
        <v>24.77</v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I106" t="n">
        <v>12.1575</v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 t="inlineStr">
        <is>
          <t>Behari Lal Engineerin</t>
        </is>
      </c>
      <c r="AN106" t="n">
        <v>14</v>
      </c>
      <c r="AO106" s="63" t="n"/>
      <c r="AP106" s="101">
        <f>IF(AK106&gt;23.2,IF(Y106&lt;300,IF(Y106&lt;35,IF(Y106&lt;8,3,2),1),0),0)</f>
        <v/>
      </c>
      <c r="AQ106" t="n">
        <v>1</v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2026-08-09T09:22:15Z</dcterms:modified>
  <cp:lastModifiedBy>bruce wayne</cp:lastModifiedBy>
  <cp:revision>5</cp:revision>
</cp:coreProperties>
</file>