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ce\PycharmProjects\ipo_automation\"/>
    </mc:Choice>
  </mc:AlternateContent>
  <xr:revisionPtr revIDLastSave="0" documentId="13_ncr:1_{12AE509B-5E40-47F9-BA3C-2BB03C1A4E62}" xr6:coauthVersionLast="47" xr6:coauthVersionMax="47" xr10:uidLastSave="{00000000-0000-0000-0000-000000000000}"/>
  <bookViews>
    <workbookView xWindow="-108" yWindow="-108" windowWidth="23256" windowHeight="12456" xr2:uid="{EA30F839-2F08-4C36-B652-318C113424B6}"/>
  </bookViews>
  <sheets>
    <sheet name="u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J3" i="1"/>
  <c r="J4" i="1"/>
  <c r="J5" i="1"/>
  <c r="J6" i="1"/>
  <c r="J7" i="1"/>
  <c r="J8" i="1"/>
  <c r="J9" i="1"/>
  <c r="J10" i="1"/>
  <c r="J11" i="1"/>
  <c r="G2" i="1"/>
  <c r="J2" i="1" l="1"/>
</calcChain>
</file>

<file path=xl/sharedStrings.xml><?xml version="1.0" encoding="utf-8"?>
<sst xmlns="http://schemas.openxmlformats.org/spreadsheetml/2006/main" count="35" uniqueCount="29">
  <si>
    <t>security_id</t>
  </si>
  <si>
    <t>quantity_on_listing</t>
  </si>
  <si>
    <t>lot_size</t>
  </si>
  <si>
    <t>number_of_lots</t>
  </si>
  <si>
    <t>name</t>
  </si>
  <si>
    <t>symbol</t>
  </si>
  <si>
    <t>sme_mb</t>
  </si>
  <si>
    <t>balance_share_sheet</t>
  </si>
  <si>
    <t>balance_share_broker</t>
  </si>
  <si>
    <t>Flyingwing Simulators</t>
  </si>
  <si>
    <t>FLWNG</t>
  </si>
  <si>
    <t>sme</t>
  </si>
  <si>
    <t>LG Electronics</t>
  </si>
  <si>
    <t>LGELCT</t>
  </si>
  <si>
    <t>mb</t>
  </si>
  <si>
    <t>today_high</t>
  </si>
  <si>
    <t>today_low</t>
  </si>
  <si>
    <t>all_time_high</t>
  </si>
  <si>
    <t>all_time_low</t>
  </si>
  <si>
    <t>total_bought_today</t>
  </si>
  <si>
    <t>total_sold_today</t>
  </si>
  <si>
    <t>opening_price</t>
  </si>
  <si>
    <t>listing_price</t>
  </si>
  <si>
    <t>trading_day</t>
  </si>
  <si>
    <t>issue_price</t>
  </si>
  <si>
    <t>Dharal Rail</t>
  </si>
  <si>
    <t>Shri Kanha Stainless</t>
  </si>
  <si>
    <t>Yajur Fibres</t>
  </si>
  <si>
    <t>first_high_10.30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</si>
</sst>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47A5-10F4-4239-B144-F2C08D4080D2}">
  <dimension ref="A1:T11"/>
  <sheetViews>
    <sheetView tabSelected="1" workbookViewId="0">
      <pane xSplit="1" topLeftCell="J1" activePane="topRight" state="frozen"/>
      <selection pane="topRight" activeCell="S20" sqref="S20"/>
    </sheetView>
  </sheetViews>
  <sheetFormatPr defaultRowHeight="14.4" x14ac:dyDescent="0.3"/>
  <cols>
    <col min="2" max="2" width="18.109375" customWidth="1"/>
    <col min="4" max="4" width="11.88671875" customWidth="1"/>
  </cols>
  <sheetData>
    <row r="1" spans="1:20" ht="41.4" x14ac:dyDescent="0.3">
      <c r="A1" s="2" t="s">
        <v>4</v>
      </c>
      <c r="B1" s="2" t="s">
        <v>5</v>
      </c>
      <c r="C1" s="2" t="s">
        <v>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20</v>
      </c>
      <c r="I1" s="1" t="s">
        <v>19</v>
      </c>
      <c r="J1" s="1" t="s">
        <v>7</v>
      </c>
      <c r="K1" s="1" t="s">
        <v>8</v>
      </c>
      <c r="L1" s="1" t="s">
        <v>23</v>
      </c>
      <c r="M1" s="1" t="s">
        <v>24</v>
      </c>
      <c r="N1" s="1" t="s">
        <v>22</v>
      </c>
      <c r="O1" s="1" t="s">
        <v>21</v>
      </c>
      <c r="P1" s="1" t="s">
        <v>28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t="s">
        <v>9</v>
      </c>
      <c r="B2" t="s">
        <v>10</v>
      </c>
      <c r="C2" t="s">
        <v>11</v>
      </c>
      <c r="D2">
        <v>397034</v>
      </c>
      <c r="E2">
        <v>1200</v>
      </c>
      <c r="F2">
        <v>600</v>
      </c>
      <c r="G2">
        <f>E2/F2</f>
        <v>2</v>
      </c>
      <c r="H2">
        <v>0</v>
      </c>
      <c r="I2">
        <v>0</v>
      </c>
      <c r="J2">
        <f>E2+I2-H2</f>
        <v>1200</v>
      </c>
      <c r="K2">
        <v>1500</v>
      </c>
      <c r="L2">
        <v>1</v>
      </c>
      <c r="M2">
        <v>191</v>
      </c>
      <c r="N2">
        <v>195</v>
      </c>
      <c r="O2">
        <v>196</v>
      </c>
      <c r="P2">
        <v>205</v>
      </c>
    </row>
    <row r="3" spans="1:20" x14ac:dyDescent="0.3">
      <c r="A3" t="s">
        <v>12</v>
      </c>
      <c r="B3" t="s">
        <v>13</v>
      </c>
      <c r="C3" t="s">
        <v>14</v>
      </c>
      <c r="D3">
        <v>435345</v>
      </c>
      <c r="E3">
        <v>240</v>
      </c>
      <c r="F3">
        <v>20</v>
      </c>
      <c r="G3">
        <f t="shared" ref="G3:G11" si="0">E3/F3</f>
        <v>12</v>
      </c>
      <c r="H3">
        <v>0</v>
      </c>
      <c r="I3">
        <v>0</v>
      </c>
      <c r="J3">
        <f t="shared" ref="J3:J11" si="1">E3+I3-H3</f>
        <v>240</v>
      </c>
      <c r="K3">
        <v>240</v>
      </c>
    </row>
    <row r="4" spans="1:20" x14ac:dyDescent="0.3">
      <c r="A4" t="s">
        <v>25</v>
      </c>
      <c r="B4" t="s">
        <v>25</v>
      </c>
      <c r="C4" t="s">
        <v>11</v>
      </c>
      <c r="E4">
        <v>600</v>
      </c>
      <c r="G4" t="e">
        <f t="shared" si="0"/>
        <v>#DIV/0!</v>
      </c>
      <c r="J4">
        <f t="shared" si="1"/>
        <v>600</v>
      </c>
      <c r="M4">
        <v>126</v>
      </c>
      <c r="N4">
        <v>150</v>
      </c>
      <c r="O4">
        <v>150</v>
      </c>
      <c r="P4">
        <v>155</v>
      </c>
    </row>
    <row r="5" spans="1:20" x14ac:dyDescent="0.3">
      <c r="A5" t="s">
        <v>26</v>
      </c>
      <c r="B5" t="s">
        <v>26</v>
      </c>
      <c r="C5" t="s">
        <v>11</v>
      </c>
      <c r="D5">
        <v>43534</v>
      </c>
      <c r="G5" t="e">
        <f t="shared" si="0"/>
        <v>#DIV/0!</v>
      </c>
      <c r="J5">
        <f t="shared" si="1"/>
        <v>0</v>
      </c>
      <c r="M5">
        <v>90</v>
      </c>
      <c r="N5">
        <v>88</v>
      </c>
    </row>
    <row r="6" spans="1:20" x14ac:dyDescent="0.3">
      <c r="A6" t="s">
        <v>27</v>
      </c>
      <c r="B6" t="s">
        <v>27</v>
      </c>
      <c r="C6" t="s">
        <v>11</v>
      </c>
      <c r="D6">
        <v>5345346</v>
      </c>
      <c r="G6" t="e">
        <f t="shared" si="0"/>
        <v>#DIV/0!</v>
      </c>
      <c r="J6">
        <f t="shared" si="1"/>
        <v>0</v>
      </c>
      <c r="M6">
        <v>174</v>
      </c>
      <c r="N6">
        <v>139</v>
      </c>
    </row>
    <row r="7" spans="1:20" x14ac:dyDescent="0.3">
      <c r="G7" t="e">
        <f t="shared" si="0"/>
        <v>#DIV/0!</v>
      </c>
      <c r="J7">
        <f t="shared" si="1"/>
        <v>0</v>
      </c>
    </row>
    <row r="8" spans="1:20" x14ac:dyDescent="0.3">
      <c r="G8" t="e">
        <f t="shared" si="0"/>
        <v>#DIV/0!</v>
      </c>
      <c r="J8">
        <f t="shared" si="1"/>
        <v>0</v>
      </c>
    </row>
    <row r="9" spans="1:20" x14ac:dyDescent="0.3">
      <c r="G9" t="e">
        <f t="shared" si="0"/>
        <v>#DIV/0!</v>
      </c>
      <c r="J9">
        <f t="shared" si="1"/>
        <v>0</v>
      </c>
    </row>
    <row r="10" spans="1:20" x14ac:dyDescent="0.3">
      <c r="G10" t="e">
        <f t="shared" si="0"/>
        <v>#DIV/0!</v>
      </c>
      <c r="J10">
        <f t="shared" si="1"/>
        <v>0</v>
      </c>
    </row>
    <row r="11" spans="1:20" x14ac:dyDescent="0.3">
      <c r="G11" t="e">
        <f t="shared" si="0"/>
        <v>#DIV/0!</v>
      </c>
      <c r="J11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wayne</dc:creator>
  <cp:lastModifiedBy>bruce wayne</cp:lastModifiedBy>
  <dcterms:created xsi:type="dcterms:W3CDTF">2026-01-24T07:38:26Z</dcterms:created>
  <dcterms:modified xsi:type="dcterms:W3CDTF">2026-01-25T18:40:53Z</dcterms:modified>
</cp:coreProperties>
</file>